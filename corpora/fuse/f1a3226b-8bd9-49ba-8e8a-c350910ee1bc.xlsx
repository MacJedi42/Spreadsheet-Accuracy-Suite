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2" windowWidth="9660" windowHeight="8748"/>
  </bookViews>
  <sheets>
    <sheet name="February 2013 - Data" sheetId="1" r:id="rId1"/>
    <sheet name="GL Summary" sheetId="9" r:id="rId2"/>
    <sheet name="February 2013 - HP Toner" sheetId="5" r:id="rId3"/>
    <sheet name="Totals" sheetId="4" r:id="rId4"/>
    <sheet name="Tables" sheetId="3" r:id="rId5"/>
    <sheet name="Meter Read info" sheetId="6" state="hidden" r:id="rId6"/>
  </sheets>
  <definedNames>
    <definedName name="_xlnm._FilterDatabase" localSheetId="0" hidden="1">'February 2013 - Data'!$A$1:$U$335</definedName>
    <definedName name="_xlnm.Print_Area" localSheetId="0">'February 2013 - Data'!$A$1:$U$335</definedName>
  </definedNames>
  <calcPr calcId="145621"/>
  <pivotCaches>
    <pivotCache cacheId="10" r:id="rId7"/>
  </pivotCaches>
</workbook>
</file>

<file path=xl/calcChain.xml><?xml version="1.0" encoding="utf-8"?>
<calcChain xmlns="http://schemas.openxmlformats.org/spreadsheetml/2006/main">
  <c r="M1137" i="1" l="1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" i="5"/>
  <c r="C4" i="1"/>
  <c r="C5" i="1"/>
  <c r="C6" i="1"/>
  <c r="C7" i="1"/>
  <c r="C8" i="1"/>
  <c r="C9" i="1"/>
  <c r="C10" i="1"/>
  <c r="C12" i="1"/>
  <c r="C14" i="1"/>
  <c r="C15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1" i="1"/>
  <c r="C33" i="1"/>
  <c r="C35" i="1"/>
  <c r="C37" i="1"/>
  <c r="C39" i="1"/>
  <c r="C41" i="1"/>
  <c r="C42" i="1"/>
  <c r="C43" i="1"/>
  <c r="C44" i="1"/>
  <c r="C45" i="1"/>
  <c r="C46" i="1"/>
  <c r="C47" i="1"/>
  <c r="C48" i="1"/>
  <c r="C50" i="1"/>
  <c r="C52" i="1"/>
  <c r="C54" i="1"/>
  <c r="C55" i="1"/>
  <c r="C57" i="1"/>
  <c r="C58" i="1"/>
  <c r="C59" i="1"/>
  <c r="C60" i="1"/>
  <c r="C61" i="1"/>
  <c r="C62" i="1"/>
  <c r="C64" i="1"/>
  <c r="C65" i="1"/>
  <c r="C67" i="1"/>
  <c r="C69" i="1"/>
  <c r="C71" i="1"/>
  <c r="C72" i="1"/>
  <c r="C74" i="1"/>
  <c r="C75" i="1"/>
  <c r="C76" i="1"/>
  <c r="C78" i="1"/>
  <c r="C80" i="1"/>
  <c r="C81" i="1"/>
  <c r="C82" i="1"/>
  <c r="C84" i="1"/>
  <c r="C86" i="1"/>
  <c r="C87" i="1"/>
  <c r="C88" i="1"/>
  <c r="C90" i="1"/>
  <c r="C91" i="1"/>
  <c r="C92" i="1"/>
  <c r="C93" i="1"/>
  <c r="C95" i="1"/>
  <c r="C97" i="1"/>
  <c r="C98" i="1"/>
  <c r="C99" i="1"/>
  <c r="C101" i="1"/>
  <c r="C102" i="1"/>
  <c r="C104" i="1"/>
  <c r="C106" i="1"/>
  <c r="C107" i="1"/>
  <c r="C108" i="1"/>
  <c r="C110" i="1"/>
  <c r="C111" i="1"/>
  <c r="C112" i="1"/>
  <c r="C113" i="1"/>
  <c r="C114" i="1"/>
  <c r="C116" i="1"/>
  <c r="C117" i="1"/>
  <c r="C118" i="1"/>
  <c r="C119" i="1"/>
  <c r="C120" i="1"/>
  <c r="C122" i="1"/>
  <c r="C123" i="1"/>
  <c r="C124" i="1"/>
  <c r="C125" i="1"/>
  <c r="C126" i="1"/>
  <c r="C127" i="1"/>
  <c r="C129" i="1"/>
  <c r="C130" i="1"/>
  <c r="C131" i="1"/>
  <c r="C132" i="1"/>
  <c r="C133" i="1"/>
  <c r="C134" i="1"/>
  <c r="C135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50" i="1"/>
  <c r="C151" i="1"/>
  <c r="C152" i="1"/>
  <c r="C153" i="1"/>
  <c r="C154" i="1"/>
  <c r="C156" i="1"/>
  <c r="C157" i="1"/>
  <c r="C159" i="1"/>
  <c r="C161" i="1"/>
  <c r="C162" i="1"/>
  <c r="C163" i="1"/>
  <c r="C164" i="1"/>
  <c r="C165" i="1"/>
  <c r="C167" i="1"/>
  <c r="C169" i="1"/>
  <c r="C170" i="1"/>
  <c r="C171" i="1"/>
  <c r="C172" i="1"/>
  <c r="C173" i="1"/>
  <c r="C174" i="1"/>
  <c r="C176" i="1"/>
  <c r="C177" i="1"/>
  <c r="C178" i="1"/>
  <c r="C179" i="1"/>
  <c r="C181" i="1"/>
  <c r="C182" i="1"/>
  <c r="C183" i="1"/>
  <c r="C185" i="1"/>
  <c r="C186" i="1"/>
  <c r="C187" i="1"/>
  <c r="C188" i="1"/>
  <c r="C189" i="1"/>
  <c r="C191" i="1"/>
  <c r="C193" i="1"/>
  <c r="C195" i="1"/>
  <c r="C196" i="1"/>
  <c r="C198" i="1"/>
  <c r="C199" i="1"/>
  <c r="C200" i="1"/>
  <c r="C201" i="1"/>
  <c r="C203" i="1"/>
  <c r="C204" i="1"/>
  <c r="C206" i="1"/>
  <c r="C207" i="1"/>
  <c r="C209" i="1"/>
  <c r="C211" i="1"/>
  <c r="C212" i="1"/>
  <c r="C213" i="1"/>
  <c r="C215" i="1"/>
  <c r="C217" i="1"/>
  <c r="C219" i="1"/>
  <c r="C220" i="1"/>
  <c r="C221" i="1"/>
  <c r="C223" i="1"/>
  <c r="C224" i="1"/>
  <c r="C225" i="1"/>
  <c r="C227" i="1"/>
  <c r="C228" i="1"/>
  <c r="C229" i="1"/>
  <c r="C231" i="1"/>
  <c r="C232" i="1"/>
  <c r="C234" i="1"/>
  <c r="C235" i="1"/>
  <c r="C236" i="1"/>
  <c r="C238" i="1"/>
  <c r="C239" i="1"/>
  <c r="C241" i="1"/>
  <c r="C243" i="1"/>
  <c r="C244" i="1"/>
  <c r="C245" i="1"/>
  <c r="C247" i="1"/>
  <c r="C249" i="1"/>
  <c r="C251" i="1"/>
  <c r="C252" i="1"/>
  <c r="C254" i="1"/>
  <c r="C256" i="1"/>
  <c r="C257" i="1"/>
  <c r="C258" i="1"/>
  <c r="C259" i="1"/>
  <c r="C261" i="1"/>
  <c r="C262" i="1"/>
  <c r="C263" i="1"/>
  <c r="C264" i="1"/>
  <c r="C265" i="1"/>
  <c r="C267" i="1"/>
  <c r="C269" i="1"/>
  <c r="C270" i="1"/>
  <c r="C271" i="1"/>
  <c r="C273" i="1"/>
  <c r="C274" i="1"/>
  <c r="C275" i="1"/>
  <c r="C276" i="1"/>
  <c r="C277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2" i="1"/>
  <c r="C293" i="1"/>
  <c r="C295" i="1"/>
  <c r="C297" i="1"/>
  <c r="C298" i="1"/>
  <c r="C300" i="1"/>
  <c r="C301" i="1"/>
  <c r="C302" i="1"/>
  <c r="C303" i="1"/>
  <c r="C305" i="1"/>
  <c r="C307" i="1"/>
  <c r="C308" i="1"/>
  <c r="C309" i="1"/>
  <c r="C310" i="1"/>
  <c r="C311" i="1"/>
  <c r="C313" i="1"/>
  <c r="C314" i="1"/>
  <c r="C316" i="1"/>
  <c r="C318" i="1"/>
  <c r="C319" i="1"/>
  <c r="C320" i="1"/>
  <c r="C321" i="1"/>
  <c r="C322" i="1"/>
  <c r="C323" i="1"/>
  <c r="C325" i="1"/>
  <c r="C327" i="1"/>
  <c r="C329" i="1"/>
  <c r="C331" i="1"/>
  <c r="C333" i="1"/>
  <c r="C334" i="1"/>
  <c r="C335" i="1"/>
  <c r="C2" i="1"/>
  <c r="G120" i="1" l="1"/>
  <c r="P120" i="1" s="1"/>
  <c r="G119" i="1"/>
  <c r="P119" i="1" s="1"/>
  <c r="Q119" i="1" l="1"/>
  <c r="Q120" i="1"/>
  <c r="I182" i="1" l="1"/>
  <c r="J182" i="1"/>
  <c r="G182" i="1"/>
  <c r="P182" i="1" s="1"/>
  <c r="R229" i="1"/>
  <c r="S229" i="1"/>
  <c r="T229" i="1"/>
  <c r="U229" i="1"/>
  <c r="G229" i="1"/>
  <c r="Q229" i="1" s="1"/>
  <c r="R269" i="1"/>
  <c r="S269" i="1"/>
  <c r="T269" i="1"/>
  <c r="U269" i="1"/>
  <c r="G269" i="1"/>
  <c r="P269" i="1" s="1"/>
  <c r="R120" i="1"/>
  <c r="S120" i="1"/>
  <c r="T120" i="1"/>
  <c r="U120" i="1"/>
  <c r="R239" i="1"/>
  <c r="S239" i="1"/>
  <c r="T239" i="1"/>
  <c r="U239" i="1"/>
  <c r="G239" i="1"/>
  <c r="P239" i="1" s="1"/>
  <c r="R65" i="1"/>
  <c r="S65" i="1"/>
  <c r="T65" i="1"/>
  <c r="U65" i="1"/>
  <c r="G65" i="1"/>
  <c r="P65" i="1" s="1"/>
  <c r="I120" i="1" l="1"/>
  <c r="K120" i="1" s="1"/>
  <c r="J229" i="1"/>
  <c r="L229" i="1" s="1"/>
  <c r="Q182" i="1"/>
  <c r="L182" i="1" s="1"/>
  <c r="I269" i="1"/>
  <c r="K269" i="1" s="1"/>
  <c r="P229" i="1"/>
  <c r="K182" i="1"/>
  <c r="I229" i="1"/>
  <c r="J269" i="1"/>
  <c r="Q269" i="1"/>
  <c r="J120" i="1"/>
  <c r="L120" i="1" s="1"/>
  <c r="I239" i="1"/>
  <c r="K239" i="1" s="1"/>
  <c r="J239" i="1"/>
  <c r="J65" i="1"/>
  <c r="Q239" i="1"/>
  <c r="I65" i="1"/>
  <c r="K65" i="1" s="1"/>
  <c r="Q65" i="1"/>
  <c r="R203" i="1"/>
  <c r="S203" i="1"/>
  <c r="T203" i="1"/>
  <c r="U203" i="1"/>
  <c r="R261" i="1"/>
  <c r="S261" i="1"/>
  <c r="T261" i="1"/>
  <c r="U261" i="1"/>
  <c r="R201" i="1"/>
  <c r="S201" i="1"/>
  <c r="T201" i="1"/>
  <c r="U201" i="1"/>
  <c r="R274" i="1"/>
  <c r="S274" i="1"/>
  <c r="T274" i="1"/>
  <c r="U274" i="1"/>
  <c r="R314" i="1"/>
  <c r="S314" i="1"/>
  <c r="T314" i="1"/>
  <c r="U314" i="1"/>
  <c r="R169" i="1"/>
  <c r="S169" i="1"/>
  <c r="T169" i="1"/>
  <c r="U169" i="1"/>
  <c r="R8" i="1"/>
  <c r="S8" i="1"/>
  <c r="T8" i="1"/>
  <c r="U8" i="1"/>
  <c r="R50" i="1"/>
  <c r="S50" i="1"/>
  <c r="T50" i="1"/>
  <c r="U50" i="1"/>
  <c r="R28" i="1"/>
  <c r="S28" i="1"/>
  <c r="T28" i="1"/>
  <c r="U28" i="1"/>
  <c r="R27" i="1"/>
  <c r="S27" i="1"/>
  <c r="T27" i="1"/>
  <c r="U27" i="1"/>
  <c r="R25" i="1"/>
  <c r="S25" i="1"/>
  <c r="T25" i="1"/>
  <c r="U25" i="1"/>
  <c r="R29" i="1"/>
  <c r="S29" i="1"/>
  <c r="T29" i="1"/>
  <c r="U29" i="1"/>
  <c r="R245" i="1"/>
  <c r="S245" i="1"/>
  <c r="T245" i="1"/>
  <c r="U245" i="1"/>
  <c r="R23" i="1"/>
  <c r="S23" i="1"/>
  <c r="T23" i="1"/>
  <c r="U23" i="1"/>
  <c r="R243" i="1"/>
  <c r="S243" i="1"/>
  <c r="T243" i="1"/>
  <c r="U243" i="1"/>
  <c r="R290" i="1"/>
  <c r="S290" i="1"/>
  <c r="T290" i="1"/>
  <c r="U290" i="1"/>
  <c r="R167" i="1"/>
  <c r="S167" i="1"/>
  <c r="T167" i="1"/>
  <c r="U167" i="1"/>
  <c r="R17" i="1"/>
  <c r="S17" i="1"/>
  <c r="T17" i="1"/>
  <c r="U17" i="1"/>
  <c r="R18" i="1"/>
  <c r="S18" i="1"/>
  <c r="T18" i="1"/>
  <c r="U18" i="1"/>
  <c r="R21" i="1"/>
  <c r="S21" i="1"/>
  <c r="T21" i="1"/>
  <c r="U21" i="1"/>
  <c r="R20" i="1"/>
  <c r="S20" i="1"/>
  <c r="T20" i="1"/>
  <c r="U20" i="1"/>
  <c r="R15" i="1"/>
  <c r="S15" i="1"/>
  <c r="T15" i="1"/>
  <c r="U15" i="1"/>
  <c r="R26" i="1"/>
  <c r="S26" i="1"/>
  <c r="T26" i="1"/>
  <c r="U26" i="1"/>
  <c r="R116" i="1"/>
  <c r="S116" i="1"/>
  <c r="T116" i="1"/>
  <c r="U116" i="1"/>
  <c r="R171" i="1"/>
  <c r="S171" i="1"/>
  <c r="T171" i="1"/>
  <c r="U171" i="1"/>
  <c r="R24" i="1"/>
  <c r="S24" i="1"/>
  <c r="T24" i="1"/>
  <c r="U24" i="1"/>
  <c r="R14" i="1"/>
  <c r="S14" i="1"/>
  <c r="T14" i="1"/>
  <c r="U14" i="1"/>
  <c r="R22" i="1"/>
  <c r="S22" i="1"/>
  <c r="T22" i="1"/>
  <c r="U22" i="1"/>
  <c r="R287" i="1"/>
  <c r="S287" i="1"/>
  <c r="T287" i="1"/>
  <c r="U287" i="1"/>
  <c r="R19" i="1"/>
  <c r="S19" i="1"/>
  <c r="T19" i="1"/>
  <c r="U19" i="1"/>
  <c r="R273" i="1"/>
  <c r="S273" i="1"/>
  <c r="T273" i="1"/>
  <c r="U273" i="1"/>
  <c r="R300" i="1"/>
  <c r="S300" i="1"/>
  <c r="T300" i="1"/>
  <c r="U300" i="1"/>
  <c r="R78" i="1"/>
  <c r="S78" i="1"/>
  <c r="T78" i="1"/>
  <c r="U78" i="1"/>
  <c r="R275" i="1"/>
  <c r="S275" i="1"/>
  <c r="T275" i="1"/>
  <c r="U275" i="1"/>
  <c r="R118" i="1"/>
  <c r="S118" i="1"/>
  <c r="T118" i="1"/>
  <c r="U118" i="1"/>
  <c r="R144" i="1"/>
  <c r="S144" i="1"/>
  <c r="T144" i="1"/>
  <c r="U144" i="1"/>
  <c r="R31" i="1"/>
  <c r="S31" i="1"/>
  <c r="T31" i="1"/>
  <c r="U31" i="1"/>
  <c r="R52" i="1"/>
  <c r="S52" i="1"/>
  <c r="T52" i="1"/>
  <c r="U52" i="1"/>
  <c r="R258" i="1"/>
  <c r="S258" i="1"/>
  <c r="T258" i="1"/>
  <c r="U258" i="1"/>
  <c r="R87" i="1"/>
  <c r="S87" i="1"/>
  <c r="T87" i="1"/>
  <c r="U87" i="1"/>
  <c r="R270" i="1"/>
  <c r="S270" i="1"/>
  <c r="T270" i="1"/>
  <c r="U270" i="1"/>
  <c r="R215" i="1"/>
  <c r="S215" i="1"/>
  <c r="T215" i="1"/>
  <c r="U215" i="1"/>
  <c r="R219" i="1"/>
  <c r="S219" i="1"/>
  <c r="T219" i="1"/>
  <c r="U219" i="1"/>
  <c r="R124" i="1"/>
  <c r="S124" i="1"/>
  <c r="T124" i="1"/>
  <c r="U124" i="1"/>
  <c r="R313" i="1"/>
  <c r="S313" i="1"/>
  <c r="T313" i="1"/>
  <c r="U313" i="1"/>
  <c r="R157" i="1"/>
  <c r="S157" i="1"/>
  <c r="T157" i="1"/>
  <c r="U157" i="1"/>
  <c r="R186" i="1"/>
  <c r="S186" i="1"/>
  <c r="T186" i="1"/>
  <c r="U186" i="1"/>
  <c r="R187" i="1"/>
  <c r="S187" i="1"/>
  <c r="T187" i="1"/>
  <c r="U187" i="1"/>
  <c r="R57" i="1"/>
  <c r="S57" i="1"/>
  <c r="T57" i="1"/>
  <c r="U57" i="1"/>
  <c r="R163" i="1"/>
  <c r="S163" i="1"/>
  <c r="T163" i="1"/>
  <c r="U163" i="1"/>
  <c r="R71" i="1"/>
  <c r="S71" i="1"/>
  <c r="T71" i="1"/>
  <c r="U71" i="1"/>
  <c r="R289" i="1"/>
  <c r="S289" i="1"/>
  <c r="T289" i="1"/>
  <c r="U289" i="1"/>
  <c r="R252" i="1"/>
  <c r="S252" i="1"/>
  <c r="T252" i="1"/>
  <c r="U252" i="1"/>
  <c r="R331" i="1"/>
  <c r="S331" i="1"/>
  <c r="T331" i="1"/>
  <c r="U331" i="1"/>
  <c r="R42" i="1"/>
  <c r="S42" i="1"/>
  <c r="T42" i="1"/>
  <c r="U42" i="1"/>
  <c r="R227" i="1"/>
  <c r="S227" i="1"/>
  <c r="T227" i="1"/>
  <c r="U227" i="1"/>
  <c r="R212" i="1"/>
  <c r="S212" i="1"/>
  <c r="T212" i="1"/>
  <c r="U212" i="1"/>
  <c r="R4" i="1"/>
  <c r="S4" i="1"/>
  <c r="T4" i="1"/>
  <c r="U4" i="1"/>
  <c r="R174" i="1"/>
  <c r="S174" i="1"/>
  <c r="T174" i="1"/>
  <c r="U174" i="1"/>
  <c r="R178" i="1"/>
  <c r="S178" i="1"/>
  <c r="T178" i="1"/>
  <c r="U178" i="1"/>
  <c r="R177" i="1"/>
  <c r="S177" i="1"/>
  <c r="T177" i="1"/>
  <c r="U177" i="1"/>
  <c r="R97" i="1"/>
  <c r="S97" i="1"/>
  <c r="T97" i="1"/>
  <c r="U97" i="1"/>
  <c r="R319" i="1"/>
  <c r="S319" i="1"/>
  <c r="T319" i="1"/>
  <c r="U319" i="1"/>
  <c r="R113" i="1"/>
  <c r="S113" i="1"/>
  <c r="T113" i="1"/>
  <c r="U113" i="1"/>
  <c r="R305" i="1"/>
  <c r="S305" i="1"/>
  <c r="T305" i="1"/>
  <c r="U305" i="1"/>
  <c r="R189" i="1"/>
  <c r="S189" i="1"/>
  <c r="T189" i="1"/>
  <c r="U189" i="1"/>
  <c r="R279" i="1"/>
  <c r="S279" i="1"/>
  <c r="T279" i="1"/>
  <c r="U279" i="1"/>
  <c r="R288" i="1"/>
  <c r="S288" i="1"/>
  <c r="T288" i="1"/>
  <c r="U288" i="1"/>
  <c r="R280" i="1"/>
  <c r="S280" i="1"/>
  <c r="T280" i="1"/>
  <c r="U280" i="1"/>
  <c r="R217" i="1"/>
  <c r="S217" i="1"/>
  <c r="T217" i="1"/>
  <c r="U217" i="1"/>
  <c r="R244" i="1"/>
  <c r="S244" i="1"/>
  <c r="T244" i="1"/>
  <c r="U244" i="1"/>
  <c r="R41" i="1"/>
  <c r="S41" i="1"/>
  <c r="T41" i="1"/>
  <c r="U41" i="1"/>
  <c r="R170" i="1"/>
  <c r="S170" i="1"/>
  <c r="T170" i="1"/>
  <c r="U170" i="1"/>
  <c r="R172" i="1"/>
  <c r="S172" i="1"/>
  <c r="T172" i="1"/>
  <c r="U172" i="1"/>
  <c r="R173" i="1"/>
  <c r="S173" i="1"/>
  <c r="T173" i="1"/>
  <c r="U173" i="1"/>
  <c r="R9" i="1"/>
  <c r="S9" i="1"/>
  <c r="T9" i="1"/>
  <c r="U9" i="1"/>
  <c r="R6" i="1"/>
  <c r="S6" i="1"/>
  <c r="T6" i="1"/>
  <c r="U6" i="1"/>
  <c r="R64" i="1"/>
  <c r="S64" i="1"/>
  <c r="T64" i="1"/>
  <c r="U64" i="1"/>
  <c r="R141" i="1"/>
  <c r="S141" i="1"/>
  <c r="T141" i="1"/>
  <c r="U141" i="1"/>
  <c r="R139" i="1"/>
  <c r="S139" i="1"/>
  <c r="T139" i="1"/>
  <c r="U139" i="1"/>
  <c r="R142" i="1"/>
  <c r="S142" i="1"/>
  <c r="T142" i="1"/>
  <c r="U142" i="1"/>
  <c r="R147" i="1"/>
  <c r="S147" i="1"/>
  <c r="T147" i="1"/>
  <c r="U147" i="1"/>
  <c r="R146" i="1"/>
  <c r="S146" i="1"/>
  <c r="T146" i="1"/>
  <c r="U146" i="1"/>
  <c r="R238" i="1"/>
  <c r="S238" i="1"/>
  <c r="T238" i="1"/>
  <c r="U238" i="1"/>
  <c r="R143" i="1"/>
  <c r="S143" i="1"/>
  <c r="T143" i="1"/>
  <c r="U143" i="1"/>
  <c r="R318" i="1"/>
  <c r="S318" i="1"/>
  <c r="T318" i="1"/>
  <c r="U318" i="1"/>
  <c r="R284" i="1"/>
  <c r="S284" i="1"/>
  <c r="T284" i="1"/>
  <c r="U284" i="1"/>
  <c r="R286" i="1"/>
  <c r="S286" i="1"/>
  <c r="T286" i="1"/>
  <c r="U286" i="1"/>
  <c r="R283" i="1"/>
  <c r="S283" i="1"/>
  <c r="T283" i="1"/>
  <c r="U283" i="1"/>
  <c r="R281" i="1"/>
  <c r="S281" i="1"/>
  <c r="T281" i="1"/>
  <c r="U281" i="1"/>
  <c r="R193" i="1"/>
  <c r="S193" i="1"/>
  <c r="T193" i="1"/>
  <c r="U193" i="1"/>
  <c r="R297" i="1"/>
  <c r="S297" i="1"/>
  <c r="T297" i="1"/>
  <c r="U297" i="1"/>
  <c r="R101" i="1"/>
  <c r="S101" i="1"/>
  <c r="T101" i="1"/>
  <c r="U101" i="1"/>
  <c r="R33" i="1"/>
  <c r="S33" i="1"/>
  <c r="T33" i="1"/>
  <c r="U33" i="1"/>
  <c r="R84" i="1"/>
  <c r="S84" i="1"/>
  <c r="T84" i="1"/>
  <c r="U84" i="1"/>
  <c r="R195" i="1"/>
  <c r="S195" i="1"/>
  <c r="T195" i="1"/>
  <c r="U195" i="1"/>
  <c r="R80" i="1"/>
  <c r="S80" i="1"/>
  <c r="T80" i="1"/>
  <c r="U80" i="1"/>
  <c r="R209" i="1"/>
  <c r="S209" i="1"/>
  <c r="T209" i="1"/>
  <c r="U209" i="1"/>
  <c r="R249" i="1"/>
  <c r="S249" i="1"/>
  <c r="T249" i="1"/>
  <c r="U249" i="1"/>
  <c r="R145" i="1"/>
  <c r="S145" i="1"/>
  <c r="T145" i="1"/>
  <c r="U145" i="1"/>
  <c r="R140" i="1"/>
  <c r="S140" i="1"/>
  <c r="T140" i="1"/>
  <c r="U140" i="1"/>
  <c r="R138" i="1"/>
  <c r="S138" i="1"/>
  <c r="T138" i="1"/>
  <c r="U138" i="1"/>
  <c r="R137" i="1"/>
  <c r="S137" i="1"/>
  <c r="T137" i="1"/>
  <c r="U137" i="1"/>
  <c r="R234" i="1"/>
  <c r="S234" i="1"/>
  <c r="T234" i="1"/>
  <c r="U234" i="1"/>
  <c r="R162" i="1"/>
  <c r="S162" i="1"/>
  <c r="T162" i="1"/>
  <c r="U162" i="1"/>
  <c r="R161" i="1"/>
  <c r="S161" i="1"/>
  <c r="T161" i="1"/>
  <c r="U161" i="1"/>
  <c r="R164" i="1"/>
  <c r="S164" i="1"/>
  <c r="T164" i="1"/>
  <c r="U164" i="1"/>
  <c r="R165" i="1"/>
  <c r="S165" i="1"/>
  <c r="T165" i="1"/>
  <c r="U165" i="1"/>
  <c r="R198" i="1"/>
  <c r="S198" i="1"/>
  <c r="T198" i="1"/>
  <c r="U198" i="1"/>
  <c r="R235" i="1"/>
  <c r="S235" i="1"/>
  <c r="T235" i="1"/>
  <c r="U235" i="1"/>
  <c r="R199" i="1"/>
  <c r="S199" i="1"/>
  <c r="T199" i="1"/>
  <c r="U199" i="1"/>
  <c r="R200" i="1"/>
  <c r="S200" i="1"/>
  <c r="T200" i="1"/>
  <c r="U200" i="1"/>
  <c r="R236" i="1"/>
  <c r="S236" i="1"/>
  <c r="T236" i="1"/>
  <c r="U236" i="1"/>
  <c r="R43" i="1"/>
  <c r="S43" i="1"/>
  <c r="T43" i="1"/>
  <c r="U43" i="1"/>
  <c r="R44" i="1"/>
  <c r="S44" i="1"/>
  <c r="T44" i="1"/>
  <c r="U44" i="1"/>
  <c r="R48" i="1"/>
  <c r="S48" i="1"/>
  <c r="T48" i="1"/>
  <c r="U48" i="1"/>
  <c r="R46" i="1"/>
  <c r="S46" i="1"/>
  <c r="T46" i="1"/>
  <c r="U46" i="1"/>
  <c r="R37" i="1"/>
  <c r="S37" i="1"/>
  <c r="T37" i="1"/>
  <c r="U37" i="1"/>
  <c r="R47" i="1"/>
  <c r="S47" i="1"/>
  <c r="T47" i="1"/>
  <c r="U47" i="1"/>
  <c r="R148" i="1"/>
  <c r="S148" i="1"/>
  <c r="T148" i="1"/>
  <c r="U148" i="1"/>
  <c r="R35" i="1"/>
  <c r="S35" i="1"/>
  <c r="T35" i="1"/>
  <c r="U35" i="1"/>
  <c r="R191" i="1"/>
  <c r="S191" i="1"/>
  <c r="T191" i="1"/>
  <c r="U191" i="1"/>
  <c r="R12" i="1"/>
  <c r="S12" i="1"/>
  <c r="T12" i="1"/>
  <c r="U12" i="1"/>
  <c r="R333" i="1"/>
  <c r="S333" i="1"/>
  <c r="T333" i="1"/>
  <c r="U333" i="1"/>
  <c r="R39" i="1"/>
  <c r="S39" i="1"/>
  <c r="T39" i="1"/>
  <c r="U39" i="1"/>
  <c r="R316" i="1"/>
  <c r="S316" i="1"/>
  <c r="T316" i="1"/>
  <c r="U316" i="1"/>
  <c r="R251" i="1"/>
  <c r="S251" i="1"/>
  <c r="T251" i="1"/>
  <c r="U251" i="1"/>
  <c r="R62" i="1"/>
  <c r="S62" i="1"/>
  <c r="T62" i="1"/>
  <c r="U62" i="1"/>
  <c r="R60" i="1"/>
  <c r="S60" i="1"/>
  <c r="T60" i="1"/>
  <c r="U60" i="1"/>
  <c r="R74" i="1"/>
  <c r="S74" i="1"/>
  <c r="T74" i="1"/>
  <c r="U74" i="1"/>
  <c r="R295" i="1"/>
  <c r="S295" i="1"/>
  <c r="T295" i="1"/>
  <c r="U295" i="1"/>
  <c r="R153" i="1"/>
  <c r="S153" i="1"/>
  <c r="T153" i="1"/>
  <c r="U153" i="1"/>
  <c r="R154" i="1"/>
  <c r="S154" i="1"/>
  <c r="T154" i="1"/>
  <c r="U154" i="1"/>
  <c r="R150" i="1"/>
  <c r="S150" i="1"/>
  <c r="T150" i="1"/>
  <c r="U150" i="1"/>
  <c r="R152" i="1"/>
  <c r="S152" i="1"/>
  <c r="T152" i="1"/>
  <c r="U152" i="1"/>
  <c r="R335" i="1"/>
  <c r="S335" i="1"/>
  <c r="T335" i="1"/>
  <c r="U335" i="1"/>
  <c r="R206" i="1"/>
  <c r="S206" i="1"/>
  <c r="T206" i="1"/>
  <c r="U206" i="1"/>
  <c r="R151" i="1"/>
  <c r="S151" i="1"/>
  <c r="T151" i="1"/>
  <c r="U151" i="1"/>
  <c r="R211" i="1"/>
  <c r="S211" i="1"/>
  <c r="T211" i="1"/>
  <c r="U211" i="1"/>
  <c r="R54" i="1"/>
  <c r="S54" i="1"/>
  <c r="T54" i="1"/>
  <c r="U54" i="1"/>
  <c r="R213" i="1"/>
  <c r="S213" i="1"/>
  <c r="T213" i="1"/>
  <c r="U213" i="1"/>
  <c r="R267" i="1"/>
  <c r="S267" i="1"/>
  <c r="T267" i="1"/>
  <c r="U267" i="1"/>
  <c r="R232" i="1"/>
  <c r="S232" i="1"/>
  <c r="T232" i="1"/>
  <c r="U232" i="1"/>
  <c r="R303" i="1"/>
  <c r="S303" i="1"/>
  <c r="T303" i="1"/>
  <c r="U303" i="1"/>
  <c r="R221" i="1"/>
  <c r="S221" i="1"/>
  <c r="T221" i="1"/>
  <c r="U221" i="1"/>
  <c r="R123" i="1"/>
  <c r="S123" i="1"/>
  <c r="T123" i="1"/>
  <c r="U123" i="1"/>
  <c r="R271" i="1"/>
  <c r="S271" i="1"/>
  <c r="T271" i="1"/>
  <c r="U271" i="1"/>
  <c r="R228" i="1"/>
  <c r="S228" i="1"/>
  <c r="T228" i="1"/>
  <c r="U228" i="1"/>
  <c r="R256" i="1"/>
  <c r="S256" i="1"/>
  <c r="T256" i="1"/>
  <c r="U256" i="1"/>
  <c r="R257" i="1"/>
  <c r="S257" i="1"/>
  <c r="T257" i="1"/>
  <c r="U257" i="1"/>
  <c r="R263" i="1"/>
  <c r="S263" i="1"/>
  <c r="T263" i="1"/>
  <c r="U263" i="1"/>
  <c r="R264" i="1"/>
  <c r="S264" i="1"/>
  <c r="T264" i="1"/>
  <c r="U264" i="1"/>
  <c r="R265" i="1"/>
  <c r="S265" i="1"/>
  <c r="T265" i="1"/>
  <c r="U265" i="1"/>
  <c r="R81" i="1"/>
  <c r="S81" i="1"/>
  <c r="T81" i="1"/>
  <c r="U81" i="1"/>
  <c r="R108" i="1"/>
  <c r="S108" i="1"/>
  <c r="T108" i="1"/>
  <c r="U108" i="1"/>
  <c r="R107" i="1"/>
  <c r="S107" i="1"/>
  <c r="T107" i="1"/>
  <c r="U107" i="1"/>
  <c r="R176" i="1"/>
  <c r="S176" i="1"/>
  <c r="T176" i="1"/>
  <c r="U176" i="1"/>
  <c r="R325" i="1"/>
  <c r="S325" i="1"/>
  <c r="T325" i="1"/>
  <c r="U325" i="1"/>
  <c r="R59" i="1"/>
  <c r="S59" i="1"/>
  <c r="T59" i="1"/>
  <c r="U59" i="1"/>
  <c r="R61" i="1"/>
  <c r="S61" i="1"/>
  <c r="T61" i="1"/>
  <c r="U61" i="1"/>
  <c r="R58" i="1"/>
  <c r="S58" i="1"/>
  <c r="T58" i="1"/>
  <c r="U58" i="1"/>
  <c r="R125" i="1"/>
  <c r="S125" i="1"/>
  <c r="T125" i="1"/>
  <c r="U125" i="1"/>
  <c r="R86" i="1"/>
  <c r="S86" i="1"/>
  <c r="T86" i="1"/>
  <c r="U86" i="1"/>
  <c r="R88" i="1"/>
  <c r="S88" i="1"/>
  <c r="T88" i="1"/>
  <c r="U88" i="1"/>
  <c r="R76" i="1"/>
  <c r="S76" i="1"/>
  <c r="T76" i="1"/>
  <c r="U76" i="1"/>
  <c r="R75" i="1"/>
  <c r="S75" i="1"/>
  <c r="T75" i="1"/>
  <c r="U75" i="1"/>
  <c r="R127" i="1"/>
  <c r="S127" i="1"/>
  <c r="T127" i="1"/>
  <c r="U127" i="1"/>
  <c r="R91" i="1"/>
  <c r="S91" i="1"/>
  <c r="T91" i="1"/>
  <c r="U91" i="1"/>
  <c r="R204" i="1"/>
  <c r="S204" i="1"/>
  <c r="T204" i="1"/>
  <c r="U204" i="1"/>
  <c r="R156" i="1"/>
  <c r="S156" i="1"/>
  <c r="T156" i="1"/>
  <c r="U156" i="1"/>
  <c r="R225" i="1"/>
  <c r="S225" i="1"/>
  <c r="T225" i="1"/>
  <c r="U225" i="1"/>
  <c r="R126" i="1"/>
  <c r="S126" i="1"/>
  <c r="T126" i="1"/>
  <c r="U126" i="1"/>
  <c r="R122" i="1"/>
  <c r="S122" i="1"/>
  <c r="T122" i="1"/>
  <c r="U122" i="1"/>
  <c r="R135" i="1"/>
  <c r="S135" i="1"/>
  <c r="T135" i="1"/>
  <c r="U135" i="1"/>
  <c r="R292" i="1"/>
  <c r="S292" i="1"/>
  <c r="T292" i="1"/>
  <c r="U292" i="1"/>
  <c r="R220" i="1"/>
  <c r="S220" i="1"/>
  <c r="T220" i="1"/>
  <c r="U220" i="1"/>
  <c r="R223" i="1"/>
  <c r="S223" i="1"/>
  <c r="T223" i="1"/>
  <c r="U223" i="1"/>
  <c r="R285" i="1"/>
  <c r="S285" i="1"/>
  <c r="T285" i="1"/>
  <c r="U285" i="1"/>
  <c r="R179" i="1"/>
  <c r="S179" i="1"/>
  <c r="T179" i="1"/>
  <c r="U179" i="1"/>
  <c r="R106" i="1"/>
  <c r="S106" i="1"/>
  <c r="T106" i="1"/>
  <c r="U106" i="1"/>
  <c r="R181" i="1"/>
  <c r="S181" i="1"/>
  <c r="T181" i="1"/>
  <c r="U181" i="1"/>
  <c r="R282" i="1"/>
  <c r="S282" i="1"/>
  <c r="T282" i="1"/>
  <c r="U282" i="1"/>
  <c r="R188" i="1"/>
  <c r="S188" i="1"/>
  <c r="T188" i="1"/>
  <c r="U188" i="1"/>
  <c r="R311" i="1"/>
  <c r="S311" i="1"/>
  <c r="T311" i="1"/>
  <c r="U311" i="1"/>
  <c r="R310" i="1"/>
  <c r="S310" i="1"/>
  <c r="T310" i="1"/>
  <c r="U310" i="1"/>
  <c r="R2" i="1"/>
  <c r="S2" i="1"/>
  <c r="T2" i="1"/>
  <c r="U2" i="1"/>
  <c r="R308" i="1"/>
  <c r="S308" i="1"/>
  <c r="T308" i="1"/>
  <c r="U308" i="1"/>
  <c r="R112" i="1"/>
  <c r="S112" i="1"/>
  <c r="T112" i="1"/>
  <c r="U112" i="1"/>
  <c r="R110" i="1"/>
  <c r="S110" i="1"/>
  <c r="T110" i="1"/>
  <c r="U110" i="1"/>
  <c r="R320" i="1"/>
  <c r="S320" i="1"/>
  <c r="T320" i="1"/>
  <c r="U320" i="1"/>
  <c r="R196" i="1"/>
  <c r="S196" i="1"/>
  <c r="T196" i="1"/>
  <c r="U196" i="1"/>
  <c r="R82" i="1"/>
  <c r="S82" i="1"/>
  <c r="T82" i="1"/>
  <c r="U82" i="1"/>
  <c r="R104" i="1"/>
  <c r="S104" i="1"/>
  <c r="T104" i="1"/>
  <c r="U104" i="1"/>
  <c r="R329" i="1"/>
  <c r="S329" i="1"/>
  <c r="T329" i="1"/>
  <c r="U329" i="1"/>
  <c r="R102" i="1"/>
  <c r="S102" i="1"/>
  <c r="T102" i="1"/>
  <c r="U102" i="1"/>
  <c r="R321" i="1"/>
  <c r="S321" i="1"/>
  <c r="T321" i="1"/>
  <c r="U321" i="1"/>
  <c r="R111" i="1"/>
  <c r="S111" i="1"/>
  <c r="T111" i="1"/>
  <c r="U111" i="1"/>
  <c r="R309" i="1"/>
  <c r="S309" i="1"/>
  <c r="T309" i="1"/>
  <c r="U309" i="1"/>
  <c r="R247" i="1"/>
  <c r="S247" i="1"/>
  <c r="T247" i="1"/>
  <c r="U247" i="1"/>
  <c r="R254" i="1"/>
  <c r="S254" i="1"/>
  <c r="T254" i="1"/>
  <c r="U254" i="1"/>
  <c r="R99" i="1"/>
  <c r="S99" i="1"/>
  <c r="T99" i="1"/>
  <c r="U99" i="1"/>
  <c r="R98" i="1"/>
  <c r="S98" i="1"/>
  <c r="T98" i="1"/>
  <c r="U98" i="1"/>
  <c r="R293" i="1"/>
  <c r="S293" i="1"/>
  <c r="T293" i="1"/>
  <c r="U293" i="1"/>
  <c r="R55" i="1"/>
  <c r="S55" i="1"/>
  <c r="T55" i="1"/>
  <c r="U55" i="1"/>
  <c r="R67" i="1"/>
  <c r="S67" i="1"/>
  <c r="T67" i="1"/>
  <c r="U67" i="1"/>
  <c r="R327" i="1"/>
  <c r="S327" i="1"/>
  <c r="T327" i="1"/>
  <c r="U327" i="1"/>
  <c r="R69" i="1"/>
  <c r="S69" i="1"/>
  <c r="T69" i="1"/>
  <c r="U69" i="1"/>
  <c r="R322" i="1"/>
  <c r="S322" i="1"/>
  <c r="T322" i="1"/>
  <c r="U322" i="1"/>
  <c r="R72" i="1"/>
  <c r="S72" i="1"/>
  <c r="T72" i="1"/>
  <c r="U72" i="1"/>
  <c r="R298" i="1"/>
  <c r="S298" i="1"/>
  <c r="T298" i="1"/>
  <c r="U298" i="1"/>
  <c r="R259" i="1"/>
  <c r="S259" i="1"/>
  <c r="T259" i="1"/>
  <c r="U259" i="1"/>
  <c r="R241" i="1"/>
  <c r="S241" i="1"/>
  <c r="T241" i="1"/>
  <c r="U241" i="1"/>
  <c r="R45" i="1"/>
  <c r="S45" i="1"/>
  <c r="T45" i="1"/>
  <c r="U45" i="1"/>
  <c r="R276" i="1"/>
  <c r="S276" i="1"/>
  <c r="T276" i="1"/>
  <c r="U276" i="1"/>
  <c r="R114" i="1"/>
  <c r="S114" i="1"/>
  <c r="T114" i="1"/>
  <c r="U114" i="1"/>
  <c r="R10" i="1"/>
  <c r="S10" i="1"/>
  <c r="T10" i="1"/>
  <c r="U10" i="1"/>
  <c r="R277" i="1"/>
  <c r="S277" i="1"/>
  <c r="T277" i="1"/>
  <c r="U277" i="1"/>
  <c r="R93" i="1"/>
  <c r="S93" i="1"/>
  <c r="T93" i="1"/>
  <c r="U93" i="1"/>
  <c r="R90" i="1"/>
  <c r="S90" i="1"/>
  <c r="T90" i="1"/>
  <c r="U90" i="1"/>
  <c r="R307" i="1"/>
  <c r="S307" i="1"/>
  <c r="T307" i="1"/>
  <c r="U307" i="1"/>
  <c r="R207" i="1"/>
  <c r="S207" i="1"/>
  <c r="T207" i="1"/>
  <c r="U207" i="1"/>
  <c r="R231" i="1"/>
  <c r="S231" i="1"/>
  <c r="T231" i="1"/>
  <c r="U231" i="1"/>
  <c r="R334" i="1"/>
  <c r="S334" i="1"/>
  <c r="T334" i="1"/>
  <c r="U334" i="1"/>
  <c r="R302" i="1"/>
  <c r="S302" i="1"/>
  <c r="T302" i="1"/>
  <c r="U302" i="1"/>
  <c r="R301" i="1"/>
  <c r="S301" i="1"/>
  <c r="T301" i="1"/>
  <c r="U301" i="1"/>
  <c r="R129" i="1"/>
  <c r="S129" i="1"/>
  <c r="T129" i="1"/>
  <c r="U129" i="1"/>
  <c r="R134" i="1"/>
  <c r="S134" i="1"/>
  <c r="T134" i="1"/>
  <c r="U134" i="1"/>
  <c r="R132" i="1"/>
  <c r="S132" i="1"/>
  <c r="T132" i="1"/>
  <c r="U132" i="1"/>
  <c r="R133" i="1"/>
  <c r="S133" i="1"/>
  <c r="T133" i="1"/>
  <c r="U133" i="1"/>
  <c r="R95" i="1"/>
  <c r="S95" i="1"/>
  <c r="T95" i="1"/>
  <c r="U95" i="1"/>
  <c r="R131" i="1"/>
  <c r="S131" i="1"/>
  <c r="T131" i="1"/>
  <c r="U131" i="1"/>
  <c r="R224" i="1"/>
  <c r="S224" i="1"/>
  <c r="T224" i="1"/>
  <c r="U224" i="1"/>
  <c r="R117" i="1"/>
  <c r="S117" i="1"/>
  <c r="T117" i="1"/>
  <c r="U117" i="1"/>
  <c r="R7" i="1"/>
  <c r="S7" i="1"/>
  <c r="T7" i="1"/>
  <c r="U7" i="1"/>
  <c r="R92" i="1"/>
  <c r="S92" i="1"/>
  <c r="T92" i="1"/>
  <c r="U92" i="1"/>
  <c r="R159" i="1"/>
  <c r="S159" i="1"/>
  <c r="T159" i="1"/>
  <c r="U159" i="1"/>
  <c r="R323" i="1"/>
  <c r="S323" i="1"/>
  <c r="T323" i="1"/>
  <c r="U323" i="1"/>
  <c r="R5" i="1"/>
  <c r="S5" i="1"/>
  <c r="T5" i="1"/>
  <c r="U5" i="1"/>
  <c r="R185" i="1"/>
  <c r="S185" i="1"/>
  <c r="T185" i="1"/>
  <c r="U185" i="1"/>
  <c r="R262" i="1"/>
  <c r="S262" i="1"/>
  <c r="T262" i="1"/>
  <c r="U262" i="1"/>
  <c r="R130" i="1"/>
  <c r="S130" i="1"/>
  <c r="T130" i="1"/>
  <c r="U130" i="1"/>
  <c r="U183" i="1"/>
  <c r="T183" i="1"/>
  <c r="R183" i="1"/>
  <c r="S183" i="1"/>
  <c r="G116" i="1"/>
  <c r="P116" i="1" s="1"/>
  <c r="G118" i="1"/>
  <c r="P118" i="1" s="1"/>
  <c r="G117" i="1"/>
  <c r="P117" i="1" s="1"/>
  <c r="G124" i="1"/>
  <c r="Q124" i="1" s="1"/>
  <c r="G123" i="1"/>
  <c r="P123" i="1" s="1"/>
  <c r="G125" i="1"/>
  <c r="Q125" i="1" s="1"/>
  <c r="G127" i="1"/>
  <c r="P127" i="1" s="1"/>
  <c r="G126" i="1"/>
  <c r="Q126" i="1" s="1"/>
  <c r="G122" i="1"/>
  <c r="P122" i="1" s="1"/>
  <c r="G135" i="1"/>
  <c r="Q135" i="1" s="1"/>
  <c r="G129" i="1"/>
  <c r="P129" i="1" s="1"/>
  <c r="G134" i="1"/>
  <c r="P134" i="1" s="1"/>
  <c r="G132" i="1"/>
  <c r="P132" i="1" s="1"/>
  <c r="G133" i="1"/>
  <c r="P133" i="1" s="1"/>
  <c r="G131" i="1"/>
  <c r="P131" i="1" s="1"/>
  <c r="G130" i="1"/>
  <c r="P130" i="1" s="1"/>
  <c r="G144" i="1"/>
  <c r="P144" i="1" s="1"/>
  <c r="G141" i="1"/>
  <c r="Q141" i="1" s="1"/>
  <c r="G139" i="1"/>
  <c r="P139" i="1" s="1"/>
  <c r="G142" i="1"/>
  <c r="Q142" i="1" s="1"/>
  <c r="G147" i="1"/>
  <c r="P147" i="1" s="1"/>
  <c r="G146" i="1"/>
  <c r="Q146" i="1" s="1"/>
  <c r="G143" i="1"/>
  <c r="P143" i="1" s="1"/>
  <c r="G145" i="1"/>
  <c r="Q145" i="1" s="1"/>
  <c r="G140" i="1"/>
  <c r="P140" i="1" s="1"/>
  <c r="G138" i="1"/>
  <c r="Q138" i="1" s="1"/>
  <c r="G137" i="1"/>
  <c r="P137" i="1" s="1"/>
  <c r="G148" i="1"/>
  <c r="P148" i="1" s="1"/>
  <c r="G153" i="1"/>
  <c r="P153" i="1" s="1"/>
  <c r="G154" i="1"/>
  <c r="G150" i="1"/>
  <c r="Q150" i="1" s="1"/>
  <c r="G152" i="1"/>
  <c r="P152" i="1" s="1"/>
  <c r="G151" i="1"/>
  <c r="Q151" i="1" s="1"/>
  <c r="G156" i="1"/>
  <c r="G157" i="1"/>
  <c r="Q157" i="1" s="1"/>
  <c r="G159" i="1"/>
  <c r="P159" i="1" s="1"/>
  <c r="G163" i="1"/>
  <c r="Q163" i="1" s="1"/>
  <c r="G162" i="1"/>
  <c r="G161" i="1"/>
  <c r="Q161" i="1" s="1"/>
  <c r="G164" i="1"/>
  <c r="P164" i="1" s="1"/>
  <c r="G165" i="1"/>
  <c r="Q165" i="1" s="1"/>
  <c r="G167" i="1"/>
  <c r="G169" i="1"/>
  <c r="Q169" i="1" s="1"/>
  <c r="G171" i="1"/>
  <c r="Q171" i="1" s="1"/>
  <c r="G174" i="1"/>
  <c r="Q174" i="1" s="1"/>
  <c r="G170" i="1"/>
  <c r="G172" i="1"/>
  <c r="Q172" i="1" s="1"/>
  <c r="G173" i="1"/>
  <c r="P173" i="1" s="1"/>
  <c r="G178" i="1"/>
  <c r="P178" i="1" s="1"/>
  <c r="G177" i="1"/>
  <c r="G176" i="1"/>
  <c r="Q176" i="1" s="1"/>
  <c r="G179" i="1"/>
  <c r="P179" i="1" s="1"/>
  <c r="G183" i="1"/>
  <c r="Q183" i="1" s="1"/>
  <c r="G189" i="1"/>
  <c r="G181" i="1"/>
  <c r="Q181" i="1" s="1"/>
  <c r="G188" i="1"/>
  <c r="P188" i="1" s="1"/>
  <c r="G195" i="1"/>
  <c r="Q195" i="1" s="1"/>
  <c r="G196" i="1"/>
  <c r="G201" i="1"/>
  <c r="Q201" i="1" s="1"/>
  <c r="G198" i="1"/>
  <c r="Q198" i="1" s="1"/>
  <c r="G199" i="1"/>
  <c r="Q199" i="1" s="1"/>
  <c r="G200" i="1"/>
  <c r="G203" i="1"/>
  <c r="Q203" i="1" s="1"/>
  <c r="G204" i="1"/>
  <c r="P204" i="1" s="1"/>
  <c r="G206" i="1"/>
  <c r="Q206" i="1" s="1"/>
  <c r="G207" i="1"/>
  <c r="G209" i="1"/>
  <c r="Q209" i="1" s="1"/>
  <c r="G215" i="1"/>
  <c r="P215" i="1" s="1"/>
  <c r="G212" i="1"/>
  <c r="Q212" i="1" s="1"/>
  <c r="G211" i="1"/>
  <c r="G213" i="1"/>
  <c r="Q213" i="1" s="1"/>
  <c r="G185" i="1"/>
  <c r="Q185" i="1" s="1"/>
  <c r="G217" i="1"/>
  <c r="G219" i="1"/>
  <c r="Q219" i="1" s="1"/>
  <c r="G221" i="1"/>
  <c r="P221" i="1" s="1"/>
  <c r="G225" i="1"/>
  <c r="Q225" i="1" s="1"/>
  <c r="G220" i="1"/>
  <c r="G223" i="1"/>
  <c r="Q223" i="1" s="1"/>
  <c r="G224" i="1"/>
  <c r="P224" i="1" s="1"/>
  <c r="G227" i="1"/>
  <c r="P227" i="1" s="1"/>
  <c r="G228" i="1"/>
  <c r="G232" i="1"/>
  <c r="P232" i="1" s="1"/>
  <c r="G231" i="1"/>
  <c r="P231" i="1" s="1"/>
  <c r="G238" i="1"/>
  <c r="G234" i="1"/>
  <c r="P234" i="1" s="1"/>
  <c r="G235" i="1"/>
  <c r="P235" i="1" s="1"/>
  <c r="G236" i="1"/>
  <c r="P236" i="1" s="1"/>
  <c r="G241" i="1"/>
  <c r="Q241" i="1" s="1"/>
  <c r="G245" i="1"/>
  <c r="P245" i="1" s="1"/>
  <c r="G243" i="1"/>
  <c r="P243" i="1" s="1"/>
  <c r="G244" i="1"/>
  <c r="P244" i="1" s="1"/>
  <c r="G247" i="1"/>
  <c r="Q247" i="1" s="1"/>
  <c r="G249" i="1"/>
  <c r="P249" i="1" s="1"/>
  <c r="G252" i="1"/>
  <c r="P252" i="1" s="1"/>
  <c r="G191" i="1"/>
  <c r="P191" i="1" s="1"/>
  <c r="G251" i="1"/>
  <c r="Q251" i="1" s="1"/>
  <c r="G254" i="1"/>
  <c r="P254" i="1" s="1"/>
  <c r="G258" i="1"/>
  <c r="Q258" i="1" s="1"/>
  <c r="G256" i="1"/>
  <c r="Q256" i="1" s="1"/>
  <c r="G257" i="1"/>
  <c r="P257" i="1" s="1"/>
  <c r="G259" i="1"/>
  <c r="Q259" i="1" s="1"/>
  <c r="G261" i="1"/>
  <c r="P261" i="1" s="1"/>
  <c r="G263" i="1"/>
  <c r="Q263" i="1" s="1"/>
  <c r="G264" i="1"/>
  <c r="P264" i="1" s="1"/>
  <c r="G265" i="1"/>
  <c r="P265" i="1" s="1"/>
  <c r="G262" i="1"/>
  <c r="Q262" i="1" s="1"/>
  <c r="G270" i="1"/>
  <c r="P270" i="1" s="1"/>
  <c r="G267" i="1"/>
  <c r="P267" i="1" s="1"/>
  <c r="G271" i="1"/>
  <c r="P271" i="1" s="1"/>
  <c r="G274" i="1"/>
  <c r="P274" i="1" s="1"/>
  <c r="G273" i="1"/>
  <c r="P273" i="1" s="1"/>
  <c r="G275" i="1"/>
  <c r="P275" i="1" s="1"/>
  <c r="G276" i="1"/>
  <c r="P276" i="1" s="1"/>
  <c r="G277" i="1"/>
  <c r="P277" i="1" s="1"/>
  <c r="G290" i="1"/>
  <c r="P290" i="1" s="1"/>
  <c r="G287" i="1"/>
  <c r="P287" i="1" s="1"/>
  <c r="G289" i="1"/>
  <c r="P289" i="1" s="1"/>
  <c r="G279" i="1"/>
  <c r="P279" i="1" s="1"/>
  <c r="G288" i="1"/>
  <c r="P288" i="1" s="1"/>
  <c r="G280" i="1"/>
  <c r="P280" i="1" s="1"/>
  <c r="G284" i="1"/>
  <c r="P284" i="1" s="1"/>
  <c r="G286" i="1"/>
  <c r="P286" i="1" s="1"/>
  <c r="G283" i="1"/>
  <c r="P283" i="1" s="1"/>
  <c r="G281" i="1"/>
  <c r="P281" i="1" s="1"/>
  <c r="G292" i="1"/>
  <c r="P292" i="1" s="1"/>
  <c r="G285" i="1"/>
  <c r="P285" i="1" s="1"/>
  <c r="G282" i="1"/>
  <c r="P282" i="1" s="1"/>
  <c r="G293" i="1"/>
  <c r="P293" i="1" s="1"/>
  <c r="G297" i="1"/>
  <c r="P297" i="1" s="1"/>
  <c r="G295" i="1"/>
  <c r="P295" i="1" s="1"/>
  <c r="G298" i="1"/>
  <c r="P298" i="1" s="1"/>
  <c r="G300" i="1"/>
  <c r="P300" i="1" s="1"/>
  <c r="G303" i="1"/>
  <c r="P303" i="1" s="1"/>
  <c r="G302" i="1"/>
  <c r="P302" i="1" s="1"/>
  <c r="G301" i="1"/>
  <c r="P301" i="1" s="1"/>
  <c r="G101" i="1"/>
  <c r="P101" i="1" s="1"/>
  <c r="G305" i="1"/>
  <c r="P305" i="1" s="1"/>
  <c r="G311" i="1"/>
  <c r="P311" i="1" s="1"/>
  <c r="G310" i="1"/>
  <c r="P310" i="1" s="1"/>
  <c r="G308" i="1"/>
  <c r="P308" i="1" s="1"/>
  <c r="G309" i="1"/>
  <c r="P309" i="1" s="1"/>
  <c r="G307" i="1"/>
  <c r="P307" i="1" s="1"/>
  <c r="G313" i="1"/>
  <c r="G314" i="1"/>
  <c r="P314" i="1" s="1"/>
  <c r="G316" i="1"/>
  <c r="P316" i="1" s="1"/>
  <c r="G318" i="1"/>
  <c r="P318" i="1" s="1"/>
  <c r="G319" i="1"/>
  <c r="Q319" i="1" s="1"/>
  <c r="G320" i="1"/>
  <c r="P320" i="1" s="1"/>
  <c r="G321" i="1"/>
  <c r="P321" i="1" s="1"/>
  <c r="G322" i="1"/>
  <c r="P322" i="1" s="1"/>
  <c r="G323" i="1"/>
  <c r="Q323" i="1" s="1"/>
  <c r="G325" i="1"/>
  <c r="Q325" i="1" s="1"/>
  <c r="G329" i="1"/>
  <c r="Q329" i="1" s="1"/>
  <c r="G327" i="1"/>
  <c r="Q327" i="1" s="1"/>
  <c r="G331" i="1"/>
  <c r="Q331" i="1" s="1"/>
  <c r="G333" i="1"/>
  <c r="Q333" i="1" s="1"/>
  <c r="G335" i="1"/>
  <c r="P335" i="1" s="1"/>
  <c r="G334" i="1"/>
  <c r="P334" i="1" s="1"/>
  <c r="I101" i="1" l="1"/>
  <c r="K101" i="1" s="1"/>
  <c r="M120" i="1"/>
  <c r="K229" i="1"/>
  <c r="M229" i="1" s="1"/>
  <c r="L269" i="1"/>
  <c r="M269" i="1" s="1"/>
  <c r="M182" i="1"/>
  <c r="L239" i="1"/>
  <c r="M239" i="1" s="1"/>
  <c r="L65" i="1"/>
  <c r="M65" i="1" s="1"/>
  <c r="I195" i="1"/>
  <c r="I267" i="1"/>
  <c r="K267" i="1" s="1"/>
  <c r="I154" i="1"/>
  <c r="I319" i="1"/>
  <c r="I298" i="1"/>
  <c r="K298" i="1" s="1"/>
  <c r="I325" i="1"/>
  <c r="I174" i="1"/>
  <c r="I289" i="1"/>
  <c r="K289" i="1" s="1"/>
  <c r="I146" i="1"/>
  <c r="I245" i="1"/>
  <c r="K245" i="1" s="1"/>
  <c r="J130" i="1"/>
  <c r="J262" i="1"/>
  <c r="L262" i="1" s="1"/>
  <c r="J185" i="1"/>
  <c r="L185" i="1" s="1"/>
  <c r="J323" i="1"/>
  <c r="L323" i="1" s="1"/>
  <c r="J159" i="1"/>
  <c r="J117" i="1"/>
  <c r="J224" i="1"/>
  <c r="J131" i="1"/>
  <c r="J133" i="1"/>
  <c r="J132" i="1"/>
  <c r="J134" i="1"/>
  <c r="J129" i="1"/>
  <c r="J301" i="1"/>
  <c r="J302" i="1"/>
  <c r="J334" i="1"/>
  <c r="J231" i="1"/>
  <c r="J207" i="1"/>
  <c r="J307" i="1"/>
  <c r="J277" i="1"/>
  <c r="J276" i="1"/>
  <c r="J241" i="1"/>
  <c r="L241" i="1" s="1"/>
  <c r="J259" i="1"/>
  <c r="L259" i="1" s="1"/>
  <c r="J298" i="1"/>
  <c r="J322" i="1"/>
  <c r="J327" i="1"/>
  <c r="L327" i="1" s="1"/>
  <c r="J293" i="1"/>
  <c r="J254" i="1"/>
  <c r="J247" i="1"/>
  <c r="L247" i="1" s="1"/>
  <c r="J309" i="1"/>
  <c r="J321" i="1"/>
  <c r="J329" i="1"/>
  <c r="L329" i="1" s="1"/>
  <c r="J196" i="1"/>
  <c r="J320" i="1"/>
  <c r="J308" i="1"/>
  <c r="J310" i="1"/>
  <c r="J311" i="1"/>
  <c r="J188" i="1"/>
  <c r="J282" i="1"/>
  <c r="J179" i="1"/>
  <c r="J220" i="1"/>
  <c r="J126" i="1"/>
  <c r="L126" i="1" s="1"/>
  <c r="J156" i="1"/>
  <c r="J204" i="1"/>
  <c r="J325" i="1"/>
  <c r="L325" i="1" s="1"/>
  <c r="J264" i="1"/>
  <c r="J333" i="1"/>
  <c r="L333" i="1" s="1"/>
  <c r="J200" i="1"/>
  <c r="J198" i="1"/>
  <c r="L198" i="1" s="1"/>
  <c r="J165" i="1"/>
  <c r="L165" i="1" s="1"/>
  <c r="J164" i="1"/>
  <c r="J161" i="1"/>
  <c r="L161" i="1" s="1"/>
  <c r="J162" i="1"/>
  <c r="J234" i="1"/>
  <c r="J137" i="1"/>
  <c r="J138" i="1"/>
  <c r="L138" i="1" s="1"/>
  <c r="J140" i="1"/>
  <c r="J145" i="1"/>
  <c r="L145" i="1" s="1"/>
  <c r="J249" i="1"/>
  <c r="J209" i="1"/>
  <c r="L209" i="1" s="1"/>
  <c r="J195" i="1"/>
  <c r="L195" i="1" s="1"/>
  <c r="J101" i="1"/>
  <c r="J297" i="1"/>
  <c r="J281" i="1"/>
  <c r="J283" i="1"/>
  <c r="J286" i="1"/>
  <c r="J284" i="1"/>
  <c r="J318" i="1"/>
  <c r="J143" i="1"/>
  <c r="J238" i="1"/>
  <c r="J146" i="1"/>
  <c r="L146" i="1" s="1"/>
  <c r="J147" i="1"/>
  <c r="J139" i="1"/>
  <c r="J141" i="1"/>
  <c r="L141" i="1" s="1"/>
  <c r="J173" i="1"/>
  <c r="J172" i="1"/>
  <c r="L172" i="1" s="1"/>
  <c r="J170" i="1"/>
  <c r="J244" i="1"/>
  <c r="J217" i="1"/>
  <c r="J280" i="1"/>
  <c r="J288" i="1"/>
  <c r="J279" i="1"/>
  <c r="J189" i="1"/>
  <c r="J305" i="1"/>
  <c r="J319" i="1"/>
  <c r="L319" i="1" s="1"/>
  <c r="J177" i="1"/>
  <c r="J178" i="1"/>
  <c r="J174" i="1"/>
  <c r="L174" i="1" s="1"/>
  <c r="J212" i="1"/>
  <c r="L212" i="1" s="1"/>
  <c r="J227" i="1"/>
  <c r="J331" i="1"/>
  <c r="L331" i="1" s="1"/>
  <c r="J252" i="1"/>
  <c r="J289" i="1"/>
  <c r="J163" i="1"/>
  <c r="L163" i="1" s="1"/>
  <c r="J157" i="1"/>
  <c r="L157" i="1" s="1"/>
  <c r="J313" i="1"/>
  <c r="J124" i="1"/>
  <c r="L124" i="1" s="1"/>
  <c r="J219" i="1"/>
  <c r="L219" i="1" s="1"/>
  <c r="J215" i="1"/>
  <c r="J270" i="1"/>
  <c r="J258" i="1"/>
  <c r="L258" i="1" s="1"/>
  <c r="J144" i="1"/>
  <c r="J118" i="1"/>
  <c r="J275" i="1"/>
  <c r="J300" i="1"/>
  <c r="J273" i="1"/>
  <c r="J287" i="1"/>
  <c r="J171" i="1"/>
  <c r="L171" i="1" s="1"/>
  <c r="J116" i="1"/>
  <c r="J167" i="1"/>
  <c r="J290" i="1"/>
  <c r="J243" i="1"/>
  <c r="J245" i="1"/>
  <c r="J169" i="1"/>
  <c r="L169" i="1" s="1"/>
  <c r="J314" i="1"/>
  <c r="J274" i="1"/>
  <c r="J201" i="1"/>
  <c r="L201" i="1" s="1"/>
  <c r="J261" i="1"/>
  <c r="I207" i="1"/>
  <c r="J203" i="1"/>
  <c r="L203" i="1" s="1"/>
  <c r="I224" i="1"/>
  <c r="K224" i="1" s="1"/>
  <c r="I133" i="1"/>
  <c r="K133" i="1" s="1"/>
  <c r="I231" i="1"/>
  <c r="K231" i="1" s="1"/>
  <c r="I247" i="1"/>
  <c r="I321" i="1"/>
  <c r="K321" i="1" s="1"/>
  <c r="I2" i="1"/>
  <c r="I311" i="1"/>
  <c r="K311" i="1" s="1"/>
  <c r="I282" i="1"/>
  <c r="K282" i="1" s="1"/>
  <c r="I223" i="1"/>
  <c r="I264" i="1"/>
  <c r="K264" i="1" s="1"/>
  <c r="I263" i="1"/>
  <c r="I221" i="1"/>
  <c r="K221" i="1" s="1"/>
  <c r="I213" i="1"/>
  <c r="I151" i="1"/>
  <c r="I333" i="1"/>
  <c r="I199" i="1"/>
  <c r="I161" i="1"/>
  <c r="I138" i="1"/>
  <c r="I249" i="1"/>
  <c r="K249" i="1" s="1"/>
  <c r="I284" i="1"/>
  <c r="K284" i="1" s="1"/>
  <c r="I143" i="1"/>
  <c r="K143" i="1" s="1"/>
  <c r="I139" i="1"/>
  <c r="K139" i="1" s="1"/>
  <c r="I244" i="1"/>
  <c r="K244" i="1" s="1"/>
  <c r="I288" i="1"/>
  <c r="K288" i="1" s="1"/>
  <c r="I189" i="1"/>
  <c r="I124" i="1"/>
  <c r="I118" i="1"/>
  <c r="K118" i="1" s="1"/>
  <c r="I287" i="1"/>
  <c r="K287" i="1" s="1"/>
  <c r="P206" i="1"/>
  <c r="P124" i="1"/>
  <c r="I241" i="1"/>
  <c r="I259" i="1"/>
  <c r="I322" i="1"/>
  <c r="K322" i="1" s="1"/>
  <c r="I327" i="1"/>
  <c r="I293" i="1"/>
  <c r="K293" i="1" s="1"/>
  <c r="I254" i="1"/>
  <c r="K254" i="1" s="1"/>
  <c r="I309" i="1"/>
  <c r="K309" i="1" s="1"/>
  <c r="I329" i="1"/>
  <c r="I196" i="1"/>
  <c r="I320" i="1"/>
  <c r="K320" i="1" s="1"/>
  <c r="I308" i="1"/>
  <c r="K308" i="1" s="1"/>
  <c r="I310" i="1"/>
  <c r="K310" i="1" s="1"/>
  <c r="I188" i="1"/>
  <c r="K188" i="1" s="1"/>
  <c r="I235" i="1"/>
  <c r="K235" i="1" s="1"/>
  <c r="I169" i="1"/>
  <c r="I314" i="1"/>
  <c r="K314" i="1" s="1"/>
  <c r="I274" i="1"/>
  <c r="K274" i="1" s="1"/>
  <c r="J142" i="1"/>
  <c r="L142" i="1" s="1"/>
  <c r="I130" i="1"/>
  <c r="K130" i="1" s="1"/>
  <c r="I262" i="1"/>
  <c r="I323" i="1"/>
  <c r="I159" i="1"/>
  <c r="K159" i="1" s="1"/>
  <c r="I117" i="1"/>
  <c r="K117" i="1" s="1"/>
  <c r="I132" i="1"/>
  <c r="K132" i="1" s="1"/>
  <c r="I134" i="1"/>
  <c r="K134" i="1" s="1"/>
  <c r="I129" i="1"/>
  <c r="K129" i="1" s="1"/>
  <c r="I301" i="1"/>
  <c r="K301" i="1" s="1"/>
  <c r="I277" i="1"/>
  <c r="K277" i="1" s="1"/>
  <c r="I276" i="1"/>
  <c r="K276" i="1" s="1"/>
  <c r="Q264" i="1"/>
  <c r="I181" i="1"/>
  <c r="I179" i="1"/>
  <c r="K179" i="1" s="1"/>
  <c r="I285" i="1"/>
  <c r="K285" i="1" s="1"/>
  <c r="I220" i="1"/>
  <c r="I292" i="1"/>
  <c r="K292" i="1" s="1"/>
  <c r="I119" i="1"/>
  <c r="I135" i="1"/>
  <c r="I122" i="1"/>
  <c r="K122" i="1" s="1"/>
  <c r="I126" i="1"/>
  <c r="I225" i="1"/>
  <c r="I156" i="1"/>
  <c r="I204" i="1"/>
  <c r="K204" i="1" s="1"/>
  <c r="I127" i="1"/>
  <c r="K127" i="1" s="1"/>
  <c r="I125" i="1"/>
  <c r="I176" i="1"/>
  <c r="I265" i="1"/>
  <c r="K265" i="1" s="1"/>
  <c r="I257" i="1"/>
  <c r="K257" i="1" s="1"/>
  <c r="I256" i="1"/>
  <c r="I228" i="1"/>
  <c r="I271" i="1"/>
  <c r="K271" i="1" s="1"/>
  <c r="I123" i="1"/>
  <c r="K123" i="1" s="1"/>
  <c r="I303" i="1"/>
  <c r="K303" i="1" s="1"/>
  <c r="I232" i="1"/>
  <c r="K232" i="1" s="1"/>
  <c r="I211" i="1"/>
  <c r="I206" i="1"/>
  <c r="I335" i="1"/>
  <c r="K335" i="1" s="1"/>
  <c r="I152" i="1"/>
  <c r="K152" i="1" s="1"/>
  <c r="I150" i="1"/>
  <c r="I153" i="1"/>
  <c r="K153" i="1" s="1"/>
  <c r="I295" i="1"/>
  <c r="K295" i="1" s="1"/>
  <c r="I251" i="1"/>
  <c r="I316" i="1"/>
  <c r="K316" i="1" s="1"/>
  <c r="I191" i="1"/>
  <c r="K191" i="1" s="1"/>
  <c r="I148" i="1"/>
  <c r="K148" i="1" s="1"/>
  <c r="I236" i="1"/>
  <c r="K236" i="1" s="1"/>
  <c r="I200" i="1"/>
  <c r="I198" i="1"/>
  <c r="I165" i="1"/>
  <c r="I164" i="1"/>
  <c r="K164" i="1" s="1"/>
  <c r="I162" i="1"/>
  <c r="I234" i="1"/>
  <c r="K234" i="1" s="1"/>
  <c r="I137" i="1"/>
  <c r="K137" i="1" s="1"/>
  <c r="I140" i="1"/>
  <c r="K140" i="1" s="1"/>
  <c r="I145" i="1"/>
  <c r="I209" i="1"/>
  <c r="I297" i="1"/>
  <c r="K297" i="1" s="1"/>
  <c r="I281" i="1"/>
  <c r="K281" i="1" s="1"/>
  <c r="I283" i="1"/>
  <c r="K283" i="1" s="1"/>
  <c r="I286" i="1"/>
  <c r="K286" i="1" s="1"/>
  <c r="I318" i="1"/>
  <c r="K318" i="1" s="1"/>
  <c r="I238" i="1"/>
  <c r="I147" i="1"/>
  <c r="K147" i="1" s="1"/>
  <c r="I142" i="1"/>
  <c r="I141" i="1"/>
  <c r="I173" i="1"/>
  <c r="K173" i="1" s="1"/>
  <c r="I172" i="1"/>
  <c r="I170" i="1"/>
  <c r="I217" i="1"/>
  <c r="I280" i="1"/>
  <c r="K280" i="1" s="1"/>
  <c r="I279" i="1"/>
  <c r="K279" i="1" s="1"/>
  <c r="I305" i="1"/>
  <c r="K305" i="1" s="1"/>
  <c r="I177" i="1"/>
  <c r="I178" i="1"/>
  <c r="K178" i="1" s="1"/>
  <c r="I212" i="1"/>
  <c r="I227" i="1"/>
  <c r="K227" i="1" s="1"/>
  <c r="I331" i="1"/>
  <c r="I252" i="1"/>
  <c r="K252" i="1" s="1"/>
  <c r="I163" i="1"/>
  <c r="I157" i="1"/>
  <c r="I313" i="1"/>
  <c r="I219" i="1"/>
  <c r="I215" i="1"/>
  <c r="K215" i="1" s="1"/>
  <c r="I270" i="1"/>
  <c r="K270" i="1" s="1"/>
  <c r="I258" i="1"/>
  <c r="I144" i="1"/>
  <c r="K144" i="1" s="1"/>
  <c r="I275" i="1"/>
  <c r="K275" i="1" s="1"/>
  <c r="I300" i="1"/>
  <c r="K300" i="1" s="1"/>
  <c r="I273" i="1"/>
  <c r="K273" i="1" s="1"/>
  <c r="I171" i="1"/>
  <c r="I116" i="1"/>
  <c r="K116" i="1" s="1"/>
  <c r="I167" i="1"/>
  <c r="I290" i="1"/>
  <c r="K290" i="1" s="1"/>
  <c r="I243" i="1"/>
  <c r="K243" i="1" s="1"/>
  <c r="I131" i="1"/>
  <c r="K131" i="1" s="1"/>
  <c r="I307" i="1"/>
  <c r="K307" i="1" s="1"/>
  <c r="J181" i="1"/>
  <c r="L181" i="1" s="1"/>
  <c r="J285" i="1"/>
  <c r="J223" i="1"/>
  <c r="L223" i="1" s="1"/>
  <c r="J292" i="1"/>
  <c r="J119" i="1"/>
  <c r="L119" i="1" s="1"/>
  <c r="J135" i="1"/>
  <c r="L135" i="1" s="1"/>
  <c r="J122" i="1"/>
  <c r="J225" i="1"/>
  <c r="L225" i="1" s="1"/>
  <c r="J127" i="1"/>
  <c r="J125" i="1"/>
  <c r="L125" i="1" s="1"/>
  <c r="J176" i="1"/>
  <c r="L176" i="1" s="1"/>
  <c r="J265" i="1"/>
  <c r="J263" i="1"/>
  <c r="L263" i="1" s="1"/>
  <c r="J257" i="1"/>
  <c r="J256" i="1"/>
  <c r="L256" i="1" s="1"/>
  <c r="J228" i="1"/>
  <c r="J271" i="1"/>
  <c r="J123" i="1"/>
  <c r="J221" i="1"/>
  <c r="J303" i="1"/>
  <c r="J232" i="1"/>
  <c r="J267" i="1"/>
  <c r="J213" i="1"/>
  <c r="L213" i="1" s="1"/>
  <c r="J211" i="1"/>
  <c r="J151" i="1"/>
  <c r="L151" i="1" s="1"/>
  <c r="J206" i="1"/>
  <c r="L206" i="1" s="1"/>
  <c r="J335" i="1"/>
  <c r="J152" i="1"/>
  <c r="J150" i="1"/>
  <c r="L150" i="1" s="1"/>
  <c r="J154" i="1"/>
  <c r="J153" i="1"/>
  <c r="J295" i="1"/>
  <c r="J251" i="1"/>
  <c r="L251" i="1" s="1"/>
  <c r="J316" i="1"/>
  <c r="J191" i="1"/>
  <c r="J148" i="1"/>
  <c r="J236" i="1"/>
  <c r="J199" i="1"/>
  <c r="L199" i="1" s="1"/>
  <c r="J235" i="1"/>
  <c r="I185" i="1"/>
  <c r="I302" i="1"/>
  <c r="K302" i="1" s="1"/>
  <c r="I334" i="1"/>
  <c r="Q300" i="1"/>
  <c r="Q137" i="1"/>
  <c r="I201" i="1"/>
  <c r="I203" i="1"/>
  <c r="I261" i="1"/>
  <c r="K261" i="1" s="1"/>
  <c r="J183" i="1"/>
  <c r="Q116" i="1"/>
  <c r="Q173" i="1"/>
  <c r="Q127" i="1"/>
  <c r="Q289" i="1"/>
  <c r="Q231" i="1"/>
  <c r="Q178" i="1"/>
  <c r="Q164" i="1"/>
  <c r="Q308" i="1"/>
  <c r="Q101" i="1"/>
  <c r="P263" i="1"/>
  <c r="Q261" i="1"/>
  <c r="Q224" i="1"/>
  <c r="P185" i="1"/>
  <c r="Q129" i="1"/>
  <c r="P165" i="1"/>
  <c r="P138" i="1"/>
  <c r="Q281" i="1"/>
  <c r="Q283" i="1"/>
  <c r="Q232" i="1"/>
  <c r="P169" i="1"/>
  <c r="P151" i="1"/>
  <c r="Q143" i="1"/>
  <c r="P195" i="1"/>
  <c r="P157" i="1"/>
  <c r="Q144" i="1"/>
  <c r="Q132" i="1"/>
  <c r="Q227" i="1"/>
  <c r="Q282" i="1"/>
  <c r="P259" i="1"/>
  <c r="Q257" i="1"/>
  <c r="P251" i="1"/>
  <c r="Q191" i="1"/>
  <c r="Q252" i="1"/>
  <c r="Q235" i="1"/>
  <c r="Q153" i="1"/>
  <c r="P142" i="1"/>
  <c r="Q133" i="1"/>
  <c r="P135" i="1"/>
  <c r="Q314" i="1"/>
  <c r="Q270" i="1"/>
  <c r="P262" i="1"/>
  <c r="P219" i="1"/>
  <c r="Q215" i="1"/>
  <c r="P209" i="1"/>
  <c r="Q179" i="1"/>
  <c r="P172" i="1"/>
  <c r="Q134" i="1"/>
  <c r="Q293" i="1"/>
  <c r="P258" i="1"/>
  <c r="P247" i="1"/>
  <c r="Q244" i="1"/>
  <c r="Q243" i="1"/>
  <c r="Q130" i="1"/>
  <c r="Q118" i="1"/>
  <c r="Q301" i="1"/>
  <c r="Q280" i="1"/>
  <c r="Q245" i="1"/>
  <c r="P241" i="1"/>
  <c r="P223" i="1"/>
  <c r="P201" i="1"/>
  <c r="Q188" i="1"/>
  <c r="Q148" i="1"/>
  <c r="P256" i="1"/>
  <c r="Q310" i="1"/>
  <c r="P183" i="1"/>
  <c r="P163" i="1"/>
  <c r="Q140" i="1"/>
  <c r="P146" i="1"/>
  <c r="Q139" i="1"/>
  <c r="P225" i="1"/>
  <c r="Q238" i="1"/>
  <c r="P238" i="1"/>
  <c r="Q221" i="1"/>
  <c r="P199" i="1"/>
  <c r="P174" i="1"/>
  <c r="Q152" i="1"/>
  <c r="P313" i="1"/>
  <c r="Q313" i="1"/>
  <c r="Q265" i="1"/>
  <c r="Q234" i="1"/>
  <c r="P212" i="1"/>
  <c r="Q204" i="1"/>
  <c r="Q131" i="1"/>
  <c r="Q122" i="1"/>
  <c r="P125" i="1"/>
  <c r="Q117" i="1"/>
  <c r="Q159" i="1"/>
  <c r="Q147" i="1"/>
  <c r="Q123" i="1"/>
  <c r="P198" i="1"/>
  <c r="P176" i="1"/>
  <c r="P171" i="1"/>
  <c r="P145" i="1"/>
  <c r="P141" i="1"/>
  <c r="P126" i="1"/>
  <c r="Q298" i="1"/>
  <c r="Q288" i="1"/>
  <c r="Q287" i="1"/>
  <c r="Q290" i="1"/>
  <c r="Q277" i="1"/>
  <c r="Q276" i="1"/>
  <c r="Q275" i="1"/>
  <c r="Q273" i="1"/>
  <c r="Q274" i="1"/>
  <c r="Q271" i="1"/>
  <c r="Q267" i="1"/>
  <c r="Q236" i="1"/>
  <c r="P228" i="1"/>
  <c r="Q228" i="1"/>
  <c r="P177" i="1"/>
  <c r="Q177" i="1"/>
  <c r="Q322" i="1"/>
  <c r="Q321" i="1"/>
  <c r="Q320" i="1"/>
  <c r="Q318" i="1"/>
  <c r="Q316" i="1"/>
  <c r="Q249" i="1"/>
  <c r="P196" i="1"/>
  <c r="Q196" i="1"/>
  <c r="P333" i="1"/>
  <c r="P331" i="1"/>
  <c r="P327" i="1"/>
  <c r="P329" i="1"/>
  <c r="P325" i="1"/>
  <c r="P323" i="1"/>
  <c r="P319" i="1"/>
  <c r="Q309" i="1"/>
  <c r="Q305" i="1"/>
  <c r="Q303" i="1"/>
  <c r="Q297" i="1"/>
  <c r="Q292" i="1"/>
  <c r="Q284" i="1"/>
  <c r="P207" i="1"/>
  <c r="Q207" i="1"/>
  <c r="P203" i="1"/>
  <c r="P156" i="1"/>
  <c r="Q156" i="1"/>
  <c r="P150" i="1"/>
  <c r="Q254" i="1"/>
  <c r="Q334" i="1"/>
  <c r="Q335" i="1"/>
  <c r="P181" i="1"/>
  <c r="Q307" i="1"/>
  <c r="Q311" i="1"/>
  <c r="Q302" i="1"/>
  <c r="Q295" i="1"/>
  <c r="Q285" i="1"/>
  <c r="Q286" i="1"/>
  <c r="Q279" i="1"/>
  <c r="P217" i="1"/>
  <c r="Q217" i="1"/>
  <c r="P213" i="1"/>
  <c r="P167" i="1"/>
  <c r="Q167" i="1"/>
  <c r="P161" i="1"/>
  <c r="P220" i="1"/>
  <c r="Q220" i="1"/>
  <c r="P200" i="1"/>
  <c r="Q200" i="1"/>
  <c r="P170" i="1"/>
  <c r="Q170" i="1"/>
  <c r="P154" i="1"/>
  <c r="Q154" i="1"/>
  <c r="P211" i="1"/>
  <c r="Q211" i="1"/>
  <c r="P189" i="1"/>
  <c r="Q189" i="1"/>
  <c r="P162" i="1"/>
  <c r="Q162" i="1"/>
  <c r="K124" i="1" l="1"/>
  <c r="M124" i="1" s="1"/>
  <c r="L231" i="1"/>
  <c r="L116" i="1"/>
  <c r="M116" i="1" s="1"/>
  <c r="K195" i="1"/>
  <c r="M195" i="1" s="1"/>
  <c r="K319" i="1"/>
  <c r="M319" i="1" s="1"/>
  <c r="L224" i="1"/>
  <c r="M224" i="1" s="1"/>
  <c r="L271" i="1"/>
  <c r="M271" i="1" s="1"/>
  <c r="L183" i="1"/>
  <c r="K154" i="1"/>
  <c r="K174" i="1"/>
  <c r="M174" i="1" s="1"/>
  <c r="K325" i="1"/>
  <c r="M325" i="1" s="1"/>
  <c r="M326" i="1" s="1"/>
  <c r="K189" i="1"/>
  <c r="K247" i="1"/>
  <c r="M247" i="1" s="1"/>
  <c r="M248" i="1" s="1"/>
  <c r="K146" i="1"/>
  <c r="M146" i="1" s="1"/>
  <c r="L310" i="1"/>
  <c r="M310" i="1" s="1"/>
  <c r="L196" i="1"/>
  <c r="L170" i="1"/>
  <c r="L288" i="1"/>
  <c r="L334" i="1"/>
  <c r="L277" i="1"/>
  <c r="M277" i="1" s="1"/>
  <c r="K199" i="1"/>
  <c r="M199" i="1" s="1"/>
  <c r="L243" i="1"/>
  <c r="M243" i="1" s="1"/>
  <c r="L232" i="1"/>
  <c r="M232" i="1" s="1"/>
  <c r="L127" i="1"/>
  <c r="M127" i="1" s="1"/>
  <c r="L215" i="1"/>
  <c r="M215" i="1" s="1"/>
  <c r="M216" i="1" s="1"/>
  <c r="L132" i="1"/>
  <c r="M132" i="1" s="1"/>
  <c r="L220" i="1"/>
  <c r="L276" i="1"/>
  <c r="M276" i="1" s="1"/>
  <c r="L274" i="1"/>
  <c r="M274" i="1" s="1"/>
  <c r="L322" i="1"/>
  <c r="M322" i="1" s="1"/>
  <c r="K141" i="1"/>
  <c r="M141" i="1" s="1"/>
  <c r="L139" i="1"/>
  <c r="M139" i="1" s="1"/>
  <c r="L245" i="1"/>
  <c r="M245" i="1" s="1"/>
  <c r="L134" i="1"/>
  <c r="M134" i="1" s="1"/>
  <c r="L270" i="1"/>
  <c r="M270" i="1" s="1"/>
  <c r="M272" i="1" s="1"/>
  <c r="L252" i="1"/>
  <c r="M252" i="1" s="1"/>
  <c r="K259" i="1"/>
  <c r="M259" i="1" s="1"/>
  <c r="L129" i="1"/>
  <c r="M129" i="1" s="1"/>
  <c r="K206" i="1"/>
  <c r="M206" i="1" s="1"/>
  <c r="L264" i="1"/>
  <c r="M264" i="1" s="1"/>
  <c r="K161" i="1"/>
  <c r="M161" i="1" s="1"/>
  <c r="L131" i="1"/>
  <c r="M131" i="1" s="1"/>
  <c r="L140" i="1"/>
  <c r="M140" i="1" s="1"/>
  <c r="L301" i="1"/>
  <c r="M301" i="1" s="1"/>
  <c r="L130" i="1"/>
  <c r="M130" i="1" s="1"/>
  <c r="L143" i="1"/>
  <c r="M143" i="1" s="1"/>
  <c r="L283" i="1"/>
  <c r="M283" i="1" s="1"/>
  <c r="L300" i="1"/>
  <c r="M300" i="1" s="1"/>
  <c r="L162" i="1"/>
  <c r="L167" i="1"/>
  <c r="K211" i="1"/>
  <c r="K213" i="1"/>
  <c r="M213" i="1" s="1"/>
  <c r="L311" i="1"/>
  <c r="M311" i="1" s="1"/>
  <c r="K238" i="1"/>
  <c r="L289" i="1"/>
  <c r="M289" i="1" s="1"/>
  <c r="L207" i="1"/>
  <c r="L309" i="1"/>
  <c r="M309" i="1" s="1"/>
  <c r="L156" i="1"/>
  <c r="L117" i="1"/>
  <c r="M117" i="1" s="1"/>
  <c r="L286" i="1"/>
  <c r="M286" i="1" s="1"/>
  <c r="L177" i="1"/>
  <c r="L188" i="1"/>
  <c r="M188" i="1" s="1"/>
  <c r="L101" i="1"/>
  <c r="M101" i="1" s="1"/>
  <c r="L178" i="1"/>
  <c r="M178" i="1" s="1"/>
  <c r="L173" i="1"/>
  <c r="M173" i="1" s="1"/>
  <c r="L217" i="1"/>
  <c r="L273" i="1"/>
  <c r="M273" i="1" s="1"/>
  <c r="L159" i="1"/>
  <c r="M159" i="1" s="1"/>
  <c r="M160" i="1" s="1"/>
  <c r="L133" i="1"/>
  <c r="M133" i="1" s="1"/>
  <c r="L144" i="1"/>
  <c r="M144" i="1" s="1"/>
  <c r="L307" i="1"/>
  <c r="M307" i="1" s="1"/>
  <c r="L297" i="1"/>
  <c r="M297" i="1" s="1"/>
  <c r="L314" i="1"/>
  <c r="M314" i="1" s="1"/>
  <c r="L282" i="1"/>
  <c r="M282" i="1" s="1"/>
  <c r="L189" i="1"/>
  <c r="K181" i="1"/>
  <c r="M181" i="1" s="1"/>
  <c r="L249" i="1"/>
  <c r="M249" i="1" s="1"/>
  <c r="M250" i="1" s="1"/>
  <c r="L320" i="1"/>
  <c r="M320" i="1" s="1"/>
  <c r="L234" i="1"/>
  <c r="M234" i="1" s="1"/>
  <c r="L244" i="1"/>
  <c r="M244" i="1" s="1"/>
  <c r="L227" i="1"/>
  <c r="M227" i="1" s="1"/>
  <c r="L308" i="1"/>
  <c r="M308" i="1" s="1"/>
  <c r="L137" i="1"/>
  <c r="M137" i="1" s="1"/>
  <c r="L211" i="1"/>
  <c r="L293" i="1"/>
  <c r="M293" i="1" s="1"/>
  <c r="L279" i="1"/>
  <c r="M279" i="1" s="1"/>
  <c r="L302" i="1"/>
  <c r="M302" i="1" s="1"/>
  <c r="L284" i="1"/>
  <c r="M284" i="1" s="1"/>
  <c r="L321" i="1"/>
  <c r="M321" i="1" s="1"/>
  <c r="L265" i="1"/>
  <c r="M265" i="1" s="1"/>
  <c r="L238" i="1"/>
  <c r="L118" i="1"/>
  <c r="M118" i="1" s="1"/>
  <c r="L261" i="1"/>
  <c r="M261" i="1" s="1"/>
  <c r="L164" i="1"/>
  <c r="M164" i="1" s="1"/>
  <c r="L305" i="1"/>
  <c r="M305" i="1" s="1"/>
  <c r="M306" i="1" s="1"/>
  <c r="L254" i="1"/>
  <c r="M254" i="1" s="1"/>
  <c r="M255" i="1" s="1"/>
  <c r="L290" i="1"/>
  <c r="M290" i="1" s="1"/>
  <c r="L147" i="1"/>
  <c r="M147" i="1" s="1"/>
  <c r="L204" i="1"/>
  <c r="M204" i="1" s="1"/>
  <c r="K256" i="1"/>
  <c r="M256" i="1" s="1"/>
  <c r="L280" i="1"/>
  <c r="M280" i="1" s="1"/>
  <c r="K207" i="1"/>
  <c r="L318" i="1"/>
  <c r="M318" i="1" s="1"/>
  <c r="L298" i="1"/>
  <c r="M298" i="1" s="1"/>
  <c r="L200" i="1"/>
  <c r="L275" i="1"/>
  <c r="M275" i="1" s="1"/>
  <c r="L287" i="1"/>
  <c r="M287" i="1" s="1"/>
  <c r="L313" i="1"/>
  <c r="L179" i="1"/>
  <c r="M179" i="1" s="1"/>
  <c r="L153" i="1"/>
  <c r="M153" i="1" s="1"/>
  <c r="L281" i="1"/>
  <c r="M281" i="1" s="1"/>
  <c r="K263" i="1"/>
  <c r="M263" i="1" s="1"/>
  <c r="L257" i="1"/>
  <c r="M257" i="1" s="1"/>
  <c r="K162" i="1"/>
  <c r="K200" i="1"/>
  <c r="K150" i="1"/>
  <c r="M150" i="1" s="1"/>
  <c r="L267" i="1"/>
  <c r="M267" i="1" s="1"/>
  <c r="M268" i="1" s="1"/>
  <c r="K223" i="1"/>
  <c r="M223" i="1" s="1"/>
  <c r="K138" i="1"/>
  <c r="M138" i="1" s="1"/>
  <c r="K196" i="1"/>
  <c r="M196" i="1" s="1"/>
  <c r="K125" i="1"/>
  <c r="M125" i="1" s="1"/>
  <c r="K241" i="1"/>
  <c r="M241" i="1" s="1"/>
  <c r="M242" i="1" s="1"/>
  <c r="L122" i="1"/>
  <c r="M122" i="1" s="1"/>
  <c r="L235" i="1"/>
  <c r="M235" i="1" s="1"/>
  <c r="K151" i="1"/>
  <c r="M151" i="1" s="1"/>
  <c r="M231" i="1"/>
  <c r="L335" i="1"/>
  <c r="M335" i="1" s="1"/>
  <c r="K333" i="1"/>
  <c r="M333" i="1" s="1"/>
  <c r="L123" i="1"/>
  <c r="M123" i="1" s="1"/>
  <c r="K201" i="1"/>
  <c r="M201" i="1" s="1"/>
  <c r="K142" i="1"/>
  <c r="M142" i="1" s="1"/>
  <c r="K157" i="1"/>
  <c r="M157" i="1" s="1"/>
  <c r="K172" i="1"/>
  <c r="M172" i="1" s="1"/>
  <c r="L154" i="1"/>
  <c r="K329" i="1"/>
  <c r="M329" i="1" s="1"/>
  <c r="M330" i="1" s="1"/>
  <c r="L316" i="1"/>
  <c r="M316" i="1" s="1"/>
  <c r="M317" i="1" s="1"/>
  <c r="K212" i="1"/>
  <c r="M212" i="1" s="1"/>
  <c r="K169" i="1"/>
  <c r="K185" i="1"/>
  <c r="M185" i="1" s="1"/>
  <c r="L148" i="1"/>
  <c r="M148" i="1" s="1"/>
  <c r="K135" i="1"/>
  <c r="M135" i="1" s="1"/>
  <c r="K171" i="1"/>
  <c r="M171" i="1" s="1"/>
  <c r="K209" i="1"/>
  <c r="M209" i="1" s="1"/>
  <c r="M210" i="1" s="1"/>
  <c r="K220" i="1"/>
  <c r="L285" i="1"/>
  <c r="M285" i="1" s="1"/>
  <c r="K327" i="1"/>
  <c r="M327" i="1" s="1"/>
  <c r="M328" i="1" s="1"/>
  <c r="L236" i="1"/>
  <c r="M236" i="1" s="1"/>
  <c r="K126" i="1"/>
  <c r="M126" i="1" s="1"/>
  <c r="K145" i="1"/>
  <c r="M145" i="1" s="1"/>
  <c r="K198" i="1"/>
  <c r="M198" i="1" s="1"/>
  <c r="K163" i="1"/>
  <c r="M163" i="1" s="1"/>
  <c r="K219" i="1"/>
  <c r="M219" i="1" s="1"/>
  <c r="K331" i="1"/>
  <c r="M331" i="1" s="1"/>
  <c r="M332" i="1" s="1"/>
  <c r="K177" i="1"/>
  <c r="K170" i="1"/>
  <c r="K176" i="1"/>
  <c r="M176" i="1" s="1"/>
  <c r="K225" i="1"/>
  <c r="M225" i="1" s="1"/>
  <c r="K258" i="1"/>
  <c r="M258" i="1" s="1"/>
  <c r="L191" i="1"/>
  <c r="M191" i="1" s="1"/>
  <c r="M192" i="1" s="1"/>
  <c r="K165" i="1"/>
  <c r="M165" i="1" s="1"/>
  <c r="K323" i="1"/>
  <c r="M323" i="1" s="1"/>
  <c r="K167" i="1"/>
  <c r="M167" i="1" s="1"/>
  <c r="M168" i="1" s="1"/>
  <c r="K217" i="1"/>
  <c r="K156" i="1"/>
  <c r="L292" i="1"/>
  <c r="M292" i="1" s="1"/>
  <c r="M294" i="1" s="1"/>
  <c r="K228" i="1"/>
  <c r="K119" i="1"/>
  <c r="M119" i="1" s="1"/>
  <c r="K313" i="1"/>
  <c r="L221" i="1"/>
  <c r="M221" i="1" s="1"/>
  <c r="K262" i="1"/>
  <c r="M262" i="1" s="1"/>
  <c r="K251" i="1"/>
  <c r="M251" i="1" s="1"/>
  <c r="L152" i="1"/>
  <c r="M152" i="1" s="1"/>
  <c r="L295" i="1"/>
  <c r="M295" i="1" s="1"/>
  <c r="M296" i="1" s="1"/>
  <c r="K203" i="1"/>
  <c r="M203" i="1" s="1"/>
  <c r="L303" i="1"/>
  <c r="M303" i="1" s="1"/>
  <c r="L228" i="1"/>
  <c r="K334" i="1"/>
  <c r="M288" i="1"/>
  <c r="G2" i="1"/>
  <c r="G8" i="1"/>
  <c r="G4" i="1"/>
  <c r="G9" i="1"/>
  <c r="G6" i="1"/>
  <c r="G10" i="1"/>
  <c r="G7" i="1"/>
  <c r="G5" i="1"/>
  <c r="G12" i="1"/>
  <c r="G15" i="1"/>
  <c r="G14" i="1"/>
  <c r="G28" i="1"/>
  <c r="G27" i="1"/>
  <c r="G25" i="1"/>
  <c r="G29" i="1"/>
  <c r="G23" i="1"/>
  <c r="G17" i="1"/>
  <c r="G18" i="1"/>
  <c r="G21" i="1"/>
  <c r="G20" i="1"/>
  <c r="G26" i="1"/>
  <c r="G24" i="1"/>
  <c r="G22" i="1"/>
  <c r="G19" i="1"/>
  <c r="G31" i="1"/>
  <c r="G33" i="1"/>
  <c r="G42" i="1"/>
  <c r="G41" i="1"/>
  <c r="G43" i="1"/>
  <c r="G44" i="1"/>
  <c r="G48" i="1"/>
  <c r="G46" i="1"/>
  <c r="G37" i="1"/>
  <c r="G47" i="1"/>
  <c r="G35" i="1"/>
  <c r="G39" i="1"/>
  <c r="G45" i="1"/>
  <c r="G50" i="1"/>
  <c r="G52" i="1"/>
  <c r="G186" i="1"/>
  <c r="G187" i="1"/>
  <c r="G57" i="1"/>
  <c r="G62" i="1"/>
  <c r="G60" i="1"/>
  <c r="G54" i="1"/>
  <c r="G59" i="1"/>
  <c r="G61" i="1"/>
  <c r="G58" i="1"/>
  <c r="G55" i="1"/>
  <c r="G64" i="1"/>
  <c r="G67" i="1"/>
  <c r="G69" i="1"/>
  <c r="G71" i="1"/>
  <c r="G72" i="1"/>
  <c r="P72" i="1" s="1"/>
  <c r="G78" i="1"/>
  <c r="G74" i="1"/>
  <c r="G76" i="1"/>
  <c r="G75" i="1"/>
  <c r="G80" i="1"/>
  <c r="G81" i="1"/>
  <c r="G82" i="1"/>
  <c r="G84" i="1"/>
  <c r="G87" i="1"/>
  <c r="G86" i="1"/>
  <c r="G88" i="1"/>
  <c r="G91" i="1"/>
  <c r="G93" i="1"/>
  <c r="G90" i="1"/>
  <c r="G95" i="1"/>
  <c r="G92" i="1"/>
  <c r="G97" i="1"/>
  <c r="G99" i="1"/>
  <c r="G98" i="1"/>
  <c r="G193" i="1"/>
  <c r="G102" i="1"/>
  <c r="G104" i="1"/>
  <c r="G108" i="1"/>
  <c r="P108" i="1" s="1"/>
  <c r="G107" i="1"/>
  <c r="P107" i="1" s="1"/>
  <c r="G106" i="1"/>
  <c r="P106" i="1" s="1"/>
  <c r="G113" i="1"/>
  <c r="G112" i="1"/>
  <c r="G110" i="1"/>
  <c r="G111" i="1"/>
  <c r="G114" i="1"/>
  <c r="Q114" i="1" s="1"/>
  <c r="I111" i="1"/>
  <c r="J111" i="1"/>
  <c r="I114" i="1"/>
  <c r="J114" i="1"/>
  <c r="I108" i="1"/>
  <c r="J108" i="1"/>
  <c r="I107" i="1"/>
  <c r="J107" i="1"/>
  <c r="I106" i="1"/>
  <c r="J106" i="1"/>
  <c r="I72" i="1"/>
  <c r="J72" i="1"/>
  <c r="M324" i="1" l="1"/>
  <c r="M312" i="1"/>
  <c r="M304" i="1"/>
  <c r="M299" i="1"/>
  <c r="M291" i="1"/>
  <c r="M278" i="1"/>
  <c r="M253" i="1"/>
  <c r="M266" i="1"/>
  <c r="M260" i="1"/>
  <c r="M246" i="1"/>
  <c r="M237" i="1"/>
  <c r="M233" i="1"/>
  <c r="M226" i="1"/>
  <c r="M205" i="1"/>
  <c r="M197" i="1"/>
  <c r="M128" i="1"/>
  <c r="M149" i="1"/>
  <c r="M136" i="1"/>
  <c r="M121" i="1"/>
  <c r="M154" i="1"/>
  <c r="M155" i="1" s="1"/>
  <c r="M169" i="1"/>
  <c r="M170" i="1"/>
  <c r="M189" i="1"/>
  <c r="M334" i="1"/>
  <c r="M336" i="1" s="1"/>
  <c r="M177" i="1"/>
  <c r="M180" i="1" s="1"/>
  <c r="M211" i="1"/>
  <c r="M214" i="1" s="1"/>
  <c r="M162" i="1"/>
  <c r="M166" i="1" s="1"/>
  <c r="M228" i="1"/>
  <c r="M230" i="1" s="1"/>
  <c r="M220" i="1"/>
  <c r="M222" i="1" s="1"/>
  <c r="M207" i="1"/>
  <c r="M208" i="1" s="1"/>
  <c r="M238" i="1"/>
  <c r="M240" i="1" s="1"/>
  <c r="M156" i="1"/>
  <c r="M158" i="1" s="1"/>
  <c r="M313" i="1"/>
  <c r="M315" i="1" s="1"/>
  <c r="M217" i="1"/>
  <c r="M218" i="1" s="1"/>
  <c r="M200" i="1"/>
  <c r="M202" i="1" s="1"/>
  <c r="K107" i="1"/>
  <c r="P114" i="1"/>
  <c r="K114" i="1" s="1"/>
  <c r="L114" i="1"/>
  <c r="K108" i="1"/>
  <c r="Q107" i="1"/>
  <c r="L107" i="1" s="1"/>
  <c r="Q106" i="1"/>
  <c r="L106" i="1" s="1"/>
  <c r="Q108" i="1"/>
  <c r="L108" i="1" s="1"/>
  <c r="K106" i="1"/>
  <c r="K72" i="1"/>
  <c r="Q72" i="1"/>
  <c r="L72" i="1" s="1"/>
  <c r="M175" i="1" l="1"/>
  <c r="M107" i="1"/>
  <c r="M114" i="1"/>
  <c r="M106" i="1"/>
  <c r="M108" i="1"/>
  <c r="M72" i="1"/>
  <c r="I5" i="1"/>
  <c r="J5" i="1"/>
  <c r="M109" i="1" l="1"/>
  <c r="P5" i="1"/>
  <c r="K5" i="1" s="1"/>
  <c r="Q5" i="1" l="1"/>
  <c r="L5" i="1" s="1"/>
  <c r="M5" i="1" s="1"/>
  <c r="L24" i="5" l="1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40" i="5" l="1"/>
  <c r="G12" i="4" s="1"/>
  <c r="E15" i="4"/>
  <c r="E14" i="4"/>
  <c r="D15" i="4"/>
  <c r="D14" i="4"/>
  <c r="Q15" i="1"/>
  <c r="Q17" i="1"/>
  <c r="P28" i="1"/>
  <c r="Q24" i="1"/>
  <c r="P23" i="1"/>
  <c r="Q29" i="1"/>
  <c r="P25" i="1"/>
  <c r="Q26" i="1"/>
  <c r="P59" i="1"/>
  <c r="Q62" i="1"/>
  <c r="Q87" i="1"/>
  <c r="P88" i="1"/>
  <c r="P92" i="1"/>
  <c r="Q91" i="1"/>
  <c r="P90" i="1"/>
  <c r="P71" i="1"/>
  <c r="Q113" i="1"/>
  <c r="P112" i="1"/>
  <c r="Q111" i="1"/>
  <c r="L111" i="1" s="1"/>
  <c r="Q74" i="1"/>
  <c r="P75" i="1"/>
  <c r="Q64" i="1"/>
  <c r="Q9" i="1"/>
  <c r="P7" i="1"/>
  <c r="Q2" i="1"/>
  <c r="Q110" i="1"/>
  <c r="Q69" i="1"/>
  <c r="Q104" i="1"/>
  <c r="Q186" i="1"/>
  <c r="P78" i="1"/>
  <c r="Q12" i="1"/>
  <c r="Q55" i="1"/>
  <c r="P95" i="1"/>
  <c r="P193" i="1"/>
  <c r="Q102" i="1"/>
  <c r="Q33" i="1"/>
  <c r="P84" i="1"/>
  <c r="Q97" i="1"/>
  <c r="P98" i="1"/>
  <c r="Q99" i="1"/>
  <c r="Q52" i="1"/>
  <c r="Q48" i="1"/>
  <c r="Q80" i="1"/>
  <c r="P81" i="1"/>
  <c r="P35" i="1"/>
  <c r="Q39" i="1"/>
  <c r="Q41" i="1"/>
  <c r="Q46" i="1"/>
  <c r="P47" i="1"/>
  <c r="Q31" i="1" l="1"/>
  <c r="G19" i="4"/>
  <c r="G18" i="4"/>
  <c r="P110" i="1"/>
  <c r="P17" i="1"/>
  <c r="Q35" i="1"/>
  <c r="P29" i="1"/>
  <c r="Q71" i="1"/>
  <c r="Q95" i="1"/>
  <c r="P33" i="1"/>
  <c r="Q112" i="1"/>
  <c r="P80" i="1"/>
  <c r="Q59" i="1"/>
  <c r="Q25" i="1"/>
  <c r="Q28" i="1"/>
  <c r="P9" i="1"/>
  <c r="Q78" i="1"/>
  <c r="P64" i="1"/>
  <c r="P91" i="1"/>
  <c r="P74" i="1"/>
  <c r="P46" i="1"/>
  <c r="Q23" i="1"/>
  <c r="P2" i="1"/>
  <c r="P87" i="1"/>
  <c r="P62" i="1"/>
  <c r="P26" i="1"/>
  <c r="P24" i="1"/>
  <c r="P12" i="1"/>
  <c r="P44" i="1"/>
  <c r="Q44" i="1"/>
  <c r="P67" i="1"/>
  <c r="Q67" i="1"/>
  <c r="P8" i="1"/>
  <c r="Q8" i="1"/>
  <c r="P76" i="1"/>
  <c r="Q76" i="1"/>
  <c r="Q61" i="1"/>
  <c r="P61" i="1"/>
  <c r="Q18" i="1"/>
  <c r="P18" i="1"/>
  <c r="Q27" i="1"/>
  <c r="P27" i="1"/>
  <c r="P14" i="1"/>
  <c r="Q14" i="1"/>
  <c r="P43" i="1"/>
  <c r="Q43" i="1"/>
  <c r="Q82" i="1"/>
  <c r="P82" i="1"/>
  <c r="P54" i="1"/>
  <c r="Q54" i="1"/>
  <c r="Q93" i="1"/>
  <c r="P93" i="1"/>
  <c r="Q86" i="1"/>
  <c r="P86" i="1"/>
  <c r="P60" i="1"/>
  <c r="Q60" i="1"/>
  <c r="P57" i="1"/>
  <c r="Q57" i="1"/>
  <c r="P20" i="1"/>
  <c r="Q20" i="1"/>
  <c r="P22" i="1"/>
  <c r="Q22" i="1"/>
  <c r="Q193" i="1"/>
  <c r="P97" i="1"/>
  <c r="Q42" i="1"/>
  <c r="P42" i="1"/>
  <c r="Q84" i="1"/>
  <c r="P55" i="1"/>
  <c r="P39" i="1"/>
  <c r="P45" i="1"/>
  <c r="Q45" i="1"/>
  <c r="P50" i="1"/>
  <c r="Q50" i="1"/>
  <c r="P6" i="1"/>
  <c r="Q6" i="1"/>
  <c r="Q4" i="1"/>
  <c r="Q58" i="1"/>
  <c r="P58" i="1"/>
  <c r="Q19" i="1"/>
  <c r="P19" i="1"/>
  <c r="P102" i="1"/>
  <c r="P37" i="1"/>
  <c r="Q37" i="1"/>
  <c r="P187" i="1"/>
  <c r="Q187" i="1"/>
  <c r="Q10" i="1"/>
  <c r="P10" i="1"/>
  <c r="P21" i="1"/>
  <c r="Q21" i="1"/>
  <c r="Q92" i="1"/>
  <c r="P4" i="1"/>
  <c r="P111" i="1"/>
  <c r="K111" i="1" s="1"/>
  <c r="M111" i="1" s="1"/>
  <c r="P186" i="1"/>
  <c r="P31" i="1"/>
  <c r="P113" i="1"/>
  <c r="P104" i="1"/>
  <c r="P99" i="1"/>
  <c r="P69" i="1"/>
  <c r="P52" i="1"/>
  <c r="P41" i="1"/>
  <c r="P48" i="1"/>
  <c r="P15" i="1"/>
  <c r="Q98" i="1"/>
  <c r="Q90" i="1"/>
  <c r="Q88" i="1"/>
  <c r="Q81" i="1"/>
  <c r="Q75" i="1"/>
  <c r="Q47" i="1"/>
  <c r="Q7" i="1"/>
  <c r="J47" i="1"/>
  <c r="I47" i="1"/>
  <c r="K47" i="1" s="1"/>
  <c r="J46" i="1"/>
  <c r="L46" i="1" s="1"/>
  <c r="I46" i="1"/>
  <c r="J44" i="1"/>
  <c r="I44" i="1"/>
  <c r="J43" i="1"/>
  <c r="I43" i="1"/>
  <c r="J41" i="1"/>
  <c r="L41" i="1" s="1"/>
  <c r="I41" i="1"/>
  <c r="J42" i="1"/>
  <c r="I42" i="1"/>
  <c r="J45" i="1"/>
  <c r="I45" i="1"/>
  <c r="J39" i="1"/>
  <c r="L39" i="1" s="1"/>
  <c r="I39" i="1"/>
  <c r="J35" i="1"/>
  <c r="I35" i="1"/>
  <c r="K35" i="1" s="1"/>
  <c r="J82" i="1"/>
  <c r="I82" i="1"/>
  <c r="J81" i="1"/>
  <c r="I81" i="1"/>
  <c r="K81" i="1" s="1"/>
  <c r="J80" i="1"/>
  <c r="L80" i="1" s="1"/>
  <c r="I80" i="1"/>
  <c r="J37" i="1"/>
  <c r="I37" i="1"/>
  <c r="J48" i="1"/>
  <c r="L48" i="1" s="1"/>
  <c r="I48" i="1"/>
  <c r="J50" i="1"/>
  <c r="I50" i="1"/>
  <c r="J31" i="1"/>
  <c r="I31" i="1"/>
  <c r="J52" i="1"/>
  <c r="L52" i="1" s="1"/>
  <c r="I52" i="1"/>
  <c r="J99" i="1"/>
  <c r="L99" i="1" s="1"/>
  <c r="I99" i="1"/>
  <c r="J98" i="1"/>
  <c r="I98" i="1"/>
  <c r="K98" i="1" s="1"/>
  <c r="J97" i="1"/>
  <c r="L97" i="1" s="1"/>
  <c r="I97" i="1"/>
  <c r="J84" i="1"/>
  <c r="I84" i="1"/>
  <c r="K84" i="1" s="1"/>
  <c r="J33" i="1"/>
  <c r="L33" i="1" s="1"/>
  <c r="I33" i="1"/>
  <c r="J102" i="1"/>
  <c r="L102" i="1" s="1"/>
  <c r="I102" i="1"/>
  <c r="J193" i="1"/>
  <c r="I193" i="1"/>
  <c r="K193" i="1" s="1"/>
  <c r="J95" i="1"/>
  <c r="I95" i="1"/>
  <c r="J55" i="1"/>
  <c r="L55" i="1" s="1"/>
  <c r="I55" i="1"/>
  <c r="J54" i="1"/>
  <c r="I54" i="1"/>
  <c r="J12" i="1"/>
  <c r="L12" i="1" s="1"/>
  <c r="I12" i="1"/>
  <c r="J78" i="1"/>
  <c r="I78" i="1"/>
  <c r="K78" i="1" s="1"/>
  <c r="J186" i="1"/>
  <c r="L186" i="1" s="1"/>
  <c r="I186" i="1"/>
  <c r="J187" i="1"/>
  <c r="I187" i="1"/>
  <c r="J104" i="1"/>
  <c r="L104" i="1" s="1"/>
  <c r="I104" i="1"/>
  <c r="J69" i="1"/>
  <c r="L69" i="1" s="1"/>
  <c r="I69" i="1"/>
  <c r="J67" i="1"/>
  <c r="I67" i="1"/>
  <c r="J110" i="1"/>
  <c r="L110" i="1" s="1"/>
  <c r="I110" i="1"/>
  <c r="J6" i="1"/>
  <c r="I6" i="1"/>
  <c r="J10" i="1"/>
  <c r="I10" i="1"/>
  <c r="J7" i="1"/>
  <c r="I7" i="1"/>
  <c r="K7" i="1" s="1"/>
  <c r="J9" i="1"/>
  <c r="L9" i="1" s="1"/>
  <c r="I9" i="1"/>
  <c r="J8" i="1"/>
  <c r="I8" i="1"/>
  <c r="J64" i="1"/>
  <c r="L64" i="1" s="1"/>
  <c r="I64" i="1"/>
  <c r="J4" i="1"/>
  <c r="I4" i="1"/>
  <c r="J75" i="1"/>
  <c r="I75" i="1"/>
  <c r="K75" i="1" s="1"/>
  <c r="J74" i="1"/>
  <c r="L74" i="1" s="1"/>
  <c r="I74" i="1"/>
  <c r="J76" i="1"/>
  <c r="I76" i="1"/>
  <c r="J112" i="1"/>
  <c r="I112" i="1"/>
  <c r="K112" i="1" s="1"/>
  <c r="J113" i="1"/>
  <c r="L113" i="1" s="1"/>
  <c r="I113" i="1"/>
  <c r="J71" i="1"/>
  <c r="I71" i="1"/>
  <c r="K71" i="1" s="1"/>
  <c r="J93" i="1"/>
  <c r="I93" i="1"/>
  <c r="J90" i="1"/>
  <c r="I90" i="1"/>
  <c r="K90" i="1" s="1"/>
  <c r="J91" i="1"/>
  <c r="L91" i="1" s="1"/>
  <c r="I91" i="1"/>
  <c r="J92" i="1"/>
  <c r="I92" i="1"/>
  <c r="K92" i="1" s="1"/>
  <c r="J86" i="1"/>
  <c r="I86" i="1"/>
  <c r="J88" i="1"/>
  <c r="I88" i="1"/>
  <c r="K88" i="1" s="1"/>
  <c r="J87" i="1"/>
  <c r="L87" i="1" s="1"/>
  <c r="I87" i="1"/>
  <c r="J61" i="1"/>
  <c r="I61" i="1"/>
  <c r="J60" i="1"/>
  <c r="I60" i="1"/>
  <c r="J62" i="1"/>
  <c r="L62" i="1" s="1"/>
  <c r="I62" i="1"/>
  <c r="J59" i="1"/>
  <c r="I59" i="1"/>
  <c r="K59" i="1" s="1"/>
  <c r="J58" i="1"/>
  <c r="I58" i="1"/>
  <c r="J57" i="1"/>
  <c r="I57" i="1"/>
  <c r="J26" i="1"/>
  <c r="L26" i="1" s="1"/>
  <c r="I26" i="1"/>
  <c r="J25" i="1"/>
  <c r="I25" i="1"/>
  <c r="K25" i="1" s="1"/>
  <c r="J18" i="1"/>
  <c r="I18" i="1"/>
  <c r="J20" i="1"/>
  <c r="I20" i="1"/>
  <c r="J29" i="1"/>
  <c r="L29" i="1" s="1"/>
  <c r="I29" i="1"/>
  <c r="J23" i="1"/>
  <c r="I23" i="1"/>
  <c r="K23" i="1" s="1"/>
  <c r="J27" i="1"/>
  <c r="I27" i="1"/>
  <c r="J21" i="1"/>
  <c r="I21" i="1"/>
  <c r="J24" i="1"/>
  <c r="L24" i="1" s="1"/>
  <c r="I24" i="1"/>
  <c r="J28" i="1"/>
  <c r="I28" i="1"/>
  <c r="K28" i="1" s="1"/>
  <c r="J19" i="1"/>
  <c r="I19" i="1"/>
  <c r="J22" i="1"/>
  <c r="I22" i="1"/>
  <c r="J17" i="1"/>
  <c r="I17" i="1"/>
  <c r="J15" i="1"/>
  <c r="L15" i="1" s="1"/>
  <c r="I15" i="1"/>
  <c r="J14" i="1"/>
  <c r="I14" i="1"/>
  <c r="D6" i="4" l="1"/>
  <c r="K95" i="1"/>
  <c r="L31" i="1"/>
  <c r="K12" i="1"/>
  <c r="M12" i="1" s="1"/>
  <c r="M13" i="1" s="1"/>
  <c r="K33" i="1"/>
  <c r="M33" i="1" s="1"/>
  <c r="M34" i="1" s="1"/>
  <c r="K18" i="1"/>
  <c r="L75" i="1"/>
  <c r="M75" i="1" s="1"/>
  <c r="G20" i="4"/>
  <c r="K99" i="1"/>
  <c r="M99" i="1" s="1"/>
  <c r="L23" i="1"/>
  <c r="M23" i="1" s="1"/>
  <c r="L20" i="1"/>
  <c r="L60" i="1"/>
  <c r="L54" i="1"/>
  <c r="L95" i="1"/>
  <c r="L193" i="1"/>
  <c r="M193" i="1" s="1"/>
  <c r="M194" i="1" s="1"/>
  <c r="K91" i="1"/>
  <c r="M91" i="1" s="1"/>
  <c r="K102" i="1"/>
  <c r="M102" i="1" s="1"/>
  <c r="M103" i="1" s="1"/>
  <c r="L35" i="1"/>
  <c r="M35" i="1" s="1"/>
  <c r="M36" i="1" s="1"/>
  <c r="K58" i="1"/>
  <c r="K93" i="1"/>
  <c r="K9" i="1"/>
  <c r="M9" i="1" s="1"/>
  <c r="K80" i="1"/>
  <c r="M80" i="1" s="1"/>
  <c r="L22" i="1"/>
  <c r="L25" i="1"/>
  <c r="M25" i="1" s="1"/>
  <c r="L57" i="1"/>
  <c r="K24" i="1"/>
  <c r="M24" i="1" s="1"/>
  <c r="K110" i="1"/>
  <c r="M110" i="1" s="1"/>
  <c r="K41" i="1"/>
  <c r="M41" i="1" s="1"/>
  <c r="K187" i="1"/>
  <c r="K37" i="1"/>
  <c r="K82" i="1"/>
  <c r="L59" i="1"/>
  <c r="M59" i="1" s="1"/>
  <c r="L86" i="1"/>
  <c r="L187" i="1"/>
  <c r="L78" i="1"/>
  <c r="M78" i="1" s="1"/>
  <c r="M79" i="1" s="1"/>
  <c r="L37" i="1"/>
  <c r="L42" i="1"/>
  <c r="K19" i="1"/>
  <c r="K27" i="1"/>
  <c r="K26" i="1"/>
  <c r="M26" i="1" s="1"/>
  <c r="K62" i="1"/>
  <c r="M62" i="1" s="1"/>
  <c r="K8" i="1"/>
  <c r="K6" i="1"/>
  <c r="K55" i="1"/>
  <c r="M55" i="1" s="1"/>
  <c r="K97" i="1"/>
  <c r="M97" i="1" s="1"/>
  <c r="K50" i="1"/>
  <c r="K44" i="1"/>
  <c r="K29" i="1"/>
  <c r="M29" i="1" s="1"/>
  <c r="K61" i="1"/>
  <c r="K4" i="1"/>
  <c r="K67" i="1"/>
  <c r="L19" i="1"/>
  <c r="L27" i="1"/>
  <c r="L61" i="1"/>
  <c r="L92" i="1"/>
  <c r="M92" i="1" s="1"/>
  <c r="L28" i="1"/>
  <c r="M28" i="1" s="1"/>
  <c r="L21" i="1"/>
  <c r="L93" i="1"/>
  <c r="L71" i="1"/>
  <c r="M71" i="1" s="1"/>
  <c r="M73" i="1" s="1"/>
  <c r="L10" i="1"/>
  <c r="L84" i="1"/>
  <c r="M84" i="1" s="1"/>
  <c r="M85" i="1" s="1"/>
  <c r="L98" i="1"/>
  <c r="M98" i="1" s="1"/>
  <c r="L82" i="1"/>
  <c r="L43" i="1"/>
  <c r="L112" i="1"/>
  <c r="M112" i="1" s="1"/>
  <c r="L76" i="1"/>
  <c r="L45" i="1"/>
  <c r="K20" i="1"/>
  <c r="K60" i="1"/>
  <c r="K87" i="1"/>
  <c r="M87" i="1" s="1"/>
  <c r="K74" i="1"/>
  <c r="M74" i="1" s="1"/>
  <c r="K64" i="1"/>
  <c r="M64" i="1" s="1"/>
  <c r="M66" i="1" s="1"/>
  <c r="K10" i="1"/>
  <c r="K104" i="1"/>
  <c r="M104" i="1" s="1"/>
  <c r="M105" i="1" s="1"/>
  <c r="K54" i="1"/>
  <c r="K48" i="1"/>
  <c r="M48" i="1" s="1"/>
  <c r="K46" i="1"/>
  <c r="M46" i="1" s="1"/>
  <c r="K76" i="1"/>
  <c r="K186" i="1"/>
  <c r="M186" i="1" s="1"/>
  <c r="K15" i="1"/>
  <c r="M15" i="1" s="1"/>
  <c r="K22" i="1"/>
  <c r="K21" i="1"/>
  <c r="K57" i="1"/>
  <c r="K86" i="1"/>
  <c r="K113" i="1"/>
  <c r="M113" i="1" s="1"/>
  <c r="K69" i="1"/>
  <c r="M69" i="1" s="1"/>
  <c r="M70" i="1" s="1"/>
  <c r="K52" i="1"/>
  <c r="M52" i="1" s="1"/>
  <c r="M53" i="1" s="1"/>
  <c r="K39" i="1"/>
  <c r="M39" i="1" s="1"/>
  <c r="M40" i="1" s="1"/>
  <c r="K42" i="1"/>
  <c r="K43" i="1"/>
  <c r="K31" i="1"/>
  <c r="K45" i="1"/>
  <c r="L18" i="1"/>
  <c r="L58" i="1"/>
  <c r="L88" i="1"/>
  <c r="M88" i="1" s="1"/>
  <c r="L90" i="1"/>
  <c r="M90" i="1" s="1"/>
  <c r="L4" i="1"/>
  <c r="L8" i="1"/>
  <c r="L7" i="1"/>
  <c r="M7" i="1" s="1"/>
  <c r="L6" i="1"/>
  <c r="L67" i="1"/>
  <c r="L50" i="1"/>
  <c r="L81" i="1"/>
  <c r="M81" i="1" s="1"/>
  <c r="L44" i="1"/>
  <c r="L47" i="1"/>
  <c r="M47" i="1" s="1"/>
  <c r="L17" i="1"/>
  <c r="K14" i="1"/>
  <c r="L14" i="1"/>
  <c r="K17" i="1"/>
  <c r="M115" i="1" l="1"/>
  <c r="M100" i="1"/>
  <c r="M4" i="1"/>
  <c r="M95" i="1"/>
  <c r="M96" i="1" s="1"/>
  <c r="M21" i="1"/>
  <c r="M43" i="1"/>
  <c r="M18" i="1"/>
  <c r="M86" i="1"/>
  <c r="M89" i="1" s="1"/>
  <c r="M93" i="1"/>
  <c r="M94" i="1" s="1"/>
  <c r="M50" i="1"/>
  <c r="M51" i="1" s="1"/>
  <c r="M31" i="1"/>
  <c r="M32" i="1" s="1"/>
  <c r="M54" i="1"/>
  <c r="M56" i="1" s="1"/>
  <c r="M60" i="1"/>
  <c r="M20" i="1"/>
  <c r="M58" i="1"/>
  <c r="M22" i="1"/>
  <c r="M44" i="1"/>
  <c r="M19" i="1"/>
  <c r="M10" i="1"/>
  <c r="M37" i="1"/>
  <c r="M38" i="1" s="1"/>
  <c r="M8" i="1"/>
  <c r="M45" i="1"/>
  <c r="M67" i="1"/>
  <c r="M68" i="1" s="1"/>
  <c r="M57" i="1"/>
  <c r="M6" i="1"/>
  <c r="M42" i="1"/>
  <c r="M76" i="1"/>
  <c r="M77" i="1" s="1"/>
  <c r="M61" i="1"/>
  <c r="M187" i="1"/>
  <c r="M190" i="1" s="1"/>
  <c r="M82" i="1"/>
  <c r="M83" i="1" s="1"/>
  <c r="M27" i="1"/>
  <c r="M14" i="1"/>
  <c r="M16" i="1" s="1"/>
  <c r="M17" i="1"/>
  <c r="M63" i="1" l="1"/>
  <c r="M49" i="1"/>
  <c r="M30" i="1"/>
  <c r="M11" i="1"/>
  <c r="K3" i="4"/>
  <c r="E3" i="4"/>
  <c r="G3" i="4" s="1"/>
  <c r="J2" i="1"/>
  <c r="E6" i="4" l="1"/>
  <c r="K2" i="1"/>
  <c r="J6" i="4" s="1"/>
  <c r="L2" i="1"/>
  <c r="K6" i="4" s="1"/>
  <c r="K9" i="4" s="1"/>
  <c r="M2" i="1" l="1"/>
  <c r="M3" i="1" s="1"/>
  <c r="E9" i="4"/>
  <c r="G6" i="4"/>
  <c r="G9" i="4" s="1"/>
  <c r="I183" i="1"/>
  <c r="F6" i="4" l="1"/>
  <c r="D3" i="4"/>
  <c r="D9" i="4" s="1"/>
  <c r="K183" i="1"/>
  <c r="J3" i="4" s="1"/>
  <c r="J9" i="4" s="1"/>
  <c r="K11" i="4" s="1"/>
  <c r="F3" i="4" l="1"/>
  <c r="F9" i="4" s="1"/>
  <c r="G11" i="4" s="1"/>
  <c r="G13" i="4" s="1"/>
  <c r="K12" i="4" s="1"/>
  <c r="M183" i="1"/>
  <c r="M184" i="1" s="1"/>
</calcChain>
</file>

<file path=xl/sharedStrings.xml><?xml version="1.0" encoding="utf-8"?>
<sst xmlns="http://schemas.openxmlformats.org/spreadsheetml/2006/main" count="2625" uniqueCount="953">
  <si>
    <t>GL Description</t>
  </si>
  <si>
    <t>Building</t>
  </si>
  <si>
    <t>Room</t>
  </si>
  <si>
    <t>Model</t>
  </si>
  <si>
    <t>Serial Number</t>
  </si>
  <si>
    <t>IP Address</t>
  </si>
  <si>
    <t>Device Type</t>
  </si>
  <si>
    <t>Prev Color Click Count</t>
  </si>
  <si>
    <t>Current Color Click Count</t>
  </si>
  <si>
    <t>Color Click Charge</t>
  </si>
  <si>
    <t>Device Total Click Charge</t>
  </si>
  <si>
    <t>Air Force Rotc</t>
  </si>
  <si>
    <t>10_03_011_02100_5521</t>
  </si>
  <si>
    <t>ROTC-Air Force</t>
  </si>
  <si>
    <t>Kilbourne Hall</t>
  </si>
  <si>
    <t>AF SP4310N</t>
  </si>
  <si>
    <t>T1129010871</t>
  </si>
  <si>
    <t>144.75.187.135</t>
  </si>
  <si>
    <t>Printer</t>
  </si>
  <si>
    <t>T1129010832</t>
  </si>
  <si>
    <t>144.75.187.138</t>
  </si>
  <si>
    <t>Army Rotc</t>
  </si>
  <si>
    <t>10_03_011_04100_5521</t>
  </si>
  <si>
    <t>ROTC-Army</t>
  </si>
  <si>
    <t>AF MPC3502</t>
  </si>
  <si>
    <t>W502L600854</t>
  </si>
  <si>
    <t>144.75.187.122</t>
  </si>
  <si>
    <t>MFP</t>
  </si>
  <si>
    <t>T1129010677</t>
  </si>
  <si>
    <t>144.75.187.133</t>
  </si>
  <si>
    <t>T1129010869</t>
  </si>
  <si>
    <t>144.75.187.137</t>
  </si>
  <si>
    <t>T1129010889</t>
  </si>
  <si>
    <t>144.75.187.123</t>
  </si>
  <si>
    <t>T1129010681</t>
  </si>
  <si>
    <t>144.75.187.136</t>
  </si>
  <si>
    <t>T1129010837</t>
  </si>
  <si>
    <t>144.75.187.131</t>
  </si>
  <si>
    <t>T1129010820</t>
  </si>
  <si>
    <t>144.75.187.121</t>
  </si>
  <si>
    <t>T1129010760</t>
  </si>
  <si>
    <t>144.75.187.119</t>
  </si>
  <si>
    <t>T1129010900</t>
  </si>
  <si>
    <t>144.75.187.132</t>
  </si>
  <si>
    <t>T1129010748</t>
  </si>
  <si>
    <t>144.75.187.112</t>
  </si>
  <si>
    <t>T1129010902</t>
  </si>
  <si>
    <t>144.75.187.16</t>
  </si>
  <si>
    <t>T1129010874</t>
  </si>
  <si>
    <t>144.75.187.118</t>
  </si>
  <si>
    <t>T1129010823</t>
  </si>
  <si>
    <t>144.75.187.140</t>
  </si>
  <si>
    <t>Biology</t>
  </si>
  <si>
    <t>Maury Brooke</t>
  </si>
  <si>
    <t>AF MPC2051</t>
  </si>
  <si>
    <t>V9725401445</t>
  </si>
  <si>
    <t>144.75.191.21</t>
  </si>
  <si>
    <t>T1129011365</t>
  </si>
  <si>
    <t>144.75.202.56</t>
  </si>
  <si>
    <t>203A</t>
  </si>
  <si>
    <t>T1128911356</t>
  </si>
  <si>
    <t>144.75.202.51</t>
  </si>
  <si>
    <t>T1129011299</t>
  </si>
  <si>
    <t>144.75.202.57</t>
  </si>
  <si>
    <t>203B</t>
  </si>
  <si>
    <t>T1129011364</t>
  </si>
  <si>
    <t>144.75.202.58</t>
  </si>
  <si>
    <t>203C</t>
  </si>
  <si>
    <t>T1128911365</t>
  </si>
  <si>
    <t>144.75.202.44</t>
  </si>
  <si>
    <t>Chemistry</t>
  </si>
  <si>
    <t>10_03_011_26100_5521</t>
  </si>
  <si>
    <t>303E</t>
  </si>
  <si>
    <t>W502L601221</t>
  </si>
  <si>
    <t>144.75.202.45</t>
  </si>
  <si>
    <t>403H</t>
  </si>
  <si>
    <t>T1129011350</t>
  </si>
  <si>
    <t>144.75.202.13</t>
  </si>
  <si>
    <t>T1129011366</t>
  </si>
  <si>
    <t>144.75.202.14</t>
  </si>
  <si>
    <t>Civil &amp; Environmental Eng.</t>
  </si>
  <si>
    <t>10_03_011_28100_5521</t>
  </si>
  <si>
    <t>Civil Engineering</t>
  </si>
  <si>
    <t>Nichols Hall</t>
  </si>
  <si>
    <t>AF MPC4502</t>
  </si>
  <si>
    <t>W512L700506</t>
  </si>
  <si>
    <t>144.75.193.90</t>
  </si>
  <si>
    <t>T1129011096</t>
  </si>
  <si>
    <t>144.75.193.196</t>
  </si>
  <si>
    <t>T1128812156</t>
  </si>
  <si>
    <t>144.75.189.88</t>
  </si>
  <si>
    <t>410-445</t>
  </si>
  <si>
    <t>AF SPC242DN</t>
  </si>
  <si>
    <t>T202P600371</t>
  </si>
  <si>
    <t>144.75.193.75</t>
  </si>
  <si>
    <t>Economics &amp; Business</t>
  </si>
  <si>
    <t>10_03_011_36100_5521</t>
  </si>
  <si>
    <t>Economics</t>
  </si>
  <si>
    <t>Scott Shipp Hall</t>
  </si>
  <si>
    <t>W512L601991</t>
  </si>
  <si>
    <t>144.75.208.32</t>
  </si>
  <si>
    <t>10_03_011_40100_5521</t>
  </si>
  <si>
    <t>T1128910788</t>
  </si>
  <si>
    <t>144.75.214.43</t>
  </si>
  <si>
    <t>T1128712307</t>
  </si>
  <si>
    <t>144.75.214.34</t>
  </si>
  <si>
    <t>Electrical &amp; Computer Eng.</t>
  </si>
  <si>
    <t>10_03_011_38100_5521</t>
  </si>
  <si>
    <t>Electrical Engineering</t>
  </si>
  <si>
    <t>V9725600283</t>
  </si>
  <si>
    <t>144.75.193.30</t>
  </si>
  <si>
    <t>T1129011173</t>
  </si>
  <si>
    <t>144.75.193.191</t>
  </si>
  <si>
    <t>T1129011106</t>
  </si>
  <si>
    <t>144.75.193.131</t>
  </si>
  <si>
    <t>T1129011160</t>
  </si>
  <si>
    <t>144.75.193.180</t>
  </si>
  <si>
    <t>T1129011159</t>
  </si>
  <si>
    <t>144.75.193.195</t>
  </si>
  <si>
    <t>T1129011158</t>
  </si>
  <si>
    <t>144.75.193.192</t>
  </si>
  <si>
    <t>English &amp; Fine Arts</t>
  </si>
  <si>
    <t>V9725401426</t>
  </si>
  <si>
    <t>144.75.207.26</t>
  </si>
  <si>
    <t>T1128910767</t>
  </si>
  <si>
    <t>144.75.207.54</t>
  </si>
  <si>
    <t>T1128910772</t>
  </si>
  <si>
    <t>144.75.207.34</t>
  </si>
  <si>
    <t>T1128910785</t>
  </si>
  <si>
    <t>144.75.207.53</t>
  </si>
  <si>
    <t>T1128910781</t>
  </si>
  <si>
    <t>144.75.207.52</t>
  </si>
  <si>
    <t>T1128910789</t>
  </si>
  <si>
    <t>144.75.207.56</t>
  </si>
  <si>
    <t>T1128910768</t>
  </si>
  <si>
    <t>144.75.207.50</t>
  </si>
  <si>
    <t>T1128910783</t>
  </si>
  <si>
    <t>144.75.206.31</t>
  </si>
  <si>
    <t>T202P700476</t>
  </si>
  <si>
    <t>144.75.207.58</t>
  </si>
  <si>
    <t>T1128910784</t>
  </si>
  <si>
    <t>144.75.207.55</t>
  </si>
  <si>
    <t>144.75.207.57</t>
  </si>
  <si>
    <t>History</t>
  </si>
  <si>
    <t>10_03_011_48100_5521</t>
  </si>
  <si>
    <t>V9725501224</t>
  </si>
  <si>
    <t>144.75.213.36</t>
  </si>
  <si>
    <t>T1129010431</t>
  </si>
  <si>
    <t>144.75.213.44</t>
  </si>
  <si>
    <t>T1129010430</t>
  </si>
  <si>
    <t>144.75.213.39</t>
  </si>
  <si>
    <t>T1129010424</t>
  </si>
  <si>
    <t>144.75.213.26</t>
  </si>
  <si>
    <t>T1129010422</t>
  </si>
  <si>
    <t>144.75.213.42</t>
  </si>
  <si>
    <t>International Studies</t>
  </si>
  <si>
    <t>144.75.209.65</t>
  </si>
  <si>
    <t>International Programs</t>
  </si>
  <si>
    <t>Old Hospital</t>
  </si>
  <si>
    <t>AF MP301SP</t>
  </si>
  <si>
    <t>W912P601488</t>
  </si>
  <si>
    <t>144.75.180.72</t>
  </si>
  <si>
    <t>T1128910774</t>
  </si>
  <si>
    <t>144.75.210.44</t>
  </si>
  <si>
    <t>T1129010389</t>
  </si>
  <si>
    <t>144.75.210.27</t>
  </si>
  <si>
    <t>10_03_011_64100_5521</t>
  </si>
  <si>
    <t>Mathematics</t>
  </si>
  <si>
    <t>Mallory Hall</t>
  </si>
  <si>
    <t>W512L601983</t>
  </si>
  <si>
    <t>144.75.182.151</t>
  </si>
  <si>
    <t>T1129011355</t>
  </si>
  <si>
    <t>144.75.182.61</t>
  </si>
  <si>
    <t>T1129011357</t>
  </si>
  <si>
    <t>144.75.182.239</t>
  </si>
  <si>
    <t>10_03_011_64125_5521</t>
  </si>
  <si>
    <t>MERC Operating</t>
  </si>
  <si>
    <t>Preston Library</t>
  </si>
  <si>
    <t>V9725501242</t>
  </si>
  <si>
    <t>144.75.181.16</t>
  </si>
  <si>
    <t>Mechanical Engineering</t>
  </si>
  <si>
    <t>10_03_011_66100_5521</t>
  </si>
  <si>
    <t>W512L601966</t>
  </si>
  <si>
    <t>144.75.193.6</t>
  </si>
  <si>
    <t>T1129011154</t>
  </si>
  <si>
    <t>144.75.193.197</t>
  </si>
  <si>
    <t>T202P600942</t>
  </si>
  <si>
    <t>144.75.193.118</t>
  </si>
  <si>
    <t>Modern Languages</t>
  </si>
  <si>
    <t>10_03_011_68100_5521</t>
  </si>
  <si>
    <t>V9725501168</t>
  </si>
  <si>
    <t>144.75.210.33</t>
  </si>
  <si>
    <t>T1129011164</t>
  </si>
  <si>
    <t>144.75.213.45</t>
  </si>
  <si>
    <t>T1128910773</t>
  </si>
  <si>
    <t>144.75.209.67</t>
  </si>
  <si>
    <t>144.75.209.70</t>
  </si>
  <si>
    <t>Naval Rotc</t>
  </si>
  <si>
    <t>10_03_011_72100_5521</t>
  </si>
  <si>
    <t>ROTC-Navy</t>
  </si>
  <si>
    <t>T1129010744</t>
  </si>
  <si>
    <t>144.75.187.31</t>
  </si>
  <si>
    <t>144.75.187.107</t>
  </si>
  <si>
    <t>T1129010868</t>
  </si>
  <si>
    <t>144.75.187.115</t>
  </si>
  <si>
    <t>Physical Education</t>
  </si>
  <si>
    <t>10_03_011_76100_5521</t>
  </si>
  <si>
    <t>Cocke Hall</t>
  </si>
  <si>
    <t>W502L700470</t>
  </si>
  <si>
    <t>144.75.177.38</t>
  </si>
  <si>
    <t>T1128911213</t>
  </si>
  <si>
    <t>144.75.177.49</t>
  </si>
  <si>
    <t>320C</t>
  </si>
  <si>
    <t>T1128810903</t>
  </si>
  <si>
    <t>144.75.177.33</t>
  </si>
  <si>
    <t>T202P700454</t>
  </si>
  <si>
    <t>Physics &amp; Astronomy</t>
  </si>
  <si>
    <t>W502L601236</t>
  </si>
  <si>
    <t>144.75.182.208</t>
  </si>
  <si>
    <t>T1129011359</t>
  </si>
  <si>
    <t>144.75.182.15</t>
  </si>
  <si>
    <t>10_03_011_86100_5521</t>
  </si>
  <si>
    <t>Psychology &amp; Philosophy</t>
  </si>
  <si>
    <t>Carroll Hall</t>
  </si>
  <si>
    <t>W512L601987</t>
  </si>
  <si>
    <t>144.75.195.105</t>
  </si>
  <si>
    <t>T1128911364</t>
  </si>
  <si>
    <t>144.75.195.106</t>
  </si>
  <si>
    <t>T1128911358</t>
  </si>
  <si>
    <t>144.75.195.9</t>
  </si>
  <si>
    <t>T1128911367</t>
  </si>
  <si>
    <t>144.75.195.32</t>
  </si>
  <si>
    <t>Museum Operations</t>
  </si>
  <si>
    <t>10_03_031_70100_5521</t>
  </si>
  <si>
    <t>Museum</t>
  </si>
  <si>
    <t>Jackson Memorial</t>
  </si>
  <si>
    <t>V9725401442</t>
  </si>
  <si>
    <t>144.75.194.6</t>
  </si>
  <si>
    <t>10_03_011_34175_5521</t>
  </si>
  <si>
    <t>Libraries</t>
  </si>
  <si>
    <t>W502L700081</t>
  </si>
  <si>
    <t>144.75.197.69</t>
  </si>
  <si>
    <t>10_03_041_62100_5521</t>
  </si>
  <si>
    <t>400B</t>
  </si>
  <si>
    <t>V9725401436</t>
  </si>
  <si>
    <t>144.75.196.28</t>
  </si>
  <si>
    <t>Circ Desk</t>
  </si>
  <si>
    <t>V9725500671</t>
  </si>
  <si>
    <t>144.75.185.38</t>
  </si>
  <si>
    <t>T2238911520</t>
  </si>
  <si>
    <t>144.75.185.13</t>
  </si>
  <si>
    <t>T1129011038</t>
  </si>
  <si>
    <t>144.75.196.8</t>
  </si>
  <si>
    <t>T1128911511</t>
  </si>
  <si>
    <t>144.75.185.11</t>
  </si>
  <si>
    <t>T1128811625</t>
  </si>
  <si>
    <t>144.75.196.12</t>
  </si>
  <si>
    <t>T1128712304</t>
  </si>
  <si>
    <t>144.75.196.71</t>
  </si>
  <si>
    <t>300A</t>
  </si>
  <si>
    <t>T1128710718</t>
  </si>
  <si>
    <t>144.75.197.15</t>
  </si>
  <si>
    <t>T1128811936</t>
  </si>
  <si>
    <t>144.75.185.100</t>
  </si>
  <si>
    <t>T1128811633</t>
  </si>
  <si>
    <t>144.75.197.11</t>
  </si>
  <si>
    <t>T1129011155</t>
  </si>
  <si>
    <t>144.75.196.9</t>
  </si>
  <si>
    <t>T1128911524</t>
  </si>
  <si>
    <t>144.75.197.12</t>
  </si>
  <si>
    <t>Information Technology</t>
  </si>
  <si>
    <t>10_03_043_50100_5521</t>
  </si>
  <si>
    <t>IST</t>
  </si>
  <si>
    <t>W512L601973</t>
  </si>
  <si>
    <t>144.75.5.14</t>
  </si>
  <si>
    <t>T1129011126</t>
  </si>
  <si>
    <t>144.75.5.68</t>
  </si>
  <si>
    <t>Dean's Office</t>
  </si>
  <si>
    <t>10_03_045_34100_5521</t>
  </si>
  <si>
    <t>Smith Hall</t>
  </si>
  <si>
    <t>V9725401451</t>
  </si>
  <si>
    <t>144.75.179.99</t>
  </si>
  <si>
    <t>T1128911226</t>
  </si>
  <si>
    <t>144.75.179.101</t>
  </si>
  <si>
    <t>T1128911227</t>
  </si>
  <si>
    <t>144.75.179.56</t>
  </si>
  <si>
    <t>T202P700469</t>
  </si>
  <si>
    <t>144.75.179.11</t>
  </si>
  <si>
    <t>Writing Center</t>
  </si>
  <si>
    <t>10_03_045_99200_5521</t>
  </si>
  <si>
    <t>W502L700053</t>
  </si>
  <si>
    <t>144.75.195.87</t>
  </si>
  <si>
    <t>T1128910779</t>
  </si>
  <si>
    <t>144.75.195.99</t>
  </si>
  <si>
    <t>T1128910778</t>
  </si>
  <si>
    <t>144.75.195.34</t>
  </si>
  <si>
    <t>Career Services / Financial Aid</t>
  </si>
  <si>
    <t>10_03_053_20300_5521</t>
  </si>
  <si>
    <t>Financial Aid Administration</t>
  </si>
  <si>
    <t>T1128911361</t>
  </si>
  <si>
    <t>144.75.195.81</t>
  </si>
  <si>
    <t>T1128910754</t>
  </si>
  <si>
    <t>144.75.195.25</t>
  </si>
  <si>
    <t>T1128911369</t>
  </si>
  <si>
    <t>144.75.195.109</t>
  </si>
  <si>
    <t>T1128911363</t>
  </si>
  <si>
    <t>144.75.195.229</t>
  </si>
  <si>
    <t>Admissions</t>
  </si>
  <si>
    <t>10_03_054_01100_5521</t>
  </si>
  <si>
    <t>307 Letcher</t>
  </si>
  <si>
    <t>W502L600872</t>
  </si>
  <si>
    <t>144.75.215.48</t>
  </si>
  <si>
    <t>T202P700462</t>
  </si>
  <si>
    <t>T1129010899</t>
  </si>
  <si>
    <t>144.75.178.24</t>
  </si>
  <si>
    <t>T202P700447</t>
  </si>
  <si>
    <t>144.75.186.28</t>
  </si>
  <si>
    <t>T202P700463</t>
  </si>
  <si>
    <t>144.75.186.29</t>
  </si>
  <si>
    <t>T202P700465</t>
  </si>
  <si>
    <t>144.75.186.25</t>
  </si>
  <si>
    <t>T1128911219</t>
  </si>
  <si>
    <t>144.75.215.43</t>
  </si>
  <si>
    <t>T202P600637</t>
  </si>
  <si>
    <t>T1129010877</t>
  </si>
  <si>
    <t>144.75.186.30</t>
  </si>
  <si>
    <t>Learning Center</t>
  </si>
  <si>
    <t>10_03_054_60100_5521</t>
  </si>
  <si>
    <t>Learning Programs</t>
  </si>
  <si>
    <t>207A</t>
  </si>
  <si>
    <t>T1128811582</t>
  </si>
  <si>
    <t>144.75.195.46</t>
  </si>
  <si>
    <t>Miller Head Clinic</t>
  </si>
  <si>
    <t>T1128911370</t>
  </si>
  <si>
    <t>144.75.195.92</t>
  </si>
  <si>
    <t>Registrar Office</t>
  </si>
  <si>
    <t>10_03_054_90100_5521</t>
  </si>
  <si>
    <t>Registration &amp; Records</t>
  </si>
  <si>
    <t>Shell Hall</t>
  </si>
  <si>
    <t>T1129012229</t>
  </si>
  <si>
    <t>144.75.180.58</t>
  </si>
  <si>
    <t>T1129012238</t>
  </si>
  <si>
    <t>144.75.180.38</t>
  </si>
  <si>
    <t>T1129012240</t>
  </si>
  <si>
    <t>144.75.180.42</t>
  </si>
  <si>
    <t>10_07_205_90300_5521</t>
  </si>
  <si>
    <t>T202P700442</t>
  </si>
  <si>
    <t>144.75.180.103</t>
  </si>
  <si>
    <t>T202P700458</t>
  </si>
  <si>
    <t>144.75.180.41</t>
  </si>
  <si>
    <t>Financial Aid</t>
  </si>
  <si>
    <t>T1128911371</t>
  </si>
  <si>
    <t>144.75.195.91</t>
  </si>
  <si>
    <t>302D</t>
  </si>
  <si>
    <t>T1128911366</t>
  </si>
  <si>
    <t>144.75.195.102</t>
  </si>
  <si>
    <t>302A</t>
  </si>
  <si>
    <t>T1128910753</t>
  </si>
  <si>
    <t>144.75.195.38</t>
  </si>
  <si>
    <t>302B</t>
  </si>
  <si>
    <t>T1128811968</t>
  </si>
  <si>
    <t>144.75.195.10</t>
  </si>
  <si>
    <t>T1128911268</t>
  </si>
  <si>
    <t>144.75.195.101</t>
  </si>
  <si>
    <t>Superintendents Office</t>
  </si>
  <si>
    <t>10_03_061_94100_5521</t>
  </si>
  <si>
    <t>W502L600891</t>
  </si>
  <si>
    <t>144.75.179.53</t>
  </si>
  <si>
    <t>Superintendent's Office</t>
  </si>
  <si>
    <t>T1128811618</t>
  </si>
  <si>
    <t>144.75.179.77</t>
  </si>
  <si>
    <t>T1128911097</t>
  </si>
  <si>
    <t>144.75.179.107</t>
  </si>
  <si>
    <t>T1128911224</t>
  </si>
  <si>
    <t>144.75.179.108</t>
  </si>
  <si>
    <t>T1128911225</t>
  </si>
  <si>
    <t>144.75.179.109</t>
  </si>
  <si>
    <t>Treasurer's Office</t>
  </si>
  <si>
    <t>10_03_062_16100_5521</t>
  </si>
  <si>
    <t>Business Executive</t>
  </si>
  <si>
    <t>Business Office</t>
  </si>
  <si>
    <t>T1128911215</t>
  </si>
  <si>
    <t>144.75.179.115</t>
  </si>
  <si>
    <t>T1128911216</t>
  </si>
  <si>
    <t>144.75.179.65</t>
  </si>
  <si>
    <t>T1129012215</t>
  </si>
  <si>
    <t>144.75.179.113</t>
  </si>
  <si>
    <t>T1129012239</t>
  </si>
  <si>
    <t>144.75.179.114</t>
  </si>
  <si>
    <t>Comptrollers</t>
  </si>
  <si>
    <t>10_03_062_32100_5521</t>
  </si>
  <si>
    <t>Comptroller's Office</t>
  </si>
  <si>
    <t>V9725401454</t>
  </si>
  <si>
    <t>T1129012230</t>
  </si>
  <si>
    <t>144.75.179.43</t>
  </si>
  <si>
    <t>Human Resources</t>
  </si>
  <si>
    <t>10_03_063_74100_5521</t>
  </si>
  <si>
    <t>Personnel Administration</t>
  </si>
  <si>
    <t>V9725401440</t>
  </si>
  <si>
    <t>144.75.215.28</t>
  </si>
  <si>
    <t>T1129010888</t>
  </si>
  <si>
    <t>144.75.215.69</t>
  </si>
  <si>
    <t>T1129010903</t>
  </si>
  <si>
    <t>144.75.215.22</t>
  </si>
  <si>
    <t>T1129010833</t>
  </si>
  <si>
    <t>144.75.215.14</t>
  </si>
  <si>
    <t>T1129010891</t>
  </si>
  <si>
    <t>144.75.215.52</t>
  </si>
  <si>
    <t>Purchasing</t>
  </si>
  <si>
    <t>10_03_064_32105_5521</t>
  </si>
  <si>
    <t>Purchasing Office</t>
  </si>
  <si>
    <t>AF MP4002</t>
  </si>
  <si>
    <t>W522L700681</t>
  </si>
  <si>
    <t>144.75.179.66</t>
  </si>
  <si>
    <t>10_03_064_32145_5521</t>
  </si>
  <si>
    <t>AF MP6001</t>
  </si>
  <si>
    <t>V6925300966</t>
  </si>
  <si>
    <t>144.75.212.17</t>
  </si>
  <si>
    <t>Duplicating</t>
  </si>
  <si>
    <t>AF MPC6501</t>
  </si>
  <si>
    <t>V7620500472</t>
  </si>
  <si>
    <t>144.75.179.103</t>
  </si>
  <si>
    <t>Old Barracks</t>
  </si>
  <si>
    <t>B8</t>
  </si>
  <si>
    <t>T202P700470</t>
  </si>
  <si>
    <t>144.75.190.50</t>
  </si>
  <si>
    <t>10_03_064_50550_5521</t>
  </si>
  <si>
    <t>Printer Services</t>
  </si>
  <si>
    <t>New Barracks</t>
  </si>
  <si>
    <t>C11</t>
  </si>
  <si>
    <t>W522L700693</t>
  </si>
  <si>
    <t>144.75.188.60</t>
  </si>
  <si>
    <t>W522L700688</t>
  </si>
  <si>
    <t>144.75.188.50</t>
  </si>
  <si>
    <t>V7620400172</t>
  </si>
  <si>
    <t>144.75.195.225</t>
  </si>
  <si>
    <t>ADV</t>
  </si>
  <si>
    <t>210C</t>
  </si>
  <si>
    <t>T1128911292</t>
  </si>
  <si>
    <t>144.75.195.20</t>
  </si>
  <si>
    <t>T1129011291</t>
  </si>
  <si>
    <t>144.75.182.5</t>
  </si>
  <si>
    <t>204A</t>
  </si>
  <si>
    <t>T1129011358</t>
  </si>
  <si>
    <t>144.75.202.47</t>
  </si>
  <si>
    <t>T1128811663</t>
  </si>
  <si>
    <t>144.75.193.42</t>
  </si>
  <si>
    <t>T1128710825</t>
  </si>
  <si>
    <t>144.75.189.87</t>
  </si>
  <si>
    <t>T1128811911</t>
  </si>
  <si>
    <t>144.75.193.178</t>
  </si>
  <si>
    <t>T1129011165</t>
  </si>
  <si>
    <t>144.75.193.12</t>
  </si>
  <si>
    <t>T1128811954</t>
  </si>
  <si>
    <t>144.75.193.212</t>
  </si>
  <si>
    <t>T1128811955</t>
  </si>
  <si>
    <t>144.75.193.74</t>
  </si>
  <si>
    <t>T1128811953</t>
  </si>
  <si>
    <t>144.75.193.69</t>
  </si>
  <si>
    <t>T1129011163</t>
  </si>
  <si>
    <t>144.75.189.15</t>
  </si>
  <si>
    <t>W912P602284</t>
  </si>
  <si>
    <t>144.75.182.242</t>
  </si>
  <si>
    <t>T1128811629</t>
  </si>
  <si>
    <t>144.75.182.193</t>
  </si>
  <si>
    <t>T1129011168</t>
  </si>
  <si>
    <t>144.75.193.198</t>
  </si>
  <si>
    <t>T1129011167</t>
  </si>
  <si>
    <t>144.75.193.199</t>
  </si>
  <si>
    <t>T1128910780</t>
  </si>
  <si>
    <t>144.75.209.11</t>
  </si>
  <si>
    <t>T1129011352</t>
  </si>
  <si>
    <t>144.75.182.246</t>
  </si>
  <si>
    <t>T1129010306</t>
  </si>
  <si>
    <t>144.74.185.15</t>
  </si>
  <si>
    <t>T1129011161</t>
  </si>
  <si>
    <t>144.75.185.49</t>
  </si>
  <si>
    <t>Mail Services</t>
  </si>
  <si>
    <t>10_03_064_82140_5521</t>
  </si>
  <si>
    <t>Post Mail</t>
  </si>
  <si>
    <t>C10</t>
  </si>
  <si>
    <t>W912P602291</t>
  </si>
  <si>
    <t>144.75.130.87</t>
  </si>
  <si>
    <t>Protocol Office</t>
  </si>
  <si>
    <t>10_03_065_84100_5521</t>
  </si>
  <si>
    <t>T1129010803</t>
  </si>
  <si>
    <t>144.75.215.9</t>
  </si>
  <si>
    <t>Communications &amp; Marketing/Institutional Research</t>
  </si>
  <si>
    <t>10_03_045_54100_5521</t>
  </si>
  <si>
    <t>Communications &amp; Marketing</t>
  </si>
  <si>
    <t>V9725500667</t>
  </si>
  <si>
    <t>144.75.179.233</t>
  </si>
  <si>
    <t>Communications and Marketing</t>
  </si>
  <si>
    <t>10_03_065_88100_5521</t>
  </si>
  <si>
    <t>114A</t>
  </si>
  <si>
    <t>T1128911218</t>
  </si>
  <si>
    <t>144.75.179.110</t>
  </si>
  <si>
    <t>Public Relations</t>
  </si>
  <si>
    <t>W912P602281</t>
  </si>
  <si>
    <t>144.75.179.81</t>
  </si>
  <si>
    <t>30_00_310_06104_5521</t>
  </si>
  <si>
    <t>W912P602286</t>
  </si>
  <si>
    <t>144.75.179.49</t>
  </si>
  <si>
    <t>Physical Plant</t>
  </si>
  <si>
    <t>10_03_071_14100_5521</t>
  </si>
  <si>
    <t>Physical Plant Administration</t>
  </si>
  <si>
    <t>V9725401439</t>
  </si>
  <si>
    <t>144.75.218.6</t>
  </si>
  <si>
    <t>W912P602228</t>
  </si>
  <si>
    <t>144.75.218.8</t>
  </si>
  <si>
    <t>T1129012156</t>
  </si>
  <si>
    <t>144.75.218.7</t>
  </si>
  <si>
    <t>T1129012227</t>
  </si>
  <si>
    <t>144.75.218.55</t>
  </si>
  <si>
    <t>T1129012236</t>
  </si>
  <si>
    <t>144.75.218.57</t>
  </si>
  <si>
    <t>Office of Construction</t>
  </si>
  <si>
    <t>Hallway</t>
  </si>
  <si>
    <t>W502L700003</t>
  </si>
  <si>
    <t>144.75.201.7</t>
  </si>
  <si>
    <t>T1129010870</t>
  </si>
  <si>
    <t>144.75.201.9</t>
  </si>
  <si>
    <t>T1129010901</t>
  </si>
  <si>
    <t>144.75.201.21</t>
  </si>
  <si>
    <t>Chaplains Office</t>
  </si>
  <si>
    <t>10_07_205_24100_5521</t>
  </si>
  <si>
    <t>UMA-Counselors Office</t>
  </si>
  <si>
    <t>W912P601485</t>
  </si>
  <si>
    <t>144.75.180.73</t>
  </si>
  <si>
    <t>Commandant's Office</t>
  </si>
  <si>
    <t>10_07_205_30150_5521</t>
  </si>
  <si>
    <t>UMA-Commandant's Office</t>
  </si>
  <si>
    <t>W512L601992</t>
  </si>
  <si>
    <t>144.75.190.18</t>
  </si>
  <si>
    <t>144.75.190.21</t>
  </si>
  <si>
    <t>135C</t>
  </si>
  <si>
    <t>T1129012232</t>
  </si>
  <si>
    <t>144.75.190.22</t>
  </si>
  <si>
    <t>Guard Room</t>
  </si>
  <si>
    <t>T1128811958</t>
  </si>
  <si>
    <t>144.75.190.30</t>
  </si>
  <si>
    <t>OC Hole</t>
  </si>
  <si>
    <t>3-303</t>
  </si>
  <si>
    <t>W912P602290</t>
  </si>
  <si>
    <t>144.75.143.18</t>
  </si>
  <si>
    <t>Band</t>
  </si>
  <si>
    <t>10_07_205_30200_5521</t>
  </si>
  <si>
    <t>UMA-Band</t>
  </si>
  <si>
    <t>W912P602276</t>
  </si>
  <si>
    <t>144.75.180.76</t>
  </si>
  <si>
    <t>Academic Advising</t>
  </si>
  <si>
    <t>V9725401429</t>
  </si>
  <si>
    <t>144.75.195.41</t>
  </si>
  <si>
    <t>Military Store</t>
  </si>
  <si>
    <t>10_08_302_82190_5521</t>
  </si>
  <si>
    <t>AUX-Military Store</t>
  </si>
  <si>
    <t>Richardson Hall</t>
  </si>
  <si>
    <t>V9725700303</t>
  </si>
  <si>
    <t>144.75.180.200</t>
  </si>
  <si>
    <t>T1129012233</t>
  </si>
  <si>
    <t>144.75.180.101</t>
  </si>
  <si>
    <t>T1129012234</t>
  </si>
  <si>
    <t>Laundry</t>
  </si>
  <si>
    <t>10_08_303_82240_5521</t>
  </si>
  <si>
    <t>AUX-Laundry &amp; Pressing</t>
  </si>
  <si>
    <t>W912P602288</t>
  </si>
  <si>
    <t>144.75.195.6</t>
  </si>
  <si>
    <t>T202P700340</t>
  </si>
  <si>
    <t>144.75.195.95</t>
  </si>
  <si>
    <t>Infirmary</t>
  </si>
  <si>
    <t>10_08_305_80150_5521</t>
  </si>
  <si>
    <t>AUX-Student Health</t>
  </si>
  <si>
    <t>V9725401375</t>
  </si>
  <si>
    <t>144.75.176.46</t>
  </si>
  <si>
    <t>V9725401162</t>
  </si>
  <si>
    <t>144.75.176.21</t>
  </si>
  <si>
    <t>T1128710823</t>
  </si>
  <si>
    <t>144.75.176.20</t>
  </si>
  <si>
    <t>Newspaper</t>
  </si>
  <si>
    <t>10_08_307_18380_5521</t>
  </si>
  <si>
    <t>Student Union</t>
  </si>
  <si>
    <t>W912P602285</t>
  </si>
  <si>
    <t>144.75.86.16</t>
  </si>
  <si>
    <t>Auxiliary Services</t>
  </si>
  <si>
    <t>10_08_309_82115_5521</t>
  </si>
  <si>
    <t>Auxiliary Administration</t>
  </si>
  <si>
    <t>V9725500651</t>
  </si>
  <si>
    <t>144.75.177.32</t>
  </si>
  <si>
    <t>Athletics</t>
  </si>
  <si>
    <t>Cameron Hall</t>
  </si>
  <si>
    <t>T1129010385</t>
  </si>
  <si>
    <t>144.75.183.63</t>
  </si>
  <si>
    <t>Sport Medicine</t>
  </si>
  <si>
    <t>T1129010423</t>
  </si>
  <si>
    <t>144.75.183.71</t>
  </si>
  <si>
    <t>30_00_310_06090_5521</t>
  </si>
  <si>
    <t>T1129010429</t>
  </si>
  <si>
    <t>144.75.183.65</t>
  </si>
  <si>
    <t>Center for Leadership &amp; Ethics</t>
  </si>
  <si>
    <t>30_00_045_61150_5521</t>
  </si>
  <si>
    <t>V9725400756</t>
  </si>
  <si>
    <t>144.75.215.6</t>
  </si>
  <si>
    <t>T1129012327</t>
  </si>
  <si>
    <t>144.75.215.10</t>
  </si>
  <si>
    <t>T1129011351</t>
  </si>
  <si>
    <t>144.75.215.30</t>
  </si>
  <si>
    <t>Football Office</t>
  </si>
  <si>
    <t>30_00_310_06000_5521</t>
  </si>
  <si>
    <t>Football</t>
  </si>
  <si>
    <t>Clarkson McKenna Hall</t>
  </si>
  <si>
    <t>W502L600898</t>
  </si>
  <si>
    <t>144.75.216.14</t>
  </si>
  <si>
    <t>Football Department</t>
  </si>
  <si>
    <t>T1129012226</t>
  </si>
  <si>
    <t>144.75.216.21</t>
  </si>
  <si>
    <t>30_00_310_06020_5521</t>
  </si>
  <si>
    <t>Track &amp; Cross Country</t>
  </si>
  <si>
    <t>T1129010426</t>
  </si>
  <si>
    <t>144.75.183.68</t>
  </si>
  <si>
    <t>30_00_310_06095_5521</t>
  </si>
  <si>
    <t>Soccer - Women</t>
  </si>
  <si>
    <t>T1129010419</t>
  </si>
  <si>
    <t>144.75.183.69</t>
  </si>
  <si>
    <t>30_00_310_06110_5521</t>
  </si>
  <si>
    <t>Administrative</t>
  </si>
  <si>
    <t>V9725401418</t>
  </si>
  <si>
    <t>144.75.183.52</t>
  </si>
  <si>
    <t>V7620400078</t>
  </si>
  <si>
    <t>144.75.183.56</t>
  </si>
  <si>
    <t>W912P602280</t>
  </si>
  <si>
    <t>144.75.183.73</t>
  </si>
  <si>
    <t>T1129010427</t>
  </si>
  <si>
    <t>144.75.183.9</t>
  </si>
  <si>
    <t>T1129010420</t>
  </si>
  <si>
    <t>144.75.183.64</t>
  </si>
  <si>
    <t>T1129010428</t>
  </si>
  <si>
    <t>144.75.183.67</t>
  </si>
  <si>
    <t>T1129010421</t>
  </si>
  <si>
    <t>144.75.183.62</t>
  </si>
  <si>
    <t>B&amp;W
MFP</t>
  </si>
  <si>
    <t>Color
MFP</t>
  </si>
  <si>
    <t>B/W
MFD</t>
  </si>
  <si>
    <t>Color
MFD</t>
  </si>
  <si>
    <t>B&amp;W 
MFP</t>
  </si>
  <si>
    <t>Color 
MFP</t>
  </si>
  <si>
    <t>MFP:</t>
  </si>
  <si>
    <t>B&amp;W 
Printer</t>
  </si>
  <si>
    <t>Color 
Printer</t>
  </si>
  <si>
    <t>B/W
Printer</t>
  </si>
  <si>
    <t>Color
Printer</t>
  </si>
  <si>
    <t>Printer:</t>
  </si>
  <si>
    <t>Total
B&amp;W</t>
  </si>
  <si>
    <t>Total 
Color</t>
  </si>
  <si>
    <t>Total:</t>
  </si>
  <si>
    <t>Total This
Invoice:</t>
  </si>
  <si>
    <t>Rates</t>
  </si>
  <si>
    <t>MFP B&amp;W</t>
  </si>
  <si>
    <t>MFP Color</t>
  </si>
  <si>
    <t>Printer B&amp;W</t>
  </si>
  <si>
    <t>Printer Color</t>
  </si>
  <si>
    <t>Devices</t>
  </si>
  <si>
    <t>Type</t>
  </si>
  <si>
    <t>PTR</t>
  </si>
  <si>
    <t>Invoice Total</t>
  </si>
  <si>
    <t>Scott Shipp Fair Use</t>
  </si>
  <si>
    <t>VMI Center for Undergraduate Research</t>
  </si>
  <si>
    <t>203D</t>
  </si>
  <si>
    <t>Athletic Advising</t>
  </si>
  <si>
    <t>309 Letcher</t>
  </si>
  <si>
    <t>300D</t>
  </si>
  <si>
    <t>305 Letcher Avenue</t>
  </si>
  <si>
    <t>320 Institute Hill</t>
  </si>
  <si>
    <t>303A Letcher Avenue</t>
  </si>
  <si>
    <t>Athletic Communications</t>
  </si>
  <si>
    <t>General Ledger</t>
  </si>
  <si>
    <t>Ricoh Tag</t>
  </si>
  <si>
    <t>Total BW Click Count</t>
  </si>
  <si>
    <t>Total Color Click Count</t>
  </si>
  <si>
    <t>BW Click Charge</t>
  </si>
  <si>
    <t>CPC BW</t>
  </si>
  <si>
    <t>CPC Color</t>
  </si>
  <si>
    <t>Prev BW Click Count</t>
  </si>
  <si>
    <t>Current BW Click Count</t>
  </si>
  <si>
    <t>MFP Total:</t>
  </si>
  <si>
    <t>Printer Total:</t>
  </si>
  <si>
    <t>Device Total:</t>
  </si>
  <si>
    <t xml:space="preserve"> Department</t>
  </si>
  <si>
    <t>40_00_052_06550_5521</t>
  </si>
  <si>
    <t>26_23_901_14788_5521</t>
  </si>
  <si>
    <t>Toner Type</t>
  </si>
  <si>
    <t>Quantity</t>
  </si>
  <si>
    <t>Toner Cost Ea.</t>
  </si>
  <si>
    <t>Total Toner Cost</t>
  </si>
  <si>
    <t>Superintendents House</t>
  </si>
  <si>
    <t xml:space="preserve">M2727  </t>
  </si>
  <si>
    <t>Black</t>
  </si>
  <si>
    <t>CNG8961SWT</t>
  </si>
  <si>
    <t>144.75.156.35</t>
  </si>
  <si>
    <t>Protocol</t>
  </si>
  <si>
    <t>17099-732</t>
  </si>
  <si>
    <t>JPKAC48117</t>
  </si>
  <si>
    <t xml:space="preserve">144.75.178.14  </t>
  </si>
  <si>
    <t>Cyan</t>
  </si>
  <si>
    <t>Magenta</t>
  </si>
  <si>
    <t>Yellow</t>
  </si>
  <si>
    <t xml:space="preserve">Admissions  </t>
  </si>
  <si>
    <t>CP4025</t>
  </si>
  <si>
    <t>JPBCBBMOSG  </t>
  </si>
  <si>
    <t xml:space="preserve">144.75.215.29  </t>
  </si>
  <si>
    <t>Media Services</t>
  </si>
  <si>
    <t>LJ3600</t>
  </si>
  <si>
    <t>CNWDF12176</t>
  </si>
  <si>
    <t>144.75.196.251</t>
  </si>
  <si>
    <t>CNWDF12177</t>
  </si>
  <si>
    <t>CNWDF12178</t>
  </si>
  <si>
    <t>CNWDF12179</t>
  </si>
  <si>
    <t>LJ4005  </t>
  </si>
  <si>
    <t>JPRLB46624</t>
  </si>
  <si>
    <t xml:space="preserve">144.75.195.232  </t>
  </si>
  <si>
    <t>JPRLB46625</t>
  </si>
  <si>
    <t>JPRLB46626</t>
  </si>
  <si>
    <t>JPRLB46627</t>
  </si>
  <si>
    <t xml:space="preserve">Athletics  </t>
  </si>
  <si>
    <t>17099-828</t>
  </si>
  <si>
    <t xml:space="preserve">P3010 </t>
  </si>
  <si>
    <t>VNBCC4L0MD</t>
  </si>
  <si>
    <t>144.75.179.5</t>
  </si>
  <si>
    <t>VNBCC4L0M6</t>
  </si>
  <si>
    <t>144.75.179.31</t>
  </si>
  <si>
    <t>Total</t>
  </si>
  <si>
    <t>HP-MFP</t>
  </si>
  <si>
    <t>HP-PTR</t>
  </si>
  <si>
    <t>40_00_011_78500_5521</t>
  </si>
  <si>
    <t>40_00_011_10250_5521</t>
  </si>
  <si>
    <t>40_00_045_56350_5521</t>
  </si>
  <si>
    <t>10_03_045_55100_5521</t>
  </si>
  <si>
    <t>News Paper Office</t>
  </si>
  <si>
    <t>Stock Room</t>
  </si>
  <si>
    <t>Post Police</t>
  </si>
  <si>
    <t>BOQ</t>
  </si>
  <si>
    <t>AF SPC430DN</t>
  </si>
  <si>
    <t>S9329101091</t>
  </si>
  <si>
    <t xml:space="preserve">144.75.186.31  </t>
  </si>
  <si>
    <t>144.75.178.18</t>
  </si>
  <si>
    <t>S9329101012</t>
  </si>
  <si>
    <t>144.75.178.13</t>
  </si>
  <si>
    <t>JP4LC17284</t>
  </si>
  <si>
    <t>Not on network</t>
  </si>
  <si>
    <t>Honor Court</t>
  </si>
  <si>
    <t>10_08_308_94175_5521</t>
  </si>
  <si>
    <t>W912P602240</t>
  </si>
  <si>
    <t>144.75.180.70</t>
  </si>
  <si>
    <t>W912P903531</t>
  </si>
  <si>
    <t>144.75.6.24</t>
  </si>
  <si>
    <t>Math&amp;Computer Science</t>
  </si>
  <si>
    <t>Cadet Life</t>
  </si>
  <si>
    <t>Lejeune Hall</t>
  </si>
  <si>
    <t>V9725401441</t>
  </si>
  <si>
    <t>144.75.149.13</t>
  </si>
  <si>
    <t>Counseling</t>
  </si>
  <si>
    <t>10_03_053_52100_5521</t>
  </si>
  <si>
    <t>T1128911212</t>
  </si>
  <si>
    <t>144.75.176.50</t>
  </si>
  <si>
    <t>144.75.176.51</t>
  </si>
  <si>
    <t>T1128911214</t>
  </si>
  <si>
    <t>144.75.176.52</t>
  </si>
  <si>
    <t>T1128710864</t>
  </si>
  <si>
    <t>144.75.179.4</t>
  </si>
  <si>
    <t>T1128911197</t>
  </si>
  <si>
    <t>T202P700480</t>
  </si>
  <si>
    <t>144.75.208.34</t>
  </si>
  <si>
    <t>T202P600356</t>
  </si>
  <si>
    <t>144.75.193.128</t>
  </si>
  <si>
    <t>T1128911519</t>
  </si>
  <si>
    <t>114.75.205.24</t>
  </si>
  <si>
    <t>T202P700459</t>
  </si>
  <si>
    <t>144.75.180.56</t>
  </si>
  <si>
    <t>AF MPC5502</t>
  </si>
  <si>
    <t>W542LB00047</t>
  </si>
  <si>
    <t>T1129010425</t>
  </si>
  <si>
    <t>144.75.213.47</t>
  </si>
  <si>
    <t>T1128811962</t>
  </si>
  <si>
    <t>144.75.193.230</t>
  </si>
  <si>
    <t>T1128911512</t>
  </si>
  <si>
    <t>144.75.177.29</t>
  </si>
  <si>
    <t>T202P801071</t>
  </si>
  <si>
    <t>144.75.6.28</t>
  </si>
  <si>
    <t>144.75.6.20</t>
  </si>
  <si>
    <t>144.75.6.30</t>
  </si>
  <si>
    <t>T202P700273</t>
  </si>
  <si>
    <t>T1129010912</t>
  </si>
  <si>
    <t>144.75.180.47</t>
  </si>
  <si>
    <t>10_08_302_82230_5521</t>
  </si>
  <si>
    <t>Tailor Shop</t>
  </si>
  <si>
    <t>144.75.180.89</t>
  </si>
  <si>
    <t>HP Toner:</t>
  </si>
  <si>
    <t>Total Invoice w/ HP Toner:</t>
  </si>
  <si>
    <t>Basement</t>
  </si>
  <si>
    <t>303 Letcher</t>
  </si>
  <si>
    <t>Equip ID</t>
  </si>
  <si>
    <t>Total BW Begin Meter Read</t>
  </si>
  <si>
    <t>Total BW End Meter Read</t>
  </si>
  <si>
    <t>Total Color Begin Meter Read</t>
  </si>
  <si>
    <t>Total Color End Meter Read</t>
  </si>
  <si>
    <t>W502L600725</t>
  </si>
  <si>
    <t>T1129010915</t>
  </si>
  <si>
    <t>T1129012235</t>
  </si>
  <si>
    <t>T1128911209</t>
  </si>
  <si>
    <t>T202P700467</t>
  </si>
  <si>
    <t>T1128910777</t>
  </si>
  <si>
    <t>T1129010432</t>
  </si>
  <si>
    <t>T202P801021</t>
  </si>
  <si>
    <t>W502LA00634</t>
  </si>
  <si>
    <t>T1128910782</t>
  </si>
  <si>
    <t>T1129010836</t>
  </si>
  <si>
    <t>T1129011274</t>
  </si>
  <si>
    <t>T1129010631</t>
  </si>
  <si>
    <t>Dept</t>
  </si>
  <si>
    <t>Barracks Study Rm</t>
  </si>
  <si>
    <t>Center for Leadership &amp;Ethics</t>
  </si>
  <si>
    <t>Electrical &amp; Computer Eng</t>
  </si>
  <si>
    <t>English &amp; Find Arts</t>
  </si>
  <si>
    <t>English &amp;Fine Arts</t>
  </si>
  <si>
    <t>Math &amp; Computer Science</t>
  </si>
  <si>
    <t>Mathmatics</t>
  </si>
  <si>
    <t>Miller Academic</t>
  </si>
  <si>
    <t>Modern Languages - Computer Lab</t>
  </si>
  <si>
    <t>NewsPaper</t>
  </si>
  <si>
    <t>Physics &amp; Astornomy</t>
  </si>
  <si>
    <t>Stock</t>
  </si>
  <si>
    <t>144.75.176.29</t>
  </si>
  <si>
    <t>144.75.179.112</t>
  </si>
  <si>
    <t>Grand Total</t>
  </si>
  <si>
    <t>144.75.179.35</t>
  </si>
  <si>
    <t>144.75.208.40</t>
  </si>
  <si>
    <t>144.75.182.85</t>
  </si>
  <si>
    <t>144.75.180.11</t>
  </si>
  <si>
    <t>10_03_062_16150_5521</t>
  </si>
  <si>
    <t>Institute Planning</t>
  </si>
  <si>
    <t>10_03_062_98100_5521</t>
  </si>
  <si>
    <t>Institutional Research</t>
  </si>
  <si>
    <t>Soccer</t>
  </si>
  <si>
    <t>30_00_310_06010_5521</t>
  </si>
  <si>
    <t>Basketball</t>
  </si>
  <si>
    <t>AOF - Academic Advising</t>
  </si>
  <si>
    <t>AUX-Tailor Shop</t>
  </si>
  <si>
    <t>Carroll Biology Fund</t>
  </si>
  <si>
    <t>10_03_011_10100_5521</t>
  </si>
  <si>
    <t>Career Services and Placement</t>
  </si>
  <si>
    <t>39_00_000_32960_5521</t>
  </si>
  <si>
    <t>Accts Payable Clearing Acct</t>
  </si>
  <si>
    <t>10_03_011_65100_5521</t>
  </si>
  <si>
    <t>Computer and Information Scien</t>
  </si>
  <si>
    <t>Dean of the Faculty</t>
  </si>
  <si>
    <t>Undergraduate Research</t>
  </si>
  <si>
    <t>English</t>
  </si>
  <si>
    <t>10_03_055_42100_5521</t>
  </si>
  <si>
    <t>E&amp;G-Cadet Counseling</t>
  </si>
  <si>
    <t>10_08_308_52175_5521</t>
  </si>
  <si>
    <t>Drug &amp; Alcohol Abuse</t>
  </si>
  <si>
    <t>Institutional Analysis</t>
  </si>
  <si>
    <t>International Studies Depart</t>
  </si>
  <si>
    <t>10_03_011_56100_5521</t>
  </si>
  <si>
    <t>30_00_045_61520_5521</t>
  </si>
  <si>
    <t>VSSEF 2013</t>
  </si>
  <si>
    <t>30_00_045_61530_5521</t>
  </si>
  <si>
    <t>VSSEF 2014</t>
  </si>
  <si>
    <t>30_00_045_61540_5521</t>
  </si>
  <si>
    <t>VSSEF 2015</t>
  </si>
  <si>
    <t>10_08_310_14240_5521</t>
  </si>
  <si>
    <t>Athletic Facilities</t>
  </si>
  <si>
    <t>Cameron Physics &amp; Astronomy</t>
  </si>
  <si>
    <t>10_03_011_78100_5521</t>
  </si>
  <si>
    <t>10_07_208_80100_5521</t>
  </si>
  <si>
    <t>UMA-Student Health</t>
  </si>
  <si>
    <t>10_03_071_81100_5521</t>
  </si>
  <si>
    <t>Post Security</t>
  </si>
  <si>
    <t>Philosophy &amp; Psychology</t>
  </si>
  <si>
    <t>Treasurers Office</t>
  </si>
  <si>
    <t>Institute Writing Program</t>
  </si>
  <si>
    <t>GL #</t>
  </si>
  <si>
    <t>Description</t>
  </si>
  <si>
    <t>Row Labels</t>
  </si>
  <si>
    <t>(blank)</t>
  </si>
  <si>
    <t>Sum of Device Total Click Charge</t>
  </si>
  <si>
    <t>#N/A</t>
  </si>
  <si>
    <t>Admissions Office</t>
  </si>
  <si>
    <t>Sports Information</t>
  </si>
  <si>
    <t>10_07_205_90300_5521 Total</t>
  </si>
  <si>
    <t>10_03_054_01100_5521 Total</t>
  </si>
  <si>
    <t>10_03_064_50550_5521 Total</t>
  </si>
  <si>
    <t>10_03_011_02100_5521 Total</t>
  </si>
  <si>
    <t>10_03_011_04100_5521 Total</t>
  </si>
  <si>
    <t>40_00_052_06550_5521 Total</t>
  </si>
  <si>
    <t>30_00_310_06104_5521 Total</t>
  </si>
  <si>
    <t>30_00_310_06020_5521 Total</t>
  </si>
  <si>
    <t>30_00_310_06090_5521 Total</t>
  </si>
  <si>
    <t>30_00_310_06095_5521 Total</t>
  </si>
  <si>
    <t>30_00_310_06110_5521 Total</t>
  </si>
  <si>
    <t>10_08_309_82115_5521 Total</t>
  </si>
  <si>
    <t>10_07_205_30200_5521 Total</t>
  </si>
  <si>
    <t>40_00_011_10250_5521 Total</t>
  </si>
  <si>
    <t>10_03_062_16100_5521 Total</t>
  </si>
  <si>
    <t>10_03_062_16150_5521 Total</t>
  </si>
  <si>
    <t>10_03_062_98100_5521 Total</t>
  </si>
  <si>
    <t>10_08_307_18380_5521 Total</t>
  </si>
  <si>
    <t>10_03_053_20300_5521 Total</t>
  </si>
  <si>
    <t>10_03_064_32145_5521 Total</t>
  </si>
  <si>
    <t>30_00_045_61150_5521 Total</t>
  </si>
  <si>
    <t>10_07_205_24100_5521 Total</t>
  </si>
  <si>
    <t>10_03_011_26100_5521 Total</t>
  </si>
  <si>
    <t>10_03_011_28100_5521 Total</t>
  </si>
  <si>
    <t>10_07_205_30150_5521 Total</t>
  </si>
  <si>
    <t>10_03_065_88100_5521 Total</t>
  </si>
  <si>
    <t>10_03_062_32100_5521 Total</t>
  </si>
  <si>
    <t>10_03_053_52100_5521 Total</t>
  </si>
  <si>
    <t>10_03_045_34100_5521 Total</t>
  </si>
  <si>
    <t>10_03_011_36100_5521 Total</t>
  </si>
  <si>
    <t>10_03_011_38100_5521 Total</t>
  </si>
  <si>
    <t>10_03_011_40100_5521 Total</t>
  </si>
  <si>
    <t>10_03_011_86100_5521 Total</t>
  </si>
  <si>
    <t>30_00_310_06000_5521 Total</t>
  </si>
  <si>
    <t>10_03_011_48100_5521 Total</t>
  </si>
  <si>
    <t>10_08_308_94175_5521 Total</t>
  </si>
  <si>
    <t>10_03_063_74100_5521 Total</t>
  </si>
  <si>
    <t>10_08_305_80150_5521 Total</t>
  </si>
  <si>
    <t>10_03_043_50100_5521 Total</t>
  </si>
  <si>
    <t>10_03_045_54100_5521 Total</t>
  </si>
  <si>
    <t>10_03_045_55100_5521 Total</t>
  </si>
  <si>
    <t>40_00_045_56350_5521 Total</t>
  </si>
  <si>
    <t>10_08_303_82240_5521 Total</t>
  </si>
  <si>
    <t>10_03_054_60100_5521 Total</t>
  </si>
  <si>
    <t>10_03_064_82140_5521 Total</t>
  </si>
  <si>
    <t>10_03_011_64100_5521 Total</t>
  </si>
  <si>
    <t>10_03_011_64125_5521 Total</t>
  </si>
  <si>
    <t>10_03_011_66100_5521 Total</t>
  </si>
  <si>
    <t>10_08_302_82190_5521 Total</t>
  </si>
  <si>
    <t>10_03_011_68100_5521 Total</t>
  </si>
  <si>
    <t>10_03_031_70100_5521 Total</t>
  </si>
  <si>
    <t>10_03_011_72100_5521 Total</t>
  </si>
  <si>
    <t>26_23_901_14788_5521 Total</t>
  </si>
  <si>
    <t>10_03_011_76100_5521 Total</t>
  </si>
  <si>
    <t>10_03_071_14100_5521 Total</t>
  </si>
  <si>
    <t>40_00_011_78500_5521 Total</t>
  </si>
  <si>
    <t>10_03_041_62100_5521 Total</t>
  </si>
  <si>
    <t>10_03_065_84100_5521 Total</t>
  </si>
  <si>
    <t>10_03_064_32105_5521 Total</t>
  </si>
  <si>
    <t>10_03_054_90100_5521 Total</t>
  </si>
  <si>
    <t>10_03_061_94100_5521 Total</t>
  </si>
  <si>
    <t>10_08_302_82230_5521 Total</t>
  </si>
  <si>
    <t>10_03_011_34175_5521 Total</t>
  </si>
  <si>
    <t>10_03_045_99200_5521 Total</t>
  </si>
  <si>
    <t>Department / Read date  2/28/2013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</si>
</sst>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_(&quot;$&quot;* #,##0.0000_);_(&quot;$&quot;* \(#,##0.0000\);_(&quot;$&quot;* &quot;-&quot;????_);_(@_)"/>
    <numFmt numFmtId="166" formatCode="_(&quot;$&quot;* #,##0.000_);_(&quot;$&quot;* \(#,##0.000\);_(&quot;$&quot;* &quot;-&quot;???_);_(@_)"/>
    <numFmt numFmtId="167" formatCode="0.0000"/>
    <numFmt numFmtId="168" formatCode="#####\-###"/>
    <numFmt numFmtId="169" formatCode="00000\-000"/>
  </numFmts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name val="Tahoma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9DFFB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4" fontId="17" fillId="0" borderId="0" applyFont="0" applyFill="0" applyBorder="0" applyAlignment="0" applyProtection="0"/>
  </cellStyleXfs>
  <cellXfs count="137">
    <xf numFmtId="0" fontId="0" fillId="0" borderId="0" xfId="0"/>
    <xf numFmtId="0" fontId="3" fillId="4" borderId="4" xfId="2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/>
    </xf>
    <xf numFmtId="44" fontId="7" fillId="4" borderId="4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Fill="1" applyBorder="1" applyAlignment="1" applyProtection="1">
      <alignment horizontal="left" vertical="center" wrapText="1"/>
      <protection locked="0"/>
    </xf>
    <xf numFmtId="164" fontId="6" fillId="0" borderId="0" xfId="2" applyNumberFormat="1" applyFont="1" applyFill="1" applyBorder="1" applyAlignment="1" applyProtection="1">
      <alignment horizontal="center" vertical="center" wrapText="1"/>
    </xf>
    <xf numFmtId="0" fontId="8" fillId="0" borderId="0" xfId="2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>
      <alignment horizontal="center"/>
    </xf>
    <xf numFmtId="0" fontId="8" fillId="0" borderId="1" xfId="2" applyFont="1" applyFill="1" applyBorder="1" applyAlignment="1" applyProtection="1">
      <alignment horizontal="center" vertical="center" wrapText="1"/>
    </xf>
    <xf numFmtId="0" fontId="8" fillId="0" borderId="2" xfId="2" applyFont="1" applyFill="1" applyBorder="1" applyAlignment="1" applyProtection="1">
      <alignment horizontal="center" vertical="center" wrapText="1"/>
    </xf>
    <xf numFmtId="0" fontId="8" fillId="0" borderId="3" xfId="2" applyFont="1" applyFill="1" applyBorder="1" applyAlignment="1" applyProtection="1">
      <alignment horizontal="center" vertical="center" wrapText="1"/>
    </xf>
    <xf numFmtId="0" fontId="8" fillId="0" borderId="9" xfId="2" applyFont="1" applyFill="1" applyBorder="1" applyAlignment="1" applyProtection="1">
      <alignment horizontal="center" vertical="center" wrapText="1"/>
    </xf>
    <xf numFmtId="164" fontId="8" fillId="0" borderId="1" xfId="2" applyNumberFormat="1" applyFont="1" applyFill="1" applyBorder="1" applyAlignment="1" applyProtection="1">
      <alignment horizontal="center" vertical="center" wrapText="1"/>
    </xf>
    <xf numFmtId="164" fontId="8" fillId="0" borderId="9" xfId="2" applyNumberFormat="1" applyFont="1" applyFill="1" applyBorder="1" applyAlignment="1" applyProtection="1">
      <alignment horizontal="center" vertical="center" wrapText="1"/>
    </xf>
    <xf numFmtId="0" fontId="6" fillId="0" borderId="10" xfId="2" applyFont="1" applyFill="1" applyBorder="1" applyAlignment="1" applyProtection="1">
      <alignment horizontal="left" vertical="center" wrapText="1"/>
    </xf>
    <xf numFmtId="3" fontId="6" fillId="0" borderId="6" xfId="2" applyNumberFormat="1" applyFont="1" applyFill="1" applyBorder="1" applyAlignment="1" applyProtection="1">
      <alignment horizontal="center" vertical="center" wrapText="1"/>
    </xf>
    <xf numFmtId="3" fontId="6" fillId="0" borderId="8" xfId="2" applyNumberFormat="1" applyFont="1" applyFill="1" applyBorder="1" applyAlignment="1" applyProtection="1">
      <alignment horizontal="center" vertical="center" wrapText="1"/>
    </xf>
    <xf numFmtId="44" fontId="6" fillId="0" borderId="7" xfId="2" applyNumberFormat="1" applyFont="1" applyFill="1" applyBorder="1" applyAlignment="1" applyProtection="1">
      <alignment horizontal="center" vertical="center" wrapText="1"/>
    </xf>
    <xf numFmtId="44" fontId="6" fillId="0" borderId="11" xfId="2" applyNumberFormat="1" applyFont="1" applyFill="1" applyBorder="1" applyAlignment="1" applyProtection="1">
      <alignment horizontal="center" vertical="center" wrapText="1"/>
    </xf>
    <xf numFmtId="44" fontId="6" fillId="0" borderId="6" xfId="2" applyNumberFormat="1" applyFont="1" applyFill="1" applyBorder="1" applyAlignment="1" applyProtection="1">
      <alignment horizontal="left" vertical="center" wrapText="1"/>
    </xf>
    <xf numFmtId="44" fontId="6" fillId="0" borderId="11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left" vertical="center" wrapText="1" indent="1"/>
      <protection locked="0"/>
    </xf>
    <xf numFmtId="0" fontId="6" fillId="0" borderId="12" xfId="2" applyFont="1" applyFill="1" applyBorder="1" applyAlignment="1" applyProtection="1">
      <alignment horizontal="left" vertical="center" wrapText="1" indent="1"/>
      <protection locked="0"/>
    </xf>
    <xf numFmtId="0" fontId="6" fillId="0" borderId="0" xfId="2" applyFont="1" applyFill="1" applyBorder="1" applyAlignment="1" applyProtection="1">
      <alignment horizontal="left" vertical="center" wrapText="1"/>
    </xf>
    <xf numFmtId="0" fontId="6" fillId="0" borderId="13" xfId="2" applyFont="1" applyFill="1" applyBorder="1" applyAlignment="1" applyProtection="1">
      <alignment horizontal="left" vertical="center" wrapText="1" indent="1"/>
      <protection locked="0"/>
    </xf>
    <xf numFmtId="0" fontId="6" fillId="0" borderId="13" xfId="2" applyFont="1" applyFill="1" applyBorder="1" applyAlignment="1" applyProtection="1">
      <alignment horizontal="center" vertical="center" wrapText="1"/>
      <protection locked="0"/>
    </xf>
    <xf numFmtId="164" fontId="8" fillId="0" borderId="2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/>
    <xf numFmtId="44" fontId="9" fillId="0" borderId="10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44" fontId="9" fillId="0" borderId="11" xfId="0" applyNumberFormat="1" applyFont="1" applyFill="1" applyBorder="1" applyAlignment="1">
      <alignment vertical="center"/>
    </xf>
    <xf numFmtId="0" fontId="8" fillId="0" borderId="1" xfId="2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Fill="1" applyBorder="1" applyAlignment="1">
      <alignment horizontal="center" vertical="center"/>
    </xf>
    <xf numFmtId="0" fontId="8" fillId="0" borderId="6" xfId="2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>
      <alignment horizontal="center" vertical="center"/>
    </xf>
    <xf numFmtId="164" fontId="8" fillId="0" borderId="14" xfId="2" applyNumberFormat="1" applyFont="1" applyFill="1" applyBorder="1" applyAlignment="1" applyProtection="1">
      <alignment horizontal="center" vertical="center" wrapText="1"/>
    </xf>
    <xf numFmtId="44" fontId="8" fillId="0" borderId="15" xfId="2" applyNumberFormat="1" applyFont="1" applyFill="1" applyBorder="1" applyAlignment="1" applyProtection="1">
      <alignment horizontal="left" vertical="center" wrapText="1"/>
    </xf>
    <xf numFmtId="0" fontId="7" fillId="4" borderId="4" xfId="2" applyFont="1" applyFill="1" applyBorder="1" applyAlignment="1" applyProtection="1">
      <alignment horizontal="left" vertical="center" wrapText="1"/>
      <protection locked="0"/>
    </xf>
    <xf numFmtId="0" fontId="7" fillId="5" borderId="4" xfId="0" applyFont="1" applyFill="1" applyBorder="1" applyAlignment="1">
      <alignment horizontal="left" vertical="center" wrapText="1"/>
    </xf>
    <xf numFmtId="0" fontId="7" fillId="4" borderId="4" xfId="2" applyFont="1" applyFill="1" applyBorder="1" applyAlignment="1">
      <alignment horizontal="left" vertical="center" wrapText="1"/>
    </xf>
    <xf numFmtId="1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7" fillId="4" borderId="4" xfId="2" applyFont="1" applyFill="1" applyBorder="1" applyAlignment="1" applyProtection="1">
      <alignment horizontal="left" vertical="center" wrapText="1"/>
    </xf>
    <xf numFmtId="169" fontId="7" fillId="4" borderId="4" xfId="2" applyNumberFormat="1" applyFont="1" applyFill="1" applyBorder="1" applyAlignment="1" applyProtection="1">
      <alignment horizontal="left" vertical="center" wrapText="1"/>
      <protection locked="0"/>
    </xf>
    <xf numFmtId="3" fontId="7" fillId="4" borderId="4" xfId="2" applyNumberFormat="1" applyFont="1" applyFill="1" applyBorder="1" applyAlignment="1" applyProtection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169" fontId="7" fillId="0" borderId="4" xfId="2" applyNumberFormat="1" applyFont="1" applyFill="1" applyBorder="1" applyAlignment="1" applyProtection="1">
      <alignment horizontal="left" vertical="center" wrapText="1"/>
      <protection locked="0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0" fontId="7" fillId="4" borderId="4" xfId="0" applyFont="1" applyFill="1" applyBorder="1" applyAlignment="1">
      <alignment horizontal="left"/>
    </xf>
    <xf numFmtId="0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11" fillId="0" borderId="4" xfId="0" applyFont="1" applyBorder="1"/>
    <xf numFmtId="44" fontId="13" fillId="4" borderId="4" xfId="2" applyNumberFormat="1" applyFont="1" applyFill="1" applyBorder="1" applyAlignment="1" applyProtection="1">
      <alignment horizontal="left" vertical="center" wrapText="1"/>
    </xf>
    <xf numFmtId="0" fontId="7" fillId="4" borderId="4" xfId="2" applyFont="1" applyFill="1" applyBorder="1" applyAlignment="1" applyProtection="1">
      <alignment horizontal="left" vertical="center" wrapText="1" readingOrder="1"/>
    </xf>
    <xf numFmtId="165" fontId="7" fillId="4" borderId="4" xfId="2" applyNumberFormat="1" applyFont="1" applyFill="1" applyBorder="1" applyAlignment="1" applyProtection="1">
      <alignment horizontal="left" vertical="center" wrapText="1" readingOrder="1"/>
    </xf>
    <xf numFmtId="0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1" fontId="7" fillId="4" borderId="4" xfId="2" applyNumberFormat="1" applyFont="1" applyFill="1" applyBorder="1" applyAlignment="1" applyProtection="1">
      <alignment horizontal="left" vertical="center" wrapText="1" readingOrder="1"/>
    </xf>
    <xf numFmtId="0" fontId="15" fillId="4" borderId="4" xfId="0" applyFont="1" applyFill="1" applyBorder="1" applyAlignment="1">
      <alignment horizontal="left" vertical="center" readingOrder="1"/>
    </xf>
    <xf numFmtId="0" fontId="7" fillId="0" borderId="4" xfId="2" applyFont="1" applyFill="1" applyBorder="1" applyAlignment="1">
      <alignment horizontal="left" vertical="center" wrapText="1" readingOrder="1"/>
    </xf>
    <xf numFmtId="0" fontId="7" fillId="0" borderId="4" xfId="2" applyFont="1" applyFill="1" applyBorder="1" applyAlignment="1" applyProtection="1">
      <alignment horizontal="left" vertical="center" wrapText="1" readingOrder="1"/>
      <protection locked="0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/>
    </xf>
    <xf numFmtId="37" fontId="14" fillId="0" borderId="4" xfId="0" applyNumberFormat="1" applyFont="1" applyBorder="1" applyAlignment="1">
      <alignment horizontal="left" vertical="center"/>
    </xf>
    <xf numFmtId="37" fontId="14" fillId="0" borderId="4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167" fontId="9" fillId="0" borderId="9" xfId="0" applyNumberFormat="1" applyFont="1" applyFill="1" applyBorder="1" applyAlignment="1">
      <alignment horizontal="center" vertical="center"/>
    </xf>
    <xf numFmtId="167" fontId="9" fillId="0" borderId="11" xfId="0" applyNumberFormat="1" applyFont="1" applyFill="1" applyBorder="1" applyAlignment="1">
      <alignment horizontal="center" vertical="center"/>
    </xf>
    <xf numFmtId="3" fontId="7" fillId="0" borderId="4" xfId="0" applyNumberFormat="1" applyFont="1" applyBorder="1" applyAlignment="1">
      <alignment horizontal="left" vertical="top"/>
    </xf>
    <xf numFmtId="0" fontId="15" fillId="4" borderId="0" xfId="0" applyFont="1" applyFill="1" applyBorder="1" applyAlignment="1">
      <alignment horizontal="left" vertical="center" textRotation="65" readingOrder="1"/>
    </xf>
    <xf numFmtId="37" fontId="14" fillId="0" borderId="0" xfId="0" applyNumberFormat="1" applyFont="1" applyBorder="1" applyAlignment="1">
      <alignment horizontal="left" vertical="center"/>
    </xf>
    <xf numFmtId="0" fontId="15" fillId="4" borderId="0" xfId="0" applyFont="1" applyFill="1" applyBorder="1" applyAlignment="1">
      <alignment horizontal="left" vertical="center" readingOrder="1"/>
    </xf>
    <xf numFmtId="0" fontId="7" fillId="4" borderId="0" xfId="0" applyFont="1" applyFill="1" applyBorder="1" applyAlignment="1">
      <alignment horizontal="left" vertical="center" readingOrder="1"/>
    </xf>
    <xf numFmtId="169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169" fontId="14" fillId="0" borderId="4" xfId="0" applyNumberFormat="1" applyFont="1" applyBorder="1" applyAlignment="1">
      <alignment horizontal="left" vertical="center"/>
    </xf>
    <xf numFmtId="169" fontId="14" fillId="0" borderId="4" xfId="0" applyNumberFormat="1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 wrapText="1"/>
    </xf>
    <xf numFmtId="3" fontId="15" fillId="4" borderId="0" xfId="0" applyNumberFormat="1" applyFont="1" applyFill="1" applyBorder="1" applyAlignment="1">
      <alignment horizontal="left" vertical="center" readingOrder="1"/>
    </xf>
    <xf numFmtId="44" fontId="7" fillId="4" borderId="4" xfId="0" applyNumberFormat="1" applyFont="1" applyFill="1" applyBorder="1" applyAlignment="1">
      <alignment horizontal="left"/>
    </xf>
    <xf numFmtId="7" fontId="9" fillId="0" borderId="0" xfId="0" applyNumberFormat="1" applyFont="1" applyFill="1"/>
    <xf numFmtId="0" fontId="15" fillId="4" borderId="0" xfId="0" applyFont="1" applyFill="1" applyBorder="1" applyAlignment="1">
      <alignment horizontal="right" vertical="center" readingOrder="1"/>
    </xf>
    <xf numFmtId="169" fontId="7" fillId="4" borderId="4" xfId="2" applyNumberFormat="1" applyFont="1" applyFill="1" applyBorder="1" applyAlignment="1" applyProtection="1">
      <alignment horizontal="right" vertical="center" wrapText="1" readingOrder="1"/>
      <protection locked="0"/>
    </xf>
    <xf numFmtId="169" fontId="7" fillId="4" borderId="4" xfId="2" applyNumberFormat="1" applyFont="1" applyFill="1" applyBorder="1" applyAlignment="1" applyProtection="1">
      <alignment horizontal="right" vertical="center" wrapText="1" readingOrder="1"/>
    </xf>
    <xf numFmtId="3" fontId="7" fillId="4" borderId="4" xfId="2" applyNumberFormat="1" applyFont="1" applyFill="1" applyBorder="1" applyAlignment="1" applyProtection="1">
      <alignment horizontal="right" vertical="center" wrapText="1" readingOrder="1"/>
    </xf>
    <xf numFmtId="0" fontId="16" fillId="4" borderId="0" xfId="0" applyFont="1" applyFill="1" applyBorder="1" applyAlignment="1">
      <alignment horizontal="right" vertical="center" readingOrder="1"/>
    </xf>
    <xf numFmtId="44" fontId="7" fillId="4" borderId="4" xfId="2" applyNumberFormat="1" applyFont="1" applyFill="1" applyBorder="1" applyAlignment="1" applyProtection="1">
      <alignment horizontal="right" vertical="center" wrapText="1" readingOrder="1"/>
    </xf>
    <xf numFmtId="44" fontId="10" fillId="4" borderId="4" xfId="2" applyNumberFormat="1" applyFont="1" applyFill="1" applyBorder="1" applyAlignment="1" applyProtection="1">
      <alignment horizontal="right" vertical="center" wrapText="1" readingOrder="1"/>
    </xf>
    <xf numFmtId="1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>
      <alignment horizontal="left" vertical="center" wrapText="1" readingOrder="1"/>
    </xf>
    <xf numFmtId="0" fontId="7" fillId="4" borderId="4" xfId="2" applyFont="1" applyFill="1" applyBorder="1" applyAlignment="1">
      <alignment vertical="center" wrapText="1"/>
    </xf>
    <xf numFmtId="0" fontId="0" fillId="4" borderId="4" xfId="0" applyFont="1" applyFill="1" applyBorder="1" applyAlignment="1">
      <alignment horizontal="right" readingOrder="1"/>
    </xf>
    <xf numFmtId="167" fontId="0" fillId="4" borderId="4" xfId="0" applyNumberFormat="1" applyFont="1" applyFill="1" applyBorder="1" applyAlignment="1">
      <alignment horizontal="left" readingOrder="1"/>
    </xf>
    <xf numFmtId="0" fontId="0" fillId="4" borderId="4" xfId="0" applyFont="1" applyFill="1" applyBorder="1" applyAlignment="1">
      <alignment horizontal="left" readingOrder="1"/>
    </xf>
    <xf numFmtId="0" fontId="5" fillId="0" borderId="4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4" borderId="4" xfId="2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7" fontId="2" fillId="0" borderId="15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10" fillId="4" borderId="4" xfId="2" applyFont="1" applyFill="1" applyBorder="1" applyAlignment="1">
      <alignment horizontal="left" vertical="center" wrapText="1" readingOrder="1"/>
    </xf>
    <xf numFmtId="0" fontId="10" fillId="4" borderId="4" xfId="2" applyFont="1" applyFill="1" applyBorder="1" applyAlignment="1">
      <alignment vertical="center" wrapText="1"/>
    </xf>
    <xf numFmtId="0" fontId="7" fillId="4" borderId="0" xfId="2" applyFont="1" applyFill="1" applyBorder="1" applyAlignment="1" applyProtection="1">
      <alignment horizontal="left" vertical="center" wrapText="1" readingOrder="1"/>
      <protection locked="0"/>
    </xf>
    <xf numFmtId="165" fontId="7" fillId="4" borderId="0" xfId="2" applyNumberFormat="1" applyFont="1" applyFill="1" applyBorder="1" applyAlignment="1" applyProtection="1">
      <alignment horizontal="left" vertical="center" wrapText="1" readingOrder="1"/>
    </xf>
    <xf numFmtId="166" fontId="7" fillId="4" borderId="0" xfId="2" applyNumberFormat="1" applyFont="1" applyFill="1" applyBorder="1" applyAlignment="1" applyProtection="1">
      <alignment horizontal="left" vertical="center" wrapText="1" readingOrder="1"/>
    </xf>
    <xf numFmtId="0" fontId="10" fillId="4" borderId="0" xfId="0" applyFont="1" applyFill="1" applyBorder="1" applyAlignment="1">
      <alignment horizontal="left" vertical="center" readingOrder="1"/>
    </xf>
    <xf numFmtId="37" fontId="14" fillId="4" borderId="4" xfId="0" applyNumberFormat="1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 readingOrder="1"/>
    </xf>
    <xf numFmtId="0" fontId="14" fillId="4" borderId="4" xfId="0" applyFont="1" applyFill="1" applyBorder="1" applyAlignment="1">
      <alignment horizontal="left" vertical="center" wrapText="1" readingOrder="1"/>
    </xf>
    <xf numFmtId="169" fontId="14" fillId="4" borderId="4" xfId="0" applyNumberFormat="1" applyFont="1" applyFill="1" applyBorder="1" applyAlignment="1">
      <alignment horizontal="right" vertical="center" readingOrder="1"/>
    </xf>
    <xf numFmtId="0" fontId="18" fillId="4" borderId="4" xfId="0" applyFont="1" applyFill="1" applyBorder="1" applyAlignment="1">
      <alignment horizontal="left" vertical="center" readingOrder="1"/>
    </xf>
    <xf numFmtId="0" fontId="14" fillId="4" borderId="4" xfId="0" applyFont="1" applyFill="1" applyBorder="1" applyAlignment="1">
      <alignment horizontal="left" vertical="center"/>
    </xf>
    <xf numFmtId="0" fontId="7" fillId="4" borderId="4" xfId="0" applyNumberFormat="1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 readingOrder="1"/>
    </xf>
    <xf numFmtId="0" fontId="10" fillId="4" borderId="4" xfId="0" applyFont="1" applyFill="1" applyBorder="1" applyAlignment="1">
      <alignment horizontal="left" vertical="center" readingOrder="1"/>
    </xf>
    <xf numFmtId="37" fontId="14" fillId="4" borderId="0" xfId="0" applyNumberFormat="1" applyFont="1" applyFill="1" applyBorder="1" applyAlignment="1">
      <alignment horizontal="left" vertical="center"/>
    </xf>
    <xf numFmtId="0" fontId="0" fillId="0" borderId="0" xfId="0" pivotButton="1"/>
    <xf numFmtId="166" fontId="7" fillId="4" borderId="4" xfId="2" applyNumberFormat="1" applyFont="1" applyFill="1" applyBorder="1" applyAlignment="1" applyProtection="1">
      <alignment horizontal="left" vertical="center" wrapText="1" readingOrder="1"/>
    </xf>
    <xf numFmtId="164" fontId="0" fillId="0" borderId="0" xfId="3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  <xf numFmtId="0" fontId="10" fillId="4" borderId="4" xfId="1" applyFont="1" applyFill="1" applyBorder="1" applyAlignment="1">
      <alignment horizontal="center" vertical="center" textRotation="60" wrapText="1" readingOrder="1"/>
    </xf>
    <xf numFmtId="0" fontId="10" fillId="4" borderId="4" xfId="0" applyFont="1" applyFill="1" applyBorder="1" applyAlignment="1">
      <alignment horizontal="left" textRotation="65"/>
    </xf>
    <xf numFmtId="0" fontId="10" fillId="4" borderId="4" xfId="1" applyFont="1" applyFill="1" applyBorder="1" applyAlignment="1">
      <alignment horizontal="center" textRotation="60" wrapText="1"/>
    </xf>
    <xf numFmtId="0" fontId="10" fillId="4" borderId="4" xfId="1" applyFont="1" applyFill="1" applyBorder="1" applyAlignment="1" applyProtection="1">
      <alignment horizontal="center" textRotation="60" wrapText="1"/>
      <protection locked="0"/>
    </xf>
    <xf numFmtId="49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8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4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0" fontId="3" fillId="0" borderId="5" xfId="2" applyFont="1" applyFill="1" applyBorder="1" applyAlignment="1" applyProtection="1">
      <alignment horizontal="center" vertical="center"/>
      <protection locked="0"/>
    </xf>
    <xf numFmtId="0" fontId="3" fillId="0" borderId="6" xfId="2" applyFont="1" applyFill="1" applyBorder="1" applyAlignment="1" applyProtection="1">
      <alignment horizontal="center" vertical="center"/>
      <protection locked="0"/>
    </xf>
  </cellXfs>
  <cellStyles count="4">
    <cellStyle name="60% - Accent1" xfId="2" builtinId="32"/>
    <cellStyle name="Accent1" xfId="1" builtinId="29"/>
    <cellStyle name="Currency" xfId="3" builtinId="4"/>
    <cellStyle name="Normal" xfId="0" builtinId="0"/>
  </cellStyles>
  <dxfs count="1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alignment wrapText="1" readingOrder="0"/>
    </dxf>
    <dxf>
      <numFmt numFmtId="164" formatCode="&quot;$&quot;#,##0.00"/>
    </dxf>
    <dxf>
      <numFmt numFmtId="164" formatCode="&quot;$&quot;#,##0.00"/>
    </dxf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</dxfs>
  <tableStyles count="3" defaultTableStyle="TableStyleMedium2" defaultPivotStyle="PivotStyleLight16">
    <tableStyle name="Table Style 1" pivot="0" count="1">
      <tableStyleElement type="firstRowStripe" dxfId="17"/>
    </tableStyle>
    <tableStyle name="Table Style 2" pivot="0" count="2">
      <tableStyleElement type="headerRow" dxfId="16"/>
      <tableStyleElement type="firstRowStripe" dxfId="15"/>
    </tableStyle>
    <tableStyle name="Table Style 3" pivot="0" count="2">
      <tableStyleElement type="headerRow" dxfId="14"/>
      <tableStyleElement type="firstRowStripe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1367.485232638886" createdVersion="4" refreshedVersion="4" minRefreshableVersion="3" recordCount="1050">
  <cacheSource type="worksheet">
    <worksheetSource ref="A1:U1048576" sheet="February 2013 - Data"/>
  </cacheSource>
  <cacheFields count="21">
    <cacheField name="Department 2/28/2013" numFmtId="0">
      <sharedItems containsBlank="1"/>
    </cacheField>
    <cacheField name="General Ledger" numFmtId="0">
      <sharedItems containsBlank="1"/>
    </cacheField>
    <cacheField name="GL Description" numFmtId="0">
      <sharedItems containsBlank="1" count="66">
        <s v="Academic Advising"/>
        <s v="Admissions Office"/>
        <s v="Printer Services"/>
        <s v="ROTC-Air Force"/>
        <s v="ROTC-Army"/>
        <s v="AOF - Academic Advising"/>
        <s v="Sports Information"/>
        <s v="Track &amp; Cross Country"/>
        <s v="Soccer"/>
        <s v="Soccer - Women"/>
        <s v="Administrative"/>
        <s v="Auxiliary Administration"/>
        <s v="UMA-Band"/>
        <s v="Carroll Biology Fund"/>
        <s v="Business Executive"/>
        <s v="Institute Planning"/>
        <s v="Treasurers Office"/>
        <s v="Student Union"/>
        <s v="Career Services and Placement"/>
        <s v="Duplicating"/>
        <s v="Center for Leadership &amp; Ethics"/>
        <s v="UMA-Counselors Office"/>
        <s v="Chemistry"/>
        <s v="Civil Engineering"/>
        <s v="UMA-Commandant's Office"/>
        <s v="Communications &amp; Marketing"/>
        <s v="Comptroller's Office"/>
        <s v="E&amp;G-Cadet Counseling"/>
        <s v="Dean of the Faculty"/>
        <s v="Economics"/>
        <s v="Electrical Engineering"/>
        <s v="English"/>
        <s v="Philosophy &amp; Psychology"/>
        <s v="Football"/>
        <s v="History"/>
        <s v="Honor Court"/>
        <s v="Personnel Administration"/>
        <s v="AUX-Student Health"/>
        <s v="IST"/>
        <s v="Institutional Analysis"/>
        <s v="International Programs"/>
        <s v="International Studies Depart"/>
        <s v="AUX-Laundry &amp; Pressing"/>
        <s v="Learning Programs"/>
        <s v="Post Mail"/>
        <s v="Mathematics"/>
        <s v="MERC Operating"/>
        <s v="Mechanical Engineering"/>
        <s v="AUX-Military Store"/>
        <s v="Modern Languages"/>
        <s v="Museum"/>
        <s v="ROTC-Navy"/>
        <s v="Office of Construction"/>
        <s v="Physical Education"/>
        <s v="Physical Plant Administration"/>
        <s v="Cameron Physics &amp; Astronomy"/>
        <s v="Libraries"/>
        <s v="Protocol Office"/>
        <s v="Purchasing Office"/>
        <s v="Registration &amp; Records"/>
        <e v="#N/A"/>
        <s v="Superintendents Office"/>
        <s v="AUX-Tailor Shop"/>
        <s v="Undergraduate Research"/>
        <s v="Institute Writing Program"/>
        <m/>
      </sharedItems>
    </cacheField>
    <cacheField name="Building" numFmtId="0">
      <sharedItems containsBlank="1"/>
    </cacheField>
    <cacheField name="Room" numFmtId="0">
      <sharedItems containsBlank="1" containsMixedTypes="1" containsNumber="1" containsInteger="1" minValue="1" maxValue="3116"/>
    </cacheField>
    <cacheField name="Model" numFmtId="0">
      <sharedItems containsBlank="1"/>
    </cacheField>
    <cacheField name="Device Type" numFmtId="0">
      <sharedItems containsBlank="1"/>
    </cacheField>
    <cacheField name="Ricoh Tag" numFmtId="0">
      <sharedItems containsString="0" containsBlank="1" containsNumber="1" containsInteger="1" minValue="17099400" maxValue="17099788"/>
    </cacheField>
    <cacheField name="Total BW Click Count" numFmtId="0">
      <sharedItems containsString="0" containsBlank="1" containsNumber="1" containsInteger="1" minValue="0" maxValue="53710"/>
    </cacheField>
    <cacheField name="Total Color Click Count" numFmtId="0">
      <sharedItems containsString="0" containsBlank="1" containsNumber="1" containsInteger="1" minValue="0" maxValue="13860"/>
    </cacheField>
    <cacheField name="BW Click Charge" numFmtId="0">
      <sharedItems containsString="0" containsBlank="1" containsNumber="1" minValue="0" maxValue="1111.797"/>
    </cacheField>
    <cacheField name="Color Click Charge" numFmtId="0">
      <sharedItems containsString="0" containsBlank="1" containsNumber="1" minValue="0" maxValue="1205.82"/>
    </cacheField>
    <cacheField name="Device Total Click Charge" numFmtId="0">
      <sharedItems containsString="0" containsBlank="1" containsNumber="1" minValue="0" maxValue="1453.5782999999999"/>
    </cacheField>
    <cacheField name="Serial Number" numFmtId="0">
      <sharedItems containsBlank="1"/>
    </cacheField>
    <cacheField name="IP Address" numFmtId="0">
      <sharedItems containsBlank="1"/>
    </cacheField>
    <cacheField name="CPC BW" numFmtId="0">
      <sharedItems containsString="0" containsBlank="1" containsNumber="1" minValue="2.07E-2" maxValue="2.6200000000000001E-2"/>
    </cacheField>
    <cacheField name="CPC Color" numFmtId="0">
      <sharedItems containsString="0" containsBlank="1" containsNumber="1" minValue="8.6999999999999994E-2" maxValue="0.11799999999999999"/>
    </cacheField>
    <cacheField name="Prev BW Click Count" numFmtId="0">
      <sharedItems containsString="0" containsBlank="1" containsNumber="1" containsInteger="1" minValue="0" maxValue="176320"/>
    </cacheField>
    <cacheField name="Current BW Click Count" numFmtId="0">
      <sharedItems containsString="0" containsBlank="1" containsNumber="1" containsInteger="1" minValue="0" maxValue="217296"/>
    </cacheField>
    <cacheField name="Prev Color Click Count" numFmtId="0">
      <sharedItems containsString="0" containsBlank="1" containsNumber="1" containsInteger="1" minValue="0" maxValue="51382"/>
    </cacheField>
    <cacheField name="Current Color Click Count" numFmtId="0">
      <sharedItems containsString="0" containsBlank="1" containsNumber="1" containsInteger="1" minValue="0" maxValue="65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0">
  <r>
    <s v="Academic Advising"/>
    <s v="10_07_205_90300_5521"/>
    <x v="0"/>
    <s v="Shell Hall"/>
    <n v="301"/>
    <s v="AF SPC242DN"/>
    <s v="PTR"/>
    <n v="17099684"/>
    <n v="249"/>
    <n v="214"/>
    <n v="6.5238000000000005"/>
    <n v="25.251999999999999"/>
    <n v="31.7758"/>
    <s v="T202P700442"/>
    <s v="144.75.180.103"/>
    <n v="2.6200000000000001E-2"/>
    <n v="0.11799999999999999"/>
    <n v="1922"/>
    <n v="2171"/>
    <n v="326"/>
    <n v="540"/>
  </r>
  <r>
    <s v="Admissions"/>
    <s v="10_03_054_01100_5521"/>
    <x v="1"/>
    <s v="307 Letcher"/>
    <n v="204"/>
    <s v="AF MPC3502"/>
    <s v="MFP"/>
    <n v="17099493"/>
    <n v="5882"/>
    <n v="5382"/>
    <n v="121.7574"/>
    <n v="468.23399999999998"/>
    <n v="589.9914"/>
    <s v="W502L600872"/>
    <s v="144.75.215.48"/>
    <n v="2.07E-2"/>
    <n v="8.6999999999999994E-2"/>
    <n v="27457"/>
    <n v="33339"/>
    <n v="11004"/>
    <n v="16386"/>
  </r>
  <r>
    <s v="Admissions"/>
    <s v="10_03_054_01100_5521"/>
    <x v="1"/>
    <s v="309 Letcher"/>
    <n v="200"/>
    <s v="AF SPC430DN"/>
    <s v="PTR"/>
    <n v="17099785"/>
    <n v="43"/>
    <n v="624"/>
    <n v="1.1266"/>
    <n v="73.631999999999991"/>
    <n v="74.758599999999987"/>
    <s v="S9329101091"/>
    <s v="144.75.186.31  "/>
    <n v="2.6200000000000001E-2"/>
    <n v="0.11799999999999999"/>
    <n v="845"/>
    <n v="888"/>
    <n v="1305"/>
    <n v="1929"/>
  </r>
  <r>
    <s v="Admissions"/>
    <s v="10_03_054_01100_5521"/>
    <x v="1"/>
    <s v="309 Letcher"/>
    <n v="201"/>
    <s v="AF SP4310N"/>
    <s v="PTR"/>
    <n v="17099512"/>
    <n v="2"/>
    <n v="0"/>
    <n v="5.2400000000000002E-2"/>
    <n v="0"/>
    <n v="5.2400000000000002E-2"/>
    <s v="T1129010877"/>
    <s v="144.75.186.30"/>
    <n v="2.6200000000000001E-2"/>
    <n v="0.11799999999999999"/>
    <n v="48"/>
    <n v="50"/>
    <n v="0"/>
    <n v="0"/>
  </r>
  <r>
    <s v="Admissions"/>
    <s v="10_03_054_01100_5521"/>
    <x v="1"/>
    <s v="309 Letcher"/>
    <n v="201"/>
    <s v="AF SP4310N"/>
    <s v="PTR"/>
    <n v="17099780"/>
    <n v="280"/>
    <n v="0"/>
    <n v="7.3360000000000003"/>
    <n v="0"/>
    <n v="7.3360000000000003"/>
    <s v="T1128911219"/>
    <s v="144.75.215.43"/>
    <n v="2.6200000000000001E-2"/>
    <n v="0.11799999999999999"/>
    <n v="399"/>
    <n v="679"/>
    <n v="0"/>
    <n v="0"/>
  </r>
  <r>
    <s v="Admissions"/>
    <s v="10_03_054_01100_5521"/>
    <x v="1"/>
    <s v="309 Letcher"/>
    <n v="302"/>
    <s v="AF SPC242DN"/>
    <s v="PTR"/>
    <n v="17099423"/>
    <n v="106"/>
    <n v="336"/>
    <n v="2.7772000000000001"/>
    <n v="39.647999999999996"/>
    <n v="42.425199999999997"/>
    <s v="T202P700463"/>
    <s v="144.75.186.29"/>
    <n v="2.6200000000000001E-2"/>
    <n v="0.11799999999999999"/>
    <n v="90"/>
    <n v="196"/>
    <n v="214"/>
    <n v="550"/>
  </r>
  <r>
    <s v="Admissions"/>
    <s v="10_03_054_01100_5521"/>
    <x v="1"/>
    <s v="309 Letcher"/>
    <n v="306"/>
    <s v="AF SPC242DN"/>
    <s v="PTR"/>
    <n v="17099511"/>
    <n v="127"/>
    <n v="197"/>
    <n v="3.3273999999999999"/>
    <n v="23.245999999999999"/>
    <n v="26.573399999999999"/>
    <s v="T202P700465"/>
    <s v="144.75.186.25"/>
    <n v="2.6200000000000001E-2"/>
    <n v="0.11799999999999999"/>
    <n v="280"/>
    <n v="407"/>
    <n v="274"/>
    <n v="471"/>
  </r>
  <r>
    <s v="Admissions"/>
    <s v="10_03_054_01100_5521"/>
    <x v="1"/>
    <s v="309 Letcher"/>
    <n v="306"/>
    <s v="AF SPC242DN"/>
    <s v="PTR"/>
    <n v="17099731"/>
    <n v="512"/>
    <n v="317"/>
    <n v="13.414400000000001"/>
    <n v="37.405999999999999"/>
    <n v="50.820399999999999"/>
    <s v="T202P600637"/>
    <s v="144.75.186.28"/>
    <n v="2.6200000000000001E-2"/>
    <n v="0.11799999999999999"/>
    <n v="974"/>
    <n v="1486"/>
    <n v="225"/>
    <n v="542"/>
  </r>
  <r>
    <s v="ADV"/>
    <s v="10_03_064_50550_5521"/>
    <x v="2"/>
    <s v="Carroll Hall"/>
    <s v="210C"/>
    <s v="AF SP4310N"/>
    <s v="PTR"/>
    <n v="17099562"/>
    <n v="266"/>
    <n v="0"/>
    <n v="6.9692000000000007"/>
    <n v="0"/>
    <n v="6.9692000000000007"/>
    <s v="T1128911292"/>
    <s v="144.75.195.20"/>
    <n v="2.6200000000000001E-2"/>
    <n v="0.11799999999999999"/>
    <n v="3297"/>
    <n v="3563"/>
    <n v="0"/>
    <n v="0"/>
  </r>
  <r>
    <s v="Air Force Rotc"/>
    <s v="10_03_011_02100_5521"/>
    <x v="3"/>
    <s v="Kilbourne Hall"/>
    <n v="2012"/>
    <s v="AF SP4310N"/>
    <s v="PTR"/>
    <n v="17099443"/>
    <n v="0"/>
    <n v="0"/>
    <n v="0"/>
    <n v="0"/>
    <n v="0"/>
    <s v="T1129010871"/>
    <s v="144.75.187.135"/>
    <n v="2.6200000000000001E-2"/>
    <n v="0.11799999999999999"/>
    <n v="319"/>
    <n v="319"/>
    <n v="0"/>
    <n v="0"/>
  </r>
  <r>
    <s v="Air Force Rotc"/>
    <s v="10_03_011_02100_5521"/>
    <x v="3"/>
    <s v="Kilbourne Hall"/>
    <n v="2018"/>
    <s v="AF SP4310N"/>
    <s v="PTR"/>
    <n v="17099438"/>
    <n v="0"/>
    <n v="0"/>
    <n v="0"/>
    <n v="0"/>
    <n v="0"/>
    <s v="T1129010832"/>
    <s v="144.75.187.138"/>
    <n v="2.6200000000000001E-2"/>
    <n v="0.11799999999999999"/>
    <n v="0"/>
    <n v="0"/>
    <n v="0"/>
    <n v="0"/>
  </r>
  <r>
    <s v="Army Rotc"/>
    <s v="10_03_011_04100_5521"/>
    <x v="4"/>
    <s v="Kilbourne Hall"/>
    <n v="2022"/>
    <s v="AF MPC3502"/>
    <s v="MFP"/>
    <n v="17099434"/>
    <n v="10585"/>
    <n v="1754"/>
    <n v="219.1095"/>
    <n v="152.59799999999998"/>
    <n v="371.70749999999998"/>
    <s v="W502L600854"/>
    <s v="144.75.187.122"/>
    <n v="2.07E-2"/>
    <n v="8.6999999999999994E-2"/>
    <n v="64703"/>
    <n v="75288"/>
    <n v="5655"/>
    <n v="7409"/>
  </r>
  <r>
    <s v="Army Rotc"/>
    <s v="10_03_011_04100_5521"/>
    <x v="4"/>
    <s v="Kilbourne Hall"/>
    <n v="2023"/>
    <s v="AF SP4310N"/>
    <s v="PTR"/>
    <n v="17099435"/>
    <n v="116"/>
    <n v="0"/>
    <n v="3.0392000000000001"/>
    <n v="0"/>
    <n v="3.0392000000000001"/>
    <s v="T1129010902"/>
    <s v="144.75.187.16"/>
    <n v="2.6200000000000001E-2"/>
    <n v="0.11799999999999999"/>
    <n v="368"/>
    <n v="484"/>
    <n v="0"/>
    <n v="0"/>
  </r>
  <r>
    <s v="Army Rotc"/>
    <s v="10_03_011_04100_5521"/>
    <x v="4"/>
    <s v="Kilbourne Hall"/>
    <n v="2029"/>
    <s v="AF SP4310N"/>
    <s v="PTR"/>
    <n v="17099446"/>
    <n v="29"/>
    <n v="0"/>
    <n v="0.75980000000000003"/>
    <n v="0"/>
    <n v="0.75980000000000003"/>
    <s v="T1129010869"/>
    <s v="144.75.187.137"/>
    <n v="2.6200000000000001E-2"/>
    <n v="0.11799999999999999"/>
    <n v="276"/>
    <n v="305"/>
    <n v="0"/>
    <n v="0"/>
  </r>
  <r>
    <s v="Army Rotc"/>
    <s v="10_03_011_04100_5521"/>
    <x v="4"/>
    <s v="Kilbourne Hall"/>
    <n v="2053"/>
    <s v="AF SP4310N"/>
    <s v="PTR"/>
    <n v="17099437"/>
    <n v="254"/>
    <n v="0"/>
    <n v="6.6547999999999998"/>
    <n v="0"/>
    <n v="6.6547999999999998"/>
    <s v="T1129010748"/>
    <s v="144.75.187.112"/>
    <n v="2.6200000000000001E-2"/>
    <n v="0.11799999999999999"/>
    <n v="1086"/>
    <n v="1340"/>
    <n v="0"/>
    <n v="0"/>
  </r>
  <r>
    <s v="Army Rotc"/>
    <s v="10_03_011_04100_5521"/>
    <x v="4"/>
    <s v="Kilbourne Hall"/>
    <n v="2056"/>
    <s v="AF SP4310N"/>
    <s v="PTR"/>
    <n v="17099436"/>
    <n v="280"/>
    <n v="0"/>
    <n v="7.3360000000000003"/>
    <n v="0"/>
    <n v="7.3360000000000003"/>
    <s v="T1129010837"/>
    <s v="144.75.187.131"/>
    <n v="2.6200000000000001E-2"/>
    <n v="0.11799999999999999"/>
    <n v="1616"/>
    <n v="1896"/>
    <n v="0"/>
    <n v="0"/>
  </r>
  <r>
    <s v="Army Rotc"/>
    <s v="10_03_011_04100_5521"/>
    <x v="4"/>
    <s v="Kilbourne Hall"/>
    <n v="2057"/>
    <s v="AF SP4310N"/>
    <s v="PTR"/>
    <n v="17099444"/>
    <n v="749"/>
    <n v="0"/>
    <n v="19.623799999999999"/>
    <n v="0"/>
    <n v="19.623799999999999"/>
    <s v="T1129010677"/>
    <s v="144.75.187.133"/>
    <n v="2.6200000000000001E-2"/>
    <n v="0.11799999999999999"/>
    <n v="2561"/>
    <n v="3310"/>
    <n v="0"/>
    <n v="0"/>
  </r>
  <r>
    <s v="Army Rotc"/>
    <s v="10_03_011_04100_5521"/>
    <x v="4"/>
    <s v="Kilbourne Hall"/>
    <n v="2060"/>
    <s v="AF SP4310N"/>
    <s v="PTR"/>
    <n v="17099430"/>
    <n v="154"/>
    <n v="0"/>
    <n v="4.0348000000000006"/>
    <n v="0"/>
    <n v="4.0348000000000006"/>
    <s v="T1129010760"/>
    <s v="144.75.187.119"/>
    <n v="2.6200000000000001E-2"/>
    <n v="0.11799999999999999"/>
    <n v="287"/>
    <n v="441"/>
    <n v="0"/>
    <n v="0"/>
  </r>
  <r>
    <s v="Army Rotc"/>
    <s v="10_03_011_04100_5521"/>
    <x v="4"/>
    <s v="Kilbourne Hall"/>
    <n v="2061"/>
    <s v="AF SP4310N"/>
    <s v="PTR"/>
    <n v="17099442"/>
    <n v="395"/>
    <n v="0"/>
    <n v="10.349"/>
    <n v="0"/>
    <n v="10.349"/>
    <s v="T1129010681"/>
    <s v="144.75.187.136"/>
    <n v="2.6200000000000001E-2"/>
    <n v="0.11799999999999999"/>
    <n v="503"/>
    <n v="898"/>
    <n v="0"/>
    <n v="0"/>
  </r>
  <r>
    <s v="Army Rotc"/>
    <s v="10_03_011_04100_5521"/>
    <x v="4"/>
    <s v="Kilbourne Hall"/>
    <n v="2063"/>
    <s v="AF SP4310N"/>
    <s v="PTR"/>
    <n v="17099427"/>
    <n v="416"/>
    <n v="0"/>
    <n v="10.8992"/>
    <n v="0"/>
    <n v="10.8992"/>
    <s v="T1129010874"/>
    <s v="144.75.187.118"/>
    <n v="2.6200000000000001E-2"/>
    <n v="0.11799999999999999"/>
    <n v="1059"/>
    <n v="1475"/>
    <n v="0"/>
    <n v="0"/>
  </r>
  <r>
    <s v="Army Rotc"/>
    <s v="10_03_011_04100_5521"/>
    <x v="4"/>
    <s v="Kilbourne Hall"/>
    <n v="2064"/>
    <s v="AF SP4310N"/>
    <s v="PTR"/>
    <n v="17099439"/>
    <n v="164"/>
    <n v="0"/>
    <n v="4.2968000000000002"/>
    <n v="0"/>
    <n v="4.2968000000000002"/>
    <s v="T1129010823"/>
    <s v="144.75.187.140"/>
    <n v="2.6200000000000001E-2"/>
    <n v="0.11799999999999999"/>
    <n v="747"/>
    <n v="911"/>
    <n v="0"/>
    <n v="0"/>
  </r>
  <r>
    <s v="Army Rotc"/>
    <s v="10_03_011_04100_5521"/>
    <x v="4"/>
    <s v="Kilbourne Hall"/>
    <n v="2066"/>
    <s v="AF SP4310N"/>
    <s v="PTR"/>
    <n v="17099426"/>
    <n v="55"/>
    <n v="0"/>
    <n v="1.4410000000000001"/>
    <n v="0"/>
    <n v="1.4410000000000001"/>
    <s v="T1129010820"/>
    <s v="144.75.187.121"/>
    <n v="2.6200000000000001E-2"/>
    <n v="0.11799999999999999"/>
    <n v="329"/>
    <n v="384"/>
    <n v="0"/>
    <n v="0"/>
  </r>
  <r>
    <s v="Army Rotc"/>
    <s v="10_03_011_04100_5521"/>
    <x v="4"/>
    <s v="Kilbourne Hall"/>
    <n v="2067"/>
    <s v="AF SP4310N"/>
    <s v="PTR"/>
    <n v="17099425"/>
    <n v="249"/>
    <n v="0"/>
    <n v="6.5238000000000005"/>
    <n v="0"/>
    <n v="6.5238000000000005"/>
    <s v="T1129010889"/>
    <s v="144.75.187.123"/>
    <n v="2.6200000000000001E-2"/>
    <n v="0.11799999999999999"/>
    <n v="761"/>
    <n v="1010"/>
    <n v="0"/>
    <n v="0"/>
  </r>
  <r>
    <s v="Army Rotc"/>
    <s v="10_03_011_04100_5521"/>
    <x v="4"/>
    <s v="Kilbourne Hall"/>
    <n v="2070"/>
    <s v="AF SP4310N"/>
    <s v="PTR"/>
    <n v="17099428"/>
    <n v="105"/>
    <n v="0"/>
    <n v="2.7510000000000003"/>
    <n v="0"/>
    <n v="2.7510000000000003"/>
    <s v="T1129010900"/>
    <s v="144.75.187.132"/>
    <n v="2.6200000000000001E-2"/>
    <n v="0.11799999999999999"/>
    <n v="1042"/>
    <n v="1147"/>
    <n v="0"/>
    <n v="0"/>
  </r>
  <r>
    <s v="Athletic Advising"/>
    <s v="40_00_052_06550_5521"/>
    <x v="5"/>
    <s v="Carroll Hall"/>
    <n v="210"/>
    <s v="AF MPC2051"/>
    <s v="MFP"/>
    <n v="17099459"/>
    <n v="8899"/>
    <n v="79"/>
    <n v="184.20929999999998"/>
    <n v="6.8729999999999993"/>
    <n v="191.08229999999998"/>
    <s v="V9725401429"/>
    <s v="144.75.195.41"/>
    <n v="2.07E-2"/>
    <n v="8.6999999999999994E-2"/>
    <n v="24087"/>
    <n v="32986"/>
    <n v="3089"/>
    <n v="3168"/>
  </r>
  <r>
    <s v="Athletic Communications"/>
    <s v="30_00_310_06104_5521"/>
    <x v="6"/>
    <s v="Smith Hall"/>
    <n v="116"/>
    <s v="AF MP301SP"/>
    <s v="MFP"/>
    <n v="17099531"/>
    <n v="1944"/>
    <n v="0"/>
    <n v="40.2408"/>
    <n v="0"/>
    <n v="40.2408"/>
    <s v="W912P602286"/>
    <s v="144.75.179.49"/>
    <n v="2.07E-2"/>
    <n v="8.6999999999999994E-2"/>
    <n v="3693"/>
    <n v="5637"/>
    <n v="0"/>
    <n v="0"/>
  </r>
  <r>
    <s v="Athletics"/>
    <s v="30_00_310_06020_5521"/>
    <x v="7"/>
    <s v="Cameron Hall"/>
    <n v="231"/>
    <s v="AF SP4310N"/>
    <s v="PTR"/>
    <n v="17099560"/>
    <n v="1013"/>
    <n v="0"/>
    <n v="26.540600000000001"/>
    <n v="0"/>
    <n v="26.540600000000001"/>
    <s v="T1129010426"/>
    <s v="144.75.183.68"/>
    <n v="2.6200000000000001E-2"/>
    <n v="0.11799999999999999"/>
    <n v="2252"/>
    <n v="3265"/>
    <n v="0"/>
    <n v="0"/>
  </r>
  <r>
    <s v="Athletics"/>
    <s v="30_00_310_06090_5521"/>
    <x v="8"/>
    <s v="Cameron Hall"/>
    <n v="245"/>
    <s v="AF SP4310N"/>
    <s v="PTR"/>
    <n v="17099557"/>
    <n v="191"/>
    <n v="0"/>
    <n v="5.0042"/>
    <n v="0"/>
    <n v="5.0042"/>
    <s v="T1129010429"/>
    <s v="144.75.183.65"/>
    <n v="2.6200000000000001E-2"/>
    <n v="0.11799999999999999"/>
    <n v="692"/>
    <n v="883"/>
    <n v="0"/>
    <n v="0"/>
  </r>
  <r>
    <s v="Athletics"/>
    <s v="30_00_310_06095_5521"/>
    <x v="9"/>
    <s v="Cameron Hall"/>
    <n v="239"/>
    <s v="AF SP4310N"/>
    <s v="PTR"/>
    <n v="17099565"/>
    <n v="173"/>
    <n v="0"/>
    <n v="4.5326000000000004"/>
    <n v="0"/>
    <n v="4.5326000000000004"/>
    <s v="T1129010419"/>
    <s v="144.75.183.69"/>
    <n v="2.6200000000000001E-2"/>
    <n v="0.11799999999999999"/>
    <n v="462"/>
    <n v="635"/>
    <n v="0"/>
    <n v="0"/>
  </r>
  <r>
    <s v="Athletics"/>
    <s v="30_00_310_06110_5521"/>
    <x v="10"/>
    <s v="Cameron Hall"/>
    <n v="204"/>
    <s v="AF MP301SP"/>
    <s v="MFP"/>
    <n v="17099507"/>
    <n v="2470"/>
    <n v="0"/>
    <n v="51.128999999999998"/>
    <n v="0"/>
    <n v="51.128999999999998"/>
    <s v="W912P602280"/>
    <s v="144.75.183.73"/>
    <n v="2.07E-2"/>
    <n v="8.6999999999999994E-2"/>
    <n v="9675"/>
    <n v="12145"/>
    <n v="0"/>
    <n v="0"/>
  </r>
  <r>
    <s v="Athletics"/>
    <s v="30_00_310_06110_5521"/>
    <x v="10"/>
    <s v="Cameron Hall"/>
    <n v="235"/>
    <s v="AF MPC6501"/>
    <s v="MFP"/>
    <n v="17099490"/>
    <n v="8125"/>
    <n v="4871"/>
    <n v="168.1875"/>
    <n v="423.77699999999999"/>
    <n v="591.96450000000004"/>
    <s v="V7620400078"/>
    <s v="144.75.183.56"/>
    <n v="2.07E-2"/>
    <n v="8.6999999999999994E-2"/>
    <n v="26987"/>
    <n v="35112"/>
    <n v="8187"/>
    <n v="13058"/>
  </r>
  <r>
    <s v="Athletics"/>
    <s v="30_00_310_06110_5521"/>
    <x v="10"/>
    <s v="Cameron Hall"/>
    <n v="241"/>
    <s v="AF SP4310N"/>
    <s v="PTR"/>
    <n v="17099552"/>
    <n v="787"/>
    <n v="0"/>
    <n v="20.619400000000002"/>
    <n v="0"/>
    <n v="20.619400000000002"/>
    <s v="T1129010427"/>
    <s v="144.75.183.9"/>
    <n v="2.6200000000000001E-2"/>
    <n v="0.11799999999999999"/>
    <n v="3109"/>
    <n v="3896"/>
    <n v="0"/>
    <n v="0"/>
  </r>
  <r>
    <s v="Athletics"/>
    <s v="30_00_310_06110_5521"/>
    <x v="10"/>
    <s v="Cameron Hall"/>
    <n v="242"/>
    <s v="AF SP4310N"/>
    <s v="PTR"/>
    <n v="17099553"/>
    <n v="263"/>
    <n v="0"/>
    <n v="6.8906000000000001"/>
    <n v="0"/>
    <n v="6.8906000000000001"/>
    <s v="T1129010420"/>
    <s v="144.75.183.64"/>
    <n v="2.6200000000000001E-2"/>
    <n v="0.11799999999999999"/>
    <n v="847"/>
    <n v="1110"/>
    <n v="0"/>
    <n v="0"/>
  </r>
  <r>
    <s v="Athletics"/>
    <s v="30_00_310_06110_5521"/>
    <x v="10"/>
    <s v="Cameron Hall"/>
    <n v="302"/>
    <s v="AF MPC2051"/>
    <s v="MFP"/>
    <n v="17099722"/>
    <n v="637"/>
    <n v="1486"/>
    <n v="13.1859"/>
    <n v="129.28199999999998"/>
    <n v="142.46789999999999"/>
    <s v="V9725401418"/>
    <s v="144.75.183.52"/>
    <n v="2.07E-2"/>
    <n v="8.6999999999999994E-2"/>
    <n v="5516"/>
    <n v="6153"/>
    <n v="12424"/>
    <n v="13910"/>
  </r>
  <r>
    <s v="Athletics"/>
    <s v="30_00_310_06110_5521"/>
    <x v="10"/>
    <s v="Cameron Hall"/>
    <n v="312"/>
    <s v="AF SP4310N"/>
    <s v="PTR"/>
    <n v="17099555"/>
    <n v="317"/>
    <n v="0"/>
    <n v="8.3054000000000006"/>
    <n v="0"/>
    <n v="8.3054000000000006"/>
    <s v="T1129010428"/>
    <s v="144.75.183.67"/>
    <n v="2.6200000000000001E-2"/>
    <n v="0.11799999999999999"/>
    <n v="1256"/>
    <n v="1573"/>
    <n v="0"/>
    <n v="0"/>
  </r>
  <r>
    <s v="Athletics"/>
    <s v="30_00_310_06110_5521"/>
    <x v="10"/>
    <s v="Cameron Hall"/>
    <n v="314"/>
    <s v="AF SP4310N"/>
    <s v="PTR"/>
    <n v="17099558"/>
    <n v="586"/>
    <n v="0"/>
    <n v="15.353200000000001"/>
    <n v="0"/>
    <n v="15.353200000000001"/>
    <s v="T1129010421"/>
    <s v="144.75.183.62"/>
    <n v="2.6200000000000001E-2"/>
    <n v="0.11799999999999999"/>
    <n v="1317"/>
    <n v="1903"/>
    <n v="0"/>
    <n v="0"/>
  </r>
  <r>
    <s v="Athletics"/>
    <s v="30_00_310_06110_5521"/>
    <x v="10"/>
    <s v="Cameron Hall"/>
    <n v="317"/>
    <s v="AF SP4310N"/>
    <s v="PTR"/>
    <n v="17099554"/>
    <n v="157"/>
    <n v="0"/>
    <n v="4.1134000000000004"/>
    <n v="0"/>
    <n v="4.1134000000000004"/>
    <s v="T1129010385"/>
    <s v="144.75.183.63"/>
    <n v="2.6200000000000001E-2"/>
    <n v="0.11799999999999999"/>
    <n v="469"/>
    <n v="626"/>
    <n v="0"/>
    <n v="0"/>
  </r>
  <r>
    <s v="Auxiliary Services"/>
    <s v="10_08_309_82115_5521"/>
    <x v="11"/>
    <s v="Cocke Hall"/>
    <n v="502"/>
    <s v="AF MPC2051"/>
    <s v="MFP"/>
    <n v="17099424"/>
    <n v="1526"/>
    <n v="116"/>
    <n v="31.588200000000001"/>
    <n v="10.091999999999999"/>
    <n v="41.680199999999999"/>
    <s v="V9725500651"/>
    <s v="144.75.177.32"/>
    <n v="2.07E-2"/>
    <n v="8.6999999999999994E-2"/>
    <n v="4051"/>
    <n v="5577"/>
    <n v="504"/>
    <n v="620"/>
  </r>
  <r>
    <s v="Band"/>
    <s v="10_07_205_30200_5521"/>
    <x v="12"/>
    <s v="Shell Hall"/>
    <n v="207"/>
    <s v="AF MP301SP"/>
    <s v="MFP"/>
    <n v="17099460"/>
    <n v="1280"/>
    <n v="0"/>
    <n v="26.495999999999999"/>
    <n v="0"/>
    <n v="26.495999999999999"/>
    <s v="W912P602276"/>
    <s v="144.75.180.76"/>
    <n v="2.07E-2"/>
    <n v="8.6999999999999994E-2"/>
    <n v="4729"/>
    <n v="6009"/>
    <n v="0"/>
    <n v="0"/>
  </r>
  <r>
    <s v="Biology"/>
    <s v="10_03_064_50550_5521"/>
    <x v="2"/>
    <s v="Mallory Hall"/>
    <n v="214"/>
    <s v="AF SP4310N"/>
    <s v="PTR"/>
    <n v="17099580"/>
    <n v="173"/>
    <n v="0"/>
    <n v="4.5326000000000004"/>
    <n v="0"/>
    <n v="4.5326000000000004"/>
    <s v="T1129011291"/>
    <s v="144.75.182.5"/>
    <n v="2.6200000000000001E-2"/>
    <n v="0.11799999999999999"/>
    <n v="2810"/>
    <n v="2983"/>
    <n v="0"/>
    <n v="0"/>
  </r>
  <r>
    <s v="Biology"/>
    <s v="10_03_064_50550_5521"/>
    <x v="2"/>
    <s v="Maury Brooke"/>
    <s v="204A"/>
    <s v="AF SP4310N"/>
    <s v="PTR"/>
    <n v="17099708"/>
    <n v="123"/>
    <n v="0"/>
    <n v="3.2225999999999999"/>
    <n v="0"/>
    <n v="3.2225999999999999"/>
    <s v="T1129011358"/>
    <s v="144.75.202.47"/>
    <n v="2.6200000000000001E-2"/>
    <n v="0.11799999999999999"/>
    <n v="232"/>
    <n v="355"/>
    <n v="0"/>
    <n v="0"/>
  </r>
  <r>
    <s v="Biology"/>
    <s v="40_00_011_10250_5521"/>
    <x v="13"/>
    <s v="Maury Brooke"/>
    <n v="203"/>
    <s v="AF MPC2051"/>
    <s v="MFP"/>
    <n v="17099484"/>
    <n v="3942"/>
    <n v="506"/>
    <n v="81.599400000000003"/>
    <n v="44.021999999999998"/>
    <n v="125.62139999999999"/>
    <s v="V9725401445"/>
    <s v="144.75.191.21"/>
    <n v="2.07E-2"/>
    <n v="8.6999999999999994E-2"/>
    <n v="9957"/>
    <n v="13899"/>
    <n v="1174"/>
    <n v="1680"/>
  </r>
  <r>
    <s v="Biology"/>
    <s v="40_00_011_10250_5521"/>
    <x v="13"/>
    <s v="Maury Brooke"/>
    <n v="203"/>
    <s v="AF SP4310N"/>
    <s v="PTR"/>
    <n v="17099613"/>
    <n v="1013"/>
    <n v="0"/>
    <n v="26.540600000000001"/>
    <n v="0"/>
    <n v="26.540600000000001"/>
    <s v="T1129011365"/>
    <s v="144.75.202.56"/>
    <n v="2.6200000000000001E-2"/>
    <n v="0.11799999999999999"/>
    <n v="4954"/>
    <n v="5967"/>
    <n v="0"/>
    <n v="0"/>
  </r>
  <r>
    <s v="Biology"/>
    <s v="40_00_011_10250_5521"/>
    <x v="13"/>
    <s v="Maury Brooke"/>
    <s v="203A"/>
    <s v="AF SP4310N"/>
    <s v="PTR"/>
    <n v="17099611"/>
    <n v="803"/>
    <n v="0"/>
    <n v="21.038600000000002"/>
    <n v="0"/>
    <n v="21.038600000000002"/>
    <s v="T1128911356"/>
    <s v="144.75.202.51"/>
    <n v="2.6200000000000001E-2"/>
    <n v="0.11799999999999999"/>
    <n v="2531"/>
    <n v="3334"/>
    <n v="0"/>
    <n v="0"/>
  </r>
  <r>
    <s v="Biology"/>
    <s v="40_00_011_10250_5521"/>
    <x v="13"/>
    <s v="Maury Brooke"/>
    <s v="203B"/>
    <s v="AF SP4310N"/>
    <s v="PTR"/>
    <n v="17099569"/>
    <n v="100"/>
    <n v="0"/>
    <n v="2.62"/>
    <n v="0"/>
    <n v="2.62"/>
    <s v="T1129011364"/>
    <s v="144.75.202.58"/>
    <n v="2.6200000000000001E-2"/>
    <n v="0.11799999999999999"/>
    <n v="361"/>
    <n v="461"/>
    <n v="0"/>
    <n v="0"/>
  </r>
  <r>
    <s v="Biology"/>
    <s v="40_00_011_10250_5521"/>
    <x v="13"/>
    <s v="Maury Brooke"/>
    <s v="203C"/>
    <s v="AF SP4310N"/>
    <s v="PTR"/>
    <n v="17099612"/>
    <n v="17"/>
    <n v="0"/>
    <n v="0.44540000000000002"/>
    <n v="0"/>
    <n v="0.44540000000000002"/>
    <s v="T1128911365"/>
    <s v="144.75.202.44"/>
    <n v="2.6200000000000001E-2"/>
    <n v="0.11799999999999999"/>
    <n v="530"/>
    <n v="547"/>
    <n v="0"/>
    <n v="0"/>
  </r>
  <r>
    <s v="Biology"/>
    <s v="40_00_011_10250_5521"/>
    <x v="13"/>
    <s v="Maury Brooke"/>
    <s v="203D"/>
    <s v="AF SP4310N"/>
    <s v="PTR"/>
    <n v="17099568"/>
    <n v="484"/>
    <n v="0"/>
    <n v="12.680800000000001"/>
    <n v="0"/>
    <n v="12.680800000000001"/>
    <s v="T1129011299"/>
    <s v="144.75.202.57"/>
    <n v="2.6200000000000001E-2"/>
    <n v="0.11799999999999999"/>
    <n v="0"/>
    <n v="484"/>
    <n v="0"/>
    <n v="0"/>
  </r>
  <r>
    <s v="Business Office"/>
    <s v="10_03_062_16100_5521"/>
    <x v="14"/>
    <s v="Smith Hall"/>
    <n v="303"/>
    <s v="AF SPC242DN"/>
    <s v="PTR"/>
    <n v="17099513"/>
    <n v="408"/>
    <n v="951"/>
    <n v="10.6896"/>
    <n v="112.21799999999999"/>
    <n v="122.90759999999999"/>
    <s v="T202P700462"/>
    <s v="144.75.179.112"/>
    <n v="2.6200000000000001E-2"/>
    <n v="0.11799999999999999"/>
    <n v="933"/>
    <n v="1341"/>
    <n v="482"/>
    <n v="1433"/>
  </r>
  <r>
    <s v="Business Office"/>
    <s v="10_03_062_16100_5521"/>
    <x v="14"/>
    <s v="Smith Hall"/>
    <n v="304"/>
    <s v="AF MPC3502"/>
    <s v="MFP"/>
    <n v="17099529"/>
    <n v="5400"/>
    <n v="5406"/>
    <n v="111.78"/>
    <n v="470.32199999999995"/>
    <n v="582.10199999999998"/>
    <s v="W502L600725"/>
    <s v="144.75.179.35"/>
    <n v="2.07E-2"/>
    <n v="8.6999999999999994E-2"/>
    <n v="15751"/>
    <n v="21151"/>
    <n v="11763"/>
    <n v="17169"/>
  </r>
  <r>
    <s v="Business Office"/>
    <s v="10_03_062_16150_5521"/>
    <x v="15"/>
    <s v="Smith Hall"/>
    <n v="303"/>
    <s v="AF SP4310N"/>
    <s v="PTR"/>
    <n v="17099709"/>
    <n v="310"/>
    <n v="0"/>
    <n v="8.1219999999999999"/>
    <n v="0"/>
    <n v="8.1219999999999999"/>
    <s v="T1128911215"/>
    <s v="144.75.179.115"/>
    <n v="2.6200000000000001E-2"/>
    <n v="0.11799999999999999"/>
    <n v="1164"/>
    <n v="1474"/>
    <n v="0"/>
    <n v="0"/>
  </r>
  <r>
    <s v="Business Office"/>
    <s v="10_03_062_98100_5521"/>
    <x v="16"/>
    <s v="Smith Hall"/>
    <n v="303"/>
    <s v="AF SP4310N"/>
    <s v="PTR"/>
    <n v="17099711"/>
    <n v="2392"/>
    <n v="0"/>
    <n v="62.670400000000001"/>
    <n v="0"/>
    <n v="62.670400000000001"/>
    <s v="T1128911216"/>
    <s v="144.75.179.65"/>
    <n v="2.6200000000000001E-2"/>
    <n v="0.11799999999999999"/>
    <n v="6929"/>
    <n v="9321"/>
    <n v="0"/>
    <n v="0"/>
  </r>
  <r>
    <s v="Cadet Life"/>
    <s v="10_08_307_18380_5521"/>
    <x v="17"/>
    <s v="Lejeune Hall"/>
    <n v="3115"/>
    <s v="AF MPC2051"/>
    <s v="MFP"/>
    <n v="17099486"/>
    <n v="1517"/>
    <n v="230"/>
    <n v="31.401899999999998"/>
    <n v="20.009999999999998"/>
    <n v="51.411899999999996"/>
    <s v="V9725401441"/>
    <s v="144.75.209.65"/>
    <n v="2.07E-2"/>
    <n v="8.6999999999999994E-2"/>
    <n v="18920"/>
    <n v="20437"/>
    <n v="526"/>
    <n v="756"/>
  </r>
  <r>
    <s v="Cadet Life"/>
    <s v="10_08_307_18380_5521"/>
    <x v="17"/>
    <s v="Lejeune Hall"/>
    <n v="3116"/>
    <s v="AF SP4310N"/>
    <s v="PTR"/>
    <n v="17099717"/>
    <n v="1517"/>
    <n v="230"/>
    <n v="39.745400000000004"/>
    <n v="27.139999999999997"/>
    <n v="66.885400000000004"/>
    <s v="V9725401441"/>
    <s v="144.75.149.13"/>
    <n v="2.6200000000000001E-2"/>
    <n v="0.11799999999999999"/>
    <n v="18920"/>
    <n v="20437"/>
    <n v="526"/>
    <n v="756"/>
  </r>
  <r>
    <s v="Career Services / Financial Aid"/>
    <s v="10_03_053_20300_5521"/>
    <x v="18"/>
    <s v="Carroll Hall"/>
    <n v="311"/>
    <s v="AF SP4310N"/>
    <s v="PTR"/>
    <n v="17099570"/>
    <n v="338"/>
    <n v="0"/>
    <n v="8.8556000000000008"/>
    <n v="0"/>
    <n v="8.8556000000000008"/>
    <s v="T1128910754"/>
    <s v="144.75.195.25"/>
    <n v="2.6200000000000001E-2"/>
    <n v="0.11799999999999999"/>
    <n v="1566"/>
    <n v="1904"/>
    <n v="0"/>
    <n v="0"/>
  </r>
  <r>
    <s v="Career Services / Financial Aid"/>
    <s v="10_03_053_20300_5521"/>
    <x v="18"/>
    <s v="Carroll Hall"/>
    <n v="312"/>
    <s v="AF SP4310N"/>
    <s v="PTR"/>
    <n v="17099618"/>
    <n v="2261"/>
    <n v="0"/>
    <n v="59.238199999999999"/>
    <n v="0"/>
    <n v="59.238199999999999"/>
    <s v="T1128911369"/>
    <s v="144.75.195.109"/>
    <n v="2.6200000000000001E-2"/>
    <n v="0.11799999999999999"/>
    <n v="4515"/>
    <n v="6776"/>
    <n v="0"/>
    <n v="0"/>
  </r>
  <r>
    <s v="Career Services / Financial Aid"/>
    <s v="10_03_053_20300_5521"/>
    <x v="18"/>
    <s v="Carroll Hall"/>
    <n v="313"/>
    <s v="AF SP4310N"/>
    <s v="PTR"/>
    <n v="17099617"/>
    <n v="200"/>
    <n v="0"/>
    <n v="5.24"/>
    <n v="0"/>
    <n v="5.24"/>
    <s v="T1128911361"/>
    <s v="144.75.195.81"/>
    <n v="2.6200000000000001E-2"/>
    <n v="0.11799999999999999"/>
    <n v="483"/>
    <n v="683"/>
    <n v="0"/>
    <n v="0"/>
  </r>
  <r>
    <s v="Career Services / Financial Aid"/>
    <s v="10_03_064_32145_5521"/>
    <x v="19"/>
    <s v="Carroll Hall"/>
    <n v="307"/>
    <s v="AF MPC6501"/>
    <s v="MFP"/>
    <n v="17099454"/>
    <n v="15737"/>
    <n v="1894"/>
    <n v="325.7559"/>
    <n v="164.77799999999999"/>
    <n v="490.53390000000002"/>
    <s v="V7620400172"/>
    <s v="144.75.195.225"/>
    <n v="2.07E-2"/>
    <n v="8.6999999999999994E-2"/>
    <n v="154317"/>
    <n v="170054"/>
    <n v="9923"/>
    <n v="11817"/>
  </r>
  <r>
    <s v="Center for Leadership &amp; Ethics"/>
    <s v="30_00_045_61150_5521"/>
    <x v="20"/>
    <s v="Center for Leadership &amp; Ethics"/>
    <n v="201"/>
    <s v="AF MPC2051"/>
    <s v="MFP"/>
    <n v="17099534"/>
    <n v="2018"/>
    <n v="1079"/>
    <n v="41.772599999999997"/>
    <n v="93.87299999999999"/>
    <n v="135.6456"/>
    <s v="V9725400756"/>
    <s v="144.75.215.6"/>
    <n v="2.07E-2"/>
    <n v="8.6999999999999994E-2"/>
    <n v="9433"/>
    <n v="11451"/>
    <n v="6246"/>
    <n v="7325"/>
  </r>
  <r>
    <s v="Center for Leadership &amp; Ethics"/>
    <s v="30_00_045_61150_5521"/>
    <x v="20"/>
    <s v="Center for Leadership &amp; Ethics"/>
    <n v="201"/>
    <s v="AF SP4310N"/>
    <s v="PTR"/>
    <n v="17099602"/>
    <n v="823"/>
    <n v="0"/>
    <n v="21.5626"/>
    <n v="0"/>
    <n v="21.5626"/>
    <s v="T1129012327"/>
    <s v="144.75.215.10"/>
    <n v="2.6200000000000001E-2"/>
    <n v="0.11799999999999999"/>
    <n v="3623"/>
    <n v="4446"/>
    <n v="0"/>
    <n v="0"/>
  </r>
  <r>
    <s v="Center for Leadership &amp; Ethics"/>
    <s v="30_00_045_61150_5521"/>
    <x v="20"/>
    <s v="Center for Leadership &amp; Ethics"/>
    <n v="201"/>
    <s v="AF SP4310N"/>
    <s v="PTR"/>
    <n v="17099694"/>
    <n v="72"/>
    <n v="0"/>
    <n v="1.8864000000000001"/>
    <n v="0"/>
    <n v="1.8864000000000001"/>
    <s v="T1129011351"/>
    <s v="144.75.215.30"/>
    <n v="2.6200000000000001E-2"/>
    <n v="0.11799999999999999"/>
    <n v="96"/>
    <n v="168"/>
    <n v="0"/>
    <n v="0"/>
  </r>
  <r>
    <s v="Chaplains Office"/>
    <s v="10_07_205_24100_5521"/>
    <x v="21"/>
    <s v="Old Hospital"/>
    <n v="202"/>
    <s v="AF MP301SP"/>
    <s v="MFP"/>
    <n v="17099532"/>
    <n v="1891"/>
    <n v="0"/>
    <n v="39.143700000000003"/>
    <n v="0"/>
    <n v="39.143700000000003"/>
    <s v="W912P601485"/>
    <s v="144.75.180.73"/>
    <n v="2.07E-2"/>
    <n v="8.6999999999999994E-2"/>
    <n v="3880"/>
    <n v="5771"/>
    <n v="0"/>
    <n v="0"/>
  </r>
  <r>
    <s v="Chemistry"/>
    <s v="10_03_011_26100_5521"/>
    <x v="22"/>
    <s v="Maury Brooke"/>
    <n v="303"/>
    <s v="AF SP4310N"/>
    <s v="PTR"/>
    <n v="17099615"/>
    <n v="1567"/>
    <n v="0"/>
    <n v="41.055399999999999"/>
    <n v="0"/>
    <n v="41.055399999999999"/>
    <s v="T1129011366"/>
    <s v="144.75.202.14"/>
    <n v="2.6200000000000001E-2"/>
    <n v="0.11799999999999999"/>
    <n v="6979"/>
    <n v="8546"/>
    <n v="0"/>
    <n v="0"/>
  </r>
  <r>
    <s v="Chemistry"/>
    <s v="10_03_011_26100_5521"/>
    <x v="22"/>
    <s v="Maury Brooke"/>
    <s v="303E"/>
    <s v="AF MPC3502"/>
    <s v="MFP"/>
    <n v="17099462"/>
    <n v="12063"/>
    <n v="352"/>
    <n v="249.70409999999998"/>
    <n v="30.623999999999999"/>
    <n v="280.32810000000001"/>
    <s v="W502L601221"/>
    <s v="144.75.202.45"/>
    <n v="2.07E-2"/>
    <n v="8.6999999999999994E-2"/>
    <n v="34366"/>
    <n v="46429"/>
    <n v="1033"/>
    <n v="1385"/>
  </r>
  <r>
    <s v="Chemistry"/>
    <s v="10_03_011_26100_5521"/>
    <x v="22"/>
    <s v="Maury Brooke"/>
    <s v="403H"/>
    <s v="AF SP4310N"/>
    <s v="PTR"/>
    <n v="17099616"/>
    <n v="2155"/>
    <n v="0"/>
    <n v="56.461000000000006"/>
    <n v="0"/>
    <n v="56.461000000000006"/>
    <s v="T1129011350"/>
    <s v="144.75.202.13"/>
    <n v="2.6200000000000001E-2"/>
    <n v="0.11799999999999999"/>
    <n v="5102"/>
    <n v="7257"/>
    <n v="0"/>
    <n v="0"/>
  </r>
  <r>
    <s v="Civil &amp; Environmental Eng."/>
    <s v="10_03_011_28100_5521"/>
    <x v="23"/>
    <s v="Nichols Hall"/>
    <n v="410"/>
    <s v="AF SP4310N"/>
    <s v="PTR"/>
    <n v="17099752"/>
    <n v="196"/>
    <n v="0"/>
    <n v="5.1352000000000002"/>
    <n v="0"/>
    <n v="5.1352000000000002"/>
    <s v="T1128812156"/>
    <s v="144.75.189.88"/>
    <n v="2.6200000000000001E-2"/>
    <n v="0.11799999999999999"/>
    <n v="470"/>
    <n v="666"/>
    <n v="0"/>
    <n v="0"/>
  </r>
  <r>
    <s v="Civil &amp; Environmental Eng."/>
    <s v="10_03_011_28100_5521"/>
    <x v="23"/>
    <s v="Nichols Hall"/>
    <n v="609"/>
    <s v="AF SP4310N"/>
    <s v="PTR"/>
    <n v="17099621"/>
    <n v="533"/>
    <n v="0"/>
    <n v="13.964600000000001"/>
    <n v="0"/>
    <n v="13.964600000000001"/>
    <s v="T1129011096"/>
    <s v="144.75.193.196"/>
    <n v="2.6200000000000001E-2"/>
    <n v="0.11799999999999999"/>
    <n v="779"/>
    <n v="1312"/>
    <n v="0"/>
    <n v="0"/>
  </r>
  <r>
    <s v="Civil &amp; Environmental Eng."/>
    <s v="10_03_011_28100_5521"/>
    <x v="23"/>
    <s v="Nichols Hall"/>
    <n v="609"/>
    <s v="AF MPC4502"/>
    <s v="MFP"/>
    <n v="17099782"/>
    <n v="20795"/>
    <n v="276"/>
    <n v="430.45650000000001"/>
    <n v="24.011999999999997"/>
    <n v="454.46850000000001"/>
    <s v="W512L700506"/>
    <s v="144.75.193.90"/>
    <n v="2.07E-2"/>
    <n v="8.6999999999999994E-2"/>
    <n v="86015"/>
    <n v="106810"/>
    <n v="23969"/>
    <n v="24245"/>
  </r>
  <r>
    <s v="Civil &amp; Environmental Eng."/>
    <s v="10_03_011_28100_5521"/>
    <x v="23"/>
    <s v="Nichols Hall"/>
    <s v="410-445"/>
    <s v="AF SPC242DN"/>
    <s v="PTR"/>
    <n v="17099740"/>
    <n v="482"/>
    <n v="18"/>
    <n v="12.628400000000001"/>
    <n v="2.1239999999999997"/>
    <n v="14.752400000000002"/>
    <s v="T202P600371"/>
    <s v="144.75.193.75"/>
    <n v="2.6200000000000001E-2"/>
    <n v="0.11799999999999999"/>
    <n v="1031"/>
    <n v="1513"/>
    <n v="59"/>
    <n v="77"/>
  </r>
  <r>
    <s v="Civil &amp; Environmental Eng."/>
    <s v="10_03_064_50550_5521"/>
    <x v="2"/>
    <s v="Nichols Hall"/>
    <n v="601"/>
    <s v="AF SP4310N"/>
    <s v="PTR"/>
    <n v="17099768"/>
    <n v="11138"/>
    <n v="0"/>
    <n v="291.81560000000002"/>
    <n v="0"/>
    <n v="291.81560000000002"/>
    <s v="T1128811663"/>
    <s v="144.75.193.42"/>
    <n v="2.6200000000000001E-2"/>
    <n v="0.11799999999999999"/>
    <n v="50026"/>
    <n v="61164"/>
    <n v="0"/>
    <n v="0"/>
  </r>
  <r>
    <s v="Commandant's Office"/>
    <s v="10_07_205_30150_5521"/>
    <x v="24"/>
    <s v="Old Barracks"/>
    <n v="1"/>
    <s v="AF MPC4502"/>
    <s v="MFP"/>
    <n v="17099497"/>
    <n v="6635"/>
    <n v="962"/>
    <n v="137.34450000000001"/>
    <n v="83.693999999999988"/>
    <n v="221.0385"/>
    <s v="W512L601992"/>
    <s v="144.75.190.18"/>
    <n v="2.07E-2"/>
    <n v="8.6999999999999994E-2"/>
    <n v="23085"/>
    <n v="29720"/>
    <n v="4417"/>
    <n v="5379"/>
  </r>
  <r>
    <s v="Commandant's Office"/>
    <s v="10_07_205_30150_5521"/>
    <x v="24"/>
    <s v="Old Barracks"/>
    <n v="131"/>
    <s v="AF SP4310N"/>
    <s v="PTR"/>
    <n v="17099704"/>
    <n v="732"/>
    <n v="0"/>
    <n v="19.1784"/>
    <n v="0"/>
    <n v="19.1784"/>
    <s v="T1129012235"/>
    <s v="144.75.190.21"/>
    <n v="2.6200000000000001E-2"/>
    <n v="0.11799999999999999"/>
    <n v="2387"/>
    <n v="3119"/>
    <n v="0"/>
    <n v="0"/>
  </r>
  <r>
    <s v="Commandant's Office"/>
    <s v="10_07_205_30150_5521"/>
    <x v="24"/>
    <s v="Old Barracks"/>
    <s v="135C"/>
    <s v="AF SP4310N"/>
    <s v="PTR"/>
    <n v="17099703"/>
    <n v="3951"/>
    <n v="0"/>
    <n v="103.5162"/>
    <n v="0"/>
    <n v="103.5162"/>
    <s v="T1129012232"/>
    <s v="144.75.190.22"/>
    <n v="2.6200000000000001E-2"/>
    <n v="0.11799999999999999"/>
    <n v="7041"/>
    <n v="10992"/>
    <n v="0"/>
    <n v="0"/>
  </r>
  <r>
    <s v="Communications &amp; Marketing"/>
    <s v="10_03_065_88100_5521"/>
    <x v="25"/>
    <s v="Smith Hall"/>
    <n v="111"/>
    <s v="AF MP301SP"/>
    <s v="MFP"/>
    <n v="17099530"/>
    <n v="1478"/>
    <n v="0"/>
    <n v="30.5946"/>
    <n v="0"/>
    <n v="30.5946"/>
    <s v="W912P602281"/>
    <s v="144.75.179.81"/>
    <n v="2.07E-2"/>
    <n v="8.6999999999999994E-2"/>
    <n v="3803"/>
    <n v="5281"/>
    <n v="0"/>
    <n v="0"/>
  </r>
  <r>
    <s v="Communications and Marketing"/>
    <s v="10_03_065_88100_5521"/>
    <x v="25"/>
    <s v="Smith Hall"/>
    <s v="114A"/>
    <s v="AF SP4310N"/>
    <s v="PTR"/>
    <n v="17099697"/>
    <n v="241"/>
    <n v="0"/>
    <n v="6.3142000000000005"/>
    <n v="0"/>
    <n v="6.3142000000000005"/>
    <s v="T1128911218"/>
    <s v="144.75.179.110"/>
    <n v="2.6200000000000001E-2"/>
    <n v="0.11799999999999999"/>
    <n v="581"/>
    <n v="822"/>
    <n v="0"/>
    <n v="0"/>
  </r>
  <r>
    <s v="Comptrollers"/>
    <s v="10_03_062_32100_5521"/>
    <x v="26"/>
    <s v="Smith Hall"/>
    <n v="320"/>
    <s v="AF SP4310N"/>
    <s v="PTR"/>
    <n v="17099695"/>
    <n v="2690"/>
    <n v="0"/>
    <n v="70.478000000000009"/>
    <n v="0"/>
    <n v="70.478000000000009"/>
    <s v="T1129012230"/>
    <s v="144.75.179.43"/>
    <n v="2.6200000000000001E-2"/>
    <n v="0.11799999999999999"/>
    <n v="6091"/>
    <n v="8781"/>
    <n v="0"/>
    <n v="0"/>
  </r>
  <r>
    <s v="Counseling"/>
    <s v="10_03_053_52100_5521"/>
    <x v="27"/>
    <s v="Infirmary"/>
    <n v="203"/>
    <s v="AF SP4310N"/>
    <s v="PTR"/>
    <n v="17099636"/>
    <n v="123"/>
    <n v="0"/>
    <n v="3.2225999999999999"/>
    <n v="0"/>
    <n v="3.2225999999999999"/>
    <s v="T1128911214"/>
    <s v="144.75.176.52"/>
    <n v="2.6200000000000001E-2"/>
    <n v="0.11799999999999999"/>
    <n v="109"/>
    <n v="232"/>
    <n v="0"/>
    <n v="0"/>
  </r>
  <r>
    <s v="Counseling"/>
    <s v="10_03_053_52100_5521"/>
    <x v="27"/>
    <s v="Infirmary"/>
    <n v="204"/>
    <s v="AF SP4310N"/>
    <s v="PTR"/>
    <n v="17099604"/>
    <n v="336"/>
    <n v="0"/>
    <n v="8.8032000000000004"/>
    <n v="0"/>
    <n v="8.8032000000000004"/>
    <s v="T1128911213"/>
    <s v="144.75.176.51"/>
    <n v="2.6200000000000001E-2"/>
    <n v="0.11799999999999999"/>
    <n v="2676"/>
    <n v="3012"/>
    <n v="0"/>
    <n v="0"/>
  </r>
  <r>
    <s v="Counseling"/>
    <s v="10_03_053_52100_5521"/>
    <x v="27"/>
    <s v="Infirmary"/>
    <n v="314"/>
    <s v="AF SP4310N"/>
    <s v="PTR"/>
    <n v="17099603"/>
    <n v="352"/>
    <n v="0"/>
    <n v="9.2224000000000004"/>
    <n v="0"/>
    <n v="9.2224000000000004"/>
    <s v="T1128911212"/>
    <s v="144.75.176.50"/>
    <n v="2.6200000000000001E-2"/>
    <n v="0.11799999999999999"/>
    <n v="463"/>
    <n v="815"/>
    <n v="0"/>
    <n v="0"/>
  </r>
  <r>
    <s v="Dean's Office"/>
    <s v="10_03_045_34100_5521"/>
    <x v="28"/>
    <s v="Smith Hall"/>
    <n v="201"/>
    <s v="AF SP4310N"/>
    <s v="PTR"/>
    <n v="17099687"/>
    <n v="600"/>
    <n v="0"/>
    <n v="15.72"/>
    <n v="0"/>
    <n v="15.72"/>
    <s v="T1128911197"/>
    <s v="144.75.179.4"/>
    <n v="2.6200000000000001E-2"/>
    <n v="0.11799999999999999"/>
    <n v="1904"/>
    <n v="2504"/>
    <n v="0"/>
    <n v="0"/>
  </r>
  <r>
    <s v="Dean's Office"/>
    <s v="10_03_045_34100_5521"/>
    <x v="28"/>
    <s v="Smith Hall"/>
    <n v="212"/>
    <s v="AF SP4310N"/>
    <s v="PTR"/>
    <n v="17099699"/>
    <n v="190"/>
    <n v="0"/>
    <n v="4.9779999999999998"/>
    <n v="0"/>
    <n v="4.9779999999999998"/>
    <s v="T1128911227"/>
    <s v="144.75.179.56"/>
    <n v="2.6200000000000001E-2"/>
    <n v="0.11799999999999999"/>
    <n v="340"/>
    <n v="530"/>
    <n v="0"/>
    <n v="0"/>
  </r>
  <r>
    <s v="Dean's Office"/>
    <s v="10_03_045_34100_5521"/>
    <x v="28"/>
    <s v="Smith Hall"/>
    <n v="213"/>
    <s v="AF SP4310N"/>
    <s v="PTR"/>
    <n v="17099686"/>
    <n v="413"/>
    <n v="0"/>
    <n v="10.820600000000001"/>
    <n v="0"/>
    <n v="10.820600000000001"/>
    <s v="T1128911226"/>
    <s v="144.75.179.101"/>
    <n v="2.6200000000000001E-2"/>
    <n v="0.11799999999999999"/>
    <n v="1254"/>
    <n v="1667"/>
    <n v="0"/>
    <n v="0"/>
  </r>
  <r>
    <s v="Dean's Office"/>
    <s v="10_03_045_34100_5521"/>
    <x v="28"/>
    <s v="Smith Hall"/>
    <n v="216"/>
    <s v="AF MPC2051"/>
    <s v="MFP"/>
    <n v="17099499"/>
    <n v="1228"/>
    <n v="165"/>
    <n v="25.419599999999999"/>
    <n v="14.354999999999999"/>
    <n v="39.7746"/>
    <s v="V9725401451"/>
    <s v="144.75.179.99"/>
    <n v="2.07E-2"/>
    <n v="8.6999999999999994E-2"/>
    <n v="6901"/>
    <n v="8129"/>
    <n v="539"/>
    <n v="704"/>
  </r>
  <r>
    <s v="Dean's Office"/>
    <s v="10_03_045_34100_5521"/>
    <x v="28"/>
    <s v="Smith Hall"/>
    <n v="216"/>
    <s v="AF SP4310N"/>
    <s v="PTR"/>
    <n v="17099730"/>
    <n v="837"/>
    <n v="0"/>
    <n v="21.929400000000001"/>
    <n v="0"/>
    <n v="21.929400000000001"/>
    <s v="T1128710864"/>
    <s v="144.75.179.11"/>
    <n v="2.6200000000000001E-2"/>
    <n v="0.11799999999999999"/>
    <n v="1256"/>
    <n v="2093"/>
    <n v="0"/>
    <n v="0"/>
  </r>
  <r>
    <s v="Economics &amp; Business"/>
    <s v="10_03_011_36100_5521"/>
    <x v="29"/>
    <s v="Scott Shipp Hall"/>
    <n v="318"/>
    <s v="AF SP4310N"/>
    <s v="PTR"/>
    <n v="17099440"/>
    <n v="94"/>
    <n v="0"/>
    <n v="2.4628000000000001"/>
    <n v="0"/>
    <n v="2.4628000000000001"/>
    <s v="T1129010899"/>
    <s v="144.75.178.24"/>
    <n v="2.6200000000000001E-2"/>
    <n v="0.11799999999999999"/>
    <n v="456"/>
    <n v="550"/>
    <n v="0"/>
    <n v="0"/>
  </r>
  <r>
    <s v="Economics &amp; Business"/>
    <s v="10_03_011_36100_5521"/>
    <x v="29"/>
    <s v="Scott Shipp Hall"/>
    <n v="320"/>
    <s v="AF SP4310N"/>
    <s v="PTR"/>
    <n v="17099771"/>
    <n v="7346"/>
    <n v="0"/>
    <n v="192.46520000000001"/>
    <n v="0"/>
    <n v="192.46520000000001"/>
    <s v="T1128712307"/>
    <s v="144.75.214.34"/>
    <n v="2.6200000000000001E-2"/>
    <n v="0.11799999999999999"/>
    <n v="42561"/>
    <n v="49907"/>
    <n v="0"/>
    <n v="0"/>
  </r>
  <r>
    <s v="Economics &amp; Business"/>
    <s v="10_03_011_36100_5521"/>
    <x v="29"/>
    <s v="Scott Shipp Hall"/>
    <n v="337"/>
    <s v="AF MPC4502"/>
    <s v="MFP"/>
    <n v="17099456"/>
    <n v="26740"/>
    <n v="1616"/>
    <n v="553.51800000000003"/>
    <n v="140.59199999999998"/>
    <n v="694.11"/>
    <s v="W512L601991"/>
    <s v="144.75.208.32"/>
    <n v="2.07E-2"/>
    <n v="8.6999999999999994E-2"/>
    <n v="91291"/>
    <n v="118031"/>
    <n v="6769"/>
    <n v="8385"/>
  </r>
  <r>
    <s v="Economics &amp; Business"/>
    <s v="10_03_011_36100_5521"/>
    <x v="29"/>
    <s v="Scott Shipp Hall"/>
    <n v="345"/>
    <s v="AF SPC242DN"/>
    <s v="PTR"/>
    <n v="17099629"/>
    <n v="547"/>
    <n v="7"/>
    <n v="14.3314"/>
    <n v="0.82599999999999996"/>
    <n v="15.157400000000001"/>
    <s v="T202P700480"/>
    <s v="144.75.208.34"/>
    <n v="2.6200000000000001E-2"/>
    <n v="0.11799999999999999"/>
    <n v="2313"/>
    <n v="2860"/>
    <n v="7"/>
    <n v="14"/>
  </r>
  <r>
    <s v="Economics &amp; Business"/>
    <s v="10_03_011_36100_5521"/>
    <x v="29"/>
    <s v="Scott Shipp Hall"/>
    <n v="346"/>
    <s v="AF SPC242DN"/>
    <s v="PTR"/>
    <n v="17099643"/>
    <n v="20"/>
    <n v="90"/>
    <n v="0.52400000000000002"/>
    <n v="10.62"/>
    <n v="11.143999999999998"/>
    <s v="T202P700467"/>
    <s v="144.75.208.40"/>
    <n v="2.6200000000000001E-2"/>
    <n v="0.11799999999999999"/>
    <n v="134"/>
    <n v="154"/>
    <n v="80"/>
    <n v="170"/>
  </r>
  <r>
    <s v="Electrical &amp; Computer Eng."/>
    <s v="10_03_011_38100_5521"/>
    <x v="30"/>
    <s v="Nichols Hall"/>
    <n v="502"/>
    <s v="AF SP4310N"/>
    <s v="PTR"/>
    <n v="17099626"/>
    <n v="51"/>
    <n v="0"/>
    <n v="1.3362000000000001"/>
    <n v="0"/>
    <n v="1.3362000000000001"/>
    <s v="T1129011159"/>
    <s v="144.75.193.195"/>
    <n v="2.6200000000000001E-2"/>
    <n v="0.11799999999999999"/>
    <n v="164"/>
    <n v="215"/>
    <n v="0"/>
    <n v="0"/>
  </r>
  <r>
    <s v="Electrical &amp; Computer Eng."/>
    <s v="10_03_011_38100_5521"/>
    <x v="30"/>
    <s v="Nichols Hall"/>
    <n v="507"/>
    <s v="AF SP4310N"/>
    <s v="PTR"/>
    <n v="17099587"/>
    <n v="271"/>
    <n v="0"/>
    <n v="7.1002000000000001"/>
    <n v="0"/>
    <n v="7.1002000000000001"/>
    <s v="T1129011158"/>
    <s v="144.75.193.192"/>
    <n v="2.6200000000000001E-2"/>
    <n v="0.11799999999999999"/>
    <n v="142"/>
    <n v="413"/>
    <n v="0"/>
    <n v="0"/>
  </r>
  <r>
    <s v="Electrical &amp; Computer Eng."/>
    <s v="10_03_011_38100_5521"/>
    <x v="30"/>
    <s v="Nichols Hall"/>
    <n v="508"/>
    <s v="AF MPC3502"/>
    <s v="MFP"/>
    <n v="17099466"/>
    <n v="1491"/>
    <n v="47"/>
    <n v="30.863699999999998"/>
    <n v="4.0889999999999995"/>
    <n v="34.9527"/>
    <s v="V9725600283"/>
    <s v="144.75.193.30"/>
    <n v="2.07E-2"/>
    <n v="8.6999999999999994E-2"/>
    <n v="4984"/>
    <n v="6475"/>
    <n v="356"/>
    <n v="403"/>
  </r>
  <r>
    <s v="Electrical &amp; Computer Eng."/>
    <s v="10_03_011_38100_5521"/>
    <x v="30"/>
    <s v="Nichols Hall"/>
    <n v="509"/>
    <s v="AF SP4310N"/>
    <s v="PTR"/>
    <n v="17099614"/>
    <n v="170"/>
    <n v="0"/>
    <n v="4.4540000000000006"/>
    <n v="0"/>
    <n v="4.4540000000000006"/>
    <s v="T1129011173"/>
    <s v="144.75.193.191"/>
    <n v="2.6200000000000001E-2"/>
    <n v="0.11799999999999999"/>
    <n v="119"/>
    <n v="289"/>
    <n v="0"/>
    <n v="0"/>
  </r>
  <r>
    <s v="Electrical &amp; Computer Eng."/>
    <s v="10_03_011_38100_5521"/>
    <x v="30"/>
    <s v="Nichols Hall"/>
    <n v="605"/>
    <s v="AF SP4310N"/>
    <s v="PTR"/>
    <n v="17099625"/>
    <n v="86"/>
    <n v="0"/>
    <n v="2.2532000000000001"/>
    <n v="0"/>
    <n v="2.2532000000000001"/>
    <s v="T1129011106"/>
    <s v="144.75.193.131"/>
    <n v="2.6200000000000001E-2"/>
    <n v="0.11799999999999999"/>
    <n v="248"/>
    <n v="334"/>
    <n v="0"/>
    <n v="0"/>
  </r>
  <r>
    <s v="Electrical &amp; Computer Eng."/>
    <s v="10_03_011_38100_5521"/>
    <x v="30"/>
    <s v="Nichols Hall"/>
    <n v="620"/>
    <s v="AF SP4310N"/>
    <s v="PTR"/>
    <n v="17099619"/>
    <n v="162"/>
    <n v="0"/>
    <n v="4.2444000000000006"/>
    <n v="0"/>
    <n v="4.2444000000000006"/>
    <s v="T1129011160"/>
    <s v="144.75.193.180"/>
    <n v="2.6200000000000001E-2"/>
    <n v="0.11799999999999999"/>
    <n v="624"/>
    <n v="786"/>
    <n v="0"/>
    <n v="0"/>
  </r>
  <r>
    <s v="Electrical &amp; Computer Eng."/>
    <s v="10_03_064_50550_5521"/>
    <x v="2"/>
    <s v="Nichols Hall"/>
    <n v="404"/>
    <s v="AF SP4310N"/>
    <s v="PTR"/>
    <n v="17099764"/>
    <n v="1897"/>
    <n v="0"/>
    <n v="49.7014"/>
    <n v="0"/>
    <n v="49.7014"/>
    <s v="T1128811953"/>
    <s v="144.75.193.69"/>
    <n v="2.6200000000000001E-2"/>
    <n v="0.11799999999999999"/>
    <n v="7851"/>
    <n v="9748"/>
    <n v="0"/>
    <n v="0"/>
  </r>
  <r>
    <s v="Electrical &amp; Computer Eng."/>
    <s v="10_03_064_50550_5521"/>
    <x v="2"/>
    <s v="Nichols Hall"/>
    <n v="407"/>
    <s v="AF SP4310N"/>
    <s v="PTR"/>
    <n v="17099788"/>
    <n v="491"/>
    <n v="0"/>
    <n v="12.8642"/>
    <n v="0"/>
    <n v="12.8642"/>
    <s v="T1128710825"/>
    <s v="144.75.189.87"/>
    <n v="2.6200000000000001E-2"/>
    <n v="0.11799999999999999"/>
    <n v="1406"/>
    <n v="1897"/>
    <n v="0"/>
    <n v="0"/>
  </r>
  <r>
    <s v="Electrical &amp; Computer Eng."/>
    <s v="10_03_064_50550_5521"/>
    <x v="2"/>
    <s v="Nichols Hall"/>
    <n v="408"/>
    <s v="AF SPC242DN"/>
    <s v="PTR"/>
    <n v="17099769"/>
    <n v="23"/>
    <n v="40"/>
    <n v="0.60260000000000002"/>
    <n v="4.72"/>
    <n v="5.3225999999999996"/>
    <s v="T202P600356"/>
    <s v="144.75.193.128"/>
    <n v="2.6200000000000001E-2"/>
    <n v="0.11799999999999999"/>
    <n v="495"/>
    <n v="518"/>
    <n v="196"/>
    <n v="236"/>
  </r>
  <r>
    <s v="Electrical &amp; Computer Eng."/>
    <s v="10_03_064_50550_5521"/>
    <x v="2"/>
    <s v="Nichols Hall"/>
    <n v="426"/>
    <s v="AF SP4310N"/>
    <s v="PTR"/>
    <n v="17099766"/>
    <n v="696"/>
    <n v="0"/>
    <n v="18.235199999999999"/>
    <n v="0"/>
    <n v="18.235199999999999"/>
    <s v="T1128811955"/>
    <s v="144.75.193.74"/>
    <n v="2.6200000000000001E-2"/>
    <n v="0.11799999999999999"/>
    <n v="2283"/>
    <n v="2979"/>
    <n v="0"/>
    <n v="0"/>
  </r>
  <r>
    <s v="Electrical &amp; Computer Eng."/>
    <s v="10_03_064_50550_5521"/>
    <x v="2"/>
    <s v="Nichols Hall"/>
    <n v="427"/>
    <s v="AF SP4310N"/>
    <s v="PTR"/>
    <n v="17099767"/>
    <n v="171"/>
    <n v="0"/>
    <n v="4.4802"/>
    <n v="0"/>
    <n v="4.4802"/>
    <s v="T1128811954"/>
    <s v="144.75.193.212"/>
    <n v="2.6200000000000001E-2"/>
    <n v="0.11799999999999999"/>
    <n v="1079"/>
    <n v="1250"/>
    <n v="0"/>
    <n v="0"/>
  </r>
  <r>
    <s v="Electrical &amp; Computer Eng."/>
    <s v="10_03_064_50550_5521"/>
    <x v="2"/>
    <s v="Nichols Hall"/>
    <n v="428"/>
    <s v="AF SP4310N"/>
    <s v="PTR"/>
    <n v="17099765"/>
    <n v="158"/>
    <n v="0"/>
    <n v="4.1395999999999997"/>
    <n v="0"/>
    <n v="4.1395999999999997"/>
    <s v="T1128811911"/>
    <s v="144.75.193.178"/>
    <n v="2.6200000000000001E-2"/>
    <n v="0.11799999999999999"/>
    <n v="1634"/>
    <n v="1792"/>
    <n v="0"/>
    <n v="0"/>
  </r>
  <r>
    <s v="Electrical &amp; Computer Eng."/>
    <s v="10_03_064_50550_5521"/>
    <x v="2"/>
    <s v="Nichols Hall"/>
    <n v="506"/>
    <s v="AF SP4310N"/>
    <s v="PTR"/>
    <n v="17099627"/>
    <n v="71"/>
    <n v="0"/>
    <n v="1.8602000000000001"/>
    <n v="0"/>
    <n v="1.8602000000000001"/>
    <s v="T1129011165"/>
    <s v="144.75.193.12"/>
    <n v="2.6200000000000001E-2"/>
    <n v="0.11799999999999999"/>
    <n v="692"/>
    <n v="763"/>
    <n v="0"/>
    <n v="0"/>
  </r>
  <r>
    <s v="English &amp; Fine Arts"/>
    <s v="10_03_011_40100_5521"/>
    <x v="31"/>
    <s v="Scott Shipp Hall"/>
    <n v="206"/>
    <s v="AF SP4310N"/>
    <s v="PTR"/>
    <n v="17099540"/>
    <n v="297"/>
    <n v="0"/>
    <n v="7.7814000000000005"/>
    <n v="0"/>
    <n v="7.7814000000000005"/>
    <s v="T1128910783"/>
    <s v="144.75.206.31"/>
    <n v="2.6200000000000001E-2"/>
    <n v="0.11799999999999999"/>
    <n v="1321"/>
    <n v="1618"/>
    <n v="0"/>
    <n v="0"/>
  </r>
  <r>
    <s v="English &amp; Fine Arts"/>
    <s v="10_03_011_40100_5521"/>
    <x v="31"/>
    <s v="Scott Shipp Hall"/>
    <n v="220"/>
    <s v="AF SP4310N"/>
    <s v="PTR"/>
    <n v="17099539"/>
    <n v="706"/>
    <n v="0"/>
    <n v="18.497199999999999"/>
    <n v="0"/>
    <n v="18.497199999999999"/>
    <s v="T1128910784"/>
    <s v="144.75.207.55"/>
    <n v="2.6200000000000001E-2"/>
    <n v="0.11799999999999999"/>
    <n v="1848"/>
    <n v="2554"/>
    <n v="0"/>
    <n v="0"/>
  </r>
  <r>
    <s v="English &amp; Fine Arts"/>
    <s v="10_03_011_40100_5521"/>
    <x v="31"/>
    <s v="Scott Shipp Hall"/>
    <n v="221"/>
    <s v="AF SPC242DN"/>
    <s v="PTR"/>
    <n v="17099516"/>
    <n v="237"/>
    <n v="144"/>
    <n v="6.2094000000000005"/>
    <n v="16.991999999999997"/>
    <n v="23.2014"/>
    <s v="T202P700476"/>
    <s v="144.75.207.58"/>
    <n v="2.6200000000000001E-2"/>
    <n v="0.11799999999999999"/>
    <n v="941"/>
    <n v="1178"/>
    <n v="683"/>
    <n v="827"/>
  </r>
  <r>
    <s v="English &amp; Fine Arts"/>
    <s v="10_03_011_40100_5521"/>
    <x v="31"/>
    <s v="Scott Shipp Hall"/>
    <n v="222"/>
    <s v="AF SP4310N"/>
    <s v="PTR"/>
    <n v="17099538"/>
    <n v="672"/>
    <n v="0"/>
    <n v="17.606400000000001"/>
    <n v="0"/>
    <n v="17.606400000000001"/>
    <s v="T1128910785"/>
    <s v="144.75.207.53"/>
    <n v="2.6200000000000001E-2"/>
    <n v="0.11799999999999999"/>
    <n v="1810"/>
    <n v="2482"/>
    <n v="0"/>
    <n v="0"/>
  </r>
  <r>
    <s v="English &amp; Fine Arts"/>
    <s v="10_03_011_40100_5521"/>
    <x v="31"/>
    <s v="Scott Shipp Hall"/>
    <n v="223"/>
    <s v="AF SP4310N"/>
    <s v="PTR"/>
    <n v="17099514"/>
    <n v="1080"/>
    <n v="0"/>
    <n v="28.295999999999999"/>
    <n v="0"/>
    <n v="28.295999999999999"/>
    <s v="T1128910768"/>
    <s v="144.75.207.50"/>
    <n v="2.6200000000000001E-2"/>
    <n v="0.11799999999999999"/>
    <n v="3455"/>
    <n v="4535"/>
    <n v="0"/>
    <n v="0"/>
  </r>
  <r>
    <s v="English &amp; Fine Arts"/>
    <s v="10_03_011_40100_5521"/>
    <x v="31"/>
    <s v="Scott Shipp Hall"/>
    <n v="224"/>
    <s v="AF SP4310N"/>
    <s v="PTR"/>
    <n v="17099517"/>
    <n v="470"/>
    <n v="0"/>
    <n v="12.314"/>
    <n v="0"/>
    <n v="12.314"/>
    <s v="T1128910777"/>
    <s v="144.75.207.57"/>
    <n v="2.6200000000000001E-2"/>
    <n v="0.11799999999999999"/>
    <n v="1785"/>
    <n v="2255"/>
    <n v="0"/>
    <n v="0"/>
  </r>
  <r>
    <s v="English &amp; Fine Arts"/>
    <s v="10_03_011_40100_5521"/>
    <x v="31"/>
    <s v="Scott Shipp Hall"/>
    <n v="226"/>
    <s v="AF SP4310N"/>
    <s v="PTR"/>
    <n v="17099521"/>
    <n v="444"/>
    <n v="0"/>
    <n v="11.6328"/>
    <n v="0"/>
    <n v="11.6328"/>
    <s v="T1128910772"/>
    <s v="144.75.207.34"/>
    <n v="2.6200000000000001E-2"/>
    <n v="0.11799999999999999"/>
    <n v="1863"/>
    <n v="2307"/>
    <n v="0"/>
    <n v="0"/>
  </r>
  <r>
    <s v="English &amp; Fine Arts"/>
    <s v="10_03_011_40100_5521"/>
    <x v="31"/>
    <s v="Scott Shipp Hall"/>
    <n v="227"/>
    <s v="AF MPC2051"/>
    <s v="MFP"/>
    <n v="17099458"/>
    <n v="13452"/>
    <n v="576"/>
    <n v="278.45639999999997"/>
    <n v="50.111999999999995"/>
    <n v="328.5684"/>
    <s v="V9725401426"/>
    <s v="144.75.207.26"/>
    <n v="2.07E-2"/>
    <n v="8.6999999999999994E-2"/>
    <n v="75178"/>
    <n v="88630"/>
    <n v="4573"/>
    <n v="5149"/>
  </r>
  <r>
    <s v="English &amp; Fine Arts"/>
    <s v="10_03_011_40100_5521"/>
    <x v="31"/>
    <s v="Scott Shipp Hall"/>
    <n v="231"/>
    <s v="AF SP4310N"/>
    <s v="PTR"/>
    <n v="17099537"/>
    <n v="690"/>
    <n v="0"/>
    <n v="18.077999999999999"/>
    <n v="0"/>
    <n v="18.077999999999999"/>
    <s v="T1128910781"/>
    <s v="144.75.207.52"/>
    <n v="2.6200000000000001E-2"/>
    <n v="0.11799999999999999"/>
    <n v="2703"/>
    <n v="3393"/>
    <n v="0"/>
    <n v="0"/>
  </r>
  <r>
    <s v="English &amp; Fine Arts"/>
    <s v="10_03_011_40100_5521"/>
    <x v="31"/>
    <s v="Scott Shipp Hall"/>
    <n v="232"/>
    <s v="AF SP4310N"/>
    <s v="PTR"/>
    <n v="17099519"/>
    <n v="624"/>
    <n v="0"/>
    <n v="16.348800000000001"/>
    <n v="0"/>
    <n v="16.348800000000001"/>
    <s v="T1128910767"/>
    <s v="144.75.207.54"/>
    <n v="2.6200000000000001E-2"/>
    <n v="0.11799999999999999"/>
    <n v="1365"/>
    <n v="1989"/>
    <n v="0"/>
    <n v="0"/>
  </r>
  <r>
    <s v="English &amp; Fine Arts"/>
    <s v="10_03_011_40100_5521"/>
    <x v="31"/>
    <s v="Scott Shipp Hall"/>
    <n v="236"/>
    <s v="AF SP4310N"/>
    <s v="PTR"/>
    <n v="17099518"/>
    <n v="761"/>
    <n v="0"/>
    <n v="19.938200000000002"/>
    <n v="0"/>
    <n v="19.938200000000002"/>
    <s v="T1128910789"/>
    <s v="144.75.207.56"/>
    <n v="2.6200000000000001E-2"/>
    <n v="0.11799999999999999"/>
    <n v="1409"/>
    <n v="2170"/>
    <n v="0"/>
    <n v="0"/>
  </r>
  <r>
    <s v="English &amp; Fine Arts"/>
    <s v="10_03_011_40100_5521"/>
    <x v="31"/>
    <s v="Scott Shipp Hall"/>
    <n v="323"/>
    <s v="AF SP4310N"/>
    <s v="PTR"/>
    <n v="17099559"/>
    <n v="1549"/>
    <n v="0"/>
    <n v="40.583800000000004"/>
    <n v="0"/>
    <n v="40.583800000000004"/>
    <s v="T1128910788"/>
    <s v="144.75.214.43"/>
    <n v="2.6200000000000001E-2"/>
    <n v="0.11799999999999999"/>
    <n v="2902"/>
    <n v="4451"/>
    <n v="0"/>
    <n v="0"/>
  </r>
  <r>
    <s v="Financial Aid"/>
    <s v="10_03_011_86100_5521"/>
    <x v="32"/>
    <s v="Carroll Hall"/>
    <n v="302"/>
    <s v="AF SP4310N"/>
    <s v="PTR"/>
    <n v="17099574"/>
    <n v="18"/>
    <n v="0"/>
    <n v="0.47160000000000002"/>
    <n v="0"/>
    <n v="0.47160000000000002"/>
    <s v="T1128911268"/>
    <s v="144.75.195.101"/>
    <n v="2.6200000000000001E-2"/>
    <n v="0.11799999999999999"/>
    <n v="4"/>
    <n v="22"/>
    <n v="0"/>
    <n v="0"/>
  </r>
  <r>
    <s v="Financial Aid"/>
    <s v="10_03_011_86100_5521"/>
    <x v="32"/>
    <s v="Carroll Hall"/>
    <n v="305"/>
    <s v="AF SP4310N"/>
    <s v="PTR"/>
    <n v="17099578"/>
    <n v="1633"/>
    <n v="0"/>
    <n v="42.784600000000005"/>
    <n v="0"/>
    <n v="42.784600000000005"/>
    <s v="T1128911371"/>
    <s v="144.75.195.91"/>
    <n v="2.6200000000000001E-2"/>
    <n v="0.11799999999999999"/>
    <n v="3412"/>
    <n v="5045"/>
    <n v="0"/>
    <n v="0"/>
  </r>
  <r>
    <s v="Financial Aid"/>
    <s v="10_03_011_86100_5521"/>
    <x v="32"/>
    <s v="Carroll Hall"/>
    <s v="302A"/>
    <s v="AF SP4310N"/>
    <s v="PTR"/>
    <n v="17099575"/>
    <n v="253"/>
    <n v="0"/>
    <n v="6.6286000000000005"/>
    <n v="0"/>
    <n v="6.6286000000000005"/>
    <s v="T1128910753"/>
    <s v="144.75.195.38"/>
    <n v="2.6200000000000001E-2"/>
    <n v="0.11799999999999999"/>
    <n v="200"/>
    <n v="453"/>
    <n v="0"/>
    <n v="0"/>
  </r>
  <r>
    <s v="Financial Aid"/>
    <s v="10_03_011_86100_5521"/>
    <x v="32"/>
    <s v="Carroll Hall"/>
    <s v="302B"/>
    <s v="AF SP4310N"/>
    <s v="PTR"/>
    <n v="17099572"/>
    <n v="1273"/>
    <n v="0"/>
    <n v="33.352600000000002"/>
    <n v="0"/>
    <n v="33.352600000000002"/>
    <s v="T1128811968"/>
    <s v="144.75.195.10"/>
    <n v="2.6200000000000001E-2"/>
    <n v="0.11799999999999999"/>
    <n v="5058"/>
    <n v="6331"/>
    <n v="0"/>
    <n v="0"/>
  </r>
  <r>
    <s v="Financial Aid"/>
    <s v="10_03_011_86100_5521"/>
    <x v="32"/>
    <s v="Carroll Hall"/>
    <s v="302D"/>
    <s v="AF SP4310N"/>
    <s v="PTR"/>
    <n v="17099573"/>
    <n v="985"/>
    <n v="0"/>
    <n v="25.807000000000002"/>
    <n v="0"/>
    <n v="25.807000000000002"/>
    <s v="T1128911366"/>
    <s v="144.75.195.102"/>
    <n v="2.6200000000000001E-2"/>
    <n v="0.11799999999999999"/>
    <n v="2116"/>
    <n v="3101"/>
    <n v="0"/>
    <n v="0"/>
  </r>
  <r>
    <s v="Football Department"/>
    <s v="30_00_310_06000_5521"/>
    <x v="33"/>
    <s v="Clarkson McKenna Hall"/>
    <n v="307"/>
    <s v="AF SP4310N"/>
    <s v="PTR"/>
    <n v="17099623"/>
    <n v="78"/>
    <n v="0"/>
    <n v="2.0436000000000001"/>
    <n v="0"/>
    <n v="2.0436000000000001"/>
    <s v="T1129012226"/>
    <s v="144.75.216.21"/>
    <n v="2.6200000000000001E-2"/>
    <n v="0.11799999999999999"/>
    <n v="266"/>
    <n v="344"/>
    <n v="0"/>
    <n v="0"/>
  </r>
  <r>
    <s v="Football Office"/>
    <s v="30_00_310_06000_5521"/>
    <x v="33"/>
    <s v="Clarkson McKenna Hall"/>
    <n v="312"/>
    <s v="AF MPC3502"/>
    <s v="MFP"/>
    <n v="17099481"/>
    <n v="9741"/>
    <n v="1749"/>
    <n v="201.6387"/>
    <n v="152.16299999999998"/>
    <n v="353.80169999999998"/>
    <s v="W502L600898"/>
    <s v="144.75.216.14"/>
    <n v="2.07E-2"/>
    <n v="8.6999999999999994E-2"/>
    <n v="36921"/>
    <n v="46662"/>
    <n v="7990"/>
    <n v="9739"/>
  </r>
  <r>
    <s v="Guard Room"/>
    <s v="10_07_205_30150_5521"/>
    <x v="24"/>
    <s v="Old Barracks"/>
    <n v="123"/>
    <s v="AF SP4310N"/>
    <s v="PTR"/>
    <n v="17099783"/>
    <n v="910"/>
    <n v="0"/>
    <n v="23.842000000000002"/>
    <n v="0"/>
    <n v="23.842000000000002"/>
    <s v="T1128811958"/>
    <s v="144.75.190.30"/>
    <n v="2.6200000000000001E-2"/>
    <n v="0.11799999999999999"/>
    <n v="5029"/>
    <n v="5939"/>
    <n v="0"/>
    <n v="0"/>
  </r>
  <r>
    <s v="History"/>
    <s v="10_03_011_48100_5521"/>
    <x v="34"/>
    <s v="Scott Shipp Hall"/>
    <n v="521"/>
    <s v="AF SP4310N"/>
    <s v="PTR"/>
    <n v="17099544"/>
    <n v="145"/>
    <n v="0"/>
    <n v="3.7990000000000004"/>
    <n v="0"/>
    <n v="3.7990000000000004"/>
    <s v="T1129010431"/>
    <s v="144.75.213.44"/>
    <n v="2.6200000000000001E-2"/>
    <n v="0.11799999999999999"/>
    <n v="556"/>
    <n v="701"/>
    <n v="0"/>
    <n v="0"/>
  </r>
  <r>
    <s v="History"/>
    <s v="10_03_011_48100_5521"/>
    <x v="34"/>
    <s v="Scott Shipp Hall"/>
    <n v="523"/>
    <s v="AF SP4310N"/>
    <s v="PTR"/>
    <n v="17099543"/>
    <n v="242"/>
    <n v="0"/>
    <n v="6.3404000000000007"/>
    <n v="0"/>
    <n v="6.3404000000000007"/>
    <s v="T1129010430"/>
    <s v="144.75.213.39"/>
    <n v="2.6200000000000001E-2"/>
    <n v="0.11799999999999999"/>
    <n v="1446"/>
    <n v="1688"/>
    <n v="0"/>
    <n v="0"/>
  </r>
  <r>
    <s v="History"/>
    <s v="10_03_011_48100_5521"/>
    <x v="34"/>
    <s v="Scott Shipp Hall"/>
    <n v="528"/>
    <s v="AF MPC2051"/>
    <s v="MFP"/>
    <n v="17099485"/>
    <n v="3978"/>
    <n v="10"/>
    <n v="82.3446"/>
    <n v="0.86999999999999988"/>
    <n v="83.214600000000004"/>
    <s v="V9725501224"/>
    <s v="144.75.213.36"/>
    <n v="2.07E-2"/>
    <n v="8.6999999999999994E-2"/>
    <n v="18405"/>
    <n v="22383"/>
    <n v="626"/>
    <n v="636"/>
  </r>
  <r>
    <s v="History"/>
    <s v="10_03_011_48100_5521"/>
    <x v="34"/>
    <s v="Scott Shipp Hall"/>
    <n v="532"/>
    <s v="AF SP4310N"/>
    <s v="PTR"/>
    <n v="17099545"/>
    <n v="45"/>
    <n v="0"/>
    <n v="1.179"/>
    <n v="0"/>
    <n v="1.179"/>
    <s v="T1129010422"/>
    <s v="144.75.213.42"/>
    <n v="2.6200000000000001E-2"/>
    <n v="0.11799999999999999"/>
    <n v="138"/>
    <n v="183"/>
    <n v="0"/>
    <n v="0"/>
  </r>
  <r>
    <s v="History"/>
    <s v="10_03_011_48100_5521"/>
    <x v="34"/>
    <s v="Scott Shipp Hall"/>
    <n v="536"/>
    <s v="AF SP4310N"/>
    <s v="PTR"/>
    <n v="17099546"/>
    <n v="679"/>
    <n v="0"/>
    <n v="17.7898"/>
    <n v="0"/>
    <n v="17.7898"/>
    <s v="T1129010424"/>
    <s v="144.75.213.26"/>
    <n v="2.6200000000000001E-2"/>
    <n v="0.11799999999999999"/>
    <n v="4341"/>
    <n v="5020"/>
    <n v="0"/>
    <n v="0"/>
  </r>
  <r>
    <s v="Honor Court"/>
    <s v="10_08_308_94175_5521"/>
    <x v="35"/>
    <s v="Shell Hall"/>
    <n v="411"/>
    <s v="AF MP301SP"/>
    <s v="MFP"/>
    <n v="17099433"/>
    <n v="6366"/>
    <n v="0"/>
    <n v="131.77619999999999"/>
    <n v="0"/>
    <n v="131.77619999999999"/>
    <s v="W912P602240"/>
    <s v="144.75.180.70"/>
    <n v="2.07E-2"/>
    <n v="8.6999999999999994E-2"/>
    <n v="1"/>
    <n v="6367"/>
    <n v="0"/>
    <n v="0"/>
  </r>
  <r>
    <s v="Human Resources"/>
    <s v="10_03_063_74100_5521"/>
    <x v="36"/>
    <s v="305 Letcher Avenue"/>
    <n v="301"/>
    <s v="AF SP4310N"/>
    <s v="PTR"/>
    <n v="17099422"/>
    <n v="607"/>
    <n v="0"/>
    <n v="15.903400000000001"/>
    <n v="0"/>
    <n v="15.903400000000001"/>
    <s v="T1129010803"/>
    <s v="144.75.215.9"/>
    <n v="2.6200000000000001E-2"/>
    <n v="0.11799999999999999"/>
    <n v="2309"/>
    <n v="2916"/>
    <n v="0"/>
    <n v="0"/>
  </r>
  <r>
    <s v="Human Resources"/>
    <s v="10_03_063_74100_5521"/>
    <x v="36"/>
    <s v="305 Letcher Avenue"/>
    <n v="301"/>
    <s v="AF SP4310N"/>
    <s v="PTR"/>
    <n v="17099508"/>
    <n v="466"/>
    <n v="0"/>
    <n v="12.209200000000001"/>
    <n v="0"/>
    <n v="12.209200000000001"/>
    <s v="T1129010833"/>
    <s v="144.75.215.14"/>
    <n v="2.6200000000000001E-2"/>
    <n v="0.11799999999999999"/>
    <n v="1607"/>
    <n v="2073"/>
    <n v="0"/>
    <n v="0"/>
  </r>
  <r>
    <s v="Human Resources"/>
    <s v="10_03_063_74100_5521"/>
    <x v="36"/>
    <s v="305 Letcher Avenue"/>
    <n v="303"/>
    <s v="AF SP4310N"/>
    <s v="PTR"/>
    <n v="17099441"/>
    <n v="592"/>
    <n v="0"/>
    <n v="15.510400000000001"/>
    <n v="0"/>
    <n v="15.510400000000001"/>
    <s v="T1129010888"/>
    <s v="144.75.215.69"/>
    <n v="2.6200000000000001E-2"/>
    <n v="0.11799999999999999"/>
    <n v="991"/>
    <n v="1583"/>
    <n v="0"/>
    <n v="0"/>
  </r>
  <r>
    <s v="Human Resources"/>
    <s v="10_03_063_74100_5521"/>
    <x v="36"/>
    <s v="305 Letcher Avenue"/>
    <n v="303"/>
    <s v="AF SP4310N"/>
    <s v="PTR"/>
    <n v="17099509"/>
    <n v="1575"/>
    <n v="0"/>
    <n v="41.265000000000001"/>
    <n v="0"/>
    <n v="41.265000000000001"/>
    <s v="T1129010903"/>
    <s v="144.75.215.22"/>
    <n v="2.6200000000000001E-2"/>
    <n v="0.11799999999999999"/>
    <n v="4573"/>
    <n v="6148"/>
    <n v="0"/>
    <n v="0"/>
  </r>
  <r>
    <s v="Human Resources"/>
    <s v="10_03_063_74100_5521"/>
    <x v="36"/>
    <s v="305 Letcher Avenue"/>
    <n v="303"/>
    <s v="AF SP4310N"/>
    <s v="PTR"/>
    <n v="17099510"/>
    <n v="407"/>
    <n v="0"/>
    <n v="10.663400000000001"/>
    <n v="0"/>
    <n v="10.663400000000001"/>
    <s v="T1129010891"/>
    <s v="144.75.215.52"/>
    <n v="2.6200000000000001E-2"/>
    <n v="0.11799999999999999"/>
    <n v="1147"/>
    <n v="1554"/>
    <n v="0"/>
    <n v="0"/>
  </r>
  <r>
    <s v="Human Resources"/>
    <s v="10_03_063_74100_5521"/>
    <x v="36"/>
    <s v="305 Letcher Avenue"/>
    <n v="305"/>
    <s v="AF MPC2051"/>
    <s v="MFP"/>
    <n v="17099494"/>
    <n v="4113"/>
    <n v="348"/>
    <n v="85.139099999999999"/>
    <n v="30.275999999999996"/>
    <n v="115.4151"/>
    <s v="V9725401440"/>
    <s v="144.75.215.28"/>
    <n v="2.07E-2"/>
    <n v="8.6999999999999994E-2"/>
    <n v="8161"/>
    <n v="12274"/>
    <n v="1458"/>
    <n v="1806"/>
  </r>
  <r>
    <s v="Infirmary"/>
    <s v="10_08_305_80150_5521"/>
    <x v="37"/>
    <s v="Infirmary"/>
    <n v="113"/>
    <s v="AF SP4310N"/>
    <s v="PTR"/>
    <n v="17099605"/>
    <n v="3352"/>
    <n v="0"/>
    <n v="87.822400000000002"/>
    <n v="0"/>
    <n v="87.822400000000002"/>
    <s v="T1129010432"/>
    <s v="144.75.176.29"/>
    <n v="2.6200000000000001E-2"/>
    <n v="0.11799999999999999"/>
    <n v="5674"/>
    <n v="9026"/>
    <n v="0"/>
    <n v="0"/>
  </r>
  <r>
    <s v="Infirmary"/>
    <s v="10_08_305_80150_5521"/>
    <x v="37"/>
    <s v="Infirmary"/>
    <n v="121"/>
    <s v="AF MPC2051"/>
    <s v="MFP"/>
    <n v="17099496"/>
    <n v="2879"/>
    <n v="347"/>
    <n v="59.595300000000002"/>
    <n v="30.188999999999997"/>
    <n v="89.784300000000002"/>
    <s v="V9725401162"/>
    <s v="144.75.176.21"/>
    <n v="2.07E-2"/>
    <n v="8.6999999999999994E-2"/>
    <n v="10707"/>
    <n v="13586"/>
    <n v="704"/>
    <n v="1051"/>
  </r>
  <r>
    <s v="Infirmary"/>
    <s v="10_08_305_80150_5521"/>
    <x v="37"/>
    <s v="Infirmary"/>
    <n v="219"/>
    <s v="AF MPC2051"/>
    <s v="MFP"/>
    <n v="17099495"/>
    <n v="914"/>
    <n v="0"/>
    <n v="18.919799999999999"/>
    <n v="0"/>
    <n v="18.919799999999999"/>
    <s v="V9725401375"/>
    <s v="144.75.176.46"/>
    <n v="2.07E-2"/>
    <n v="8.6999999999999994E-2"/>
    <n v="2749"/>
    <n v="3663"/>
    <n v="105"/>
    <n v="105"/>
  </r>
  <r>
    <s v="Infirmary"/>
    <s v="10_08_305_80150_5521"/>
    <x v="37"/>
    <s v="Infirmary"/>
    <n v="219"/>
    <s v="AF SP4310N"/>
    <s v="PTR"/>
    <n v="17099635"/>
    <n v="812"/>
    <n v="0"/>
    <n v="21.2744"/>
    <n v="0"/>
    <n v="21.2744"/>
    <s v="T1128710823"/>
    <s v="144.75.176.20"/>
    <n v="2.6200000000000001E-2"/>
    <n v="0.11799999999999999"/>
    <n v="3833"/>
    <n v="4645"/>
    <n v="0"/>
    <n v="0"/>
  </r>
  <r>
    <s v="Information Technology"/>
    <s v="10_03_043_50100_5521"/>
    <x v="38"/>
    <s v="Nichols Hall"/>
    <n v="315"/>
    <s v="AF SPC242DN"/>
    <s v="PTR"/>
    <n v="17099640"/>
    <n v="249"/>
    <n v="0"/>
    <n v="6.5238000000000005"/>
    <n v="0"/>
    <n v="6.5238000000000005"/>
    <s v="T1129011126"/>
    <s v="144.75.5.68"/>
    <n v="2.6200000000000001E-2"/>
    <n v="0.11799999999999999"/>
    <n v="877"/>
    <n v="1126"/>
    <n v="0"/>
    <n v="0"/>
  </r>
  <r>
    <s v="Information Technology"/>
    <s v="10_03_043_50100_5521"/>
    <x v="38"/>
    <s v="Nichols Hall"/>
    <n v="315"/>
    <s v="AF SPC242DN"/>
    <s v="PTR"/>
    <n v="17099629"/>
    <n v="128"/>
    <n v="9"/>
    <n v="3.3536000000000001"/>
    <n v="1.0619999999999998"/>
    <n v="4.4155999999999995"/>
    <s v="T202P700480"/>
    <s v="144.75.5.68"/>
    <n v="2.6200000000000001E-2"/>
    <n v="0.11799999999999999"/>
    <n v="2860"/>
    <n v="2988"/>
    <n v="7"/>
    <n v="16"/>
  </r>
  <r>
    <s v="Information Technology"/>
    <s v="10_03_043_50100_5521"/>
    <x v="38"/>
    <s v="Nichols Hall"/>
    <n v="343"/>
    <s v="AF MPC4502"/>
    <s v="MFP"/>
    <n v="17099400"/>
    <n v="3761"/>
    <n v="499"/>
    <n v="77.852699999999999"/>
    <n v="43.412999999999997"/>
    <n v="121.2657"/>
    <s v="W512L601973"/>
    <s v="144.75.5.14"/>
    <n v="2.07E-2"/>
    <n v="8.6999999999999994E-2"/>
    <n v="23181"/>
    <n v="26942"/>
    <n v="2384"/>
    <n v="2883"/>
  </r>
  <r>
    <s v="Information Technology"/>
    <s v="10_03_064_50550_5521"/>
    <x v="2"/>
    <s v="Mallory Hall"/>
    <n v="414"/>
    <s v="AF SP4310N"/>
    <s v="PTR"/>
    <n v="17099786"/>
    <n v="5725"/>
    <n v="0"/>
    <n v="149.995"/>
    <n v="0"/>
    <n v="149.995"/>
    <s v="T1128811629"/>
    <s v="144.75.182.193"/>
    <n v="2.6200000000000001E-2"/>
    <n v="0.11799999999999999"/>
    <n v="15998"/>
    <n v="21723"/>
    <n v="0"/>
    <n v="0"/>
  </r>
  <r>
    <s v="Information Technology"/>
    <s v="10_03_064_50550_5521"/>
    <x v="2"/>
    <s v="New Barracks"/>
    <s v="C11"/>
    <s v="AF MP4002"/>
    <s v="MFP"/>
    <n v="17099482"/>
    <n v="19638"/>
    <n v="0"/>
    <n v="406.50659999999999"/>
    <n v="0"/>
    <n v="406.50659999999999"/>
    <s v="W522L700688"/>
    <s v="144.75.188.50"/>
    <n v="2.07E-2"/>
    <n v="8.6999999999999994E-2"/>
    <n v="176320"/>
    <n v="195958"/>
    <n v="0"/>
    <n v="0"/>
  </r>
  <r>
    <s v="Information Technology"/>
    <s v="10_03_064_50550_5521"/>
    <x v="2"/>
    <s v="New Barracks"/>
    <s v="C11"/>
    <s v="AF MP4002"/>
    <s v="MFP"/>
    <n v="17099483"/>
    <n v="53710"/>
    <n v="0"/>
    <n v="1111.797"/>
    <n v="0"/>
    <n v="1111.797"/>
    <s v="W522L700693"/>
    <s v="144.75.188.60"/>
    <n v="2.07E-2"/>
    <n v="8.6999999999999994E-2"/>
    <n v="163586"/>
    <n v="217296"/>
    <n v="0"/>
    <n v="0"/>
  </r>
  <r>
    <s v="Information Technology"/>
    <s v="10_03_064_50550_5521"/>
    <x v="2"/>
    <s v="Nichols Hall"/>
    <n v="304"/>
    <s v="AF SP4310N"/>
    <s v="PTR"/>
    <n v="17099645"/>
    <n v="830"/>
    <n v="0"/>
    <n v="21.746000000000002"/>
    <n v="0"/>
    <n v="21.746000000000002"/>
    <s v="T1129011163"/>
    <s v="144.75.189.15"/>
    <n v="2.6200000000000001E-2"/>
    <n v="0.11799999999999999"/>
    <n v="209"/>
    <n v="1039"/>
    <n v="0"/>
    <n v="0"/>
  </r>
  <r>
    <s v="Information Technology"/>
    <s v="10_03_064_50550_5521"/>
    <x v="2"/>
    <s v="Scott Shipp Hall"/>
    <n v="117"/>
    <s v="AF SP4310N"/>
    <s v="PTR"/>
    <n v="17099501"/>
    <n v="5626"/>
    <n v="0"/>
    <n v="147.40120000000002"/>
    <n v="0"/>
    <n v="147.40120000000002"/>
    <s v="T1128911519"/>
    <s v="114.75.205.24"/>
    <n v="2.6200000000000001E-2"/>
    <n v="0.11799999999999999"/>
    <n v="26982"/>
    <n v="32608"/>
    <n v="0"/>
    <n v="0"/>
  </r>
  <r>
    <s v="Institute Planning"/>
    <s v="10_03_062_16150_5521"/>
    <x v="15"/>
    <s v="320 Institute Hill"/>
    <n v="301"/>
    <s v="AF SP4310N"/>
    <s v="PTR"/>
    <n v="17099561"/>
    <n v="484"/>
    <n v="0"/>
    <n v="12.680800000000001"/>
    <n v="0"/>
    <n v="12.680800000000001"/>
    <s v="T1129010870"/>
    <s v="144.75.201.9"/>
    <n v="2.6200000000000001E-2"/>
    <n v="0.11799999999999999"/>
    <n v="1285"/>
    <n v="1769"/>
    <n v="0"/>
    <n v="0"/>
  </r>
  <r>
    <s v="Institutional Research"/>
    <s v="10_03_045_54100_5521"/>
    <x v="39"/>
    <s v="Smith Hall"/>
    <n v="101"/>
    <s v="AF MPC2051"/>
    <s v="MFP"/>
    <n v="17099527"/>
    <n v="147"/>
    <n v="1"/>
    <n v="3.0428999999999999"/>
    <n v="8.6999999999999994E-2"/>
    <n v="3.1299000000000001"/>
    <s v="V9725500667"/>
    <s v="144.75.179.233"/>
    <n v="2.07E-2"/>
    <n v="8.6999999999999994E-2"/>
    <n v="824"/>
    <n v="971"/>
    <n v="12"/>
    <n v="13"/>
  </r>
  <r>
    <s v="International Programs"/>
    <s v="10_03_045_55100_5521"/>
    <x v="40"/>
    <s v="Old Hospital"/>
    <n v="101"/>
    <s v="AF MP301SP"/>
    <s v="MFP"/>
    <n v="17099533"/>
    <n v="490"/>
    <n v="0"/>
    <n v="10.143000000000001"/>
    <n v="0"/>
    <n v="10.143000000000001"/>
    <s v="W912P601488"/>
    <s v="144.75.180.72"/>
    <n v="2.07E-2"/>
    <n v="8.6999999999999994E-2"/>
    <n v="1902"/>
    <n v="2392"/>
    <n v="0"/>
    <n v="0"/>
  </r>
  <r>
    <s v="International Programs"/>
    <s v="10_03_045_55100_5521"/>
    <x v="40"/>
    <s v="Old Hospital"/>
    <n v="102"/>
    <s v="AF SPC242DN"/>
    <s v="PTR"/>
    <n v="17099693"/>
    <n v="408"/>
    <n v="56"/>
    <n v="10.6896"/>
    <n v="6.6079999999999997"/>
    <n v="17.297599999999999"/>
    <s v="T202P700459"/>
    <s v="144.75.180.56"/>
    <n v="2.6200000000000001E-2"/>
    <n v="0.11799999999999999"/>
    <n v="413"/>
    <n v="821"/>
    <n v="197"/>
    <n v="253"/>
  </r>
  <r>
    <s v="International Studies"/>
    <s v="40_00_045_56350_5521"/>
    <x v="41"/>
    <s v="Scott Shipp Hall"/>
    <n v="429"/>
    <s v="AF SP4310N"/>
    <s v="PTR"/>
    <n v="17099547"/>
    <n v="451"/>
    <n v="0"/>
    <n v="11.8162"/>
    <n v="0"/>
    <n v="11.8162"/>
    <s v="T1128910774"/>
    <s v="144.75.210.44"/>
    <n v="2.6200000000000001E-2"/>
    <n v="0.11799999999999999"/>
    <n v="3155"/>
    <n v="3606"/>
    <n v="0"/>
    <n v="0"/>
  </r>
  <r>
    <s v="International Studies"/>
    <s v="40_00_045_56350_5521"/>
    <x v="41"/>
    <s v="Scott Shipp Hall"/>
    <n v="432"/>
    <s v="AF SP4310N"/>
    <s v="PTR"/>
    <n v="17099549"/>
    <n v="1085"/>
    <n v="0"/>
    <n v="28.427"/>
    <n v="0"/>
    <n v="28.427"/>
    <s v="T1129010425"/>
    <s v="144.75.213.47"/>
    <n v="2.6200000000000001E-2"/>
    <n v="0.11799999999999999"/>
    <n v="4077"/>
    <n v="5162"/>
    <n v="0"/>
    <n v="0"/>
  </r>
  <r>
    <s v="International Studies"/>
    <s v="40_00_045_56350_5521"/>
    <x v="41"/>
    <s v="Scott Shipp Hall"/>
    <n v="434"/>
    <s v="AF SP4310N"/>
    <s v="PTR"/>
    <n v="17099550"/>
    <n v="68"/>
    <n v="0"/>
    <n v="1.7816000000000001"/>
    <n v="0"/>
    <n v="1.7816000000000001"/>
    <s v="T1129010389"/>
    <s v="144.75.210.27"/>
    <n v="2.6200000000000001E-2"/>
    <n v="0.11799999999999999"/>
    <n v="914"/>
    <n v="982"/>
    <n v="0"/>
    <n v="0"/>
  </r>
  <r>
    <s v="International Studies"/>
    <s v="40_00_045_56350_5521"/>
    <x v="41"/>
    <s v="Scott Shipp Hall"/>
    <n v="444"/>
    <s v="AF MPC5502"/>
    <s v="MFP"/>
    <n v="17099404"/>
    <n v="14948"/>
    <n v="0"/>
    <n v="309.42360000000002"/>
    <n v="0"/>
    <n v="309.42360000000002"/>
    <s v="W542LB00047"/>
    <s v="144.75.210.33"/>
    <n v="2.07E-2"/>
    <n v="8.6999999999999994E-2"/>
    <n v="24677"/>
    <n v="39625"/>
    <n v="1530"/>
    <n v="1530"/>
  </r>
  <r>
    <s v="Laundry"/>
    <s v="10_08_303_82240_5521"/>
    <x v="42"/>
    <s v="Richardson Hall"/>
    <n v="201"/>
    <s v="AF MP301SP"/>
    <s v="MFP"/>
    <n v="17099401"/>
    <n v="1504"/>
    <n v="0"/>
    <n v="31.1328"/>
    <n v="0"/>
    <n v="31.1328"/>
    <s v="W912P602288"/>
    <s v="144.75.195.6"/>
    <n v="2.07E-2"/>
    <n v="8.6999999999999994E-2"/>
    <n v="4566"/>
    <n v="6070"/>
    <n v="0"/>
    <n v="0"/>
  </r>
  <r>
    <s v="Laundry"/>
    <s v="10_08_303_82240_5521"/>
    <x v="42"/>
    <s v="Richardson Hall"/>
    <n v="201"/>
    <s v="AF SPC242DN"/>
    <s v="PTR"/>
    <n v="17099622"/>
    <n v="13"/>
    <n v="10"/>
    <n v="0.34060000000000001"/>
    <n v="1.18"/>
    <n v="1.5206"/>
    <s v="T202P700340"/>
    <s v="144.75.195.95"/>
    <n v="2.6200000000000001E-2"/>
    <n v="0.11799999999999999"/>
    <n v="27"/>
    <n v="40"/>
    <n v="28"/>
    <n v="38"/>
  </r>
  <r>
    <s v="Learning Center"/>
    <s v="10_03_054_60100_5521"/>
    <x v="43"/>
    <s v="Carroll Hall"/>
    <n v="209"/>
    <s v="AF SP4310N"/>
    <s v="PTR"/>
    <n v="17099577"/>
    <n v="0"/>
    <n v="0"/>
    <n v="0"/>
    <n v="0"/>
    <n v="0"/>
    <s v="T1128911363"/>
    <s v="144.75.195.229"/>
    <n v="2.6200000000000001E-2"/>
    <n v="0.11799999999999999"/>
    <n v="8"/>
    <n v="8"/>
    <n v="0"/>
    <n v="0"/>
  </r>
  <r>
    <s v="Learning Center"/>
    <s v="10_03_054_60100_5521"/>
    <x v="43"/>
    <s v="Carroll Hall"/>
    <s v="207A"/>
    <s v="AF SP4310N"/>
    <s v="PTR"/>
    <n v="17099754"/>
    <n v="644"/>
    <n v="0"/>
    <n v="16.872800000000002"/>
    <n v="0"/>
    <n v="16.872800000000002"/>
    <s v="T1128811582"/>
    <s v="144.75.195.46"/>
    <n v="2.6200000000000001E-2"/>
    <n v="0.11799999999999999"/>
    <n v="3299"/>
    <n v="3943"/>
    <n v="0"/>
    <n v="0"/>
  </r>
  <r>
    <s v="Mail Services"/>
    <s v="10_03_064_82140_5521"/>
    <x v="44"/>
    <s v="New Barracks"/>
    <s v="C10"/>
    <s v="AF MP301SP"/>
    <s v="MFP"/>
    <n v="17099535"/>
    <n v="1123"/>
    <n v="0"/>
    <n v="23.246099999999998"/>
    <n v="0"/>
    <n v="23.246099999999998"/>
    <s v="W912P602291"/>
    <s v="144.75.130.87"/>
    <n v="2.07E-2"/>
    <n v="8.6999999999999994E-2"/>
    <n v="5655"/>
    <n v="6778"/>
    <n v="0"/>
    <n v="0"/>
  </r>
  <r>
    <s v="Math&amp;Computer Science"/>
    <s v="10_03_011_64100_5521"/>
    <x v="45"/>
    <s v="Mallory Hall"/>
    <n v="415"/>
    <s v="AF SP4310N"/>
    <s v="PTR"/>
    <n v="17099579"/>
    <n v="606"/>
    <n v="0"/>
    <n v="15.8772"/>
    <n v="0"/>
    <n v="15.8772"/>
    <s v="T1129011355"/>
    <s v="144.75.182.61"/>
    <n v="2.6200000000000001E-2"/>
    <n v="0.11799999999999999"/>
    <n v="1925"/>
    <n v="2531"/>
    <n v="0"/>
    <n v="0"/>
  </r>
  <r>
    <s v="Math&amp;Computer Science"/>
    <s v="10_03_011_64100_5521"/>
    <x v="45"/>
    <s v="Mallory Hall"/>
    <n v="416"/>
    <s v="AF MPC4502"/>
    <s v="MFP"/>
    <n v="17099492"/>
    <n v="26469"/>
    <n v="1689"/>
    <n v="547.90829999999994"/>
    <n v="146.94299999999998"/>
    <n v="694.85129999999992"/>
    <s v="W512L601983"/>
    <s v="144.75.182.151"/>
    <n v="2.07E-2"/>
    <n v="8.6999999999999994E-2"/>
    <n v="151912"/>
    <n v="178381"/>
    <n v="14364"/>
    <n v="16053"/>
  </r>
  <r>
    <s v="Math&amp;Computer Science"/>
    <s v="10_03_011_64100_5521"/>
    <x v="45"/>
    <s v="Mallory Hall"/>
    <n v="425"/>
    <s v="AF SP4310N"/>
    <s v="PTR"/>
    <n v="17099582"/>
    <n v="194"/>
    <n v="0"/>
    <n v="5.0828000000000007"/>
    <n v="0"/>
    <n v="5.0828000000000007"/>
    <s v="T1129011357"/>
    <s v="144.75.182.239"/>
    <n v="2.6200000000000001E-2"/>
    <n v="0.11799999999999999"/>
    <n v="1508"/>
    <n v="1702"/>
    <n v="0"/>
    <n v="0"/>
  </r>
  <r>
    <s v="Math&amp;Computer Science"/>
    <s v="10_03_064_50550_5521"/>
    <x v="2"/>
    <s v="Mallory Hall"/>
    <n v="315"/>
    <s v="AF MP301SP"/>
    <s v="MFP"/>
    <n v="17099464"/>
    <n v="217"/>
    <n v="0"/>
    <n v="4.4919000000000002"/>
    <n v="0"/>
    <n v="4.4919000000000002"/>
    <s v="W912P602284"/>
    <s v="144.75.182.242"/>
    <n v="2.07E-2"/>
    <n v="8.6999999999999994E-2"/>
    <n v="9"/>
    <n v="226"/>
    <n v="0"/>
    <n v="0"/>
  </r>
  <r>
    <s v="Mathematics"/>
    <s v="10_03_011_64125_5521"/>
    <x v="46"/>
    <s v="Preston Library"/>
    <n v="700"/>
    <s v="AF MPC2051"/>
    <s v="MFP"/>
    <n v="17099505"/>
    <n v="1245"/>
    <n v="399"/>
    <n v="25.7715"/>
    <n v="34.713000000000001"/>
    <n v="60.484499999999997"/>
    <s v="V9725501242"/>
    <s v="144.75.181.16"/>
    <n v="2.07E-2"/>
    <n v="8.6999999999999994E-2"/>
    <n v="751"/>
    <n v="1996"/>
    <n v="249"/>
    <n v="648"/>
  </r>
  <r>
    <s v="Mechanical Engineering"/>
    <s v="10_03_011_66100_5521"/>
    <x v="47"/>
    <s v="Nichols Hall"/>
    <n v="709"/>
    <s v="AF MPC2051"/>
    <s v="MFP"/>
    <n v="17099465"/>
    <n v="10645"/>
    <n v="160"/>
    <n v="220.35149999999999"/>
    <n v="13.919999999999998"/>
    <n v="234.27149999999997"/>
    <s v="W512L601966"/>
    <s v="144.75.193.6"/>
    <n v="2.07E-2"/>
    <n v="8.6999999999999994E-2"/>
    <n v="39847"/>
    <n v="50492"/>
    <n v="2421"/>
    <n v="2581"/>
  </r>
  <r>
    <s v="Mechanical Engineering"/>
    <s v="10_03_011_66100_5521"/>
    <x v="47"/>
    <s v="Nichols Hall"/>
    <n v="709"/>
    <s v="AF SPC242DN"/>
    <s v="PTR"/>
    <n v="17099632"/>
    <n v="321"/>
    <n v="27"/>
    <n v="8.4101999999999997"/>
    <n v="3.1859999999999999"/>
    <n v="11.5962"/>
    <s v="T202P600942"/>
    <s v="144.75.193.118"/>
    <n v="2.6200000000000001E-2"/>
    <n v="0.11799999999999999"/>
    <n v="1741"/>
    <n v="2062"/>
    <n v="336"/>
    <n v="363"/>
  </r>
  <r>
    <s v="Mechanical Engineering"/>
    <s v="10_03_011_66100_5521"/>
    <x v="47"/>
    <s v="Nichols Hall"/>
    <n v="717"/>
    <s v="AF SP4310N"/>
    <s v="PTR"/>
    <n v="17099586"/>
    <n v="25"/>
    <n v="0"/>
    <n v="0.65500000000000003"/>
    <n v="0"/>
    <n v="0.65500000000000003"/>
    <s v="T1129011154"/>
    <s v="144.75.193.197"/>
    <n v="2.6200000000000001E-2"/>
    <n v="0.11799999999999999"/>
    <n v="78"/>
    <n v="103"/>
    <n v="0"/>
    <n v="0"/>
  </r>
  <r>
    <s v="Mechanical Engineering"/>
    <s v="10_03_064_50550_5521"/>
    <x v="2"/>
    <s v="Nichols Hall"/>
    <n v="701"/>
    <s v="AF SP4310N"/>
    <s v="PTR"/>
    <n v="17099633"/>
    <n v="3"/>
    <n v="0"/>
    <n v="7.8600000000000003E-2"/>
    <n v="0"/>
    <n v="7.8600000000000003E-2"/>
    <s v="T1129011167"/>
    <s v="144.75.193.199"/>
    <n v="2.6200000000000001E-2"/>
    <n v="0.11799999999999999"/>
    <n v="5"/>
    <n v="8"/>
    <n v="0"/>
    <n v="0"/>
  </r>
  <r>
    <s v="Mechanical Engineering"/>
    <s v="10_03_064_50550_5521"/>
    <x v="2"/>
    <s v="Nichols Hall"/>
    <n v="701"/>
    <s v="AF SP4310N"/>
    <s v="PTR"/>
    <n v="17099770"/>
    <n v="18013"/>
    <n v="0"/>
    <n v="471.94060000000002"/>
    <n v="0"/>
    <n v="471.94060000000002"/>
    <s v="T1128811962"/>
    <s v="144.75.193.230"/>
    <n v="2.6200000000000001E-2"/>
    <n v="0.11799999999999999"/>
    <n v="57158"/>
    <n v="75171"/>
    <n v="0"/>
    <n v="0"/>
  </r>
  <r>
    <s v="Mechanical Engineering"/>
    <s v="10_03_064_50550_5521"/>
    <x v="2"/>
    <s v="Nichols Hall"/>
    <n v="708"/>
    <s v="AF SP4310N"/>
    <s v="PTR"/>
    <n v="17099624"/>
    <n v="221"/>
    <n v="0"/>
    <n v="5.7902000000000005"/>
    <n v="0"/>
    <n v="5.7902000000000005"/>
    <s v="T1129011168"/>
    <s v="144.75.193.198"/>
    <n v="2.6200000000000001E-2"/>
    <n v="0.11799999999999999"/>
    <n v="768"/>
    <n v="989"/>
    <n v="0"/>
    <n v="0"/>
  </r>
  <r>
    <s v="Military Store"/>
    <s v="10_08_302_82190_5521"/>
    <x v="48"/>
    <s v="Richardson Hall"/>
    <n v="401"/>
    <s v="AF MPC2051"/>
    <s v="MFP"/>
    <n v="17099491"/>
    <n v="1117"/>
    <n v="649"/>
    <n v="23.1219"/>
    <n v="56.462999999999994"/>
    <n v="79.58489999999999"/>
    <s v="V9725700303"/>
    <s v="144.75.180.200"/>
    <n v="2.07E-2"/>
    <n v="8.6999999999999994E-2"/>
    <n v="4308"/>
    <n v="5425"/>
    <n v="1841"/>
    <n v="2490"/>
  </r>
  <r>
    <s v="Military Store"/>
    <s v="10_08_302_82190_5521"/>
    <x v="48"/>
    <s v="Richardson Hall"/>
    <n v="401"/>
    <s v="AF SP4310N"/>
    <s v="PTR"/>
    <n v="17099589"/>
    <n v="175"/>
    <n v="0"/>
    <n v="4.585"/>
    <n v="0"/>
    <n v="4.585"/>
    <s v="T1129012233"/>
    <s v="144.75.180.101"/>
    <n v="2.6200000000000001E-2"/>
    <n v="0.11799999999999999"/>
    <n v="139"/>
    <n v="314"/>
    <n v="0"/>
    <n v="0"/>
  </r>
  <r>
    <s v="Military Store"/>
    <s v="10_08_302_82190_5521"/>
    <x v="48"/>
    <s v="Richardson Hall"/>
    <n v="401"/>
    <s v="AF SPC242DN"/>
    <s v="PTR"/>
    <n v="17099724"/>
    <n v="389"/>
    <n v="166"/>
    <n v="10.191800000000001"/>
    <n v="19.587999999999997"/>
    <n v="29.779799999999998"/>
    <s v="T202P801021"/>
    <s v="144.75.180.11"/>
    <n v="2.6200000000000001E-2"/>
    <n v="0.11799999999999999"/>
    <n v="496"/>
    <n v="885"/>
    <n v="62"/>
    <n v="228"/>
  </r>
  <r>
    <s v="Miller Head Clinic"/>
    <s v="10_03_054_60100_5521"/>
    <x v="43"/>
    <s v="Carroll Hall"/>
    <n v="202"/>
    <s v="AF SP4310N"/>
    <s v="PTR"/>
    <n v="17099755"/>
    <n v="2631"/>
    <n v="0"/>
    <n v="68.932200000000009"/>
    <n v="0"/>
    <n v="68.932200000000009"/>
    <s v="T1128911512"/>
    <s v="144.75.195.34"/>
    <n v="2.6200000000000001E-2"/>
    <n v="0.11799999999999999"/>
    <n v="7021"/>
    <n v="9652"/>
    <n v="0"/>
    <n v="0"/>
  </r>
  <r>
    <s v="Miller Head Clinic"/>
    <s v="10_03_054_60100_5521"/>
    <x v="43"/>
    <s v="Carroll Hall"/>
    <n v="203"/>
    <s v="AF SP4310N"/>
    <s v="PTR"/>
    <n v="17099584"/>
    <n v="455"/>
    <n v="0"/>
    <n v="11.921000000000001"/>
    <n v="0"/>
    <n v="11.921000000000001"/>
    <s v="T1128911370"/>
    <s v="144.75.195.92"/>
    <n v="2.6200000000000001E-2"/>
    <n v="0.11799999999999999"/>
    <n v="757"/>
    <n v="1212"/>
    <n v="0"/>
    <n v="0"/>
  </r>
  <r>
    <s v="Modern Languages"/>
    <s v="10_03_011_68100_5521"/>
    <x v="49"/>
    <s v="Scott Shipp Hall"/>
    <n v="416"/>
    <s v="AF SP4310N"/>
    <s v="PTR"/>
    <n v="17099542"/>
    <n v="1611"/>
    <n v="0"/>
    <n v="42.208200000000005"/>
    <n v="0"/>
    <n v="42.208200000000005"/>
    <s v="T1128910773"/>
    <s v="144.75.209.67"/>
    <n v="2.6200000000000001E-2"/>
    <n v="0.11799999999999999"/>
    <n v="5310"/>
    <n v="6921"/>
    <n v="0"/>
    <n v="0"/>
  </r>
  <r>
    <s v="Modern Languages"/>
    <s v="10_03_011_68100_5521"/>
    <x v="49"/>
    <s v="Scott Shipp Hall"/>
    <n v="424"/>
    <s v="AF SP4310N"/>
    <s v="PTR"/>
    <n v="17099548"/>
    <n v="3352"/>
    <n v="0"/>
    <n v="87.822400000000002"/>
    <n v="0"/>
    <n v="87.822400000000002"/>
    <s v="T1129010432"/>
    <s v="144.75.209.70"/>
    <n v="2.6200000000000001E-2"/>
    <n v="0.11799999999999999"/>
    <n v="5674"/>
    <n v="9026"/>
    <n v="0"/>
    <n v="0"/>
  </r>
  <r>
    <s v="Modern Languages"/>
    <s v="10_03_011_68100_5521"/>
    <x v="49"/>
    <s v="Scott Shipp Hall"/>
    <n v="541"/>
    <s v="AF SP4310N"/>
    <s v="PTR"/>
    <n v="17099551"/>
    <n v="971"/>
    <n v="0"/>
    <n v="25.440200000000001"/>
    <n v="0"/>
    <n v="25.440200000000001"/>
    <s v="T1129011164"/>
    <s v="144.75.213.45"/>
    <n v="2.6200000000000001E-2"/>
    <n v="0.11799999999999999"/>
    <n v="2360"/>
    <n v="3331"/>
    <n v="0"/>
    <n v="0"/>
  </r>
  <r>
    <s v="Modern Languages"/>
    <s v="10_03_064_50550_5521"/>
    <x v="2"/>
    <s v="Scott Shipp Hall"/>
    <n v="418"/>
    <s v="AF SP4310N"/>
    <s v="PTR"/>
    <n v="17099520"/>
    <n v="15540"/>
    <n v="0"/>
    <n v="407.14800000000002"/>
    <n v="0"/>
    <n v="407.14800000000002"/>
    <s v="T1128910780"/>
    <s v="144.75.209.11"/>
    <n v="2.6200000000000001E-2"/>
    <n v="0.11799999999999999"/>
    <n v="45959"/>
    <n v="61499"/>
    <n v="0"/>
    <n v="0"/>
  </r>
  <r>
    <s v="Modern Languages"/>
    <s v="10_03_064_50550_5521"/>
    <x v="2"/>
    <s v="Scott Shipp Hall"/>
    <n v="425"/>
    <s v="AF MPC3502"/>
    <s v="MFP"/>
    <n v="17099405"/>
    <n v="12923"/>
    <n v="435"/>
    <n v="267.5061"/>
    <n v="37.844999999999999"/>
    <n v="305.35109999999997"/>
    <s v="W502LA00634"/>
    <s v="144.75.209.65"/>
    <n v="2.07E-2"/>
    <n v="8.6999999999999994E-2"/>
    <n v="13939"/>
    <n v="26862"/>
    <n v="879"/>
    <n v="1314"/>
  </r>
  <r>
    <s v="Museum Operations"/>
    <s v="10_03_031_70100_5521"/>
    <x v="50"/>
    <s v="Jackson Memorial"/>
    <n v="105"/>
    <s v="AF MPC2051"/>
    <s v="MFP"/>
    <n v="17099721"/>
    <n v="1466"/>
    <n v="620"/>
    <n v="30.3462"/>
    <n v="53.94"/>
    <n v="84.286199999999994"/>
    <s v="V9725401442"/>
    <s v="144.75.194.6"/>
    <n v="2.07E-2"/>
    <n v="8.6999999999999994E-2"/>
    <n v="9479"/>
    <n v="10945"/>
    <n v="4533"/>
    <n v="5153"/>
  </r>
  <r>
    <s v="Naval Rotc"/>
    <s v="10_03_011_72100_5521"/>
    <x v="51"/>
    <s v="Kilbourne Hall"/>
    <n v="2080"/>
    <s v="AF SP4310N"/>
    <s v="PTR"/>
    <n v="17099431"/>
    <n v="323"/>
    <n v="0"/>
    <n v="8.4626000000000001"/>
    <n v="0"/>
    <n v="8.4626000000000001"/>
    <s v="T1129010836"/>
    <s v="144.75.187.107"/>
    <n v="2.6200000000000001E-2"/>
    <n v="0.11799999999999999"/>
    <n v="1358"/>
    <n v="1681"/>
    <n v="0"/>
    <n v="0"/>
  </r>
  <r>
    <s v="Naval Rotc"/>
    <s v="10_03_011_72100_5521"/>
    <x v="51"/>
    <s v="Kilbourne Hall"/>
    <n v="2082"/>
    <s v="AF SP4310N"/>
    <s v="PTR"/>
    <n v="17099506"/>
    <n v="273"/>
    <n v="0"/>
    <n v="7.1526000000000005"/>
    <n v="0"/>
    <n v="7.1526000000000005"/>
    <s v="T1129010744"/>
    <s v="144.75.187.31"/>
    <n v="2.6200000000000001E-2"/>
    <n v="0.11799999999999999"/>
    <n v="960"/>
    <n v="1233"/>
    <n v="0"/>
    <n v="0"/>
  </r>
  <r>
    <s v="Naval Rotc"/>
    <s v="10_03_011_72100_5521"/>
    <x v="51"/>
    <s v="Kilbourne Hall"/>
    <n v="2090"/>
    <s v="AF SP4310N"/>
    <s v="PTR"/>
    <n v="17099429"/>
    <n v="88"/>
    <n v="0"/>
    <n v="2.3056000000000001"/>
    <n v="0"/>
    <n v="2.3056000000000001"/>
    <s v="T1129010868"/>
    <s v="144.75.187.115"/>
    <n v="2.6200000000000001E-2"/>
    <n v="0.11799999999999999"/>
    <n v="373"/>
    <n v="461"/>
    <n v="0"/>
    <n v="0"/>
  </r>
  <r>
    <s v="Newspaper"/>
    <s v="10_08_307_18380_5521"/>
    <x v="17"/>
    <s v="New Barracks"/>
    <s v="News Paper Office"/>
    <s v="AF MP301SP"/>
    <s v="MFP"/>
    <n v="17099701"/>
    <n v="0"/>
    <n v="0"/>
    <n v="0"/>
    <n v="0"/>
    <n v="0"/>
    <s v="W912P602285"/>
    <s v="144.75.86.16"/>
    <n v="2.07E-2"/>
    <n v="8.6999999999999994E-2"/>
    <n v="0"/>
    <n v="0"/>
    <n v="0"/>
    <n v="0"/>
  </r>
  <r>
    <s v="OC Hole"/>
    <s v="10_07_205_30150_5521"/>
    <x v="24"/>
    <s v="New Barracks"/>
    <s v="3-303"/>
    <s v="AF MP301SP"/>
    <s v="MFP"/>
    <n v="17099536"/>
    <n v="623"/>
    <n v="0"/>
    <n v="12.896100000000001"/>
    <n v="0"/>
    <n v="12.896100000000001"/>
    <s v="W912P602290"/>
    <s v="144.75.143.18"/>
    <n v="2.07E-2"/>
    <n v="8.6999999999999994E-2"/>
    <n v="418"/>
    <n v="1041"/>
    <n v="0"/>
    <n v="0"/>
  </r>
  <r>
    <s v="Office of Construction"/>
    <s v="26_23_901_14788_5521"/>
    <x v="52"/>
    <s v="320 Institute Hill"/>
    <n v="306"/>
    <s v="AF SP4310N"/>
    <s v="PTR"/>
    <n v="17099567"/>
    <n v="660"/>
    <n v="0"/>
    <n v="17.292000000000002"/>
    <n v="0"/>
    <n v="17.292000000000002"/>
    <s v="T1129010901"/>
    <s v="144.75.201.21"/>
    <n v="2.6200000000000001E-2"/>
    <n v="0.11799999999999999"/>
    <n v="302"/>
    <n v="962"/>
    <n v="0"/>
    <n v="0"/>
  </r>
  <r>
    <s v="Office of Construction"/>
    <s v="26_23_901_14788_5521"/>
    <x v="52"/>
    <s v="320 Institute Hill"/>
    <s v="Hallway"/>
    <s v="AF MPC3502"/>
    <s v="MFP"/>
    <n v="17099488"/>
    <n v="2337"/>
    <n v="1524"/>
    <n v="48.375900000000001"/>
    <n v="132.58799999999999"/>
    <n v="180.9639"/>
    <s v="W502L700003"/>
    <s v="144.75.201.7"/>
    <n v="2.07E-2"/>
    <n v="8.6999999999999994E-2"/>
    <n v="7577"/>
    <n v="9914"/>
    <n v="6600"/>
    <n v="8124"/>
  </r>
  <r>
    <s v="Old Barracks"/>
    <s v="10_03_064_32145_5521"/>
    <x v="19"/>
    <s v="Old Barracks"/>
    <s v="B8"/>
    <s v="AF SPC242DN"/>
    <s v="PTR"/>
    <n v="17099702"/>
    <n v="26"/>
    <n v="117"/>
    <n v="0.68120000000000003"/>
    <n v="13.805999999999999"/>
    <n v="14.4872"/>
    <s v="T202P700470"/>
    <s v="144.75.190.50"/>
    <n v="2.6200000000000001E-2"/>
    <n v="0.11799999999999999"/>
    <n v="198"/>
    <n v="224"/>
    <n v="338"/>
    <n v="455"/>
  </r>
  <r>
    <s v="Physical Education"/>
    <s v="10_03_011_76100_5521"/>
    <x v="53"/>
    <s v="Cocke Hall"/>
    <n v="201"/>
    <s v="AF SPC242DN"/>
    <s v="PTR"/>
    <n v="17099541"/>
    <n v="146"/>
    <n v="0"/>
    <n v="3.8252000000000002"/>
    <n v="0"/>
    <n v="3.8252000000000002"/>
    <s v="T202P700454"/>
    <s v="144.75.177.29"/>
    <n v="2.6200000000000001E-2"/>
    <n v="0.11799999999999999"/>
    <n v="520"/>
    <n v="666"/>
    <n v="1"/>
    <n v="1"/>
  </r>
  <r>
    <s v="Physical Education"/>
    <s v="10_03_011_76100_5521"/>
    <x v="53"/>
    <s v="Cocke Hall"/>
    <n v="320"/>
    <s v="AF SP4310N"/>
    <s v="PTR"/>
    <n v="17099598"/>
    <n v="336"/>
    <n v="0"/>
    <n v="8.8032000000000004"/>
    <n v="0"/>
    <n v="8.8032000000000004"/>
    <s v="T1128911213"/>
    <s v="144.75.177.49"/>
    <n v="2.6200000000000001E-2"/>
    <n v="0.11799999999999999"/>
    <n v="2676"/>
    <n v="3012"/>
    <n v="0"/>
    <n v="0"/>
  </r>
  <r>
    <s v="Physical Education"/>
    <s v="10_03_011_76100_5521"/>
    <x v="53"/>
    <s v="Cocke Hall"/>
    <n v="328"/>
    <s v="AF MPC3502"/>
    <s v="MFP"/>
    <n v="17099461"/>
    <n v="6994"/>
    <n v="32"/>
    <n v="144.7758"/>
    <n v="2.7839999999999998"/>
    <n v="147.5598"/>
    <s v="W502L700470"/>
    <s v="144.75.177.38"/>
    <n v="2.07E-2"/>
    <n v="8.6999999999999994E-2"/>
    <n v="32191"/>
    <n v="39185"/>
    <n v="537"/>
    <n v="569"/>
  </r>
  <r>
    <s v="Physical Education"/>
    <s v="10_03_011_76100_5521"/>
    <x v="53"/>
    <s v="Cocke Hall"/>
    <s v="320C"/>
    <s v="AF SP4310N"/>
    <s v="PTR"/>
    <n v="17099720"/>
    <n v="488"/>
    <n v="0"/>
    <n v="12.785600000000001"/>
    <n v="0"/>
    <n v="12.785600000000001"/>
    <s v="T1128810903"/>
    <s v="144.75.177.33"/>
    <n v="2.6200000000000001E-2"/>
    <n v="0.11799999999999999"/>
    <n v="1511"/>
    <n v="1999"/>
    <n v="0"/>
    <n v="0"/>
  </r>
  <r>
    <s v="Physical Plant"/>
    <s v="10_03_071_14100_5521"/>
    <x v="54"/>
    <s v="Physical Plant"/>
    <n v="110"/>
    <s v="AF MP301SP"/>
    <s v="MFP"/>
    <n v="17099402"/>
    <n v="1820"/>
    <n v="0"/>
    <n v="37.673999999999999"/>
    <n v="0"/>
    <n v="37.673999999999999"/>
    <s v="W912P602228"/>
    <s v="144.75.218.8"/>
    <n v="2.07E-2"/>
    <n v="8.6999999999999994E-2"/>
    <n v="4650"/>
    <n v="6470"/>
    <n v="0"/>
    <n v="0"/>
  </r>
  <r>
    <s v="Physical Plant"/>
    <s v="10_03_071_14100_5521"/>
    <x v="54"/>
    <s v="Physical Plant"/>
    <n v="118"/>
    <s v="AF MPC2051"/>
    <s v="MFP"/>
    <n v="17099787"/>
    <n v="4112"/>
    <n v="1440"/>
    <n v="85.118399999999994"/>
    <n v="125.27999999999999"/>
    <n v="210.39839999999998"/>
    <s v="V9725401439"/>
    <s v="144.75.218.6"/>
    <n v="2.07E-2"/>
    <n v="8.6999999999999994E-2"/>
    <n v="14723"/>
    <n v="18835"/>
    <n v="5132"/>
    <n v="6572"/>
  </r>
  <r>
    <s v="Physical Plant"/>
    <s v="10_03_071_14100_5521"/>
    <x v="54"/>
    <s v="Physical Plant"/>
    <n v="126"/>
    <s v="AF SP4310N"/>
    <s v="PTR"/>
    <n v="17099599"/>
    <n v="639"/>
    <n v="0"/>
    <n v="16.741800000000001"/>
    <n v="0"/>
    <n v="16.741800000000001"/>
    <s v="T1129012156"/>
    <s v="144.75.218.7"/>
    <n v="2.6200000000000001E-2"/>
    <n v="0.11799999999999999"/>
    <n v="1112"/>
    <n v="1751"/>
    <n v="0"/>
    <n v="0"/>
  </r>
  <r>
    <s v="Physical Plant"/>
    <s v="10_03_071_14100_5521"/>
    <x v="54"/>
    <s v="Physical Plant"/>
    <n v="132"/>
    <s v="AF SP4310N"/>
    <s v="PTR"/>
    <n v="17099600"/>
    <n v="710"/>
    <n v="0"/>
    <n v="18.602"/>
    <n v="0"/>
    <n v="18.602"/>
    <s v="T1129012227"/>
    <s v="144.75.218.55"/>
    <n v="2.6200000000000001E-2"/>
    <n v="0.11799999999999999"/>
    <n v="630"/>
    <n v="1340"/>
    <n v="0"/>
    <n v="0"/>
  </r>
  <r>
    <s v="Physical Plant"/>
    <s v="10_03_071_14100_5521"/>
    <x v="54"/>
    <s v="Physical Plant"/>
    <n v="135"/>
    <s v="AF SP4310N"/>
    <s v="PTR"/>
    <n v="17099601"/>
    <n v="80"/>
    <n v="0"/>
    <n v="2.0960000000000001"/>
    <n v="0"/>
    <n v="2.0960000000000001"/>
    <s v="T1129012236"/>
    <s v="144.75.218.57"/>
    <n v="2.6200000000000001E-2"/>
    <n v="0.11799999999999999"/>
    <n v="177"/>
    <n v="257"/>
    <n v="0"/>
    <n v="0"/>
  </r>
  <r>
    <s v="Physics &amp; Astronomy"/>
    <s v="10_03_064_50550_5521"/>
    <x v="2"/>
    <s v="Mallory Hall"/>
    <n v="318"/>
    <s v="AF SP4310N"/>
    <s v="PTR"/>
    <n v="17099583"/>
    <n v="174"/>
    <n v="0"/>
    <n v="4.5587999999999997"/>
    <n v="0"/>
    <n v="4.5587999999999997"/>
    <s v="T1129011352"/>
    <s v="144.75.182.246"/>
    <n v="2.6200000000000001E-2"/>
    <n v="0.11799999999999999"/>
    <n v="290"/>
    <n v="464"/>
    <n v="0"/>
    <n v="0"/>
  </r>
  <r>
    <s v="Physics &amp; Astronomy"/>
    <s v="40_00_011_78500_5521"/>
    <x v="55"/>
    <s v="Mallory Hall"/>
    <n v="123"/>
    <s v="AF SP4310N"/>
    <s v="PTR"/>
    <n v="17099689"/>
    <n v="183"/>
    <n v="0"/>
    <n v="4.7946"/>
    <n v="0"/>
    <n v="4.7946"/>
    <s v="T1129011274"/>
    <s v="144.75.182.85"/>
    <n v="2.6200000000000001E-2"/>
    <n v="0.11799999999999999"/>
    <n v="235"/>
    <n v="418"/>
    <n v="0"/>
    <n v="0"/>
  </r>
  <r>
    <s v="Physics &amp; Astronomy"/>
    <s v="40_00_011_78500_5521"/>
    <x v="55"/>
    <s v="Mallory Hall"/>
    <n v="324"/>
    <s v="AF MPC3502"/>
    <s v="MFP"/>
    <n v="17099463"/>
    <n v="8569"/>
    <n v="2383"/>
    <n v="177.3783"/>
    <n v="207.321"/>
    <n v="384.69929999999999"/>
    <s v="W502L601236"/>
    <s v="144.75.182.208"/>
    <n v="2.07E-2"/>
    <n v="8.6999999999999994E-2"/>
    <n v="29307"/>
    <n v="37876"/>
    <n v="2309"/>
    <n v="4692"/>
  </r>
  <r>
    <s v="Physics &amp; Astronomy"/>
    <s v="40_00_011_78500_5521"/>
    <x v="55"/>
    <s v="Mallory Hall"/>
    <n v="328"/>
    <s v="AF SP4310N"/>
    <s v="PTR"/>
    <n v="17099588"/>
    <n v="189"/>
    <n v="0"/>
    <n v="4.9518000000000004"/>
    <n v="0"/>
    <n v="4.9518000000000004"/>
    <s v="T1129011359"/>
    <s v="144.75.182.15"/>
    <n v="2.6200000000000001E-2"/>
    <n v="0.11799999999999999"/>
    <n v="573"/>
    <n v="762"/>
    <n v="0"/>
    <n v="0"/>
  </r>
  <r>
    <s v="Post Police"/>
    <s v="10_03_045_34100_5521"/>
    <x v="28"/>
    <s v="BOQ"/>
    <n v="200"/>
    <s v="AF SPC242DN"/>
    <s v="PTR"/>
    <n v="17099451"/>
    <n v="384"/>
    <n v="276"/>
    <n v="10.0608"/>
    <n v="32.567999999999998"/>
    <n v="42.628799999999998"/>
    <s v="T202P700469"/>
    <s v="144.75.179.11"/>
    <n v="2.6200000000000001E-2"/>
    <n v="0.11799999999999999"/>
    <n v="1485"/>
    <n v="1869"/>
    <n v="468"/>
    <n v="744"/>
  </r>
  <r>
    <s v="Post Police"/>
    <s v="10_03_045_34100_5521"/>
    <x v="28"/>
    <s v="BOQ"/>
    <n v="201"/>
    <s v="AF MP301SP"/>
    <s v="MFP"/>
    <n v="17099406"/>
    <n v="874"/>
    <n v="0"/>
    <n v="18.091799999999999"/>
    <n v="0"/>
    <n v="18.091799999999999"/>
    <s v="W912P903531"/>
    <s v="144.75.6.24"/>
    <n v="2.07E-2"/>
    <n v="8.6999999999999994E-2"/>
    <n v="1558"/>
    <n v="2432"/>
    <n v="0"/>
    <n v="0"/>
  </r>
  <r>
    <s v="Post Police"/>
    <s v="10_03_045_34100_5521"/>
    <x v="28"/>
    <s v="BOQ"/>
    <n v="203"/>
    <s v="AF MPC2051"/>
    <s v="MFP"/>
    <n v="17099455"/>
    <n v="1181"/>
    <n v="146"/>
    <n v="24.4467"/>
    <n v="12.702"/>
    <n v="37.148699999999998"/>
    <s v="V9725501168"/>
    <s v="144.75.6.20"/>
    <n v="2.07E-2"/>
    <n v="8.6999999999999994E-2"/>
    <n v="11928"/>
    <n v="13109"/>
    <n v="200"/>
    <n v="346"/>
  </r>
  <r>
    <s v="Post Police"/>
    <s v="10_03_045_34100_5521"/>
    <x v="28"/>
    <s v="BOQ"/>
    <n v="300"/>
    <s v="AF SPC242DN"/>
    <s v="PTR"/>
    <n v="17099725"/>
    <n v="215"/>
    <n v="390"/>
    <n v="5.633"/>
    <n v="46.019999999999996"/>
    <n v="51.652999999999999"/>
    <s v="T202P801071"/>
    <s v="144.75.6.28"/>
    <n v="2.6200000000000001E-2"/>
    <n v="0.11799999999999999"/>
    <n v="0"/>
    <n v="215"/>
    <n v="0"/>
    <n v="390"/>
  </r>
  <r>
    <s v="Post Police"/>
    <s v="10_03_045_34100_5521"/>
    <x v="28"/>
    <s v="BOQ"/>
    <n v="301"/>
    <s v="AF SP4310N"/>
    <s v="PTR"/>
    <n v="17099736"/>
    <n v="39"/>
    <n v="0"/>
    <n v="1.0218"/>
    <n v="0"/>
    <n v="1.0218"/>
    <s v="T1129010631"/>
    <s v="144.75.6.30"/>
    <n v="2.6200000000000001E-2"/>
    <n v="0.11799999999999999"/>
    <n v="0"/>
    <n v="39"/>
    <n v="0"/>
    <n v="0"/>
  </r>
  <r>
    <s v="Preston Library"/>
    <s v="10_03_041_62100_5521"/>
    <x v="56"/>
    <s v="Preston Library"/>
    <n v="302"/>
    <s v="AF SP4310N"/>
    <s v="PTR"/>
    <n v="17099502"/>
    <n v="1588"/>
    <n v="0"/>
    <n v="41.605600000000003"/>
    <n v="0"/>
    <n v="41.605600000000003"/>
    <s v="T1128911524"/>
    <s v="144.75.197.12"/>
    <n v="2.6200000000000001E-2"/>
    <n v="0.11799999999999999"/>
    <n v="4271"/>
    <n v="5859"/>
    <n v="0"/>
    <n v="0"/>
  </r>
  <r>
    <s v="Preston Library"/>
    <s v="10_03_041_62100_5521"/>
    <x v="56"/>
    <s v="Preston Library"/>
    <n v="303"/>
    <s v="AF SP4310N"/>
    <s v="PTR"/>
    <n v="17099504"/>
    <n v="1343"/>
    <n v="0"/>
    <n v="35.186599999999999"/>
    <n v="0"/>
    <n v="35.186599999999999"/>
    <s v="T1128811633"/>
    <s v="144.75.197.11"/>
    <n v="2.6200000000000001E-2"/>
    <n v="0.11799999999999999"/>
    <n v="4688"/>
    <n v="6031"/>
    <n v="0"/>
    <n v="0"/>
  </r>
  <r>
    <s v="Preston Library"/>
    <s v="10_03_041_62100_5521"/>
    <x v="56"/>
    <s v="Preston Library"/>
    <n v="401"/>
    <s v="AF SP4310N"/>
    <s v="PTR"/>
    <n v="17099526"/>
    <n v="953"/>
    <n v="0"/>
    <n v="24.968600000000002"/>
    <n v="0"/>
    <n v="24.968600000000002"/>
    <s v="T1128811625"/>
    <s v="144.75.196.12"/>
    <n v="2.6200000000000001E-2"/>
    <n v="0.11799999999999999"/>
    <n v="3801"/>
    <n v="4754"/>
    <n v="0"/>
    <n v="0"/>
  </r>
  <r>
    <s v="Preston Library"/>
    <s v="10_03_041_62100_5521"/>
    <x v="56"/>
    <s v="Preston Library"/>
    <n v="401"/>
    <s v="AF SP4310N"/>
    <s v="PTR"/>
    <n v="17099641"/>
    <n v="146"/>
    <n v="0"/>
    <n v="3.8252000000000002"/>
    <n v="0"/>
    <n v="3.8252000000000002"/>
    <s v="T1129011155"/>
    <s v="144.75.196.9"/>
    <n v="2.6200000000000001E-2"/>
    <n v="0.11799999999999999"/>
    <n v="431"/>
    <n v="577"/>
    <n v="0"/>
    <n v="0"/>
  </r>
  <r>
    <s v="Preston Library"/>
    <s v="10_03_041_62100_5521"/>
    <x v="56"/>
    <s v="Preston Library"/>
    <n v="500"/>
    <s v="AF SP4310N"/>
    <s v="PTR"/>
    <n v="17099525"/>
    <n v="5073"/>
    <n v="0"/>
    <n v="132.9126"/>
    <n v="0"/>
    <n v="132.9126"/>
    <s v="T2238911520"/>
    <s v="144.75.185.13"/>
    <n v="2.6200000000000001E-2"/>
    <n v="0.11799999999999999"/>
    <n v="5"/>
    <n v="5078"/>
    <n v="0"/>
    <n v="0"/>
  </r>
  <r>
    <s v="Preston Library"/>
    <s v="10_03_041_62100_5521"/>
    <x v="56"/>
    <s v="Preston Library"/>
    <n v="501"/>
    <s v="AF SP4310N"/>
    <s v="PTR"/>
    <n v="17099523"/>
    <n v="9286"/>
    <n v="0"/>
    <n v="243.29320000000001"/>
    <n v="0"/>
    <n v="243.29320000000001"/>
    <s v="T1128712304"/>
    <s v="144.75.196.71"/>
    <n v="2.6200000000000001E-2"/>
    <n v="0.11799999999999999"/>
    <n v="38649"/>
    <n v="47935"/>
    <n v="0"/>
    <n v="0"/>
  </r>
  <r>
    <s v="Preston Library"/>
    <s v="10_03_041_62100_5521"/>
    <x v="56"/>
    <s v="Preston Library"/>
    <n v="501"/>
    <s v="AF SP4310N"/>
    <s v="PTR"/>
    <n v="17099634"/>
    <n v="997"/>
    <n v="0"/>
    <n v="26.121400000000001"/>
    <n v="0"/>
    <n v="26.121400000000001"/>
    <s v="T1129011038"/>
    <s v="144.75.196.8"/>
    <n v="2.6200000000000001E-2"/>
    <n v="0.11799999999999999"/>
    <n v="568"/>
    <n v="1565"/>
    <n v="0"/>
    <n v="0"/>
  </r>
  <r>
    <s v="Preston Library"/>
    <s v="10_03_041_62100_5521"/>
    <x v="56"/>
    <s v="Preston Library"/>
    <n v="502"/>
    <s v="AF SP4310N"/>
    <s v="PTR"/>
    <n v="17099524"/>
    <n v="1707"/>
    <n v="0"/>
    <n v="44.723400000000005"/>
    <n v="0"/>
    <n v="44.723400000000005"/>
    <s v="T1128911511"/>
    <s v="144.75.185.11"/>
    <n v="2.6200000000000001E-2"/>
    <n v="0.11799999999999999"/>
    <n v="6813"/>
    <n v="8520"/>
    <n v="0"/>
    <n v="0"/>
  </r>
  <r>
    <s v="Preston Library"/>
    <s v="10_03_041_62100_5521"/>
    <x v="56"/>
    <s v="Preston Library"/>
    <n v="650"/>
    <s v="AF SP4310N"/>
    <s v="PTR"/>
    <n v="17099445"/>
    <n v="1419"/>
    <n v="0"/>
    <n v="37.177800000000005"/>
    <n v="0"/>
    <n v="37.177800000000005"/>
    <s v="T1128811936"/>
    <s v="144.75.185.100"/>
    <n v="2.6200000000000001E-2"/>
    <n v="0.11799999999999999"/>
    <n v="5078"/>
    <n v="6497"/>
    <n v="0"/>
    <n v="0"/>
  </r>
  <r>
    <s v="Preston Library"/>
    <s v="10_03_041_62100_5521"/>
    <x v="56"/>
    <s v="Preston Library"/>
    <s v="300A"/>
    <s v="AF SP4310N"/>
    <s v="PTR"/>
    <n v="17099503"/>
    <n v="3106"/>
    <n v="0"/>
    <n v="81.377200000000002"/>
    <n v="0"/>
    <n v="81.377200000000002"/>
    <s v="T1128710718"/>
    <s v="144.75.197.15"/>
    <n v="2.6200000000000001E-2"/>
    <n v="0.11799999999999999"/>
    <n v="9337"/>
    <n v="12443"/>
    <n v="0"/>
    <n v="0"/>
  </r>
  <r>
    <s v="Preston Library"/>
    <s v="10_03_041_62100_5521"/>
    <x v="56"/>
    <s v="Preston Library"/>
    <s v="400B"/>
    <s v="AF MPC2051"/>
    <s v="MFP"/>
    <n v="17099487"/>
    <n v="415"/>
    <n v="0"/>
    <n v="8.5905000000000005"/>
    <n v="0"/>
    <n v="8.5905000000000005"/>
    <s v="V9725401436"/>
    <s v="144.75.196.28"/>
    <n v="2.07E-2"/>
    <n v="8.6999999999999994E-2"/>
    <n v="1090"/>
    <n v="1505"/>
    <n v="45"/>
    <n v="45"/>
  </r>
  <r>
    <s v="Preston Library"/>
    <s v="10_03_041_62100_5521"/>
    <x v="56"/>
    <s v="Preston Library"/>
    <s v="Circ Desk"/>
    <s v="AF MPC2051"/>
    <s v="MFP"/>
    <n v="17099432"/>
    <n v="3808"/>
    <n v="1511"/>
    <n v="78.825599999999994"/>
    <n v="131.45699999999999"/>
    <n v="210.2826"/>
    <s v="V9725500671"/>
    <s v="144.75.185.38"/>
    <n v="2.07E-2"/>
    <n v="8.6999999999999994E-2"/>
    <n v="17684"/>
    <n v="21492"/>
    <n v="3760"/>
    <n v="5271"/>
  </r>
  <r>
    <s v="Preston Library"/>
    <s v="10_03_064_50550_5521"/>
    <x v="2"/>
    <s v="Preston Library"/>
    <n v="503"/>
    <s v="AF SP4310N"/>
    <s v="PTR"/>
    <n v="17099631"/>
    <n v="12562"/>
    <n v="0"/>
    <n v="329.12440000000004"/>
    <n v="0"/>
    <n v="329.12440000000004"/>
    <s v="T1129011161"/>
    <s v="144.75.185.49"/>
    <n v="2.6200000000000001E-2"/>
    <n v="0.11799999999999999"/>
    <n v="39469"/>
    <n v="52031"/>
    <n v="0"/>
    <n v="0"/>
  </r>
  <r>
    <s v="Preston Library"/>
    <s v="10_03_064_50550_5521"/>
    <x v="2"/>
    <s v="Preston Library"/>
    <n v="601"/>
    <s v="AF SP4310N"/>
    <s v="PTR"/>
    <n v="17099706"/>
    <n v="3553"/>
    <n v="0"/>
    <n v="93.0886"/>
    <n v="0"/>
    <n v="93.0886"/>
    <s v="T1129010306"/>
    <s v="144.74.185.15"/>
    <n v="2.6200000000000001E-2"/>
    <n v="0.11799999999999999"/>
    <n v="11883"/>
    <n v="15436"/>
    <n v="0"/>
    <n v="0"/>
  </r>
  <r>
    <s v="Protocol Office"/>
    <s v="10_03_011_86100_5521"/>
    <x v="32"/>
    <s v="303A Letcher Avenue"/>
    <n v="301"/>
    <s v="AF SP4310N"/>
    <s v="PTR"/>
    <n v="17099571"/>
    <n v="66"/>
    <n v="0"/>
    <n v="1.7292000000000001"/>
    <n v="0"/>
    <n v="1.7292000000000001"/>
    <s v="T1128911364"/>
    <s v="144.75.178.24"/>
    <n v="2.6200000000000001E-2"/>
    <n v="0.11799999999999999"/>
    <n v="471"/>
    <n v="537"/>
    <n v="0"/>
    <n v="0"/>
  </r>
  <r>
    <s v="Protocol Office"/>
    <s v="10_03_065_84100_5521"/>
    <x v="57"/>
    <s v="303A Letcher Avenue"/>
    <n v="300"/>
    <s v="AF MPC2051"/>
    <s v="MFP"/>
    <n v="17099528"/>
    <n v="4513"/>
    <n v="7"/>
    <n v="93.4191"/>
    <n v="0.60899999999999999"/>
    <n v="94.028099999999995"/>
    <s v="V9725401454"/>
    <s v="144.75.178.18"/>
    <n v="2.07E-2"/>
    <n v="8.6999999999999994E-2"/>
    <n v="25190"/>
    <n v="29703"/>
    <n v="212"/>
    <n v="219"/>
  </r>
  <r>
    <s v="Protocol Office"/>
    <s v="10_03_065_84100_5521"/>
    <x v="57"/>
    <s v="303A Letcher Avenue"/>
    <n v="300"/>
    <s v="AF SPC430DN"/>
    <s v="PTR"/>
    <n v="17099718"/>
    <n v="152"/>
    <n v="24"/>
    <n v="3.9824000000000002"/>
    <n v="2.8319999999999999"/>
    <n v="6.8144"/>
    <s v="S9329101012"/>
    <s v="144.75.178.13"/>
    <n v="2.6200000000000001E-2"/>
    <n v="0.11799999999999999"/>
    <n v="121"/>
    <n v="273"/>
    <n v="63"/>
    <n v="87"/>
  </r>
  <r>
    <s v="Psychology &amp; Philosophy"/>
    <s v="10_03_011_86100_5521"/>
    <x v="32"/>
    <s v="Carroll Hall"/>
    <n v="403"/>
    <s v="AF MPC4502"/>
    <s v="MFP"/>
    <n v="17099452"/>
    <n v="15525"/>
    <n v="365"/>
    <n v="321.36750000000001"/>
    <n v="31.754999999999999"/>
    <n v="353.1225"/>
    <s v="W512L601987"/>
    <s v="144.75.195.105"/>
    <n v="2.07E-2"/>
    <n v="8.6999999999999994E-2"/>
    <n v="57549"/>
    <n v="73074"/>
    <n v="2216"/>
    <n v="2581"/>
  </r>
  <r>
    <s v="Psychology &amp; Philosophy"/>
    <s v="10_03_011_86100_5521"/>
    <x v="32"/>
    <s v="Carroll Hall"/>
    <n v="406"/>
    <s v="AF SPC242DN"/>
    <s v="PTR"/>
    <n v="17099758"/>
    <n v="166"/>
    <n v="132"/>
    <n v="4.3491999999999997"/>
    <n v="15.575999999999999"/>
    <n v="19.925199999999997"/>
    <s v="T202P700273"/>
    <s v="144.75.195.106"/>
    <n v="2.6200000000000001E-2"/>
    <n v="0.11799999999999999"/>
    <n v="553"/>
    <n v="719"/>
    <n v="232"/>
    <n v="364"/>
  </r>
  <r>
    <s v="Psychology &amp; Philosophy"/>
    <s v="10_03_011_86100_5521"/>
    <x v="32"/>
    <s v="Carroll Hall"/>
    <n v="411"/>
    <s v="AF SP4310N"/>
    <s v="PTR"/>
    <n v="17099757"/>
    <n v="192"/>
    <n v="0"/>
    <n v="5.0304000000000002"/>
    <n v="0"/>
    <n v="5.0304000000000002"/>
    <s v="T1128911358"/>
    <s v="144.75.195.9"/>
    <n v="2.6200000000000001E-2"/>
    <n v="0.11799999999999999"/>
    <n v="2235"/>
    <n v="2427"/>
    <n v="0"/>
    <n v="0"/>
  </r>
  <r>
    <s v="Psychology &amp; Philosophy"/>
    <s v="10_03_011_86100_5521"/>
    <x v="32"/>
    <s v="Carroll Hall"/>
    <n v="414"/>
    <s v="AF SP4310N"/>
    <s v="PTR"/>
    <n v="17099585"/>
    <n v="1074"/>
    <n v="0"/>
    <n v="28.1388"/>
    <n v="0"/>
    <n v="28.1388"/>
    <s v="T1128911367"/>
    <s v="144.75.195.32"/>
    <n v="2.6200000000000001E-2"/>
    <n v="0.11799999999999999"/>
    <n v="3016"/>
    <n v="4090"/>
    <n v="0"/>
    <n v="0"/>
  </r>
  <r>
    <s v="Purchasing"/>
    <s v="10_03_064_32105_5521"/>
    <x v="58"/>
    <s v="Smith Hall"/>
    <n v="314"/>
    <s v="AF MP4002"/>
    <s v="MFP"/>
    <n v="17099500"/>
    <n v="2245"/>
    <n v="0"/>
    <n v="46.471499999999999"/>
    <n v="0"/>
    <n v="46.471499999999999"/>
    <s v="W522L700681"/>
    <s v="144.75.179.66"/>
    <n v="2.07E-2"/>
    <n v="8.6999999999999994E-2"/>
    <n v="7440"/>
    <n v="9685"/>
    <n v="0"/>
    <n v="0"/>
  </r>
  <r>
    <s v="Registrar Office"/>
    <s v="10_03_054_90100_5521"/>
    <x v="59"/>
    <s v="Shell Hall"/>
    <n v="302"/>
    <s v="AF SP4310N"/>
    <s v="PTR"/>
    <n v="17099753"/>
    <n v="23"/>
    <n v="0"/>
    <n v="0.60260000000000002"/>
    <n v="0"/>
    <n v="0.60260000000000002"/>
    <s v="T1129010912"/>
    <s v="144.75.180.47"/>
    <n v="2.6200000000000001E-2"/>
    <n v="0.11799999999999999"/>
    <n v="112"/>
    <n v="135"/>
    <n v="0"/>
    <n v="0"/>
  </r>
  <r>
    <s v="Registrar Office"/>
    <s v="10_03_054_90100_5521"/>
    <x v="59"/>
    <s v="Shell Hall"/>
    <n v="303"/>
    <s v="AF SP4310N"/>
    <s v="PTR"/>
    <n v="17099685"/>
    <n v="1127"/>
    <n v="0"/>
    <n v="29.5274"/>
    <n v="0"/>
    <n v="29.5274"/>
    <s v="T1129012238"/>
    <s v="144.75.180.38"/>
    <n v="2.6200000000000001E-2"/>
    <n v="0.11799999999999999"/>
    <n v="4488"/>
    <n v="5615"/>
    <n v="0"/>
    <n v="0"/>
  </r>
  <r>
    <s v="Registrar Office"/>
    <s v="10_03_054_90100_5521"/>
    <x v="59"/>
    <s v="Shell Hall"/>
    <n v="303"/>
    <s v="AF SP4310N"/>
    <s v="PTR"/>
    <n v="17099700"/>
    <n v="1528"/>
    <n v="0"/>
    <n v="40.0336"/>
    <n v="0"/>
    <n v="40.0336"/>
    <s v="T1129012240"/>
    <s v="144.75.180.42"/>
    <n v="2.6200000000000001E-2"/>
    <n v="0.11799999999999999"/>
    <n v="9113"/>
    <n v="10641"/>
    <n v="0"/>
    <n v="0"/>
  </r>
  <r>
    <s v="Registrar Office"/>
    <s v="10_03_054_90100_5521"/>
    <x v="59"/>
    <s v="Shell Hall"/>
    <n v="311"/>
    <s v="AF SP4310N"/>
    <s v="PTR"/>
    <n v="17099656"/>
    <n v="1034"/>
    <n v="0"/>
    <n v="27.090800000000002"/>
    <n v="0"/>
    <n v="27.090800000000002"/>
    <s v="T1129012229"/>
    <s v="144.75.180.58"/>
    <n v="2.6200000000000001E-2"/>
    <n v="0.11799999999999999"/>
    <n v="4015"/>
    <n v="5049"/>
    <n v="0"/>
    <n v="0"/>
  </r>
  <r>
    <s v="Registrar Office"/>
    <s v="10_03_054_90100_5521"/>
    <x v="59"/>
    <s v="Shell Hall"/>
    <n v="312"/>
    <s v="AF SPC242DN"/>
    <s v="PTR"/>
    <n v="17099646"/>
    <n v="842"/>
    <n v="12"/>
    <n v="22.060400000000001"/>
    <n v="1.4159999999999999"/>
    <n v="23.476400000000002"/>
    <s v="T202P700458"/>
    <s v="144.75.180.41"/>
    <n v="2.6200000000000001E-2"/>
    <n v="0.11799999999999999"/>
    <n v="3149"/>
    <n v="3991"/>
    <n v="426"/>
    <n v="438"/>
  </r>
  <r>
    <s v="Scott Shipp Fair Use"/>
    <s v="10_03_064_32145_5521"/>
    <x v="19"/>
    <s v="Scott Shipp Hall"/>
    <n v="512"/>
    <s v="AF MP6001"/>
    <s v="MFP"/>
    <n v="17099480"/>
    <n v="9448"/>
    <n v="0"/>
    <n v="195.5736"/>
    <n v="0"/>
    <n v="195.5736"/>
    <s v="V6925300966"/>
    <s v="144.75.212.17"/>
    <n v="2.07E-2"/>
    <n v="8.6999999999999994E-2"/>
    <n v="18459"/>
    <n v="27907"/>
    <n v="0"/>
    <n v="0"/>
  </r>
  <r>
    <s v="Smith Hall"/>
    <s v="10_03_064_32145_5521"/>
    <x v="19"/>
    <s v="Smith Hall"/>
    <n v="208"/>
    <s v="AF MPC6501"/>
    <s v="MFP"/>
    <n v="17099421"/>
    <n v="11969"/>
    <n v="13860"/>
    <n v="247.75829999999999"/>
    <n v="1205.82"/>
    <n v="1453.5782999999999"/>
    <s v="V7620500472"/>
    <s v="144.75.179.103"/>
    <n v="2.07E-2"/>
    <n v="8.6999999999999994E-2"/>
    <n v="34001"/>
    <n v="45970"/>
    <n v="51382"/>
    <n v="65242"/>
  </r>
  <r>
    <s v="Sport Medicine"/>
    <s v="30_00_310_06110_5521"/>
    <x v="10"/>
    <s v="Cameron Hall"/>
    <n v="215"/>
    <s v="AF SP4310N"/>
    <s v="PTR"/>
    <n v="17099566"/>
    <n v="280"/>
    <n v="0"/>
    <n v="7.3360000000000003"/>
    <n v="0"/>
    <n v="7.3360000000000003"/>
    <s v="T1129010423"/>
    <s v="144.75.183.71"/>
    <n v="2.6200000000000001E-2"/>
    <n v="0.11799999999999999"/>
    <n v="760"/>
    <n v="1040"/>
    <n v="0"/>
    <n v="0"/>
  </r>
  <r>
    <s v="Stock Room"/>
    <m/>
    <x v="60"/>
    <s v="Nichols Hall"/>
    <n v="342"/>
    <s v="AF SPC242DN"/>
    <s v="PTR"/>
    <n v="17099522"/>
    <n v="0"/>
    <n v="0"/>
    <n v="0"/>
    <n v="0"/>
    <n v="0"/>
    <s v="T202P700447"/>
    <s v="144.75.186.28"/>
    <n v="2.6200000000000001E-2"/>
    <n v="0.11799999999999999"/>
    <n v="0"/>
    <n v="0"/>
    <n v="0"/>
    <n v="0"/>
  </r>
  <r>
    <s v="Superintendents Office"/>
    <s v="10_03_061_94100_5521"/>
    <x v="61"/>
    <s v="Smith Hall"/>
    <n v="201"/>
    <s v="AF MPC3502"/>
    <s v="MFP"/>
    <n v="17099498"/>
    <n v="1970"/>
    <n v="2836"/>
    <n v="40.778999999999996"/>
    <n v="246.73199999999997"/>
    <n v="287.51099999999997"/>
    <s v="W502L600891"/>
    <s v="144.75.179.53"/>
    <n v="2.07E-2"/>
    <n v="8.6999999999999994E-2"/>
    <n v="9087"/>
    <n v="11057"/>
    <n v="6278"/>
    <n v="9114"/>
  </r>
  <r>
    <s v="Superintendent's Office"/>
    <s v="10_03_061_94100_5521"/>
    <x v="61"/>
    <s v="Smith Hall"/>
    <n v="201"/>
    <s v="AF SP4310N"/>
    <s v="PTR"/>
    <n v="17099688"/>
    <n v="685"/>
    <n v="0"/>
    <n v="17.946999999999999"/>
    <n v="0"/>
    <n v="17.946999999999999"/>
    <s v="T1128911097"/>
    <s v="144.75.179.107"/>
    <n v="2.6200000000000001E-2"/>
    <n v="0.11799999999999999"/>
    <n v="2007"/>
    <n v="2692"/>
    <n v="0"/>
    <n v="0"/>
  </r>
  <r>
    <s v="Superintendent's Office"/>
    <s v="10_03_061_94100_5521"/>
    <x v="61"/>
    <s v="Smith Hall"/>
    <n v="201"/>
    <s v="AF SP4310N"/>
    <s v="PTR"/>
    <n v="17099698"/>
    <n v="474"/>
    <n v="0"/>
    <n v="12.418800000000001"/>
    <n v="0"/>
    <n v="12.418800000000001"/>
    <s v="T1128911225"/>
    <s v="144.75.179.109"/>
    <n v="2.6200000000000001E-2"/>
    <n v="0.11799999999999999"/>
    <n v="621"/>
    <n v="1095"/>
    <n v="0"/>
    <n v="0"/>
  </r>
  <r>
    <s v="Superintendent's Office"/>
    <s v="10_03_061_94100_5521"/>
    <x v="61"/>
    <s v="Smith Hall"/>
    <n v="201"/>
    <s v="AF SP4310N"/>
    <s v="PTR"/>
    <n v="17099712"/>
    <n v="1151"/>
    <n v="0"/>
    <n v="30.156200000000002"/>
    <n v="0"/>
    <n v="30.156200000000002"/>
    <s v="T1128911224"/>
    <s v="144.75.179.108"/>
    <n v="2.6200000000000001E-2"/>
    <n v="0.11799999999999999"/>
    <n v="5071"/>
    <n v="6222"/>
    <n v="0"/>
    <n v="0"/>
  </r>
  <r>
    <s v="Superintendent's Office"/>
    <s v="10_03_061_94100_5521"/>
    <x v="61"/>
    <s v="Smith Hall"/>
    <n v="201"/>
    <s v="AF SP4310N"/>
    <s v="PTR"/>
    <n v="17099784"/>
    <n v="365"/>
    <n v="0"/>
    <n v="9.5630000000000006"/>
    <n v="0"/>
    <n v="9.5630000000000006"/>
    <s v="T1128811618"/>
    <s v="144.75.179.77"/>
    <n v="2.6200000000000001E-2"/>
    <n v="0.11799999999999999"/>
    <n v="898"/>
    <n v="1263"/>
    <n v="0"/>
    <n v="0"/>
  </r>
  <r>
    <s v="Tailor Shop"/>
    <s v="10_08_302_82230_5521"/>
    <x v="62"/>
    <s v="Richardson Hall"/>
    <s v="Tailor Shop"/>
    <s v="AF SP4310N"/>
    <s v="PTR"/>
    <n v="17099610"/>
    <n v="1011"/>
    <n v="0"/>
    <n v="26.488200000000003"/>
    <n v="0"/>
    <n v="26.488200000000003"/>
    <s v="T1129012234"/>
    <s v="144.75.180.89"/>
    <n v="2.6200000000000001E-2"/>
    <n v="0.11799999999999999"/>
    <n v="1716"/>
    <n v="2727"/>
    <n v="0"/>
    <n v="0"/>
  </r>
  <r>
    <s v="Treasurer's Office"/>
    <s v="10_03_062_98100_5521"/>
    <x v="16"/>
    <s v="Smith Hall"/>
    <n v="305"/>
    <s v="AF SP4310N"/>
    <s v="PTR"/>
    <n v="17099710"/>
    <n v="754"/>
    <n v="0"/>
    <n v="19.754799999999999"/>
    <n v="0"/>
    <n v="19.754799999999999"/>
    <s v="T1129012239"/>
    <s v="144.75.179.114"/>
    <n v="2.6200000000000001E-2"/>
    <n v="0.11799999999999999"/>
    <n v="2512"/>
    <n v="3266"/>
    <n v="0"/>
    <n v="0"/>
  </r>
  <r>
    <s v="Treasurer's Office"/>
    <s v="10_03_062_16100_5521"/>
    <x v="14"/>
    <s v="Smith Hall"/>
    <n v="301"/>
    <s v="AF SP4310N"/>
    <s v="PTR"/>
    <n v="17099696"/>
    <n v="576"/>
    <n v="0"/>
    <n v="15.091200000000001"/>
    <n v="0"/>
    <n v="15.091200000000001"/>
    <s v="T1129012215"/>
    <s v="144.75.179.113"/>
    <n v="2.6200000000000001E-2"/>
    <n v="0.11799999999999999"/>
    <n v="1464"/>
    <n v="2040"/>
    <n v="0"/>
    <n v="0"/>
  </r>
  <r>
    <s v="VMI Center for Undergraduate Research"/>
    <s v="10_03_011_34175_5521"/>
    <x v="63"/>
    <s v="Preston Library"/>
    <s v="300D"/>
    <s v="AF MPC3502"/>
    <s v="MFP"/>
    <n v="17099489"/>
    <n v="1600"/>
    <n v="5"/>
    <n v="33.119999999999997"/>
    <n v="0.43499999999999994"/>
    <n v="33.555"/>
    <s v="W502L700081"/>
    <s v="144.75.197.69"/>
    <n v="2.07E-2"/>
    <n v="8.6999999999999994E-2"/>
    <n v="3605"/>
    <n v="5205"/>
    <n v="104"/>
    <n v="109"/>
  </r>
  <r>
    <s v="Writing Center"/>
    <s v="10_03_045_99200_5521"/>
    <x v="64"/>
    <s v="Carroll Hall"/>
    <n v="215"/>
    <s v="AF SP4310N"/>
    <s v="PTR"/>
    <n v="17099563"/>
    <n v="1873"/>
    <n v="0"/>
    <n v="49.072600000000001"/>
    <n v="0"/>
    <n v="49.072600000000001"/>
    <s v="T1128910778"/>
    <s v="144.75.195.34"/>
    <n v="2.6200000000000001E-2"/>
    <n v="0.11799999999999999"/>
    <n v="4306"/>
    <n v="6179"/>
    <n v="0"/>
    <n v="0"/>
  </r>
  <r>
    <s v="Writing Center"/>
    <s v="10_03_045_99200_5521"/>
    <x v="64"/>
    <s v="Carroll Hall"/>
    <n v="217"/>
    <s v="AF MPC3502"/>
    <s v="MFP"/>
    <n v="17099756"/>
    <n v="11520"/>
    <n v="592"/>
    <n v="238.464"/>
    <n v="51.503999999999998"/>
    <n v="289.96800000000002"/>
    <s v="W502L700053"/>
    <s v="144.75.195.87"/>
    <n v="2.07E-2"/>
    <n v="8.6999999999999994E-2"/>
    <n v="2551"/>
    <n v="14071"/>
    <n v="328"/>
    <n v="920"/>
  </r>
  <r>
    <s v="Writing Center"/>
    <s v="10_03_045_99200_5521"/>
    <x v="64"/>
    <s v="Carroll Hall"/>
    <n v="219"/>
    <s v="AF SP4310N"/>
    <s v="PTR"/>
    <n v="17099576"/>
    <n v="0"/>
    <n v="0"/>
    <n v="0"/>
    <n v="0"/>
    <n v="0"/>
    <s v="T1128910779"/>
    <s v="144.75.195.99"/>
    <n v="2.6200000000000001E-2"/>
    <n v="0.11799999999999999"/>
    <n v="23"/>
    <n v="23"/>
    <n v="0"/>
    <n v="0"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  <r>
    <m/>
    <m/>
    <x v="65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0" firstHeaderRow="1" firstDataRow="1" firstDataCol="1"/>
  <pivotFields count="21">
    <pivotField showAll="0"/>
    <pivotField showAll="0"/>
    <pivotField axis="axisRow" showAll="0">
      <items count="67">
        <item x="0"/>
        <item x="10"/>
        <item x="1"/>
        <item x="5"/>
        <item x="11"/>
        <item x="42"/>
        <item x="48"/>
        <item x="37"/>
        <item x="62"/>
        <item x="14"/>
        <item x="55"/>
        <item x="18"/>
        <item x="13"/>
        <item x="20"/>
        <item x="22"/>
        <item x="23"/>
        <item x="25"/>
        <item x="26"/>
        <item x="28"/>
        <item x="19"/>
        <item x="27"/>
        <item x="29"/>
        <item x="30"/>
        <item x="31"/>
        <item x="33"/>
        <item x="34"/>
        <item x="35"/>
        <item x="15"/>
        <item x="64"/>
        <item x="39"/>
        <item x="40"/>
        <item x="41"/>
        <item x="38"/>
        <item x="43"/>
        <item x="56"/>
        <item x="45"/>
        <item x="47"/>
        <item x="46"/>
        <item x="49"/>
        <item x="50"/>
        <item x="52"/>
        <item x="36"/>
        <item x="32"/>
        <item x="53"/>
        <item x="54"/>
        <item x="44"/>
        <item x="2"/>
        <item x="57"/>
        <item x="58"/>
        <item x="59"/>
        <item x="3"/>
        <item x="4"/>
        <item x="51"/>
        <item x="8"/>
        <item x="9"/>
        <item x="6"/>
        <item x="17"/>
        <item x="61"/>
        <item x="7"/>
        <item x="16"/>
        <item x="12"/>
        <item x="24"/>
        <item x="21"/>
        <item x="63"/>
        <item x="60"/>
        <item x="6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Sum of Device Total Click Charge" fld="12" baseField="2" baseItem="65" numFmtId="164"/>
  </dataFields>
  <formats count="3"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44.75.179.11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37"/>
  <sheetViews>
    <sheetView tabSelected="1" zoomScale="75" zoomScaleNormal="75" zoomScaleSheetLayoutView="100" workbookViewId="0">
      <pane ySplit="1" topLeftCell="A2" activePane="bottomLeft" state="frozen"/>
      <selection pane="bottomLeft" activeCell="A2" sqref="A2"/>
    </sheetView>
  </sheetViews>
  <sheetFormatPr defaultColWidth="9.109375" defaultRowHeight="15.6" outlineLevelRow="2" outlineLevelCol="1" x14ac:dyDescent="0.3"/>
  <cols>
    <col min="1" max="1" width="23" style="72" customWidth="1"/>
    <col min="2" max="2" width="32" style="73" bestFit="1" customWidth="1"/>
    <col min="3" max="3" width="24.109375" style="72" customWidth="1"/>
    <col min="4" max="4" width="21.88671875" style="72" customWidth="1"/>
    <col min="5" max="5" width="13.109375" style="72" bestFit="1" customWidth="1"/>
    <col min="6" max="6" width="17.44140625" style="72" customWidth="1"/>
    <col min="7" max="7" width="7.5546875" style="72" customWidth="1"/>
    <col min="8" max="8" width="13.5546875" style="82" customWidth="1"/>
    <col min="9" max="9" width="13.33203125" style="82" customWidth="1"/>
    <col min="10" max="10" width="11.109375" style="82" customWidth="1"/>
    <col min="11" max="11" width="13.88671875" style="82" bestFit="1" customWidth="1"/>
    <col min="12" max="12" width="12.5546875" style="82" bestFit="1" customWidth="1"/>
    <col min="13" max="13" width="15.6640625" style="86" bestFit="1" customWidth="1"/>
    <col min="14" max="14" width="19.109375" style="72" hidden="1" customWidth="1" outlineLevel="1"/>
    <col min="15" max="15" width="20.5546875" style="72" hidden="1" customWidth="1" outlineLevel="1"/>
    <col min="16" max="16" width="11.88671875" style="72" hidden="1" customWidth="1" outlineLevel="1"/>
    <col min="17" max="17" width="10.44140625" style="72" hidden="1" customWidth="1" outlineLevel="1"/>
    <col min="18" max="18" width="14.33203125" style="79" hidden="1" customWidth="1" outlineLevel="1"/>
    <col min="19" max="19" width="11" style="72" hidden="1" customWidth="1" outlineLevel="1"/>
    <col min="20" max="21" width="9.88671875" style="72" hidden="1" customWidth="1" outlineLevel="1"/>
    <col min="22" max="22" width="9.109375" style="72" collapsed="1"/>
    <col min="23" max="16384" width="9.109375" style="72"/>
  </cols>
  <sheetData>
    <row r="1" spans="1:21" s="70" customFormat="1" ht="97.8" x14ac:dyDescent="0.3">
      <c r="A1" s="128" t="s">
        <v>952</v>
      </c>
      <c r="B1" s="128" t="s">
        <v>674</v>
      </c>
      <c r="C1" s="128" t="s">
        <v>0</v>
      </c>
      <c r="D1" s="128" t="s">
        <v>1</v>
      </c>
      <c r="E1" s="128" t="s">
        <v>2</v>
      </c>
      <c r="F1" s="128" t="s">
        <v>3</v>
      </c>
      <c r="G1" s="128" t="s">
        <v>6</v>
      </c>
      <c r="H1" s="128" t="s">
        <v>675</v>
      </c>
      <c r="I1" s="128" t="s">
        <v>676</v>
      </c>
      <c r="J1" s="128" t="s">
        <v>677</v>
      </c>
      <c r="K1" s="128" t="s">
        <v>678</v>
      </c>
      <c r="L1" s="128" t="s">
        <v>9</v>
      </c>
      <c r="M1" s="128" t="s">
        <v>10</v>
      </c>
      <c r="N1" s="128" t="s">
        <v>4</v>
      </c>
      <c r="O1" s="128" t="s">
        <v>5</v>
      </c>
      <c r="P1" s="128" t="s">
        <v>679</v>
      </c>
      <c r="Q1" s="128" t="s">
        <v>680</v>
      </c>
      <c r="R1" s="128" t="s">
        <v>681</v>
      </c>
      <c r="S1" s="128" t="s">
        <v>682</v>
      </c>
      <c r="T1" s="128" t="s">
        <v>7</v>
      </c>
      <c r="U1" s="128" t="s">
        <v>8</v>
      </c>
    </row>
    <row r="2" spans="1:21" outlineLevel="2" x14ac:dyDescent="0.3">
      <c r="A2" s="91" t="s">
        <v>550</v>
      </c>
      <c r="B2" s="91" t="s">
        <v>345</v>
      </c>
      <c r="C2" s="91" t="str">
        <f>VLOOKUP(B2,Tables!G$2:H$79,2,FALSE)</f>
        <v>Academic Advising</v>
      </c>
      <c r="D2" s="90" t="s">
        <v>338</v>
      </c>
      <c r="E2" s="89">
        <v>301</v>
      </c>
      <c r="F2" s="90" t="s">
        <v>92</v>
      </c>
      <c r="G2" s="55" t="str">
        <f>VLOOKUP(F2,Tables!D$2:E$12,2,FALSE)</f>
        <v>PTR</v>
      </c>
      <c r="H2" s="83">
        <v>17099684</v>
      </c>
      <c r="I2" s="85">
        <f>SUM(S2-R2)</f>
        <v>249</v>
      </c>
      <c r="J2" s="85">
        <f>SUM(U2-T2)</f>
        <v>214</v>
      </c>
      <c r="K2" s="87">
        <f>SUM(I2*$P2)</f>
        <v>6.5238000000000005</v>
      </c>
      <c r="L2" s="87">
        <f>SUM(J2*$Q2)</f>
        <v>25.251999999999999</v>
      </c>
      <c r="M2" s="88">
        <f>K2+L2</f>
        <v>31.7758</v>
      </c>
      <c r="N2" s="90" t="s">
        <v>346</v>
      </c>
      <c r="O2" s="90" t="s">
        <v>347</v>
      </c>
      <c r="P2" s="56">
        <f>IF(G2="MFP",Tables!B$2,Tables!B$5)</f>
        <v>2.6200000000000001E-2</v>
      </c>
      <c r="Q2" s="124">
        <f>IF(G2="MFP",Tables!B$3,Tables!B$6)</f>
        <v>0.11799999999999999</v>
      </c>
      <c r="R2" s="113">
        <f>VLOOKUP($N2,'Meter Read info'!$C$2:$G$249,2,"FALSE")</f>
        <v>1922</v>
      </c>
      <c r="S2" s="113">
        <f>VLOOKUP($N2,'Meter Read info'!$C$2:$G$249,3,"FALSE")</f>
        <v>2171</v>
      </c>
      <c r="T2" s="113">
        <f>VLOOKUP($N2,'Meter Read info'!$C$2:$G$249,4,"FALSE")</f>
        <v>326</v>
      </c>
      <c r="U2" s="113">
        <f>VLOOKUP($N2,'Meter Read info'!$C$2:$G$249,5,"FALSE")</f>
        <v>540</v>
      </c>
    </row>
    <row r="3" spans="1:21" ht="31.2" outlineLevel="1" x14ac:dyDescent="0.3">
      <c r="A3" s="91"/>
      <c r="B3" s="107" t="s">
        <v>888</v>
      </c>
      <c r="C3" s="91"/>
      <c r="D3" s="90"/>
      <c r="E3" s="89"/>
      <c r="F3" s="90"/>
      <c r="G3" s="55"/>
      <c r="H3" s="83"/>
      <c r="I3" s="85"/>
      <c r="J3" s="85"/>
      <c r="K3" s="87"/>
      <c r="L3" s="87"/>
      <c r="M3" s="88">
        <f>SUBTOTAL(9,M2:M2)</f>
        <v>31.7758</v>
      </c>
      <c r="N3" s="90"/>
      <c r="O3" s="90"/>
      <c r="P3" s="56"/>
      <c r="Q3" s="124"/>
      <c r="R3" s="113"/>
      <c r="S3" s="113"/>
      <c r="T3" s="113"/>
      <c r="U3" s="113"/>
    </row>
    <row r="4" spans="1:21" outlineLevel="2" x14ac:dyDescent="0.3">
      <c r="A4" s="91" t="s">
        <v>307</v>
      </c>
      <c r="B4" s="91" t="s">
        <v>308</v>
      </c>
      <c r="C4" s="91" t="str">
        <f>VLOOKUP(B4,Tables!G$2:H$79,2,FALSE)</f>
        <v>Admissions Office</v>
      </c>
      <c r="D4" s="90" t="s">
        <v>309</v>
      </c>
      <c r="E4" s="89">
        <v>204</v>
      </c>
      <c r="F4" s="90" t="s">
        <v>24</v>
      </c>
      <c r="G4" s="55" t="str">
        <f>VLOOKUP(F4,Tables!D$2:E$12,2,FALSE)</f>
        <v>MFP</v>
      </c>
      <c r="H4" s="83">
        <v>17099493</v>
      </c>
      <c r="I4" s="85">
        <f t="shared" ref="I4:I10" si="0">SUM(S4-R4)</f>
        <v>5882</v>
      </c>
      <c r="J4" s="85">
        <f t="shared" ref="J4:J10" si="1">SUM(U4-T4)</f>
        <v>5382</v>
      </c>
      <c r="K4" s="87">
        <f t="shared" ref="K4:K10" si="2">SUM(I4*$P4)</f>
        <v>121.7574</v>
      </c>
      <c r="L4" s="87">
        <f t="shared" ref="L4:L10" si="3">SUM(J4*$Q4)</f>
        <v>468.23399999999998</v>
      </c>
      <c r="M4" s="88">
        <f>K4+L4</f>
        <v>589.9914</v>
      </c>
      <c r="N4" s="90" t="s">
        <v>310</v>
      </c>
      <c r="O4" s="90" t="s">
        <v>311</v>
      </c>
      <c r="P4" s="56">
        <f>IF(G4="MFP",Tables!B$2,Tables!B$5)</f>
        <v>2.07E-2</v>
      </c>
      <c r="Q4" s="124">
        <f>IF(G4="MFP",Tables!B$3,Tables!B$6)</f>
        <v>8.6999999999999994E-2</v>
      </c>
      <c r="R4" s="113">
        <f>VLOOKUP($N4,'Meter Read info'!$C$2:$G$249,2,"FALSE")</f>
        <v>27457</v>
      </c>
      <c r="S4" s="113">
        <f>VLOOKUP($N4,'Meter Read info'!$C$2:$G$249,3,"FALSE")</f>
        <v>33339</v>
      </c>
      <c r="T4" s="113">
        <f>VLOOKUP($N4,'Meter Read info'!$C$2:$G$249,4,"FALSE")</f>
        <v>11004</v>
      </c>
      <c r="U4" s="113">
        <f>VLOOKUP($N4,'Meter Read info'!$C$2:$G$249,5,"FALSE")</f>
        <v>16386</v>
      </c>
    </row>
    <row r="5" spans="1:21" outlineLevel="2" x14ac:dyDescent="0.3">
      <c r="A5" s="91" t="s">
        <v>307</v>
      </c>
      <c r="B5" s="91" t="s">
        <v>308</v>
      </c>
      <c r="C5" s="91" t="str">
        <f>VLOOKUP(B5,Tables!G$2:H$79,2,FALSE)</f>
        <v>Admissions Office</v>
      </c>
      <c r="D5" s="90" t="s">
        <v>668</v>
      </c>
      <c r="E5" s="89">
        <v>200</v>
      </c>
      <c r="F5" s="90" t="s">
        <v>740</v>
      </c>
      <c r="G5" s="55" t="str">
        <f>VLOOKUP(F5,Tables!D$2:E$12,2,FALSE)</f>
        <v>PTR</v>
      </c>
      <c r="H5" s="83">
        <v>17099785</v>
      </c>
      <c r="I5" s="85">
        <f t="shared" si="0"/>
        <v>43</v>
      </c>
      <c r="J5" s="85">
        <f t="shared" si="1"/>
        <v>624</v>
      </c>
      <c r="K5" s="87">
        <f t="shared" si="2"/>
        <v>1.1266</v>
      </c>
      <c r="L5" s="87">
        <f t="shared" si="3"/>
        <v>73.631999999999991</v>
      </c>
      <c r="M5" s="88">
        <f t="shared" ref="M5:M10" si="4">K5+L5</f>
        <v>74.758599999999987</v>
      </c>
      <c r="N5" s="90" t="s">
        <v>741</v>
      </c>
      <c r="O5" s="90" t="s">
        <v>742</v>
      </c>
      <c r="P5" s="56">
        <f>IF(G5="MFP",Tables!B$2,Tables!B$5)</f>
        <v>2.6200000000000001E-2</v>
      </c>
      <c r="Q5" s="124">
        <f>IF(G5="MFP",Tables!B$3,Tables!B$6)</f>
        <v>0.11799999999999999</v>
      </c>
      <c r="R5" s="113">
        <f>VLOOKUP($N5,'Meter Read info'!$C$2:$G$249,2,"FALSE")</f>
        <v>845</v>
      </c>
      <c r="S5" s="113">
        <f>VLOOKUP($N5,'Meter Read info'!$C$2:$G$249,3,"FALSE")</f>
        <v>888</v>
      </c>
      <c r="T5" s="113">
        <f>VLOOKUP($N5,'Meter Read info'!$C$2:$G$249,4,"FALSE")</f>
        <v>1305</v>
      </c>
      <c r="U5" s="113">
        <f>VLOOKUP($N5,'Meter Read info'!$C$2:$G$249,5,"FALSE")</f>
        <v>1929</v>
      </c>
    </row>
    <row r="6" spans="1:21" outlineLevel="2" x14ac:dyDescent="0.3">
      <c r="A6" s="91" t="s">
        <v>307</v>
      </c>
      <c r="B6" s="91" t="s">
        <v>308</v>
      </c>
      <c r="C6" s="91" t="str">
        <f>VLOOKUP(B6,Tables!G$2:H$79,2,FALSE)</f>
        <v>Admissions Office</v>
      </c>
      <c r="D6" s="90" t="s">
        <v>668</v>
      </c>
      <c r="E6" s="89">
        <v>201</v>
      </c>
      <c r="F6" s="90" t="s">
        <v>15</v>
      </c>
      <c r="G6" s="55" t="str">
        <f>VLOOKUP(F6,Tables!D$2:E$12,2,FALSE)</f>
        <v>PTR</v>
      </c>
      <c r="H6" s="83">
        <v>17099512</v>
      </c>
      <c r="I6" s="85">
        <f t="shared" si="0"/>
        <v>2</v>
      </c>
      <c r="J6" s="85">
        <f t="shared" si="1"/>
        <v>0</v>
      </c>
      <c r="K6" s="87">
        <f t="shared" si="2"/>
        <v>5.2400000000000002E-2</v>
      </c>
      <c r="L6" s="87">
        <f t="shared" si="3"/>
        <v>0</v>
      </c>
      <c r="M6" s="88">
        <f t="shared" si="4"/>
        <v>5.2400000000000002E-2</v>
      </c>
      <c r="N6" s="90" t="s">
        <v>324</v>
      </c>
      <c r="O6" s="90" t="s">
        <v>325</v>
      </c>
      <c r="P6" s="56">
        <f>IF(G6="MFP",Tables!B$2,Tables!B$5)</f>
        <v>2.6200000000000001E-2</v>
      </c>
      <c r="Q6" s="124">
        <f>IF(G6="MFP",Tables!B$3,Tables!B$6)</f>
        <v>0.11799999999999999</v>
      </c>
      <c r="R6" s="113">
        <f>VLOOKUP($N6,'Meter Read info'!$C$2:$G$249,2,"FALSE")</f>
        <v>48</v>
      </c>
      <c r="S6" s="113">
        <f>VLOOKUP($N6,'Meter Read info'!$C$2:$G$249,3,"FALSE")</f>
        <v>50</v>
      </c>
      <c r="T6" s="113">
        <f>VLOOKUP($N6,'Meter Read info'!$C$2:$G$249,4,"FALSE")</f>
        <v>0</v>
      </c>
      <c r="U6" s="113">
        <f>VLOOKUP($N6,'Meter Read info'!$C$2:$G$249,5,"FALSE")</f>
        <v>0</v>
      </c>
    </row>
    <row r="7" spans="1:21" outlineLevel="2" x14ac:dyDescent="0.3">
      <c r="A7" s="91" t="s">
        <v>307</v>
      </c>
      <c r="B7" s="91" t="s">
        <v>308</v>
      </c>
      <c r="C7" s="91" t="str">
        <f>VLOOKUP(B7,Tables!G$2:H$79,2,FALSE)</f>
        <v>Admissions Office</v>
      </c>
      <c r="D7" s="90" t="s">
        <v>668</v>
      </c>
      <c r="E7" s="89">
        <v>201</v>
      </c>
      <c r="F7" s="90" t="s">
        <v>15</v>
      </c>
      <c r="G7" s="55" t="str">
        <f>VLOOKUP(F7,Tables!D$2:E$12,2,FALSE)</f>
        <v>PTR</v>
      </c>
      <c r="H7" s="83">
        <v>17099780</v>
      </c>
      <c r="I7" s="85">
        <f t="shared" si="0"/>
        <v>280</v>
      </c>
      <c r="J7" s="85">
        <f t="shared" si="1"/>
        <v>0</v>
      </c>
      <c r="K7" s="87">
        <f t="shared" si="2"/>
        <v>7.3360000000000003</v>
      </c>
      <c r="L7" s="87">
        <f t="shared" si="3"/>
        <v>0</v>
      </c>
      <c r="M7" s="88">
        <f t="shared" si="4"/>
        <v>7.3360000000000003</v>
      </c>
      <c r="N7" s="90" t="s">
        <v>321</v>
      </c>
      <c r="O7" s="90" t="s">
        <v>322</v>
      </c>
      <c r="P7" s="56">
        <f>IF(G7="MFP",Tables!B$2,Tables!B$5)</f>
        <v>2.6200000000000001E-2</v>
      </c>
      <c r="Q7" s="124">
        <f>IF(G7="MFP",Tables!B$3,Tables!B$6)</f>
        <v>0.11799999999999999</v>
      </c>
      <c r="R7" s="113">
        <f>VLOOKUP($N7,'Meter Read info'!$C$2:$G$249,2,"FALSE")</f>
        <v>399</v>
      </c>
      <c r="S7" s="113">
        <f>VLOOKUP($N7,'Meter Read info'!$C$2:$G$249,3,"FALSE")</f>
        <v>679</v>
      </c>
      <c r="T7" s="113">
        <f>VLOOKUP($N7,'Meter Read info'!$C$2:$G$249,4,"FALSE")</f>
        <v>0</v>
      </c>
      <c r="U7" s="113">
        <f>VLOOKUP($N7,'Meter Read info'!$C$2:$G$249,5,"FALSE")</f>
        <v>0</v>
      </c>
    </row>
    <row r="8" spans="1:21" outlineLevel="2" x14ac:dyDescent="0.3">
      <c r="A8" s="91" t="s">
        <v>307</v>
      </c>
      <c r="B8" s="91" t="s">
        <v>308</v>
      </c>
      <c r="C8" s="91" t="str">
        <f>VLOOKUP(B8,Tables!G$2:H$79,2,FALSE)</f>
        <v>Admissions Office</v>
      </c>
      <c r="D8" s="90" t="s">
        <v>668</v>
      </c>
      <c r="E8" s="89">
        <v>302</v>
      </c>
      <c r="F8" s="90" t="s">
        <v>92</v>
      </c>
      <c r="G8" s="55" t="str">
        <f>VLOOKUP(F8,Tables!D$2:E$12,2,FALSE)</f>
        <v>PTR</v>
      </c>
      <c r="H8" s="83">
        <v>17099423</v>
      </c>
      <c r="I8" s="85">
        <f t="shared" si="0"/>
        <v>106</v>
      </c>
      <c r="J8" s="85">
        <f t="shared" si="1"/>
        <v>336</v>
      </c>
      <c r="K8" s="87">
        <f t="shared" si="2"/>
        <v>2.7772000000000001</v>
      </c>
      <c r="L8" s="87">
        <f t="shared" si="3"/>
        <v>39.647999999999996</v>
      </c>
      <c r="M8" s="88">
        <f t="shared" si="4"/>
        <v>42.425199999999997</v>
      </c>
      <c r="N8" s="90" t="s">
        <v>317</v>
      </c>
      <c r="O8" s="90" t="s">
        <v>318</v>
      </c>
      <c r="P8" s="56">
        <f>IF(G8="MFP",Tables!B$2,Tables!B$5)</f>
        <v>2.6200000000000001E-2</v>
      </c>
      <c r="Q8" s="124">
        <f>IF(G8="MFP",Tables!B$3,Tables!B$6)</f>
        <v>0.11799999999999999</v>
      </c>
      <c r="R8" s="113">
        <f>VLOOKUP($N8,'Meter Read info'!$C$2:$G$249,2,"FALSE")</f>
        <v>90</v>
      </c>
      <c r="S8" s="113">
        <f>VLOOKUP($N8,'Meter Read info'!$C$2:$G$249,3,"FALSE")</f>
        <v>196</v>
      </c>
      <c r="T8" s="113">
        <f>VLOOKUP($N8,'Meter Read info'!$C$2:$G$249,4,"FALSE")</f>
        <v>214</v>
      </c>
      <c r="U8" s="113">
        <f>VLOOKUP($N8,'Meter Read info'!$C$2:$G$249,5,"FALSE")</f>
        <v>550</v>
      </c>
    </row>
    <row r="9" spans="1:21" outlineLevel="2" x14ac:dyDescent="0.3">
      <c r="A9" s="91" t="s">
        <v>307</v>
      </c>
      <c r="B9" s="91" t="s">
        <v>308</v>
      </c>
      <c r="C9" s="91" t="str">
        <f>VLOOKUP(B9,Tables!G$2:H$79,2,FALSE)</f>
        <v>Admissions Office</v>
      </c>
      <c r="D9" s="90" t="s">
        <v>668</v>
      </c>
      <c r="E9" s="89">
        <v>306</v>
      </c>
      <c r="F9" s="90" t="s">
        <v>92</v>
      </c>
      <c r="G9" s="55" t="str">
        <f>VLOOKUP(F9,Tables!D$2:E$12,2,FALSE)</f>
        <v>PTR</v>
      </c>
      <c r="H9" s="83">
        <v>17099511</v>
      </c>
      <c r="I9" s="85">
        <f t="shared" si="0"/>
        <v>127</v>
      </c>
      <c r="J9" s="85">
        <f t="shared" si="1"/>
        <v>197</v>
      </c>
      <c r="K9" s="87">
        <f t="shared" si="2"/>
        <v>3.3273999999999999</v>
      </c>
      <c r="L9" s="87">
        <f t="shared" si="3"/>
        <v>23.245999999999999</v>
      </c>
      <c r="M9" s="88">
        <f t="shared" si="4"/>
        <v>26.573399999999999</v>
      </c>
      <c r="N9" s="90" t="s">
        <v>319</v>
      </c>
      <c r="O9" s="90" t="s">
        <v>320</v>
      </c>
      <c r="P9" s="56">
        <f>IF(G9="MFP",Tables!B$2,Tables!B$5)</f>
        <v>2.6200000000000001E-2</v>
      </c>
      <c r="Q9" s="124">
        <f>IF(G9="MFP",Tables!B$3,Tables!B$6)</f>
        <v>0.11799999999999999</v>
      </c>
      <c r="R9" s="113">
        <f>VLOOKUP($N9,'Meter Read info'!$C$2:$G$249,2,"FALSE")</f>
        <v>280</v>
      </c>
      <c r="S9" s="113">
        <f>VLOOKUP($N9,'Meter Read info'!$C$2:$G$249,3,"FALSE")</f>
        <v>407</v>
      </c>
      <c r="T9" s="113">
        <f>VLOOKUP($N9,'Meter Read info'!$C$2:$G$249,4,"FALSE")</f>
        <v>274</v>
      </c>
      <c r="U9" s="113">
        <f>VLOOKUP($N9,'Meter Read info'!$C$2:$G$249,5,"FALSE")</f>
        <v>471</v>
      </c>
    </row>
    <row r="10" spans="1:21" outlineLevel="2" x14ac:dyDescent="0.3">
      <c r="A10" s="91" t="s">
        <v>307</v>
      </c>
      <c r="B10" s="91" t="s">
        <v>308</v>
      </c>
      <c r="C10" s="91" t="str">
        <f>VLOOKUP(B10,Tables!G$2:H$79,2,FALSE)</f>
        <v>Admissions Office</v>
      </c>
      <c r="D10" s="90" t="s">
        <v>668</v>
      </c>
      <c r="E10" s="89">
        <v>306</v>
      </c>
      <c r="F10" s="90" t="s">
        <v>92</v>
      </c>
      <c r="G10" s="55" t="str">
        <f>VLOOKUP(F10,Tables!D$2:E$12,2,FALSE)</f>
        <v>PTR</v>
      </c>
      <c r="H10" s="83">
        <v>17099731</v>
      </c>
      <c r="I10" s="85">
        <f t="shared" si="0"/>
        <v>512</v>
      </c>
      <c r="J10" s="85">
        <f t="shared" si="1"/>
        <v>317</v>
      </c>
      <c r="K10" s="87">
        <f t="shared" si="2"/>
        <v>13.414400000000001</v>
      </c>
      <c r="L10" s="87">
        <f t="shared" si="3"/>
        <v>37.405999999999999</v>
      </c>
      <c r="M10" s="88">
        <f t="shared" si="4"/>
        <v>50.820399999999999</v>
      </c>
      <c r="N10" s="90" t="s">
        <v>323</v>
      </c>
      <c r="O10" s="90" t="s">
        <v>316</v>
      </c>
      <c r="P10" s="56">
        <f>IF(G10="MFP",Tables!B$2,Tables!B$5)</f>
        <v>2.6200000000000001E-2</v>
      </c>
      <c r="Q10" s="124">
        <f>IF(G10="MFP",Tables!B$3,Tables!B$6)</f>
        <v>0.11799999999999999</v>
      </c>
      <c r="R10" s="113">
        <f>VLOOKUP($N10,'Meter Read info'!$C$2:$G$249,2,"FALSE")</f>
        <v>974</v>
      </c>
      <c r="S10" s="113">
        <f>VLOOKUP($N10,'Meter Read info'!$C$2:$G$249,3,"FALSE")</f>
        <v>1486</v>
      </c>
      <c r="T10" s="113">
        <f>VLOOKUP($N10,'Meter Read info'!$C$2:$G$249,4,"FALSE")</f>
        <v>225</v>
      </c>
      <c r="U10" s="113">
        <f>VLOOKUP($N10,'Meter Read info'!$C$2:$G$249,5,"FALSE")</f>
        <v>542</v>
      </c>
    </row>
    <row r="11" spans="1:21" ht="31.2" outlineLevel="1" x14ac:dyDescent="0.3">
      <c r="A11" s="91"/>
      <c r="B11" s="107" t="s">
        <v>889</v>
      </c>
      <c r="C11" s="91"/>
      <c r="D11" s="90"/>
      <c r="E11" s="89"/>
      <c r="F11" s="90"/>
      <c r="G11" s="55"/>
      <c r="H11" s="83"/>
      <c r="I11" s="85"/>
      <c r="J11" s="85"/>
      <c r="K11" s="87"/>
      <c r="L11" s="87"/>
      <c r="M11" s="88">
        <f>SUBTOTAL(9,M4:M10)</f>
        <v>791.95740000000001</v>
      </c>
      <c r="N11" s="90"/>
      <c r="O11" s="90"/>
      <c r="P11" s="56"/>
      <c r="Q11" s="124"/>
      <c r="R11" s="113"/>
      <c r="S11" s="113"/>
      <c r="T11" s="113"/>
      <c r="U11" s="113"/>
    </row>
    <row r="12" spans="1:21" outlineLevel="2" x14ac:dyDescent="0.3">
      <c r="A12" s="91" t="s">
        <v>436</v>
      </c>
      <c r="B12" s="91" t="s">
        <v>426</v>
      </c>
      <c r="C12" s="91" t="str">
        <f>VLOOKUP(B12,Tables!G$2:H$79,2,FALSE)</f>
        <v>Printer Services</v>
      </c>
      <c r="D12" s="90" t="s">
        <v>223</v>
      </c>
      <c r="E12" s="89" t="s">
        <v>437</v>
      </c>
      <c r="F12" s="90" t="s">
        <v>15</v>
      </c>
      <c r="G12" s="55" t="str">
        <f>VLOOKUP(F12,Tables!D$2:E$12,2,FALSE)</f>
        <v>PTR</v>
      </c>
      <c r="H12" s="83">
        <v>17099562</v>
      </c>
      <c r="I12" s="85">
        <f>SUM(S12-R12)</f>
        <v>266</v>
      </c>
      <c r="J12" s="85">
        <f>SUM(U12-T12)</f>
        <v>0</v>
      </c>
      <c r="K12" s="87">
        <f>SUM(I12*$P12)</f>
        <v>6.9692000000000007</v>
      </c>
      <c r="L12" s="87">
        <f>SUM(J12*$Q12)</f>
        <v>0</v>
      </c>
      <c r="M12" s="88">
        <f>K12+L12</f>
        <v>6.9692000000000007</v>
      </c>
      <c r="N12" s="90" t="s">
        <v>438</v>
      </c>
      <c r="O12" s="90" t="s">
        <v>439</v>
      </c>
      <c r="P12" s="56">
        <f>IF(G12="MFP",Tables!B$2,Tables!B$5)</f>
        <v>2.6200000000000001E-2</v>
      </c>
      <c r="Q12" s="124">
        <f>IF(G12="MFP",Tables!B$3,Tables!B$6)</f>
        <v>0.11799999999999999</v>
      </c>
      <c r="R12" s="113">
        <f>VLOOKUP($N12,'Meter Read info'!$C$2:$G$249,2,"FALSE")</f>
        <v>3297</v>
      </c>
      <c r="S12" s="113">
        <f>VLOOKUP($N12,'Meter Read info'!$C$2:$G$249,3,"FALSE")</f>
        <v>3563</v>
      </c>
      <c r="T12" s="113">
        <f>VLOOKUP($N12,'Meter Read info'!$C$2:$G$249,4,"FALSE")</f>
        <v>0</v>
      </c>
      <c r="U12" s="113">
        <f>VLOOKUP($N12,'Meter Read info'!$C$2:$G$249,5,"FALSE")</f>
        <v>0</v>
      </c>
    </row>
    <row r="13" spans="1:21" ht="31.2" outlineLevel="1" x14ac:dyDescent="0.3">
      <c r="A13" s="91"/>
      <c r="B13" s="107" t="s">
        <v>890</v>
      </c>
      <c r="C13" s="91"/>
      <c r="D13" s="90"/>
      <c r="E13" s="89"/>
      <c r="F13" s="90"/>
      <c r="G13" s="55"/>
      <c r="H13" s="83"/>
      <c r="I13" s="85"/>
      <c r="J13" s="85"/>
      <c r="K13" s="87"/>
      <c r="L13" s="87"/>
      <c r="M13" s="88">
        <f>SUBTOTAL(9,M12:M12)</f>
        <v>6.9692000000000007</v>
      </c>
      <c r="N13" s="90"/>
      <c r="O13" s="90"/>
      <c r="P13" s="56"/>
      <c r="Q13" s="124"/>
      <c r="R13" s="113"/>
      <c r="S13" s="113"/>
      <c r="T13" s="113"/>
      <c r="U13" s="113"/>
    </row>
    <row r="14" spans="1:21" outlineLevel="2" x14ac:dyDescent="0.3">
      <c r="A14" s="91" t="s">
        <v>11</v>
      </c>
      <c r="B14" s="91" t="s">
        <v>12</v>
      </c>
      <c r="C14" s="91" t="str">
        <f>VLOOKUP(B14,Tables!G$2:H$79,2,FALSE)</f>
        <v>ROTC-Air Force</v>
      </c>
      <c r="D14" s="90" t="s">
        <v>14</v>
      </c>
      <c r="E14" s="89">
        <v>2012</v>
      </c>
      <c r="F14" s="90" t="s">
        <v>15</v>
      </c>
      <c r="G14" s="55" t="str">
        <f>VLOOKUP(F14,Tables!D$2:E$12,2,FALSE)</f>
        <v>PTR</v>
      </c>
      <c r="H14" s="83">
        <v>17099443</v>
      </c>
      <c r="I14" s="85">
        <f>SUM(S14-R14)</f>
        <v>0</v>
      </c>
      <c r="J14" s="85">
        <f>SUM(U14-T14)</f>
        <v>0</v>
      </c>
      <c r="K14" s="87">
        <f>SUM(I14*$P14)</f>
        <v>0</v>
      </c>
      <c r="L14" s="87">
        <f>SUM(J14*$Q14)</f>
        <v>0</v>
      </c>
      <c r="M14" s="88">
        <f>K14+L14</f>
        <v>0</v>
      </c>
      <c r="N14" s="90" t="s">
        <v>16</v>
      </c>
      <c r="O14" s="90" t="s">
        <v>17</v>
      </c>
      <c r="P14" s="56">
        <f>IF(G14="MFP",Tables!B$2,Tables!B$5)</f>
        <v>2.6200000000000001E-2</v>
      </c>
      <c r="Q14" s="124">
        <f>IF(G14="MFP",Tables!B$3,Tables!B$6)</f>
        <v>0.11799999999999999</v>
      </c>
      <c r="R14" s="113">
        <f>VLOOKUP($N14,'Meter Read info'!$C$2:$G$249,2,"FALSE")</f>
        <v>319</v>
      </c>
      <c r="S14" s="113">
        <f>VLOOKUP($N14,'Meter Read info'!$C$2:$G$249,3,"FALSE")</f>
        <v>319</v>
      </c>
      <c r="T14" s="113">
        <f>VLOOKUP($N14,'Meter Read info'!$C$2:$G$249,4,"FALSE")</f>
        <v>0</v>
      </c>
      <c r="U14" s="113">
        <f>VLOOKUP($N14,'Meter Read info'!$C$2:$G$249,5,"FALSE")</f>
        <v>0</v>
      </c>
    </row>
    <row r="15" spans="1:21" outlineLevel="2" x14ac:dyDescent="0.3">
      <c r="A15" s="91" t="s">
        <v>11</v>
      </c>
      <c r="B15" s="91" t="s">
        <v>12</v>
      </c>
      <c r="C15" s="91" t="str">
        <f>VLOOKUP(B15,Tables!G$2:H$79,2,FALSE)</f>
        <v>ROTC-Air Force</v>
      </c>
      <c r="D15" s="90" t="s">
        <v>14</v>
      </c>
      <c r="E15" s="89">
        <v>2018</v>
      </c>
      <c r="F15" s="90" t="s">
        <v>15</v>
      </c>
      <c r="G15" s="55" t="str">
        <f>VLOOKUP(F15,Tables!D$2:E$12,2,FALSE)</f>
        <v>PTR</v>
      </c>
      <c r="H15" s="83">
        <v>17099438</v>
      </c>
      <c r="I15" s="85">
        <f>SUM(S15-R15)</f>
        <v>0</v>
      </c>
      <c r="J15" s="85">
        <f>SUM(U15-T15)</f>
        <v>0</v>
      </c>
      <c r="K15" s="87">
        <f>SUM(I15*$P15)</f>
        <v>0</v>
      </c>
      <c r="L15" s="87">
        <f>SUM(J15*$Q15)</f>
        <v>0</v>
      </c>
      <c r="M15" s="88">
        <f>K15+L15</f>
        <v>0</v>
      </c>
      <c r="N15" s="90" t="s">
        <v>19</v>
      </c>
      <c r="O15" s="90" t="s">
        <v>20</v>
      </c>
      <c r="P15" s="56">
        <f>IF(G15="MFP",Tables!B$2,Tables!B$5)</f>
        <v>2.6200000000000001E-2</v>
      </c>
      <c r="Q15" s="124">
        <f>IF(G15="MFP",Tables!B$3,Tables!B$6)</f>
        <v>0.11799999999999999</v>
      </c>
      <c r="R15" s="113">
        <f>VLOOKUP($N15,'Meter Read info'!$C$2:$G$249,2,"FALSE")</f>
        <v>0</v>
      </c>
      <c r="S15" s="113">
        <f>VLOOKUP($N15,'Meter Read info'!$C$2:$G$249,3,"FALSE")</f>
        <v>0</v>
      </c>
      <c r="T15" s="113">
        <f>VLOOKUP($N15,'Meter Read info'!$C$2:$G$249,4,"FALSE")</f>
        <v>0</v>
      </c>
      <c r="U15" s="113">
        <f>VLOOKUP($N15,'Meter Read info'!$C$2:$G$249,5,"FALSE")</f>
        <v>0</v>
      </c>
    </row>
    <row r="16" spans="1:21" ht="31.2" outlineLevel="1" x14ac:dyDescent="0.3">
      <c r="A16" s="91"/>
      <c r="B16" s="107" t="s">
        <v>891</v>
      </c>
      <c r="C16" s="91"/>
      <c r="D16" s="90"/>
      <c r="E16" s="89"/>
      <c r="F16" s="90"/>
      <c r="G16" s="55"/>
      <c r="H16" s="83"/>
      <c r="I16" s="85"/>
      <c r="J16" s="85"/>
      <c r="K16" s="87"/>
      <c r="L16" s="87"/>
      <c r="M16" s="88">
        <f>SUBTOTAL(9,M14:M15)</f>
        <v>0</v>
      </c>
      <c r="N16" s="90"/>
      <c r="O16" s="90"/>
      <c r="P16" s="56"/>
      <c r="Q16" s="124"/>
      <c r="R16" s="113"/>
      <c r="S16" s="113"/>
      <c r="T16" s="113"/>
      <c r="U16" s="113"/>
    </row>
    <row r="17" spans="1:21" outlineLevel="2" x14ac:dyDescent="0.3">
      <c r="A17" s="91" t="s">
        <v>21</v>
      </c>
      <c r="B17" s="91" t="s">
        <v>22</v>
      </c>
      <c r="C17" s="91" t="str">
        <f>VLOOKUP(B17,Tables!G$2:H$79,2,FALSE)</f>
        <v>ROTC-Army</v>
      </c>
      <c r="D17" s="90" t="s">
        <v>14</v>
      </c>
      <c r="E17" s="89">
        <v>2022</v>
      </c>
      <c r="F17" s="90" t="s">
        <v>24</v>
      </c>
      <c r="G17" s="55" t="str">
        <f>VLOOKUP(F17,Tables!D$2:E$12,2,FALSE)</f>
        <v>MFP</v>
      </c>
      <c r="H17" s="83">
        <v>17099434</v>
      </c>
      <c r="I17" s="85">
        <f t="shared" ref="I17:I29" si="5">SUM(S17-R17)</f>
        <v>10585</v>
      </c>
      <c r="J17" s="85">
        <f t="shared" ref="J17:J29" si="6">SUM(U17-T17)</f>
        <v>1754</v>
      </c>
      <c r="K17" s="87">
        <f t="shared" ref="K17:K29" si="7">SUM(I17*$P17)</f>
        <v>219.1095</v>
      </c>
      <c r="L17" s="87">
        <f t="shared" ref="L17:L29" si="8">SUM(J17*$Q17)</f>
        <v>152.59799999999998</v>
      </c>
      <c r="M17" s="88">
        <f t="shared" ref="M17:M29" si="9">K17+L17</f>
        <v>371.70749999999998</v>
      </c>
      <c r="N17" s="90" t="s">
        <v>25</v>
      </c>
      <c r="O17" s="90" t="s">
        <v>26</v>
      </c>
      <c r="P17" s="56">
        <f>IF(G17="MFP",Tables!B$2,Tables!B$5)</f>
        <v>2.07E-2</v>
      </c>
      <c r="Q17" s="124">
        <f>IF(G17="MFP",Tables!B$3,Tables!B$6)</f>
        <v>8.6999999999999994E-2</v>
      </c>
      <c r="R17" s="113">
        <f>VLOOKUP($N17,'Meter Read info'!$C$2:$G$249,2,"FALSE")</f>
        <v>64703</v>
      </c>
      <c r="S17" s="113">
        <f>VLOOKUP($N17,'Meter Read info'!$C$2:$G$249,3,"FALSE")</f>
        <v>75288</v>
      </c>
      <c r="T17" s="113">
        <f>VLOOKUP($N17,'Meter Read info'!$C$2:$G$249,4,"FALSE")</f>
        <v>5655</v>
      </c>
      <c r="U17" s="113">
        <f>VLOOKUP($N17,'Meter Read info'!$C$2:$G$249,5,"FALSE")</f>
        <v>7409</v>
      </c>
    </row>
    <row r="18" spans="1:21" outlineLevel="2" x14ac:dyDescent="0.3">
      <c r="A18" s="91" t="s">
        <v>21</v>
      </c>
      <c r="B18" s="91" t="s">
        <v>22</v>
      </c>
      <c r="C18" s="91" t="str">
        <f>VLOOKUP(B18,Tables!G$2:H$79,2,FALSE)</f>
        <v>ROTC-Army</v>
      </c>
      <c r="D18" s="90" t="s">
        <v>14</v>
      </c>
      <c r="E18" s="89">
        <v>2023</v>
      </c>
      <c r="F18" s="90" t="s">
        <v>15</v>
      </c>
      <c r="G18" s="55" t="str">
        <f>VLOOKUP(F18,Tables!D$2:E$12,2,FALSE)</f>
        <v>PTR</v>
      </c>
      <c r="H18" s="83">
        <v>17099435</v>
      </c>
      <c r="I18" s="85">
        <f t="shared" si="5"/>
        <v>116</v>
      </c>
      <c r="J18" s="85">
        <f t="shared" si="6"/>
        <v>0</v>
      </c>
      <c r="K18" s="87">
        <f t="shared" si="7"/>
        <v>3.0392000000000001</v>
      </c>
      <c r="L18" s="87">
        <f t="shared" si="8"/>
        <v>0</v>
      </c>
      <c r="M18" s="88">
        <f t="shared" si="9"/>
        <v>3.0392000000000001</v>
      </c>
      <c r="N18" s="90" t="s">
        <v>46</v>
      </c>
      <c r="O18" s="90" t="s">
        <v>47</v>
      </c>
      <c r="P18" s="56">
        <f>IF(G18="MFP",Tables!B$2,Tables!B$5)</f>
        <v>2.6200000000000001E-2</v>
      </c>
      <c r="Q18" s="124">
        <f>IF(G18="MFP",Tables!B$3,Tables!B$6)</f>
        <v>0.11799999999999999</v>
      </c>
      <c r="R18" s="113">
        <f>VLOOKUP($N18,'Meter Read info'!$C$2:$G$249,2,"FALSE")</f>
        <v>368</v>
      </c>
      <c r="S18" s="113">
        <f>VLOOKUP($N18,'Meter Read info'!$C$2:$G$249,3,"FALSE")</f>
        <v>484</v>
      </c>
      <c r="T18" s="113">
        <f>VLOOKUP($N18,'Meter Read info'!$C$2:$G$249,4,"FALSE")</f>
        <v>0</v>
      </c>
      <c r="U18" s="113">
        <f>VLOOKUP($N18,'Meter Read info'!$C$2:$G$249,5,"FALSE")</f>
        <v>0</v>
      </c>
    </row>
    <row r="19" spans="1:21" outlineLevel="2" x14ac:dyDescent="0.3">
      <c r="A19" s="91" t="s">
        <v>21</v>
      </c>
      <c r="B19" s="91" t="s">
        <v>22</v>
      </c>
      <c r="C19" s="91" t="str">
        <f>VLOOKUP(B19,Tables!G$2:H$79,2,FALSE)</f>
        <v>ROTC-Army</v>
      </c>
      <c r="D19" s="90" t="s">
        <v>14</v>
      </c>
      <c r="E19" s="89">
        <v>2029</v>
      </c>
      <c r="F19" s="90" t="s">
        <v>15</v>
      </c>
      <c r="G19" s="55" t="str">
        <f>VLOOKUP(F19,Tables!D$2:E$12,2,FALSE)</f>
        <v>PTR</v>
      </c>
      <c r="H19" s="83">
        <v>17099446</v>
      </c>
      <c r="I19" s="85">
        <f t="shared" si="5"/>
        <v>29</v>
      </c>
      <c r="J19" s="85">
        <f t="shared" si="6"/>
        <v>0</v>
      </c>
      <c r="K19" s="87">
        <f t="shared" si="7"/>
        <v>0.75980000000000003</v>
      </c>
      <c r="L19" s="87">
        <f t="shared" si="8"/>
        <v>0</v>
      </c>
      <c r="M19" s="88">
        <f t="shared" si="9"/>
        <v>0.75980000000000003</v>
      </c>
      <c r="N19" s="90" t="s">
        <v>30</v>
      </c>
      <c r="O19" s="90" t="s">
        <v>31</v>
      </c>
      <c r="P19" s="56">
        <f>IF(G19="MFP",Tables!B$2,Tables!B$5)</f>
        <v>2.6200000000000001E-2</v>
      </c>
      <c r="Q19" s="124">
        <f>IF(G19="MFP",Tables!B$3,Tables!B$6)</f>
        <v>0.11799999999999999</v>
      </c>
      <c r="R19" s="113">
        <f>VLOOKUP($N19,'Meter Read info'!$C$2:$G$249,2,"FALSE")</f>
        <v>276</v>
      </c>
      <c r="S19" s="113">
        <f>VLOOKUP($N19,'Meter Read info'!$C$2:$G$249,3,"FALSE")</f>
        <v>305</v>
      </c>
      <c r="T19" s="113">
        <f>VLOOKUP($N19,'Meter Read info'!$C$2:$G$249,4,"FALSE")</f>
        <v>0</v>
      </c>
      <c r="U19" s="113">
        <f>VLOOKUP($N19,'Meter Read info'!$C$2:$G$249,5,"FALSE")</f>
        <v>0</v>
      </c>
    </row>
    <row r="20" spans="1:21" outlineLevel="2" x14ac:dyDescent="0.3">
      <c r="A20" s="91" t="s">
        <v>21</v>
      </c>
      <c r="B20" s="91" t="s">
        <v>22</v>
      </c>
      <c r="C20" s="91" t="str">
        <f>VLOOKUP(B20,Tables!G$2:H$79,2,FALSE)</f>
        <v>ROTC-Army</v>
      </c>
      <c r="D20" s="90" t="s">
        <v>14</v>
      </c>
      <c r="E20" s="89">
        <v>2053</v>
      </c>
      <c r="F20" s="90" t="s">
        <v>15</v>
      </c>
      <c r="G20" s="55" t="str">
        <f>VLOOKUP(F20,Tables!D$2:E$12,2,FALSE)</f>
        <v>PTR</v>
      </c>
      <c r="H20" s="83">
        <v>17099437</v>
      </c>
      <c r="I20" s="85">
        <f t="shared" si="5"/>
        <v>254</v>
      </c>
      <c r="J20" s="85">
        <f t="shared" si="6"/>
        <v>0</v>
      </c>
      <c r="K20" s="87">
        <f t="shared" si="7"/>
        <v>6.6547999999999998</v>
      </c>
      <c r="L20" s="87">
        <f t="shared" si="8"/>
        <v>0</v>
      </c>
      <c r="M20" s="88">
        <f t="shared" si="9"/>
        <v>6.6547999999999998</v>
      </c>
      <c r="N20" s="90" t="s">
        <v>44</v>
      </c>
      <c r="O20" s="90" t="s">
        <v>45</v>
      </c>
      <c r="P20" s="56">
        <f>IF(G20="MFP",Tables!B$2,Tables!B$5)</f>
        <v>2.6200000000000001E-2</v>
      </c>
      <c r="Q20" s="124">
        <f>IF(G20="MFP",Tables!B$3,Tables!B$6)</f>
        <v>0.11799999999999999</v>
      </c>
      <c r="R20" s="113">
        <f>VLOOKUP($N20,'Meter Read info'!$C$2:$G$249,2,"FALSE")</f>
        <v>1086</v>
      </c>
      <c r="S20" s="113">
        <f>VLOOKUP($N20,'Meter Read info'!$C$2:$G$249,3,"FALSE")</f>
        <v>1340</v>
      </c>
      <c r="T20" s="113">
        <f>VLOOKUP($N20,'Meter Read info'!$C$2:$G$249,4,"FALSE")</f>
        <v>0</v>
      </c>
      <c r="U20" s="113">
        <f>VLOOKUP($N20,'Meter Read info'!$C$2:$G$249,5,"FALSE")</f>
        <v>0</v>
      </c>
    </row>
    <row r="21" spans="1:21" outlineLevel="2" x14ac:dyDescent="0.3">
      <c r="A21" s="91" t="s">
        <v>21</v>
      </c>
      <c r="B21" s="91" t="s">
        <v>22</v>
      </c>
      <c r="C21" s="91" t="str">
        <f>VLOOKUP(B21,Tables!G$2:H$79,2,FALSE)</f>
        <v>ROTC-Army</v>
      </c>
      <c r="D21" s="90" t="s">
        <v>14</v>
      </c>
      <c r="E21" s="89">
        <v>2056</v>
      </c>
      <c r="F21" s="90" t="s">
        <v>15</v>
      </c>
      <c r="G21" s="55" t="str">
        <f>VLOOKUP(F21,Tables!D$2:E$12,2,FALSE)</f>
        <v>PTR</v>
      </c>
      <c r="H21" s="83">
        <v>17099436</v>
      </c>
      <c r="I21" s="85">
        <f t="shared" si="5"/>
        <v>280</v>
      </c>
      <c r="J21" s="85">
        <f t="shared" si="6"/>
        <v>0</v>
      </c>
      <c r="K21" s="87">
        <f t="shared" si="7"/>
        <v>7.3360000000000003</v>
      </c>
      <c r="L21" s="87">
        <f t="shared" si="8"/>
        <v>0</v>
      </c>
      <c r="M21" s="88">
        <f t="shared" si="9"/>
        <v>7.3360000000000003</v>
      </c>
      <c r="N21" s="90" t="s">
        <v>36</v>
      </c>
      <c r="O21" s="90" t="s">
        <v>37</v>
      </c>
      <c r="P21" s="56">
        <f>IF(G21="MFP",Tables!B$2,Tables!B$5)</f>
        <v>2.6200000000000001E-2</v>
      </c>
      <c r="Q21" s="124">
        <f>IF(G21="MFP",Tables!B$3,Tables!B$6)</f>
        <v>0.11799999999999999</v>
      </c>
      <c r="R21" s="113">
        <f>VLOOKUP($N21,'Meter Read info'!$C$2:$G$249,2,"FALSE")</f>
        <v>1616</v>
      </c>
      <c r="S21" s="113">
        <f>VLOOKUP($N21,'Meter Read info'!$C$2:$G$249,3,"FALSE")</f>
        <v>1896</v>
      </c>
      <c r="T21" s="113">
        <f>VLOOKUP($N21,'Meter Read info'!$C$2:$G$249,4,"FALSE")</f>
        <v>0</v>
      </c>
      <c r="U21" s="113">
        <f>VLOOKUP($N21,'Meter Read info'!$C$2:$G$249,5,"FALSE")</f>
        <v>0</v>
      </c>
    </row>
    <row r="22" spans="1:21" outlineLevel="2" x14ac:dyDescent="0.3">
      <c r="A22" s="91" t="s">
        <v>21</v>
      </c>
      <c r="B22" s="91" t="s">
        <v>22</v>
      </c>
      <c r="C22" s="91" t="str">
        <f>VLOOKUP(B22,Tables!G$2:H$79,2,FALSE)</f>
        <v>ROTC-Army</v>
      </c>
      <c r="D22" s="90" t="s">
        <v>14</v>
      </c>
      <c r="E22" s="89">
        <v>2057</v>
      </c>
      <c r="F22" s="90" t="s">
        <v>15</v>
      </c>
      <c r="G22" s="55" t="str">
        <f>VLOOKUP(F22,Tables!D$2:E$12,2,FALSE)</f>
        <v>PTR</v>
      </c>
      <c r="H22" s="83">
        <v>17099444</v>
      </c>
      <c r="I22" s="85">
        <f t="shared" si="5"/>
        <v>749</v>
      </c>
      <c r="J22" s="85">
        <f t="shared" si="6"/>
        <v>0</v>
      </c>
      <c r="K22" s="87">
        <f t="shared" si="7"/>
        <v>19.623799999999999</v>
      </c>
      <c r="L22" s="87">
        <f t="shared" si="8"/>
        <v>0</v>
      </c>
      <c r="M22" s="88">
        <f t="shared" si="9"/>
        <v>19.623799999999999</v>
      </c>
      <c r="N22" s="90" t="s">
        <v>28</v>
      </c>
      <c r="O22" s="90" t="s">
        <v>29</v>
      </c>
      <c r="P22" s="56">
        <f>IF(G22="MFP",Tables!B$2,Tables!B$5)</f>
        <v>2.6200000000000001E-2</v>
      </c>
      <c r="Q22" s="124">
        <f>IF(G22="MFP",Tables!B$3,Tables!B$6)</f>
        <v>0.11799999999999999</v>
      </c>
      <c r="R22" s="113">
        <f>VLOOKUP($N22,'Meter Read info'!$C$2:$G$249,2,"FALSE")</f>
        <v>2561</v>
      </c>
      <c r="S22" s="113">
        <f>VLOOKUP($N22,'Meter Read info'!$C$2:$G$249,3,"FALSE")</f>
        <v>3310</v>
      </c>
      <c r="T22" s="113">
        <f>VLOOKUP($N22,'Meter Read info'!$C$2:$G$249,4,"FALSE")</f>
        <v>0</v>
      </c>
      <c r="U22" s="113">
        <f>VLOOKUP($N22,'Meter Read info'!$C$2:$G$249,5,"FALSE")</f>
        <v>0</v>
      </c>
    </row>
    <row r="23" spans="1:21" outlineLevel="2" x14ac:dyDescent="0.3">
      <c r="A23" s="91" t="s">
        <v>21</v>
      </c>
      <c r="B23" s="91" t="s">
        <v>22</v>
      </c>
      <c r="C23" s="91" t="str">
        <f>VLOOKUP(B23,Tables!G$2:H$79,2,FALSE)</f>
        <v>ROTC-Army</v>
      </c>
      <c r="D23" s="90" t="s">
        <v>14</v>
      </c>
      <c r="E23" s="89">
        <v>2060</v>
      </c>
      <c r="F23" s="90" t="s">
        <v>15</v>
      </c>
      <c r="G23" s="55" t="str">
        <f>VLOOKUP(F23,Tables!D$2:E$12,2,FALSE)</f>
        <v>PTR</v>
      </c>
      <c r="H23" s="83">
        <v>17099430</v>
      </c>
      <c r="I23" s="85">
        <f t="shared" si="5"/>
        <v>154</v>
      </c>
      <c r="J23" s="85">
        <f t="shared" si="6"/>
        <v>0</v>
      </c>
      <c r="K23" s="87">
        <f t="shared" si="7"/>
        <v>4.0348000000000006</v>
      </c>
      <c r="L23" s="87">
        <f t="shared" si="8"/>
        <v>0</v>
      </c>
      <c r="M23" s="88">
        <f t="shared" si="9"/>
        <v>4.0348000000000006</v>
      </c>
      <c r="N23" s="90" t="s">
        <v>40</v>
      </c>
      <c r="O23" s="90" t="s">
        <v>41</v>
      </c>
      <c r="P23" s="56">
        <f>IF(G23="MFP",Tables!B$2,Tables!B$5)</f>
        <v>2.6200000000000001E-2</v>
      </c>
      <c r="Q23" s="124">
        <f>IF(G23="MFP",Tables!B$3,Tables!B$6)</f>
        <v>0.11799999999999999</v>
      </c>
      <c r="R23" s="113">
        <f>VLOOKUP($N23,'Meter Read info'!$C$2:$G$249,2,"FALSE")</f>
        <v>287</v>
      </c>
      <c r="S23" s="113">
        <f>VLOOKUP($N23,'Meter Read info'!$C$2:$G$249,3,"FALSE")</f>
        <v>441</v>
      </c>
      <c r="T23" s="113">
        <f>VLOOKUP($N23,'Meter Read info'!$C$2:$G$249,4,"FALSE")</f>
        <v>0</v>
      </c>
      <c r="U23" s="113">
        <f>VLOOKUP($N23,'Meter Read info'!$C$2:$G$249,5,"FALSE")</f>
        <v>0</v>
      </c>
    </row>
    <row r="24" spans="1:21" outlineLevel="2" x14ac:dyDescent="0.3">
      <c r="A24" s="91" t="s">
        <v>21</v>
      </c>
      <c r="B24" s="91" t="s">
        <v>22</v>
      </c>
      <c r="C24" s="91" t="str">
        <f>VLOOKUP(B24,Tables!G$2:H$79,2,FALSE)</f>
        <v>ROTC-Army</v>
      </c>
      <c r="D24" s="90" t="s">
        <v>14</v>
      </c>
      <c r="E24" s="89">
        <v>2061</v>
      </c>
      <c r="F24" s="90" t="s">
        <v>15</v>
      </c>
      <c r="G24" s="55" t="str">
        <f>VLOOKUP(F24,Tables!D$2:E$12,2,FALSE)</f>
        <v>PTR</v>
      </c>
      <c r="H24" s="83">
        <v>17099442</v>
      </c>
      <c r="I24" s="85">
        <f t="shared" si="5"/>
        <v>395</v>
      </c>
      <c r="J24" s="85">
        <f t="shared" si="6"/>
        <v>0</v>
      </c>
      <c r="K24" s="87">
        <f t="shared" si="7"/>
        <v>10.349</v>
      </c>
      <c r="L24" s="87">
        <f t="shared" si="8"/>
        <v>0</v>
      </c>
      <c r="M24" s="88">
        <f t="shared" si="9"/>
        <v>10.349</v>
      </c>
      <c r="N24" s="90" t="s">
        <v>34</v>
      </c>
      <c r="O24" s="90" t="s">
        <v>35</v>
      </c>
      <c r="P24" s="56">
        <f>IF(G24="MFP",Tables!B$2,Tables!B$5)</f>
        <v>2.6200000000000001E-2</v>
      </c>
      <c r="Q24" s="124">
        <f>IF(G24="MFP",Tables!B$3,Tables!B$6)</f>
        <v>0.11799999999999999</v>
      </c>
      <c r="R24" s="113">
        <f>VLOOKUP($N24,'Meter Read info'!$C$2:$G$249,2,"FALSE")</f>
        <v>503</v>
      </c>
      <c r="S24" s="113">
        <f>VLOOKUP($N24,'Meter Read info'!$C$2:$G$249,3,"FALSE")</f>
        <v>898</v>
      </c>
      <c r="T24" s="113">
        <f>VLOOKUP($N24,'Meter Read info'!$C$2:$G$249,4,"FALSE")</f>
        <v>0</v>
      </c>
      <c r="U24" s="113">
        <f>VLOOKUP($N24,'Meter Read info'!$C$2:$G$249,5,"FALSE")</f>
        <v>0</v>
      </c>
    </row>
    <row r="25" spans="1:21" outlineLevel="2" x14ac:dyDescent="0.3">
      <c r="A25" s="91" t="s">
        <v>21</v>
      </c>
      <c r="B25" s="91" t="s">
        <v>22</v>
      </c>
      <c r="C25" s="91" t="str">
        <f>VLOOKUP(B25,Tables!G$2:H$79,2,FALSE)</f>
        <v>ROTC-Army</v>
      </c>
      <c r="D25" s="90" t="s">
        <v>14</v>
      </c>
      <c r="E25" s="89">
        <v>2063</v>
      </c>
      <c r="F25" s="90" t="s">
        <v>15</v>
      </c>
      <c r="G25" s="55" t="str">
        <f>VLOOKUP(F25,Tables!D$2:E$12,2,FALSE)</f>
        <v>PTR</v>
      </c>
      <c r="H25" s="83">
        <v>17099427</v>
      </c>
      <c r="I25" s="85">
        <f t="shared" si="5"/>
        <v>416</v>
      </c>
      <c r="J25" s="85">
        <f t="shared" si="6"/>
        <v>0</v>
      </c>
      <c r="K25" s="87">
        <f t="shared" si="7"/>
        <v>10.8992</v>
      </c>
      <c r="L25" s="87">
        <f t="shared" si="8"/>
        <v>0</v>
      </c>
      <c r="M25" s="88">
        <f t="shared" si="9"/>
        <v>10.8992</v>
      </c>
      <c r="N25" s="90" t="s">
        <v>48</v>
      </c>
      <c r="O25" s="90" t="s">
        <v>49</v>
      </c>
      <c r="P25" s="56">
        <f>IF(G25="MFP",Tables!B$2,Tables!B$5)</f>
        <v>2.6200000000000001E-2</v>
      </c>
      <c r="Q25" s="124">
        <f>IF(G25="MFP",Tables!B$3,Tables!B$6)</f>
        <v>0.11799999999999999</v>
      </c>
      <c r="R25" s="113">
        <f>VLOOKUP($N25,'Meter Read info'!$C$2:$G$249,2,"FALSE")</f>
        <v>1059</v>
      </c>
      <c r="S25" s="113">
        <f>VLOOKUP($N25,'Meter Read info'!$C$2:$G$249,3,"FALSE")</f>
        <v>1475</v>
      </c>
      <c r="T25" s="113">
        <f>VLOOKUP($N25,'Meter Read info'!$C$2:$G$249,4,"FALSE")</f>
        <v>0</v>
      </c>
      <c r="U25" s="113">
        <f>VLOOKUP($N25,'Meter Read info'!$C$2:$G$249,5,"FALSE")</f>
        <v>0</v>
      </c>
    </row>
    <row r="26" spans="1:21" outlineLevel="2" x14ac:dyDescent="0.3">
      <c r="A26" s="91" t="s">
        <v>21</v>
      </c>
      <c r="B26" s="91" t="s">
        <v>22</v>
      </c>
      <c r="C26" s="91" t="str">
        <f>VLOOKUP(B26,Tables!G$2:H$79,2,FALSE)</f>
        <v>ROTC-Army</v>
      </c>
      <c r="D26" s="90" t="s">
        <v>14</v>
      </c>
      <c r="E26" s="89">
        <v>2064</v>
      </c>
      <c r="F26" s="90" t="s">
        <v>15</v>
      </c>
      <c r="G26" s="55" t="str">
        <f>VLOOKUP(F26,Tables!D$2:E$12,2,FALSE)</f>
        <v>PTR</v>
      </c>
      <c r="H26" s="83">
        <v>17099439</v>
      </c>
      <c r="I26" s="85">
        <f t="shared" si="5"/>
        <v>164</v>
      </c>
      <c r="J26" s="85">
        <f t="shared" si="6"/>
        <v>0</v>
      </c>
      <c r="K26" s="87">
        <f t="shared" si="7"/>
        <v>4.2968000000000002</v>
      </c>
      <c r="L26" s="87">
        <f t="shared" si="8"/>
        <v>0</v>
      </c>
      <c r="M26" s="88">
        <f t="shared" si="9"/>
        <v>4.2968000000000002</v>
      </c>
      <c r="N26" s="90" t="s">
        <v>50</v>
      </c>
      <c r="O26" s="90" t="s">
        <v>51</v>
      </c>
      <c r="P26" s="56">
        <f>IF(G26="MFP",Tables!B$2,Tables!B$5)</f>
        <v>2.6200000000000001E-2</v>
      </c>
      <c r="Q26" s="124">
        <f>IF(G26="MFP",Tables!B$3,Tables!B$6)</f>
        <v>0.11799999999999999</v>
      </c>
      <c r="R26" s="113">
        <f>VLOOKUP($N26,'Meter Read info'!$C$2:$G$249,2,"FALSE")</f>
        <v>747</v>
      </c>
      <c r="S26" s="113">
        <f>VLOOKUP($N26,'Meter Read info'!$C$2:$G$249,3,"FALSE")</f>
        <v>911</v>
      </c>
      <c r="T26" s="113">
        <f>VLOOKUP($N26,'Meter Read info'!$C$2:$G$249,4,"FALSE")</f>
        <v>0</v>
      </c>
      <c r="U26" s="113">
        <f>VLOOKUP($N26,'Meter Read info'!$C$2:$G$249,5,"FALSE")</f>
        <v>0</v>
      </c>
    </row>
    <row r="27" spans="1:21" outlineLevel="2" x14ac:dyDescent="0.3">
      <c r="A27" s="91" t="s">
        <v>21</v>
      </c>
      <c r="B27" s="91" t="s">
        <v>22</v>
      </c>
      <c r="C27" s="91" t="str">
        <f>VLOOKUP(B27,Tables!G$2:H$79,2,FALSE)</f>
        <v>ROTC-Army</v>
      </c>
      <c r="D27" s="90" t="s">
        <v>14</v>
      </c>
      <c r="E27" s="89">
        <v>2066</v>
      </c>
      <c r="F27" s="90" t="s">
        <v>15</v>
      </c>
      <c r="G27" s="55" t="str">
        <f>VLOOKUP(F27,Tables!D$2:E$12,2,FALSE)</f>
        <v>PTR</v>
      </c>
      <c r="H27" s="83">
        <v>17099426</v>
      </c>
      <c r="I27" s="85">
        <f t="shared" si="5"/>
        <v>55</v>
      </c>
      <c r="J27" s="85">
        <f t="shared" si="6"/>
        <v>0</v>
      </c>
      <c r="K27" s="87">
        <f t="shared" si="7"/>
        <v>1.4410000000000001</v>
      </c>
      <c r="L27" s="87">
        <f t="shared" si="8"/>
        <v>0</v>
      </c>
      <c r="M27" s="88">
        <f t="shared" si="9"/>
        <v>1.4410000000000001</v>
      </c>
      <c r="N27" s="90" t="s">
        <v>38</v>
      </c>
      <c r="O27" s="90" t="s">
        <v>39</v>
      </c>
      <c r="P27" s="56">
        <f>IF(G27="MFP",Tables!B$2,Tables!B$5)</f>
        <v>2.6200000000000001E-2</v>
      </c>
      <c r="Q27" s="124">
        <f>IF(G27="MFP",Tables!B$3,Tables!B$6)</f>
        <v>0.11799999999999999</v>
      </c>
      <c r="R27" s="113">
        <f>VLOOKUP($N27,'Meter Read info'!$C$2:$G$249,2,"FALSE")</f>
        <v>329</v>
      </c>
      <c r="S27" s="113">
        <f>VLOOKUP($N27,'Meter Read info'!$C$2:$G$249,3,"FALSE")</f>
        <v>384</v>
      </c>
      <c r="T27" s="113">
        <f>VLOOKUP($N27,'Meter Read info'!$C$2:$G$249,4,"FALSE")</f>
        <v>0</v>
      </c>
      <c r="U27" s="113">
        <f>VLOOKUP($N27,'Meter Read info'!$C$2:$G$249,5,"FALSE")</f>
        <v>0</v>
      </c>
    </row>
    <row r="28" spans="1:21" outlineLevel="2" x14ac:dyDescent="0.3">
      <c r="A28" s="91" t="s">
        <v>21</v>
      </c>
      <c r="B28" s="91" t="s">
        <v>22</v>
      </c>
      <c r="C28" s="91" t="str">
        <f>VLOOKUP(B28,Tables!G$2:H$79,2,FALSE)</f>
        <v>ROTC-Army</v>
      </c>
      <c r="D28" s="90" t="s">
        <v>14</v>
      </c>
      <c r="E28" s="89">
        <v>2067</v>
      </c>
      <c r="F28" s="90" t="s">
        <v>15</v>
      </c>
      <c r="G28" s="55" t="str">
        <f>VLOOKUP(F28,Tables!D$2:E$12,2,FALSE)</f>
        <v>PTR</v>
      </c>
      <c r="H28" s="83">
        <v>17099425</v>
      </c>
      <c r="I28" s="85">
        <f t="shared" si="5"/>
        <v>249</v>
      </c>
      <c r="J28" s="85">
        <f t="shared" si="6"/>
        <v>0</v>
      </c>
      <c r="K28" s="87">
        <f t="shared" si="7"/>
        <v>6.5238000000000005</v>
      </c>
      <c r="L28" s="87">
        <f t="shared" si="8"/>
        <v>0</v>
      </c>
      <c r="M28" s="88">
        <f t="shared" si="9"/>
        <v>6.5238000000000005</v>
      </c>
      <c r="N28" s="90" t="s">
        <v>32</v>
      </c>
      <c r="O28" s="90" t="s">
        <v>33</v>
      </c>
      <c r="P28" s="56">
        <f>IF(G28="MFP",Tables!B$2,Tables!B$5)</f>
        <v>2.6200000000000001E-2</v>
      </c>
      <c r="Q28" s="124">
        <f>IF(G28="MFP",Tables!B$3,Tables!B$6)</f>
        <v>0.11799999999999999</v>
      </c>
      <c r="R28" s="113">
        <f>VLOOKUP($N28,'Meter Read info'!$C$2:$G$249,2,"FALSE")</f>
        <v>761</v>
      </c>
      <c r="S28" s="113">
        <f>VLOOKUP($N28,'Meter Read info'!$C$2:$G$249,3,"FALSE")</f>
        <v>1010</v>
      </c>
      <c r="T28" s="113">
        <f>VLOOKUP($N28,'Meter Read info'!$C$2:$G$249,4,"FALSE")</f>
        <v>0</v>
      </c>
      <c r="U28" s="113">
        <f>VLOOKUP($N28,'Meter Read info'!$C$2:$G$249,5,"FALSE")</f>
        <v>0</v>
      </c>
    </row>
    <row r="29" spans="1:21" outlineLevel="2" x14ac:dyDescent="0.3">
      <c r="A29" s="91" t="s">
        <v>21</v>
      </c>
      <c r="B29" s="91" t="s">
        <v>22</v>
      </c>
      <c r="C29" s="91" t="str">
        <f>VLOOKUP(B29,Tables!G$2:H$79,2,FALSE)</f>
        <v>ROTC-Army</v>
      </c>
      <c r="D29" s="90" t="s">
        <v>14</v>
      </c>
      <c r="E29" s="89">
        <v>2070</v>
      </c>
      <c r="F29" s="90" t="s">
        <v>15</v>
      </c>
      <c r="G29" s="55" t="str">
        <f>VLOOKUP(F29,Tables!D$2:E$12,2,FALSE)</f>
        <v>PTR</v>
      </c>
      <c r="H29" s="83">
        <v>17099428</v>
      </c>
      <c r="I29" s="85">
        <f t="shared" si="5"/>
        <v>105</v>
      </c>
      <c r="J29" s="85">
        <f t="shared" si="6"/>
        <v>0</v>
      </c>
      <c r="K29" s="87">
        <f t="shared" si="7"/>
        <v>2.7510000000000003</v>
      </c>
      <c r="L29" s="87">
        <f t="shared" si="8"/>
        <v>0</v>
      </c>
      <c r="M29" s="88">
        <f t="shared" si="9"/>
        <v>2.7510000000000003</v>
      </c>
      <c r="N29" s="90" t="s">
        <v>42</v>
      </c>
      <c r="O29" s="90" t="s">
        <v>43</v>
      </c>
      <c r="P29" s="56">
        <f>IF(G29="MFP",Tables!B$2,Tables!B$5)</f>
        <v>2.6200000000000001E-2</v>
      </c>
      <c r="Q29" s="124">
        <f>IF(G29="MFP",Tables!B$3,Tables!B$6)</f>
        <v>0.11799999999999999</v>
      </c>
      <c r="R29" s="113">
        <f>VLOOKUP($N29,'Meter Read info'!$C$2:$G$249,2,"FALSE")</f>
        <v>1042</v>
      </c>
      <c r="S29" s="113">
        <f>VLOOKUP($N29,'Meter Read info'!$C$2:$G$249,3,"FALSE")</f>
        <v>1147</v>
      </c>
      <c r="T29" s="113">
        <f>VLOOKUP($N29,'Meter Read info'!$C$2:$G$249,4,"FALSE")</f>
        <v>0</v>
      </c>
      <c r="U29" s="113">
        <f>VLOOKUP($N29,'Meter Read info'!$C$2:$G$249,5,"FALSE")</f>
        <v>0</v>
      </c>
    </row>
    <row r="30" spans="1:21" ht="31.2" outlineLevel="1" x14ac:dyDescent="0.3">
      <c r="A30" s="91"/>
      <c r="B30" s="107" t="s">
        <v>892</v>
      </c>
      <c r="C30" s="91"/>
      <c r="D30" s="90"/>
      <c r="E30" s="89"/>
      <c r="F30" s="90"/>
      <c r="G30" s="55"/>
      <c r="H30" s="83"/>
      <c r="I30" s="85"/>
      <c r="J30" s="85"/>
      <c r="K30" s="87"/>
      <c r="L30" s="87"/>
      <c r="M30" s="88">
        <f>SUBTOTAL(9,M17:M29)</f>
        <v>449.41669999999999</v>
      </c>
      <c r="N30" s="90"/>
      <c r="O30" s="90"/>
      <c r="P30" s="56"/>
      <c r="Q30" s="124"/>
      <c r="R30" s="113"/>
      <c r="S30" s="113"/>
      <c r="T30" s="113"/>
      <c r="U30" s="113"/>
    </row>
    <row r="31" spans="1:21" ht="30" outlineLevel="2" x14ac:dyDescent="0.3">
      <c r="A31" s="91" t="s">
        <v>667</v>
      </c>
      <c r="B31" s="91" t="s">
        <v>687</v>
      </c>
      <c r="C31" s="91" t="str">
        <f>VLOOKUP(B31,Tables!G$2:H$79,2,FALSE)</f>
        <v>AOF - Academic Advising</v>
      </c>
      <c r="D31" s="90" t="s">
        <v>223</v>
      </c>
      <c r="E31" s="89">
        <v>210</v>
      </c>
      <c r="F31" s="90" t="s">
        <v>54</v>
      </c>
      <c r="G31" s="55" t="str">
        <f>VLOOKUP(F31,Tables!D$2:E$12,2,FALSE)</f>
        <v>MFP</v>
      </c>
      <c r="H31" s="83">
        <v>17099459</v>
      </c>
      <c r="I31" s="85">
        <f>SUM(S31-R31)</f>
        <v>8899</v>
      </c>
      <c r="J31" s="85">
        <f>SUM(U31-T31)</f>
        <v>79</v>
      </c>
      <c r="K31" s="87">
        <f>SUM(I31*$P31)</f>
        <v>184.20929999999998</v>
      </c>
      <c r="L31" s="87">
        <f>SUM(J31*$Q31)</f>
        <v>6.8729999999999993</v>
      </c>
      <c r="M31" s="88">
        <f>K31+L31</f>
        <v>191.08229999999998</v>
      </c>
      <c r="N31" s="90" t="s">
        <v>551</v>
      </c>
      <c r="O31" s="90" t="s">
        <v>552</v>
      </c>
      <c r="P31" s="56">
        <f>IF(G31="MFP",Tables!B$2,Tables!B$5)</f>
        <v>2.07E-2</v>
      </c>
      <c r="Q31" s="124">
        <f>IF(G31="MFP",Tables!B$3,Tables!B$6)</f>
        <v>8.6999999999999994E-2</v>
      </c>
      <c r="R31" s="113">
        <f>VLOOKUP($N31,'Meter Read info'!$C$2:$G$249,2,"FALSE")</f>
        <v>24087</v>
      </c>
      <c r="S31" s="113">
        <f>VLOOKUP($N31,'Meter Read info'!$C$2:$G$249,3,"FALSE")</f>
        <v>32986</v>
      </c>
      <c r="T31" s="113">
        <f>VLOOKUP($N31,'Meter Read info'!$C$2:$G$249,4,"FALSE")</f>
        <v>3089</v>
      </c>
      <c r="U31" s="113">
        <f>VLOOKUP($N31,'Meter Read info'!$C$2:$G$249,5,"FALSE")</f>
        <v>3168</v>
      </c>
    </row>
    <row r="32" spans="1:21" ht="31.2" outlineLevel="1" x14ac:dyDescent="0.3">
      <c r="A32" s="91"/>
      <c r="B32" s="107" t="s">
        <v>893</v>
      </c>
      <c r="C32" s="91"/>
      <c r="D32" s="90"/>
      <c r="E32" s="89"/>
      <c r="F32" s="90"/>
      <c r="G32" s="55"/>
      <c r="H32" s="83"/>
      <c r="I32" s="85"/>
      <c r="J32" s="85"/>
      <c r="K32" s="87"/>
      <c r="L32" s="87"/>
      <c r="M32" s="88">
        <f>SUBTOTAL(9,M31:M31)</f>
        <v>191.08229999999998</v>
      </c>
      <c r="N32" s="90"/>
      <c r="O32" s="90"/>
      <c r="P32" s="56"/>
      <c r="Q32" s="124"/>
      <c r="R32" s="113"/>
      <c r="S32" s="113"/>
      <c r="T32" s="113"/>
      <c r="U32" s="113"/>
    </row>
    <row r="33" spans="1:21" ht="30" outlineLevel="2" x14ac:dyDescent="0.3">
      <c r="A33" s="91" t="s">
        <v>673</v>
      </c>
      <c r="B33" s="91" t="s">
        <v>500</v>
      </c>
      <c r="C33" s="91" t="str">
        <f>VLOOKUP(B33,Tables!G$2:H$79,2,FALSE)</f>
        <v>Sports Information</v>
      </c>
      <c r="D33" s="90" t="s">
        <v>279</v>
      </c>
      <c r="E33" s="89">
        <v>116</v>
      </c>
      <c r="F33" s="90" t="s">
        <v>159</v>
      </c>
      <c r="G33" s="55" t="str">
        <f>VLOOKUP(F33,Tables!D$2:E$12,2,FALSE)</f>
        <v>MFP</v>
      </c>
      <c r="H33" s="83">
        <v>17099531</v>
      </c>
      <c r="I33" s="85">
        <f>SUM(S33-R33)</f>
        <v>1944</v>
      </c>
      <c r="J33" s="85">
        <f>SUM(U33-T33)</f>
        <v>0</v>
      </c>
      <c r="K33" s="87">
        <f>SUM(I33*$P33)</f>
        <v>40.2408</v>
      </c>
      <c r="L33" s="87">
        <f>SUM(J33*$Q33)</f>
        <v>0</v>
      </c>
      <c r="M33" s="88">
        <f>K33+L33</f>
        <v>40.2408</v>
      </c>
      <c r="N33" s="90" t="s">
        <v>501</v>
      </c>
      <c r="O33" s="90" t="s">
        <v>502</v>
      </c>
      <c r="P33" s="56">
        <f>IF(G33="MFP",Tables!B$2,Tables!B$5)</f>
        <v>2.07E-2</v>
      </c>
      <c r="Q33" s="124">
        <f>IF(G33="MFP",Tables!B$3,Tables!B$6)</f>
        <v>8.6999999999999994E-2</v>
      </c>
      <c r="R33" s="113">
        <f>VLOOKUP($N33,'Meter Read info'!$C$2:$G$249,2,"FALSE")</f>
        <v>3693</v>
      </c>
      <c r="S33" s="113">
        <f>VLOOKUP($N33,'Meter Read info'!$C$2:$G$249,3,"FALSE")</f>
        <v>5637</v>
      </c>
      <c r="T33" s="113">
        <f>VLOOKUP($N33,'Meter Read info'!$C$2:$G$249,4,"FALSE")</f>
        <v>0</v>
      </c>
      <c r="U33" s="113">
        <f>VLOOKUP($N33,'Meter Read info'!$C$2:$G$249,5,"FALSE")</f>
        <v>0</v>
      </c>
    </row>
    <row r="34" spans="1:21" ht="31.2" outlineLevel="1" x14ac:dyDescent="0.3">
      <c r="A34" s="91"/>
      <c r="B34" s="107" t="s">
        <v>894</v>
      </c>
      <c r="C34" s="91"/>
      <c r="D34" s="90"/>
      <c r="E34" s="89"/>
      <c r="F34" s="90"/>
      <c r="G34" s="55"/>
      <c r="H34" s="83"/>
      <c r="I34" s="85"/>
      <c r="J34" s="85"/>
      <c r="K34" s="87"/>
      <c r="L34" s="87"/>
      <c r="M34" s="88">
        <f>SUBTOTAL(9,M33:M33)</f>
        <v>40.2408</v>
      </c>
      <c r="N34" s="90"/>
      <c r="O34" s="90"/>
      <c r="P34" s="56"/>
      <c r="Q34" s="124"/>
      <c r="R34" s="113"/>
      <c r="S34" s="113"/>
      <c r="T34" s="113"/>
      <c r="U34" s="113"/>
    </row>
    <row r="35" spans="1:21" outlineLevel="2" x14ac:dyDescent="0.3">
      <c r="A35" s="91" t="s">
        <v>588</v>
      </c>
      <c r="B35" s="91" t="s">
        <v>615</v>
      </c>
      <c r="C35" s="91" t="str">
        <f>VLOOKUP(B35,Tables!G$2:H$79,2,FALSE)</f>
        <v>Track &amp; Cross Country</v>
      </c>
      <c r="D35" s="90" t="s">
        <v>589</v>
      </c>
      <c r="E35" s="89">
        <v>231</v>
      </c>
      <c r="F35" s="90" t="s">
        <v>15</v>
      </c>
      <c r="G35" s="55" t="str">
        <f>VLOOKUP(F35,Tables!D$2:E$12,2,FALSE)</f>
        <v>PTR</v>
      </c>
      <c r="H35" s="83">
        <v>17099560</v>
      </c>
      <c r="I35" s="85">
        <f>SUM(S35-R35)</f>
        <v>1013</v>
      </c>
      <c r="J35" s="85">
        <f>SUM(U35-T35)</f>
        <v>0</v>
      </c>
      <c r="K35" s="87">
        <f>SUM(I35*$P35)</f>
        <v>26.540600000000001</v>
      </c>
      <c r="L35" s="87">
        <f>SUM(J35*$Q35)</f>
        <v>0</v>
      </c>
      <c r="M35" s="88">
        <f>K35+L35</f>
        <v>26.540600000000001</v>
      </c>
      <c r="N35" s="90" t="s">
        <v>617</v>
      </c>
      <c r="O35" s="90" t="s">
        <v>618</v>
      </c>
      <c r="P35" s="56">
        <f>IF(G35="MFP",Tables!B$2,Tables!B$5)</f>
        <v>2.6200000000000001E-2</v>
      </c>
      <c r="Q35" s="124">
        <f>IF(G35="MFP",Tables!B$3,Tables!B$6)</f>
        <v>0.11799999999999999</v>
      </c>
      <c r="R35" s="113">
        <f>VLOOKUP($N35,'Meter Read info'!$C$2:$G$249,2,"FALSE")</f>
        <v>2252</v>
      </c>
      <c r="S35" s="113">
        <f>VLOOKUP($N35,'Meter Read info'!$C$2:$G$249,3,"FALSE")</f>
        <v>3265</v>
      </c>
      <c r="T35" s="113">
        <f>VLOOKUP($N35,'Meter Read info'!$C$2:$G$249,4,"FALSE")</f>
        <v>0</v>
      </c>
      <c r="U35" s="113">
        <f>VLOOKUP($N35,'Meter Read info'!$C$2:$G$249,5,"FALSE")</f>
        <v>0</v>
      </c>
    </row>
    <row r="36" spans="1:21" ht="31.2" outlineLevel="1" x14ac:dyDescent="0.3">
      <c r="A36" s="91"/>
      <c r="B36" s="107" t="s">
        <v>895</v>
      </c>
      <c r="C36" s="91"/>
      <c r="D36" s="90"/>
      <c r="E36" s="89"/>
      <c r="F36" s="90"/>
      <c r="G36" s="55"/>
      <c r="H36" s="83"/>
      <c r="I36" s="85"/>
      <c r="J36" s="85"/>
      <c r="K36" s="87"/>
      <c r="L36" s="87"/>
      <c r="M36" s="88">
        <f>SUBTOTAL(9,M35:M35)</f>
        <v>26.540600000000001</v>
      </c>
      <c r="N36" s="90"/>
      <c r="O36" s="90"/>
      <c r="P36" s="56"/>
      <c r="Q36" s="124"/>
      <c r="R36" s="113"/>
      <c r="S36" s="113"/>
      <c r="T36" s="113"/>
      <c r="U36" s="113"/>
    </row>
    <row r="37" spans="1:21" outlineLevel="2" x14ac:dyDescent="0.3">
      <c r="A37" s="91" t="s">
        <v>588</v>
      </c>
      <c r="B37" s="91" t="s">
        <v>595</v>
      </c>
      <c r="C37" s="91" t="str">
        <f>VLOOKUP(B37,Tables!G$2:H$79,2,FALSE)</f>
        <v>Soccer</v>
      </c>
      <c r="D37" s="90" t="s">
        <v>589</v>
      </c>
      <c r="E37" s="57">
        <v>245</v>
      </c>
      <c r="F37" s="90" t="s">
        <v>15</v>
      </c>
      <c r="G37" s="55" t="str">
        <f>VLOOKUP(F37,Tables!D$2:E$12,2,FALSE)</f>
        <v>PTR</v>
      </c>
      <c r="H37" s="83">
        <v>17099557</v>
      </c>
      <c r="I37" s="85">
        <f>SUM(S37-R37)</f>
        <v>191</v>
      </c>
      <c r="J37" s="85">
        <f>SUM(U37-T37)</f>
        <v>0</v>
      </c>
      <c r="K37" s="87">
        <f>SUM(I37*$P37)</f>
        <v>5.0042</v>
      </c>
      <c r="L37" s="87">
        <f>SUM(J37*$Q37)</f>
        <v>0</v>
      </c>
      <c r="M37" s="88">
        <f>K37+L37</f>
        <v>5.0042</v>
      </c>
      <c r="N37" s="90" t="s">
        <v>596</v>
      </c>
      <c r="O37" s="90" t="s">
        <v>597</v>
      </c>
      <c r="P37" s="56">
        <f>IF(G37="MFP",Tables!B$2,Tables!B$5)</f>
        <v>2.6200000000000001E-2</v>
      </c>
      <c r="Q37" s="124">
        <f>IF(G37="MFP",Tables!B$3,Tables!B$6)</f>
        <v>0.11799999999999999</v>
      </c>
      <c r="R37" s="113">
        <f>VLOOKUP($N37,'Meter Read info'!$C$2:$G$249,2,"FALSE")</f>
        <v>692</v>
      </c>
      <c r="S37" s="113">
        <f>VLOOKUP($N37,'Meter Read info'!$C$2:$G$249,3,"FALSE")</f>
        <v>883</v>
      </c>
      <c r="T37" s="113">
        <f>VLOOKUP($N37,'Meter Read info'!$C$2:$G$249,4,"FALSE")</f>
        <v>0</v>
      </c>
      <c r="U37" s="113">
        <f>VLOOKUP($N37,'Meter Read info'!$C$2:$G$249,5,"FALSE")</f>
        <v>0</v>
      </c>
    </row>
    <row r="38" spans="1:21" ht="31.2" outlineLevel="1" x14ac:dyDescent="0.3">
      <c r="A38" s="91"/>
      <c r="B38" s="107" t="s">
        <v>896</v>
      </c>
      <c r="C38" s="91"/>
      <c r="D38" s="90"/>
      <c r="E38" s="57"/>
      <c r="F38" s="90"/>
      <c r="G38" s="55"/>
      <c r="H38" s="83"/>
      <c r="I38" s="85"/>
      <c r="J38" s="85"/>
      <c r="K38" s="87"/>
      <c r="L38" s="87"/>
      <c r="M38" s="88">
        <f>SUBTOTAL(9,M37:M37)</f>
        <v>5.0042</v>
      </c>
      <c r="N38" s="90"/>
      <c r="O38" s="90"/>
      <c r="P38" s="56"/>
      <c r="Q38" s="124"/>
      <c r="R38" s="113"/>
      <c r="S38" s="113"/>
      <c r="T38" s="113"/>
      <c r="U38" s="113"/>
    </row>
    <row r="39" spans="1:21" outlineLevel="2" x14ac:dyDescent="0.3">
      <c r="A39" s="91" t="s">
        <v>588</v>
      </c>
      <c r="B39" s="91" t="s">
        <v>619</v>
      </c>
      <c r="C39" s="91" t="str">
        <f>VLOOKUP(B39,Tables!G$2:H$79,2,FALSE)</f>
        <v>Soccer - Women</v>
      </c>
      <c r="D39" s="90" t="s">
        <v>589</v>
      </c>
      <c r="E39" s="89">
        <v>239</v>
      </c>
      <c r="F39" s="90" t="s">
        <v>15</v>
      </c>
      <c r="G39" s="55" t="str">
        <f>VLOOKUP(F39,Tables!D$2:E$12,2,FALSE)</f>
        <v>PTR</v>
      </c>
      <c r="H39" s="83">
        <v>17099565</v>
      </c>
      <c r="I39" s="85">
        <f>SUM(S39-R39)</f>
        <v>173</v>
      </c>
      <c r="J39" s="85">
        <f>SUM(U39-T39)</f>
        <v>0</v>
      </c>
      <c r="K39" s="87">
        <f>SUM(I39*$P39)</f>
        <v>4.5326000000000004</v>
      </c>
      <c r="L39" s="87">
        <f>SUM(J39*$Q39)</f>
        <v>0</v>
      </c>
      <c r="M39" s="88">
        <f>K39+L39</f>
        <v>4.5326000000000004</v>
      </c>
      <c r="N39" s="90" t="s">
        <v>621</v>
      </c>
      <c r="O39" s="90" t="s">
        <v>622</v>
      </c>
      <c r="P39" s="56">
        <f>IF(G39="MFP",Tables!B$2,Tables!B$5)</f>
        <v>2.6200000000000001E-2</v>
      </c>
      <c r="Q39" s="124">
        <f>IF(G39="MFP",Tables!B$3,Tables!B$6)</f>
        <v>0.11799999999999999</v>
      </c>
      <c r="R39" s="113">
        <f>VLOOKUP($N39,'Meter Read info'!$C$2:$G$249,2,"FALSE")</f>
        <v>462</v>
      </c>
      <c r="S39" s="113">
        <f>VLOOKUP($N39,'Meter Read info'!$C$2:$G$249,3,"FALSE")</f>
        <v>635</v>
      </c>
      <c r="T39" s="113">
        <f>VLOOKUP($N39,'Meter Read info'!$C$2:$G$249,4,"FALSE")</f>
        <v>0</v>
      </c>
      <c r="U39" s="113">
        <f>VLOOKUP($N39,'Meter Read info'!$C$2:$G$249,5,"FALSE")</f>
        <v>0</v>
      </c>
    </row>
    <row r="40" spans="1:21" ht="31.2" outlineLevel="1" x14ac:dyDescent="0.3">
      <c r="A40" s="91"/>
      <c r="B40" s="107" t="s">
        <v>897</v>
      </c>
      <c r="C40" s="91"/>
      <c r="D40" s="90"/>
      <c r="E40" s="89"/>
      <c r="F40" s="90"/>
      <c r="G40" s="55"/>
      <c r="H40" s="83"/>
      <c r="I40" s="85"/>
      <c r="J40" s="85"/>
      <c r="K40" s="87"/>
      <c r="L40" s="87"/>
      <c r="M40" s="88">
        <f>SUBTOTAL(9,M39:M39)</f>
        <v>4.5326000000000004</v>
      </c>
      <c r="N40" s="90"/>
      <c r="O40" s="90"/>
      <c r="P40" s="56"/>
      <c r="Q40" s="124"/>
      <c r="R40" s="113"/>
      <c r="S40" s="113"/>
      <c r="T40" s="113"/>
      <c r="U40" s="113"/>
    </row>
    <row r="41" spans="1:21" outlineLevel="2" x14ac:dyDescent="0.3">
      <c r="A41" s="91" t="s">
        <v>588</v>
      </c>
      <c r="B41" s="91" t="s">
        <v>623</v>
      </c>
      <c r="C41" s="91" t="str">
        <f>VLOOKUP(B41,Tables!G$2:H$79,2,FALSE)</f>
        <v>Administrative</v>
      </c>
      <c r="D41" s="90" t="s">
        <v>589</v>
      </c>
      <c r="E41" s="89">
        <v>204</v>
      </c>
      <c r="F41" s="90" t="s">
        <v>159</v>
      </c>
      <c r="G41" s="55" t="str">
        <f>VLOOKUP(F41,Tables!D$2:E$12,2,FALSE)</f>
        <v>MFP</v>
      </c>
      <c r="H41" s="83">
        <v>17099507</v>
      </c>
      <c r="I41" s="85">
        <f t="shared" ref="I41:I48" si="10">SUM(S41-R41)</f>
        <v>2470</v>
      </c>
      <c r="J41" s="85">
        <f t="shared" ref="J41:J48" si="11">SUM(U41-T41)</f>
        <v>0</v>
      </c>
      <c r="K41" s="87">
        <f t="shared" ref="K41:K48" si="12">SUM(I41*$P41)</f>
        <v>51.128999999999998</v>
      </c>
      <c r="L41" s="87">
        <f t="shared" ref="L41:L48" si="13">SUM(J41*$Q41)</f>
        <v>0</v>
      </c>
      <c r="M41" s="88">
        <f t="shared" ref="M41:M48" si="14">K41+L41</f>
        <v>51.128999999999998</v>
      </c>
      <c r="N41" s="90" t="s">
        <v>629</v>
      </c>
      <c r="O41" s="90" t="s">
        <v>630</v>
      </c>
      <c r="P41" s="56">
        <f>IF(G41="MFP",Tables!B$2,Tables!B$5)</f>
        <v>2.07E-2</v>
      </c>
      <c r="Q41" s="124">
        <f>IF(G41="MFP",Tables!B$3,Tables!B$6)</f>
        <v>8.6999999999999994E-2</v>
      </c>
      <c r="R41" s="113">
        <f>VLOOKUP($N41,'Meter Read info'!$C$2:$G$249,2,"FALSE")</f>
        <v>9675</v>
      </c>
      <c r="S41" s="113">
        <f>VLOOKUP($N41,'Meter Read info'!$C$2:$G$249,3,"FALSE")</f>
        <v>12145</v>
      </c>
      <c r="T41" s="113">
        <f>VLOOKUP($N41,'Meter Read info'!$C$2:$G$249,4,"FALSE")</f>
        <v>0</v>
      </c>
      <c r="U41" s="113">
        <f>VLOOKUP($N41,'Meter Read info'!$C$2:$G$249,5,"FALSE")</f>
        <v>0</v>
      </c>
    </row>
    <row r="42" spans="1:21" outlineLevel="2" x14ac:dyDescent="0.3">
      <c r="A42" s="91" t="s">
        <v>588</v>
      </c>
      <c r="B42" s="91" t="s">
        <v>623</v>
      </c>
      <c r="C42" s="91" t="str">
        <f>VLOOKUP(B42,Tables!G$2:H$79,2,FALSE)</f>
        <v>Administrative</v>
      </c>
      <c r="D42" s="90" t="s">
        <v>589</v>
      </c>
      <c r="E42" s="89">
        <v>235</v>
      </c>
      <c r="F42" s="90" t="s">
        <v>419</v>
      </c>
      <c r="G42" s="55" t="str">
        <f>VLOOKUP(F42,Tables!D$2:E$12,2,FALSE)</f>
        <v>MFP</v>
      </c>
      <c r="H42" s="83">
        <v>17099490</v>
      </c>
      <c r="I42" s="85">
        <f t="shared" si="10"/>
        <v>8125</v>
      </c>
      <c r="J42" s="85">
        <f t="shared" si="11"/>
        <v>4871</v>
      </c>
      <c r="K42" s="87">
        <f t="shared" si="12"/>
        <v>168.1875</v>
      </c>
      <c r="L42" s="87">
        <f t="shared" si="13"/>
        <v>423.77699999999999</v>
      </c>
      <c r="M42" s="88">
        <f t="shared" si="14"/>
        <v>591.96450000000004</v>
      </c>
      <c r="N42" s="90" t="s">
        <v>627</v>
      </c>
      <c r="O42" s="90" t="s">
        <v>628</v>
      </c>
      <c r="P42" s="56">
        <f>IF(G42="MFP",Tables!B$2,Tables!B$5)</f>
        <v>2.07E-2</v>
      </c>
      <c r="Q42" s="124">
        <f>IF(G42="MFP",Tables!B$3,Tables!B$6)</f>
        <v>8.6999999999999994E-2</v>
      </c>
      <c r="R42" s="113">
        <f>VLOOKUP($N42,'Meter Read info'!$C$2:$G$249,2,"FALSE")</f>
        <v>26987</v>
      </c>
      <c r="S42" s="113">
        <f>VLOOKUP($N42,'Meter Read info'!$C$2:$G$249,3,"FALSE")</f>
        <v>35112</v>
      </c>
      <c r="T42" s="113">
        <f>VLOOKUP($N42,'Meter Read info'!$C$2:$G$249,4,"FALSE")</f>
        <v>8187</v>
      </c>
      <c r="U42" s="113">
        <f>VLOOKUP($N42,'Meter Read info'!$C$2:$G$249,5,"FALSE")</f>
        <v>13058</v>
      </c>
    </row>
    <row r="43" spans="1:21" outlineLevel="2" x14ac:dyDescent="0.3">
      <c r="A43" s="91" t="s">
        <v>588</v>
      </c>
      <c r="B43" s="91" t="s">
        <v>623</v>
      </c>
      <c r="C43" s="91" t="str">
        <f>VLOOKUP(B43,Tables!G$2:H$79,2,FALSE)</f>
        <v>Administrative</v>
      </c>
      <c r="D43" s="90" t="s">
        <v>589</v>
      </c>
      <c r="E43" s="89">
        <v>241</v>
      </c>
      <c r="F43" s="90" t="s">
        <v>15</v>
      </c>
      <c r="G43" s="55" t="str">
        <f>VLOOKUP(F43,Tables!D$2:E$12,2,FALSE)</f>
        <v>PTR</v>
      </c>
      <c r="H43" s="83">
        <v>17099552</v>
      </c>
      <c r="I43" s="85">
        <f t="shared" si="10"/>
        <v>787</v>
      </c>
      <c r="J43" s="85">
        <f t="shared" si="11"/>
        <v>0</v>
      </c>
      <c r="K43" s="87">
        <f t="shared" si="12"/>
        <v>20.619400000000002</v>
      </c>
      <c r="L43" s="87">
        <f t="shared" si="13"/>
        <v>0</v>
      </c>
      <c r="M43" s="88">
        <f t="shared" si="14"/>
        <v>20.619400000000002</v>
      </c>
      <c r="N43" s="90" t="s">
        <v>631</v>
      </c>
      <c r="O43" s="90" t="s">
        <v>632</v>
      </c>
      <c r="P43" s="56">
        <f>IF(G43="MFP",Tables!B$2,Tables!B$5)</f>
        <v>2.6200000000000001E-2</v>
      </c>
      <c r="Q43" s="124">
        <f>IF(G43="MFP",Tables!B$3,Tables!B$6)</f>
        <v>0.11799999999999999</v>
      </c>
      <c r="R43" s="113">
        <f>VLOOKUP($N43,'Meter Read info'!$C$2:$G$249,2,"FALSE")</f>
        <v>3109</v>
      </c>
      <c r="S43" s="113">
        <f>VLOOKUP($N43,'Meter Read info'!$C$2:$G$249,3,"FALSE")</f>
        <v>3896</v>
      </c>
      <c r="T43" s="113">
        <f>VLOOKUP($N43,'Meter Read info'!$C$2:$G$249,4,"FALSE")</f>
        <v>0</v>
      </c>
      <c r="U43" s="113">
        <f>VLOOKUP($N43,'Meter Read info'!$C$2:$G$249,5,"FALSE")</f>
        <v>0</v>
      </c>
    </row>
    <row r="44" spans="1:21" outlineLevel="2" x14ac:dyDescent="0.3">
      <c r="A44" s="91" t="s">
        <v>588</v>
      </c>
      <c r="B44" s="91" t="s">
        <v>623</v>
      </c>
      <c r="C44" s="91" t="str">
        <f>VLOOKUP(B44,Tables!G$2:H$79,2,FALSE)</f>
        <v>Administrative</v>
      </c>
      <c r="D44" s="90" t="s">
        <v>589</v>
      </c>
      <c r="E44" s="89">
        <v>242</v>
      </c>
      <c r="F44" s="90" t="s">
        <v>15</v>
      </c>
      <c r="G44" s="55" t="str">
        <f>VLOOKUP(F44,Tables!D$2:E$12,2,FALSE)</f>
        <v>PTR</v>
      </c>
      <c r="H44" s="83">
        <v>17099553</v>
      </c>
      <c r="I44" s="85">
        <f t="shared" si="10"/>
        <v>263</v>
      </c>
      <c r="J44" s="85">
        <f t="shared" si="11"/>
        <v>0</v>
      </c>
      <c r="K44" s="87">
        <f t="shared" si="12"/>
        <v>6.8906000000000001</v>
      </c>
      <c r="L44" s="87">
        <f t="shared" si="13"/>
        <v>0</v>
      </c>
      <c r="M44" s="88">
        <f t="shared" si="14"/>
        <v>6.8906000000000001</v>
      </c>
      <c r="N44" s="90" t="s">
        <v>633</v>
      </c>
      <c r="O44" s="90" t="s">
        <v>634</v>
      </c>
      <c r="P44" s="56">
        <f>IF(G44="MFP",Tables!B$2,Tables!B$5)</f>
        <v>2.6200000000000001E-2</v>
      </c>
      <c r="Q44" s="124">
        <f>IF(G44="MFP",Tables!B$3,Tables!B$6)</f>
        <v>0.11799999999999999</v>
      </c>
      <c r="R44" s="113">
        <f>VLOOKUP($N44,'Meter Read info'!$C$2:$G$249,2,"FALSE")</f>
        <v>847</v>
      </c>
      <c r="S44" s="113">
        <f>VLOOKUP($N44,'Meter Read info'!$C$2:$G$249,3,"FALSE")</f>
        <v>1110</v>
      </c>
      <c r="T44" s="113">
        <f>VLOOKUP($N44,'Meter Read info'!$C$2:$G$249,4,"FALSE")</f>
        <v>0</v>
      </c>
      <c r="U44" s="113">
        <f>VLOOKUP($N44,'Meter Read info'!$C$2:$G$249,5,"FALSE")</f>
        <v>0</v>
      </c>
    </row>
    <row r="45" spans="1:21" outlineLevel="2" x14ac:dyDescent="0.3">
      <c r="A45" s="91" t="s">
        <v>588</v>
      </c>
      <c r="B45" s="91" t="s">
        <v>623</v>
      </c>
      <c r="C45" s="91" t="str">
        <f>VLOOKUP(B45,Tables!G$2:H$79,2,FALSE)</f>
        <v>Administrative</v>
      </c>
      <c r="D45" s="90" t="s">
        <v>589</v>
      </c>
      <c r="E45" s="89">
        <v>302</v>
      </c>
      <c r="F45" s="90" t="s">
        <v>54</v>
      </c>
      <c r="G45" s="55" t="str">
        <f>VLOOKUP(F45,Tables!D$2:E$12,2,FALSE)</f>
        <v>MFP</v>
      </c>
      <c r="H45" s="83">
        <v>17099722</v>
      </c>
      <c r="I45" s="85">
        <f t="shared" si="10"/>
        <v>637</v>
      </c>
      <c r="J45" s="85">
        <f t="shared" si="11"/>
        <v>1486</v>
      </c>
      <c r="K45" s="87">
        <f t="shared" si="12"/>
        <v>13.1859</v>
      </c>
      <c r="L45" s="87">
        <f t="shared" si="13"/>
        <v>129.28199999999998</v>
      </c>
      <c r="M45" s="88">
        <f t="shared" si="14"/>
        <v>142.46789999999999</v>
      </c>
      <c r="N45" s="90" t="s">
        <v>625</v>
      </c>
      <c r="O45" s="90" t="s">
        <v>626</v>
      </c>
      <c r="P45" s="56">
        <f>IF(G45="MFP",Tables!B$2,Tables!B$5)</f>
        <v>2.07E-2</v>
      </c>
      <c r="Q45" s="124">
        <f>IF(G45="MFP",Tables!B$3,Tables!B$6)</f>
        <v>8.6999999999999994E-2</v>
      </c>
      <c r="R45" s="113">
        <f>VLOOKUP($N45,'Meter Read info'!$C$2:$G$249,2,"FALSE")</f>
        <v>5516</v>
      </c>
      <c r="S45" s="113">
        <f>VLOOKUP($N45,'Meter Read info'!$C$2:$G$249,3,"FALSE")</f>
        <v>6153</v>
      </c>
      <c r="T45" s="113">
        <f>VLOOKUP($N45,'Meter Read info'!$C$2:$G$249,4,"FALSE")</f>
        <v>12424</v>
      </c>
      <c r="U45" s="113">
        <f>VLOOKUP($N45,'Meter Read info'!$C$2:$G$249,5,"FALSE")</f>
        <v>13910</v>
      </c>
    </row>
    <row r="46" spans="1:21" outlineLevel="2" x14ac:dyDescent="0.3">
      <c r="A46" s="91" t="s">
        <v>588</v>
      </c>
      <c r="B46" s="91" t="s">
        <v>623</v>
      </c>
      <c r="C46" s="91" t="str">
        <f>VLOOKUP(B46,Tables!G$2:H$79,2,FALSE)</f>
        <v>Administrative</v>
      </c>
      <c r="D46" s="90" t="s">
        <v>589</v>
      </c>
      <c r="E46" s="89">
        <v>312</v>
      </c>
      <c r="F46" s="90" t="s">
        <v>15</v>
      </c>
      <c r="G46" s="55" t="str">
        <f>VLOOKUP(F46,Tables!D$2:E$12,2,FALSE)</f>
        <v>PTR</v>
      </c>
      <c r="H46" s="83">
        <v>17099555</v>
      </c>
      <c r="I46" s="85">
        <f t="shared" si="10"/>
        <v>317</v>
      </c>
      <c r="J46" s="85">
        <f t="shared" si="11"/>
        <v>0</v>
      </c>
      <c r="K46" s="87">
        <f t="shared" si="12"/>
        <v>8.3054000000000006</v>
      </c>
      <c r="L46" s="87">
        <f t="shared" si="13"/>
        <v>0</v>
      </c>
      <c r="M46" s="88">
        <f t="shared" si="14"/>
        <v>8.3054000000000006</v>
      </c>
      <c r="N46" s="90" t="s">
        <v>635</v>
      </c>
      <c r="O46" s="90" t="s">
        <v>636</v>
      </c>
      <c r="P46" s="56">
        <f>IF(G46="MFP",Tables!B$2,Tables!B$5)</f>
        <v>2.6200000000000001E-2</v>
      </c>
      <c r="Q46" s="124">
        <f>IF(G46="MFP",Tables!B$3,Tables!B$6)</f>
        <v>0.11799999999999999</v>
      </c>
      <c r="R46" s="113">
        <f>VLOOKUP($N46,'Meter Read info'!$C$2:$G$249,2,"FALSE")</f>
        <v>1256</v>
      </c>
      <c r="S46" s="113">
        <f>VLOOKUP($N46,'Meter Read info'!$C$2:$G$249,3,"FALSE")</f>
        <v>1573</v>
      </c>
      <c r="T46" s="113">
        <f>VLOOKUP($N46,'Meter Read info'!$C$2:$G$249,4,"FALSE")</f>
        <v>0</v>
      </c>
      <c r="U46" s="113">
        <f>VLOOKUP($N46,'Meter Read info'!$C$2:$G$249,5,"FALSE")</f>
        <v>0</v>
      </c>
    </row>
    <row r="47" spans="1:21" outlineLevel="2" x14ac:dyDescent="0.3">
      <c r="A47" s="91" t="s">
        <v>588</v>
      </c>
      <c r="B47" s="91" t="s">
        <v>623</v>
      </c>
      <c r="C47" s="91" t="str">
        <f>VLOOKUP(B47,Tables!G$2:H$79,2,FALSE)</f>
        <v>Administrative</v>
      </c>
      <c r="D47" s="90" t="s">
        <v>589</v>
      </c>
      <c r="E47" s="89">
        <v>314</v>
      </c>
      <c r="F47" s="90" t="s">
        <v>15</v>
      </c>
      <c r="G47" s="55" t="str">
        <f>VLOOKUP(F47,Tables!D$2:E$12,2,FALSE)</f>
        <v>PTR</v>
      </c>
      <c r="H47" s="83">
        <v>17099558</v>
      </c>
      <c r="I47" s="85">
        <f t="shared" si="10"/>
        <v>586</v>
      </c>
      <c r="J47" s="85">
        <f t="shared" si="11"/>
        <v>0</v>
      </c>
      <c r="K47" s="87">
        <f t="shared" si="12"/>
        <v>15.353200000000001</v>
      </c>
      <c r="L47" s="87">
        <f t="shared" si="13"/>
        <v>0</v>
      </c>
      <c r="M47" s="88">
        <f t="shared" si="14"/>
        <v>15.353200000000001</v>
      </c>
      <c r="N47" s="90" t="s">
        <v>637</v>
      </c>
      <c r="O47" s="90" t="s">
        <v>638</v>
      </c>
      <c r="P47" s="56">
        <f>IF(G47="MFP",Tables!B$2,Tables!B$5)</f>
        <v>2.6200000000000001E-2</v>
      </c>
      <c r="Q47" s="124">
        <f>IF(G47="MFP",Tables!B$3,Tables!B$6)</f>
        <v>0.11799999999999999</v>
      </c>
      <c r="R47" s="113">
        <f>VLOOKUP($N47,'Meter Read info'!$C$2:$G$249,2,"FALSE")</f>
        <v>1317</v>
      </c>
      <c r="S47" s="113">
        <f>VLOOKUP($N47,'Meter Read info'!$C$2:$G$249,3,"FALSE")</f>
        <v>1903</v>
      </c>
      <c r="T47" s="113">
        <f>VLOOKUP($N47,'Meter Read info'!$C$2:$G$249,4,"FALSE")</f>
        <v>0</v>
      </c>
      <c r="U47" s="113">
        <f>VLOOKUP($N47,'Meter Read info'!$C$2:$G$249,5,"FALSE")</f>
        <v>0</v>
      </c>
    </row>
    <row r="48" spans="1:21" outlineLevel="2" x14ac:dyDescent="0.3">
      <c r="A48" s="91" t="s">
        <v>588</v>
      </c>
      <c r="B48" s="91" t="s">
        <v>623</v>
      </c>
      <c r="C48" s="91" t="str">
        <f>VLOOKUP(B48,Tables!G$2:H$79,2,FALSE)</f>
        <v>Administrative</v>
      </c>
      <c r="D48" s="90" t="s">
        <v>589</v>
      </c>
      <c r="E48" s="89">
        <v>317</v>
      </c>
      <c r="F48" s="90" t="s">
        <v>15</v>
      </c>
      <c r="G48" s="55" t="str">
        <f>VLOOKUP(F48,Tables!D$2:E$12,2,FALSE)</f>
        <v>PTR</v>
      </c>
      <c r="H48" s="83">
        <v>17099554</v>
      </c>
      <c r="I48" s="85">
        <f t="shared" si="10"/>
        <v>157</v>
      </c>
      <c r="J48" s="85">
        <f t="shared" si="11"/>
        <v>0</v>
      </c>
      <c r="K48" s="87">
        <f t="shared" si="12"/>
        <v>4.1134000000000004</v>
      </c>
      <c r="L48" s="87">
        <f t="shared" si="13"/>
        <v>0</v>
      </c>
      <c r="M48" s="88">
        <f t="shared" si="14"/>
        <v>4.1134000000000004</v>
      </c>
      <c r="N48" s="90" t="s">
        <v>590</v>
      </c>
      <c r="O48" s="90" t="s">
        <v>591</v>
      </c>
      <c r="P48" s="56">
        <f>IF(G48="MFP",Tables!B$2,Tables!B$5)</f>
        <v>2.6200000000000001E-2</v>
      </c>
      <c r="Q48" s="124">
        <f>IF(G48="MFP",Tables!B$3,Tables!B$6)</f>
        <v>0.11799999999999999</v>
      </c>
      <c r="R48" s="113">
        <f>VLOOKUP($N48,'Meter Read info'!$C$2:$G$249,2,"FALSE")</f>
        <v>469</v>
      </c>
      <c r="S48" s="113">
        <f>VLOOKUP($N48,'Meter Read info'!$C$2:$G$249,3,"FALSE")</f>
        <v>626</v>
      </c>
      <c r="T48" s="113">
        <f>VLOOKUP($N48,'Meter Read info'!$C$2:$G$249,4,"FALSE")</f>
        <v>0</v>
      </c>
      <c r="U48" s="113">
        <f>VLOOKUP($N48,'Meter Read info'!$C$2:$G$249,5,"FALSE")</f>
        <v>0</v>
      </c>
    </row>
    <row r="49" spans="1:21" ht="31.2" outlineLevel="1" x14ac:dyDescent="0.3">
      <c r="A49" s="91"/>
      <c r="B49" s="107" t="s">
        <v>898</v>
      </c>
      <c r="C49" s="91"/>
      <c r="D49" s="90"/>
      <c r="E49" s="89"/>
      <c r="F49" s="90"/>
      <c r="G49" s="55"/>
      <c r="H49" s="83"/>
      <c r="I49" s="85"/>
      <c r="J49" s="85"/>
      <c r="K49" s="87"/>
      <c r="L49" s="87"/>
      <c r="M49" s="88">
        <f>SUBTOTAL(9,M41:M48)</f>
        <v>840.84339999999997</v>
      </c>
      <c r="N49" s="90"/>
      <c r="O49" s="90"/>
      <c r="P49" s="56"/>
      <c r="Q49" s="124"/>
      <c r="R49" s="113"/>
      <c r="S49" s="113"/>
      <c r="T49" s="113"/>
      <c r="U49" s="113"/>
    </row>
    <row r="50" spans="1:21" outlineLevel="2" x14ac:dyDescent="0.3">
      <c r="A50" s="91" t="s">
        <v>583</v>
      </c>
      <c r="B50" s="91" t="s">
        <v>584</v>
      </c>
      <c r="C50" s="91" t="str">
        <f>VLOOKUP(B50,Tables!G$2:H$79,2,FALSE)</f>
        <v>Auxiliary Administration</v>
      </c>
      <c r="D50" s="90" t="s">
        <v>207</v>
      </c>
      <c r="E50" s="89">
        <v>502</v>
      </c>
      <c r="F50" s="90" t="s">
        <v>54</v>
      </c>
      <c r="G50" s="55" t="str">
        <f>VLOOKUP(F50,Tables!D$2:E$12,2,FALSE)</f>
        <v>MFP</v>
      </c>
      <c r="H50" s="83">
        <v>17099424</v>
      </c>
      <c r="I50" s="85">
        <f>SUM(S50-R50)</f>
        <v>1526</v>
      </c>
      <c r="J50" s="85">
        <f>SUM(U50-T50)</f>
        <v>116</v>
      </c>
      <c r="K50" s="87">
        <f>SUM(I50*$P50)</f>
        <v>31.588200000000001</v>
      </c>
      <c r="L50" s="87">
        <f>SUM(J50*$Q50)</f>
        <v>10.091999999999999</v>
      </c>
      <c r="M50" s="88">
        <f>K50+L50</f>
        <v>41.680199999999999</v>
      </c>
      <c r="N50" s="90" t="s">
        <v>586</v>
      </c>
      <c r="O50" s="90" t="s">
        <v>587</v>
      </c>
      <c r="P50" s="56">
        <f>IF(G50="MFP",Tables!B$2,Tables!B$5)</f>
        <v>2.07E-2</v>
      </c>
      <c r="Q50" s="124">
        <f>IF(G50="MFP",Tables!B$3,Tables!B$6)</f>
        <v>8.6999999999999994E-2</v>
      </c>
      <c r="R50" s="113">
        <f>VLOOKUP($N50,'Meter Read info'!$C$2:$G$249,2,"FALSE")</f>
        <v>4051</v>
      </c>
      <c r="S50" s="113">
        <f>VLOOKUP($N50,'Meter Read info'!$C$2:$G$249,3,"FALSE")</f>
        <v>5577</v>
      </c>
      <c r="T50" s="113">
        <f>VLOOKUP($N50,'Meter Read info'!$C$2:$G$249,4,"FALSE")</f>
        <v>504</v>
      </c>
      <c r="U50" s="113">
        <f>VLOOKUP($N50,'Meter Read info'!$C$2:$G$249,5,"FALSE")</f>
        <v>620</v>
      </c>
    </row>
    <row r="51" spans="1:21" ht="31.2" outlineLevel="1" x14ac:dyDescent="0.3">
      <c r="A51" s="91"/>
      <c r="B51" s="107" t="s">
        <v>899</v>
      </c>
      <c r="C51" s="91"/>
      <c r="D51" s="90"/>
      <c r="E51" s="89"/>
      <c r="F51" s="90"/>
      <c r="G51" s="55"/>
      <c r="H51" s="83"/>
      <c r="I51" s="85"/>
      <c r="J51" s="85"/>
      <c r="K51" s="87"/>
      <c r="L51" s="87"/>
      <c r="M51" s="88">
        <f>SUBTOTAL(9,M50:M50)</f>
        <v>41.680199999999999</v>
      </c>
      <c r="N51" s="90"/>
      <c r="O51" s="90"/>
      <c r="P51" s="56"/>
      <c r="Q51" s="124"/>
      <c r="R51" s="113"/>
      <c r="S51" s="113"/>
      <c r="T51" s="113"/>
      <c r="U51" s="113"/>
    </row>
    <row r="52" spans="1:21" outlineLevel="2" x14ac:dyDescent="0.3">
      <c r="A52" s="91" t="s">
        <v>545</v>
      </c>
      <c r="B52" s="91" t="s">
        <v>546</v>
      </c>
      <c r="C52" s="91" t="str">
        <f>VLOOKUP(B52,Tables!G$2:H$79,2,FALSE)</f>
        <v>UMA-Band</v>
      </c>
      <c r="D52" s="90" t="s">
        <v>338</v>
      </c>
      <c r="E52" s="89">
        <v>207</v>
      </c>
      <c r="F52" s="90" t="s">
        <v>159</v>
      </c>
      <c r="G52" s="55" t="str">
        <f>VLOOKUP(F52,Tables!D$2:E$12,2,FALSE)</f>
        <v>MFP</v>
      </c>
      <c r="H52" s="83">
        <v>17099460</v>
      </c>
      <c r="I52" s="85">
        <f>SUM(S52-R52)</f>
        <v>1280</v>
      </c>
      <c r="J52" s="85">
        <f>SUM(U52-T52)</f>
        <v>0</v>
      </c>
      <c r="K52" s="87">
        <f>SUM(I52*$P52)</f>
        <v>26.495999999999999</v>
      </c>
      <c r="L52" s="87">
        <f>SUM(J52*$Q52)</f>
        <v>0</v>
      </c>
      <c r="M52" s="88">
        <f>K52+L52</f>
        <v>26.495999999999999</v>
      </c>
      <c r="N52" s="90" t="s">
        <v>548</v>
      </c>
      <c r="O52" s="90" t="s">
        <v>549</v>
      </c>
      <c r="P52" s="56">
        <f>IF(G52="MFP",Tables!B$2,Tables!B$5)</f>
        <v>2.07E-2</v>
      </c>
      <c r="Q52" s="124">
        <f>IF(G52="MFP",Tables!B$3,Tables!B$6)</f>
        <v>8.6999999999999994E-2</v>
      </c>
      <c r="R52" s="113">
        <f>VLOOKUP($N52,'Meter Read info'!$C$2:$G$249,2,"FALSE")</f>
        <v>4729</v>
      </c>
      <c r="S52" s="113">
        <f>VLOOKUP($N52,'Meter Read info'!$C$2:$G$249,3,"FALSE")</f>
        <v>6009</v>
      </c>
      <c r="T52" s="113">
        <f>VLOOKUP($N52,'Meter Read info'!$C$2:$G$249,4,"FALSE")</f>
        <v>0</v>
      </c>
      <c r="U52" s="113">
        <f>VLOOKUP($N52,'Meter Read info'!$C$2:$G$249,5,"FALSE")</f>
        <v>0</v>
      </c>
    </row>
    <row r="53" spans="1:21" ht="31.2" outlineLevel="1" x14ac:dyDescent="0.3">
      <c r="A53" s="91"/>
      <c r="B53" s="107" t="s">
        <v>900</v>
      </c>
      <c r="C53" s="91"/>
      <c r="D53" s="90"/>
      <c r="E53" s="89"/>
      <c r="F53" s="90"/>
      <c r="G53" s="55"/>
      <c r="H53" s="83"/>
      <c r="I53" s="85"/>
      <c r="J53" s="85"/>
      <c r="K53" s="87"/>
      <c r="L53" s="87"/>
      <c r="M53" s="88">
        <f>SUBTOTAL(9,M52:M52)</f>
        <v>26.495999999999999</v>
      </c>
      <c r="N53" s="90"/>
      <c r="O53" s="90"/>
      <c r="P53" s="56"/>
      <c r="Q53" s="124"/>
      <c r="R53" s="113"/>
      <c r="S53" s="113"/>
      <c r="T53" s="113"/>
      <c r="U53" s="113"/>
    </row>
    <row r="54" spans="1:21" outlineLevel="2" x14ac:dyDescent="0.3">
      <c r="A54" s="91" t="s">
        <v>52</v>
      </c>
      <c r="B54" s="91" t="s">
        <v>426</v>
      </c>
      <c r="C54" s="91" t="str">
        <f>VLOOKUP(B54,Tables!G$2:H$79,2,FALSE)</f>
        <v>Printer Services</v>
      </c>
      <c r="D54" s="90" t="s">
        <v>168</v>
      </c>
      <c r="E54" s="89">
        <v>214</v>
      </c>
      <c r="F54" s="90" t="s">
        <v>15</v>
      </c>
      <c r="G54" s="55" t="str">
        <f>VLOOKUP(F54,Tables!D$2:E$12,2,FALSE)</f>
        <v>PTR</v>
      </c>
      <c r="H54" s="83">
        <v>17099580</v>
      </c>
      <c r="I54" s="85">
        <f>SUM(S54-R54)</f>
        <v>173</v>
      </c>
      <c r="J54" s="85">
        <f>SUM(U54-T54)</f>
        <v>0</v>
      </c>
      <c r="K54" s="87">
        <f>SUM(I54*$P54)</f>
        <v>4.5326000000000004</v>
      </c>
      <c r="L54" s="87">
        <f>SUM(J54*$Q54)</f>
        <v>0</v>
      </c>
      <c r="M54" s="88">
        <f>K54+L54</f>
        <v>4.5326000000000004</v>
      </c>
      <c r="N54" s="90" t="s">
        <v>440</v>
      </c>
      <c r="O54" s="90" t="s">
        <v>441</v>
      </c>
      <c r="P54" s="56">
        <f>IF(G54="MFP",Tables!B$2,Tables!B$5)</f>
        <v>2.6200000000000001E-2</v>
      </c>
      <c r="Q54" s="124">
        <f>IF(G54="MFP",Tables!B$3,Tables!B$6)</f>
        <v>0.11799999999999999</v>
      </c>
      <c r="R54" s="113">
        <f>VLOOKUP($N54,'Meter Read info'!$C$2:$G$249,2,"FALSE")</f>
        <v>2810</v>
      </c>
      <c r="S54" s="113">
        <f>VLOOKUP($N54,'Meter Read info'!$C$2:$G$249,3,"FALSE")</f>
        <v>2983</v>
      </c>
      <c r="T54" s="113">
        <f>VLOOKUP($N54,'Meter Read info'!$C$2:$G$249,4,"FALSE")</f>
        <v>0</v>
      </c>
      <c r="U54" s="113">
        <f>VLOOKUP($N54,'Meter Read info'!$C$2:$G$249,5,"FALSE")</f>
        <v>0</v>
      </c>
    </row>
    <row r="55" spans="1:21" outlineLevel="2" x14ac:dyDescent="0.3">
      <c r="A55" s="91" t="s">
        <v>52</v>
      </c>
      <c r="B55" s="91" t="s">
        <v>426</v>
      </c>
      <c r="C55" s="91" t="str">
        <f>VLOOKUP(B55,Tables!G$2:H$79,2,FALSE)</f>
        <v>Printer Services</v>
      </c>
      <c r="D55" s="90" t="s">
        <v>53</v>
      </c>
      <c r="E55" s="89" t="s">
        <v>442</v>
      </c>
      <c r="F55" s="90" t="s">
        <v>15</v>
      </c>
      <c r="G55" s="55" t="str">
        <f>VLOOKUP(F55,Tables!D$2:E$12,2,FALSE)</f>
        <v>PTR</v>
      </c>
      <c r="H55" s="83">
        <v>17099708</v>
      </c>
      <c r="I55" s="85">
        <f>SUM(S55-R55)</f>
        <v>123</v>
      </c>
      <c r="J55" s="85">
        <f>SUM(U55-T55)</f>
        <v>0</v>
      </c>
      <c r="K55" s="87">
        <f>SUM(I55*$P55)</f>
        <v>3.2225999999999999</v>
      </c>
      <c r="L55" s="87">
        <f>SUM(J55*$Q55)</f>
        <v>0</v>
      </c>
      <c r="M55" s="88">
        <f>K55+L55</f>
        <v>3.2225999999999999</v>
      </c>
      <c r="N55" s="90" t="s">
        <v>443</v>
      </c>
      <c r="O55" s="90" t="s">
        <v>444</v>
      </c>
      <c r="P55" s="56">
        <f>IF(G55="MFP",Tables!B$2,Tables!B$5)</f>
        <v>2.6200000000000001E-2</v>
      </c>
      <c r="Q55" s="124">
        <f>IF(G55="MFP",Tables!B$3,Tables!B$6)</f>
        <v>0.11799999999999999</v>
      </c>
      <c r="R55" s="113">
        <f>VLOOKUP($N55,'Meter Read info'!$C$2:$G$249,2,"FALSE")</f>
        <v>232</v>
      </c>
      <c r="S55" s="113">
        <f>VLOOKUP($N55,'Meter Read info'!$C$2:$G$249,3,"FALSE")</f>
        <v>355</v>
      </c>
      <c r="T55" s="113">
        <f>VLOOKUP($N55,'Meter Read info'!$C$2:$G$249,4,"FALSE")</f>
        <v>0</v>
      </c>
      <c r="U55" s="113">
        <f>VLOOKUP($N55,'Meter Read info'!$C$2:$G$249,5,"FALSE")</f>
        <v>0</v>
      </c>
    </row>
    <row r="56" spans="1:21" ht="31.2" outlineLevel="1" x14ac:dyDescent="0.3">
      <c r="A56" s="91"/>
      <c r="B56" s="107" t="s">
        <v>890</v>
      </c>
      <c r="C56" s="91"/>
      <c r="D56" s="90"/>
      <c r="E56" s="89"/>
      <c r="F56" s="90"/>
      <c r="G56" s="55"/>
      <c r="H56" s="83"/>
      <c r="I56" s="85"/>
      <c r="J56" s="85"/>
      <c r="K56" s="87"/>
      <c r="L56" s="87"/>
      <c r="M56" s="88">
        <f>SUBTOTAL(9,M54:M55)</f>
        <v>7.7552000000000003</v>
      </c>
      <c r="N56" s="90"/>
      <c r="O56" s="90"/>
      <c r="P56" s="56"/>
      <c r="Q56" s="124"/>
      <c r="R56" s="113"/>
      <c r="S56" s="113"/>
      <c r="T56" s="113"/>
      <c r="U56" s="113"/>
    </row>
    <row r="57" spans="1:21" outlineLevel="2" x14ac:dyDescent="0.3">
      <c r="A57" s="91" t="s">
        <v>52</v>
      </c>
      <c r="B57" s="91" t="s">
        <v>733</v>
      </c>
      <c r="C57" s="91" t="str">
        <f>VLOOKUP(B57,Tables!G$2:H$79,2,FALSE)</f>
        <v>Carroll Biology Fund</v>
      </c>
      <c r="D57" s="90" t="s">
        <v>53</v>
      </c>
      <c r="E57" s="89">
        <v>203</v>
      </c>
      <c r="F57" s="90" t="s">
        <v>54</v>
      </c>
      <c r="G57" s="55" t="str">
        <f>VLOOKUP(F57,Tables!D$2:E$12,2,FALSE)</f>
        <v>MFP</v>
      </c>
      <c r="H57" s="83">
        <v>17099484</v>
      </c>
      <c r="I57" s="85">
        <f t="shared" ref="I57:I62" si="15">SUM(S57-R57)</f>
        <v>3942</v>
      </c>
      <c r="J57" s="85">
        <f t="shared" ref="J57:J62" si="16">SUM(U57-T57)</f>
        <v>506</v>
      </c>
      <c r="K57" s="87">
        <f t="shared" ref="K57:K62" si="17">SUM(I57*$P57)</f>
        <v>81.599400000000003</v>
      </c>
      <c r="L57" s="87">
        <f t="shared" ref="L57:L62" si="18">SUM(J57*$Q57)</f>
        <v>44.021999999999998</v>
      </c>
      <c r="M57" s="88">
        <f t="shared" ref="M57:M62" si="19">K57+L57</f>
        <v>125.62139999999999</v>
      </c>
      <c r="N57" s="90" t="s">
        <v>55</v>
      </c>
      <c r="O57" s="90" t="s">
        <v>56</v>
      </c>
      <c r="P57" s="56">
        <f>IF(G57="MFP",Tables!B$2,Tables!B$5)</f>
        <v>2.07E-2</v>
      </c>
      <c r="Q57" s="124">
        <f>IF(G57="MFP",Tables!B$3,Tables!B$6)</f>
        <v>8.6999999999999994E-2</v>
      </c>
      <c r="R57" s="113">
        <f>VLOOKUP($N57,'Meter Read info'!$C$2:$G$249,2,"FALSE")</f>
        <v>9957</v>
      </c>
      <c r="S57" s="113">
        <f>VLOOKUP($N57,'Meter Read info'!$C$2:$G$249,3,"FALSE")</f>
        <v>13899</v>
      </c>
      <c r="T57" s="113">
        <f>VLOOKUP($N57,'Meter Read info'!$C$2:$G$249,4,"FALSE")</f>
        <v>1174</v>
      </c>
      <c r="U57" s="113">
        <f>VLOOKUP($N57,'Meter Read info'!$C$2:$G$249,5,"FALSE")</f>
        <v>1680</v>
      </c>
    </row>
    <row r="58" spans="1:21" outlineLevel="2" x14ac:dyDescent="0.3">
      <c r="A58" s="91" t="s">
        <v>52</v>
      </c>
      <c r="B58" s="91" t="s">
        <v>733</v>
      </c>
      <c r="C58" s="91" t="str">
        <f>VLOOKUP(B58,Tables!G$2:H$79,2,FALSE)</f>
        <v>Carroll Biology Fund</v>
      </c>
      <c r="D58" s="90" t="s">
        <v>53</v>
      </c>
      <c r="E58" s="89">
        <v>203</v>
      </c>
      <c r="F58" s="90" t="s">
        <v>15</v>
      </c>
      <c r="G58" s="55" t="str">
        <f>VLOOKUP(F58,Tables!D$2:E$12,2,FALSE)</f>
        <v>PTR</v>
      </c>
      <c r="H58" s="83">
        <v>17099613</v>
      </c>
      <c r="I58" s="85">
        <f t="shared" si="15"/>
        <v>1013</v>
      </c>
      <c r="J58" s="85">
        <f t="shared" si="16"/>
        <v>0</v>
      </c>
      <c r="K58" s="87">
        <f t="shared" si="17"/>
        <v>26.540600000000001</v>
      </c>
      <c r="L58" s="87">
        <f t="shared" si="18"/>
        <v>0</v>
      </c>
      <c r="M58" s="88">
        <f t="shared" si="19"/>
        <v>26.540600000000001</v>
      </c>
      <c r="N58" s="90" t="s">
        <v>57</v>
      </c>
      <c r="O58" s="90" t="s">
        <v>58</v>
      </c>
      <c r="P58" s="56">
        <f>IF(G58="MFP",Tables!B$2,Tables!B$5)</f>
        <v>2.6200000000000001E-2</v>
      </c>
      <c r="Q58" s="124">
        <f>IF(G58="MFP",Tables!B$3,Tables!B$6)</f>
        <v>0.11799999999999999</v>
      </c>
      <c r="R58" s="113">
        <f>VLOOKUP($N58,'Meter Read info'!$C$2:$G$249,2,"FALSE")</f>
        <v>4954</v>
      </c>
      <c r="S58" s="113">
        <f>VLOOKUP($N58,'Meter Read info'!$C$2:$G$249,3,"FALSE")</f>
        <v>5967</v>
      </c>
      <c r="T58" s="113">
        <f>VLOOKUP($N58,'Meter Read info'!$C$2:$G$249,4,"FALSE")</f>
        <v>0</v>
      </c>
      <c r="U58" s="113">
        <f>VLOOKUP($N58,'Meter Read info'!$C$2:$G$249,5,"FALSE")</f>
        <v>0</v>
      </c>
    </row>
    <row r="59" spans="1:21" outlineLevel="2" x14ac:dyDescent="0.3">
      <c r="A59" s="91" t="s">
        <v>52</v>
      </c>
      <c r="B59" s="91" t="s">
        <v>733</v>
      </c>
      <c r="C59" s="91" t="str">
        <f>VLOOKUP(B59,Tables!G$2:H$79,2,FALSE)</f>
        <v>Carroll Biology Fund</v>
      </c>
      <c r="D59" s="90" t="s">
        <v>53</v>
      </c>
      <c r="E59" s="89" t="s">
        <v>59</v>
      </c>
      <c r="F59" s="90" t="s">
        <v>15</v>
      </c>
      <c r="G59" s="55" t="str">
        <f>VLOOKUP(F59,Tables!D$2:E$12,2,FALSE)</f>
        <v>PTR</v>
      </c>
      <c r="H59" s="83">
        <v>17099611</v>
      </c>
      <c r="I59" s="85">
        <f t="shared" si="15"/>
        <v>803</v>
      </c>
      <c r="J59" s="85">
        <f t="shared" si="16"/>
        <v>0</v>
      </c>
      <c r="K59" s="87">
        <f t="shared" si="17"/>
        <v>21.038600000000002</v>
      </c>
      <c r="L59" s="87">
        <f t="shared" si="18"/>
        <v>0</v>
      </c>
      <c r="M59" s="88">
        <f t="shared" si="19"/>
        <v>21.038600000000002</v>
      </c>
      <c r="N59" s="90" t="s">
        <v>60</v>
      </c>
      <c r="O59" s="90" t="s">
        <v>61</v>
      </c>
      <c r="P59" s="56">
        <f>IF(G59="MFP",Tables!B$2,Tables!B$5)</f>
        <v>2.6200000000000001E-2</v>
      </c>
      <c r="Q59" s="124">
        <f>IF(G59="MFP",Tables!B$3,Tables!B$6)</f>
        <v>0.11799999999999999</v>
      </c>
      <c r="R59" s="113">
        <f>VLOOKUP($N59,'Meter Read info'!$C$2:$G$249,2,"FALSE")</f>
        <v>2531</v>
      </c>
      <c r="S59" s="113">
        <f>VLOOKUP($N59,'Meter Read info'!$C$2:$G$249,3,"FALSE")</f>
        <v>3334</v>
      </c>
      <c r="T59" s="113">
        <f>VLOOKUP($N59,'Meter Read info'!$C$2:$G$249,4,"FALSE")</f>
        <v>0</v>
      </c>
      <c r="U59" s="113">
        <f>VLOOKUP($N59,'Meter Read info'!$C$2:$G$249,5,"FALSE")</f>
        <v>0</v>
      </c>
    </row>
    <row r="60" spans="1:21" outlineLevel="2" x14ac:dyDescent="0.3">
      <c r="A60" s="91" t="s">
        <v>52</v>
      </c>
      <c r="B60" s="91" t="s">
        <v>733</v>
      </c>
      <c r="C60" s="91" t="str">
        <f>VLOOKUP(B60,Tables!G$2:H$79,2,FALSE)</f>
        <v>Carroll Biology Fund</v>
      </c>
      <c r="D60" s="90" t="s">
        <v>53</v>
      </c>
      <c r="E60" s="89" t="s">
        <v>64</v>
      </c>
      <c r="F60" s="90" t="s">
        <v>15</v>
      </c>
      <c r="G60" s="55" t="str">
        <f>VLOOKUP(F60,Tables!D$2:E$12,2,FALSE)</f>
        <v>PTR</v>
      </c>
      <c r="H60" s="83">
        <v>17099569</v>
      </c>
      <c r="I60" s="85">
        <f t="shared" si="15"/>
        <v>100</v>
      </c>
      <c r="J60" s="85">
        <f t="shared" si="16"/>
        <v>0</v>
      </c>
      <c r="K60" s="87">
        <f t="shared" si="17"/>
        <v>2.62</v>
      </c>
      <c r="L60" s="87">
        <f t="shared" si="18"/>
        <v>0</v>
      </c>
      <c r="M60" s="88">
        <f t="shared" si="19"/>
        <v>2.62</v>
      </c>
      <c r="N60" s="90" t="s">
        <v>65</v>
      </c>
      <c r="O60" s="90" t="s">
        <v>66</v>
      </c>
      <c r="P60" s="56">
        <f>IF(G60="MFP",Tables!B$2,Tables!B$5)</f>
        <v>2.6200000000000001E-2</v>
      </c>
      <c r="Q60" s="124">
        <f>IF(G60="MFP",Tables!B$3,Tables!B$6)</f>
        <v>0.11799999999999999</v>
      </c>
      <c r="R60" s="113">
        <f>VLOOKUP($N60,'Meter Read info'!$C$2:$G$249,2,"FALSE")</f>
        <v>361</v>
      </c>
      <c r="S60" s="113">
        <f>VLOOKUP($N60,'Meter Read info'!$C$2:$G$249,3,"FALSE")</f>
        <v>461</v>
      </c>
      <c r="T60" s="113">
        <f>VLOOKUP($N60,'Meter Read info'!$C$2:$G$249,4,"FALSE")</f>
        <v>0</v>
      </c>
      <c r="U60" s="113">
        <f>VLOOKUP($N60,'Meter Read info'!$C$2:$G$249,5,"FALSE")</f>
        <v>0</v>
      </c>
    </row>
    <row r="61" spans="1:21" outlineLevel="2" x14ac:dyDescent="0.3">
      <c r="A61" s="91" t="s">
        <v>52</v>
      </c>
      <c r="B61" s="91" t="s">
        <v>733</v>
      </c>
      <c r="C61" s="91" t="str">
        <f>VLOOKUP(B61,Tables!G$2:H$79,2,FALSE)</f>
        <v>Carroll Biology Fund</v>
      </c>
      <c r="D61" s="90" t="s">
        <v>53</v>
      </c>
      <c r="E61" s="89" t="s">
        <v>67</v>
      </c>
      <c r="F61" s="90" t="s">
        <v>15</v>
      </c>
      <c r="G61" s="55" t="str">
        <f>VLOOKUP(F61,Tables!D$2:E$12,2,FALSE)</f>
        <v>PTR</v>
      </c>
      <c r="H61" s="83">
        <v>17099612</v>
      </c>
      <c r="I61" s="85">
        <f t="shared" si="15"/>
        <v>17</v>
      </c>
      <c r="J61" s="85">
        <f t="shared" si="16"/>
        <v>0</v>
      </c>
      <c r="K61" s="87">
        <f t="shared" si="17"/>
        <v>0.44540000000000002</v>
      </c>
      <c r="L61" s="87">
        <f t="shared" si="18"/>
        <v>0</v>
      </c>
      <c r="M61" s="88">
        <f t="shared" si="19"/>
        <v>0.44540000000000002</v>
      </c>
      <c r="N61" s="90" t="s">
        <v>68</v>
      </c>
      <c r="O61" s="90" t="s">
        <v>69</v>
      </c>
      <c r="P61" s="56">
        <f>IF(G61="MFP",Tables!B$2,Tables!B$5)</f>
        <v>2.6200000000000001E-2</v>
      </c>
      <c r="Q61" s="124">
        <f>IF(G61="MFP",Tables!B$3,Tables!B$6)</f>
        <v>0.11799999999999999</v>
      </c>
      <c r="R61" s="113">
        <f>VLOOKUP($N61,'Meter Read info'!$C$2:$G$249,2,"FALSE")</f>
        <v>530</v>
      </c>
      <c r="S61" s="113">
        <f>VLOOKUP($N61,'Meter Read info'!$C$2:$G$249,3,"FALSE")</f>
        <v>547</v>
      </c>
      <c r="T61" s="113">
        <f>VLOOKUP($N61,'Meter Read info'!$C$2:$G$249,4,"FALSE")</f>
        <v>0</v>
      </c>
      <c r="U61" s="113">
        <f>VLOOKUP($N61,'Meter Read info'!$C$2:$G$249,5,"FALSE")</f>
        <v>0</v>
      </c>
    </row>
    <row r="62" spans="1:21" outlineLevel="2" x14ac:dyDescent="0.3">
      <c r="A62" s="91" t="s">
        <v>52</v>
      </c>
      <c r="B62" s="91" t="s">
        <v>733</v>
      </c>
      <c r="C62" s="91" t="str">
        <f>VLOOKUP(B62,Tables!G$2:H$79,2,FALSE)</f>
        <v>Carroll Biology Fund</v>
      </c>
      <c r="D62" s="90" t="s">
        <v>53</v>
      </c>
      <c r="E62" s="89" t="s">
        <v>666</v>
      </c>
      <c r="F62" s="90" t="s">
        <v>15</v>
      </c>
      <c r="G62" s="55" t="str">
        <f>VLOOKUP(F62,Tables!D$2:E$12,2,FALSE)</f>
        <v>PTR</v>
      </c>
      <c r="H62" s="83">
        <v>17099568</v>
      </c>
      <c r="I62" s="85">
        <f t="shared" si="15"/>
        <v>484</v>
      </c>
      <c r="J62" s="85">
        <f t="shared" si="16"/>
        <v>0</v>
      </c>
      <c r="K62" s="87">
        <f t="shared" si="17"/>
        <v>12.680800000000001</v>
      </c>
      <c r="L62" s="87">
        <f t="shared" si="18"/>
        <v>0</v>
      </c>
      <c r="M62" s="88">
        <f t="shared" si="19"/>
        <v>12.680800000000001</v>
      </c>
      <c r="N62" s="90" t="s">
        <v>62</v>
      </c>
      <c r="O62" s="90" t="s">
        <v>63</v>
      </c>
      <c r="P62" s="56">
        <f>IF(G62="MFP",Tables!B$2,Tables!B$5)</f>
        <v>2.6200000000000001E-2</v>
      </c>
      <c r="Q62" s="124">
        <f>IF(G62="MFP",Tables!B$3,Tables!B$6)</f>
        <v>0.11799999999999999</v>
      </c>
      <c r="R62" s="113">
        <f>VLOOKUP($N62,'Meter Read info'!$C$2:$G$249,2,"FALSE")</f>
        <v>0</v>
      </c>
      <c r="S62" s="113">
        <f>VLOOKUP($N62,'Meter Read info'!$C$2:$G$249,3,"FALSE")</f>
        <v>484</v>
      </c>
      <c r="T62" s="113">
        <f>VLOOKUP($N62,'Meter Read info'!$C$2:$G$249,4,"FALSE")</f>
        <v>0</v>
      </c>
      <c r="U62" s="113">
        <f>VLOOKUP($N62,'Meter Read info'!$C$2:$G$249,5,"FALSE")</f>
        <v>0</v>
      </c>
    </row>
    <row r="63" spans="1:21" ht="31.2" outlineLevel="1" x14ac:dyDescent="0.3">
      <c r="A63" s="91"/>
      <c r="B63" s="107" t="s">
        <v>901</v>
      </c>
      <c r="C63" s="91"/>
      <c r="D63" s="90"/>
      <c r="E63" s="89"/>
      <c r="F63" s="90"/>
      <c r="G63" s="55"/>
      <c r="H63" s="83"/>
      <c r="I63" s="85"/>
      <c r="J63" s="85"/>
      <c r="K63" s="87"/>
      <c r="L63" s="87"/>
      <c r="M63" s="88">
        <f>SUBTOTAL(9,M57:M62)</f>
        <v>188.94680000000002</v>
      </c>
      <c r="N63" s="90"/>
      <c r="O63" s="90"/>
      <c r="P63" s="56"/>
      <c r="Q63" s="124"/>
      <c r="R63" s="113"/>
      <c r="S63" s="113"/>
      <c r="T63" s="113"/>
      <c r="U63" s="113"/>
    </row>
    <row r="64" spans="1:21" outlineLevel="2" x14ac:dyDescent="0.3">
      <c r="A64" s="91" t="s">
        <v>380</v>
      </c>
      <c r="B64" s="91" t="s">
        <v>378</v>
      </c>
      <c r="C64" s="91" t="str">
        <f>VLOOKUP(B64,Tables!G$2:H$79,2,FALSE)</f>
        <v>Business Executive</v>
      </c>
      <c r="D64" s="90" t="s">
        <v>279</v>
      </c>
      <c r="E64" s="89">
        <v>303</v>
      </c>
      <c r="F64" s="90" t="s">
        <v>92</v>
      </c>
      <c r="G64" s="55" t="str">
        <f>VLOOKUP(F64,Tables!D$2:E$12,2,FALSE)</f>
        <v>PTR</v>
      </c>
      <c r="H64" s="83">
        <v>17099513</v>
      </c>
      <c r="I64" s="85">
        <f t="shared" ref="I64:I120" si="20">SUM(S64-R64)</f>
        <v>408</v>
      </c>
      <c r="J64" s="85">
        <f t="shared" ref="J64:J120" si="21">SUM(U64-T64)</f>
        <v>951</v>
      </c>
      <c r="K64" s="87">
        <f t="shared" ref="K64:K120" si="22">SUM(I64*$P64)</f>
        <v>10.6896</v>
      </c>
      <c r="L64" s="87">
        <f t="shared" ref="L64:L120" si="23">SUM(J64*$Q64)</f>
        <v>112.21799999999999</v>
      </c>
      <c r="M64" s="88">
        <f t="shared" ref="M64:M120" si="24">K64+L64</f>
        <v>122.90759999999999</v>
      </c>
      <c r="N64" s="90" t="s">
        <v>312</v>
      </c>
      <c r="O64" s="90" t="s">
        <v>831</v>
      </c>
      <c r="P64" s="56">
        <f>IF(G64="MFP",Tables!B$2,Tables!B$5)</f>
        <v>2.6200000000000001E-2</v>
      </c>
      <c r="Q64" s="124">
        <f>IF(G64="MFP",Tables!B$3,Tables!B$6)</f>
        <v>0.11799999999999999</v>
      </c>
      <c r="R64" s="113">
        <f>VLOOKUP($N64,'Meter Read info'!$C$2:$G$249,2,"FALSE")</f>
        <v>933</v>
      </c>
      <c r="S64" s="113">
        <f>VLOOKUP($N64,'Meter Read info'!$C$2:$G$249,3,"FALSE")</f>
        <v>1341</v>
      </c>
      <c r="T64" s="113">
        <f>VLOOKUP($N64,'Meter Read info'!$C$2:$G$249,4,"FALSE")</f>
        <v>482</v>
      </c>
      <c r="U64" s="113">
        <f>VLOOKUP($N64,'Meter Read info'!$C$2:$G$249,5,"FALSE")</f>
        <v>1433</v>
      </c>
    </row>
    <row r="65" spans="1:21" outlineLevel="2" x14ac:dyDescent="0.3">
      <c r="A65" s="91" t="s">
        <v>380</v>
      </c>
      <c r="B65" s="91" t="s">
        <v>378</v>
      </c>
      <c r="C65" s="91" t="str">
        <f>VLOOKUP(B65,Tables!G$2:H$79,2,FALSE)</f>
        <v>Business Executive</v>
      </c>
      <c r="D65" s="90" t="s">
        <v>279</v>
      </c>
      <c r="E65" s="89">
        <v>304</v>
      </c>
      <c r="F65" s="90" t="s">
        <v>24</v>
      </c>
      <c r="G65" s="55" t="str">
        <f>VLOOKUP(F65,Tables!D$2:E$12,2,FALSE)</f>
        <v>MFP</v>
      </c>
      <c r="H65" s="83">
        <v>17099529</v>
      </c>
      <c r="I65" s="85">
        <f t="shared" si="20"/>
        <v>5400</v>
      </c>
      <c r="J65" s="85">
        <f t="shared" si="21"/>
        <v>5406</v>
      </c>
      <c r="K65" s="87">
        <f t="shared" si="22"/>
        <v>111.78</v>
      </c>
      <c r="L65" s="87">
        <f t="shared" si="23"/>
        <v>470.32199999999995</v>
      </c>
      <c r="M65" s="88">
        <f t="shared" si="24"/>
        <v>582.10199999999998</v>
      </c>
      <c r="N65" s="90" t="s">
        <v>804</v>
      </c>
      <c r="O65" s="90" t="s">
        <v>833</v>
      </c>
      <c r="P65" s="56">
        <f>IF(G65="MFP",Tables!B$2,Tables!B$5)</f>
        <v>2.07E-2</v>
      </c>
      <c r="Q65" s="124">
        <f>IF(G65="MFP",Tables!B$3,Tables!B$6)</f>
        <v>8.6999999999999994E-2</v>
      </c>
      <c r="R65" s="113">
        <f>VLOOKUP($N65,'Meter Read info'!$C$2:$G$249,2,"FALSE")</f>
        <v>15751</v>
      </c>
      <c r="S65" s="113">
        <f>VLOOKUP($N65,'Meter Read info'!$C$2:$G$249,3,"FALSE")</f>
        <v>21151</v>
      </c>
      <c r="T65" s="113">
        <f>VLOOKUP($N65,'Meter Read info'!$C$2:$G$249,4,"FALSE")</f>
        <v>11763</v>
      </c>
      <c r="U65" s="113">
        <f>VLOOKUP($N65,'Meter Read info'!$C$2:$G$249,5,"FALSE")</f>
        <v>17169</v>
      </c>
    </row>
    <row r="66" spans="1:21" ht="31.2" outlineLevel="1" x14ac:dyDescent="0.3">
      <c r="A66" s="91"/>
      <c r="B66" s="107" t="s">
        <v>902</v>
      </c>
      <c r="C66" s="91"/>
      <c r="D66" s="90"/>
      <c r="E66" s="89"/>
      <c r="F66" s="90"/>
      <c r="G66" s="55"/>
      <c r="H66" s="83"/>
      <c r="I66" s="85"/>
      <c r="J66" s="85"/>
      <c r="K66" s="87"/>
      <c r="L66" s="87"/>
      <c r="M66" s="88">
        <f>SUBTOTAL(9,M64:M65)</f>
        <v>705.00959999999998</v>
      </c>
      <c r="N66" s="90"/>
      <c r="O66" s="90"/>
      <c r="P66" s="56"/>
      <c r="Q66" s="124"/>
      <c r="R66" s="113"/>
      <c r="S66" s="113"/>
      <c r="T66" s="113"/>
      <c r="U66" s="113"/>
    </row>
    <row r="67" spans="1:21" outlineLevel="2" x14ac:dyDescent="0.3">
      <c r="A67" s="91" t="s">
        <v>380</v>
      </c>
      <c r="B67" s="91" t="s">
        <v>837</v>
      </c>
      <c r="C67" s="91" t="str">
        <f>VLOOKUP(B67,Tables!G$2:H$79,2,FALSE)</f>
        <v>Institute Planning</v>
      </c>
      <c r="D67" s="90" t="s">
        <v>279</v>
      </c>
      <c r="E67" s="89">
        <v>303</v>
      </c>
      <c r="F67" s="90" t="s">
        <v>15</v>
      </c>
      <c r="G67" s="55" t="str">
        <f>VLOOKUP(F67,Tables!D$2:E$12,2,FALSE)</f>
        <v>PTR</v>
      </c>
      <c r="H67" s="83">
        <v>17099709</v>
      </c>
      <c r="I67" s="85">
        <f t="shared" si="20"/>
        <v>310</v>
      </c>
      <c r="J67" s="85">
        <f t="shared" si="21"/>
        <v>0</v>
      </c>
      <c r="K67" s="87">
        <f t="shared" si="22"/>
        <v>8.1219999999999999</v>
      </c>
      <c r="L67" s="87">
        <f t="shared" si="23"/>
        <v>0</v>
      </c>
      <c r="M67" s="88">
        <f t="shared" si="24"/>
        <v>8.1219999999999999</v>
      </c>
      <c r="N67" s="90" t="s">
        <v>381</v>
      </c>
      <c r="O67" s="90" t="s">
        <v>382</v>
      </c>
      <c r="P67" s="56">
        <f>IF(G67="MFP",Tables!B$2,Tables!B$5)</f>
        <v>2.6200000000000001E-2</v>
      </c>
      <c r="Q67" s="124">
        <f>IF(G67="MFP",Tables!B$3,Tables!B$6)</f>
        <v>0.11799999999999999</v>
      </c>
      <c r="R67" s="113">
        <f>VLOOKUP($N67,'Meter Read info'!$C$2:$G$249,2,"FALSE")</f>
        <v>1164</v>
      </c>
      <c r="S67" s="113">
        <f>VLOOKUP($N67,'Meter Read info'!$C$2:$G$249,3,"FALSE")</f>
        <v>1474</v>
      </c>
      <c r="T67" s="113">
        <f>VLOOKUP($N67,'Meter Read info'!$C$2:$G$249,4,"FALSE")</f>
        <v>0</v>
      </c>
      <c r="U67" s="113">
        <f>VLOOKUP($N67,'Meter Read info'!$C$2:$G$249,5,"FALSE")</f>
        <v>0</v>
      </c>
    </row>
    <row r="68" spans="1:21" ht="31.2" outlineLevel="1" x14ac:dyDescent="0.3">
      <c r="A68" s="91"/>
      <c r="B68" s="107" t="s">
        <v>903</v>
      </c>
      <c r="C68" s="91"/>
      <c r="D68" s="90"/>
      <c r="E68" s="89"/>
      <c r="F68" s="90"/>
      <c r="G68" s="55"/>
      <c r="H68" s="83"/>
      <c r="I68" s="85"/>
      <c r="J68" s="85"/>
      <c r="K68" s="87"/>
      <c r="L68" s="87"/>
      <c r="M68" s="88">
        <f>SUBTOTAL(9,M67:M67)</f>
        <v>8.1219999999999999</v>
      </c>
      <c r="N68" s="90"/>
      <c r="O68" s="90"/>
      <c r="P68" s="56"/>
      <c r="Q68" s="124"/>
      <c r="R68" s="113"/>
      <c r="S68" s="113"/>
      <c r="T68" s="113"/>
      <c r="U68" s="113"/>
    </row>
    <row r="69" spans="1:21" outlineLevel="2" x14ac:dyDescent="0.3">
      <c r="A69" s="91" t="s">
        <v>380</v>
      </c>
      <c r="B69" s="91" t="s">
        <v>839</v>
      </c>
      <c r="C69" s="91" t="str">
        <f>VLOOKUP(B69,Tables!G$2:H$79,2,FALSE)</f>
        <v>Treasurers Office</v>
      </c>
      <c r="D69" s="90" t="s">
        <v>279</v>
      </c>
      <c r="E69" s="89">
        <v>303</v>
      </c>
      <c r="F69" s="90" t="s">
        <v>15</v>
      </c>
      <c r="G69" s="55" t="str">
        <f>VLOOKUP(F69,Tables!D$2:E$12,2,FALSE)</f>
        <v>PTR</v>
      </c>
      <c r="H69" s="83">
        <v>17099711</v>
      </c>
      <c r="I69" s="85">
        <f t="shared" si="20"/>
        <v>2392</v>
      </c>
      <c r="J69" s="85">
        <f t="shared" si="21"/>
        <v>0</v>
      </c>
      <c r="K69" s="87">
        <f t="shared" si="22"/>
        <v>62.670400000000001</v>
      </c>
      <c r="L69" s="87">
        <f t="shared" si="23"/>
        <v>0</v>
      </c>
      <c r="M69" s="88">
        <f t="shared" si="24"/>
        <v>62.670400000000001</v>
      </c>
      <c r="N69" s="90" t="s">
        <v>383</v>
      </c>
      <c r="O69" s="90" t="s">
        <v>384</v>
      </c>
      <c r="P69" s="56">
        <f>IF(G69="MFP",Tables!B$2,Tables!B$5)</f>
        <v>2.6200000000000001E-2</v>
      </c>
      <c r="Q69" s="124">
        <f>IF(G69="MFP",Tables!B$3,Tables!B$6)</f>
        <v>0.11799999999999999</v>
      </c>
      <c r="R69" s="113">
        <f>VLOOKUP($N69,'Meter Read info'!$C$2:$G$249,2,"FALSE")</f>
        <v>6929</v>
      </c>
      <c r="S69" s="113">
        <f>VLOOKUP($N69,'Meter Read info'!$C$2:$G$249,3,"FALSE")</f>
        <v>9321</v>
      </c>
      <c r="T69" s="113">
        <f>VLOOKUP($N69,'Meter Read info'!$C$2:$G$249,4,"FALSE")</f>
        <v>0</v>
      </c>
      <c r="U69" s="113">
        <f>VLOOKUP($N69,'Meter Read info'!$C$2:$G$249,5,"FALSE")</f>
        <v>0</v>
      </c>
    </row>
    <row r="70" spans="1:21" ht="31.2" outlineLevel="1" x14ac:dyDescent="0.3">
      <c r="A70" s="91"/>
      <c r="B70" s="107" t="s">
        <v>904</v>
      </c>
      <c r="C70" s="91"/>
      <c r="D70" s="90"/>
      <c r="E70" s="89"/>
      <c r="F70" s="90"/>
      <c r="G70" s="55"/>
      <c r="H70" s="83"/>
      <c r="I70" s="85"/>
      <c r="J70" s="85"/>
      <c r="K70" s="87"/>
      <c r="L70" s="87"/>
      <c r="M70" s="88">
        <f>SUBTOTAL(9,M69:M69)</f>
        <v>62.670400000000001</v>
      </c>
      <c r="N70" s="90"/>
      <c r="O70" s="90"/>
      <c r="P70" s="56"/>
      <c r="Q70" s="124"/>
      <c r="R70" s="113"/>
      <c r="S70" s="113"/>
      <c r="T70" s="113"/>
      <c r="U70" s="113"/>
    </row>
    <row r="71" spans="1:21" outlineLevel="2" x14ac:dyDescent="0.3">
      <c r="A71" s="91" t="s">
        <v>755</v>
      </c>
      <c r="B71" s="91" t="s">
        <v>579</v>
      </c>
      <c r="C71" s="91" t="str">
        <f>VLOOKUP(B71,Tables!G$2:H$79,2,FALSE)</f>
        <v>Student Union</v>
      </c>
      <c r="D71" s="114" t="s">
        <v>756</v>
      </c>
      <c r="E71" s="89">
        <v>3115</v>
      </c>
      <c r="F71" s="90" t="s">
        <v>54</v>
      </c>
      <c r="G71" s="55" t="str">
        <f>VLOOKUP(F71,Tables!D$2:E$12,2,FALSE)</f>
        <v>MFP</v>
      </c>
      <c r="H71" s="83">
        <v>17099486</v>
      </c>
      <c r="I71" s="85">
        <f t="shared" si="20"/>
        <v>1517</v>
      </c>
      <c r="J71" s="85">
        <f t="shared" si="21"/>
        <v>230</v>
      </c>
      <c r="K71" s="87">
        <f t="shared" si="22"/>
        <v>31.401899999999998</v>
      </c>
      <c r="L71" s="87">
        <f t="shared" si="23"/>
        <v>20.009999999999998</v>
      </c>
      <c r="M71" s="88">
        <f t="shared" si="24"/>
        <v>51.411899999999996</v>
      </c>
      <c r="N71" s="90" t="s">
        <v>757</v>
      </c>
      <c r="O71" s="90" t="s">
        <v>156</v>
      </c>
      <c r="P71" s="56">
        <f>IF(G71="MFP",Tables!B$2,Tables!B$5)</f>
        <v>2.07E-2</v>
      </c>
      <c r="Q71" s="124">
        <f>IF(G71="MFP",Tables!B$3,Tables!B$6)</f>
        <v>8.6999999999999994E-2</v>
      </c>
      <c r="R71" s="113">
        <f>VLOOKUP($N71,'Meter Read info'!$C$2:$G$249,2,"FALSE")</f>
        <v>18920</v>
      </c>
      <c r="S71" s="113">
        <f>VLOOKUP($N71,'Meter Read info'!$C$2:$G$249,3,"FALSE")</f>
        <v>20437</v>
      </c>
      <c r="T71" s="113">
        <f>VLOOKUP($N71,'Meter Read info'!$C$2:$G$249,4,"FALSE")</f>
        <v>526</v>
      </c>
      <c r="U71" s="113">
        <f>VLOOKUP($N71,'Meter Read info'!$C$2:$G$249,5,"FALSE")</f>
        <v>756</v>
      </c>
    </row>
    <row r="72" spans="1:21" outlineLevel="2" x14ac:dyDescent="0.3">
      <c r="A72" s="91" t="s">
        <v>755</v>
      </c>
      <c r="B72" s="91" t="s">
        <v>579</v>
      </c>
      <c r="C72" s="91" t="str">
        <f>VLOOKUP(B72,Tables!G$2:H$79,2,FALSE)</f>
        <v>Student Union</v>
      </c>
      <c r="D72" s="114" t="s">
        <v>756</v>
      </c>
      <c r="E72" s="89">
        <v>3116</v>
      </c>
      <c r="F72" s="90" t="s">
        <v>15</v>
      </c>
      <c r="G72" s="55" t="str">
        <f>VLOOKUP(F72,Tables!D$2:E$12,2,FALSE)</f>
        <v>PTR</v>
      </c>
      <c r="H72" s="83">
        <v>17099717</v>
      </c>
      <c r="I72" s="85">
        <f t="shared" si="20"/>
        <v>1517</v>
      </c>
      <c r="J72" s="85">
        <f t="shared" si="21"/>
        <v>230</v>
      </c>
      <c r="K72" s="87">
        <f t="shared" si="22"/>
        <v>39.745400000000004</v>
      </c>
      <c r="L72" s="87">
        <f t="shared" si="23"/>
        <v>27.139999999999997</v>
      </c>
      <c r="M72" s="88">
        <f t="shared" si="24"/>
        <v>66.885400000000004</v>
      </c>
      <c r="N72" s="114" t="s">
        <v>757</v>
      </c>
      <c r="O72" s="114" t="s">
        <v>758</v>
      </c>
      <c r="P72" s="56">
        <f>IF(G72="MFP",Tables!B$2,Tables!B$5)</f>
        <v>2.6200000000000001E-2</v>
      </c>
      <c r="Q72" s="124">
        <f>IF(G72="MFP",Tables!B$3,Tables!B$6)</f>
        <v>0.11799999999999999</v>
      </c>
      <c r="R72" s="113">
        <f>VLOOKUP($N72,'Meter Read info'!$C$2:$G$249,2,"FALSE")</f>
        <v>18920</v>
      </c>
      <c r="S72" s="113">
        <f>VLOOKUP($N72,'Meter Read info'!$C$2:$G$249,3,"FALSE")</f>
        <v>20437</v>
      </c>
      <c r="T72" s="113">
        <f>VLOOKUP($N72,'Meter Read info'!$C$2:$G$249,4,"FALSE")</f>
        <v>526</v>
      </c>
      <c r="U72" s="113">
        <f>VLOOKUP($N72,'Meter Read info'!$C$2:$G$249,5,"FALSE")</f>
        <v>756</v>
      </c>
    </row>
    <row r="73" spans="1:21" ht="31.2" outlineLevel="1" x14ac:dyDescent="0.3">
      <c r="A73" s="91"/>
      <c r="B73" s="107" t="s">
        <v>905</v>
      </c>
      <c r="C73" s="91"/>
      <c r="D73" s="114"/>
      <c r="E73" s="89"/>
      <c r="F73" s="90"/>
      <c r="G73" s="55"/>
      <c r="H73" s="83"/>
      <c r="I73" s="85"/>
      <c r="J73" s="85"/>
      <c r="K73" s="87"/>
      <c r="L73" s="87"/>
      <c r="M73" s="88">
        <f>SUBTOTAL(9,M71:M72)</f>
        <v>118.29730000000001</v>
      </c>
      <c r="N73" s="114"/>
      <c r="O73" s="114"/>
      <c r="P73" s="56"/>
      <c r="Q73" s="124"/>
      <c r="R73" s="113"/>
      <c r="S73" s="113"/>
      <c r="T73" s="113"/>
      <c r="U73" s="113"/>
    </row>
    <row r="74" spans="1:21" ht="30" outlineLevel="2" x14ac:dyDescent="0.3">
      <c r="A74" s="91" t="s">
        <v>296</v>
      </c>
      <c r="B74" s="91" t="s">
        <v>297</v>
      </c>
      <c r="C74" s="91" t="str">
        <f>VLOOKUP(B74,Tables!G$2:H$79,2,FALSE)</f>
        <v>Career Services and Placement</v>
      </c>
      <c r="D74" s="90" t="s">
        <v>223</v>
      </c>
      <c r="E74" s="89">
        <v>311</v>
      </c>
      <c r="F74" s="90" t="s">
        <v>15</v>
      </c>
      <c r="G74" s="55" t="str">
        <f>VLOOKUP(F74,Tables!D$2:E$12,2,FALSE)</f>
        <v>PTR</v>
      </c>
      <c r="H74" s="83">
        <v>17099570</v>
      </c>
      <c r="I74" s="85">
        <f t="shared" si="20"/>
        <v>338</v>
      </c>
      <c r="J74" s="85">
        <f t="shared" si="21"/>
        <v>0</v>
      </c>
      <c r="K74" s="87">
        <f t="shared" si="22"/>
        <v>8.8556000000000008</v>
      </c>
      <c r="L74" s="87">
        <f t="shared" si="23"/>
        <v>0</v>
      </c>
      <c r="M74" s="88">
        <f t="shared" si="24"/>
        <v>8.8556000000000008</v>
      </c>
      <c r="N74" s="90" t="s">
        <v>301</v>
      </c>
      <c r="O74" s="90" t="s">
        <v>302</v>
      </c>
      <c r="P74" s="56">
        <f>IF(G74="MFP",Tables!B$2,Tables!B$5)</f>
        <v>2.6200000000000001E-2</v>
      </c>
      <c r="Q74" s="124">
        <f>IF(G74="MFP",Tables!B$3,Tables!B$6)</f>
        <v>0.11799999999999999</v>
      </c>
      <c r="R74" s="113">
        <f>VLOOKUP($N74,'Meter Read info'!$C$2:$G$249,2,"FALSE")</f>
        <v>1566</v>
      </c>
      <c r="S74" s="113">
        <f>VLOOKUP($N74,'Meter Read info'!$C$2:$G$249,3,"FALSE")</f>
        <v>1904</v>
      </c>
      <c r="T74" s="113">
        <f>VLOOKUP($N74,'Meter Read info'!$C$2:$G$249,4,"FALSE")</f>
        <v>0</v>
      </c>
      <c r="U74" s="113">
        <f>VLOOKUP($N74,'Meter Read info'!$C$2:$G$249,5,"FALSE")</f>
        <v>0</v>
      </c>
    </row>
    <row r="75" spans="1:21" ht="30" outlineLevel="2" x14ac:dyDescent="0.3">
      <c r="A75" s="91" t="s">
        <v>296</v>
      </c>
      <c r="B75" s="91" t="s">
        <v>297</v>
      </c>
      <c r="C75" s="91" t="str">
        <f>VLOOKUP(B75,Tables!G$2:H$79,2,FALSE)</f>
        <v>Career Services and Placement</v>
      </c>
      <c r="D75" s="90" t="s">
        <v>223</v>
      </c>
      <c r="E75" s="89">
        <v>312</v>
      </c>
      <c r="F75" s="90" t="s">
        <v>15</v>
      </c>
      <c r="G75" s="55" t="str">
        <f>VLOOKUP(F75,Tables!D$2:E$12,2,FALSE)</f>
        <v>PTR</v>
      </c>
      <c r="H75" s="83">
        <v>17099618</v>
      </c>
      <c r="I75" s="85">
        <f t="shared" si="20"/>
        <v>2261</v>
      </c>
      <c r="J75" s="85">
        <f t="shared" si="21"/>
        <v>0</v>
      </c>
      <c r="K75" s="87">
        <f t="shared" si="22"/>
        <v>59.238199999999999</v>
      </c>
      <c r="L75" s="87">
        <f t="shared" si="23"/>
        <v>0</v>
      </c>
      <c r="M75" s="88">
        <f t="shared" si="24"/>
        <v>59.238199999999999</v>
      </c>
      <c r="N75" s="90" t="s">
        <v>303</v>
      </c>
      <c r="O75" s="90" t="s">
        <v>304</v>
      </c>
      <c r="P75" s="56">
        <f>IF(G75="MFP",Tables!B$2,Tables!B$5)</f>
        <v>2.6200000000000001E-2</v>
      </c>
      <c r="Q75" s="124">
        <f>IF(G75="MFP",Tables!B$3,Tables!B$6)</f>
        <v>0.11799999999999999</v>
      </c>
      <c r="R75" s="113">
        <f>VLOOKUP($N75,'Meter Read info'!$C$2:$G$249,2,"FALSE")</f>
        <v>4515</v>
      </c>
      <c r="S75" s="113">
        <f>VLOOKUP($N75,'Meter Read info'!$C$2:$G$249,3,"FALSE")</f>
        <v>6776</v>
      </c>
      <c r="T75" s="113">
        <f>VLOOKUP($N75,'Meter Read info'!$C$2:$G$249,4,"FALSE")</f>
        <v>0</v>
      </c>
      <c r="U75" s="113">
        <f>VLOOKUP($N75,'Meter Read info'!$C$2:$G$249,5,"FALSE")</f>
        <v>0</v>
      </c>
    </row>
    <row r="76" spans="1:21" ht="30" outlineLevel="2" x14ac:dyDescent="0.3">
      <c r="A76" s="91" t="s">
        <v>296</v>
      </c>
      <c r="B76" s="91" t="s">
        <v>297</v>
      </c>
      <c r="C76" s="91" t="str">
        <f>VLOOKUP(B76,Tables!G$2:H$79,2,FALSE)</f>
        <v>Career Services and Placement</v>
      </c>
      <c r="D76" s="90" t="s">
        <v>223</v>
      </c>
      <c r="E76" s="89">
        <v>313</v>
      </c>
      <c r="F76" s="90" t="s">
        <v>15</v>
      </c>
      <c r="G76" s="55" t="str">
        <f>VLOOKUP(F76,Tables!D$2:E$12,2,FALSE)</f>
        <v>PTR</v>
      </c>
      <c r="H76" s="83">
        <v>17099617</v>
      </c>
      <c r="I76" s="85">
        <f t="shared" si="20"/>
        <v>200</v>
      </c>
      <c r="J76" s="85">
        <f t="shared" si="21"/>
        <v>0</v>
      </c>
      <c r="K76" s="87">
        <f t="shared" si="22"/>
        <v>5.24</v>
      </c>
      <c r="L76" s="87">
        <f t="shared" si="23"/>
        <v>0</v>
      </c>
      <c r="M76" s="88">
        <f t="shared" si="24"/>
        <v>5.24</v>
      </c>
      <c r="N76" s="90" t="s">
        <v>299</v>
      </c>
      <c r="O76" s="90" t="s">
        <v>300</v>
      </c>
      <c r="P76" s="56">
        <f>IF(G76="MFP",Tables!B$2,Tables!B$5)</f>
        <v>2.6200000000000001E-2</v>
      </c>
      <c r="Q76" s="124">
        <f>IF(G76="MFP",Tables!B$3,Tables!B$6)</f>
        <v>0.11799999999999999</v>
      </c>
      <c r="R76" s="113">
        <f>VLOOKUP($N76,'Meter Read info'!$C$2:$G$249,2,"FALSE")</f>
        <v>483</v>
      </c>
      <c r="S76" s="113">
        <f>VLOOKUP($N76,'Meter Read info'!$C$2:$G$249,3,"FALSE")</f>
        <v>683</v>
      </c>
      <c r="T76" s="113">
        <f>VLOOKUP($N76,'Meter Read info'!$C$2:$G$249,4,"FALSE")</f>
        <v>0</v>
      </c>
      <c r="U76" s="113">
        <f>VLOOKUP($N76,'Meter Read info'!$C$2:$G$249,5,"FALSE")</f>
        <v>0</v>
      </c>
    </row>
    <row r="77" spans="1:21" ht="31.2" outlineLevel="1" x14ac:dyDescent="0.3">
      <c r="A77" s="91"/>
      <c r="B77" s="107" t="s">
        <v>906</v>
      </c>
      <c r="C77" s="91"/>
      <c r="D77" s="90"/>
      <c r="E77" s="89"/>
      <c r="F77" s="90"/>
      <c r="G77" s="55"/>
      <c r="H77" s="83"/>
      <c r="I77" s="85"/>
      <c r="J77" s="85"/>
      <c r="K77" s="87"/>
      <c r="L77" s="87"/>
      <c r="M77" s="88">
        <f>SUBTOTAL(9,M74:M76)</f>
        <v>73.333799999999997</v>
      </c>
      <c r="N77" s="90"/>
      <c r="O77" s="90"/>
      <c r="P77" s="56"/>
      <c r="Q77" s="124"/>
      <c r="R77" s="113"/>
      <c r="S77" s="113"/>
      <c r="T77" s="113"/>
      <c r="U77" s="113"/>
    </row>
    <row r="78" spans="1:21" ht="30" outlineLevel="2" x14ac:dyDescent="0.3">
      <c r="A78" s="91" t="s">
        <v>296</v>
      </c>
      <c r="B78" s="91" t="s">
        <v>414</v>
      </c>
      <c r="C78" s="91" t="str">
        <f>VLOOKUP(B78,Tables!G$2:H$79,2,FALSE)</f>
        <v>Duplicating</v>
      </c>
      <c r="D78" s="90" t="s">
        <v>223</v>
      </c>
      <c r="E78" s="89">
        <v>307</v>
      </c>
      <c r="F78" s="90" t="s">
        <v>419</v>
      </c>
      <c r="G78" s="55" t="str">
        <f>VLOOKUP(F78,Tables!D$2:E$12,2,FALSE)</f>
        <v>MFP</v>
      </c>
      <c r="H78" s="83">
        <v>17099454</v>
      </c>
      <c r="I78" s="85">
        <f t="shared" si="20"/>
        <v>15737</v>
      </c>
      <c r="J78" s="85">
        <f t="shared" si="21"/>
        <v>1894</v>
      </c>
      <c r="K78" s="87">
        <f t="shared" si="22"/>
        <v>325.7559</v>
      </c>
      <c r="L78" s="87">
        <f t="shared" si="23"/>
        <v>164.77799999999999</v>
      </c>
      <c r="M78" s="88">
        <f t="shared" si="24"/>
        <v>490.53390000000002</v>
      </c>
      <c r="N78" s="90" t="s">
        <v>434</v>
      </c>
      <c r="O78" s="90" t="s">
        <v>435</v>
      </c>
      <c r="P78" s="56">
        <f>IF(G78="MFP",Tables!B$2,Tables!B$5)</f>
        <v>2.07E-2</v>
      </c>
      <c r="Q78" s="124">
        <f>IF(G78="MFP",Tables!B$3,Tables!B$6)</f>
        <v>8.6999999999999994E-2</v>
      </c>
      <c r="R78" s="113">
        <f>VLOOKUP($N78,'Meter Read info'!$C$2:$G$249,2,"FALSE")</f>
        <v>154317</v>
      </c>
      <c r="S78" s="113">
        <f>VLOOKUP($N78,'Meter Read info'!$C$2:$G$249,3,"FALSE")</f>
        <v>170054</v>
      </c>
      <c r="T78" s="113">
        <f>VLOOKUP($N78,'Meter Read info'!$C$2:$G$249,4,"FALSE")</f>
        <v>9923</v>
      </c>
      <c r="U78" s="113">
        <f>VLOOKUP($N78,'Meter Read info'!$C$2:$G$249,5,"FALSE")</f>
        <v>11817</v>
      </c>
    </row>
    <row r="79" spans="1:21" ht="31.2" outlineLevel="1" x14ac:dyDescent="0.3">
      <c r="A79" s="91"/>
      <c r="B79" s="107" t="s">
        <v>907</v>
      </c>
      <c r="C79" s="91"/>
      <c r="D79" s="90"/>
      <c r="E79" s="89"/>
      <c r="F79" s="90"/>
      <c r="G79" s="55"/>
      <c r="H79" s="83"/>
      <c r="I79" s="85"/>
      <c r="J79" s="85"/>
      <c r="K79" s="87"/>
      <c r="L79" s="87"/>
      <c r="M79" s="88">
        <f>SUBTOTAL(9,M78:M78)</f>
        <v>490.53390000000002</v>
      </c>
      <c r="N79" s="90"/>
      <c r="O79" s="90"/>
      <c r="P79" s="56"/>
      <c r="Q79" s="124"/>
      <c r="R79" s="113"/>
      <c r="S79" s="113"/>
      <c r="T79" s="113"/>
      <c r="U79" s="113"/>
    </row>
    <row r="80" spans="1:21" ht="30" outlineLevel="2" x14ac:dyDescent="0.3">
      <c r="A80" s="91" t="s">
        <v>598</v>
      </c>
      <c r="B80" s="91" t="s">
        <v>599</v>
      </c>
      <c r="C80" s="91" t="str">
        <f>VLOOKUP(B80,Tables!G$2:H$79,2,FALSE)</f>
        <v>Center for Leadership &amp; Ethics</v>
      </c>
      <c r="D80" s="90" t="s">
        <v>598</v>
      </c>
      <c r="E80" s="89">
        <v>201</v>
      </c>
      <c r="F80" s="90" t="s">
        <v>54</v>
      </c>
      <c r="G80" s="55" t="str">
        <f>VLOOKUP(F80,Tables!D$2:E$12,2,FALSE)</f>
        <v>MFP</v>
      </c>
      <c r="H80" s="83">
        <v>17099534</v>
      </c>
      <c r="I80" s="85">
        <f t="shared" si="20"/>
        <v>2018</v>
      </c>
      <c r="J80" s="85">
        <f t="shared" si="21"/>
        <v>1079</v>
      </c>
      <c r="K80" s="87">
        <f t="shared" si="22"/>
        <v>41.772599999999997</v>
      </c>
      <c r="L80" s="87">
        <f t="shared" si="23"/>
        <v>93.87299999999999</v>
      </c>
      <c r="M80" s="88">
        <f t="shared" si="24"/>
        <v>135.6456</v>
      </c>
      <c r="N80" s="90" t="s">
        <v>600</v>
      </c>
      <c r="O80" s="90" t="s">
        <v>601</v>
      </c>
      <c r="P80" s="56">
        <f>IF(G80="MFP",Tables!B$2,Tables!B$5)</f>
        <v>2.07E-2</v>
      </c>
      <c r="Q80" s="124">
        <f>IF(G80="MFP",Tables!B$3,Tables!B$6)</f>
        <v>8.6999999999999994E-2</v>
      </c>
      <c r="R80" s="113">
        <f>VLOOKUP($N80,'Meter Read info'!$C$2:$G$249,2,"FALSE")</f>
        <v>9433</v>
      </c>
      <c r="S80" s="113">
        <f>VLOOKUP($N80,'Meter Read info'!$C$2:$G$249,3,"FALSE")</f>
        <v>11451</v>
      </c>
      <c r="T80" s="113">
        <f>VLOOKUP($N80,'Meter Read info'!$C$2:$G$249,4,"FALSE")</f>
        <v>6246</v>
      </c>
      <c r="U80" s="113">
        <f>VLOOKUP($N80,'Meter Read info'!$C$2:$G$249,5,"FALSE")</f>
        <v>7325</v>
      </c>
    </row>
    <row r="81" spans="1:21" ht="30" outlineLevel="2" x14ac:dyDescent="0.3">
      <c r="A81" s="91" t="s">
        <v>598</v>
      </c>
      <c r="B81" s="91" t="s">
        <v>599</v>
      </c>
      <c r="C81" s="91" t="str">
        <f>VLOOKUP(B81,Tables!G$2:H$79,2,FALSE)</f>
        <v>Center for Leadership &amp; Ethics</v>
      </c>
      <c r="D81" s="90" t="s">
        <v>598</v>
      </c>
      <c r="E81" s="89">
        <v>201</v>
      </c>
      <c r="F81" s="90" t="s">
        <v>15</v>
      </c>
      <c r="G81" s="55" t="str">
        <f>VLOOKUP(F81,Tables!D$2:E$12,2,FALSE)</f>
        <v>PTR</v>
      </c>
      <c r="H81" s="83">
        <v>17099602</v>
      </c>
      <c r="I81" s="85">
        <f t="shared" si="20"/>
        <v>823</v>
      </c>
      <c r="J81" s="85">
        <f t="shared" si="21"/>
        <v>0</v>
      </c>
      <c r="K81" s="87">
        <f t="shared" si="22"/>
        <v>21.5626</v>
      </c>
      <c r="L81" s="87">
        <f t="shared" si="23"/>
        <v>0</v>
      </c>
      <c r="M81" s="88">
        <f t="shared" si="24"/>
        <v>21.5626</v>
      </c>
      <c r="N81" s="90" t="s">
        <v>602</v>
      </c>
      <c r="O81" s="90" t="s">
        <v>603</v>
      </c>
      <c r="P81" s="56">
        <f>IF(G81="MFP",Tables!B$2,Tables!B$5)</f>
        <v>2.6200000000000001E-2</v>
      </c>
      <c r="Q81" s="124">
        <f>IF(G81="MFP",Tables!B$3,Tables!B$6)</f>
        <v>0.11799999999999999</v>
      </c>
      <c r="R81" s="113">
        <f>VLOOKUP($N81,'Meter Read info'!$C$2:$G$249,2,"FALSE")</f>
        <v>3623</v>
      </c>
      <c r="S81" s="113">
        <f>VLOOKUP($N81,'Meter Read info'!$C$2:$G$249,3,"FALSE")</f>
        <v>4446</v>
      </c>
      <c r="T81" s="113">
        <f>VLOOKUP($N81,'Meter Read info'!$C$2:$G$249,4,"FALSE")</f>
        <v>0</v>
      </c>
      <c r="U81" s="113">
        <f>VLOOKUP($N81,'Meter Read info'!$C$2:$G$249,5,"FALSE")</f>
        <v>0</v>
      </c>
    </row>
    <row r="82" spans="1:21" ht="30" outlineLevel="2" x14ac:dyDescent="0.3">
      <c r="A82" s="91" t="s">
        <v>598</v>
      </c>
      <c r="B82" s="91" t="s">
        <v>599</v>
      </c>
      <c r="C82" s="91" t="str">
        <f>VLOOKUP(B82,Tables!G$2:H$79,2,FALSE)</f>
        <v>Center for Leadership &amp; Ethics</v>
      </c>
      <c r="D82" s="90" t="s">
        <v>598</v>
      </c>
      <c r="E82" s="89">
        <v>201</v>
      </c>
      <c r="F82" s="90" t="s">
        <v>15</v>
      </c>
      <c r="G82" s="55" t="str">
        <f>VLOOKUP(F82,Tables!D$2:E$12,2,FALSE)</f>
        <v>PTR</v>
      </c>
      <c r="H82" s="83">
        <v>17099694</v>
      </c>
      <c r="I82" s="85">
        <f t="shared" si="20"/>
        <v>72</v>
      </c>
      <c r="J82" s="85">
        <f t="shared" si="21"/>
        <v>0</v>
      </c>
      <c r="K82" s="87">
        <f t="shared" si="22"/>
        <v>1.8864000000000001</v>
      </c>
      <c r="L82" s="87">
        <f t="shared" si="23"/>
        <v>0</v>
      </c>
      <c r="M82" s="88">
        <f t="shared" si="24"/>
        <v>1.8864000000000001</v>
      </c>
      <c r="N82" s="90" t="s">
        <v>604</v>
      </c>
      <c r="O82" s="90" t="s">
        <v>605</v>
      </c>
      <c r="P82" s="56">
        <f>IF(G82="MFP",Tables!B$2,Tables!B$5)</f>
        <v>2.6200000000000001E-2</v>
      </c>
      <c r="Q82" s="124">
        <f>IF(G82="MFP",Tables!B$3,Tables!B$6)</f>
        <v>0.11799999999999999</v>
      </c>
      <c r="R82" s="113">
        <f>VLOOKUP($N82,'Meter Read info'!$C$2:$G$249,2,"FALSE")</f>
        <v>96</v>
      </c>
      <c r="S82" s="113">
        <f>VLOOKUP($N82,'Meter Read info'!$C$2:$G$249,3,"FALSE")</f>
        <v>168</v>
      </c>
      <c r="T82" s="113">
        <f>VLOOKUP($N82,'Meter Read info'!$C$2:$G$249,4,"FALSE")</f>
        <v>0</v>
      </c>
      <c r="U82" s="113">
        <f>VLOOKUP($N82,'Meter Read info'!$C$2:$G$249,5,"FALSE")</f>
        <v>0</v>
      </c>
    </row>
    <row r="83" spans="1:21" ht="31.2" outlineLevel="1" x14ac:dyDescent="0.3">
      <c r="A83" s="91"/>
      <c r="B83" s="107" t="s">
        <v>908</v>
      </c>
      <c r="C83" s="91"/>
      <c r="D83" s="90"/>
      <c r="E83" s="89"/>
      <c r="F83" s="90"/>
      <c r="G83" s="55"/>
      <c r="H83" s="83"/>
      <c r="I83" s="85"/>
      <c r="J83" s="85"/>
      <c r="K83" s="87"/>
      <c r="L83" s="87"/>
      <c r="M83" s="88">
        <f>SUBTOTAL(9,M80:M82)</f>
        <v>159.09460000000001</v>
      </c>
      <c r="N83" s="90"/>
      <c r="O83" s="90"/>
      <c r="P83" s="56"/>
      <c r="Q83" s="124"/>
      <c r="R83" s="113"/>
      <c r="S83" s="113"/>
      <c r="T83" s="113"/>
      <c r="U83" s="113"/>
    </row>
    <row r="84" spans="1:21" ht="30" outlineLevel="2" x14ac:dyDescent="0.3">
      <c r="A84" s="91" t="s">
        <v>524</v>
      </c>
      <c r="B84" s="91" t="s">
        <v>525</v>
      </c>
      <c r="C84" s="91" t="str">
        <f>VLOOKUP(B84,Tables!G$2:H$79,2,FALSE)</f>
        <v>UMA-Counselors Office</v>
      </c>
      <c r="D84" s="90" t="s">
        <v>158</v>
      </c>
      <c r="E84" s="89">
        <v>202</v>
      </c>
      <c r="F84" s="90" t="s">
        <v>159</v>
      </c>
      <c r="G84" s="55" t="str">
        <f>VLOOKUP(F84,Tables!D$2:E$12,2,FALSE)</f>
        <v>MFP</v>
      </c>
      <c r="H84" s="83">
        <v>17099532</v>
      </c>
      <c r="I84" s="85">
        <f t="shared" si="20"/>
        <v>1891</v>
      </c>
      <c r="J84" s="85">
        <f t="shared" si="21"/>
        <v>0</v>
      </c>
      <c r="K84" s="87">
        <f t="shared" si="22"/>
        <v>39.143700000000003</v>
      </c>
      <c r="L84" s="87">
        <f t="shared" si="23"/>
        <v>0</v>
      </c>
      <c r="M84" s="88">
        <f t="shared" si="24"/>
        <v>39.143700000000003</v>
      </c>
      <c r="N84" s="90" t="s">
        <v>527</v>
      </c>
      <c r="O84" s="90" t="s">
        <v>528</v>
      </c>
      <c r="P84" s="56">
        <f>IF(G84="MFP",Tables!B$2,Tables!B$5)</f>
        <v>2.07E-2</v>
      </c>
      <c r="Q84" s="124">
        <f>IF(G84="MFP",Tables!B$3,Tables!B$6)</f>
        <v>8.6999999999999994E-2</v>
      </c>
      <c r="R84" s="113">
        <f>VLOOKUP($N84,'Meter Read info'!$C$2:$G$249,2,"FALSE")</f>
        <v>3880</v>
      </c>
      <c r="S84" s="113">
        <f>VLOOKUP($N84,'Meter Read info'!$C$2:$G$249,3,"FALSE")</f>
        <v>5771</v>
      </c>
      <c r="T84" s="113">
        <f>VLOOKUP($N84,'Meter Read info'!$C$2:$G$249,4,"FALSE")</f>
        <v>0</v>
      </c>
      <c r="U84" s="113">
        <f>VLOOKUP($N84,'Meter Read info'!$C$2:$G$249,5,"FALSE")</f>
        <v>0</v>
      </c>
    </row>
    <row r="85" spans="1:21" ht="31.2" outlineLevel="1" x14ac:dyDescent="0.3">
      <c r="A85" s="91"/>
      <c r="B85" s="107" t="s">
        <v>909</v>
      </c>
      <c r="C85" s="91"/>
      <c r="D85" s="90"/>
      <c r="E85" s="89"/>
      <c r="F85" s="90"/>
      <c r="G85" s="55"/>
      <c r="H85" s="83"/>
      <c r="I85" s="85"/>
      <c r="J85" s="85"/>
      <c r="K85" s="87"/>
      <c r="L85" s="87"/>
      <c r="M85" s="88">
        <f>SUBTOTAL(9,M84:M84)</f>
        <v>39.143700000000003</v>
      </c>
      <c r="N85" s="90"/>
      <c r="O85" s="90"/>
      <c r="P85" s="56"/>
      <c r="Q85" s="124"/>
      <c r="R85" s="113"/>
      <c r="S85" s="113"/>
      <c r="T85" s="113"/>
      <c r="U85" s="113"/>
    </row>
    <row r="86" spans="1:21" outlineLevel="2" x14ac:dyDescent="0.3">
      <c r="A86" s="91" t="s">
        <v>70</v>
      </c>
      <c r="B86" s="91" t="s">
        <v>71</v>
      </c>
      <c r="C86" s="91" t="str">
        <f>VLOOKUP(B86,Tables!G$2:H$79,2,FALSE)</f>
        <v>Chemistry</v>
      </c>
      <c r="D86" s="90" t="s">
        <v>53</v>
      </c>
      <c r="E86" s="89">
        <v>303</v>
      </c>
      <c r="F86" s="90" t="s">
        <v>15</v>
      </c>
      <c r="G86" s="55" t="str">
        <f>VLOOKUP(F86,Tables!D$2:E$12,2,FALSE)</f>
        <v>PTR</v>
      </c>
      <c r="H86" s="83">
        <v>17099615</v>
      </c>
      <c r="I86" s="85">
        <f t="shared" si="20"/>
        <v>1567</v>
      </c>
      <c r="J86" s="85">
        <f t="shared" si="21"/>
        <v>0</v>
      </c>
      <c r="K86" s="87">
        <f t="shared" si="22"/>
        <v>41.055399999999999</v>
      </c>
      <c r="L86" s="87">
        <f t="shared" si="23"/>
        <v>0</v>
      </c>
      <c r="M86" s="88">
        <f t="shared" si="24"/>
        <v>41.055399999999999</v>
      </c>
      <c r="N86" s="90" t="s">
        <v>78</v>
      </c>
      <c r="O86" s="90" t="s">
        <v>79</v>
      </c>
      <c r="P86" s="56">
        <f>IF(G86="MFP",Tables!B$2,Tables!B$5)</f>
        <v>2.6200000000000001E-2</v>
      </c>
      <c r="Q86" s="124">
        <f>IF(G86="MFP",Tables!B$3,Tables!B$6)</f>
        <v>0.11799999999999999</v>
      </c>
      <c r="R86" s="113">
        <f>VLOOKUP($N86,'Meter Read info'!$C$2:$G$249,2,"FALSE")</f>
        <v>6979</v>
      </c>
      <c r="S86" s="113">
        <f>VLOOKUP($N86,'Meter Read info'!$C$2:$G$249,3,"FALSE")</f>
        <v>8546</v>
      </c>
      <c r="T86" s="113">
        <f>VLOOKUP($N86,'Meter Read info'!$C$2:$G$249,4,"FALSE")</f>
        <v>0</v>
      </c>
      <c r="U86" s="113">
        <f>VLOOKUP($N86,'Meter Read info'!$C$2:$G$249,5,"FALSE")</f>
        <v>0</v>
      </c>
    </row>
    <row r="87" spans="1:21" outlineLevel="2" x14ac:dyDescent="0.3">
      <c r="A87" s="91" t="s">
        <v>70</v>
      </c>
      <c r="B87" s="91" t="s">
        <v>71</v>
      </c>
      <c r="C87" s="91" t="str">
        <f>VLOOKUP(B87,Tables!G$2:H$79,2,FALSE)</f>
        <v>Chemistry</v>
      </c>
      <c r="D87" s="90" t="s">
        <v>53</v>
      </c>
      <c r="E87" s="89" t="s">
        <v>72</v>
      </c>
      <c r="F87" s="90" t="s">
        <v>24</v>
      </c>
      <c r="G87" s="55" t="str">
        <f>VLOOKUP(F87,Tables!D$2:E$12,2,FALSE)</f>
        <v>MFP</v>
      </c>
      <c r="H87" s="83">
        <v>17099462</v>
      </c>
      <c r="I87" s="85">
        <f t="shared" si="20"/>
        <v>12063</v>
      </c>
      <c r="J87" s="85">
        <f t="shared" si="21"/>
        <v>352</v>
      </c>
      <c r="K87" s="87">
        <f t="shared" si="22"/>
        <v>249.70409999999998</v>
      </c>
      <c r="L87" s="87">
        <f t="shared" si="23"/>
        <v>30.623999999999999</v>
      </c>
      <c r="M87" s="88">
        <f t="shared" si="24"/>
        <v>280.32810000000001</v>
      </c>
      <c r="N87" s="90" t="s">
        <v>73</v>
      </c>
      <c r="O87" s="90" t="s">
        <v>74</v>
      </c>
      <c r="P87" s="56">
        <f>IF(G87="MFP",Tables!B$2,Tables!B$5)</f>
        <v>2.07E-2</v>
      </c>
      <c r="Q87" s="124">
        <f>IF(G87="MFP",Tables!B$3,Tables!B$6)</f>
        <v>8.6999999999999994E-2</v>
      </c>
      <c r="R87" s="113">
        <f>VLOOKUP($N87,'Meter Read info'!$C$2:$G$249,2,"FALSE")</f>
        <v>34366</v>
      </c>
      <c r="S87" s="113">
        <f>VLOOKUP($N87,'Meter Read info'!$C$2:$G$249,3,"FALSE")</f>
        <v>46429</v>
      </c>
      <c r="T87" s="113">
        <f>VLOOKUP($N87,'Meter Read info'!$C$2:$G$249,4,"FALSE")</f>
        <v>1033</v>
      </c>
      <c r="U87" s="113">
        <f>VLOOKUP($N87,'Meter Read info'!$C$2:$G$249,5,"FALSE")</f>
        <v>1385</v>
      </c>
    </row>
    <row r="88" spans="1:21" outlineLevel="2" x14ac:dyDescent="0.3">
      <c r="A88" s="91" t="s">
        <v>70</v>
      </c>
      <c r="B88" s="91" t="s">
        <v>71</v>
      </c>
      <c r="C88" s="91" t="str">
        <f>VLOOKUP(B88,Tables!G$2:H$79,2,FALSE)</f>
        <v>Chemistry</v>
      </c>
      <c r="D88" s="90" t="s">
        <v>53</v>
      </c>
      <c r="E88" s="89" t="s">
        <v>75</v>
      </c>
      <c r="F88" s="90" t="s">
        <v>15</v>
      </c>
      <c r="G88" s="55" t="str">
        <f>VLOOKUP(F88,Tables!D$2:E$12,2,FALSE)</f>
        <v>PTR</v>
      </c>
      <c r="H88" s="83">
        <v>17099616</v>
      </c>
      <c r="I88" s="85">
        <f t="shared" si="20"/>
        <v>2155</v>
      </c>
      <c r="J88" s="85">
        <f t="shared" si="21"/>
        <v>0</v>
      </c>
      <c r="K88" s="87">
        <f t="shared" si="22"/>
        <v>56.461000000000006</v>
      </c>
      <c r="L88" s="87">
        <f t="shared" si="23"/>
        <v>0</v>
      </c>
      <c r="M88" s="88">
        <f t="shared" si="24"/>
        <v>56.461000000000006</v>
      </c>
      <c r="N88" s="90" t="s">
        <v>76</v>
      </c>
      <c r="O88" s="90" t="s">
        <v>77</v>
      </c>
      <c r="P88" s="56">
        <f>IF(G88="MFP",Tables!B$2,Tables!B$5)</f>
        <v>2.6200000000000001E-2</v>
      </c>
      <c r="Q88" s="124">
        <f>IF(G88="MFP",Tables!B$3,Tables!B$6)</f>
        <v>0.11799999999999999</v>
      </c>
      <c r="R88" s="113">
        <f>VLOOKUP($N88,'Meter Read info'!$C$2:$G$249,2,"FALSE")</f>
        <v>5102</v>
      </c>
      <c r="S88" s="113">
        <f>VLOOKUP($N88,'Meter Read info'!$C$2:$G$249,3,"FALSE")</f>
        <v>7257</v>
      </c>
      <c r="T88" s="113">
        <f>VLOOKUP($N88,'Meter Read info'!$C$2:$G$249,4,"FALSE")</f>
        <v>0</v>
      </c>
      <c r="U88" s="113">
        <f>VLOOKUP($N88,'Meter Read info'!$C$2:$G$249,5,"FALSE")</f>
        <v>0</v>
      </c>
    </row>
    <row r="89" spans="1:21" ht="31.2" outlineLevel="1" x14ac:dyDescent="0.3">
      <c r="A89" s="91"/>
      <c r="B89" s="107" t="s">
        <v>910</v>
      </c>
      <c r="C89" s="91"/>
      <c r="D89" s="90"/>
      <c r="E89" s="89"/>
      <c r="F89" s="90"/>
      <c r="G89" s="55"/>
      <c r="H89" s="83"/>
      <c r="I89" s="85"/>
      <c r="J89" s="85"/>
      <c r="K89" s="87"/>
      <c r="L89" s="87"/>
      <c r="M89" s="88">
        <f>SUBTOTAL(9,M86:M88)</f>
        <v>377.84450000000004</v>
      </c>
      <c r="N89" s="90"/>
      <c r="O89" s="90"/>
      <c r="P89" s="56"/>
      <c r="Q89" s="124"/>
      <c r="R89" s="113"/>
      <c r="S89" s="113"/>
      <c r="T89" s="113"/>
      <c r="U89" s="113"/>
    </row>
    <row r="90" spans="1:21" ht="30" outlineLevel="2" x14ac:dyDescent="0.3">
      <c r="A90" s="91" t="s">
        <v>80</v>
      </c>
      <c r="B90" s="91" t="s">
        <v>81</v>
      </c>
      <c r="C90" s="91" t="str">
        <f>VLOOKUP(B90,Tables!G$2:H$79,2,FALSE)</f>
        <v>Civil Engineering</v>
      </c>
      <c r="D90" s="90" t="s">
        <v>83</v>
      </c>
      <c r="E90" s="89">
        <v>410</v>
      </c>
      <c r="F90" s="90" t="s">
        <v>15</v>
      </c>
      <c r="G90" s="55" t="str">
        <f>VLOOKUP(F90,Tables!D$2:E$12,2,FALSE)</f>
        <v>PTR</v>
      </c>
      <c r="H90" s="83">
        <v>17099752</v>
      </c>
      <c r="I90" s="85">
        <f t="shared" si="20"/>
        <v>196</v>
      </c>
      <c r="J90" s="85">
        <f t="shared" si="21"/>
        <v>0</v>
      </c>
      <c r="K90" s="87">
        <f t="shared" si="22"/>
        <v>5.1352000000000002</v>
      </c>
      <c r="L90" s="87">
        <f t="shared" si="23"/>
        <v>0</v>
      </c>
      <c r="M90" s="88">
        <f t="shared" si="24"/>
        <v>5.1352000000000002</v>
      </c>
      <c r="N90" s="90" t="s">
        <v>89</v>
      </c>
      <c r="O90" s="90" t="s">
        <v>90</v>
      </c>
      <c r="P90" s="56">
        <f>IF(G90="MFP",Tables!B$2,Tables!B$5)</f>
        <v>2.6200000000000001E-2</v>
      </c>
      <c r="Q90" s="124">
        <f>IF(G90="MFP",Tables!B$3,Tables!B$6)</f>
        <v>0.11799999999999999</v>
      </c>
      <c r="R90" s="113">
        <f>VLOOKUP($N90,'Meter Read info'!$C$2:$G$249,2,"FALSE")</f>
        <v>470</v>
      </c>
      <c r="S90" s="113">
        <f>VLOOKUP($N90,'Meter Read info'!$C$2:$G$249,3,"FALSE")</f>
        <v>666</v>
      </c>
      <c r="T90" s="113">
        <f>VLOOKUP($N90,'Meter Read info'!$C$2:$G$249,4,"FALSE")</f>
        <v>0</v>
      </c>
      <c r="U90" s="113">
        <f>VLOOKUP($N90,'Meter Read info'!$C$2:$G$249,5,"FALSE")</f>
        <v>0</v>
      </c>
    </row>
    <row r="91" spans="1:21" ht="30" outlineLevel="2" x14ac:dyDescent="0.3">
      <c r="A91" s="91" t="s">
        <v>80</v>
      </c>
      <c r="B91" s="91" t="s">
        <v>81</v>
      </c>
      <c r="C91" s="91" t="str">
        <f>VLOOKUP(B91,Tables!G$2:H$79,2,FALSE)</f>
        <v>Civil Engineering</v>
      </c>
      <c r="D91" s="90" t="s">
        <v>83</v>
      </c>
      <c r="E91" s="89">
        <v>609</v>
      </c>
      <c r="F91" s="90" t="s">
        <v>15</v>
      </c>
      <c r="G91" s="55" t="str">
        <f>VLOOKUP(F91,Tables!D$2:E$12,2,FALSE)</f>
        <v>PTR</v>
      </c>
      <c r="H91" s="83">
        <v>17099621</v>
      </c>
      <c r="I91" s="85">
        <f t="shared" si="20"/>
        <v>533</v>
      </c>
      <c r="J91" s="85">
        <f t="shared" si="21"/>
        <v>0</v>
      </c>
      <c r="K91" s="87">
        <f t="shared" si="22"/>
        <v>13.964600000000001</v>
      </c>
      <c r="L91" s="87">
        <f t="shared" si="23"/>
        <v>0</v>
      </c>
      <c r="M91" s="88">
        <f t="shared" si="24"/>
        <v>13.964600000000001</v>
      </c>
      <c r="N91" s="90" t="s">
        <v>87</v>
      </c>
      <c r="O91" s="90" t="s">
        <v>88</v>
      </c>
      <c r="P91" s="56">
        <f>IF(G91="MFP",Tables!B$2,Tables!B$5)</f>
        <v>2.6200000000000001E-2</v>
      </c>
      <c r="Q91" s="124">
        <f>IF(G91="MFP",Tables!B$3,Tables!B$6)</f>
        <v>0.11799999999999999</v>
      </c>
      <c r="R91" s="113">
        <f>VLOOKUP($N91,'Meter Read info'!$C$2:$G$249,2,"FALSE")</f>
        <v>779</v>
      </c>
      <c r="S91" s="113">
        <f>VLOOKUP($N91,'Meter Read info'!$C$2:$G$249,3,"FALSE")</f>
        <v>1312</v>
      </c>
      <c r="T91" s="113">
        <f>VLOOKUP($N91,'Meter Read info'!$C$2:$G$249,4,"FALSE")</f>
        <v>0</v>
      </c>
      <c r="U91" s="113">
        <f>VLOOKUP($N91,'Meter Read info'!$C$2:$G$249,5,"FALSE")</f>
        <v>0</v>
      </c>
    </row>
    <row r="92" spans="1:21" ht="30" outlineLevel="2" x14ac:dyDescent="0.3">
      <c r="A92" s="91" t="s">
        <v>80</v>
      </c>
      <c r="B92" s="91" t="s">
        <v>81</v>
      </c>
      <c r="C92" s="91" t="str">
        <f>VLOOKUP(B92,Tables!G$2:H$79,2,FALSE)</f>
        <v>Civil Engineering</v>
      </c>
      <c r="D92" s="90" t="s">
        <v>83</v>
      </c>
      <c r="E92" s="89">
        <v>609</v>
      </c>
      <c r="F92" s="90" t="s">
        <v>84</v>
      </c>
      <c r="G92" s="55" t="str">
        <f>VLOOKUP(F92,Tables!D$2:E$12,2,FALSE)</f>
        <v>MFP</v>
      </c>
      <c r="H92" s="83">
        <v>17099782</v>
      </c>
      <c r="I92" s="85">
        <f t="shared" si="20"/>
        <v>20795</v>
      </c>
      <c r="J92" s="85">
        <f t="shared" si="21"/>
        <v>276</v>
      </c>
      <c r="K92" s="87">
        <f t="shared" si="22"/>
        <v>430.45650000000001</v>
      </c>
      <c r="L92" s="87">
        <f t="shared" si="23"/>
        <v>24.011999999999997</v>
      </c>
      <c r="M92" s="88">
        <f t="shared" si="24"/>
        <v>454.46850000000001</v>
      </c>
      <c r="N92" s="90" t="s">
        <v>85</v>
      </c>
      <c r="O92" s="90" t="s">
        <v>86</v>
      </c>
      <c r="P92" s="56">
        <f>IF(G92="MFP",Tables!B$2,Tables!B$5)</f>
        <v>2.07E-2</v>
      </c>
      <c r="Q92" s="124">
        <f>IF(G92="MFP",Tables!B$3,Tables!B$6)</f>
        <v>8.6999999999999994E-2</v>
      </c>
      <c r="R92" s="113">
        <f>VLOOKUP($N92,'Meter Read info'!$C$2:$G$249,2,"FALSE")</f>
        <v>86015</v>
      </c>
      <c r="S92" s="113">
        <f>VLOOKUP($N92,'Meter Read info'!$C$2:$G$249,3,"FALSE")</f>
        <v>106810</v>
      </c>
      <c r="T92" s="113">
        <f>VLOOKUP($N92,'Meter Read info'!$C$2:$G$249,4,"FALSE")</f>
        <v>23969</v>
      </c>
      <c r="U92" s="113">
        <f>VLOOKUP($N92,'Meter Read info'!$C$2:$G$249,5,"FALSE")</f>
        <v>24245</v>
      </c>
    </row>
    <row r="93" spans="1:21" ht="30" outlineLevel="2" x14ac:dyDescent="0.3">
      <c r="A93" s="91" t="s">
        <v>80</v>
      </c>
      <c r="B93" s="91" t="s">
        <v>81</v>
      </c>
      <c r="C93" s="91" t="str">
        <f>VLOOKUP(B93,Tables!G$2:H$79,2,FALSE)</f>
        <v>Civil Engineering</v>
      </c>
      <c r="D93" s="90" t="s">
        <v>83</v>
      </c>
      <c r="E93" s="89" t="s">
        <v>91</v>
      </c>
      <c r="F93" s="90" t="s">
        <v>92</v>
      </c>
      <c r="G93" s="55" t="str">
        <f>VLOOKUP(F93,Tables!D$2:E$12,2,FALSE)</f>
        <v>PTR</v>
      </c>
      <c r="H93" s="83">
        <v>17099740</v>
      </c>
      <c r="I93" s="85">
        <f t="shared" si="20"/>
        <v>482</v>
      </c>
      <c r="J93" s="85">
        <f t="shared" si="21"/>
        <v>18</v>
      </c>
      <c r="K93" s="87">
        <f t="shared" si="22"/>
        <v>12.628400000000001</v>
      </c>
      <c r="L93" s="87">
        <f t="shared" si="23"/>
        <v>2.1239999999999997</v>
      </c>
      <c r="M93" s="88">
        <f t="shared" si="24"/>
        <v>14.752400000000002</v>
      </c>
      <c r="N93" s="90" t="s">
        <v>93</v>
      </c>
      <c r="O93" s="90" t="s">
        <v>94</v>
      </c>
      <c r="P93" s="56">
        <f>IF(G93="MFP",Tables!B$2,Tables!B$5)</f>
        <v>2.6200000000000001E-2</v>
      </c>
      <c r="Q93" s="124">
        <f>IF(G93="MFP",Tables!B$3,Tables!B$6)</f>
        <v>0.11799999999999999</v>
      </c>
      <c r="R93" s="113">
        <f>VLOOKUP($N93,'Meter Read info'!$C$2:$G$249,2,"FALSE")</f>
        <v>1031</v>
      </c>
      <c r="S93" s="113">
        <f>VLOOKUP($N93,'Meter Read info'!$C$2:$G$249,3,"FALSE")</f>
        <v>1513</v>
      </c>
      <c r="T93" s="113">
        <f>VLOOKUP($N93,'Meter Read info'!$C$2:$G$249,4,"FALSE")</f>
        <v>59</v>
      </c>
      <c r="U93" s="113">
        <f>VLOOKUP($N93,'Meter Read info'!$C$2:$G$249,5,"FALSE")</f>
        <v>77</v>
      </c>
    </row>
    <row r="94" spans="1:21" ht="31.2" outlineLevel="1" x14ac:dyDescent="0.3">
      <c r="A94" s="91"/>
      <c r="B94" s="107" t="s">
        <v>911</v>
      </c>
      <c r="C94" s="91"/>
      <c r="D94" s="90"/>
      <c r="E94" s="89"/>
      <c r="F94" s="90"/>
      <c r="G94" s="55"/>
      <c r="H94" s="83"/>
      <c r="I94" s="85"/>
      <c r="J94" s="85"/>
      <c r="K94" s="87"/>
      <c r="L94" s="87"/>
      <c r="M94" s="88">
        <f>SUBTOTAL(9,M90:M93)</f>
        <v>488.32070000000004</v>
      </c>
      <c r="N94" s="90"/>
      <c r="O94" s="90"/>
      <c r="P94" s="56"/>
      <c r="Q94" s="124"/>
      <c r="R94" s="113"/>
      <c r="S94" s="113"/>
      <c r="T94" s="113"/>
      <c r="U94" s="113"/>
    </row>
    <row r="95" spans="1:21" ht="30" outlineLevel="2" x14ac:dyDescent="0.3">
      <c r="A95" s="91" t="s">
        <v>80</v>
      </c>
      <c r="B95" s="91" t="s">
        <v>426</v>
      </c>
      <c r="C95" s="91" t="str">
        <f>VLOOKUP(B95,Tables!G$2:H$79,2,FALSE)</f>
        <v>Printer Services</v>
      </c>
      <c r="D95" s="90" t="s">
        <v>83</v>
      </c>
      <c r="E95" s="89">
        <v>601</v>
      </c>
      <c r="F95" s="90" t="s">
        <v>15</v>
      </c>
      <c r="G95" s="55" t="str">
        <f>VLOOKUP(F95,Tables!D$2:E$12,2,FALSE)</f>
        <v>PTR</v>
      </c>
      <c r="H95" s="83">
        <v>17099768</v>
      </c>
      <c r="I95" s="85">
        <f t="shared" si="20"/>
        <v>11138</v>
      </c>
      <c r="J95" s="85">
        <f t="shared" si="21"/>
        <v>0</v>
      </c>
      <c r="K95" s="87">
        <f t="shared" si="22"/>
        <v>291.81560000000002</v>
      </c>
      <c r="L95" s="87">
        <f t="shared" si="23"/>
        <v>0</v>
      </c>
      <c r="M95" s="88">
        <f t="shared" si="24"/>
        <v>291.81560000000002</v>
      </c>
      <c r="N95" s="90" t="s">
        <v>445</v>
      </c>
      <c r="O95" s="90" t="s">
        <v>446</v>
      </c>
      <c r="P95" s="56">
        <f>IF(G95="MFP",Tables!B$2,Tables!B$5)</f>
        <v>2.6200000000000001E-2</v>
      </c>
      <c r="Q95" s="124">
        <f>IF(G95="MFP",Tables!B$3,Tables!B$6)</f>
        <v>0.11799999999999999</v>
      </c>
      <c r="R95" s="113">
        <f>VLOOKUP($N95,'Meter Read info'!$C$2:$G$249,2,"FALSE")</f>
        <v>50026</v>
      </c>
      <c r="S95" s="113">
        <f>VLOOKUP($N95,'Meter Read info'!$C$2:$G$249,3,"FALSE")</f>
        <v>61164</v>
      </c>
      <c r="T95" s="113">
        <f>VLOOKUP($N95,'Meter Read info'!$C$2:$G$249,4,"FALSE")</f>
        <v>0</v>
      </c>
      <c r="U95" s="113">
        <f>VLOOKUP($N95,'Meter Read info'!$C$2:$G$249,5,"FALSE")</f>
        <v>0</v>
      </c>
    </row>
    <row r="96" spans="1:21" ht="31.2" outlineLevel="1" x14ac:dyDescent="0.3">
      <c r="A96" s="91"/>
      <c r="B96" s="107" t="s">
        <v>890</v>
      </c>
      <c r="C96" s="91"/>
      <c r="D96" s="90"/>
      <c r="E96" s="89"/>
      <c r="F96" s="90"/>
      <c r="G96" s="55"/>
      <c r="H96" s="83"/>
      <c r="I96" s="85"/>
      <c r="J96" s="85"/>
      <c r="K96" s="87"/>
      <c r="L96" s="87"/>
      <c r="M96" s="88">
        <f>SUBTOTAL(9,M95:M95)</f>
        <v>291.81560000000002</v>
      </c>
      <c r="N96" s="90"/>
      <c r="O96" s="90"/>
      <c r="P96" s="56"/>
      <c r="Q96" s="124"/>
      <c r="R96" s="113"/>
      <c r="S96" s="113"/>
      <c r="T96" s="113"/>
      <c r="U96" s="113"/>
    </row>
    <row r="97" spans="1:21" ht="30" outlineLevel="2" x14ac:dyDescent="0.3">
      <c r="A97" s="91" t="s">
        <v>529</v>
      </c>
      <c r="B97" s="91" t="s">
        <v>530</v>
      </c>
      <c r="C97" s="91" t="str">
        <f>VLOOKUP(B97,Tables!G$2:H$79,2,FALSE)</f>
        <v>UMA-Commandant's Office</v>
      </c>
      <c r="D97" s="90" t="s">
        <v>422</v>
      </c>
      <c r="E97" s="89">
        <v>1</v>
      </c>
      <c r="F97" s="90" t="s">
        <v>84</v>
      </c>
      <c r="G97" s="55" t="str">
        <f>VLOOKUP(F97,Tables!D$2:E$12,2,FALSE)</f>
        <v>MFP</v>
      </c>
      <c r="H97" s="83">
        <v>17099497</v>
      </c>
      <c r="I97" s="85">
        <f t="shared" si="20"/>
        <v>6635</v>
      </c>
      <c r="J97" s="85">
        <f t="shared" si="21"/>
        <v>962</v>
      </c>
      <c r="K97" s="87">
        <f t="shared" si="22"/>
        <v>137.34450000000001</v>
      </c>
      <c r="L97" s="87">
        <f t="shared" si="23"/>
        <v>83.693999999999988</v>
      </c>
      <c r="M97" s="88">
        <f t="shared" si="24"/>
        <v>221.0385</v>
      </c>
      <c r="N97" s="90" t="s">
        <v>532</v>
      </c>
      <c r="O97" s="90" t="s">
        <v>533</v>
      </c>
      <c r="P97" s="56">
        <f>IF(G97="MFP",Tables!B$2,Tables!B$5)</f>
        <v>2.07E-2</v>
      </c>
      <c r="Q97" s="124">
        <f>IF(G97="MFP",Tables!B$3,Tables!B$6)</f>
        <v>8.6999999999999994E-2</v>
      </c>
      <c r="R97" s="113">
        <f>VLOOKUP($N97,'Meter Read info'!$C$2:$G$249,2,"FALSE")</f>
        <v>23085</v>
      </c>
      <c r="S97" s="113">
        <f>VLOOKUP($N97,'Meter Read info'!$C$2:$G$249,3,"FALSE")</f>
        <v>29720</v>
      </c>
      <c r="T97" s="113">
        <f>VLOOKUP($N97,'Meter Read info'!$C$2:$G$249,4,"FALSE")</f>
        <v>4417</v>
      </c>
      <c r="U97" s="113">
        <f>VLOOKUP($N97,'Meter Read info'!$C$2:$G$249,5,"FALSE")</f>
        <v>5379</v>
      </c>
    </row>
    <row r="98" spans="1:21" ht="30" outlineLevel="2" x14ac:dyDescent="0.3">
      <c r="A98" s="91" t="s">
        <v>529</v>
      </c>
      <c r="B98" s="91" t="s">
        <v>530</v>
      </c>
      <c r="C98" s="91" t="str">
        <f>VLOOKUP(B98,Tables!G$2:H$79,2,FALSE)</f>
        <v>UMA-Commandant's Office</v>
      </c>
      <c r="D98" s="90" t="s">
        <v>422</v>
      </c>
      <c r="E98" s="89">
        <v>131</v>
      </c>
      <c r="F98" s="90" t="s">
        <v>15</v>
      </c>
      <c r="G98" s="55" t="str">
        <f>VLOOKUP(F98,Tables!D$2:E$12,2,FALSE)</f>
        <v>PTR</v>
      </c>
      <c r="H98" s="83">
        <v>17099704</v>
      </c>
      <c r="I98" s="85">
        <f t="shared" si="20"/>
        <v>732</v>
      </c>
      <c r="J98" s="85">
        <f t="shared" si="21"/>
        <v>0</v>
      </c>
      <c r="K98" s="87">
        <f t="shared" si="22"/>
        <v>19.1784</v>
      </c>
      <c r="L98" s="87">
        <f t="shared" si="23"/>
        <v>0</v>
      </c>
      <c r="M98" s="88">
        <f t="shared" si="24"/>
        <v>19.1784</v>
      </c>
      <c r="N98" s="90" t="s">
        <v>806</v>
      </c>
      <c r="O98" s="90" t="s">
        <v>534</v>
      </c>
      <c r="P98" s="56">
        <f>IF(G98="MFP",Tables!B$2,Tables!B$5)</f>
        <v>2.6200000000000001E-2</v>
      </c>
      <c r="Q98" s="124">
        <f>IF(G98="MFP",Tables!B$3,Tables!B$6)</f>
        <v>0.11799999999999999</v>
      </c>
      <c r="R98" s="113">
        <f>VLOOKUP($N98,'Meter Read info'!$C$2:$G$249,2,"FALSE")</f>
        <v>2387</v>
      </c>
      <c r="S98" s="113">
        <f>VLOOKUP($N98,'Meter Read info'!$C$2:$G$249,3,"FALSE")</f>
        <v>3119</v>
      </c>
      <c r="T98" s="113">
        <f>VLOOKUP($N98,'Meter Read info'!$C$2:$G$249,4,"FALSE")</f>
        <v>0</v>
      </c>
      <c r="U98" s="113">
        <f>VLOOKUP($N98,'Meter Read info'!$C$2:$G$249,5,"FALSE")</f>
        <v>0</v>
      </c>
    </row>
    <row r="99" spans="1:21" ht="30" outlineLevel="2" x14ac:dyDescent="0.3">
      <c r="A99" s="91" t="s">
        <v>529</v>
      </c>
      <c r="B99" s="91" t="s">
        <v>530</v>
      </c>
      <c r="C99" s="91" t="str">
        <f>VLOOKUP(B99,Tables!G$2:H$79,2,FALSE)</f>
        <v>UMA-Commandant's Office</v>
      </c>
      <c r="D99" s="90" t="s">
        <v>422</v>
      </c>
      <c r="E99" s="89" t="s">
        <v>535</v>
      </c>
      <c r="F99" s="90" t="s">
        <v>15</v>
      </c>
      <c r="G99" s="55" t="str">
        <f>VLOOKUP(F99,Tables!D$2:E$12,2,FALSE)</f>
        <v>PTR</v>
      </c>
      <c r="H99" s="83">
        <v>17099703</v>
      </c>
      <c r="I99" s="85">
        <f t="shared" si="20"/>
        <v>3951</v>
      </c>
      <c r="J99" s="85">
        <f t="shared" si="21"/>
        <v>0</v>
      </c>
      <c r="K99" s="87">
        <f t="shared" si="22"/>
        <v>103.5162</v>
      </c>
      <c r="L99" s="87">
        <f t="shared" si="23"/>
        <v>0</v>
      </c>
      <c r="M99" s="88">
        <f t="shared" si="24"/>
        <v>103.5162</v>
      </c>
      <c r="N99" s="90" t="s">
        <v>536</v>
      </c>
      <c r="O99" s="90" t="s">
        <v>537</v>
      </c>
      <c r="P99" s="56">
        <f>IF(G99="MFP",Tables!B$2,Tables!B$5)</f>
        <v>2.6200000000000001E-2</v>
      </c>
      <c r="Q99" s="124">
        <f>IF(G99="MFP",Tables!B$3,Tables!B$6)</f>
        <v>0.11799999999999999</v>
      </c>
      <c r="R99" s="113">
        <f>VLOOKUP($N99,'Meter Read info'!$C$2:$G$249,2,"FALSE")</f>
        <v>7041</v>
      </c>
      <c r="S99" s="113">
        <f>VLOOKUP($N99,'Meter Read info'!$C$2:$G$249,3,"FALSE")</f>
        <v>10992</v>
      </c>
      <c r="T99" s="113">
        <f>VLOOKUP($N99,'Meter Read info'!$C$2:$G$249,4,"FALSE")</f>
        <v>0</v>
      </c>
      <c r="U99" s="113">
        <f>VLOOKUP($N99,'Meter Read info'!$C$2:$G$249,5,"FALSE")</f>
        <v>0</v>
      </c>
    </row>
    <row r="100" spans="1:21" ht="31.2" outlineLevel="1" x14ac:dyDescent="0.3">
      <c r="A100" s="91"/>
      <c r="B100" s="107" t="s">
        <v>912</v>
      </c>
      <c r="C100" s="91"/>
      <c r="D100" s="90"/>
      <c r="E100" s="89"/>
      <c r="F100" s="90"/>
      <c r="G100" s="55"/>
      <c r="H100" s="83"/>
      <c r="I100" s="85"/>
      <c r="J100" s="85"/>
      <c r="K100" s="87"/>
      <c r="L100" s="87"/>
      <c r="M100" s="88">
        <f>SUBTOTAL(9,M97:M99)</f>
        <v>343.73310000000004</v>
      </c>
      <c r="N100" s="90"/>
      <c r="O100" s="90"/>
      <c r="P100" s="56"/>
      <c r="Q100" s="124"/>
      <c r="R100" s="113"/>
      <c r="S100" s="113"/>
      <c r="T100" s="113"/>
      <c r="U100" s="113"/>
    </row>
    <row r="101" spans="1:21" ht="30" outlineLevel="2" x14ac:dyDescent="0.3">
      <c r="A101" s="91" t="s">
        <v>489</v>
      </c>
      <c r="B101" s="91" t="s">
        <v>493</v>
      </c>
      <c r="C101" s="91" t="str">
        <f>VLOOKUP(B101,Tables!G$2:H$79,2,FALSE)</f>
        <v>Communications &amp; Marketing</v>
      </c>
      <c r="D101" s="90" t="s">
        <v>279</v>
      </c>
      <c r="E101" s="89">
        <v>111</v>
      </c>
      <c r="F101" s="90" t="s">
        <v>159</v>
      </c>
      <c r="G101" s="55" t="str">
        <f>VLOOKUP(F101,Tables!D$2:E$12,2,FALSE)</f>
        <v>MFP</v>
      </c>
      <c r="H101" s="83">
        <v>17099530</v>
      </c>
      <c r="I101" s="85">
        <f t="shared" si="20"/>
        <v>1478</v>
      </c>
      <c r="J101" s="85">
        <f t="shared" si="21"/>
        <v>0</v>
      </c>
      <c r="K101" s="87">
        <f t="shared" si="22"/>
        <v>30.5946</v>
      </c>
      <c r="L101" s="87">
        <f t="shared" si="23"/>
        <v>0</v>
      </c>
      <c r="M101" s="88">
        <f t="shared" si="24"/>
        <v>30.5946</v>
      </c>
      <c r="N101" s="90" t="s">
        <v>498</v>
      </c>
      <c r="O101" s="90" t="s">
        <v>499</v>
      </c>
      <c r="P101" s="56">
        <f>IF(G101="MFP",Tables!B$2,Tables!B$5)</f>
        <v>2.07E-2</v>
      </c>
      <c r="Q101" s="124">
        <f>IF(G101="MFP",Tables!B$3,Tables!B$6)</f>
        <v>8.6999999999999994E-2</v>
      </c>
      <c r="R101" s="113">
        <f>VLOOKUP($N101,'Meter Read info'!$C$2:$G$249,2,"FALSE")</f>
        <v>3803</v>
      </c>
      <c r="S101" s="113">
        <f>VLOOKUP($N101,'Meter Read info'!$C$2:$G$249,3,"FALSE")</f>
        <v>5281</v>
      </c>
      <c r="T101" s="113">
        <f>VLOOKUP($N101,'Meter Read info'!$C$2:$G$249,4,"FALSE")</f>
        <v>0</v>
      </c>
      <c r="U101" s="113">
        <f>VLOOKUP($N101,'Meter Read info'!$C$2:$G$249,5,"FALSE")</f>
        <v>0</v>
      </c>
    </row>
    <row r="102" spans="1:21" ht="30" outlineLevel="2" x14ac:dyDescent="0.3">
      <c r="A102" s="91" t="s">
        <v>492</v>
      </c>
      <c r="B102" s="91" t="s">
        <v>493</v>
      </c>
      <c r="C102" s="91" t="str">
        <f>VLOOKUP(B102,Tables!G$2:H$79,2,FALSE)</f>
        <v>Communications &amp; Marketing</v>
      </c>
      <c r="D102" s="90" t="s">
        <v>279</v>
      </c>
      <c r="E102" s="89" t="s">
        <v>494</v>
      </c>
      <c r="F102" s="90" t="s">
        <v>15</v>
      </c>
      <c r="G102" s="55" t="str">
        <f>VLOOKUP(F102,Tables!D$2:E$12,2,FALSE)</f>
        <v>PTR</v>
      </c>
      <c r="H102" s="83">
        <v>17099697</v>
      </c>
      <c r="I102" s="85">
        <f t="shared" si="20"/>
        <v>241</v>
      </c>
      <c r="J102" s="85">
        <f t="shared" si="21"/>
        <v>0</v>
      </c>
      <c r="K102" s="87">
        <f t="shared" si="22"/>
        <v>6.3142000000000005</v>
      </c>
      <c r="L102" s="87">
        <f t="shared" si="23"/>
        <v>0</v>
      </c>
      <c r="M102" s="88">
        <f t="shared" si="24"/>
        <v>6.3142000000000005</v>
      </c>
      <c r="N102" s="90" t="s">
        <v>495</v>
      </c>
      <c r="O102" s="90" t="s">
        <v>496</v>
      </c>
      <c r="P102" s="56">
        <f>IF(G102="MFP",Tables!B$2,Tables!B$5)</f>
        <v>2.6200000000000001E-2</v>
      </c>
      <c r="Q102" s="124">
        <f>IF(G102="MFP",Tables!B$3,Tables!B$6)</f>
        <v>0.11799999999999999</v>
      </c>
      <c r="R102" s="113">
        <f>VLOOKUP($N102,'Meter Read info'!$C$2:$G$249,2,"FALSE")</f>
        <v>581</v>
      </c>
      <c r="S102" s="113">
        <f>VLOOKUP($N102,'Meter Read info'!$C$2:$G$249,3,"FALSE")</f>
        <v>822</v>
      </c>
      <c r="T102" s="113">
        <f>VLOOKUP($N102,'Meter Read info'!$C$2:$G$249,4,"FALSE")</f>
        <v>0</v>
      </c>
      <c r="U102" s="113">
        <f>VLOOKUP($N102,'Meter Read info'!$C$2:$G$249,5,"FALSE")</f>
        <v>0</v>
      </c>
    </row>
    <row r="103" spans="1:21" ht="31.2" outlineLevel="1" x14ac:dyDescent="0.3">
      <c r="A103" s="91"/>
      <c r="B103" s="107" t="s">
        <v>913</v>
      </c>
      <c r="C103" s="91"/>
      <c r="D103" s="90"/>
      <c r="E103" s="89"/>
      <c r="F103" s="90"/>
      <c r="G103" s="55"/>
      <c r="H103" s="83"/>
      <c r="I103" s="85"/>
      <c r="J103" s="85"/>
      <c r="K103" s="87"/>
      <c r="L103" s="87"/>
      <c r="M103" s="88">
        <f>SUBTOTAL(9,M101:M102)</f>
        <v>36.908799999999999</v>
      </c>
      <c r="N103" s="90"/>
      <c r="O103" s="90"/>
      <c r="P103" s="56"/>
      <c r="Q103" s="124"/>
      <c r="R103" s="113"/>
      <c r="S103" s="113"/>
      <c r="T103" s="113"/>
      <c r="U103" s="113"/>
    </row>
    <row r="104" spans="1:21" outlineLevel="2" x14ac:dyDescent="0.3">
      <c r="A104" s="91" t="s">
        <v>389</v>
      </c>
      <c r="B104" s="91" t="s">
        <v>390</v>
      </c>
      <c r="C104" s="91" t="str">
        <f>VLOOKUP(B104,Tables!G$2:H$79,2,FALSE)</f>
        <v>Comptroller's Office</v>
      </c>
      <c r="D104" s="90" t="s">
        <v>279</v>
      </c>
      <c r="E104" s="89">
        <v>320</v>
      </c>
      <c r="F104" s="90" t="s">
        <v>15</v>
      </c>
      <c r="G104" s="55" t="str">
        <f>VLOOKUP(F104,Tables!D$2:E$12,2,FALSE)</f>
        <v>PTR</v>
      </c>
      <c r="H104" s="83">
        <v>17099695</v>
      </c>
      <c r="I104" s="85">
        <f t="shared" si="20"/>
        <v>2690</v>
      </c>
      <c r="J104" s="85">
        <f t="shared" si="21"/>
        <v>0</v>
      </c>
      <c r="K104" s="87">
        <f t="shared" si="22"/>
        <v>70.478000000000009</v>
      </c>
      <c r="L104" s="87">
        <f t="shared" si="23"/>
        <v>0</v>
      </c>
      <c r="M104" s="88">
        <f t="shared" si="24"/>
        <v>70.478000000000009</v>
      </c>
      <c r="N104" s="90" t="s">
        <v>393</v>
      </c>
      <c r="O104" s="90" t="s">
        <v>394</v>
      </c>
      <c r="P104" s="56">
        <f>IF(G104="MFP",Tables!B$2,Tables!B$5)</f>
        <v>2.6200000000000001E-2</v>
      </c>
      <c r="Q104" s="124">
        <f>IF(G104="MFP",Tables!B$3,Tables!B$6)</f>
        <v>0.11799999999999999</v>
      </c>
      <c r="R104" s="113">
        <f>VLOOKUP($N104,'Meter Read info'!$C$2:$G$249,2,"FALSE")</f>
        <v>6091</v>
      </c>
      <c r="S104" s="113">
        <f>VLOOKUP($N104,'Meter Read info'!$C$2:$G$249,3,"FALSE")</f>
        <v>8781</v>
      </c>
      <c r="T104" s="113">
        <f>VLOOKUP($N104,'Meter Read info'!$C$2:$G$249,4,"FALSE")</f>
        <v>0</v>
      </c>
      <c r="U104" s="113">
        <f>VLOOKUP($N104,'Meter Read info'!$C$2:$G$249,5,"FALSE")</f>
        <v>0</v>
      </c>
    </row>
    <row r="105" spans="1:21" ht="31.2" outlineLevel="1" x14ac:dyDescent="0.3">
      <c r="A105" s="91"/>
      <c r="B105" s="107" t="s">
        <v>914</v>
      </c>
      <c r="C105" s="91"/>
      <c r="D105" s="90"/>
      <c r="E105" s="89"/>
      <c r="F105" s="90"/>
      <c r="G105" s="55"/>
      <c r="H105" s="83"/>
      <c r="I105" s="85"/>
      <c r="J105" s="85"/>
      <c r="K105" s="87"/>
      <c r="L105" s="87"/>
      <c r="M105" s="88">
        <f>SUBTOTAL(9,M104:M104)</f>
        <v>70.478000000000009</v>
      </c>
      <c r="N105" s="90"/>
      <c r="O105" s="90"/>
      <c r="P105" s="56"/>
      <c r="Q105" s="124"/>
      <c r="R105" s="113"/>
      <c r="S105" s="113"/>
      <c r="T105" s="113"/>
      <c r="U105" s="113"/>
    </row>
    <row r="106" spans="1:21" outlineLevel="2" x14ac:dyDescent="0.3">
      <c r="A106" s="115" t="s">
        <v>759</v>
      </c>
      <c r="B106" s="114" t="s">
        <v>760</v>
      </c>
      <c r="C106" s="91" t="str">
        <f>VLOOKUP(B106,Tables!G$2:H$79,2,FALSE)</f>
        <v>E&amp;G-Cadet Counseling</v>
      </c>
      <c r="D106" s="90" t="s">
        <v>569</v>
      </c>
      <c r="E106" s="89">
        <v>203</v>
      </c>
      <c r="F106" s="90" t="s">
        <v>15</v>
      </c>
      <c r="G106" s="55" t="str">
        <f>VLOOKUP(F106,Tables!D$2:E$12,2,FALSE)</f>
        <v>PTR</v>
      </c>
      <c r="H106" s="116">
        <v>17099636</v>
      </c>
      <c r="I106" s="85">
        <f t="shared" si="20"/>
        <v>123</v>
      </c>
      <c r="J106" s="85">
        <f t="shared" si="21"/>
        <v>0</v>
      </c>
      <c r="K106" s="87">
        <f t="shared" si="22"/>
        <v>3.2225999999999999</v>
      </c>
      <c r="L106" s="87">
        <f t="shared" si="23"/>
        <v>0</v>
      </c>
      <c r="M106" s="88">
        <f t="shared" si="24"/>
        <v>3.2225999999999999</v>
      </c>
      <c r="N106" s="114" t="s">
        <v>764</v>
      </c>
      <c r="O106" s="114" t="s">
        <v>765</v>
      </c>
      <c r="P106" s="56">
        <f>IF(G106="MFP",Tables!B$2,Tables!B$5)</f>
        <v>2.6200000000000001E-2</v>
      </c>
      <c r="Q106" s="124">
        <f>IF(G106="MFP",Tables!B$3,Tables!B$6)</f>
        <v>0.11799999999999999</v>
      </c>
      <c r="R106" s="113">
        <f>VLOOKUP($N106,'Meter Read info'!$C$2:$G$249,2,"FALSE")</f>
        <v>109</v>
      </c>
      <c r="S106" s="113">
        <f>VLOOKUP($N106,'Meter Read info'!$C$2:$G$249,3,"FALSE")</f>
        <v>232</v>
      </c>
      <c r="T106" s="113">
        <f>VLOOKUP($N106,'Meter Read info'!$C$2:$G$249,4,"FALSE")</f>
        <v>0</v>
      </c>
      <c r="U106" s="113">
        <f>VLOOKUP($N106,'Meter Read info'!$C$2:$G$249,5,"FALSE")</f>
        <v>0</v>
      </c>
    </row>
    <row r="107" spans="1:21" outlineLevel="2" x14ac:dyDescent="0.3">
      <c r="A107" s="115" t="s">
        <v>759</v>
      </c>
      <c r="B107" s="114" t="s">
        <v>760</v>
      </c>
      <c r="C107" s="91" t="str">
        <f>VLOOKUP(B107,Tables!G$2:H$79,2,FALSE)</f>
        <v>E&amp;G-Cadet Counseling</v>
      </c>
      <c r="D107" s="90" t="s">
        <v>569</v>
      </c>
      <c r="E107" s="89">
        <v>204</v>
      </c>
      <c r="F107" s="90" t="s">
        <v>15</v>
      </c>
      <c r="G107" s="55" t="str">
        <f>VLOOKUP(F107,Tables!D$2:E$12,2,FALSE)</f>
        <v>PTR</v>
      </c>
      <c r="H107" s="116">
        <v>17099604</v>
      </c>
      <c r="I107" s="85">
        <f t="shared" si="20"/>
        <v>336</v>
      </c>
      <c r="J107" s="85">
        <f t="shared" si="21"/>
        <v>0</v>
      </c>
      <c r="K107" s="87">
        <f t="shared" si="22"/>
        <v>8.8032000000000004</v>
      </c>
      <c r="L107" s="87">
        <f t="shared" si="23"/>
        <v>0</v>
      </c>
      <c r="M107" s="88">
        <f t="shared" si="24"/>
        <v>8.8032000000000004</v>
      </c>
      <c r="N107" s="114" t="s">
        <v>210</v>
      </c>
      <c r="O107" s="114" t="s">
        <v>763</v>
      </c>
      <c r="P107" s="56">
        <f>IF(G107="MFP",Tables!B$2,Tables!B$5)</f>
        <v>2.6200000000000001E-2</v>
      </c>
      <c r="Q107" s="124">
        <f>IF(G107="MFP",Tables!B$3,Tables!B$6)</f>
        <v>0.11799999999999999</v>
      </c>
      <c r="R107" s="113">
        <f>VLOOKUP($N107,'Meter Read info'!$C$2:$G$249,2,"FALSE")</f>
        <v>2676</v>
      </c>
      <c r="S107" s="113">
        <f>VLOOKUP($N107,'Meter Read info'!$C$2:$G$249,3,"FALSE")</f>
        <v>3012</v>
      </c>
      <c r="T107" s="113">
        <f>VLOOKUP($N107,'Meter Read info'!$C$2:$G$249,4,"FALSE")</f>
        <v>0</v>
      </c>
      <c r="U107" s="113">
        <f>VLOOKUP($N107,'Meter Read info'!$C$2:$G$249,5,"FALSE")</f>
        <v>0</v>
      </c>
    </row>
    <row r="108" spans="1:21" outlineLevel="2" x14ac:dyDescent="0.3">
      <c r="A108" s="115" t="s">
        <v>759</v>
      </c>
      <c r="B108" s="114" t="s">
        <v>760</v>
      </c>
      <c r="C108" s="91" t="str">
        <f>VLOOKUP(B108,Tables!G$2:H$79,2,FALSE)</f>
        <v>E&amp;G-Cadet Counseling</v>
      </c>
      <c r="D108" s="90" t="s">
        <v>569</v>
      </c>
      <c r="E108" s="89">
        <v>314</v>
      </c>
      <c r="F108" s="90" t="s">
        <v>15</v>
      </c>
      <c r="G108" s="55" t="str">
        <f>VLOOKUP(F108,Tables!D$2:E$12,2,FALSE)</f>
        <v>PTR</v>
      </c>
      <c r="H108" s="116">
        <v>17099603</v>
      </c>
      <c r="I108" s="85">
        <f t="shared" si="20"/>
        <v>352</v>
      </c>
      <c r="J108" s="85">
        <f t="shared" si="21"/>
        <v>0</v>
      </c>
      <c r="K108" s="87">
        <f t="shared" si="22"/>
        <v>9.2224000000000004</v>
      </c>
      <c r="L108" s="87">
        <f t="shared" si="23"/>
        <v>0</v>
      </c>
      <c r="M108" s="88">
        <f t="shared" si="24"/>
        <v>9.2224000000000004</v>
      </c>
      <c r="N108" s="114" t="s">
        <v>761</v>
      </c>
      <c r="O108" s="114" t="s">
        <v>762</v>
      </c>
      <c r="P108" s="56">
        <f>IF(G108="MFP",Tables!B$2,Tables!B$5)</f>
        <v>2.6200000000000001E-2</v>
      </c>
      <c r="Q108" s="124">
        <f>IF(G108="MFP",Tables!B$3,Tables!B$6)</f>
        <v>0.11799999999999999</v>
      </c>
      <c r="R108" s="113">
        <f>VLOOKUP($N108,'Meter Read info'!$C$2:$G$249,2,"FALSE")</f>
        <v>463</v>
      </c>
      <c r="S108" s="113">
        <f>VLOOKUP($N108,'Meter Read info'!$C$2:$G$249,3,"FALSE")</f>
        <v>815</v>
      </c>
      <c r="T108" s="113">
        <f>VLOOKUP($N108,'Meter Read info'!$C$2:$G$249,4,"FALSE")</f>
        <v>0</v>
      </c>
      <c r="U108" s="113">
        <f>VLOOKUP($N108,'Meter Read info'!$C$2:$G$249,5,"FALSE")</f>
        <v>0</v>
      </c>
    </row>
    <row r="109" spans="1:21" outlineLevel="1" x14ac:dyDescent="0.3">
      <c r="A109" s="115"/>
      <c r="B109" s="117" t="s">
        <v>915</v>
      </c>
      <c r="C109" s="91"/>
      <c r="D109" s="90"/>
      <c r="E109" s="89"/>
      <c r="F109" s="90"/>
      <c r="G109" s="55"/>
      <c r="H109" s="116"/>
      <c r="I109" s="85"/>
      <c r="J109" s="85"/>
      <c r="K109" s="87"/>
      <c r="L109" s="87"/>
      <c r="M109" s="88">
        <f>SUBTOTAL(9,M106:M108)</f>
        <v>21.248200000000001</v>
      </c>
      <c r="N109" s="114"/>
      <c r="O109" s="114"/>
      <c r="P109" s="56"/>
      <c r="Q109" s="124"/>
      <c r="R109" s="113"/>
      <c r="S109" s="113"/>
      <c r="T109" s="113"/>
      <c r="U109" s="113"/>
    </row>
    <row r="110" spans="1:21" outlineLevel="2" x14ac:dyDescent="0.3">
      <c r="A110" s="91" t="s">
        <v>277</v>
      </c>
      <c r="B110" s="91" t="s">
        <v>278</v>
      </c>
      <c r="C110" s="91" t="str">
        <f>VLOOKUP(B110,Tables!G$2:H$79,2,FALSE)</f>
        <v>Dean of the Faculty</v>
      </c>
      <c r="D110" s="90" t="s">
        <v>279</v>
      </c>
      <c r="E110" s="89">
        <v>201</v>
      </c>
      <c r="F110" s="90" t="s">
        <v>15</v>
      </c>
      <c r="G110" s="55" t="str">
        <f>VLOOKUP(F110,Tables!D$2:E$12,2,FALSE)</f>
        <v>PTR</v>
      </c>
      <c r="H110" s="83">
        <v>17099687</v>
      </c>
      <c r="I110" s="85">
        <f t="shared" si="20"/>
        <v>600</v>
      </c>
      <c r="J110" s="85">
        <f t="shared" si="21"/>
        <v>0</v>
      </c>
      <c r="K110" s="87">
        <f t="shared" si="22"/>
        <v>15.72</v>
      </c>
      <c r="L110" s="87">
        <f t="shared" si="23"/>
        <v>0</v>
      </c>
      <c r="M110" s="88">
        <f t="shared" si="24"/>
        <v>15.72</v>
      </c>
      <c r="N110" s="90" t="s">
        <v>768</v>
      </c>
      <c r="O110" s="59" t="s">
        <v>767</v>
      </c>
      <c r="P110" s="56">
        <f>IF(G110="MFP",Tables!B$2,Tables!B$5)</f>
        <v>2.6200000000000001E-2</v>
      </c>
      <c r="Q110" s="124">
        <f>IF(G110="MFP",Tables!B$3,Tables!B$6)</f>
        <v>0.11799999999999999</v>
      </c>
      <c r="R110" s="113">
        <f>VLOOKUP($N110,'Meter Read info'!$C$2:$G$249,2,"FALSE")</f>
        <v>1904</v>
      </c>
      <c r="S110" s="113">
        <f>VLOOKUP($N110,'Meter Read info'!$C$2:$G$249,3,"FALSE")</f>
        <v>2504</v>
      </c>
      <c r="T110" s="113">
        <f>VLOOKUP($N110,'Meter Read info'!$C$2:$G$249,4,"FALSE")</f>
        <v>0</v>
      </c>
      <c r="U110" s="113">
        <f>VLOOKUP($N110,'Meter Read info'!$C$2:$G$249,5,"FALSE")</f>
        <v>0</v>
      </c>
    </row>
    <row r="111" spans="1:21" outlineLevel="2" x14ac:dyDescent="0.3">
      <c r="A111" s="91" t="s">
        <v>277</v>
      </c>
      <c r="B111" s="91" t="s">
        <v>278</v>
      </c>
      <c r="C111" s="91" t="str">
        <f>VLOOKUP(B111,Tables!G$2:H$79,2,FALSE)</f>
        <v>Dean of the Faculty</v>
      </c>
      <c r="D111" s="90" t="s">
        <v>279</v>
      </c>
      <c r="E111" s="89">
        <v>212</v>
      </c>
      <c r="F111" s="90" t="s">
        <v>15</v>
      </c>
      <c r="G111" s="55" t="str">
        <f>VLOOKUP(F111,Tables!D$2:E$12,2,FALSE)</f>
        <v>PTR</v>
      </c>
      <c r="H111" s="83">
        <v>17099699</v>
      </c>
      <c r="I111" s="85">
        <f t="shared" si="20"/>
        <v>190</v>
      </c>
      <c r="J111" s="85">
        <f t="shared" si="21"/>
        <v>0</v>
      </c>
      <c r="K111" s="87">
        <f t="shared" si="22"/>
        <v>4.9779999999999998</v>
      </c>
      <c r="L111" s="87">
        <f t="shared" si="23"/>
        <v>0</v>
      </c>
      <c r="M111" s="88">
        <f t="shared" si="24"/>
        <v>4.9779999999999998</v>
      </c>
      <c r="N111" s="90" t="s">
        <v>284</v>
      </c>
      <c r="O111" s="90" t="s">
        <v>285</v>
      </c>
      <c r="P111" s="56">
        <f>IF(G111="MFP",Tables!B$2,Tables!B$5)</f>
        <v>2.6200000000000001E-2</v>
      </c>
      <c r="Q111" s="124">
        <f>IF(G111="MFP",Tables!B$3,Tables!B$6)</f>
        <v>0.11799999999999999</v>
      </c>
      <c r="R111" s="113">
        <f>VLOOKUP($N111,'Meter Read info'!$C$2:$G$249,2,"FALSE")</f>
        <v>340</v>
      </c>
      <c r="S111" s="113">
        <f>VLOOKUP($N111,'Meter Read info'!$C$2:$G$249,3,"FALSE")</f>
        <v>530</v>
      </c>
      <c r="T111" s="113">
        <f>VLOOKUP($N111,'Meter Read info'!$C$2:$G$249,4,"FALSE")</f>
        <v>0</v>
      </c>
      <c r="U111" s="113">
        <f>VLOOKUP($N111,'Meter Read info'!$C$2:$G$249,5,"FALSE")</f>
        <v>0</v>
      </c>
    </row>
    <row r="112" spans="1:21" outlineLevel="2" x14ac:dyDescent="0.3">
      <c r="A112" s="91" t="s">
        <v>277</v>
      </c>
      <c r="B112" s="91" t="s">
        <v>278</v>
      </c>
      <c r="C112" s="91" t="str">
        <f>VLOOKUP(B112,Tables!G$2:H$79,2,FALSE)</f>
        <v>Dean of the Faculty</v>
      </c>
      <c r="D112" s="90" t="s">
        <v>279</v>
      </c>
      <c r="E112" s="89">
        <v>213</v>
      </c>
      <c r="F112" s="90" t="s">
        <v>15</v>
      </c>
      <c r="G112" s="55" t="str">
        <f>VLOOKUP(F112,Tables!D$2:E$12,2,FALSE)</f>
        <v>PTR</v>
      </c>
      <c r="H112" s="83">
        <v>17099686</v>
      </c>
      <c r="I112" s="85">
        <f t="shared" si="20"/>
        <v>413</v>
      </c>
      <c r="J112" s="85">
        <f t="shared" si="21"/>
        <v>0</v>
      </c>
      <c r="K112" s="87">
        <f t="shared" si="22"/>
        <v>10.820600000000001</v>
      </c>
      <c r="L112" s="87">
        <f t="shared" si="23"/>
        <v>0</v>
      </c>
      <c r="M112" s="88">
        <f t="shared" si="24"/>
        <v>10.820600000000001</v>
      </c>
      <c r="N112" s="90" t="s">
        <v>282</v>
      </c>
      <c r="O112" s="90" t="s">
        <v>283</v>
      </c>
      <c r="P112" s="56">
        <f>IF(G112="MFP",Tables!B$2,Tables!B$5)</f>
        <v>2.6200000000000001E-2</v>
      </c>
      <c r="Q112" s="124">
        <f>IF(G112="MFP",Tables!B$3,Tables!B$6)</f>
        <v>0.11799999999999999</v>
      </c>
      <c r="R112" s="113">
        <f>VLOOKUP($N112,'Meter Read info'!$C$2:$G$249,2,"FALSE")</f>
        <v>1254</v>
      </c>
      <c r="S112" s="113">
        <f>VLOOKUP($N112,'Meter Read info'!$C$2:$G$249,3,"FALSE")</f>
        <v>1667</v>
      </c>
      <c r="T112" s="113">
        <f>VLOOKUP($N112,'Meter Read info'!$C$2:$G$249,4,"FALSE")</f>
        <v>0</v>
      </c>
      <c r="U112" s="113">
        <f>VLOOKUP($N112,'Meter Read info'!$C$2:$G$249,5,"FALSE")</f>
        <v>0</v>
      </c>
    </row>
    <row r="113" spans="1:21" outlineLevel="2" x14ac:dyDescent="0.3">
      <c r="A113" s="91" t="s">
        <v>277</v>
      </c>
      <c r="B113" s="91" t="s">
        <v>278</v>
      </c>
      <c r="C113" s="91" t="str">
        <f>VLOOKUP(B113,Tables!G$2:H$79,2,FALSE)</f>
        <v>Dean of the Faculty</v>
      </c>
      <c r="D113" s="90" t="s">
        <v>279</v>
      </c>
      <c r="E113" s="89">
        <v>216</v>
      </c>
      <c r="F113" s="90" t="s">
        <v>54</v>
      </c>
      <c r="G113" s="55" t="str">
        <f>VLOOKUP(F113,Tables!D$2:E$12,2,FALSE)</f>
        <v>MFP</v>
      </c>
      <c r="H113" s="83">
        <v>17099499</v>
      </c>
      <c r="I113" s="85">
        <f t="shared" si="20"/>
        <v>1228</v>
      </c>
      <c r="J113" s="85">
        <f t="shared" si="21"/>
        <v>165</v>
      </c>
      <c r="K113" s="87">
        <f t="shared" si="22"/>
        <v>25.419599999999999</v>
      </c>
      <c r="L113" s="87">
        <f t="shared" si="23"/>
        <v>14.354999999999999</v>
      </c>
      <c r="M113" s="88">
        <f t="shared" si="24"/>
        <v>39.7746</v>
      </c>
      <c r="N113" s="90" t="s">
        <v>280</v>
      </c>
      <c r="O113" s="90" t="s">
        <v>281</v>
      </c>
      <c r="P113" s="56">
        <f>IF(G113="MFP",Tables!B$2,Tables!B$5)</f>
        <v>2.07E-2</v>
      </c>
      <c r="Q113" s="124">
        <f>IF(G113="MFP",Tables!B$3,Tables!B$6)</f>
        <v>8.6999999999999994E-2</v>
      </c>
      <c r="R113" s="113">
        <f>VLOOKUP($N113,'Meter Read info'!$C$2:$G$249,2,"FALSE")</f>
        <v>6901</v>
      </c>
      <c r="S113" s="113">
        <f>VLOOKUP($N113,'Meter Read info'!$C$2:$G$249,3,"FALSE")</f>
        <v>8129</v>
      </c>
      <c r="T113" s="113">
        <f>VLOOKUP($N113,'Meter Read info'!$C$2:$G$249,4,"FALSE")</f>
        <v>539</v>
      </c>
      <c r="U113" s="113">
        <f>VLOOKUP($N113,'Meter Read info'!$C$2:$G$249,5,"FALSE")</f>
        <v>704</v>
      </c>
    </row>
    <row r="114" spans="1:21" outlineLevel="2" x14ac:dyDescent="0.3">
      <c r="A114" s="91" t="s">
        <v>277</v>
      </c>
      <c r="B114" s="91" t="s">
        <v>278</v>
      </c>
      <c r="C114" s="91" t="str">
        <f>VLOOKUP(B114,Tables!G$2:H$79,2,FALSE)</f>
        <v>Dean of the Faculty</v>
      </c>
      <c r="D114" s="90" t="s">
        <v>279</v>
      </c>
      <c r="E114" s="89">
        <v>216</v>
      </c>
      <c r="F114" s="90" t="s">
        <v>15</v>
      </c>
      <c r="G114" s="55" t="str">
        <f>VLOOKUP(F114,Tables!D$2:E$12,2,FALSE)</f>
        <v>PTR</v>
      </c>
      <c r="H114" s="83">
        <v>17099730</v>
      </c>
      <c r="I114" s="85">
        <f t="shared" si="20"/>
        <v>837</v>
      </c>
      <c r="J114" s="85">
        <f t="shared" si="21"/>
        <v>0</v>
      </c>
      <c r="K114" s="87">
        <f t="shared" si="22"/>
        <v>21.929400000000001</v>
      </c>
      <c r="L114" s="87">
        <f t="shared" si="23"/>
        <v>0</v>
      </c>
      <c r="M114" s="88">
        <f t="shared" si="24"/>
        <v>21.929400000000001</v>
      </c>
      <c r="N114" s="118" t="s">
        <v>766</v>
      </c>
      <c r="O114" s="118" t="s">
        <v>287</v>
      </c>
      <c r="P114" s="56">
        <f>IF(G114="MFP",Tables!B$2,Tables!B$5)</f>
        <v>2.6200000000000001E-2</v>
      </c>
      <c r="Q114" s="124">
        <f>IF(G114="MFP",Tables!B$3,Tables!B$6)</f>
        <v>0.11799999999999999</v>
      </c>
      <c r="R114" s="113">
        <f>VLOOKUP($N114,'Meter Read info'!$C$2:$G$249,2,"FALSE")</f>
        <v>1256</v>
      </c>
      <c r="S114" s="113">
        <f>VLOOKUP($N114,'Meter Read info'!$C$2:$G$249,3,"FALSE")</f>
        <v>2093</v>
      </c>
      <c r="T114" s="113">
        <f>VLOOKUP($N114,'Meter Read info'!$C$2:$G$249,4,"FALSE")</f>
        <v>0</v>
      </c>
      <c r="U114" s="113">
        <f>VLOOKUP($N114,'Meter Read info'!$C$2:$G$249,5,"FALSE")</f>
        <v>0</v>
      </c>
    </row>
    <row r="115" spans="1:21" ht="31.2" outlineLevel="1" x14ac:dyDescent="0.3">
      <c r="A115" s="91"/>
      <c r="B115" s="107" t="s">
        <v>916</v>
      </c>
      <c r="C115" s="91"/>
      <c r="D115" s="90"/>
      <c r="E115" s="89"/>
      <c r="F115" s="90"/>
      <c r="G115" s="55"/>
      <c r="H115" s="83"/>
      <c r="I115" s="85"/>
      <c r="J115" s="85"/>
      <c r="K115" s="87"/>
      <c r="L115" s="87"/>
      <c r="M115" s="88">
        <f>SUBTOTAL(9,M110:M114)</f>
        <v>93.2226</v>
      </c>
      <c r="N115" s="118"/>
      <c r="O115" s="118"/>
      <c r="P115" s="56"/>
      <c r="Q115" s="124"/>
      <c r="R115" s="113"/>
      <c r="S115" s="113"/>
      <c r="T115" s="113"/>
      <c r="U115" s="113"/>
    </row>
    <row r="116" spans="1:21" ht="30" outlineLevel="2" x14ac:dyDescent="0.3">
      <c r="A116" s="91" t="s">
        <v>95</v>
      </c>
      <c r="B116" s="91" t="s">
        <v>96</v>
      </c>
      <c r="C116" s="91" t="str">
        <f>VLOOKUP(B116,Tables!G$2:H$79,2,FALSE)</f>
        <v>Economics</v>
      </c>
      <c r="D116" s="90" t="s">
        <v>98</v>
      </c>
      <c r="E116" s="89">
        <v>318</v>
      </c>
      <c r="F116" s="90" t="s">
        <v>15</v>
      </c>
      <c r="G116" s="55" t="str">
        <f>VLOOKUP(F116,Tables!D$2:E$12,2,FALSE)</f>
        <v>PTR</v>
      </c>
      <c r="H116" s="83">
        <v>17099440</v>
      </c>
      <c r="I116" s="85">
        <f t="shared" si="20"/>
        <v>94</v>
      </c>
      <c r="J116" s="85">
        <f t="shared" si="21"/>
        <v>0</v>
      </c>
      <c r="K116" s="87">
        <f t="shared" si="22"/>
        <v>2.4628000000000001</v>
      </c>
      <c r="L116" s="87">
        <f t="shared" si="23"/>
        <v>0</v>
      </c>
      <c r="M116" s="88">
        <f t="shared" si="24"/>
        <v>2.4628000000000001</v>
      </c>
      <c r="N116" s="90" t="s">
        <v>313</v>
      </c>
      <c r="O116" s="90" t="s">
        <v>314</v>
      </c>
      <c r="P116" s="56">
        <f>IF(G116="MFP",Tables!B$2,Tables!B$5)</f>
        <v>2.6200000000000001E-2</v>
      </c>
      <c r="Q116" s="124">
        <f>IF(G116="MFP",Tables!B$3,Tables!B$6)</f>
        <v>0.11799999999999999</v>
      </c>
      <c r="R116" s="113">
        <f>VLOOKUP($N116,'Meter Read info'!$C$2:$G$249,2,"FALSE")</f>
        <v>456</v>
      </c>
      <c r="S116" s="113">
        <f>VLOOKUP($N116,'Meter Read info'!$C$2:$G$249,3,"FALSE")</f>
        <v>550</v>
      </c>
      <c r="T116" s="113">
        <f>VLOOKUP($N116,'Meter Read info'!$C$2:$G$249,4,"FALSE")</f>
        <v>0</v>
      </c>
      <c r="U116" s="113">
        <f>VLOOKUP($N116,'Meter Read info'!$C$2:$G$249,5,"FALSE")</f>
        <v>0</v>
      </c>
    </row>
    <row r="117" spans="1:21" ht="30" outlineLevel="2" x14ac:dyDescent="0.3">
      <c r="A117" s="91" t="s">
        <v>95</v>
      </c>
      <c r="B117" s="91" t="s">
        <v>96</v>
      </c>
      <c r="C117" s="91" t="str">
        <f>VLOOKUP(B117,Tables!G$2:H$79,2,FALSE)</f>
        <v>Economics</v>
      </c>
      <c r="D117" s="90" t="s">
        <v>98</v>
      </c>
      <c r="E117" s="89">
        <v>320</v>
      </c>
      <c r="F117" s="90" t="s">
        <v>15</v>
      </c>
      <c r="G117" s="55" t="str">
        <f>VLOOKUP(F117,Tables!D$2:E$12,2,FALSE)</f>
        <v>PTR</v>
      </c>
      <c r="H117" s="83">
        <v>17099771</v>
      </c>
      <c r="I117" s="85">
        <f t="shared" si="20"/>
        <v>7346</v>
      </c>
      <c r="J117" s="85">
        <f t="shared" si="21"/>
        <v>0</v>
      </c>
      <c r="K117" s="87">
        <f t="shared" si="22"/>
        <v>192.46520000000001</v>
      </c>
      <c r="L117" s="87">
        <f t="shared" si="23"/>
        <v>0</v>
      </c>
      <c r="M117" s="88">
        <f t="shared" si="24"/>
        <v>192.46520000000001</v>
      </c>
      <c r="N117" s="90" t="s">
        <v>104</v>
      </c>
      <c r="O117" s="90" t="s">
        <v>105</v>
      </c>
      <c r="P117" s="56">
        <f>IF(G117="MFP",Tables!B$2,Tables!B$5)</f>
        <v>2.6200000000000001E-2</v>
      </c>
      <c r="Q117" s="124">
        <f>IF(G117="MFP",Tables!B$3,Tables!B$6)</f>
        <v>0.11799999999999999</v>
      </c>
      <c r="R117" s="113">
        <f>VLOOKUP($N117,'Meter Read info'!$C$2:$G$249,2,"FALSE")</f>
        <v>42561</v>
      </c>
      <c r="S117" s="113">
        <f>VLOOKUP($N117,'Meter Read info'!$C$2:$G$249,3,"FALSE")</f>
        <v>49907</v>
      </c>
      <c r="T117" s="113">
        <f>VLOOKUP($N117,'Meter Read info'!$C$2:$G$249,4,"FALSE")</f>
        <v>0</v>
      </c>
      <c r="U117" s="113">
        <f>VLOOKUP($N117,'Meter Read info'!$C$2:$G$249,5,"FALSE")</f>
        <v>0</v>
      </c>
    </row>
    <row r="118" spans="1:21" ht="30" outlineLevel="2" x14ac:dyDescent="0.3">
      <c r="A118" s="91" t="s">
        <v>95</v>
      </c>
      <c r="B118" s="91" t="s">
        <v>96</v>
      </c>
      <c r="C118" s="91" t="str">
        <f>VLOOKUP(B118,Tables!G$2:H$79,2,FALSE)</f>
        <v>Economics</v>
      </c>
      <c r="D118" s="90" t="s">
        <v>98</v>
      </c>
      <c r="E118" s="89">
        <v>337</v>
      </c>
      <c r="F118" s="90" t="s">
        <v>84</v>
      </c>
      <c r="G118" s="55" t="str">
        <f>VLOOKUP(F118,Tables!D$2:E$12,2,FALSE)</f>
        <v>MFP</v>
      </c>
      <c r="H118" s="83">
        <v>17099456</v>
      </c>
      <c r="I118" s="85">
        <f t="shared" si="20"/>
        <v>26740</v>
      </c>
      <c r="J118" s="85">
        <f t="shared" si="21"/>
        <v>1616</v>
      </c>
      <c r="K118" s="87">
        <f t="shared" si="22"/>
        <v>553.51800000000003</v>
      </c>
      <c r="L118" s="87">
        <f t="shared" si="23"/>
        <v>140.59199999999998</v>
      </c>
      <c r="M118" s="88">
        <f t="shared" si="24"/>
        <v>694.11</v>
      </c>
      <c r="N118" s="90" t="s">
        <v>99</v>
      </c>
      <c r="O118" s="90" t="s">
        <v>100</v>
      </c>
      <c r="P118" s="56">
        <f>IF(G118="MFP",Tables!B$2,Tables!B$5)</f>
        <v>2.07E-2</v>
      </c>
      <c r="Q118" s="124">
        <f>IF(G118="MFP",Tables!B$3,Tables!B$6)</f>
        <v>8.6999999999999994E-2</v>
      </c>
      <c r="R118" s="113">
        <f>VLOOKUP($N118,'Meter Read info'!$C$2:$G$249,2,"FALSE")</f>
        <v>91291</v>
      </c>
      <c r="S118" s="113">
        <f>VLOOKUP($N118,'Meter Read info'!$C$2:$G$249,3,"FALSE")</f>
        <v>118031</v>
      </c>
      <c r="T118" s="113">
        <f>VLOOKUP($N118,'Meter Read info'!$C$2:$G$249,4,"FALSE")</f>
        <v>6769</v>
      </c>
      <c r="U118" s="113">
        <f>VLOOKUP($N118,'Meter Read info'!$C$2:$G$249,5,"FALSE")</f>
        <v>8385</v>
      </c>
    </row>
    <row r="119" spans="1:21" ht="30" outlineLevel="2" x14ac:dyDescent="0.3">
      <c r="A119" s="91" t="s">
        <v>95</v>
      </c>
      <c r="B119" s="91" t="s">
        <v>96</v>
      </c>
      <c r="C119" s="91" t="str">
        <f>VLOOKUP(B119,Tables!G$2:H$79,2,FALSE)</f>
        <v>Economics</v>
      </c>
      <c r="D119" s="90" t="s">
        <v>98</v>
      </c>
      <c r="E119" s="89">
        <v>345</v>
      </c>
      <c r="F119" s="90" t="s">
        <v>92</v>
      </c>
      <c r="G119" s="55" t="str">
        <f>VLOOKUP(F119,Tables!D$2:E$12,2,FALSE)</f>
        <v>PTR</v>
      </c>
      <c r="H119" s="83">
        <v>17099629</v>
      </c>
      <c r="I119" s="85">
        <f t="shared" si="20"/>
        <v>547</v>
      </c>
      <c r="J119" s="85">
        <f t="shared" si="21"/>
        <v>7</v>
      </c>
      <c r="K119" s="87">
        <f t="shared" si="22"/>
        <v>14.3314</v>
      </c>
      <c r="L119" s="87">
        <f t="shared" si="23"/>
        <v>0.82599999999999996</v>
      </c>
      <c r="M119" s="88">
        <f t="shared" si="24"/>
        <v>15.157400000000001</v>
      </c>
      <c r="N119" s="118" t="s">
        <v>769</v>
      </c>
      <c r="O119" s="118" t="s">
        <v>770</v>
      </c>
      <c r="P119" s="56">
        <f>IF(G119="MFP",Tables!B$2,Tables!B$5)</f>
        <v>2.6200000000000001E-2</v>
      </c>
      <c r="Q119" s="124">
        <f>IF(G119="MFP",Tables!B$3,Tables!B$6)</f>
        <v>0.11799999999999999</v>
      </c>
      <c r="R119" s="113">
        <v>2313</v>
      </c>
      <c r="S119" s="113">
        <v>2860</v>
      </c>
      <c r="T119" s="113">
        <v>7</v>
      </c>
      <c r="U119" s="113">
        <v>14</v>
      </c>
    </row>
    <row r="120" spans="1:21" ht="30" outlineLevel="2" x14ac:dyDescent="0.3">
      <c r="A120" s="91" t="s">
        <v>95</v>
      </c>
      <c r="B120" s="91" t="s">
        <v>96</v>
      </c>
      <c r="C120" s="91" t="str">
        <f>VLOOKUP(B120,Tables!G$2:H$79,2,FALSE)</f>
        <v>Economics</v>
      </c>
      <c r="D120" s="90" t="s">
        <v>98</v>
      </c>
      <c r="E120" s="89">
        <v>346</v>
      </c>
      <c r="F120" s="90" t="s">
        <v>92</v>
      </c>
      <c r="G120" s="55" t="str">
        <f>VLOOKUP(F120,Tables!D$2:E$12,2,FALSE)</f>
        <v>PTR</v>
      </c>
      <c r="H120" s="83">
        <v>17099643</v>
      </c>
      <c r="I120" s="85">
        <f t="shared" si="20"/>
        <v>20</v>
      </c>
      <c r="J120" s="85">
        <f t="shared" si="21"/>
        <v>90</v>
      </c>
      <c r="K120" s="87">
        <f t="shared" si="22"/>
        <v>0.52400000000000002</v>
      </c>
      <c r="L120" s="87">
        <f t="shared" si="23"/>
        <v>10.62</v>
      </c>
      <c r="M120" s="88">
        <f t="shared" si="24"/>
        <v>11.143999999999998</v>
      </c>
      <c r="N120" s="118" t="s">
        <v>808</v>
      </c>
      <c r="O120" s="118" t="s">
        <v>834</v>
      </c>
      <c r="P120" s="56">
        <f>IF(G120="MFP",Tables!B$2,Tables!B$5)</f>
        <v>2.6200000000000001E-2</v>
      </c>
      <c r="Q120" s="124">
        <f>IF(G120="MFP",Tables!B$3,Tables!B$6)</f>
        <v>0.11799999999999999</v>
      </c>
      <c r="R120" s="113">
        <f>VLOOKUP($N120,'Meter Read info'!$C$2:$G$249,2,"FALSE")</f>
        <v>134</v>
      </c>
      <c r="S120" s="113">
        <f>VLOOKUP($N120,'Meter Read info'!$C$2:$G$249,3,"FALSE")</f>
        <v>154</v>
      </c>
      <c r="T120" s="113">
        <f>VLOOKUP($N120,'Meter Read info'!$C$2:$G$249,4,"FALSE")</f>
        <v>80</v>
      </c>
      <c r="U120" s="113">
        <f>VLOOKUP($N120,'Meter Read info'!$C$2:$G$249,5,"FALSE")</f>
        <v>170</v>
      </c>
    </row>
    <row r="121" spans="1:21" ht="31.2" outlineLevel="1" x14ac:dyDescent="0.3">
      <c r="A121" s="91"/>
      <c r="B121" s="107" t="s">
        <v>917</v>
      </c>
      <c r="C121" s="91"/>
      <c r="D121" s="90"/>
      <c r="E121" s="89"/>
      <c r="F121" s="90"/>
      <c r="G121" s="55"/>
      <c r="H121" s="83"/>
      <c r="I121" s="85"/>
      <c r="J121" s="85"/>
      <c r="K121" s="87"/>
      <c r="L121" s="87"/>
      <c r="M121" s="88">
        <f>SUBTOTAL(9,M116:M120)</f>
        <v>915.33940000000007</v>
      </c>
      <c r="N121" s="118"/>
      <c r="O121" s="118"/>
      <c r="P121" s="56"/>
      <c r="Q121" s="124"/>
      <c r="R121" s="113"/>
      <c r="S121" s="113"/>
      <c r="T121" s="113"/>
      <c r="U121" s="113"/>
    </row>
    <row r="122" spans="1:21" ht="30" outlineLevel="2" x14ac:dyDescent="0.3">
      <c r="A122" s="91" t="s">
        <v>106</v>
      </c>
      <c r="B122" s="91" t="s">
        <v>107</v>
      </c>
      <c r="C122" s="91" t="str">
        <f>VLOOKUP(B122,Tables!G$2:H$79,2,FALSE)</f>
        <v>Electrical Engineering</v>
      </c>
      <c r="D122" s="90" t="s">
        <v>83</v>
      </c>
      <c r="E122" s="89">
        <v>502</v>
      </c>
      <c r="F122" s="90" t="s">
        <v>15</v>
      </c>
      <c r="G122" s="55" t="str">
        <f>VLOOKUP(F122,Tables!D$2:E$12,2,FALSE)</f>
        <v>PTR</v>
      </c>
      <c r="H122" s="83">
        <v>17099626</v>
      </c>
      <c r="I122" s="85">
        <f t="shared" ref="I122:I127" si="25">SUM(S122-R122)</f>
        <v>51</v>
      </c>
      <c r="J122" s="85">
        <f t="shared" ref="J122:J127" si="26">SUM(U122-T122)</f>
        <v>0</v>
      </c>
      <c r="K122" s="87">
        <f t="shared" ref="K122:K127" si="27">SUM(I122*$P122)</f>
        <v>1.3362000000000001</v>
      </c>
      <c r="L122" s="87">
        <f t="shared" ref="L122:L127" si="28">SUM(J122*$Q122)</f>
        <v>0</v>
      </c>
      <c r="M122" s="88">
        <f t="shared" ref="M122:M127" si="29">K122+L122</f>
        <v>1.3362000000000001</v>
      </c>
      <c r="N122" s="90" t="s">
        <v>117</v>
      </c>
      <c r="O122" s="90" t="s">
        <v>118</v>
      </c>
      <c r="P122" s="56">
        <f>IF(G122="MFP",Tables!B$2,Tables!B$5)</f>
        <v>2.6200000000000001E-2</v>
      </c>
      <c r="Q122" s="124">
        <f>IF(G122="MFP",Tables!B$3,Tables!B$6)</f>
        <v>0.11799999999999999</v>
      </c>
      <c r="R122" s="113">
        <f>VLOOKUP($N122,'Meter Read info'!$C$2:$G$249,2,"FALSE")</f>
        <v>164</v>
      </c>
      <c r="S122" s="113">
        <f>VLOOKUP($N122,'Meter Read info'!$C$2:$G$249,3,"FALSE")</f>
        <v>215</v>
      </c>
      <c r="T122" s="113">
        <f>VLOOKUP($N122,'Meter Read info'!$C$2:$G$249,4,"FALSE")</f>
        <v>0</v>
      </c>
      <c r="U122" s="113">
        <f>VLOOKUP($N122,'Meter Read info'!$C$2:$G$249,5,"FALSE")</f>
        <v>0</v>
      </c>
    </row>
    <row r="123" spans="1:21" ht="30" outlineLevel="2" x14ac:dyDescent="0.3">
      <c r="A123" s="91" t="s">
        <v>106</v>
      </c>
      <c r="B123" s="91" t="s">
        <v>107</v>
      </c>
      <c r="C123" s="91" t="str">
        <f>VLOOKUP(B123,Tables!G$2:H$79,2,FALSE)</f>
        <v>Electrical Engineering</v>
      </c>
      <c r="D123" s="90" t="s">
        <v>83</v>
      </c>
      <c r="E123" s="89">
        <v>507</v>
      </c>
      <c r="F123" s="90" t="s">
        <v>15</v>
      </c>
      <c r="G123" s="55" t="str">
        <f>VLOOKUP(F123,Tables!D$2:E$12,2,FALSE)</f>
        <v>PTR</v>
      </c>
      <c r="H123" s="83">
        <v>17099587</v>
      </c>
      <c r="I123" s="85">
        <f t="shared" si="25"/>
        <v>271</v>
      </c>
      <c r="J123" s="85">
        <f t="shared" si="26"/>
        <v>0</v>
      </c>
      <c r="K123" s="87">
        <f t="shared" si="27"/>
        <v>7.1002000000000001</v>
      </c>
      <c r="L123" s="87">
        <f t="shared" si="28"/>
        <v>0</v>
      </c>
      <c r="M123" s="88">
        <f t="shared" si="29"/>
        <v>7.1002000000000001</v>
      </c>
      <c r="N123" s="90" t="s">
        <v>119</v>
      </c>
      <c r="O123" s="90" t="s">
        <v>120</v>
      </c>
      <c r="P123" s="56">
        <f>IF(G123="MFP",Tables!B$2,Tables!B$5)</f>
        <v>2.6200000000000001E-2</v>
      </c>
      <c r="Q123" s="124">
        <f>IF(G123="MFP",Tables!B$3,Tables!B$6)</f>
        <v>0.11799999999999999</v>
      </c>
      <c r="R123" s="113">
        <f>VLOOKUP($N123,'Meter Read info'!$C$2:$G$249,2,"FALSE")</f>
        <v>142</v>
      </c>
      <c r="S123" s="113">
        <f>VLOOKUP($N123,'Meter Read info'!$C$2:$G$249,3,"FALSE")</f>
        <v>413</v>
      </c>
      <c r="T123" s="113">
        <f>VLOOKUP($N123,'Meter Read info'!$C$2:$G$249,4,"FALSE")</f>
        <v>0</v>
      </c>
      <c r="U123" s="113">
        <f>VLOOKUP($N123,'Meter Read info'!$C$2:$G$249,5,"FALSE")</f>
        <v>0</v>
      </c>
    </row>
    <row r="124" spans="1:21" ht="30" outlineLevel="2" x14ac:dyDescent="0.3">
      <c r="A124" s="91" t="s">
        <v>106</v>
      </c>
      <c r="B124" s="91" t="s">
        <v>107</v>
      </c>
      <c r="C124" s="91" t="str">
        <f>VLOOKUP(B124,Tables!G$2:H$79,2,FALSE)</f>
        <v>Electrical Engineering</v>
      </c>
      <c r="D124" s="90" t="s">
        <v>83</v>
      </c>
      <c r="E124" s="89">
        <v>508</v>
      </c>
      <c r="F124" s="90" t="s">
        <v>24</v>
      </c>
      <c r="G124" s="55" t="str">
        <f>VLOOKUP(F124,Tables!D$2:E$12,2,FALSE)</f>
        <v>MFP</v>
      </c>
      <c r="H124" s="83">
        <v>17099466</v>
      </c>
      <c r="I124" s="85">
        <f t="shared" si="25"/>
        <v>1491</v>
      </c>
      <c r="J124" s="85">
        <f t="shared" si="26"/>
        <v>47</v>
      </c>
      <c r="K124" s="87">
        <f t="shared" si="27"/>
        <v>30.863699999999998</v>
      </c>
      <c r="L124" s="87">
        <f t="shared" si="28"/>
        <v>4.0889999999999995</v>
      </c>
      <c r="M124" s="88">
        <f t="shared" si="29"/>
        <v>34.9527</v>
      </c>
      <c r="N124" s="90" t="s">
        <v>109</v>
      </c>
      <c r="O124" s="90" t="s">
        <v>110</v>
      </c>
      <c r="P124" s="56">
        <f>IF(G124="MFP",Tables!B$2,Tables!B$5)</f>
        <v>2.07E-2</v>
      </c>
      <c r="Q124" s="124">
        <f>IF(G124="MFP",Tables!B$3,Tables!B$6)</f>
        <v>8.6999999999999994E-2</v>
      </c>
      <c r="R124" s="113">
        <f>VLOOKUP($N124,'Meter Read info'!$C$2:$G$249,2,"FALSE")</f>
        <v>4984</v>
      </c>
      <c r="S124" s="113">
        <f>VLOOKUP($N124,'Meter Read info'!$C$2:$G$249,3,"FALSE")</f>
        <v>6475</v>
      </c>
      <c r="T124" s="113">
        <f>VLOOKUP($N124,'Meter Read info'!$C$2:$G$249,4,"FALSE")</f>
        <v>356</v>
      </c>
      <c r="U124" s="113">
        <f>VLOOKUP($N124,'Meter Read info'!$C$2:$G$249,5,"FALSE")</f>
        <v>403</v>
      </c>
    </row>
    <row r="125" spans="1:21" ht="30" outlineLevel="2" x14ac:dyDescent="0.3">
      <c r="A125" s="91" t="s">
        <v>106</v>
      </c>
      <c r="B125" s="91" t="s">
        <v>107</v>
      </c>
      <c r="C125" s="91" t="str">
        <f>VLOOKUP(B125,Tables!G$2:H$79,2,FALSE)</f>
        <v>Electrical Engineering</v>
      </c>
      <c r="D125" s="90" t="s">
        <v>83</v>
      </c>
      <c r="E125" s="89">
        <v>509</v>
      </c>
      <c r="F125" s="90" t="s">
        <v>15</v>
      </c>
      <c r="G125" s="55" t="str">
        <f>VLOOKUP(F125,Tables!D$2:E$12,2,FALSE)</f>
        <v>PTR</v>
      </c>
      <c r="H125" s="83">
        <v>17099614</v>
      </c>
      <c r="I125" s="85">
        <f t="shared" si="25"/>
        <v>170</v>
      </c>
      <c r="J125" s="85">
        <f t="shared" si="26"/>
        <v>0</v>
      </c>
      <c r="K125" s="87">
        <f t="shared" si="27"/>
        <v>4.4540000000000006</v>
      </c>
      <c r="L125" s="87">
        <f t="shared" si="28"/>
        <v>0</v>
      </c>
      <c r="M125" s="88">
        <f t="shared" si="29"/>
        <v>4.4540000000000006</v>
      </c>
      <c r="N125" s="90" t="s">
        <v>111</v>
      </c>
      <c r="O125" s="90" t="s">
        <v>112</v>
      </c>
      <c r="P125" s="56">
        <f>IF(G125="MFP",Tables!B$2,Tables!B$5)</f>
        <v>2.6200000000000001E-2</v>
      </c>
      <c r="Q125" s="124">
        <f>IF(G125="MFP",Tables!B$3,Tables!B$6)</f>
        <v>0.11799999999999999</v>
      </c>
      <c r="R125" s="113">
        <f>VLOOKUP($N125,'Meter Read info'!$C$2:$G$249,2,"FALSE")</f>
        <v>119</v>
      </c>
      <c r="S125" s="113">
        <f>VLOOKUP($N125,'Meter Read info'!$C$2:$G$249,3,"FALSE")</f>
        <v>289</v>
      </c>
      <c r="T125" s="113">
        <f>VLOOKUP($N125,'Meter Read info'!$C$2:$G$249,4,"FALSE")</f>
        <v>0</v>
      </c>
      <c r="U125" s="113">
        <f>VLOOKUP($N125,'Meter Read info'!$C$2:$G$249,5,"FALSE")</f>
        <v>0</v>
      </c>
    </row>
    <row r="126" spans="1:21" ht="30" outlineLevel="2" x14ac:dyDescent="0.3">
      <c r="A126" s="91" t="s">
        <v>106</v>
      </c>
      <c r="B126" s="91" t="s">
        <v>107</v>
      </c>
      <c r="C126" s="91" t="str">
        <f>VLOOKUP(B126,Tables!G$2:H$79,2,FALSE)</f>
        <v>Electrical Engineering</v>
      </c>
      <c r="D126" s="90" t="s">
        <v>83</v>
      </c>
      <c r="E126" s="89">
        <v>605</v>
      </c>
      <c r="F126" s="90" t="s">
        <v>15</v>
      </c>
      <c r="G126" s="55" t="str">
        <f>VLOOKUP(F126,Tables!D$2:E$12,2,FALSE)</f>
        <v>PTR</v>
      </c>
      <c r="H126" s="83">
        <v>17099625</v>
      </c>
      <c r="I126" s="85">
        <f t="shared" si="25"/>
        <v>86</v>
      </c>
      <c r="J126" s="85">
        <f t="shared" si="26"/>
        <v>0</v>
      </c>
      <c r="K126" s="87">
        <f t="shared" si="27"/>
        <v>2.2532000000000001</v>
      </c>
      <c r="L126" s="87">
        <f t="shared" si="28"/>
        <v>0</v>
      </c>
      <c r="M126" s="88">
        <f t="shared" si="29"/>
        <v>2.2532000000000001</v>
      </c>
      <c r="N126" s="90" t="s">
        <v>113</v>
      </c>
      <c r="O126" s="90" t="s">
        <v>114</v>
      </c>
      <c r="P126" s="56">
        <f>IF(G126="MFP",Tables!B$2,Tables!B$5)</f>
        <v>2.6200000000000001E-2</v>
      </c>
      <c r="Q126" s="124">
        <f>IF(G126="MFP",Tables!B$3,Tables!B$6)</f>
        <v>0.11799999999999999</v>
      </c>
      <c r="R126" s="113">
        <f>VLOOKUP($N126,'Meter Read info'!$C$2:$G$249,2,"FALSE")</f>
        <v>248</v>
      </c>
      <c r="S126" s="113">
        <f>VLOOKUP($N126,'Meter Read info'!$C$2:$G$249,3,"FALSE")</f>
        <v>334</v>
      </c>
      <c r="T126" s="113">
        <f>VLOOKUP($N126,'Meter Read info'!$C$2:$G$249,4,"FALSE")</f>
        <v>0</v>
      </c>
      <c r="U126" s="113">
        <f>VLOOKUP($N126,'Meter Read info'!$C$2:$G$249,5,"FALSE")</f>
        <v>0</v>
      </c>
    </row>
    <row r="127" spans="1:21" ht="30" outlineLevel="2" x14ac:dyDescent="0.3">
      <c r="A127" s="91" t="s">
        <v>106</v>
      </c>
      <c r="B127" s="91" t="s">
        <v>107</v>
      </c>
      <c r="C127" s="91" t="str">
        <f>VLOOKUP(B127,Tables!G$2:H$79,2,FALSE)</f>
        <v>Electrical Engineering</v>
      </c>
      <c r="D127" s="90" t="s">
        <v>83</v>
      </c>
      <c r="E127" s="89">
        <v>620</v>
      </c>
      <c r="F127" s="90" t="s">
        <v>15</v>
      </c>
      <c r="G127" s="55" t="str">
        <f>VLOOKUP(F127,Tables!D$2:E$12,2,FALSE)</f>
        <v>PTR</v>
      </c>
      <c r="H127" s="83">
        <v>17099619</v>
      </c>
      <c r="I127" s="85">
        <f t="shared" si="25"/>
        <v>162</v>
      </c>
      <c r="J127" s="85">
        <f t="shared" si="26"/>
        <v>0</v>
      </c>
      <c r="K127" s="87">
        <f t="shared" si="27"/>
        <v>4.2444000000000006</v>
      </c>
      <c r="L127" s="87">
        <f t="shared" si="28"/>
        <v>0</v>
      </c>
      <c r="M127" s="88">
        <f t="shared" si="29"/>
        <v>4.2444000000000006</v>
      </c>
      <c r="N127" s="90" t="s">
        <v>115</v>
      </c>
      <c r="O127" s="90" t="s">
        <v>116</v>
      </c>
      <c r="P127" s="56">
        <f>IF(G127="MFP",Tables!B$2,Tables!B$5)</f>
        <v>2.6200000000000001E-2</v>
      </c>
      <c r="Q127" s="124">
        <f>IF(G127="MFP",Tables!B$3,Tables!B$6)</f>
        <v>0.11799999999999999</v>
      </c>
      <c r="R127" s="113">
        <f>VLOOKUP($N127,'Meter Read info'!$C$2:$G$249,2,"FALSE")</f>
        <v>624</v>
      </c>
      <c r="S127" s="113">
        <f>VLOOKUP($N127,'Meter Read info'!$C$2:$G$249,3,"FALSE")</f>
        <v>786</v>
      </c>
      <c r="T127" s="113">
        <f>VLOOKUP($N127,'Meter Read info'!$C$2:$G$249,4,"FALSE")</f>
        <v>0</v>
      </c>
      <c r="U127" s="113">
        <f>VLOOKUP($N127,'Meter Read info'!$C$2:$G$249,5,"FALSE")</f>
        <v>0</v>
      </c>
    </row>
    <row r="128" spans="1:21" ht="31.2" outlineLevel="1" x14ac:dyDescent="0.3">
      <c r="A128" s="91"/>
      <c r="B128" s="107" t="s">
        <v>918</v>
      </c>
      <c r="C128" s="91"/>
      <c r="D128" s="90"/>
      <c r="E128" s="89"/>
      <c r="F128" s="90"/>
      <c r="G128" s="55"/>
      <c r="H128" s="83"/>
      <c r="I128" s="85"/>
      <c r="J128" s="85"/>
      <c r="K128" s="87"/>
      <c r="L128" s="87"/>
      <c r="M128" s="88">
        <f>SUBTOTAL(9,M122:M127)</f>
        <v>54.340699999999998</v>
      </c>
      <c r="N128" s="90"/>
      <c r="O128" s="90"/>
      <c r="P128" s="56"/>
      <c r="Q128" s="124"/>
      <c r="R128" s="113"/>
      <c r="S128" s="113"/>
      <c r="T128" s="113"/>
      <c r="U128" s="113"/>
    </row>
    <row r="129" spans="1:21" ht="30" outlineLevel="2" x14ac:dyDescent="0.3">
      <c r="A129" s="91" t="s">
        <v>106</v>
      </c>
      <c r="B129" s="91" t="s">
        <v>426</v>
      </c>
      <c r="C129" s="91" t="str">
        <f>VLOOKUP(B129,Tables!G$2:H$79,2,FALSE)</f>
        <v>Printer Services</v>
      </c>
      <c r="D129" s="90" t="s">
        <v>83</v>
      </c>
      <c r="E129" s="89">
        <v>404</v>
      </c>
      <c r="F129" s="90" t="s">
        <v>15</v>
      </c>
      <c r="G129" s="55" t="str">
        <f>VLOOKUP(F129,Tables!D$2:E$12,2,FALSE)</f>
        <v>PTR</v>
      </c>
      <c r="H129" s="83">
        <v>17099764</v>
      </c>
      <c r="I129" s="85">
        <f t="shared" ref="I129:I135" si="30">SUM(S129-R129)</f>
        <v>1897</v>
      </c>
      <c r="J129" s="85">
        <f t="shared" ref="J129:J135" si="31">SUM(U129-T129)</f>
        <v>0</v>
      </c>
      <c r="K129" s="87">
        <f t="shared" ref="K129:K135" si="32">SUM(I129*$P129)</f>
        <v>49.7014</v>
      </c>
      <c r="L129" s="87">
        <f t="shared" ref="L129:L135" si="33">SUM(J129*$Q129)</f>
        <v>0</v>
      </c>
      <c r="M129" s="88">
        <f t="shared" ref="M129:M135" si="34">K129+L129</f>
        <v>49.7014</v>
      </c>
      <c r="N129" s="90" t="s">
        <v>457</v>
      </c>
      <c r="O129" s="90" t="s">
        <v>458</v>
      </c>
      <c r="P129" s="56">
        <f>IF(G129="MFP",Tables!B$2,Tables!B$5)</f>
        <v>2.6200000000000001E-2</v>
      </c>
      <c r="Q129" s="124">
        <f>IF(G129="MFP",Tables!B$3,Tables!B$6)</f>
        <v>0.11799999999999999</v>
      </c>
      <c r="R129" s="113">
        <f>VLOOKUP($N129,'Meter Read info'!$C$2:$G$249,2,"FALSE")</f>
        <v>7851</v>
      </c>
      <c r="S129" s="113">
        <f>VLOOKUP($N129,'Meter Read info'!$C$2:$G$249,3,"FALSE")</f>
        <v>9748</v>
      </c>
      <c r="T129" s="113">
        <f>VLOOKUP($N129,'Meter Read info'!$C$2:$G$249,4,"FALSE")</f>
        <v>0</v>
      </c>
      <c r="U129" s="113">
        <f>VLOOKUP($N129,'Meter Read info'!$C$2:$G$249,5,"FALSE")</f>
        <v>0</v>
      </c>
    </row>
    <row r="130" spans="1:21" ht="30" outlineLevel="2" x14ac:dyDescent="0.3">
      <c r="A130" s="91" t="s">
        <v>106</v>
      </c>
      <c r="B130" s="91" t="s">
        <v>426</v>
      </c>
      <c r="C130" s="91" t="str">
        <f>VLOOKUP(B130,Tables!G$2:H$79,2,FALSE)</f>
        <v>Printer Services</v>
      </c>
      <c r="D130" s="90" t="s">
        <v>83</v>
      </c>
      <c r="E130" s="89">
        <v>407</v>
      </c>
      <c r="F130" s="90" t="s">
        <v>15</v>
      </c>
      <c r="G130" s="55" t="str">
        <f>VLOOKUP(F130,Tables!D$2:E$12,2,FALSE)</f>
        <v>PTR</v>
      </c>
      <c r="H130" s="83">
        <v>17099788</v>
      </c>
      <c r="I130" s="85">
        <f t="shared" si="30"/>
        <v>491</v>
      </c>
      <c r="J130" s="85">
        <f t="shared" si="31"/>
        <v>0</v>
      </c>
      <c r="K130" s="87">
        <f t="shared" si="32"/>
        <v>12.8642</v>
      </c>
      <c r="L130" s="87">
        <f t="shared" si="33"/>
        <v>0</v>
      </c>
      <c r="M130" s="88">
        <f t="shared" si="34"/>
        <v>12.8642</v>
      </c>
      <c r="N130" s="90" t="s">
        <v>447</v>
      </c>
      <c r="O130" s="90" t="s">
        <v>448</v>
      </c>
      <c r="P130" s="56">
        <f>IF(G130="MFP",Tables!B$2,Tables!B$5)</f>
        <v>2.6200000000000001E-2</v>
      </c>
      <c r="Q130" s="124">
        <f>IF(G130="MFP",Tables!B$3,Tables!B$6)</f>
        <v>0.11799999999999999</v>
      </c>
      <c r="R130" s="113">
        <f>VLOOKUP($N130,'Meter Read info'!$C$2:$G$249,2,"FALSE")</f>
        <v>1406</v>
      </c>
      <c r="S130" s="113">
        <f>VLOOKUP($N130,'Meter Read info'!$C$2:$G$249,3,"FALSE")</f>
        <v>1897</v>
      </c>
      <c r="T130" s="113">
        <f>VLOOKUP($N130,'Meter Read info'!$C$2:$G$249,4,"FALSE")</f>
        <v>0</v>
      </c>
      <c r="U130" s="113">
        <f>VLOOKUP($N130,'Meter Read info'!$C$2:$G$249,5,"FALSE")</f>
        <v>0</v>
      </c>
    </row>
    <row r="131" spans="1:21" ht="30" outlineLevel="2" x14ac:dyDescent="0.3">
      <c r="A131" s="91" t="s">
        <v>106</v>
      </c>
      <c r="B131" s="91" t="s">
        <v>426</v>
      </c>
      <c r="C131" s="91" t="str">
        <f>VLOOKUP(B131,Tables!G$2:H$79,2,FALSE)</f>
        <v>Printer Services</v>
      </c>
      <c r="D131" s="90" t="s">
        <v>83</v>
      </c>
      <c r="E131" s="89">
        <v>408</v>
      </c>
      <c r="F131" s="90" t="s">
        <v>92</v>
      </c>
      <c r="G131" s="55" t="str">
        <f>VLOOKUP(F131,Tables!D$2:E$12,2,FALSE)</f>
        <v>PTR</v>
      </c>
      <c r="H131" s="83">
        <v>17099769</v>
      </c>
      <c r="I131" s="85">
        <f t="shared" si="30"/>
        <v>23</v>
      </c>
      <c r="J131" s="85">
        <f t="shared" si="31"/>
        <v>40</v>
      </c>
      <c r="K131" s="87">
        <f t="shared" si="32"/>
        <v>0.60260000000000002</v>
      </c>
      <c r="L131" s="87">
        <f t="shared" si="33"/>
        <v>4.72</v>
      </c>
      <c r="M131" s="88">
        <f t="shared" si="34"/>
        <v>5.3225999999999996</v>
      </c>
      <c r="N131" s="118" t="s">
        <v>771</v>
      </c>
      <c r="O131" s="118" t="s">
        <v>772</v>
      </c>
      <c r="P131" s="56">
        <f>IF(G131="MFP",Tables!B$2,Tables!B$5)</f>
        <v>2.6200000000000001E-2</v>
      </c>
      <c r="Q131" s="124">
        <f>IF(G131="MFP",Tables!B$3,Tables!B$6)</f>
        <v>0.11799999999999999</v>
      </c>
      <c r="R131" s="113">
        <f>VLOOKUP($N131,'Meter Read info'!$C$2:$G$249,2,"FALSE")</f>
        <v>495</v>
      </c>
      <c r="S131" s="113">
        <f>VLOOKUP($N131,'Meter Read info'!$C$2:$G$249,3,"FALSE")</f>
        <v>518</v>
      </c>
      <c r="T131" s="113">
        <f>VLOOKUP($N131,'Meter Read info'!$C$2:$G$249,4,"FALSE")</f>
        <v>196</v>
      </c>
      <c r="U131" s="113">
        <f>VLOOKUP($N131,'Meter Read info'!$C$2:$G$249,5,"FALSE")</f>
        <v>236</v>
      </c>
    </row>
    <row r="132" spans="1:21" ht="30" outlineLevel="2" x14ac:dyDescent="0.3">
      <c r="A132" s="91" t="s">
        <v>106</v>
      </c>
      <c r="B132" s="91" t="s">
        <v>426</v>
      </c>
      <c r="C132" s="91" t="str">
        <f>VLOOKUP(B132,Tables!G$2:H$79,2,FALSE)</f>
        <v>Printer Services</v>
      </c>
      <c r="D132" s="90" t="s">
        <v>83</v>
      </c>
      <c r="E132" s="89">
        <v>426</v>
      </c>
      <c r="F132" s="90" t="s">
        <v>15</v>
      </c>
      <c r="G132" s="55" t="str">
        <f>VLOOKUP(F132,Tables!D$2:E$12,2,FALSE)</f>
        <v>PTR</v>
      </c>
      <c r="H132" s="83">
        <v>17099766</v>
      </c>
      <c r="I132" s="85">
        <f t="shared" si="30"/>
        <v>696</v>
      </c>
      <c r="J132" s="85">
        <f t="shared" si="31"/>
        <v>0</v>
      </c>
      <c r="K132" s="87">
        <f t="shared" si="32"/>
        <v>18.235199999999999</v>
      </c>
      <c r="L132" s="87">
        <f t="shared" si="33"/>
        <v>0</v>
      </c>
      <c r="M132" s="88">
        <f t="shared" si="34"/>
        <v>18.235199999999999</v>
      </c>
      <c r="N132" s="90" t="s">
        <v>455</v>
      </c>
      <c r="O132" s="90" t="s">
        <v>456</v>
      </c>
      <c r="P132" s="56">
        <f>IF(G132="MFP",Tables!B$2,Tables!B$5)</f>
        <v>2.6200000000000001E-2</v>
      </c>
      <c r="Q132" s="124">
        <f>IF(G132="MFP",Tables!B$3,Tables!B$6)</f>
        <v>0.11799999999999999</v>
      </c>
      <c r="R132" s="113">
        <f>VLOOKUP($N132,'Meter Read info'!$C$2:$G$249,2,"FALSE")</f>
        <v>2283</v>
      </c>
      <c r="S132" s="113">
        <f>VLOOKUP($N132,'Meter Read info'!$C$2:$G$249,3,"FALSE")</f>
        <v>2979</v>
      </c>
      <c r="T132" s="113">
        <f>VLOOKUP($N132,'Meter Read info'!$C$2:$G$249,4,"FALSE")</f>
        <v>0</v>
      </c>
      <c r="U132" s="113">
        <f>VLOOKUP($N132,'Meter Read info'!$C$2:$G$249,5,"FALSE")</f>
        <v>0</v>
      </c>
    </row>
    <row r="133" spans="1:21" ht="30" outlineLevel="2" x14ac:dyDescent="0.3">
      <c r="A133" s="91" t="s">
        <v>106</v>
      </c>
      <c r="B133" s="91" t="s">
        <v>426</v>
      </c>
      <c r="C133" s="91" t="str">
        <f>VLOOKUP(B133,Tables!G$2:H$79,2,FALSE)</f>
        <v>Printer Services</v>
      </c>
      <c r="D133" s="90" t="s">
        <v>83</v>
      </c>
      <c r="E133" s="89">
        <v>427</v>
      </c>
      <c r="F133" s="90" t="s">
        <v>15</v>
      </c>
      <c r="G133" s="55" t="str">
        <f>VLOOKUP(F133,Tables!D$2:E$12,2,FALSE)</f>
        <v>PTR</v>
      </c>
      <c r="H133" s="83">
        <v>17099767</v>
      </c>
      <c r="I133" s="85">
        <f t="shared" si="30"/>
        <v>171</v>
      </c>
      <c r="J133" s="85">
        <f t="shared" si="31"/>
        <v>0</v>
      </c>
      <c r="K133" s="87">
        <f t="shared" si="32"/>
        <v>4.4802</v>
      </c>
      <c r="L133" s="87">
        <f t="shared" si="33"/>
        <v>0</v>
      </c>
      <c r="M133" s="88">
        <f t="shared" si="34"/>
        <v>4.4802</v>
      </c>
      <c r="N133" s="90" t="s">
        <v>453</v>
      </c>
      <c r="O133" s="90" t="s">
        <v>454</v>
      </c>
      <c r="P133" s="56">
        <f>IF(G133="MFP",Tables!B$2,Tables!B$5)</f>
        <v>2.6200000000000001E-2</v>
      </c>
      <c r="Q133" s="124">
        <f>IF(G133="MFP",Tables!B$3,Tables!B$6)</f>
        <v>0.11799999999999999</v>
      </c>
      <c r="R133" s="113">
        <f>VLOOKUP($N133,'Meter Read info'!$C$2:$G$249,2,"FALSE")</f>
        <v>1079</v>
      </c>
      <c r="S133" s="113">
        <f>VLOOKUP($N133,'Meter Read info'!$C$2:$G$249,3,"FALSE")</f>
        <v>1250</v>
      </c>
      <c r="T133" s="113">
        <f>VLOOKUP($N133,'Meter Read info'!$C$2:$G$249,4,"FALSE")</f>
        <v>0</v>
      </c>
      <c r="U133" s="113">
        <f>VLOOKUP($N133,'Meter Read info'!$C$2:$G$249,5,"FALSE")</f>
        <v>0</v>
      </c>
    </row>
    <row r="134" spans="1:21" ht="30" outlineLevel="2" x14ac:dyDescent="0.3">
      <c r="A134" s="91" t="s">
        <v>106</v>
      </c>
      <c r="B134" s="91" t="s">
        <v>426</v>
      </c>
      <c r="C134" s="91" t="str">
        <f>VLOOKUP(B134,Tables!G$2:H$79,2,FALSE)</f>
        <v>Printer Services</v>
      </c>
      <c r="D134" s="90" t="s">
        <v>83</v>
      </c>
      <c r="E134" s="89">
        <v>428</v>
      </c>
      <c r="F134" s="90" t="s">
        <v>15</v>
      </c>
      <c r="G134" s="55" t="str">
        <f>VLOOKUP(F134,Tables!D$2:E$12,2,FALSE)</f>
        <v>PTR</v>
      </c>
      <c r="H134" s="83">
        <v>17099765</v>
      </c>
      <c r="I134" s="85">
        <f t="shared" si="30"/>
        <v>158</v>
      </c>
      <c r="J134" s="85">
        <f t="shared" si="31"/>
        <v>0</v>
      </c>
      <c r="K134" s="87">
        <f t="shared" si="32"/>
        <v>4.1395999999999997</v>
      </c>
      <c r="L134" s="87">
        <f t="shared" si="33"/>
        <v>0</v>
      </c>
      <c r="M134" s="88">
        <f t="shared" si="34"/>
        <v>4.1395999999999997</v>
      </c>
      <c r="N134" s="90" t="s">
        <v>449</v>
      </c>
      <c r="O134" s="90" t="s">
        <v>450</v>
      </c>
      <c r="P134" s="56">
        <f>IF(G134="MFP",Tables!B$2,Tables!B$5)</f>
        <v>2.6200000000000001E-2</v>
      </c>
      <c r="Q134" s="124">
        <f>IF(G134="MFP",Tables!B$3,Tables!B$6)</f>
        <v>0.11799999999999999</v>
      </c>
      <c r="R134" s="113">
        <f>VLOOKUP($N134,'Meter Read info'!$C$2:$G$249,2,"FALSE")</f>
        <v>1634</v>
      </c>
      <c r="S134" s="113">
        <f>VLOOKUP($N134,'Meter Read info'!$C$2:$G$249,3,"FALSE")</f>
        <v>1792</v>
      </c>
      <c r="T134" s="113">
        <f>VLOOKUP($N134,'Meter Read info'!$C$2:$G$249,4,"FALSE")</f>
        <v>0</v>
      </c>
      <c r="U134" s="113">
        <f>VLOOKUP($N134,'Meter Read info'!$C$2:$G$249,5,"FALSE")</f>
        <v>0</v>
      </c>
    </row>
    <row r="135" spans="1:21" ht="30" outlineLevel="2" x14ac:dyDescent="0.3">
      <c r="A135" s="91" t="s">
        <v>106</v>
      </c>
      <c r="B135" s="91" t="s">
        <v>426</v>
      </c>
      <c r="C135" s="91" t="str">
        <f>VLOOKUP(B135,Tables!G$2:H$79,2,FALSE)</f>
        <v>Printer Services</v>
      </c>
      <c r="D135" s="90" t="s">
        <v>83</v>
      </c>
      <c r="E135" s="89">
        <v>506</v>
      </c>
      <c r="F135" s="90" t="s">
        <v>15</v>
      </c>
      <c r="G135" s="55" t="str">
        <f>VLOOKUP(F135,Tables!D$2:E$12,2,FALSE)</f>
        <v>PTR</v>
      </c>
      <c r="H135" s="83">
        <v>17099627</v>
      </c>
      <c r="I135" s="85">
        <f t="shared" si="30"/>
        <v>71</v>
      </c>
      <c r="J135" s="85">
        <f t="shared" si="31"/>
        <v>0</v>
      </c>
      <c r="K135" s="87">
        <f t="shared" si="32"/>
        <v>1.8602000000000001</v>
      </c>
      <c r="L135" s="87">
        <f t="shared" si="33"/>
        <v>0</v>
      </c>
      <c r="M135" s="88">
        <f t="shared" si="34"/>
        <v>1.8602000000000001</v>
      </c>
      <c r="N135" s="90" t="s">
        <v>451</v>
      </c>
      <c r="O135" s="90" t="s">
        <v>452</v>
      </c>
      <c r="P135" s="56">
        <f>IF(G135="MFP",Tables!B$2,Tables!B$5)</f>
        <v>2.6200000000000001E-2</v>
      </c>
      <c r="Q135" s="124">
        <f>IF(G135="MFP",Tables!B$3,Tables!B$6)</f>
        <v>0.11799999999999999</v>
      </c>
      <c r="R135" s="113">
        <f>VLOOKUP($N135,'Meter Read info'!$C$2:$G$249,2,"FALSE")</f>
        <v>692</v>
      </c>
      <c r="S135" s="113">
        <f>VLOOKUP($N135,'Meter Read info'!$C$2:$G$249,3,"FALSE")</f>
        <v>763</v>
      </c>
      <c r="T135" s="113">
        <f>VLOOKUP($N135,'Meter Read info'!$C$2:$G$249,4,"FALSE")</f>
        <v>0</v>
      </c>
      <c r="U135" s="113">
        <f>VLOOKUP($N135,'Meter Read info'!$C$2:$G$249,5,"FALSE")</f>
        <v>0</v>
      </c>
    </row>
    <row r="136" spans="1:21" ht="31.2" outlineLevel="1" x14ac:dyDescent="0.3">
      <c r="A136" s="91"/>
      <c r="B136" s="107" t="s">
        <v>890</v>
      </c>
      <c r="C136" s="91"/>
      <c r="D136" s="90"/>
      <c r="E136" s="89"/>
      <c r="F136" s="90"/>
      <c r="G136" s="55"/>
      <c r="H136" s="83"/>
      <c r="I136" s="85"/>
      <c r="J136" s="85"/>
      <c r="K136" s="87"/>
      <c r="L136" s="87"/>
      <c r="M136" s="88">
        <f>SUBTOTAL(9,M129:M135)</f>
        <v>96.603400000000008</v>
      </c>
      <c r="N136" s="90"/>
      <c r="O136" s="90"/>
      <c r="P136" s="56"/>
      <c r="Q136" s="124"/>
      <c r="R136" s="113"/>
      <c r="S136" s="113"/>
      <c r="T136" s="113"/>
      <c r="U136" s="113"/>
    </row>
    <row r="137" spans="1:21" outlineLevel="2" x14ac:dyDescent="0.3">
      <c r="A137" s="91" t="s">
        <v>121</v>
      </c>
      <c r="B137" s="91" t="s">
        <v>101</v>
      </c>
      <c r="C137" s="91" t="str">
        <f>VLOOKUP(B137,Tables!G$2:H$79,2,FALSE)</f>
        <v>English</v>
      </c>
      <c r="D137" s="90" t="s">
        <v>98</v>
      </c>
      <c r="E137" s="89">
        <v>206</v>
      </c>
      <c r="F137" s="90" t="s">
        <v>15</v>
      </c>
      <c r="G137" s="55" t="str">
        <f>VLOOKUP(F137,Tables!D$2:E$12,2,FALSE)</f>
        <v>PTR</v>
      </c>
      <c r="H137" s="83">
        <v>17099540</v>
      </c>
      <c r="I137" s="85">
        <f t="shared" ref="I137:I148" si="35">SUM(S137-R137)</f>
        <v>297</v>
      </c>
      <c r="J137" s="85">
        <f t="shared" ref="J137:J148" si="36">SUM(U137-T137)</f>
        <v>0</v>
      </c>
      <c r="K137" s="87">
        <f t="shared" ref="K137:K148" si="37">SUM(I137*$P137)</f>
        <v>7.7814000000000005</v>
      </c>
      <c r="L137" s="87">
        <f t="shared" ref="L137:L148" si="38">SUM(J137*$Q137)</f>
        <v>0</v>
      </c>
      <c r="M137" s="88">
        <f t="shared" ref="M137:M148" si="39">K137+L137</f>
        <v>7.7814000000000005</v>
      </c>
      <c r="N137" s="90" t="s">
        <v>136</v>
      </c>
      <c r="O137" s="90" t="s">
        <v>137</v>
      </c>
      <c r="P137" s="56">
        <f>IF(G137="MFP",Tables!B$2,Tables!B$5)</f>
        <v>2.6200000000000001E-2</v>
      </c>
      <c r="Q137" s="124">
        <f>IF(G137="MFP",Tables!B$3,Tables!B$6)</f>
        <v>0.11799999999999999</v>
      </c>
      <c r="R137" s="113">
        <f>VLOOKUP($N137,'Meter Read info'!$C$2:$G$249,2,"FALSE")</f>
        <v>1321</v>
      </c>
      <c r="S137" s="113">
        <f>VLOOKUP($N137,'Meter Read info'!$C$2:$G$249,3,"FALSE")</f>
        <v>1618</v>
      </c>
      <c r="T137" s="113">
        <f>VLOOKUP($N137,'Meter Read info'!$C$2:$G$249,4,"FALSE")</f>
        <v>0</v>
      </c>
      <c r="U137" s="113">
        <f>VLOOKUP($N137,'Meter Read info'!$C$2:$G$249,5,"FALSE")</f>
        <v>0</v>
      </c>
    </row>
    <row r="138" spans="1:21" outlineLevel="2" x14ac:dyDescent="0.3">
      <c r="A138" s="91" t="s">
        <v>121</v>
      </c>
      <c r="B138" s="91" t="s">
        <v>101</v>
      </c>
      <c r="C138" s="91" t="str">
        <f>VLOOKUP(B138,Tables!G$2:H$79,2,FALSE)</f>
        <v>English</v>
      </c>
      <c r="D138" s="90" t="s">
        <v>98</v>
      </c>
      <c r="E138" s="89">
        <v>220</v>
      </c>
      <c r="F138" s="90" t="s">
        <v>15</v>
      </c>
      <c r="G138" s="55" t="str">
        <f>VLOOKUP(F138,Tables!D$2:E$12,2,FALSE)</f>
        <v>PTR</v>
      </c>
      <c r="H138" s="83">
        <v>17099539</v>
      </c>
      <c r="I138" s="85">
        <f t="shared" si="35"/>
        <v>706</v>
      </c>
      <c r="J138" s="85">
        <f t="shared" si="36"/>
        <v>0</v>
      </c>
      <c r="K138" s="87">
        <f t="shared" si="37"/>
        <v>18.497199999999999</v>
      </c>
      <c r="L138" s="87">
        <f t="shared" si="38"/>
        <v>0</v>
      </c>
      <c r="M138" s="88">
        <f t="shared" si="39"/>
        <v>18.497199999999999</v>
      </c>
      <c r="N138" s="90" t="s">
        <v>140</v>
      </c>
      <c r="O138" s="90" t="s">
        <v>141</v>
      </c>
      <c r="P138" s="56">
        <f>IF(G138="MFP",Tables!B$2,Tables!B$5)</f>
        <v>2.6200000000000001E-2</v>
      </c>
      <c r="Q138" s="124">
        <f>IF(G138="MFP",Tables!B$3,Tables!B$6)</f>
        <v>0.11799999999999999</v>
      </c>
      <c r="R138" s="113">
        <f>VLOOKUP($N138,'Meter Read info'!$C$2:$G$249,2,"FALSE")</f>
        <v>1848</v>
      </c>
      <c r="S138" s="113">
        <f>VLOOKUP($N138,'Meter Read info'!$C$2:$G$249,3,"FALSE")</f>
        <v>2554</v>
      </c>
      <c r="T138" s="113">
        <f>VLOOKUP($N138,'Meter Read info'!$C$2:$G$249,4,"FALSE")</f>
        <v>0</v>
      </c>
      <c r="U138" s="113">
        <f>VLOOKUP($N138,'Meter Read info'!$C$2:$G$249,5,"FALSE")</f>
        <v>0</v>
      </c>
    </row>
    <row r="139" spans="1:21" outlineLevel="2" x14ac:dyDescent="0.3">
      <c r="A139" s="91" t="s">
        <v>121</v>
      </c>
      <c r="B139" s="91" t="s">
        <v>101</v>
      </c>
      <c r="C139" s="91" t="str">
        <f>VLOOKUP(B139,Tables!G$2:H$79,2,FALSE)</f>
        <v>English</v>
      </c>
      <c r="D139" s="90" t="s">
        <v>98</v>
      </c>
      <c r="E139" s="89">
        <v>221</v>
      </c>
      <c r="F139" s="90" t="s">
        <v>92</v>
      </c>
      <c r="G139" s="55" t="str">
        <f>VLOOKUP(F139,Tables!D$2:E$12,2,FALSE)</f>
        <v>PTR</v>
      </c>
      <c r="H139" s="83">
        <v>17099516</v>
      </c>
      <c r="I139" s="85">
        <f t="shared" si="35"/>
        <v>237</v>
      </c>
      <c r="J139" s="85">
        <f t="shared" si="36"/>
        <v>144</v>
      </c>
      <c r="K139" s="87">
        <f t="shared" si="37"/>
        <v>6.2094000000000005</v>
      </c>
      <c r="L139" s="87">
        <f t="shared" si="38"/>
        <v>16.991999999999997</v>
      </c>
      <c r="M139" s="88">
        <f t="shared" si="39"/>
        <v>23.2014</v>
      </c>
      <c r="N139" s="90" t="s">
        <v>138</v>
      </c>
      <c r="O139" s="90" t="s">
        <v>139</v>
      </c>
      <c r="P139" s="56">
        <f>IF(G139="MFP",Tables!B$2,Tables!B$5)</f>
        <v>2.6200000000000001E-2</v>
      </c>
      <c r="Q139" s="124">
        <f>IF(G139="MFP",Tables!B$3,Tables!B$6)</f>
        <v>0.11799999999999999</v>
      </c>
      <c r="R139" s="113">
        <f>VLOOKUP($N139,'Meter Read info'!$C$2:$G$249,2,"FALSE")</f>
        <v>941</v>
      </c>
      <c r="S139" s="113">
        <f>VLOOKUP($N139,'Meter Read info'!$C$2:$G$249,3,"FALSE")</f>
        <v>1178</v>
      </c>
      <c r="T139" s="113">
        <f>VLOOKUP($N139,'Meter Read info'!$C$2:$G$249,4,"FALSE")</f>
        <v>683</v>
      </c>
      <c r="U139" s="113">
        <f>VLOOKUP($N139,'Meter Read info'!$C$2:$G$249,5,"FALSE")</f>
        <v>827</v>
      </c>
    </row>
    <row r="140" spans="1:21" outlineLevel="2" x14ac:dyDescent="0.3">
      <c r="A140" s="91" t="s">
        <v>121</v>
      </c>
      <c r="B140" s="91" t="s">
        <v>101</v>
      </c>
      <c r="C140" s="91" t="str">
        <f>VLOOKUP(B140,Tables!G$2:H$79,2,FALSE)</f>
        <v>English</v>
      </c>
      <c r="D140" s="90" t="s">
        <v>98</v>
      </c>
      <c r="E140" s="89">
        <v>222</v>
      </c>
      <c r="F140" s="90" t="s">
        <v>15</v>
      </c>
      <c r="G140" s="55" t="str">
        <f>VLOOKUP(F140,Tables!D$2:E$12,2,FALSE)</f>
        <v>PTR</v>
      </c>
      <c r="H140" s="83">
        <v>17099538</v>
      </c>
      <c r="I140" s="85">
        <f t="shared" si="35"/>
        <v>672</v>
      </c>
      <c r="J140" s="85">
        <f t="shared" si="36"/>
        <v>0</v>
      </c>
      <c r="K140" s="87">
        <f t="shared" si="37"/>
        <v>17.606400000000001</v>
      </c>
      <c r="L140" s="87">
        <f t="shared" si="38"/>
        <v>0</v>
      </c>
      <c r="M140" s="88">
        <f t="shared" si="39"/>
        <v>17.606400000000001</v>
      </c>
      <c r="N140" s="90" t="s">
        <v>128</v>
      </c>
      <c r="O140" s="90" t="s">
        <v>129</v>
      </c>
      <c r="P140" s="56">
        <f>IF(G140="MFP",Tables!B$2,Tables!B$5)</f>
        <v>2.6200000000000001E-2</v>
      </c>
      <c r="Q140" s="124">
        <f>IF(G140="MFP",Tables!B$3,Tables!B$6)</f>
        <v>0.11799999999999999</v>
      </c>
      <c r="R140" s="113">
        <f>VLOOKUP($N140,'Meter Read info'!$C$2:$G$249,2,"FALSE")</f>
        <v>1810</v>
      </c>
      <c r="S140" s="113">
        <f>VLOOKUP($N140,'Meter Read info'!$C$2:$G$249,3,"FALSE")</f>
        <v>2482</v>
      </c>
      <c r="T140" s="113">
        <f>VLOOKUP($N140,'Meter Read info'!$C$2:$G$249,4,"FALSE")</f>
        <v>0</v>
      </c>
      <c r="U140" s="113">
        <f>VLOOKUP($N140,'Meter Read info'!$C$2:$G$249,5,"FALSE")</f>
        <v>0</v>
      </c>
    </row>
    <row r="141" spans="1:21" outlineLevel="2" x14ac:dyDescent="0.3">
      <c r="A141" s="91" t="s">
        <v>121</v>
      </c>
      <c r="B141" s="91" t="s">
        <v>101</v>
      </c>
      <c r="C141" s="91" t="str">
        <f>VLOOKUP(B141,Tables!G$2:H$79,2,FALSE)</f>
        <v>English</v>
      </c>
      <c r="D141" s="90" t="s">
        <v>98</v>
      </c>
      <c r="E141" s="89">
        <v>223</v>
      </c>
      <c r="F141" s="90" t="s">
        <v>15</v>
      </c>
      <c r="G141" s="55" t="str">
        <f>VLOOKUP(F141,Tables!D$2:E$12,2,FALSE)</f>
        <v>PTR</v>
      </c>
      <c r="H141" s="83">
        <v>17099514</v>
      </c>
      <c r="I141" s="85">
        <f t="shared" si="35"/>
        <v>1080</v>
      </c>
      <c r="J141" s="85">
        <f t="shared" si="36"/>
        <v>0</v>
      </c>
      <c r="K141" s="87">
        <f t="shared" si="37"/>
        <v>28.295999999999999</v>
      </c>
      <c r="L141" s="87">
        <f t="shared" si="38"/>
        <v>0</v>
      </c>
      <c r="M141" s="88">
        <f t="shared" si="39"/>
        <v>28.295999999999999</v>
      </c>
      <c r="N141" s="90" t="s">
        <v>134</v>
      </c>
      <c r="O141" s="90" t="s">
        <v>135</v>
      </c>
      <c r="P141" s="56">
        <f>IF(G141="MFP",Tables!B$2,Tables!B$5)</f>
        <v>2.6200000000000001E-2</v>
      </c>
      <c r="Q141" s="124">
        <f>IF(G141="MFP",Tables!B$3,Tables!B$6)</f>
        <v>0.11799999999999999</v>
      </c>
      <c r="R141" s="113">
        <f>VLOOKUP($N141,'Meter Read info'!$C$2:$G$249,2,"FALSE")</f>
        <v>3455</v>
      </c>
      <c r="S141" s="113">
        <f>VLOOKUP($N141,'Meter Read info'!$C$2:$G$249,3,"FALSE")</f>
        <v>4535</v>
      </c>
      <c r="T141" s="113">
        <f>VLOOKUP($N141,'Meter Read info'!$C$2:$G$249,4,"FALSE")</f>
        <v>0</v>
      </c>
      <c r="U141" s="113">
        <f>VLOOKUP($N141,'Meter Read info'!$C$2:$G$249,5,"FALSE")</f>
        <v>0</v>
      </c>
    </row>
    <row r="142" spans="1:21" outlineLevel="2" x14ac:dyDescent="0.3">
      <c r="A142" s="91" t="s">
        <v>121</v>
      </c>
      <c r="B142" s="91" t="s">
        <v>101</v>
      </c>
      <c r="C142" s="91" t="str">
        <f>VLOOKUP(B142,Tables!G$2:H$79,2,FALSE)</f>
        <v>English</v>
      </c>
      <c r="D142" s="90" t="s">
        <v>98</v>
      </c>
      <c r="E142" s="89">
        <v>224</v>
      </c>
      <c r="F142" s="90" t="s">
        <v>15</v>
      </c>
      <c r="G142" s="55" t="str">
        <f>VLOOKUP(F142,Tables!D$2:E$12,2,FALSE)</f>
        <v>PTR</v>
      </c>
      <c r="H142" s="83">
        <v>17099517</v>
      </c>
      <c r="I142" s="85">
        <f t="shared" si="35"/>
        <v>470</v>
      </c>
      <c r="J142" s="85">
        <f t="shared" si="36"/>
        <v>0</v>
      </c>
      <c r="K142" s="87">
        <f t="shared" si="37"/>
        <v>12.314</v>
      </c>
      <c r="L142" s="87">
        <f t="shared" si="38"/>
        <v>0</v>
      </c>
      <c r="M142" s="88">
        <f t="shared" si="39"/>
        <v>12.314</v>
      </c>
      <c r="N142" s="90" t="s">
        <v>809</v>
      </c>
      <c r="O142" s="90" t="s">
        <v>142</v>
      </c>
      <c r="P142" s="56">
        <f>IF(G142="MFP",Tables!B$2,Tables!B$5)</f>
        <v>2.6200000000000001E-2</v>
      </c>
      <c r="Q142" s="124">
        <f>IF(G142="MFP",Tables!B$3,Tables!B$6)</f>
        <v>0.11799999999999999</v>
      </c>
      <c r="R142" s="113">
        <f>VLOOKUP($N142,'Meter Read info'!$C$2:$G$249,2,"FALSE")</f>
        <v>1785</v>
      </c>
      <c r="S142" s="113">
        <f>VLOOKUP($N142,'Meter Read info'!$C$2:$G$249,3,"FALSE")</f>
        <v>2255</v>
      </c>
      <c r="T142" s="113">
        <f>VLOOKUP($N142,'Meter Read info'!$C$2:$G$249,4,"FALSE")</f>
        <v>0</v>
      </c>
      <c r="U142" s="113">
        <f>VLOOKUP($N142,'Meter Read info'!$C$2:$G$249,5,"FALSE")</f>
        <v>0</v>
      </c>
    </row>
    <row r="143" spans="1:21" outlineLevel="2" x14ac:dyDescent="0.3">
      <c r="A143" s="91" t="s">
        <v>121</v>
      </c>
      <c r="B143" s="91" t="s">
        <v>101</v>
      </c>
      <c r="C143" s="91" t="str">
        <f>VLOOKUP(B143,Tables!G$2:H$79,2,FALSE)</f>
        <v>English</v>
      </c>
      <c r="D143" s="90" t="s">
        <v>98</v>
      </c>
      <c r="E143" s="89">
        <v>226</v>
      </c>
      <c r="F143" s="90" t="s">
        <v>15</v>
      </c>
      <c r="G143" s="55" t="str">
        <f>VLOOKUP(F143,Tables!D$2:E$12,2,FALSE)</f>
        <v>PTR</v>
      </c>
      <c r="H143" s="83">
        <v>17099521</v>
      </c>
      <c r="I143" s="85">
        <f t="shared" si="35"/>
        <v>444</v>
      </c>
      <c r="J143" s="85">
        <f t="shared" si="36"/>
        <v>0</v>
      </c>
      <c r="K143" s="87">
        <f t="shared" si="37"/>
        <v>11.6328</v>
      </c>
      <c r="L143" s="87">
        <f t="shared" si="38"/>
        <v>0</v>
      </c>
      <c r="M143" s="88">
        <f t="shared" si="39"/>
        <v>11.6328</v>
      </c>
      <c r="N143" s="90" t="s">
        <v>126</v>
      </c>
      <c r="O143" s="90" t="s">
        <v>127</v>
      </c>
      <c r="P143" s="56">
        <f>IF(G143="MFP",Tables!B$2,Tables!B$5)</f>
        <v>2.6200000000000001E-2</v>
      </c>
      <c r="Q143" s="124">
        <f>IF(G143="MFP",Tables!B$3,Tables!B$6)</f>
        <v>0.11799999999999999</v>
      </c>
      <c r="R143" s="113">
        <f>VLOOKUP($N143,'Meter Read info'!$C$2:$G$249,2,"FALSE")</f>
        <v>1863</v>
      </c>
      <c r="S143" s="113">
        <f>VLOOKUP($N143,'Meter Read info'!$C$2:$G$249,3,"FALSE")</f>
        <v>2307</v>
      </c>
      <c r="T143" s="113">
        <f>VLOOKUP($N143,'Meter Read info'!$C$2:$G$249,4,"FALSE")</f>
        <v>0</v>
      </c>
      <c r="U143" s="113">
        <f>VLOOKUP($N143,'Meter Read info'!$C$2:$G$249,5,"FALSE")</f>
        <v>0</v>
      </c>
    </row>
    <row r="144" spans="1:21" outlineLevel="2" x14ac:dyDescent="0.3">
      <c r="A144" s="91" t="s">
        <v>121</v>
      </c>
      <c r="B144" s="91" t="s">
        <v>101</v>
      </c>
      <c r="C144" s="91" t="str">
        <f>VLOOKUP(B144,Tables!G$2:H$79,2,FALSE)</f>
        <v>English</v>
      </c>
      <c r="D144" s="90" t="s">
        <v>98</v>
      </c>
      <c r="E144" s="89">
        <v>227</v>
      </c>
      <c r="F144" s="90" t="s">
        <v>54</v>
      </c>
      <c r="G144" s="55" t="str">
        <f>VLOOKUP(F144,Tables!D$2:E$12,2,FALSE)</f>
        <v>MFP</v>
      </c>
      <c r="H144" s="83">
        <v>17099458</v>
      </c>
      <c r="I144" s="85">
        <f t="shared" si="35"/>
        <v>13452</v>
      </c>
      <c r="J144" s="85">
        <f t="shared" si="36"/>
        <v>576</v>
      </c>
      <c r="K144" s="87">
        <f t="shared" si="37"/>
        <v>278.45639999999997</v>
      </c>
      <c r="L144" s="87">
        <f t="shared" si="38"/>
        <v>50.111999999999995</v>
      </c>
      <c r="M144" s="88">
        <f t="shared" si="39"/>
        <v>328.5684</v>
      </c>
      <c r="N144" s="90" t="s">
        <v>122</v>
      </c>
      <c r="O144" s="90" t="s">
        <v>123</v>
      </c>
      <c r="P144" s="56">
        <f>IF(G144="MFP",Tables!B$2,Tables!B$5)</f>
        <v>2.07E-2</v>
      </c>
      <c r="Q144" s="124">
        <f>IF(G144="MFP",Tables!B$3,Tables!B$6)</f>
        <v>8.6999999999999994E-2</v>
      </c>
      <c r="R144" s="113">
        <f>VLOOKUP($N144,'Meter Read info'!$C$2:$G$249,2,"FALSE")</f>
        <v>75178</v>
      </c>
      <c r="S144" s="113">
        <f>VLOOKUP($N144,'Meter Read info'!$C$2:$G$249,3,"FALSE")</f>
        <v>88630</v>
      </c>
      <c r="T144" s="113">
        <f>VLOOKUP($N144,'Meter Read info'!$C$2:$G$249,4,"FALSE")</f>
        <v>4573</v>
      </c>
      <c r="U144" s="113">
        <f>VLOOKUP($N144,'Meter Read info'!$C$2:$G$249,5,"FALSE")</f>
        <v>5149</v>
      </c>
    </row>
    <row r="145" spans="1:21" outlineLevel="2" x14ac:dyDescent="0.3">
      <c r="A145" s="91" t="s">
        <v>121</v>
      </c>
      <c r="B145" s="91" t="s">
        <v>101</v>
      </c>
      <c r="C145" s="91" t="str">
        <f>VLOOKUP(B145,Tables!G$2:H$79,2,FALSE)</f>
        <v>English</v>
      </c>
      <c r="D145" s="90" t="s">
        <v>98</v>
      </c>
      <c r="E145" s="89">
        <v>231</v>
      </c>
      <c r="F145" s="90" t="s">
        <v>15</v>
      </c>
      <c r="G145" s="55" t="str">
        <f>VLOOKUP(F145,Tables!D$2:E$12,2,FALSE)</f>
        <v>PTR</v>
      </c>
      <c r="H145" s="83">
        <v>17099537</v>
      </c>
      <c r="I145" s="85">
        <f t="shared" si="35"/>
        <v>690</v>
      </c>
      <c r="J145" s="85">
        <f t="shared" si="36"/>
        <v>0</v>
      </c>
      <c r="K145" s="87">
        <f t="shared" si="37"/>
        <v>18.077999999999999</v>
      </c>
      <c r="L145" s="87">
        <f t="shared" si="38"/>
        <v>0</v>
      </c>
      <c r="M145" s="88">
        <f t="shared" si="39"/>
        <v>18.077999999999999</v>
      </c>
      <c r="N145" s="90" t="s">
        <v>130</v>
      </c>
      <c r="O145" s="90" t="s">
        <v>131</v>
      </c>
      <c r="P145" s="56">
        <f>IF(G145="MFP",Tables!B$2,Tables!B$5)</f>
        <v>2.6200000000000001E-2</v>
      </c>
      <c r="Q145" s="124">
        <f>IF(G145="MFP",Tables!B$3,Tables!B$6)</f>
        <v>0.11799999999999999</v>
      </c>
      <c r="R145" s="113">
        <f>VLOOKUP($N145,'Meter Read info'!$C$2:$G$249,2,"FALSE")</f>
        <v>2703</v>
      </c>
      <c r="S145" s="113">
        <f>VLOOKUP($N145,'Meter Read info'!$C$2:$G$249,3,"FALSE")</f>
        <v>3393</v>
      </c>
      <c r="T145" s="113">
        <f>VLOOKUP($N145,'Meter Read info'!$C$2:$G$249,4,"FALSE")</f>
        <v>0</v>
      </c>
      <c r="U145" s="113">
        <f>VLOOKUP($N145,'Meter Read info'!$C$2:$G$249,5,"FALSE")</f>
        <v>0</v>
      </c>
    </row>
    <row r="146" spans="1:21" outlineLevel="2" x14ac:dyDescent="0.3">
      <c r="A146" s="91" t="s">
        <v>121</v>
      </c>
      <c r="B146" s="91" t="s">
        <v>101</v>
      </c>
      <c r="C146" s="91" t="str">
        <f>VLOOKUP(B146,Tables!G$2:H$79,2,FALSE)</f>
        <v>English</v>
      </c>
      <c r="D146" s="90" t="s">
        <v>98</v>
      </c>
      <c r="E146" s="89">
        <v>232</v>
      </c>
      <c r="F146" s="90" t="s">
        <v>15</v>
      </c>
      <c r="G146" s="55" t="str">
        <f>VLOOKUP(F146,Tables!D$2:E$12,2,FALSE)</f>
        <v>PTR</v>
      </c>
      <c r="H146" s="83">
        <v>17099519</v>
      </c>
      <c r="I146" s="85">
        <f t="shared" si="35"/>
        <v>624</v>
      </c>
      <c r="J146" s="85">
        <f t="shared" si="36"/>
        <v>0</v>
      </c>
      <c r="K146" s="87">
        <f t="shared" si="37"/>
        <v>16.348800000000001</v>
      </c>
      <c r="L146" s="87">
        <f t="shared" si="38"/>
        <v>0</v>
      </c>
      <c r="M146" s="88">
        <f t="shared" si="39"/>
        <v>16.348800000000001</v>
      </c>
      <c r="N146" s="90" t="s">
        <v>124</v>
      </c>
      <c r="O146" s="90" t="s">
        <v>125</v>
      </c>
      <c r="P146" s="56">
        <f>IF(G146="MFP",Tables!B$2,Tables!B$5)</f>
        <v>2.6200000000000001E-2</v>
      </c>
      <c r="Q146" s="124">
        <f>IF(G146="MFP",Tables!B$3,Tables!B$6)</f>
        <v>0.11799999999999999</v>
      </c>
      <c r="R146" s="113">
        <f>VLOOKUP($N146,'Meter Read info'!$C$2:$G$249,2,"FALSE")</f>
        <v>1365</v>
      </c>
      <c r="S146" s="113">
        <f>VLOOKUP($N146,'Meter Read info'!$C$2:$G$249,3,"FALSE")</f>
        <v>1989</v>
      </c>
      <c r="T146" s="113">
        <f>VLOOKUP($N146,'Meter Read info'!$C$2:$G$249,4,"FALSE")</f>
        <v>0</v>
      </c>
      <c r="U146" s="113">
        <f>VLOOKUP($N146,'Meter Read info'!$C$2:$G$249,5,"FALSE")</f>
        <v>0</v>
      </c>
    </row>
    <row r="147" spans="1:21" outlineLevel="2" x14ac:dyDescent="0.3">
      <c r="A147" s="91" t="s">
        <v>121</v>
      </c>
      <c r="B147" s="91" t="s">
        <v>101</v>
      </c>
      <c r="C147" s="91" t="str">
        <f>VLOOKUP(B147,Tables!G$2:H$79,2,FALSE)</f>
        <v>English</v>
      </c>
      <c r="D147" s="90" t="s">
        <v>98</v>
      </c>
      <c r="E147" s="89">
        <v>236</v>
      </c>
      <c r="F147" s="90" t="s">
        <v>15</v>
      </c>
      <c r="G147" s="55" t="str">
        <f>VLOOKUP(F147,Tables!D$2:E$12,2,FALSE)</f>
        <v>PTR</v>
      </c>
      <c r="H147" s="83">
        <v>17099518</v>
      </c>
      <c r="I147" s="85">
        <f t="shared" si="35"/>
        <v>761</v>
      </c>
      <c r="J147" s="85">
        <f t="shared" si="36"/>
        <v>0</v>
      </c>
      <c r="K147" s="87">
        <f t="shared" si="37"/>
        <v>19.938200000000002</v>
      </c>
      <c r="L147" s="87">
        <f t="shared" si="38"/>
        <v>0</v>
      </c>
      <c r="M147" s="88">
        <f t="shared" si="39"/>
        <v>19.938200000000002</v>
      </c>
      <c r="N147" s="90" t="s">
        <v>132</v>
      </c>
      <c r="O147" s="90" t="s">
        <v>133</v>
      </c>
      <c r="P147" s="56">
        <f>IF(G147="MFP",Tables!B$2,Tables!B$5)</f>
        <v>2.6200000000000001E-2</v>
      </c>
      <c r="Q147" s="124">
        <f>IF(G147="MFP",Tables!B$3,Tables!B$6)</f>
        <v>0.11799999999999999</v>
      </c>
      <c r="R147" s="113">
        <f>VLOOKUP($N147,'Meter Read info'!$C$2:$G$249,2,"FALSE")</f>
        <v>1409</v>
      </c>
      <c r="S147" s="113">
        <f>VLOOKUP($N147,'Meter Read info'!$C$2:$G$249,3,"FALSE")</f>
        <v>2170</v>
      </c>
      <c r="T147" s="113">
        <f>VLOOKUP($N147,'Meter Read info'!$C$2:$G$249,4,"FALSE")</f>
        <v>0</v>
      </c>
      <c r="U147" s="113">
        <f>VLOOKUP($N147,'Meter Read info'!$C$2:$G$249,5,"FALSE")</f>
        <v>0</v>
      </c>
    </row>
    <row r="148" spans="1:21" outlineLevel="2" x14ac:dyDescent="0.3">
      <c r="A148" s="91" t="s">
        <v>121</v>
      </c>
      <c r="B148" s="91" t="s">
        <v>101</v>
      </c>
      <c r="C148" s="91" t="str">
        <f>VLOOKUP(B148,Tables!G$2:H$79,2,FALSE)</f>
        <v>English</v>
      </c>
      <c r="D148" s="90" t="s">
        <v>98</v>
      </c>
      <c r="E148" s="89">
        <v>323</v>
      </c>
      <c r="F148" s="90" t="s">
        <v>15</v>
      </c>
      <c r="G148" s="55" t="str">
        <f>VLOOKUP(F148,Tables!D$2:E$12,2,FALSE)</f>
        <v>PTR</v>
      </c>
      <c r="H148" s="83">
        <v>17099559</v>
      </c>
      <c r="I148" s="85">
        <f t="shared" si="35"/>
        <v>1549</v>
      </c>
      <c r="J148" s="85">
        <f t="shared" si="36"/>
        <v>0</v>
      </c>
      <c r="K148" s="87">
        <f t="shared" si="37"/>
        <v>40.583800000000004</v>
      </c>
      <c r="L148" s="87">
        <f t="shared" si="38"/>
        <v>0</v>
      </c>
      <c r="M148" s="88">
        <f t="shared" si="39"/>
        <v>40.583800000000004</v>
      </c>
      <c r="N148" s="90" t="s">
        <v>102</v>
      </c>
      <c r="O148" s="90" t="s">
        <v>103</v>
      </c>
      <c r="P148" s="56">
        <f>IF(G148="MFP",Tables!B$2,Tables!B$5)</f>
        <v>2.6200000000000001E-2</v>
      </c>
      <c r="Q148" s="124">
        <f>IF(G148="MFP",Tables!B$3,Tables!B$6)</f>
        <v>0.11799999999999999</v>
      </c>
      <c r="R148" s="113">
        <f>VLOOKUP($N148,'Meter Read info'!$C$2:$G$249,2,"FALSE")</f>
        <v>2902</v>
      </c>
      <c r="S148" s="113">
        <f>VLOOKUP($N148,'Meter Read info'!$C$2:$G$249,3,"FALSE")</f>
        <v>4451</v>
      </c>
      <c r="T148" s="113">
        <f>VLOOKUP($N148,'Meter Read info'!$C$2:$G$249,4,"FALSE")</f>
        <v>0</v>
      </c>
      <c r="U148" s="113">
        <f>VLOOKUP($N148,'Meter Read info'!$C$2:$G$249,5,"FALSE")</f>
        <v>0</v>
      </c>
    </row>
    <row r="149" spans="1:21" ht="31.2" outlineLevel="1" x14ac:dyDescent="0.3">
      <c r="A149" s="91"/>
      <c r="B149" s="107" t="s">
        <v>919</v>
      </c>
      <c r="C149" s="91"/>
      <c r="D149" s="90"/>
      <c r="E149" s="89"/>
      <c r="F149" s="90"/>
      <c r="G149" s="55"/>
      <c r="H149" s="83"/>
      <c r="I149" s="85"/>
      <c r="J149" s="85"/>
      <c r="K149" s="87"/>
      <c r="L149" s="87"/>
      <c r="M149" s="88">
        <f>SUBTOTAL(9,M137:M148)</f>
        <v>542.84640000000002</v>
      </c>
      <c r="N149" s="90"/>
      <c r="O149" s="90"/>
      <c r="P149" s="56"/>
      <c r="Q149" s="124"/>
      <c r="R149" s="113"/>
      <c r="S149" s="113"/>
      <c r="T149" s="113"/>
      <c r="U149" s="113"/>
    </row>
    <row r="150" spans="1:21" ht="30" outlineLevel="2" x14ac:dyDescent="0.3">
      <c r="A150" s="91" t="s">
        <v>350</v>
      </c>
      <c r="B150" s="91" t="s">
        <v>221</v>
      </c>
      <c r="C150" s="91" t="str">
        <f>VLOOKUP(B150,Tables!G$2:H$79,2,FALSE)</f>
        <v>Philosophy &amp; Psychology</v>
      </c>
      <c r="D150" s="90" t="s">
        <v>223</v>
      </c>
      <c r="E150" s="89">
        <v>302</v>
      </c>
      <c r="F150" s="90" t="s">
        <v>15</v>
      </c>
      <c r="G150" s="55" t="str">
        <f>VLOOKUP(F150,Tables!D$2:E$12,2,FALSE)</f>
        <v>PTR</v>
      </c>
      <c r="H150" s="83">
        <v>17099574</v>
      </c>
      <c r="I150" s="85">
        <f t="shared" ref="I150:I167" si="40">SUM(S150-R150)</f>
        <v>18</v>
      </c>
      <c r="J150" s="85">
        <f t="shared" ref="J150:J167" si="41">SUM(U150-T150)</f>
        <v>0</v>
      </c>
      <c r="K150" s="87">
        <f t="shared" ref="K150:K167" si="42">SUM(I150*$P150)</f>
        <v>0.47160000000000002</v>
      </c>
      <c r="L150" s="87">
        <f t="shared" ref="L150:L167" si="43">SUM(J150*$Q150)</f>
        <v>0</v>
      </c>
      <c r="M150" s="88">
        <f t="shared" ref="M150:M167" si="44">K150+L150</f>
        <v>0.47160000000000002</v>
      </c>
      <c r="N150" s="90" t="s">
        <v>362</v>
      </c>
      <c r="O150" s="90" t="s">
        <v>363</v>
      </c>
      <c r="P150" s="56">
        <f>IF(G150="MFP",Tables!B$2,Tables!B$5)</f>
        <v>2.6200000000000001E-2</v>
      </c>
      <c r="Q150" s="124">
        <f>IF(G150="MFP",Tables!B$3,Tables!B$6)</f>
        <v>0.11799999999999999</v>
      </c>
      <c r="R150" s="113">
        <f>VLOOKUP($N150,'Meter Read info'!$C$2:$G$249,2,"FALSE")</f>
        <v>4</v>
      </c>
      <c r="S150" s="113">
        <f>VLOOKUP($N150,'Meter Read info'!$C$2:$G$249,3,"FALSE")</f>
        <v>22</v>
      </c>
      <c r="T150" s="113">
        <f>VLOOKUP($N150,'Meter Read info'!$C$2:$G$249,4,"FALSE")</f>
        <v>0</v>
      </c>
      <c r="U150" s="113">
        <f>VLOOKUP($N150,'Meter Read info'!$C$2:$G$249,5,"FALSE")</f>
        <v>0</v>
      </c>
    </row>
    <row r="151" spans="1:21" ht="30" outlineLevel="2" x14ac:dyDescent="0.3">
      <c r="A151" s="91" t="s">
        <v>350</v>
      </c>
      <c r="B151" s="91" t="s">
        <v>221</v>
      </c>
      <c r="C151" s="91" t="str">
        <f>VLOOKUP(B151,Tables!G$2:H$79,2,FALSE)</f>
        <v>Philosophy &amp; Psychology</v>
      </c>
      <c r="D151" s="90" t="s">
        <v>223</v>
      </c>
      <c r="E151" s="89">
        <v>305</v>
      </c>
      <c r="F151" s="90" t="s">
        <v>15</v>
      </c>
      <c r="G151" s="55" t="str">
        <f>VLOOKUP(F151,Tables!D$2:E$12,2,FALSE)</f>
        <v>PTR</v>
      </c>
      <c r="H151" s="83">
        <v>17099578</v>
      </c>
      <c r="I151" s="85">
        <f t="shared" si="40"/>
        <v>1633</v>
      </c>
      <c r="J151" s="85">
        <f t="shared" si="41"/>
        <v>0</v>
      </c>
      <c r="K151" s="87">
        <f t="shared" si="42"/>
        <v>42.784600000000005</v>
      </c>
      <c r="L151" s="87">
        <f t="shared" si="43"/>
        <v>0</v>
      </c>
      <c r="M151" s="88">
        <f t="shared" si="44"/>
        <v>42.784600000000005</v>
      </c>
      <c r="N151" s="90" t="s">
        <v>351</v>
      </c>
      <c r="O151" s="90" t="s">
        <v>352</v>
      </c>
      <c r="P151" s="56">
        <f>IF(G151="MFP",Tables!B$2,Tables!B$5)</f>
        <v>2.6200000000000001E-2</v>
      </c>
      <c r="Q151" s="124">
        <f>IF(G151="MFP",Tables!B$3,Tables!B$6)</f>
        <v>0.11799999999999999</v>
      </c>
      <c r="R151" s="113">
        <f>VLOOKUP($N151,'Meter Read info'!$C$2:$G$249,2,"FALSE")</f>
        <v>3412</v>
      </c>
      <c r="S151" s="113">
        <f>VLOOKUP($N151,'Meter Read info'!$C$2:$G$249,3,"FALSE")</f>
        <v>5045</v>
      </c>
      <c r="T151" s="113">
        <f>VLOOKUP($N151,'Meter Read info'!$C$2:$G$249,4,"FALSE")</f>
        <v>0</v>
      </c>
      <c r="U151" s="113">
        <f>VLOOKUP($N151,'Meter Read info'!$C$2:$G$249,5,"FALSE")</f>
        <v>0</v>
      </c>
    </row>
    <row r="152" spans="1:21" ht="30" outlineLevel="2" x14ac:dyDescent="0.3">
      <c r="A152" s="91" t="s">
        <v>350</v>
      </c>
      <c r="B152" s="91" t="s">
        <v>221</v>
      </c>
      <c r="C152" s="91" t="str">
        <f>VLOOKUP(B152,Tables!G$2:H$79,2,FALSE)</f>
        <v>Philosophy &amp; Psychology</v>
      </c>
      <c r="D152" s="90" t="s">
        <v>223</v>
      </c>
      <c r="E152" s="89" t="s">
        <v>356</v>
      </c>
      <c r="F152" s="90" t="s">
        <v>15</v>
      </c>
      <c r="G152" s="55" t="str">
        <f>VLOOKUP(F152,Tables!D$2:E$12,2,FALSE)</f>
        <v>PTR</v>
      </c>
      <c r="H152" s="83">
        <v>17099575</v>
      </c>
      <c r="I152" s="85">
        <f t="shared" si="40"/>
        <v>253</v>
      </c>
      <c r="J152" s="85">
        <f t="shared" si="41"/>
        <v>0</v>
      </c>
      <c r="K152" s="87">
        <f t="shared" si="42"/>
        <v>6.6286000000000005</v>
      </c>
      <c r="L152" s="87">
        <f t="shared" si="43"/>
        <v>0</v>
      </c>
      <c r="M152" s="88">
        <f t="shared" si="44"/>
        <v>6.6286000000000005</v>
      </c>
      <c r="N152" s="90" t="s">
        <v>357</v>
      </c>
      <c r="O152" s="90" t="s">
        <v>358</v>
      </c>
      <c r="P152" s="56">
        <f>IF(G152="MFP",Tables!B$2,Tables!B$5)</f>
        <v>2.6200000000000001E-2</v>
      </c>
      <c r="Q152" s="124">
        <f>IF(G152="MFP",Tables!B$3,Tables!B$6)</f>
        <v>0.11799999999999999</v>
      </c>
      <c r="R152" s="113">
        <f>VLOOKUP($N152,'Meter Read info'!$C$2:$G$249,2,"FALSE")</f>
        <v>200</v>
      </c>
      <c r="S152" s="113">
        <f>VLOOKUP($N152,'Meter Read info'!$C$2:$G$249,3,"FALSE")</f>
        <v>453</v>
      </c>
      <c r="T152" s="113">
        <f>VLOOKUP($N152,'Meter Read info'!$C$2:$G$249,4,"FALSE")</f>
        <v>0</v>
      </c>
      <c r="U152" s="113">
        <f>VLOOKUP($N152,'Meter Read info'!$C$2:$G$249,5,"FALSE")</f>
        <v>0</v>
      </c>
    </row>
    <row r="153" spans="1:21" ht="30" outlineLevel="2" x14ac:dyDescent="0.3">
      <c r="A153" s="91" t="s">
        <v>350</v>
      </c>
      <c r="B153" s="91" t="s">
        <v>221</v>
      </c>
      <c r="C153" s="91" t="str">
        <f>VLOOKUP(B153,Tables!G$2:H$79,2,FALSE)</f>
        <v>Philosophy &amp; Psychology</v>
      </c>
      <c r="D153" s="90" t="s">
        <v>223</v>
      </c>
      <c r="E153" s="89" t="s">
        <v>359</v>
      </c>
      <c r="F153" s="90" t="s">
        <v>15</v>
      </c>
      <c r="G153" s="55" t="str">
        <f>VLOOKUP(F153,Tables!D$2:E$12,2,FALSE)</f>
        <v>PTR</v>
      </c>
      <c r="H153" s="83">
        <v>17099572</v>
      </c>
      <c r="I153" s="85">
        <f t="shared" si="40"/>
        <v>1273</v>
      </c>
      <c r="J153" s="85">
        <f t="shared" si="41"/>
        <v>0</v>
      </c>
      <c r="K153" s="87">
        <f t="shared" si="42"/>
        <v>33.352600000000002</v>
      </c>
      <c r="L153" s="87">
        <f t="shared" si="43"/>
        <v>0</v>
      </c>
      <c r="M153" s="88">
        <f t="shared" si="44"/>
        <v>33.352600000000002</v>
      </c>
      <c r="N153" s="90" t="s">
        <v>360</v>
      </c>
      <c r="O153" s="90" t="s">
        <v>361</v>
      </c>
      <c r="P153" s="56">
        <f>IF(G153="MFP",Tables!B$2,Tables!B$5)</f>
        <v>2.6200000000000001E-2</v>
      </c>
      <c r="Q153" s="124">
        <f>IF(G153="MFP",Tables!B$3,Tables!B$6)</f>
        <v>0.11799999999999999</v>
      </c>
      <c r="R153" s="113">
        <f>VLOOKUP($N153,'Meter Read info'!$C$2:$G$249,2,"FALSE")</f>
        <v>5058</v>
      </c>
      <c r="S153" s="113">
        <f>VLOOKUP($N153,'Meter Read info'!$C$2:$G$249,3,"FALSE")</f>
        <v>6331</v>
      </c>
      <c r="T153" s="113">
        <f>VLOOKUP($N153,'Meter Read info'!$C$2:$G$249,4,"FALSE")</f>
        <v>0</v>
      </c>
      <c r="U153" s="113">
        <f>VLOOKUP($N153,'Meter Read info'!$C$2:$G$249,5,"FALSE")</f>
        <v>0</v>
      </c>
    </row>
    <row r="154" spans="1:21" ht="30" outlineLevel="2" x14ac:dyDescent="0.3">
      <c r="A154" s="91" t="s">
        <v>350</v>
      </c>
      <c r="B154" s="91" t="s">
        <v>221</v>
      </c>
      <c r="C154" s="91" t="str">
        <f>VLOOKUP(B154,Tables!G$2:H$79,2,FALSE)</f>
        <v>Philosophy &amp; Psychology</v>
      </c>
      <c r="D154" s="90" t="s">
        <v>223</v>
      </c>
      <c r="E154" s="89" t="s">
        <v>353</v>
      </c>
      <c r="F154" s="90" t="s">
        <v>15</v>
      </c>
      <c r="G154" s="55" t="str">
        <f>VLOOKUP(F154,Tables!D$2:E$12,2,FALSE)</f>
        <v>PTR</v>
      </c>
      <c r="H154" s="83">
        <v>17099573</v>
      </c>
      <c r="I154" s="85">
        <f t="shared" si="40"/>
        <v>985</v>
      </c>
      <c r="J154" s="85">
        <f t="shared" si="41"/>
        <v>0</v>
      </c>
      <c r="K154" s="87">
        <f t="shared" si="42"/>
        <v>25.807000000000002</v>
      </c>
      <c r="L154" s="87">
        <f t="shared" si="43"/>
        <v>0</v>
      </c>
      <c r="M154" s="88">
        <f t="shared" si="44"/>
        <v>25.807000000000002</v>
      </c>
      <c r="N154" s="90" t="s">
        <v>354</v>
      </c>
      <c r="O154" s="90" t="s">
        <v>355</v>
      </c>
      <c r="P154" s="56">
        <f>IF(G154="MFP",Tables!B$2,Tables!B$5)</f>
        <v>2.6200000000000001E-2</v>
      </c>
      <c r="Q154" s="124">
        <f>IF(G154="MFP",Tables!B$3,Tables!B$6)</f>
        <v>0.11799999999999999</v>
      </c>
      <c r="R154" s="113">
        <f>VLOOKUP($N154,'Meter Read info'!$C$2:$G$249,2,"FALSE")</f>
        <v>2116</v>
      </c>
      <c r="S154" s="113">
        <f>VLOOKUP($N154,'Meter Read info'!$C$2:$G$249,3,"FALSE")</f>
        <v>3101</v>
      </c>
      <c r="T154" s="113">
        <f>VLOOKUP($N154,'Meter Read info'!$C$2:$G$249,4,"FALSE")</f>
        <v>0</v>
      </c>
      <c r="U154" s="113">
        <f>VLOOKUP($N154,'Meter Read info'!$C$2:$G$249,5,"FALSE")</f>
        <v>0</v>
      </c>
    </row>
    <row r="155" spans="1:21" ht="31.2" outlineLevel="1" x14ac:dyDescent="0.3">
      <c r="A155" s="91"/>
      <c r="B155" s="107" t="s">
        <v>920</v>
      </c>
      <c r="C155" s="91"/>
      <c r="D155" s="90"/>
      <c r="E155" s="89"/>
      <c r="F155" s="90"/>
      <c r="G155" s="55"/>
      <c r="H155" s="83"/>
      <c r="I155" s="85"/>
      <c r="J155" s="85"/>
      <c r="K155" s="87"/>
      <c r="L155" s="87"/>
      <c r="M155" s="88">
        <f>SUBTOTAL(9,M150:M154)</f>
        <v>109.04440000000001</v>
      </c>
      <c r="N155" s="90"/>
      <c r="O155" s="90"/>
      <c r="P155" s="56"/>
      <c r="Q155" s="124"/>
      <c r="R155" s="113"/>
      <c r="S155" s="113"/>
      <c r="T155" s="113"/>
      <c r="U155" s="113"/>
    </row>
    <row r="156" spans="1:21" ht="30" outlineLevel="2" x14ac:dyDescent="0.3">
      <c r="A156" s="91" t="s">
        <v>612</v>
      </c>
      <c r="B156" s="91" t="s">
        <v>607</v>
      </c>
      <c r="C156" s="91" t="str">
        <f>VLOOKUP(B156,Tables!G$2:H$79,2,FALSE)</f>
        <v>Football</v>
      </c>
      <c r="D156" s="90" t="s">
        <v>609</v>
      </c>
      <c r="E156" s="89">
        <v>307</v>
      </c>
      <c r="F156" s="90" t="s">
        <v>15</v>
      </c>
      <c r="G156" s="55" t="str">
        <f>VLOOKUP(F156,Tables!D$2:E$12,2,FALSE)</f>
        <v>PTR</v>
      </c>
      <c r="H156" s="83">
        <v>17099623</v>
      </c>
      <c r="I156" s="85">
        <f t="shared" si="40"/>
        <v>78</v>
      </c>
      <c r="J156" s="85">
        <f t="shared" si="41"/>
        <v>0</v>
      </c>
      <c r="K156" s="87">
        <f t="shared" si="42"/>
        <v>2.0436000000000001</v>
      </c>
      <c r="L156" s="87">
        <f t="shared" si="43"/>
        <v>0</v>
      </c>
      <c r="M156" s="88">
        <f t="shared" si="44"/>
        <v>2.0436000000000001</v>
      </c>
      <c r="N156" s="90" t="s">
        <v>613</v>
      </c>
      <c r="O156" s="90" t="s">
        <v>614</v>
      </c>
      <c r="P156" s="56">
        <f>IF(G156="MFP",Tables!B$2,Tables!B$5)</f>
        <v>2.6200000000000001E-2</v>
      </c>
      <c r="Q156" s="124">
        <f>IF(G156="MFP",Tables!B$3,Tables!B$6)</f>
        <v>0.11799999999999999</v>
      </c>
      <c r="R156" s="113">
        <f>VLOOKUP($N156,'Meter Read info'!$C$2:$G$249,2,"FALSE")</f>
        <v>266</v>
      </c>
      <c r="S156" s="113">
        <f>VLOOKUP($N156,'Meter Read info'!$C$2:$G$249,3,"FALSE")</f>
        <v>344</v>
      </c>
      <c r="T156" s="113">
        <f>VLOOKUP($N156,'Meter Read info'!$C$2:$G$249,4,"FALSE")</f>
        <v>0</v>
      </c>
      <c r="U156" s="113">
        <f>VLOOKUP($N156,'Meter Read info'!$C$2:$G$249,5,"FALSE")</f>
        <v>0</v>
      </c>
    </row>
    <row r="157" spans="1:21" ht="30" outlineLevel="2" x14ac:dyDescent="0.3">
      <c r="A157" s="91" t="s">
        <v>606</v>
      </c>
      <c r="B157" s="91" t="s">
        <v>607</v>
      </c>
      <c r="C157" s="91" t="str">
        <f>VLOOKUP(B157,Tables!G$2:H$79,2,FALSE)</f>
        <v>Football</v>
      </c>
      <c r="D157" s="90" t="s">
        <v>609</v>
      </c>
      <c r="E157" s="89">
        <v>312</v>
      </c>
      <c r="F157" s="90" t="s">
        <v>24</v>
      </c>
      <c r="G157" s="55" t="str">
        <f>VLOOKUP(F157,Tables!D$2:E$12,2,FALSE)</f>
        <v>MFP</v>
      </c>
      <c r="H157" s="83">
        <v>17099481</v>
      </c>
      <c r="I157" s="85">
        <f t="shared" si="40"/>
        <v>9741</v>
      </c>
      <c r="J157" s="85">
        <f t="shared" si="41"/>
        <v>1749</v>
      </c>
      <c r="K157" s="87">
        <f t="shared" si="42"/>
        <v>201.6387</v>
      </c>
      <c r="L157" s="87">
        <f t="shared" si="43"/>
        <v>152.16299999999998</v>
      </c>
      <c r="M157" s="88">
        <f t="shared" si="44"/>
        <v>353.80169999999998</v>
      </c>
      <c r="N157" s="90" t="s">
        <v>610</v>
      </c>
      <c r="O157" s="90" t="s">
        <v>611</v>
      </c>
      <c r="P157" s="56">
        <f>IF(G157="MFP",Tables!B$2,Tables!B$5)</f>
        <v>2.07E-2</v>
      </c>
      <c r="Q157" s="124">
        <f>IF(G157="MFP",Tables!B$3,Tables!B$6)</f>
        <v>8.6999999999999994E-2</v>
      </c>
      <c r="R157" s="113">
        <f>VLOOKUP($N157,'Meter Read info'!$C$2:$G$249,2,"FALSE")</f>
        <v>36921</v>
      </c>
      <c r="S157" s="113">
        <f>VLOOKUP($N157,'Meter Read info'!$C$2:$G$249,3,"FALSE")</f>
        <v>46662</v>
      </c>
      <c r="T157" s="113">
        <f>VLOOKUP($N157,'Meter Read info'!$C$2:$G$249,4,"FALSE")</f>
        <v>7990</v>
      </c>
      <c r="U157" s="113">
        <f>VLOOKUP($N157,'Meter Read info'!$C$2:$G$249,5,"FALSE")</f>
        <v>9739</v>
      </c>
    </row>
    <row r="158" spans="1:21" ht="31.2" outlineLevel="1" x14ac:dyDescent="0.3">
      <c r="A158" s="91"/>
      <c r="B158" s="107" t="s">
        <v>921</v>
      </c>
      <c r="C158" s="91"/>
      <c r="D158" s="90"/>
      <c r="E158" s="89"/>
      <c r="F158" s="90"/>
      <c r="G158" s="55"/>
      <c r="H158" s="83"/>
      <c r="I158" s="85"/>
      <c r="J158" s="85"/>
      <c r="K158" s="87"/>
      <c r="L158" s="87"/>
      <c r="M158" s="88">
        <f>SUBTOTAL(9,M156:M157)</f>
        <v>355.84530000000001</v>
      </c>
      <c r="N158" s="90"/>
      <c r="O158" s="90"/>
      <c r="P158" s="56"/>
      <c r="Q158" s="124"/>
      <c r="R158" s="113"/>
      <c r="S158" s="113"/>
      <c r="T158" s="113"/>
      <c r="U158" s="113"/>
    </row>
    <row r="159" spans="1:21" ht="30" outlineLevel="2" x14ac:dyDescent="0.3">
      <c r="A159" s="91" t="s">
        <v>538</v>
      </c>
      <c r="B159" s="91" t="s">
        <v>530</v>
      </c>
      <c r="C159" s="91" t="str">
        <f>VLOOKUP(B159,Tables!G$2:H$79,2,FALSE)</f>
        <v>UMA-Commandant's Office</v>
      </c>
      <c r="D159" s="90" t="s">
        <v>422</v>
      </c>
      <c r="E159" s="89">
        <v>123</v>
      </c>
      <c r="F159" s="90" t="s">
        <v>15</v>
      </c>
      <c r="G159" s="55" t="str">
        <f>VLOOKUP(F159,Tables!D$2:E$12,2,FALSE)</f>
        <v>PTR</v>
      </c>
      <c r="H159" s="83">
        <v>17099783</v>
      </c>
      <c r="I159" s="85">
        <f t="shared" si="40"/>
        <v>910</v>
      </c>
      <c r="J159" s="85">
        <f t="shared" si="41"/>
        <v>0</v>
      </c>
      <c r="K159" s="87">
        <f t="shared" si="42"/>
        <v>23.842000000000002</v>
      </c>
      <c r="L159" s="87">
        <f t="shared" si="43"/>
        <v>0</v>
      </c>
      <c r="M159" s="88">
        <f t="shared" si="44"/>
        <v>23.842000000000002</v>
      </c>
      <c r="N159" s="90" t="s">
        <v>539</v>
      </c>
      <c r="O159" s="90" t="s">
        <v>540</v>
      </c>
      <c r="P159" s="56">
        <f>IF(G159="MFP",Tables!B$2,Tables!B$5)</f>
        <v>2.6200000000000001E-2</v>
      </c>
      <c r="Q159" s="124">
        <f>IF(G159="MFP",Tables!B$3,Tables!B$6)</f>
        <v>0.11799999999999999</v>
      </c>
      <c r="R159" s="113">
        <f>VLOOKUP($N159,'Meter Read info'!$C$2:$G$249,2,"FALSE")</f>
        <v>5029</v>
      </c>
      <c r="S159" s="113">
        <f>VLOOKUP($N159,'Meter Read info'!$C$2:$G$249,3,"FALSE")</f>
        <v>5939</v>
      </c>
      <c r="T159" s="113">
        <f>VLOOKUP($N159,'Meter Read info'!$C$2:$G$249,4,"FALSE")</f>
        <v>0</v>
      </c>
      <c r="U159" s="113">
        <f>VLOOKUP($N159,'Meter Read info'!$C$2:$G$249,5,"FALSE")</f>
        <v>0</v>
      </c>
    </row>
    <row r="160" spans="1:21" ht="31.2" outlineLevel="1" x14ac:dyDescent="0.3">
      <c r="A160" s="91"/>
      <c r="B160" s="107" t="s">
        <v>912</v>
      </c>
      <c r="C160" s="91"/>
      <c r="D160" s="90"/>
      <c r="E160" s="89"/>
      <c r="F160" s="90"/>
      <c r="G160" s="55"/>
      <c r="H160" s="83"/>
      <c r="I160" s="85"/>
      <c r="J160" s="85"/>
      <c r="K160" s="87"/>
      <c r="L160" s="87"/>
      <c r="M160" s="88">
        <f>SUBTOTAL(9,M159:M159)</f>
        <v>23.842000000000002</v>
      </c>
      <c r="N160" s="90"/>
      <c r="O160" s="90"/>
      <c r="P160" s="56"/>
      <c r="Q160" s="124"/>
      <c r="R160" s="113"/>
      <c r="S160" s="113"/>
      <c r="T160" s="113"/>
      <c r="U160" s="113"/>
    </row>
    <row r="161" spans="1:21" outlineLevel="2" x14ac:dyDescent="0.3">
      <c r="A161" s="91" t="s">
        <v>143</v>
      </c>
      <c r="B161" s="91" t="s">
        <v>144</v>
      </c>
      <c r="C161" s="91" t="str">
        <f>VLOOKUP(B161,Tables!G$2:H$79,2,FALSE)</f>
        <v>History</v>
      </c>
      <c r="D161" s="90" t="s">
        <v>98</v>
      </c>
      <c r="E161" s="89">
        <v>521</v>
      </c>
      <c r="F161" s="90" t="s">
        <v>15</v>
      </c>
      <c r="G161" s="55" t="str">
        <f>VLOOKUP(F161,Tables!D$2:E$12,2,FALSE)</f>
        <v>PTR</v>
      </c>
      <c r="H161" s="83">
        <v>17099544</v>
      </c>
      <c r="I161" s="85">
        <f t="shared" si="40"/>
        <v>145</v>
      </c>
      <c r="J161" s="85">
        <f t="shared" si="41"/>
        <v>0</v>
      </c>
      <c r="K161" s="87">
        <f t="shared" si="42"/>
        <v>3.7990000000000004</v>
      </c>
      <c r="L161" s="87">
        <f t="shared" si="43"/>
        <v>0</v>
      </c>
      <c r="M161" s="88">
        <f t="shared" si="44"/>
        <v>3.7990000000000004</v>
      </c>
      <c r="N161" s="90" t="s">
        <v>147</v>
      </c>
      <c r="O161" s="90" t="s">
        <v>148</v>
      </c>
      <c r="P161" s="56">
        <f>IF(G161="MFP",Tables!B$2,Tables!B$5)</f>
        <v>2.6200000000000001E-2</v>
      </c>
      <c r="Q161" s="124">
        <f>IF(G161="MFP",Tables!B$3,Tables!B$6)</f>
        <v>0.11799999999999999</v>
      </c>
      <c r="R161" s="113">
        <f>VLOOKUP($N161,'Meter Read info'!$C$2:$G$249,2,"FALSE")</f>
        <v>556</v>
      </c>
      <c r="S161" s="113">
        <f>VLOOKUP($N161,'Meter Read info'!$C$2:$G$249,3,"FALSE")</f>
        <v>701</v>
      </c>
      <c r="T161" s="113">
        <f>VLOOKUP($N161,'Meter Read info'!$C$2:$G$249,4,"FALSE")</f>
        <v>0</v>
      </c>
      <c r="U161" s="113">
        <f>VLOOKUP($N161,'Meter Read info'!$C$2:$G$249,5,"FALSE")</f>
        <v>0</v>
      </c>
    </row>
    <row r="162" spans="1:21" outlineLevel="2" x14ac:dyDescent="0.3">
      <c r="A162" s="91" t="s">
        <v>143</v>
      </c>
      <c r="B162" s="91" t="s">
        <v>144</v>
      </c>
      <c r="C162" s="91" t="str">
        <f>VLOOKUP(B162,Tables!G$2:H$79,2,FALSE)</f>
        <v>History</v>
      </c>
      <c r="D162" s="90" t="s">
        <v>98</v>
      </c>
      <c r="E162" s="89">
        <v>523</v>
      </c>
      <c r="F162" s="90" t="s">
        <v>15</v>
      </c>
      <c r="G162" s="55" t="str">
        <f>VLOOKUP(F162,Tables!D$2:E$12,2,FALSE)</f>
        <v>PTR</v>
      </c>
      <c r="H162" s="83">
        <v>17099543</v>
      </c>
      <c r="I162" s="85">
        <f t="shared" si="40"/>
        <v>242</v>
      </c>
      <c r="J162" s="85">
        <f t="shared" si="41"/>
        <v>0</v>
      </c>
      <c r="K162" s="87">
        <f t="shared" si="42"/>
        <v>6.3404000000000007</v>
      </c>
      <c r="L162" s="87">
        <f t="shared" si="43"/>
        <v>0</v>
      </c>
      <c r="M162" s="88">
        <f t="shared" si="44"/>
        <v>6.3404000000000007</v>
      </c>
      <c r="N162" s="90" t="s">
        <v>149</v>
      </c>
      <c r="O162" s="90" t="s">
        <v>150</v>
      </c>
      <c r="P162" s="56">
        <f>IF(G162="MFP",Tables!B$2,Tables!B$5)</f>
        <v>2.6200000000000001E-2</v>
      </c>
      <c r="Q162" s="124">
        <f>IF(G162="MFP",Tables!B$3,Tables!B$6)</f>
        <v>0.11799999999999999</v>
      </c>
      <c r="R162" s="113">
        <f>VLOOKUP($N162,'Meter Read info'!$C$2:$G$249,2,"FALSE")</f>
        <v>1446</v>
      </c>
      <c r="S162" s="113">
        <f>VLOOKUP($N162,'Meter Read info'!$C$2:$G$249,3,"FALSE")</f>
        <v>1688</v>
      </c>
      <c r="T162" s="113">
        <f>VLOOKUP($N162,'Meter Read info'!$C$2:$G$249,4,"FALSE")</f>
        <v>0</v>
      </c>
      <c r="U162" s="113">
        <f>VLOOKUP($N162,'Meter Read info'!$C$2:$G$249,5,"FALSE")</f>
        <v>0</v>
      </c>
    </row>
    <row r="163" spans="1:21" outlineLevel="2" x14ac:dyDescent="0.3">
      <c r="A163" s="91" t="s">
        <v>143</v>
      </c>
      <c r="B163" s="91" t="s">
        <v>144</v>
      </c>
      <c r="C163" s="91" t="str">
        <f>VLOOKUP(B163,Tables!G$2:H$79,2,FALSE)</f>
        <v>History</v>
      </c>
      <c r="D163" s="90" t="s">
        <v>98</v>
      </c>
      <c r="E163" s="89">
        <v>528</v>
      </c>
      <c r="F163" s="90" t="s">
        <v>54</v>
      </c>
      <c r="G163" s="55" t="str">
        <f>VLOOKUP(F163,Tables!D$2:E$12,2,FALSE)</f>
        <v>MFP</v>
      </c>
      <c r="H163" s="83">
        <v>17099485</v>
      </c>
      <c r="I163" s="85">
        <f t="shared" si="40"/>
        <v>3978</v>
      </c>
      <c r="J163" s="85">
        <f t="shared" si="41"/>
        <v>10</v>
      </c>
      <c r="K163" s="87">
        <f t="shared" si="42"/>
        <v>82.3446</v>
      </c>
      <c r="L163" s="87">
        <f t="shared" si="43"/>
        <v>0.86999999999999988</v>
      </c>
      <c r="M163" s="88">
        <f t="shared" si="44"/>
        <v>83.214600000000004</v>
      </c>
      <c r="N163" s="90" t="s">
        <v>145</v>
      </c>
      <c r="O163" s="90" t="s">
        <v>146</v>
      </c>
      <c r="P163" s="56">
        <f>IF(G163="MFP",Tables!B$2,Tables!B$5)</f>
        <v>2.07E-2</v>
      </c>
      <c r="Q163" s="124">
        <f>IF(G163="MFP",Tables!B$3,Tables!B$6)</f>
        <v>8.6999999999999994E-2</v>
      </c>
      <c r="R163" s="113">
        <f>VLOOKUP($N163,'Meter Read info'!$C$2:$G$249,2,"FALSE")</f>
        <v>18405</v>
      </c>
      <c r="S163" s="113">
        <f>VLOOKUP($N163,'Meter Read info'!$C$2:$G$249,3,"FALSE")</f>
        <v>22383</v>
      </c>
      <c r="T163" s="113">
        <f>VLOOKUP($N163,'Meter Read info'!$C$2:$G$249,4,"FALSE")</f>
        <v>626</v>
      </c>
      <c r="U163" s="113">
        <f>VLOOKUP($N163,'Meter Read info'!$C$2:$G$249,5,"FALSE")</f>
        <v>636</v>
      </c>
    </row>
    <row r="164" spans="1:21" outlineLevel="2" x14ac:dyDescent="0.3">
      <c r="A164" s="91" t="s">
        <v>143</v>
      </c>
      <c r="B164" s="91" t="s">
        <v>144</v>
      </c>
      <c r="C164" s="91" t="str">
        <f>VLOOKUP(B164,Tables!G$2:H$79,2,FALSE)</f>
        <v>History</v>
      </c>
      <c r="D164" s="90" t="s">
        <v>98</v>
      </c>
      <c r="E164" s="89">
        <v>532</v>
      </c>
      <c r="F164" s="90" t="s">
        <v>15</v>
      </c>
      <c r="G164" s="55" t="str">
        <f>VLOOKUP(F164,Tables!D$2:E$12,2,FALSE)</f>
        <v>PTR</v>
      </c>
      <c r="H164" s="83">
        <v>17099545</v>
      </c>
      <c r="I164" s="85">
        <f t="shared" si="40"/>
        <v>45</v>
      </c>
      <c r="J164" s="85">
        <f t="shared" si="41"/>
        <v>0</v>
      </c>
      <c r="K164" s="87">
        <f t="shared" si="42"/>
        <v>1.179</v>
      </c>
      <c r="L164" s="87">
        <f t="shared" si="43"/>
        <v>0</v>
      </c>
      <c r="M164" s="88">
        <f t="shared" si="44"/>
        <v>1.179</v>
      </c>
      <c r="N164" s="90" t="s">
        <v>153</v>
      </c>
      <c r="O164" s="90" t="s">
        <v>154</v>
      </c>
      <c r="P164" s="56">
        <f>IF(G164="MFP",Tables!B$2,Tables!B$5)</f>
        <v>2.6200000000000001E-2</v>
      </c>
      <c r="Q164" s="124">
        <f>IF(G164="MFP",Tables!B$3,Tables!B$6)</f>
        <v>0.11799999999999999</v>
      </c>
      <c r="R164" s="113">
        <f>VLOOKUP($N164,'Meter Read info'!$C$2:$G$249,2,"FALSE")</f>
        <v>138</v>
      </c>
      <c r="S164" s="113">
        <f>VLOOKUP($N164,'Meter Read info'!$C$2:$G$249,3,"FALSE")</f>
        <v>183</v>
      </c>
      <c r="T164" s="113">
        <f>VLOOKUP($N164,'Meter Read info'!$C$2:$G$249,4,"FALSE")</f>
        <v>0</v>
      </c>
      <c r="U164" s="113">
        <f>VLOOKUP($N164,'Meter Read info'!$C$2:$G$249,5,"FALSE")</f>
        <v>0</v>
      </c>
    </row>
    <row r="165" spans="1:21" outlineLevel="2" x14ac:dyDescent="0.3">
      <c r="A165" s="91" t="s">
        <v>143</v>
      </c>
      <c r="B165" s="91" t="s">
        <v>144</v>
      </c>
      <c r="C165" s="91" t="str">
        <f>VLOOKUP(B165,Tables!G$2:H$79,2,FALSE)</f>
        <v>History</v>
      </c>
      <c r="D165" s="90" t="s">
        <v>98</v>
      </c>
      <c r="E165" s="89">
        <v>536</v>
      </c>
      <c r="F165" s="90" t="s">
        <v>15</v>
      </c>
      <c r="G165" s="55" t="str">
        <f>VLOOKUP(F165,Tables!D$2:E$12,2,FALSE)</f>
        <v>PTR</v>
      </c>
      <c r="H165" s="83">
        <v>17099546</v>
      </c>
      <c r="I165" s="85">
        <f t="shared" si="40"/>
        <v>679</v>
      </c>
      <c r="J165" s="85">
        <f t="shared" si="41"/>
        <v>0</v>
      </c>
      <c r="K165" s="87">
        <f t="shared" si="42"/>
        <v>17.7898</v>
      </c>
      <c r="L165" s="87">
        <f t="shared" si="43"/>
        <v>0</v>
      </c>
      <c r="M165" s="88">
        <f t="shared" si="44"/>
        <v>17.7898</v>
      </c>
      <c r="N165" s="90" t="s">
        <v>151</v>
      </c>
      <c r="O165" s="90" t="s">
        <v>152</v>
      </c>
      <c r="P165" s="56">
        <f>IF(G165="MFP",Tables!B$2,Tables!B$5)</f>
        <v>2.6200000000000001E-2</v>
      </c>
      <c r="Q165" s="124">
        <f>IF(G165="MFP",Tables!B$3,Tables!B$6)</f>
        <v>0.11799999999999999</v>
      </c>
      <c r="R165" s="113">
        <f>VLOOKUP($N165,'Meter Read info'!$C$2:$G$249,2,"FALSE")</f>
        <v>4341</v>
      </c>
      <c r="S165" s="113">
        <f>VLOOKUP($N165,'Meter Read info'!$C$2:$G$249,3,"FALSE")</f>
        <v>5020</v>
      </c>
      <c r="T165" s="113">
        <f>VLOOKUP($N165,'Meter Read info'!$C$2:$G$249,4,"FALSE")</f>
        <v>0</v>
      </c>
      <c r="U165" s="113">
        <f>VLOOKUP($N165,'Meter Read info'!$C$2:$G$249,5,"FALSE")</f>
        <v>0</v>
      </c>
    </row>
    <row r="166" spans="1:21" ht="31.2" outlineLevel="1" x14ac:dyDescent="0.3">
      <c r="A166" s="91"/>
      <c r="B166" s="107" t="s">
        <v>922</v>
      </c>
      <c r="C166" s="91"/>
      <c r="D166" s="90"/>
      <c r="E166" s="89"/>
      <c r="F166" s="90"/>
      <c r="G166" s="55"/>
      <c r="H166" s="83"/>
      <c r="I166" s="85"/>
      <c r="J166" s="85"/>
      <c r="K166" s="87"/>
      <c r="L166" s="87"/>
      <c r="M166" s="88">
        <f>SUBTOTAL(9,M161:M165)</f>
        <v>112.32280000000002</v>
      </c>
      <c r="N166" s="90"/>
      <c r="O166" s="90"/>
      <c r="P166" s="56"/>
      <c r="Q166" s="124"/>
      <c r="R166" s="113"/>
      <c r="S166" s="113"/>
      <c r="T166" s="113"/>
      <c r="U166" s="113"/>
    </row>
    <row r="167" spans="1:21" outlineLevel="2" x14ac:dyDescent="0.3">
      <c r="A167" s="91" t="s">
        <v>748</v>
      </c>
      <c r="B167" s="91" t="s">
        <v>749</v>
      </c>
      <c r="C167" s="91" t="str">
        <f>VLOOKUP(B167,Tables!G$2:H$79,2,FALSE)</f>
        <v>Honor Court</v>
      </c>
      <c r="D167" s="90" t="s">
        <v>338</v>
      </c>
      <c r="E167" s="89">
        <v>411</v>
      </c>
      <c r="F167" s="90" t="s">
        <v>159</v>
      </c>
      <c r="G167" s="55" t="str">
        <f>VLOOKUP(F167,Tables!D$2:E$12,2,FALSE)</f>
        <v>MFP</v>
      </c>
      <c r="H167" s="83">
        <v>17099433</v>
      </c>
      <c r="I167" s="85">
        <f t="shared" si="40"/>
        <v>6366</v>
      </c>
      <c r="J167" s="85">
        <f t="shared" si="41"/>
        <v>0</v>
      </c>
      <c r="K167" s="87">
        <f t="shared" si="42"/>
        <v>131.77619999999999</v>
      </c>
      <c r="L167" s="87">
        <f t="shared" si="43"/>
        <v>0</v>
      </c>
      <c r="M167" s="88">
        <f t="shared" si="44"/>
        <v>131.77619999999999</v>
      </c>
      <c r="N167" s="90" t="s">
        <v>750</v>
      </c>
      <c r="O167" s="90" t="s">
        <v>751</v>
      </c>
      <c r="P167" s="56">
        <f>IF(G167="MFP",Tables!B$2,Tables!B$5)</f>
        <v>2.07E-2</v>
      </c>
      <c r="Q167" s="124">
        <f>IF(G167="MFP",Tables!B$3,Tables!B$6)</f>
        <v>8.6999999999999994E-2</v>
      </c>
      <c r="R167" s="113">
        <f>VLOOKUP($N167,'Meter Read info'!$C$2:$G$249,2,"FALSE")</f>
        <v>1</v>
      </c>
      <c r="S167" s="113">
        <f>VLOOKUP($N167,'Meter Read info'!$C$2:$G$249,3,"FALSE")</f>
        <v>6367</v>
      </c>
      <c r="T167" s="113">
        <f>VLOOKUP($N167,'Meter Read info'!$C$2:$G$249,4,"FALSE")</f>
        <v>0</v>
      </c>
      <c r="U167" s="113">
        <f>VLOOKUP($N167,'Meter Read info'!$C$2:$G$249,5,"FALSE")</f>
        <v>0</v>
      </c>
    </row>
    <row r="168" spans="1:21" ht="31.2" outlineLevel="1" x14ac:dyDescent="0.3">
      <c r="A168" s="91"/>
      <c r="B168" s="107" t="s">
        <v>923</v>
      </c>
      <c r="C168" s="91"/>
      <c r="D168" s="90"/>
      <c r="E168" s="89"/>
      <c r="F168" s="90"/>
      <c r="G168" s="55"/>
      <c r="H168" s="83"/>
      <c r="I168" s="85"/>
      <c r="J168" s="85"/>
      <c r="K168" s="87"/>
      <c r="L168" s="87"/>
      <c r="M168" s="88">
        <f>SUBTOTAL(9,M167:M167)</f>
        <v>131.77619999999999</v>
      </c>
      <c r="N168" s="90"/>
      <c r="O168" s="90"/>
      <c r="P168" s="56"/>
      <c r="Q168" s="124"/>
      <c r="R168" s="113"/>
      <c r="S168" s="113"/>
      <c r="T168" s="113"/>
      <c r="U168" s="113"/>
    </row>
    <row r="169" spans="1:21" ht="30" outlineLevel="2" x14ac:dyDescent="0.3">
      <c r="A169" s="91" t="s">
        <v>395</v>
      </c>
      <c r="B169" s="91" t="s">
        <v>396</v>
      </c>
      <c r="C169" s="91" t="str">
        <f>VLOOKUP(B169,Tables!G$2:H$79,2,FALSE)</f>
        <v>Personnel Administration</v>
      </c>
      <c r="D169" s="90" t="s">
        <v>670</v>
      </c>
      <c r="E169" s="89">
        <v>301</v>
      </c>
      <c r="F169" s="90" t="s">
        <v>15</v>
      </c>
      <c r="G169" s="55" t="str">
        <f>VLOOKUP(F169,Tables!D$2:E$12,2,FALSE)</f>
        <v>PTR</v>
      </c>
      <c r="H169" s="83">
        <v>17099422</v>
      </c>
      <c r="I169" s="85">
        <f t="shared" ref="I169:I174" si="45">SUM(S169-R169)</f>
        <v>607</v>
      </c>
      <c r="J169" s="85">
        <f t="shared" ref="J169:J174" si="46">SUM(U169-T169)</f>
        <v>0</v>
      </c>
      <c r="K169" s="87">
        <f t="shared" ref="K169:K174" si="47">SUM(I169*$P169)</f>
        <v>15.903400000000001</v>
      </c>
      <c r="L169" s="87">
        <f t="shared" ref="L169:L174" si="48">SUM(J169*$Q169)</f>
        <v>0</v>
      </c>
      <c r="M169" s="88">
        <f t="shared" ref="M169:M174" si="49">K169+L169</f>
        <v>15.903400000000001</v>
      </c>
      <c r="N169" s="90" t="s">
        <v>485</v>
      </c>
      <c r="O169" s="90" t="s">
        <v>486</v>
      </c>
      <c r="P169" s="56">
        <f>IF(G169="MFP",Tables!B$2,Tables!B$5)</f>
        <v>2.6200000000000001E-2</v>
      </c>
      <c r="Q169" s="124">
        <f>IF(G169="MFP",Tables!B$3,Tables!B$6)</f>
        <v>0.11799999999999999</v>
      </c>
      <c r="R169" s="113">
        <f>VLOOKUP($N169,'Meter Read info'!$C$2:$G$249,2,"FALSE")</f>
        <v>2309</v>
      </c>
      <c r="S169" s="113">
        <f>VLOOKUP($N169,'Meter Read info'!$C$2:$G$249,3,"FALSE")</f>
        <v>2916</v>
      </c>
      <c r="T169" s="113">
        <f>VLOOKUP($N169,'Meter Read info'!$C$2:$G$249,4,"FALSE")</f>
        <v>0</v>
      </c>
      <c r="U169" s="113">
        <f>VLOOKUP($N169,'Meter Read info'!$C$2:$G$249,5,"FALSE")</f>
        <v>0</v>
      </c>
    </row>
    <row r="170" spans="1:21" ht="30" outlineLevel="2" x14ac:dyDescent="0.3">
      <c r="A170" s="91" t="s">
        <v>395</v>
      </c>
      <c r="B170" s="91" t="s">
        <v>396</v>
      </c>
      <c r="C170" s="91" t="str">
        <f>VLOOKUP(B170,Tables!G$2:H$79,2,FALSE)</f>
        <v>Personnel Administration</v>
      </c>
      <c r="D170" s="90" t="s">
        <v>670</v>
      </c>
      <c r="E170" s="89">
        <v>301</v>
      </c>
      <c r="F170" s="90" t="s">
        <v>15</v>
      </c>
      <c r="G170" s="55" t="str">
        <f>VLOOKUP(F170,Tables!D$2:E$12,2,FALSE)</f>
        <v>PTR</v>
      </c>
      <c r="H170" s="83">
        <v>17099508</v>
      </c>
      <c r="I170" s="85">
        <f t="shared" si="45"/>
        <v>466</v>
      </c>
      <c r="J170" s="85">
        <f t="shared" si="46"/>
        <v>0</v>
      </c>
      <c r="K170" s="87">
        <f t="shared" si="47"/>
        <v>12.209200000000001</v>
      </c>
      <c r="L170" s="87">
        <f t="shared" si="48"/>
        <v>0</v>
      </c>
      <c r="M170" s="88">
        <f t="shared" si="49"/>
        <v>12.209200000000001</v>
      </c>
      <c r="N170" s="90" t="s">
        <v>404</v>
      </c>
      <c r="O170" s="90" t="s">
        <v>405</v>
      </c>
      <c r="P170" s="56">
        <f>IF(G170="MFP",Tables!B$2,Tables!B$5)</f>
        <v>2.6200000000000001E-2</v>
      </c>
      <c r="Q170" s="124">
        <f>IF(G170="MFP",Tables!B$3,Tables!B$6)</f>
        <v>0.11799999999999999</v>
      </c>
      <c r="R170" s="113">
        <f>VLOOKUP($N170,'Meter Read info'!$C$2:$G$249,2,"FALSE")</f>
        <v>1607</v>
      </c>
      <c r="S170" s="113">
        <f>VLOOKUP($N170,'Meter Read info'!$C$2:$G$249,3,"FALSE")</f>
        <v>2073</v>
      </c>
      <c r="T170" s="113">
        <f>VLOOKUP($N170,'Meter Read info'!$C$2:$G$249,4,"FALSE")</f>
        <v>0</v>
      </c>
      <c r="U170" s="113">
        <f>VLOOKUP($N170,'Meter Read info'!$C$2:$G$249,5,"FALSE")</f>
        <v>0</v>
      </c>
    </row>
    <row r="171" spans="1:21" ht="30" outlineLevel="2" x14ac:dyDescent="0.3">
      <c r="A171" s="91" t="s">
        <v>395</v>
      </c>
      <c r="B171" s="91" t="s">
        <v>396</v>
      </c>
      <c r="C171" s="91" t="str">
        <f>VLOOKUP(B171,Tables!G$2:H$79,2,FALSE)</f>
        <v>Personnel Administration</v>
      </c>
      <c r="D171" s="90" t="s">
        <v>670</v>
      </c>
      <c r="E171" s="89">
        <v>303</v>
      </c>
      <c r="F171" s="90" t="s">
        <v>15</v>
      </c>
      <c r="G171" s="55" t="str">
        <f>VLOOKUP(F171,Tables!D$2:E$12,2,FALSE)</f>
        <v>PTR</v>
      </c>
      <c r="H171" s="83">
        <v>17099441</v>
      </c>
      <c r="I171" s="85">
        <f t="shared" si="45"/>
        <v>592</v>
      </c>
      <c r="J171" s="85">
        <f t="shared" si="46"/>
        <v>0</v>
      </c>
      <c r="K171" s="87">
        <f t="shared" si="47"/>
        <v>15.510400000000001</v>
      </c>
      <c r="L171" s="87">
        <f t="shared" si="48"/>
        <v>0</v>
      </c>
      <c r="M171" s="88">
        <f t="shared" si="49"/>
        <v>15.510400000000001</v>
      </c>
      <c r="N171" s="90" t="s">
        <v>400</v>
      </c>
      <c r="O171" s="90" t="s">
        <v>401</v>
      </c>
      <c r="P171" s="56">
        <f>IF(G171="MFP",Tables!B$2,Tables!B$5)</f>
        <v>2.6200000000000001E-2</v>
      </c>
      <c r="Q171" s="124">
        <f>IF(G171="MFP",Tables!B$3,Tables!B$6)</f>
        <v>0.11799999999999999</v>
      </c>
      <c r="R171" s="113">
        <f>VLOOKUP($N171,'Meter Read info'!$C$2:$G$249,2,"FALSE")</f>
        <v>991</v>
      </c>
      <c r="S171" s="113">
        <f>VLOOKUP($N171,'Meter Read info'!$C$2:$G$249,3,"FALSE")</f>
        <v>1583</v>
      </c>
      <c r="T171" s="113">
        <f>VLOOKUP($N171,'Meter Read info'!$C$2:$G$249,4,"FALSE")</f>
        <v>0</v>
      </c>
      <c r="U171" s="113">
        <f>VLOOKUP($N171,'Meter Read info'!$C$2:$G$249,5,"FALSE")</f>
        <v>0</v>
      </c>
    </row>
    <row r="172" spans="1:21" ht="30" outlineLevel="2" x14ac:dyDescent="0.3">
      <c r="A172" s="91" t="s">
        <v>395</v>
      </c>
      <c r="B172" s="91" t="s">
        <v>396</v>
      </c>
      <c r="C172" s="91" t="str">
        <f>VLOOKUP(B172,Tables!G$2:H$79,2,FALSE)</f>
        <v>Personnel Administration</v>
      </c>
      <c r="D172" s="90" t="s">
        <v>670</v>
      </c>
      <c r="E172" s="89">
        <v>303</v>
      </c>
      <c r="F172" s="90" t="s">
        <v>15</v>
      </c>
      <c r="G172" s="55" t="str">
        <f>VLOOKUP(F172,Tables!D$2:E$12,2,FALSE)</f>
        <v>PTR</v>
      </c>
      <c r="H172" s="83">
        <v>17099509</v>
      </c>
      <c r="I172" s="85">
        <f t="shared" si="45"/>
        <v>1575</v>
      </c>
      <c r="J172" s="85">
        <f t="shared" si="46"/>
        <v>0</v>
      </c>
      <c r="K172" s="87">
        <f t="shared" si="47"/>
        <v>41.265000000000001</v>
      </c>
      <c r="L172" s="87">
        <f t="shared" si="48"/>
        <v>0</v>
      </c>
      <c r="M172" s="88">
        <f t="shared" si="49"/>
        <v>41.265000000000001</v>
      </c>
      <c r="N172" s="90" t="s">
        <v>402</v>
      </c>
      <c r="O172" s="90" t="s">
        <v>403</v>
      </c>
      <c r="P172" s="56">
        <f>IF(G172="MFP",Tables!B$2,Tables!B$5)</f>
        <v>2.6200000000000001E-2</v>
      </c>
      <c r="Q172" s="124">
        <f>IF(G172="MFP",Tables!B$3,Tables!B$6)</f>
        <v>0.11799999999999999</v>
      </c>
      <c r="R172" s="113">
        <f>VLOOKUP($N172,'Meter Read info'!$C$2:$G$249,2,"FALSE")</f>
        <v>4573</v>
      </c>
      <c r="S172" s="113">
        <f>VLOOKUP($N172,'Meter Read info'!$C$2:$G$249,3,"FALSE")</f>
        <v>6148</v>
      </c>
      <c r="T172" s="113">
        <f>VLOOKUP($N172,'Meter Read info'!$C$2:$G$249,4,"FALSE")</f>
        <v>0</v>
      </c>
      <c r="U172" s="113">
        <f>VLOOKUP($N172,'Meter Read info'!$C$2:$G$249,5,"FALSE")</f>
        <v>0</v>
      </c>
    </row>
    <row r="173" spans="1:21" ht="30" outlineLevel="2" x14ac:dyDescent="0.3">
      <c r="A173" s="91" t="s">
        <v>395</v>
      </c>
      <c r="B173" s="91" t="s">
        <v>396</v>
      </c>
      <c r="C173" s="91" t="str">
        <f>VLOOKUP(B173,Tables!G$2:H$79,2,FALSE)</f>
        <v>Personnel Administration</v>
      </c>
      <c r="D173" s="90" t="s">
        <v>670</v>
      </c>
      <c r="E173" s="89">
        <v>303</v>
      </c>
      <c r="F173" s="90" t="s">
        <v>15</v>
      </c>
      <c r="G173" s="55" t="str">
        <f>VLOOKUP(F173,Tables!D$2:E$12,2,FALSE)</f>
        <v>PTR</v>
      </c>
      <c r="H173" s="83">
        <v>17099510</v>
      </c>
      <c r="I173" s="85">
        <f t="shared" si="45"/>
        <v>407</v>
      </c>
      <c r="J173" s="85">
        <f t="shared" si="46"/>
        <v>0</v>
      </c>
      <c r="K173" s="87">
        <f t="shared" si="47"/>
        <v>10.663400000000001</v>
      </c>
      <c r="L173" s="87">
        <f t="shared" si="48"/>
        <v>0</v>
      </c>
      <c r="M173" s="88">
        <f t="shared" si="49"/>
        <v>10.663400000000001</v>
      </c>
      <c r="N173" s="90" t="s">
        <v>406</v>
      </c>
      <c r="O173" s="90" t="s">
        <v>407</v>
      </c>
      <c r="P173" s="56">
        <f>IF(G173="MFP",Tables!B$2,Tables!B$5)</f>
        <v>2.6200000000000001E-2</v>
      </c>
      <c r="Q173" s="124">
        <f>IF(G173="MFP",Tables!B$3,Tables!B$6)</f>
        <v>0.11799999999999999</v>
      </c>
      <c r="R173" s="113">
        <f>VLOOKUP($N173,'Meter Read info'!$C$2:$G$249,2,"FALSE")</f>
        <v>1147</v>
      </c>
      <c r="S173" s="113">
        <f>VLOOKUP($N173,'Meter Read info'!$C$2:$G$249,3,"FALSE")</f>
        <v>1554</v>
      </c>
      <c r="T173" s="113">
        <f>VLOOKUP($N173,'Meter Read info'!$C$2:$G$249,4,"FALSE")</f>
        <v>0</v>
      </c>
      <c r="U173" s="113">
        <f>VLOOKUP($N173,'Meter Read info'!$C$2:$G$249,5,"FALSE")</f>
        <v>0</v>
      </c>
    </row>
    <row r="174" spans="1:21" ht="30" outlineLevel="2" x14ac:dyDescent="0.3">
      <c r="A174" s="91" t="s">
        <v>395</v>
      </c>
      <c r="B174" s="91" t="s">
        <v>396</v>
      </c>
      <c r="C174" s="91" t="str">
        <f>VLOOKUP(B174,Tables!G$2:H$79,2,FALSE)</f>
        <v>Personnel Administration</v>
      </c>
      <c r="D174" s="90" t="s">
        <v>670</v>
      </c>
      <c r="E174" s="89">
        <v>305</v>
      </c>
      <c r="F174" s="90" t="s">
        <v>54</v>
      </c>
      <c r="G174" s="55" t="str">
        <f>VLOOKUP(F174,Tables!D$2:E$12,2,FALSE)</f>
        <v>MFP</v>
      </c>
      <c r="H174" s="83">
        <v>17099494</v>
      </c>
      <c r="I174" s="85">
        <f t="shared" si="45"/>
        <v>4113</v>
      </c>
      <c r="J174" s="85">
        <f t="shared" si="46"/>
        <v>348</v>
      </c>
      <c r="K174" s="87">
        <f t="shared" si="47"/>
        <v>85.139099999999999</v>
      </c>
      <c r="L174" s="87">
        <f t="shared" si="48"/>
        <v>30.275999999999996</v>
      </c>
      <c r="M174" s="88">
        <f t="shared" si="49"/>
        <v>115.4151</v>
      </c>
      <c r="N174" s="90" t="s">
        <v>398</v>
      </c>
      <c r="O174" s="90" t="s">
        <v>399</v>
      </c>
      <c r="P174" s="56">
        <f>IF(G174="MFP",Tables!B$2,Tables!B$5)</f>
        <v>2.07E-2</v>
      </c>
      <c r="Q174" s="124">
        <f>IF(G174="MFP",Tables!B$3,Tables!B$6)</f>
        <v>8.6999999999999994E-2</v>
      </c>
      <c r="R174" s="113">
        <f>VLOOKUP($N174,'Meter Read info'!$C$2:$G$249,2,"FALSE")</f>
        <v>8161</v>
      </c>
      <c r="S174" s="113">
        <f>VLOOKUP($N174,'Meter Read info'!$C$2:$G$249,3,"FALSE")</f>
        <v>12274</v>
      </c>
      <c r="T174" s="113">
        <f>VLOOKUP($N174,'Meter Read info'!$C$2:$G$249,4,"FALSE")</f>
        <v>1458</v>
      </c>
      <c r="U174" s="113">
        <f>VLOOKUP($N174,'Meter Read info'!$C$2:$G$249,5,"FALSE")</f>
        <v>1806</v>
      </c>
    </row>
    <row r="175" spans="1:21" ht="31.2" outlineLevel="1" x14ac:dyDescent="0.3">
      <c r="A175" s="91"/>
      <c r="B175" s="107" t="s">
        <v>924</v>
      </c>
      <c r="C175" s="91"/>
      <c r="D175" s="90"/>
      <c r="E175" s="89"/>
      <c r="F175" s="90"/>
      <c r="G175" s="55"/>
      <c r="H175" s="83"/>
      <c r="I175" s="85"/>
      <c r="J175" s="85"/>
      <c r="K175" s="87"/>
      <c r="L175" s="87"/>
      <c r="M175" s="88">
        <f>SUBTOTAL(9,M169:M174)</f>
        <v>210.9665</v>
      </c>
      <c r="N175" s="90"/>
      <c r="O175" s="90"/>
      <c r="P175" s="56"/>
      <c r="Q175" s="124"/>
      <c r="R175" s="113"/>
      <c r="S175" s="113"/>
      <c r="T175" s="113"/>
      <c r="U175" s="113"/>
    </row>
    <row r="176" spans="1:21" outlineLevel="2" x14ac:dyDescent="0.3">
      <c r="A176" s="91" t="s">
        <v>569</v>
      </c>
      <c r="B176" s="91" t="s">
        <v>570</v>
      </c>
      <c r="C176" s="91" t="str">
        <f>VLOOKUP(B176,Tables!G$2:H$79,2,FALSE)</f>
        <v>AUX-Student Health</v>
      </c>
      <c r="D176" s="90" t="s">
        <v>569</v>
      </c>
      <c r="E176" s="89">
        <v>113</v>
      </c>
      <c r="F176" s="90" t="s">
        <v>15</v>
      </c>
      <c r="G176" s="55" t="str">
        <f>VLOOKUP(F176,Tables!D$2:E$12,2,FALSE)</f>
        <v>PTR</v>
      </c>
      <c r="H176" s="83">
        <v>17099605</v>
      </c>
      <c r="I176" s="85">
        <f>SUM(S176-R176)</f>
        <v>3352</v>
      </c>
      <c r="J176" s="85">
        <f>SUM(U176-T176)</f>
        <v>0</v>
      </c>
      <c r="K176" s="87">
        <f>SUM(I176*$P176)</f>
        <v>87.822400000000002</v>
      </c>
      <c r="L176" s="87">
        <f>SUM(J176*$Q176)</f>
        <v>0</v>
      </c>
      <c r="M176" s="88">
        <f>K176+L176</f>
        <v>87.822400000000002</v>
      </c>
      <c r="N176" s="90" t="s">
        <v>810</v>
      </c>
      <c r="O176" s="90" t="s">
        <v>830</v>
      </c>
      <c r="P176" s="56">
        <f>IF(G176="MFP",Tables!B$2,Tables!B$5)</f>
        <v>2.6200000000000001E-2</v>
      </c>
      <c r="Q176" s="124">
        <f>IF(G176="MFP",Tables!B$3,Tables!B$6)</f>
        <v>0.11799999999999999</v>
      </c>
      <c r="R176" s="113">
        <f>VLOOKUP($N176,'Meter Read info'!$C$2:$G$249,2,"FALSE")</f>
        <v>5674</v>
      </c>
      <c r="S176" s="113">
        <f>VLOOKUP($N176,'Meter Read info'!$C$2:$G$249,3,"FALSE")</f>
        <v>9026</v>
      </c>
      <c r="T176" s="113">
        <f>VLOOKUP($N176,'Meter Read info'!$C$2:$G$249,4,"FALSE")</f>
        <v>0</v>
      </c>
      <c r="U176" s="113">
        <f>VLOOKUP($N176,'Meter Read info'!$C$2:$G$249,5,"FALSE")</f>
        <v>0</v>
      </c>
    </row>
    <row r="177" spans="1:21" outlineLevel="2" x14ac:dyDescent="0.3">
      <c r="A177" s="91" t="s">
        <v>569</v>
      </c>
      <c r="B177" s="91" t="s">
        <v>570</v>
      </c>
      <c r="C177" s="91" t="str">
        <f>VLOOKUP(B177,Tables!G$2:H$79,2,FALSE)</f>
        <v>AUX-Student Health</v>
      </c>
      <c r="D177" s="90" t="s">
        <v>569</v>
      </c>
      <c r="E177" s="89">
        <v>121</v>
      </c>
      <c r="F177" s="90" t="s">
        <v>54</v>
      </c>
      <c r="G177" s="55" t="str">
        <f>VLOOKUP(F177,Tables!D$2:E$12,2,FALSE)</f>
        <v>MFP</v>
      </c>
      <c r="H177" s="83">
        <v>17099496</v>
      </c>
      <c r="I177" s="85">
        <f>SUM(S177-R177)</f>
        <v>2879</v>
      </c>
      <c r="J177" s="85">
        <f>SUM(U177-T177)</f>
        <v>347</v>
      </c>
      <c r="K177" s="87">
        <f>SUM(I177*$P177)</f>
        <v>59.595300000000002</v>
      </c>
      <c r="L177" s="87">
        <f>SUM(J177*$Q177)</f>
        <v>30.188999999999997</v>
      </c>
      <c r="M177" s="88">
        <f>K177+L177</f>
        <v>89.784300000000002</v>
      </c>
      <c r="N177" s="90" t="s">
        <v>574</v>
      </c>
      <c r="O177" s="90" t="s">
        <v>575</v>
      </c>
      <c r="P177" s="56">
        <f>IF(G177="MFP",Tables!B$2,Tables!B$5)</f>
        <v>2.07E-2</v>
      </c>
      <c r="Q177" s="124">
        <f>IF(G177="MFP",Tables!B$3,Tables!B$6)</f>
        <v>8.6999999999999994E-2</v>
      </c>
      <c r="R177" s="113">
        <f>VLOOKUP($N177,'Meter Read info'!$C$2:$G$249,2,"FALSE")</f>
        <v>10707</v>
      </c>
      <c r="S177" s="113">
        <f>VLOOKUP($N177,'Meter Read info'!$C$2:$G$249,3,"FALSE")</f>
        <v>13586</v>
      </c>
      <c r="T177" s="113">
        <f>VLOOKUP($N177,'Meter Read info'!$C$2:$G$249,4,"FALSE")</f>
        <v>704</v>
      </c>
      <c r="U177" s="113">
        <f>VLOOKUP($N177,'Meter Read info'!$C$2:$G$249,5,"FALSE")</f>
        <v>1051</v>
      </c>
    </row>
    <row r="178" spans="1:21" outlineLevel="2" x14ac:dyDescent="0.3">
      <c r="A178" s="91" t="s">
        <v>569</v>
      </c>
      <c r="B178" s="91" t="s">
        <v>570</v>
      </c>
      <c r="C178" s="91" t="str">
        <f>VLOOKUP(B178,Tables!G$2:H$79,2,FALSE)</f>
        <v>AUX-Student Health</v>
      </c>
      <c r="D178" s="90" t="s">
        <v>569</v>
      </c>
      <c r="E178" s="89">
        <v>219</v>
      </c>
      <c r="F178" s="90" t="s">
        <v>54</v>
      </c>
      <c r="G178" s="55" t="str">
        <f>VLOOKUP(F178,Tables!D$2:E$12,2,FALSE)</f>
        <v>MFP</v>
      </c>
      <c r="H178" s="83">
        <v>17099495</v>
      </c>
      <c r="I178" s="85">
        <f>SUM(S178-R178)</f>
        <v>914</v>
      </c>
      <c r="J178" s="85">
        <f>SUM(U178-T178)</f>
        <v>0</v>
      </c>
      <c r="K178" s="87">
        <f>SUM(I178*$P178)</f>
        <v>18.919799999999999</v>
      </c>
      <c r="L178" s="87">
        <f>SUM(J178*$Q178)</f>
        <v>0</v>
      </c>
      <c r="M178" s="88">
        <f>K178+L178</f>
        <v>18.919799999999999</v>
      </c>
      <c r="N178" s="90" t="s">
        <v>572</v>
      </c>
      <c r="O178" s="90" t="s">
        <v>573</v>
      </c>
      <c r="P178" s="56">
        <f>IF(G178="MFP",Tables!B$2,Tables!B$5)</f>
        <v>2.07E-2</v>
      </c>
      <c r="Q178" s="124">
        <f>IF(G178="MFP",Tables!B$3,Tables!B$6)</f>
        <v>8.6999999999999994E-2</v>
      </c>
      <c r="R178" s="113">
        <f>VLOOKUP($N178,'Meter Read info'!$C$2:$G$249,2,"FALSE")</f>
        <v>2749</v>
      </c>
      <c r="S178" s="113">
        <f>VLOOKUP($N178,'Meter Read info'!$C$2:$G$249,3,"FALSE")</f>
        <v>3663</v>
      </c>
      <c r="T178" s="113">
        <f>VLOOKUP($N178,'Meter Read info'!$C$2:$G$249,4,"FALSE")</f>
        <v>105</v>
      </c>
      <c r="U178" s="113">
        <f>VLOOKUP($N178,'Meter Read info'!$C$2:$G$249,5,"FALSE")</f>
        <v>105</v>
      </c>
    </row>
    <row r="179" spans="1:21" outlineLevel="2" x14ac:dyDescent="0.3">
      <c r="A179" s="91" t="s">
        <v>569</v>
      </c>
      <c r="B179" s="91" t="s">
        <v>570</v>
      </c>
      <c r="C179" s="91" t="str">
        <f>VLOOKUP(B179,Tables!G$2:H$79,2,FALSE)</f>
        <v>AUX-Student Health</v>
      </c>
      <c r="D179" s="90" t="s">
        <v>569</v>
      </c>
      <c r="E179" s="89">
        <v>219</v>
      </c>
      <c r="F179" s="90" t="s">
        <v>15</v>
      </c>
      <c r="G179" s="55" t="str">
        <f>VLOOKUP(F179,Tables!D$2:E$12,2,FALSE)</f>
        <v>PTR</v>
      </c>
      <c r="H179" s="83">
        <v>17099635</v>
      </c>
      <c r="I179" s="85">
        <f>SUM(S179-R179)</f>
        <v>812</v>
      </c>
      <c r="J179" s="85">
        <f>SUM(U179-T179)</f>
        <v>0</v>
      </c>
      <c r="K179" s="87">
        <f>SUM(I179*$P179)</f>
        <v>21.2744</v>
      </c>
      <c r="L179" s="87">
        <f>SUM(J179*$Q179)</f>
        <v>0</v>
      </c>
      <c r="M179" s="88">
        <f>K179+L179</f>
        <v>21.2744</v>
      </c>
      <c r="N179" s="90" t="s">
        <v>576</v>
      </c>
      <c r="O179" s="90" t="s">
        <v>577</v>
      </c>
      <c r="P179" s="56">
        <f>IF(G179="MFP",Tables!B$2,Tables!B$5)</f>
        <v>2.6200000000000001E-2</v>
      </c>
      <c r="Q179" s="124">
        <f>IF(G179="MFP",Tables!B$3,Tables!B$6)</f>
        <v>0.11799999999999999</v>
      </c>
      <c r="R179" s="113">
        <f>VLOOKUP($N179,'Meter Read info'!$C$2:$G$249,2,"FALSE")</f>
        <v>3833</v>
      </c>
      <c r="S179" s="113">
        <f>VLOOKUP($N179,'Meter Read info'!$C$2:$G$249,3,"FALSE")</f>
        <v>4645</v>
      </c>
      <c r="T179" s="113">
        <f>VLOOKUP($N179,'Meter Read info'!$C$2:$G$249,4,"FALSE")</f>
        <v>0</v>
      </c>
      <c r="U179" s="113">
        <f>VLOOKUP($N179,'Meter Read info'!$C$2:$G$249,5,"FALSE")</f>
        <v>0</v>
      </c>
    </row>
    <row r="180" spans="1:21" ht="31.2" outlineLevel="1" x14ac:dyDescent="0.3">
      <c r="A180" s="91"/>
      <c r="B180" s="107" t="s">
        <v>925</v>
      </c>
      <c r="C180" s="91"/>
      <c r="D180" s="90"/>
      <c r="E180" s="89"/>
      <c r="F180" s="90"/>
      <c r="G180" s="55"/>
      <c r="H180" s="83"/>
      <c r="I180" s="85"/>
      <c r="J180" s="85"/>
      <c r="K180" s="87"/>
      <c r="L180" s="87"/>
      <c r="M180" s="88">
        <f>SUBTOTAL(9,M176:M179)</f>
        <v>217.80090000000001</v>
      </c>
      <c r="N180" s="90"/>
      <c r="O180" s="90"/>
      <c r="P180" s="56"/>
      <c r="Q180" s="124"/>
      <c r="R180" s="113"/>
      <c r="S180" s="113"/>
      <c r="T180" s="113"/>
      <c r="U180" s="113"/>
    </row>
    <row r="181" spans="1:21" ht="30" outlineLevel="2" x14ac:dyDescent="0.3">
      <c r="A181" s="91" t="s">
        <v>270</v>
      </c>
      <c r="B181" s="91" t="s">
        <v>271</v>
      </c>
      <c r="C181" s="91" t="str">
        <f>VLOOKUP(B181,Tables!G$2:H$79,2,FALSE)</f>
        <v>IST</v>
      </c>
      <c r="D181" s="90" t="s">
        <v>83</v>
      </c>
      <c r="E181" s="89">
        <v>315</v>
      </c>
      <c r="F181" s="90" t="s">
        <v>92</v>
      </c>
      <c r="G181" s="55" t="str">
        <f>VLOOKUP(F181,Tables!D$2:E$12,2,FALSE)</f>
        <v>PTR</v>
      </c>
      <c r="H181" s="83">
        <v>17099640</v>
      </c>
      <c r="I181" s="85">
        <f t="shared" ref="I181:I189" si="50">SUM(S181-R181)</f>
        <v>249</v>
      </c>
      <c r="J181" s="85">
        <f t="shared" ref="J181:J189" si="51">SUM(U181-T181)</f>
        <v>0</v>
      </c>
      <c r="K181" s="87">
        <f t="shared" ref="K181:K189" si="52">SUM(I181*$P181)</f>
        <v>6.5238000000000005</v>
      </c>
      <c r="L181" s="87">
        <f t="shared" ref="L181:L189" si="53">SUM(J181*$Q181)</f>
        <v>0</v>
      </c>
      <c r="M181" s="88">
        <f t="shared" ref="M181:M189" si="54">K181+L181</f>
        <v>6.5238000000000005</v>
      </c>
      <c r="N181" s="90" t="s">
        <v>275</v>
      </c>
      <c r="O181" s="90" t="s">
        <v>276</v>
      </c>
      <c r="P181" s="56">
        <f>IF(G181="MFP",Tables!B$2,Tables!B$5)</f>
        <v>2.6200000000000001E-2</v>
      </c>
      <c r="Q181" s="124">
        <f>IF(G181="MFP",Tables!B$3,Tables!B$6)</f>
        <v>0.11799999999999999</v>
      </c>
      <c r="R181" s="113">
        <f>VLOOKUP($N181,'Meter Read info'!$C$2:$G$249,2,"FALSE")</f>
        <v>877</v>
      </c>
      <c r="S181" s="113">
        <f>VLOOKUP($N181,'Meter Read info'!$C$2:$G$249,3,"FALSE")</f>
        <v>1126</v>
      </c>
      <c r="T181" s="113">
        <f>VLOOKUP($N181,'Meter Read info'!$C$2:$G$249,4,"FALSE")</f>
        <v>0</v>
      </c>
      <c r="U181" s="113">
        <f>VLOOKUP($N181,'Meter Read info'!$C$2:$G$249,5,"FALSE")</f>
        <v>0</v>
      </c>
    </row>
    <row r="182" spans="1:21" ht="30" outlineLevel="2" x14ac:dyDescent="0.3">
      <c r="A182" s="91" t="s">
        <v>270</v>
      </c>
      <c r="B182" s="91" t="s">
        <v>271</v>
      </c>
      <c r="C182" s="91" t="str">
        <f>VLOOKUP(B182,Tables!G$2:H$79,2,FALSE)</f>
        <v>IST</v>
      </c>
      <c r="D182" s="90" t="s">
        <v>83</v>
      </c>
      <c r="E182" s="89">
        <v>315</v>
      </c>
      <c r="F182" s="90" t="s">
        <v>92</v>
      </c>
      <c r="G182" s="55" t="str">
        <f>VLOOKUP(F182,Tables!D$2:E$12,2,FALSE)</f>
        <v>PTR</v>
      </c>
      <c r="H182" s="83">
        <v>17099629</v>
      </c>
      <c r="I182" s="85">
        <f t="shared" si="50"/>
        <v>128</v>
      </c>
      <c r="J182" s="85">
        <f t="shared" si="51"/>
        <v>9</v>
      </c>
      <c r="K182" s="87">
        <f t="shared" si="52"/>
        <v>3.3536000000000001</v>
      </c>
      <c r="L182" s="87">
        <f t="shared" si="53"/>
        <v>1.0619999999999998</v>
      </c>
      <c r="M182" s="88">
        <f t="shared" si="54"/>
        <v>4.4155999999999995</v>
      </c>
      <c r="N182" s="118" t="s">
        <v>769</v>
      </c>
      <c r="O182" s="90" t="s">
        <v>276</v>
      </c>
      <c r="P182" s="56">
        <f>IF(G182="MFP",Tables!B$2,Tables!B$5)</f>
        <v>2.6200000000000001E-2</v>
      </c>
      <c r="Q182" s="124">
        <f>IF(G182="MFP",Tables!B$3,Tables!B$6)</f>
        <v>0.11799999999999999</v>
      </c>
      <c r="R182" s="113">
        <v>2860</v>
      </c>
      <c r="S182" s="113">
        <v>2988</v>
      </c>
      <c r="T182" s="113">
        <v>7</v>
      </c>
      <c r="U182" s="113">
        <v>16</v>
      </c>
    </row>
    <row r="183" spans="1:21" ht="30" outlineLevel="2" x14ac:dyDescent="0.3">
      <c r="A183" s="91" t="s">
        <v>270</v>
      </c>
      <c r="B183" s="91" t="s">
        <v>271</v>
      </c>
      <c r="C183" s="91" t="str">
        <f>VLOOKUP(B183,Tables!G$2:H$79,2,FALSE)</f>
        <v>IST</v>
      </c>
      <c r="D183" s="90" t="s">
        <v>83</v>
      </c>
      <c r="E183" s="89">
        <v>343</v>
      </c>
      <c r="F183" s="90" t="s">
        <v>84</v>
      </c>
      <c r="G183" s="55" t="str">
        <f>VLOOKUP(F183,Tables!D$2:E$12,2,FALSE)</f>
        <v>MFP</v>
      </c>
      <c r="H183" s="83">
        <v>17099400</v>
      </c>
      <c r="I183" s="85">
        <f t="shared" si="50"/>
        <v>3761</v>
      </c>
      <c r="J183" s="85">
        <f t="shared" si="51"/>
        <v>499</v>
      </c>
      <c r="K183" s="87">
        <f t="shared" si="52"/>
        <v>77.852699999999999</v>
      </c>
      <c r="L183" s="87">
        <f t="shared" si="53"/>
        <v>43.412999999999997</v>
      </c>
      <c r="M183" s="88">
        <f t="shared" si="54"/>
        <v>121.2657</v>
      </c>
      <c r="N183" s="90" t="s">
        <v>273</v>
      </c>
      <c r="O183" s="90" t="s">
        <v>274</v>
      </c>
      <c r="P183" s="56">
        <f>IF(G183="MFP",Tables!B$2,Tables!B$5)</f>
        <v>2.07E-2</v>
      </c>
      <c r="Q183" s="124">
        <f>IF(G183="MFP",Tables!B$3,Tables!B$6)</f>
        <v>8.6999999999999994E-2</v>
      </c>
      <c r="R183" s="113">
        <f>VLOOKUP($N183,'Meter Read info'!$C$2:$G$249,2,"FALSE")</f>
        <v>23181</v>
      </c>
      <c r="S183" s="113">
        <f>VLOOKUP($N183,'Meter Read info'!$C$2:$G$249,3,"FALSE")</f>
        <v>26942</v>
      </c>
      <c r="T183" s="113">
        <f>VLOOKUP($N183,'Meter Read info'!$C$2:$G$249,4,"FALSE")</f>
        <v>2384</v>
      </c>
      <c r="U183" s="113">
        <f>VLOOKUP($N183,'Meter Read info'!$C$2:$G$249,5,"FALSE")</f>
        <v>2883</v>
      </c>
    </row>
    <row r="184" spans="1:21" ht="31.2" outlineLevel="1" x14ac:dyDescent="0.3">
      <c r="A184" s="91"/>
      <c r="B184" s="107" t="s">
        <v>926</v>
      </c>
      <c r="C184" s="91"/>
      <c r="D184" s="90"/>
      <c r="E184" s="89"/>
      <c r="F184" s="90"/>
      <c r="G184" s="55"/>
      <c r="H184" s="83"/>
      <c r="I184" s="85"/>
      <c r="J184" s="85"/>
      <c r="K184" s="87"/>
      <c r="L184" s="87"/>
      <c r="M184" s="88">
        <f>SUBTOTAL(9,M181:M183)</f>
        <v>132.20509999999999</v>
      </c>
      <c r="N184" s="90"/>
      <c r="O184" s="90"/>
      <c r="P184" s="56"/>
      <c r="Q184" s="124"/>
      <c r="R184" s="113"/>
      <c r="S184" s="113"/>
      <c r="T184" s="113"/>
      <c r="U184" s="113"/>
    </row>
    <row r="185" spans="1:21" ht="30" outlineLevel="2" x14ac:dyDescent="0.3">
      <c r="A185" s="91" t="s">
        <v>270</v>
      </c>
      <c r="B185" s="91" t="s">
        <v>426</v>
      </c>
      <c r="C185" s="91" t="str">
        <f>VLOOKUP(B185,Tables!G$2:H$79,2,FALSE)</f>
        <v>Printer Services</v>
      </c>
      <c r="D185" s="90" t="s">
        <v>168</v>
      </c>
      <c r="E185" s="89">
        <v>414</v>
      </c>
      <c r="F185" s="90" t="s">
        <v>15</v>
      </c>
      <c r="G185" s="55" t="str">
        <f>VLOOKUP(F185,Tables!D$2:E$12,2,FALSE)</f>
        <v>PTR</v>
      </c>
      <c r="H185" s="83">
        <v>17099786</v>
      </c>
      <c r="I185" s="85">
        <f t="shared" si="50"/>
        <v>5725</v>
      </c>
      <c r="J185" s="85">
        <f t="shared" si="51"/>
        <v>0</v>
      </c>
      <c r="K185" s="87">
        <f t="shared" si="52"/>
        <v>149.995</v>
      </c>
      <c r="L185" s="87">
        <f t="shared" si="53"/>
        <v>0</v>
      </c>
      <c r="M185" s="88">
        <f t="shared" si="54"/>
        <v>149.995</v>
      </c>
      <c r="N185" s="90" t="s">
        <v>463</v>
      </c>
      <c r="O185" s="90" t="s">
        <v>464</v>
      </c>
      <c r="P185" s="56">
        <f>IF(G185="MFP",Tables!B$2,Tables!B$5)</f>
        <v>2.6200000000000001E-2</v>
      </c>
      <c r="Q185" s="124">
        <f>IF(G185="MFP",Tables!B$3,Tables!B$6)</f>
        <v>0.11799999999999999</v>
      </c>
      <c r="R185" s="113">
        <f>VLOOKUP($N185,'Meter Read info'!$C$2:$G$249,2,"FALSE")</f>
        <v>15998</v>
      </c>
      <c r="S185" s="113">
        <f>VLOOKUP($N185,'Meter Read info'!$C$2:$G$249,3,"FALSE")</f>
        <v>21723</v>
      </c>
      <c r="T185" s="113">
        <f>VLOOKUP($N185,'Meter Read info'!$C$2:$G$249,4,"FALSE")</f>
        <v>0</v>
      </c>
      <c r="U185" s="113">
        <f>VLOOKUP($N185,'Meter Read info'!$C$2:$G$249,5,"FALSE")</f>
        <v>0</v>
      </c>
    </row>
    <row r="186" spans="1:21" ht="30" outlineLevel="2" x14ac:dyDescent="0.3">
      <c r="A186" s="91" t="s">
        <v>270</v>
      </c>
      <c r="B186" s="91" t="s">
        <v>426</v>
      </c>
      <c r="C186" s="91" t="str">
        <f>VLOOKUP(B186,Tables!G$2:H$79,2,FALSE)</f>
        <v>Printer Services</v>
      </c>
      <c r="D186" s="90" t="s">
        <v>428</v>
      </c>
      <c r="E186" s="89" t="s">
        <v>429</v>
      </c>
      <c r="F186" s="90" t="s">
        <v>411</v>
      </c>
      <c r="G186" s="55" t="str">
        <f>VLOOKUP(F186,Tables!D$2:E$12,2,FALSE)</f>
        <v>MFP</v>
      </c>
      <c r="H186" s="83">
        <v>17099482</v>
      </c>
      <c r="I186" s="85">
        <f t="shared" si="50"/>
        <v>19638</v>
      </c>
      <c r="J186" s="85">
        <f t="shared" si="51"/>
        <v>0</v>
      </c>
      <c r="K186" s="87">
        <f t="shared" si="52"/>
        <v>406.50659999999999</v>
      </c>
      <c r="L186" s="87">
        <f t="shared" si="53"/>
        <v>0</v>
      </c>
      <c r="M186" s="88">
        <f t="shared" si="54"/>
        <v>406.50659999999999</v>
      </c>
      <c r="N186" s="90" t="s">
        <v>432</v>
      </c>
      <c r="O186" s="90" t="s">
        <v>433</v>
      </c>
      <c r="P186" s="56">
        <f>IF(G186="MFP",Tables!B$2,Tables!B$5)</f>
        <v>2.07E-2</v>
      </c>
      <c r="Q186" s="124">
        <f>IF(G186="MFP",Tables!B$3,Tables!B$6)</f>
        <v>8.6999999999999994E-2</v>
      </c>
      <c r="R186" s="113">
        <f>VLOOKUP($N186,'Meter Read info'!$C$2:$G$249,2,"FALSE")</f>
        <v>176320</v>
      </c>
      <c r="S186" s="113">
        <f>VLOOKUP($N186,'Meter Read info'!$C$2:$G$249,3,"FALSE")</f>
        <v>195958</v>
      </c>
      <c r="T186" s="113">
        <f>VLOOKUP($N186,'Meter Read info'!$C$2:$G$249,4,"FALSE")</f>
        <v>0</v>
      </c>
      <c r="U186" s="113">
        <f>VLOOKUP($N186,'Meter Read info'!$C$2:$G$249,5,"FALSE")</f>
        <v>0</v>
      </c>
    </row>
    <row r="187" spans="1:21" ht="30" outlineLevel="2" x14ac:dyDescent="0.3">
      <c r="A187" s="91" t="s">
        <v>270</v>
      </c>
      <c r="B187" s="91" t="s">
        <v>426</v>
      </c>
      <c r="C187" s="91" t="str">
        <f>VLOOKUP(B187,Tables!G$2:H$79,2,FALSE)</f>
        <v>Printer Services</v>
      </c>
      <c r="D187" s="90" t="s">
        <v>428</v>
      </c>
      <c r="E187" s="89" t="s">
        <v>429</v>
      </c>
      <c r="F187" s="90" t="s">
        <v>411</v>
      </c>
      <c r="G187" s="55" t="str">
        <f>VLOOKUP(F187,Tables!D$2:E$12,2,FALSE)</f>
        <v>MFP</v>
      </c>
      <c r="H187" s="83">
        <v>17099483</v>
      </c>
      <c r="I187" s="85">
        <f t="shared" si="50"/>
        <v>53710</v>
      </c>
      <c r="J187" s="85">
        <f t="shared" si="51"/>
        <v>0</v>
      </c>
      <c r="K187" s="87">
        <f t="shared" si="52"/>
        <v>1111.797</v>
      </c>
      <c r="L187" s="87">
        <f t="shared" si="53"/>
        <v>0</v>
      </c>
      <c r="M187" s="88">
        <f t="shared" si="54"/>
        <v>1111.797</v>
      </c>
      <c r="N187" s="90" t="s">
        <v>430</v>
      </c>
      <c r="O187" s="90" t="s">
        <v>431</v>
      </c>
      <c r="P187" s="56">
        <f>IF(G187="MFP",Tables!B$2,Tables!B$5)</f>
        <v>2.07E-2</v>
      </c>
      <c r="Q187" s="124">
        <f>IF(G187="MFP",Tables!B$3,Tables!B$6)</f>
        <v>8.6999999999999994E-2</v>
      </c>
      <c r="R187" s="113">
        <f>VLOOKUP($N187,'Meter Read info'!$C$2:$G$249,2,"FALSE")</f>
        <v>163586</v>
      </c>
      <c r="S187" s="113">
        <f>VLOOKUP($N187,'Meter Read info'!$C$2:$G$249,3,"FALSE")</f>
        <v>217296</v>
      </c>
      <c r="T187" s="113">
        <f>VLOOKUP($N187,'Meter Read info'!$C$2:$G$249,4,"FALSE")</f>
        <v>0</v>
      </c>
      <c r="U187" s="113">
        <f>VLOOKUP($N187,'Meter Read info'!$C$2:$G$249,5,"FALSE")</f>
        <v>0</v>
      </c>
    </row>
    <row r="188" spans="1:21" ht="30" outlineLevel="2" x14ac:dyDescent="0.3">
      <c r="A188" s="91" t="s">
        <v>270</v>
      </c>
      <c r="B188" s="91" t="s">
        <v>426</v>
      </c>
      <c r="C188" s="91" t="str">
        <f>VLOOKUP(B188,Tables!G$2:H$79,2,FALSE)</f>
        <v>Printer Services</v>
      </c>
      <c r="D188" s="90" t="s">
        <v>83</v>
      </c>
      <c r="E188" s="89">
        <v>304</v>
      </c>
      <c r="F188" s="90" t="s">
        <v>15</v>
      </c>
      <c r="G188" s="55" t="str">
        <f>VLOOKUP(F188,Tables!D$2:E$12,2,FALSE)</f>
        <v>PTR</v>
      </c>
      <c r="H188" s="83">
        <v>17099645</v>
      </c>
      <c r="I188" s="85">
        <f t="shared" si="50"/>
        <v>830</v>
      </c>
      <c r="J188" s="85">
        <f t="shared" si="51"/>
        <v>0</v>
      </c>
      <c r="K188" s="87">
        <f t="shared" si="52"/>
        <v>21.746000000000002</v>
      </c>
      <c r="L188" s="87">
        <f t="shared" si="53"/>
        <v>0</v>
      </c>
      <c r="M188" s="88">
        <f t="shared" si="54"/>
        <v>21.746000000000002</v>
      </c>
      <c r="N188" s="90" t="s">
        <v>459</v>
      </c>
      <c r="O188" s="90" t="s">
        <v>460</v>
      </c>
      <c r="P188" s="56">
        <f>IF(G188="MFP",Tables!B$2,Tables!B$5)</f>
        <v>2.6200000000000001E-2</v>
      </c>
      <c r="Q188" s="124">
        <f>IF(G188="MFP",Tables!B$3,Tables!B$6)</f>
        <v>0.11799999999999999</v>
      </c>
      <c r="R188" s="113">
        <f>VLOOKUP($N188,'Meter Read info'!$C$2:$G$249,2,"FALSE")</f>
        <v>209</v>
      </c>
      <c r="S188" s="113">
        <f>VLOOKUP($N188,'Meter Read info'!$C$2:$G$249,3,"FALSE")</f>
        <v>1039</v>
      </c>
      <c r="T188" s="113">
        <f>VLOOKUP($N188,'Meter Read info'!$C$2:$G$249,4,"FALSE")</f>
        <v>0</v>
      </c>
      <c r="U188" s="113">
        <f>VLOOKUP($N188,'Meter Read info'!$C$2:$G$249,5,"FALSE")</f>
        <v>0</v>
      </c>
    </row>
    <row r="189" spans="1:21" ht="30" outlineLevel="2" x14ac:dyDescent="0.3">
      <c r="A189" s="91" t="s">
        <v>270</v>
      </c>
      <c r="B189" s="91" t="s">
        <v>426</v>
      </c>
      <c r="C189" s="91" t="str">
        <f>VLOOKUP(B189,Tables!G$2:H$79,2,FALSE)</f>
        <v>Printer Services</v>
      </c>
      <c r="D189" s="118" t="s">
        <v>98</v>
      </c>
      <c r="E189" s="119">
        <v>117</v>
      </c>
      <c r="F189" s="118" t="s">
        <v>15</v>
      </c>
      <c r="G189" s="55" t="str">
        <f>VLOOKUP(F189,Tables!D$2:E$12,2,FALSE)</f>
        <v>PTR</v>
      </c>
      <c r="H189" s="83">
        <v>17099501</v>
      </c>
      <c r="I189" s="85">
        <f t="shared" si="50"/>
        <v>5626</v>
      </c>
      <c r="J189" s="85">
        <f t="shared" si="51"/>
        <v>0</v>
      </c>
      <c r="K189" s="87">
        <f t="shared" si="52"/>
        <v>147.40120000000002</v>
      </c>
      <c r="L189" s="87">
        <f t="shared" si="53"/>
        <v>0</v>
      </c>
      <c r="M189" s="88">
        <f t="shared" si="54"/>
        <v>147.40120000000002</v>
      </c>
      <c r="N189" s="118" t="s">
        <v>773</v>
      </c>
      <c r="O189" s="118" t="s">
        <v>774</v>
      </c>
      <c r="P189" s="56">
        <f>IF(G189="MFP",Tables!B$2,Tables!B$5)</f>
        <v>2.6200000000000001E-2</v>
      </c>
      <c r="Q189" s="124">
        <f>IF(G189="MFP",Tables!B$3,Tables!B$6)</f>
        <v>0.11799999999999999</v>
      </c>
      <c r="R189" s="113">
        <f>VLOOKUP($N189,'Meter Read info'!$C$2:$G$249,2,"FALSE")</f>
        <v>26982</v>
      </c>
      <c r="S189" s="113">
        <f>VLOOKUP($N189,'Meter Read info'!$C$2:$G$249,3,"FALSE")</f>
        <v>32608</v>
      </c>
      <c r="T189" s="113">
        <f>VLOOKUP($N189,'Meter Read info'!$C$2:$G$249,4,"FALSE")</f>
        <v>0</v>
      </c>
      <c r="U189" s="113">
        <f>VLOOKUP($N189,'Meter Read info'!$C$2:$G$249,5,"FALSE")</f>
        <v>0</v>
      </c>
    </row>
    <row r="190" spans="1:21" ht="31.2" outlineLevel="1" x14ac:dyDescent="0.3">
      <c r="A190" s="91"/>
      <c r="B190" s="107" t="s">
        <v>890</v>
      </c>
      <c r="C190" s="91"/>
      <c r="D190" s="118"/>
      <c r="E190" s="119"/>
      <c r="F190" s="118"/>
      <c r="G190" s="55"/>
      <c r="H190" s="83"/>
      <c r="I190" s="85"/>
      <c r="J190" s="85"/>
      <c r="K190" s="87"/>
      <c r="L190" s="87"/>
      <c r="M190" s="88">
        <f>SUBTOTAL(9,M185:M189)</f>
        <v>1837.4458000000002</v>
      </c>
      <c r="N190" s="118"/>
      <c r="O190" s="118"/>
      <c r="P190" s="56"/>
      <c r="Q190" s="124"/>
      <c r="R190" s="113"/>
      <c r="S190" s="113"/>
      <c r="T190" s="113"/>
      <c r="U190" s="113"/>
    </row>
    <row r="191" spans="1:21" outlineLevel="2" x14ac:dyDescent="0.3">
      <c r="A191" s="92" t="s">
        <v>838</v>
      </c>
      <c r="B191" s="92" t="s">
        <v>837</v>
      </c>
      <c r="C191" s="91" t="str">
        <f>VLOOKUP(B191,Tables!G$2:H$79,2,FALSE)</f>
        <v>Institute Planning</v>
      </c>
      <c r="D191" s="90" t="s">
        <v>671</v>
      </c>
      <c r="E191" s="89">
        <v>301</v>
      </c>
      <c r="F191" s="90" t="s">
        <v>15</v>
      </c>
      <c r="G191" s="55" t="str">
        <f>VLOOKUP(F191,Tables!D$2:E$12,2,FALSE)</f>
        <v>PTR</v>
      </c>
      <c r="H191" s="83">
        <v>17099561</v>
      </c>
      <c r="I191" s="85">
        <f t="shared" ref="I191:I217" si="55">SUM(S191-R191)</f>
        <v>484</v>
      </c>
      <c r="J191" s="85">
        <f t="shared" ref="J191:J217" si="56">SUM(U191-T191)</f>
        <v>0</v>
      </c>
      <c r="K191" s="87">
        <f t="shared" ref="K191:K217" si="57">SUM(I191*$P191)</f>
        <v>12.680800000000001</v>
      </c>
      <c r="L191" s="87">
        <f t="shared" ref="L191:L217" si="58">SUM(J191*$Q191)</f>
        <v>0</v>
      </c>
      <c r="M191" s="88">
        <f t="shared" ref="M191:M217" si="59">K191+L191</f>
        <v>12.680800000000001</v>
      </c>
      <c r="N191" s="90" t="s">
        <v>520</v>
      </c>
      <c r="O191" s="90" t="s">
        <v>521</v>
      </c>
      <c r="P191" s="56">
        <f>IF(G191="MFP",Tables!B$2,Tables!B$5)</f>
        <v>2.6200000000000001E-2</v>
      </c>
      <c r="Q191" s="124">
        <f>IF(G191="MFP",Tables!B$3,Tables!B$6)</f>
        <v>0.11799999999999999</v>
      </c>
      <c r="R191" s="113">
        <f>VLOOKUP($N191,'Meter Read info'!$C$2:$G$249,2,"FALSE")</f>
        <v>1285</v>
      </c>
      <c r="S191" s="113">
        <f>VLOOKUP($N191,'Meter Read info'!$C$2:$G$249,3,"FALSE")</f>
        <v>1769</v>
      </c>
      <c r="T191" s="113">
        <f>VLOOKUP($N191,'Meter Read info'!$C$2:$G$249,4,"FALSE")</f>
        <v>0</v>
      </c>
      <c r="U191" s="113">
        <f>VLOOKUP($N191,'Meter Read info'!$C$2:$G$249,5,"FALSE")</f>
        <v>0</v>
      </c>
    </row>
    <row r="192" spans="1:21" ht="31.2" outlineLevel="1" x14ac:dyDescent="0.3">
      <c r="A192" s="92"/>
      <c r="B192" s="108" t="s">
        <v>903</v>
      </c>
      <c r="C192" s="91"/>
      <c r="D192" s="90"/>
      <c r="E192" s="89"/>
      <c r="F192" s="90"/>
      <c r="G192" s="55"/>
      <c r="H192" s="83"/>
      <c r="I192" s="85"/>
      <c r="J192" s="85"/>
      <c r="K192" s="87"/>
      <c r="L192" s="87"/>
      <c r="M192" s="88">
        <f>SUBTOTAL(9,M191:M191)</f>
        <v>12.680800000000001</v>
      </c>
      <c r="N192" s="90"/>
      <c r="O192" s="90"/>
      <c r="P192" s="56"/>
      <c r="Q192" s="124"/>
      <c r="R192" s="113"/>
      <c r="S192" s="113"/>
      <c r="T192" s="113"/>
      <c r="U192" s="113"/>
    </row>
    <row r="193" spans="1:21" outlineLevel="2" x14ac:dyDescent="0.3">
      <c r="A193" s="91" t="s">
        <v>840</v>
      </c>
      <c r="B193" s="91" t="s">
        <v>488</v>
      </c>
      <c r="C193" s="91" t="str">
        <f>VLOOKUP(B193,Tables!G$2:H$79,2,FALSE)</f>
        <v>Institutional Analysis</v>
      </c>
      <c r="D193" s="90" t="s">
        <v>279</v>
      </c>
      <c r="E193" s="89">
        <v>101</v>
      </c>
      <c r="F193" s="90" t="s">
        <v>54</v>
      </c>
      <c r="G193" s="55" t="str">
        <f>VLOOKUP(F193,Tables!D$2:E$12,2,FALSE)</f>
        <v>MFP</v>
      </c>
      <c r="H193" s="83">
        <v>17099527</v>
      </c>
      <c r="I193" s="85">
        <f t="shared" si="55"/>
        <v>147</v>
      </c>
      <c r="J193" s="85">
        <f t="shared" si="56"/>
        <v>1</v>
      </c>
      <c r="K193" s="87">
        <f t="shared" si="57"/>
        <v>3.0428999999999999</v>
      </c>
      <c r="L193" s="87">
        <f t="shared" si="58"/>
        <v>8.6999999999999994E-2</v>
      </c>
      <c r="M193" s="88">
        <f t="shared" si="59"/>
        <v>3.1299000000000001</v>
      </c>
      <c r="N193" s="90" t="s">
        <v>490</v>
      </c>
      <c r="O193" s="90" t="s">
        <v>491</v>
      </c>
      <c r="P193" s="56">
        <f>IF(G193="MFP",Tables!B$2,Tables!B$5)</f>
        <v>2.07E-2</v>
      </c>
      <c r="Q193" s="124">
        <f>IF(G193="MFP",Tables!B$3,Tables!B$6)</f>
        <v>8.6999999999999994E-2</v>
      </c>
      <c r="R193" s="113">
        <f>VLOOKUP($N193,'Meter Read info'!$C$2:$G$249,2,"FALSE")</f>
        <v>824</v>
      </c>
      <c r="S193" s="113">
        <f>VLOOKUP($N193,'Meter Read info'!$C$2:$G$249,3,"FALSE")</f>
        <v>971</v>
      </c>
      <c r="T193" s="113">
        <f>VLOOKUP($N193,'Meter Read info'!$C$2:$G$249,4,"FALSE")</f>
        <v>12</v>
      </c>
      <c r="U193" s="113">
        <f>VLOOKUP($N193,'Meter Read info'!$C$2:$G$249,5,"FALSE")</f>
        <v>13</v>
      </c>
    </row>
    <row r="194" spans="1:21" ht="31.2" outlineLevel="1" x14ac:dyDescent="0.3">
      <c r="A194" s="91"/>
      <c r="B194" s="107" t="s">
        <v>927</v>
      </c>
      <c r="C194" s="91"/>
      <c r="D194" s="90"/>
      <c r="E194" s="89"/>
      <c r="F194" s="90"/>
      <c r="G194" s="55"/>
      <c r="H194" s="83"/>
      <c r="I194" s="85"/>
      <c r="J194" s="85"/>
      <c r="K194" s="87"/>
      <c r="L194" s="87"/>
      <c r="M194" s="88">
        <f>SUBTOTAL(9,M193:M193)</f>
        <v>3.1299000000000001</v>
      </c>
      <c r="N194" s="90"/>
      <c r="O194" s="90"/>
      <c r="P194" s="56"/>
      <c r="Q194" s="124"/>
      <c r="R194" s="113"/>
      <c r="S194" s="113"/>
      <c r="T194" s="113"/>
      <c r="U194" s="113"/>
    </row>
    <row r="195" spans="1:21" ht="30" outlineLevel="2" x14ac:dyDescent="0.3">
      <c r="A195" s="91" t="s">
        <v>157</v>
      </c>
      <c r="B195" s="91" t="s">
        <v>735</v>
      </c>
      <c r="C195" s="91" t="str">
        <f>VLOOKUP(B195,Tables!G$2:H$79,2,FALSE)</f>
        <v>International Programs</v>
      </c>
      <c r="D195" s="90" t="s">
        <v>158</v>
      </c>
      <c r="E195" s="89">
        <v>101</v>
      </c>
      <c r="F195" s="90" t="s">
        <v>159</v>
      </c>
      <c r="G195" s="55" t="str">
        <f>VLOOKUP(F195,Tables!D$2:E$12,2,FALSE)</f>
        <v>MFP</v>
      </c>
      <c r="H195" s="83">
        <v>17099533</v>
      </c>
      <c r="I195" s="85">
        <f t="shared" si="55"/>
        <v>490</v>
      </c>
      <c r="J195" s="85">
        <f t="shared" si="56"/>
        <v>0</v>
      </c>
      <c r="K195" s="87">
        <f t="shared" si="57"/>
        <v>10.143000000000001</v>
      </c>
      <c r="L195" s="87">
        <f t="shared" si="58"/>
        <v>0</v>
      </c>
      <c r="M195" s="88">
        <f t="shared" si="59"/>
        <v>10.143000000000001</v>
      </c>
      <c r="N195" s="90" t="s">
        <v>160</v>
      </c>
      <c r="O195" s="90" t="s">
        <v>161</v>
      </c>
      <c r="P195" s="56">
        <f>IF(G195="MFP",Tables!B$2,Tables!B$5)</f>
        <v>2.07E-2</v>
      </c>
      <c r="Q195" s="124">
        <f>IF(G195="MFP",Tables!B$3,Tables!B$6)</f>
        <v>8.6999999999999994E-2</v>
      </c>
      <c r="R195" s="113">
        <f>VLOOKUP($N195,'Meter Read info'!$C$2:$G$249,2,"FALSE")</f>
        <v>1902</v>
      </c>
      <c r="S195" s="113">
        <f>VLOOKUP($N195,'Meter Read info'!$C$2:$G$249,3,"FALSE")</f>
        <v>2392</v>
      </c>
      <c r="T195" s="113">
        <f>VLOOKUP($N195,'Meter Read info'!$C$2:$G$249,4,"FALSE")</f>
        <v>0</v>
      </c>
      <c r="U195" s="113">
        <f>VLOOKUP($N195,'Meter Read info'!$C$2:$G$249,5,"FALSE")</f>
        <v>0</v>
      </c>
    </row>
    <row r="196" spans="1:21" ht="30" outlineLevel="2" x14ac:dyDescent="0.3">
      <c r="A196" s="91" t="s">
        <v>157</v>
      </c>
      <c r="B196" s="91" t="s">
        <v>735</v>
      </c>
      <c r="C196" s="91" t="str">
        <f>VLOOKUP(B196,Tables!G$2:H$79,2,FALSE)</f>
        <v>International Programs</v>
      </c>
      <c r="D196" s="90" t="s">
        <v>158</v>
      </c>
      <c r="E196" s="89">
        <v>102</v>
      </c>
      <c r="F196" s="90" t="s">
        <v>92</v>
      </c>
      <c r="G196" s="55" t="str">
        <f>VLOOKUP(F196,Tables!D$2:E$12,2,FALSE)</f>
        <v>PTR</v>
      </c>
      <c r="H196" s="83">
        <v>17099693</v>
      </c>
      <c r="I196" s="85">
        <f t="shared" si="55"/>
        <v>408</v>
      </c>
      <c r="J196" s="85">
        <f t="shared" si="56"/>
        <v>56</v>
      </c>
      <c r="K196" s="87">
        <f t="shared" si="57"/>
        <v>10.6896</v>
      </c>
      <c r="L196" s="87">
        <f t="shared" si="58"/>
        <v>6.6079999999999997</v>
      </c>
      <c r="M196" s="88">
        <f t="shared" si="59"/>
        <v>17.297599999999999</v>
      </c>
      <c r="N196" s="118" t="s">
        <v>775</v>
      </c>
      <c r="O196" s="118" t="s">
        <v>776</v>
      </c>
      <c r="P196" s="56">
        <f>IF(G196="MFP",Tables!B$2,Tables!B$5)</f>
        <v>2.6200000000000001E-2</v>
      </c>
      <c r="Q196" s="124">
        <f>IF(G196="MFP",Tables!B$3,Tables!B$6)</f>
        <v>0.11799999999999999</v>
      </c>
      <c r="R196" s="113">
        <f>VLOOKUP($N196,'Meter Read info'!$C$2:$G$249,2,"FALSE")</f>
        <v>413</v>
      </c>
      <c r="S196" s="113">
        <f>VLOOKUP($N196,'Meter Read info'!$C$2:$G$249,3,"FALSE")</f>
        <v>821</v>
      </c>
      <c r="T196" s="113">
        <f>VLOOKUP($N196,'Meter Read info'!$C$2:$G$249,4,"FALSE")</f>
        <v>197</v>
      </c>
      <c r="U196" s="113">
        <f>VLOOKUP($N196,'Meter Read info'!$C$2:$G$249,5,"FALSE")</f>
        <v>253</v>
      </c>
    </row>
    <row r="197" spans="1:21" ht="31.2" outlineLevel="1" x14ac:dyDescent="0.3">
      <c r="A197" s="91"/>
      <c r="B197" s="107" t="s">
        <v>928</v>
      </c>
      <c r="C197" s="91"/>
      <c r="D197" s="90"/>
      <c r="E197" s="89"/>
      <c r="F197" s="90"/>
      <c r="G197" s="55"/>
      <c r="H197" s="83"/>
      <c r="I197" s="85"/>
      <c r="J197" s="85"/>
      <c r="K197" s="87"/>
      <c r="L197" s="87"/>
      <c r="M197" s="88">
        <f>SUBTOTAL(9,M195:M196)</f>
        <v>27.4406</v>
      </c>
      <c r="N197" s="118"/>
      <c r="O197" s="118"/>
      <c r="P197" s="56"/>
      <c r="Q197" s="124"/>
      <c r="R197" s="113"/>
      <c r="S197" s="113"/>
      <c r="T197" s="113"/>
      <c r="U197" s="113"/>
    </row>
    <row r="198" spans="1:21" ht="30" outlineLevel="2" x14ac:dyDescent="0.3">
      <c r="A198" s="91" t="s">
        <v>155</v>
      </c>
      <c r="B198" s="91" t="s">
        <v>734</v>
      </c>
      <c r="C198" s="91" t="str">
        <f>VLOOKUP(B198,Tables!G$2:H$79,2,FALSE)</f>
        <v>International Studies Depart</v>
      </c>
      <c r="D198" s="90" t="s">
        <v>98</v>
      </c>
      <c r="E198" s="89">
        <v>429</v>
      </c>
      <c r="F198" s="90" t="s">
        <v>15</v>
      </c>
      <c r="G198" s="55" t="str">
        <f>VLOOKUP(F198,Tables!D$2:E$12,2,FALSE)</f>
        <v>PTR</v>
      </c>
      <c r="H198" s="83">
        <v>17099547</v>
      </c>
      <c r="I198" s="85">
        <f t="shared" si="55"/>
        <v>451</v>
      </c>
      <c r="J198" s="85">
        <f t="shared" si="56"/>
        <v>0</v>
      </c>
      <c r="K198" s="87">
        <f t="shared" si="57"/>
        <v>11.8162</v>
      </c>
      <c r="L198" s="87">
        <f t="shared" si="58"/>
        <v>0</v>
      </c>
      <c r="M198" s="88">
        <f t="shared" si="59"/>
        <v>11.8162</v>
      </c>
      <c r="N198" s="90" t="s">
        <v>162</v>
      </c>
      <c r="O198" s="90" t="s">
        <v>163</v>
      </c>
      <c r="P198" s="56">
        <f>IF(G198="MFP",Tables!B$2,Tables!B$5)</f>
        <v>2.6200000000000001E-2</v>
      </c>
      <c r="Q198" s="124">
        <f>IF(G198="MFP",Tables!B$3,Tables!B$6)</f>
        <v>0.11799999999999999</v>
      </c>
      <c r="R198" s="113">
        <f>VLOOKUP($N198,'Meter Read info'!$C$2:$G$249,2,"FALSE")</f>
        <v>3155</v>
      </c>
      <c r="S198" s="113">
        <f>VLOOKUP($N198,'Meter Read info'!$C$2:$G$249,3,"FALSE")</f>
        <v>3606</v>
      </c>
      <c r="T198" s="113">
        <f>VLOOKUP($N198,'Meter Read info'!$C$2:$G$249,4,"FALSE")</f>
        <v>0</v>
      </c>
      <c r="U198" s="113">
        <f>VLOOKUP($N198,'Meter Read info'!$C$2:$G$249,5,"FALSE")</f>
        <v>0</v>
      </c>
    </row>
    <row r="199" spans="1:21" ht="30" outlineLevel="2" x14ac:dyDescent="0.3">
      <c r="A199" s="91" t="s">
        <v>155</v>
      </c>
      <c r="B199" s="91" t="s">
        <v>734</v>
      </c>
      <c r="C199" s="91" t="str">
        <f>VLOOKUP(B199,Tables!G$2:H$79,2,FALSE)</f>
        <v>International Studies Depart</v>
      </c>
      <c r="D199" s="90" t="s">
        <v>98</v>
      </c>
      <c r="E199" s="89">
        <v>432</v>
      </c>
      <c r="F199" s="118" t="s">
        <v>15</v>
      </c>
      <c r="G199" s="55" t="str">
        <f>VLOOKUP(F199,Tables!D$2:E$12,2,FALSE)</f>
        <v>PTR</v>
      </c>
      <c r="H199" s="83">
        <v>17099549</v>
      </c>
      <c r="I199" s="85">
        <f t="shared" si="55"/>
        <v>1085</v>
      </c>
      <c r="J199" s="85">
        <f t="shared" si="56"/>
        <v>0</v>
      </c>
      <c r="K199" s="87">
        <f t="shared" si="57"/>
        <v>28.427</v>
      </c>
      <c r="L199" s="87">
        <f t="shared" si="58"/>
        <v>0</v>
      </c>
      <c r="M199" s="88">
        <f t="shared" si="59"/>
        <v>28.427</v>
      </c>
      <c r="N199" s="118" t="s">
        <v>779</v>
      </c>
      <c r="O199" s="118" t="s">
        <v>780</v>
      </c>
      <c r="P199" s="56">
        <f>IF(G199="MFP",Tables!B$2,Tables!B$5)</f>
        <v>2.6200000000000001E-2</v>
      </c>
      <c r="Q199" s="124">
        <f>IF(G199="MFP",Tables!B$3,Tables!B$6)</f>
        <v>0.11799999999999999</v>
      </c>
      <c r="R199" s="113">
        <f>VLOOKUP($N199,'Meter Read info'!$C$2:$G$249,2,"FALSE")</f>
        <v>4077</v>
      </c>
      <c r="S199" s="113">
        <f>VLOOKUP($N199,'Meter Read info'!$C$2:$G$249,3,"FALSE")</f>
        <v>5162</v>
      </c>
      <c r="T199" s="113">
        <f>VLOOKUP($N199,'Meter Read info'!$C$2:$G$249,4,"FALSE")</f>
        <v>0</v>
      </c>
      <c r="U199" s="113">
        <f>VLOOKUP($N199,'Meter Read info'!$C$2:$G$249,5,"FALSE")</f>
        <v>0</v>
      </c>
    </row>
    <row r="200" spans="1:21" ht="30" outlineLevel="2" x14ac:dyDescent="0.3">
      <c r="A200" s="91" t="s">
        <v>155</v>
      </c>
      <c r="B200" s="91" t="s">
        <v>734</v>
      </c>
      <c r="C200" s="91" t="str">
        <f>VLOOKUP(B200,Tables!G$2:H$79,2,FALSE)</f>
        <v>International Studies Depart</v>
      </c>
      <c r="D200" s="90" t="s">
        <v>98</v>
      </c>
      <c r="E200" s="89">
        <v>434</v>
      </c>
      <c r="F200" s="90" t="s">
        <v>15</v>
      </c>
      <c r="G200" s="55" t="str">
        <f>VLOOKUP(F200,Tables!D$2:E$12,2,FALSE)</f>
        <v>PTR</v>
      </c>
      <c r="H200" s="83">
        <v>17099550</v>
      </c>
      <c r="I200" s="85">
        <f t="shared" si="55"/>
        <v>68</v>
      </c>
      <c r="J200" s="85">
        <f t="shared" si="56"/>
        <v>0</v>
      </c>
      <c r="K200" s="87">
        <f t="shared" si="57"/>
        <v>1.7816000000000001</v>
      </c>
      <c r="L200" s="87">
        <f t="shared" si="58"/>
        <v>0</v>
      </c>
      <c r="M200" s="88">
        <f t="shared" si="59"/>
        <v>1.7816000000000001</v>
      </c>
      <c r="N200" s="90" t="s">
        <v>164</v>
      </c>
      <c r="O200" s="90" t="s">
        <v>165</v>
      </c>
      <c r="P200" s="56">
        <f>IF(G200="MFP",Tables!B$2,Tables!B$5)</f>
        <v>2.6200000000000001E-2</v>
      </c>
      <c r="Q200" s="124">
        <f>IF(G200="MFP",Tables!B$3,Tables!B$6)</f>
        <v>0.11799999999999999</v>
      </c>
      <c r="R200" s="113">
        <f>VLOOKUP($N200,'Meter Read info'!$C$2:$G$249,2,"FALSE")</f>
        <v>914</v>
      </c>
      <c r="S200" s="113">
        <f>VLOOKUP($N200,'Meter Read info'!$C$2:$G$249,3,"FALSE")</f>
        <v>982</v>
      </c>
      <c r="T200" s="113">
        <f>VLOOKUP($N200,'Meter Read info'!$C$2:$G$249,4,"FALSE")</f>
        <v>0</v>
      </c>
      <c r="U200" s="113">
        <f>VLOOKUP($N200,'Meter Read info'!$C$2:$G$249,5,"FALSE")</f>
        <v>0</v>
      </c>
    </row>
    <row r="201" spans="1:21" ht="30" outlineLevel="2" x14ac:dyDescent="0.3">
      <c r="A201" s="91" t="s">
        <v>155</v>
      </c>
      <c r="B201" s="91" t="s">
        <v>734</v>
      </c>
      <c r="C201" s="91" t="str">
        <f>VLOOKUP(B201,Tables!G$2:H$79,2,FALSE)</f>
        <v>International Studies Depart</v>
      </c>
      <c r="D201" s="90" t="s">
        <v>98</v>
      </c>
      <c r="E201" s="89">
        <v>444</v>
      </c>
      <c r="F201" s="118" t="s">
        <v>777</v>
      </c>
      <c r="G201" s="55" t="str">
        <f>VLOOKUP(F201,Tables!D$2:E$12,2,FALSE)</f>
        <v>MFP</v>
      </c>
      <c r="H201" s="83">
        <v>17099404</v>
      </c>
      <c r="I201" s="85">
        <f t="shared" si="55"/>
        <v>14948</v>
      </c>
      <c r="J201" s="85">
        <f t="shared" si="56"/>
        <v>0</v>
      </c>
      <c r="K201" s="87">
        <f t="shared" si="57"/>
        <v>309.42360000000002</v>
      </c>
      <c r="L201" s="87">
        <f t="shared" si="58"/>
        <v>0</v>
      </c>
      <c r="M201" s="88">
        <f t="shared" si="59"/>
        <v>309.42360000000002</v>
      </c>
      <c r="N201" s="118" t="s">
        <v>778</v>
      </c>
      <c r="O201" s="118" t="s">
        <v>191</v>
      </c>
      <c r="P201" s="56">
        <f>IF(G201="MFP",Tables!B$2,Tables!B$5)</f>
        <v>2.07E-2</v>
      </c>
      <c r="Q201" s="124">
        <f>IF(G201="MFP",Tables!B$3,Tables!B$6)</f>
        <v>8.6999999999999994E-2</v>
      </c>
      <c r="R201" s="113">
        <f>VLOOKUP($N201,'Meter Read info'!$C$2:$G$249,2,"FALSE")</f>
        <v>24677</v>
      </c>
      <c r="S201" s="113">
        <f>VLOOKUP($N201,'Meter Read info'!$C$2:$G$249,3,"FALSE")</f>
        <v>39625</v>
      </c>
      <c r="T201" s="113">
        <f>VLOOKUP($N201,'Meter Read info'!$C$2:$G$249,4,"FALSE")</f>
        <v>1530</v>
      </c>
      <c r="U201" s="113">
        <f>VLOOKUP($N201,'Meter Read info'!$C$2:$G$249,5,"FALSE")</f>
        <v>1530</v>
      </c>
    </row>
    <row r="202" spans="1:21" ht="31.2" outlineLevel="1" x14ac:dyDescent="0.3">
      <c r="A202" s="91"/>
      <c r="B202" s="107" t="s">
        <v>929</v>
      </c>
      <c r="C202" s="91"/>
      <c r="D202" s="90"/>
      <c r="E202" s="89"/>
      <c r="F202" s="118"/>
      <c r="G202" s="55"/>
      <c r="H202" s="83"/>
      <c r="I202" s="85"/>
      <c r="J202" s="85"/>
      <c r="K202" s="87"/>
      <c r="L202" s="87"/>
      <c r="M202" s="88">
        <f>SUBTOTAL(9,M198:M201)</f>
        <v>351.44839999999999</v>
      </c>
      <c r="N202" s="118"/>
      <c r="O202" s="118"/>
      <c r="P202" s="56"/>
      <c r="Q202" s="124"/>
      <c r="R202" s="113"/>
      <c r="S202" s="113"/>
      <c r="T202" s="113"/>
      <c r="U202" s="113"/>
    </row>
    <row r="203" spans="1:21" ht="30" outlineLevel="2" x14ac:dyDescent="0.3">
      <c r="A203" s="91" t="s">
        <v>562</v>
      </c>
      <c r="B203" s="91" t="s">
        <v>563</v>
      </c>
      <c r="C203" s="91" t="str">
        <f>VLOOKUP(B203,Tables!G$2:H$79,2,FALSE)</f>
        <v>AUX-Laundry &amp; Pressing</v>
      </c>
      <c r="D203" s="90" t="s">
        <v>556</v>
      </c>
      <c r="E203" s="89">
        <v>201</v>
      </c>
      <c r="F203" s="90" t="s">
        <v>159</v>
      </c>
      <c r="G203" s="55" t="str">
        <f>VLOOKUP(F203,Tables!D$2:E$12,2,FALSE)</f>
        <v>MFP</v>
      </c>
      <c r="H203" s="83">
        <v>17099401</v>
      </c>
      <c r="I203" s="85">
        <f t="shared" si="55"/>
        <v>1504</v>
      </c>
      <c r="J203" s="85">
        <f t="shared" si="56"/>
        <v>0</v>
      </c>
      <c r="K203" s="87">
        <f t="shared" si="57"/>
        <v>31.1328</v>
      </c>
      <c r="L203" s="87">
        <f t="shared" si="58"/>
        <v>0</v>
      </c>
      <c r="M203" s="88">
        <f t="shared" si="59"/>
        <v>31.1328</v>
      </c>
      <c r="N203" s="90" t="s">
        <v>565</v>
      </c>
      <c r="O203" s="90" t="s">
        <v>566</v>
      </c>
      <c r="P203" s="56">
        <f>IF(G203="MFP",Tables!B$2,Tables!B$5)</f>
        <v>2.07E-2</v>
      </c>
      <c r="Q203" s="124">
        <f>IF(G203="MFP",Tables!B$3,Tables!B$6)</f>
        <v>8.6999999999999994E-2</v>
      </c>
      <c r="R203" s="113">
        <f>VLOOKUP($N203,'Meter Read info'!$C$2:$G$249,2,"FALSE")</f>
        <v>4566</v>
      </c>
      <c r="S203" s="113">
        <f>VLOOKUP($N203,'Meter Read info'!$C$2:$G$249,3,"FALSE")</f>
        <v>6070</v>
      </c>
      <c r="T203" s="113">
        <f>VLOOKUP($N203,'Meter Read info'!$C$2:$G$249,4,"FALSE")</f>
        <v>0</v>
      </c>
      <c r="U203" s="113">
        <f>VLOOKUP($N203,'Meter Read info'!$C$2:$G$249,5,"FALSE")</f>
        <v>0</v>
      </c>
    </row>
    <row r="204" spans="1:21" ht="30" outlineLevel="2" x14ac:dyDescent="0.3">
      <c r="A204" s="91" t="s">
        <v>562</v>
      </c>
      <c r="B204" s="91" t="s">
        <v>563</v>
      </c>
      <c r="C204" s="91" t="str">
        <f>VLOOKUP(B204,Tables!G$2:H$79,2,FALSE)</f>
        <v>AUX-Laundry &amp; Pressing</v>
      </c>
      <c r="D204" s="90" t="s">
        <v>556</v>
      </c>
      <c r="E204" s="89">
        <v>201</v>
      </c>
      <c r="F204" s="90" t="s">
        <v>92</v>
      </c>
      <c r="G204" s="55" t="str">
        <f>VLOOKUP(F204,Tables!D$2:E$12,2,FALSE)</f>
        <v>PTR</v>
      </c>
      <c r="H204" s="83">
        <v>17099622</v>
      </c>
      <c r="I204" s="85">
        <f t="shared" si="55"/>
        <v>13</v>
      </c>
      <c r="J204" s="85">
        <f t="shared" si="56"/>
        <v>10</v>
      </c>
      <c r="K204" s="87">
        <f t="shared" si="57"/>
        <v>0.34060000000000001</v>
      </c>
      <c r="L204" s="87">
        <f t="shared" si="58"/>
        <v>1.18</v>
      </c>
      <c r="M204" s="88">
        <f t="shared" si="59"/>
        <v>1.5206</v>
      </c>
      <c r="N204" s="90" t="s">
        <v>567</v>
      </c>
      <c r="O204" s="90" t="s">
        <v>568</v>
      </c>
      <c r="P204" s="56">
        <f>IF(G204="MFP",Tables!B$2,Tables!B$5)</f>
        <v>2.6200000000000001E-2</v>
      </c>
      <c r="Q204" s="124">
        <f>IF(G204="MFP",Tables!B$3,Tables!B$6)</f>
        <v>0.11799999999999999</v>
      </c>
      <c r="R204" s="113">
        <f>VLOOKUP($N204,'Meter Read info'!$C$2:$G$249,2,"FALSE")</f>
        <v>27</v>
      </c>
      <c r="S204" s="113">
        <f>VLOOKUP($N204,'Meter Read info'!$C$2:$G$249,3,"FALSE")</f>
        <v>40</v>
      </c>
      <c r="T204" s="113">
        <f>VLOOKUP($N204,'Meter Read info'!$C$2:$G$249,4,"FALSE")</f>
        <v>28</v>
      </c>
      <c r="U204" s="113">
        <f>VLOOKUP($N204,'Meter Read info'!$C$2:$G$249,5,"FALSE")</f>
        <v>38</v>
      </c>
    </row>
    <row r="205" spans="1:21" ht="31.2" outlineLevel="1" x14ac:dyDescent="0.3">
      <c r="A205" s="91"/>
      <c r="B205" s="107" t="s">
        <v>930</v>
      </c>
      <c r="C205" s="91"/>
      <c r="D205" s="90"/>
      <c r="E205" s="89"/>
      <c r="F205" s="90"/>
      <c r="G205" s="55"/>
      <c r="H205" s="83"/>
      <c r="I205" s="85"/>
      <c r="J205" s="85"/>
      <c r="K205" s="87"/>
      <c r="L205" s="87"/>
      <c r="M205" s="88">
        <f>SUBTOTAL(9,M203:M204)</f>
        <v>32.653399999999998</v>
      </c>
      <c r="N205" s="90"/>
      <c r="O205" s="90"/>
      <c r="P205" s="56"/>
      <c r="Q205" s="124"/>
      <c r="R205" s="113"/>
      <c r="S205" s="113"/>
      <c r="T205" s="113"/>
      <c r="U205" s="113"/>
    </row>
    <row r="206" spans="1:21" outlineLevel="2" x14ac:dyDescent="0.3">
      <c r="A206" s="91" t="s">
        <v>326</v>
      </c>
      <c r="B206" s="91" t="s">
        <v>327</v>
      </c>
      <c r="C206" s="91" t="str">
        <f>VLOOKUP(B206,Tables!G$2:H$79,2,FALSE)</f>
        <v>Learning Programs</v>
      </c>
      <c r="D206" s="90" t="s">
        <v>223</v>
      </c>
      <c r="E206" s="89">
        <v>209</v>
      </c>
      <c r="F206" s="90" t="s">
        <v>15</v>
      </c>
      <c r="G206" s="55" t="str">
        <f>VLOOKUP(F206,Tables!D$2:E$12,2,FALSE)</f>
        <v>PTR</v>
      </c>
      <c r="H206" s="83">
        <v>17099577</v>
      </c>
      <c r="I206" s="85">
        <f t="shared" si="55"/>
        <v>0</v>
      </c>
      <c r="J206" s="85">
        <f t="shared" si="56"/>
        <v>0</v>
      </c>
      <c r="K206" s="87">
        <f t="shared" si="57"/>
        <v>0</v>
      </c>
      <c r="L206" s="87">
        <f t="shared" si="58"/>
        <v>0</v>
      </c>
      <c r="M206" s="88">
        <f t="shared" si="59"/>
        <v>0</v>
      </c>
      <c r="N206" s="90" t="s">
        <v>305</v>
      </c>
      <c r="O206" s="90" t="s">
        <v>306</v>
      </c>
      <c r="P206" s="56">
        <f>IF(G206="MFP",Tables!B$2,Tables!B$5)</f>
        <v>2.6200000000000001E-2</v>
      </c>
      <c r="Q206" s="124">
        <f>IF(G206="MFP",Tables!B$3,Tables!B$6)</f>
        <v>0.11799999999999999</v>
      </c>
      <c r="R206" s="113">
        <f>VLOOKUP($N206,'Meter Read info'!$C$2:$G$249,2,"FALSE")</f>
        <v>8</v>
      </c>
      <c r="S206" s="113">
        <f>VLOOKUP($N206,'Meter Read info'!$C$2:$G$249,3,"FALSE")</f>
        <v>8</v>
      </c>
      <c r="T206" s="113">
        <f>VLOOKUP($N206,'Meter Read info'!$C$2:$G$249,4,"FALSE")</f>
        <v>0</v>
      </c>
      <c r="U206" s="113">
        <f>VLOOKUP($N206,'Meter Read info'!$C$2:$G$249,5,"FALSE")</f>
        <v>0</v>
      </c>
    </row>
    <row r="207" spans="1:21" outlineLevel="2" x14ac:dyDescent="0.3">
      <c r="A207" s="91" t="s">
        <v>326</v>
      </c>
      <c r="B207" s="91" t="s">
        <v>327</v>
      </c>
      <c r="C207" s="91" t="str">
        <f>VLOOKUP(B207,Tables!G$2:H$79,2,FALSE)</f>
        <v>Learning Programs</v>
      </c>
      <c r="D207" s="90" t="s">
        <v>223</v>
      </c>
      <c r="E207" s="89" t="s">
        <v>329</v>
      </c>
      <c r="F207" s="90" t="s">
        <v>15</v>
      </c>
      <c r="G207" s="55" t="str">
        <f>VLOOKUP(F207,Tables!D$2:E$12,2,FALSE)</f>
        <v>PTR</v>
      </c>
      <c r="H207" s="83">
        <v>17099754</v>
      </c>
      <c r="I207" s="85">
        <f t="shared" si="55"/>
        <v>644</v>
      </c>
      <c r="J207" s="85">
        <f t="shared" si="56"/>
        <v>0</v>
      </c>
      <c r="K207" s="87">
        <f t="shared" si="57"/>
        <v>16.872800000000002</v>
      </c>
      <c r="L207" s="87">
        <f t="shared" si="58"/>
        <v>0</v>
      </c>
      <c r="M207" s="88">
        <f t="shared" si="59"/>
        <v>16.872800000000002</v>
      </c>
      <c r="N207" s="90" t="s">
        <v>330</v>
      </c>
      <c r="O207" s="90" t="s">
        <v>331</v>
      </c>
      <c r="P207" s="56">
        <f>IF(G207="MFP",Tables!B$2,Tables!B$5)</f>
        <v>2.6200000000000001E-2</v>
      </c>
      <c r="Q207" s="124">
        <f>IF(G207="MFP",Tables!B$3,Tables!B$6)</f>
        <v>0.11799999999999999</v>
      </c>
      <c r="R207" s="113">
        <f>VLOOKUP($N207,'Meter Read info'!$C$2:$G$249,2,"FALSE")</f>
        <v>3299</v>
      </c>
      <c r="S207" s="113">
        <f>VLOOKUP($N207,'Meter Read info'!$C$2:$G$249,3,"FALSE")</f>
        <v>3943</v>
      </c>
      <c r="T207" s="113">
        <f>VLOOKUP($N207,'Meter Read info'!$C$2:$G$249,4,"FALSE")</f>
        <v>0</v>
      </c>
      <c r="U207" s="113">
        <f>VLOOKUP($N207,'Meter Read info'!$C$2:$G$249,5,"FALSE")</f>
        <v>0</v>
      </c>
    </row>
    <row r="208" spans="1:21" ht="31.2" outlineLevel="1" x14ac:dyDescent="0.3">
      <c r="A208" s="91"/>
      <c r="B208" s="107" t="s">
        <v>931</v>
      </c>
      <c r="C208" s="91"/>
      <c r="D208" s="90"/>
      <c r="E208" s="89"/>
      <c r="F208" s="90"/>
      <c r="G208" s="55"/>
      <c r="H208" s="83"/>
      <c r="I208" s="85"/>
      <c r="J208" s="85"/>
      <c r="K208" s="87"/>
      <c r="L208" s="87"/>
      <c r="M208" s="88">
        <f>SUBTOTAL(9,M206:M207)</f>
        <v>16.872800000000002</v>
      </c>
      <c r="N208" s="90"/>
      <c r="O208" s="90"/>
      <c r="P208" s="56"/>
      <c r="Q208" s="124"/>
      <c r="R208" s="113"/>
      <c r="S208" s="113"/>
      <c r="T208" s="113"/>
      <c r="U208" s="113"/>
    </row>
    <row r="209" spans="1:21" outlineLevel="2" x14ac:dyDescent="0.3">
      <c r="A209" s="91" t="s">
        <v>477</v>
      </c>
      <c r="B209" s="91" t="s">
        <v>478</v>
      </c>
      <c r="C209" s="91" t="str">
        <f>VLOOKUP(B209,Tables!G$2:H$79,2,FALSE)</f>
        <v>Post Mail</v>
      </c>
      <c r="D209" s="90" t="s">
        <v>428</v>
      </c>
      <c r="E209" s="89" t="s">
        <v>480</v>
      </c>
      <c r="F209" s="90" t="s">
        <v>159</v>
      </c>
      <c r="G209" s="55" t="str">
        <f>VLOOKUP(F209,Tables!D$2:E$12,2,FALSE)</f>
        <v>MFP</v>
      </c>
      <c r="H209" s="83">
        <v>17099535</v>
      </c>
      <c r="I209" s="85">
        <f t="shared" si="55"/>
        <v>1123</v>
      </c>
      <c r="J209" s="85">
        <f t="shared" si="56"/>
        <v>0</v>
      </c>
      <c r="K209" s="87">
        <f t="shared" si="57"/>
        <v>23.246099999999998</v>
      </c>
      <c r="L209" s="87">
        <f t="shared" si="58"/>
        <v>0</v>
      </c>
      <c r="M209" s="88">
        <f t="shared" si="59"/>
        <v>23.246099999999998</v>
      </c>
      <c r="N209" s="90" t="s">
        <v>481</v>
      </c>
      <c r="O209" s="90" t="s">
        <v>482</v>
      </c>
      <c r="P209" s="56">
        <f>IF(G209="MFP",Tables!B$2,Tables!B$5)</f>
        <v>2.07E-2</v>
      </c>
      <c r="Q209" s="124">
        <f>IF(G209="MFP",Tables!B$3,Tables!B$6)</f>
        <v>8.6999999999999994E-2</v>
      </c>
      <c r="R209" s="113">
        <f>VLOOKUP($N209,'Meter Read info'!$C$2:$G$249,2,"FALSE")</f>
        <v>5655</v>
      </c>
      <c r="S209" s="113">
        <f>VLOOKUP($N209,'Meter Read info'!$C$2:$G$249,3,"FALSE")</f>
        <v>6778</v>
      </c>
      <c r="T209" s="113">
        <f>VLOOKUP($N209,'Meter Read info'!$C$2:$G$249,4,"FALSE")</f>
        <v>0</v>
      </c>
      <c r="U209" s="113">
        <f>VLOOKUP($N209,'Meter Read info'!$C$2:$G$249,5,"FALSE")</f>
        <v>0</v>
      </c>
    </row>
    <row r="210" spans="1:21" ht="31.2" outlineLevel="1" x14ac:dyDescent="0.3">
      <c r="A210" s="91"/>
      <c r="B210" s="107" t="s">
        <v>932</v>
      </c>
      <c r="C210" s="91"/>
      <c r="D210" s="90"/>
      <c r="E210" s="89"/>
      <c r="F210" s="90"/>
      <c r="G210" s="55"/>
      <c r="H210" s="83"/>
      <c r="I210" s="85"/>
      <c r="J210" s="85"/>
      <c r="K210" s="87"/>
      <c r="L210" s="87"/>
      <c r="M210" s="88">
        <f>SUBTOTAL(9,M209:M209)</f>
        <v>23.246099999999998</v>
      </c>
      <c r="N210" s="90"/>
      <c r="O210" s="90"/>
      <c r="P210" s="56"/>
      <c r="Q210" s="124"/>
      <c r="R210" s="113"/>
      <c r="S210" s="113"/>
      <c r="T210" s="113"/>
      <c r="U210" s="113"/>
    </row>
    <row r="211" spans="1:21" ht="30" outlineLevel="2" x14ac:dyDescent="0.3">
      <c r="A211" s="91" t="s">
        <v>754</v>
      </c>
      <c r="B211" s="91" t="s">
        <v>166</v>
      </c>
      <c r="C211" s="91" t="str">
        <f>VLOOKUP(B211,Tables!G$2:H$79,2,FALSE)</f>
        <v>Mathematics</v>
      </c>
      <c r="D211" s="90" t="s">
        <v>168</v>
      </c>
      <c r="E211" s="89">
        <v>415</v>
      </c>
      <c r="F211" s="90" t="s">
        <v>15</v>
      </c>
      <c r="G211" s="55" t="str">
        <f>VLOOKUP(F211,Tables!D$2:E$12,2,FALSE)</f>
        <v>PTR</v>
      </c>
      <c r="H211" s="83">
        <v>17099579</v>
      </c>
      <c r="I211" s="85">
        <f t="shared" si="55"/>
        <v>606</v>
      </c>
      <c r="J211" s="85">
        <f t="shared" si="56"/>
        <v>0</v>
      </c>
      <c r="K211" s="87">
        <f t="shared" si="57"/>
        <v>15.8772</v>
      </c>
      <c r="L211" s="87">
        <f t="shared" si="58"/>
        <v>0</v>
      </c>
      <c r="M211" s="88">
        <f t="shared" si="59"/>
        <v>15.8772</v>
      </c>
      <c r="N211" s="90" t="s">
        <v>171</v>
      </c>
      <c r="O211" s="90" t="s">
        <v>172</v>
      </c>
      <c r="P211" s="56">
        <f>IF(G211="MFP",Tables!B$2,Tables!B$5)</f>
        <v>2.6200000000000001E-2</v>
      </c>
      <c r="Q211" s="124">
        <f>IF(G211="MFP",Tables!B$3,Tables!B$6)</f>
        <v>0.11799999999999999</v>
      </c>
      <c r="R211" s="113">
        <f>VLOOKUP($N211,'Meter Read info'!$C$2:$G$249,2,"FALSE")</f>
        <v>1925</v>
      </c>
      <c r="S211" s="113">
        <f>VLOOKUP($N211,'Meter Read info'!$C$2:$G$249,3,"FALSE")</f>
        <v>2531</v>
      </c>
      <c r="T211" s="113">
        <f>VLOOKUP($N211,'Meter Read info'!$C$2:$G$249,4,"FALSE")</f>
        <v>0</v>
      </c>
      <c r="U211" s="113">
        <f>VLOOKUP($N211,'Meter Read info'!$C$2:$G$249,5,"FALSE")</f>
        <v>0</v>
      </c>
    </row>
    <row r="212" spans="1:21" ht="30" outlineLevel="2" x14ac:dyDescent="0.3">
      <c r="A212" s="91" t="s">
        <v>754</v>
      </c>
      <c r="B212" s="91" t="s">
        <v>166</v>
      </c>
      <c r="C212" s="91" t="str">
        <f>VLOOKUP(B212,Tables!G$2:H$79,2,FALSE)</f>
        <v>Mathematics</v>
      </c>
      <c r="D212" s="90" t="s">
        <v>168</v>
      </c>
      <c r="E212" s="89">
        <v>416</v>
      </c>
      <c r="F212" s="90" t="s">
        <v>84</v>
      </c>
      <c r="G212" s="55" t="str">
        <f>VLOOKUP(F212,Tables!D$2:E$12,2,FALSE)</f>
        <v>MFP</v>
      </c>
      <c r="H212" s="83">
        <v>17099492</v>
      </c>
      <c r="I212" s="85">
        <f t="shared" si="55"/>
        <v>26469</v>
      </c>
      <c r="J212" s="85">
        <f t="shared" si="56"/>
        <v>1689</v>
      </c>
      <c r="K212" s="87">
        <f t="shared" si="57"/>
        <v>547.90829999999994</v>
      </c>
      <c r="L212" s="87">
        <f t="shared" si="58"/>
        <v>146.94299999999998</v>
      </c>
      <c r="M212" s="88">
        <f t="shared" si="59"/>
        <v>694.85129999999992</v>
      </c>
      <c r="N212" s="90" t="s">
        <v>169</v>
      </c>
      <c r="O212" s="90" t="s">
        <v>170</v>
      </c>
      <c r="P212" s="56">
        <f>IF(G212="MFP",Tables!B$2,Tables!B$5)</f>
        <v>2.07E-2</v>
      </c>
      <c r="Q212" s="124">
        <f>IF(G212="MFP",Tables!B$3,Tables!B$6)</f>
        <v>8.6999999999999994E-2</v>
      </c>
      <c r="R212" s="113">
        <f>VLOOKUP($N212,'Meter Read info'!$C$2:$G$249,2,"FALSE")</f>
        <v>151912</v>
      </c>
      <c r="S212" s="113">
        <f>VLOOKUP($N212,'Meter Read info'!$C$2:$G$249,3,"FALSE")</f>
        <v>178381</v>
      </c>
      <c r="T212" s="113">
        <f>VLOOKUP($N212,'Meter Read info'!$C$2:$G$249,4,"FALSE")</f>
        <v>14364</v>
      </c>
      <c r="U212" s="113">
        <f>VLOOKUP($N212,'Meter Read info'!$C$2:$G$249,5,"FALSE")</f>
        <v>16053</v>
      </c>
    </row>
    <row r="213" spans="1:21" ht="30" outlineLevel="2" x14ac:dyDescent="0.3">
      <c r="A213" s="91" t="s">
        <v>754</v>
      </c>
      <c r="B213" s="91" t="s">
        <v>166</v>
      </c>
      <c r="C213" s="91" t="str">
        <f>VLOOKUP(B213,Tables!G$2:H$79,2,FALSE)</f>
        <v>Mathematics</v>
      </c>
      <c r="D213" s="90" t="s">
        <v>168</v>
      </c>
      <c r="E213" s="89">
        <v>425</v>
      </c>
      <c r="F213" s="90" t="s">
        <v>15</v>
      </c>
      <c r="G213" s="55" t="str">
        <f>VLOOKUP(F213,Tables!D$2:E$12,2,FALSE)</f>
        <v>PTR</v>
      </c>
      <c r="H213" s="83">
        <v>17099582</v>
      </c>
      <c r="I213" s="85">
        <f t="shared" si="55"/>
        <v>194</v>
      </c>
      <c r="J213" s="85">
        <f t="shared" si="56"/>
        <v>0</v>
      </c>
      <c r="K213" s="87">
        <f t="shared" si="57"/>
        <v>5.0828000000000007</v>
      </c>
      <c r="L213" s="87">
        <f t="shared" si="58"/>
        <v>0</v>
      </c>
      <c r="M213" s="88">
        <f t="shared" si="59"/>
        <v>5.0828000000000007</v>
      </c>
      <c r="N213" s="90" t="s">
        <v>173</v>
      </c>
      <c r="O213" s="90" t="s">
        <v>174</v>
      </c>
      <c r="P213" s="56">
        <f>IF(G213="MFP",Tables!B$2,Tables!B$5)</f>
        <v>2.6200000000000001E-2</v>
      </c>
      <c r="Q213" s="124">
        <f>IF(G213="MFP",Tables!B$3,Tables!B$6)</f>
        <v>0.11799999999999999</v>
      </c>
      <c r="R213" s="113">
        <f>VLOOKUP($N213,'Meter Read info'!$C$2:$G$249,2,"FALSE")</f>
        <v>1508</v>
      </c>
      <c r="S213" s="113">
        <f>VLOOKUP($N213,'Meter Read info'!$C$2:$G$249,3,"FALSE")</f>
        <v>1702</v>
      </c>
      <c r="T213" s="113">
        <f>VLOOKUP($N213,'Meter Read info'!$C$2:$G$249,4,"FALSE")</f>
        <v>0</v>
      </c>
      <c r="U213" s="113">
        <f>VLOOKUP($N213,'Meter Read info'!$C$2:$G$249,5,"FALSE")</f>
        <v>0</v>
      </c>
    </row>
    <row r="214" spans="1:21" ht="31.2" outlineLevel="1" x14ac:dyDescent="0.3">
      <c r="A214" s="91"/>
      <c r="B214" s="107" t="s">
        <v>933</v>
      </c>
      <c r="C214" s="91"/>
      <c r="D214" s="90"/>
      <c r="E214" s="89"/>
      <c r="F214" s="90"/>
      <c r="G214" s="55"/>
      <c r="H214" s="83"/>
      <c r="I214" s="85"/>
      <c r="J214" s="85"/>
      <c r="K214" s="87"/>
      <c r="L214" s="87"/>
      <c r="M214" s="88">
        <f>SUBTOTAL(9,M211:M213)</f>
        <v>715.81129999999996</v>
      </c>
      <c r="N214" s="90"/>
      <c r="O214" s="90"/>
      <c r="P214" s="56"/>
      <c r="Q214" s="124"/>
      <c r="R214" s="113"/>
      <c r="S214" s="113"/>
      <c r="T214" s="113"/>
      <c r="U214" s="113"/>
    </row>
    <row r="215" spans="1:21" ht="30" outlineLevel="2" x14ac:dyDescent="0.3">
      <c r="A215" s="91" t="s">
        <v>754</v>
      </c>
      <c r="B215" s="91" t="s">
        <v>426</v>
      </c>
      <c r="C215" s="91" t="str">
        <f>VLOOKUP(B215,Tables!G$2:H$79,2,FALSE)</f>
        <v>Printer Services</v>
      </c>
      <c r="D215" s="90" t="s">
        <v>168</v>
      </c>
      <c r="E215" s="89">
        <v>315</v>
      </c>
      <c r="F215" s="90" t="s">
        <v>159</v>
      </c>
      <c r="G215" s="55" t="str">
        <f>VLOOKUP(F215,Tables!D$2:E$12,2,FALSE)</f>
        <v>MFP</v>
      </c>
      <c r="H215" s="83">
        <v>17099464</v>
      </c>
      <c r="I215" s="85">
        <f t="shared" si="55"/>
        <v>217</v>
      </c>
      <c r="J215" s="85">
        <f t="shared" si="56"/>
        <v>0</v>
      </c>
      <c r="K215" s="87">
        <f t="shared" si="57"/>
        <v>4.4919000000000002</v>
      </c>
      <c r="L215" s="87">
        <f t="shared" si="58"/>
        <v>0</v>
      </c>
      <c r="M215" s="88">
        <f t="shared" si="59"/>
        <v>4.4919000000000002</v>
      </c>
      <c r="N215" s="90" t="s">
        <v>461</v>
      </c>
      <c r="O215" s="90" t="s">
        <v>462</v>
      </c>
      <c r="P215" s="56">
        <f>IF(G215="MFP",Tables!B$2,Tables!B$5)</f>
        <v>2.07E-2</v>
      </c>
      <c r="Q215" s="124">
        <f>IF(G215="MFP",Tables!B$3,Tables!B$6)</f>
        <v>8.6999999999999994E-2</v>
      </c>
      <c r="R215" s="113">
        <f>VLOOKUP($N215,'Meter Read info'!$C$2:$G$249,2,"FALSE")</f>
        <v>9</v>
      </c>
      <c r="S215" s="113">
        <f>VLOOKUP($N215,'Meter Read info'!$C$2:$G$249,3,"FALSE")</f>
        <v>226</v>
      </c>
      <c r="T215" s="113">
        <f>VLOOKUP($N215,'Meter Read info'!$C$2:$G$249,4,"FALSE")</f>
        <v>0</v>
      </c>
      <c r="U215" s="113">
        <f>VLOOKUP($N215,'Meter Read info'!$C$2:$G$249,5,"FALSE")</f>
        <v>0</v>
      </c>
    </row>
    <row r="216" spans="1:21" ht="31.2" outlineLevel="1" x14ac:dyDescent="0.3">
      <c r="A216" s="91"/>
      <c r="B216" s="107" t="s">
        <v>890</v>
      </c>
      <c r="C216" s="91"/>
      <c r="D216" s="90"/>
      <c r="E216" s="89"/>
      <c r="F216" s="90"/>
      <c r="G216" s="55"/>
      <c r="H216" s="83"/>
      <c r="I216" s="85"/>
      <c r="J216" s="85"/>
      <c r="K216" s="87"/>
      <c r="L216" s="87"/>
      <c r="M216" s="88">
        <f>SUBTOTAL(9,M215:M215)</f>
        <v>4.4919000000000002</v>
      </c>
      <c r="N216" s="90"/>
      <c r="O216" s="90"/>
      <c r="P216" s="56"/>
      <c r="Q216" s="124"/>
      <c r="R216" s="113"/>
      <c r="S216" s="113"/>
      <c r="T216" s="113"/>
      <c r="U216" s="113"/>
    </row>
    <row r="217" spans="1:21" outlineLevel="2" x14ac:dyDescent="0.3">
      <c r="A217" s="91" t="s">
        <v>167</v>
      </c>
      <c r="B217" s="91" t="s">
        <v>175</v>
      </c>
      <c r="C217" s="91" t="str">
        <f>VLOOKUP(B217,Tables!G$2:H$79,2,FALSE)</f>
        <v>MERC Operating</v>
      </c>
      <c r="D217" s="90" t="s">
        <v>177</v>
      </c>
      <c r="E217" s="89">
        <v>700</v>
      </c>
      <c r="F217" s="90" t="s">
        <v>54</v>
      </c>
      <c r="G217" s="55" t="str">
        <f>VLOOKUP(F217,Tables!D$2:E$12,2,FALSE)</f>
        <v>MFP</v>
      </c>
      <c r="H217" s="83">
        <v>17099505</v>
      </c>
      <c r="I217" s="85">
        <f t="shared" si="55"/>
        <v>1245</v>
      </c>
      <c r="J217" s="85">
        <f t="shared" si="56"/>
        <v>399</v>
      </c>
      <c r="K217" s="87">
        <f t="shared" si="57"/>
        <v>25.7715</v>
      </c>
      <c r="L217" s="87">
        <f t="shared" si="58"/>
        <v>34.713000000000001</v>
      </c>
      <c r="M217" s="88">
        <f t="shared" si="59"/>
        <v>60.484499999999997</v>
      </c>
      <c r="N217" s="90" t="s">
        <v>178</v>
      </c>
      <c r="O217" s="90" t="s">
        <v>179</v>
      </c>
      <c r="P217" s="56">
        <f>IF(G217="MFP",Tables!B$2,Tables!B$5)</f>
        <v>2.07E-2</v>
      </c>
      <c r="Q217" s="124">
        <f>IF(G217="MFP",Tables!B$3,Tables!B$6)</f>
        <v>8.6999999999999994E-2</v>
      </c>
      <c r="R217" s="113">
        <f>VLOOKUP($N217,'Meter Read info'!$C$2:$G$249,2,"FALSE")</f>
        <v>751</v>
      </c>
      <c r="S217" s="113">
        <f>VLOOKUP($N217,'Meter Read info'!$C$2:$G$249,3,"FALSE")</f>
        <v>1996</v>
      </c>
      <c r="T217" s="113">
        <f>VLOOKUP($N217,'Meter Read info'!$C$2:$G$249,4,"FALSE")</f>
        <v>249</v>
      </c>
      <c r="U217" s="113">
        <f>VLOOKUP($N217,'Meter Read info'!$C$2:$G$249,5,"FALSE")</f>
        <v>648</v>
      </c>
    </row>
    <row r="218" spans="1:21" ht="31.2" outlineLevel="1" x14ac:dyDescent="0.3">
      <c r="A218" s="91"/>
      <c r="B218" s="107" t="s">
        <v>934</v>
      </c>
      <c r="C218" s="91"/>
      <c r="D218" s="90"/>
      <c r="E218" s="89"/>
      <c r="F218" s="90"/>
      <c r="G218" s="55"/>
      <c r="H218" s="83"/>
      <c r="I218" s="85"/>
      <c r="J218" s="85"/>
      <c r="K218" s="87"/>
      <c r="L218" s="87"/>
      <c r="M218" s="88">
        <f>SUBTOTAL(9,M217:M217)</f>
        <v>60.484499999999997</v>
      </c>
      <c r="N218" s="90"/>
      <c r="O218" s="90"/>
      <c r="P218" s="56"/>
      <c r="Q218" s="124"/>
      <c r="R218" s="113"/>
      <c r="S218" s="113"/>
      <c r="T218" s="113"/>
      <c r="U218" s="113"/>
    </row>
    <row r="219" spans="1:21" ht="30" outlineLevel="2" x14ac:dyDescent="0.3">
      <c r="A219" s="91" t="s">
        <v>180</v>
      </c>
      <c r="B219" s="91" t="s">
        <v>181</v>
      </c>
      <c r="C219" s="91" t="str">
        <f>VLOOKUP(B219,Tables!G$2:H$79,2,FALSE)</f>
        <v>Mechanical Engineering</v>
      </c>
      <c r="D219" s="90" t="s">
        <v>83</v>
      </c>
      <c r="E219" s="89">
        <v>709</v>
      </c>
      <c r="F219" s="90" t="s">
        <v>54</v>
      </c>
      <c r="G219" s="55" t="str">
        <f>VLOOKUP(F219,Tables!D$2:E$12,2,FALSE)</f>
        <v>MFP</v>
      </c>
      <c r="H219" s="83">
        <v>17099465</v>
      </c>
      <c r="I219" s="85">
        <f t="shared" ref="I219:I225" si="60">SUM(S219-R219)</f>
        <v>10645</v>
      </c>
      <c r="J219" s="85">
        <f t="shared" ref="J219:J225" si="61">SUM(U219-T219)</f>
        <v>160</v>
      </c>
      <c r="K219" s="87">
        <f t="shared" ref="K219:K225" si="62">SUM(I219*$P219)</f>
        <v>220.35149999999999</v>
      </c>
      <c r="L219" s="87">
        <f t="shared" ref="L219:L225" si="63">SUM(J219*$Q219)</f>
        <v>13.919999999999998</v>
      </c>
      <c r="M219" s="88">
        <f t="shared" ref="M219:M225" si="64">K219+L219</f>
        <v>234.27149999999997</v>
      </c>
      <c r="N219" s="90" t="s">
        <v>182</v>
      </c>
      <c r="O219" s="90" t="s">
        <v>183</v>
      </c>
      <c r="P219" s="56">
        <f>IF(G219="MFP",Tables!B$2,Tables!B$5)</f>
        <v>2.07E-2</v>
      </c>
      <c r="Q219" s="124">
        <f>IF(G219="MFP",Tables!B$3,Tables!B$6)</f>
        <v>8.6999999999999994E-2</v>
      </c>
      <c r="R219" s="113">
        <f>VLOOKUP($N219,'Meter Read info'!$C$2:$G$249,2,"FALSE")</f>
        <v>39847</v>
      </c>
      <c r="S219" s="113">
        <f>VLOOKUP($N219,'Meter Read info'!$C$2:$G$249,3,"FALSE")</f>
        <v>50492</v>
      </c>
      <c r="T219" s="113">
        <f>VLOOKUP($N219,'Meter Read info'!$C$2:$G$249,4,"FALSE")</f>
        <v>2421</v>
      </c>
      <c r="U219" s="113">
        <f>VLOOKUP($N219,'Meter Read info'!$C$2:$G$249,5,"FALSE")</f>
        <v>2581</v>
      </c>
    </row>
    <row r="220" spans="1:21" ht="30" outlineLevel="2" x14ac:dyDescent="0.3">
      <c r="A220" s="91" t="s">
        <v>180</v>
      </c>
      <c r="B220" s="91" t="s">
        <v>181</v>
      </c>
      <c r="C220" s="91" t="str">
        <f>VLOOKUP(B220,Tables!G$2:H$79,2,FALSE)</f>
        <v>Mechanical Engineering</v>
      </c>
      <c r="D220" s="90" t="s">
        <v>83</v>
      </c>
      <c r="E220" s="89">
        <v>709</v>
      </c>
      <c r="F220" s="90" t="s">
        <v>92</v>
      </c>
      <c r="G220" s="55" t="str">
        <f>VLOOKUP(F220,Tables!D$2:E$12,2,FALSE)</f>
        <v>PTR</v>
      </c>
      <c r="H220" s="83">
        <v>17099632</v>
      </c>
      <c r="I220" s="85">
        <f t="shared" si="60"/>
        <v>321</v>
      </c>
      <c r="J220" s="85">
        <f t="shared" si="61"/>
        <v>27</v>
      </c>
      <c r="K220" s="87">
        <f t="shared" si="62"/>
        <v>8.4101999999999997</v>
      </c>
      <c r="L220" s="87">
        <f t="shared" si="63"/>
        <v>3.1859999999999999</v>
      </c>
      <c r="M220" s="88">
        <f t="shared" si="64"/>
        <v>11.5962</v>
      </c>
      <c r="N220" s="90" t="s">
        <v>186</v>
      </c>
      <c r="O220" s="90" t="s">
        <v>187</v>
      </c>
      <c r="P220" s="56">
        <f>IF(G220="MFP",Tables!B$2,Tables!B$5)</f>
        <v>2.6200000000000001E-2</v>
      </c>
      <c r="Q220" s="124">
        <f>IF(G220="MFP",Tables!B$3,Tables!B$6)</f>
        <v>0.11799999999999999</v>
      </c>
      <c r="R220" s="113">
        <f>VLOOKUP($N220,'Meter Read info'!$C$2:$G$249,2,"FALSE")</f>
        <v>1741</v>
      </c>
      <c r="S220" s="113">
        <f>VLOOKUP($N220,'Meter Read info'!$C$2:$G$249,3,"FALSE")</f>
        <v>2062</v>
      </c>
      <c r="T220" s="113">
        <f>VLOOKUP($N220,'Meter Read info'!$C$2:$G$249,4,"FALSE")</f>
        <v>336</v>
      </c>
      <c r="U220" s="113">
        <f>VLOOKUP($N220,'Meter Read info'!$C$2:$G$249,5,"FALSE")</f>
        <v>363</v>
      </c>
    </row>
    <row r="221" spans="1:21" ht="30" outlineLevel="2" x14ac:dyDescent="0.3">
      <c r="A221" s="91" t="s">
        <v>180</v>
      </c>
      <c r="B221" s="91" t="s">
        <v>181</v>
      </c>
      <c r="C221" s="91" t="str">
        <f>VLOOKUP(B221,Tables!G$2:H$79,2,FALSE)</f>
        <v>Mechanical Engineering</v>
      </c>
      <c r="D221" s="90" t="s">
        <v>83</v>
      </c>
      <c r="E221" s="89">
        <v>717</v>
      </c>
      <c r="F221" s="90" t="s">
        <v>15</v>
      </c>
      <c r="G221" s="55" t="str">
        <f>VLOOKUP(F221,Tables!D$2:E$12,2,FALSE)</f>
        <v>PTR</v>
      </c>
      <c r="H221" s="83">
        <v>17099586</v>
      </c>
      <c r="I221" s="85">
        <f t="shared" si="60"/>
        <v>25</v>
      </c>
      <c r="J221" s="85">
        <f t="shared" si="61"/>
        <v>0</v>
      </c>
      <c r="K221" s="87">
        <f t="shared" si="62"/>
        <v>0.65500000000000003</v>
      </c>
      <c r="L221" s="87">
        <f t="shared" si="63"/>
        <v>0</v>
      </c>
      <c r="M221" s="88">
        <f t="shared" si="64"/>
        <v>0.65500000000000003</v>
      </c>
      <c r="N221" s="90" t="s">
        <v>184</v>
      </c>
      <c r="O221" s="90" t="s">
        <v>185</v>
      </c>
      <c r="P221" s="56">
        <f>IF(G221="MFP",Tables!B$2,Tables!B$5)</f>
        <v>2.6200000000000001E-2</v>
      </c>
      <c r="Q221" s="124">
        <f>IF(G221="MFP",Tables!B$3,Tables!B$6)</f>
        <v>0.11799999999999999</v>
      </c>
      <c r="R221" s="113">
        <f>VLOOKUP($N221,'Meter Read info'!$C$2:$G$249,2,"FALSE")</f>
        <v>78</v>
      </c>
      <c r="S221" s="113">
        <f>VLOOKUP($N221,'Meter Read info'!$C$2:$G$249,3,"FALSE")</f>
        <v>103</v>
      </c>
      <c r="T221" s="113">
        <f>VLOOKUP($N221,'Meter Read info'!$C$2:$G$249,4,"FALSE")</f>
        <v>0</v>
      </c>
      <c r="U221" s="113">
        <f>VLOOKUP($N221,'Meter Read info'!$C$2:$G$249,5,"FALSE")</f>
        <v>0</v>
      </c>
    </row>
    <row r="222" spans="1:21" ht="31.2" outlineLevel="1" x14ac:dyDescent="0.3">
      <c r="A222" s="91"/>
      <c r="B222" s="107" t="s">
        <v>935</v>
      </c>
      <c r="C222" s="91"/>
      <c r="D222" s="90"/>
      <c r="E222" s="89"/>
      <c r="F222" s="90"/>
      <c r="G222" s="55"/>
      <c r="H222" s="83"/>
      <c r="I222" s="85"/>
      <c r="J222" s="85"/>
      <c r="K222" s="87"/>
      <c r="L222" s="87"/>
      <c r="M222" s="88">
        <f>SUBTOTAL(9,M219:M221)</f>
        <v>246.52269999999999</v>
      </c>
      <c r="N222" s="90"/>
      <c r="O222" s="90"/>
      <c r="P222" s="56"/>
      <c r="Q222" s="124"/>
      <c r="R222" s="113"/>
      <c r="S222" s="113"/>
      <c r="T222" s="113"/>
      <c r="U222" s="113"/>
    </row>
    <row r="223" spans="1:21" ht="30" outlineLevel="2" x14ac:dyDescent="0.3">
      <c r="A223" s="91" t="s">
        <v>180</v>
      </c>
      <c r="B223" s="91" t="s">
        <v>426</v>
      </c>
      <c r="C223" s="91" t="str">
        <f>VLOOKUP(B223,Tables!G$2:H$79,2,FALSE)</f>
        <v>Printer Services</v>
      </c>
      <c r="D223" s="90" t="s">
        <v>83</v>
      </c>
      <c r="E223" s="89">
        <v>701</v>
      </c>
      <c r="F223" s="90" t="s">
        <v>15</v>
      </c>
      <c r="G223" s="55" t="str">
        <f>VLOOKUP(F223,Tables!D$2:E$12,2,FALSE)</f>
        <v>PTR</v>
      </c>
      <c r="H223" s="83">
        <v>17099633</v>
      </c>
      <c r="I223" s="85">
        <f t="shared" si="60"/>
        <v>3</v>
      </c>
      <c r="J223" s="85">
        <f t="shared" si="61"/>
        <v>0</v>
      </c>
      <c r="K223" s="87">
        <f t="shared" si="62"/>
        <v>7.8600000000000003E-2</v>
      </c>
      <c r="L223" s="87">
        <f t="shared" si="63"/>
        <v>0</v>
      </c>
      <c r="M223" s="88">
        <f t="shared" si="64"/>
        <v>7.8600000000000003E-2</v>
      </c>
      <c r="N223" s="90" t="s">
        <v>467</v>
      </c>
      <c r="O223" s="90" t="s">
        <v>468</v>
      </c>
      <c r="P223" s="56">
        <f>IF(G223="MFP",Tables!B$2,Tables!B$5)</f>
        <v>2.6200000000000001E-2</v>
      </c>
      <c r="Q223" s="124">
        <f>IF(G223="MFP",Tables!B$3,Tables!B$6)</f>
        <v>0.11799999999999999</v>
      </c>
      <c r="R223" s="113">
        <f>VLOOKUP($N223,'Meter Read info'!$C$2:$G$249,2,"FALSE")</f>
        <v>5</v>
      </c>
      <c r="S223" s="113">
        <f>VLOOKUP($N223,'Meter Read info'!$C$2:$G$249,3,"FALSE")</f>
        <v>8</v>
      </c>
      <c r="T223" s="113">
        <f>VLOOKUP($N223,'Meter Read info'!$C$2:$G$249,4,"FALSE")</f>
        <v>0</v>
      </c>
      <c r="U223" s="113">
        <f>VLOOKUP($N223,'Meter Read info'!$C$2:$G$249,5,"FALSE")</f>
        <v>0</v>
      </c>
    </row>
    <row r="224" spans="1:21" ht="30" outlineLevel="2" x14ac:dyDescent="0.3">
      <c r="A224" s="91" t="s">
        <v>180</v>
      </c>
      <c r="B224" s="91" t="s">
        <v>426</v>
      </c>
      <c r="C224" s="91" t="str">
        <f>VLOOKUP(B224,Tables!G$2:H$79,2,FALSE)</f>
        <v>Printer Services</v>
      </c>
      <c r="D224" s="90" t="s">
        <v>83</v>
      </c>
      <c r="E224" s="89">
        <v>701</v>
      </c>
      <c r="F224" s="90" t="s">
        <v>15</v>
      </c>
      <c r="G224" s="55" t="str">
        <f>VLOOKUP(F224,Tables!D$2:E$12,2,FALSE)</f>
        <v>PTR</v>
      </c>
      <c r="H224" s="83">
        <v>17099770</v>
      </c>
      <c r="I224" s="85">
        <f t="shared" si="60"/>
        <v>18013</v>
      </c>
      <c r="J224" s="85">
        <f t="shared" si="61"/>
        <v>0</v>
      </c>
      <c r="K224" s="87">
        <f t="shared" si="62"/>
        <v>471.94060000000002</v>
      </c>
      <c r="L224" s="87">
        <f t="shared" si="63"/>
        <v>0</v>
      </c>
      <c r="M224" s="88">
        <f t="shared" si="64"/>
        <v>471.94060000000002</v>
      </c>
      <c r="N224" s="118" t="s">
        <v>781</v>
      </c>
      <c r="O224" s="118" t="s">
        <v>782</v>
      </c>
      <c r="P224" s="56">
        <f>IF(G224="MFP",Tables!B$2,Tables!B$5)</f>
        <v>2.6200000000000001E-2</v>
      </c>
      <c r="Q224" s="124">
        <f>IF(G224="MFP",Tables!B$3,Tables!B$6)</f>
        <v>0.11799999999999999</v>
      </c>
      <c r="R224" s="113">
        <f>VLOOKUP($N224,'Meter Read info'!$C$2:$G$249,2,"FALSE")</f>
        <v>57158</v>
      </c>
      <c r="S224" s="113">
        <f>VLOOKUP($N224,'Meter Read info'!$C$2:$G$249,3,"FALSE")</f>
        <v>75171</v>
      </c>
      <c r="T224" s="113">
        <f>VLOOKUP($N224,'Meter Read info'!$C$2:$G$249,4,"FALSE")</f>
        <v>0</v>
      </c>
      <c r="U224" s="113">
        <f>VLOOKUP($N224,'Meter Read info'!$C$2:$G$249,5,"FALSE")</f>
        <v>0</v>
      </c>
    </row>
    <row r="225" spans="1:21" ht="30" outlineLevel="2" x14ac:dyDescent="0.3">
      <c r="A225" s="91" t="s">
        <v>180</v>
      </c>
      <c r="B225" s="91" t="s">
        <v>426</v>
      </c>
      <c r="C225" s="91" t="str">
        <f>VLOOKUP(B225,Tables!G$2:H$79,2,FALSE)</f>
        <v>Printer Services</v>
      </c>
      <c r="D225" s="90" t="s">
        <v>83</v>
      </c>
      <c r="E225" s="89">
        <v>708</v>
      </c>
      <c r="F225" s="90" t="s">
        <v>15</v>
      </c>
      <c r="G225" s="55" t="str">
        <f>VLOOKUP(F225,Tables!D$2:E$12,2,FALSE)</f>
        <v>PTR</v>
      </c>
      <c r="H225" s="83">
        <v>17099624</v>
      </c>
      <c r="I225" s="85">
        <f t="shared" si="60"/>
        <v>221</v>
      </c>
      <c r="J225" s="85">
        <f t="shared" si="61"/>
        <v>0</v>
      </c>
      <c r="K225" s="87">
        <f t="shared" si="62"/>
        <v>5.7902000000000005</v>
      </c>
      <c r="L225" s="87">
        <f t="shared" si="63"/>
        <v>0</v>
      </c>
      <c r="M225" s="88">
        <f t="shared" si="64"/>
        <v>5.7902000000000005</v>
      </c>
      <c r="N225" s="90" t="s">
        <v>465</v>
      </c>
      <c r="O225" s="90" t="s">
        <v>466</v>
      </c>
      <c r="P225" s="56">
        <f>IF(G225="MFP",Tables!B$2,Tables!B$5)</f>
        <v>2.6200000000000001E-2</v>
      </c>
      <c r="Q225" s="124">
        <f>IF(G225="MFP",Tables!B$3,Tables!B$6)</f>
        <v>0.11799999999999999</v>
      </c>
      <c r="R225" s="113">
        <f>VLOOKUP($N225,'Meter Read info'!$C$2:$G$249,2,"FALSE")</f>
        <v>768</v>
      </c>
      <c r="S225" s="113">
        <f>VLOOKUP($N225,'Meter Read info'!$C$2:$G$249,3,"FALSE")</f>
        <v>989</v>
      </c>
      <c r="T225" s="113">
        <f>VLOOKUP($N225,'Meter Read info'!$C$2:$G$249,4,"FALSE")</f>
        <v>0</v>
      </c>
      <c r="U225" s="113">
        <f>VLOOKUP($N225,'Meter Read info'!$C$2:$G$249,5,"FALSE")</f>
        <v>0</v>
      </c>
    </row>
    <row r="226" spans="1:21" ht="31.2" outlineLevel="1" x14ac:dyDescent="0.3">
      <c r="A226" s="91"/>
      <c r="B226" s="107" t="s">
        <v>890</v>
      </c>
      <c r="C226" s="91"/>
      <c r="D226" s="90"/>
      <c r="E226" s="89"/>
      <c r="F226" s="90"/>
      <c r="G226" s="55"/>
      <c r="H226" s="83"/>
      <c r="I226" s="85"/>
      <c r="J226" s="85"/>
      <c r="K226" s="87"/>
      <c r="L226" s="87"/>
      <c r="M226" s="88">
        <f>SUBTOTAL(9,M223:M225)</f>
        <v>477.80940000000004</v>
      </c>
      <c r="N226" s="90"/>
      <c r="O226" s="90"/>
      <c r="P226" s="56"/>
      <c r="Q226" s="124"/>
      <c r="R226" s="113"/>
      <c r="S226" s="113"/>
      <c r="T226" s="113"/>
      <c r="U226" s="113"/>
    </row>
    <row r="227" spans="1:21" outlineLevel="2" x14ac:dyDescent="0.3">
      <c r="A227" s="91" t="s">
        <v>553</v>
      </c>
      <c r="B227" s="91" t="s">
        <v>554</v>
      </c>
      <c r="C227" s="91" t="str">
        <f>VLOOKUP(B227,Tables!G$2:H$79,2,FALSE)</f>
        <v>AUX-Military Store</v>
      </c>
      <c r="D227" s="90" t="s">
        <v>556</v>
      </c>
      <c r="E227" s="89">
        <v>401</v>
      </c>
      <c r="F227" s="90" t="s">
        <v>54</v>
      </c>
      <c r="G227" s="55" t="str">
        <f>VLOOKUP(F227,Tables!D$2:E$12,2,FALSE)</f>
        <v>MFP</v>
      </c>
      <c r="H227" s="83">
        <v>17099491</v>
      </c>
      <c r="I227" s="85">
        <f t="shared" ref="I227:I277" si="65">SUM(S227-R227)</f>
        <v>1117</v>
      </c>
      <c r="J227" s="85">
        <f t="shared" ref="J227:J277" si="66">SUM(U227-T227)</f>
        <v>649</v>
      </c>
      <c r="K227" s="87">
        <f t="shared" ref="K227:K277" si="67">SUM(I227*$P227)</f>
        <v>23.1219</v>
      </c>
      <c r="L227" s="87">
        <f t="shared" ref="L227:L277" si="68">SUM(J227*$Q227)</f>
        <v>56.462999999999994</v>
      </c>
      <c r="M227" s="88">
        <f t="shared" ref="M227:M277" si="69">K227+L227</f>
        <v>79.58489999999999</v>
      </c>
      <c r="N227" s="90" t="s">
        <v>557</v>
      </c>
      <c r="O227" s="90" t="s">
        <v>558</v>
      </c>
      <c r="P227" s="56">
        <f>IF(G227="MFP",Tables!B$2,Tables!B$5)</f>
        <v>2.07E-2</v>
      </c>
      <c r="Q227" s="124">
        <f>IF(G227="MFP",Tables!B$3,Tables!B$6)</f>
        <v>8.6999999999999994E-2</v>
      </c>
      <c r="R227" s="113">
        <f>VLOOKUP($N227,'Meter Read info'!$C$2:$G$249,2,"FALSE")</f>
        <v>4308</v>
      </c>
      <c r="S227" s="113">
        <f>VLOOKUP($N227,'Meter Read info'!$C$2:$G$249,3,"FALSE")</f>
        <v>5425</v>
      </c>
      <c r="T227" s="113">
        <f>VLOOKUP($N227,'Meter Read info'!$C$2:$G$249,4,"FALSE")</f>
        <v>1841</v>
      </c>
      <c r="U227" s="113">
        <f>VLOOKUP($N227,'Meter Read info'!$C$2:$G$249,5,"FALSE")</f>
        <v>2490</v>
      </c>
    </row>
    <row r="228" spans="1:21" outlineLevel="2" x14ac:dyDescent="0.3">
      <c r="A228" s="91" t="s">
        <v>553</v>
      </c>
      <c r="B228" s="91" t="s">
        <v>554</v>
      </c>
      <c r="C228" s="91" t="str">
        <f>VLOOKUP(B228,Tables!G$2:H$79,2,FALSE)</f>
        <v>AUX-Military Store</v>
      </c>
      <c r="D228" s="90" t="s">
        <v>556</v>
      </c>
      <c r="E228" s="89">
        <v>401</v>
      </c>
      <c r="F228" s="90" t="s">
        <v>15</v>
      </c>
      <c r="G228" s="55" t="str">
        <f>VLOOKUP(F228,Tables!D$2:E$12,2,FALSE)</f>
        <v>PTR</v>
      </c>
      <c r="H228" s="83">
        <v>17099589</v>
      </c>
      <c r="I228" s="85">
        <f t="shared" si="65"/>
        <v>175</v>
      </c>
      <c r="J228" s="85">
        <f t="shared" si="66"/>
        <v>0</v>
      </c>
      <c r="K228" s="87">
        <f t="shared" si="67"/>
        <v>4.585</v>
      </c>
      <c r="L228" s="87">
        <f t="shared" si="68"/>
        <v>0</v>
      </c>
      <c r="M228" s="88">
        <f t="shared" si="69"/>
        <v>4.585</v>
      </c>
      <c r="N228" s="90" t="s">
        <v>559</v>
      </c>
      <c r="O228" s="90" t="s">
        <v>560</v>
      </c>
      <c r="P228" s="56">
        <f>IF(G228="MFP",Tables!B$2,Tables!B$5)</f>
        <v>2.6200000000000001E-2</v>
      </c>
      <c r="Q228" s="124">
        <f>IF(G228="MFP",Tables!B$3,Tables!B$6)</f>
        <v>0.11799999999999999</v>
      </c>
      <c r="R228" s="113">
        <f>VLOOKUP($N228,'Meter Read info'!$C$2:$G$249,2,"FALSE")</f>
        <v>139</v>
      </c>
      <c r="S228" s="113">
        <f>VLOOKUP($N228,'Meter Read info'!$C$2:$G$249,3,"FALSE")</f>
        <v>314</v>
      </c>
      <c r="T228" s="113">
        <f>VLOOKUP($N228,'Meter Read info'!$C$2:$G$249,4,"FALSE")</f>
        <v>0</v>
      </c>
      <c r="U228" s="113">
        <f>VLOOKUP($N228,'Meter Read info'!$C$2:$G$249,5,"FALSE")</f>
        <v>0</v>
      </c>
    </row>
    <row r="229" spans="1:21" outlineLevel="2" x14ac:dyDescent="0.3">
      <c r="A229" s="91" t="s">
        <v>553</v>
      </c>
      <c r="B229" s="91" t="s">
        <v>554</v>
      </c>
      <c r="C229" s="91" t="str">
        <f>VLOOKUP(B229,Tables!G$2:H$79,2,FALSE)</f>
        <v>AUX-Military Store</v>
      </c>
      <c r="D229" s="90" t="s">
        <v>556</v>
      </c>
      <c r="E229" s="89">
        <v>401</v>
      </c>
      <c r="F229" s="90" t="s">
        <v>92</v>
      </c>
      <c r="G229" s="55" t="str">
        <f>VLOOKUP(F229,Tables!D$2:E$12,2,FALSE)</f>
        <v>PTR</v>
      </c>
      <c r="H229" s="83">
        <v>17099724</v>
      </c>
      <c r="I229" s="85">
        <f t="shared" si="65"/>
        <v>389</v>
      </c>
      <c r="J229" s="85">
        <f t="shared" si="66"/>
        <v>166</v>
      </c>
      <c r="K229" s="87">
        <f t="shared" si="67"/>
        <v>10.191800000000001</v>
      </c>
      <c r="L229" s="87">
        <f t="shared" si="68"/>
        <v>19.587999999999997</v>
      </c>
      <c r="M229" s="88">
        <f t="shared" si="69"/>
        <v>29.779799999999998</v>
      </c>
      <c r="N229" s="118" t="s">
        <v>811</v>
      </c>
      <c r="O229" s="118" t="s">
        <v>836</v>
      </c>
      <c r="P229" s="56">
        <f>IF(G229="MFP",Tables!B$2,Tables!B$5)</f>
        <v>2.6200000000000001E-2</v>
      </c>
      <c r="Q229" s="124">
        <f>IF(G229="MFP",Tables!B$3,Tables!B$6)</f>
        <v>0.11799999999999999</v>
      </c>
      <c r="R229" s="113">
        <f>VLOOKUP($N229,'Meter Read info'!$C$2:$G$249,2,"FALSE")</f>
        <v>496</v>
      </c>
      <c r="S229" s="113">
        <f>VLOOKUP($N229,'Meter Read info'!$C$2:$G$249,3,"FALSE")</f>
        <v>885</v>
      </c>
      <c r="T229" s="113">
        <f>VLOOKUP($N229,'Meter Read info'!$C$2:$G$249,4,"FALSE")</f>
        <v>62</v>
      </c>
      <c r="U229" s="113">
        <f>VLOOKUP($N229,'Meter Read info'!$C$2:$G$249,5,"FALSE")</f>
        <v>228</v>
      </c>
    </row>
    <row r="230" spans="1:21" ht="31.2" outlineLevel="1" x14ac:dyDescent="0.3">
      <c r="A230" s="91"/>
      <c r="B230" s="107" t="s">
        <v>936</v>
      </c>
      <c r="C230" s="91"/>
      <c r="D230" s="90"/>
      <c r="E230" s="89"/>
      <c r="F230" s="90"/>
      <c r="G230" s="55"/>
      <c r="H230" s="83"/>
      <c r="I230" s="85"/>
      <c r="J230" s="85"/>
      <c r="K230" s="87"/>
      <c r="L230" s="87"/>
      <c r="M230" s="88">
        <f>SUBTOTAL(9,M227:M229)</f>
        <v>113.94969999999998</v>
      </c>
      <c r="N230" s="118"/>
      <c r="O230" s="118"/>
      <c r="P230" s="56"/>
      <c r="Q230" s="124"/>
      <c r="R230" s="113"/>
      <c r="S230" s="113"/>
      <c r="T230" s="113"/>
      <c r="U230" s="113"/>
    </row>
    <row r="231" spans="1:21" outlineLevel="2" x14ac:dyDescent="0.3">
      <c r="A231" s="91" t="s">
        <v>332</v>
      </c>
      <c r="B231" s="91" t="s">
        <v>327</v>
      </c>
      <c r="C231" s="91" t="str">
        <f>VLOOKUP(B231,Tables!G$2:H$79,2,FALSE)</f>
        <v>Learning Programs</v>
      </c>
      <c r="D231" s="90" t="s">
        <v>223</v>
      </c>
      <c r="E231" s="89">
        <v>202</v>
      </c>
      <c r="F231" s="90" t="s">
        <v>15</v>
      </c>
      <c r="G231" s="55" t="str">
        <f>VLOOKUP(F231,Tables!D$2:E$12,2,FALSE)</f>
        <v>PTR</v>
      </c>
      <c r="H231" s="83">
        <v>17099755</v>
      </c>
      <c r="I231" s="85">
        <f t="shared" si="65"/>
        <v>2631</v>
      </c>
      <c r="J231" s="85">
        <f t="shared" si="66"/>
        <v>0</v>
      </c>
      <c r="K231" s="87">
        <f t="shared" si="67"/>
        <v>68.932200000000009</v>
      </c>
      <c r="L231" s="87">
        <f t="shared" si="68"/>
        <v>0</v>
      </c>
      <c r="M231" s="88">
        <f t="shared" si="69"/>
        <v>68.932200000000009</v>
      </c>
      <c r="N231" s="118" t="s">
        <v>783</v>
      </c>
      <c r="O231" s="118" t="s">
        <v>295</v>
      </c>
      <c r="P231" s="56">
        <f>IF(G231="MFP",Tables!B$2,Tables!B$5)</f>
        <v>2.6200000000000001E-2</v>
      </c>
      <c r="Q231" s="124">
        <f>IF(G231="MFP",Tables!B$3,Tables!B$6)</f>
        <v>0.11799999999999999</v>
      </c>
      <c r="R231" s="113">
        <f>VLOOKUP($N231,'Meter Read info'!$C$2:$G$249,2,"FALSE")</f>
        <v>7021</v>
      </c>
      <c r="S231" s="113">
        <f>VLOOKUP($N231,'Meter Read info'!$C$2:$G$249,3,"FALSE")</f>
        <v>9652</v>
      </c>
      <c r="T231" s="113">
        <f>VLOOKUP($N231,'Meter Read info'!$C$2:$G$249,4,"FALSE")</f>
        <v>0</v>
      </c>
      <c r="U231" s="113">
        <f>VLOOKUP($N231,'Meter Read info'!$C$2:$G$249,5,"FALSE")</f>
        <v>0</v>
      </c>
    </row>
    <row r="232" spans="1:21" outlineLevel="2" x14ac:dyDescent="0.3">
      <c r="A232" s="91" t="s">
        <v>332</v>
      </c>
      <c r="B232" s="91" t="s">
        <v>327</v>
      </c>
      <c r="C232" s="91" t="str">
        <f>VLOOKUP(B232,Tables!G$2:H$79,2,FALSE)</f>
        <v>Learning Programs</v>
      </c>
      <c r="D232" s="90" t="s">
        <v>223</v>
      </c>
      <c r="E232" s="89">
        <v>203</v>
      </c>
      <c r="F232" s="90" t="s">
        <v>15</v>
      </c>
      <c r="G232" s="55" t="str">
        <f>VLOOKUP(F232,Tables!D$2:E$12,2,FALSE)</f>
        <v>PTR</v>
      </c>
      <c r="H232" s="83">
        <v>17099584</v>
      </c>
      <c r="I232" s="85">
        <f t="shared" si="65"/>
        <v>455</v>
      </c>
      <c r="J232" s="85">
        <f t="shared" si="66"/>
        <v>0</v>
      </c>
      <c r="K232" s="87">
        <f t="shared" si="67"/>
        <v>11.921000000000001</v>
      </c>
      <c r="L232" s="87">
        <f t="shared" si="68"/>
        <v>0</v>
      </c>
      <c r="M232" s="88">
        <f t="shared" si="69"/>
        <v>11.921000000000001</v>
      </c>
      <c r="N232" s="90" t="s">
        <v>333</v>
      </c>
      <c r="O232" s="90" t="s">
        <v>334</v>
      </c>
      <c r="P232" s="56">
        <f>IF(G232="MFP",Tables!B$2,Tables!B$5)</f>
        <v>2.6200000000000001E-2</v>
      </c>
      <c r="Q232" s="124">
        <f>IF(G232="MFP",Tables!B$3,Tables!B$6)</f>
        <v>0.11799999999999999</v>
      </c>
      <c r="R232" s="113">
        <f>VLOOKUP($N232,'Meter Read info'!$C$2:$G$249,2,"FALSE")</f>
        <v>757</v>
      </c>
      <c r="S232" s="113">
        <f>VLOOKUP($N232,'Meter Read info'!$C$2:$G$249,3,"FALSE")</f>
        <v>1212</v>
      </c>
      <c r="T232" s="113">
        <f>VLOOKUP($N232,'Meter Read info'!$C$2:$G$249,4,"FALSE")</f>
        <v>0</v>
      </c>
      <c r="U232" s="113">
        <f>VLOOKUP($N232,'Meter Read info'!$C$2:$G$249,5,"FALSE")</f>
        <v>0</v>
      </c>
    </row>
    <row r="233" spans="1:21" ht="31.2" outlineLevel="1" x14ac:dyDescent="0.3">
      <c r="A233" s="91"/>
      <c r="B233" s="107" t="s">
        <v>931</v>
      </c>
      <c r="C233" s="91"/>
      <c r="D233" s="90"/>
      <c r="E233" s="89"/>
      <c r="F233" s="90"/>
      <c r="G233" s="55"/>
      <c r="H233" s="83"/>
      <c r="I233" s="85"/>
      <c r="J233" s="85"/>
      <c r="K233" s="87"/>
      <c r="L233" s="87"/>
      <c r="M233" s="88">
        <f>SUBTOTAL(9,M231:M232)</f>
        <v>80.853200000000015</v>
      </c>
      <c r="N233" s="90"/>
      <c r="O233" s="90"/>
      <c r="P233" s="56"/>
      <c r="Q233" s="124"/>
      <c r="R233" s="113"/>
      <c r="S233" s="113"/>
      <c r="T233" s="113"/>
      <c r="U233" s="113"/>
    </row>
    <row r="234" spans="1:21" outlineLevel="2" x14ac:dyDescent="0.3">
      <c r="A234" s="91" t="s">
        <v>188</v>
      </c>
      <c r="B234" s="91" t="s">
        <v>189</v>
      </c>
      <c r="C234" s="91" t="str">
        <f>VLOOKUP(B234,Tables!G$2:H$79,2,FALSE)</f>
        <v>Modern Languages</v>
      </c>
      <c r="D234" s="90" t="s">
        <v>98</v>
      </c>
      <c r="E234" s="89">
        <v>416</v>
      </c>
      <c r="F234" s="90" t="s">
        <v>15</v>
      </c>
      <c r="G234" s="55" t="str">
        <f>VLOOKUP(F234,Tables!D$2:E$12,2,FALSE)</f>
        <v>PTR</v>
      </c>
      <c r="H234" s="83">
        <v>17099542</v>
      </c>
      <c r="I234" s="85">
        <f t="shared" si="65"/>
        <v>1611</v>
      </c>
      <c r="J234" s="85">
        <f t="shared" si="66"/>
        <v>0</v>
      </c>
      <c r="K234" s="87">
        <f t="shared" si="67"/>
        <v>42.208200000000005</v>
      </c>
      <c r="L234" s="87">
        <f t="shared" si="68"/>
        <v>0</v>
      </c>
      <c r="M234" s="88">
        <f t="shared" si="69"/>
        <v>42.208200000000005</v>
      </c>
      <c r="N234" s="90" t="s">
        <v>194</v>
      </c>
      <c r="O234" s="90" t="s">
        <v>195</v>
      </c>
      <c r="P234" s="56">
        <f>IF(G234="MFP",Tables!B$2,Tables!B$5)</f>
        <v>2.6200000000000001E-2</v>
      </c>
      <c r="Q234" s="124">
        <f>IF(G234="MFP",Tables!B$3,Tables!B$6)</f>
        <v>0.11799999999999999</v>
      </c>
      <c r="R234" s="113">
        <f>VLOOKUP($N234,'Meter Read info'!$C$2:$G$249,2,"FALSE")</f>
        <v>5310</v>
      </c>
      <c r="S234" s="113">
        <f>VLOOKUP($N234,'Meter Read info'!$C$2:$G$249,3,"FALSE")</f>
        <v>6921</v>
      </c>
      <c r="T234" s="113">
        <f>VLOOKUP($N234,'Meter Read info'!$C$2:$G$249,4,"FALSE")</f>
        <v>0</v>
      </c>
      <c r="U234" s="113">
        <f>VLOOKUP($N234,'Meter Read info'!$C$2:$G$249,5,"FALSE")</f>
        <v>0</v>
      </c>
    </row>
    <row r="235" spans="1:21" outlineLevel="2" x14ac:dyDescent="0.3">
      <c r="A235" s="91" t="s">
        <v>188</v>
      </c>
      <c r="B235" s="91" t="s">
        <v>189</v>
      </c>
      <c r="C235" s="91" t="str">
        <f>VLOOKUP(B235,Tables!G$2:H$79,2,FALSE)</f>
        <v>Modern Languages</v>
      </c>
      <c r="D235" s="90" t="s">
        <v>98</v>
      </c>
      <c r="E235" s="89">
        <v>424</v>
      </c>
      <c r="F235" s="90" t="s">
        <v>15</v>
      </c>
      <c r="G235" s="55" t="str">
        <f>VLOOKUP(F235,Tables!D$2:E$12,2,FALSE)</f>
        <v>PTR</v>
      </c>
      <c r="H235" s="83">
        <v>17099548</v>
      </c>
      <c r="I235" s="85">
        <f t="shared" si="65"/>
        <v>3352</v>
      </c>
      <c r="J235" s="85">
        <f t="shared" si="66"/>
        <v>0</v>
      </c>
      <c r="K235" s="87">
        <f t="shared" si="67"/>
        <v>87.822400000000002</v>
      </c>
      <c r="L235" s="87">
        <f t="shared" si="68"/>
        <v>0</v>
      </c>
      <c r="M235" s="88">
        <f t="shared" si="69"/>
        <v>87.822400000000002</v>
      </c>
      <c r="N235" s="90" t="s">
        <v>810</v>
      </c>
      <c r="O235" s="90" t="s">
        <v>196</v>
      </c>
      <c r="P235" s="56">
        <f>IF(G235="MFP",Tables!B$2,Tables!B$5)</f>
        <v>2.6200000000000001E-2</v>
      </c>
      <c r="Q235" s="124">
        <f>IF(G235="MFP",Tables!B$3,Tables!B$6)</f>
        <v>0.11799999999999999</v>
      </c>
      <c r="R235" s="113">
        <f>VLOOKUP($N235,'Meter Read info'!$C$2:$G$249,2,"FALSE")</f>
        <v>5674</v>
      </c>
      <c r="S235" s="113">
        <f>VLOOKUP($N235,'Meter Read info'!$C$2:$G$249,3,"FALSE")</f>
        <v>9026</v>
      </c>
      <c r="T235" s="113">
        <f>VLOOKUP($N235,'Meter Read info'!$C$2:$G$249,4,"FALSE")</f>
        <v>0</v>
      </c>
      <c r="U235" s="113">
        <f>VLOOKUP($N235,'Meter Read info'!$C$2:$G$249,5,"FALSE")</f>
        <v>0</v>
      </c>
    </row>
    <row r="236" spans="1:21" outlineLevel="2" x14ac:dyDescent="0.3">
      <c r="A236" s="91" t="s">
        <v>188</v>
      </c>
      <c r="B236" s="91" t="s">
        <v>189</v>
      </c>
      <c r="C236" s="91" t="str">
        <f>VLOOKUP(B236,Tables!G$2:H$79,2,FALSE)</f>
        <v>Modern Languages</v>
      </c>
      <c r="D236" s="90" t="s">
        <v>98</v>
      </c>
      <c r="E236" s="89">
        <v>541</v>
      </c>
      <c r="F236" s="90" t="s">
        <v>15</v>
      </c>
      <c r="G236" s="55" t="str">
        <f>VLOOKUP(F236,Tables!D$2:E$12,2,FALSE)</f>
        <v>PTR</v>
      </c>
      <c r="H236" s="83">
        <v>17099551</v>
      </c>
      <c r="I236" s="85">
        <f t="shared" si="65"/>
        <v>971</v>
      </c>
      <c r="J236" s="85">
        <f t="shared" si="66"/>
        <v>0</v>
      </c>
      <c r="K236" s="87">
        <f t="shared" si="67"/>
        <v>25.440200000000001</v>
      </c>
      <c r="L236" s="87">
        <f t="shared" si="68"/>
        <v>0</v>
      </c>
      <c r="M236" s="88">
        <f t="shared" si="69"/>
        <v>25.440200000000001</v>
      </c>
      <c r="N236" s="90" t="s">
        <v>192</v>
      </c>
      <c r="O236" s="90" t="s">
        <v>193</v>
      </c>
      <c r="P236" s="56">
        <f>IF(G236="MFP",Tables!B$2,Tables!B$5)</f>
        <v>2.6200000000000001E-2</v>
      </c>
      <c r="Q236" s="124">
        <f>IF(G236="MFP",Tables!B$3,Tables!B$6)</f>
        <v>0.11799999999999999</v>
      </c>
      <c r="R236" s="113">
        <f>VLOOKUP($N236,'Meter Read info'!$C$2:$G$249,2,"FALSE")</f>
        <v>2360</v>
      </c>
      <c r="S236" s="113">
        <f>VLOOKUP($N236,'Meter Read info'!$C$2:$G$249,3,"FALSE")</f>
        <v>3331</v>
      </c>
      <c r="T236" s="113">
        <f>VLOOKUP($N236,'Meter Read info'!$C$2:$G$249,4,"FALSE")</f>
        <v>0</v>
      </c>
      <c r="U236" s="113">
        <f>VLOOKUP($N236,'Meter Read info'!$C$2:$G$249,5,"FALSE")</f>
        <v>0</v>
      </c>
    </row>
    <row r="237" spans="1:21" ht="31.2" outlineLevel="1" x14ac:dyDescent="0.3">
      <c r="A237" s="91"/>
      <c r="B237" s="107" t="s">
        <v>937</v>
      </c>
      <c r="C237" s="91"/>
      <c r="D237" s="90"/>
      <c r="E237" s="89"/>
      <c r="F237" s="90"/>
      <c r="G237" s="55"/>
      <c r="H237" s="83"/>
      <c r="I237" s="85"/>
      <c r="J237" s="85"/>
      <c r="K237" s="87"/>
      <c r="L237" s="87"/>
      <c r="M237" s="88">
        <f>SUBTOTAL(9,M234:M236)</f>
        <v>155.4708</v>
      </c>
      <c r="N237" s="90"/>
      <c r="O237" s="90"/>
      <c r="P237" s="56"/>
      <c r="Q237" s="124"/>
      <c r="R237" s="113"/>
      <c r="S237" s="113"/>
      <c r="T237" s="113"/>
      <c r="U237" s="113"/>
    </row>
    <row r="238" spans="1:21" outlineLevel="2" x14ac:dyDescent="0.3">
      <c r="A238" s="91" t="s">
        <v>188</v>
      </c>
      <c r="B238" s="91" t="s">
        <v>426</v>
      </c>
      <c r="C238" s="91" t="str">
        <f>VLOOKUP(B238,Tables!G$2:H$79,2,FALSE)</f>
        <v>Printer Services</v>
      </c>
      <c r="D238" s="90" t="s">
        <v>98</v>
      </c>
      <c r="E238" s="89">
        <v>418</v>
      </c>
      <c r="F238" s="90" t="s">
        <v>15</v>
      </c>
      <c r="G238" s="55" t="str">
        <f>VLOOKUP(F238,Tables!D$2:E$12,2,FALSE)</f>
        <v>PTR</v>
      </c>
      <c r="H238" s="83">
        <v>17099520</v>
      </c>
      <c r="I238" s="85">
        <f t="shared" si="65"/>
        <v>15540</v>
      </c>
      <c r="J238" s="85">
        <f t="shared" si="66"/>
        <v>0</v>
      </c>
      <c r="K238" s="87">
        <f t="shared" si="67"/>
        <v>407.14800000000002</v>
      </c>
      <c r="L238" s="87">
        <f t="shared" si="68"/>
        <v>0</v>
      </c>
      <c r="M238" s="88">
        <f t="shared" si="69"/>
        <v>407.14800000000002</v>
      </c>
      <c r="N238" s="90" t="s">
        <v>469</v>
      </c>
      <c r="O238" s="90" t="s">
        <v>470</v>
      </c>
      <c r="P238" s="56">
        <f>IF(G238="MFP",Tables!B$2,Tables!B$5)</f>
        <v>2.6200000000000001E-2</v>
      </c>
      <c r="Q238" s="124">
        <f>IF(G238="MFP",Tables!B$3,Tables!B$6)</f>
        <v>0.11799999999999999</v>
      </c>
      <c r="R238" s="113">
        <f>VLOOKUP($N238,'Meter Read info'!$C$2:$G$249,2,"FALSE")</f>
        <v>45959</v>
      </c>
      <c r="S238" s="113">
        <f>VLOOKUP($N238,'Meter Read info'!$C$2:$G$249,3,"FALSE")</f>
        <v>61499</v>
      </c>
      <c r="T238" s="113">
        <f>VLOOKUP($N238,'Meter Read info'!$C$2:$G$249,4,"FALSE")</f>
        <v>0</v>
      </c>
      <c r="U238" s="113">
        <f>VLOOKUP($N238,'Meter Read info'!$C$2:$G$249,5,"FALSE")</f>
        <v>0</v>
      </c>
    </row>
    <row r="239" spans="1:21" outlineLevel="2" x14ac:dyDescent="0.3">
      <c r="A239" s="91" t="s">
        <v>188</v>
      </c>
      <c r="B239" s="91" t="s">
        <v>426</v>
      </c>
      <c r="C239" s="91" t="str">
        <f>VLOOKUP(B239,Tables!G$2:H$79,2,FALSE)</f>
        <v>Printer Services</v>
      </c>
      <c r="D239" s="90" t="s">
        <v>98</v>
      </c>
      <c r="E239" s="89">
        <v>425</v>
      </c>
      <c r="F239" s="90" t="s">
        <v>24</v>
      </c>
      <c r="G239" s="55" t="str">
        <f>VLOOKUP(F239,Tables!D$2:E$12,2,FALSE)</f>
        <v>MFP</v>
      </c>
      <c r="H239" s="83">
        <v>17099405</v>
      </c>
      <c r="I239" s="85">
        <f t="shared" si="65"/>
        <v>12923</v>
      </c>
      <c r="J239" s="85">
        <f t="shared" si="66"/>
        <v>435</v>
      </c>
      <c r="K239" s="87">
        <f t="shared" si="67"/>
        <v>267.5061</v>
      </c>
      <c r="L239" s="87">
        <f t="shared" si="68"/>
        <v>37.844999999999999</v>
      </c>
      <c r="M239" s="88">
        <f t="shared" si="69"/>
        <v>305.35109999999997</v>
      </c>
      <c r="N239" s="90" t="s">
        <v>812</v>
      </c>
      <c r="O239" s="90" t="s">
        <v>156</v>
      </c>
      <c r="P239" s="56">
        <f>IF(G239="MFP",Tables!B$2,Tables!B$5)</f>
        <v>2.07E-2</v>
      </c>
      <c r="Q239" s="124">
        <f>IF(G239="MFP",Tables!B$3,Tables!B$6)</f>
        <v>8.6999999999999994E-2</v>
      </c>
      <c r="R239" s="113">
        <f>VLOOKUP($N239,'Meter Read info'!$C$2:$G$249,2,"FALSE")</f>
        <v>13939</v>
      </c>
      <c r="S239" s="113">
        <f>VLOOKUP($N239,'Meter Read info'!$C$2:$G$249,3,"FALSE")</f>
        <v>26862</v>
      </c>
      <c r="T239" s="113">
        <f>VLOOKUP($N239,'Meter Read info'!$C$2:$G$249,4,"FALSE")</f>
        <v>879</v>
      </c>
      <c r="U239" s="113">
        <f>VLOOKUP($N239,'Meter Read info'!$C$2:$G$249,5,"FALSE")</f>
        <v>1314</v>
      </c>
    </row>
    <row r="240" spans="1:21" ht="31.2" outlineLevel="1" x14ac:dyDescent="0.3">
      <c r="A240" s="91"/>
      <c r="B240" s="107" t="s">
        <v>890</v>
      </c>
      <c r="C240" s="91"/>
      <c r="D240" s="90"/>
      <c r="E240" s="89"/>
      <c r="F240" s="90"/>
      <c r="G240" s="55"/>
      <c r="H240" s="83"/>
      <c r="I240" s="85"/>
      <c r="J240" s="85"/>
      <c r="K240" s="87"/>
      <c r="L240" s="87"/>
      <c r="M240" s="88">
        <f>SUBTOTAL(9,M238:M239)</f>
        <v>712.4991</v>
      </c>
      <c r="N240" s="90"/>
      <c r="O240" s="90"/>
      <c r="P240" s="56"/>
      <c r="Q240" s="124"/>
      <c r="R240" s="113"/>
      <c r="S240" s="113"/>
      <c r="T240" s="113"/>
      <c r="U240" s="113"/>
    </row>
    <row r="241" spans="1:21" outlineLevel="2" x14ac:dyDescent="0.3">
      <c r="A241" s="91" t="s">
        <v>232</v>
      </c>
      <c r="B241" s="91" t="s">
        <v>233</v>
      </c>
      <c r="C241" s="91" t="str">
        <f>VLOOKUP(B241,Tables!G$2:H$79,2,FALSE)</f>
        <v>Museum</v>
      </c>
      <c r="D241" s="90" t="s">
        <v>235</v>
      </c>
      <c r="E241" s="89">
        <v>105</v>
      </c>
      <c r="F241" s="90" t="s">
        <v>54</v>
      </c>
      <c r="G241" s="55" t="str">
        <f>VLOOKUP(F241,Tables!D$2:E$12,2,FALSE)</f>
        <v>MFP</v>
      </c>
      <c r="H241" s="83">
        <v>17099721</v>
      </c>
      <c r="I241" s="85">
        <f t="shared" si="65"/>
        <v>1466</v>
      </c>
      <c r="J241" s="85">
        <f t="shared" si="66"/>
        <v>620</v>
      </c>
      <c r="K241" s="87">
        <f t="shared" si="67"/>
        <v>30.3462</v>
      </c>
      <c r="L241" s="87">
        <f t="shared" si="68"/>
        <v>53.94</v>
      </c>
      <c r="M241" s="88">
        <f t="shared" si="69"/>
        <v>84.286199999999994</v>
      </c>
      <c r="N241" s="90" t="s">
        <v>236</v>
      </c>
      <c r="O241" s="90" t="s">
        <v>237</v>
      </c>
      <c r="P241" s="56">
        <f>IF(G241="MFP",Tables!B$2,Tables!B$5)</f>
        <v>2.07E-2</v>
      </c>
      <c r="Q241" s="124">
        <f>IF(G241="MFP",Tables!B$3,Tables!B$6)</f>
        <v>8.6999999999999994E-2</v>
      </c>
      <c r="R241" s="113">
        <f>VLOOKUP($N241,'Meter Read info'!$C$2:$G$249,2,"FALSE")</f>
        <v>9479</v>
      </c>
      <c r="S241" s="113">
        <f>VLOOKUP($N241,'Meter Read info'!$C$2:$G$249,3,"FALSE")</f>
        <v>10945</v>
      </c>
      <c r="T241" s="113">
        <f>VLOOKUP($N241,'Meter Read info'!$C$2:$G$249,4,"FALSE")</f>
        <v>4533</v>
      </c>
      <c r="U241" s="113">
        <f>VLOOKUP($N241,'Meter Read info'!$C$2:$G$249,5,"FALSE")</f>
        <v>5153</v>
      </c>
    </row>
    <row r="242" spans="1:21" ht="31.2" outlineLevel="1" x14ac:dyDescent="0.3">
      <c r="A242" s="91"/>
      <c r="B242" s="107" t="s">
        <v>938</v>
      </c>
      <c r="C242" s="91"/>
      <c r="D242" s="90"/>
      <c r="E242" s="89"/>
      <c r="F242" s="90"/>
      <c r="G242" s="55"/>
      <c r="H242" s="83"/>
      <c r="I242" s="85"/>
      <c r="J242" s="85"/>
      <c r="K242" s="87"/>
      <c r="L242" s="87"/>
      <c r="M242" s="88">
        <f>SUBTOTAL(9,M241:M241)</f>
        <v>84.286199999999994</v>
      </c>
      <c r="N242" s="90"/>
      <c r="O242" s="90"/>
      <c r="P242" s="56"/>
      <c r="Q242" s="124"/>
      <c r="R242" s="113"/>
      <c r="S242" s="113"/>
      <c r="T242" s="113"/>
      <c r="U242" s="113"/>
    </row>
    <row r="243" spans="1:21" outlineLevel="2" x14ac:dyDescent="0.3">
      <c r="A243" s="91" t="s">
        <v>197</v>
      </c>
      <c r="B243" s="91" t="s">
        <v>198</v>
      </c>
      <c r="C243" s="91" t="str">
        <f>VLOOKUP(B243,Tables!G$2:H$79,2,FALSE)</f>
        <v>ROTC-Navy</v>
      </c>
      <c r="D243" s="90" t="s">
        <v>14</v>
      </c>
      <c r="E243" s="89">
        <v>2080</v>
      </c>
      <c r="F243" s="90" t="s">
        <v>15</v>
      </c>
      <c r="G243" s="55" t="str">
        <f>VLOOKUP(F243,Tables!D$2:E$12,2,FALSE)</f>
        <v>PTR</v>
      </c>
      <c r="H243" s="83">
        <v>17099431</v>
      </c>
      <c r="I243" s="85">
        <f t="shared" si="65"/>
        <v>323</v>
      </c>
      <c r="J243" s="85">
        <f t="shared" si="66"/>
        <v>0</v>
      </c>
      <c r="K243" s="87">
        <f t="shared" si="67"/>
        <v>8.4626000000000001</v>
      </c>
      <c r="L243" s="87">
        <f t="shared" si="68"/>
        <v>0</v>
      </c>
      <c r="M243" s="88">
        <f t="shared" si="69"/>
        <v>8.4626000000000001</v>
      </c>
      <c r="N243" s="90" t="s">
        <v>814</v>
      </c>
      <c r="O243" s="90" t="s">
        <v>202</v>
      </c>
      <c r="P243" s="56">
        <f>IF(G243="MFP",Tables!B$2,Tables!B$5)</f>
        <v>2.6200000000000001E-2</v>
      </c>
      <c r="Q243" s="124">
        <f>IF(G243="MFP",Tables!B$3,Tables!B$6)</f>
        <v>0.11799999999999999</v>
      </c>
      <c r="R243" s="113">
        <f>VLOOKUP($N243,'Meter Read info'!$C$2:$G$249,2,"FALSE")</f>
        <v>1358</v>
      </c>
      <c r="S243" s="113">
        <f>VLOOKUP($N243,'Meter Read info'!$C$2:$G$249,3,"FALSE")</f>
        <v>1681</v>
      </c>
      <c r="T243" s="113">
        <f>VLOOKUP($N243,'Meter Read info'!$C$2:$G$249,4,"FALSE")</f>
        <v>0</v>
      </c>
      <c r="U243" s="113">
        <f>VLOOKUP($N243,'Meter Read info'!$C$2:$G$249,5,"FALSE")</f>
        <v>0</v>
      </c>
    </row>
    <row r="244" spans="1:21" outlineLevel="2" x14ac:dyDescent="0.3">
      <c r="A244" s="91" t="s">
        <v>197</v>
      </c>
      <c r="B244" s="91" t="s">
        <v>198</v>
      </c>
      <c r="C244" s="91" t="str">
        <f>VLOOKUP(B244,Tables!G$2:H$79,2,FALSE)</f>
        <v>ROTC-Navy</v>
      </c>
      <c r="D244" s="90" t="s">
        <v>14</v>
      </c>
      <c r="E244" s="89">
        <v>2082</v>
      </c>
      <c r="F244" s="90" t="s">
        <v>15</v>
      </c>
      <c r="G244" s="55" t="str">
        <f>VLOOKUP(F244,Tables!D$2:E$12,2,FALSE)</f>
        <v>PTR</v>
      </c>
      <c r="H244" s="83">
        <v>17099506</v>
      </c>
      <c r="I244" s="85">
        <f t="shared" si="65"/>
        <v>273</v>
      </c>
      <c r="J244" s="85">
        <f t="shared" si="66"/>
        <v>0</v>
      </c>
      <c r="K244" s="87">
        <f t="shared" si="67"/>
        <v>7.1526000000000005</v>
      </c>
      <c r="L244" s="87">
        <f t="shared" si="68"/>
        <v>0</v>
      </c>
      <c r="M244" s="88">
        <f t="shared" si="69"/>
        <v>7.1526000000000005</v>
      </c>
      <c r="N244" s="90" t="s">
        <v>200</v>
      </c>
      <c r="O244" s="90" t="s">
        <v>201</v>
      </c>
      <c r="P244" s="56">
        <f>IF(G244="MFP",Tables!B$2,Tables!B$5)</f>
        <v>2.6200000000000001E-2</v>
      </c>
      <c r="Q244" s="124">
        <f>IF(G244="MFP",Tables!B$3,Tables!B$6)</f>
        <v>0.11799999999999999</v>
      </c>
      <c r="R244" s="113">
        <f>VLOOKUP($N244,'Meter Read info'!$C$2:$G$249,2,"FALSE")</f>
        <v>960</v>
      </c>
      <c r="S244" s="113">
        <f>VLOOKUP($N244,'Meter Read info'!$C$2:$G$249,3,"FALSE")</f>
        <v>1233</v>
      </c>
      <c r="T244" s="113">
        <f>VLOOKUP($N244,'Meter Read info'!$C$2:$G$249,4,"FALSE")</f>
        <v>0</v>
      </c>
      <c r="U244" s="113">
        <f>VLOOKUP($N244,'Meter Read info'!$C$2:$G$249,5,"FALSE")</f>
        <v>0</v>
      </c>
    </row>
    <row r="245" spans="1:21" outlineLevel="2" x14ac:dyDescent="0.3">
      <c r="A245" s="91" t="s">
        <v>197</v>
      </c>
      <c r="B245" s="91" t="s">
        <v>198</v>
      </c>
      <c r="C245" s="91" t="str">
        <f>VLOOKUP(B245,Tables!G$2:H$79,2,FALSE)</f>
        <v>ROTC-Navy</v>
      </c>
      <c r="D245" s="90" t="s">
        <v>14</v>
      </c>
      <c r="E245" s="89">
        <v>2090</v>
      </c>
      <c r="F245" s="90" t="s">
        <v>15</v>
      </c>
      <c r="G245" s="55" t="str">
        <f>VLOOKUP(F245,Tables!D$2:E$12,2,FALSE)</f>
        <v>PTR</v>
      </c>
      <c r="H245" s="83">
        <v>17099429</v>
      </c>
      <c r="I245" s="85">
        <f t="shared" si="65"/>
        <v>88</v>
      </c>
      <c r="J245" s="85">
        <f t="shared" si="66"/>
        <v>0</v>
      </c>
      <c r="K245" s="87">
        <f t="shared" si="67"/>
        <v>2.3056000000000001</v>
      </c>
      <c r="L245" s="87">
        <f t="shared" si="68"/>
        <v>0</v>
      </c>
      <c r="M245" s="88">
        <f t="shared" si="69"/>
        <v>2.3056000000000001</v>
      </c>
      <c r="N245" s="90" t="s">
        <v>203</v>
      </c>
      <c r="O245" s="90" t="s">
        <v>204</v>
      </c>
      <c r="P245" s="56">
        <f>IF(G245="MFP",Tables!B$2,Tables!B$5)</f>
        <v>2.6200000000000001E-2</v>
      </c>
      <c r="Q245" s="124">
        <f>IF(G245="MFP",Tables!B$3,Tables!B$6)</f>
        <v>0.11799999999999999</v>
      </c>
      <c r="R245" s="113">
        <f>VLOOKUP($N245,'Meter Read info'!$C$2:$G$249,2,"FALSE")</f>
        <v>373</v>
      </c>
      <c r="S245" s="113">
        <f>VLOOKUP($N245,'Meter Read info'!$C$2:$G$249,3,"FALSE")</f>
        <v>461</v>
      </c>
      <c r="T245" s="113">
        <f>VLOOKUP($N245,'Meter Read info'!$C$2:$G$249,4,"FALSE")</f>
        <v>0</v>
      </c>
      <c r="U245" s="113">
        <f>VLOOKUP($N245,'Meter Read info'!$C$2:$G$249,5,"FALSE")</f>
        <v>0</v>
      </c>
    </row>
    <row r="246" spans="1:21" ht="31.2" outlineLevel="1" x14ac:dyDescent="0.3">
      <c r="A246" s="91"/>
      <c r="B246" s="107" t="s">
        <v>939</v>
      </c>
      <c r="C246" s="91"/>
      <c r="D246" s="90"/>
      <c r="E246" s="89"/>
      <c r="F246" s="90"/>
      <c r="G246" s="55"/>
      <c r="H246" s="83"/>
      <c r="I246" s="85"/>
      <c r="J246" s="85"/>
      <c r="K246" s="87"/>
      <c r="L246" s="87"/>
      <c r="M246" s="88">
        <f>SUBTOTAL(9,M243:M245)</f>
        <v>17.9208</v>
      </c>
      <c r="N246" s="90"/>
      <c r="O246" s="90"/>
      <c r="P246" s="56"/>
      <c r="Q246" s="124"/>
      <c r="R246" s="113"/>
      <c r="S246" s="113"/>
      <c r="T246" s="113"/>
      <c r="U246" s="113"/>
    </row>
    <row r="247" spans="1:21" ht="30" outlineLevel="2" x14ac:dyDescent="0.3">
      <c r="A247" s="91" t="s">
        <v>578</v>
      </c>
      <c r="B247" s="91" t="s">
        <v>579</v>
      </c>
      <c r="C247" s="91" t="str">
        <f>VLOOKUP(B247,Tables!G$2:H$79,2,FALSE)</f>
        <v>Student Union</v>
      </c>
      <c r="D247" s="90" t="s">
        <v>428</v>
      </c>
      <c r="E247" s="89" t="s">
        <v>736</v>
      </c>
      <c r="F247" s="90" t="s">
        <v>159</v>
      </c>
      <c r="G247" s="55" t="str">
        <f>VLOOKUP(F247,Tables!D$2:E$12,2,FALSE)</f>
        <v>MFP</v>
      </c>
      <c r="H247" s="83">
        <v>17099701</v>
      </c>
      <c r="I247" s="85">
        <f t="shared" si="65"/>
        <v>0</v>
      </c>
      <c r="J247" s="85">
        <f t="shared" si="66"/>
        <v>0</v>
      </c>
      <c r="K247" s="87">
        <f t="shared" si="67"/>
        <v>0</v>
      </c>
      <c r="L247" s="87">
        <f t="shared" si="68"/>
        <v>0</v>
      </c>
      <c r="M247" s="88">
        <f t="shared" si="69"/>
        <v>0</v>
      </c>
      <c r="N247" s="90" t="s">
        <v>581</v>
      </c>
      <c r="O247" s="90" t="s">
        <v>582</v>
      </c>
      <c r="P247" s="56">
        <f>IF(G247="MFP",Tables!B$2,Tables!B$5)</f>
        <v>2.07E-2</v>
      </c>
      <c r="Q247" s="124">
        <f>IF(G247="MFP",Tables!B$3,Tables!B$6)</f>
        <v>8.6999999999999994E-2</v>
      </c>
      <c r="R247" s="113">
        <f>VLOOKUP($N247,'Meter Read info'!$C$2:$G$249,2,"FALSE")</f>
        <v>0</v>
      </c>
      <c r="S247" s="113">
        <f>VLOOKUP($N247,'Meter Read info'!$C$2:$G$249,3,"FALSE")</f>
        <v>0</v>
      </c>
      <c r="T247" s="113">
        <f>VLOOKUP($N247,'Meter Read info'!$C$2:$G$249,4,"FALSE")</f>
        <v>0</v>
      </c>
      <c r="U247" s="113">
        <f>VLOOKUP($N247,'Meter Read info'!$C$2:$G$249,5,"FALSE")</f>
        <v>0</v>
      </c>
    </row>
    <row r="248" spans="1:21" ht="31.2" outlineLevel="1" x14ac:dyDescent="0.3">
      <c r="A248" s="91"/>
      <c r="B248" s="107" t="s">
        <v>905</v>
      </c>
      <c r="C248" s="91"/>
      <c r="D248" s="90"/>
      <c r="E248" s="89"/>
      <c r="F248" s="90"/>
      <c r="G248" s="55"/>
      <c r="H248" s="83"/>
      <c r="I248" s="85"/>
      <c r="J248" s="85"/>
      <c r="K248" s="87"/>
      <c r="L248" s="87"/>
      <c r="M248" s="88">
        <f>SUBTOTAL(9,M247:M247)</f>
        <v>0</v>
      </c>
      <c r="N248" s="90"/>
      <c r="O248" s="90"/>
      <c r="P248" s="56"/>
      <c r="Q248" s="124"/>
      <c r="R248" s="113"/>
      <c r="S248" s="113"/>
      <c r="T248" s="113"/>
      <c r="U248" s="113"/>
    </row>
    <row r="249" spans="1:21" ht="30" outlineLevel="2" x14ac:dyDescent="0.3">
      <c r="A249" s="91" t="s">
        <v>541</v>
      </c>
      <c r="B249" s="91" t="s">
        <v>530</v>
      </c>
      <c r="C249" s="91" t="str">
        <f>VLOOKUP(B249,Tables!G$2:H$79,2,FALSE)</f>
        <v>UMA-Commandant's Office</v>
      </c>
      <c r="D249" s="90" t="s">
        <v>428</v>
      </c>
      <c r="E249" s="89" t="s">
        <v>542</v>
      </c>
      <c r="F249" s="90" t="s">
        <v>159</v>
      </c>
      <c r="G249" s="55" t="str">
        <f>VLOOKUP(F249,Tables!D$2:E$12,2,FALSE)</f>
        <v>MFP</v>
      </c>
      <c r="H249" s="83">
        <v>17099536</v>
      </c>
      <c r="I249" s="85">
        <f t="shared" si="65"/>
        <v>623</v>
      </c>
      <c r="J249" s="85">
        <f t="shared" si="66"/>
        <v>0</v>
      </c>
      <c r="K249" s="87">
        <f t="shared" si="67"/>
        <v>12.896100000000001</v>
      </c>
      <c r="L249" s="87">
        <f t="shared" si="68"/>
        <v>0</v>
      </c>
      <c r="M249" s="88">
        <f t="shared" si="69"/>
        <v>12.896100000000001</v>
      </c>
      <c r="N249" s="90" t="s">
        <v>543</v>
      </c>
      <c r="O249" s="90" t="s">
        <v>544</v>
      </c>
      <c r="P249" s="56">
        <f>IF(G249="MFP",Tables!B$2,Tables!B$5)</f>
        <v>2.07E-2</v>
      </c>
      <c r="Q249" s="124">
        <f>IF(G249="MFP",Tables!B$3,Tables!B$6)</f>
        <v>8.6999999999999994E-2</v>
      </c>
      <c r="R249" s="113">
        <f>VLOOKUP($N249,'Meter Read info'!$C$2:$G$249,2,"FALSE")</f>
        <v>418</v>
      </c>
      <c r="S249" s="113">
        <f>VLOOKUP($N249,'Meter Read info'!$C$2:$G$249,3,"FALSE")</f>
        <v>1041</v>
      </c>
      <c r="T249" s="113">
        <f>VLOOKUP($N249,'Meter Read info'!$C$2:$G$249,4,"FALSE")</f>
        <v>0</v>
      </c>
      <c r="U249" s="113">
        <f>VLOOKUP($N249,'Meter Read info'!$C$2:$G$249,5,"FALSE")</f>
        <v>0</v>
      </c>
    </row>
    <row r="250" spans="1:21" ht="31.2" outlineLevel="1" x14ac:dyDescent="0.3">
      <c r="A250" s="91"/>
      <c r="B250" s="107" t="s">
        <v>912</v>
      </c>
      <c r="C250" s="91"/>
      <c r="D250" s="90"/>
      <c r="E250" s="89"/>
      <c r="F250" s="90"/>
      <c r="G250" s="55"/>
      <c r="H250" s="83"/>
      <c r="I250" s="85"/>
      <c r="J250" s="85"/>
      <c r="K250" s="87"/>
      <c r="L250" s="87"/>
      <c r="M250" s="88">
        <f>SUBTOTAL(9,M249:M249)</f>
        <v>12.896100000000001</v>
      </c>
      <c r="N250" s="90"/>
      <c r="O250" s="90"/>
      <c r="P250" s="56"/>
      <c r="Q250" s="124"/>
      <c r="R250" s="113"/>
      <c r="S250" s="113"/>
      <c r="T250" s="113"/>
      <c r="U250" s="113"/>
    </row>
    <row r="251" spans="1:21" outlineLevel="2" x14ac:dyDescent="0.3">
      <c r="A251" s="91" t="s">
        <v>516</v>
      </c>
      <c r="B251" s="91" t="s">
        <v>688</v>
      </c>
      <c r="C251" s="91" t="str">
        <f>VLOOKUP(B251,Tables!G$2:H$79,2,FALSE)</f>
        <v>Office of Construction</v>
      </c>
      <c r="D251" s="90" t="s">
        <v>671</v>
      </c>
      <c r="E251" s="89">
        <v>306</v>
      </c>
      <c r="F251" s="90" t="s">
        <v>15</v>
      </c>
      <c r="G251" s="55" t="str">
        <f>VLOOKUP(F251,Tables!D$2:E$12,2,FALSE)</f>
        <v>PTR</v>
      </c>
      <c r="H251" s="83">
        <v>17099567</v>
      </c>
      <c r="I251" s="85">
        <f t="shared" si="65"/>
        <v>660</v>
      </c>
      <c r="J251" s="85">
        <f t="shared" si="66"/>
        <v>0</v>
      </c>
      <c r="K251" s="87">
        <f t="shared" si="67"/>
        <v>17.292000000000002</v>
      </c>
      <c r="L251" s="87">
        <f t="shared" si="68"/>
        <v>0</v>
      </c>
      <c r="M251" s="88">
        <f t="shared" si="69"/>
        <v>17.292000000000002</v>
      </c>
      <c r="N251" s="90" t="s">
        <v>522</v>
      </c>
      <c r="O251" s="90" t="s">
        <v>523</v>
      </c>
      <c r="P251" s="56">
        <f>IF(G251="MFP",Tables!B$2,Tables!B$5)</f>
        <v>2.6200000000000001E-2</v>
      </c>
      <c r="Q251" s="124">
        <f>IF(G251="MFP",Tables!B$3,Tables!B$6)</f>
        <v>0.11799999999999999</v>
      </c>
      <c r="R251" s="113">
        <f>VLOOKUP($N251,'Meter Read info'!$C$2:$G$249,2,"FALSE")</f>
        <v>302</v>
      </c>
      <c r="S251" s="113">
        <f>VLOOKUP($N251,'Meter Read info'!$C$2:$G$249,3,"FALSE")</f>
        <v>962</v>
      </c>
      <c r="T251" s="113">
        <f>VLOOKUP($N251,'Meter Read info'!$C$2:$G$249,4,"FALSE")</f>
        <v>0</v>
      </c>
      <c r="U251" s="113">
        <f>VLOOKUP($N251,'Meter Read info'!$C$2:$G$249,5,"FALSE")</f>
        <v>0</v>
      </c>
    </row>
    <row r="252" spans="1:21" outlineLevel="2" x14ac:dyDescent="0.3">
      <c r="A252" s="91" t="s">
        <v>516</v>
      </c>
      <c r="B252" s="91" t="s">
        <v>688</v>
      </c>
      <c r="C252" s="91" t="str">
        <f>VLOOKUP(B252,Tables!G$2:H$79,2,FALSE)</f>
        <v>Office of Construction</v>
      </c>
      <c r="D252" s="90" t="s">
        <v>671</v>
      </c>
      <c r="E252" s="89" t="s">
        <v>517</v>
      </c>
      <c r="F252" s="90" t="s">
        <v>24</v>
      </c>
      <c r="G252" s="55" t="str">
        <f>VLOOKUP(F252,Tables!D$2:E$12,2,FALSE)</f>
        <v>MFP</v>
      </c>
      <c r="H252" s="83">
        <v>17099488</v>
      </c>
      <c r="I252" s="85">
        <f t="shared" si="65"/>
        <v>2337</v>
      </c>
      <c r="J252" s="85">
        <f t="shared" si="66"/>
        <v>1524</v>
      </c>
      <c r="K252" s="87">
        <f t="shared" si="67"/>
        <v>48.375900000000001</v>
      </c>
      <c r="L252" s="87">
        <f t="shared" si="68"/>
        <v>132.58799999999999</v>
      </c>
      <c r="M252" s="88">
        <f t="shared" si="69"/>
        <v>180.9639</v>
      </c>
      <c r="N252" s="90" t="s">
        <v>518</v>
      </c>
      <c r="O252" s="90" t="s">
        <v>519</v>
      </c>
      <c r="P252" s="56">
        <f>IF(G252="MFP",Tables!B$2,Tables!B$5)</f>
        <v>2.07E-2</v>
      </c>
      <c r="Q252" s="124">
        <f>IF(G252="MFP",Tables!B$3,Tables!B$6)</f>
        <v>8.6999999999999994E-2</v>
      </c>
      <c r="R252" s="113">
        <f>VLOOKUP($N252,'Meter Read info'!$C$2:$G$249,2,"FALSE")</f>
        <v>7577</v>
      </c>
      <c r="S252" s="113">
        <f>VLOOKUP($N252,'Meter Read info'!$C$2:$G$249,3,"FALSE")</f>
        <v>9914</v>
      </c>
      <c r="T252" s="113">
        <f>VLOOKUP($N252,'Meter Read info'!$C$2:$G$249,4,"FALSE")</f>
        <v>6600</v>
      </c>
      <c r="U252" s="113">
        <f>VLOOKUP($N252,'Meter Read info'!$C$2:$G$249,5,"FALSE")</f>
        <v>8124</v>
      </c>
    </row>
    <row r="253" spans="1:21" ht="31.2" outlineLevel="1" x14ac:dyDescent="0.3">
      <c r="A253" s="91"/>
      <c r="B253" s="107" t="s">
        <v>940</v>
      </c>
      <c r="C253" s="91"/>
      <c r="D253" s="90"/>
      <c r="E253" s="89"/>
      <c r="F253" s="90"/>
      <c r="G253" s="55"/>
      <c r="H253" s="83"/>
      <c r="I253" s="85"/>
      <c r="J253" s="85"/>
      <c r="K253" s="87"/>
      <c r="L253" s="87"/>
      <c r="M253" s="88">
        <f>SUBTOTAL(9,M251:M252)</f>
        <v>198.2559</v>
      </c>
      <c r="N253" s="90"/>
      <c r="O253" s="90"/>
      <c r="P253" s="56"/>
      <c r="Q253" s="124"/>
      <c r="R253" s="113"/>
      <c r="S253" s="113"/>
      <c r="T253" s="113"/>
      <c r="U253" s="113"/>
    </row>
    <row r="254" spans="1:21" outlineLevel="2" x14ac:dyDescent="0.3">
      <c r="A254" s="91" t="s">
        <v>422</v>
      </c>
      <c r="B254" s="91" t="s">
        <v>414</v>
      </c>
      <c r="C254" s="91" t="str">
        <f>VLOOKUP(B254,Tables!G$2:H$79,2,FALSE)</f>
        <v>Duplicating</v>
      </c>
      <c r="D254" s="90" t="s">
        <v>422</v>
      </c>
      <c r="E254" s="89" t="s">
        <v>423</v>
      </c>
      <c r="F254" s="90" t="s">
        <v>92</v>
      </c>
      <c r="G254" s="55" t="str">
        <f>VLOOKUP(F254,Tables!D$2:E$12,2,FALSE)</f>
        <v>PTR</v>
      </c>
      <c r="H254" s="83">
        <v>17099702</v>
      </c>
      <c r="I254" s="85">
        <f t="shared" si="65"/>
        <v>26</v>
      </c>
      <c r="J254" s="85">
        <f t="shared" si="66"/>
        <v>117</v>
      </c>
      <c r="K254" s="87">
        <f t="shared" si="67"/>
        <v>0.68120000000000003</v>
      </c>
      <c r="L254" s="87">
        <f t="shared" si="68"/>
        <v>13.805999999999999</v>
      </c>
      <c r="M254" s="88">
        <f t="shared" si="69"/>
        <v>14.4872</v>
      </c>
      <c r="N254" s="90" t="s">
        <v>424</v>
      </c>
      <c r="O254" s="90" t="s">
        <v>425</v>
      </c>
      <c r="P254" s="56">
        <f>IF(G254="MFP",Tables!B$2,Tables!B$5)</f>
        <v>2.6200000000000001E-2</v>
      </c>
      <c r="Q254" s="124">
        <f>IF(G254="MFP",Tables!B$3,Tables!B$6)</f>
        <v>0.11799999999999999</v>
      </c>
      <c r="R254" s="113">
        <f>VLOOKUP($N254,'Meter Read info'!$C$2:$G$249,2,"FALSE")</f>
        <v>198</v>
      </c>
      <c r="S254" s="113">
        <f>VLOOKUP($N254,'Meter Read info'!$C$2:$G$249,3,"FALSE")</f>
        <v>224</v>
      </c>
      <c r="T254" s="113">
        <f>VLOOKUP($N254,'Meter Read info'!$C$2:$G$249,4,"FALSE")</f>
        <v>338</v>
      </c>
      <c r="U254" s="113">
        <f>VLOOKUP($N254,'Meter Read info'!$C$2:$G$249,5,"FALSE")</f>
        <v>455</v>
      </c>
    </row>
    <row r="255" spans="1:21" ht="31.2" outlineLevel="1" x14ac:dyDescent="0.3">
      <c r="A255" s="91"/>
      <c r="B255" s="107" t="s">
        <v>907</v>
      </c>
      <c r="C255" s="91"/>
      <c r="D255" s="90"/>
      <c r="E255" s="89"/>
      <c r="F255" s="90"/>
      <c r="G255" s="55"/>
      <c r="H255" s="83"/>
      <c r="I255" s="85"/>
      <c r="J255" s="85"/>
      <c r="K255" s="87"/>
      <c r="L255" s="87"/>
      <c r="M255" s="88">
        <f>SUBTOTAL(9,M254:M254)</f>
        <v>14.4872</v>
      </c>
      <c r="N255" s="90"/>
      <c r="O255" s="90"/>
      <c r="P255" s="56"/>
      <c r="Q255" s="124"/>
      <c r="R255" s="113"/>
      <c r="S255" s="113"/>
      <c r="T255" s="113"/>
      <c r="U255" s="113"/>
    </row>
    <row r="256" spans="1:21" outlineLevel="2" x14ac:dyDescent="0.3">
      <c r="A256" s="91" t="s">
        <v>205</v>
      </c>
      <c r="B256" s="91" t="s">
        <v>206</v>
      </c>
      <c r="C256" s="91" t="str">
        <f>VLOOKUP(B256,Tables!G$2:H$79,2,FALSE)</f>
        <v>Physical Education</v>
      </c>
      <c r="D256" s="90" t="s">
        <v>207</v>
      </c>
      <c r="E256" s="89">
        <v>201</v>
      </c>
      <c r="F256" s="90" t="s">
        <v>92</v>
      </c>
      <c r="G256" s="55" t="str">
        <f>VLOOKUP(F256,Tables!D$2:E$12,2,FALSE)</f>
        <v>PTR</v>
      </c>
      <c r="H256" s="83">
        <v>17099541</v>
      </c>
      <c r="I256" s="85">
        <f t="shared" si="65"/>
        <v>146</v>
      </c>
      <c r="J256" s="85">
        <f t="shared" si="66"/>
        <v>0</v>
      </c>
      <c r="K256" s="87">
        <f t="shared" si="67"/>
        <v>3.8252000000000002</v>
      </c>
      <c r="L256" s="87">
        <f t="shared" si="68"/>
        <v>0</v>
      </c>
      <c r="M256" s="88">
        <f t="shared" si="69"/>
        <v>3.8252000000000002</v>
      </c>
      <c r="N256" s="118" t="s">
        <v>215</v>
      </c>
      <c r="O256" s="118" t="s">
        <v>784</v>
      </c>
      <c r="P256" s="56">
        <f>IF(G256="MFP",Tables!B$2,Tables!B$5)</f>
        <v>2.6200000000000001E-2</v>
      </c>
      <c r="Q256" s="124">
        <f>IF(G256="MFP",Tables!B$3,Tables!B$6)</f>
        <v>0.11799999999999999</v>
      </c>
      <c r="R256" s="113">
        <f>VLOOKUP($N256,'Meter Read info'!$C$2:$G$249,2,"FALSE")</f>
        <v>520</v>
      </c>
      <c r="S256" s="113">
        <f>VLOOKUP($N256,'Meter Read info'!$C$2:$G$249,3,"FALSE")</f>
        <v>666</v>
      </c>
      <c r="T256" s="113">
        <f>VLOOKUP($N256,'Meter Read info'!$C$2:$G$249,4,"FALSE")</f>
        <v>1</v>
      </c>
      <c r="U256" s="113">
        <f>VLOOKUP($N256,'Meter Read info'!$C$2:$G$249,5,"FALSE")</f>
        <v>1</v>
      </c>
    </row>
    <row r="257" spans="1:21" outlineLevel="2" x14ac:dyDescent="0.3">
      <c r="A257" s="91" t="s">
        <v>205</v>
      </c>
      <c r="B257" s="91" t="s">
        <v>206</v>
      </c>
      <c r="C257" s="91" t="str">
        <f>VLOOKUP(B257,Tables!G$2:H$79,2,FALSE)</f>
        <v>Physical Education</v>
      </c>
      <c r="D257" s="90" t="s">
        <v>207</v>
      </c>
      <c r="E257" s="89">
        <v>320</v>
      </c>
      <c r="F257" s="90" t="s">
        <v>15</v>
      </c>
      <c r="G257" s="55" t="str">
        <f>VLOOKUP(F257,Tables!D$2:E$12,2,FALSE)</f>
        <v>PTR</v>
      </c>
      <c r="H257" s="83">
        <v>17099598</v>
      </c>
      <c r="I257" s="85">
        <f t="shared" si="65"/>
        <v>336</v>
      </c>
      <c r="J257" s="85">
        <f t="shared" si="66"/>
        <v>0</v>
      </c>
      <c r="K257" s="87">
        <f t="shared" si="67"/>
        <v>8.8032000000000004</v>
      </c>
      <c r="L257" s="87">
        <f t="shared" si="68"/>
        <v>0</v>
      </c>
      <c r="M257" s="88">
        <f t="shared" si="69"/>
        <v>8.8032000000000004</v>
      </c>
      <c r="N257" s="90" t="s">
        <v>210</v>
      </c>
      <c r="O257" s="90" t="s">
        <v>211</v>
      </c>
      <c r="P257" s="56">
        <f>IF(G257="MFP",Tables!B$2,Tables!B$5)</f>
        <v>2.6200000000000001E-2</v>
      </c>
      <c r="Q257" s="124">
        <f>IF(G257="MFP",Tables!B$3,Tables!B$6)</f>
        <v>0.11799999999999999</v>
      </c>
      <c r="R257" s="113">
        <f>VLOOKUP($N257,'Meter Read info'!$C$2:$G$249,2,"FALSE")</f>
        <v>2676</v>
      </c>
      <c r="S257" s="113">
        <f>VLOOKUP($N257,'Meter Read info'!$C$2:$G$249,3,"FALSE")</f>
        <v>3012</v>
      </c>
      <c r="T257" s="113">
        <f>VLOOKUP($N257,'Meter Read info'!$C$2:$G$249,4,"FALSE")</f>
        <v>0</v>
      </c>
      <c r="U257" s="113">
        <f>VLOOKUP($N257,'Meter Read info'!$C$2:$G$249,5,"FALSE")</f>
        <v>0</v>
      </c>
    </row>
    <row r="258" spans="1:21" outlineLevel="2" x14ac:dyDescent="0.3">
      <c r="A258" s="91" t="s">
        <v>205</v>
      </c>
      <c r="B258" s="91" t="s">
        <v>206</v>
      </c>
      <c r="C258" s="91" t="str">
        <f>VLOOKUP(B258,Tables!G$2:H$79,2,FALSE)</f>
        <v>Physical Education</v>
      </c>
      <c r="D258" s="90" t="s">
        <v>207</v>
      </c>
      <c r="E258" s="89">
        <v>328</v>
      </c>
      <c r="F258" s="90" t="s">
        <v>24</v>
      </c>
      <c r="G258" s="55" t="str">
        <f>VLOOKUP(F258,Tables!D$2:E$12,2,FALSE)</f>
        <v>MFP</v>
      </c>
      <c r="H258" s="83">
        <v>17099461</v>
      </c>
      <c r="I258" s="85">
        <f t="shared" si="65"/>
        <v>6994</v>
      </c>
      <c r="J258" s="85">
        <f t="shared" si="66"/>
        <v>32</v>
      </c>
      <c r="K258" s="87">
        <f t="shared" si="67"/>
        <v>144.7758</v>
      </c>
      <c r="L258" s="87">
        <f t="shared" si="68"/>
        <v>2.7839999999999998</v>
      </c>
      <c r="M258" s="88">
        <f t="shared" si="69"/>
        <v>147.5598</v>
      </c>
      <c r="N258" s="90" t="s">
        <v>208</v>
      </c>
      <c r="O258" s="90" t="s">
        <v>209</v>
      </c>
      <c r="P258" s="56">
        <f>IF(G258="MFP",Tables!B$2,Tables!B$5)</f>
        <v>2.07E-2</v>
      </c>
      <c r="Q258" s="124">
        <f>IF(G258="MFP",Tables!B$3,Tables!B$6)</f>
        <v>8.6999999999999994E-2</v>
      </c>
      <c r="R258" s="113">
        <f>VLOOKUP($N258,'Meter Read info'!$C$2:$G$249,2,"FALSE")</f>
        <v>32191</v>
      </c>
      <c r="S258" s="113">
        <f>VLOOKUP($N258,'Meter Read info'!$C$2:$G$249,3,"FALSE")</f>
        <v>39185</v>
      </c>
      <c r="T258" s="113">
        <f>VLOOKUP($N258,'Meter Read info'!$C$2:$G$249,4,"FALSE")</f>
        <v>537</v>
      </c>
      <c r="U258" s="113">
        <f>VLOOKUP($N258,'Meter Read info'!$C$2:$G$249,5,"FALSE")</f>
        <v>569</v>
      </c>
    </row>
    <row r="259" spans="1:21" outlineLevel="2" x14ac:dyDescent="0.3">
      <c r="A259" s="91" t="s">
        <v>205</v>
      </c>
      <c r="B259" s="91" t="s">
        <v>206</v>
      </c>
      <c r="C259" s="91" t="str">
        <f>VLOOKUP(B259,Tables!G$2:H$79,2,FALSE)</f>
        <v>Physical Education</v>
      </c>
      <c r="D259" s="90" t="s">
        <v>207</v>
      </c>
      <c r="E259" s="89" t="s">
        <v>212</v>
      </c>
      <c r="F259" s="90" t="s">
        <v>15</v>
      </c>
      <c r="G259" s="55" t="str">
        <f>VLOOKUP(F259,Tables!D$2:E$12,2,FALSE)</f>
        <v>PTR</v>
      </c>
      <c r="H259" s="83">
        <v>17099720</v>
      </c>
      <c r="I259" s="85">
        <f t="shared" si="65"/>
        <v>488</v>
      </c>
      <c r="J259" s="85">
        <f t="shared" si="66"/>
        <v>0</v>
      </c>
      <c r="K259" s="87">
        <f t="shared" si="67"/>
        <v>12.785600000000001</v>
      </c>
      <c r="L259" s="87">
        <f t="shared" si="68"/>
        <v>0</v>
      </c>
      <c r="M259" s="88">
        <f t="shared" si="69"/>
        <v>12.785600000000001</v>
      </c>
      <c r="N259" s="90" t="s">
        <v>213</v>
      </c>
      <c r="O259" s="90" t="s">
        <v>214</v>
      </c>
      <c r="P259" s="56">
        <f>IF(G259="MFP",Tables!B$2,Tables!B$5)</f>
        <v>2.6200000000000001E-2</v>
      </c>
      <c r="Q259" s="124">
        <f>IF(G259="MFP",Tables!B$3,Tables!B$6)</f>
        <v>0.11799999999999999</v>
      </c>
      <c r="R259" s="113">
        <f>VLOOKUP($N259,'Meter Read info'!$C$2:$G$249,2,"FALSE")</f>
        <v>1511</v>
      </c>
      <c r="S259" s="113">
        <f>VLOOKUP($N259,'Meter Read info'!$C$2:$G$249,3,"FALSE")</f>
        <v>1999</v>
      </c>
      <c r="T259" s="113">
        <f>VLOOKUP($N259,'Meter Read info'!$C$2:$G$249,4,"FALSE")</f>
        <v>0</v>
      </c>
      <c r="U259" s="113">
        <f>VLOOKUP($N259,'Meter Read info'!$C$2:$G$249,5,"FALSE")</f>
        <v>0</v>
      </c>
    </row>
    <row r="260" spans="1:21" ht="31.2" outlineLevel="1" x14ac:dyDescent="0.3">
      <c r="A260" s="91"/>
      <c r="B260" s="107" t="s">
        <v>941</v>
      </c>
      <c r="C260" s="91"/>
      <c r="D260" s="90"/>
      <c r="E260" s="89"/>
      <c r="F260" s="90"/>
      <c r="G260" s="55"/>
      <c r="H260" s="83"/>
      <c r="I260" s="85"/>
      <c r="J260" s="85"/>
      <c r="K260" s="87"/>
      <c r="L260" s="87"/>
      <c r="M260" s="88">
        <f>SUBTOTAL(9,M256:M259)</f>
        <v>172.97379999999998</v>
      </c>
      <c r="N260" s="90"/>
      <c r="O260" s="90"/>
      <c r="P260" s="56"/>
      <c r="Q260" s="124"/>
      <c r="R260" s="113"/>
      <c r="S260" s="113"/>
      <c r="T260" s="113"/>
      <c r="U260" s="113"/>
    </row>
    <row r="261" spans="1:21" ht="30" outlineLevel="2" x14ac:dyDescent="0.3">
      <c r="A261" s="91" t="s">
        <v>503</v>
      </c>
      <c r="B261" s="91" t="s">
        <v>504</v>
      </c>
      <c r="C261" s="91" t="str">
        <f>VLOOKUP(B261,Tables!G$2:H$79,2,FALSE)</f>
        <v>Physical Plant Administration</v>
      </c>
      <c r="D261" s="90" t="s">
        <v>503</v>
      </c>
      <c r="E261" s="89">
        <v>110</v>
      </c>
      <c r="F261" s="90" t="s">
        <v>159</v>
      </c>
      <c r="G261" s="55" t="str">
        <f>VLOOKUP(F261,Tables!D$2:E$12,2,FALSE)</f>
        <v>MFP</v>
      </c>
      <c r="H261" s="83">
        <v>17099402</v>
      </c>
      <c r="I261" s="85">
        <f t="shared" si="65"/>
        <v>1820</v>
      </c>
      <c r="J261" s="85">
        <f t="shared" si="66"/>
        <v>0</v>
      </c>
      <c r="K261" s="87">
        <f t="shared" si="67"/>
        <v>37.673999999999999</v>
      </c>
      <c r="L261" s="87">
        <f t="shared" si="68"/>
        <v>0</v>
      </c>
      <c r="M261" s="88">
        <f t="shared" si="69"/>
        <v>37.673999999999999</v>
      </c>
      <c r="N261" s="90" t="s">
        <v>508</v>
      </c>
      <c r="O261" s="90" t="s">
        <v>509</v>
      </c>
      <c r="P261" s="56">
        <f>IF(G261="MFP",Tables!B$2,Tables!B$5)</f>
        <v>2.07E-2</v>
      </c>
      <c r="Q261" s="124">
        <f>IF(G261="MFP",Tables!B$3,Tables!B$6)</f>
        <v>8.6999999999999994E-2</v>
      </c>
      <c r="R261" s="113">
        <f>VLOOKUP($N261,'Meter Read info'!$C$2:$G$249,2,"FALSE")</f>
        <v>4650</v>
      </c>
      <c r="S261" s="113">
        <f>VLOOKUP($N261,'Meter Read info'!$C$2:$G$249,3,"FALSE")</f>
        <v>6470</v>
      </c>
      <c r="T261" s="113">
        <f>VLOOKUP($N261,'Meter Read info'!$C$2:$G$249,4,"FALSE")</f>
        <v>0</v>
      </c>
      <c r="U261" s="113">
        <f>VLOOKUP($N261,'Meter Read info'!$C$2:$G$249,5,"FALSE")</f>
        <v>0</v>
      </c>
    </row>
    <row r="262" spans="1:21" ht="30" outlineLevel="2" x14ac:dyDescent="0.3">
      <c r="A262" s="91" t="s">
        <v>503</v>
      </c>
      <c r="B262" s="91" t="s">
        <v>504</v>
      </c>
      <c r="C262" s="91" t="str">
        <f>VLOOKUP(B262,Tables!G$2:H$79,2,FALSE)</f>
        <v>Physical Plant Administration</v>
      </c>
      <c r="D262" s="90" t="s">
        <v>503</v>
      </c>
      <c r="E262" s="89">
        <v>118</v>
      </c>
      <c r="F262" s="90" t="s">
        <v>54</v>
      </c>
      <c r="G262" s="55" t="str">
        <f>VLOOKUP(F262,Tables!D$2:E$12,2,FALSE)</f>
        <v>MFP</v>
      </c>
      <c r="H262" s="83">
        <v>17099787</v>
      </c>
      <c r="I262" s="85">
        <f t="shared" si="65"/>
        <v>4112</v>
      </c>
      <c r="J262" s="85">
        <f t="shared" si="66"/>
        <v>1440</v>
      </c>
      <c r="K262" s="87">
        <f t="shared" si="67"/>
        <v>85.118399999999994</v>
      </c>
      <c r="L262" s="87">
        <f t="shared" si="68"/>
        <v>125.27999999999999</v>
      </c>
      <c r="M262" s="88">
        <f t="shared" si="69"/>
        <v>210.39839999999998</v>
      </c>
      <c r="N262" s="90" t="s">
        <v>506</v>
      </c>
      <c r="O262" s="90" t="s">
        <v>507</v>
      </c>
      <c r="P262" s="56">
        <f>IF(G262="MFP",Tables!B$2,Tables!B$5)</f>
        <v>2.07E-2</v>
      </c>
      <c r="Q262" s="124">
        <f>IF(G262="MFP",Tables!B$3,Tables!B$6)</f>
        <v>8.6999999999999994E-2</v>
      </c>
      <c r="R262" s="113">
        <f>VLOOKUP($N262,'Meter Read info'!$C$2:$G$249,2,"FALSE")</f>
        <v>14723</v>
      </c>
      <c r="S262" s="113">
        <f>VLOOKUP($N262,'Meter Read info'!$C$2:$G$249,3,"FALSE")</f>
        <v>18835</v>
      </c>
      <c r="T262" s="113">
        <f>VLOOKUP($N262,'Meter Read info'!$C$2:$G$249,4,"FALSE")</f>
        <v>5132</v>
      </c>
      <c r="U262" s="113">
        <f>VLOOKUP($N262,'Meter Read info'!$C$2:$G$249,5,"FALSE")</f>
        <v>6572</v>
      </c>
    </row>
    <row r="263" spans="1:21" ht="30" outlineLevel="2" x14ac:dyDescent="0.3">
      <c r="A263" s="91" t="s">
        <v>503</v>
      </c>
      <c r="B263" s="91" t="s">
        <v>504</v>
      </c>
      <c r="C263" s="91" t="str">
        <f>VLOOKUP(B263,Tables!G$2:H$79,2,FALSE)</f>
        <v>Physical Plant Administration</v>
      </c>
      <c r="D263" s="90" t="s">
        <v>503</v>
      </c>
      <c r="E263" s="89">
        <v>126</v>
      </c>
      <c r="F263" s="90" t="s">
        <v>15</v>
      </c>
      <c r="G263" s="55" t="str">
        <f>VLOOKUP(F263,Tables!D$2:E$12,2,FALSE)</f>
        <v>PTR</v>
      </c>
      <c r="H263" s="83">
        <v>17099599</v>
      </c>
      <c r="I263" s="85">
        <f t="shared" si="65"/>
        <v>639</v>
      </c>
      <c r="J263" s="85">
        <f t="shared" si="66"/>
        <v>0</v>
      </c>
      <c r="K263" s="87">
        <f t="shared" si="67"/>
        <v>16.741800000000001</v>
      </c>
      <c r="L263" s="87">
        <f t="shared" si="68"/>
        <v>0</v>
      </c>
      <c r="M263" s="88">
        <f t="shared" si="69"/>
        <v>16.741800000000001</v>
      </c>
      <c r="N263" s="90" t="s">
        <v>510</v>
      </c>
      <c r="O263" s="90" t="s">
        <v>511</v>
      </c>
      <c r="P263" s="56">
        <f>IF(G263="MFP",Tables!B$2,Tables!B$5)</f>
        <v>2.6200000000000001E-2</v>
      </c>
      <c r="Q263" s="124">
        <f>IF(G263="MFP",Tables!B$3,Tables!B$6)</f>
        <v>0.11799999999999999</v>
      </c>
      <c r="R263" s="113">
        <f>VLOOKUP($N263,'Meter Read info'!$C$2:$G$249,2,"FALSE")</f>
        <v>1112</v>
      </c>
      <c r="S263" s="113">
        <f>VLOOKUP($N263,'Meter Read info'!$C$2:$G$249,3,"FALSE")</f>
        <v>1751</v>
      </c>
      <c r="T263" s="113">
        <f>VLOOKUP($N263,'Meter Read info'!$C$2:$G$249,4,"FALSE")</f>
        <v>0</v>
      </c>
      <c r="U263" s="113">
        <f>VLOOKUP($N263,'Meter Read info'!$C$2:$G$249,5,"FALSE")</f>
        <v>0</v>
      </c>
    </row>
    <row r="264" spans="1:21" ht="30" outlineLevel="2" x14ac:dyDescent="0.3">
      <c r="A264" s="91" t="s">
        <v>503</v>
      </c>
      <c r="B264" s="91" t="s">
        <v>504</v>
      </c>
      <c r="C264" s="91" t="str">
        <f>VLOOKUP(B264,Tables!G$2:H$79,2,FALSE)</f>
        <v>Physical Plant Administration</v>
      </c>
      <c r="D264" s="90" t="s">
        <v>503</v>
      </c>
      <c r="E264" s="89">
        <v>132</v>
      </c>
      <c r="F264" s="90" t="s">
        <v>15</v>
      </c>
      <c r="G264" s="55" t="str">
        <f>VLOOKUP(F264,Tables!D$2:E$12,2,FALSE)</f>
        <v>PTR</v>
      </c>
      <c r="H264" s="83">
        <v>17099600</v>
      </c>
      <c r="I264" s="85">
        <f t="shared" si="65"/>
        <v>710</v>
      </c>
      <c r="J264" s="85">
        <f t="shared" si="66"/>
        <v>0</v>
      </c>
      <c r="K264" s="87">
        <f t="shared" si="67"/>
        <v>18.602</v>
      </c>
      <c r="L264" s="87">
        <f t="shared" si="68"/>
        <v>0</v>
      </c>
      <c r="M264" s="88">
        <f t="shared" si="69"/>
        <v>18.602</v>
      </c>
      <c r="N264" s="90" t="s">
        <v>512</v>
      </c>
      <c r="O264" s="90" t="s">
        <v>513</v>
      </c>
      <c r="P264" s="56">
        <f>IF(G264="MFP",Tables!B$2,Tables!B$5)</f>
        <v>2.6200000000000001E-2</v>
      </c>
      <c r="Q264" s="124">
        <f>IF(G264="MFP",Tables!B$3,Tables!B$6)</f>
        <v>0.11799999999999999</v>
      </c>
      <c r="R264" s="113">
        <f>VLOOKUP($N264,'Meter Read info'!$C$2:$G$249,2,"FALSE")</f>
        <v>630</v>
      </c>
      <c r="S264" s="113">
        <f>VLOOKUP($N264,'Meter Read info'!$C$2:$G$249,3,"FALSE")</f>
        <v>1340</v>
      </c>
      <c r="T264" s="113">
        <f>VLOOKUP($N264,'Meter Read info'!$C$2:$G$249,4,"FALSE")</f>
        <v>0</v>
      </c>
      <c r="U264" s="113">
        <f>VLOOKUP($N264,'Meter Read info'!$C$2:$G$249,5,"FALSE")</f>
        <v>0</v>
      </c>
    </row>
    <row r="265" spans="1:21" ht="30" outlineLevel="2" x14ac:dyDescent="0.3">
      <c r="A265" s="91" t="s">
        <v>503</v>
      </c>
      <c r="B265" s="91" t="s">
        <v>504</v>
      </c>
      <c r="C265" s="91" t="str">
        <f>VLOOKUP(B265,Tables!G$2:H$79,2,FALSE)</f>
        <v>Physical Plant Administration</v>
      </c>
      <c r="D265" s="90" t="s">
        <v>503</v>
      </c>
      <c r="E265" s="89">
        <v>135</v>
      </c>
      <c r="F265" s="90" t="s">
        <v>15</v>
      </c>
      <c r="G265" s="55" t="str">
        <f>VLOOKUP(F265,Tables!D$2:E$12,2,FALSE)</f>
        <v>PTR</v>
      </c>
      <c r="H265" s="83">
        <v>17099601</v>
      </c>
      <c r="I265" s="85">
        <f t="shared" si="65"/>
        <v>80</v>
      </c>
      <c r="J265" s="85">
        <f t="shared" si="66"/>
        <v>0</v>
      </c>
      <c r="K265" s="87">
        <f t="shared" si="67"/>
        <v>2.0960000000000001</v>
      </c>
      <c r="L265" s="87">
        <f t="shared" si="68"/>
        <v>0</v>
      </c>
      <c r="M265" s="88">
        <f t="shared" si="69"/>
        <v>2.0960000000000001</v>
      </c>
      <c r="N265" s="90" t="s">
        <v>514</v>
      </c>
      <c r="O265" s="90" t="s">
        <v>515</v>
      </c>
      <c r="P265" s="56">
        <f>IF(G265="MFP",Tables!B$2,Tables!B$5)</f>
        <v>2.6200000000000001E-2</v>
      </c>
      <c r="Q265" s="124">
        <f>IF(G265="MFP",Tables!B$3,Tables!B$6)</f>
        <v>0.11799999999999999</v>
      </c>
      <c r="R265" s="113">
        <f>VLOOKUP($N265,'Meter Read info'!$C$2:$G$249,2,"FALSE")</f>
        <v>177</v>
      </c>
      <c r="S265" s="113">
        <f>VLOOKUP($N265,'Meter Read info'!$C$2:$G$249,3,"FALSE")</f>
        <v>257</v>
      </c>
      <c r="T265" s="113">
        <f>VLOOKUP($N265,'Meter Read info'!$C$2:$G$249,4,"FALSE")</f>
        <v>0</v>
      </c>
      <c r="U265" s="113">
        <f>VLOOKUP($N265,'Meter Read info'!$C$2:$G$249,5,"FALSE")</f>
        <v>0</v>
      </c>
    </row>
    <row r="266" spans="1:21" ht="31.2" outlineLevel="1" x14ac:dyDescent="0.3">
      <c r="A266" s="91"/>
      <c r="B266" s="107" t="s">
        <v>942</v>
      </c>
      <c r="C266" s="91"/>
      <c r="D266" s="90"/>
      <c r="E266" s="89"/>
      <c r="F266" s="90"/>
      <c r="G266" s="55"/>
      <c r="H266" s="83"/>
      <c r="I266" s="85"/>
      <c r="J266" s="85"/>
      <c r="K266" s="87"/>
      <c r="L266" s="87"/>
      <c r="M266" s="88">
        <f>SUBTOTAL(9,M261:M265)</f>
        <v>285.51219999999995</v>
      </c>
      <c r="N266" s="90"/>
      <c r="O266" s="90"/>
      <c r="P266" s="56"/>
      <c r="Q266" s="124"/>
      <c r="R266" s="113"/>
      <c r="S266" s="113"/>
      <c r="T266" s="113"/>
      <c r="U266" s="113"/>
    </row>
    <row r="267" spans="1:21" outlineLevel="2" x14ac:dyDescent="0.3">
      <c r="A267" s="91" t="s">
        <v>216</v>
      </c>
      <c r="B267" s="91" t="s">
        <v>426</v>
      </c>
      <c r="C267" s="91" t="str">
        <f>VLOOKUP(B267,Tables!G$2:H$79,2,FALSE)</f>
        <v>Printer Services</v>
      </c>
      <c r="D267" s="90" t="s">
        <v>168</v>
      </c>
      <c r="E267" s="89">
        <v>318</v>
      </c>
      <c r="F267" s="90" t="s">
        <v>15</v>
      </c>
      <c r="G267" s="55" t="str">
        <f>VLOOKUP(F267,Tables!D$2:E$12,2,FALSE)</f>
        <v>PTR</v>
      </c>
      <c r="H267" s="83">
        <v>17099583</v>
      </c>
      <c r="I267" s="85">
        <f t="shared" si="65"/>
        <v>174</v>
      </c>
      <c r="J267" s="85">
        <f t="shared" si="66"/>
        <v>0</v>
      </c>
      <c r="K267" s="87">
        <f t="shared" si="67"/>
        <v>4.5587999999999997</v>
      </c>
      <c r="L267" s="87">
        <f t="shared" si="68"/>
        <v>0</v>
      </c>
      <c r="M267" s="88">
        <f t="shared" si="69"/>
        <v>4.5587999999999997</v>
      </c>
      <c r="N267" s="90" t="s">
        <v>471</v>
      </c>
      <c r="O267" s="90" t="s">
        <v>472</v>
      </c>
      <c r="P267" s="56">
        <f>IF(G267="MFP",Tables!B$2,Tables!B$5)</f>
        <v>2.6200000000000001E-2</v>
      </c>
      <c r="Q267" s="124">
        <f>IF(G267="MFP",Tables!B$3,Tables!B$6)</f>
        <v>0.11799999999999999</v>
      </c>
      <c r="R267" s="113">
        <f>VLOOKUP($N267,'Meter Read info'!$C$2:$G$249,2,"FALSE")</f>
        <v>290</v>
      </c>
      <c r="S267" s="113">
        <f>VLOOKUP($N267,'Meter Read info'!$C$2:$G$249,3,"FALSE")</f>
        <v>464</v>
      </c>
      <c r="T267" s="113">
        <f>VLOOKUP($N267,'Meter Read info'!$C$2:$G$249,4,"FALSE")</f>
        <v>0</v>
      </c>
      <c r="U267" s="113">
        <f>VLOOKUP($N267,'Meter Read info'!$C$2:$G$249,5,"FALSE")</f>
        <v>0</v>
      </c>
    </row>
    <row r="268" spans="1:21" ht="31.2" outlineLevel="1" x14ac:dyDescent="0.3">
      <c r="A268" s="91"/>
      <c r="B268" s="107" t="s">
        <v>890</v>
      </c>
      <c r="C268" s="91"/>
      <c r="D268" s="90"/>
      <c r="E268" s="89"/>
      <c r="F268" s="90"/>
      <c r="G268" s="55"/>
      <c r="H268" s="83"/>
      <c r="I268" s="85"/>
      <c r="J268" s="85"/>
      <c r="K268" s="87"/>
      <c r="L268" s="87"/>
      <c r="M268" s="88">
        <f>SUBTOTAL(9,M267:M267)</f>
        <v>4.5587999999999997</v>
      </c>
      <c r="N268" s="90"/>
      <c r="O268" s="90"/>
      <c r="P268" s="56"/>
      <c r="Q268" s="124"/>
      <c r="R268" s="113"/>
      <c r="S268" s="113"/>
      <c r="T268" s="113"/>
      <c r="U268" s="113"/>
    </row>
    <row r="269" spans="1:21" ht="30" outlineLevel="2" x14ac:dyDescent="0.3">
      <c r="A269" s="91" t="s">
        <v>216</v>
      </c>
      <c r="B269" s="91" t="s">
        <v>732</v>
      </c>
      <c r="C269" s="91" t="str">
        <f>VLOOKUP(B269,Tables!G$2:H$79,2,FALSE)</f>
        <v>Cameron Physics &amp; Astronomy</v>
      </c>
      <c r="D269" s="90" t="s">
        <v>168</v>
      </c>
      <c r="E269" s="89">
        <v>123</v>
      </c>
      <c r="F269" s="90" t="s">
        <v>15</v>
      </c>
      <c r="G269" s="55" t="str">
        <f>VLOOKUP(F269,Tables!D$2:E$12,2,FALSE)</f>
        <v>PTR</v>
      </c>
      <c r="H269" s="83">
        <v>17099689</v>
      </c>
      <c r="I269" s="85">
        <f t="shared" si="65"/>
        <v>183</v>
      </c>
      <c r="J269" s="85">
        <f t="shared" si="66"/>
        <v>0</v>
      </c>
      <c r="K269" s="87">
        <f t="shared" si="67"/>
        <v>4.7946</v>
      </c>
      <c r="L269" s="87">
        <f t="shared" si="68"/>
        <v>0</v>
      </c>
      <c r="M269" s="88">
        <f t="shared" si="69"/>
        <v>4.7946</v>
      </c>
      <c r="N269" s="118" t="s">
        <v>815</v>
      </c>
      <c r="O269" s="118" t="s">
        <v>835</v>
      </c>
      <c r="P269" s="56">
        <f>IF(G269="MFP",Tables!B$2,Tables!B$5)</f>
        <v>2.6200000000000001E-2</v>
      </c>
      <c r="Q269" s="124">
        <f>IF(G269="MFP",Tables!B$3,Tables!B$6)</f>
        <v>0.11799999999999999</v>
      </c>
      <c r="R269" s="113">
        <f>VLOOKUP($N269,'Meter Read info'!$C$2:$G$249,2,"FALSE")</f>
        <v>235</v>
      </c>
      <c r="S269" s="113">
        <f>VLOOKUP($N269,'Meter Read info'!$C$2:$G$249,3,"FALSE")</f>
        <v>418</v>
      </c>
      <c r="T269" s="113">
        <f>VLOOKUP($N269,'Meter Read info'!$C$2:$G$249,4,"FALSE")</f>
        <v>0</v>
      </c>
      <c r="U269" s="113">
        <f>VLOOKUP($N269,'Meter Read info'!$C$2:$G$249,5,"FALSE")</f>
        <v>0</v>
      </c>
    </row>
    <row r="270" spans="1:21" ht="30" outlineLevel="2" x14ac:dyDescent="0.3">
      <c r="A270" s="91" t="s">
        <v>216</v>
      </c>
      <c r="B270" s="91" t="s">
        <v>732</v>
      </c>
      <c r="C270" s="91" t="str">
        <f>VLOOKUP(B270,Tables!G$2:H$79,2,FALSE)</f>
        <v>Cameron Physics &amp; Astronomy</v>
      </c>
      <c r="D270" s="90" t="s">
        <v>168</v>
      </c>
      <c r="E270" s="89">
        <v>324</v>
      </c>
      <c r="F270" s="90" t="s">
        <v>24</v>
      </c>
      <c r="G270" s="55" t="str">
        <f>VLOOKUP(F270,Tables!D$2:E$12,2,FALSE)</f>
        <v>MFP</v>
      </c>
      <c r="H270" s="83">
        <v>17099463</v>
      </c>
      <c r="I270" s="85">
        <f t="shared" si="65"/>
        <v>8569</v>
      </c>
      <c r="J270" s="85">
        <f t="shared" si="66"/>
        <v>2383</v>
      </c>
      <c r="K270" s="87">
        <f t="shared" si="67"/>
        <v>177.3783</v>
      </c>
      <c r="L270" s="87">
        <f t="shared" si="68"/>
        <v>207.321</v>
      </c>
      <c r="M270" s="88">
        <f t="shared" si="69"/>
        <v>384.69929999999999</v>
      </c>
      <c r="N270" s="90" t="s">
        <v>217</v>
      </c>
      <c r="O270" s="90" t="s">
        <v>218</v>
      </c>
      <c r="P270" s="56">
        <f>IF(G270="MFP",Tables!B$2,Tables!B$5)</f>
        <v>2.07E-2</v>
      </c>
      <c r="Q270" s="124">
        <f>IF(G270="MFP",Tables!B$3,Tables!B$6)</f>
        <v>8.6999999999999994E-2</v>
      </c>
      <c r="R270" s="113">
        <f>VLOOKUP($N270,'Meter Read info'!$C$2:$G$249,2,"FALSE")</f>
        <v>29307</v>
      </c>
      <c r="S270" s="113">
        <f>VLOOKUP($N270,'Meter Read info'!$C$2:$G$249,3,"FALSE")</f>
        <v>37876</v>
      </c>
      <c r="T270" s="113">
        <f>VLOOKUP($N270,'Meter Read info'!$C$2:$G$249,4,"FALSE")</f>
        <v>2309</v>
      </c>
      <c r="U270" s="113">
        <f>VLOOKUP($N270,'Meter Read info'!$C$2:$G$249,5,"FALSE")</f>
        <v>4692</v>
      </c>
    </row>
    <row r="271" spans="1:21" ht="30" outlineLevel="2" x14ac:dyDescent="0.3">
      <c r="A271" s="91" t="s">
        <v>216</v>
      </c>
      <c r="B271" s="91" t="s">
        <v>732</v>
      </c>
      <c r="C271" s="91" t="str">
        <f>VLOOKUP(B271,Tables!G$2:H$79,2,FALSE)</f>
        <v>Cameron Physics &amp; Astronomy</v>
      </c>
      <c r="D271" s="90" t="s">
        <v>168</v>
      </c>
      <c r="E271" s="89">
        <v>328</v>
      </c>
      <c r="F271" s="90" t="s">
        <v>15</v>
      </c>
      <c r="G271" s="55" t="str">
        <f>VLOOKUP(F271,Tables!D$2:E$12,2,FALSE)</f>
        <v>PTR</v>
      </c>
      <c r="H271" s="83">
        <v>17099588</v>
      </c>
      <c r="I271" s="85">
        <f t="shared" si="65"/>
        <v>189</v>
      </c>
      <c r="J271" s="85">
        <f t="shared" si="66"/>
        <v>0</v>
      </c>
      <c r="K271" s="87">
        <f t="shared" si="67"/>
        <v>4.9518000000000004</v>
      </c>
      <c r="L271" s="87">
        <f t="shared" si="68"/>
        <v>0</v>
      </c>
      <c r="M271" s="88">
        <f t="shared" si="69"/>
        <v>4.9518000000000004</v>
      </c>
      <c r="N271" s="90" t="s">
        <v>219</v>
      </c>
      <c r="O271" s="90" t="s">
        <v>220</v>
      </c>
      <c r="P271" s="56">
        <f>IF(G271="MFP",Tables!B$2,Tables!B$5)</f>
        <v>2.6200000000000001E-2</v>
      </c>
      <c r="Q271" s="124">
        <f>IF(G271="MFP",Tables!B$3,Tables!B$6)</f>
        <v>0.11799999999999999</v>
      </c>
      <c r="R271" s="113">
        <f>VLOOKUP($N271,'Meter Read info'!$C$2:$G$249,2,"FALSE")</f>
        <v>573</v>
      </c>
      <c r="S271" s="113">
        <f>VLOOKUP($N271,'Meter Read info'!$C$2:$G$249,3,"FALSE")</f>
        <v>762</v>
      </c>
      <c r="T271" s="113">
        <f>VLOOKUP($N271,'Meter Read info'!$C$2:$G$249,4,"FALSE")</f>
        <v>0</v>
      </c>
      <c r="U271" s="113">
        <f>VLOOKUP($N271,'Meter Read info'!$C$2:$G$249,5,"FALSE")</f>
        <v>0</v>
      </c>
    </row>
    <row r="272" spans="1:21" ht="31.2" outlineLevel="1" x14ac:dyDescent="0.3">
      <c r="A272" s="91"/>
      <c r="B272" s="107" t="s">
        <v>943</v>
      </c>
      <c r="C272" s="91"/>
      <c r="D272" s="90"/>
      <c r="E272" s="89"/>
      <c r="F272" s="90"/>
      <c r="G272" s="55"/>
      <c r="H272" s="83"/>
      <c r="I272" s="85"/>
      <c r="J272" s="85"/>
      <c r="K272" s="87"/>
      <c r="L272" s="87"/>
      <c r="M272" s="88">
        <f>SUBTOTAL(9,M269:M271)</f>
        <v>394.44569999999999</v>
      </c>
      <c r="N272" s="90"/>
      <c r="O272" s="90"/>
      <c r="P272" s="56"/>
      <c r="Q272" s="124"/>
      <c r="R272" s="113"/>
      <c r="S272" s="113"/>
      <c r="T272" s="113"/>
      <c r="U272" s="113"/>
    </row>
    <row r="273" spans="1:21" outlineLevel="2" x14ac:dyDescent="0.3">
      <c r="A273" s="91" t="s">
        <v>738</v>
      </c>
      <c r="B273" s="91" t="s">
        <v>278</v>
      </c>
      <c r="C273" s="91" t="str">
        <f>VLOOKUP(B273,Tables!G$2:H$79,2,FALSE)</f>
        <v>Dean of the Faculty</v>
      </c>
      <c r="D273" s="90" t="s">
        <v>739</v>
      </c>
      <c r="E273" s="89">
        <v>200</v>
      </c>
      <c r="F273" s="90" t="s">
        <v>92</v>
      </c>
      <c r="G273" s="55" t="str">
        <f>VLOOKUP(F273,Tables!D$2:E$12,2,FALSE)</f>
        <v>PTR</v>
      </c>
      <c r="H273" s="83">
        <v>17099451</v>
      </c>
      <c r="I273" s="85">
        <f t="shared" si="65"/>
        <v>384</v>
      </c>
      <c r="J273" s="85">
        <f t="shared" si="66"/>
        <v>276</v>
      </c>
      <c r="K273" s="87">
        <f t="shared" si="67"/>
        <v>10.0608</v>
      </c>
      <c r="L273" s="87">
        <f t="shared" si="68"/>
        <v>32.567999999999998</v>
      </c>
      <c r="M273" s="88">
        <f t="shared" si="69"/>
        <v>42.628799999999998</v>
      </c>
      <c r="N273" s="90" t="s">
        <v>286</v>
      </c>
      <c r="O273" s="90" t="s">
        <v>287</v>
      </c>
      <c r="P273" s="56">
        <f>IF(G273="MFP",Tables!B$2,Tables!B$5)</f>
        <v>2.6200000000000001E-2</v>
      </c>
      <c r="Q273" s="124">
        <f>IF(G273="MFP",Tables!B$3,Tables!B$6)</f>
        <v>0.11799999999999999</v>
      </c>
      <c r="R273" s="113">
        <f>VLOOKUP($N273,'Meter Read info'!$C$2:$G$249,2,"FALSE")</f>
        <v>1485</v>
      </c>
      <c r="S273" s="113">
        <f>VLOOKUP($N273,'Meter Read info'!$C$2:$G$249,3,"FALSE")</f>
        <v>1869</v>
      </c>
      <c r="T273" s="113">
        <f>VLOOKUP($N273,'Meter Read info'!$C$2:$G$249,4,"FALSE")</f>
        <v>468</v>
      </c>
      <c r="U273" s="113">
        <f>VLOOKUP($N273,'Meter Read info'!$C$2:$G$249,5,"FALSE")</f>
        <v>744</v>
      </c>
    </row>
    <row r="274" spans="1:21" outlineLevel="2" x14ac:dyDescent="0.3">
      <c r="A274" s="91" t="s">
        <v>738</v>
      </c>
      <c r="B274" s="91" t="s">
        <v>278</v>
      </c>
      <c r="C274" s="91" t="str">
        <f>VLOOKUP(B274,Tables!G$2:H$79,2,FALSE)</f>
        <v>Dean of the Faculty</v>
      </c>
      <c r="D274" s="90" t="s">
        <v>739</v>
      </c>
      <c r="E274" s="89">
        <v>201</v>
      </c>
      <c r="F274" s="90" t="s">
        <v>159</v>
      </c>
      <c r="G274" s="55" t="str">
        <f>VLOOKUP(F274,Tables!D$2:E$12,2,FALSE)</f>
        <v>MFP</v>
      </c>
      <c r="H274" s="83">
        <v>17099406</v>
      </c>
      <c r="I274" s="85">
        <f t="shared" si="65"/>
        <v>874</v>
      </c>
      <c r="J274" s="85">
        <f t="shared" si="66"/>
        <v>0</v>
      </c>
      <c r="K274" s="87">
        <f t="shared" si="67"/>
        <v>18.091799999999999</v>
      </c>
      <c r="L274" s="87">
        <f t="shared" si="68"/>
        <v>0</v>
      </c>
      <c r="M274" s="88">
        <f t="shared" si="69"/>
        <v>18.091799999999999</v>
      </c>
      <c r="N274" s="90" t="s">
        <v>752</v>
      </c>
      <c r="O274" s="90" t="s">
        <v>753</v>
      </c>
      <c r="P274" s="56">
        <f>IF(G274="MFP",Tables!B$2,Tables!B$5)</f>
        <v>2.07E-2</v>
      </c>
      <c r="Q274" s="124">
        <f>IF(G274="MFP",Tables!B$3,Tables!B$6)</f>
        <v>8.6999999999999994E-2</v>
      </c>
      <c r="R274" s="113">
        <f>VLOOKUP($N274,'Meter Read info'!$C$2:$G$249,2,"FALSE")</f>
        <v>1558</v>
      </c>
      <c r="S274" s="113">
        <f>VLOOKUP($N274,'Meter Read info'!$C$2:$G$249,3,"FALSE")</f>
        <v>2432</v>
      </c>
      <c r="T274" s="113">
        <f>VLOOKUP($N274,'Meter Read info'!$C$2:$G$249,4,"FALSE")</f>
        <v>0</v>
      </c>
      <c r="U274" s="113">
        <f>VLOOKUP($N274,'Meter Read info'!$C$2:$G$249,5,"FALSE")</f>
        <v>0</v>
      </c>
    </row>
    <row r="275" spans="1:21" outlineLevel="2" x14ac:dyDescent="0.3">
      <c r="A275" s="91" t="s">
        <v>738</v>
      </c>
      <c r="B275" s="91" t="s">
        <v>278</v>
      </c>
      <c r="C275" s="91" t="str">
        <f>VLOOKUP(B275,Tables!G$2:H$79,2,FALSE)</f>
        <v>Dean of the Faculty</v>
      </c>
      <c r="D275" s="90" t="s">
        <v>739</v>
      </c>
      <c r="E275" s="89">
        <v>203</v>
      </c>
      <c r="F275" s="90" t="s">
        <v>54</v>
      </c>
      <c r="G275" s="55" t="str">
        <f>VLOOKUP(F275,Tables!D$2:E$12,2,FALSE)</f>
        <v>MFP</v>
      </c>
      <c r="H275" s="83">
        <v>17099455</v>
      </c>
      <c r="I275" s="85">
        <f t="shared" si="65"/>
        <v>1181</v>
      </c>
      <c r="J275" s="85">
        <f t="shared" si="66"/>
        <v>146</v>
      </c>
      <c r="K275" s="87">
        <f t="shared" si="67"/>
        <v>24.4467</v>
      </c>
      <c r="L275" s="87">
        <f t="shared" si="68"/>
        <v>12.702</v>
      </c>
      <c r="M275" s="88">
        <f t="shared" si="69"/>
        <v>37.148699999999998</v>
      </c>
      <c r="N275" s="118" t="s">
        <v>190</v>
      </c>
      <c r="O275" s="118" t="s">
        <v>787</v>
      </c>
      <c r="P275" s="56">
        <f>IF(G275="MFP",Tables!B$2,Tables!B$5)</f>
        <v>2.07E-2</v>
      </c>
      <c r="Q275" s="124">
        <f>IF(G275="MFP",Tables!B$3,Tables!B$6)</f>
        <v>8.6999999999999994E-2</v>
      </c>
      <c r="R275" s="113">
        <f>VLOOKUP($N275,'Meter Read info'!$C$2:$G$249,2,"FALSE")</f>
        <v>11928</v>
      </c>
      <c r="S275" s="113">
        <f>VLOOKUP($N275,'Meter Read info'!$C$2:$G$249,3,"FALSE")</f>
        <v>13109</v>
      </c>
      <c r="T275" s="113">
        <f>VLOOKUP($N275,'Meter Read info'!$C$2:$G$249,4,"FALSE")</f>
        <v>200</v>
      </c>
      <c r="U275" s="113">
        <f>VLOOKUP($N275,'Meter Read info'!$C$2:$G$249,5,"FALSE")</f>
        <v>346</v>
      </c>
    </row>
    <row r="276" spans="1:21" outlineLevel="2" x14ac:dyDescent="0.3">
      <c r="A276" s="91" t="s">
        <v>738</v>
      </c>
      <c r="B276" s="91" t="s">
        <v>278</v>
      </c>
      <c r="C276" s="91" t="str">
        <f>VLOOKUP(B276,Tables!G$2:H$79,2,FALSE)</f>
        <v>Dean of the Faculty</v>
      </c>
      <c r="D276" s="90" t="s">
        <v>739</v>
      </c>
      <c r="E276" s="89">
        <v>300</v>
      </c>
      <c r="F276" s="90" t="s">
        <v>92</v>
      </c>
      <c r="G276" s="55" t="str">
        <f>VLOOKUP(F276,Tables!D$2:E$12,2,FALSE)</f>
        <v>PTR</v>
      </c>
      <c r="H276" s="83">
        <v>17099725</v>
      </c>
      <c r="I276" s="85">
        <f t="shared" si="65"/>
        <v>215</v>
      </c>
      <c r="J276" s="85">
        <f t="shared" si="66"/>
        <v>390</v>
      </c>
      <c r="K276" s="87">
        <f t="shared" si="67"/>
        <v>5.633</v>
      </c>
      <c r="L276" s="87">
        <f t="shared" si="68"/>
        <v>46.019999999999996</v>
      </c>
      <c r="M276" s="88">
        <f t="shared" si="69"/>
        <v>51.652999999999999</v>
      </c>
      <c r="N276" s="118" t="s">
        <v>785</v>
      </c>
      <c r="O276" s="118" t="s">
        <v>786</v>
      </c>
      <c r="P276" s="56">
        <f>IF(G276="MFP",Tables!B$2,Tables!B$5)</f>
        <v>2.6200000000000001E-2</v>
      </c>
      <c r="Q276" s="124">
        <f>IF(G276="MFP",Tables!B$3,Tables!B$6)</f>
        <v>0.11799999999999999</v>
      </c>
      <c r="R276" s="113">
        <f>VLOOKUP($N276,'Meter Read info'!$C$2:$G$249,2,"FALSE")</f>
        <v>0</v>
      </c>
      <c r="S276" s="113">
        <f>VLOOKUP($N276,'Meter Read info'!$C$2:$G$249,3,"FALSE")</f>
        <v>215</v>
      </c>
      <c r="T276" s="113">
        <f>VLOOKUP($N276,'Meter Read info'!$C$2:$G$249,4,"FALSE")</f>
        <v>0</v>
      </c>
      <c r="U276" s="113">
        <f>VLOOKUP($N276,'Meter Read info'!$C$2:$G$249,5,"FALSE")</f>
        <v>390</v>
      </c>
    </row>
    <row r="277" spans="1:21" outlineLevel="2" x14ac:dyDescent="0.3">
      <c r="A277" s="91" t="s">
        <v>738</v>
      </c>
      <c r="B277" s="91" t="s">
        <v>278</v>
      </c>
      <c r="C277" s="91" t="str">
        <f>VLOOKUP(B277,Tables!G$2:H$79,2,FALSE)</f>
        <v>Dean of the Faculty</v>
      </c>
      <c r="D277" s="90" t="s">
        <v>739</v>
      </c>
      <c r="E277" s="89">
        <v>301</v>
      </c>
      <c r="F277" s="90" t="s">
        <v>15</v>
      </c>
      <c r="G277" s="55" t="str">
        <f>VLOOKUP(F277,Tables!D$2:E$12,2,FALSE)</f>
        <v>PTR</v>
      </c>
      <c r="H277" s="83">
        <v>17099736</v>
      </c>
      <c r="I277" s="85">
        <f t="shared" si="65"/>
        <v>39</v>
      </c>
      <c r="J277" s="85">
        <f t="shared" si="66"/>
        <v>0</v>
      </c>
      <c r="K277" s="87">
        <f t="shared" si="67"/>
        <v>1.0218</v>
      </c>
      <c r="L277" s="87">
        <f t="shared" si="68"/>
        <v>0</v>
      </c>
      <c r="M277" s="88">
        <f t="shared" si="69"/>
        <v>1.0218</v>
      </c>
      <c r="N277" s="90" t="s">
        <v>816</v>
      </c>
      <c r="O277" s="90" t="s">
        <v>788</v>
      </c>
      <c r="P277" s="56">
        <f>IF(G277="MFP",Tables!B$2,Tables!B$5)</f>
        <v>2.6200000000000001E-2</v>
      </c>
      <c r="Q277" s="124">
        <f>IF(G277="MFP",Tables!B$3,Tables!B$6)</f>
        <v>0.11799999999999999</v>
      </c>
      <c r="R277" s="113">
        <f>VLOOKUP($N277,'Meter Read info'!$C$2:$G$249,2,"FALSE")</f>
        <v>0</v>
      </c>
      <c r="S277" s="113">
        <f>VLOOKUP($N277,'Meter Read info'!$C$2:$G$249,3,"FALSE")</f>
        <v>39</v>
      </c>
      <c r="T277" s="113">
        <f>VLOOKUP($N277,'Meter Read info'!$C$2:$G$249,4,"FALSE")</f>
        <v>0</v>
      </c>
      <c r="U277" s="113">
        <f>VLOOKUP($N277,'Meter Read info'!$C$2:$G$249,5,"FALSE")</f>
        <v>0</v>
      </c>
    </row>
    <row r="278" spans="1:21" ht="31.2" outlineLevel="1" x14ac:dyDescent="0.3">
      <c r="A278" s="91"/>
      <c r="B278" s="107" t="s">
        <v>916</v>
      </c>
      <c r="C278" s="91"/>
      <c r="D278" s="90"/>
      <c r="E278" s="89"/>
      <c r="F278" s="90"/>
      <c r="G278" s="55"/>
      <c r="H278" s="83"/>
      <c r="I278" s="85"/>
      <c r="J278" s="85"/>
      <c r="K278" s="87"/>
      <c r="L278" s="87"/>
      <c r="M278" s="88">
        <f>SUBTOTAL(9,M273:M277)</f>
        <v>150.54410000000001</v>
      </c>
      <c r="N278" s="90"/>
      <c r="O278" s="90"/>
      <c r="P278" s="56"/>
      <c r="Q278" s="124"/>
      <c r="R278" s="113"/>
      <c r="S278" s="113"/>
      <c r="T278" s="113"/>
      <c r="U278" s="113"/>
    </row>
    <row r="279" spans="1:21" outlineLevel="2" x14ac:dyDescent="0.3">
      <c r="A279" s="91" t="s">
        <v>177</v>
      </c>
      <c r="B279" s="91" t="s">
        <v>242</v>
      </c>
      <c r="C279" s="91" t="str">
        <f>VLOOKUP(B279,Tables!G$2:H$79,2,FALSE)</f>
        <v>Libraries</v>
      </c>
      <c r="D279" s="90" t="s">
        <v>177</v>
      </c>
      <c r="E279" s="89">
        <v>302</v>
      </c>
      <c r="F279" s="90" t="s">
        <v>15</v>
      </c>
      <c r="G279" s="55" t="str">
        <f>VLOOKUP(F279,Tables!D$2:E$12,2,FALSE)</f>
        <v>PTR</v>
      </c>
      <c r="H279" s="83">
        <v>17099502</v>
      </c>
      <c r="I279" s="85">
        <f t="shared" ref="I279:I290" si="70">SUM(S279-R279)</f>
        <v>1588</v>
      </c>
      <c r="J279" s="85">
        <f t="shared" ref="J279:J290" si="71">SUM(U279-T279)</f>
        <v>0</v>
      </c>
      <c r="K279" s="87">
        <f t="shared" ref="K279:K290" si="72">SUM(I279*$P279)</f>
        <v>41.605600000000003</v>
      </c>
      <c r="L279" s="87">
        <f t="shared" ref="L279:L290" si="73">SUM(J279*$Q279)</f>
        <v>0</v>
      </c>
      <c r="M279" s="88">
        <f t="shared" ref="M279:M290" si="74">K279+L279</f>
        <v>41.605600000000003</v>
      </c>
      <c r="N279" s="90" t="s">
        <v>268</v>
      </c>
      <c r="O279" s="90" t="s">
        <v>269</v>
      </c>
      <c r="P279" s="56">
        <f>IF(G279="MFP",Tables!B$2,Tables!B$5)</f>
        <v>2.6200000000000001E-2</v>
      </c>
      <c r="Q279" s="124">
        <f>IF(G279="MFP",Tables!B$3,Tables!B$6)</f>
        <v>0.11799999999999999</v>
      </c>
      <c r="R279" s="113">
        <f>VLOOKUP($N279,'Meter Read info'!$C$2:$G$249,2,"FALSE")</f>
        <v>4271</v>
      </c>
      <c r="S279" s="113">
        <f>VLOOKUP($N279,'Meter Read info'!$C$2:$G$249,3,"FALSE")</f>
        <v>5859</v>
      </c>
      <c r="T279" s="113">
        <f>VLOOKUP($N279,'Meter Read info'!$C$2:$G$249,4,"FALSE")</f>
        <v>0</v>
      </c>
      <c r="U279" s="113">
        <f>VLOOKUP($N279,'Meter Read info'!$C$2:$G$249,5,"FALSE")</f>
        <v>0</v>
      </c>
    </row>
    <row r="280" spans="1:21" outlineLevel="2" x14ac:dyDescent="0.3">
      <c r="A280" s="91" t="s">
        <v>177</v>
      </c>
      <c r="B280" s="91" t="s">
        <v>242</v>
      </c>
      <c r="C280" s="91" t="str">
        <f>VLOOKUP(B280,Tables!G$2:H$79,2,FALSE)</f>
        <v>Libraries</v>
      </c>
      <c r="D280" s="90" t="s">
        <v>177</v>
      </c>
      <c r="E280" s="89">
        <v>303</v>
      </c>
      <c r="F280" s="90" t="s">
        <v>15</v>
      </c>
      <c r="G280" s="55" t="str">
        <f>VLOOKUP(F280,Tables!D$2:E$12,2,FALSE)</f>
        <v>PTR</v>
      </c>
      <c r="H280" s="83">
        <v>17099504</v>
      </c>
      <c r="I280" s="85">
        <f t="shared" si="70"/>
        <v>1343</v>
      </c>
      <c r="J280" s="85">
        <f t="shared" si="71"/>
        <v>0</v>
      </c>
      <c r="K280" s="87">
        <f t="shared" si="72"/>
        <v>35.186599999999999</v>
      </c>
      <c r="L280" s="87">
        <f t="shared" si="73"/>
        <v>0</v>
      </c>
      <c r="M280" s="88">
        <f t="shared" si="74"/>
        <v>35.186599999999999</v>
      </c>
      <c r="N280" s="90" t="s">
        <v>264</v>
      </c>
      <c r="O280" s="90" t="s">
        <v>265</v>
      </c>
      <c r="P280" s="56">
        <f>IF(G280="MFP",Tables!B$2,Tables!B$5)</f>
        <v>2.6200000000000001E-2</v>
      </c>
      <c r="Q280" s="124">
        <f>IF(G280="MFP",Tables!B$3,Tables!B$6)</f>
        <v>0.11799999999999999</v>
      </c>
      <c r="R280" s="113">
        <f>VLOOKUP($N280,'Meter Read info'!$C$2:$G$249,2,"FALSE")</f>
        <v>4688</v>
      </c>
      <c r="S280" s="113">
        <f>VLOOKUP($N280,'Meter Read info'!$C$2:$G$249,3,"FALSE")</f>
        <v>6031</v>
      </c>
      <c r="T280" s="113">
        <f>VLOOKUP($N280,'Meter Read info'!$C$2:$G$249,4,"FALSE")</f>
        <v>0</v>
      </c>
      <c r="U280" s="113">
        <f>VLOOKUP($N280,'Meter Read info'!$C$2:$G$249,5,"FALSE")</f>
        <v>0</v>
      </c>
    </row>
    <row r="281" spans="1:21" outlineLevel="2" x14ac:dyDescent="0.3">
      <c r="A281" s="91" t="s">
        <v>177</v>
      </c>
      <c r="B281" s="91" t="s">
        <v>242</v>
      </c>
      <c r="C281" s="91" t="str">
        <f>VLOOKUP(B281,Tables!G$2:H$79,2,FALSE)</f>
        <v>Libraries</v>
      </c>
      <c r="D281" s="90" t="s">
        <v>177</v>
      </c>
      <c r="E281" s="89">
        <v>401</v>
      </c>
      <c r="F281" s="90" t="s">
        <v>15</v>
      </c>
      <c r="G281" s="55" t="str">
        <f>VLOOKUP(F281,Tables!D$2:E$12,2,FALSE)</f>
        <v>PTR</v>
      </c>
      <c r="H281" s="83">
        <v>17099526</v>
      </c>
      <c r="I281" s="85">
        <f t="shared" si="70"/>
        <v>953</v>
      </c>
      <c r="J281" s="85">
        <f t="shared" si="71"/>
        <v>0</v>
      </c>
      <c r="K281" s="87">
        <f t="shared" si="72"/>
        <v>24.968600000000002</v>
      </c>
      <c r="L281" s="87">
        <f t="shared" si="73"/>
        <v>0</v>
      </c>
      <c r="M281" s="88">
        <f t="shared" si="74"/>
        <v>24.968600000000002</v>
      </c>
      <c r="N281" s="90" t="s">
        <v>255</v>
      </c>
      <c r="O281" s="90" t="s">
        <v>256</v>
      </c>
      <c r="P281" s="56">
        <f>IF(G281="MFP",Tables!B$2,Tables!B$5)</f>
        <v>2.6200000000000001E-2</v>
      </c>
      <c r="Q281" s="124">
        <f>IF(G281="MFP",Tables!B$3,Tables!B$6)</f>
        <v>0.11799999999999999</v>
      </c>
      <c r="R281" s="113">
        <f>VLOOKUP($N281,'Meter Read info'!$C$2:$G$249,2,"FALSE")</f>
        <v>3801</v>
      </c>
      <c r="S281" s="113">
        <f>VLOOKUP($N281,'Meter Read info'!$C$2:$G$249,3,"FALSE")</f>
        <v>4754</v>
      </c>
      <c r="T281" s="113">
        <f>VLOOKUP($N281,'Meter Read info'!$C$2:$G$249,4,"FALSE")</f>
        <v>0</v>
      </c>
      <c r="U281" s="113">
        <f>VLOOKUP($N281,'Meter Read info'!$C$2:$G$249,5,"FALSE")</f>
        <v>0</v>
      </c>
    </row>
    <row r="282" spans="1:21" outlineLevel="2" x14ac:dyDescent="0.3">
      <c r="A282" s="91" t="s">
        <v>177</v>
      </c>
      <c r="B282" s="91" t="s">
        <v>242</v>
      </c>
      <c r="C282" s="91" t="str">
        <f>VLOOKUP(B282,Tables!G$2:H$79,2,FALSE)</f>
        <v>Libraries</v>
      </c>
      <c r="D282" s="90" t="s">
        <v>177</v>
      </c>
      <c r="E282" s="89">
        <v>401</v>
      </c>
      <c r="F282" s="90" t="s">
        <v>15</v>
      </c>
      <c r="G282" s="55" t="str">
        <f>VLOOKUP(F282,Tables!D$2:E$12,2,FALSE)</f>
        <v>PTR</v>
      </c>
      <c r="H282" s="83">
        <v>17099641</v>
      </c>
      <c r="I282" s="85">
        <f t="shared" si="70"/>
        <v>146</v>
      </c>
      <c r="J282" s="85">
        <f t="shared" si="71"/>
        <v>0</v>
      </c>
      <c r="K282" s="87">
        <f t="shared" si="72"/>
        <v>3.8252000000000002</v>
      </c>
      <c r="L282" s="87">
        <f t="shared" si="73"/>
        <v>0</v>
      </c>
      <c r="M282" s="88">
        <f t="shared" si="74"/>
        <v>3.8252000000000002</v>
      </c>
      <c r="N282" s="90" t="s">
        <v>266</v>
      </c>
      <c r="O282" s="90" t="s">
        <v>267</v>
      </c>
      <c r="P282" s="56">
        <f>IF(G282="MFP",Tables!B$2,Tables!B$5)</f>
        <v>2.6200000000000001E-2</v>
      </c>
      <c r="Q282" s="124">
        <f>IF(G282="MFP",Tables!B$3,Tables!B$6)</f>
        <v>0.11799999999999999</v>
      </c>
      <c r="R282" s="113">
        <f>VLOOKUP($N282,'Meter Read info'!$C$2:$G$249,2,"FALSE")</f>
        <v>431</v>
      </c>
      <c r="S282" s="113">
        <f>VLOOKUP($N282,'Meter Read info'!$C$2:$G$249,3,"FALSE")</f>
        <v>577</v>
      </c>
      <c r="T282" s="113">
        <f>VLOOKUP($N282,'Meter Read info'!$C$2:$G$249,4,"FALSE")</f>
        <v>0</v>
      </c>
      <c r="U282" s="113">
        <f>VLOOKUP($N282,'Meter Read info'!$C$2:$G$249,5,"FALSE")</f>
        <v>0</v>
      </c>
    </row>
    <row r="283" spans="1:21" outlineLevel="2" x14ac:dyDescent="0.3">
      <c r="A283" s="91" t="s">
        <v>177</v>
      </c>
      <c r="B283" s="91" t="s">
        <v>242</v>
      </c>
      <c r="C283" s="91" t="str">
        <f>VLOOKUP(B283,Tables!G$2:H$79,2,FALSE)</f>
        <v>Libraries</v>
      </c>
      <c r="D283" s="90" t="s">
        <v>177</v>
      </c>
      <c r="E283" s="89">
        <v>500</v>
      </c>
      <c r="F283" s="90" t="s">
        <v>15</v>
      </c>
      <c r="G283" s="55" t="str">
        <f>VLOOKUP(F283,Tables!D$2:E$12,2,FALSE)</f>
        <v>PTR</v>
      </c>
      <c r="H283" s="83">
        <v>17099525</v>
      </c>
      <c r="I283" s="85">
        <f t="shared" si="70"/>
        <v>5073</v>
      </c>
      <c r="J283" s="85">
        <f t="shared" si="71"/>
        <v>0</v>
      </c>
      <c r="K283" s="87">
        <f t="shared" si="72"/>
        <v>132.9126</v>
      </c>
      <c r="L283" s="87">
        <f t="shared" si="73"/>
        <v>0</v>
      </c>
      <c r="M283" s="88">
        <f t="shared" si="74"/>
        <v>132.9126</v>
      </c>
      <c r="N283" s="90" t="s">
        <v>249</v>
      </c>
      <c r="O283" s="90" t="s">
        <v>250</v>
      </c>
      <c r="P283" s="56">
        <f>IF(G283="MFP",Tables!B$2,Tables!B$5)</f>
        <v>2.6200000000000001E-2</v>
      </c>
      <c r="Q283" s="124">
        <f>IF(G283="MFP",Tables!B$3,Tables!B$6)</f>
        <v>0.11799999999999999</v>
      </c>
      <c r="R283" s="113">
        <f>VLOOKUP($N283,'Meter Read info'!$C$2:$G$249,2,"FALSE")</f>
        <v>5</v>
      </c>
      <c r="S283" s="113">
        <f>VLOOKUP($N283,'Meter Read info'!$C$2:$G$249,3,"FALSE")</f>
        <v>5078</v>
      </c>
      <c r="T283" s="113">
        <f>VLOOKUP($N283,'Meter Read info'!$C$2:$G$249,4,"FALSE")</f>
        <v>0</v>
      </c>
      <c r="U283" s="113">
        <f>VLOOKUP($N283,'Meter Read info'!$C$2:$G$249,5,"FALSE")</f>
        <v>0</v>
      </c>
    </row>
    <row r="284" spans="1:21" outlineLevel="2" x14ac:dyDescent="0.3">
      <c r="A284" s="91" t="s">
        <v>177</v>
      </c>
      <c r="B284" s="91" t="s">
        <v>242</v>
      </c>
      <c r="C284" s="91" t="str">
        <f>VLOOKUP(B284,Tables!G$2:H$79,2,FALSE)</f>
        <v>Libraries</v>
      </c>
      <c r="D284" s="90" t="s">
        <v>177</v>
      </c>
      <c r="E284" s="89">
        <v>501</v>
      </c>
      <c r="F284" s="90" t="s">
        <v>15</v>
      </c>
      <c r="G284" s="55" t="str">
        <f>VLOOKUP(F284,Tables!D$2:E$12,2,FALSE)</f>
        <v>PTR</v>
      </c>
      <c r="H284" s="83">
        <v>17099523</v>
      </c>
      <c r="I284" s="85">
        <f t="shared" si="70"/>
        <v>9286</v>
      </c>
      <c r="J284" s="85">
        <f t="shared" si="71"/>
        <v>0</v>
      </c>
      <c r="K284" s="87">
        <f t="shared" si="72"/>
        <v>243.29320000000001</v>
      </c>
      <c r="L284" s="87">
        <f t="shared" si="73"/>
        <v>0</v>
      </c>
      <c r="M284" s="88">
        <f t="shared" si="74"/>
        <v>243.29320000000001</v>
      </c>
      <c r="N284" s="90" t="s">
        <v>257</v>
      </c>
      <c r="O284" s="90" t="s">
        <v>258</v>
      </c>
      <c r="P284" s="56">
        <f>IF(G284="MFP",Tables!B$2,Tables!B$5)</f>
        <v>2.6200000000000001E-2</v>
      </c>
      <c r="Q284" s="124">
        <f>IF(G284="MFP",Tables!B$3,Tables!B$6)</f>
        <v>0.11799999999999999</v>
      </c>
      <c r="R284" s="113">
        <f>VLOOKUP($N284,'Meter Read info'!$C$2:$G$249,2,"FALSE")</f>
        <v>38649</v>
      </c>
      <c r="S284" s="113">
        <f>VLOOKUP($N284,'Meter Read info'!$C$2:$G$249,3,"FALSE")</f>
        <v>47935</v>
      </c>
      <c r="T284" s="113">
        <f>VLOOKUP($N284,'Meter Read info'!$C$2:$G$249,4,"FALSE")</f>
        <v>0</v>
      </c>
      <c r="U284" s="113">
        <f>VLOOKUP($N284,'Meter Read info'!$C$2:$G$249,5,"FALSE")</f>
        <v>0</v>
      </c>
    </row>
    <row r="285" spans="1:21" outlineLevel="2" x14ac:dyDescent="0.3">
      <c r="A285" s="55" t="s">
        <v>177</v>
      </c>
      <c r="B285" s="55" t="s">
        <v>242</v>
      </c>
      <c r="C285" s="91" t="str">
        <f>VLOOKUP(B285,Tables!G$2:H$79,2,FALSE)</f>
        <v>Libraries</v>
      </c>
      <c r="D285" s="90" t="s">
        <v>177</v>
      </c>
      <c r="E285" s="58">
        <v>501</v>
      </c>
      <c r="F285" s="55" t="s">
        <v>15</v>
      </c>
      <c r="G285" s="55" t="str">
        <f>VLOOKUP(F285,Tables!D$2:E$12,2,FALSE)</f>
        <v>PTR</v>
      </c>
      <c r="H285" s="84">
        <v>17099634</v>
      </c>
      <c r="I285" s="85">
        <f t="shared" si="70"/>
        <v>997</v>
      </c>
      <c r="J285" s="85">
        <f t="shared" si="71"/>
        <v>0</v>
      </c>
      <c r="K285" s="87">
        <f t="shared" si="72"/>
        <v>26.121400000000001</v>
      </c>
      <c r="L285" s="87">
        <f t="shared" si="73"/>
        <v>0</v>
      </c>
      <c r="M285" s="88">
        <f t="shared" si="74"/>
        <v>26.121400000000001</v>
      </c>
      <c r="N285" s="55" t="s">
        <v>251</v>
      </c>
      <c r="O285" s="55" t="s">
        <v>252</v>
      </c>
      <c r="P285" s="56">
        <f>IF(G285="MFP",Tables!B$2,Tables!B$5)</f>
        <v>2.6200000000000001E-2</v>
      </c>
      <c r="Q285" s="124">
        <f>IF(G285="MFP",Tables!B$3,Tables!B$6)</f>
        <v>0.11799999999999999</v>
      </c>
      <c r="R285" s="113">
        <f>VLOOKUP($N285,'Meter Read info'!$C$2:$G$249,2,"FALSE")</f>
        <v>568</v>
      </c>
      <c r="S285" s="113">
        <f>VLOOKUP($N285,'Meter Read info'!$C$2:$G$249,3,"FALSE")</f>
        <v>1565</v>
      </c>
      <c r="T285" s="113">
        <f>VLOOKUP($N285,'Meter Read info'!$C$2:$G$249,4,"FALSE")</f>
        <v>0</v>
      </c>
      <c r="U285" s="113">
        <f>VLOOKUP($N285,'Meter Read info'!$C$2:$G$249,5,"FALSE")</f>
        <v>0</v>
      </c>
    </row>
    <row r="286" spans="1:21" outlineLevel="2" x14ac:dyDescent="0.3">
      <c r="A286" s="91" t="s">
        <v>177</v>
      </c>
      <c r="B286" s="91" t="s">
        <v>242</v>
      </c>
      <c r="C286" s="91" t="str">
        <f>VLOOKUP(B286,Tables!G$2:H$79,2,FALSE)</f>
        <v>Libraries</v>
      </c>
      <c r="D286" s="90" t="s">
        <v>177</v>
      </c>
      <c r="E286" s="89">
        <v>502</v>
      </c>
      <c r="F286" s="90" t="s">
        <v>15</v>
      </c>
      <c r="G286" s="55" t="str">
        <f>VLOOKUP(F286,Tables!D$2:E$12,2,FALSE)</f>
        <v>PTR</v>
      </c>
      <c r="H286" s="83">
        <v>17099524</v>
      </c>
      <c r="I286" s="85">
        <f t="shared" si="70"/>
        <v>1707</v>
      </c>
      <c r="J286" s="85">
        <f t="shared" si="71"/>
        <v>0</v>
      </c>
      <c r="K286" s="87">
        <f t="shared" si="72"/>
        <v>44.723400000000005</v>
      </c>
      <c r="L286" s="87">
        <f t="shared" si="73"/>
        <v>0</v>
      </c>
      <c r="M286" s="88">
        <f t="shared" si="74"/>
        <v>44.723400000000005</v>
      </c>
      <c r="N286" s="90" t="s">
        <v>253</v>
      </c>
      <c r="O286" s="90" t="s">
        <v>254</v>
      </c>
      <c r="P286" s="56">
        <f>IF(G286="MFP",Tables!B$2,Tables!B$5)</f>
        <v>2.6200000000000001E-2</v>
      </c>
      <c r="Q286" s="124">
        <f>IF(G286="MFP",Tables!B$3,Tables!B$6)</f>
        <v>0.11799999999999999</v>
      </c>
      <c r="R286" s="113">
        <f>VLOOKUP($N286,'Meter Read info'!$C$2:$G$249,2,"FALSE")</f>
        <v>6813</v>
      </c>
      <c r="S286" s="113">
        <f>VLOOKUP($N286,'Meter Read info'!$C$2:$G$249,3,"FALSE")</f>
        <v>8520</v>
      </c>
      <c r="T286" s="113">
        <f>VLOOKUP($N286,'Meter Read info'!$C$2:$G$249,4,"FALSE")</f>
        <v>0</v>
      </c>
      <c r="U286" s="113">
        <f>VLOOKUP($N286,'Meter Read info'!$C$2:$G$249,5,"FALSE")</f>
        <v>0</v>
      </c>
    </row>
    <row r="287" spans="1:21" outlineLevel="2" x14ac:dyDescent="0.3">
      <c r="A287" s="91" t="s">
        <v>177</v>
      </c>
      <c r="B287" s="91" t="s">
        <v>242</v>
      </c>
      <c r="C287" s="91" t="str">
        <f>VLOOKUP(B287,Tables!G$2:H$79,2,FALSE)</f>
        <v>Libraries</v>
      </c>
      <c r="D287" s="90" t="s">
        <v>177</v>
      </c>
      <c r="E287" s="89">
        <v>650</v>
      </c>
      <c r="F287" s="90" t="s">
        <v>15</v>
      </c>
      <c r="G287" s="55" t="str">
        <f>VLOOKUP(F287,Tables!D$2:E$12,2,FALSE)</f>
        <v>PTR</v>
      </c>
      <c r="H287" s="83">
        <v>17099445</v>
      </c>
      <c r="I287" s="85">
        <f t="shared" si="70"/>
        <v>1419</v>
      </c>
      <c r="J287" s="85">
        <f t="shared" si="71"/>
        <v>0</v>
      </c>
      <c r="K287" s="87">
        <f t="shared" si="72"/>
        <v>37.177800000000005</v>
      </c>
      <c r="L287" s="87">
        <f t="shared" si="73"/>
        <v>0</v>
      </c>
      <c r="M287" s="88">
        <f t="shared" si="74"/>
        <v>37.177800000000005</v>
      </c>
      <c r="N287" s="90" t="s">
        <v>262</v>
      </c>
      <c r="O287" s="90" t="s">
        <v>263</v>
      </c>
      <c r="P287" s="56">
        <f>IF(G287="MFP",Tables!B$2,Tables!B$5)</f>
        <v>2.6200000000000001E-2</v>
      </c>
      <c r="Q287" s="124">
        <f>IF(G287="MFP",Tables!B$3,Tables!B$6)</f>
        <v>0.11799999999999999</v>
      </c>
      <c r="R287" s="113">
        <f>VLOOKUP($N287,'Meter Read info'!$C$2:$G$249,2,"FALSE")</f>
        <v>5078</v>
      </c>
      <c r="S287" s="113">
        <f>VLOOKUP($N287,'Meter Read info'!$C$2:$G$249,3,"FALSE")</f>
        <v>6497</v>
      </c>
      <c r="T287" s="113">
        <f>VLOOKUP($N287,'Meter Read info'!$C$2:$G$249,4,"FALSE")</f>
        <v>0</v>
      </c>
      <c r="U287" s="113">
        <f>VLOOKUP($N287,'Meter Read info'!$C$2:$G$249,5,"FALSE")</f>
        <v>0</v>
      </c>
    </row>
    <row r="288" spans="1:21" outlineLevel="2" x14ac:dyDescent="0.3">
      <c r="A288" s="91" t="s">
        <v>177</v>
      </c>
      <c r="B288" s="91" t="s">
        <v>242</v>
      </c>
      <c r="C288" s="91" t="str">
        <f>VLOOKUP(B288,Tables!G$2:H$79,2,FALSE)</f>
        <v>Libraries</v>
      </c>
      <c r="D288" s="90" t="s">
        <v>177</v>
      </c>
      <c r="E288" s="89" t="s">
        <v>259</v>
      </c>
      <c r="F288" s="90" t="s">
        <v>15</v>
      </c>
      <c r="G288" s="55" t="str">
        <f>VLOOKUP(F288,Tables!D$2:E$12,2,FALSE)</f>
        <v>PTR</v>
      </c>
      <c r="H288" s="83">
        <v>17099503</v>
      </c>
      <c r="I288" s="85">
        <f t="shared" si="70"/>
        <v>3106</v>
      </c>
      <c r="J288" s="85">
        <f t="shared" si="71"/>
        <v>0</v>
      </c>
      <c r="K288" s="87">
        <f t="shared" si="72"/>
        <v>81.377200000000002</v>
      </c>
      <c r="L288" s="87">
        <f t="shared" si="73"/>
        <v>0</v>
      </c>
      <c r="M288" s="88">
        <f t="shared" si="74"/>
        <v>81.377200000000002</v>
      </c>
      <c r="N288" s="90" t="s">
        <v>260</v>
      </c>
      <c r="O288" s="90" t="s">
        <v>261</v>
      </c>
      <c r="P288" s="56">
        <f>IF(G288="MFP",Tables!B$2,Tables!B$5)</f>
        <v>2.6200000000000001E-2</v>
      </c>
      <c r="Q288" s="124">
        <f>IF(G288="MFP",Tables!B$3,Tables!B$6)</f>
        <v>0.11799999999999999</v>
      </c>
      <c r="R288" s="113">
        <f>VLOOKUP($N288,'Meter Read info'!$C$2:$G$249,2,"FALSE")</f>
        <v>9337</v>
      </c>
      <c r="S288" s="113">
        <f>VLOOKUP($N288,'Meter Read info'!$C$2:$G$249,3,"FALSE")</f>
        <v>12443</v>
      </c>
      <c r="T288" s="113">
        <f>VLOOKUP($N288,'Meter Read info'!$C$2:$G$249,4,"FALSE")</f>
        <v>0</v>
      </c>
      <c r="U288" s="113">
        <f>VLOOKUP($N288,'Meter Read info'!$C$2:$G$249,5,"FALSE")</f>
        <v>0</v>
      </c>
    </row>
    <row r="289" spans="1:21" outlineLevel="2" x14ac:dyDescent="0.3">
      <c r="A289" s="91" t="s">
        <v>177</v>
      </c>
      <c r="B289" s="91" t="s">
        <v>242</v>
      </c>
      <c r="C289" s="91" t="str">
        <f>VLOOKUP(B289,Tables!G$2:H$79,2,FALSE)</f>
        <v>Libraries</v>
      </c>
      <c r="D289" s="90" t="s">
        <v>177</v>
      </c>
      <c r="E289" s="89" t="s">
        <v>243</v>
      </c>
      <c r="F289" s="90" t="s">
        <v>54</v>
      </c>
      <c r="G289" s="55" t="str">
        <f>VLOOKUP(F289,Tables!D$2:E$12,2,FALSE)</f>
        <v>MFP</v>
      </c>
      <c r="H289" s="83">
        <v>17099487</v>
      </c>
      <c r="I289" s="85">
        <f t="shared" si="70"/>
        <v>415</v>
      </c>
      <c r="J289" s="85">
        <f t="shared" si="71"/>
        <v>0</v>
      </c>
      <c r="K289" s="87">
        <f t="shared" si="72"/>
        <v>8.5905000000000005</v>
      </c>
      <c r="L289" s="87">
        <f t="shared" si="73"/>
        <v>0</v>
      </c>
      <c r="M289" s="88">
        <f t="shared" si="74"/>
        <v>8.5905000000000005</v>
      </c>
      <c r="N289" s="90" t="s">
        <v>244</v>
      </c>
      <c r="O289" s="90" t="s">
        <v>245</v>
      </c>
      <c r="P289" s="56">
        <f>IF(G289="MFP",Tables!B$2,Tables!B$5)</f>
        <v>2.07E-2</v>
      </c>
      <c r="Q289" s="124">
        <f>IF(G289="MFP",Tables!B$3,Tables!B$6)</f>
        <v>8.6999999999999994E-2</v>
      </c>
      <c r="R289" s="113">
        <f>VLOOKUP($N289,'Meter Read info'!$C$2:$G$249,2,"FALSE")</f>
        <v>1090</v>
      </c>
      <c r="S289" s="113">
        <f>VLOOKUP($N289,'Meter Read info'!$C$2:$G$249,3,"FALSE")</f>
        <v>1505</v>
      </c>
      <c r="T289" s="113">
        <f>VLOOKUP($N289,'Meter Read info'!$C$2:$G$249,4,"FALSE")</f>
        <v>45</v>
      </c>
      <c r="U289" s="113">
        <f>VLOOKUP($N289,'Meter Read info'!$C$2:$G$249,5,"FALSE")</f>
        <v>45</v>
      </c>
    </row>
    <row r="290" spans="1:21" outlineLevel="2" x14ac:dyDescent="0.3">
      <c r="A290" s="91" t="s">
        <v>177</v>
      </c>
      <c r="B290" s="91" t="s">
        <v>242</v>
      </c>
      <c r="C290" s="91" t="str">
        <f>VLOOKUP(B290,Tables!G$2:H$79,2,FALSE)</f>
        <v>Libraries</v>
      </c>
      <c r="D290" s="90" t="s">
        <v>177</v>
      </c>
      <c r="E290" s="89" t="s">
        <v>246</v>
      </c>
      <c r="F290" s="90" t="s">
        <v>54</v>
      </c>
      <c r="G290" s="55" t="str">
        <f>VLOOKUP(F290,Tables!D$2:E$12,2,FALSE)</f>
        <v>MFP</v>
      </c>
      <c r="H290" s="83">
        <v>17099432</v>
      </c>
      <c r="I290" s="85">
        <f t="shared" si="70"/>
        <v>3808</v>
      </c>
      <c r="J290" s="85">
        <f t="shared" si="71"/>
        <v>1511</v>
      </c>
      <c r="K290" s="87">
        <f t="shared" si="72"/>
        <v>78.825599999999994</v>
      </c>
      <c r="L290" s="87">
        <f t="shared" si="73"/>
        <v>131.45699999999999</v>
      </c>
      <c r="M290" s="88">
        <f t="shared" si="74"/>
        <v>210.2826</v>
      </c>
      <c r="N290" s="90" t="s">
        <v>247</v>
      </c>
      <c r="O290" s="90" t="s">
        <v>248</v>
      </c>
      <c r="P290" s="56">
        <f>IF(G290="MFP",Tables!B$2,Tables!B$5)</f>
        <v>2.07E-2</v>
      </c>
      <c r="Q290" s="124">
        <f>IF(G290="MFP",Tables!B$3,Tables!B$6)</f>
        <v>8.6999999999999994E-2</v>
      </c>
      <c r="R290" s="113">
        <f>VLOOKUP($N290,'Meter Read info'!$C$2:$G$249,2,"FALSE")</f>
        <v>17684</v>
      </c>
      <c r="S290" s="113">
        <f>VLOOKUP($N290,'Meter Read info'!$C$2:$G$249,3,"FALSE")</f>
        <v>21492</v>
      </c>
      <c r="T290" s="113">
        <f>VLOOKUP($N290,'Meter Read info'!$C$2:$G$249,4,"FALSE")</f>
        <v>3760</v>
      </c>
      <c r="U290" s="113">
        <f>VLOOKUP($N290,'Meter Read info'!$C$2:$G$249,5,"FALSE")</f>
        <v>5271</v>
      </c>
    </row>
    <row r="291" spans="1:21" ht="31.2" outlineLevel="1" x14ac:dyDescent="0.3">
      <c r="A291" s="91"/>
      <c r="B291" s="107" t="s">
        <v>944</v>
      </c>
      <c r="C291" s="91"/>
      <c r="D291" s="90"/>
      <c r="E291" s="89"/>
      <c r="F291" s="90"/>
      <c r="G291" s="55"/>
      <c r="H291" s="83"/>
      <c r="I291" s="85"/>
      <c r="J291" s="85"/>
      <c r="K291" s="87"/>
      <c r="L291" s="87"/>
      <c r="M291" s="88">
        <f>SUBTOTAL(9,M279:M290)</f>
        <v>890.06470000000013</v>
      </c>
      <c r="N291" s="90"/>
      <c r="O291" s="90"/>
      <c r="P291" s="56"/>
      <c r="Q291" s="124"/>
      <c r="R291" s="113"/>
      <c r="S291" s="113"/>
      <c r="T291" s="113"/>
      <c r="U291" s="113"/>
    </row>
    <row r="292" spans="1:21" outlineLevel="2" x14ac:dyDescent="0.3">
      <c r="A292" s="91" t="s">
        <v>177</v>
      </c>
      <c r="B292" s="91" t="s">
        <v>426</v>
      </c>
      <c r="C292" s="91" t="str">
        <f>VLOOKUP(B292,Tables!G$2:H$79,2,FALSE)</f>
        <v>Printer Services</v>
      </c>
      <c r="D292" s="90" t="s">
        <v>177</v>
      </c>
      <c r="E292" s="89">
        <v>503</v>
      </c>
      <c r="F292" s="90" t="s">
        <v>15</v>
      </c>
      <c r="G292" s="55" t="str">
        <f>VLOOKUP(F292,Tables!D$2:E$12,2,FALSE)</f>
        <v>PTR</v>
      </c>
      <c r="H292" s="83">
        <v>17099631</v>
      </c>
      <c r="I292" s="85">
        <f t="shared" ref="I292:I316" si="75">SUM(S292-R292)</f>
        <v>12562</v>
      </c>
      <c r="J292" s="85">
        <f t="shared" ref="J292:J316" si="76">SUM(U292-T292)</f>
        <v>0</v>
      </c>
      <c r="K292" s="87">
        <f t="shared" ref="K292:K316" si="77">SUM(I292*$P292)</f>
        <v>329.12440000000004</v>
      </c>
      <c r="L292" s="87">
        <f t="shared" ref="L292:L316" si="78">SUM(J292*$Q292)</f>
        <v>0</v>
      </c>
      <c r="M292" s="88">
        <f t="shared" ref="M292:M316" si="79">K292+L292</f>
        <v>329.12440000000004</v>
      </c>
      <c r="N292" s="90" t="s">
        <v>475</v>
      </c>
      <c r="O292" s="90" t="s">
        <v>476</v>
      </c>
      <c r="P292" s="56">
        <f>IF(G292="MFP",Tables!B$2,Tables!B$5)</f>
        <v>2.6200000000000001E-2</v>
      </c>
      <c r="Q292" s="124">
        <f>IF(G292="MFP",Tables!B$3,Tables!B$6)</f>
        <v>0.11799999999999999</v>
      </c>
      <c r="R292" s="113">
        <f>VLOOKUP($N292,'Meter Read info'!$C$2:$G$249,2,"FALSE")</f>
        <v>39469</v>
      </c>
      <c r="S292" s="113">
        <f>VLOOKUP($N292,'Meter Read info'!$C$2:$G$249,3,"FALSE")</f>
        <v>52031</v>
      </c>
      <c r="T292" s="113">
        <f>VLOOKUP($N292,'Meter Read info'!$C$2:$G$249,4,"FALSE")</f>
        <v>0</v>
      </c>
      <c r="U292" s="113">
        <f>VLOOKUP($N292,'Meter Read info'!$C$2:$G$249,5,"FALSE")</f>
        <v>0</v>
      </c>
    </row>
    <row r="293" spans="1:21" outlineLevel="2" x14ac:dyDescent="0.3">
      <c r="A293" s="91" t="s">
        <v>177</v>
      </c>
      <c r="B293" s="91" t="s">
        <v>426</v>
      </c>
      <c r="C293" s="91" t="str">
        <f>VLOOKUP(B293,Tables!G$2:H$79,2,FALSE)</f>
        <v>Printer Services</v>
      </c>
      <c r="D293" s="90" t="s">
        <v>177</v>
      </c>
      <c r="E293" s="89">
        <v>601</v>
      </c>
      <c r="F293" s="90" t="s">
        <v>15</v>
      </c>
      <c r="G293" s="55" t="str">
        <f>VLOOKUP(F293,Tables!D$2:E$12,2,FALSE)</f>
        <v>PTR</v>
      </c>
      <c r="H293" s="83">
        <v>17099706</v>
      </c>
      <c r="I293" s="85">
        <f t="shared" si="75"/>
        <v>3553</v>
      </c>
      <c r="J293" s="85">
        <f t="shared" si="76"/>
        <v>0</v>
      </c>
      <c r="K293" s="87">
        <f t="shared" si="77"/>
        <v>93.0886</v>
      </c>
      <c r="L293" s="87">
        <f t="shared" si="78"/>
        <v>0</v>
      </c>
      <c r="M293" s="88">
        <f t="shared" si="79"/>
        <v>93.0886</v>
      </c>
      <c r="N293" s="90" t="s">
        <v>473</v>
      </c>
      <c r="O293" s="90" t="s">
        <v>474</v>
      </c>
      <c r="P293" s="56">
        <f>IF(G293="MFP",Tables!B$2,Tables!B$5)</f>
        <v>2.6200000000000001E-2</v>
      </c>
      <c r="Q293" s="124">
        <f>IF(G293="MFP",Tables!B$3,Tables!B$6)</f>
        <v>0.11799999999999999</v>
      </c>
      <c r="R293" s="113">
        <f>VLOOKUP($N293,'Meter Read info'!$C$2:$G$249,2,"FALSE")</f>
        <v>11883</v>
      </c>
      <c r="S293" s="113">
        <f>VLOOKUP($N293,'Meter Read info'!$C$2:$G$249,3,"FALSE")</f>
        <v>15436</v>
      </c>
      <c r="T293" s="113">
        <f>VLOOKUP($N293,'Meter Read info'!$C$2:$G$249,4,"FALSE")</f>
        <v>0</v>
      </c>
      <c r="U293" s="113">
        <f>VLOOKUP($N293,'Meter Read info'!$C$2:$G$249,5,"FALSE")</f>
        <v>0</v>
      </c>
    </row>
    <row r="294" spans="1:21" ht="31.2" outlineLevel="1" x14ac:dyDescent="0.3">
      <c r="A294" s="91"/>
      <c r="B294" s="107" t="s">
        <v>890</v>
      </c>
      <c r="C294" s="91"/>
      <c r="D294" s="90"/>
      <c r="E294" s="89"/>
      <c r="F294" s="90"/>
      <c r="G294" s="55"/>
      <c r="H294" s="83"/>
      <c r="I294" s="85"/>
      <c r="J294" s="85"/>
      <c r="K294" s="87"/>
      <c r="L294" s="87"/>
      <c r="M294" s="88">
        <f>SUBTOTAL(9,M292:M293)</f>
        <v>422.21300000000002</v>
      </c>
      <c r="N294" s="90"/>
      <c r="O294" s="90"/>
      <c r="P294" s="56"/>
      <c r="Q294" s="124"/>
      <c r="R294" s="113"/>
      <c r="S294" s="113"/>
      <c r="T294" s="113"/>
      <c r="U294" s="113"/>
    </row>
    <row r="295" spans="1:21" ht="30" outlineLevel="2" x14ac:dyDescent="0.3">
      <c r="A295" s="91" t="s">
        <v>483</v>
      </c>
      <c r="B295" s="91" t="s">
        <v>221</v>
      </c>
      <c r="C295" s="91" t="str">
        <f>VLOOKUP(B295,Tables!G$2:H$79,2,FALSE)</f>
        <v>Philosophy &amp; Psychology</v>
      </c>
      <c r="D295" s="90" t="s">
        <v>672</v>
      </c>
      <c r="E295" s="89">
        <v>301</v>
      </c>
      <c r="F295" s="90" t="s">
        <v>15</v>
      </c>
      <c r="G295" s="55" t="str">
        <f>VLOOKUP(F295,Tables!D$2:E$12,2,FALSE)</f>
        <v>PTR</v>
      </c>
      <c r="H295" s="83">
        <v>17099571</v>
      </c>
      <c r="I295" s="85">
        <f t="shared" si="75"/>
        <v>66</v>
      </c>
      <c r="J295" s="85">
        <f t="shared" si="76"/>
        <v>0</v>
      </c>
      <c r="K295" s="87">
        <f t="shared" si="77"/>
        <v>1.7292000000000001</v>
      </c>
      <c r="L295" s="87">
        <f t="shared" si="78"/>
        <v>0</v>
      </c>
      <c r="M295" s="88">
        <f t="shared" si="79"/>
        <v>1.7292000000000001</v>
      </c>
      <c r="N295" s="90" t="s">
        <v>226</v>
      </c>
      <c r="O295" s="90" t="s">
        <v>314</v>
      </c>
      <c r="P295" s="56">
        <f>IF(G295="MFP",Tables!B$2,Tables!B$5)</f>
        <v>2.6200000000000001E-2</v>
      </c>
      <c r="Q295" s="124">
        <f>IF(G295="MFP",Tables!B$3,Tables!B$6)</f>
        <v>0.11799999999999999</v>
      </c>
      <c r="R295" s="113">
        <f>VLOOKUP($N295,'Meter Read info'!$C$2:$G$249,2,"FALSE")</f>
        <v>471</v>
      </c>
      <c r="S295" s="113">
        <f>VLOOKUP($N295,'Meter Read info'!$C$2:$G$249,3,"FALSE")</f>
        <v>537</v>
      </c>
      <c r="T295" s="113">
        <f>VLOOKUP($N295,'Meter Read info'!$C$2:$G$249,4,"FALSE")</f>
        <v>0</v>
      </c>
      <c r="U295" s="113">
        <f>VLOOKUP($N295,'Meter Read info'!$C$2:$G$249,5,"FALSE")</f>
        <v>0</v>
      </c>
    </row>
    <row r="296" spans="1:21" ht="31.2" outlineLevel="1" x14ac:dyDescent="0.3">
      <c r="A296" s="91"/>
      <c r="B296" s="107" t="s">
        <v>920</v>
      </c>
      <c r="C296" s="91"/>
      <c r="D296" s="90"/>
      <c r="E296" s="89"/>
      <c r="F296" s="90"/>
      <c r="G296" s="55"/>
      <c r="H296" s="83"/>
      <c r="I296" s="85"/>
      <c r="J296" s="85"/>
      <c r="K296" s="87"/>
      <c r="L296" s="87"/>
      <c r="M296" s="88">
        <f>SUBTOTAL(9,M295:M295)</f>
        <v>1.7292000000000001</v>
      </c>
      <c r="N296" s="90"/>
      <c r="O296" s="90"/>
      <c r="P296" s="56"/>
      <c r="Q296" s="124"/>
      <c r="R296" s="113"/>
      <c r="S296" s="113"/>
      <c r="T296" s="113"/>
      <c r="U296" s="113"/>
    </row>
    <row r="297" spans="1:21" ht="30" outlineLevel="2" x14ac:dyDescent="0.3">
      <c r="A297" s="91" t="s">
        <v>483</v>
      </c>
      <c r="B297" s="91" t="s">
        <v>484</v>
      </c>
      <c r="C297" s="91" t="str">
        <f>VLOOKUP(B297,Tables!G$2:H$79,2,FALSE)</f>
        <v>Protocol Office</v>
      </c>
      <c r="D297" s="90" t="s">
        <v>672</v>
      </c>
      <c r="E297" s="89">
        <v>300</v>
      </c>
      <c r="F297" s="90" t="s">
        <v>54</v>
      </c>
      <c r="G297" s="55" t="str">
        <f>VLOOKUP(F297,Tables!D$2:E$12,2,FALSE)</f>
        <v>MFP</v>
      </c>
      <c r="H297" s="83">
        <v>17099528</v>
      </c>
      <c r="I297" s="85">
        <f t="shared" si="75"/>
        <v>4513</v>
      </c>
      <c r="J297" s="85">
        <f t="shared" si="76"/>
        <v>7</v>
      </c>
      <c r="K297" s="87">
        <f t="shared" si="77"/>
        <v>93.4191</v>
      </c>
      <c r="L297" s="87">
        <f t="shared" si="78"/>
        <v>0.60899999999999999</v>
      </c>
      <c r="M297" s="88">
        <f t="shared" si="79"/>
        <v>94.028099999999995</v>
      </c>
      <c r="N297" s="90" t="s">
        <v>392</v>
      </c>
      <c r="O297" s="90" t="s">
        <v>743</v>
      </c>
      <c r="P297" s="56">
        <f>IF(G297="MFP",Tables!B$2,Tables!B$5)</f>
        <v>2.07E-2</v>
      </c>
      <c r="Q297" s="124">
        <f>IF(G297="MFP",Tables!B$3,Tables!B$6)</f>
        <v>8.6999999999999994E-2</v>
      </c>
      <c r="R297" s="113">
        <f>VLOOKUP($N297,'Meter Read info'!$C$2:$G$249,2,"FALSE")</f>
        <v>25190</v>
      </c>
      <c r="S297" s="113">
        <f>VLOOKUP($N297,'Meter Read info'!$C$2:$G$249,3,"FALSE")</f>
        <v>29703</v>
      </c>
      <c r="T297" s="113">
        <f>VLOOKUP($N297,'Meter Read info'!$C$2:$G$249,4,"FALSE")</f>
        <v>212</v>
      </c>
      <c r="U297" s="113">
        <f>VLOOKUP($N297,'Meter Read info'!$C$2:$G$249,5,"FALSE")</f>
        <v>219</v>
      </c>
    </row>
    <row r="298" spans="1:21" ht="30" outlineLevel="2" x14ac:dyDescent="0.3">
      <c r="A298" s="91" t="s">
        <v>483</v>
      </c>
      <c r="B298" s="91" t="s">
        <v>484</v>
      </c>
      <c r="C298" s="91" t="str">
        <f>VLOOKUP(B298,Tables!G$2:H$79,2,FALSE)</f>
        <v>Protocol Office</v>
      </c>
      <c r="D298" s="90" t="s">
        <v>672</v>
      </c>
      <c r="E298" s="89">
        <v>300</v>
      </c>
      <c r="F298" s="90" t="s">
        <v>740</v>
      </c>
      <c r="G298" s="55" t="str">
        <f>VLOOKUP(F298,Tables!D$2:E$12,2,FALSE)</f>
        <v>PTR</v>
      </c>
      <c r="H298" s="83">
        <v>17099718</v>
      </c>
      <c r="I298" s="85">
        <f t="shared" si="75"/>
        <v>152</v>
      </c>
      <c r="J298" s="85">
        <f t="shared" si="76"/>
        <v>24</v>
      </c>
      <c r="K298" s="87">
        <f t="shared" si="77"/>
        <v>3.9824000000000002</v>
      </c>
      <c r="L298" s="87">
        <f t="shared" si="78"/>
        <v>2.8319999999999999</v>
      </c>
      <c r="M298" s="88">
        <f t="shared" si="79"/>
        <v>6.8144</v>
      </c>
      <c r="N298" s="90" t="s">
        <v>744</v>
      </c>
      <c r="O298" s="90" t="s">
        <v>745</v>
      </c>
      <c r="P298" s="56">
        <f>IF(G298="MFP",Tables!B$2,Tables!B$5)</f>
        <v>2.6200000000000001E-2</v>
      </c>
      <c r="Q298" s="124">
        <f>IF(G298="MFP",Tables!B$3,Tables!B$6)</f>
        <v>0.11799999999999999</v>
      </c>
      <c r="R298" s="113">
        <f>VLOOKUP($N298,'Meter Read info'!$C$2:$G$249,2,"FALSE")</f>
        <v>121</v>
      </c>
      <c r="S298" s="113">
        <f>VLOOKUP($N298,'Meter Read info'!$C$2:$G$249,3,"FALSE")</f>
        <v>273</v>
      </c>
      <c r="T298" s="113">
        <f>VLOOKUP($N298,'Meter Read info'!$C$2:$G$249,4,"FALSE")</f>
        <v>63</v>
      </c>
      <c r="U298" s="113">
        <f>VLOOKUP($N298,'Meter Read info'!$C$2:$G$249,5,"FALSE")</f>
        <v>87</v>
      </c>
    </row>
    <row r="299" spans="1:21" ht="31.2" outlineLevel="1" x14ac:dyDescent="0.3">
      <c r="A299" s="91"/>
      <c r="B299" s="107" t="s">
        <v>945</v>
      </c>
      <c r="C299" s="91"/>
      <c r="D299" s="90"/>
      <c r="E299" s="89"/>
      <c r="F299" s="90"/>
      <c r="G299" s="55"/>
      <c r="H299" s="83"/>
      <c r="I299" s="85"/>
      <c r="J299" s="85"/>
      <c r="K299" s="87"/>
      <c r="L299" s="87"/>
      <c r="M299" s="88">
        <f>SUBTOTAL(9,M297:M298)</f>
        <v>100.8425</v>
      </c>
      <c r="N299" s="90"/>
      <c r="O299" s="90"/>
      <c r="P299" s="56"/>
      <c r="Q299" s="124"/>
      <c r="R299" s="113"/>
      <c r="S299" s="113"/>
      <c r="T299" s="113"/>
      <c r="U299" s="113"/>
    </row>
    <row r="300" spans="1:21" ht="30" outlineLevel="2" x14ac:dyDescent="0.3">
      <c r="A300" s="91" t="s">
        <v>222</v>
      </c>
      <c r="B300" s="91" t="s">
        <v>221</v>
      </c>
      <c r="C300" s="91" t="str">
        <f>VLOOKUP(B300,Tables!G$2:H$79,2,FALSE)</f>
        <v>Philosophy &amp; Psychology</v>
      </c>
      <c r="D300" s="90" t="s">
        <v>223</v>
      </c>
      <c r="E300" s="89">
        <v>403</v>
      </c>
      <c r="F300" s="90" t="s">
        <v>84</v>
      </c>
      <c r="G300" s="55" t="str">
        <f>VLOOKUP(F300,Tables!D$2:E$12,2,FALSE)</f>
        <v>MFP</v>
      </c>
      <c r="H300" s="83">
        <v>17099452</v>
      </c>
      <c r="I300" s="85">
        <f t="shared" si="75"/>
        <v>15525</v>
      </c>
      <c r="J300" s="85">
        <f t="shared" si="76"/>
        <v>365</v>
      </c>
      <c r="K300" s="87">
        <f t="shared" si="77"/>
        <v>321.36750000000001</v>
      </c>
      <c r="L300" s="87">
        <f t="shared" si="78"/>
        <v>31.754999999999999</v>
      </c>
      <c r="M300" s="88">
        <f t="shared" si="79"/>
        <v>353.1225</v>
      </c>
      <c r="N300" s="90" t="s">
        <v>224</v>
      </c>
      <c r="O300" s="90" t="s">
        <v>225</v>
      </c>
      <c r="P300" s="56">
        <f>IF(G300="MFP",Tables!B$2,Tables!B$5)</f>
        <v>2.07E-2</v>
      </c>
      <c r="Q300" s="124">
        <f>IF(G300="MFP",Tables!B$3,Tables!B$6)</f>
        <v>8.6999999999999994E-2</v>
      </c>
      <c r="R300" s="113">
        <f>VLOOKUP($N300,'Meter Read info'!$C$2:$G$249,2,"FALSE")</f>
        <v>57549</v>
      </c>
      <c r="S300" s="113">
        <f>VLOOKUP($N300,'Meter Read info'!$C$2:$G$249,3,"FALSE")</f>
        <v>73074</v>
      </c>
      <c r="T300" s="113">
        <f>VLOOKUP($N300,'Meter Read info'!$C$2:$G$249,4,"FALSE")</f>
        <v>2216</v>
      </c>
      <c r="U300" s="113">
        <f>VLOOKUP($N300,'Meter Read info'!$C$2:$G$249,5,"FALSE")</f>
        <v>2581</v>
      </c>
    </row>
    <row r="301" spans="1:21" ht="30" outlineLevel="2" x14ac:dyDescent="0.3">
      <c r="A301" s="91" t="s">
        <v>222</v>
      </c>
      <c r="B301" s="91" t="s">
        <v>221</v>
      </c>
      <c r="C301" s="91" t="str">
        <f>VLOOKUP(B301,Tables!G$2:H$79,2,FALSE)</f>
        <v>Philosophy &amp; Psychology</v>
      </c>
      <c r="D301" s="90" t="s">
        <v>223</v>
      </c>
      <c r="E301" s="89">
        <v>406</v>
      </c>
      <c r="F301" s="90" t="s">
        <v>92</v>
      </c>
      <c r="G301" s="55" t="str">
        <f>VLOOKUP(F301,Tables!D$2:E$12,2,FALSE)</f>
        <v>PTR</v>
      </c>
      <c r="H301" s="83">
        <v>17099758</v>
      </c>
      <c r="I301" s="85">
        <f t="shared" si="75"/>
        <v>166</v>
      </c>
      <c r="J301" s="85">
        <f t="shared" si="76"/>
        <v>132</v>
      </c>
      <c r="K301" s="87">
        <f t="shared" si="77"/>
        <v>4.3491999999999997</v>
      </c>
      <c r="L301" s="87">
        <f t="shared" si="78"/>
        <v>15.575999999999999</v>
      </c>
      <c r="M301" s="88">
        <f t="shared" si="79"/>
        <v>19.925199999999997</v>
      </c>
      <c r="N301" s="118" t="s">
        <v>789</v>
      </c>
      <c r="O301" s="118" t="s">
        <v>227</v>
      </c>
      <c r="P301" s="56">
        <f>IF(G301="MFP",Tables!B$2,Tables!B$5)</f>
        <v>2.6200000000000001E-2</v>
      </c>
      <c r="Q301" s="124">
        <f>IF(G301="MFP",Tables!B$3,Tables!B$6)</f>
        <v>0.11799999999999999</v>
      </c>
      <c r="R301" s="113">
        <f>VLOOKUP($N301,'Meter Read info'!$C$2:$G$249,2,"FALSE")</f>
        <v>553</v>
      </c>
      <c r="S301" s="113">
        <f>VLOOKUP($N301,'Meter Read info'!$C$2:$G$249,3,"FALSE")</f>
        <v>719</v>
      </c>
      <c r="T301" s="113">
        <f>VLOOKUP($N301,'Meter Read info'!$C$2:$G$249,4,"FALSE")</f>
        <v>232</v>
      </c>
      <c r="U301" s="113">
        <f>VLOOKUP($N301,'Meter Read info'!$C$2:$G$249,5,"FALSE")</f>
        <v>364</v>
      </c>
    </row>
    <row r="302" spans="1:21" ht="30" outlineLevel="2" x14ac:dyDescent="0.3">
      <c r="A302" s="91" t="s">
        <v>222</v>
      </c>
      <c r="B302" s="91" t="s">
        <v>221</v>
      </c>
      <c r="C302" s="91" t="str">
        <f>VLOOKUP(B302,Tables!G$2:H$79,2,FALSE)</f>
        <v>Philosophy &amp; Psychology</v>
      </c>
      <c r="D302" s="90" t="s">
        <v>223</v>
      </c>
      <c r="E302" s="89">
        <v>411</v>
      </c>
      <c r="F302" s="90" t="s">
        <v>15</v>
      </c>
      <c r="G302" s="55" t="str">
        <f>VLOOKUP(F302,Tables!D$2:E$12,2,FALSE)</f>
        <v>PTR</v>
      </c>
      <c r="H302" s="83">
        <v>17099757</v>
      </c>
      <c r="I302" s="85">
        <f t="shared" si="75"/>
        <v>192</v>
      </c>
      <c r="J302" s="85">
        <f t="shared" si="76"/>
        <v>0</v>
      </c>
      <c r="K302" s="87">
        <f t="shared" si="77"/>
        <v>5.0304000000000002</v>
      </c>
      <c r="L302" s="87">
        <f t="shared" si="78"/>
        <v>0</v>
      </c>
      <c r="M302" s="88">
        <f t="shared" si="79"/>
        <v>5.0304000000000002</v>
      </c>
      <c r="N302" s="90" t="s">
        <v>228</v>
      </c>
      <c r="O302" s="90" t="s">
        <v>229</v>
      </c>
      <c r="P302" s="56">
        <f>IF(G302="MFP",Tables!B$2,Tables!B$5)</f>
        <v>2.6200000000000001E-2</v>
      </c>
      <c r="Q302" s="124">
        <f>IF(G302="MFP",Tables!B$3,Tables!B$6)</f>
        <v>0.11799999999999999</v>
      </c>
      <c r="R302" s="113">
        <f>VLOOKUP($N302,'Meter Read info'!$C$2:$G$249,2,"FALSE")</f>
        <v>2235</v>
      </c>
      <c r="S302" s="113">
        <f>VLOOKUP($N302,'Meter Read info'!$C$2:$G$249,3,"FALSE")</f>
        <v>2427</v>
      </c>
      <c r="T302" s="113">
        <f>VLOOKUP($N302,'Meter Read info'!$C$2:$G$249,4,"FALSE")</f>
        <v>0</v>
      </c>
      <c r="U302" s="113">
        <f>VLOOKUP($N302,'Meter Read info'!$C$2:$G$249,5,"FALSE")</f>
        <v>0</v>
      </c>
    </row>
    <row r="303" spans="1:21" ht="30" outlineLevel="2" x14ac:dyDescent="0.3">
      <c r="A303" s="91" t="s">
        <v>222</v>
      </c>
      <c r="B303" s="91" t="s">
        <v>221</v>
      </c>
      <c r="C303" s="91" t="str">
        <f>VLOOKUP(B303,Tables!G$2:H$79,2,FALSE)</f>
        <v>Philosophy &amp; Psychology</v>
      </c>
      <c r="D303" s="90" t="s">
        <v>223</v>
      </c>
      <c r="E303" s="89">
        <v>414</v>
      </c>
      <c r="F303" s="90" t="s">
        <v>15</v>
      </c>
      <c r="G303" s="55" t="str">
        <f>VLOOKUP(F303,Tables!D$2:E$12,2,FALSE)</f>
        <v>PTR</v>
      </c>
      <c r="H303" s="83">
        <v>17099585</v>
      </c>
      <c r="I303" s="85">
        <f t="shared" si="75"/>
        <v>1074</v>
      </c>
      <c r="J303" s="85">
        <f t="shared" si="76"/>
        <v>0</v>
      </c>
      <c r="K303" s="87">
        <f t="shared" si="77"/>
        <v>28.1388</v>
      </c>
      <c r="L303" s="87">
        <f t="shared" si="78"/>
        <v>0</v>
      </c>
      <c r="M303" s="88">
        <f t="shared" si="79"/>
        <v>28.1388</v>
      </c>
      <c r="N303" s="90" t="s">
        <v>230</v>
      </c>
      <c r="O303" s="90" t="s">
        <v>231</v>
      </c>
      <c r="P303" s="56">
        <f>IF(G303="MFP",Tables!B$2,Tables!B$5)</f>
        <v>2.6200000000000001E-2</v>
      </c>
      <c r="Q303" s="124">
        <f>IF(G303="MFP",Tables!B$3,Tables!B$6)</f>
        <v>0.11799999999999999</v>
      </c>
      <c r="R303" s="113">
        <f>VLOOKUP($N303,'Meter Read info'!$C$2:$G$249,2,"FALSE")</f>
        <v>3016</v>
      </c>
      <c r="S303" s="113">
        <f>VLOOKUP($N303,'Meter Read info'!$C$2:$G$249,3,"FALSE")</f>
        <v>4090</v>
      </c>
      <c r="T303" s="113">
        <f>VLOOKUP($N303,'Meter Read info'!$C$2:$G$249,4,"FALSE")</f>
        <v>0</v>
      </c>
      <c r="U303" s="113">
        <f>VLOOKUP($N303,'Meter Read info'!$C$2:$G$249,5,"FALSE")</f>
        <v>0</v>
      </c>
    </row>
    <row r="304" spans="1:21" ht="31.2" outlineLevel="1" x14ac:dyDescent="0.3">
      <c r="A304" s="91"/>
      <c r="B304" s="107" t="s">
        <v>920</v>
      </c>
      <c r="C304" s="91"/>
      <c r="D304" s="90"/>
      <c r="E304" s="89"/>
      <c r="F304" s="90"/>
      <c r="G304" s="55"/>
      <c r="H304" s="83"/>
      <c r="I304" s="85"/>
      <c r="J304" s="85"/>
      <c r="K304" s="87"/>
      <c r="L304" s="87"/>
      <c r="M304" s="88">
        <f>SUBTOTAL(9,M300:M303)</f>
        <v>406.21690000000001</v>
      </c>
      <c r="N304" s="90"/>
      <c r="O304" s="90"/>
      <c r="P304" s="56"/>
      <c r="Q304" s="124"/>
      <c r="R304" s="113"/>
      <c r="S304" s="113"/>
      <c r="T304" s="113"/>
      <c r="U304" s="113"/>
    </row>
    <row r="305" spans="1:21" outlineLevel="2" x14ac:dyDescent="0.3">
      <c r="A305" s="91" t="s">
        <v>408</v>
      </c>
      <c r="B305" s="91" t="s">
        <v>409</v>
      </c>
      <c r="C305" s="91" t="str">
        <f>VLOOKUP(B305,Tables!G$2:H$79,2,FALSE)</f>
        <v>Purchasing Office</v>
      </c>
      <c r="D305" s="90" t="s">
        <v>279</v>
      </c>
      <c r="E305" s="89">
        <v>314</v>
      </c>
      <c r="F305" s="90" t="s">
        <v>411</v>
      </c>
      <c r="G305" s="55" t="str">
        <f>VLOOKUP(F305,Tables!D$2:E$12,2,FALSE)</f>
        <v>MFP</v>
      </c>
      <c r="H305" s="83">
        <v>17099500</v>
      </c>
      <c r="I305" s="85">
        <f t="shared" si="75"/>
        <v>2245</v>
      </c>
      <c r="J305" s="85">
        <f t="shared" si="76"/>
        <v>0</v>
      </c>
      <c r="K305" s="87">
        <f t="shared" si="77"/>
        <v>46.471499999999999</v>
      </c>
      <c r="L305" s="87">
        <f t="shared" si="78"/>
        <v>0</v>
      </c>
      <c r="M305" s="88">
        <f t="shared" si="79"/>
        <v>46.471499999999999</v>
      </c>
      <c r="N305" s="90" t="s">
        <v>412</v>
      </c>
      <c r="O305" s="90" t="s">
        <v>413</v>
      </c>
      <c r="P305" s="56">
        <f>IF(G305="MFP",Tables!B$2,Tables!B$5)</f>
        <v>2.07E-2</v>
      </c>
      <c r="Q305" s="124">
        <f>IF(G305="MFP",Tables!B$3,Tables!B$6)</f>
        <v>8.6999999999999994E-2</v>
      </c>
      <c r="R305" s="113">
        <f>VLOOKUP($N305,'Meter Read info'!$C$2:$G$249,2,"FALSE")</f>
        <v>7440</v>
      </c>
      <c r="S305" s="113">
        <f>VLOOKUP($N305,'Meter Read info'!$C$2:$G$249,3,"FALSE")</f>
        <v>9685</v>
      </c>
      <c r="T305" s="113">
        <f>VLOOKUP($N305,'Meter Read info'!$C$2:$G$249,4,"FALSE")</f>
        <v>0</v>
      </c>
      <c r="U305" s="113">
        <f>VLOOKUP($N305,'Meter Read info'!$C$2:$G$249,5,"FALSE")</f>
        <v>0</v>
      </c>
    </row>
    <row r="306" spans="1:21" ht="31.2" outlineLevel="1" x14ac:dyDescent="0.3">
      <c r="A306" s="91"/>
      <c r="B306" s="107" t="s">
        <v>946</v>
      </c>
      <c r="C306" s="91"/>
      <c r="D306" s="90"/>
      <c r="E306" s="89"/>
      <c r="F306" s="90"/>
      <c r="G306" s="55"/>
      <c r="H306" s="83"/>
      <c r="I306" s="85"/>
      <c r="J306" s="85"/>
      <c r="K306" s="87"/>
      <c r="L306" s="87"/>
      <c r="M306" s="88">
        <f>SUBTOTAL(9,M305:M305)</f>
        <v>46.471499999999999</v>
      </c>
      <c r="N306" s="90"/>
      <c r="O306" s="90"/>
      <c r="P306" s="56"/>
      <c r="Q306" s="124"/>
      <c r="R306" s="113"/>
      <c r="S306" s="113"/>
      <c r="T306" s="113"/>
      <c r="U306" s="113"/>
    </row>
    <row r="307" spans="1:21" ht="30" outlineLevel="2" x14ac:dyDescent="0.3">
      <c r="A307" s="91" t="s">
        <v>335</v>
      </c>
      <c r="B307" s="91" t="s">
        <v>336</v>
      </c>
      <c r="C307" s="91" t="str">
        <f>VLOOKUP(B307,Tables!G$2:H$79,2,FALSE)</f>
        <v>Registration &amp; Records</v>
      </c>
      <c r="D307" s="90" t="s">
        <v>338</v>
      </c>
      <c r="E307" s="89">
        <v>302</v>
      </c>
      <c r="F307" s="90" t="s">
        <v>15</v>
      </c>
      <c r="G307" s="55" t="str">
        <f>VLOOKUP(F307,Tables!D$2:E$12,2,FALSE)</f>
        <v>PTR</v>
      </c>
      <c r="H307" s="83">
        <v>17099753</v>
      </c>
      <c r="I307" s="85">
        <f t="shared" si="75"/>
        <v>23</v>
      </c>
      <c r="J307" s="85">
        <f t="shared" si="76"/>
        <v>0</v>
      </c>
      <c r="K307" s="87">
        <f t="shared" si="77"/>
        <v>0.60260000000000002</v>
      </c>
      <c r="L307" s="87">
        <f t="shared" si="78"/>
        <v>0</v>
      </c>
      <c r="M307" s="88">
        <f t="shared" si="79"/>
        <v>0.60260000000000002</v>
      </c>
      <c r="N307" s="118" t="s">
        <v>790</v>
      </c>
      <c r="O307" s="118" t="s">
        <v>791</v>
      </c>
      <c r="P307" s="56">
        <f>IF(G307="MFP",Tables!B$2,Tables!B$5)</f>
        <v>2.6200000000000001E-2</v>
      </c>
      <c r="Q307" s="124">
        <f>IF(G307="MFP",Tables!B$3,Tables!B$6)</f>
        <v>0.11799999999999999</v>
      </c>
      <c r="R307" s="113">
        <f>VLOOKUP($N307,'Meter Read info'!$C$2:$G$249,2,"FALSE")</f>
        <v>112</v>
      </c>
      <c r="S307" s="113">
        <f>VLOOKUP($N307,'Meter Read info'!$C$2:$G$249,3,"FALSE")</f>
        <v>135</v>
      </c>
      <c r="T307" s="113">
        <f>VLOOKUP($N307,'Meter Read info'!$C$2:$G$249,4,"FALSE")</f>
        <v>0</v>
      </c>
      <c r="U307" s="113">
        <f>VLOOKUP($N307,'Meter Read info'!$C$2:$G$249,5,"FALSE")</f>
        <v>0</v>
      </c>
    </row>
    <row r="308" spans="1:21" ht="30" outlineLevel="2" x14ac:dyDescent="0.3">
      <c r="A308" s="91" t="s">
        <v>335</v>
      </c>
      <c r="B308" s="91" t="s">
        <v>336</v>
      </c>
      <c r="C308" s="91" t="str">
        <f>VLOOKUP(B308,Tables!G$2:H$79,2,FALSE)</f>
        <v>Registration &amp; Records</v>
      </c>
      <c r="D308" s="90" t="s">
        <v>338</v>
      </c>
      <c r="E308" s="89">
        <v>303</v>
      </c>
      <c r="F308" s="90" t="s">
        <v>15</v>
      </c>
      <c r="G308" s="55" t="str">
        <f>VLOOKUP(F308,Tables!D$2:E$12,2,FALSE)</f>
        <v>PTR</v>
      </c>
      <c r="H308" s="83">
        <v>17099685</v>
      </c>
      <c r="I308" s="85">
        <f t="shared" si="75"/>
        <v>1127</v>
      </c>
      <c r="J308" s="85">
        <f t="shared" si="76"/>
        <v>0</v>
      </c>
      <c r="K308" s="87">
        <f t="shared" si="77"/>
        <v>29.5274</v>
      </c>
      <c r="L308" s="87">
        <f t="shared" si="78"/>
        <v>0</v>
      </c>
      <c r="M308" s="88">
        <f t="shared" si="79"/>
        <v>29.5274</v>
      </c>
      <c r="N308" s="90" t="s">
        <v>341</v>
      </c>
      <c r="O308" s="90" t="s">
        <v>342</v>
      </c>
      <c r="P308" s="56">
        <f>IF(G308="MFP",Tables!B$2,Tables!B$5)</f>
        <v>2.6200000000000001E-2</v>
      </c>
      <c r="Q308" s="124">
        <f>IF(G308="MFP",Tables!B$3,Tables!B$6)</f>
        <v>0.11799999999999999</v>
      </c>
      <c r="R308" s="113">
        <f>VLOOKUP($N308,'Meter Read info'!$C$2:$G$249,2,"FALSE")</f>
        <v>4488</v>
      </c>
      <c r="S308" s="113">
        <f>VLOOKUP($N308,'Meter Read info'!$C$2:$G$249,3,"FALSE")</f>
        <v>5615</v>
      </c>
      <c r="T308" s="113">
        <f>VLOOKUP($N308,'Meter Read info'!$C$2:$G$249,4,"FALSE")</f>
        <v>0</v>
      </c>
      <c r="U308" s="113">
        <f>VLOOKUP($N308,'Meter Read info'!$C$2:$G$249,5,"FALSE")</f>
        <v>0</v>
      </c>
    </row>
    <row r="309" spans="1:21" ht="30" outlineLevel="2" x14ac:dyDescent="0.3">
      <c r="A309" s="91" t="s">
        <v>335</v>
      </c>
      <c r="B309" s="91" t="s">
        <v>336</v>
      </c>
      <c r="C309" s="91" t="str">
        <f>VLOOKUP(B309,Tables!G$2:H$79,2,FALSE)</f>
        <v>Registration &amp; Records</v>
      </c>
      <c r="D309" s="90" t="s">
        <v>338</v>
      </c>
      <c r="E309" s="89">
        <v>303</v>
      </c>
      <c r="F309" s="90" t="s">
        <v>15</v>
      </c>
      <c r="G309" s="55" t="str">
        <f>VLOOKUP(F309,Tables!D$2:E$12,2,FALSE)</f>
        <v>PTR</v>
      </c>
      <c r="H309" s="83">
        <v>17099700</v>
      </c>
      <c r="I309" s="85">
        <f t="shared" si="75"/>
        <v>1528</v>
      </c>
      <c r="J309" s="85">
        <f t="shared" si="76"/>
        <v>0</v>
      </c>
      <c r="K309" s="87">
        <f t="shared" si="77"/>
        <v>40.0336</v>
      </c>
      <c r="L309" s="87">
        <f t="shared" si="78"/>
        <v>0</v>
      </c>
      <c r="M309" s="88">
        <f t="shared" si="79"/>
        <v>40.0336</v>
      </c>
      <c r="N309" s="90" t="s">
        <v>343</v>
      </c>
      <c r="O309" s="90" t="s">
        <v>344</v>
      </c>
      <c r="P309" s="56">
        <f>IF(G309="MFP",Tables!B$2,Tables!B$5)</f>
        <v>2.6200000000000001E-2</v>
      </c>
      <c r="Q309" s="124">
        <f>IF(G309="MFP",Tables!B$3,Tables!B$6)</f>
        <v>0.11799999999999999</v>
      </c>
      <c r="R309" s="113">
        <f>VLOOKUP($N309,'Meter Read info'!$C$2:$G$249,2,"FALSE")</f>
        <v>9113</v>
      </c>
      <c r="S309" s="113">
        <f>VLOOKUP($N309,'Meter Read info'!$C$2:$G$249,3,"FALSE")</f>
        <v>10641</v>
      </c>
      <c r="T309" s="113">
        <f>VLOOKUP($N309,'Meter Read info'!$C$2:$G$249,4,"FALSE")</f>
        <v>0</v>
      </c>
      <c r="U309" s="113">
        <f>VLOOKUP($N309,'Meter Read info'!$C$2:$G$249,5,"FALSE")</f>
        <v>0</v>
      </c>
    </row>
    <row r="310" spans="1:21" ht="30" outlineLevel="2" x14ac:dyDescent="0.3">
      <c r="A310" s="91" t="s">
        <v>335</v>
      </c>
      <c r="B310" s="91" t="s">
        <v>336</v>
      </c>
      <c r="C310" s="91" t="str">
        <f>VLOOKUP(B310,Tables!G$2:H$79,2,FALSE)</f>
        <v>Registration &amp; Records</v>
      </c>
      <c r="D310" s="90" t="s">
        <v>338</v>
      </c>
      <c r="E310" s="89">
        <v>311</v>
      </c>
      <c r="F310" s="90" t="s">
        <v>15</v>
      </c>
      <c r="G310" s="55" t="str">
        <f>VLOOKUP(F310,Tables!D$2:E$12,2,FALSE)</f>
        <v>PTR</v>
      </c>
      <c r="H310" s="83">
        <v>17099656</v>
      </c>
      <c r="I310" s="85">
        <f t="shared" si="75"/>
        <v>1034</v>
      </c>
      <c r="J310" s="85">
        <f t="shared" si="76"/>
        <v>0</v>
      </c>
      <c r="K310" s="87">
        <f t="shared" si="77"/>
        <v>27.090800000000002</v>
      </c>
      <c r="L310" s="87">
        <f t="shared" si="78"/>
        <v>0</v>
      </c>
      <c r="M310" s="88">
        <f t="shared" si="79"/>
        <v>27.090800000000002</v>
      </c>
      <c r="N310" s="90" t="s">
        <v>339</v>
      </c>
      <c r="O310" s="90" t="s">
        <v>340</v>
      </c>
      <c r="P310" s="56">
        <f>IF(G310="MFP",Tables!B$2,Tables!B$5)</f>
        <v>2.6200000000000001E-2</v>
      </c>
      <c r="Q310" s="124">
        <f>IF(G310="MFP",Tables!B$3,Tables!B$6)</f>
        <v>0.11799999999999999</v>
      </c>
      <c r="R310" s="113">
        <f>VLOOKUP($N310,'Meter Read info'!$C$2:$G$249,2,"FALSE")</f>
        <v>4015</v>
      </c>
      <c r="S310" s="113">
        <f>VLOOKUP($N310,'Meter Read info'!$C$2:$G$249,3,"FALSE")</f>
        <v>5049</v>
      </c>
      <c r="T310" s="113">
        <f>VLOOKUP($N310,'Meter Read info'!$C$2:$G$249,4,"FALSE")</f>
        <v>0</v>
      </c>
      <c r="U310" s="113">
        <f>VLOOKUP($N310,'Meter Read info'!$C$2:$G$249,5,"FALSE")</f>
        <v>0</v>
      </c>
    </row>
    <row r="311" spans="1:21" ht="30" outlineLevel="2" x14ac:dyDescent="0.3">
      <c r="A311" s="91" t="s">
        <v>335</v>
      </c>
      <c r="B311" s="91" t="s">
        <v>336</v>
      </c>
      <c r="C311" s="91" t="str">
        <f>VLOOKUP(B311,Tables!G$2:H$79,2,FALSE)</f>
        <v>Registration &amp; Records</v>
      </c>
      <c r="D311" s="90" t="s">
        <v>338</v>
      </c>
      <c r="E311" s="89">
        <v>312</v>
      </c>
      <c r="F311" s="90" t="s">
        <v>92</v>
      </c>
      <c r="G311" s="55" t="str">
        <f>VLOOKUP(F311,Tables!D$2:E$12,2,FALSE)</f>
        <v>PTR</v>
      </c>
      <c r="H311" s="83">
        <v>17099646</v>
      </c>
      <c r="I311" s="85">
        <f t="shared" si="75"/>
        <v>842</v>
      </c>
      <c r="J311" s="85">
        <f t="shared" si="76"/>
        <v>12</v>
      </c>
      <c r="K311" s="87">
        <f t="shared" si="77"/>
        <v>22.060400000000001</v>
      </c>
      <c r="L311" s="87">
        <f t="shared" si="78"/>
        <v>1.4159999999999999</v>
      </c>
      <c r="M311" s="88">
        <f t="shared" si="79"/>
        <v>23.476400000000002</v>
      </c>
      <c r="N311" s="90" t="s">
        <v>348</v>
      </c>
      <c r="O311" s="90" t="s">
        <v>349</v>
      </c>
      <c r="P311" s="56">
        <f>IF(G311="MFP",Tables!B$2,Tables!B$5)</f>
        <v>2.6200000000000001E-2</v>
      </c>
      <c r="Q311" s="124">
        <f>IF(G311="MFP",Tables!B$3,Tables!B$6)</f>
        <v>0.11799999999999999</v>
      </c>
      <c r="R311" s="113">
        <f>VLOOKUP($N311,'Meter Read info'!$C$2:$G$249,2,"FALSE")</f>
        <v>3149</v>
      </c>
      <c r="S311" s="113">
        <f>VLOOKUP($N311,'Meter Read info'!$C$2:$G$249,3,"FALSE")</f>
        <v>3991</v>
      </c>
      <c r="T311" s="113">
        <f>VLOOKUP($N311,'Meter Read info'!$C$2:$G$249,4,"FALSE")</f>
        <v>426</v>
      </c>
      <c r="U311" s="113">
        <f>VLOOKUP($N311,'Meter Read info'!$C$2:$G$249,5,"FALSE")</f>
        <v>438</v>
      </c>
    </row>
    <row r="312" spans="1:21" ht="31.2" outlineLevel="1" x14ac:dyDescent="0.3">
      <c r="A312" s="91"/>
      <c r="B312" s="107" t="s">
        <v>947</v>
      </c>
      <c r="C312" s="91"/>
      <c r="D312" s="90"/>
      <c r="E312" s="89"/>
      <c r="F312" s="90"/>
      <c r="G312" s="55"/>
      <c r="H312" s="83"/>
      <c r="I312" s="85"/>
      <c r="J312" s="85"/>
      <c r="K312" s="87"/>
      <c r="L312" s="87"/>
      <c r="M312" s="88">
        <f>SUBTOTAL(9,M307:M311)</f>
        <v>120.7308</v>
      </c>
      <c r="N312" s="90"/>
      <c r="O312" s="90"/>
      <c r="P312" s="56"/>
      <c r="Q312" s="124"/>
      <c r="R312" s="113"/>
      <c r="S312" s="113"/>
      <c r="T312" s="113"/>
      <c r="U312" s="113"/>
    </row>
    <row r="313" spans="1:21" outlineLevel="2" x14ac:dyDescent="0.3">
      <c r="A313" s="91" t="s">
        <v>664</v>
      </c>
      <c r="B313" s="91" t="s">
        <v>414</v>
      </c>
      <c r="C313" s="91" t="str">
        <f>VLOOKUP(B313,Tables!G$2:H$79,2,FALSE)</f>
        <v>Duplicating</v>
      </c>
      <c r="D313" s="90" t="s">
        <v>98</v>
      </c>
      <c r="E313" s="89">
        <v>512</v>
      </c>
      <c r="F313" s="90" t="s">
        <v>415</v>
      </c>
      <c r="G313" s="55" t="str">
        <f>VLOOKUP(F313,Tables!D$2:E$12,2,FALSE)</f>
        <v>MFP</v>
      </c>
      <c r="H313" s="83">
        <v>17099480</v>
      </c>
      <c r="I313" s="85">
        <f t="shared" si="75"/>
        <v>9448</v>
      </c>
      <c r="J313" s="85">
        <f t="shared" si="76"/>
        <v>0</v>
      </c>
      <c r="K313" s="87">
        <f t="shared" si="77"/>
        <v>195.5736</v>
      </c>
      <c r="L313" s="87">
        <f t="shared" si="78"/>
        <v>0</v>
      </c>
      <c r="M313" s="88">
        <f t="shared" si="79"/>
        <v>195.5736</v>
      </c>
      <c r="N313" s="90" t="s">
        <v>416</v>
      </c>
      <c r="O313" s="90" t="s">
        <v>417</v>
      </c>
      <c r="P313" s="56">
        <f>IF(G313="MFP",Tables!B$2,Tables!B$5)</f>
        <v>2.07E-2</v>
      </c>
      <c r="Q313" s="124">
        <f>IF(G313="MFP",Tables!B$3,Tables!B$6)</f>
        <v>8.6999999999999994E-2</v>
      </c>
      <c r="R313" s="113">
        <f>VLOOKUP($N313,'Meter Read info'!$C$2:$G$249,2,"FALSE")</f>
        <v>18459</v>
      </c>
      <c r="S313" s="113">
        <f>VLOOKUP($N313,'Meter Read info'!$C$2:$G$249,3,"FALSE")</f>
        <v>27907</v>
      </c>
      <c r="T313" s="113">
        <f>VLOOKUP($N313,'Meter Read info'!$C$2:$G$249,4,"FALSE")</f>
        <v>0</v>
      </c>
      <c r="U313" s="113">
        <f>VLOOKUP($N313,'Meter Read info'!$C$2:$G$249,5,"FALSE")</f>
        <v>0</v>
      </c>
    </row>
    <row r="314" spans="1:21" outlineLevel="2" x14ac:dyDescent="0.3">
      <c r="A314" s="91" t="s">
        <v>279</v>
      </c>
      <c r="B314" s="91" t="s">
        <v>414</v>
      </c>
      <c r="C314" s="91" t="str">
        <f>VLOOKUP(B314,Tables!G$2:H$79,2,FALSE)</f>
        <v>Duplicating</v>
      </c>
      <c r="D314" s="90" t="s">
        <v>279</v>
      </c>
      <c r="E314" s="89">
        <v>208</v>
      </c>
      <c r="F314" s="90" t="s">
        <v>419</v>
      </c>
      <c r="G314" s="55" t="str">
        <f>VLOOKUP(F314,Tables!D$2:E$12,2,FALSE)</f>
        <v>MFP</v>
      </c>
      <c r="H314" s="83">
        <v>17099421</v>
      </c>
      <c r="I314" s="85">
        <f t="shared" si="75"/>
        <v>11969</v>
      </c>
      <c r="J314" s="85">
        <f t="shared" si="76"/>
        <v>13860</v>
      </c>
      <c r="K314" s="87">
        <f t="shared" si="77"/>
        <v>247.75829999999999</v>
      </c>
      <c r="L314" s="87">
        <f t="shared" si="78"/>
        <v>1205.82</v>
      </c>
      <c r="M314" s="88">
        <f t="shared" si="79"/>
        <v>1453.5782999999999</v>
      </c>
      <c r="N314" s="90" t="s">
        <v>420</v>
      </c>
      <c r="O314" s="90" t="s">
        <v>421</v>
      </c>
      <c r="P314" s="56">
        <f>IF(G314="MFP",Tables!B$2,Tables!B$5)</f>
        <v>2.07E-2</v>
      </c>
      <c r="Q314" s="124">
        <f>IF(G314="MFP",Tables!B$3,Tables!B$6)</f>
        <v>8.6999999999999994E-2</v>
      </c>
      <c r="R314" s="113">
        <f>VLOOKUP($N314,'Meter Read info'!$C$2:$G$249,2,"FALSE")</f>
        <v>34001</v>
      </c>
      <c r="S314" s="113">
        <f>VLOOKUP($N314,'Meter Read info'!$C$2:$G$249,3,"FALSE")</f>
        <v>45970</v>
      </c>
      <c r="T314" s="113">
        <f>VLOOKUP($N314,'Meter Read info'!$C$2:$G$249,4,"FALSE")</f>
        <v>51382</v>
      </c>
      <c r="U314" s="113">
        <f>VLOOKUP($N314,'Meter Read info'!$C$2:$G$249,5,"FALSE")</f>
        <v>65242</v>
      </c>
    </row>
    <row r="315" spans="1:21" ht="31.2" outlineLevel="1" x14ac:dyDescent="0.3">
      <c r="A315" s="91"/>
      <c r="B315" s="107" t="s">
        <v>907</v>
      </c>
      <c r="C315" s="91"/>
      <c r="D315" s="90"/>
      <c r="E315" s="89"/>
      <c r="F315" s="90"/>
      <c r="G315" s="55"/>
      <c r="H315" s="83"/>
      <c r="I315" s="85"/>
      <c r="J315" s="85"/>
      <c r="K315" s="87"/>
      <c r="L315" s="87"/>
      <c r="M315" s="88">
        <f>SUBTOTAL(9,M313:M314)</f>
        <v>1649.1518999999998</v>
      </c>
      <c r="N315" s="90"/>
      <c r="O315" s="90"/>
      <c r="P315" s="56"/>
      <c r="Q315" s="124"/>
      <c r="R315" s="113"/>
      <c r="S315" s="113"/>
      <c r="T315" s="113"/>
      <c r="U315" s="113"/>
    </row>
    <row r="316" spans="1:21" outlineLevel="2" x14ac:dyDescent="0.3">
      <c r="A316" s="91" t="s">
        <v>592</v>
      </c>
      <c r="B316" s="91" t="s">
        <v>623</v>
      </c>
      <c r="C316" s="91" t="str">
        <f>VLOOKUP(B316,Tables!G$2:H$79,2,FALSE)</f>
        <v>Administrative</v>
      </c>
      <c r="D316" s="90" t="s">
        <v>589</v>
      </c>
      <c r="E316" s="89">
        <v>215</v>
      </c>
      <c r="F316" s="90" t="s">
        <v>15</v>
      </c>
      <c r="G316" s="55" t="str">
        <f>VLOOKUP(F316,Tables!D$2:E$12,2,FALSE)</f>
        <v>PTR</v>
      </c>
      <c r="H316" s="83">
        <v>17099566</v>
      </c>
      <c r="I316" s="85">
        <f t="shared" si="75"/>
        <v>280</v>
      </c>
      <c r="J316" s="85">
        <f t="shared" si="76"/>
        <v>0</v>
      </c>
      <c r="K316" s="87">
        <f t="shared" si="77"/>
        <v>7.3360000000000003</v>
      </c>
      <c r="L316" s="87">
        <f t="shared" si="78"/>
        <v>0</v>
      </c>
      <c r="M316" s="88">
        <f t="shared" si="79"/>
        <v>7.3360000000000003</v>
      </c>
      <c r="N316" s="90" t="s">
        <v>593</v>
      </c>
      <c r="O316" s="90" t="s">
        <v>594</v>
      </c>
      <c r="P316" s="56">
        <f>IF(G316="MFP",Tables!B$2,Tables!B$5)</f>
        <v>2.6200000000000001E-2</v>
      </c>
      <c r="Q316" s="124">
        <f>IF(G316="MFP",Tables!B$3,Tables!B$6)</f>
        <v>0.11799999999999999</v>
      </c>
      <c r="R316" s="113">
        <f>VLOOKUP($N316,'Meter Read info'!$C$2:$G$249,2,"FALSE")</f>
        <v>760</v>
      </c>
      <c r="S316" s="113">
        <f>VLOOKUP($N316,'Meter Read info'!$C$2:$G$249,3,"FALSE")</f>
        <v>1040</v>
      </c>
      <c r="T316" s="113">
        <f>VLOOKUP($N316,'Meter Read info'!$C$2:$G$249,4,"FALSE")</f>
        <v>0</v>
      </c>
      <c r="U316" s="113">
        <f>VLOOKUP($N316,'Meter Read info'!$C$2:$G$249,5,"FALSE")</f>
        <v>0</v>
      </c>
    </row>
    <row r="317" spans="1:21" ht="31.2" outlineLevel="1" x14ac:dyDescent="0.3">
      <c r="A317" s="91"/>
      <c r="B317" s="107" t="s">
        <v>898</v>
      </c>
      <c r="C317" s="91"/>
      <c r="D317" s="90"/>
      <c r="E317" s="89"/>
      <c r="F317" s="90"/>
      <c r="G317" s="55"/>
      <c r="H317" s="83"/>
      <c r="I317" s="85"/>
      <c r="J317" s="85"/>
      <c r="K317" s="87"/>
      <c r="L317" s="87"/>
      <c r="M317" s="88">
        <f>SUBTOTAL(9,M316:M316)</f>
        <v>7.3360000000000003</v>
      </c>
      <c r="N317" s="90"/>
      <c r="O317" s="90"/>
      <c r="P317" s="56"/>
      <c r="Q317" s="124"/>
      <c r="R317" s="113"/>
      <c r="S317" s="113"/>
      <c r="T317" s="113"/>
      <c r="U317" s="113"/>
    </row>
    <row r="318" spans="1:21" outlineLevel="1" x14ac:dyDescent="0.3">
      <c r="A318" s="91" t="s">
        <v>737</v>
      </c>
      <c r="B318" s="91"/>
      <c r="C318" s="91" t="e">
        <f>VLOOKUP(B318,Tables!G$2:H$79,2,FALSE)</f>
        <v>#N/A</v>
      </c>
      <c r="D318" s="90" t="s">
        <v>83</v>
      </c>
      <c r="E318" s="89">
        <v>342</v>
      </c>
      <c r="F318" s="90" t="s">
        <v>92</v>
      </c>
      <c r="G318" s="55" t="str">
        <f>VLOOKUP(F318,Tables!D$2:E$12,2,FALSE)</f>
        <v>PTR</v>
      </c>
      <c r="H318" s="83">
        <v>17099522</v>
      </c>
      <c r="I318" s="85">
        <f t="shared" ref="I318:I323" si="80">SUM(S318-R318)</f>
        <v>0</v>
      </c>
      <c r="J318" s="85">
        <f t="shared" ref="J318:J323" si="81">SUM(U318-T318)</f>
        <v>0</v>
      </c>
      <c r="K318" s="87">
        <f t="shared" ref="K318:K323" si="82">SUM(I318*$P318)</f>
        <v>0</v>
      </c>
      <c r="L318" s="87">
        <f t="shared" ref="L318:L323" si="83">SUM(J318*$Q318)</f>
        <v>0</v>
      </c>
      <c r="M318" s="88">
        <f t="shared" ref="M318:M323" si="84">K318+L318</f>
        <v>0</v>
      </c>
      <c r="N318" s="90" t="s">
        <v>315</v>
      </c>
      <c r="O318" s="90" t="s">
        <v>316</v>
      </c>
      <c r="P318" s="56">
        <f>IF(G318="MFP",Tables!B$2,Tables!B$5)</f>
        <v>2.6200000000000001E-2</v>
      </c>
      <c r="Q318" s="124">
        <f>IF(G318="MFP",Tables!B$3,Tables!B$6)</f>
        <v>0.11799999999999999</v>
      </c>
      <c r="R318" s="113">
        <f>VLOOKUP($N318,'Meter Read info'!$C$2:$G$249,2,"FALSE")</f>
        <v>0</v>
      </c>
      <c r="S318" s="113">
        <f>VLOOKUP($N318,'Meter Read info'!$C$2:$G$249,3,"FALSE")</f>
        <v>0</v>
      </c>
      <c r="T318" s="113">
        <f>VLOOKUP($N318,'Meter Read info'!$C$2:$G$249,4,"FALSE")</f>
        <v>0</v>
      </c>
      <c r="U318" s="113">
        <f>VLOOKUP($N318,'Meter Read info'!$C$2:$G$249,5,"FALSE")</f>
        <v>0</v>
      </c>
    </row>
    <row r="319" spans="1:21" ht="30" outlineLevel="2" x14ac:dyDescent="0.3">
      <c r="A319" s="91" t="s">
        <v>364</v>
      </c>
      <c r="B319" s="91" t="s">
        <v>365</v>
      </c>
      <c r="C319" s="91" t="str">
        <f>VLOOKUP(B319,Tables!G$2:H$79,2,FALSE)</f>
        <v>Superintendents Office</v>
      </c>
      <c r="D319" s="90" t="s">
        <v>279</v>
      </c>
      <c r="E319" s="89">
        <v>201</v>
      </c>
      <c r="F319" s="90" t="s">
        <v>24</v>
      </c>
      <c r="G319" s="55" t="str">
        <f>VLOOKUP(F319,Tables!D$2:E$12,2,FALSE)</f>
        <v>MFP</v>
      </c>
      <c r="H319" s="83">
        <v>17099498</v>
      </c>
      <c r="I319" s="85">
        <f t="shared" si="80"/>
        <v>1970</v>
      </c>
      <c r="J319" s="85">
        <f t="shared" si="81"/>
        <v>2836</v>
      </c>
      <c r="K319" s="87">
        <f t="shared" si="82"/>
        <v>40.778999999999996</v>
      </c>
      <c r="L319" s="87">
        <f t="shared" si="83"/>
        <v>246.73199999999997</v>
      </c>
      <c r="M319" s="88">
        <f t="shared" si="84"/>
        <v>287.51099999999997</v>
      </c>
      <c r="N319" s="90" t="s">
        <v>366</v>
      </c>
      <c r="O319" s="90" t="s">
        <v>367</v>
      </c>
      <c r="P319" s="56">
        <f>IF(G319="MFP",Tables!B$2,Tables!B$5)</f>
        <v>2.07E-2</v>
      </c>
      <c r="Q319" s="124">
        <f>IF(G319="MFP",Tables!B$3,Tables!B$6)</f>
        <v>8.6999999999999994E-2</v>
      </c>
      <c r="R319" s="113">
        <f>VLOOKUP($N319,'Meter Read info'!$C$2:$G$249,2,"FALSE")</f>
        <v>9087</v>
      </c>
      <c r="S319" s="113">
        <f>VLOOKUP($N319,'Meter Read info'!$C$2:$G$249,3,"FALSE")</f>
        <v>11057</v>
      </c>
      <c r="T319" s="113">
        <f>VLOOKUP($N319,'Meter Read info'!$C$2:$G$249,4,"FALSE")</f>
        <v>6278</v>
      </c>
      <c r="U319" s="113">
        <f>VLOOKUP($N319,'Meter Read info'!$C$2:$G$249,5,"FALSE")</f>
        <v>9114</v>
      </c>
    </row>
    <row r="320" spans="1:21" ht="30" outlineLevel="2" x14ac:dyDescent="0.3">
      <c r="A320" s="91" t="s">
        <v>368</v>
      </c>
      <c r="B320" s="91" t="s">
        <v>365</v>
      </c>
      <c r="C320" s="91" t="str">
        <f>VLOOKUP(B320,Tables!G$2:H$79,2,FALSE)</f>
        <v>Superintendents Office</v>
      </c>
      <c r="D320" s="90" t="s">
        <v>279</v>
      </c>
      <c r="E320" s="89">
        <v>201</v>
      </c>
      <c r="F320" s="90" t="s">
        <v>15</v>
      </c>
      <c r="G320" s="55" t="str">
        <f>VLOOKUP(F320,Tables!D$2:E$12,2,FALSE)</f>
        <v>PTR</v>
      </c>
      <c r="H320" s="83">
        <v>17099688</v>
      </c>
      <c r="I320" s="85">
        <f t="shared" si="80"/>
        <v>685</v>
      </c>
      <c r="J320" s="85">
        <f t="shared" si="81"/>
        <v>0</v>
      </c>
      <c r="K320" s="87">
        <f t="shared" si="82"/>
        <v>17.946999999999999</v>
      </c>
      <c r="L320" s="87">
        <f t="shared" si="83"/>
        <v>0</v>
      </c>
      <c r="M320" s="88">
        <f t="shared" si="84"/>
        <v>17.946999999999999</v>
      </c>
      <c r="N320" s="90" t="s">
        <v>371</v>
      </c>
      <c r="O320" s="90" t="s">
        <v>372</v>
      </c>
      <c r="P320" s="56">
        <f>IF(G320="MFP",Tables!B$2,Tables!B$5)</f>
        <v>2.6200000000000001E-2</v>
      </c>
      <c r="Q320" s="124">
        <f>IF(G320="MFP",Tables!B$3,Tables!B$6)</f>
        <v>0.11799999999999999</v>
      </c>
      <c r="R320" s="113">
        <f>VLOOKUP($N320,'Meter Read info'!$C$2:$G$249,2,"FALSE")</f>
        <v>2007</v>
      </c>
      <c r="S320" s="113">
        <f>VLOOKUP($N320,'Meter Read info'!$C$2:$G$249,3,"FALSE")</f>
        <v>2692</v>
      </c>
      <c r="T320" s="113">
        <f>VLOOKUP($N320,'Meter Read info'!$C$2:$G$249,4,"FALSE")</f>
        <v>0</v>
      </c>
      <c r="U320" s="113">
        <f>VLOOKUP($N320,'Meter Read info'!$C$2:$G$249,5,"FALSE")</f>
        <v>0</v>
      </c>
    </row>
    <row r="321" spans="1:21" ht="30" outlineLevel="2" x14ac:dyDescent="0.3">
      <c r="A321" s="91" t="s">
        <v>368</v>
      </c>
      <c r="B321" s="91" t="s">
        <v>365</v>
      </c>
      <c r="C321" s="91" t="str">
        <f>VLOOKUP(B321,Tables!G$2:H$79,2,FALSE)</f>
        <v>Superintendents Office</v>
      </c>
      <c r="D321" s="90" t="s">
        <v>279</v>
      </c>
      <c r="E321" s="89">
        <v>201</v>
      </c>
      <c r="F321" s="90" t="s">
        <v>15</v>
      </c>
      <c r="G321" s="55" t="str">
        <f>VLOOKUP(F321,Tables!D$2:E$12,2,FALSE)</f>
        <v>PTR</v>
      </c>
      <c r="H321" s="83">
        <v>17099698</v>
      </c>
      <c r="I321" s="85">
        <f t="shared" si="80"/>
        <v>474</v>
      </c>
      <c r="J321" s="85">
        <f t="shared" si="81"/>
        <v>0</v>
      </c>
      <c r="K321" s="87">
        <f t="shared" si="82"/>
        <v>12.418800000000001</v>
      </c>
      <c r="L321" s="87">
        <f t="shared" si="83"/>
        <v>0</v>
      </c>
      <c r="M321" s="88">
        <f t="shared" si="84"/>
        <v>12.418800000000001</v>
      </c>
      <c r="N321" s="90" t="s">
        <v>375</v>
      </c>
      <c r="O321" s="90" t="s">
        <v>376</v>
      </c>
      <c r="P321" s="56">
        <f>IF(G321="MFP",Tables!B$2,Tables!B$5)</f>
        <v>2.6200000000000001E-2</v>
      </c>
      <c r="Q321" s="124">
        <f>IF(G321="MFP",Tables!B$3,Tables!B$6)</f>
        <v>0.11799999999999999</v>
      </c>
      <c r="R321" s="113">
        <f>VLOOKUP($N321,'Meter Read info'!$C$2:$G$249,2,"FALSE")</f>
        <v>621</v>
      </c>
      <c r="S321" s="113">
        <f>VLOOKUP($N321,'Meter Read info'!$C$2:$G$249,3,"FALSE")</f>
        <v>1095</v>
      </c>
      <c r="T321" s="113">
        <f>VLOOKUP($N321,'Meter Read info'!$C$2:$G$249,4,"FALSE")</f>
        <v>0</v>
      </c>
      <c r="U321" s="113">
        <f>VLOOKUP($N321,'Meter Read info'!$C$2:$G$249,5,"FALSE")</f>
        <v>0</v>
      </c>
    </row>
    <row r="322" spans="1:21" ht="30" outlineLevel="2" x14ac:dyDescent="0.3">
      <c r="A322" s="91" t="s">
        <v>368</v>
      </c>
      <c r="B322" s="91" t="s">
        <v>365</v>
      </c>
      <c r="C322" s="91" t="str">
        <f>VLOOKUP(B322,Tables!G$2:H$79,2,FALSE)</f>
        <v>Superintendents Office</v>
      </c>
      <c r="D322" s="90" t="s">
        <v>279</v>
      </c>
      <c r="E322" s="89">
        <v>201</v>
      </c>
      <c r="F322" s="90" t="s">
        <v>15</v>
      </c>
      <c r="G322" s="55" t="str">
        <f>VLOOKUP(F322,Tables!D$2:E$12,2,FALSE)</f>
        <v>PTR</v>
      </c>
      <c r="H322" s="83">
        <v>17099712</v>
      </c>
      <c r="I322" s="85">
        <f t="shared" si="80"/>
        <v>1151</v>
      </c>
      <c r="J322" s="85">
        <f t="shared" si="81"/>
        <v>0</v>
      </c>
      <c r="K322" s="87">
        <f t="shared" si="82"/>
        <v>30.156200000000002</v>
      </c>
      <c r="L322" s="87">
        <f t="shared" si="83"/>
        <v>0</v>
      </c>
      <c r="M322" s="88">
        <f t="shared" si="84"/>
        <v>30.156200000000002</v>
      </c>
      <c r="N322" s="90" t="s">
        <v>373</v>
      </c>
      <c r="O322" s="90" t="s">
        <v>374</v>
      </c>
      <c r="P322" s="56">
        <f>IF(G322="MFP",Tables!B$2,Tables!B$5)</f>
        <v>2.6200000000000001E-2</v>
      </c>
      <c r="Q322" s="124">
        <f>IF(G322="MFP",Tables!B$3,Tables!B$6)</f>
        <v>0.11799999999999999</v>
      </c>
      <c r="R322" s="113">
        <f>VLOOKUP($N322,'Meter Read info'!$C$2:$G$249,2,"FALSE")</f>
        <v>5071</v>
      </c>
      <c r="S322" s="113">
        <f>VLOOKUP($N322,'Meter Read info'!$C$2:$G$249,3,"FALSE")</f>
        <v>6222</v>
      </c>
      <c r="T322" s="113">
        <f>VLOOKUP($N322,'Meter Read info'!$C$2:$G$249,4,"FALSE")</f>
        <v>0</v>
      </c>
      <c r="U322" s="113">
        <f>VLOOKUP($N322,'Meter Read info'!$C$2:$G$249,5,"FALSE")</f>
        <v>0</v>
      </c>
    </row>
    <row r="323" spans="1:21" ht="30" outlineLevel="2" x14ac:dyDescent="0.3">
      <c r="A323" s="91" t="s">
        <v>368</v>
      </c>
      <c r="B323" s="91" t="s">
        <v>365</v>
      </c>
      <c r="C323" s="91" t="str">
        <f>VLOOKUP(B323,Tables!G$2:H$79,2,FALSE)</f>
        <v>Superintendents Office</v>
      </c>
      <c r="D323" s="90" t="s">
        <v>279</v>
      </c>
      <c r="E323" s="89">
        <v>201</v>
      </c>
      <c r="F323" s="90" t="s">
        <v>15</v>
      </c>
      <c r="G323" s="55" t="str">
        <f>VLOOKUP(F323,Tables!D$2:E$12,2,FALSE)</f>
        <v>PTR</v>
      </c>
      <c r="H323" s="83">
        <v>17099784</v>
      </c>
      <c r="I323" s="85">
        <f t="shared" si="80"/>
        <v>365</v>
      </c>
      <c r="J323" s="85">
        <f t="shared" si="81"/>
        <v>0</v>
      </c>
      <c r="K323" s="87">
        <f t="shared" si="82"/>
        <v>9.5630000000000006</v>
      </c>
      <c r="L323" s="87">
        <f t="shared" si="83"/>
        <v>0</v>
      </c>
      <c r="M323" s="88">
        <f t="shared" si="84"/>
        <v>9.5630000000000006</v>
      </c>
      <c r="N323" s="90" t="s">
        <v>369</v>
      </c>
      <c r="O323" s="90" t="s">
        <v>370</v>
      </c>
      <c r="P323" s="56">
        <f>IF(G323="MFP",Tables!B$2,Tables!B$5)</f>
        <v>2.6200000000000001E-2</v>
      </c>
      <c r="Q323" s="124">
        <f>IF(G323="MFP",Tables!B$3,Tables!B$6)</f>
        <v>0.11799999999999999</v>
      </c>
      <c r="R323" s="113">
        <f>VLOOKUP($N323,'Meter Read info'!$C$2:$G$249,2,"FALSE")</f>
        <v>898</v>
      </c>
      <c r="S323" s="113">
        <f>VLOOKUP($N323,'Meter Read info'!$C$2:$G$249,3,"FALSE")</f>
        <v>1263</v>
      </c>
      <c r="T323" s="113">
        <f>VLOOKUP($N323,'Meter Read info'!$C$2:$G$249,4,"FALSE")</f>
        <v>0</v>
      </c>
      <c r="U323" s="113">
        <f>VLOOKUP($N323,'Meter Read info'!$C$2:$G$249,5,"FALSE")</f>
        <v>0</v>
      </c>
    </row>
    <row r="324" spans="1:21" ht="31.2" outlineLevel="1" x14ac:dyDescent="0.3">
      <c r="A324" s="91"/>
      <c r="B324" s="107" t="s">
        <v>948</v>
      </c>
      <c r="C324" s="91"/>
      <c r="D324" s="90"/>
      <c r="E324" s="89"/>
      <c r="F324" s="90"/>
      <c r="G324" s="55"/>
      <c r="H324" s="83"/>
      <c r="I324" s="85"/>
      <c r="J324" s="85"/>
      <c r="K324" s="87"/>
      <c r="L324" s="87"/>
      <c r="M324" s="88">
        <f>SUBTOTAL(9,M319:M323)</f>
        <v>357.59599999999995</v>
      </c>
      <c r="N324" s="90"/>
      <c r="O324" s="90"/>
      <c r="P324" s="56"/>
      <c r="Q324" s="124"/>
      <c r="R324" s="113"/>
      <c r="S324" s="113"/>
      <c r="T324" s="113"/>
      <c r="U324" s="113"/>
    </row>
    <row r="325" spans="1:21" outlineLevel="2" x14ac:dyDescent="0.3">
      <c r="A325" s="59" t="s">
        <v>793</v>
      </c>
      <c r="B325" s="120" t="s">
        <v>792</v>
      </c>
      <c r="C325" s="91" t="str">
        <f>VLOOKUP(B325,Tables!G$2:H$79,2,FALSE)</f>
        <v>AUX-Tailor Shop</v>
      </c>
      <c r="D325" s="59" t="s">
        <v>556</v>
      </c>
      <c r="E325" s="59" t="s">
        <v>793</v>
      </c>
      <c r="F325" s="118" t="s">
        <v>15</v>
      </c>
      <c r="G325" s="55" t="str">
        <f>VLOOKUP(F325,Tables!D$2:E$12,2,FALSE)</f>
        <v>PTR</v>
      </c>
      <c r="H325" s="83">
        <v>17099610</v>
      </c>
      <c r="I325" s="85">
        <f t="shared" ref="I325:I335" si="85">SUM(S325-R325)</f>
        <v>1011</v>
      </c>
      <c r="J325" s="85">
        <f t="shared" ref="J325:J335" si="86">SUM(U325-T325)</f>
        <v>0</v>
      </c>
      <c r="K325" s="87">
        <f t="shared" ref="K325:K335" si="87">SUM(I325*$P325)</f>
        <v>26.488200000000003</v>
      </c>
      <c r="L325" s="87">
        <f t="shared" ref="L325:L335" si="88">SUM(J325*$Q325)</f>
        <v>0</v>
      </c>
      <c r="M325" s="88">
        <f t="shared" ref="M325:M335" si="89">K325+L325</f>
        <v>26.488200000000003</v>
      </c>
      <c r="N325" s="118" t="s">
        <v>561</v>
      </c>
      <c r="O325" s="118" t="s">
        <v>794</v>
      </c>
      <c r="P325" s="56">
        <f>IF(G325="MFP",Tables!B$2,Tables!B$5)</f>
        <v>2.6200000000000001E-2</v>
      </c>
      <c r="Q325" s="124">
        <f>IF(G325="MFP",Tables!B$3,Tables!B$6)</f>
        <v>0.11799999999999999</v>
      </c>
      <c r="R325" s="113">
        <f>VLOOKUP($N325,'Meter Read info'!$C$2:$G$249,2,"FALSE")</f>
        <v>1716</v>
      </c>
      <c r="S325" s="113">
        <f>VLOOKUP($N325,'Meter Read info'!$C$2:$G$249,3,"FALSE")</f>
        <v>2727</v>
      </c>
      <c r="T325" s="113">
        <f>VLOOKUP($N325,'Meter Read info'!$C$2:$G$249,4,"FALSE")</f>
        <v>0</v>
      </c>
      <c r="U325" s="113">
        <f>VLOOKUP($N325,'Meter Read info'!$C$2:$G$249,5,"FALSE")</f>
        <v>0</v>
      </c>
    </row>
    <row r="326" spans="1:21" outlineLevel="1" x14ac:dyDescent="0.3">
      <c r="A326" s="59"/>
      <c r="B326" s="121" t="s">
        <v>949</v>
      </c>
      <c r="C326" s="91"/>
      <c r="D326" s="59"/>
      <c r="E326" s="59"/>
      <c r="F326" s="118"/>
      <c r="G326" s="55"/>
      <c r="H326" s="83"/>
      <c r="I326" s="85"/>
      <c r="J326" s="85"/>
      <c r="K326" s="87"/>
      <c r="L326" s="87"/>
      <c r="M326" s="88">
        <f>SUBTOTAL(9,M325:M325)</f>
        <v>26.488200000000003</v>
      </c>
      <c r="N326" s="118"/>
      <c r="O326" s="118"/>
      <c r="P326" s="56"/>
      <c r="Q326" s="124"/>
      <c r="R326" s="113"/>
      <c r="S326" s="113"/>
      <c r="T326" s="113"/>
      <c r="U326" s="113"/>
    </row>
    <row r="327" spans="1:21" outlineLevel="2" x14ac:dyDescent="0.3">
      <c r="A327" s="91" t="s">
        <v>377</v>
      </c>
      <c r="B327" s="91" t="s">
        <v>839</v>
      </c>
      <c r="C327" s="91" t="str">
        <f>VLOOKUP(B327,Tables!G$2:H$79,2,FALSE)</f>
        <v>Treasurers Office</v>
      </c>
      <c r="D327" s="90" t="s">
        <v>279</v>
      </c>
      <c r="E327" s="89">
        <v>305</v>
      </c>
      <c r="F327" s="90" t="s">
        <v>15</v>
      </c>
      <c r="G327" s="55" t="str">
        <f>VLOOKUP(F327,Tables!D$2:E$12,2,FALSE)</f>
        <v>PTR</v>
      </c>
      <c r="H327" s="83">
        <v>17099710</v>
      </c>
      <c r="I327" s="85">
        <f t="shared" si="85"/>
        <v>754</v>
      </c>
      <c r="J327" s="85">
        <f t="shared" si="86"/>
        <v>0</v>
      </c>
      <c r="K327" s="87">
        <f t="shared" si="87"/>
        <v>19.754799999999999</v>
      </c>
      <c r="L327" s="87">
        <f t="shared" si="88"/>
        <v>0</v>
      </c>
      <c r="M327" s="88">
        <f t="shared" si="89"/>
        <v>19.754799999999999</v>
      </c>
      <c r="N327" s="90" t="s">
        <v>387</v>
      </c>
      <c r="O327" s="90" t="s">
        <v>388</v>
      </c>
      <c r="P327" s="56">
        <f>IF(G327="MFP",Tables!B$2,Tables!B$5)</f>
        <v>2.6200000000000001E-2</v>
      </c>
      <c r="Q327" s="124">
        <f>IF(G327="MFP",Tables!B$3,Tables!B$6)</f>
        <v>0.11799999999999999</v>
      </c>
      <c r="R327" s="113">
        <f>VLOOKUP($N327,'Meter Read info'!$C$2:$G$249,2,"FALSE")</f>
        <v>2512</v>
      </c>
      <c r="S327" s="113">
        <f>VLOOKUP($N327,'Meter Read info'!$C$2:$G$249,3,"FALSE")</f>
        <v>3266</v>
      </c>
      <c r="T327" s="113">
        <f>VLOOKUP($N327,'Meter Read info'!$C$2:$G$249,4,"FALSE")</f>
        <v>0</v>
      </c>
      <c r="U327" s="113">
        <f>VLOOKUP($N327,'Meter Read info'!$C$2:$G$249,5,"FALSE")</f>
        <v>0</v>
      </c>
    </row>
    <row r="328" spans="1:21" ht="31.2" outlineLevel="1" x14ac:dyDescent="0.3">
      <c r="A328" s="91"/>
      <c r="B328" s="107" t="s">
        <v>904</v>
      </c>
      <c r="C328" s="91"/>
      <c r="D328" s="90"/>
      <c r="E328" s="89"/>
      <c r="F328" s="90"/>
      <c r="G328" s="55"/>
      <c r="H328" s="83"/>
      <c r="I328" s="85"/>
      <c r="J328" s="85"/>
      <c r="K328" s="87"/>
      <c r="L328" s="87"/>
      <c r="M328" s="88">
        <f>SUBTOTAL(9,M327:M327)</f>
        <v>19.754799999999999</v>
      </c>
      <c r="N328" s="90"/>
      <c r="O328" s="90"/>
      <c r="P328" s="56"/>
      <c r="Q328" s="124"/>
      <c r="R328" s="113"/>
      <c r="S328" s="113"/>
      <c r="T328" s="113"/>
      <c r="U328" s="113"/>
    </row>
    <row r="329" spans="1:21" outlineLevel="2" x14ac:dyDescent="0.3">
      <c r="A329" s="91" t="s">
        <v>377</v>
      </c>
      <c r="B329" s="91" t="s">
        <v>378</v>
      </c>
      <c r="C329" s="91" t="str">
        <f>VLOOKUP(B329,Tables!G$2:H$79,2,FALSE)</f>
        <v>Business Executive</v>
      </c>
      <c r="D329" s="90" t="s">
        <v>279</v>
      </c>
      <c r="E329" s="89">
        <v>301</v>
      </c>
      <c r="F329" s="90" t="s">
        <v>15</v>
      </c>
      <c r="G329" s="55" t="str">
        <f>VLOOKUP(F329,Tables!D$2:E$12,2,FALSE)</f>
        <v>PTR</v>
      </c>
      <c r="H329" s="83">
        <v>17099696</v>
      </c>
      <c r="I329" s="85">
        <f t="shared" si="85"/>
        <v>576</v>
      </c>
      <c r="J329" s="85">
        <f t="shared" si="86"/>
        <v>0</v>
      </c>
      <c r="K329" s="87">
        <f t="shared" si="87"/>
        <v>15.091200000000001</v>
      </c>
      <c r="L329" s="87">
        <f t="shared" si="88"/>
        <v>0</v>
      </c>
      <c r="M329" s="88">
        <f t="shared" si="89"/>
        <v>15.091200000000001</v>
      </c>
      <c r="N329" s="90" t="s">
        <v>385</v>
      </c>
      <c r="O329" s="90" t="s">
        <v>386</v>
      </c>
      <c r="P329" s="56">
        <f>IF(G329="MFP",Tables!B$2,Tables!B$5)</f>
        <v>2.6200000000000001E-2</v>
      </c>
      <c r="Q329" s="124">
        <f>IF(G329="MFP",Tables!B$3,Tables!B$6)</f>
        <v>0.11799999999999999</v>
      </c>
      <c r="R329" s="113">
        <f>VLOOKUP($N329,'Meter Read info'!$C$2:$G$249,2,"FALSE")</f>
        <v>1464</v>
      </c>
      <c r="S329" s="113">
        <f>VLOOKUP($N329,'Meter Read info'!$C$2:$G$249,3,"FALSE")</f>
        <v>2040</v>
      </c>
      <c r="T329" s="113">
        <f>VLOOKUP($N329,'Meter Read info'!$C$2:$G$249,4,"FALSE")</f>
        <v>0</v>
      </c>
      <c r="U329" s="113">
        <f>VLOOKUP($N329,'Meter Read info'!$C$2:$G$249,5,"FALSE")</f>
        <v>0</v>
      </c>
    </row>
    <row r="330" spans="1:21" ht="31.2" outlineLevel="1" x14ac:dyDescent="0.3">
      <c r="A330" s="91"/>
      <c r="B330" s="107" t="s">
        <v>902</v>
      </c>
      <c r="C330" s="91"/>
      <c r="D330" s="90"/>
      <c r="E330" s="89"/>
      <c r="F330" s="90"/>
      <c r="G330" s="55"/>
      <c r="H330" s="83"/>
      <c r="I330" s="85"/>
      <c r="J330" s="85"/>
      <c r="K330" s="87"/>
      <c r="L330" s="87"/>
      <c r="M330" s="88">
        <f>SUBTOTAL(9,M329:M329)</f>
        <v>15.091200000000001</v>
      </c>
      <c r="N330" s="90"/>
      <c r="O330" s="90"/>
      <c r="P330" s="56"/>
      <c r="Q330" s="124"/>
      <c r="R330" s="113"/>
      <c r="S330" s="113"/>
      <c r="T330" s="113"/>
      <c r="U330" s="113"/>
    </row>
    <row r="331" spans="1:21" ht="45" outlineLevel="2" x14ac:dyDescent="0.3">
      <c r="A331" s="91" t="s">
        <v>665</v>
      </c>
      <c r="B331" s="91" t="s">
        <v>238</v>
      </c>
      <c r="C331" s="91" t="str">
        <f>VLOOKUP(B331,Tables!G$2:H$79,2,FALSE)</f>
        <v>Undergraduate Research</v>
      </c>
      <c r="D331" s="90" t="s">
        <v>177</v>
      </c>
      <c r="E331" s="89" t="s">
        <v>669</v>
      </c>
      <c r="F331" s="90" t="s">
        <v>24</v>
      </c>
      <c r="G331" s="55" t="str">
        <f>VLOOKUP(F331,Tables!D$2:E$12,2,FALSE)</f>
        <v>MFP</v>
      </c>
      <c r="H331" s="83">
        <v>17099489</v>
      </c>
      <c r="I331" s="85">
        <f t="shared" si="85"/>
        <v>1600</v>
      </c>
      <c r="J331" s="85">
        <f t="shared" si="86"/>
        <v>5</v>
      </c>
      <c r="K331" s="87">
        <f t="shared" si="87"/>
        <v>33.119999999999997</v>
      </c>
      <c r="L331" s="87">
        <f t="shared" si="88"/>
        <v>0.43499999999999994</v>
      </c>
      <c r="M331" s="88">
        <f t="shared" si="89"/>
        <v>33.555</v>
      </c>
      <c r="N331" s="90" t="s">
        <v>240</v>
      </c>
      <c r="O331" s="90" t="s">
        <v>241</v>
      </c>
      <c r="P331" s="56">
        <f>IF(G331="MFP",Tables!B$2,Tables!B$5)</f>
        <v>2.07E-2</v>
      </c>
      <c r="Q331" s="124">
        <f>IF(G331="MFP",Tables!B$3,Tables!B$6)</f>
        <v>8.6999999999999994E-2</v>
      </c>
      <c r="R331" s="113">
        <f>VLOOKUP($N331,'Meter Read info'!$C$2:$G$249,2,"FALSE")</f>
        <v>3605</v>
      </c>
      <c r="S331" s="113">
        <f>VLOOKUP($N331,'Meter Read info'!$C$2:$G$249,3,"FALSE")</f>
        <v>5205</v>
      </c>
      <c r="T331" s="113">
        <f>VLOOKUP($N331,'Meter Read info'!$C$2:$G$249,4,"FALSE")</f>
        <v>104</v>
      </c>
      <c r="U331" s="113">
        <f>VLOOKUP($N331,'Meter Read info'!$C$2:$G$249,5,"FALSE")</f>
        <v>109</v>
      </c>
    </row>
    <row r="332" spans="1:21" ht="31.2" outlineLevel="1" x14ac:dyDescent="0.3">
      <c r="A332" s="91"/>
      <c r="B332" s="107" t="s">
        <v>950</v>
      </c>
      <c r="C332" s="91"/>
      <c r="D332" s="90"/>
      <c r="E332" s="89"/>
      <c r="F332" s="90"/>
      <c r="G332" s="55"/>
      <c r="H332" s="83"/>
      <c r="I332" s="85"/>
      <c r="J332" s="85"/>
      <c r="K332" s="87"/>
      <c r="L332" s="87"/>
      <c r="M332" s="88">
        <f>SUBTOTAL(9,M331:M331)</f>
        <v>33.555</v>
      </c>
      <c r="N332" s="90"/>
      <c r="O332" s="90"/>
      <c r="P332" s="56"/>
      <c r="Q332" s="124"/>
      <c r="R332" s="113"/>
      <c r="S332" s="113"/>
      <c r="T332" s="113"/>
      <c r="U332" s="113"/>
    </row>
    <row r="333" spans="1:21" ht="30" outlineLevel="2" x14ac:dyDescent="0.3">
      <c r="A333" s="91" t="s">
        <v>288</v>
      </c>
      <c r="B333" s="91" t="s">
        <v>289</v>
      </c>
      <c r="C333" s="91" t="str">
        <f>VLOOKUP(B333,Tables!G$2:H$79,2,FALSE)</f>
        <v>Institute Writing Program</v>
      </c>
      <c r="D333" s="90" t="s">
        <v>223</v>
      </c>
      <c r="E333" s="89">
        <v>215</v>
      </c>
      <c r="F333" s="90" t="s">
        <v>15</v>
      </c>
      <c r="G333" s="55" t="str">
        <f>VLOOKUP(F333,Tables!D$2:E$12,2,FALSE)</f>
        <v>PTR</v>
      </c>
      <c r="H333" s="83">
        <v>17099563</v>
      </c>
      <c r="I333" s="85">
        <f t="shared" si="85"/>
        <v>1873</v>
      </c>
      <c r="J333" s="85">
        <f t="shared" si="86"/>
        <v>0</v>
      </c>
      <c r="K333" s="87">
        <f t="shared" si="87"/>
        <v>49.072600000000001</v>
      </c>
      <c r="L333" s="87">
        <f t="shared" si="88"/>
        <v>0</v>
      </c>
      <c r="M333" s="88">
        <f t="shared" si="89"/>
        <v>49.072600000000001</v>
      </c>
      <c r="N333" s="90" t="s">
        <v>294</v>
      </c>
      <c r="O333" s="90" t="s">
        <v>295</v>
      </c>
      <c r="P333" s="56">
        <f>IF(G333="MFP",Tables!B$2,Tables!B$5)</f>
        <v>2.6200000000000001E-2</v>
      </c>
      <c r="Q333" s="124">
        <f>IF(G333="MFP",Tables!B$3,Tables!B$6)</f>
        <v>0.11799999999999999</v>
      </c>
      <c r="R333" s="113">
        <f>VLOOKUP($N333,'Meter Read info'!$C$2:$G$249,2,"FALSE")</f>
        <v>4306</v>
      </c>
      <c r="S333" s="113">
        <f>VLOOKUP($N333,'Meter Read info'!$C$2:$G$249,3,"FALSE")</f>
        <v>6179</v>
      </c>
      <c r="T333" s="113">
        <f>VLOOKUP($N333,'Meter Read info'!$C$2:$G$249,4,"FALSE")</f>
        <v>0</v>
      </c>
      <c r="U333" s="113">
        <f>VLOOKUP($N333,'Meter Read info'!$C$2:$G$249,5,"FALSE")</f>
        <v>0</v>
      </c>
    </row>
    <row r="334" spans="1:21" ht="30" outlineLevel="2" x14ac:dyDescent="0.3">
      <c r="A334" s="91" t="s">
        <v>288</v>
      </c>
      <c r="B334" s="91" t="s">
        <v>289</v>
      </c>
      <c r="C334" s="91" t="str">
        <f>VLOOKUP(B334,Tables!G$2:H$79,2,FALSE)</f>
        <v>Institute Writing Program</v>
      </c>
      <c r="D334" s="90" t="s">
        <v>223</v>
      </c>
      <c r="E334" s="89">
        <v>217</v>
      </c>
      <c r="F334" s="90" t="s">
        <v>24</v>
      </c>
      <c r="G334" s="55" t="str">
        <f>VLOOKUP(F334,Tables!D$2:E$12,2,FALSE)</f>
        <v>MFP</v>
      </c>
      <c r="H334" s="83">
        <v>17099756</v>
      </c>
      <c r="I334" s="85">
        <f t="shared" si="85"/>
        <v>11520</v>
      </c>
      <c r="J334" s="85">
        <f t="shared" si="86"/>
        <v>592</v>
      </c>
      <c r="K334" s="87">
        <f t="shared" si="87"/>
        <v>238.464</v>
      </c>
      <c r="L334" s="87">
        <f t="shared" si="88"/>
        <v>51.503999999999998</v>
      </c>
      <c r="M334" s="88">
        <f t="shared" si="89"/>
        <v>289.96800000000002</v>
      </c>
      <c r="N334" s="90" t="s">
        <v>290</v>
      </c>
      <c r="O334" s="90" t="s">
        <v>291</v>
      </c>
      <c r="P334" s="56">
        <f>IF(G334="MFP",Tables!B$2,Tables!B$5)</f>
        <v>2.07E-2</v>
      </c>
      <c r="Q334" s="124">
        <f>IF(G334="MFP",Tables!B$3,Tables!B$6)</f>
        <v>8.6999999999999994E-2</v>
      </c>
      <c r="R334" s="113">
        <f>VLOOKUP($N334,'Meter Read info'!$C$2:$G$249,2,"FALSE")</f>
        <v>2551</v>
      </c>
      <c r="S334" s="113">
        <f>VLOOKUP($N334,'Meter Read info'!$C$2:$G$249,3,"FALSE")</f>
        <v>14071</v>
      </c>
      <c r="T334" s="113">
        <f>VLOOKUP($N334,'Meter Read info'!$C$2:$G$249,4,"FALSE")</f>
        <v>328</v>
      </c>
      <c r="U334" s="113">
        <f>VLOOKUP($N334,'Meter Read info'!$C$2:$G$249,5,"FALSE")</f>
        <v>920</v>
      </c>
    </row>
    <row r="335" spans="1:21" ht="30" outlineLevel="2" x14ac:dyDescent="0.3">
      <c r="A335" s="91" t="s">
        <v>288</v>
      </c>
      <c r="B335" s="91" t="s">
        <v>289</v>
      </c>
      <c r="C335" s="91" t="str">
        <f>VLOOKUP(B335,Tables!G$2:H$79,2,FALSE)</f>
        <v>Institute Writing Program</v>
      </c>
      <c r="D335" s="90" t="s">
        <v>223</v>
      </c>
      <c r="E335" s="89">
        <v>219</v>
      </c>
      <c r="F335" s="90" t="s">
        <v>15</v>
      </c>
      <c r="G335" s="55" t="str">
        <f>VLOOKUP(F335,Tables!D$2:E$12,2,FALSE)</f>
        <v>PTR</v>
      </c>
      <c r="H335" s="83">
        <v>17099576</v>
      </c>
      <c r="I335" s="85">
        <f t="shared" si="85"/>
        <v>0</v>
      </c>
      <c r="J335" s="85">
        <f t="shared" si="86"/>
        <v>0</v>
      </c>
      <c r="K335" s="87">
        <f t="shared" si="87"/>
        <v>0</v>
      </c>
      <c r="L335" s="87">
        <f t="shared" si="88"/>
        <v>0</v>
      </c>
      <c r="M335" s="88">
        <f t="shared" si="89"/>
        <v>0</v>
      </c>
      <c r="N335" s="90" t="s">
        <v>292</v>
      </c>
      <c r="O335" s="90" t="s">
        <v>293</v>
      </c>
      <c r="P335" s="56">
        <f>IF(G335="MFP",Tables!B$2,Tables!B$5)</f>
        <v>2.6200000000000001E-2</v>
      </c>
      <c r="Q335" s="124">
        <f>IF(G335="MFP",Tables!B$3,Tables!B$6)</f>
        <v>0.11799999999999999</v>
      </c>
      <c r="R335" s="113">
        <f>VLOOKUP($N335,'Meter Read info'!$C$2:$G$249,2,"FALSE")</f>
        <v>23</v>
      </c>
      <c r="S335" s="113">
        <f>VLOOKUP($N335,'Meter Read info'!$C$2:$G$249,3,"FALSE")</f>
        <v>23</v>
      </c>
      <c r="T335" s="113">
        <f>VLOOKUP($N335,'Meter Read info'!$C$2:$G$249,4,"FALSE")</f>
        <v>0</v>
      </c>
      <c r="U335" s="113">
        <f>VLOOKUP($N335,'Meter Read info'!$C$2:$G$249,5,"FALSE")</f>
        <v>0</v>
      </c>
    </row>
    <row r="336" spans="1:21" ht="31.2" outlineLevel="1" x14ac:dyDescent="0.3">
      <c r="A336" s="91"/>
      <c r="B336" s="107" t="s">
        <v>951</v>
      </c>
      <c r="C336" s="91"/>
      <c r="D336" s="90"/>
      <c r="E336" s="89"/>
      <c r="F336" s="90"/>
      <c r="G336" s="55"/>
      <c r="H336" s="83"/>
      <c r="I336" s="85"/>
      <c r="J336" s="85"/>
      <c r="K336" s="87"/>
      <c r="L336" s="87"/>
      <c r="M336" s="88">
        <f>SUBTOTAL(9,M333:M335)</f>
        <v>339.04060000000004</v>
      </c>
      <c r="N336" s="109"/>
      <c r="O336" s="109"/>
      <c r="P336" s="110"/>
      <c r="Q336" s="111"/>
      <c r="R336" s="122"/>
      <c r="S336" s="122"/>
      <c r="T336" s="122"/>
      <c r="U336" s="122"/>
    </row>
    <row r="337" outlineLevel="1" x14ac:dyDescent="0.3"/>
    <row r="338" outlineLevel="1" x14ac:dyDescent="0.3"/>
    <row r="339" outlineLevel="1" x14ac:dyDescent="0.3"/>
    <row r="340" outlineLevel="1" x14ac:dyDescent="0.3"/>
    <row r="341" outlineLevel="1" x14ac:dyDescent="0.3"/>
    <row r="342" outlineLevel="1" x14ac:dyDescent="0.3"/>
    <row r="343" outlineLevel="1" x14ac:dyDescent="0.3"/>
    <row r="344" outlineLevel="1" x14ac:dyDescent="0.3"/>
    <row r="345" outlineLevel="1" x14ac:dyDescent="0.3"/>
    <row r="346" outlineLevel="1" x14ac:dyDescent="0.3"/>
    <row r="347" outlineLevel="1" x14ac:dyDescent="0.3"/>
    <row r="348" outlineLevel="1" x14ac:dyDescent="0.3"/>
    <row r="349" outlineLevel="1" x14ac:dyDescent="0.3"/>
    <row r="350" outlineLevel="1" x14ac:dyDescent="0.3"/>
    <row r="351" outlineLevel="1" x14ac:dyDescent="0.3"/>
    <row r="352" outlineLevel="1" x14ac:dyDescent="0.3"/>
    <row r="353" outlineLevel="1" x14ac:dyDescent="0.3"/>
    <row r="354" outlineLevel="1" x14ac:dyDescent="0.3"/>
    <row r="355" outlineLevel="1" x14ac:dyDescent="0.3"/>
    <row r="356" outlineLevel="1" x14ac:dyDescent="0.3"/>
    <row r="357" outlineLevel="1" x14ac:dyDescent="0.3"/>
    <row r="358" outlineLevel="1" x14ac:dyDescent="0.3"/>
    <row r="359" outlineLevel="1" x14ac:dyDescent="0.3"/>
    <row r="360" outlineLevel="1" x14ac:dyDescent="0.3"/>
    <row r="361" outlineLevel="1" x14ac:dyDescent="0.3"/>
    <row r="362" outlineLevel="1" x14ac:dyDescent="0.3"/>
    <row r="363" outlineLevel="1" x14ac:dyDescent="0.3"/>
    <row r="364" outlineLevel="1" x14ac:dyDescent="0.3"/>
    <row r="365" outlineLevel="1" x14ac:dyDescent="0.3"/>
    <row r="366" outlineLevel="1" x14ac:dyDescent="0.3"/>
    <row r="367" outlineLevel="1" x14ac:dyDescent="0.3"/>
    <row r="368" outlineLevel="1" x14ac:dyDescent="0.3"/>
    <row r="369" outlineLevel="1" x14ac:dyDescent="0.3"/>
    <row r="370" outlineLevel="1" x14ac:dyDescent="0.3"/>
    <row r="371" outlineLevel="1" x14ac:dyDescent="0.3"/>
    <row r="372" outlineLevel="1" x14ac:dyDescent="0.3"/>
    <row r="373" outlineLevel="1" x14ac:dyDescent="0.3"/>
    <row r="374" outlineLevel="1" x14ac:dyDescent="0.3"/>
    <row r="375" outlineLevel="1" x14ac:dyDescent="0.3"/>
    <row r="376" outlineLevel="1" x14ac:dyDescent="0.3"/>
    <row r="377" outlineLevel="1" x14ac:dyDescent="0.3"/>
    <row r="378" outlineLevel="1" x14ac:dyDescent="0.3"/>
    <row r="379" outlineLevel="1" x14ac:dyDescent="0.3"/>
    <row r="380" outlineLevel="1" x14ac:dyDescent="0.3"/>
    <row r="381" outlineLevel="1" x14ac:dyDescent="0.3"/>
    <row r="382" outlineLevel="1" x14ac:dyDescent="0.3"/>
    <row r="383" outlineLevel="1" x14ac:dyDescent="0.3"/>
    <row r="384" outlineLevel="1" x14ac:dyDescent="0.3"/>
    <row r="385" outlineLevel="1" x14ac:dyDescent="0.3"/>
    <row r="386" outlineLevel="1" x14ac:dyDescent="0.3"/>
    <row r="387" outlineLevel="1" x14ac:dyDescent="0.3"/>
    <row r="388" outlineLevel="1" x14ac:dyDescent="0.3"/>
    <row r="389" outlineLevel="1" x14ac:dyDescent="0.3"/>
    <row r="390" outlineLevel="1" x14ac:dyDescent="0.3"/>
    <row r="391" outlineLevel="1" x14ac:dyDescent="0.3"/>
    <row r="392" outlineLevel="1" x14ac:dyDescent="0.3"/>
    <row r="393" outlineLevel="1" x14ac:dyDescent="0.3"/>
    <row r="394" outlineLevel="1" x14ac:dyDescent="0.3"/>
    <row r="395" outlineLevel="1" x14ac:dyDescent="0.3"/>
    <row r="396" outlineLevel="1" x14ac:dyDescent="0.3"/>
    <row r="397" outlineLevel="1" x14ac:dyDescent="0.3"/>
    <row r="398" outlineLevel="1" x14ac:dyDescent="0.3"/>
    <row r="399" outlineLevel="1" x14ac:dyDescent="0.3"/>
    <row r="400" outlineLevel="1" x14ac:dyDescent="0.3"/>
    <row r="401" outlineLevel="1" x14ac:dyDescent="0.3"/>
    <row r="402" outlineLevel="1" x14ac:dyDescent="0.3"/>
    <row r="403" outlineLevel="1" x14ac:dyDescent="0.3"/>
    <row r="404" outlineLevel="1" x14ac:dyDescent="0.3"/>
    <row r="405" outlineLevel="1" x14ac:dyDescent="0.3"/>
    <row r="406" outlineLevel="1" x14ac:dyDescent="0.3"/>
    <row r="407" outlineLevel="1" x14ac:dyDescent="0.3"/>
    <row r="408" outlineLevel="1" x14ac:dyDescent="0.3"/>
    <row r="409" outlineLevel="1" x14ac:dyDescent="0.3"/>
    <row r="410" outlineLevel="1" x14ac:dyDescent="0.3"/>
    <row r="411" outlineLevel="1" x14ac:dyDescent="0.3"/>
    <row r="412" outlineLevel="1" x14ac:dyDescent="0.3"/>
    <row r="413" outlineLevel="1" x14ac:dyDescent="0.3"/>
    <row r="414" outlineLevel="1" x14ac:dyDescent="0.3"/>
    <row r="415" outlineLevel="1" x14ac:dyDescent="0.3"/>
    <row r="416" outlineLevel="1" x14ac:dyDescent="0.3"/>
    <row r="417" outlineLevel="1" x14ac:dyDescent="0.3"/>
    <row r="418" outlineLevel="1" x14ac:dyDescent="0.3"/>
    <row r="419" outlineLevel="1" x14ac:dyDescent="0.3"/>
    <row r="420" outlineLevel="1" x14ac:dyDescent="0.3"/>
    <row r="421" outlineLevel="1" x14ac:dyDescent="0.3"/>
    <row r="422" outlineLevel="1" x14ac:dyDescent="0.3"/>
    <row r="423" outlineLevel="1" x14ac:dyDescent="0.3"/>
    <row r="424" outlineLevel="1" x14ac:dyDescent="0.3"/>
    <row r="425" outlineLevel="1" x14ac:dyDescent="0.3"/>
    <row r="426" outlineLevel="1" x14ac:dyDescent="0.3"/>
    <row r="427" outlineLevel="1" x14ac:dyDescent="0.3"/>
    <row r="428" outlineLevel="1" x14ac:dyDescent="0.3"/>
    <row r="429" outlineLevel="1" x14ac:dyDescent="0.3"/>
    <row r="430" outlineLevel="1" x14ac:dyDescent="0.3"/>
    <row r="431" outlineLevel="1" x14ac:dyDescent="0.3"/>
    <row r="432" outlineLevel="1" x14ac:dyDescent="0.3"/>
    <row r="433" outlineLevel="1" x14ac:dyDescent="0.3"/>
    <row r="434" outlineLevel="1" x14ac:dyDescent="0.3"/>
    <row r="435" outlineLevel="1" x14ac:dyDescent="0.3"/>
    <row r="436" outlineLevel="1" x14ac:dyDescent="0.3"/>
    <row r="437" outlineLevel="1" x14ac:dyDescent="0.3"/>
    <row r="438" outlineLevel="1" x14ac:dyDescent="0.3"/>
    <row r="439" outlineLevel="1" x14ac:dyDescent="0.3"/>
    <row r="440" outlineLevel="1" x14ac:dyDescent="0.3"/>
    <row r="441" outlineLevel="1" x14ac:dyDescent="0.3"/>
    <row r="442" outlineLevel="1" x14ac:dyDescent="0.3"/>
    <row r="443" outlineLevel="1" x14ac:dyDescent="0.3"/>
    <row r="444" outlineLevel="1" x14ac:dyDescent="0.3"/>
    <row r="445" outlineLevel="1" x14ac:dyDescent="0.3"/>
    <row r="446" outlineLevel="1" x14ac:dyDescent="0.3"/>
    <row r="447" outlineLevel="1" x14ac:dyDescent="0.3"/>
    <row r="448" outlineLevel="1" x14ac:dyDescent="0.3"/>
    <row r="449" outlineLevel="1" x14ac:dyDescent="0.3"/>
    <row r="450" outlineLevel="1" x14ac:dyDescent="0.3"/>
    <row r="451" outlineLevel="1" x14ac:dyDescent="0.3"/>
    <row r="452" outlineLevel="1" x14ac:dyDescent="0.3"/>
    <row r="453" outlineLevel="1" x14ac:dyDescent="0.3"/>
    <row r="454" outlineLevel="1" x14ac:dyDescent="0.3"/>
    <row r="455" outlineLevel="1" x14ac:dyDescent="0.3"/>
    <row r="456" outlineLevel="1" x14ac:dyDescent="0.3"/>
    <row r="457" outlineLevel="1" x14ac:dyDescent="0.3"/>
    <row r="458" outlineLevel="1" x14ac:dyDescent="0.3"/>
    <row r="459" outlineLevel="1" x14ac:dyDescent="0.3"/>
    <row r="460" outlineLevel="1" x14ac:dyDescent="0.3"/>
    <row r="461" outlineLevel="1" x14ac:dyDescent="0.3"/>
    <row r="462" outlineLevel="1" x14ac:dyDescent="0.3"/>
    <row r="463" outlineLevel="1" x14ac:dyDescent="0.3"/>
    <row r="464" outlineLevel="1" x14ac:dyDescent="0.3"/>
    <row r="465" outlineLevel="1" x14ac:dyDescent="0.3"/>
    <row r="466" outlineLevel="1" x14ac:dyDescent="0.3"/>
    <row r="467" outlineLevel="1" x14ac:dyDescent="0.3"/>
    <row r="468" outlineLevel="1" x14ac:dyDescent="0.3"/>
    <row r="469" outlineLevel="1" x14ac:dyDescent="0.3"/>
    <row r="470" outlineLevel="1" x14ac:dyDescent="0.3"/>
    <row r="471" outlineLevel="1" x14ac:dyDescent="0.3"/>
    <row r="472" outlineLevel="1" x14ac:dyDescent="0.3"/>
    <row r="473" outlineLevel="1" x14ac:dyDescent="0.3"/>
    <row r="474" outlineLevel="1" x14ac:dyDescent="0.3"/>
    <row r="475" outlineLevel="1" x14ac:dyDescent="0.3"/>
    <row r="476" outlineLevel="1" x14ac:dyDescent="0.3"/>
    <row r="477" outlineLevel="1" x14ac:dyDescent="0.3"/>
    <row r="478" outlineLevel="1" x14ac:dyDescent="0.3"/>
    <row r="479" outlineLevel="1" x14ac:dyDescent="0.3"/>
    <row r="480" outlineLevel="1" x14ac:dyDescent="0.3"/>
    <row r="481" outlineLevel="1" x14ac:dyDescent="0.3"/>
    <row r="482" outlineLevel="1" x14ac:dyDescent="0.3"/>
    <row r="483" outlineLevel="1" x14ac:dyDescent="0.3"/>
    <row r="484" outlineLevel="1" x14ac:dyDescent="0.3"/>
    <row r="485" outlineLevel="1" x14ac:dyDescent="0.3"/>
    <row r="486" outlineLevel="1" x14ac:dyDescent="0.3"/>
    <row r="487" outlineLevel="1" x14ac:dyDescent="0.3"/>
    <row r="488" outlineLevel="1" x14ac:dyDescent="0.3"/>
    <row r="489" outlineLevel="1" x14ac:dyDescent="0.3"/>
    <row r="490" outlineLevel="1" x14ac:dyDescent="0.3"/>
    <row r="491" outlineLevel="1" x14ac:dyDescent="0.3"/>
    <row r="492" outlineLevel="1" x14ac:dyDescent="0.3"/>
    <row r="493" outlineLevel="1" x14ac:dyDescent="0.3"/>
    <row r="494" outlineLevel="1" x14ac:dyDescent="0.3"/>
    <row r="495" outlineLevel="1" x14ac:dyDescent="0.3"/>
    <row r="496" outlineLevel="1" x14ac:dyDescent="0.3"/>
    <row r="497" outlineLevel="1" x14ac:dyDescent="0.3"/>
    <row r="498" outlineLevel="1" x14ac:dyDescent="0.3"/>
    <row r="499" outlineLevel="1" x14ac:dyDescent="0.3"/>
    <row r="500" outlineLevel="1" x14ac:dyDescent="0.3"/>
    <row r="501" outlineLevel="1" x14ac:dyDescent="0.3"/>
    <row r="502" outlineLevel="1" x14ac:dyDescent="0.3"/>
    <row r="503" outlineLevel="1" x14ac:dyDescent="0.3"/>
    <row r="504" outlineLevel="1" x14ac:dyDescent="0.3"/>
    <row r="505" outlineLevel="1" x14ac:dyDescent="0.3"/>
    <row r="506" outlineLevel="1" x14ac:dyDescent="0.3"/>
    <row r="507" outlineLevel="1" x14ac:dyDescent="0.3"/>
    <row r="508" outlineLevel="1" x14ac:dyDescent="0.3"/>
    <row r="509" outlineLevel="1" x14ac:dyDescent="0.3"/>
    <row r="510" outlineLevel="1" x14ac:dyDescent="0.3"/>
    <row r="511" outlineLevel="1" x14ac:dyDescent="0.3"/>
    <row r="512" outlineLevel="1" x14ac:dyDescent="0.3"/>
    <row r="513" outlineLevel="1" x14ac:dyDescent="0.3"/>
    <row r="514" outlineLevel="1" x14ac:dyDescent="0.3"/>
    <row r="515" outlineLevel="1" x14ac:dyDescent="0.3"/>
    <row r="516" outlineLevel="1" x14ac:dyDescent="0.3"/>
    <row r="517" outlineLevel="1" x14ac:dyDescent="0.3"/>
    <row r="518" outlineLevel="1" x14ac:dyDescent="0.3"/>
    <row r="519" outlineLevel="1" x14ac:dyDescent="0.3"/>
    <row r="520" outlineLevel="1" x14ac:dyDescent="0.3"/>
    <row r="521" outlineLevel="1" x14ac:dyDescent="0.3"/>
    <row r="522" outlineLevel="1" x14ac:dyDescent="0.3"/>
    <row r="523" outlineLevel="1" x14ac:dyDescent="0.3"/>
    <row r="524" outlineLevel="1" x14ac:dyDescent="0.3"/>
    <row r="525" outlineLevel="1" x14ac:dyDescent="0.3"/>
    <row r="526" outlineLevel="1" x14ac:dyDescent="0.3"/>
    <row r="527" outlineLevel="1" x14ac:dyDescent="0.3"/>
    <row r="528" outlineLevel="1" x14ac:dyDescent="0.3"/>
    <row r="529" outlineLevel="1" x14ac:dyDescent="0.3"/>
    <row r="530" outlineLevel="1" x14ac:dyDescent="0.3"/>
    <row r="531" outlineLevel="1" x14ac:dyDescent="0.3"/>
    <row r="532" outlineLevel="1" x14ac:dyDescent="0.3"/>
    <row r="533" outlineLevel="1" x14ac:dyDescent="0.3"/>
    <row r="534" outlineLevel="1" x14ac:dyDescent="0.3"/>
    <row r="535" outlineLevel="1" x14ac:dyDescent="0.3"/>
    <row r="536" outlineLevel="1" x14ac:dyDescent="0.3"/>
    <row r="537" outlineLevel="1" x14ac:dyDescent="0.3"/>
    <row r="538" outlineLevel="1" x14ac:dyDescent="0.3"/>
    <row r="539" outlineLevel="1" x14ac:dyDescent="0.3"/>
    <row r="540" outlineLevel="1" x14ac:dyDescent="0.3"/>
    <row r="541" outlineLevel="1" x14ac:dyDescent="0.3"/>
    <row r="542" outlineLevel="1" x14ac:dyDescent="0.3"/>
    <row r="543" outlineLevel="1" x14ac:dyDescent="0.3"/>
    <row r="544" outlineLevel="1" x14ac:dyDescent="0.3"/>
    <row r="545" outlineLevel="1" x14ac:dyDescent="0.3"/>
    <row r="546" outlineLevel="1" x14ac:dyDescent="0.3"/>
    <row r="547" outlineLevel="1" x14ac:dyDescent="0.3"/>
    <row r="548" outlineLevel="1" x14ac:dyDescent="0.3"/>
    <row r="549" outlineLevel="1" x14ac:dyDescent="0.3"/>
    <row r="550" outlineLevel="1" x14ac:dyDescent="0.3"/>
    <row r="551" outlineLevel="1" x14ac:dyDescent="0.3"/>
    <row r="552" outlineLevel="1" x14ac:dyDescent="0.3"/>
    <row r="553" outlineLevel="1" x14ac:dyDescent="0.3"/>
    <row r="554" outlineLevel="1" x14ac:dyDescent="0.3"/>
    <row r="555" outlineLevel="1" x14ac:dyDescent="0.3"/>
    <row r="556" outlineLevel="1" x14ac:dyDescent="0.3"/>
    <row r="557" outlineLevel="1" x14ac:dyDescent="0.3"/>
    <row r="558" outlineLevel="1" x14ac:dyDescent="0.3"/>
    <row r="559" outlineLevel="1" x14ac:dyDescent="0.3"/>
    <row r="560" outlineLevel="1" x14ac:dyDescent="0.3"/>
    <row r="561" outlineLevel="1" x14ac:dyDescent="0.3"/>
    <row r="562" outlineLevel="1" x14ac:dyDescent="0.3"/>
    <row r="563" outlineLevel="1" x14ac:dyDescent="0.3"/>
    <row r="564" outlineLevel="1" x14ac:dyDescent="0.3"/>
    <row r="565" outlineLevel="1" x14ac:dyDescent="0.3"/>
    <row r="566" outlineLevel="1" x14ac:dyDescent="0.3"/>
    <row r="567" outlineLevel="1" x14ac:dyDescent="0.3"/>
    <row r="568" outlineLevel="1" x14ac:dyDescent="0.3"/>
    <row r="569" outlineLevel="1" x14ac:dyDescent="0.3"/>
    <row r="570" outlineLevel="1" x14ac:dyDescent="0.3"/>
    <row r="571" outlineLevel="1" x14ac:dyDescent="0.3"/>
    <row r="572" outlineLevel="1" x14ac:dyDescent="0.3"/>
    <row r="573" outlineLevel="1" x14ac:dyDescent="0.3"/>
    <row r="574" outlineLevel="1" x14ac:dyDescent="0.3"/>
    <row r="575" outlineLevel="1" x14ac:dyDescent="0.3"/>
    <row r="576" outlineLevel="1" x14ac:dyDescent="0.3"/>
    <row r="577" outlineLevel="1" x14ac:dyDescent="0.3"/>
    <row r="578" outlineLevel="1" x14ac:dyDescent="0.3"/>
    <row r="579" outlineLevel="1" x14ac:dyDescent="0.3"/>
    <row r="580" outlineLevel="1" x14ac:dyDescent="0.3"/>
    <row r="581" outlineLevel="1" x14ac:dyDescent="0.3"/>
    <row r="582" outlineLevel="1" x14ac:dyDescent="0.3"/>
    <row r="583" outlineLevel="1" x14ac:dyDescent="0.3"/>
    <row r="584" outlineLevel="1" x14ac:dyDescent="0.3"/>
    <row r="585" outlineLevel="1" x14ac:dyDescent="0.3"/>
    <row r="586" outlineLevel="1" x14ac:dyDescent="0.3"/>
    <row r="587" outlineLevel="1" x14ac:dyDescent="0.3"/>
    <row r="588" outlineLevel="1" x14ac:dyDescent="0.3"/>
    <row r="589" outlineLevel="1" x14ac:dyDescent="0.3"/>
    <row r="590" outlineLevel="1" x14ac:dyDescent="0.3"/>
    <row r="591" outlineLevel="1" x14ac:dyDescent="0.3"/>
    <row r="592" outlineLevel="1" x14ac:dyDescent="0.3"/>
    <row r="593" outlineLevel="1" x14ac:dyDescent="0.3"/>
    <row r="594" outlineLevel="1" x14ac:dyDescent="0.3"/>
    <row r="595" outlineLevel="1" x14ac:dyDescent="0.3"/>
    <row r="596" outlineLevel="1" x14ac:dyDescent="0.3"/>
    <row r="597" outlineLevel="1" x14ac:dyDescent="0.3"/>
    <row r="598" outlineLevel="1" x14ac:dyDescent="0.3"/>
    <row r="599" outlineLevel="1" x14ac:dyDescent="0.3"/>
    <row r="600" outlineLevel="1" x14ac:dyDescent="0.3"/>
    <row r="601" outlineLevel="1" x14ac:dyDescent="0.3"/>
    <row r="602" outlineLevel="1" x14ac:dyDescent="0.3"/>
    <row r="603" outlineLevel="1" x14ac:dyDescent="0.3"/>
    <row r="604" outlineLevel="1" x14ac:dyDescent="0.3"/>
    <row r="605" outlineLevel="1" x14ac:dyDescent="0.3"/>
    <row r="606" outlineLevel="1" x14ac:dyDescent="0.3"/>
    <row r="607" outlineLevel="1" x14ac:dyDescent="0.3"/>
    <row r="608" outlineLevel="1" x14ac:dyDescent="0.3"/>
    <row r="609" outlineLevel="1" x14ac:dyDescent="0.3"/>
    <row r="610" outlineLevel="1" x14ac:dyDescent="0.3"/>
    <row r="611" outlineLevel="1" x14ac:dyDescent="0.3"/>
    <row r="612" outlineLevel="1" x14ac:dyDescent="0.3"/>
    <row r="613" outlineLevel="1" x14ac:dyDescent="0.3"/>
    <row r="614" outlineLevel="1" x14ac:dyDescent="0.3"/>
    <row r="615" outlineLevel="1" x14ac:dyDescent="0.3"/>
    <row r="616" outlineLevel="1" x14ac:dyDescent="0.3"/>
    <row r="617" outlineLevel="1" x14ac:dyDescent="0.3"/>
    <row r="618" outlineLevel="1" x14ac:dyDescent="0.3"/>
    <row r="619" outlineLevel="1" x14ac:dyDescent="0.3"/>
    <row r="620" outlineLevel="1" x14ac:dyDescent="0.3"/>
    <row r="621" outlineLevel="1" x14ac:dyDescent="0.3"/>
    <row r="622" outlineLevel="1" x14ac:dyDescent="0.3"/>
    <row r="623" outlineLevel="1" x14ac:dyDescent="0.3"/>
    <row r="624" outlineLevel="1" x14ac:dyDescent="0.3"/>
    <row r="625" outlineLevel="1" x14ac:dyDescent="0.3"/>
    <row r="626" outlineLevel="1" x14ac:dyDescent="0.3"/>
    <row r="627" outlineLevel="1" x14ac:dyDescent="0.3"/>
    <row r="628" outlineLevel="1" x14ac:dyDescent="0.3"/>
    <row r="629" outlineLevel="1" x14ac:dyDescent="0.3"/>
    <row r="630" outlineLevel="1" x14ac:dyDescent="0.3"/>
    <row r="631" outlineLevel="1" x14ac:dyDescent="0.3"/>
    <row r="632" outlineLevel="1" x14ac:dyDescent="0.3"/>
    <row r="633" outlineLevel="1" x14ac:dyDescent="0.3"/>
    <row r="634" outlineLevel="1" x14ac:dyDescent="0.3"/>
    <row r="635" outlineLevel="1" x14ac:dyDescent="0.3"/>
    <row r="636" outlineLevel="1" x14ac:dyDescent="0.3"/>
    <row r="637" outlineLevel="1" x14ac:dyDescent="0.3"/>
    <row r="638" outlineLevel="1" x14ac:dyDescent="0.3"/>
    <row r="639" outlineLevel="1" x14ac:dyDescent="0.3"/>
    <row r="640" outlineLevel="1" x14ac:dyDescent="0.3"/>
    <row r="641" outlineLevel="1" x14ac:dyDescent="0.3"/>
    <row r="642" outlineLevel="1" x14ac:dyDescent="0.3"/>
    <row r="643" outlineLevel="1" x14ac:dyDescent="0.3"/>
    <row r="644" outlineLevel="1" x14ac:dyDescent="0.3"/>
    <row r="645" outlineLevel="1" x14ac:dyDescent="0.3"/>
    <row r="646" outlineLevel="1" x14ac:dyDescent="0.3"/>
    <row r="647" outlineLevel="1" x14ac:dyDescent="0.3"/>
    <row r="648" outlineLevel="1" x14ac:dyDescent="0.3"/>
    <row r="649" outlineLevel="1" x14ac:dyDescent="0.3"/>
    <row r="650" outlineLevel="1" x14ac:dyDescent="0.3"/>
    <row r="651" outlineLevel="1" x14ac:dyDescent="0.3"/>
    <row r="652" outlineLevel="1" x14ac:dyDescent="0.3"/>
    <row r="653" outlineLevel="1" x14ac:dyDescent="0.3"/>
    <row r="654" outlineLevel="1" x14ac:dyDescent="0.3"/>
    <row r="655" outlineLevel="1" x14ac:dyDescent="0.3"/>
    <row r="656" outlineLevel="1" x14ac:dyDescent="0.3"/>
    <row r="657" outlineLevel="1" x14ac:dyDescent="0.3"/>
    <row r="658" outlineLevel="1" x14ac:dyDescent="0.3"/>
    <row r="659" outlineLevel="1" x14ac:dyDescent="0.3"/>
    <row r="660" outlineLevel="1" x14ac:dyDescent="0.3"/>
    <row r="661" outlineLevel="1" x14ac:dyDescent="0.3"/>
    <row r="662" outlineLevel="1" x14ac:dyDescent="0.3"/>
    <row r="663" outlineLevel="1" x14ac:dyDescent="0.3"/>
    <row r="664" outlineLevel="1" x14ac:dyDescent="0.3"/>
    <row r="665" outlineLevel="1" x14ac:dyDescent="0.3"/>
    <row r="666" outlineLevel="1" x14ac:dyDescent="0.3"/>
    <row r="667" outlineLevel="1" x14ac:dyDescent="0.3"/>
    <row r="668" outlineLevel="1" x14ac:dyDescent="0.3"/>
    <row r="669" outlineLevel="1" x14ac:dyDescent="0.3"/>
    <row r="670" outlineLevel="1" x14ac:dyDescent="0.3"/>
    <row r="671" outlineLevel="1" x14ac:dyDescent="0.3"/>
    <row r="672" outlineLevel="1" x14ac:dyDescent="0.3"/>
    <row r="673" outlineLevel="1" x14ac:dyDescent="0.3"/>
    <row r="674" outlineLevel="1" x14ac:dyDescent="0.3"/>
    <row r="675" outlineLevel="1" x14ac:dyDescent="0.3"/>
    <row r="676" outlineLevel="1" x14ac:dyDescent="0.3"/>
    <row r="677" outlineLevel="1" x14ac:dyDescent="0.3"/>
    <row r="678" outlineLevel="1" x14ac:dyDescent="0.3"/>
    <row r="679" outlineLevel="1" x14ac:dyDescent="0.3"/>
    <row r="680" outlineLevel="1" x14ac:dyDescent="0.3"/>
    <row r="681" outlineLevel="1" x14ac:dyDescent="0.3"/>
    <row r="682" outlineLevel="1" x14ac:dyDescent="0.3"/>
    <row r="683" outlineLevel="1" x14ac:dyDescent="0.3"/>
    <row r="684" outlineLevel="1" x14ac:dyDescent="0.3"/>
    <row r="685" outlineLevel="1" x14ac:dyDescent="0.3"/>
    <row r="686" outlineLevel="1" x14ac:dyDescent="0.3"/>
    <row r="687" outlineLevel="1" x14ac:dyDescent="0.3"/>
    <row r="688" outlineLevel="1" x14ac:dyDescent="0.3"/>
    <row r="689" outlineLevel="1" x14ac:dyDescent="0.3"/>
    <row r="690" outlineLevel="1" x14ac:dyDescent="0.3"/>
    <row r="691" outlineLevel="1" x14ac:dyDescent="0.3"/>
    <row r="692" outlineLevel="1" x14ac:dyDescent="0.3"/>
    <row r="693" outlineLevel="1" x14ac:dyDescent="0.3"/>
    <row r="694" outlineLevel="1" x14ac:dyDescent="0.3"/>
    <row r="695" outlineLevel="1" x14ac:dyDescent="0.3"/>
    <row r="696" outlineLevel="1" x14ac:dyDescent="0.3"/>
    <row r="697" outlineLevel="1" x14ac:dyDescent="0.3"/>
    <row r="698" outlineLevel="1" x14ac:dyDescent="0.3"/>
    <row r="699" outlineLevel="1" x14ac:dyDescent="0.3"/>
    <row r="700" outlineLevel="1" x14ac:dyDescent="0.3"/>
    <row r="701" outlineLevel="1" x14ac:dyDescent="0.3"/>
    <row r="702" outlineLevel="1" x14ac:dyDescent="0.3"/>
    <row r="703" outlineLevel="1" x14ac:dyDescent="0.3"/>
    <row r="704" outlineLevel="1" x14ac:dyDescent="0.3"/>
    <row r="705" outlineLevel="1" x14ac:dyDescent="0.3"/>
    <row r="706" outlineLevel="1" x14ac:dyDescent="0.3"/>
    <row r="707" outlineLevel="1" x14ac:dyDescent="0.3"/>
    <row r="708" outlineLevel="1" x14ac:dyDescent="0.3"/>
    <row r="709" outlineLevel="1" x14ac:dyDescent="0.3"/>
    <row r="710" outlineLevel="1" x14ac:dyDescent="0.3"/>
    <row r="711" outlineLevel="1" x14ac:dyDescent="0.3"/>
    <row r="712" outlineLevel="1" x14ac:dyDescent="0.3"/>
    <row r="713" outlineLevel="1" x14ac:dyDescent="0.3"/>
    <row r="714" outlineLevel="1" x14ac:dyDescent="0.3"/>
    <row r="715" outlineLevel="1" x14ac:dyDescent="0.3"/>
    <row r="716" outlineLevel="1" x14ac:dyDescent="0.3"/>
    <row r="717" outlineLevel="1" x14ac:dyDescent="0.3"/>
    <row r="718" outlineLevel="1" x14ac:dyDescent="0.3"/>
    <row r="719" outlineLevel="1" x14ac:dyDescent="0.3"/>
    <row r="720" outlineLevel="1" x14ac:dyDescent="0.3"/>
    <row r="721" outlineLevel="1" x14ac:dyDescent="0.3"/>
    <row r="722" outlineLevel="1" x14ac:dyDescent="0.3"/>
    <row r="723" outlineLevel="1" x14ac:dyDescent="0.3"/>
    <row r="724" outlineLevel="1" x14ac:dyDescent="0.3"/>
    <row r="725" outlineLevel="1" x14ac:dyDescent="0.3"/>
    <row r="726" outlineLevel="1" x14ac:dyDescent="0.3"/>
    <row r="727" outlineLevel="1" x14ac:dyDescent="0.3"/>
    <row r="728" outlineLevel="1" x14ac:dyDescent="0.3"/>
    <row r="729" outlineLevel="1" x14ac:dyDescent="0.3"/>
    <row r="730" outlineLevel="1" x14ac:dyDescent="0.3"/>
    <row r="731" outlineLevel="1" x14ac:dyDescent="0.3"/>
    <row r="732" outlineLevel="1" x14ac:dyDescent="0.3"/>
    <row r="733" outlineLevel="1" x14ac:dyDescent="0.3"/>
    <row r="734" outlineLevel="1" x14ac:dyDescent="0.3"/>
    <row r="735" outlineLevel="1" x14ac:dyDescent="0.3"/>
    <row r="736" outlineLevel="1" x14ac:dyDescent="0.3"/>
    <row r="737" outlineLevel="1" x14ac:dyDescent="0.3"/>
    <row r="738" outlineLevel="1" x14ac:dyDescent="0.3"/>
    <row r="739" outlineLevel="1" x14ac:dyDescent="0.3"/>
    <row r="740" outlineLevel="1" x14ac:dyDescent="0.3"/>
    <row r="741" outlineLevel="1" x14ac:dyDescent="0.3"/>
    <row r="742" outlineLevel="1" x14ac:dyDescent="0.3"/>
    <row r="743" outlineLevel="1" x14ac:dyDescent="0.3"/>
    <row r="744" outlineLevel="1" x14ac:dyDescent="0.3"/>
    <row r="745" outlineLevel="1" x14ac:dyDescent="0.3"/>
    <row r="746" outlineLevel="1" x14ac:dyDescent="0.3"/>
    <row r="747" outlineLevel="1" x14ac:dyDescent="0.3"/>
    <row r="748" outlineLevel="1" x14ac:dyDescent="0.3"/>
    <row r="749" outlineLevel="1" x14ac:dyDescent="0.3"/>
    <row r="750" outlineLevel="1" x14ac:dyDescent="0.3"/>
    <row r="751" outlineLevel="1" x14ac:dyDescent="0.3"/>
    <row r="752" outlineLevel="1" x14ac:dyDescent="0.3"/>
    <row r="753" outlineLevel="1" x14ac:dyDescent="0.3"/>
    <row r="754" outlineLevel="1" x14ac:dyDescent="0.3"/>
    <row r="755" outlineLevel="1" x14ac:dyDescent="0.3"/>
    <row r="756" outlineLevel="1" x14ac:dyDescent="0.3"/>
    <row r="757" outlineLevel="1" x14ac:dyDescent="0.3"/>
    <row r="758" outlineLevel="1" x14ac:dyDescent="0.3"/>
    <row r="759" outlineLevel="1" x14ac:dyDescent="0.3"/>
    <row r="760" outlineLevel="1" x14ac:dyDescent="0.3"/>
    <row r="761" outlineLevel="1" x14ac:dyDescent="0.3"/>
    <row r="762" outlineLevel="1" x14ac:dyDescent="0.3"/>
    <row r="763" outlineLevel="1" x14ac:dyDescent="0.3"/>
    <row r="764" outlineLevel="1" x14ac:dyDescent="0.3"/>
    <row r="765" outlineLevel="1" x14ac:dyDescent="0.3"/>
    <row r="766" outlineLevel="1" x14ac:dyDescent="0.3"/>
    <row r="767" outlineLevel="1" x14ac:dyDescent="0.3"/>
    <row r="768" outlineLevel="1" x14ac:dyDescent="0.3"/>
    <row r="769" outlineLevel="1" x14ac:dyDescent="0.3"/>
    <row r="770" outlineLevel="1" x14ac:dyDescent="0.3"/>
    <row r="771" outlineLevel="1" x14ac:dyDescent="0.3"/>
    <row r="772" outlineLevel="1" x14ac:dyDescent="0.3"/>
    <row r="773" outlineLevel="1" x14ac:dyDescent="0.3"/>
    <row r="774" outlineLevel="1" x14ac:dyDescent="0.3"/>
    <row r="775" outlineLevel="1" x14ac:dyDescent="0.3"/>
    <row r="776" outlineLevel="1" x14ac:dyDescent="0.3"/>
    <row r="777" outlineLevel="1" x14ac:dyDescent="0.3"/>
    <row r="778" outlineLevel="1" x14ac:dyDescent="0.3"/>
    <row r="779" outlineLevel="1" x14ac:dyDescent="0.3"/>
    <row r="780" outlineLevel="1" x14ac:dyDescent="0.3"/>
    <row r="781" outlineLevel="1" x14ac:dyDescent="0.3"/>
    <row r="782" outlineLevel="1" x14ac:dyDescent="0.3"/>
    <row r="783" outlineLevel="1" x14ac:dyDescent="0.3"/>
    <row r="784" outlineLevel="1" x14ac:dyDescent="0.3"/>
    <row r="785" outlineLevel="1" x14ac:dyDescent="0.3"/>
    <row r="786" outlineLevel="1" x14ac:dyDescent="0.3"/>
    <row r="787" outlineLevel="1" x14ac:dyDescent="0.3"/>
    <row r="788" outlineLevel="1" x14ac:dyDescent="0.3"/>
    <row r="789" outlineLevel="1" x14ac:dyDescent="0.3"/>
    <row r="790" outlineLevel="1" x14ac:dyDescent="0.3"/>
    <row r="791" outlineLevel="1" x14ac:dyDescent="0.3"/>
    <row r="792" outlineLevel="1" x14ac:dyDescent="0.3"/>
    <row r="793" outlineLevel="1" x14ac:dyDescent="0.3"/>
    <row r="794" outlineLevel="1" x14ac:dyDescent="0.3"/>
    <row r="795" outlineLevel="1" x14ac:dyDescent="0.3"/>
    <row r="796" outlineLevel="1" x14ac:dyDescent="0.3"/>
    <row r="797" outlineLevel="1" x14ac:dyDescent="0.3"/>
    <row r="798" outlineLevel="1" x14ac:dyDescent="0.3"/>
    <row r="799" outlineLevel="1" x14ac:dyDescent="0.3"/>
    <row r="800" outlineLevel="1" x14ac:dyDescent="0.3"/>
    <row r="801" outlineLevel="1" x14ac:dyDescent="0.3"/>
    <row r="802" outlineLevel="1" x14ac:dyDescent="0.3"/>
    <row r="803" outlineLevel="1" x14ac:dyDescent="0.3"/>
    <row r="804" outlineLevel="1" x14ac:dyDescent="0.3"/>
    <row r="805" outlineLevel="1" x14ac:dyDescent="0.3"/>
    <row r="806" outlineLevel="1" x14ac:dyDescent="0.3"/>
    <row r="807" outlineLevel="1" x14ac:dyDescent="0.3"/>
    <row r="808" outlineLevel="1" x14ac:dyDescent="0.3"/>
    <row r="809" outlineLevel="1" x14ac:dyDescent="0.3"/>
    <row r="810" outlineLevel="1" x14ac:dyDescent="0.3"/>
    <row r="811" outlineLevel="1" x14ac:dyDescent="0.3"/>
    <row r="812" outlineLevel="1" x14ac:dyDescent="0.3"/>
    <row r="813" outlineLevel="1" x14ac:dyDescent="0.3"/>
    <row r="814" outlineLevel="1" x14ac:dyDescent="0.3"/>
    <row r="815" outlineLevel="1" x14ac:dyDescent="0.3"/>
    <row r="816" outlineLevel="1" x14ac:dyDescent="0.3"/>
    <row r="817" outlineLevel="1" x14ac:dyDescent="0.3"/>
    <row r="818" outlineLevel="1" x14ac:dyDescent="0.3"/>
    <row r="819" outlineLevel="1" x14ac:dyDescent="0.3"/>
    <row r="820" outlineLevel="1" x14ac:dyDescent="0.3"/>
    <row r="821" outlineLevel="1" x14ac:dyDescent="0.3"/>
    <row r="822" outlineLevel="1" x14ac:dyDescent="0.3"/>
    <row r="823" outlineLevel="1" x14ac:dyDescent="0.3"/>
    <row r="824" outlineLevel="1" x14ac:dyDescent="0.3"/>
    <row r="825" outlineLevel="1" x14ac:dyDescent="0.3"/>
    <row r="826" outlineLevel="1" x14ac:dyDescent="0.3"/>
    <row r="827" outlineLevel="1" x14ac:dyDescent="0.3"/>
    <row r="828" outlineLevel="1" x14ac:dyDescent="0.3"/>
    <row r="829" outlineLevel="1" x14ac:dyDescent="0.3"/>
    <row r="830" outlineLevel="1" x14ac:dyDescent="0.3"/>
    <row r="831" outlineLevel="1" x14ac:dyDescent="0.3"/>
    <row r="832" outlineLevel="1" x14ac:dyDescent="0.3"/>
    <row r="833" outlineLevel="1" x14ac:dyDescent="0.3"/>
    <row r="834" outlineLevel="1" x14ac:dyDescent="0.3"/>
    <row r="835" outlineLevel="1" x14ac:dyDescent="0.3"/>
    <row r="836" outlineLevel="1" x14ac:dyDescent="0.3"/>
    <row r="837" outlineLevel="1" x14ac:dyDescent="0.3"/>
    <row r="838" outlineLevel="1" x14ac:dyDescent="0.3"/>
    <row r="839" outlineLevel="1" x14ac:dyDescent="0.3"/>
    <row r="840" outlineLevel="1" x14ac:dyDescent="0.3"/>
    <row r="841" outlineLevel="1" x14ac:dyDescent="0.3"/>
    <row r="842" outlineLevel="1" x14ac:dyDescent="0.3"/>
    <row r="843" outlineLevel="1" x14ac:dyDescent="0.3"/>
    <row r="844" outlineLevel="1" x14ac:dyDescent="0.3"/>
    <row r="845" outlineLevel="1" x14ac:dyDescent="0.3"/>
    <row r="846" outlineLevel="1" x14ac:dyDescent="0.3"/>
    <row r="847" outlineLevel="1" x14ac:dyDescent="0.3"/>
    <row r="848" outlineLevel="1" x14ac:dyDescent="0.3"/>
    <row r="849" outlineLevel="1" x14ac:dyDescent="0.3"/>
    <row r="850" outlineLevel="1" x14ac:dyDescent="0.3"/>
    <row r="851" outlineLevel="1" x14ac:dyDescent="0.3"/>
    <row r="852" outlineLevel="1" x14ac:dyDescent="0.3"/>
    <row r="853" outlineLevel="1" x14ac:dyDescent="0.3"/>
    <row r="854" outlineLevel="1" x14ac:dyDescent="0.3"/>
    <row r="855" outlineLevel="1" x14ac:dyDescent="0.3"/>
    <row r="856" outlineLevel="1" x14ac:dyDescent="0.3"/>
    <row r="857" outlineLevel="1" x14ac:dyDescent="0.3"/>
    <row r="858" outlineLevel="1" x14ac:dyDescent="0.3"/>
    <row r="859" outlineLevel="1" x14ac:dyDescent="0.3"/>
    <row r="860" outlineLevel="1" x14ac:dyDescent="0.3"/>
    <row r="861" outlineLevel="1" x14ac:dyDescent="0.3"/>
    <row r="862" outlineLevel="1" x14ac:dyDescent="0.3"/>
    <row r="863" outlineLevel="1" x14ac:dyDescent="0.3"/>
    <row r="864" outlineLevel="1" x14ac:dyDescent="0.3"/>
    <row r="865" outlineLevel="1" x14ac:dyDescent="0.3"/>
    <row r="866" outlineLevel="1" x14ac:dyDescent="0.3"/>
    <row r="867" outlineLevel="1" x14ac:dyDescent="0.3"/>
    <row r="868" outlineLevel="1" x14ac:dyDescent="0.3"/>
    <row r="869" outlineLevel="1" x14ac:dyDescent="0.3"/>
    <row r="870" outlineLevel="1" x14ac:dyDescent="0.3"/>
    <row r="871" outlineLevel="1" x14ac:dyDescent="0.3"/>
    <row r="872" outlineLevel="1" x14ac:dyDescent="0.3"/>
    <row r="873" outlineLevel="1" x14ac:dyDescent="0.3"/>
    <row r="874" outlineLevel="1" x14ac:dyDescent="0.3"/>
    <row r="875" outlineLevel="1" x14ac:dyDescent="0.3"/>
    <row r="876" outlineLevel="1" x14ac:dyDescent="0.3"/>
    <row r="877" outlineLevel="1" x14ac:dyDescent="0.3"/>
    <row r="878" outlineLevel="1" x14ac:dyDescent="0.3"/>
    <row r="879" outlineLevel="1" x14ac:dyDescent="0.3"/>
    <row r="880" outlineLevel="1" x14ac:dyDescent="0.3"/>
    <row r="881" outlineLevel="1" x14ac:dyDescent="0.3"/>
    <row r="882" outlineLevel="1" x14ac:dyDescent="0.3"/>
    <row r="883" outlineLevel="1" x14ac:dyDescent="0.3"/>
    <row r="884" outlineLevel="1" x14ac:dyDescent="0.3"/>
    <row r="885" outlineLevel="1" x14ac:dyDescent="0.3"/>
    <row r="886" outlineLevel="1" x14ac:dyDescent="0.3"/>
    <row r="887" outlineLevel="1" x14ac:dyDescent="0.3"/>
    <row r="888" outlineLevel="1" x14ac:dyDescent="0.3"/>
    <row r="889" outlineLevel="1" x14ac:dyDescent="0.3"/>
    <row r="890" outlineLevel="1" x14ac:dyDescent="0.3"/>
    <row r="891" outlineLevel="1" x14ac:dyDescent="0.3"/>
    <row r="892" outlineLevel="1" x14ac:dyDescent="0.3"/>
    <row r="893" outlineLevel="1" x14ac:dyDescent="0.3"/>
    <row r="894" outlineLevel="1" x14ac:dyDescent="0.3"/>
    <row r="895" outlineLevel="1" x14ac:dyDescent="0.3"/>
    <row r="896" outlineLevel="1" x14ac:dyDescent="0.3"/>
    <row r="897" outlineLevel="1" x14ac:dyDescent="0.3"/>
    <row r="898" outlineLevel="1" x14ac:dyDescent="0.3"/>
    <row r="899" outlineLevel="1" x14ac:dyDescent="0.3"/>
    <row r="900" outlineLevel="1" x14ac:dyDescent="0.3"/>
    <row r="901" outlineLevel="1" x14ac:dyDescent="0.3"/>
    <row r="902" outlineLevel="1" x14ac:dyDescent="0.3"/>
    <row r="903" outlineLevel="1" x14ac:dyDescent="0.3"/>
    <row r="904" outlineLevel="1" x14ac:dyDescent="0.3"/>
    <row r="905" outlineLevel="1" x14ac:dyDescent="0.3"/>
    <row r="906" outlineLevel="1" x14ac:dyDescent="0.3"/>
    <row r="907" outlineLevel="1" x14ac:dyDescent="0.3"/>
    <row r="908" outlineLevel="1" x14ac:dyDescent="0.3"/>
    <row r="909" outlineLevel="1" x14ac:dyDescent="0.3"/>
    <row r="910" outlineLevel="1" x14ac:dyDescent="0.3"/>
    <row r="911" outlineLevel="1" x14ac:dyDescent="0.3"/>
    <row r="912" outlineLevel="1" x14ac:dyDescent="0.3"/>
    <row r="913" outlineLevel="1" x14ac:dyDescent="0.3"/>
    <row r="914" outlineLevel="1" x14ac:dyDescent="0.3"/>
    <row r="915" outlineLevel="1" x14ac:dyDescent="0.3"/>
    <row r="916" outlineLevel="1" x14ac:dyDescent="0.3"/>
    <row r="917" outlineLevel="1" x14ac:dyDescent="0.3"/>
    <row r="918" outlineLevel="1" x14ac:dyDescent="0.3"/>
    <row r="919" outlineLevel="1" x14ac:dyDescent="0.3"/>
    <row r="920" outlineLevel="1" x14ac:dyDescent="0.3"/>
    <row r="921" outlineLevel="1" x14ac:dyDescent="0.3"/>
    <row r="922" outlineLevel="1" x14ac:dyDescent="0.3"/>
    <row r="923" outlineLevel="1" x14ac:dyDescent="0.3"/>
    <row r="924" outlineLevel="1" x14ac:dyDescent="0.3"/>
    <row r="925" outlineLevel="1" x14ac:dyDescent="0.3"/>
    <row r="926" outlineLevel="1" x14ac:dyDescent="0.3"/>
    <row r="927" outlineLevel="1" x14ac:dyDescent="0.3"/>
    <row r="928" outlineLevel="1" x14ac:dyDescent="0.3"/>
    <row r="929" outlineLevel="1" x14ac:dyDescent="0.3"/>
    <row r="930" outlineLevel="1" x14ac:dyDescent="0.3"/>
    <row r="931" outlineLevel="1" x14ac:dyDescent="0.3"/>
    <row r="932" outlineLevel="1" x14ac:dyDescent="0.3"/>
    <row r="933" outlineLevel="1" x14ac:dyDescent="0.3"/>
    <row r="934" outlineLevel="1" x14ac:dyDescent="0.3"/>
    <row r="935" outlineLevel="1" x14ac:dyDescent="0.3"/>
    <row r="936" outlineLevel="1" x14ac:dyDescent="0.3"/>
    <row r="937" outlineLevel="1" x14ac:dyDescent="0.3"/>
    <row r="938" outlineLevel="1" x14ac:dyDescent="0.3"/>
    <row r="939" outlineLevel="1" x14ac:dyDescent="0.3"/>
    <row r="940" outlineLevel="1" x14ac:dyDescent="0.3"/>
    <row r="941" outlineLevel="1" x14ac:dyDescent="0.3"/>
    <row r="942" outlineLevel="1" x14ac:dyDescent="0.3"/>
    <row r="943" outlineLevel="1" x14ac:dyDescent="0.3"/>
    <row r="944" outlineLevel="1" x14ac:dyDescent="0.3"/>
    <row r="945" outlineLevel="1" x14ac:dyDescent="0.3"/>
    <row r="946" outlineLevel="1" x14ac:dyDescent="0.3"/>
    <row r="947" outlineLevel="1" x14ac:dyDescent="0.3"/>
    <row r="948" outlineLevel="1" x14ac:dyDescent="0.3"/>
    <row r="949" outlineLevel="1" x14ac:dyDescent="0.3"/>
    <row r="950" outlineLevel="1" x14ac:dyDescent="0.3"/>
    <row r="951" outlineLevel="1" x14ac:dyDescent="0.3"/>
    <row r="952" outlineLevel="1" x14ac:dyDescent="0.3"/>
    <row r="953" outlineLevel="1" x14ac:dyDescent="0.3"/>
    <row r="954" outlineLevel="1" x14ac:dyDescent="0.3"/>
    <row r="955" outlineLevel="1" x14ac:dyDescent="0.3"/>
    <row r="956" outlineLevel="1" x14ac:dyDescent="0.3"/>
    <row r="957" outlineLevel="1" x14ac:dyDescent="0.3"/>
    <row r="958" outlineLevel="1" x14ac:dyDescent="0.3"/>
    <row r="959" outlineLevel="1" x14ac:dyDescent="0.3"/>
    <row r="960" outlineLevel="1" x14ac:dyDescent="0.3"/>
    <row r="961" outlineLevel="1" x14ac:dyDescent="0.3"/>
    <row r="962" outlineLevel="1" x14ac:dyDescent="0.3"/>
    <row r="963" outlineLevel="1" x14ac:dyDescent="0.3"/>
    <row r="964" outlineLevel="1" x14ac:dyDescent="0.3"/>
    <row r="965" outlineLevel="1" x14ac:dyDescent="0.3"/>
    <row r="966" outlineLevel="1" x14ac:dyDescent="0.3"/>
    <row r="967" outlineLevel="1" x14ac:dyDescent="0.3"/>
    <row r="968" outlineLevel="1" x14ac:dyDescent="0.3"/>
    <row r="969" outlineLevel="1" x14ac:dyDescent="0.3"/>
    <row r="970" outlineLevel="1" x14ac:dyDescent="0.3"/>
    <row r="971" outlineLevel="1" x14ac:dyDescent="0.3"/>
    <row r="972" outlineLevel="1" x14ac:dyDescent="0.3"/>
    <row r="973" outlineLevel="1" x14ac:dyDescent="0.3"/>
    <row r="974" outlineLevel="1" x14ac:dyDescent="0.3"/>
    <row r="975" outlineLevel="1" x14ac:dyDescent="0.3"/>
    <row r="976" outlineLevel="1" x14ac:dyDescent="0.3"/>
    <row r="977" outlineLevel="1" x14ac:dyDescent="0.3"/>
    <row r="978" outlineLevel="1" x14ac:dyDescent="0.3"/>
    <row r="979" outlineLevel="1" x14ac:dyDescent="0.3"/>
    <row r="980" outlineLevel="1" x14ac:dyDescent="0.3"/>
    <row r="981" outlineLevel="1" x14ac:dyDescent="0.3"/>
    <row r="982" outlineLevel="1" x14ac:dyDescent="0.3"/>
    <row r="983" outlineLevel="1" x14ac:dyDescent="0.3"/>
    <row r="984" outlineLevel="1" x14ac:dyDescent="0.3"/>
    <row r="985" outlineLevel="1" x14ac:dyDescent="0.3"/>
    <row r="986" outlineLevel="1" x14ac:dyDescent="0.3"/>
    <row r="987" outlineLevel="1" x14ac:dyDescent="0.3"/>
    <row r="988" outlineLevel="1" x14ac:dyDescent="0.3"/>
    <row r="989" outlineLevel="1" x14ac:dyDescent="0.3"/>
    <row r="990" outlineLevel="1" x14ac:dyDescent="0.3"/>
    <row r="991" outlineLevel="1" x14ac:dyDescent="0.3"/>
    <row r="992" outlineLevel="1" x14ac:dyDescent="0.3"/>
    <row r="993" outlineLevel="1" x14ac:dyDescent="0.3"/>
    <row r="994" outlineLevel="1" x14ac:dyDescent="0.3"/>
    <row r="995" outlineLevel="1" x14ac:dyDescent="0.3"/>
    <row r="996" outlineLevel="1" x14ac:dyDescent="0.3"/>
    <row r="997" outlineLevel="1" x14ac:dyDescent="0.3"/>
    <row r="998" outlineLevel="1" x14ac:dyDescent="0.3"/>
    <row r="999" outlineLevel="1" x14ac:dyDescent="0.3"/>
    <row r="1000" outlineLevel="1" x14ac:dyDescent="0.3"/>
    <row r="1001" outlineLevel="1" x14ac:dyDescent="0.3"/>
    <row r="1002" outlineLevel="1" x14ac:dyDescent="0.3"/>
    <row r="1003" outlineLevel="1" x14ac:dyDescent="0.3"/>
    <row r="1004" outlineLevel="1" x14ac:dyDescent="0.3"/>
    <row r="1005" outlineLevel="1" x14ac:dyDescent="0.3"/>
    <row r="1006" outlineLevel="1" x14ac:dyDescent="0.3"/>
    <row r="1007" outlineLevel="1" x14ac:dyDescent="0.3"/>
    <row r="1008" outlineLevel="1" x14ac:dyDescent="0.3"/>
    <row r="1009" outlineLevel="1" x14ac:dyDescent="0.3"/>
    <row r="1010" outlineLevel="1" x14ac:dyDescent="0.3"/>
    <row r="1011" outlineLevel="1" x14ac:dyDescent="0.3"/>
    <row r="1012" outlineLevel="1" x14ac:dyDescent="0.3"/>
    <row r="1013" outlineLevel="1" x14ac:dyDescent="0.3"/>
    <row r="1014" outlineLevel="1" x14ac:dyDescent="0.3"/>
    <row r="1015" outlineLevel="1" x14ac:dyDescent="0.3"/>
    <row r="1016" outlineLevel="1" x14ac:dyDescent="0.3"/>
    <row r="1017" outlineLevel="1" x14ac:dyDescent="0.3"/>
    <row r="1018" outlineLevel="1" x14ac:dyDescent="0.3"/>
    <row r="1019" outlineLevel="1" x14ac:dyDescent="0.3"/>
    <row r="1020" outlineLevel="1" x14ac:dyDescent="0.3"/>
    <row r="1021" outlineLevel="1" x14ac:dyDescent="0.3"/>
    <row r="1022" outlineLevel="1" x14ac:dyDescent="0.3"/>
    <row r="1023" outlineLevel="1" x14ac:dyDescent="0.3"/>
    <row r="1024" outlineLevel="1" x14ac:dyDescent="0.3"/>
    <row r="1025" outlineLevel="1" x14ac:dyDescent="0.3"/>
    <row r="1026" outlineLevel="1" x14ac:dyDescent="0.3"/>
    <row r="1027" outlineLevel="1" x14ac:dyDescent="0.3"/>
    <row r="1028" outlineLevel="1" x14ac:dyDescent="0.3"/>
    <row r="1029" outlineLevel="1" x14ac:dyDescent="0.3"/>
    <row r="1030" outlineLevel="1" x14ac:dyDescent="0.3"/>
    <row r="1031" outlineLevel="1" x14ac:dyDescent="0.3"/>
    <row r="1032" outlineLevel="1" x14ac:dyDescent="0.3"/>
    <row r="1033" outlineLevel="1" x14ac:dyDescent="0.3"/>
    <row r="1034" outlineLevel="1" x14ac:dyDescent="0.3"/>
    <row r="1035" outlineLevel="1" x14ac:dyDescent="0.3"/>
    <row r="1036" outlineLevel="1" x14ac:dyDescent="0.3"/>
    <row r="1037" outlineLevel="1" x14ac:dyDescent="0.3"/>
    <row r="1038" outlineLevel="1" x14ac:dyDescent="0.3"/>
    <row r="1039" outlineLevel="1" x14ac:dyDescent="0.3"/>
    <row r="1040" outlineLevel="1" x14ac:dyDescent="0.3"/>
    <row r="1041" outlineLevel="1" x14ac:dyDescent="0.3"/>
    <row r="1042" outlineLevel="1" x14ac:dyDescent="0.3"/>
    <row r="1043" outlineLevel="1" x14ac:dyDescent="0.3"/>
    <row r="1044" outlineLevel="1" x14ac:dyDescent="0.3"/>
    <row r="1045" outlineLevel="1" x14ac:dyDescent="0.3"/>
    <row r="1046" outlineLevel="1" x14ac:dyDescent="0.3"/>
    <row r="1047" outlineLevel="1" x14ac:dyDescent="0.3"/>
    <row r="1048" outlineLevel="1" x14ac:dyDescent="0.3"/>
    <row r="1049" outlineLevel="1" x14ac:dyDescent="0.3"/>
    <row r="1050" outlineLevel="1" x14ac:dyDescent="0.3"/>
    <row r="1051" outlineLevel="1" x14ac:dyDescent="0.3"/>
    <row r="1052" outlineLevel="1" x14ac:dyDescent="0.3"/>
    <row r="1053" outlineLevel="1" x14ac:dyDescent="0.3"/>
    <row r="1054" outlineLevel="1" x14ac:dyDescent="0.3"/>
    <row r="1055" outlineLevel="1" x14ac:dyDescent="0.3"/>
    <row r="1056" outlineLevel="1" x14ac:dyDescent="0.3"/>
    <row r="1057" outlineLevel="1" x14ac:dyDescent="0.3"/>
    <row r="1058" outlineLevel="1" x14ac:dyDescent="0.3"/>
    <row r="1059" outlineLevel="1" x14ac:dyDescent="0.3"/>
    <row r="1060" outlineLevel="1" x14ac:dyDescent="0.3"/>
    <row r="1061" outlineLevel="1" x14ac:dyDescent="0.3"/>
    <row r="1062" outlineLevel="1" x14ac:dyDescent="0.3"/>
    <row r="1063" outlineLevel="1" x14ac:dyDescent="0.3"/>
    <row r="1064" outlineLevel="1" x14ac:dyDescent="0.3"/>
    <row r="1065" outlineLevel="1" x14ac:dyDescent="0.3"/>
    <row r="1066" outlineLevel="1" x14ac:dyDescent="0.3"/>
    <row r="1067" outlineLevel="1" x14ac:dyDescent="0.3"/>
    <row r="1068" outlineLevel="1" x14ac:dyDescent="0.3"/>
    <row r="1069" outlineLevel="1" x14ac:dyDescent="0.3"/>
    <row r="1070" outlineLevel="1" x14ac:dyDescent="0.3"/>
    <row r="1071" outlineLevel="1" x14ac:dyDescent="0.3"/>
    <row r="1072" outlineLevel="1" x14ac:dyDescent="0.3"/>
    <row r="1073" outlineLevel="1" x14ac:dyDescent="0.3"/>
    <row r="1074" outlineLevel="1" x14ac:dyDescent="0.3"/>
    <row r="1075" outlineLevel="1" x14ac:dyDescent="0.3"/>
    <row r="1076" outlineLevel="1" x14ac:dyDescent="0.3"/>
    <row r="1077" outlineLevel="1" x14ac:dyDescent="0.3"/>
    <row r="1078" outlineLevel="1" x14ac:dyDescent="0.3"/>
    <row r="1079" outlineLevel="1" x14ac:dyDescent="0.3"/>
    <row r="1080" outlineLevel="1" x14ac:dyDescent="0.3"/>
    <row r="1081" outlineLevel="1" x14ac:dyDescent="0.3"/>
    <row r="1082" outlineLevel="1" x14ac:dyDescent="0.3"/>
    <row r="1083" outlineLevel="1" x14ac:dyDescent="0.3"/>
    <row r="1084" outlineLevel="1" x14ac:dyDescent="0.3"/>
    <row r="1085" outlineLevel="1" x14ac:dyDescent="0.3"/>
    <row r="1086" outlineLevel="1" x14ac:dyDescent="0.3"/>
    <row r="1087" outlineLevel="1" x14ac:dyDescent="0.3"/>
    <row r="1088" outlineLevel="1" x14ac:dyDescent="0.3"/>
    <row r="1089" outlineLevel="1" x14ac:dyDescent="0.3"/>
    <row r="1090" outlineLevel="1" x14ac:dyDescent="0.3"/>
    <row r="1091" outlineLevel="1" x14ac:dyDescent="0.3"/>
    <row r="1092" outlineLevel="1" x14ac:dyDescent="0.3"/>
    <row r="1093" outlineLevel="1" x14ac:dyDescent="0.3"/>
    <row r="1094" outlineLevel="1" x14ac:dyDescent="0.3"/>
    <row r="1095" outlineLevel="1" x14ac:dyDescent="0.3"/>
    <row r="1096" outlineLevel="1" x14ac:dyDescent="0.3"/>
    <row r="1097" outlineLevel="1" x14ac:dyDescent="0.3"/>
    <row r="1098" outlineLevel="1" x14ac:dyDescent="0.3"/>
    <row r="1099" outlineLevel="1" x14ac:dyDescent="0.3"/>
    <row r="1100" outlineLevel="1" x14ac:dyDescent="0.3"/>
    <row r="1101" outlineLevel="1" x14ac:dyDescent="0.3"/>
    <row r="1102" outlineLevel="1" x14ac:dyDescent="0.3"/>
    <row r="1103" outlineLevel="1" x14ac:dyDescent="0.3"/>
    <row r="1104" outlineLevel="1" x14ac:dyDescent="0.3"/>
    <row r="1105" outlineLevel="1" x14ac:dyDescent="0.3"/>
    <row r="1106" outlineLevel="1" x14ac:dyDescent="0.3"/>
    <row r="1107" outlineLevel="1" x14ac:dyDescent="0.3"/>
    <row r="1108" outlineLevel="1" x14ac:dyDescent="0.3"/>
    <row r="1109" outlineLevel="1" x14ac:dyDescent="0.3"/>
    <row r="1110" outlineLevel="1" x14ac:dyDescent="0.3"/>
    <row r="1111" outlineLevel="1" x14ac:dyDescent="0.3"/>
    <row r="1112" outlineLevel="1" x14ac:dyDescent="0.3"/>
    <row r="1113" outlineLevel="1" x14ac:dyDescent="0.3"/>
    <row r="1114" outlineLevel="1" x14ac:dyDescent="0.3"/>
    <row r="1115" outlineLevel="1" x14ac:dyDescent="0.3"/>
    <row r="1116" outlineLevel="1" x14ac:dyDescent="0.3"/>
    <row r="1117" outlineLevel="1" x14ac:dyDescent="0.3"/>
    <row r="1118" outlineLevel="1" x14ac:dyDescent="0.3"/>
    <row r="1119" outlineLevel="1" x14ac:dyDescent="0.3"/>
    <row r="1120" outlineLevel="1" x14ac:dyDescent="0.3"/>
    <row r="1121" outlineLevel="1" x14ac:dyDescent="0.3"/>
    <row r="1122" outlineLevel="1" x14ac:dyDescent="0.3"/>
    <row r="1123" outlineLevel="1" x14ac:dyDescent="0.3"/>
    <row r="1124" outlineLevel="1" x14ac:dyDescent="0.3"/>
    <row r="1125" outlineLevel="1" x14ac:dyDescent="0.3"/>
    <row r="1126" outlineLevel="1" x14ac:dyDescent="0.3"/>
    <row r="1127" outlineLevel="1" x14ac:dyDescent="0.3"/>
    <row r="1128" outlineLevel="1" x14ac:dyDescent="0.3"/>
    <row r="1129" outlineLevel="1" x14ac:dyDescent="0.3"/>
    <row r="1130" outlineLevel="1" x14ac:dyDescent="0.3"/>
    <row r="1131" outlineLevel="1" x14ac:dyDescent="0.3"/>
    <row r="1132" outlineLevel="1" x14ac:dyDescent="0.3"/>
    <row r="1133" outlineLevel="1" x14ac:dyDescent="0.3"/>
    <row r="1134" outlineLevel="1" x14ac:dyDescent="0.3"/>
    <row r="1135" outlineLevel="1" x14ac:dyDescent="0.3"/>
    <row r="1136" outlineLevel="1" x14ac:dyDescent="0.3"/>
    <row r="1137" spans="2:13" outlineLevel="1" x14ac:dyDescent="0.3">
      <c r="B1137" s="112" t="s">
        <v>832</v>
      </c>
      <c r="M1137" s="86">
        <f>SUBTOTAL(9,M2:M1136)</f>
        <v>19580.924599999995</v>
      </c>
    </row>
  </sheetData>
  <sortState ref="A3:U251">
    <sortCondition ref="A3:A251"/>
    <sortCondition ref="B3:B251"/>
    <sortCondition ref="C3:C251"/>
    <sortCondition ref="D3:D251"/>
    <sortCondition ref="E3:E251"/>
  </sortState>
  <hyperlinks>
    <hyperlink ref="O64" r:id="rId1" display="http://144.75.179.112/"/>
  </hyperlinks>
  <pageMargins left="0.7" right="0.7" top="0.75" bottom="0.75" header="0.3" footer="0.3"/>
  <pageSetup paperSize="5" scale="95" orientation="landscape" r:id="rId2"/>
  <cellWatches>
    <cellWatch r="R2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0"/>
  <sheetViews>
    <sheetView workbookViewId="0">
      <selection activeCell="A3" sqref="A3"/>
    </sheetView>
  </sheetViews>
  <sheetFormatPr defaultRowHeight="14.4" x14ac:dyDescent="0.3"/>
  <cols>
    <col min="1" max="1" width="26.33203125" bestFit="1" customWidth="1"/>
    <col min="2" max="2" width="16" style="125" bestFit="1" customWidth="1"/>
  </cols>
  <sheetData>
    <row r="3" spans="1:2" ht="28.8" x14ac:dyDescent="0.3">
      <c r="A3" s="123" t="s">
        <v>882</v>
      </c>
      <c r="B3" s="127" t="s">
        <v>884</v>
      </c>
    </row>
    <row r="4" spans="1:2" x14ac:dyDescent="0.3">
      <c r="A4" s="99" t="s">
        <v>550</v>
      </c>
      <c r="B4" s="126">
        <v>31.7758</v>
      </c>
    </row>
    <row r="5" spans="1:2" x14ac:dyDescent="0.3">
      <c r="A5" s="99" t="s">
        <v>624</v>
      </c>
      <c r="B5" s="126">
        <v>848.17939999999999</v>
      </c>
    </row>
    <row r="6" spans="1:2" x14ac:dyDescent="0.3">
      <c r="A6" s="99" t="s">
        <v>886</v>
      </c>
      <c r="B6" s="126">
        <v>791.95740000000001</v>
      </c>
    </row>
    <row r="7" spans="1:2" x14ac:dyDescent="0.3">
      <c r="A7" s="99" t="s">
        <v>844</v>
      </c>
      <c r="B7" s="126">
        <v>191.08229999999998</v>
      </c>
    </row>
    <row r="8" spans="1:2" x14ac:dyDescent="0.3">
      <c r="A8" s="99" t="s">
        <v>585</v>
      </c>
      <c r="B8" s="126">
        <v>41.680199999999999</v>
      </c>
    </row>
    <row r="9" spans="1:2" x14ac:dyDescent="0.3">
      <c r="A9" s="99" t="s">
        <v>564</v>
      </c>
      <c r="B9" s="126">
        <v>32.653399999999998</v>
      </c>
    </row>
    <row r="10" spans="1:2" x14ac:dyDescent="0.3">
      <c r="A10" s="99" t="s">
        <v>555</v>
      </c>
      <c r="B10" s="126">
        <v>113.94969999999998</v>
      </c>
    </row>
    <row r="11" spans="1:2" x14ac:dyDescent="0.3">
      <c r="A11" s="99" t="s">
        <v>571</v>
      </c>
      <c r="B11" s="126">
        <v>217.80090000000001</v>
      </c>
    </row>
    <row r="12" spans="1:2" x14ac:dyDescent="0.3">
      <c r="A12" s="99" t="s">
        <v>845</v>
      </c>
      <c r="B12" s="126">
        <v>26.488200000000003</v>
      </c>
    </row>
    <row r="13" spans="1:2" x14ac:dyDescent="0.3">
      <c r="A13" s="99" t="s">
        <v>379</v>
      </c>
      <c r="B13" s="126">
        <v>720.10079999999994</v>
      </c>
    </row>
    <row r="14" spans="1:2" x14ac:dyDescent="0.3">
      <c r="A14" s="99" t="s">
        <v>871</v>
      </c>
      <c r="B14" s="126">
        <v>394.44569999999999</v>
      </c>
    </row>
    <row r="15" spans="1:2" x14ac:dyDescent="0.3">
      <c r="A15" s="99" t="s">
        <v>848</v>
      </c>
      <c r="B15" s="126">
        <v>73.333799999999997</v>
      </c>
    </row>
    <row r="16" spans="1:2" x14ac:dyDescent="0.3">
      <c r="A16" s="99" t="s">
        <v>846</v>
      </c>
      <c r="B16" s="126">
        <v>188.94680000000002</v>
      </c>
    </row>
    <row r="17" spans="1:2" x14ac:dyDescent="0.3">
      <c r="A17" s="99" t="s">
        <v>598</v>
      </c>
      <c r="B17" s="126">
        <v>159.09460000000001</v>
      </c>
    </row>
    <row r="18" spans="1:2" x14ac:dyDescent="0.3">
      <c r="A18" s="99" t="s">
        <v>70</v>
      </c>
      <c r="B18" s="126">
        <v>377.84450000000004</v>
      </c>
    </row>
    <row r="19" spans="1:2" x14ac:dyDescent="0.3">
      <c r="A19" s="99" t="s">
        <v>82</v>
      </c>
      <c r="B19" s="126">
        <v>488.32070000000004</v>
      </c>
    </row>
    <row r="20" spans="1:2" x14ac:dyDescent="0.3">
      <c r="A20" s="99" t="s">
        <v>489</v>
      </c>
      <c r="B20" s="126">
        <v>36.908799999999999</v>
      </c>
    </row>
    <row r="21" spans="1:2" x14ac:dyDescent="0.3">
      <c r="A21" s="99" t="s">
        <v>391</v>
      </c>
      <c r="B21" s="126">
        <v>70.478000000000009</v>
      </c>
    </row>
    <row r="22" spans="1:2" x14ac:dyDescent="0.3">
      <c r="A22" s="99" t="s">
        <v>853</v>
      </c>
      <c r="B22" s="126">
        <v>243.76670000000001</v>
      </c>
    </row>
    <row r="23" spans="1:2" x14ac:dyDescent="0.3">
      <c r="A23" s="99" t="s">
        <v>418</v>
      </c>
      <c r="B23" s="126">
        <v>2154.1729999999998</v>
      </c>
    </row>
    <row r="24" spans="1:2" x14ac:dyDescent="0.3">
      <c r="A24" s="99" t="s">
        <v>857</v>
      </c>
      <c r="B24" s="126">
        <v>21.248200000000001</v>
      </c>
    </row>
    <row r="25" spans="1:2" x14ac:dyDescent="0.3">
      <c r="A25" s="99" t="s">
        <v>97</v>
      </c>
      <c r="B25" s="126">
        <v>915.33940000000007</v>
      </c>
    </row>
    <row r="26" spans="1:2" x14ac:dyDescent="0.3">
      <c r="A26" s="99" t="s">
        <v>108</v>
      </c>
      <c r="B26" s="126">
        <v>54.340699999999998</v>
      </c>
    </row>
    <row r="27" spans="1:2" x14ac:dyDescent="0.3">
      <c r="A27" s="99" t="s">
        <v>855</v>
      </c>
      <c r="B27" s="126">
        <v>542.84640000000002</v>
      </c>
    </row>
    <row r="28" spans="1:2" x14ac:dyDescent="0.3">
      <c r="A28" s="99" t="s">
        <v>608</v>
      </c>
      <c r="B28" s="126">
        <v>355.84530000000001</v>
      </c>
    </row>
    <row r="29" spans="1:2" x14ac:dyDescent="0.3">
      <c r="A29" s="99" t="s">
        <v>143</v>
      </c>
      <c r="B29" s="126">
        <v>112.32280000000002</v>
      </c>
    </row>
    <row r="30" spans="1:2" x14ac:dyDescent="0.3">
      <c r="A30" s="99" t="s">
        <v>748</v>
      </c>
      <c r="B30" s="126">
        <v>131.77619999999999</v>
      </c>
    </row>
    <row r="31" spans="1:2" x14ac:dyDescent="0.3">
      <c r="A31" s="99" t="s">
        <v>838</v>
      </c>
      <c r="B31" s="126">
        <v>20.802800000000001</v>
      </c>
    </row>
    <row r="32" spans="1:2" x14ac:dyDescent="0.3">
      <c r="A32" s="99" t="s">
        <v>879</v>
      </c>
      <c r="B32" s="126">
        <v>339.04060000000004</v>
      </c>
    </row>
    <row r="33" spans="1:2" x14ac:dyDescent="0.3">
      <c r="A33" s="99" t="s">
        <v>860</v>
      </c>
      <c r="B33" s="126">
        <v>3.1299000000000001</v>
      </c>
    </row>
    <row r="34" spans="1:2" x14ac:dyDescent="0.3">
      <c r="A34" s="99" t="s">
        <v>157</v>
      </c>
      <c r="B34" s="126">
        <v>27.4406</v>
      </c>
    </row>
    <row r="35" spans="1:2" x14ac:dyDescent="0.3">
      <c r="A35" s="99" t="s">
        <v>861</v>
      </c>
      <c r="B35" s="126">
        <v>351.44839999999999</v>
      </c>
    </row>
    <row r="36" spans="1:2" x14ac:dyDescent="0.3">
      <c r="A36" s="99" t="s">
        <v>272</v>
      </c>
      <c r="B36" s="126">
        <v>132.20509999999999</v>
      </c>
    </row>
    <row r="37" spans="1:2" x14ac:dyDescent="0.3">
      <c r="A37" s="99" t="s">
        <v>328</v>
      </c>
      <c r="B37" s="126">
        <v>97.726000000000013</v>
      </c>
    </row>
    <row r="38" spans="1:2" x14ac:dyDescent="0.3">
      <c r="A38" s="99" t="s">
        <v>239</v>
      </c>
      <c r="B38" s="126">
        <v>890.06470000000013</v>
      </c>
    </row>
    <row r="39" spans="1:2" x14ac:dyDescent="0.3">
      <c r="A39" s="99" t="s">
        <v>167</v>
      </c>
      <c r="B39" s="126">
        <v>715.81129999999996</v>
      </c>
    </row>
    <row r="40" spans="1:2" x14ac:dyDescent="0.3">
      <c r="A40" s="99" t="s">
        <v>180</v>
      </c>
      <c r="B40" s="126">
        <v>246.52269999999999</v>
      </c>
    </row>
    <row r="41" spans="1:2" x14ac:dyDescent="0.3">
      <c r="A41" s="99" t="s">
        <v>176</v>
      </c>
      <c r="B41" s="126">
        <v>60.484499999999997</v>
      </c>
    </row>
    <row r="42" spans="1:2" x14ac:dyDescent="0.3">
      <c r="A42" s="99" t="s">
        <v>188</v>
      </c>
      <c r="B42" s="126">
        <v>155.4708</v>
      </c>
    </row>
    <row r="43" spans="1:2" x14ac:dyDescent="0.3">
      <c r="A43" s="99" t="s">
        <v>234</v>
      </c>
      <c r="B43" s="126">
        <v>84.286199999999994</v>
      </c>
    </row>
    <row r="44" spans="1:2" x14ac:dyDescent="0.3">
      <c r="A44" s="99" t="s">
        <v>516</v>
      </c>
      <c r="B44" s="126">
        <v>198.2559</v>
      </c>
    </row>
    <row r="45" spans="1:2" x14ac:dyDescent="0.3">
      <c r="A45" s="99" t="s">
        <v>397</v>
      </c>
      <c r="B45" s="126">
        <v>210.9665</v>
      </c>
    </row>
    <row r="46" spans="1:2" x14ac:dyDescent="0.3">
      <c r="A46" s="99" t="s">
        <v>877</v>
      </c>
      <c r="B46" s="126">
        <v>516.9905</v>
      </c>
    </row>
    <row r="47" spans="1:2" x14ac:dyDescent="0.3">
      <c r="A47" s="99" t="s">
        <v>205</v>
      </c>
      <c r="B47" s="126">
        <v>172.97379999999998</v>
      </c>
    </row>
    <row r="48" spans="1:2" x14ac:dyDescent="0.3">
      <c r="A48" s="99" t="s">
        <v>505</v>
      </c>
      <c r="B48" s="126">
        <v>285.51219999999995</v>
      </c>
    </row>
    <row r="49" spans="1:2" x14ac:dyDescent="0.3">
      <c r="A49" s="99" t="s">
        <v>479</v>
      </c>
      <c r="B49" s="126">
        <v>23.246099999999998</v>
      </c>
    </row>
    <row r="50" spans="1:2" x14ac:dyDescent="0.3">
      <c r="A50" s="99" t="s">
        <v>427</v>
      </c>
      <c r="B50" s="126">
        <v>3862.1614</v>
      </c>
    </row>
    <row r="51" spans="1:2" x14ac:dyDescent="0.3">
      <c r="A51" s="99" t="s">
        <v>483</v>
      </c>
      <c r="B51" s="126">
        <v>100.8425</v>
      </c>
    </row>
    <row r="52" spans="1:2" x14ac:dyDescent="0.3">
      <c r="A52" s="99" t="s">
        <v>410</v>
      </c>
      <c r="B52" s="126">
        <v>46.471499999999999</v>
      </c>
    </row>
    <row r="53" spans="1:2" x14ac:dyDescent="0.3">
      <c r="A53" s="99" t="s">
        <v>337</v>
      </c>
      <c r="B53" s="126">
        <v>120.7308</v>
      </c>
    </row>
    <row r="54" spans="1:2" x14ac:dyDescent="0.3">
      <c r="A54" s="99" t="s">
        <v>13</v>
      </c>
      <c r="B54" s="126">
        <v>0</v>
      </c>
    </row>
    <row r="55" spans="1:2" x14ac:dyDescent="0.3">
      <c r="A55" s="99" t="s">
        <v>23</v>
      </c>
      <c r="B55" s="126">
        <v>449.41669999999999</v>
      </c>
    </row>
    <row r="56" spans="1:2" x14ac:dyDescent="0.3">
      <c r="A56" s="99" t="s">
        <v>199</v>
      </c>
      <c r="B56" s="126">
        <v>17.9208</v>
      </c>
    </row>
    <row r="57" spans="1:2" x14ac:dyDescent="0.3">
      <c r="A57" s="99" t="s">
        <v>841</v>
      </c>
      <c r="B57" s="126">
        <v>5.0042</v>
      </c>
    </row>
    <row r="58" spans="1:2" x14ac:dyDescent="0.3">
      <c r="A58" s="99" t="s">
        <v>620</v>
      </c>
      <c r="B58" s="126">
        <v>4.5326000000000004</v>
      </c>
    </row>
    <row r="59" spans="1:2" x14ac:dyDescent="0.3">
      <c r="A59" s="99" t="s">
        <v>887</v>
      </c>
      <c r="B59" s="126">
        <v>40.2408</v>
      </c>
    </row>
    <row r="60" spans="1:2" x14ac:dyDescent="0.3">
      <c r="A60" s="99" t="s">
        <v>580</v>
      </c>
      <c r="B60" s="126">
        <v>118.29730000000001</v>
      </c>
    </row>
    <row r="61" spans="1:2" x14ac:dyDescent="0.3">
      <c r="A61" s="99" t="s">
        <v>364</v>
      </c>
      <c r="B61" s="126">
        <v>357.59599999999995</v>
      </c>
    </row>
    <row r="62" spans="1:2" x14ac:dyDescent="0.3">
      <c r="A62" s="99" t="s">
        <v>616</v>
      </c>
      <c r="B62" s="126">
        <v>26.540600000000001</v>
      </c>
    </row>
    <row r="63" spans="1:2" x14ac:dyDescent="0.3">
      <c r="A63" s="99" t="s">
        <v>878</v>
      </c>
      <c r="B63" s="126">
        <v>82.425200000000004</v>
      </c>
    </row>
    <row r="64" spans="1:2" x14ac:dyDescent="0.3">
      <c r="A64" s="99" t="s">
        <v>547</v>
      </c>
      <c r="B64" s="126">
        <v>26.495999999999999</v>
      </c>
    </row>
    <row r="65" spans="1:2" x14ac:dyDescent="0.3">
      <c r="A65" s="99" t="s">
        <v>531</v>
      </c>
      <c r="B65" s="126">
        <v>380.47120000000001</v>
      </c>
    </row>
    <row r="66" spans="1:2" x14ac:dyDescent="0.3">
      <c r="A66" s="99" t="s">
        <v>526</v>
      </c>
      <c r="B66" s="126">
        <v>39.143700000000003</v>
      </c>
    </row>
    <row r="67" spans="1:2" x14ac:dyDescent="0.3">
      <c r="A67" s="99" t="s">
        <v>854</v>
      </c>
      <c r="B67" s="126">
        <v>33.555</v>
      </c>
    </row>
    <row r="68" spans="1:2" x14ac:dyDescent="0.3">
      <c r="A68" s="99" t="s">
        <v>885</v>
      </c>
      <c r="B68" s="126">
        <v>0</v>
      </c>
    </row>
    <row r="69" spans="1:2" x14ac:dyDescent="0.3">
      <c r="A69" s="99" t="s">
        <v>883</v>
      </c>
      <c r="B69" s="126"/>
    </row>
    <row r="70" spans="1:2" x14ac:dyDescent="0.3">
      <c r="A70" s="99" t="s">
        <v>832</v>
      </c>
      <c r="B70" s="126">
        <v>19580.924599999998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zoomScale="63" zoomScaleNormal="63" workbookViewId="0">
      <pane ySplit="1" topLeftCell="A2" activePane="bottomLeft" state="frozenSplit"/>
      <selection pane="bottomLeft" activeCell="C24" sqref="C24"/>
    </sheetView>
  </sheetViews>
  <sheetFormatPr defaultColWidth="9.109375" defaultRowHeight="15.6" outlineLevelRow="2" x14ac:dyDescent="0.3"/>
  <cols>
    <col min="1" max="1" width="31.6640625" style="53" bestFit="1" customWidth="1"/>
    <col min="2" max="2" width="29" style="53" bestFit="1" customWidth="1"/>
    <col min="3" max="3" width="28.44140625" style="53" bestFit="1" customWidth="1"/>
    <col min="4" max="4" width="26.88671875" style="53" bestFit="1" customWidth="1"/>
    <col min="5" max="5" width="12.109375" style="53" bestFit="1" customWidth="1"/>
    <col min="6" max="6" width="11.88671875" style="53" bestFit="1" customWidth="1"/>
    <col min="7" max="7" width="10.44140625" style="53" bestFit="1" customWidth="1"/>
    <col min="8" max="8" width="14.88671875" style="53" bestFit="1" customWidth="1"/>
    <col min="9" max="9" width="10.44140625" style="53" customWidth="1"/>
    <col min="10" max="10" width="10.6640625" style="53" customWidth="1"/>
    <col min="11" max="11" width="11.33203125" style="53" bestFit="1" customWidth="1"/>
    <col min="12" max="12" width="11.6640625" style="53" bestFit="1" customWidth="1"/>
    <col min="13" max="13" width="20.109375" style="53" bestFit="1" customWidth="1"/>
    <col min="14" max="14" width="19.44140625" style="53" bestFit="1" customWidth="1"/>
    <col min="15" max="16384" width="9.109375" style="53"/>
  </cols>
  <sheetData>
    <row r="1" spans="1:14" s="129" customFormat="1" ht="87" outlineLevel="2" x14ac:dyDescent="0.3">
      <c r="A1" s="130" t="s">
        <v>686</v>
      </c>
      <c r="B1" s="130" t="s">
        <v>674</v>
      </c>
      <c r="C1" s="130" t="s">
        <v>0</v>
      </c>
      <c r="D1" s="131" t="s">
        <v>1</v>
      </c>
      <c r="E1" s="132" t="s">
        <v>2</v>
      </c>
      <c r="F1" s="131" t="s">
        <v>3</v>
      </c>
      <c r="G1" s="131" t="s">
        <v>6</v>
      </c>
      <c r="H1" s="133" t="s">
        <v>675</v>
      </c>
      <c r="I1" s="131" t="s">
        <v>689</v>
      </c>
      <c r="J1" s="131" t="s">
        <v>690</v>
      </c>
      <c r="K1" s="134" t="s">
        <v>691</v>
      </c>
      <c r="L1" s="134" t="s">
        <v>692</v>
      </c>
      <c r="M1" s="131" t="s">
        <v>4</v>
      </c>
      <c r="N1" s="131" t="s">
        <v>5</v>
      </c>
    </row>
    <row r="2" spans="1:14" s="45" customFormat="1" ht="15" outlineLevel="2" x14ac:dyDescent="0.25">
      <c r="A2" s="39" t="s">
        <v>693</v>
      </c>
      <c r="B2" s="40" t="s">
        <v>365</v>
      </c>
      <c r="C2" s="38" t="str">
        <f>VLOOKUP(B2,Tables!G$2:H$79,2,FALSE)</f>
        <v>Superintendents Office</v>
      </c>
      <c r="D2" s="38" t="s">
        <v>693</v>
      </c>
      <c r="E2" s="41" t="s">
        <v>797</v>
      </c>
      <c r="F2" s="38" t="s">
        <v>694</v>
      </c>
      <c r="G2" s="42" t="s">
        <v>730</v>
      </c>
      <c r="H2" s="43">
        <v>17099735</v>
      </c>
      <c r="I2" s="44" t="s">
        <v>695</v>
      </c>
      <c r="J2" s="44">
        <v>1</v>
      </c>
      <c r="K2" s="3">
        <v>25.32</v>
      </c>
      <c r="L2" s="3">
        <f>SUM(J2*K2)</f>
        <v>25.32</v>
      </c>
      <c r="M2" s="38" t="s">
        <v>696</v>
      </c>
      <c r="N2" s="38" t="s">
        <v>697</v>
      </c>
    </row>
    <row r="3" spans="1:14" s="45" customFormat="1" ht="15" outlineLevel="1" x14ac:dyDescent="0.3">
      <c r="A3" s="40" t="s">
        <v>698</v>
      </c>
      <c r="B3" s="40" t="s">
        <v>484</v>
      </c>
      <c r="C3" s="38" t="str">
        <f>VLOOKUP(B3,Tables!G$2:H$79,2,FALSE)</f>
        <v>Protocol Office</v>
      </c>
      <c r="D3" s="38" t="s">
        <v>798</v>
      </c>
      <c r="E3" s="41">
        <v>300</v>
      </c>
      <c r="F3" s="38">
        <v>4650</v>
      </c>
      <c r="G3" s="42" t="s">
        <v>731</v>
      </c>
      <c r="H3" s="46" t="s">
        <v>699</v>
      </c>
      <c r="I3" s="44" t="s">
        <v>695</v>
      </c>
      <c r="J3" s="44"/>
      <c r="K3" s="3">
        <v>58.48</v>
      </c>
      <c r="L3" s="3">
        <f>SUM(J3*K3)</f>
        <v>0</v>
      </c>
      <c r="M3" s="38" t="s">
        <v>700</v>
      </c>
      <c r="N3" s="38" t="s">
        <v>701</v>
      </c>
    </row>
    <row r="4" spans="1:14" s="47" customFormat="1" x14ac:dyDescent="0.3">
      <c r="A4" s="40" t="s">
        <v>698</v>
      </c>
      <c r="B4" s="40" t="s">
        <v>484</v>
      </c>
      <c r="C4" s="38" t="str">
        <f>VLOOKUP(B4,Tables!G$2:H$79,2,FALSE)</f>
        <v>Protocol Office</v>
      </c>
      <c r="D4" s="38" t="s">
        <v>798</v>
      </c>
      <c r="E4" s="47">
        <v>300</v>
      </c>
      <c r="F4" s="38">
        <v>4650</v>
      </c>
      <c r="G4" s="42" t="s">
        <v>731</v>
      </c>
      <c r="H4" s="46" t="s">
        <v>699</v>
      </c>
      <c r="I4" s="44" t="s">
        <v>702</v>
      </c>
      <c r="J4" s="44"/>
      <c r="K4" s="3">
        <v>58.48</v>
      </c>
      <c r="L4" s="3">
        <f t="shared" ref="L4:L24" si="0">SUM(J4*K4)</f>
        <v>0</v>
      </c>
      <c r="M4" s="38" t="s">
        <v>700</v>
      </c>
      <c r="N4" s="38" t="s">
        <v>701</v>
      </c>
    </row>
    <row r="5" spans="1:14" s="47" customFormat="1" x14ac:dyDescent="0.3">
      <c r="A5" s="40" t="s">
        <v>698</v>
      </c>
      <c r="B5" s="40" t="s">
        <v>484</v>
      </c>
      <c r="C5" s="38" t="str">
        <f>VLOOKUP(B5,Tables!G$2:H$79,2,FALSE)</f>
        <v>Protocol Office</v>
      </c>
      <c r="D5" s="38" t="s">
        <v>798</v>
      </c>
      <c r="E5" s="47">
        <v>300</v>
      </c>
      <c r="F5" s="38">
        <v>4650</v>
      </c>
      <c r="G5" s="42" t="s">
        <v>731</v>
      </c>
      <c r="H5" s="46" t="s">
        <v>699</v>
      </c>
      <c r="I5" s="44" t="s">
        <v>703</v>
      </c>
      <c r="J5" s="44"/>
      <c r="K5" s="3">
        <v>58.48</v>
      </c>
      <c r="L5" s="3">
        <f t="shared" si="0"/>
        <v>0</v>
      </c>
      <c r="M5" s="38" t="s">
        <v>700</v>
      </c>
      <c r="N5" s="38" t="s">
        <v>701</v>
      </c>
    </row>
    <row r="6" spans="1:14" s="47" customFormat="1" x14ac:dyDescent="0.3">
      <c r="A6" s="40" t="s">
        <v>698</v>
      </c>
      <c r="B6" s="40" t="s">
        <v>484</v>
      </c>
      <c r="C6" s="38" t="str">
        <f>VLOOKUP(B6,Tables!G$2:H$79,2,FALSE)</f>
        <v>Protocol Office</v>
      </c>
      <c r="D6" s="38" t="s">
        <v>798</v>
      </c>
      <c r="E6" s="47">
        <v>300</v>
      </c>
      <c r="F6" s="38">
        <v>4650</v>
      </c>
      <c r="G6" s="42" t="s">
        <v>731</v>
      </c>
      <c r="H6" s="46" t="s">
        <v>699</v>
      </c>
      <c r="I6" s="44" t="s">
        <v>704</v>
      </c>
      <c r="J6" s="44"/>
      <c r="K6" s="3">
        <v>58.48</v>
      </c>
      <c r="L6" s="3">
        <f t="shared" si="0"/>
        <v>0</v>
      </c>
      <c r="M6" s="38" t="s">
        <v>700</v>
      </c>
      <c r="N6" s="38" t="s">
        <v>701</v>
      </c>
    </row>
    <row r="7" spans="1:14" s="45" customFormat="1" ht="15" outlineLevel="2" x14ac:dyDescent="0.3">
      <c r="A7" s="40" t="s">
        <v>705</v>
      </c>
      <c r="B7" s="91" t="s">
        <v>308</v>
      </c>
      <c r="C7" s="38" t="str">
        <f>VLOOKUP(B7,Tables!G$2:H$79,2,FALSE)</f>
        <v>Admissions Office</v>
      </c>
      <c r="D7" s="38" t="s">
        <v>309</v>
      </c>
      <c r="E7" s="41">
        <v>204</v>
      </c>
      <c r="F7" s="38" t="s">
        <v>706</v>
      </c>
      <c r="G7" s="42" t="s">
        <v>731</v>
      </c>
      <c r="H7" s="48">
        <v>17099781</v>
      </c>
      <c r="I7" s="44" t="s">
        <v>695</v>
      </c>
      <c r="J7" s="44"/>
      <c r="K7" s="3">
        <v>89.75</v>
      </c>
      <c r="L7" s="3">
        <f t="shared" si="0"/>
        <v>0</v>
      </c>
      <c r="M7" s="46" t="s">
        <v>707</v>
      </c>
      <c r="N7" s="38" t="s">
        <v>708</v>
      </c>
    </row>
    <row r="8" spans="1:14" s="45" customFormat="1" ht="15" outlineLevel="2" x14ac:dyDescent="0.3">
      <c r="A8" s="40" t="s">
        <v>705</v>
      </c>
      <c r="B8" s="91" t="s">
        <v>308</v>
      </c>
      <c r="C8" s="38" t="str">
        <f>VLOOKUP(B8,Tables!G$2:H$79,2,FALSE)</f>
        <v>Admissions Office</v>
      </c>
      <c r="D8" s="38" t="s">
        <v>309</v>
      </c>
      <c r="E8" s="41">
        <v>204</v>
      </c>
      <c r="F8" s="38" t="s">
        <v>706</v>
      </c>
      <c r="G8" s="42" t="s">
        <v>731</v>
      </c>
      <c r="H8" s="48">
        <v>17099781</v>
      </c>
      <c r="I8" s="44" t="s">
        <v>702</v>
      </c>
      <c r="J8" s="44"/>
      <c r="K8" s="3">
        <v>91.49</v>
      </c>
      <c r="L8" s="3">
        <f t="shared" si="0"/>
        <v>0</v>
      </c>
      <c r="M8" s="46" t="s">
        <v>707</v>
      </c>
      <c r="N8" s="38" t="s">
        <v>708</v>
      </c>
    </row>
    <row r="9" spans="1:14" s="45" customFormat="1" ht="15" outlineLevel="2" x14ac:dyDescent="0.3">
      <c r="A9" s="40" t="s">
        <v>705</v>
      </c>
      <c r="B9" s="91" t="s">
        <v>308</v>
      </c>
      <c r="C9" s="38" t="str">
        <f>VLOOKUP(B9,Tables!G$2:H$79,2,FALSE)</f>
        <v>Admissions Office</v>
      </c>
      <c r="D9" s="38" t="s">
        <v>309</v>
      </c>
      <c r="E9" s="41">
        <v>204</v>
      </c>
      <c r="F9" s="38" t="s">
        <v>706</v>
      </c>
      <c r="G9" s="42" t="s">
        <v>731</v>
      </c>
      <c r="H9" s="48">
        <v>17099781</v>
      </c>
      <c r="I9" s="44" t="s">
        <v>703</v>
      </c>
      <c r="J9" s="44"/>
      <c r="K9" s="3">
        <v>91.49</v>
      </c>
      <c r="L9" s="3">
        <f t="shared" si="0"/>
        <v>0</v>
      </c>
      <c r="M9" s="46" t="s">
        <v>707</v>
      </c>
      <c r="N9" s="38" t="s">
        <v>708</v>
      </c>
    </row>
    <row r="10" spans="1:14" s="45" customFormat="1" ht="15" outlineLevel="2" x14ac:dyDescent="0.3">
      <c r="A10" s="40" t="s">
        <v>705</v>
      </c>
      <c r="B10" s="91" t="s">
        <v>308</v>
      </c>
      <c r="C10" s="38" t="str">
        <f>VLOOKUP(B10,Tables!G$2:H$79,2,FALSE)</f>
        <v>Admissions Office</v>
      </c>
      <c r="D10" s="38" t="s">
        <v>309</v>
      </c>
      <c r="E10" s="41">
        <v>204</v>
      </c>
      <c r="F10" s="38" t="s">
        <v>706</v>
      </c>
      <c r="G10" s="42" t="s">
        <v>731</v>
      </c>
      <c r="H10" s="48">
        <v>17099781</v>
      </c>
      <c r="I10" s="44" t="s">
        <v>704</v>
      </c>
      <c r="J10" s="44"/>
      <c r="K10" s="3">
        <v>91.49</v>
      </c>
      <c r="L10" s="3">
        <f t="shared" si="0"/>
        <v>0</v>
      </c>
      <c r="M10" s="46" t="s">
        <v>707</v>
      </c>
      <c r="N10" s="38" t="s">
        <v>708</v>
      </c>
    </row>
    <row r="11" spans="1:14" s="45" customFormat="1" ht="15" outlineLevel="2" x14ac:dyDescent="0.3">
      <c r="A11" s="40" t="s">
        <v>709</v>
      </c>
      <c r="B11" s="40" t="s">
        <v>242</v>
      </c>
      <c r="C11" s="38" t="str">
        <f>VLOOKUP(B11,Tables!G$2:H$79,2,FALSE)</f>
        <v>Libraries</v>
      </c>
      <c r="D11" s="38" t="s">
        <v>177</v>
      </c>
      <c r="E11" s="41">
        <v>406</v>
      </c>
      <c r="F11" s="38" t="s">
        <v>710</v>
      </c>
      <c r="G11" s="42" t="s">
        <v>731</v>
      </c>
      <c r="H11" s="48">
        <v>17099815</v>
      </c>
      <c r="I11" s="44" t="s">
        <v>695</v>
      </c>
      <c r="J11" s="44"/>
      <c r="K11" s="3">
        <v>53.82</v>
      </c>
      <c r="L11" s="3">
        <f t="shared" si="0"/>
        <v>0</v>
      </c>
      <c r="M11" s="38" t="s">
        <v>711</v>
      </c>
      <c r="N11" s="38" t="s">
        <v>712</v>
      </c>
    </row>
    <row r="12" spans="1:14" s="45" customFormat="1" ht="15" outlineLevel="2" x14ac:dyDescent="0.3">
      <c r="A12" s="40" t="s">
        <v>709</v>
      </c>
      <c r="B12" s="40" t="s">
        <v>242</v>
      </c>
      <c r="C12" s="38" t="str">
        <f>VLOOKUP(B12,Tables!G$2:H$79,2,FALSE)</f>
        <v>Libraries</v>
      </c>
      <c r="D12" s="38" t="s">
        <v>177</v>
      </c>
      <c r="E12" s="41">
        <v>406</v>
      </c>
      <c r="F12" s="38" t="s">
        <v>710</v>
      </c>
      <c r="G12" s="42" t="s">
        <v>731</v>
      </c>
      <c r="H12" s="48">
        <v>17099815</v>
      </c>
      <c r="I12" s="44" t="s">
        <v>702</v>
      </c>
      <c r="J12" s="44"/>
      <c r="K12" s="3">
        <v>61.89</v>
      </c>
      <c r="L12" s="3">
        <f t="shared" si="0"/>
        <v>0</v>
      </c>
      <c r="M12" s="38" t="s">
        <v>713</v>
      </c>
      <c r="N12" s="38" t="s">
        <v>712</v>
      </c>
    </row>
    <row r="13" spans="1:14" s="45" customFormat="1" ht="15" outlineLevel="2" x14ac:dyDescent="0.3">
      <c r="A13" s="40" t="s">
        <v>709</v>
      </c>
      <c r="B13" s="40" t="s">
        <v>242</v>
      </c>
      <c r="C13" s="38" t="str">
        <f>VLOOKUP(B13,Tables!G$2:H$79,2,FALSE)</f>
        <v>Libraries</v>
      </c>
      <c r="D13" s="38" t="s">
        <v>177</v>
      </c>
      <c r="E13" s="41">
        <v>406</v>
      </c>
      <c r="F13" s="38" t="s">
        <v>710</v>
      </c>
      <c r="G13" s="42" t="s">
        <v>731</v>
      </c>
      <c r="H13" s="48">
        <v>17099815</v>
      </c>
      <c r="I13" s="44" t="s">
        <v>703</v>
      </c>
      <c r="J13" s="44"/>
      <c r="K13" s="3">
        <v>61.89</v>
      </c>
      <c r="L13" s="3">
        <f t="shared" si="0"/>
        <v>0</v>
      </c>
      <c r="M13" s="38" t="s">
        <v>714</v>
      </c>
      <c r="N13" s="38" t="s">
        <v>712</v>
      </c>
    </row>
    <row r="14" spans="1:14" s="45" customFormat="1" ht="15" outlineLevel="2" x14ac:dyDescent="0.3">
      <c r="A14" s="40" t="s">
        <v>709</v>
      </c>
      <c r="B14" s="40" t="s">
        <v>242</v>
      </c>
      <c r="C14" s="38" t="str">
        <f>VLOOKUP(B14,Tables!G$2:H$79,2,FALSE)</f>
        <v>Libraries</v>
      </c>
      <c r="D14" s="38" t="s">
        <v>177</v>
      </c>
      <c r="E14" s="41">
        <v>406</v>
      </c>
      <c r="F14" s="38" t="s">
        <v>710</v>
      </c>
      <c r="G14" s="42" t="s">
        <v>731</v>
      </c>
      <c r="H14" s="48">
        <v>17099815</v>
      </c>
      <c r="I14" s="44" t="s">
        <v>704</v>
      </c>
      <c r="J14" s="44"/>
      <c r="K14" s="3">
        <v>61.89</v>
      </c>
      <c r="L14" s="3">
        <f t="shared" si="0"/>
        <v>0</v>
      </c>
      <c r="M14" s="38" t="s">
        <v>715</v>
      </c>
      <c r="N14" s="38" t="s">
        <v>712</v>
      </c>
    </row>
    <row r="15" spans="1:14" s="45" customFormat="1" ht="15" outlineLevel="2" x14ac:dyDescent="0.25">
      <c r="A15" s="40" t="s">
        <v>222</v>
      </c>
      <c r="B15" s="49" t="s">
        <v>221</v>
      </c>
      <c r="C15" s="38" t="str">
        <f>VLOOKUP(B15,Tables!G$2:H$79,2,FALSE)</f>
        <v>Philosophy &amp; Psychology</v>
      </c>
      <c r="D15" s="38" t="s">
        <v>223</v>
      </c>
      <c r="E15" s="41">
        <v>403</v>
      </c>
      <c r="F15" s="50" t="s">
        <v>716</v>
      </c>
      <c r="G15" s="42" t="s">
        <v>731</v>
      </c>
      <c r="H15" s="48">
        <v>17099728</v>
      </c>
      <c r="I15" s="44" t="s">
        <v>695</v>
      </c>
      <c r="J15" s="44"/>
      <c r="K15" s="3">
        <v>74.180000000000007</v>
      </c>
      <c r="L15" s="3">
        <f t="shared" si="0"/>
        <v>0</v>
      </c>
      <c r="M15" s="38" t="s">
        <v>717</v>
      </c>
      <c r="N15" s="38" t="s">
        <v>718</v>
      </c>
    </row>
    <row r="16" spans="1:14" s="45" customFormat="1" ht="15" outlineLevel="2" x14ac:dyDescent="0.25">
      <c r="A16" s="40" t="s">
        <v>222</v>
      </c>
      <c r="B16" s="49" t="s">
        <v>221</v>
      </c>
      <c r="C16" s="38" t="str">
        <f>VLOOKUP(B16,Tables!G$2:H$79,2,FALSE)</f>
        <v>Philosophy &amp; Psychology</v>
      </c>
      <c r="D16" s="38" t="s">
        <v>223</v>
      </c>
      <c r="E16" s="41">
        <v>403</v>
      </c>
      <c r="F16" s="50" t="s">
        <v>716</v>
      </c>
      <c r="G16" s="42" t="s">
        <v>731</v>
      </c>
      <c r="H16" s="48">
        <v>17099728</v>
      </c>
      <c r="I16" s="44" t="s">
        <v>702</v>
      </c>
      <c r="J16" s="44"/>
      <c r="K16" s="3">
        <v>76.19</v>
      </c>
      <c r="L16" s="3">
        <f t="shared" si="0"/>
        <v>0</v>
      </c>
      <c r="M16" s="38" t="s">
        <v>719</v>
      </c>
      <c r="N16" s="38" t="s">
        <v>718</v>
      </c>
    </row>
    <row r="17" spans="1:14" s="45" customFormat="1" ht="15" outlineLevel="2" x14ac:dyDescent="0.25">
      <c r="A17" s="40" t="s">
        <v>222</v>
      </c>
      <c r="B17" s="49" t="s">
        <v>221</v>
      </c>
      <c r="C17" s="38" t="str">
        <f>VLOOKUP(B17,Tables!G$2:H$79,2,FALSE)</f>
        <v>Philosophy &amp; Psychology</v>
      </c>
      <c r="D17" s="38" t="s">
        <v>223</v>
      </c>
      <c r="E17" s="41">
        <v>403</v>
      </c>
      <c r="F17" s="50" t="s">
        <v>716</v>
      </c>
      <c r="G17" s="42" t="s">
        <v>731</v>
      </c>
      <c r="H17" s="48">
        <v>17099728</v>
      </c>
      <c r="I17" s="44" t="s">
        <v>703</v>
      </c>
      <c r="J17" s="44"/>
      <c r="K17" s="3">
        <v>76.19</v>
      </c>
      <c r="L17" s="3">
        <f t="shared" si="0"/>
        <v>0</v>
      </c>
      <c r="M17" s="38" t="s">
        <v>720</v>
      </c>
      <c r="N17" s="38" t="s">
        <v>718</v>
      </c>
    </row>
    <row r="18" spans="1:14" s="45" customFormat="1" ht="15" outlineLevel="2" x14ac:dyDescent="0.25">
      <c r="A18" s="40" t="s">
        <v>222</v>
      </c>
      <c r="B18" s="49" t="s">
        <v>221</v>
      </c>
      <c r="C18" s="38" t="str">
        <f>VLOOKUP(B18,Tables!G$2:H$79,2,FALSE)</f>
        <v>Philosophy &amp; Psychology</v>
      </c>
      <c r="D18" s="38" t="s">
        <v>223</v>
      </c>
      <c r="E18" s="41">
        <v>403</v>
      </c>
      <c r="F18" s="50" t="s">
        <v>716</v>
      </c>
      <c r="G18" s="42" t="s">
        <v>731</v>
      </c>
      <c r="H18" s="48">
        <v>17099728</v>
      </c>
      <c r="I18" s="44" t="s">
        <v>704</v>
      </c>
      <c r="J18" s="44"/>
      <c r="K18" s="3">
        <v>76.19</v>
      </c>
      <c r="L18" s="3">
        <f t="shared" si="0"/>
        <v>0</v>
      </c>
      <c r="M18" s="38" t="s">
        <v>721</v>
      </c>
      <c r="N18" s="38" t="s">
        <v>718</v>
      </c>
    </row>
    <row r="19" spans="1:14" s="45" customFormat="1" ht="15" outlineLevel="2" x14ac:dyDescent="0.3">
      <c r="A19" s="40" t="s">
        <v>722</v>
      </c>
      <c r="B19" s="40" t="s">
        <v>595</v>
      </c>
      <c r="C19" s="38" t="str">
        <f>VLOOKUP(B19,Tables!G$2:H$79,2,FALSE)</f>
        <v>Soccer</v>
      </c>
      <c r="D19" s="38" t="s">
        <v>589</v>
      </c>
      <c r="E19" s="41">
        <v>345</v>
      </c>
      <c r="F19" s="50" t="s">
        <v>716</v>
      </c>
      <c r="G19" s="42" t="s">
        <v>731</v>
      </c>
      <c r="H19" s="50" t="s">
        <v>723</v>
      </c>
      <c r="I19" s="44" t="s">
        <v>695</v>
      </c>
      <c r="J19" s="44">
        <v>1</v>
      </c>
      <c r="K19" s="3">
        <v>74.180000000000007</v>
      </c>
      <c r="L19" s="3">
        <f t="shared" si="0"/>
        <v>74.180000000000007</v>
      </c>
      <c r="M19" s="38" t="s">
        <v>746</v>
      </c>
      <c r="N19" s="38" t="s">
        <v>747</v>
      </c>
    </row>
    <row r="20" spans="1:14" s="51" customFormat="1" ht="15" outlineLevel="2" x14ac:dyDescent="0.25">
      <c r="A20" s="40" t="s">
        <v>722</v>
      </c>
      <c r="B20" s="40" t="s">
        <v>595</v>
      </c>
      <c r="C20" s="38" t="str">
        <f>VLOOKUP(B20,Tables!G$2:H$79,2,FALSE)</f>
        <v>Soccer</v>
      </c>
      <c r="D20" s="38" t="s">
        <v>589</v>
      </c>
      <c r="E20" s="41">
        <v>345</v>
      </c>
      <c r="F20" s="50" t="s">
        <v>716</v>
      </c>
      <c r="G20" s="42" t="s">
        <v>731</v>
      </c>
      <c r="H20" s="50" t="s">
        <v>723</v>
      </c>
      <c r="I20" s="44" t="s">
        <v>702</v>
      </c>
      <c r="J20" s="44">
        <v>1</v>
      </c>
      <c r="K20" s="3">
        <v>76.19</v>
      </c>
      <c r="L20" s="3">
        <f t="shared" si="0"/>
        <v>76.19</v>
      </c>
      <c r="M20" s="38" t="s">
        <v>746</v>
      </c>
      <c r="N20" s="38" t="s">
        <v>747</v>
      </c>
    </row>
    <row r="21" spans="1:14" s="51" customFormat="1" ht="15" outlineLevel="1" x14ac:dyDescent="0.25">
      <c r="A21" s="40" t="s">
        <v>722</v>
      </c>
      <c r="B21" s="40" t="s">
        <v>595</v>
      </c>
      <c r="C21" s="38" t="str">
        <f>VLOOKUP(B21,Tables!G$2:H$79,2,FALSE)</f>
        <v>Soccer</v>
      </c>
      <c r="D21" s="38" t="s">
        <v>589</v>
      </c>
      <c r="E21" s="41">
        <v>345</v>
      </c>
      <c r="F21" s="50" t="s">
        <v>716</v>
      </c>
      <c r="G21" s="42" t="s">
        <v>731</v>
      </c>
      <c r="H21" s="50" t="s">
        <v>723</v>
      </c>
      <c r="I21" s="44" t="s">
        <v>703</v>
      </c>
      <c r="J21" s="44">
        <v>1</v>
      </c>
      <c r="K21" s="3">
        <v>76.19</v>
      </c>
      <c r="L21" s="3">
        <f t="shared" si="0"/>
        <v>76.19</v>
      </c>
      <c r="M21" s="38" t="s">
        <v>746</v>
      </c>
      <c r="N21" s="38" t="s">
        <v>747</v>
      </c>
    </row>
    <row r="22" spans="1:14" s="51" customFormat="1" ht="15" outlineLevel="2" x14ac:dyDescent="0.25">
      <c r="A22" s="40" t="s">
        <v>722</v>
      </c>
      <c r="B22" s="40" t="s">
        <v>595</v>
      </c>
      <c r="C22" s="38" t="str">
        <f>VLOOKUP(B22,Tables!G$2:H$79,2,FALSE)</f>
        <v>Soccer</v>
      </c>
      <c r="D22" s="38" t="s">
        <v>589</v>
      </c>
      <c r="E22" s="41">
        <v>345</v>
      </c>
      <c r="F22" s="50" t="s">
        <v>716</v>
      </c>
      <c r="G22" s="42" t="s">
        <v>731</v>
      </c>
      <c r="H22" s="50" t="s">
        <v>723</v>
      </c>
      <c r="I22" s="44" t="s">
        <v>704</v>
      </c>
      <c r="J22" s="44">
        <v>1</v>
      </c>
      <c r="K22" s="3">
        <v>76.19</v>
      </c>
      <c r="L22" s="3">
        <f t="shared" si="0"/>
        <v>76.19</v>
      </c>
      <c r="M22" s="38" t="s">
        <v>746</v>
      </c>
      <c r="N22" s="38" t="s">
        <v>747</v>
      </c>
    </row>
    <row r="23" spans="1:14" s="45" customFormat="1" ht="15" outlineLevel="2" x14ac:dyDescent="0.3">
      <c r="A23" s="40" t="s">
        <v>389</v>
      </c>
      <c r="B23" s="40" t="s">
        <v>390</v>
      </c>
      <c r="C23" s="38" t="str">
        <f>VLOOKUP(B23,Tables!G$2:H$79,2,FALSE)</f>
        <v>Comptroller's Office</v>
      </c>
      <c r="D23" s="38" t="s">
        <v>279</v>
      </c>
      <c r="E23" s="41">
        <v>311</v>
      </c>
      <c r="F23" s="38" t="s">
        <v>724</v>
      </c>
      <c r="G23" s="42" t="s">
        <v>731</v>
      </c>
      <c r="H23" s="43">
        <v>17099745</v>
      </c>
      <c r="I23" s="44" t="s">
        <v>695</v>
      </c>
      <c r="J23" s="44"/>
      <c r="K23" s="3">
        <v>32.03</v>
      </c>
      <c r="L23" s="3">
        <f t="shared" si="0"/>
        <v>0</v>
      </c>
      <c r="M23" s="38" t="s">
        <v>725</v>
      </c>
      <c r="N23" s="38" t="s">
        <v>726</v>
      </c>
    </row>
    <row r="24" spans="1:14" s="45" customFormat="1" ht="15" outlineLevel="1" x14ac:dyDescent="0.3">
      <c r="A24" s="40" t="s">
        <v>389</v>
      </c>
      <c r="B24" s="40" t="s">
        <v>390</v>
      </c>
      <c r="C24" s="38" t="str">
        <f>VLOOKUP(B24,Tables!G$2:H$79,2,FALSE)</f>
        <v>Comptroller's Office</v>
      </c>
      <c r="D24" s="38" t="s">
        <v>279</v>
      </c>
      <c r="E24" s="41">
        <v>320</v>
      </c>
      <c r="F24" s="38" t="s">
        <v>724</v>
      </c>
      <c r="G24" s="42" t="s">
        <v>731</v>
      </c>
      <c r="H24" s="43">
        <v>17099744</v>
      </c>
      <c r="I24" s="44" t="s">
        <v>695</v>
      </c>
      <c r="J24" s="44"/>
      <c r="K24" s="3">
        <v>32.03</v>
      </c>
      <c r="L24" s="3">
        <f t="shared" si="0"/>
        <v>0</v>
      </c>
      <c r="M24" s="38" t="s">
        <v>727</v>
      </c>
      <c r="N24" s="38" t="s">
        <v>728</v>
      </c>
    </row>
    <row r="25" spans="1:14" s="51" customFormat="1" ht="29.25" customHeight="1" outlineLevel="2" x14ac:dyDescent="0.2">
      <c r="A25" s="40"/>
      <c r="B25" s="40"/>
      <c r="C25" s="40"/>
      <c r="D25" s="38"/>
      <c r="E25" s="41"/>
      <c r="F25" s="38"/>
      <c r="G25" s="42"/>
      <c r="H25" s="43"/>
      <c r="I25" s="44"/>
      <c r="J25" s="44"/>
      <c r="L25" s="80"/>
      <c r="M25" s="38"/>
      <c r="N25" s="38"/>
    </row>
    <row r="26" spans="1:14" s="51" customFormat="1" ht="29.25" customHeight="1" outlineLevel="2" x14ac:dyDescent="0.25">
      <c r="A26" s="40"/>
      <c r="B26" s="49"/>
      <c r="C26" s="40"/>
      <c r="D26" s="38"/>
      <c r="E26" s="41"/>
      <c r="F26" s="38"/>
      <c r="G26" s="42"/>
      <c r="H26" s="43"/>
      <c r="I26" s="44"/>
      <c r="J26" s="44"/>
      <c r="K26" s="3"/>
      <c r="L26" s="3"/>
      <c r="M26" s="38"/>
      <c r="N26" s="38"/>
    </row>
    <row r="27" spans="1:14" s="51" customFormat="1" ht="29.25" customHeight="1" outlineLevel="2" x14ac:dyDescent="0.2">
      <c r="A27" s="40"/>
      <c r="B27" s="40"/>
      <c r="C27" s="40"/>
      <c r="D27" s="38"/>
      <c r="E27" s="41"/>
      <c r="F27" s="38"/>
      <c r="G27" s="42"/>
      <c r="H27" s="43"/>
      <c r="I27" s="44"/>
      <c r="J27" s="44"/>
      <c r="K27" s="3"/>
      <c r="L27" s="54"/>
      <c r="M27" s="38"/>
      <c r="N27" s="38"/>
    </row>
    <row r="28" spans="1:14" s="51" customFormat="1" ht="29.25" customHeight="1" outlineLevel="2" x14ac:dyDescent="0.2">
      <c r="A28" s="40"/>
      <c r="B28" s="40"/>
      <c r="C28" s="40"/>
      <c r="D28" s="38"/>
      <c r="E28" s="41"/>
      <c r="F28" s="38"/>
      <c r="G28" s="42"/>
      <c r="H28" s="43"/>
      <c r="I28" s="44"/>
      <c r="J28" s="44"/>
      <c r="K28" s="3"/>
      <c r="L28" s="3"/>
      <c r="M28" s="38"/>
      <c r="N28" s="38"/>
    </row>
    <row r="29" spans="1:14" s="51" customFormat="1" ht="29.25" customHeight="1" outlineLevel="2" x14ac:dyDescent="0.2">
      <c r="A29" s="40"/>
      <c r="B29" s="40"/>
      <c r="C29" s="40"/>
      <c r="D29" s="38"/>
      <c r="E29" s="41"/>
      <c r="F29" s="38"/>
      <c r="G29" s="42"/>
      <c r="H29" s="43"/>
      <c r="I29" s="44"/>
      <c r="J29" s="44"/>
      <c r="K29" s="3"/>
      <c r="L29" s="3"/>
      <c r="M29" s="38"/>
      <c r="N29" s="38"/>
    </row>
    <row r="30" spans="1:14" s="51" customFormat="1" ht="29.25" customHeight="1" outlineLevel="2" x14ac:dyDescent="0.2">
      <c r="A30" s="40"/>
      <c r="B30" s="40"/>
      <c r="C30" s="40"/>
      <c r="D30" s="38"/>
      <c r="E30" s="41"/>
      <c r="F30" s="38"/>
      <c r="G30" s="42"/>
      <c r="H30" s="43"/>
      <c r="I30" s="44"/>
      <c r="J30" s="44"/>
      <c r="K30" s="3"/>
      <c r="L30" s="3"/>
      <c r="M30" s="38"/>
      <c r="N30" s="38"/>
    </row>
    <row r="31" spans="1:14" s="51" customFormat="1" ht="29.25" customHeight="1" outlineLevel="2" x14ac:dyDescent="0.2">
      <c r="A31" s="40"/>
      <c r="B31" s="40"/>
      <c r="C31" s="40"/>
      <c r="D31" s="38"/>
      <c r="E31" s="41"/>
      <c r="F31" s="38"/>
      <c r="G31" s="42"/>
      <c r="H31" s="43"/>
      <c r="I31" s="44"/>
      <c r="J31" s="44"/>
      <c r="K31" s="3"/>
      <c r="L31" s="3"/>
      <c r="M31" s="38"/>
      <c r="N31" s="38"/>
    </row>
    <row r="32" spans="1:14" s="51" customFormat="1" ht="29.25" customHeight="1" outlineLevel="2" x14ac:dyDescent="0.2">
      <c r="A32" s="40"/>
      <c r="B32" s="40"/>
      <c r="C32" s="40"/>
      <c r="D32" s="38"/>
      <c r="E32" s="41"/>
      <c r="F32" s="38"/>
      <c r="G32" s="42"/>
      <c r="H32" s="43"/>
      <c r="I32" s="44"/>
      <c r="J32" s="44"/>
      <c r="K32" s="3"/>
      <c r="L32" s="3"/>
      <c r="M32" s="38"/>
      <c r="N32" s="38"/>
    </row>
    <row r="33" spans="1:14" s="51" customFormat="1" ht="29.25" customHeight="1" outlineLevel="2" x14ac:dyDescent="0.2">
      <c r="A33" s="40"/>
      <c r="B33" s="40"/>
      <c r="C33" s="40"/>
      <c r="D33" s="38"/>
      <c r="E33" s="41"/>
      <c r="F33" s="38"/>
      <c r="G33" s="42"/>
      <c r="H33" s="43"/>
      <c r="I33" s="44"/>
      <c r="J33" s="44"/>
      <c r="K33" s="3"/>
      <c r="L33" s="3"/>
      <c r="M33" s="38"/>
      <c r="N33" s="38"/>
    </row>
    <row r="34" spans="1:14" s="51" customFormat="1" ht="29.25" customHeight="1" outlineLevel="2" x14ac:dyDescent="0.2">
      <c r="A34" s="40"/>
      <c r="B34" s="40"/>
      <c r="C34" s="40"/>
      <c r="D34" s="38"/>
      <c r="E34" s="41"/>
      <c r="F34" s="38"/>
      <c r="G34" s="42"/>
      <c r="H34" s="43"/>
      <c r="I34" s="44"/>
      <c r="J34" s="44"/>
      <c r="K34" s="3"/>
      <c r="L34" s="3"/>
      <c r="M34" s="38"/>
      <c r="N34" s="38"/>
    </row>
    <row r="35" spans="1:14" s="51" customFormat="1" ht="29.25" customHeight="1" outlineLevel="2" x14ac:dyDescent="0.25">
      <c r="A35" s="40"/>
      <c r="B35" s="40"/>
      <c r="C35" s="40"/>
      <c r="D35" s="38"/>
      <c r="E35" s="41"/>
      <c r="F35" s="38"/>
      <c r="G35" s="42"/>
      <c r="H35" s="43"/>
      <c r="I35" s="44"/>
      <c r="J35" s="44"/>
      <c r="K35" s="3"/>
      <c r="L35" s="3"/>
      <c r="M35" s="38"/>
      <c r="N35" s="38"/>
    </row>
    <row r="36" spans="1:14" s="51" customFormat="1" ht="29.25" customHeight="1" outlineLevel="2" x14ac:dyDescent="0.25">
      <c r="A36" s="40"/>
      <c r="B36" s="40"/>
      <c r="C36" s="40"/>
      <c r="D36" s="38"/>
      <c r="E36" s="41"/>
      <c r="F36" s="38"/>
      <c r="G36" s="42"/>
      <c r="H36" s="43"/>
      <c r="I36" s="44"/>
      <c r="J36" s="44"/>
      <c r="K36" s="3"/>
      <c r="L36" s="3"/>
      <c r="M36" s="38"/>
      <c r="N36" s="38"/>
    </row>
    <row r="37" spans="1:14" s="51" customFormat="1" ht="29.25" customHeight="1" outlineLevel="2" x14ac:dyDescent="0.25">
      <c r="A37" s="40"/>
      <c r="B37" s="40"/>
      <c r="C37" s="40"/>
      <c r="D37" s="38"/>
      <c r="E37" s="41"/>
      <c r="F37" s="38"/>
      <c r="G37" s="42"/>
      <c r="H37" s="43"/>
      <c r="I37" s="44"/>
      <c r="J37" s="44"/>
      <c r="K37" s="3"/>
      <c r="L37" s="3"/>
      <c r="M37" s="38"/>
      <c r="N37" s="38"/>
    </row>
    <row r="38" spans="1:14" s="51" customFormat="1" ht="29.25" customHeight="1" outlineLevel="1" x14ac:dyDescent="0.25">
      <c r="A38" s="40"/>
      <c r="B38" s="40"/>
      <c r="C38" s="40"/>
      <c r="D38" s="38"/>
      <c r="E38" s="41"/>
      <c r="F38" s="38"/>
      <c r="G38" s="42"/>
      <c r="H38" s="43"/>
      <c r="I38" s="44"/>
      <c r="J38" s="44"/>
      <c r="K38" s="3"/>
      <c r="L38" s="3"/>
      <c r="M38" s="38"/>
      <c r="N38" s="38"/>
    </row>
    <row r="39" spans="1:14" s="51" customFormat="1" ht="29.25" customHeight="1" outlineLevel="2" x14ac:dyDescent="0.25">
      <c r="A39" s="40"/>
      <c r="B39" s="40"/>
      <c r="C39" s="40"/>
      <c r="D39" s="38"/>
      <c r="E39" s="41"/>
      <c r="F39" s="38"/>
      <c r="G39" s="42"/>
      <c r="H39" s="43"/>
      <c r="I39" s="44"/>
      <c r="J39" s="44"/>
      <c r="K39" s="3"/>
      <c r="L39" s="3"/>
      <c r="M39" s="38"/>
      <c r="N39" s="38"/>
    </row>
    <row r="40" spans="1:14" s="51" customFormat="1" ht="29.25" customHeight="1" outlineLevel="1" x14ac:dyDescent="0.25">
      <c r="A40" s="40"/>
      <c r="B40" s="40"/>
      <c r="C40" s="40"/>
      <c r="D40" s="38"/>
      <c r="E40" s="41"/>
      <c r="F40" s="38"/>
      <c r="G40" s="42"/>
      <c r="H40" s="43"/>
      <c r="I40" s="44"/>
      <c r="J40" s="44"/>
      <c r="K40" s="3" t="s">
        <v>729</v>
      </c>
      <c r="L40" s="54">
        <f>SUM(L2:L25)</f>
        <v>328.07</v>
      </c>
      <c r="M40" s="38"/>
      <c r="N40" s="38"/>
    </row>
    <row r="41" spans="1:14" s="51" customFormat="1" ht="29.25" customHeight="1" outlineLevel="2" x14ac:dyDescent="0.25">
      <c r="A41" s="40"/>
      <c r="B41" s="40"/>
      <c r="C41" s="40"/>
      <c r="D41" s="38"/>
      <c r="E41" s="41"/>
      <c r="F41" s="38"/>
      <c r="G41" s="42"/>
      <c r="H41" s="43"/>
      <c r="I41" s="44"/>
      <c r="J41" s="44"/>
      <c r="K41" s="3"/>
      <c r="L41" s="3"/>
      <c r="M41" s="38"/>
      <c r="N41" s="38"/>
    </row>
    <row r="42" spans="1:14" s="51" customFormat="1" ht="29.25" customHeight="1" outlineLevel="1" x14ac:dyDescent="0.25">
      <c r="A42" s="40"/>
      <c r="B42" s="40"/>
      <c r="C42" s="40"/>
      <c r="D42" s="38"/>
      <c r="E42" s="41"/>
      <c r="F42" s="38"/>
      <c r="G42" s="42"/>
      <c r="H42" s="43"/>
      <c r="I42" s="44"/>
      <c r="J42" s="44"/>
      <c r="K42" s="3"/>
      <c r="L42" s="3"/>
      <c r="M42" s="38"/>
      <c r="N42" s="38"/>
    </row>
    <row r="43" spans="1:14" s="51" customFormat="1" ht="29.25" customHeight="1" outlineLevel="2" x14ac:dyDescent="0.25">
      <c r="A43" s="40"/>
      <c r="B43" s="40"/>
      <c r="C43" s="40"/>
      <c r="D43" s="38"/>
      <c r="E43" s="41"/>
      <c r="F43" s="38"/>
      <c r="G43" s="42"/>
      <c r="H43" s="43"/>
      <c r="I43" s="44"/>
      <c r="J43" s="44"/>
      <c r="K43" s="3"/>
      <c r="L43" s="3"/>
      <c r="M43" s="38"/>
      <c r="N43" s="38"/>
    </row>
    <row r="44" spans="1:14" s="51" customFormat="1" ht="29.25" customHeight="1" outlineLevel="1" x14ac:dyDescent="0.25">
      <c r="A44" s="40"/>
      <c r="B44" s="40"/>
      <c r="C44" s="40"/>
      <c r="D44" s="38"/>
      <c r="E44" s="41"/>
      <c r="F44" s="38"/>
      <c r="G44" s="42"/>
      <c r="H44" s="43"/>
      <c r="I44" s="44"/>
      <c r="J44" s="44"/>
      <c r="K44" s="3"/>
      <c r="L44" s="3"/>
      <c r="M44" s="38"/>
      <c r="N44" s="38"/>
    </row>
    <row r="45" spans="1:14" s="51" customFormat="1" ht="29.25" customHeight="1" outlineLevel="2" x14ac:dyDescent="0.25">
      <c r="A45" s="40"/>
      <c r="B45" s="40"/>
      <c r="C45" s="40"/>
      <c r="D45" s="38"/>
      <c r="E45" s="41"/>
      <c r="F45" s="38"/>
      <c r="G45" s="42"/>
      <c r="H45" s="43"/>
      <c r="I45" s="44"/>
      <c r="J45" s="44"/>
      <c r="K45" s="3"/>
      <c r="L45" s="3"/>
      <c r="M45" s="38"/>
      <c r="N45" s="38"/>
    </row>
    <row r="46" spans="1:14" s="51" customFormat="1" ht="29.25" customHeight="1" outlineLevel="1" x14ac:dyDescent="0.25">
      <c r="A46" s="40"/>
      <c r="B46" s="40"/>
      <c r="C46" s="40"/>
      <c r="D46" s="38"/>
      <c r="E46" s="41"/>
      <c r="F46" s="38"/>
      <c r="G46" s="42"/>
      <c r="H46" s="43"/>
      <c r="I46" s="44"/>
      <c r="J46" s="44"/>
      <c r="K46" s="3"/>
      <c r="L46" s="3"/>
      <c r="M46" s="38"/>
      <c r="N46" s="38"/>
    </row>
    <row r="47" spans="1:14" s="51" customFormat="1" ht="29.25" customHeight="1" outlineLevel="2" x14ac:dyDescent="0.25">
      <c r="A47" s="40"/>
      <c r="B47" s="40"/>
      <c r="C47" s="40"/>
      <c r="D47" s="38"/>
      <c r="E47" s="52"/>
      <c r="F47" s="38"/>
      <c r="G47" s="42"/>
      <c r="H47" s="43"/>
      <c r="I47" s="44"/>
      <c r="J47" s="44"/>
      <c r="K47" s="3"/>
      <c r="L47" s="3"/>
      <c r="M47" s="38"/>
      <c r="N47" s="38"/>
    </row>
    <row r="48" spans="1:14" s="51" customFormat="1" ht="29.25" customHeight="1" outlineLevel="1" x14ac:dyDescent="0.25">
      <c r="A48" s="40"/>
      <c r="B48" s="40"/>
      <c r="C48" s="40"/>
      <c r="D48" s="38"/>
      <c r="E48" s="52"/>
      <c r="F48" s="38"/>
      <c r="G48" s="42"/>
      <c r="H48" s="43"/>
      <c r="I48" s="44"/>
      <c r="J48" s="44"/>
      <c r="K48" s="3"/>
      <c r="L48" s="3"/>
      <c r="M48" s="38"/>
      <c r="N48" s="38"/>
    </row>
    <row r="49" spans="1:14" s="51" customFormat="1" ht="29.25" customHeight="1" outlineLevel="2" x14ac:dyDescent="0.25">
      <c r="A49" s="40"/>
      <c r="B49" s="40"/>
      <c r="C49" s="40"/>
      <c r="D49" s="38"/>
      <c r="E49" s="41"/>
      <c r="F49" s="38"/>
      <c r="G49" s="42"/>
      <c r="H49" s="43"/>
      <c r="I49" s="44"/>
      <c r="J49" s="44"/>
      <c r="K49" s="3"/>
      <c r="L49" s="3"/>
      <c r="M49" s="38"/>
      <c r="N49" s="38"/>
    </row>
    <row r="50" spans="1:14" s="51" customFormat="1" ht="29.25" customHeight="1" outlineLevel="1" x14ac:dyDescent="0.25">
      <c r="A50" s="40"/>
      <c r="B50" s="40"/>
      <c r="C50" s="40"/>
      <c r="D50" s="38"/>
      <c r="E50" s="41"/>
      <c r="F50" s="38"/>
      <c r="G50" s="42"/>
      <c r="H50" s="43"/>
      <c r="I50" s="44"/>
      <c r="J50" s="44"/>
      <c r="K50" s="3"/>
      <c r="L50" s="3"/>
      <c r="M50" s="38"/>
      <c r="N50" s="38"/>
    </row>
    <row r="51" spans="1:14" s="51" customFormat="1" ht="29.25" customHeight="1" outlineLevel="2" x14ac:dyDescent="0.25">
      <c r="A51" s="40"/>
      <c r="B51" s="40"/>
      <c r="C51" s="40"/>
      <c r="D51" s="38"/>
      <c r="E51" s="41"/>
      <c r="F51" s="38"/>
      <c r="G51" s="42"/>
      <c r="H51" s="43"/>
      <c r="I51" s="44"/>
      <c r="J51" s="44"/>
      <c r="K51" s="3"/>
      <c r="L51" s="3"/>
      <c r="M51" s="38"/>
      <c r="N51" s="38"/>
    </row>
    <row r="52" spans="1:14" s="51" customFormat="1" ht="29.25" customHeight="1" outlineLevel="2" x14ac:dyDescent="0.25">
      <c r="A52" s="40"/>
      <c r="B52" s="40"/>
      <c r="C52" s="40"/>
      <c r="D52" s="38"/>
      <c r="E52" s="41"/>
      <c r="F52" s="38"/>
      <c r="G52" s="42"/>
      <c r="H52" s="43"/>
      <c r="I52" s="44"/>
      <c r="J52" s="44"/>
      <c r="K52" s="3"/>
      <c r="L52" s="3"/>
      <c r="M52" s="38"/>
      <c r="N52" s="38"/>
    </row>
    <row r="53" spans="1:14" s="51" customFormat="1" ht="29.25" customHeight="1" outlineLevel="2" x14ac:dyDescent="0.25">
      <c r="A53" s="40"/>
      <c r="B53" s="40"/>
      <c r="C53" s="40"/>
      <c r="D53" s="38"/>
      <c r="E53" s="41"/>
      <c r="F53" s="38"/>
      <c r="G53" s="42"/>
      <c r="H53" s="43"/>
      <c r="I53" s="44"/>
      <c r="J53" s="44"/>
      <c r="K53" s="3"/>
      <c r="L53" s="3"/>
      <c r="M53" s="38"/>
      <c r="N53" s="38"/>
    </row>
    <row r="54" spans="1:14" s="51" customFormat="1" ht="29.25" customHeight="1" outlineLevel="2" x14ac:dyDescent="0.25">
      <c r="A54" s="40"/>
      <c r="B54" s="40"/>
      <c r="C54" s="40"/>
      <c r="D54" s="38"/>
      <c r="E54" s="41"/>
      <c r="F54" s="38"/>
      <c r="G54" s="42"/>
      <c r="H54" s="43"/>
      <c r="I54" s="44"/>
      <c r="J54" s="44"/>
      <c r="K54" s="3"/>
      <c r="L54" s="3"/>
      <c r="M54" s="38"/>
      <c r="N54" s="38"/>
    </row>
    <row r="55" spans="1:14" s="51" customFormat="1" ht="29.25" customHeight="1" outlineLevel="2" x14ac:dyDescent="0.25">
      <c r="A55" s="40"/>
      <c r="B55" s="40"/>
      <c r="C55" s="40"/>
      <c r="D55" s="38"/>
      <c r="E55" s="41"/>
      <c r="F55" s="38"/>
      <c r="G55" s="42"/>
      <c r="H55" s="43"/>
      <c r="I55" s="44"/>
      <c r="J55" s="44"/>
      <c r="K55" s="3"/>
      <c r="L55" s="3"/>
      <c r="M55" s="38"/>
      <c r="N55" s="38"/>
    </row>
    <row r="56" spans="1:14" s="51" customFormat="1" ht="29.25" customHeight="1" outlineLevel="2" x14ac:dyDescent="0.25">
      <c r="A56" s="40"/>
      <c r="B56" s="40"/>
      <c r="C56" s="40"/>
      <c r="D56" s="38"/>
      <c r="E56" s="41"/>
      <c r="F56" s="38"/>
      <c r="G56" s="42"/>
      <c r="H56" s="43"/>
      <c r="I56" s="44"/>
      <c r="J56" s="44"/>
      <c r="K56" s="3"/>
      <c r="L56" s="3"/>
      <c r="M56" s="38"/>
      <c r="N56" s="38"/>
    </row>
    <row r="57" spans="1:14" s="51" customFormat="1" ht="29.25" customHeight="1" outlineLevel="2" x14ac:dyDescent="0.25">
      <c r="A57" s="40"/>
      <c r="B57" s="40"/>
      <c r="C57" s="40"/>
      <c r="D57" s="38"/>
      <c r="E57" s="41"/>
      <c r="F57" s="38"/>
      <c r="G57" s="42"/>
      <c r="H57" s="43"/>
      <c r="I57" s="44"/>
      <c r="J57" s="44"/>
      <c r="K57" s="3"/>
      <c r="L57" s="3"/>
      <c r="M57" s="38"/>
      <c r="N57" s="38"/>
    </row>
    <row r="58" spans="1:14" s="51" customFormat="1" ht="29.25" customHeight="1" outlineLevel="1" x14ac:dyDescent="0.25">
      <c r="A58" s="40"/>
      <c r="B58" s="40"/>
      <c r="C58" s="40"/>
      <c r="D58" s="38"/>
      <c r="E58" s="41"/>
      <c r="F58" s="38"/>
      <c r="G58" s="42"/>
      <c r="H58" s="43"/>
      <c r="I58" s="44"/>
      <c r="J58" s="44"/>
      <c r="K58" s="3"/>
      <c r="L58" s="3"/>
      <c r="M58" s="38"/>
      <c r="N58" s="38"/>
    </row>
    <row r="59" spans="1:14" s="51" customFormat="1" ht="29.25" customHeight="1" outlineLevel="2" x14ac:dyDescent="0.25">
      <c r="A59" s="40"/>
      <c r="B59" s="40"/>
      <c r="C59" s="40"/>
      <c r="D59" s="38"/>
      <c r="E59" s="41"/>
      <c r="F59" s="38"/>
      <c r="G59" s="42"/>
      <c r="H59" s="43"/>
      <c r="I59" s="44"/>
      <c r="J59" s="44"/>
      <c r="K59" s="3"/>
      <c r="L59" s="3"/>
      <c r="M59" s="38"/>
      <c r="N59" s="38"/>
    </row>
    <row r="60" spans="1:14" s="51" customFormat="1" ht="29.25" customHeight="1" outlineLevel="1" x14ac:dyDescent="0.25">
      <c r="A60" s="40"/>
      <c r="B60" s="40"/>
      <c r="C60" s="40"/>
      <c r="D60" s="38"/>
      <c r="E60" s="41"/>
      <c r="F60" s="38"/>
      <c r="G60" s="42"/>
      <c r="H60" s="43"/>
      <c r="I60" s="44"/>
      <c r="J60" s="44"/>
      <c r="K60" s="3"/>
      <c r="L60" s="3"/>
      <c r="M60" s="38"/>
      <c r="N60" s="38"/>
    </row>
    <row r="61" spans="1:14" s="51" customFormat="1" ht="29.25" customHeight="1" outlineLevel="2" x14ac:dyDescent="0.25">
      <c r="A61" s="40"/>
      <c r="B61" s="40"/>
      <c r="C61" s="40"/>
      <c r="D61" s="38"/>
      <c r="E61" s="41"/>
      <c r="F61" s="38"/>
      <c r="G61" s="42"/>
      <c r="H61" s="43"/>
      <c r="I61" s="44"/>
      <c r="J61" s="44"/>
      <c r="K61" s="3"/>
      <c r="L61" s="3"/>
      <c r="M61" s="38"/>
      <c r="N61" s="38"/>
    </row>
  </sheetData>
  <pageMargins left="0.7" right="0.7" top="0.75" bottom="0.75" header="0.3" footer="0.3"/>
  <pageSetup orientation="portrait" r:id="rId1"/>
  <ignoredErrors>
    <ignoredError sqref="C12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G16" sqref="G16"/>
    </sheetView>
  </sheetViews>
  <sheetFormatPr defaultColWidth="9.109375" defaultRowHeight="13.2" x14ac:dyDescent="0.25"/>
  <cols>
    <col min="1" max="2" width="9.109375" style="28"/>
    <col min="3" max="3" width="7.109375" style="28" bestFit="1" customWidth="1"/>
    <col min="4" max="4" width="10.109375" style="28" bestFit="1" customWidth="1"/>
    <col min="5" max="5" width="7.109375" style="28" bestFit="1" customWidth="1"/>
    <col min="6" max="6" width="13.44140625" style="28" bestFit="1" customWidth="1"/>
    <col min="7" max="7" width="14" style="28" bestFit="1" customWidth="1"/>
    <col min="8" max="9" width="9.109375" style="28"/>
    <col min="10" max="10" width="11.88671875" style="28" customWidth="1"/>
    <col min="11" max="11" width="11.33203125" style="28" bestFit="1" customWidth="1"/>
    <col min="12" max="16384" width="9.109375" style="28"/>
  </cols>
  <sheetData>
    <row r="1" spans="1:11" ht="13.8" thickBot="1" x14ac:dyDescent="0.3">
      <c r="A1" s="4"/>
      <c r="B1" s="4"/>
      <c r="C1" s="4"/>
      <c r="D1" s="5"/>
      <c r="E1" s="5"/>
      <c r="F1" s="5"/>
      <c r="G1" s="5"/>
      <c r="H1" s="5"/>
      <c r="I1" s="5"/>
      <c r="J1" s="6"/>
      <c r="K1" s="6"/>
    </row>
    <row r="2" spans="1:11" ht="26.4" x14ac:dyDescent="0.25">
      <c r="A2" s="7"/>
      <c r="B2" s="8"/>
      <c r="C2" s="8"/>
      <c r="D2" s="9" t="s">
        <v>639</v>
      </c>
      <c r="E2" s="10" t="s">
        <v>640</v>
      </c>
      <c r="F2" s="11" t="s">
        <v>641</v>
      </c>
      <c r="G2" s="12" t="s">
        <v>642</v>
      </c>
      <c r="H2" s="5"/>
      <c r="I2" s="5"/>
      <c r="J2" s="13" t="s">
        <v>643</v>
      </c>
      <c r="K2" s="14" t="s">
        <v>644</v>
      </c>
    </row>
    <row r="3" spans="1:11" ht="13.8" thickBot="1" x14ac:dyDescent="0.3">
      <c r="A3" s="8"/>
      <c r="B3" s="8"/>
      <c r="C3" s="15" t="s">
        <v>645</v>
      </c>
      <c r="D3" s="16">
        <f>SUMIF('February 2013 - Data'!G$2:$G$335,"MFP",'February 2013 - Data'!I$2:I$335)</f>
        <v>422652</v>
      </c>
      <c r="E3" s="17">
        <f>SUMIF('February 2013 - Data'!G$2:$G$335,"MFP",'February 2013 - Data'!J$2:J$335)</f>
        <v>58404</v>
      </c>
      <c r="F3" s="18">
        <f>SUM(D3)*D14</f>
        <v>8748.8963999999996</v>
      </c>
      <c r="G3" s="19">
        <f>SUM(E3)*E14</f>
        <v>5081.1479999999992</v>
      </c>
      <c r="H3" s="5"/>
      <c r="I3" s="5"/>
      <c r="J3" s="20">
        <f>SUMIF('February 2013 - Data'!$G$2:G$335,"MFP",'February 2013 - Data'!K$2:K$335)</f>
        <v>8748.8964000000033</v>
      </c>
      <c r="K3" s="21">
        <f>SUMIF('February 2013 - Data'!$G$2:$G$335,"MFP",'February 2013 - Data'!L$2:L$335)</f>
        <v>5081.148000000001</v>
      </c>
    </row>
    <row r="4" spans="1:11" ht="13.8" thickBot="1" x14ac:dyDescent="0.3">
      <c r="A4" s="8"/>
      <c r="B4" s="8"/>
      <c r="C4" s="22"/>
      <c r="D4" s="22"/>
      <c r="E4" s="23"/>
      <c r="F4" s="4"/>
      <c r="G4" s="4"/>
      <c r="H4" s="5"/>
      <c r="I4" s="5"/>
      <c r="J4" s="5"/>
      <c r="K4" s="5"/>
    </row>
    <row r="5" spans="1:11" ht="26.4" x14ac:dyDescent="0.25">
      <c r="A5" s="8"/>
      <c r="B5" s="8"/>
      <c r="C5" s="24"/>
      <c r="D5" s="9" t="s">
        <v>646</v>
      </c>
      <c r="E5" s="10" t="s">
        <v>647</v>
      </c>
      <c r="F5" s="11" t="s">
        <v>648</v>
      </c>
      <c r="G5" s="12" t="s">
        <v>649</v>
      </c>
      <c r="H5" s="5"/>
      <c r="I5" s="5"/>
      <c r="J5" s="13" t="s">
        <v>646</v>
      </c>
      <c r="K5" s="14" t="s">
        <v>647</v>
      </c>
    </row>
    <row r="6" spans="1:11" ht="13.8" thickBot="1" x14ac:dyDescent="0.3">
      <c r="A6" s="8"/>
      <c r="B6" s="8"/>
      <c r="C6" s="15" t="s">
        <v>650</v>
      </c>
      <c r="D6" s="16">
        <f>SUMIF('February 2013 - Data'!$G$2:$G$335,"PTR",'February 2013 - Data'!I2:I335)</f>
        <v>199741</v>
      </c>
      <c r="E6" s="17">
        <f>SUMIF('February 2013 - Data'!$G2:$G$335,"PTR",'February 2013 - Data'!J$2:J$335)</f>
        <v>4387</v>
      </c>
      <c r="F6" s="18">
        <f>SUM(D6)*D15</f>
        <v>5233.2142000000003</v>
      </c>
      <c r="G6" s="19">
        <f>SUM(E6)*E15</f>
        <v>517.66599999999994</v>
      </c>
      <c r="H6" s="5"/>
      <c r="I6" s="5"/>
      <c r="J6" s="20">
        <f>SUMIF('February 2013 - Data'!$G$2:$G$335,"PTR",'February 2013 - Data'!K$2:K$335)</f>
        <v>5233.2142000000003</v>
      </c>
      <c r="K6" s="21">
        <f>SUMIF('February 2013 - Data'!$G$2:$G$335,"PTR",'February 2013 - Data'!L$2:L$335)</f>
        <v>517.66600000000005</v>
      </c>
    </row>
    <row r="7" spans="1:11" ht="13.8" thickBot="1" x14ac:dyDescent="0.3">
      <c r="A7" s="8"/>
      <c r="B7" s="8"/>
      <c r="C7" s="22"/>
      <c r="D7" s="22"/>
      <c r="E7" s="25"/>
      <c r="F7" s="26"/>
      <c r="G7" s="4"/>
      <c r="H7" s="5"/>
      <c r="I7" s="5"/>
      <c r="J7" s="5"/>
      <c r="K7" s="5"/>
    </row>
    <row r="8" spans="1:11" ht="26.4" x14ac:dyDescent="0.25">
      <c r="A8" s="8"/>
      <c r="B8" s="8"/>
      <c r="C8" s="24"/>
      <c r="D8" s="13" t="s">
        <v>651</v>
      </c>
      <c r="E8" s="27" t="s">
        <v>652</v>
      </c>
      <c r="F8" s="11" t="s">
        <v>651</v>
      </c>
      <c r="G8" s="12" t="s">
        <v>652</v>
      </c>
      <c r="H8" s="5"/>
      <c r="I8" s="5"/>
      <c r="J8" s="13" t="s">
        <v>651</v>
      </c>
      <c r="K8" s="14" t="s">
        <v>652</v>
      </c>
    </row>
    <row r="9" spans="1:11" ht="13.8" thickBot="1" x14ac:dyDescent="0.3">
      <c r="A9" s="8"/>
      <c r="B9" s="8"/>
      <c r="C9" s="15" t="s">
        <v>653</v>
      </c>
      <c r="D9" s="16">
        <f>SUM(D3,D6)</f>
        <v>622393</v>
      </c>
      <c r="E9" s="17">
        <f>SUM(E3,E6)</f>
        <v>62791</v>
      </c>
      <c r="F9" s="18">
        <f>SUM(F3,F6)</f>
        <v>13982.1106</v>
      </c>
      <c r="G9" s="19">
        <f>ROUNDUP(G3+G6,2)</f>
        <v>5598.8200000000006</v>
      </c>
      <c r="H9" s="5"/>
      <c r="I9" s="5"/>
      <c r="J9" s="20">
        <f>SUM(J3,J6)</f>
        <v>13982.110600000004</v>
      </c>
      <c r="K9" s="21">
        <f>ROUNDUP(K3+K6,2)</f>
        <v>5598.8200000000006</v>
      </c>
    </row>
    <row r="10" spans="1:11" ht="13.8" thickBot="1" x14ac:dyDescent="0.3">
      <c r="A10" s="8"/>
      <c r="B10" s="8"/>
      <c r="C10" s="8"/>
      <c r="D10" s="22"/>
      <c r="E10" s="22"/>
      <c r="F10" s="22"/>
      <c r="G10" s="22"/>
      <c r="H10" s="5"/>
      <c r="I10" s="5"/>
      <c r="J10" s="5"/>
      <c r="K10" s="5"/>
    </row>
    <row r="11" spans="1:11" ht="27" thickBot="1" x14ac:dyDescent="0.3">
      <c r="A11" s="8"/>
      <c r="B11" s="8"/>
      <c r="C11" s="8"/>
      <c r="D11" s="22"/>
      <c r="E11" s="22"/>
      <c r="F11" s="13" t="s">
        <v>654</v>
      </c>
      <c r="G11" s="29">
        <f>(F9+G9)</f>
        <v>19580.9306</v>
      </c>
      <c r="H11" s="5"/>
      <c r="I11" s="5"/>
      <c r="J11" s="36" t="s">
        <v>654</v>
      </c>
      <c r="K11" s="37">
        <f>SUM(J9+K9)</f>
        <v>19580.930600000003</v>
      </c>
    </row>
    <row r="12" spans="1:11" ht="12.75" customHeight="1" x14ac:dyDescent="0.25">
      <c r="A12" s="8"/>
      <c r="B12" s="8"/>
      <c r="C12" s="8"/>
      <c r="F12" s="66" t="s">
        <v>795</v>
      </c>
      <c r="G12" s="29">
        <f>'February 2013 - HP Toner'!L40</f>
        <v>328.07</v>
      </c>
      <c r="J12" s="101" t="s">
        <v>796</v>
      </c>
      <c r="K12" s="104">
        <f>G13</f>
        <v>19909.000599999999</v>
      </c>
    </row>
    <row r="13" spans="1:11" ht="15.75" customHeight="1" thickBot="1" x14ac:dyDescent="0.3">
      <c r="A13" s="8"/>
      <c r="B13" s="8"/>
      <c r="C13" s="8"/>
      <c r="F13" s="30" t="s">
        <v>663</v>
      </c>
      <c r="G13" s="31">
        <f>SUM(G11:G12)</f>
        <v>19909.000599999999</v>
      </c>
      <c r="J13" s="102"/>
      <c r="K13" s="105"/>
    </row>
    <row r="14" spans="1:11" ht="15" customHeight="1" thickBot="1" x14ac:dyDescent="0.3">
      <c r="A14" s="8"/>
      <c r="B14" s="8"/>
      <c r="C14" s="32" t="s">
        <v>27</v>
      </c>
      <c r="D14" s="33">
        <f>Tables!B2</f>
        <v>2.07E-2</v>
      </c>
      <c r="E14" s="67">
        <f>Tables!B3</f>
        <v>8.6999999999999994E-2</v>
      </c>
      <c r="G14" s="81"/>
      <c r="J14" s="103"/>
      <c r="K14" s="106"/>
    </row>
    <row r="15" spans="1:11" ht="13.8" thickBot="1" x14ac:dyDescent="0.3">
      <c r="A15" s="8"/>
      <c r="B15" s="8"/>
      <c r="C15" s="34" t="s">
        <v>18</v>
      </c>
      <c r="D15" s="35">
        <f>Tables!B5</f>
        <v>2.6200000000000001E-2</v>
      </c>
      <c r="E15" s="68">
        <f>Tables!B6</f>
        <v>0.11799999999999999</v>
      </c>
    </row>
    <row r="18" spans="6:7" ht="12.75" x14ac:dyDescent="0.2">
      <c r="F18" s="135" t="s">
        <v>683</v>
      </c>
      <c r="G18" s="28">
        <f>COUNTIF('February 2013 - Data'!G2:G335,"MFP")</f>
        <v>63</v>
      </c>
    </row>
    <row r="19" spans="6:7" ht="12.75" x14ac:dyDescent="0.2">
      <c r="F19" s="135" t="s">
        <v>684</v>
      </c>
      <c r="G19" s="28">
        <f>COUNTIF('February 2013 - Data'!G2:G335,"PTR")</f>
        <v>186</v>
      </c>
    </row>
    <row r="20" spans="6:7" ht="13.5" thickBot="1" x14ac:dyDescent="0.25">
      <c r="F20" s="136" t="s">
        <v>685</v>
      </c>
      <c r="G20" s="28">
        <f>SUM(G18:G19)</f>
        <v>249</v>
      </c>
    </row>
  </sheetData>
  <mergeCells count="2">
    <mergeCell ref="J12:J14"/>
    <mergeCell ref="K12:K14"/>
  </mergeCell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equal" id="{EBF384B6-41A0-47D0-B782-E878837656B6}">
            <xm:f>'February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10" operator="equal" id="{7343C23D-9CCD-426F-BB96-53F19DBA29B9}">
            <xm:f>'February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43" operator="equal" id="{822F40CB-8DD6-45CC-AF4D-8F8CBA9479C9}">
            <xm:f>'February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J9:K9</xm:sqref>
        </x14:conditionalFormatting>
        <x14:conditionalFormatting xmlns:xm="http://schemas.microsoft.com/office/excel/2006/main">
          <x14:cfRule type="cellIs" priority="50" operator="equal" id="{314766D2-E8F7-4E9E-88F7-2AEB8291A8A2}">
            <xm:f>'February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K11</xm:sqref>
        </x14:conditionalFormatting>
        <x14:conditionalFormatting xmlns:xm="http://schemas.microsoft.com/office/excel/2006/main">
          <x14:cfRule type="cellIs" priority="51" operator="equal" id="{9AA01DD0-BCC8-40DF-BD94-775BC278F280}">
            <xm:f>'February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D9:E9</xm:sqref>
        </x14:conditionalFormatting>
        <x14:conditionalFormatting xmlns:xm="http://schemas.microsoft.com/office/excel/2006/main">
          <x14:cfRule type="cellIs" priority="56" operator="equal" id="{7E49F3A8-220B-45F4-B85A-B40A548ECA6C}">
            <xm:f>'February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" operator="equal" id="{FB61B81E-6FDE-4302-B5BB-42F476FFD6AA}">
            <xm:f>'February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ellIs" priority="58" operator="equal" id="{C59D27DF-EE26-46ED-AC6F-91F300135E75}">
            <xm:f>'February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" operator="equal" id="{792F373A-3030-4912-B960-C41134F6FCF5}">
            <xm:f>'February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>
      <selection activeCell="G1" sqref="G1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.88671875" customWidth="1"/>
    <col min="4" max="4" width="15.88671875" customWidth="1"/>
    <col min="6" max="6" width="3.33203125" customWidth="1"/>
    <col min="7" max="7" width="21.33203125" bestFit="1" customWidth="1"/>
    <col min="8" max="8" width="27.88671875" bestFit="1" customWidth="1"/>
  </cols>
  <sheetData>
    <row r="1" spans="1:8" x14ac:dyDescent="0.3">
      <c r="A1" s="100" t="s">
        <v>655</v>
      </c>
      <c r="B1" s="100"/>
      <c r="D1" s="96" t="s">
        <v>660</v>
      </c>
      <c r="E1" s="96" t="s">
        <v>661</v>
      </c>
      <c r="F1" s="97"/>
      <c r="G1" s="98" t="s">
        <v>880</v>
      </c>
      <c r="H1" s="98" t="s">
        <v>881</v>
      </c>
    </row>
    <row r="2" spans="1:8" x14ac:dyDescent="0.3">
      <c r="A2" s="93" t="s">
        <v>656</v>
      </c>
      <c r="B2" s="94">
        <v>2.07E-2</v>
      </c>
      <c r="D2" s="1" t="s">
        <v>159</v>
      </c>
      <c r="E2" s="2" t="s">
        <v>27</v>
      </c>
      <c r="G2" t="s">
        <v>327</v>
      </c>
      <c r="H2" t="s">
        <v>328</v>
      </c>
    </row>
    <row r="3" spans="1:8" x14ac:dyDescent="0.3">
      <c r="A3" s="93" t="s">
        <v>657</v>
      </c>
      <c r="B3" s="94">
        <v>8.6999999999999994E-2</v>
      </c>
      <c r="D3" s="1" t="s">
        <v>411</v>
      </c>
      <c r="E3" s="2" t="s">
        <v>27</v>
      </c>
      <c r="G3" t="s">
        <v>308</v>
      </c>
      <c r="H3" t="s">
        <v>886</v>
      </c>
    </row>
    <row r="4" spans="1:8" x14ac:dyDescent="0.3">
      <c r="A4" s="95"/>
      <c r="B4" s="95"/>
      <c r="D4" s="1" t="s">
        <v>415</v>
      </c>
      <c r="E4" s="2" t="s">
        <v>27</v>
      </c>
      <c r="G4" t="s">
        <v>12</v>
      </c>
      <c r="H4" t="s">
        <v>13</v>
      </c>
    </row>
    <row r="5" spans="1:8" x14ac:dyDescent="0.3">
      <c r="A5" s="93" t="s">
        <v>658</v>
      </c>
      <c r="B5" s="95">
        <v>2.6200000000000001E-2</v>
      </c>
      <c r="D5" s="1" t="s">
        <v>54</v>
      </c>
      <c r="E5" s="2" t="s">
        <v>27</v>
      </c>
      <c r="G5" t="s">
        <v>22</v>
      </c>
      <c r="H5" t="s">
        <v>23</v>
      </c>
    </row>
    <row r="6" spans="1:8" x14ac:dyDescent="0.3">
      <c r="A6" s="93" t="s">
        <v>659</v>
      </c>
      <c r="B6" s="94">
        <v>0.11799999999999999</v>
      </c>
      <c r="D6" s="1" t="s">
        <v>24</v>
      </c>
      <c r="E6" s="2" t="s">
        <v>27</v>
      </c>
      <c r="G6" t="s">
        <v>500</v>
      </c>
      <c r="H6" t="s">
        <v>887</v>
      </c>
    </row>
    <row r="7" spans="1:8" x14ac:dyDescent="0.3">
      <c r="D7" s="1" t="s">
        <v>84</v>
      </c>
      <c r="E7" s="2" t="s">
        <v>27</v>
      </c>
      <c r="G7" t="s">
        <v>619</v>
      </c>
      <c r="H7" t="s">
        <v>620</v>
      </c>
    </row>
    <row r="8" spans="1:8" x14ac:dyDescent="0.3">
      <c r="D8" s="1" t="s">
        <v>419</v>
      </c>
      <c r="E8" s="2" t="s">
        <v>27</v>
      </c>
      <c r="G8" t="s">
        <v>607</v>
      </c>
      <c r="H8" t="s">
        <v>608</v>
      </c>
    </row>
    <row r="9" spans="1:8" x14ac:dyDescent="0.3">
      <c r="D9" s="1" t="s">
        <v>15</v>
      </c>
      <c r="E9" s="2" t="s">
        <v>662</v>
      </c>
      <c r="G9" t="s">
        <v>595</v>
      </c>
      <c r="H9" t="s">
        <v>841</v>
      </c>
    </row>
    <row r="10" spans="1:8" x14ac:dyDescent="0.3">
      <c r="D10" s="1" t="s">
        <v>92</v>
      </c>
      <c r="E10" s="2" t="s">
        <v>662</v>
      </c>
      <c r="G10" t="s">
        <v>842</v>
      </c>
      <c r="H10" t="s">
        <v>843</v>
      </c>
    </row>
    <row r="11" spans="1:8" x14ac:dyDescent="0.3">
      <c r="D11" s="2" t="s">
        <v>740</v>
      </c>
      <c r="E11" s="2" t="s">
        <v>662</v>
      </c>
      <c r="G11" t="s">
        <v>615</v>
      </c>
      <c r="H11" t="s">
        <v>616</v>
      </c>
    </row>
    <row r="12" spans="1:8" x14ac:dyDescent="0.3">
      <c r="D12" s="2" t="s">
        <v>777</v>
      </c>
      <c r="E12" s="2" t="s">
        <v>27</v>
      </c>
      <c r="G12" t="s">
        <v>623</v>
      </c>
      <c r="H12" t="s">
        <v>624</v>
      </c>
    </row>
    <row r="13" spans="1:8" x14ac:dyDescent="0.3">
      <c r="G13" t="s">
        <v>687</v>
      </c>
      <c r="H13" t="s">
        <v>844</v>
      </c>
    </row>
    <row r="14" spans="1:8" x14ac:dyDescent="0.3">
      <c r="G14" t="s">
        <v>584</v>
      </c>
      <c r="H14" t="s">
        <v>585</v>
      </c>
    </row>
    <row r="15" spans="1:8" x14ac:dyDescent="0.3">
      <c r="G15" t="s">
        <v>563</v>
      </c>
      <c r="H15" t="s">
        <v>564</v>
      </c>
    </row>
    <row r="16" spans="1:8" x14ac:dyDescent="0.3">
      <c r="G16" t="s">
        <v>792</v>
      </c>
      <c r="H16" t="s">
        <v>845</v>
      </c>
    </row>
    <row r="17" spans="7:8" x14ac:dyDescent="0.3">
      <c r="G17" t="s">
        <v>478</v>
      </c>
      <c r="H17" t="s">
        <v>479</v>
      </c>
    </row>
    <row r="18" spans="7:8" x14ac:dyDescent="0.3">
      <c r="G18" t="s">
        <v>554</v>
      </c>
      <c r="H18" t="s">
        <v>555</v>
      </c>
    </row>
    <row r="19" spans="7:8" x14ac:dyDescent="0.3">
      <c r="G19" t="s">
        <v>733</v>
      </c>
      <c r="H19" t="s">
        <v>846</v>
      </c>
    </row>
    <row r="20" spans="7:8" x14ac:dyDescent="0.3">
      <c r="G20" t="s">
        <v>847</v>
      </c>
      <c r="H20" t="s">
        <v>52</v>
      </c>
    </row>
    <row r="21" spans="7:8" x14ac:dyDescent="0.3">
      <c r="G21" t="s">
        <v>378</v>
      </c>
      <c r="H21" t="s">
        <v>379</v>
      </c>
    </row>
    <row r="22" spans="7:8" x14ac:dyDescent="0.3">
      <c r="G22" t="s">
        <v>837</v>
      </c>
      <c r="H22" t="s">
        <v>838</v>
      </c>
    </row>
    <row r="23" spans="7:8" x14ac:dyDescent="0.3">
      <c r="G23" t="s">
        <v>579</v>
      </c>
      <c r="H23" t="s">
        <v>580</v>
      </c>
    </row>
    <row r="24" spans="7:8" x14ac:dyDescent="0.3">
      <c r="G24" t="s">
        <v>297</v>
      </c>
      <c r="H24" t="s">
        <v>848</v>
      </c>
    </row>
    <row r="25" spans="7:8" x14ac:dyDescent="0.3">
      <c r="G25" t="s">
        <v>525</v>
      </c>
      <c r="H25" t="s">
        <v>526</v>
      </c>
    </row>
    <row r="26" spans="7:8" x14ac:dyDescent="0.3">
      <c r="G26" t="s">
        <v>71</v>
      </c>
      <c r="H26" t="s">
        <v>70</v>
      </c>
    </row>
    <row r="27" spans="7:8" x14ac:dyDescent="0.3">
      <c r="G27" t="s">
        <v>81</v>
      </c>
      <c r="H27" t="s">
        <v>82</v>
      </c>
    </row>
    <row r="28" spans="7:8" x14ac:dyDescent="0.3">
      <c r="G28" t="s">
        <v>546</v>
      </c>
      <c r="H28" t="s">
        <v>547</v>
      </c>
    </row>
    <row r="29" spans="7:8" x14ac:dyDescent="0.3">
      <c r="G29" t="s">
        <v>530</v>
      </c>
      <c r="H29" t="s">
        <v>531</v>
      </c>
    </row>
    <row r="30" spans="7:8" x14ac:dyDescent="0.3">
      <c r="G30" t="s">
        <v>493</v>
      </c>
      <c r="H30" t="s">
        <v>489</v>
      </c>
    </row>
    <row r="31" spans="7:8" x14ac:dyDescent="0.3">
      <c r="G31" t="s">
        <v>849</v>
      </c>
      <c r="H31" t="s">
        <v>850</v>
      </c>
    </row>
    <row r="32" spans="7:8" x14ac:dyDescent="0.3">
      <c r="G32" t="s">
        <v>414</v>
      </c>
      <c r="H32" t="s">
        <v>418</v>
      </c>
    </row>
    <row r="33" spans="7:8" x14ac:dyDescent="0.3">
      <c r="G33" t="s">
        <v>390</v>
      </c>
      <c r="H33" t="s">
        <v>391</v>
      </c>
    </row>
    <row r="34" spans="7:8" x14ac:dyDescent="0.3">
      <c r="G34" t="s">
        <v>409</v>
      </c>
      <c r="H34" t="s">
        <v>410</v>
      </c>
    </row>
    <row r="35" spans="7:8" x14ac:dyDescent="0.3">
      <c r="G35" t="s">
        <v>851</v>
      </c>
      <c r="H35" t="s">
        <v>852</v>
      </c>
    </row>
    <row r="36" spans="7:8" x14ac:dyDescent="0.3">
      <c r="G36" t="s">
        <v>278</v>
      </c>
      <c r="H36" t="s">
        <v>853</v>
      </c>
    </row>
    <row r="37" spans="7:8" x14ac:dyDescent="0.3">
      <c r="G37" t="s">
        <v>238</v>
      </c>
      <c r="H37" t="s">
        <v>854</v>
      </c>
    </row>
    <row r="38" spans="7:8" x14ac:dyDescent="0.3">
      <c r="G38" t="s">
        <v>96</v>
      </c>
      <c r="H38" t="s">
        <v>97</v>
      </c>
    </row>
    <row r="39" spans="7:8" x14ac:dyDescent="0.3">
      <c r="G39" t="s">
        <v>107</v>
      </c>
      <c r="H39" t="s">
        <v>108</v>
      </c>
    </row>
    <row r="40" spans="7:8" x14ac:dyDescent="0.3">
      <c r="G40" t="s">
        <v>101</v>
      </c>
      <c r="H40" t="s">
        <v>855</v>
      </c>
    </row>
    <row r="41" spans="7:8" x14ac:dyDescent="0.3">
      <c r="G41" t="s">
        <v>856</v>
      </c>
      <c r="H41" t="s">
        <v>298</v>
      </c>
    </row>
    <row r="42" spans="7:8" x14ac:dyDescent="0.3">
      <c r="G42" t="s">
        <v>144</v>
      </c>
      <c r="H42" t="s">
        <v>143</v>
      </c>
    </row>
    <row r="43" spans="7:8" x14ac:dyDescent="0.3">
      <c r="G43" t="s">
        <v>396</v>
      </c>
      <c r="H43" t="s">
        <v>397</v>
      </c>
    </row>
    <row r="44" spans="7:8" x14ac:dyDescent="0.3">
      <c r="G44" t="s">
        <v>426</v>
      </c>
      <c r="H44" t="s">
        <v>427</v>
      </c>
    </row>
    <row r="45" spans="7:8" x14ac:dyDescent="0.3">
      <c r="G45" t="s">
        <v>271</v>
      </c>
      <c r="H45" t="s">
        <v>272</v>
      </c>
    </row>
    <row r="46" spans="7:8" x14ac:dyDescent="0.3">
      <c r="G46" t="s">
        <v>760</v>
      </c>
      <c r="H46" t="s">
        <v>857</v>
      </c>
    </row>
    <row r="47" spans="7:8" x14ac:dyDescent="0.3">
      <c r="G47" t="s">
        <v>858</v>
      </c>
      <c r="H47" t="s">
        <v>859</v>
      </c>
    </row>
    <row r="48" spans="7:8" x14ac:dyDescent="0.3">
      <c r="G48" t="s">
        <v>488</v>
      </c>
      <c r="H48" t="s">
        <v>860</v>
      </c>
    </row>
    <row r="49" spans="7:8" x14ac:dyDescent="0.3">
      <c r="G49" t="s">
        <v>735</v>
      </c>
      <c r="H49" t="s">
        <v>157</v>
      </c>
    </row>
    <row r="50" spans="7:8" x14ac:dyDescent="0.3">
      <c r="G50" t="s">
        <v>734</v>
      </c>
      <c r="H50" t="s">
        <v>861</v>
      </c>
    </row>
    <row r="51" spans="7:8" x14ac:dyDescent="0.3">
      <c r="G51" t="s">
        <v>862</v>
      </c>
      <c r="H51" t="s">
        <v>155</v>
      </c>
    </row>
    <row r="52" spans="7:8" x14ac:dyDescent="0.3">
      <c r="G52" t="s">
        <v>599</v>
      </c>
      <c r="H52" t="s">
        <v>598</v>
      </c>
    </row>
    <row r="53" spans="7:8" x14ac:dyDescent="0.3">
      <c r="G53" t="s">
        <v>863</v>
      </c>
      <c r="H53" t="s">
        <v>864</v>
      </c>
    </row>
    <row r="54" spans="7:8" x14ac:dyDescent="0.3">
      <c r="G54" t="s">
        <v>865</v>
      </c>
      <c r="H54" t="s">
        <v>866</v>
      </c>
    </row>
    <row r="55" spans="7:8" x14ac:dyDescent="0.3">
      <c r="G55" t="s">
        <v>867</v>
      </c>
      <c r="H55" t="s">
        <v>868</v>
      </c>
    </row>
    <row r="56" spans="7:8" x14ac:dyDescent="0.3">
      <c r="G56" t="s">
        <v>242</v>
      </c>
      <c r="H56" t="s">
        <v>239</v>
      </c>
    </row>
    <row r="57" spans="7:8" x14ac:dyDescent="0.3">
      <c r="G57" t="s">
        <v>175</v>
      </c>
      <c r="H57" t="s">
        <v>176</v>
      </c>
    </row>
    <row r="58" spans="7:8" x14ac:dyDescent="0.3">
      <c r="G58" t="s">
        <v>166</v>
      </c>
      <c r="H58" t="s">
        <v>167</v>
      </c>
    </row>
    <row r="59" spans="7:8" x14ac:dyDescent="0.3">
      <c r="G59" t="s">
        <v>181</v>
      </c>
      <c r="H59" t="s">
        <v>180</v>
      </c>
    </row>
    <row r="60" spans="7:8" x14ac:dyDescent="0.3">
      <c r="G60" t="s">
        <v>189</v>
      </c>
      <c r="H60" t="s">
        <v>188</v>
      </c>
    </row>
    <row r="61" spans="7:8" x14ac:dyDescent="0.3">
      <c r="G61" t="s">
        <v>233</v>
      </c>
      <c r="H61" t="s">
        <v>234</v>
      </c>
    </row>
    <row r="62" spans="7:8" x14ac:dyDescent="0.3">
      <c r="G62" t="s">
        <v>198</v>
      </c>
      <c r="H62" t="s">
        <v>199</v>
      </c>
    </row>
    <row r="63" spans="7:8" x14ac:dyDescent="0.3">
      <c r="G63" t="s">
        <v>206</v>
      </c>
      <c r="H63" t="s">
        <v>205</v>
      </c>
    </row>
    <row r="64" spans="7:8" x14ac:dyDescent="0.3">
      <c r="G64" t="s">
        <v>504</v>
      </c>
      <c r="H64" t="s">
        <v>505</v>
      </c>
    </row>
    <row r="65" spans="7:8" x14ac:dyDescent="0.3">
      <c r="G65" t="s">
        <v>869</v>
      </c>
      <c r="H65" t="s">
        <v>870</v>
      </c>
    </row>
    <row r="66" spans="7:8" x14ac:dyDescent="0.3">
      <c r="G66" t="s">
        <v>688</v>
      </c>
      <c r="H66" t="s">
        <v>516</v>
      </c>
    </row>
    <row r="67" spans="7:8" x14ac:dyDescent="0.3">
      <c r="G67" t="s">
        <v>732</v>
      </c>
      <c r="H67" t="s">
        <v>871</v>
      </c>
    </row>
    <row r="68" spans="7:8" x14ac:dyDescent="0.3">
      <c r="G68" t="s">
        <v>872</v>
      </c>
      <c r="H68" t="s">
        <v>216</v>
      </c>
    </row>
    <row r="69" spans="7:8" x14ac:dyDescent="0.3">
      <c r="G69" t="s">
        <v>873</v>
      </c>
      <c r="H69" t="s">
        <v>874</v>
      </c>
    </row>
    <row r="70" spans="7:8" x14ac:dyDescent="0.3">
      <c r="G70" t="s">
        <v>570</v>
      </c>
      <c r="H70" t="s">
        <v>571</v>
      </c>
    </row>
    <row r="71" spans="7:8" x14ac:dyDescent="0.3">
      <c r="G71" t="s">
        <v>875</v>
      </c>
      <c r="H71" t="s">
        <v>876</v>
      </c>
    </row>
    <row r="72" spans="7:8" x14ac:dyDescent="0.3">
      <c r="G72" t="s">
        <v>484</v>
      </c>
      <c r="H72" t="s">
        <v>483</v>
      </c>
    </row>
    <row r="73" spans="7:8" x14ac:dyDescent="0.3">
      <c r="G73" t="s">
        <v>221</v>
      </c>
      <c r="H73" t="s">
        <v>877</v>
      </c>
    </row>
    <row r="74" spans="7:8" x14ac:dyDescent="0.3">
      <c r="G74" t="s">
        <v>345</v>
      </c>
      <c r="H74" t="s">
        <v>550</v>
      </c>
    </row>
    <row r="75" spans="7:8" x14ac:dyDescent="0.3">
      <c r="G75" t="s">
        <v>336</v>
      </c>
      <c r="H75" t="s">
        <v>337</v>
      </c>
    </row>
    <row r="76" spans="7:8" x14ac:dyDescent="0.3">
      <c r="G76" t="s">
        <v>365</v>
      </c>
      <c r="H76" t="s">
        <v>364</v>
      </c>
    </row>
    <row r="77" spans="7:8" x14ac:dyDescent="0.3">
      <c r="G77" t="s">
        <v>749</v>
      </c>
      <c r="H77" t="s">
        <v>748</v>
      </c>
    </row>
    <row r="78" spans="7:8" x14ac:dyDescent="0.3">
      <c r="G78" t="s">
        <v>839</v>
      </c>
      <c r="H78" t="s">
        <v>878</v>
      </c>
    </row>
    <row r="79" spans="7:8" x14ac:dyDescent="0.3">
      <c r="G79" t="s">
        <v>289</v>
      </c>
      <c r="H79" t="s">
        <v>879</v>
      </c>
    </row>
  </sheetData>
  <sortState ref="G2:H74">
    <sortCondition ref="G2"/>
  </sortState>
  <mergeCells count="1">
    <mergeCell ref="A1:B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Views>
    <sheetView topLeftCell="A234" workbookViewId="0">
      <selection activeCell="C252" sqref="C252"/>
    </sheetView>
  </sheetViews>
  <sheetFormatPr defaultRowHeight="15" x14ac:dyDescent="0.3"/>
  <cols>
    <col min="1" max="1" width="29" style="75" customWidth="1"/>
    <col min="2" max="2" width="12.6640625" style="76" bestFit="1" customWidth="1"/>
    <col min="3" max="3" width="17.109375" style="62" bestFit="1" customWidth="1"/>
    <col min="4" max="4" width="12.88671875" style="62" customWidth="1"/>
    <col min="5" max="5" width="10.88671875" style="62" customWidth="1"/>
    <col min="6" max="7" width="12.109375" style="62" customWidth="1"/>
  </cols>
  <sheetData>
    <row r="1" spans="1:7" ht="60" x14ac:dyDescent="0.25">
      <c r="A1" s="75" t="s">
        <v>817</v>
      </c>
      <c r="B1" s="74" t="s">
        <v>799</v>
      </c>
      <c r="C1" s="75" t="s">
        <v>4</v>
      </c>
      <c r="D1" s="75" t="s">
        <v>800</v>
      </c>
      <c r="E1" s="75" t="s">
        <v>801</v>
      </c>
      <c r="F1" s="75" t="s">
        <v>802</v>
      </c>
      <c r="G1" s="75" t="s">
        <v>803</v>
      </c>
    </row>
    <row r="2" spans="1:7" x14ac:dyDescent="0.25">
      <c r="A2" s="75" t="s">
        <v>270</v>
      </c>
      <c r="B2" s="76">
        <v>17099400</v>
      </c>
      <c r="C2" s="62" t="s">
        <v>273</v>
      </c>
      <c r="D2" s="64">
        <v>23181</v>
      </c>
      <c r="E2" s="64">
        <v>26942</v>
      </c>
      <c r="F2" s="64">
        <v>2384</v>
      </c>
      <c r="G2" s="64">
        <v>2883</v>
      </c>
    </row>
    <row r="3" spans="1:7" x14ac:dyDescent="0.25">
      <c r="A3" s="75" t="s">
        <v>562</v>
      </c>
      <c r="B3" s="76">
        <v>17099401</v>
      </c>
      <c r="C3" s="62" t="s">
        <v>565</v>
      </c>
      <c r="D3" s="64">
        <v>4566</v>
      </c>
      <c r="E3" s="64">
        <v>6070</v>
      </c>
      <c r="F3" s="64">
        <v>0</v>
      </c>
      <c r="G3" s="64">
        <v>0</v>
      </c>
    </row>
    <row r="4" spans="1:7" x14ac:dyDescent="0.25">
      <c r="A4" s="75" t="s">
        <v>503</v>
      </c>
      <c r="B4" s="76">
        <v>17099402</v>
      </c>
      <c r="C4" s="62" t="s">
        <v>508</v>
      </c>
      <c r="D4" s="64">
        <v>4650</v>
      </c>
      <c r="E4" s="64">
        <v>6470</v>
      </c>
      <c r="F4" s="64">
        <v>0</v>
      </c>
      <c r="G4" s="64">
        <v>0</v>
      </c>
    </row>
    <row r="5" spans="1:7" x14ac:dyDescent="0.25">
      <c r="A5" s="75" t="s">
        <v>155</v>
      </c>
      <c r="B5" s="76">
        <v>17099404</v>
      </c>
      <c r="C5" s="62" t="s">
        <v>778</v>
      </c>
      <c r="D5" s="64">
        <v>24677</v>
      </c>
      <c r="E5" s="64">
        <v>39625</v>
      </c>
      <c r="F5" s="64">
        <v>1530</v>
      </c>
      <c r="G5" s="64">
        <v>1530</v>
      </c>
    </row>
    <row r="6" spans="1:7" x14ac:dyDescent="0.25">
      <c r="A6" s="75" t="s">
        <v>188</v>
      </c>
      <c r="B6" s="76">
        <v>17099405</v>
      </c>
      <c r="C6" s="62" t="s">
        <v>812</v>
      </c>
      <c r="D6" s="64">
        <v>13939</v>
      </c>
      <c r="E6" s="64">
        <v>26862</v>
      </c>
      <c r="F6" s="64">
        <v>879</v>
      </c>
      <c r="G6" s="64">
        <v>1314</v>
      </c>
    </row>
    <row r="7" spans="1:7" x14ac:dyDescent="0.25">
      <c r="A7" s="75" t="s">
        <v>738</v>
      </c>
      <c r="B7" s="76">
        <v>17099406</v>
      </c>
      <c r="C7" s="62" t="s">
        <v>752</v>
      </c>
      <c r="D7" s="64">
        <v>1558</v>
      </c>
      <c r="E7" s="64">
        <v>2432</v>
      </c>
      <c r="F7" s="64">
        <v>0</v>
      </c>
      <c r="G7" s="64">
        <v>0</v>
      </c>
    </row>
    <row r="8" spans="1:7" ht="30" x14ac:dyDescent="0.25">
      <c r="A8" s="75" t="s">
        <v>296</v>
      </c>
      <c r="B8" s="76">
        <v>17099420</v>
      </c>
      <c r="C8" s="62" t="s">
        <v>434</v>
      </c>
      <c r="D8" s="64">
        <v>154317</v>
      </c>
      <c r="E8" s="64">
        <v>170054</v>
      </c>
      <c r="F8" s="64">
        <v>9923</v>
      </c>
      <c r="G8" s="64">
        <v>11817</v>
      </c>
    </row>
    <row r="9" spans="1:7" x14ac:dyDescent="0.25">
      <c r="A9" s="75" t="s">
        <v>279</v>
      </c>
      <c r="B9" s="76">
        <v>17099421</v>
      </c>
      <c r="C9" s="62" t="s">
        <v>420</v>
      </c>
      <c r="D9" s="64">
        <v>34001</v>
      </c>
      <c r="E9" s="64">
        <v>45970</v>
      </c>
      <c r="F9" s="64">
        <v>51382</v>
      </c>
      <c r="G9" s="64">
        <v>65242</v>
      </c>
    </row>
    <row r="10" spans="1:7" x14ac:dyDescent="0.25">
      <c r="A10" s="78" t="s">
        <v>395</v>
      </c>
      <c r="B10" s="77">
        <v>17099422</v>
      </c>
      <c r="C10" s="63" t="s">
        <v>485</v>
      </c>
      <c r="D10" s="65">
        <v>2309</v>
      </c>
      <c r="E10" s="65">
        <v>2916</v>
      </c>
      <c r="F10" s="65">
        <v>0</v>
      </c>
      <c r="G10" s="65">
        <v>0</v>
      </c>
    </row>
    <row r="11" spans="1:7" x14ac:dyDescent="0.25">
      <c r="A11" s="75" t="s">
        <v>307</v>
      </c>
      <c r="B11" s="76">
        <v>17099423</v>
      </c>
      <c r="C11" s="62" t="s">
        <v>317</v>
      </c>
      <c r="D11" s="64">
        <v>90</v>
      </c>
      <c r="E11" s="64">
        <v>196</v>
      </c>
      <c r="F11" s="64">
        <v>214</v>
      </c>
      <c r="G11" s="64">
        <v>550</v>
      </c>
    </row>
    <row r="12" spans="1:7" x14ac:dyDescent="0.25">
      <c r="A12" s="75" t="s">
        <v>583</v>
      </c>
      <c r="B12" s="76">
        <v>17099424</v>
      </c>
      <c r="C12" s="62" t="s">
        <v>586</v>
      </c>
      <c r="D12" s="64">
        <v>4051</v>
      </c>
      <c r="E12" s="64">
        <v>5577</v>
      </c>
      <c r="F12" s="64">
        <v>504</v>
      </c>
      <c r="G12" s="64">
        <v>620</v>
      </c>
    </row>
    <row r="13" spans="1:7" x14ac:dyDescent="0.25">
      <c r="A13" s="75" t="s">
        <v>21</v>
      </c>
      <c r="B13" s="76">
        <v>17099425</v>
      </c>
      <c r="C13" s="62" t="s">
        <v>32</v>
      </c>
      <c r="D13" s="64">
        <v>761</v>
      </c>
      <c r="E13" s="64">
        <v>1010</v>
      </c>
      <c r="F13" s="64">
        <v>0</v>
      </c>
      <c r="G13" s="64">
        <v>0</v>
      </c>
    </row>
    <row r="14" spans="1:7" x14ac:dyDescent="0.25">
      <c r="A14" s="75" t="s">
        <v>21</v>
      </c>
      <c r="B14" s="76">
        <v>17099426</v>
      </c>
      <c r="C14" s="62" t="s">
        <v>38</v>
      </c>
      <c r="D14" s="64">
        <v>329</v>
      </c>
      <c r="E14" s="64">
        <v>384</v>
      </c>
      <c r="F14" s="64">
        <v>0</v>
      </c>
      <c r="G14" s="64">
        <v>0</v>
      </c>
    </row>
    <row r="15" spans="1:7" x14ac:dyDescent="0.25">
      <c r="A15" s="75" t="s">
        <v>21</v>
      </c>
      <c r="B15" s="76">
        <v>17099427</v>
      </c>
      <c r="C15" s="62" t="s">
        <v>48</v>
      </c>
      <c r="D15" s="64">
        <v>1059</v>
      </c>
      <c r="E15" s="64">
        <v>1475</v>
      </c>
      <c r="F15" s="64">
        <v>0</v>
      </c>
      <c r="G15" s="64">
        <v>0</v>
      </c>
    </row>
    <row r="16" spans="1:7" x14ac:dyDescent="0.25">
      <c r="A16" s="75" t="s">
        <v>21</v>
      </c>
      <c r="B16" s="76">
        <v>17099428</v>
      </c>
      <c r="C16" s="62" t="s">
        <v>42</v>
      </c>
      <c r="D16" s="64">
        <v>1042</v>
      </c>
      <c r="E16" s="64">
        <v>1147</v>
      </c>
      <c r="F16" s="64">
        <v>0</v>
      </c>
      <c r="G16" s="64">
        <v>0</v>
      </c>
    </row>
    <row r="17" spans="1:7" x14ac:dyDescent="0.25">
      <c r="A17" s="75" t="s">
        <v>197</v>
      </c>
      <c r="B17" s="76">
        <v>17099429</v>
      </c>
      <c r="C17" s="62" t="s">
        <v>203</v>
      </c>
      <c r="D17" s="64">
        <v>373</v>
      </c>
      <c r="E17" s="64">
        <v>461</v>
      </c>
      <c r="F17" s="64">
        <v>0</v>
      </c>
      <c r="G17" s="64">
        <v>0</v>
      </c>
    </row>
    <row r="18" spans="1:7" x14ac:dyDescent="0.25">
      <c r="A18" s="75" t="s">
        <v>21</v>
      </c>
      <c r="B18" s="76">
        <v>17099430</v>
      </c>
      <c r="C18" s="62" t="s">
        <v>40</v>
      </c>
      <c r="D18" s="64">
        <v>287</v>
      </c>
      <c r="E18" s="64">
        <v>441</v>
      </c>
      <c r="F18" s="64">
        <v>0</v>
      </c>
      <c r="G18" s="64">
        <v>0</v>
      </c>
    </row>
    <row r="19" spans="1:7" x14ac:dyDescent="0.25">
      <c r="A19" s="75" t="s">
        <v>197</v>
      </c>
      <c r="B19" s="76">
        <v>17099431</v>
      </c>
      <c r="C19" s="62" t="s">
        <v>814</v>
      </c>
      <c r="D19" s="64">
        <v>1358</v>
      </c>
      <c r="E19" s="64">
        <v>1681</v>
      </c>
      <c r="F19" s="64">
        <v>0</v>
      </c>
      <c r="G19" s="64">
        <v>0</v>
      </c>
    </row>
    <row r="20" spans="1:7" x14ac:dyDescent="0.25">
      <c r="A20" s="75" t="s">
        <v>177</v>
      </c>
      <c r="B20" s="76">
        <v>17099432</v>
      </c>
      <c r="C20" s="62" t="s">
        <v>247</v>
      </c>
      <c r="D20" s="64">
        <v>17684</v>
      </c>
      <c r="E20" s="64">
        <v>21492</v>
      </c>
      <c r="F20" s="64">
        <v>3760</v>
      </c>
      <c r="G20" s="64">
        <v>5271</v>
      </c>
    </row>
    <row r="21" spans="1:7" x14ac:dyDescent="0.25">
      <c r="A21" s="75" t="s">
        <v>748</v>
      </c>
      <c r="B21" s="76">
        <v>17099433</v>
      </c>
      <c r="C21" s="61" t="s">
        <v>750</v>
      </c>
      <c r="D21" s="64">
        <v>1</v>
      </c>
      <c r="E21" s="69">
        <v>6367</v>
      </c>
      <c r="F21" s="64">
        <v>0</v>
      </c>
      <c r="G21" s="64">
        <v>0</v>
      </c>
    </row>
    <row r="22" spans="1:7" x14ac:dyDescent="0.25">
      <c r="A22" s="75" t="s">
        <v>21</v>
      </c>
      <c r="B22" s="76">
        <v>17099434</v>
      </c>
      <c r="C22" s="62" t="s">
        <v>25</v>
      </c>
      <c r="D22" s="64">
        <v>64703</v>
      </c>
      <c r="E22" s="64">
        <v>75288</v>
      </c>
      <c r="F22" s="64">
        <v>5655</v>
      </c>
      <c r="G22" s="64">
        <v>7409</v>
      </c>
    </row>
    <row r="23" spans="1:7" x14ac:dyDescent="0.25">
      <c r="A23" s="75" t="s">
        <v>21</v>
      </c>
      <c r="B23" s="76">
        <v>17099435</v>
      </c>
      <c r="C23" s="62" t="s">
        <v>46</v>
      </c>
      <c r="D23" s="64">
        <v>368</v>
      </c>
      <c r="E23" s="64">
        <v>484</v>
      </c>
      <c r="F23" s="64">
        <v>0</v>
      </c>
      <c r="G23" s="64">
        <v>0</v>
      </c>
    </row>
    <row r="24" spans="1:7" x14ac:dyDescent="0.25">
      <c r="A24" s="75" t="s">
        <v>21</v>
      </c>
      <c r="B24" s="76">
        <v>17099436</v>
      </c>
      <c r="C24" s="62" t="s">
        <v>36</v>
      </c>
      <c r="D24" s="64">
        <v>1616</v>
      </c>
      <c r="E24" s="64">
        <v>1896</v>
      </c>
      <c r="F24" s="64">
        <v>0</v>
      </c>
      <c r="G24" s="64">
        <v>0</v>
      </c>
    </row>
    <row r="25" spans="1:7" x14ac:dyDescent="0.25">
      <c r="A25" s="75" t="s">
        <v>21</v>
      </c>
      <c r="B25" s="76">
        <v>17099437</v>
      </c>
      <c r="C25" s="62" t="s">
        <v>44</v>
      </c>
      <c r="D25" s="64">
        <v>1086</v>
      </c>
      <c r="E25" s="64">
        <v>1340</v>
      </c>
      <c r="F25" s="64">
        <v>0</v>
      </c>
      <c r="G25" s="64">
        <v>0</v>
      </c>
    </row>
    <row r="26" spans="1:7" x14ac:dyDescent="0.25">
      <c r="A26" s="75" t="s">
        <v>11</v>
      </c>
      <c r="B26" s="76">
        <v>17099438</v>
      </c>
      <c r="C26" s="62" t="s">
        <v>19</v>
      </c>
      <c r="D26" s="64">
        <v>0</v>
      </c>
      <c r="E26" s="64">
        <v>0</v>
      </c>
      <c r="F26" s="64">
        <v>0</v>
      </c>
      <c r="G26" s="64">
        <v>0</v>
      </c>
    </row>
    <row r="27" spans="1:7" x14ac:dyDescent="0.25">
      <c r="A27" s="75" t="s">
        <v>21</v>
      </c>
      <c r="B27" s="76">
        <v>17099439</v>
      </c>
      <c r="C27" s="62" t="s">
        <v>50</v>
      </c>
      <c r="D27" s="64">
        <v>747</v>
      </c>
      <c r="E27" s="64">
        <v>911</v>
      </c>
      <c r="F27" s="64">
        <v>0</v>
      </c>
      <c r="G27" s="64">
        <v>0</v>
      </c>
    </row>
    <row r="28" spans="1:7" x14ac:dyDescent="0.25">
      <c r="A28" s="75" t="s">
        <v>395</v>
      </c>
      <c r="B28" s="76">
        <v>17099441</v>
      </c>
      <c r="C28" s="62" t="s">
        <v>400</v>
      </c>
      <c r="D28" s="64">
        <v>991</v>
      </c>
      <c r="E28" s="64">
        <v>1583</v>
      </c>
      <c r="F28" s="64">
        <v>0</v>
      </c>
      <c r="G28" s="64">
        <v>0</v>
      </c>
    </row>
    <row r="29" spans="1:7" x14ac:dyDescent="0.25">
      <c r="A29" s="75" t="s">
        <v>21</v>
      </c>
      <c r="B29" s="76">
        <v>17099442</v>
      </c>
      <c r="C29" s="62" t="s">
        <v>34</v>
      </c>
      <c r="D29" s="64">
        <v>503</v>
      </c>
      <c r="E29" s="64">
        <v>898</v>
      </c>
      <c r="F29" s="64">
        <v>0</v>
      </c>
      <c r="G29" s="64">
        <v>0</v>
      </c>
    </row>
    <row r="30" spans="1:7" x14ac:dyDescent="0.25">
      <c r="A30" s="75" t="s">
        <v>11</v>
      </c>
      <c r="B30" s="76">
        <v>17099443</v>
      </c>
      <c r="C30" s="62" t="s">
        <v>16</v>
      </c>
      <c r="D30" s="64">
        <v>319</v>
      </c>
      <c r="E30" s="64">
        <v>319</v>
      </c>
      <c r="F30" s="64">
        <v>0</v>
      </c>
      <c r="G30" s="64">
        <v>0</v>
      </c>
    </row>
    <row r="31" spans="1:7" x14ac:dyDescent="0.25">
      <c r="A31" s="75" t="s">
        <v>21</v>
      </c>
      <c r="B31" s="76">
        <v>17099444</v>
      </c>
      <c r="C31" s="62" t="s">
        <v>28</v>
      </c>
      <c r="D31" s="64">
        <v>2561</v>
      </c>
      <c r="E31" s="64">
        <v>3310</v>
      </c>
      <c r="F31" s="64">
        <v>0</v>
      </c>
      <c r="G31" s="64">
        <v>0</v>
      </c>
    </row>
    <row r="32" spans="1:7" x14ac:dyDescent="0.25">
      <c r="A32" s="75" t="s">
        <v>177</v>
      </c>
      <c r="B32" s="76">
        <v>17099445</v>
      </c>
      <c r="C32" s="62" t="s">
        <v>262</v>
      </c>
      <c r="D32" s="64">
        <v>5078</v>
      </c>
      <c r="E32" s="64">
        <v>6497</v>
      </c>
      <c r="F32" s="64">
        <v>0</v>
      </c>
      <c r="G32" s="64">
        <v>0</v>
      </c>
    </row>
    <row r="33" spans="1:7" x14ac:dyDescent="0.25">
      <c r="A33" s="75" t="s">
        <v>21</v>
      </c>
      <c r="B33" s="76">
        <v>17099446</v>
      </c>
      <c r="C33" s="62" t="s">
        <v>30</v>
      </c>
      <c r="D33" s="64">
        <v>276</v>
      </c>
      <c r="E33" s="64">
        <v>305</v>
      </c>
      <c r="F33" s="64">
        <v>0</v>
      </c>
      <c r="G33" s="64">
        <v>0</v>
      </c>
    </row>
    <row r="34" spans="1:7" x14ac:dyDescent="0.25">
      <c r="A34" s="75" t="s">
        <v>738</v>
      </c>
      <c r="B34" s="76">
        <v>17099451</v>
      </c>
      <c r="C34" s="62" t="s">
        <v>286</v>
      </c>
      <c r="D34" s="64">
        <v>1485</v>
      </c>
      <c r="E34" s="64">
        <v>1869</v>
      </c>
      <c r="F34" s="64">
        <v>468</v>
      </c>
      <c r="G34" s="64">
        <v>744</v>
      </c>
    </row>
    <row r="35" spans="1:7" x14ac:dyDescent="0.25">
      <c r="A35" s="75" t="s">
        <v>222</v>
      </c>
      <c r="B35" s="76">
        <v>17099452</v>
      </c>
      <c r="C35" s="62" t="s">
        <v>224</v>
      </c>
      <c r="D35" s="64">
        <v>57549</v>
      </c>
      <c r="E35" s="64">
        <v>73074</v>
      </c>
      <c r="F35" s="64">
        <v>2216</v>
      </c>
      <c r="G35" s="64">
        <v>2581</v>
      </c>
    </row>
    <row r="36" spans="1:7" x14ac:dyDescent="0.25">
      <c r="A36" s="75" t="s">
        <v>121</v>
      </c>
      <c r="B36" s="76">
        <v>17099453</v>
      </c>
      <c r="C36" s="62" t="s">
        <v>290</v>
      </c>
      <c r="D36" s="64">
        <v>2551</v>
      </c>
      <c r="E36" s="64">
        <v>14071</v>
      </c>
      <c r="F36" s="64">
        <v>328</v>
      </c>
      <c r="G36" s="64">
        <v>920</v>
      </c>
    </row>
    <row r="37" spans="1:7" x14ac:dyDescent="0.25">
      <c r="A37" s="75" t="s">
        <v>738</v>
      </c>
      <c r="B37" s="76">
        <v>17099455</v>
      </c>
      <c r="C37" s="62" t="s">
        <v>190</v>
      </c>
      <c r="D37" s="64">
        <v>11928</v>
      </c>
      <c r="E37" s="64">
        <v>13109</v>
      </c>
      <c r="F37" s="64">
        <v>200</v>
      </c>
      <c r="G37" s="64">
        <v>346</v>
      </c>
    </row>
    <row r="38" spans="1:7" x14ac:dyDescent="0.25">
      <c r="A38" s="75" t="s">
        <v>95</v>
      </c>
      <c r="B38" s="76">
        <v>17099456</v>
      </c>
      <c r="C38" s="62" t="s">
        <v>99</v>
      </c>
      <c r="D38" s="64">
        <v>91291</v>
      </c>
      <c r="E38" s="64">
        <v>118031</v>
      </c>
      <c r="F38" s="64">
        <v>6769</v>
      </c>
      <c r="G38" s="64">
        <v>8385</v>
      </c>
    </row>
    <row r="39" spans="1:7" x14ac:dyDescent="0.25">
      <c r="A39" s="75" t="s">
        <v>288</v>
      </c>
      <c r="B39" s="76">
        <v>17099458</v>
      </c>
      <c r="C39" s="62" t="s">
        <v>122</v>
      </c>
      <c r="D39" s="64">
        <v>75178</v>
      </c>
      <c r="E39" s="64">
        <v>88630</v>
      </c>
      <c r="F39" s="64">
        <v>4573</v>
      </c>
      <c r="G39" s="64">
        <v>5149</v>
      </c>
    </row>
    <row r="40" spans="1:7" x14ac:dyDescent="0.25">
      <c r="A40" s="75" t="s">
        <v>667</v>
      </c>
      <c r="B40" s="76">
        <v>17099459</v>
      </c>
      <c r="C40" s="62" t="s">
        <v>551</v>
      </c>
      <c r="D40" s="64">
        <v>24087</v>
      </c>
      <c r="E40" s="64">
        <v>32986</v>
      </c>
      <c r="F40" s="64">
        <v>3089</v>
      </c>
      <c r="G40" s="64">
        <v>3168</v>
      </c>
    </row>
    <row r="41" spans="1:7" x14ac:dyDescent="0.25">
      <c r="A41" s="75" t="s">
        <v>545</v>
      </c>
      <c r="B41" s="76">
        <v>17099460</v>
      </c>
      <c r="C41" s="62" t="s">
        <v>548</v>
      </c>
      <c r="D41" s="64">
        <v>4729</v>
      </c>
      <c r="E41" s="64">
        <v>6009</v>
      </c>
      <c r="F41" s="64">
        <v>0</v>
      </c>
      <c r="G41" s="64">
        <v>0</v>
      </c>
    </row>
    <row r="42" spans="1:7" x14ac:dyDescent="0.25">
      <c r="A42" s="75" t="s">
        <v>205</v>
      </c>
      <c r="B42" s="76">
        <v>17099461</v>
      </c>
      <c r="C42" s="62" t="s">
        <v>208</v>
      </c>
      <c r="D42" s="64">
        <v>32191</v>
      </c>
      <c r="E42" s="64">
        <v>39185</v>
      </c>
      <c r="F42" s="64">
        <v>537</v>
      </c>
      <c r="G42" s="64">
        <v>569</v>
      </c>
    </row>
    <row r="43" spans="1:7" x14ac:dyDescent="0.25">
      <c r="A43" s="75" t="s">
        <v>70</v>
      </c>
      <c r="B43" s="76">
        <v>17099462</v>
      </c>
      <c r="C43" s="62" t="s">
        <v>73</v>
      </c>
      <c r="D43" s="64">
        <v>34366</v>
      </c>
      <c r="E43" s="64">
        <v>46429</v>
      </c>
      <c r="F43" s="64">
        <v>1033</v>
      </c>
      <c r="G43" s="64">
        <v>1385</v>
      </c>
    </row>
    <row r="44" spans="1:7" x14ac:dyDescent="0.25">
      <c r="A44" s="75" t="s">
        <v>828</v>
      </c>
      <c r="B44" s="76">
        <v>17099463</v>
      </c>
      <c r="C44" s="62" t="s">
        <v>217</v>
      </c>
      <c r="D44" s="64">
        <v>29307</v>
      </c>
      <c r="E44" s="64">
        <v>37876</v>
      </c>
      <c r="F44" s="64">
        <v>2309</v>
      </c>
      <c r="G44" s="64">
        <v>4692</v>
      </c>
    </row>
    <row r="45" spans="1:7" x14ac:dyDescent="0.25">
      <c r="A45" s="75" t="s">
        <v>823</v>
      </c>
      <c r="B45" s="76">
        <v>17099464</v>
      </c>
      <c r="C45" s="62" t="s">
        <v>461</v>
      </c>
      <c r="D45" s="64">
        <v>9</v>
      </c>
      <c r="E45" s="64">
        <v>226</v>
      </c>
      <c r="F45" s="64">
        <v>0</v>
      </c>
      <c r="G45" s="64">
        <v>0</v>
      </c>
    </row>
    <row r="46" spans="1:7" x14ac:dyDescent="0.25">
      <c r="A46" s="75" t="s">
        <v>180</v>
      </c>
      <c r="B46" s="76">
        <v>17099465</v>
      </c>
      <c r="C46" s="62" t="s">
        <v>182</v>
      </c>
      <c r="D46" s="64">
        <v>39847</v>
      </c>
      <c r="E46" s="64">
        <v>50492</v>
      </c>
      <c r="F46" s="64">
        <v>2421</v>
      </c>
      <c r="G46" s="64">
        <v>2581</v>
      </c>
    </row>
    <row r="47" spans="1:7" x14ac:dyDescent="0.25">
      <c r="A47" s="75" t="s">
        <v>820</v>
      </c>
      <c r="B47" s="76">
        <v>17099466</v>
      </c>
      <c r="C47" s="62" t="s">
        <v>109</v>
      </c>
      <c r="D47" s="64">
        <v>4984</v>
      </c>
      <c r="E47" s="64">
        <v>6475</v>
      </c>
      <c r="F47" s="64">
        <v>356</v>
      </c>
      <c r="G47" s="64">
        <v>403</v>
      </c>
    </row>
    <row r="48" spans="1:7" x14ac:dyDescent="0.25">
      <c r="A48" s="75" t="s">
        <v>664</v>
      </c>
      <c r="B48" s="76">
        <v>17099480</v>
      </c>
      <c r="C48" s="62" t="s">
        <v>416</v>
      </c>
      <c r="D48" s="64">
        <v>18459</v>
      </c>
      <c r="E48" s="64">
        <v>27907</v>
      </c>
      <c r="F48" s="64">
        <v>0</v>
      </c>
      <c r="G48" s="64">
        <v>0</v>
      </c>
    </row>
    <row r="49" spans="1:7" x14ac:dyDescent="0.25">
      <c r="A49" s="75" t="s">
        <v>606</v>
      </c>
      <c r="B49" s="76">
        <v>17099481</v>
      </c>
      <c r="C49" s="62" t="s">
        <v>610</v>
      </c>
      <c r="D49" s="64">
        <v>36921</v>
      </c>
      <c r="E49" s="64">
        <v>46662</v>
      </c>
      <c r="F49" s="64">
        <v>7990</v>
      </c>
      <c r="G49" s="64">
        <v>9739</v>
      </c>
    </row>
    <row r="50" spans="1:7" x14ac:dyDescent="0.25">
      <c r="A50" s="75" t="s">
        <v>818</v>
      </c>
      <c r="B50" s="76">
        <v>17099482</v>
      </c>
      <c r="C50" s="62" t="s">
        <v>432</v>
      </c>
      <c r="D50" s="64">
        <v>176320</v>
      </c>
      <c r="E50" s="64">
        <v>195958</v>
      </c>
      <c r="F50" s="64">
        <v>0</v>
      </c>
      <c r="G50" s="64">
        <v>0</v>
      </c>
    </row>
    <row r="51" spans="1:7" x14ac:dyDescent="0.25">
      <c r="A51" s="75" t="s">
        <v>818</v>
      </c>
      <c r="B51" s="76">
        <v>17099483</v>
      </c>
      <c r="C51" s="62" t="s">
        <v>430</v>
      </c>
      <c r="D51" s="64">
        <v>163586</v>
      </c>
      <c r="E51" s="64">
        <v>217296</v>
      </c>
      <c r="F51" s="64">
        <v>0</v>
      </c>
      <c r="G51" s="64">
        <v>0</v>
      </c>
    </row>
    <row r="52" spans="1:7" x14ac:dyDescent="0.25">
      <c r="A52" s="75" t="s">
        <v>52</v>
      </c>
      <c r="B52" s="76">
        <v>17099484</v>
      </c>
      <c r="C52" s="62" t="s">
        <v>55</v>
      </c>
      <c r="D52" s="64">
        <v>9957</v>
      </c>
      <c r="E52" s="64">
        <v>13899</v>
      </c>
      <c r="F52" s="64">
        <v>1174</v>
      </c>
      <c r="G52" s="64">
        <v>1680</v>
      </c>
    </row>
    <row r="53" spans="1:7" x14ac:dyDescent="0.25">
      <c r="A53" s="75" t="s">
        <v>143</v>
      </c>
      <c r="B53" s="76">
        <v>17099485</v>
      </c>
      <c r="C53" s="62" t="s">
        <v>145</v>
      </c>
      <c r="D53" s="64">
        <v>18405</v>
      </c>
      <c r="E53" s="64">
        <v>22383</v>
      </c>
      <c r="F53" s="64">
        <v>626</v>
      </c>
      <c r="G53" s="64">
        <v>636</v>
      </c>
    </row>
    <row r="54" spans="1:7" x14ac:dyDescent="0.25">
      <c r="A54" s="75" t="s">
        <v>755</v>
      </c>
      <c r="B54" s="76">
        <v>17099486</v>
      </c>
      <c r="C54" s="62" t="s">
        <v>757</v>
      </c>
      <c r="D54" s="64">
        <v>18920</v>
      </c>
      <c r="E54" s="64">
        <v>20437</v>
      </c>
      <c r="F54" s="64">
        <v>526</v>
      </c>
      <c r="G54" s="64">
        <v>756</v>
      </c>
    </row>
    <row r="55" spans="1:7" x14ac:dyDescent="0.25">
      <c r="A55" s="75" t="s">
        <v>177</v>
      </c>
      <c r="B55" s="76">
        <v>17099487</v>
      </c>
      <c r="C55" s="62" t="s">
        <v>244</v>
      </c>
      <c r="D55" s="64">
        <v>1090</v>
      </c>
      <c r="E55" s="64">
        <v>1505</v>
      </c>
      <c r="F55" s="64">
        <v>45</v>
      </c>
      <c r="G55" s="64">
        <v>45</v>
      </c>
    </row>
    <row r="56" spans="1:7" x14ac:dyDescent="0.25">
      <c r="A56" s="75" t="s">
        <v>516</v>
      </c>
      <c r="B56" s="76">
        <v>17099488</v>
      </c>
      <c r="C56" s="62" t="s">
        <v>518</v>
      </c>
      <c r="D56" s="64">
        <v>7577</v>
      </c>
      <c r="E56" s="64">
        <v>9914</v>
      </c>
      <c r="F56" s="64">
        <v>6600</v>
      </c>
      <c r="G56" s="64">
        <v>8124</v>
      </c>
    </row>
    <row r="57" spans="1:7" ht="30" x14ac:dyDescent="0.25">
      <c r="A57" s="75" t="s">
        <v>665</v>
      </c>
      <c r="B57" s="76">
        <v>17099489</v>
      </c>
      <c r="C57" s="62" t="s">
        <v>240</v>
      </c>
      <c r="D57" s="64">
        <v>3605</v>
      </c>
      <c r="E57" s="64">
        <v>5205</v>
      </c>
      <c r="F57" s="64">
        <v>104</v>
      </c>
      <c r="G57" s="64">
        <v>109</v>
      </c>
    </row>
    <row r="58" spans="1:7" x14ac:dyDescent="0.25">
      <c r="A58" s="75" t="s">
        <v>588</v>
      </c>
      <c r="B58" s="76">
        <v>17099490</v>
      </c>
      <c r="C58" s="62" t="s">
        <v>627</v>
      </c>
      <c r="D58" s="64">
        <v>26987</v>
      </c>
      <c r="E58" s="64">
        <v>35112</v>
      </c>
      <c r="F58" s="64">
        <v>8187</v>
      </c>
      <c r="G58" s="64">
        <v>13058</v>
      </c>
    </row>
    <row r="59" spans="1:7" x14ac:dyDescent="0.25">
      <c r="A59" s="75" t="s">
        <v>553</v>
      </c>
      <c r="B59" s="76">
        <v>17099491</v>
      </c>
      <c r="C59" s="62" t="s">
        <v>557</v>
      </c>
      <c r="D59" s="64">
        <v>4308</v>
      </c>
      <c r="E59" s="64">
        <v>5425</v>
      </c>
      <c r="F59" s="64">
        <v>1841</v>
      </c>
      <c r="G59" s="64">
        <v>2490</v>
      </c>
    </row>
    <row r="60" spans="1:7" x14ac:dyDescent="0.25">
      <c r="A60" s="75" t="s">
        <v>823</v>
      </c>
      <c r="B60" s="76">
        <v>17099492</v>
      </c>
      <c r="C60" s="62" t="s">
        <v>169</v>
      </c>
      <c r="D60" s="64">
        <v>151912</v>
      </c>
      <c r="E60" s="64">
        <v>178381</v>
      </c>
      <c r="F60" s="64">
        <v>14364</v>
      </c>
      <c r="G60" s="64">
        <v>16053</v>
      </c>
    </row>
    <row r="61" spans="1:7" x14ac:dyDescent="0.25">
      <c r="A61" s="75" t="s">
        <v>307</v>
      </c>
      <c r="B61" s="76">
        <v>17099493</v>
      </c>
      <c r="C61" s="62" t="s">
        <v>310</v>
      </c>
      <c r="D61" s="64">
        <v>27457</v>
      </c>
      <c r="E61" s="64">
        <v>33339</v>
      </c>
      <c r="F61" s="64">
        <v>11004</v>
      </c>
      <c r="G61" s="64">
        <v>16386</v>
      </c>
    </row>
    <row r="62" spans="1:7" x14ac:dyDescent="0.25">
      <c r="A62" s="75" t="s">
        <v>395</v>
      </c>
      <c r="B62" s="76">
        <v>17099494</v>
      </c>
      <c r="C62" s="62" t="s">
        <v>398</v>
      </c>
      <c r="D62" s="64">
        <v>8161</v>
      </c>
      <c r="E62" s="64">
        <v>12274</v>
      </c>
      <c r="F62" s="64">
        <v>1458</v>
      </c>
      <c r="G62" s="64">
        <v>1806</v>
      </c>
    </row>
    <row r="63" spans="1:7" x14ac:dyDescent="0.25">
      <c r="A63" s="75" t="s">
        <v>569</v>
      </c>
      <c r="B63" s="76">
        <v>17099495</v>
      </c>
      <c r="C63" s="62" t="s">
        <v>572</v>
      </c>
      <c r="D63" s="64">
        <v>2749</v>
      </c>
      <c r="E63" s="64">
        <v>3663</v>
      </c>
      <c r="F63" s="64">
        <v>105</v>
      </c>
      <c r="G63" s="64">
        <v>105</v>
      </c>
    </row>
    <row r="64" spans="1:7" x14ac:dyDescent="0.25">
      <c r="A64" s="75" t="s">
        <v>569</v>
      </c>
      <c r="B64" s="76">
        <v>17099496</v>
      </c>
      <c r="C64" s="62" t="s">
        <v>574</v>
      </c>
      <c r="D64" s="64">
        <v>10707</v>
      </c>
      <c r="E64" s="64">
        <v>13586</v>
      </c>
      <c r="F64" s="64">
        <v>704</v>
      </c>
      <c r="G64" s="64">
        <v>1051</v>
      </c>
    </row>
    <row r="65" spans="1:7" x14ac:dyDescent="0.25">
      <c r="A65" s="75" t="s">
        <v>529</v>
      </c>
      <c r="B65" s="76">
        <v>17099497</v>
      </c>
      <c r="C65" s="62" t="s">
        <v>532</v>
      </c>
      <c r="D65" s="64">
        <v>23085</v>
      </c>
      <c r="E65" s="64">
        <v>29720</v>
      </c>
      <c r="F65" s="64">
        <v>4417</v>
      </c>
      <c r="G65" s="64">
        <v>5379</v>
      </c>
    </row>
    <row r="66" spans="1:7" x14ac:dyDescent="0.25">
      <c r="A66" s="75" t="s">
        <v>364</v>
      </c>
      <c r="B66" s="76">
        <v>17099498</v>
      </c>
      <c r="C66" s="62" t="s">
        <v>366</v>
      </c>
      <c r="D66" s="64">
        <v>9087</v>
      </c>
      <c r="E66" s="64">
        <v>11057</v>
      </c>
      <c r="F66" s="64">
        <v>6278</v>
      </c>
      <c r="G66" s="64">
        <v>9114</v>
      </c>
    </row>
    <row r="67" spans="1:7" x14ac:dyDescent="0.25">
      <c r="A67" s="75" t="s">
        <v>277</v>
      </c>
      <c r="B67" s="76">
        <v>17099499</v>
      </c>
      <c r="C67" s="62" t="s">
        <v>280</v>
      </c>
      <c r="D67" s="64">
        <v>6901</v>
      </c>
      <c r="E67" s="64">
        <v>8129</v>
      </c>
      <c r="F67" s="64">
        <v>539</v>
      </c>
      <c r="G67" s="64">
        <v>704</v>
      </c>
    </row>
    <row r="68" spans="1:7" x14ac:dyDescent="0.25">
      <c r="A68" s="75" t="s">
        <v>408</v>
      </c>
      <c r="B68" s="76">
        <v>17099500</v>
      </c>
      <c r="C68" s="62" t="s">
        <v>412</v>
      </c>
      <c r="D68" s="64">
        <v>7440</v>
      </c>
      <c r="E68" s="64">
        <v>9685</v>
      </c>
      <c r="F68" s="64">
        <v>0</v>
      </c>
      <c r="G68" s="64">
        <v>0</v>
      </c>
    </row>
    <row r="69" spans="1:7" x14ac:dyDescent="0.25">
      <c r="A69" s="78" t="s">
        <v>270</v>
      </c>
      <c r="B69" s="77">
        <v>17099501</v>
      </c>
      <c r="C69" s="63" t="s">
        <v>773</v>
      </c>
      <c r="D69" s="65">
        <v>26982</v>
      </c>
      <c r="E69" s="65">
        <v>32608</v>
      </c>
      <c r="F69" s="65">
        <v>0</v>
      </c>
      <c r="G69" s="65">
        <v>0</v>
      </c>
    </row>
    <row r="70" spans="1:7" x14ac:dyDescent="0.25">
      <c r="A70" s="75" t="s">
        <v>177</v>
      </c>
      <c r="B70" s="76">
        <v>17099502</v>
      </c>
      <c r="C70" s="62" t="s">
        <v>268</v>
      </c>
      <c r="D70" s="64">
        <v>4271</v>
      </c>
      <c r="E70" s="64">
        <v>5859</v>
      </c>
      <c r="F70" s="64">
        <v>0</v>
      </c>
      <c r="G70" s="64">
        <v>0</v>
      </c>
    </row>
    <row r="71" spans="1:7" x14ac:dyDescent="0.25">
      <c r="A71" s="75" t="s">
        <v>177</v>
      </c>
      <c r="B71" s="76">
        <v>17099503</v>
      </c>
      <c r="C71" s="62" t="s">
        <v>260</v>
      </c>
      <c r="D71" s="64">
        <v>9337</v>
      </c>
      <c r="E71" s="64">
        <v>12443</v>
      </c>
      <c r="F71" s="64">
        <v>0</v>
      </c>
      <c r="G71" s="64">
        <v>0</v>
      </c>
    </row>
    <row r="72" spans="1:7" x14ac:dyDescent="0.25">
      <c r="A72" s="75" t="s">
        <v>177</v>
      </c>
      <c r="B72" s="76">
        <v>17099504</v>
      </c>
      <c r="C72" s="62" t="s">
        <v>264</v>
      </c>
      <c r="D72" s="64">
        <v>4688</v>
      </c>
      <c r="E72" s="64">
        <v>6031</v>
      </c>
      <c r="F72" s="64">
        <v>0</v>
      </c>
      <c r="G72" s="64">
        <v>0</v>
      </c>
    </row>
    <row r="73" spans="1:7" x14ac:dyDescent="0.25">
      <c r="A73" s="75" t="s">
        <v>824</v>
      </c>
      <c r="B73" s="76">
        <v>17099505</v>
      </c>
      <c r="C73" s="62" t="s">
        <v>178</v>
      </c>
      <c r="D73" s="64">
        <v>751</v>
      </c>
      <c r="E73" s="64">
        <v>1996</v>
      </c>
      <c r="F73" s="64">
        <v>249</v>
      </c>
      <c r="G73" s="64">
        <v>648</v>
      </c>
    </row>
    <row r="74" spans="1:7" x14ac:dyDescent="0.25">
      <c r="A74" s="75" t="s">
        <v>197</v>
      </c>
      <c r="B74" s="76">
        <v>17099506</v>
      </c>
      <c r="C74" s="62" t="s">
        <v>200</v>
      </c>
      <c r="D74" s="64">
        <v>960</v>
      </c>
      <c r="E74" s="64">
        <v>1233</v>
      </c>
      <c r="F74" s="64">
        <v>0</v>
      </c>
      <c r="G74" s="64">
        <v>0</v>
      </c>
    </row>
    <row r="75" spans="1:7" x14ac:dyDescent="0.25">
      <c r="A75" s="75" t="s">
        <v>588</v>
      </c>
      <c r="B75" s="76">
        <v>17099507</v>
      </c>
      <c r="C75" s="62" t="s">
        <v>629</v>
      </c>
      <c r="D75" s="64">
        <v>9675</v>
      </c>
      <c r="E75" s="64">
        <v>12145</v>
      </c>
      <c r="F75" s="64">
        <v>0</v>
      </c>
      <c r="G75" s="64">
        <v>0</v>
      </c>
    </row>
    <row r="76" spans="1:7" x14ac:dyDescent="0.25">
      <c r="A76" s="75" t="s">
        <v>395</v>
      </c>
      <c r="B76" s="76">
        <v>17099508</v>
      </c>
      <c r="C76" s="62" t="s">
        <v>404</v>
      </c>
      <c r="D76" s="64">
        <v>1607</v>
      </c>
      <c r="E76" s="64">
        <v>2073</v>
      </c>
      <c r="F76" s="64">
        <v>0</v>
      </c>
      <c r="G76" s="64">
        <v>0</v>
      </c>
    </row>
    <row r="77" spans="1:7" x14ac:dyDescent="0.25">
      <c r="A77" s="75" t="s">
        <v>395</v>
      </c>
      <c r="B77" s="76">
        <v>17099509</v>
      </c>
      <c r="C77" s="62" t="s">
        <v>402</v>
      </c>
      <c r="D77" s="64">
        <v>4573</v>
      </c>
      <c r="E77" s="64">
        <v>6148</v>
      </c>
      <c r="F77" s="64">
        <v>0</v>
      </c>
      <c r="G77" s="64">
        <v>0</v>
      </c>
    </row>
    <row r="78" spans="1:7" x14ac:dyDescent="0.25">
      <c r="A78" s="75" t="s">
        <v>395</v>
      </c>
      <c r="B78" s="76">
        <v>17099510</v>
      </c>
      <c r="C78" s="62" t="s">
        <v>406</v>
      </c>
      <c r="D78" s="64">
        <v>1147</v>
      </c>
      <c r="E78" s="64">
        <v>1554</v>
      </c>
      <c r="F78" s="64">
        <v>0</v>
      </c>
      <c r="G78" s="64">
        <v>0</v>
      </c>
    </row>
    <row r="79" spans="1:7" x14ac:dyDescent="0.25">
      <c r="A79" s="75" t="s">
        <v>307</v>
      </c>
      <c r="B79" s="76">
        <v>17099511</v>
      </c>
      <c r="C79" s="62" t="s">
        <v>319</v>
      </c>
      <c r="D79" s="64">
        <v>280</v>
      </c>
      <c r="E79" s="64">
        <v>407</v>
      </c>
      <c r="F79" s="64">
        <v>274</v>
      </c>
      <c r="G79" s="64">
        <v>471</v>
      </c>
    </row>
    <row r="80" spans="1:7" x14ac:dyDescent="0.25">
      <c r="A80" s="75" t="s">
        <v>307</v>
      </c>
      <c r="B80" s="76">
        <v>17099512</v>
      </c>
      <c r="C80" s="62" t="s">
        <v>324</v>
      </c>
      <c r="D80" s="64">
        <v>48</v>
      </c>
      <c r="E80" s="64">
        <v>50</v>
      </c>
      <c r="F80" s="64">
        <v>0</v>
      </c>
      <c r="G80" s="64">
        <v>0</v>
      </c>
    </row>
    <row r="81" spans="1:7" x14ac:dyDescent="0.25">
      <c r="A81" s="75" t="s">
        <v>121</v>
      </c>
      <c r="B81" s="76">
        <v>17099514</v>
      </c>
      <c r="C81" s="62" t="s">
        <v>134</v>
      </c>
      <c r="D81" s="64">
        <v>3455</v>
      </c>
      <c r="E81" s="64">
        <v>4535</v>
      </c>
      <c r="F81" s="64">
        <v>0</v>
      </c>
      <c r="G81" s="64">
        <v>0</v>
      </c>
    </row>
    <row r="82" spans="1:7" x14ac:dyDescent="0.25">
      <c r="A82" s="75" t="s">
        <v>822</v>
      </c>
      <c r="B82" s="76">
        <v>17099516</v>
      </c>
      <c r="C82" s="62" t="s">
        <v>138</v>
      </c>
      <c r="D82" s="64">
        <v>941</v>
      </c>
      <c r="E82" s="64">
        <v>1178</v>
      </c>
      <c r="F82" s="64">
        <v>683</v>
      </c>
      <c r="G82" s="64">
        <v>827</v>
      </c>
    </row>
    <row r="83" spans="1:7" x14ac:dyDescent="0.25">
      <c r="A83" s="75" t="s">
        <v>121</v>
      </c>
      <c r="B83" s="76">
        <v>17099517</v>
      </c>
      <c r="C83" s="62" t="s">
        <v>809</v>
      </c>
      <c r="D83" s="64">
        <v>1785</v>
      </c>
      <c r="E83" s="64">
        <v>2255</v>
      </c>
      <c r="F83" s="64">
        <v>0</v>
      </c>
      <c r="G83" s="64">
        <v>0</v>
      </c>
    </row>
    <row r="84" spans="1:7" x14ac:dyDescent="0.25">
      <c r="A84" s="75" t="s">
        <v>821</v>
      </c>
      <c r="B84" s="76">
        <v>17099518</v>
      </c>
      <c r="C84" s="62" t="s">
        <v>132</v>
      </c>
      <c r="D84" s="64">
        <v>1409</v>
      </c>
      <c r="E84" s="64">
        <v>2170</v>
      </c>
      <c r="F84" s="64">
        <v>0</v>
      </c>
      <c r="G84" s="64">
        <v>0</v>
      </c>
    </row>
    <row r="85" spans="1:7" x14ac:dyDescent="0.25">
      <c r="A85" s="75" t="s">
        <v>121</v>
      </c>
      <c r="B85" s="76">
        <v>17099519</v>
      </c>
      <c r="C85" s="62" t="s">
        <v>124</v>
      </c>
      <c r="D85" s="64">
        <v>1365</v>
      </c>
      <c r="E85" s="64">
        <v>1989</v>
      </c>
      <c r="F85" s="64">
        <v>0</v>
      </c>
      <c r="G85" s="64">
        <v>0</v>
      </c>
    </row>
    <row r="86" spans="1:7" ht="30" x14ac:dyDescent="0.25">
      <c r="A86" s="75" t="s">
        <v>826</v>
      </c>
      <c r="B86" s="76">
        <v>17099520</v>
      </c>
      <c r="C86" s="62" t="s">
        <v>469</v>
      </c>
      <c r="D86" s="64">
        <v>45959</v>
      </c>
      <c r="E86" s="64">
        <v>61499</v>
      </c>
      <c r="F86" s="64">
        <v>0</v>
      </c>
      <c r="G86" s="64">
        <v>0</v>
      </c>
    </row>
    <row r="87" spans="1:7" x14ac:dyDescent="0.25">
      <c r="A87" s="75" t="s">
        <v>121</v>
      </c>
      <c r="B87" s="76">
        <v>17099521</v>
      </c>
      <c r="C87" s="62" t="s">
        <v>126</v>
      </c>
      <c r="D87" s="64">
        <v>1863</v>
      </c>
      <c r="E87" s="64">
        <v>2307</v>
      </c>
      <c r="F87" s="64">
        <v>0</v>
      </c>
      <c r="G87" s="64">
        <v>0</v>
      </c>
    </row>
    <row r="88" spans="1:7" x14ac:dyDescent="0.25">
      <c r="A88" s="75" t="s">
        <v>829</v>
      </c>
      <c r="B88" s="76">
        <v>17099522</v>
      </c>
      <c r="C88" s="62" t="s">
        <v>315</v>
      </c>
      <c r="D88" s="64">
        <v>0</v>
      </c>
      <c r="E88" s="64">
        <v>0</v>
      </c>
      <c r="F88" s="64">
        <v>0</v>
      </c>
      <c r="G88" s="64">
        <v>0</v>
      </c>
    </row>
    <row r="89" spans="1:7" x14ac:dyDescent="0.25">
      <c r="A89" s="75" t="s">
        <v>177</v>
      </c>
      <c r="B89" s="76">
        <v>17099523</v>
      </c>
      <c r="C89" s="62" t="s">
        <v>257</v>
      </c>
      <c r="D89" s="64">
        <v>38649</v>
      </c>
      <c r="E89" s="64">
        <v>47935</v>
      </c>
      <c r="F89" s="64">
        <v>0</v>
      </c>
      <c r="G89" s="64">
        <v>0</v>
      </c>
    </row>
    <row r="90" spans="1:7" x14ac:dyDescent="0.25">
      <c r="A90" s="75" t="s">
        <v>177</v>
      </c>
      <c r="B90" s="76">
        <v>17099524</v>
      </c>
      <c r="C90" s="62" t="s">
        <v>253</v>
      </c>
      <c r="D90" s="64">
        <v>6813</v>
      </c>
      <c r="E90" s="64">
        <v>8520</v>
      </c>
      <c r="F90" s="64">
        <v>0</v>
      </c>
      <c r="G90" s="64">
        <v>0</v>
      </c>
    </row>
    <row r="91" spans="1:7" x14ac:dyDescent="0.25">
      <c r="A91" s="75" t="s">
        <v>177</v>
      </c>
      <c r="B91" s="76">
        <v>17099525</v>
      </c>
      <c r="C91" s="62" t="s">
        <v>249</v>
      </c>
      <c r="D91" s="64">
        <v>5</v>
      </c>
      <c r="E91" s="64">
        <v>5078</v>
      </c>
      <c r="F91" s="64">
        <v>0</v>
      </c>
      <c r="G91" s="64">
        <v>0</v>
      </c>
    </row>
    <row r="92" spans="1:7" x14ac:dyDescent="0.25">
      <c r="A92" s="75" t="s">
        <v>177</v>
      </c>
      <c r="B92" s="76">
        <v>17099526</v>
      </c>
      <c r="C92" s="62" t="s">
        <v>255</v>
      </c>
      <c r="D92" s="64">
        <v>3801</v>
      </c>
      <c r="E92" s="64">
        <v>4754</v>
      </c>
      <c r="F92" s="64">
        <v>0</v>
      </c>
      <c r="G92" s="64">
        <v>0</v>
      </c>
    </row>
    <row r="93" spans="1:7" ht="45" x14ac:dyDescent="0.25">
      <c r="A93" s="75" t="s">
        <v>487</v>
      </c>
      <c r="B93" s="76">
        <v>17099527</v>
      </c>
      <c r="C93" s="62" t="s">
        <v>490</v>
      </c>
      <c r="D93" s="64">
        <v>824</v>
      </c>
      <c r="E93" s="64">
        <v>971</v>
      </c>
      <c r="F93" s="64">
        <v>12</v>
      </c>
      <c r="G93" s="64">
        <v>13</v>
      </c>
    </row>
    <row r="94" spans="1:7" x14ac:dyDescent="0.25">
      <c r="A94" s="78" t="s">
        <v>483</v>
      </c>
      <c r="B94" s="77">
        <v>17099528</v>
      </c>
      <c r="C94" s="63" t="s">
        <v>392</v>
      </c>
      <c r="D94" s="65">
        <v>25190</v>
      </c>
      <c r="E94" s="65">
        <v>29703</v>
      </c>
      <c r="F94" s="65">
        <v>212</v>
      </c>
      <c r="G94" s="65">
        <v>219</v>
      </c>
    </row>
    <row r="95" spans="1:7" x14ac:dyDescent="0.25">
      <c r="A95" s="75" t="s">
        <v>380</v>
      </c>
      <c r="B95" s="76">
        <v>17099529</v>
      </c>
      <c r="C95" s="62" t="s">
        <v>804</v>
      </c>
      <c r="D95" s="64">
        <v>15751</v>
      </c>
      <c r="E95" s="64">
        <v>21151</v>
      </c>
      <c r="F95" s="64">
        <v>11763</v>
      </c>
      <c r="G95" s="64">
        <v>17169</v>
      </c>
    </row>
    <row r="96" spans="1:7" x14ac:dyDescent="0.25">
      <c r="A96" s="75" t="s">
        <v>497</v>
      </c>
      <c r="B96" s="76">
        <v>17099530</v>
      </c>
      <c r="C96" s="62" t="s">
        <v>498</v>
      </c>
      <c r="D96" s="64">
        <v>3803</v>
      </c>
      <c r="E96" s="64">
        <v>5281</v>
      </c>
      <c r="F96" s="64">
        <v>0</v>
      </c>
      <c r="G96" s="64">
        <v>0</v>
      </c>
    </row>
    <row r="97" spans="1:7" x14ac:dyDescent="0.25">
      <c r="A97" s="75" t="s">
        <v>673</v>
      </c>
      <c r="B97" s="76">
        <v>17099531</v>
      </c>
      <c r="C97" s="62" t="s">
        <v>501</v>
      </c>
      <c r="D97" s="64">
        <v>3693</v>
      </c>
      <c r="E97" s="64">
        <v>5637</v>
      </c>
      <c r="F97" s="64">
        <v>0</v>
      </c>
      <c r="G97" s="64">
        <v>0</v>
      </c>
    </row>
    <row r="98" spans="1:7" x14ac:dyDescent="0.25">
      <c r="A98" s="75" t="s">
        <v>524</v>
      </c>
      <c r="B98" s="76">
        <v>17099532</v>
      </c>
      <c r="C98" s="62" t="s">
        <v>527</v>
      </c>
      <c r="D98" s="64">
        <v>3880</v>
      </c>
      <c r="E98" s="64">
        <v>5771</v>
      </c>
      <c r="F98" s="64">
        <v>0</v>
      </c>
      <c r="G98" s="64">
        <v>0</v>
      </c>
    </row>
    <row r="99" spans="1:7" x14ac:dyDescent="0.25">
      <c r="A99" s="75" t="s">
        <v>157</v>
      </c>
      <c r="B99" s="76">
        <v>17099533</v>
      </c>
      <c r="C99" s="62" t="s">
        <v>160</v>
      </c>
      <c r="D99" s="64">
        <v>1902</v>
      </c>
      <c r="E99" s="64">
        <v>2392</v>
      </c>
      <c r="F99" s="64">
        <v>0</v>
      </c>
      <c r="G99" s="64">
        <v>0</v>
      </c>
    </row>
    <row r="100" spans="1:7" ht="30" x14ac:dyDescent="0.25">
      <c r="A100" s="75" t="s">
        <v>819</v>
      </c>
      <c r="B100" s="76">
        <v>17099534</v>
      </c>
      <c r="C100" s="62" t="s">
        <v>600</v>
      </c>
      <c r="D100" s="64">
        <v>9433</v>
      </c>
      <c r="E100" s="64">
        <v>11451</v>
      </c>
      <c r="F100" s="64">
        <v>6246</v>
      </c>
      <c r="G100" s="64">
        <v>7325</v>
      </c>
    </row>
    <row r="101" spans="1:7" x14ac:dyDescent="0.25">
      <c r="A101" s="75" t="s">
        <v>477</v>
      </c>
      <c r="B101" s="76">
        <v>17099535</v>
      </c>
      <c r="C101" s="62" t="s">
        <v>481</v>
      </c>
      <c r="D101" s="64">
        <v>5655</v>
      </c>
      <c r="E101" s="64">
        <v>6778</v>
      </c>
      <c r="F101" s="64">
        <v>0</v>
      </c>
      <c r="G101" s="64">
        <v>0</v>
      </c>
    </row>
    <row r="102" spans="1:7" x14ac:dyDescent="0.25">
      <c r="A102" s="75" t="s">
        <v>541</v>
      </c>
      <c r="B102" s="76">
        <v>17099536</v>
      </c>
      <c r="C102" s="62" t="s">
        <v>543</v>
      </c>
      <c r="D102" s="64">
        <v>418</v>
      </c>
      <c r="E102" s="64">
        <v>1041</v>
      </c>
      <c r="F102" s="64">
        <v>0</v>
      </c>
      <c r="G102" s="64">
        <v>0</v>
      </c>
    </row>
    <row r="103" spans="1:7" x14ac:dyDescent="0.25">
      <c r="A103" s="75" t="s">
        <v>121</v>
      </c>
      <c r="B103" s="76">
        <v>17099537</v>
      </c>
      <c r="C103" s="62" t="s">
        <v>130</v>
      </c>
      <c r="D103" s="64">
        <v>2703</v>
      </c>
      <c r="E103" s="64">
        <v>3393</v>
      </c>
      <c r="F103" s="64">
        <v>0</v>
      </c>
      <c r="G103" s="64">
        <v>0</v>
      </c>
    </row>
    <row r="104" spans="1:7" x14ac:dyDescent="0.25">
      <c r="A104" s="75" t="s">
        <v>121</v>
      </c>
      <c r="B104" s="76">
        <v>17099538</v>
      </c>
      <c r="C104" s="62" t="s">
        <v>128</v>
      </c>
      <c r="D104" s="64">
        <v>1810</v>
      </c>
      <c r="E104" s="64">
        <v>2482</v>
      </c>
      <c r="F104" s="64">
        <v>0</v>
      </c>
      <c r="G104" s="64">
        <v>0</v>
      </c>
    </row>
    <row r="105" spans="1:7" x14ac:dyDescent="0.25">
      <c r="A105" s="75" t="s">
        <v>121</v>
      </c>
      <c r="B105" s="76">
        <v>17099539</v>
      </c>
      <c r="C105" s="62" t="s">
        <v>140</v>
      </c>
      <c r="D105" s="64">
        <v>1848</v>
      </c>
      <c r="E105" s="64">
        <v>2554</v>
      </c>
      <c r="F105" s="64">
        <v>0</v>
      </c>
      <c r="G105" s="64">
        <v>0</v>
      </c>
    </row>
    <row r="106" spans="1:7" x14ac:dyDescent="0.25">
      <c r="A106" s="75" t="s">
        <v>121</v>
      </c>
      <c r="B106" s="76">
        <v>17099540</v>
      </c>
      <c r="C106" s="62" t="s">
        <v>136</v>
      </c>
      <c r="D106" s="64">
        <v>1321</v>
      </c>
      <c r="E106" s="64">
        <v>1618</v>
      </c>
      <c r="F106" s="64">
        <v>0</v>
      </c>
      <c r="G106" s="64">
        <v>0</v>
      </c>
    </row>
    <row r="107" spans="1:7" x14ac:dyDescent="0.25">
      <c r="A107" s="75" t="s">
        <v>205</v>
      </c>
      <c r="B107" s="76">
        <v>17099541</v>
      </c>
      <c r="C107" s="62" t="s">
        <v>215</v>
      </c>
      <c r="D107" s="64">
        <v>520</v>
      </c>
      <c r="E107" s="64">
        <v>666</v>
      </c>
      <c r="F107" s="64">
        <v>1</v>
      </c>
      <c r="G107" s="64">
        <v>1</v>
      </c>
    </row>
    <row r="108" spans="1:7" x14ac:dyDescent="0.25">
      <c r="A108" s="75" t="s">
        <v>188</v>
      </c>
      <c r="B108" s="76">
        <v>17099542</v>
      </c>
      <c r="C108" s="62" t="s">
        <v>194</v>
      </c>
      <c r="D108" s="64">
        <v>5310</v>
      </c>
      <c r="E108" s="64">
        <v>6921</v>
      </c>
      <c r="F108" s="64">
        <v>0</v>
      </c>
      <c r="G108" s="64">
        <v>0</v>
      </c>
    </row>
    <row r="109" spans="1:7" x14ac:dyDescent="0.25">
      <c r="A109" s="75" t="s">
        <v>143</v>
      </c>
      <c r="B109" s="76">
        <v>17099543</v>
      </c>
      <c r="C109" s="62" t="s">
        <v>149</v>
      </c>
      <c r="D109" s="64">
        <v>1446</v>
      </c>
      <c r="E109" s="64">
        <v>1688</v>
      </c>
      <c r="F109" s="64">
        <v>0</v>
      </c>
      <c r="G109" s="64">
        <v>0</v>
      </c>
    </row>
    <row r="110" spans="1:7" x14ac:dyDescent="0.25">
      <c r="A110" s="75" t="s">
        <v>143</v>
      </c>
      <c r="B110" s="76">
        <v>17099544</v>
      </c>
      <c r="C110" s="62" t="s">
        <v>147</v>
      </c>
      <c r="D110" s="64">
        <v>556</v>
      </c>
      <c r="E110" s="64">
        <v>701</v>
      </c>
      <c r="F110" s="64">
        <v>0</v>
      </c>
      <c r="G110" s="64">
        <v>0</v>
      </c>
    </row>
    <row r="111" spans="1:7" x14ac:dyDescent="0.25">
      <c r="A111" s="75" t="s">
        <v>143</v>
      </c>
      <c r="B111" s="76">
        <v>17099545</v>
      </c>
      <c r="C111" s="62" t="s">
        <v>153</v>
      </c>
      <c r="D111" s="64">
        <v>138</v>
      </c>
      <c r="E111" s="64">
        <v>183</v>
      </c>
      <c r="F111" s="64">
        <v>0</v>
      </c>
      <c r="G111" s="64">
        <v>0</v>
      </c>
    </row>
    <row r="112" spans="1:7" x14ac:dyDescent="0.25">
      <c r="A112" s="75" t="s">
        <v>143</v>
      </c>
      <c r="B112" s="76">
        <v>17099546</v>
      </c>
      <c r="C112" s="62" t="s">
        <v>151</v>
      </c>
      <c r="D112" s="64">
        <v>4341</v>
      </c>
      <c r="E112" s="64">
        <v>5020</v>
      </c>
      <c r="F112" s="64">
        <v>0</v>
      </c>
      <c r="G112" s="64">
        <v>0</v>
      </c>
    </row>
    <row r="113" spans="1:7" x14ac:dyDescent="0.25">
      <c r="A113" s="75" t="s">
        <v>155</v>
      </c>
      <c r="B113" s="76">
        <v>17099547</v>
      </c>
      <c r="C113" s="62" t="s">
        <v>162</v>
      </c>
      <c r="D113" s="64">
        <v>3155</v>
      </c>
      <c r="E113" s="64">
        <v>3606</v>
      </c>
      <c r="F113" s="64">
        <v>0</v>
      </c>
      <c r="G113" s="64">
        <v>0</v>
      </c>
    </row>
    <row r="114" spans="1:7" x14ac:dyDescent="0.25">
      <c r="A114" s="75" t="s">
        <v>188</v>
      </c>
      <c r="B114" s="76">
        <v>17099548</v>
      </c>
      <c r="C114" s="62" t="s">
        <v>813</v>
      </c>
      <c r="D114" s="64">
        <v>2414</v>
      </c>
      <c r="E114" s="64">
        <v>2802</v>
      </c>
      <c r="F114" s="64">
        <v>0</v>
      </c>
      <c r="G114" s="64">
        <v>0</v>
      </c>
    </row>
    <row r="115" spans="1:7" x14ac:dyDescent="0.25">
      <c r="A115" s="75" t="s">
        <v>155</v>
      </c>
      <c r="B115" s="76">
        <v>17099549</v>
      </c>
      <c r="C115" s="62" t="s">
        <v>779</v>
      </c>
      <c r="D115" s="64">
        <v>4077</v>
      </c>
      <c r="E115" s="64">
        <v>5162</v>
      </c>
      <c r="F115" s="64">
        <v>0</v>
      </c>
      <c r="G115" s="64">
        <v>0</v>
      </c>
    </row>
    <row r="116" spans="1:7" x14ac:dyDescent="0.25">
      <c r="A116" s="75" t="s">
        <v>155</v>
      </c>
      <c r="B116" s="76">
        <v>17099550</v>
      </c>
      <c r="C116" s="62" t="s">
        <v>164</v>
      </c>
      <c r="D116" s="64">
        <v>914</v>
      </c>
      <c r="E116" s="64">
        <v>982</v>
      </c>
      <c r="F116" s="64">
        <v>0</v>
      </c>
      <c r="G116" s="64">
        <v>0</v>
      </c>
    </row>
    <row r="117" spans="1:7" x14ac:dyDescent="0.25">
      <c r="A117" s="75" t="s">
        <v>188</v>
      </c>
      <c r="B117" s="76">
        <v>17099551</v>
      </c>
      <c r="C117" s="62" t="s">
        <v>192</v>
      </c>
      <c r="D117" s="64">
        <v>2360</v>
      </c>
      <c r="E117" s="64">
        <v>3331</v>
      </c>
      <c r="F117" s="64">
        <v>0</v>
      </c>
      <c r="G117" s="64">
        <v>0</v>
      </c>
    </row>
    <row r="118" spans="1:7" x14ac:dyDescent="0.25">
      <c r="A118" s="75" t="s">
        <v>588</v>
      </c>
      <c r="B118" s="76">
        <v>17099552</v>
      </c>
      <c r="C118" s="62" t="s">
        <v>631</v>
      </c>
      <c r="D118" s="64">
        <v>3109</v>
      </c>
      <c r="E118" s="64">
        <v>3896</v>
      </c>
      <c r="F118" s="64">
        <v>0</v>
      </c>
      <c r="G118" s="64">
        <v>0</v>
      </c>
    </row>
    <row r="119" spans="1:7" x14ac:dyDescent="0.25">
      <c r="A119" s="75" t="s">
        <v>588</v>
      </c>
      <c r="B119" s="76">
        <v>17099553</v>
      </c>
      <c r="C119" s="62" t="s">
        <v>633</v>
      </c>
      <c r="D119" s="64">
        <v>847</v>
      </c>
      <c r="E119" s="64">
        <v>1110</v>
      </c>
      <c r="F119" s="64">
        <v>0</v>
      </c>
      <c r="G119" s="64">
        <v>0</v>
      </c>
    </row>
    <row r="120" spans="1:7" x14ac:dyDescent="0.25">
      <c r="A120" s="75" t="s">
        <v>588</v>
      </c>
      <c r="B120" s="76">
        <v>17099554</v>
      </c>
      <c r="C120" s="62" t="s">
        <v>590</v>
      </c>
      <c r="D120" s="64">
        <v>469</v>
      </c>
      <c r="E120" s="64">
        <v>626</v>
      </c>
      <c r="F120" s="64">
        <v>0</v>
      </c>
      <c r="G120" s="64">
        <v>0</v>
      </c>
    </row>
    <row r="121" spans="1:7" x14ac:dyDescent="0.25">
      <c r="A121" s="75" t="s">
        <v>588</v>
      </c>
      <c r="B121" s="76">
        <v>17099555</v>
      </c>
      <c r="C121" s="62" t="s">
        <v>635</v>
      </c>
      <c r="D121" s="64">
        <v>1256</v>
      </c>
      <c r="E121" s="64">
        <v>1573</v>
      </c>
      <c r="F121" s="64">
        <v>0</v>
      </c>
      <c r="G121" s="64">
        <v>0</v>
      </c>
    </row>
    <row r="122" spans="1:7" x14ac:dyDescent="0.25">
      <c r="A122" s="75" t="s">
        <v>588</v>
      </c>
      <c r="B122" s="76">
        <v>17099557</v>
      </c>
      <c r="C122" s="62" t="s">
        <v>596</v>
      </c>
      <c r="D122" s="64">
        <v>692</v>
      </c>
      <c r="E122" s="64">
        <v>883</v>
      </c>
      <c r="F122" s="64">
        <v>0</v>
      </c>
      <c r="G122" s="64">
        <v>0</v>
      </c>
    </row>
    <row r="123" spans="1:7" x14ac:dyDescent="0.25">
      <c r="A123" s="75" t="s">
        <v>588</v>
      </c>
      <c r="B123" s="76">
        <v>17099558</v>
      </c>
      <c r="C123" s="62" t="s">
        <v>637</v>
      </c>
      <c r="D123" s="64">
        <v>1317</v>
      </c>
      <c r="E123" s="64">
        <v>1903</v>
      </c>
      <c r="F123" s="64">
        <v>0</v>
      </c>
      <c r="G123" s="64">
        <v>0</v>
      </c>
    </row>
    <row r="124" spans="1:7" x14ac:dyDescent="0.25">
      <c r="A124" s="75" t="s">
        <v>121</v>
      </c>
      <c r="B124" s="76">
        <v>17099559</v>
      </c>
      <c r="C124" s="62" t="s">
        <v>102</v>
      </c>
      <c r="D124" s="64">
        <v>2902</v>
      </c>
      <c r="E124" s="64">
        <v>4451</v>
      </c>
      <c r="F124" s="64">
        <v>0</v>
      </c>
      <c r="G124" s="64">
        <v>0</v>
      </c>
    </row>
    <row r="125" spans="1:7" x14ac:dyDescent="0.25">
      <c r="A125" s="75" t="s">
        <v>588</v>
      </c>
      <c r="B125" s="76">
        <v>17099560</v>
      </c>
      <c r="C125" s="62" t="s">
        <v>617</v>
      </c>
      <c r="D125" s="64">
        <v>2252</v>
      </c>
      <c r="E125" s="64">
        <v>3265</v>
      </c>
      <c r="F125" s="64">
        <v>0</v>
      </c>
      <c r="G125" s="64">
        <v>0</v>
      </c>
    </row>
    <row r="126" spans="1:7" x14ac:dyDescent="0.25">
      <c r="A126" s="75" t="s">
        <v>516</v>
      </c>
      <c r="B126" s="76">
        <v>17099561</v>
      </c>
      <c r="C126" s="62" t="s">
        <v>520</v>
      </c>
      <c r="D126" s="64">
        <v>1285</v>
      </c>
      <c r="E126" s="64">
        <v>1769</v>
      </c>
      <c r="F126" s="64">
        <v>0</v>
      </c>
      <c r="G126" s="64">
        <v>0</v>
      </c>
    </row>
    <row r="127" spans="1:7" x14ac:dyDescent="0.25">
      <c r="A127" s="75" t="s">
        <v>436</v>
      </c>
      <c r="B127" s="76">
        <v>17099562</v>
      </c>
      <c r="C127" s="62" t="s">
        <v>438</v>
      </c>
      <c r="D127" s="64">
        <v>3297</v>
      </c>
      <c r="E127" s="64">
        <v>3563</v>
      </c>
      <c r="F127" s="64">
        <v>0</v>
      </c>
      <c r="G127" s="64">
        <v>0</v>
      </c>
    </row>
    <row r="128" spans="1:7" x14ac:dyDescent="0.25">
      <c r="A128" s="75" t="s">
        <v>288</v>
      </c>
      <c r="B128" s="76">
        <v>17099563</v>
      </c>
      <c r="C128" s="62" t="s">
        <v>294</v>
      </c>
      <c r="D128" s="64">
        <v>4306</v>
      </c>
      <c r="E128" s="64">
        <v>6179</v>
      </c>
      <c r="F128" s="64">
        <v>0</v>
      </c>
      <c r="G128" s="64">
        <v>0</v>
      </c>
    </row>
    <row r="129" spans="1:7" x14ac:dyDescent="0.25">
      <c r="A129" s="75" t="s">
        <v>588</v>
      </c>
      <c r="B129" s="76">
        <v>17099565</v>
      </c>
      <c r="C129" s="62" t="s">
        <v>621</v>
      </c>
      <c r="D129" s="64">
        <v>462</v>
      </c>
      <c r="E129" s="71">
        <v>635</v>
      </c>
      <c r="F129" s="64">
        <v>0</v>
      </c>
      <c r="G129" s="64">
        <v>0</v>
      </c>
    </row>
    <row r="130" spans="1:7" x14ac:dyDescent="0.25">
      <c r="A130" s="75" t="s">
        <v>592</v>
      </c>
      <c r="B130" s="76">
        <v>17099566</v>
      </c>
      <c r="C130" s="62" t="s">
        <v>593</v>
      </c>
      <c r="D130" s="64">
        <v>760</v>
      </c>
      <c r="E130" s="64">
        <v>1040</v>
      </c>
      <c r="F130" s="64">
        <v>0</v>
      </c>
      <c r="G130" s="64">
        <v>0</v>
      </c>
    </row>
    <row r="131" spans="1:7" x14ac:dyDescent="0.25">
      <c r="A131" s="75" t="s">
        <v>516</v>
      </c>
      <c r="B131" s="76">
        <v>17099567</v>
      </c>
      <c r="C131" s="62" t="s">
        <v>522</v>
      </c>
      <c r="D131" s="64">
        <v>302</v>
      </c>
      <c r="E131" s="64">
        <v>962</v>
      </c>
      <c r="F131" s="64">
        <v>0</v>
      </c>
      <c r="G131" s="64">
        <v>0</v>
      </c>
    </row>
    <row r="132" spans="1:7" x14ac:dyDescent="0.25">
      <c r="A132" s="75" t="s">
        <v>52</v>
      </c>
      <c r="B132" s="76">
        <v>17099568</v>
      </c>
      <c r="C132" s="62" t="s">
        <v>62</v>
      </c>
      <c r="D132" s="64">
        <v>0</v>
      </c>
      <c r="E132" s="64">
        <v>484</v>
      </c>
      <c r="F132" s="64">
        <v>0</v>
      </c>
      <c r="G132" s="64">
        <v>0</v>
      </c>
    </row>
    <row r="133" spans="1:7" x14ac:dyDescent="0.25">
      <c r="A133" s="75" t="s">
        <v>52</v>
      </c>
      <c r="B133" s="76">
        <v>17099569</v>
      </c>
      <c r="C133" s="62" t="s">
        <v>65</v>
      </c>
      <c r="D133" s="64">
        <v>361</v>
      </c>
      <c r="E133" s="64">
        <v>461</v>
      </c>
      <c r="F133" s="64">
        <v>0</v>
      </c>
      <c r="G133" s="64">
        <v>0</v>
      </c>
    </row>
    <row r="134" spans="1:7" ht="30" x14ac:dyDescent="0.25">
      <c r="A134" s="75" t="s">
        <v>296</v>
      </c>
      <c r="B134" s="76">
        <v>17099570</v>
      </c>
      <c r="C134" s="62" t="s">
        <v>301</v>
      </c>
      <c r="D134" s="64">
        <v>1566</v>
      </c>
      <c r="E134" s="64">
        <v>1904</v>
      </c>
      <c r="F134" s="64">
        <v>0</v>
      </c>
      <c r="G134" s="64">
        <v>0</v>
      </c>
    </row>
    <row r="135" spans="1:7" x14ac:dyDescent="0.25">
      <c r="A135" s="78" t="s">
        <v>483</v>
      </c>
      <c r="B135" s="77">
        <v>17099571</v>
      </c>
      <c r="C135" s="63" t="s">
        <v>226</v>
      </c>
      <c r="D135" s="65">
        <v>471</v>
      </c>
      <c r="E135" s="65">
        <v>537</v>
      </c>
      <c r="F135" s="65">
        <v>0</v>
      </c>
      <c r="G135" s="65">
        <v>0</v>
      </c>
    </row>
    <row r="136" spans="1:7" x14ac:dyDescent="0.25">
      <c r="A136" s="75" t="s">
        <v>350</v>
      </c>
      <c r="B136" s="76">
        <v>17099572</v>
      </c>
      <c r="C136" s="62" t="s">
        <v>360</v>
      </c>
      <c r="D136" s="64">
        <v>5058</v>
      </c>
      <c r="E136" s="64">
        <v>6331</v>
      </c>
      <c r="F136" s="64">
        <v>0</v>
      </c>
      <c r="G136" s="64">
        <v>0</v>
      </c>
    </row>
    <row r="137" spans="1:7" x14ac:dyDescent="0.25">
      <c r="A137" s="75" t="s">
        <v>350</v>
      </c>
      <c r="B137" s="76">
        <v>17099573</v>
      </c>
      <c r="C137" s="62" t="s">
        <v>354</v>
      </c>
      <c r="D137" s="64">
        <v>2116</v>
      </c>
      <c r="E137" s="64">
        <v>3101</v>
      </c>
      <c r="F137" s="64">
        <v>0</v>
      </c>
      <c r="G137" s="64">
        <v>0</v>
      </c>
    </row>
    <row r="138" spans="1:7" x14ac:dyDescent="0.25">
      <c r="A138" s="75" t="s">
        <v>350</v>
      </c>
      <c r="B138" s="76">
        <v>17099574</v>
      </c>
      <c r="C138" s="62" t="s">
        <v>362</v>
      </c>
      <c r="D138" s="64">
        <v>4</v>
      </c>
      <c r="E138" s="64">
        <v>22</v>
      </c>
      <c r="F138" s="64">
        <v>0</v>
      </c>
      <c r="G138" s="64">
        <v>0</v>
      </c>
    </row>
    <row r="139" spans="1:7" x14ac:dyDescent="0.25">
      <c r="A139" s="75" t="s">
        <v>350</v>
      </c>
      <c r="B139" s="76">
        <v>17099575</v>
      </c>
      <c r="C139" s="62" t="s">
        <v>357</v>
      </c>
      <c r="D139" s="64">
        <v>200</v>
      </c>
      <c r="E139" s="64">
        <v>453</v>
      </c>
      <c r="F139" s="64">
        <v>0</v>
      </c>
      <c r="G139" s="64">
        <v>0</v>
      </c>
    </row>
    <row r="140" spans="1:7" x14ac:dyDescent="0.25">
      <c r="A140" s="75" t="s">
        <v>288</v>
      </c>
      <c r="B140" s="76">
        <v>17099576</v>
      </c>
      <c r="C140" s="62" t="s">
        <v>292</v>
      </c>
      <c r="D140" s="64">
        <v>23</v>
      </c>
      <c r="E140" s="64">
        <v>23</v>
      </c>
      <c r="F140" s="64">
        <v>0</v>
      </c>
      <c r="G140" s="64">
        <v>0</v>
      </c>
    </row>
    <row r="141" spans="1:7" x14ac:dyDescent="0.25">
      <c r="A141" s="75" t="s">
        <v>326</v>
      </c>
      <c r="B141" s="76">
        <v>17099577</v>
      </c>
      <c r="C141" s="62" t="s">
        <v>305</v>
      </c>
      <c r="D141" s="64">
        <v>8</v>
      </c>
      <c r="E141" s="64">
        <v>8</v>
      </c>
      <c r="F141" s="64">
        <v>0</v>
      </c>
      <c r="G141" s="64">
        <v>0</v>
      </c>
    </row>
    <row r="142" spans="1:7" x14ac:dyDescent="0.25">
      <c r="A142" s="75" t="s">
        <v>350</v>
      </c>
      <c r="B142" s="76">
        <v>17099578</v>
      </c>
      <c r="C142" s="62" t="s">
        <v>351</v>
      </c>
      <c r="D142" s="64">
        <v>3412</v>
      </c>
      <c r="E142" s="64">
        <v>5045</v>
      </c>
      <c r="F142" s="64">
        <v>0</v>
      </c>
      <c r="G142" s="64">
        <v>0</v>
      </c>
    </row>
    <row r="143" spans="1:7" x14ac:dyDescent="0.25">
      <c r="A143" s="75" t="s">
        <v>823</v>
      </c>
      <c r="B143" s="76">
        <v>17099579</v>
      </c>
      <c r="C143" s="62" t="s">
        <v>171</v>
      </c>
      <c r="D143" s="64">
        <v>1925</v>
      </c>
      <c r="E143" s="64">
        <v>2531</v>
      </c>
      <c r="F143" s="64">
        <v>0</v>
      </c>
      <c r="G143" s="64">
        <v>0</v>
      </c>
    </row>
    <row r="144" spans="1:7" x14ac:dyDescent="0.25">
      <c r="A144" s="75" t="s">
        <v>52</v>
      </c>
      <c r="B144" s="76">
        <v>17099580</v>
      </c>
      <c r="C144" s="62" t="s">
        <v>440</v>
      </c>
      <c r="D144" s="64">
        <v>2810</v>
      </c>
      <c r="E144" s="64">
        <v>2983</v>
      </c>
      <c r="F144" s="64">
        <v>0</v>
      </c>
      <c r="G144" s="64">
        <v>0</v>
      </c>
    </row>
    <row r="145" spans="1:7" x14ac:dyDescent="0.25">
      <c r="A145" s="75" t="s">
        <v>823</v>
      </c>
      <c r="B145" s="76">
        <v>17099582</v>
      </c>
      <c r="C145" s="62" t="s">
        <v>173</v>
      </c>
      <c r="D145" s="64">
        <v>1508</v>
      </c>
      <c r="E145" s="64">
        <v>1702</v>
      </c>
      <c r="F145" s="64">
        <v>0</v>
      </c>
      <c r="G145" s="64">
        <v>0</v>
      </c>
    </row>
    <row r="146" spans="1:7" x14ac:dyDescent="0.25">
      <c r="A146" s="75" t="s">
        <v>823</v>
      </c>
      <c r="B146" s="76">
        <v>17099583</v>
      </c>
      <c r="C146" s="62" t="s">
        <v>471</v>
      </c>
      <c r="D146" s="64">
        <v>290</v>
      </c>
      <c r="E146" s="64">
        <v>464</v>
      </c>
      <c r="F146" s="64">
        <v>0</v>
      </c>
      <c r="G146" s="64">
        <v>0</v>
      </c>
    </row>
    <row r="147" spans="1:7" x14ac:dyDescent="0.25">
      <c r="A147" s="75" t="s">
        <v>825</v>
      </c>
      <c r="B147" s="76">
        <v>17099584</v>
      </c>
      <c r="C147" s="62" t="s">
        <v>333</v>
      </c>
      <c r="D147" s="64">
        <v>757</v>
      </c>
      <c r="E147" s="64">
        <v>1212</v>
      </c>
      <c r="F147" s="64">
        <v>0</v>
      </c>
      <c r="G147" s="64">
        <v>0</v>
      </c>
    </row>
    <row r="148" spans="1:7" x14ac:dyDescent="0.25">
      <c r="A148" s="75" t="s">
        <v>222</v>
      </c>
      <c r="B148" s="76">
        <v>17099585</v>
      </c>
      <c r="C148" s="62" t="s">
        <v>230</v>
      </c>
      <c r="D148" s="64">
        <v>3016</v>
      </c>
      <c r="E148" s="64">
        <v>4090</v>
      </c>
      <c r="F148" s="64">
        <v>0</v>
      </c>
      <c r="G148" s="64">
        <v>0</v>
      </c>
    </row>
    <row r="149" spans="1:7" x14ac:dyDescent="0.25">
      <c r="A149" s="75" t="s">
        <v>180</v>
      </c>
      <c r="B149" s="76">
        <v>17099586</v>
      </c>
      <c r="C149" s="62" t="s">
        <v>184</v>
      </c>
      <c r="D149" s="64">
        <v>78</v>
      </c>
      <c r="E149" s="64">
        <v>103</v>
      </c>
      <c r="F149" s="64">
        <v>0</v>
      </c>
      <c r="G149" s="64">
        <v>0</v>
      </c>
    </row>
    <row r="150" spans="1:7" x14ac:dyDescent="0.25">
      <c r="A150" s="75" t="s">
        <v>820</v>
      </c>
      <c r="B150" s="76">
        <v>17099587</v>
      </c>
      <c r="C150" s="62" t="s">
        <v>119</v>
      </c>
      <c r="D150" s="64">
        <v>142</v>
      </c>
      <c r="E150" s="64">
        <v>413</v>
      </c>
      <c r="F150" s="64">
        <v>0</v>
      </c>
      <c r="G150" s="64">
        <v>0</v>
      </c>
    </row>
    <row r="151" spans="1:7" x14ac:dyDescent="0.25">
      <c r="A151" s="75" t="s">
        <v>216</v>
      </c>
      <c r="B151" s="76">
        <v>17099588</v>
      </c>
      <c r="C151" s="62" t="s">
        <v>219</v>
      </c>
      <c r="D151" s="64">
        <v>573</v>
      </c>
      <c r="E151" s="64">
        <v>762</v>
      </c>
      <c r="F151" s="64">
        <v>0</v>
      </c>
      <c r="G151" s="64">
        <v>0</v>
      </c>
    </row>
    <row r="152" spans="1:7" x14ac:dyDescent="0.25">
      <c r="A152" s="75" t="s">
        <v>553</v>
      </c>
      <c r="B152" s="76">
        <v>17099589</v>
      </c>
      <c r="C152" s="62" t="s">
        <v>559</v>
      </c>
      <c r="D152" s="64">
        <v>139</v>
      </c>
      <c r="E152" s="64">
        <v>314</v>
      </c>
      <c r="F152" s="64">
        <v>0</v>
      </c>
      <c r="G152" s="64">
        <v>0</v>
      </c>
    </row>
    <row r="153" spans="1:7" x14ac:dyDescent="0.25">
      <c r="A153" s="75" t="s">
        <v>205</v>
      </c>
      <c r="B153" s="76">
        <v>17099598</v>
      </c>
      <c r="C153" s="62" t="s">
        <v>210</v>
      </c>
      <c r="D153" s="64">
        <v>2676</v>
      </c>
      <c r="E153" s="64">
        <v>3012</v>
      </c>
      <c r="F153" s="64">
        <v>0</v>
      </c>
      <c r="G153" s="64">
        <v>0</v>
      </c>
    </row>
    <row r="154" spans="1:7" x14ac:dyDescent="0.25">
      <c r="A154" s="75" t="s">
        <v>503</v>
      </c>
      <c r="B154" s="76">
        <v>17099599</v>
      </c>
      <c r="C154" s="62" t="s">
        <v>510</v>
      </c>
      <c r="D154" s="64">
        <v>1112</v>
      </c>
      <c r="E154" s="64">
        <v>1751</v>
      </c>
      <c r="F154" s="64">
        <v>0</v>
      </c>
      <c r="G154" s="64">
        <v>0</v>
      </c>
    </row>
    <row r="155" spans="1:7" x14ac:dyDescent="0.25">
      <c r="A155" s="75" t="s">
        <v>503</v>
      </c>
      <c r="B155" s="76">
        <v>17099600</v>
      </c>
      <c r="C155" s="62" t="s">
        <v>512</v>
      </c>
      <c r="D155" s="64">
        <v>630</v>
      </c>
      <c r="E155" s="64">
        <v>1340</v>
      </c>
      <c r="F155" s="64">
        <v>0</v>
      </c>
      <c r="G155" s="64">
        <v>0</v>
      </c>
    </row>
    <row r="156" spans="1:7" x14ac:dyDescent="0.25">
      <c r="A156" s="75" t="s">
        <v>503</v>
      </c>
      <c r="B156" s="76">
        <v>17099601</v>
      </c>
      <c r="C156" s="62" t="s">
        <v>514</v>
      </c>
      <c r="D156" s="64">
        <v>177</v>
      </c>
      <c r="E156" s="64">
        <v>257</v>
      </c>
      <c r="F156" s="64">
        <v>0</v>
      </c>
      <c r="G156" s="64">
        <v>0</v>
      </c>
    </row>
    <row r="157" spans="1:7" ht="30" x14ac:dyDescent="0.25">
      <c r="A157" s="75" t="s">
        <v>819</v>
      </c>
      <c r="B157" s="76">
        <v>17099602</v>
      </c>
      <c r="C157" s="62" t="s">
        <v>602</v>
      </c>
      <c r="D157" s="64">
        <v>3623</v>
      </c>
      <c r="E157" s="64">
        <v>4446</v>
      </c>
      <c r="F157" s="64">
        <v>0</v>
      </c>
      <c r="G157" s="64">
        <v>0</v>
      </c>
    </row>
    <row r="158" spans="1:7" x14ac:dyDescent="0.25">
      <c r="A158" s="75" t="s">
        <v>759</v>
      </c>
      <c r="B158" s="76">
        <v>17099603</v>
      </c>
      <c r="C158" s="62" t="s">
        <v>807</v>
      </c>
      <c r="D158" s="64">
        <v>526</v>
      </c>
      <c r="E158" s="64">
        <v>797</v>
      </c>
      <c r="F158" s="64">
        <v>0</v>
      </c>
      <c r="G158" s="64">
        <v>0</v>
      </c>
    </row>
    <row r="159" spans="1:7" x14ac:dyDescent="0.25">
      <c r="A159" s="75" t="s">
        <v>759</v>
      </c>
      <c r="B159" s="76">
        <v>17099604</v>
      </c>
      <c r="C159" s="62" t="s">
        <v>761</v>
      </c>
      <c r="D159" s="64">
        <v>463</v>
      </c>
      <c r="E159" s="64">
        <v>815</v>
      </c>
      <c r="F159" s="64">
        <v>0</v>
      </c>
      <c r="G159" s="64">
        <v>0</v>
      </c>
    </row>
    <row r="160" spans="1:7" x14ac:dyDescent="0.25">
      <c r="A160" s="75" t="s">
        <v>569</v>
      </c>
      <c r="B160" s="76">
        <v>17099605</v>
      </c>
      <c r="C160" s="62" t="s">
        <v>810</v>
      </c>
      <c r="D160" s="64">
        <v>5674</v>
      </c>
      <c r="E160" s="64">
        <v>9026</v>
      </c>
      <c r="F160" s="64">
        <v>0</v>
      </c>
      <c r="G160" s="64">
        <v>0</v>
      </c>
    </row>
    <row r="161" spans="1:7" x14ac:dyDescent="0.25">
      <c r="A161" s="75" t="s">
        <v>793</v>
      </c>
      <c r="B161" s="76">
        <v>17099610</v>
      </c>
      <c r="C161" s="62" t="s">
        <v>561</v>
      </c>
      <c r="D161" s="64">
        <v>1716</v>
      </c>
      <c r="E161" s="64">
        <v>2727</v>
      </c>
      <c r="F161" s="64">
        <v>0</v>
      </c>
      <c r="G161" s="64">
        <v>0</v>
      </c>
    </row>
    <row r="162" spans="1:7" x14ac:dyDescent="0.25">
      <c r="A162" s="75" t="s">
        <v>52</v>
      </c>
      <c r="B162" s="76">
        <v>17099611</v>
      </c>
      <c r="C162" s="62" t="s">
        <v>60</v>
      </c>
      <c r="D162" s="64">
        <v>2531</v>
      </c>
      <c r="E162" s="64">
        <v>3334</v>
      </c>
      <c r="F162" s="64">
        <v>0</v>
      </c>
      <c r="G162" s="64">
        <v>0</v>
      </c>
    </row>
    <row r="163" spans="1:7" x14ac:dyDescent="0.25">
      <c r="A163" s="75" t="s">
        <v>52</v>
      </c>
      <c r="B163" s="76">
        <v>17099612</v>
      </c>
      <c r="C163" s="62" t="s">
        <v>68</v>
      </c>
      <c r="D163" s="64">
        <v>530</v>
      </c>
      <c r="E163" s="64">
        <v>547</v>
      </c>
      <c r="F163" s="64">
        <v>0</v>
      </c>
      <c r="G163" s="64">
        <v>0</v>
      </c>
    </row>
    <row r="164" spans="1:7" x14ac:dyDescent="0.25">
      <c r="A164" s="75" t="s">
        <v>52</v>
      </c>
      <c r="B164" s="76">
        <v>17099613</v>
      </c>
      <c r="C164" s="62" t="s">
        <v>57</v>
      </c>
      <c r="D164" s="64">
        <v>4954</v>
      </c>
      <c r="E164" s="64">
        <v>5967</v>
      </c>
      <c r="F164" s="64">
        <v>0</v>
      </c>
      <c r="G164" s="64">
        <v>0</v>
      </c>
    </row>
    <row r="165" spans="1:7" x14ac:dyDescent="0.25">
      <c r="A165" s="75" t="s">
        <v>820</v>
      </c>
      <c r="B165" s="76">
        <v>17099614</v>
      </c>
      <c r="C165" s="62" t="s">
        <v>111</v>
      </c>
      <c r="D165" s="64">
        <v>119</v>
      </c>
      <c r="E165" s="64">
        <v>289</v>
      </c>
      <c r="F165" s="64">
        <v>0</v>
      </c>
      <c r="G165" s="64">
        <v>0</v>
      </c>
    </row>
    <row r="166" spans="1:7" x14ac:dyDescent="0.25">
      <c r="A166" s="75" t="s">
        <v>70</v>
      </c>
      <c r="B166" s="76">
        <v>17099615</v>
      </c>
      <c r="C166" s="62" t="s">
        <v>78</v>
      </c>
      <c r="D166" s="64">
        <v>6979</v>
      </c>
      <c r="E166" s="64">
        <v>8546</v>
      </c>
      <c r="F166" s="64">
        <v>0</v>
      </c>
      <c r="G166" s="64">
        <v>0</v>
      </c>
    </row>
    <row r="167" spans="1:7" x14ac:dyDescent="0.25">
      <c r="A167" s="75" t="s">
        <v>70</v>
      </c>
      <c r="B167" s="76">
        <v>17099616</v>
      </c>
      <c r="C167" s="62" t="s">
        <v>76</v>
      </c>
      <c r="D167" s="64">
        <v>5102</v>
      </c>
      <c r="E167" s="64">
        <v>7257</v>
      </c>
      <c r="F167" s="64">
        <v>0</v>
      </c>
      <c r="G167" s="64">
        <v>0</v>
      </c>
    </row>
    <row r="168" spans="1:7" ht="30" x14ac:dyDescent="0.25">
      <c r="A168" s="75" t="s">
        <v>296</v>
      </c>
      <c r="B168" s="76">
        <v>17099617</v>
      </c>
      <c r="C168" s="62" t="s">
        <v>299</v>
      </c>
      <c r="D168" s="64">
        <v>483</v>
      </c>
      <c r="E168" s="64">
        <v>683</v>
      </c>
      <c r="F168" s="64">
        <v>0</v>
      </c>
      <c r="G168" s="64">
        <v>0</v>
      </c>
    </row>
    <row r="169" spans="1:7" ht="30" x14ac:dyDescent="0.25">
      <c r="A169" s="75" t="s">
        <v>296</v>
      </c>
      <c r="B169" s="76">
        <v>17099618</v>
      </c>
      <c r="C169" s="62" t="s">
        <v>303</v>
      </c>
      <c r="D169" s="64">
        <v>4515</v>
      </c>
      <c r="E169" s="64">
        <v>6776</v>
      </c>
      <c r="F169" s="64">
        <v>0</v>
      </c>
      <c r="G169" s="64">
        <v>0</v>
      </c>
    </row>
    <row r="170" spans="1:7" x14ac:dyDescent="0.25">
      <c r="A170" s="75" t="s">
        <v>820</v>
      </c>
      <c r="B170" s="76">
        <v>17099619</v>
      </c>
      <c r="C170" s="62" t="s">
        <v>115</v>
      </c>
      <c r="D170" s="64">
        <v>624</v>
      </c>
      <c r="E170" s="64">
        <v>786</v>
      </c>
      <c r="F170" s="64">
        <v>0</v>
      </c>
      <c r="G170" s="64">
        <v>0</v>
      </c>
    </row>
    <row r="171" spans="1:7" x14ac:dyDescent="0.25">
      <c r="A171" s="40" t="s">
        <v>80</v>
      </c>
      <c r="B171" s="76">
        <v>17099621</v>
      </c>
      <c r="C171" s="62" t="s">
        <v>87</v>
      </c>
      <c r="D171" s="64">
        <v>779</v>
      </c>
      <c r="E171" s="64">
        <v>1312</v>
      </c>
      <c r="F171" s="64">
        <v>0</v>
      </c>
      <c r="G171" s="64">
        <v>0</v>
      </c>
    </row>
    <row r="172" spans="1:7" x14ac:dyDescent="0.25">
      <c r="A172" s="75" t="s">
        <v>562</v>
      </c>
      <c r="B172" s="76">
        <v>17099622</v>
      </c>
      <c r="C172" s="62" t="s">
        <v>567</v>
      </c>
      <c r="D172" s="64">
        <v>27</v>
      </c>
      <c r="E172" s="64">
        <v>40</v>
      </c>
      <c r="F172" s="64">
        <v>28</v>
      </c>
      <c r="G172" s="64">
        <v>38</v>
      </c>
    </row>
    <row r="173" spans="1:7" x14ac:dyDescent="0.25">
      <c r="A173" s="75" t="s">
        <v>612</v>
      </c>
      <c r="B173" s="76">
        <v>17099623</v>
      </c>
      <c r="C173" s="62" t="s">
        <v>613</v>
      </c>
      <c r="D173" s="64">
        <v>266</v>
      </c>
      <c r="E173" s="64">
        <v>344</v>
      </c>
      <c r="F173" s="64">
        <v>0</v>
      </c>
      <c r="G173" s="64">
        <v>0</v>
      </c>
    </row>
    <row r="174" spans="1:7" x14ac:dyDescent="0.25">
      <c r="A174" s="75" t="s">
        <v>180</v>
      </c>
      <c r="B174" s="76">
        <v>17099624</v>
      </c>
      <c r="C174" s="62" t="s">
        <v>465</v>
      </c>
      <c r="D174" s="64">
        <v>768</v>
      </c>
      <c r="E174" s="64">
        <v>989</v>
      </c>
      <c r="F174" s="64">
        <v>0</v>
      </c>
      <c r="G174" s="64">
        <v>0</v>
      </c>
    </row>
    <row r="175" spans="1:7" x14ac:dyDescent="0.25">
      <c r="A175" s="75" t="s">
        <v>820</v>
      </c>
      <c r="B175" s="76">
        <v>17099625</v>
      </c>
      <c r="C175" s="62" t="s">
        <v>113</v>
      </c>
      <c r="D175" s="64">
        <v>248</v>
      </c>
      <c r="E175" s="64">
        <v>334</v>
      </c>
      <c r="F175" s="64">
        <v>0</v>
      </c>
      <c r="G175" s="64">
        <v>0</v>
      </c>
    </row>
    <row r="176" spans="1:7" x14ac:dyDescent="0.25">
      <c r="A176" s="75" t="s">
        <v>820</v>
      </c>
      <c r="B176" s="76">
        <v>17099626</v>
      </c>
      <c r="C176" s="62" t="s">
        <v>117</v>
      </c>
      <c r="D176" s="64">
        <v>164</v>
      </c>
      <c r="E176" s="64">
        <v>215</v>
      </c>
      <c r="F176" s="64">
        <v>0</v>
      </c>
      <c r="G176" s="64">
        <v>0</v>
      </c>
    </row>
    <row r="177" spans="1:7" x14ac:dyDescent="0.25">
      <c r="A177" s="75" t="s">
        <v>820</v>
      </c>
      <c r="B177" s="76">
        <v>17099627</v>
      </c>
      <c r="C177" s="62" t="s">
        <v>451</v>
      </c>
      <c r="D177" s="64">
        <v>692</v>
      </c>
      <c r="E177" s="64">
        <v>763</v>
      </c>
      <c r="F177" s="64">
        <v>0</v>
      </c>
      <c r="G177" s="64">
        <v>0</v>
      </c>
    </row>
    <row r="178" spans="1:7" x14ac:dyDescent="0.25">
      <c r="A178" s="75" t="s">
        <v>95</v>
      </c>
      <c r="B178" s="76">
        <v>17099629</v>
      </c>
      <c r="C178" s="62" t="s">
        <v>769</v>
      </c>
      <c r="D178" s="64">
        <v>2185</v>
      </c>
      <c r="E178" s="64">
        <v>2951</v>
      </c>
      <c r="F178" s="64">
        <v>7</v>
      </c>
      <c r="G178" s="64">
        <v>14</v>
      </c>
    </row>
    <row r="179" spans="1:7" x14ac:dyDescent="0.25">
      <c r="A179" s="75" t="s">
        <v>177</v>
      </c>
      <c r="B179" s="76">
        <v>17099631</v>
      </c>
      <c r="C179" s="62" t="s">
        <v>475</v>
      </c>
      <c r="D179" s="64">
        <v>39469</v>
      </c>
      <c r="E179" s="64">
        <v>52031</v>
      </c>
      <c r="F179" s="64">
        <v>0</v>
      </c>
      <c r="G179" s="64">
        <v>0</v>
      </c>
    </row>
    <row r="180" spans="1:7" x14ac:dyDescent="0.25">
      <c r="A180" s="75" t="s">
        <v>180</v>
      </c>
      <c r="B180" s="76">
        <v>17099632</v>
      </c>
      <c r="C180" s="62" t="s">
        <v>186</v>
      </c>
      <c r="D180" s="64">
        <v>1741</v>
      </c>
      <c r="E180" s="64">
        <v>2062</v>
      </c>
      <c r="F180" s="64">
        <v>336</v>
      </c>
      <c r="G180" s="64">
        <v>363</v>
      </c>
    </row>
    <row r="181" spans="1:7" x14ac:dyDescent="0.25">
      <c r="A181" s="75" t="s">
        <v>180</v>
      </c>
      <c r="B181" s="76">
        <v>17099633</v>
      </c>
      <c r="C181" s="62" t="s">
        <v>467</v>
      </c>
      <c r="D181" s="64">
        <v>5</v>
      </c>
      <c r="E181" s="64">
        <v>8</v>
      </c>
      <c r="F181" s="64">
        <v>0</v>
      </c>
      <c r="G181" s="64">
        <v>0</v>
      </c>
    </row>
    <row r="182" spans="1:7" x14ac:dyDescent="0.25">
      <c r="A182" s="75" t="s">
        <v>177</v>
      </c>
      <c r="B182" s="76">
        <v>17099634</v>
      </c>
      <c r="C182" s="62" t="s">
        <v>251</v>
      </c>
      <c r="D182" s="64">
        <v>568</v>
      </c>
      <c r="E182" s="64">
        <v>1565</v>
      </c>
      <c r="F182" s="64">
        <v>0</v>
      </c>
      <c r="G182" s="64">
        <v>0</v>
      </c>
    </row>
    <row r="183" spans="1:7" x14ac:dyDescent="0.25">
      <c r="A183" s="78" t="s">
        <v>569</v>
      </c>
      <c r="B183" s="77">
        <v>17099635</v>
      </c>
      <c r="C183" s="63" t="s">
        <v>576</v>
      </c>
      <c r="D183" s="65">
        <v>3833</v>
      </c>
      <c r="E183" s="65">
        <v>4645</v>
      </c>
      <c r="F183" s="65">
        <v>0</v>
      </c>
      <c r="G183" s="65">
        <v>0</v>
      </c>
    </row>
    <row r="184" spans="1:7" x14ac:dyDescent="0.25">
      <c r="A184" s="75" t="s">
        <v>759</v>
      </c>
      <c r="B184" s="76">
        <v>17099636</v>
      </c>
      <c r="C184" s="62" t="s">
        <v>764</v>
      </c>
      <c r="D184" s="64">
        <v>109</v>
      </c>
      <c r="E184" s="64">
        <v>232</v>
      </c>
      <c r="F184" s="64">
        <v>0</v>
      </c>
      <c r="G184" s="64">
        <v>0</v>
      </c>
    </row>
    <row r="185" spans="1:7" x14ac:dyDescent="0.25">
      <c r="A185" s="75" t="s">
        <v>270</v>
      </c>
      <c r="B185" s="76">
        <v>17099640</v>
      </c>
      <c r="C185" s="62" t="s">
        <v>275</v>
      </c>
      <c r="D185" s="64">
        <v>877</v>
      </c>
      <c r="E185" s="64">
        <v>1126</v>
      </c>
      <c r="F185" s="64">
        <v>0</v>
      </c>
      <c r="G185" s="64">
        <v>0</v>
      </c>
    </row>
    <row r="186" spans="1:7" x14ac:dyDescent="0.25">
      <c r="A186" s="75" t="s">
        <v>177</v>
      </c>
      <c r="B186" s="76">
        <v>17099641</v>
      </c>
      <c r="C186" s="62" t="s">
        <v>266</v>
      </c>
      <c r="D186" s="64">
        <v>431</v>
      </c>
      <c r="E186" s="64">
        <v>577</v>
      </c>
      <c r="F186" s="64">
        <v>0</v>
      </c>
      <c r="G186" s="64">
        <v>0</v>
      </c>
    </row>
    <row r="187" spans="1:7" x14ac:dyDescent="0.25">
      <c r="A187" s="75" t="s">
        <v>95</v>
      </c>
      <c r="B187" s="76">
        <v>17099643</v>
      </c>
      <c r="C187" s="62" t="s">
        <v>808</v>
      </c>
      <c r="D187" s="64">
        <v>134</v>
      </c>
      <c r="E187" s="64">
        <v>154</v>
      </c>
      <c r="F187" s="64">
        <v>80</v>
      </c>
      <c r="G187" s="64">
        <v>170</v>
      </c>
    </row>
    <row r="188" spans="1:7" x14ac:dyDescent="0.25">
      <c r="A188" s="75" t="s">
        <v>270</v>
      </c>
      <c r="B188" s="76">
        <v>17099645</v>
      </c>
      <c r="C188" s="62" t="s">
        <v>459</v>
      </c>
      <c r="D188" s="64">
        <v>209</v>
      </c>
      <c r="E188" s="64">
        <v>1039</v>
      </c>
      <c r="F188" s="64">
        <v>0</v>
      </c>
      <c r="G188" s="64">
        <v>0</v>
      </c>
    </row>
    <row r="189" spans="1:7" x14ac:dyDescent="0.25">
      <c r="A189" s="75" t="s">
        <v>335</v>
      </c>
      <c r="B189" s="76">
        <v>17099646</v>
      </c>
      <c r="C189" s="62" t="s">
        <v>348</v>
      </c>
      <c r="D189" s="64">
        <v>3149</v>
      </c>
      <c r="E189" s="64">
        <v>3991</v>
      </c>
      <c r="F189" s="64">
        <v>426</v>
      </c>
      <c r="G189" s="64">
        <v>438</v>
      </c>
    </row>
    <row r="190" spans="1:7" x14ac:dyDescent="0.25">
      <c r="A190" s="75" t="s">
        <v>335</v>
      </c>
      <c r="B190" s="76">
        <v>17099656</v>
      </c>
      <c r="C190" s="62" t="s">
        <v>339</v>
      </c>
      <c r="D190" s="64">
        <v>4015</v>
      </c>
      <c r="E190" s="64">
        <v>5049</v>
      </c>
      <c r="F190" s="64">
        <v>0</v>
      </c>
      <c r="G190" s="64">
        <v>0</v>
      </c>
    </row>
    <row r="191" spans="1:7" x14ac:dyDescent="0.25">
      <c r="A191" s="75" t="s">
        <v>550</v>
      </c>
      <c r="B191" s="76">
        <v>17099684</v>
      </c>
      <c r="C191" s="62" t="s">
        <v>346</v>
      </c>
      <c r="D191" s="64">
        <v>1922</v>
      </c>
      <c r="E191" s="64">
        <v>2171</v>
      </c>
      <c r="F191" s="64">
        <v>326</v>
      </c>
      <c r="G191" s="64">
        <v>540</v>
      </c>
    </row>
    <row r="192" spans="1:7" x14ac:dyDescent="0.25">
      <c r="A192" s="75" t="s">
        <v>335</v>
      </c>
      <c r="B192" s="76">
        <v>17099685</v>
      </c>
      <c r="C192" s="62" t="s">
        <v>341</v>
      </c>
      <c r="D192" s="64">
        <v>4488</v>
      </c>
      <c r="E192" s="64">
        <v>5615</v>
      </c>
      <c r="F192" s="64">
        <v>0</v>
      </c>
      <c r="G192" s="64">
        <v>0</v>
      </c>
    </row>
    <row r="193" spans="1:7" x14ac:dyDescent="0.25">
      <c r="A193" s="75" t="s">
        <v>277</v>
      </c>
      <c r="B193" s="76">
        <v>17099686</v>
      </c>
      <c r="C193" s="62" t="s">
        <v>282</v>
      </c>
      <c r="D193" s="64">
        <v>1254</v>
      </c>
      <c r="E193" s="64">
        <v>1667</v>
      </c>
      <c r="F193" s="64">
        <v>0</v>
      </c>
      <c r="G193" s="64">
        <v>0</v>
      </c>
    </row>
    <row r="194" spans="1:7" x14ac:dyDescent="0.25">
      <c r="A194" s="75" t="s">
        <v>277</v>
      </c>
      <c r="B194" s="76">
        <v>17099687</v>
      </c>
      <c r="C194" s="62" t="s">
        <v>768</v>
      </c>
      <c r="D194" s="64">
        <v>1904</v>
      </c>
      <c r="E194" s="64">
        <v>2504</v>
      </c>
      <c r="F194" s="64">
        <v>0</v>
      </c>
      <c r="G194" s="64">
        <v>0</v>
      </c>
    </row>
    <row r="195" spans="1:7" x14ac:dyDescent="0.25">
      <c r="A195" s="75" t="s">
        <v>368</v>
      </c>
      <c r="B195" s="76">
        <v>17099688</v>
      </c>
      <c r="C195" s="62" t="s">
        <v>371</v>
      </c>
      <c r="D195" s="64">
        <v>2007</v>
      </c>
      <c r="E195" s="64">
        <v>2692</v>
      </c>
      <c r="F195" s="64">
        <v>0</v>
      </c>
      <c r="G195" s="64">
        <v>0</v>
      </c>
    </row>
    <row r="196" spans="1:7" x14ac:dyDescent="0.25">
      <c r="A196" s="75" t="s">
        <v>216</v>
      </c>
      <c r="B196" s="76">
        <v>17099689</v>
      </c>
      <c r="C196" s="62" t="s">
        <v>815</v>
      </c>
      <c r="D196" s="64">
        <v>235</v>
      </c>
      <c r="E196" s="64">
        <v>418</v>
      </c>
      <c r="F196" s="64">
        <v>0</v>
      </c>
      <c r="G196" s="64">
        <v>0</v>
      </c>
    </row>
    <row r="197" spans="1:7" x14ac:dyDescent="0.25">
      <c r="A197" s="75" t="s">
        <v>157</v>
      </c>
      <c r="B197" s="76">
        <v>17099693</v>
      </c>
      <c r="C197" s="62" t="s">
        <v>775</v>
      </c>
      <c r="D197" s="64">
        <v>413</v>
      </c>
      <c r="E197" s="64">
        <v>821</v>
      </c>
      <c r="F197" s="64">
        <v>197</v>
      </c>
      <c r="G197" s="64">
        <v>253</v>
      </c>
    </row>
    <row r="198" spans="1:7" ht="30" x14ac:dyDescent="0.25">
      <c r="A198" s="75" t="s">
        <v>819</v>
      </c>
      <c r="B198" s="76">
        <v>17099694</v>
      </c>
      <c r="C198" s="62" t="s">
        <v>604</v>
      </c>
      <c r="D198" s="64">
        <v>96</v>
      </c>
      <c r="E198" s="64">
        <v>168</v>
      </c>
      <c r="F198" s="64">
        <v>0</v>
      </c>
      <c r="G198" s="64">
        <v>0</v>
      </c>
    </row>
    <row r="199" spans="1:7" x14ac:dyDescent="0.25">
      <c r="A199" s="75" t="s">
        <v>389</v>
      </c>
      <c r="B199" s="76">
        <v>17099695</v>
      </c>
      <c r="C199" s="62" t="s">
        <v>393</v>
      </c>
      <c r="D199" s="64">
        <v>6091</v>
      </c>
      <c r="E199" s="64">
        <v>8781</v>
      </c>
      <c r="F199" s="64">
        <v>0</v>
      </c>
      <c r="G199" s="64">
        <v>0</v>
      </c>
    </row>
    <row r="200" spans="1:7" x14ac:dyDescent="0.25">
      <c r="A200" s="75" t="s">
        <v>377</v>
      </c>
      <c r="B200" s="76">
        <v>17099696</v>
      </c>
      <c r="C200" s="62" t="s">
        <v>385</v>
      </c>
      <c r="D200" s="64">
        <v>1464</v>
      </c>
      <c r="E200" s="64">
        <v>2040</v>
      </c>
      <c r="F200" s="64">
        <v>0</v>
      </c>
      <c r="G200" s="64">
        <v>0</v>
      </c>
    </row>
    <row r="201" spans="1:7" ht="30" x14ac:dyDescent="0.25">
      <c r="A201" s="75" t="s">
        <v>492</v>
      </c>
      <c r="B201" s="76">
        <v>17099697</v>
      </c>
      <c r="C201" s="62" t="s">
        <v>495</v>
      </c>
      <c r="D201" s="64">
        <v>581</v>
      </c>
      <c r="E201" s="64">
        <v>822</v>
      </c>
      <c r="F201" s="64">
        <v>0</v>
      </c>
      <c r="G201" s="64">
        <v>0</v>
      </c>
    </row>
    <row r="202" spans="1:7" x14ac:dyDescent="0.25">
      <c r="A202" s="75" t="s">
        <v>368</v>
      </c>
      <c r="B202" s="76">
        <v>17099698</v>
      </c>
      <c r="C202" s="62" t="s">
        <v>375</v>
      </c>
      <c r="D202" s="64">
        <v>621</v>
      </c>
      <c r="E202" s="64">
        <v>1095</v>
      </c>
      <c r="F202" s="64">
        <v>0</v>
      </c>
      <c r="G202" s="64">
        <v>0</v>
      </c>
    </row>
    <row r="203" spans="1:7" x14ac:dyDescent="0.25">
      <c r="A203" s="75" t="s">
        <v>277</v>
      </c>
      <c r="B203" s="76">
        <v>17099699</v>
      </c>
      <c r="C203" s="62" t="s">
        <v>284</v>
      </c>
      <c r="D203" s="64">
        <v>340</v>
      </c>
      <c r="E203" s="64">
        <v>530</v>
      </c>
      <c r="F203" s="64">
        <v>0</v>
      </c>
      <c r="G203" s="64">
        <v>0</v>
      </c>
    </row>
    <row r="204" spans="1:7" x14ac:dyDescent="0.25">
      <c r="A204" s="75" t="s">
        <v>335</v>
      </c>
      <c r="B204" s="76">
        <v>17099700</v>
      </c>
      <c r="C204" s="62" t="s">
        <v>343</v>
      </c>
      <c r="D204" s="64">
        <v>9113</v>
      </c>
      <c r="E204" s="64">
        <v>10641</v>
      </c>
      <c r="F204" s="64">
        <v>0</v>
      </c>
      <c r="G204" s="64">
        <v>0</v>
      </c>
    </row>
    <row r="205" spans="1:7" x14ac:dyDescent="0.25">
      <c r="A205" s="75" t="s">
        <v>827</v>
      </c>
      <c r="B205" s="76">
        <v>17099701</v>
      </c>
      <c r="C205" s="62" t="s">
        <v>581</v>
      </c>
      <c r="D205" s="64">
        <v>0</v>
      </c>
      <c r="E205" s="64">
        <v>0</v>
      </c>
      <c r="F205" s="64">
        <v>0</v>
      </c>
      <c r="G205" s="64">
        <v>0</v>
      </c>
    </row>
    <row r="206" spans="1:7" x14ac:dyDescent="0.25">
      <c r="A206" s="75" t="s">
        <v>422</v>
      </c>
      <c r="B206" s="76">
        <v>17099702</v>
      </c>
      <c r="C206" s="62" t="s">
        <v>424</v>
      </c>
      <c r="D206" s="64">
        <v>198</v>
      </c>
      <c r="E206" s="64">
        <v>224</v>
      </c>
      <c r="F206" s="64">
        <v>338</v>
      </c>
      <c r="G206" s="64">
        <v>455</v>
      </c>
    </row>
    <row r="207" spans="1:7" x14ac:dyDescent="0.25">
      <c r="A207" s="75" t="s">
        <v>529</v>
      </c>
      <c r="B207" s="76">
        <v>17099703</v>
      </c>
      <c r="C207" s="62" t="s">
        <v>536</v>
      </c>
      <c r="D207" s="64">
        <v>7041</v>
      </c>
      <c r="E207" s="64">
        <v>10992</v>
      </c>
      <c r="F207" s="64">
        <v>0</v>
      </c>
      <c r="G207" s="64">
        <v>0</v>
      </c>
    </row>
    <row r="208" spans="1:7" x14ac:dyDescent="0.25">
      <c r="A208" s="75" t="s">
        <v>529</v>
      </c>
      <c r="B208" s="76">
        <v>17099704</v>
      </c>
      <c r="C208" s="62" t="s">
        <v>806</v>
      </c>
      <c r="D208" s="64">
        <v>2387</v>
      </c>
      <c r="E208" s="64">
        <v>3119</v>
      </c>
      <c r="F208" s="64">
        <v>0</v>
      </c>
      <c r="G208" s="64">
        <v>0</v>
      </c>
    </row>
    <row r="209" spans="1:7" x14ac:dyDescent="0.25">
      <c r="A209" s="78" t="s">
        <v>177</v>
      </c>
      <c r="B209" s="77">
        <v>17099706</v>
      </c>
      <c r="C209" s="63" t="s">
        <v>473</v>
      </c>
      <c r="D209" s="65">
        <v>11883</v>
      </c>
      <c r="E209" s="65">
        <v>15436</v>
      </c>
      <c r="F209" s="65">
        <v>0</v>
      </c>
      <c r="G209" s="65">
        <v>0</v>
      </c>
    </row>
    <row r="210" spans="1:7" x14ac:dyDescent="0.25">
      <c r="A210" s="75" t="s">
        <v>52</v>
      </c>
      <c r="B210" s="76">
        <v>17099708</v>
      </c>
      <c r="C210" s="62" t="s">
        <v>443</v>
      </c>
      <c r="D210" s="64">
        <v>232</v>
      </c>
      <c r="E210" s="64">
        <v>355</v>
      </c>
      <c r="F210" s="64">
        <v>0</v>
      </c>
      <c r="G210" s="64">
        <v>0</v>
      </c>
    </row>
    <row r="211" spans="1:7" x14ac:dyDescent="0.25">
      <c r="A211" s="75" t="s">
        <v>380</v>
      </c>
      <c r="B211" s="76">
        <v>17099709</v>
      </c>
      <c r="C211" s="62" t="s">
        <v>381</v>
      </c>
      <c r="D211" s="64">
        <v>1164</v>
      </c>
      <c r="E211" s="64">
        <v>1474</v>
      </c>
      <c r="F211" s="64">
        <v>0</v>
      </c>
      <c r="G211" s="64">
        <v>0</v>
      </c>
    </row>
    <row r="212" spans="1:7" x14ac:dyDescent="0.25">
      <c r="A212" s="75" t="s">
        <v>377</v>
      </c>
      <c r="B212" s="76">
        <v>17099710</v>
      </c>
      <c r="C212" s="62" t="s">
        <v>387</v>
      </c>
      <c r="D212" s="64">
        <v>2512</v>
      </c>
      <c r="E212" s="64">
        <v>3266</v>
      </c>
      <c r="F212" s="64">
        <v>0</v>
      </c>
      <c r="G212" s="64">
        <v>0</v>
      </c>
    </row>
    <row r="213" spans="1:7" x14ac:dyDescent="0.25">
      <c r="A213" s="75" t="s">
        <v>380</v>
      </c>
      <c r="B213" s="76">
        <v>17099711</v>
      </c>
      <c r="C213" s="62" t="s">
        <v>383</v>
      </c>
      <c r="D213" s="64">
        <v>6929</v>
      </c>
      <c r="E213" s="64">
        <v>9321</v>
      </c>
      <c r="F213" s="64">
        <v>0</v>
      </c>
      <c r="G213" s="64">
        <v>0</v>
      </c>
    </row>
    <row r="214" spans="1:7" x14ac:dyDescent="0.25">
      <c r="A214" s="75" t="s">
        <v>368</v>
      </c>
      <c r="B214" s="76">
        <v>17099712</v>
      </c>
      <c r="C214" s="62" t="s">
        <v>373</v>
      </c>
      <c r="D214" s="64">
        <v>5071</v>
      </c>
      <c r="E214" s="64">
        <v>6222</v>
      </c>
      <c r="F214" s="64">
        <v>0</v>
      </c>
      <c r="G214" s="64">
        <v>0</v>
      </c>
    </row>
    <row r="215" spans="1:7" x14ac:dyDescent="0.25">
      <c r="A215" s="75" t="s">
        <v>755</v>
      </c>
      <c r="B215" s="76">
        <v>17099717</v>
      </c>
      <c r="C215" s="62" t="s">
        <v>805</v>
      </c>
      <c r="D215" s="64">
        <v>452</v>
      </c>
      <c r="E215" s="64">
        <v>624</v>
      </c>
      <c r="F215" s="64">
        <v>0</v>
      </c>
      <c r="G215" s="64">
        <v>0</v>
      </c>
    </row>
    <row r="216" spans="1:7" x14ac:dyDescent="0.25">
      <c r="A216" s="78" t="s">
        <v>483</v>
      </c>
      <c r="B216" s="77">
        <v>17099718</v>
      </c>
      <c r="C216" s="63" t="s">
        <v>744</v>
      </c>
      <c r="D216" s="65">
        <v>121</v>
      </c>
      <c r="E216" s="65">
        <v>273</v>
      </c>
      <c r="F216" s="65">
        <v>63</v>
      </c>
      <c r="G216" s="65">
        <v>87</v>
      </c>
    </row>
    <row r="217" spans="1:7" x14ac:dyDescent="0.25">
      <c r="A217" s="75" t="s">
        <v>205</v>
      </c>
      <c r="B217" s="76">
        <v>17099720</v>
      </c>
      <c r="C217" s="62" t="s">
        <v>213</v>
      </c>
      <c r="D217" s="64">
        <v>1511</v>
      </c>
      <c r="E217" s="64">
        <v>1999</v>
      </c>
      <c r="F217" s="64">
        <v>0</v>
      </c>
      <c r="G217" s="64">
        <v>0</v>
      </c>
    </row>
    <row r="218" spans="1:7" x14ac:dyDescent="0.25">
      <c r="A218" s="75" t="s">
        <v>232</v>
      </c>
      <c r="B218" s="76">
        <v>17099721</v>
      </c>
      <c r="C218" s="62" t="s">
        <v>236</v>
      </c>
      <c r="D218" s="64">
        <v>9479</v>
      </c>
      <c r="E218" s="64">
        <v>10945</v>
      </c>
      <c r="F218" s="64">
        <v>4533</v>
      </c>
      <c r="G218" s="64">
        <v>5153</v>
      </c>
    </row>
    <row r="219" spans="1:7" x14ac:dyDescent="0.25">
      <c r="A219" s="75" t="s">
        <v>588</v>
      </c>
      <c r="B219" s="76">
        <v>17099722</v>
      </c>
      <c r="C219" s="62" t="s">
        <v>625</v>
      </c>
      <c r="D219" s="64">
        <v>5516</v>
      </c>
      <c r="E219" s="64">
        <v>6153</v>
      </c>
      <c r="F219" s="64">
        <v>12424</v>
      </c>
      <c r="G219" s="64">
        <v>13910</v>
      </c>
    </row>
    <row r="220" spans="1:7" x14ac:dyDescent="0.25">
      <c r="A220" s="75" t="s">
        <v>553</v>
      </c>
      <c r="B220" s="76">
        <v>17099724</v>
      </c>
      <c r="C220" s="62" t="s">
        <v>811</v>
      </c>
      <c r="D220" s="64">
        <v>496</v>
      </c>
      <c r="E220" s="64">
        <v>885</v>
      </c>
      <c r="F220" s="64">
        <v>62</v>
      </c>
      <c r="G220" s="64">
        <v>228</v>
      </c>
    </row>
    <row r="221" spans="1:7" x14ac:dyDescent="0.25">
      <c r="A221" s="75" t="s">
        <v>738</v>
      </c>
      <c r="B221" s="76">
        <v>17099725</v>
      </c>
      <c r="C221" s="62" t="s">
        <v>785</v>
      </c>
      <c r="D221" s="64">
        <v>0</v>
      </c>
      <c r="E221" s="64">
        <v>215</v>
      </c>
      <c r="F221" s="64">
        <v>0</v>
      </c>
      <c r="G221" s="64">
        <v>390</v>
      </c>
    </row>
    <row r="222" spans="1:7" x14ac:dyDescent="0.25">
      <c r="A222" s="75" t="s">
        <v>277</v>
      </c>
      <c r="B222" s="76">
        <v>17099730</v>
      </c>
      <c r="C222" s="62" t="s">
        <v>766</v>
      </c>
      <c r="D222" s="64">
        <v>1256</v>
      </c>
      <c r="E222" s="64">
        <v>2093</v>
      </c>
      <c r="F222" s="64">
        <v>0</v>
      </c>
      <c r="G222" s="64">
        <v>0</v>
      </c>
    </row>
    <row r="223" spans="1:7" x14ac:dyDescent="0.25">
      <c r="A223" s="75" t="s">
        <v>307</v>
      </c>
      <c r="B223" s="76">
        <v>17099731</v>
      </c>
      <c r="C223" s="62" t="s">
        <v>323</v>
      </c>
      <c r="D223" s="64">
        <v>974</v>
      </c>
      <c r="E223" s="64">
        <v>1486</v>
      </c>
      <c r="F223" s="64">
        <v>225</v>
      </c>
      <c r="G223" s="64">
        <v>542</v>
      </c>
    </row>
    <row r="224" spans="1:7" x14ac:dyDescent="0.25">
      <c r="A224" s="75" t="s">
        <v>738</v>
      </c>
      <c r="B224" s="76">
        <v>17099736</v>
      </c>
      <c r="C224" s="61" t="s">
        <v>816</v>
      </c>
      <c r="D224" s="64">
        <v>0</v>
      </c>
      <c r="E224" s="64">
        <v>39</v>
      </c>
      <c r="F224" s="64">
        <v>0</v>
      </c>
      <c r="G224" s="64">
        <v>0</v>
      </c>
    </row>
    <row r="225" spans="1:7" x14ac:dyDescent="0.25">
      <c r="A225" s="40" t="s">
        <v>80</v>
      </c>
      <c r="B225" s="76">
        <v>17099740</v>
      </c>
      <c r="C225" s="62" t="s">
        <v>93</v>
      </c>
      <c r="D225" s="64">
        <v>1031</v>
      </c>
      <c r="E225" s="64">
        <v>1513</v>
      </c>
      <c r="F225" s="64">
        <v>59</v>
      </c>
      <c r="G225" s="64">
        <v>77</v>
      </c>
    </row>
    <row r="226" spans="1:7" x14ac:dyDescent="0.25">
      <c r="A226" s="40" t="s">
        <v>80</v>
      </c>
      <c r="B226" s="76">
        <v>17099752</v>
      </c>
      <c r="C226" s="62" t="s">
        <v>89</v>
      </c>
      <c r="D226" s="64">
        <v>470</v>
      </c>
      <c r="E226" s="64">
        <v>666</v>
      </c>
      <c r="F226" s="64">
        <v>0</v>
      </c>
      <c r="G226" s="64">
        <v>0</v>
      </c>
    </row>
    <row r="227" spans="1:7" x14ac:dyDescent="0.25">
      <c r="A227" s="75" t="s">
        <v>335</v>
      </c>
      <c r="B227" s="76">
        <v>17099753</v>
      </c>
      <c r="C227" s="62" t="s">
        <v>790</v>
      </c>
      <c r="D227" s="64">
        <v>112</v>
      </c>
      <c r="E227" s="64">
        <v>135</v>
      </c>
      <c r="F227" s="64">
        <v>0</v>
      </c>
      <c r="G227" s="64">
        <v>0</v>
      </c>
    </row>
    <row r="228" spans="1:7" x14ac:dyDescent="0.25">
      <c r="A228" s="75" t="s">
        <v>326</v>
      </c>
      <c r="B228" s="76">
        <v>17099754</v>
      </c>
      <c r="C228" s="62" t="s">
        <v>330</v>
      </c>
      <c r="D228" s="64">
        <v>3299</v>
      </c>
      <c r="E228" s="64">
        <v>3943</v>
      </c>
      <c r="F228" s="64">
        <v>0</v>
      </c>
      <c r="G228" s="64">
        <v>0</v>
      </c>
    </row>
    <row r="229" spans="1:7" x14ac:dyDescent="0.25">
      <c r="A229" s="75" t="s">
        <v>825</v>
      </c>
      <c r="B229" s="76">
        <v>17099755</v>
      </c>
      <c r="C229" s="62" t="s">
        <v>783</v>
      </c>
      <c r="D229" s="64">
        <v>7021</v>
      </c>
      <c r="E229" s="64">
        <v>9652</v>
      </c>
      <c r="F229" s="64">
        <v>0</v>
      </c>
      <c r="G229" s="64">
        <v>0</v>
      </c>
    </row>
    <row r="230" spans="1:7" x14ac:dyDescent="0.25">
      <c r="A230" s="75" t="s">
        <v>222</v>
      </c>
      <c r="B230" s="76">
        <v>17099757</v>
      </c>
      <c r="C230" s="62" t="s">
        <v>228</v>
      </c>
      <c r="D230" s="64">
        <v>2235</v>
      </c>
      <c r="E230" s="64">
        <v>2427</v>
      </c>
      <c r="F230" s="64">
        <v>0</v>
      </c>
      <c r="G230" s="64">
        <v>0</v>
      </c>
    </row>
    <row r="231" spans="1:7" x14ac:dyDescent="0.25">
      <c r="A231" s="75" t="s">
        <v>222</v>
      </c>
      <c r="B231" s="76">
        <v>17099758</v>
      </c>
      <c r="C231" s="62" t="s">
        <v>789</v>
      </c>
      <c r="D231" s="64">
        <v>553</v>
      </c>
      <c r="E231" s="64">
        <v>719</v>
      </c>
      <c r="F231" s="64">
        <v>232</v>
      </c>
      <c r="G231" s="64">
        <v>364</v>
      </c>
    </row>
    <row r="232" spans="1:7" x14ac:dyDescent="0.25">
      <c r="A232" s="75" t="s">
        <v>820</v>
      </c>
      <c r="B232" s="76">
        <v>17099764</v>
      </c>
      <c r="C232" s="62" t="s">
        <v>457</v>
      </c>
      <c r="D232" s="64">
        <v>7851</v>
      </c>
      <c r="E232" s="64">
        <v>9748</v>
      </c>
      <c r="F232" s="64">
        <v>0</v>
      </c>
      <c r="G232" s="64">
        <v>0</v>
      </c>
    </row>
    <row r="233" spans="1:7" x14ac:dyDescent="0.25">
      <c r="A233" s="75" t="s">
        <v>820</v>
      </c>
      <c r="B233" s="76">
        <v>17099765</v>
      </c>
      <c r="C233" s="62" t="s">
        <v>449</v>
      </c>
      <c r="D233" s="64">
        <v>1634</v>
      </c>
      <c r="E233" s="64">
        <v>1792</v>
      </c>
      <c r="F233" s="64">
        <v>0</v>
      </c>
      <c r="G233" s="64">
        <v>0</v>
      </c>
    </row>
    <row r="234" spans="1:7" x14ac:dyDescent="0.25">
      <c r="A234" s="75" t="s">
        <v>820</v>
      </c>
      <c r="B234" s="76">
        <v>17099766</v>
      </c>
      <c r="C234" s="62" t="s">
        <v>455</v>
      </c>
      <c r="D234" s="64">
        <v>2283</v>
      </c>
      <c r="E234" s="64">
        <v>2979</v>
      </c>
      <c r="F234" s="64">
        <v>0</v>
      </c>
      <c r="G234" s="64">
        <v>0</v>
      </c>
    </row>
    <row r="235" spans="1:7" x14ac:dyDescent="0.25">
      <c r="A235" s="75" t="s">
        <v>820</v>
      </c>
      <c r="B235" s="76">
        <v>17099767</v>
      </c>
      <c r="C235" s="62" t="s">
        <v>453</v>
      </c>
      <c r="D235" s="64">
        <v>1079</v>
      </c>
      <c r="E235" s="64">
        <v>1250</v>
      </c>
      <c r="F235" s="64">
        <v>0</v>
      </c>
      <c r="G235" s="64">
        <v>0</v>
      </c>
    </row>
    <row r="236" spans="1:7" x14ac:dyDescent="0.25">
      <c r="A236" s="40" t="s">
        <v>80</v>
      </c>
      <c r="B236" s="76">
        <v>17099768</v>
      </c>
      <c r="C236" s="62" t="s">
        <v>445</v>
      </c>
      <c r="D236" s="64">
        <v>50026</v>
      </c>
      <c r="E236" s="64">
        <v>61164</v>
      </c>
      <c r="F236" s="64">
        <v>0</v>
      </c>
      <c r="G236" s="64">
        <v>0</v>
      </c>
    </row>
    <row r="237" spans="1:7" x14ac:dyDescent="0.25">
      <c r="A237" s="78" t="s">
        <v>820</v>
      </c>
      <c r="B237" s="77">
        <v>17099769</v>
      </c>
      <c r="C237" s="63" t="s">
        <v>771</v>
      </c>
      <c r="D237" s="65">
        <v>495</v>
      </c>
      <c r="E237" s="65">
        <v>518</v>
      </c>
      <c r="F237" s="65">
        <v>196</v>
      </c>
      <c r="G237" s="65">
        <v>236</v>
      </c>
    </row>
    <row r="238" spans="1:7" x14ac:dyDescent="0.25">
      <c r="A238" s="60" t="s">
        <v>180</v>
      </c>
      <c r="B238" s="77">
        <v>17099770</v>
      </c>
      <c r="C238" s="63" t="s">
        <v>781</v>
      </c>
      <c r="D238" s="65">
        <v>57158</v>
      </c>
      <c r="E238" s="65">
        <v>75171</v>
      </c>
      <c r="F238" s="65">
        <v>0</v>
      </c>
      <c r="G238" s="65">
        <v>0</v>
      </c>
    </row>
    <row r="239" spans="1:7" x14ac:dyDescent="0.25">
      <c r="A239" s="75" t="s">
        <v>95</v>
      </c>
      <c r="B239" s="76">
        <v>17099771</v>
      </c>
      <c r="C239" s="62" t="s">
        <v>104</v>
      </c>
      <c r="D239" s="64">
        <v>42561</v>
      </c>
      <c r="E239" s="64">
        <v>49907</v>
      </c>
      <c r="F239" s="64">
        <v>0</v>
      </c>
      <c r="G239" s="64">
        <v>0</v>
      </c>
    </row>
    <row r="240" spans="1:7" x14ac:dyDescent="0.25">
      <c r="A240" s="75" t="s">
        <v>307</v>
      </c>
      <c r="B240" s="76">
        <v>17099780</v>
      </c>
      <c r="C240" s="62" t="s">
        <v>321</v>
      </c>
      <c r="D240" s="64">
        <v>399</v>
      </c>
      <c r="E240" s="64">
        <v>679</v>
      </c>
      <c r="F240" s="64">
        <v>0</v>
      </c>
      <c r="G240" s="64">
        <v>0</v>
      </c>
    </row>
    <row r="241" spans="1:8" x14ac:dyDescent="0.25">
      <c r="A241" s="40" t="s">
        <v>80</v>
      </c>
      <c r="B241" s="76">
        <v>17099782</v>
      </c>
      <c r="C241" s="62" t="s">
        <v>85</v>
      </c>
      <c r="D241" s="64">
        <v>86015</v>
      </c>
      <c r="E241" s="64">
        <v>106810</v>
      </c>
      <c r="F241" s="64">
        <v>23969</v>
      </c>
      <c r="G241" s="64">
        <v>24245</v>
      </c>
    </row>
    <row r="242" spans="1:8" x14ac:dyDescent="0.25">
      <c r="A242" s="75" t="s">
        <v>538</v>
      </c>
      <c r="B242" s="76">
        <v>17099783</v>
      </c>
      <c r="C242" s="62" t="s">
        <v>539</v>
      </c>
      <c r="D242" s="64">
        <v>5029</v>
      </c>
      <c r="E242" s="64">
        <v>5939</v>
      </c>
      <c r="F242" s="64">
        <v>0</v>
      </c>
      <c r="G242" s="64">
        <v>0</v>
      </c>
    </row>
    <row r="243" spans="1:8" x14ac:dyDescent="0.25">
      <c r="A243" s="75" t="s">
        <v>368</v>
      </c>
      <c r="B243" s="76">
        <v>17099784</v>
      </c>
      <c r="C243" s="62" t="s">
        <v>369</v>
      </c>
      <c r="D243" s="64">
        <v>898</v>
      </c>
      <c r="E243" s="64">
        <v>1263</v>
      </c>
      <c r="F243" s="64">
        <v>0</v>
      </c>
      <c r="G243" s="64">
        <v>0</v>
      </c>
    </row>
    <row r="244" spans="1:8" x14ac:dyDescent="0.25">
      <c r="A244" s="75" t="s">
        <v>307</v>
      </c>
      <c r="B244" s="76">
        <v>17099785</v>
      </c>
      <c r="C244" s="62" t="s">
        <v>741</v>
      </c>
      <c r="D244" s="64">
        <v>845</v>
      </c>
      <c r="E244" s="64">
        <v>888</v>
      </c>
      <c r="F244" s="64">
        <v>1305</v>
      </c>
      <c r="G244" s="64">
        <v>1929</v>
      </c>
    </row>
    <row r="245" spans="1:8" x14ac:dyDescent="0.25">
      <c r="A245" s="75" t="s">
        <v>823</v>
      </c>
      <c r="B245" s="76">
        <v>17099786</v>
      </c>
      <c r="C245" s="62" t="s">
        <v>463</v>
      </c>
      <c r="D245" s="64">
        <v>15998</v>
      </c>
      <c r="E245" s="64">
        <v>21723</v>
      </c>
      <c r="F245" s="64">
        <v>0</v>
      </c>
      <c r="G245" s="64">
        <v>0</v>
      </c>
    </row>
    <row r="246" spans="1:8" x14ac:dyDescent="0.25">
      <c r="A246" s="75" t="s">
        <v>503</v>
      </c>
      <c r="B246" s="76">
        <v>17099787</v>
      </c>
      <c r="C246" s="62" t="s">
        <v>506</v>
      </c>
      <c r="D246" s="64">
        <v>14723</v>
      </c>
      <c r="E246" s="64">
        <v>18835</v>
      </c>
      <c r="F246" s="64">
        <v>5132</v>
      </c>
      <c r="G246" s="64">
        <v>6572</v>
      </c>
    </row>
    <row r="247" spans="1:8" x14ac:dyDescent="0.25">
      <c r="A247" s="75" t="s">
        <v>820</v>
      </c>
      <c r="B247" s="76">
        <v>17099788</v>
      </c>
      <c r="C247" s="62" t="s">
        <v>447</v>
      </c>
      <c r="D247" s="64">
        <v>1406</v>
      </c>
      <c r="E247" s="64">
        <v>1897</v>
      </c>
      <c r="F247" s="64">
        <v>0</v>
      </c>
      <c r="G247" s="64">
        <v>0</v>
      </c>
    </row>
    <row r="248" spans="1:8" x14ac:dyDescent="0.25">
      <c r="A248" s="75" t="s">
        <v>95</v>
      </c>
      <c r="B248" s="76">
        <v>17099440</v>
      </c>
      <c r="C248" s="62" t="s">
        <v>313</v>
      </c>
      <c r="D248" s="62">
        <v>456</v>
      </c>
      <c r="E248" s="62">
        <v>550</v>
      </c>
      <c r="F248" s="62">
        <v>0</v>
      </c>
      <c r="G248" s="62">
        <v>0</v>
      </c>
    </row>
    <row r="249" spans="1:8" x14ac:dyDescent="0.25">
      <c r="A249" s="75" t="s">
        <v>380</v>
      </c>
      <c r="B249" s="76">
        <v>17099513</v>
      </c>
      <c r="C249" s="62" t="s">
        <v>312</v>
      </c>
      <c r="D249" s="62">
        <v>933</v>
      </c>
      <c r="E249" s="62">
        <v>1341</v>
      </c>
      <c r="F249" s="62">
        <v>482</v>
      </c>
      <c r="G249" s="62">
        <v>1433</v>
      </c>
    </row>
    <row r="250" spans="1:8" s="62" customFormat="1" ht="15.75" customHeight="1" x14ac:dyDescent="0.25">
      <c r="A250" s="75" t="s">
        <v>188</v>
      </c>
      <c r="B250" s="76">
        <v>17099405</v>
      </c>
      <c r="C250" s="62" t="s">
        <v>812</v>
      </c>
      <c r="D250" s="64">
        <v>13939</v>
      </c>
      <c r="E250" s="64">
        <v>26862</v>
      </c>
      <c r="F250" s="64">
        <v>879</v>
      </c>
      <c r="G250" s="64">
        <v>1314</v>
      </c>
      <c r="H250" s="64"/>
    </row>
    <row r="251" spans="1:8" x14ac:dyDescent="0.25">
      <c r="D251" s="64"/>
      <c r="E251" s="64"/>
      <c r="F251" s="64"/>
      <c r="G251" s="64"/>
    </row>
  </sheetData>
  <sortState ref="A2:H247">
    <sortCondition ref="B2:B2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February 2013 - Data</vt:lpstr>
      <vt:lpstr>GL Summary</vt:lpstr>
      <vt:lpstr>February 2013 - HP Toner</vt:lpstr>
      <vt:lpstr>Totals</vt:lpstr>
      <vt:lpstr>Tables</vt:lpstr>
      <vt:lpstr>Meter Read info</vt:lpstr>
      <vt:lpstr>'February 2013 - Data'!Print_Area</vt:lpstr>
    </vt:vector>
  </TitlesOfParts>
  <Company>MWV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REESE</dc:creator>
  <cp:lastModifiedBy>Windows User</cp:lastModifiedBy>
  <cp:lastPrinted>2013-02-13T17:07:15Z</cp:lastPrinted>
  <dcterms:created xsi:type="dcterms:W3CDTF">2013-02-07T14:46:16Z</dcterms:created>
  <dcterms:modified xsi:type="dcterms:W3CDTF">2013-04-03T16:57:50Z</dcterms:modified>
</cp:coreProperties>
</file>