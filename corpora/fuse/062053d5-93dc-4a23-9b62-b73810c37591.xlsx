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80" yWindow="105" windowWidth="13320" windowHeight="11640" activeTab="1"/>
  </bookViews>
  <sheets>
    <sheet name="Info &amp; Instructions" sheetId="8" r:id="rId1"/>
    <sheet name="Order Form" sheetId="1" r:id="rId2"/>
    <sheet name="Sheet2" sheetId="2" state="hidden" r:id="rId3"/>
    <sheet name="Sheet3" sheetId="3" state="hidden" r:id="rId4"/>
    <sheet name="Sign Up Sheet" sheetId="6" r:id="rId5"/>
  </sheets>
  <definedNames>
    <definedName name="_xlnm.Print_Area" localSheetId="0">'Info &amp; Instructions'!$A$1:$C$33</definedName>
    <definedName name="_xlnm.Print_Area" localSheetId="1">'Order Form'!$A$1:$K$62</definedName>
    <definedName name="_xlnm.Print_Area" localSheetId="4">'Sign Up Sheet'!$A$1:$I$42</definedName>
  </definedNames>
  <calcPr calcId="125725" concurrentCalc="0"/>
  <customWorkbookViews>
    <customWorkbookView name="bpeterson - Personal View" guid="{B7A94201-9826-4DEC-93A1-50A981D3DD66}" mergeInterval="0" personalView="1" maximized="1" xWindow="1" yWindow="1" windowWidth="1676" windowHeight="832" activeSheetId="1"/>
  </customWorkbookViews>
</workbook>
</file>

<file path=xl/calcChain.xml><?xml version="1.0" encoding="utf-8"?>
<calcChain xmlns="http://schemas.openxmlformats.org/spreadsheetml/2006/main">
  <c r="J56" i="1"/>
  <c r="D29"/>
  <c r="E29"/>
  <c r="D28"/>
  <c r="E28"/>
  <c r="D27"/>
  <c r="E27"/>
  <c r="D26"/>
  <c r="E26"/>
  <c r="D25"/>
  <c r="E25"/>
  <c r="D24"/>
  <c r="E24"/>
  <c r="E23"/>
  <c r="E22"/>
  <c r="I29"/>
  <c r="I28"/>
  <c r="I27"/>
  <c r="I26"/>
  <c r="I25"/>
  <c r="I24"/>
  <c r="I19"/>
  <c r="I18"/>
  <c r="I17"/>
  <c r="I16"/>
  <c r="I15"/>
  <c r="I14"/>
  <c r="J54"/>
  <c r="J49"/>
  <c r="J50"/>
  <c r="J51"/>
  <c r="J48"/>
  <c r="J44"/>
  <c r="J45"/>
  <c r="J43"/>
  <c r="J42"/>
  <c r="J32"/>
  <c r="J33"/>
  <c r="J34"/>
  <c r="J35"/>
  <c r="J36"/>
  <c r="J37"/>
  <c r="J38"/>
  <c r="J39"/>
  <c r="E12"/>
  <c r="E13"/>
  <c r="E14"/>
  <c r="E15"/>
  <c r="E16"/>
  <c r="E17"/>
  <c r="E18"/>
  <c r="E19"/>
  <c r="J22"/>
  <c r="J29"/>
  <c r="J28"/>
  <c r="J27"/>
  <c r="J26"/>
  <c r="J25"/>
  <c r="J24"/>
  <c r="J23"/>
  <c r="J12"/>
  <c r="J19"/>
  <c r="J18"/>
  <c r="J17"/>
  <c r="J16"/>
  <c r="J15"/>
  <c r="J13"/>
  <c r="J14"/>
</calcChain>
</file>

<file path=xl/sharedStrings.xml><?xml version="1.0" encoding="utf-8"?>
<sst xmlns="http://schemas.openxmlformats.org/spreadsheetml/2006/main" count="142" uniqueCount="94">
  <si>
    <t>GROUP NAME</t>
  </si>
  <si>
    <t>ARRIVAL DATE</t>
  </si>
  <si>
    <t>CONTACT NAME</t>
  </si>
  <si>
    <t>PHONE NUMBER</t>
  </si>
  <si>
    <t>E-MAIL</t>
  </si>
  <si>
    <t>ADDRESS</t>
  </si>
  <si>
    <t>QUANTITY</t>
  </si>
  <si>
    <t>TOTAL</t>
  </si>
  <si>
    <t>RATE</t>
  </si>
  <si>
    <t>Sport Ski Package</t>
  </si>
  <si>
    <t>Performance Ski Package</t>
  </si>
  <si>
    <t>Demo Ski Package</t>
  </si>
  <si>
    <t>Sport Board Package</t>
  </si>
  <si>
    <t>Kids Ski Package</t>
  </si>
  <si>
    <t>Kids Board Package</t>
  </si>
  <si>
    <t>$18.00 Lunch Voucher</t>
  </si>
  <si>
    <t>FOOD AND BEVERAGE</t>
  </si>
  <si>
    <t>TRIP DATE</t>
  </si>
  <si>
    <t>GROUP LEADER</t>
  </si>
  <si>
    <t>PHONE</t>
  </si>
  <si>
    <t>NOTES:</t>
  </si>
  <si>
    <t>NAME</t>
  </si>
  <si>
    <t>TICKET TYPE</t>
  </si>
  <si>
    <t>LESSON TYPE</t>
  </si>
  <si>
    <t>RENTAL TYPE</t>
  </si>
  <si>
    <t>LUNCH VOUCHER</t>
  </si>
  <si>
    <t>Group Terms &amp; Conditions:</t>
  </si>
  <si>
    <t>Lift Ticket Start Date:</t>
  </si>
  <si>
    <t>Complimentary Ticket Policy:</t>
  </si>
  <si>
    <t>Filling out the Group Order Form:</t>
  </si>
  <si>
    <t>Lift Ticket Delivery:</t>
  </si>
  <si>
    <t>Refunds:</t>
  </si>
  <si>
    <t>In order to qualify for discounted group pricing, you must have a minimum of 20 paid adults, all lift tickets must have the same start date and orders, changes and additions must be received at least 14 days prior to first ski day.</t>
  </si>
  <si>
    <t xml:space="preserve">The Group Order form is located on the 2nd tab below. Please fill out the form in its entirety. Missing information will delay processing the lift tickets.  Include ski school on this form only if the group will be paying for the lessons and not the individual. </t>
  </si>
  <si>
    <t>Sport Package: Basic package for beginner/intermediate. Includes: ski/board, boots, and poles.</t>
  </si>
  <si>
    <t>Performance Package: Higher-end equipment. Includes: ski/board, boots, and poles.</t>
  </si>
  <si>
    <t xml:space="preserve">Demo Package: Top of the line equipment. Includes: ski/board, boots, and poles. </t>
  </si>
  <si>
    <t>Equiptment Rental Product Descriptions:</t>
  </si>
  <si>
    <r>
      <t>Novice Package (level 2-</t>
    </r>
    <r>
      <rPr>
        <sz val="10"/>
        <color theme="1"/>
        <rFont val="Calibri"/>
        <family val="2"/>
      </rPr>
      <t>6</t>
    </r>
    <r>
      <rPr>
        <sz val="10"/>
        <color theme="1"/>
        <rFont val="Calibri"/>
        <family val="2"/>
        <scheme val="minor"/>
      </rPr>
      <t>) For Intermediate to Advanced Skiers. Includes: Lesson, Lift Ticket and Equiptment Rental.</t>
    </r>
  </si>
  <si>
    <t>First Timer Package (level 1) For beginners only. Includes a lesson, limited lift ticket and Equiptment Rental.</t>
  </si>
  <si>
    <r>
      <t>Lesson Only (level 2-</t>
    </r>
    <r>
      <rPr>
        <sz val="10"/>
        <color theme="1"/>
        <rFont val="Calibri"/>
        <family val="2"/>
      </rPr>
      <t>6</t>
    </r>
    <r>
      <rPr>
        <sz val="10"/>
        <color theme="1"/>
        <rFont val="Calibri"/>
        <family val="2"/>
        <scheme val="minor"/>
      </rPr>
      <t>) Intermediate to Advanced only - Does not include Lift Ticket or Equiptment Rental.</t>
    </r>
  </si>
  <si>
    <t>After completing the form, send it to your group sales representative as an attachment in an email.  Please allow 48 hours for order processing.  Full payment is due at time of order.  Please call your group sales representative with your credit card number and expiration date when you are ready to submit your order.</t>
  </si>
  <si>
    <t>When You Arrive:</t>
  </si>
  <si>
    <t>Arrive early, especially on Saturdays, Sundays and Holidays.</t>
  </si>
  <si>
    <t xml:space="preserve">Make arrangements to meet your group at the bus prior to departure. </t>
  </si>
  <si>
    <t xml:space="preserve">EACH RENTER must provide a credit card to the rental shop for security purposes.     </t>
  </si>
  <si>
    <t>Submitting the Group Order &amp; Payment:</t>
  </si>
  <si>
    <t xml:space="preserve"> GROUP INFORMATION &amp; INSTRUCTIONS</t>
  </si>
  <si>
    <t>DEPARTURE DATE</t>
  </si>
  <si>
    <t xml:space="preserve"> GROUP SKI TRIP SIGN UP SHEET</t>
  </si>
  <si>
    <t xml:space="preserve">Group tickets must have the same start date. Please notify your group sales representative if you need to extend start/end dates on your tickets. </t>
  </si>
  <si>
    <t>All lessons meet at our the California Base Lodge.  All group lessons are from 10am to 12:45pm</t>
  </si>
  <si>
    <t xml:space="preserve">Ski School Lesson Information and Product Descriptions: </t>
  </si>
  <si>
    <t>Group tickets can be delivered to your lodging check-in desk; they can be held at the Gondola or California Lodge Ticket Office or they can be shipped via Fed Ex for an additional fee. Please designate your preferred method of delivery on the order form.</t>
  </si>
  <si>
    <t>DELIVERY METHOD</t>
  </si>
  <si>
    <t>Order pick up /ship to location</t>
  </si>
  <si>
    <t>You may be eligible for a refund on unused tickets.  All refunds must go through the Group Leader. Collect all tickets and return them to the Ticket Office located at the Gondola or California Lodge.  or mail them to:  Ashley Rojas, 224 Kingsburgy Grade Suite 202, Stateline, NV 89449.  We must have the original lift tickets to process returns.</t>
  </si>
  <si>
    <t>If you are arriving by bus, you will park at the California Lodge Lower parking lot.</t>
  </si>
  <si>
    <t>If you are driving individually, please park in designated parking spots at the Lodge/Location of your choice.</t>
  </si>
  <si>
    <t xml:space="preserve">Please contact your corridinator if you need help distributing lift tickets, lessons and rentals to the appropriate people and directing them where they need to go. </t>
  </si>
  <si>
    <t xml:space="preserve">Food Vouchers are accepted at the following Locations: Stagecoach Lodge, Boulder Lodge, East Peak Lodge, Tamarack Lodge, Sky Deck Burger Bar, Steins, Lakeview Lodge, and California Lodge and Bar.
</t>
  </si>
  <si>
    <t>One comp lift ticket will be issued for every 26th skier days purchased. These can be issued as single day tickets or multi-day.  Complimentary tickets have no dollar value and cannot be refunded regardless of injury or not being used. Heavenly reserves the right to adjust complimentary tickets based upon timeliness of order and the number of paid lift tickets returned.</t>
  </si>
  <si>
    <t>SNOWBOARD LESSONS</t>
  </si>
  <si>
    <t>SKI  LESSONS</t>
  </si>
  <si>
    <t>GRAND TOTAL:</t>
  </si>
  <si>
    <t>SKI Lesson Only (All Levels)</t>
  </si>
  <si>
    <t>Adventure Session SKI Package (Levels 4-8)</t>
  </si>
  <si>
    <t>SNOWBOARD Lesson Only (All Levels)</t>
  </si>
  <si>
    <t>Adventure Session BOARD Package (Levels 4-8)</t>
  </si>
  <si>
    <t>Please visit www.skiheavenly.com to learn more about the resort, events and activities.</t>
  </si>
  <si>
    <t>ADULT LIFT TICKETS</t>
  </si>
  <si>
    <t>4 of 6 Day</t>
  </si>
  <si>
    <t>5 of 8 Day</t>
  </si>
  <si>
    <t>3 of 5 Day</t>
  </si>
  <si>
    <t>2 Day</t>
  </si>
  <si>
    <t>1 Day</t>
  </si>
  <si>
    <t>6 of 9 Day</t>
  </si>
  <si>
    <t>7 of 10 Day</t>
  </si>
  <si>
    <t>TEEN LIFT TICKETS</t>
  </si>
  <si>
    <t>SENIOR LIFT TICKETS</t>
  </si>
  <si>
    <t>RENTAL EQUIPMENT</t>
  </si>
  <si>
    <t>DATE OF LESSONS</t>
  </si>
  <si>
    <t>DATE OF RENTALS</t>
  </si>
  <si>
    <t>DATE FOR VOUCHERS</t>
  </si>
  <si>
    <t>Gondola Only</t>
  </si>
  <si>
    <t>Helmet Rental</t>
  </si>
  <si>
    <t>COLLEGE LIFT TICKETS</t>
  </si>
  <si>
    <r>
      <t xml:space="preserve">DAY GROUP ORDER FORM 2013-2014                                                                                                                                                                      </t>
    </r>
    <r>
      <rPr>
        <b/>
        <sz val="16"/>
        <rFont val="Calibri"/>
        <family val="2"/>
      </rPr>
      <t xml:space="preserve">    COLLEGE: NON-HOLIDAY </t>
    </r>
  </si>
  <si>
    <r>
      <t xml:space="preserve">Demo Board Package </t>
    </r>
    <r>
      <rPr>
        <sz val="9"/>
        <rFont val="Calibri"/>
        <family val="2"/>
        <scheme val="minor"/>
      </rPr>
      <t>(Pick up at Boarding House)</t>
    </r>
  </si>
  <si>
    <r>
      <t>Learn to SKI Package: L</t>
    </r>
    <r>
      <rPr>
        <sz val="9"/>
        <rFont val="Calibri"/>
        <family val="2"/>
        <scheme val="minor"/>
      </rPr>
      <t>imited lift access (levels 1-3)</t>
    </r>
  </si>
  <si>
    <r>
      <t xml:space="preserve">Learn to SKI: </t>
    </r>
    <r>
      <rPr>
        <sz val="9"/>
        <rFont val="Calibri"/>
        <family val="2"/>
        <scheme val="minor"/>
      </rPr>
      <t>No Equipment, Limited Lift Access</t>
    </r>
  </si>
  <si>
    <r>
      <t>Learn to RIDE Package: L</t>
    </r>
    <r>
      <rPr>
        <sz val="9"/>
        <rFont val="Calibri"/>
        <family val="2"/>
        <scheme val="minor"/>
      </rPr>
      <t>imited lift access (levels 1-3)</t>
    </r>
  </si>
  <si>
    <r>
      <t xml:space="preserve">Learn to RIDE: </t>
    </r>
    <r>
      <rPr>
        <sz val="9"/>
        <rFont val="Calibri"/>
        <family val="2"/>
        <scheme val="minor"/>
      </rPr>
      <t>No Equipment, Limited Lift Access</t>
    </r>
  </si>
  <si>
    <t>Holiday Period:  December 21st - January 3rd, January 17th - January 20th, and February 14th - February 23rd.</t>
  </si>
</sst>
</file>

<file path=xl/styles.xml><?xml version="1.0" encoding="utf-8"?>
<styleSheet xmlns="http://schemas.openxmlformats.org/spreadsheetml/2006/main">
  <numFmts count="3">
    <numFmt numFmtId="6" formatCode="&quot;$&quot;#,##0_);[Red]\(&quot;$&quot;#,##0\)"/>
    <numFmt numFmtId="8" formatCode="&quot;$&quot;#,##0.00_);[Red]\(&quot;$&quot;#,##0.00\)"/>
    <numFmt numFmtId="164" formatCode="&quot;$&quot;#,##0"/>
  </numFmts>
  <fonts count="25">
    <font>
      <sz val="11"/>
      <color theme="1"/>
      <name val="Calibri"/>
      <family val="2"/>
      <scheme val="minor"/>
    </font>
    <font>
      <b/>
      <sz val="18"/>
      <color indexed="8"/>
      <name val="Calibri"/>
      <family val="2"/>
    </font>
    <font>
      <b/>
      <sz val="11"/>
      <color theme="1"/>
      <name val="Calibri"/>
      <family val="2"/>
      <scheme val="minor"/>
    </font>
    <font>
      <b/>
      <sz val="20"/>
      <color indexed="8"/>
      <name val="Calibri"/>
      <family val="2"/>
    </font>
    <font>
      <u/>
      <sz val="11"/>
      <color theme="10"/>
      <name val="Calibri"/>
      <family val="2"/>
    </font>
    <font>
      <b/>
      <sz val="10"/>
      <color theme="0"/>
      <name val="Calibri"/>
      <family val="2"/>
      <scheme val="minor"/>
    </font>
    <font>
      <sz val="10"/>
      <name val="Calibri"/>
      <family val="2"/>
      <scheme val="minor"/>
    </font>
    <font>
      <u/>
      <sz val="11"/>
      <name val="Calibri"/>
      <family val="2"/>
    </font>
    <font>
      <b/>
      <sz val="10"/>
      <color theme="1"/>
      <name val="Calibri"/>
      <family val="2"/>
      <scheme val="minor"/>
    </font>
    <font>
      <b/>
      <sz val="11"/>
      <color theme="0"/>
      <name val="Calibri"/>
      <family val="2"/>
      <scheme val="minor"/>
    </font>
    <font>
      <sz val="10"/>
      <color theme="1"/>
      <name val="Calibri"/>
      <family val="2"/>
      <scheme val="minor"/>
    </font>
    <font>
      <b/>
      <sz val="19"/>
      <color indexed="8"/>
      <name val="Calibri"/>
      <family val="2"/>
    </font>
    <font>
      <b/>
      <sz val="24"/>
      <color indexed="8"/>
      <name val="Calibri"/>
      <family val="2"/>
    </font>
    <font>
      <b/>
      <sz val="16"/>
      <color rgb="FF000000"/>
      <name val="Calibri"/>
      <family val="2"/>
      <scheme val="minor"/>
    </font>
    <font>
      <sz val="10"/>
      <color theme="1"/>
      <name val="Calibri"/>
      <family val="2"/>
    </font>
    <font>
      <sz val="11"/>
      <name val="Calibri"/>
      <family val="2"/>
      <scheme val="minor"/>
    </font>
    <font>
      <b/>
      <sz val="11"/>
      <name val="Calibri"/>
      <family val="2"/>
      <scheme val="minor"/>
    </font>
    <font>
      <b/>
      <sz val="20"/>
      <name val="Calibri"/>
      <family val="2"/>
    </font>
    <font>
      <b/>
      <sz val="19"/>
      <name val="Calibri"/>
      <family val="2"/>
    </font>
    <font>
      <b/>
      <sz val="16"/>
      <name val="Calibri"/>
      <family val="2"/>
    </font>
    <font>
      <b/>
      <sz val="18"/>
      <name val="Calibri"/>
      <family val="2"/>
    </font>
    <font>
      <b/>
      <sz val="11"/>
      <name val="Calibri"/>
      <family val="2"/>
    </font>
    <font>
      <sz val="6"/>
      <name val="Calibri"/>
      <family val="2"/>
      <scheme val="minor"/>
    </font>
    <font>
      <b/>
      <sz val="10"/>
      <name val="Calibri"/>
      <family val="2"/>
      <scheme val="minor"/>
    </font>
    <font>
      <sz val="9"/>
      <name val="Calibri"/>
      <family val="2"/>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2" tint="-9.9978637043366805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45">
    <xf numFmtId="0" fontId="0" fillId="0" borderId="0" xfId="0"/>
    <xf numFmtId="0" fontId="0" fillId="0" borderId="0" xfId="0" applyBorder="1"/>
    <xf numFmtId="0" fontId="5" fillId="3" borderId="1" xfId="0" applyFont="1" applyFill="1" applyBorder="1" applyAlignment="1">
      <alignment horizontal="center" vertical="center"/>
    </xf>
    <xf numFmtId="0" fontId="0" fillId="0" borderId="0" xfId="0" applyAlignment="1">
      <alignment horizontal="center"/>
    </xf>
    <xf numFmtId="0" fontId="0" fillId="0" borderId="1" xfId="0" applyBorder="1"/>
    <xf numFmtId="8" fontId="0" fillId="0" borderId="1" xfId="0" applyNumberFormat="1" applyBorder="1" applyAlignment="1">
      <alignment horizontal="center" vertical="center"/>
    </xf>
    <xf numFmtId="0" fontId="0" fillId="4" borderId="0" xfId="0" applyFill="1"/>
    <xf numFmtId="0" fontId="2" fillId="4" borderId="0" xfId="0" applyFont="1" applyFill="1" applyBorder="1" applyAlignment="1">
      <alignment horizontal="center"/>
    </xf>
    <xf numFmtId="0" fontId="2" fillId="4" borderId="0" xfId="0" applyFont="1" applyFill="1" applyBorder="1" applyAlignment="1">
      <alignment horizontal="left"/>
    </xf>
    <xf numFmtId="0" fontId="2" fillId="4" borderId="0" xfId="0" applyFont="1" applyFill="1" applyBorder="1" applyAlignment="1">
      <alignment horizontal="right"/>
    </xf>
    <xf numFmtId="0" fontId="2" fillId="4" borderId="0" xfId="0" applyFont="1" applyFill="1" applyBorder="1" applyAlignment="1" applyProtection="1">
      <protection locked="0"/>
    </xf>
    <xf numFmtId="0" fontId="2" fillId="4" borderId="0" xfId="0" applyFont="1" applyFill="1" applyBorder="1" applyAlignment="1" applyProtection="1">
      <alignment horizontal="center"/>
      <protection locked="0"/>
    </xf>
    <xf numFmtId="0" fontId="2" fillId="4" borderId="0" xfId="0" applyFont="1" applyFill="1" applyBorder="1"/>
    <xf numFmtId="0" fontId="0" fillId="4" borderId="0" xfId="0" applyFill="1" applyBorder="1"/>
    <xf numFmtId="0" fontId="1" fillId="0" borderId="0" xfId="0" applyFont="1" applyBorder="1" applyAlignment="1"/>
    <xf numFmtId="0" fontId="3" fillId="0" borderId="0" xfId="0" applyFont="1" applyFill="1" applyBorder="1" applyAlignment="1">
      <alignment vertical="center"/>
    </xf>
    <xf numFmtId="0" fontId="3" fillId="4" borderId="0" xfId="0" applyFont="1" applyFill="1" applyBorder="1" applyAlignment="1">
      <alignment vertical="center"/>
    </xf>
    <xf numFmtId="8" fontId="0" fillId="4" borderId="0" xfId="0" applyNumberFormat="1" applyFill="1" applyBorder="1" applyAlignment="1">
      <alignment horizontal="center" vertical="center"/>
    </xf>
    <xf numFmtId="0" fontId="9" fillId="4" borderId="0" xfId="0" applyFont="1" applyFill="1" applyBorder="1" applyAlignment="1">
      <alignment vertical="center"/>
    </xf>
    <xf numFmtId="8" fontId="0" fillId="4" borderId="0" xfId="0" applyNumberFormat="1" applyFill="1" applyBorder="1" applyAlignment="1">
      <alignment vertical="center"/>
    </xf>
    <xf numFmtId="0" fontId="0" fillId="4" borderId="0" xfId="0" applyFill="1" applyBorder="1" applyAlignment="1" applyProtection="1">
      <alignment horizontal="center"/>
    </xf>
    <xf numFmtId="0" fontId="0" fillId="4" borderId="0" xfId="0" applyFill="1" applyAlignment="1" applyProtection="1">
      <alignment horizontal="center"/>
    </xf>
    <xf numFmtId="0" fontId="0" fillId="0" borderId="0" xfId="0" applyFill="1"/>
    <xf numFmtId="0" fontId="0" fillId="0" borderId="0" xfId="0" applyFill="1" applyAlignment="1" applyProtection="1">
      <alignment horizontal="center"/>
    </xf>
    <xf numFmtId="0" fontId="9" fillId="3" borderId="2" xfId="0" applyFont="1" applyFill="1" applyBorder="1" applyAlignment="1" applyProtection="1">
      <alignment vertical="center" wrapText="1"/>
    </xf>
    <xf numFmtId="0" fontId="9" fillId="3" borderId="3" xfId="0" applyFont="1" applyFill="1" applyBorder="1" applyAlignment="1" applyProtection="1">
      <alignment vertical="center" wrapText="1"/>
    </xf>
    <xf numFmtId="0" fontId="5" fillId="3" borderId="1" xfId="0" applyFont="1" applyFill="1" applyBorder="1" applyAlignment="1" applyProtection="1">
      <alignment horizontal="center" vertical="center" wrapText="1"/>
    </xf>
    <xf numFmtId="0" fontId="0" fillId="0" borderId="0" xfId="0" applyFont="1" applyAlignment="1"/>
    <xf numFmtId="0" fontId="5" fillId="3" borderId="8" xfId="0" applyFont="1" applyFill="1" applyBorder="1" applyAlignment="1">
      <alignment vertical="center" wrapText="1"/>
    </xf>
    <xf numFmtId="0" fontId="5" fillId="3" borderId="9" xfId="0" applyFont="1" applyFill="1" applyBorder="1" applyAlignment="1">
      <alignment vertical="center" wrapText="1"/>
    </xf>
    <xf numFmtId="0" fontId="5" fillId="3" borderId="8" xfId="0" applyFont="1" applyFill="1" applyBorder="1" applyAlignment="1">
      <alignment wrapText="1"/>
    </xf>
    <xf numFmtId="0" fontId="5" fillId="3" borderId="9" xfId="0" applyFont="1" applyFill="1" applyBorder="1" applyAlignment="1">
      <alignment wrapText="1"/>
    </xf>
    <xf numFmtId="0" fontId="10" fillId="2" borderId="9" xfId="0" applyFont="1" applyFill="1" applyBorder="1" applyAlignment="1">
      <alignment horizontal="left" vertical="center" wrapText="1" indent="1"/>
    </xf>
    <xf numFmtId="0" fontId="10" fillId="2" borderId="9" xfId="0" applyFont="1" applyFill="1" applyBorder="1" applyAlignment="1">
      <alignment horizontal="left" wrapText="1" indent="1"/>
    </xf>
    <xf numFmtId="0" fontId="10" fillId="2" borderId="9" xfId="0" applyFont="1" applyFill="1" applyBorder="1" applyAlignment="1">
      <alignment horizontal="left" indent="1"/>
    </xf>
    <xf numFmtId="0" fontId="10" fillId="2" borderId="9" xfId="0" applyFont="1" applyFill="1" applyBorder="1" applyAlignment="1">
      <alignment horizontal="left" vertical="center" indent="1"/>
    </xf>
    <xf numFmtId="0" fontId="10" fillId="2" borderId="8" xfId="0" applyFont="1" applyFill="1" applyBorder="1" applyAlignment="1">
      <alignment horizontal="left" vertical="center" wrapText="1" indent="1"/>
    </xf>
    <xf numFmtId="0" fontId="10" fillId="2" borderId="9" xfId="0" applyNumberFormat="1" applyFont="1" applyFill="1" applyBorder="1" applyAlignment="1">
      <alignment horizontal="left" vertical="center" wrapText="1" indent="1"/>
    </xf>
    <xf numFmtId="0" fontId="0" fillId="4" borderId="0" xfId="0" applyFont="1" applyFill="1" applyAlignment="1"/>
    <xf numFmtId="0" fontId="11" fillId="4" borderId="0" xfId="0" applyFont="1" applyFill="1" applyBorder="1" applyAlignment="1">
      <alignment horizontal="right" vertical="center"/>
    </xf>
    <xf numFmtId="0" fontId="6" fillId="2" borderId="9" xfId="0" applyFont="1" applyFill="1" applyBorder="1" applyAlignment="1">
      <alignment horizontal="left" vertical="center" wrapText="1" indent="1"/>
    </xf>
    <xf numFmtId="0" fontId="10" fillId="2" borderId="6" xfId="0" applyFont="1" applyFill="1" applyBorder="1" applyAlignment="1">
      <alignment horizontal="left" vertical="center" indent="1"/>
    </xf>
    <xf numFmtId="0" fontId="0" fillId="2" borderId="0" xfId="0" applyFill="1" applyBorder="1"/>
    <xf numFmtId="0" fontId="1" fillId="2" borderId="0" xfId="0" applyFont="1" applyFill="1" applyBorder="1" applyAlignment="1"/>
    <xf numFmtId="0" fontId="0" fillId="2" borderId="0" xfId="0" applyFill="1"/>
    <xf numFmtId="0" fontId="0" fillId="2" borderId="0" xfId="0" applyFill="1" applyAlignment="1">
      <alignment horizontal="center"/>
    </xf>
    <xf numFmtId="0" fontId="15" fillId="2" borderId="1" xfId="0" applyFont="1" applyFill="1" applyBorder="1" applyAlignment="1">
      <alignment horizontal="center"/>
    </xf>
    <xf numFmtId="0" fontId="15" fillId="2" borderId="1" xfId="0" applyFont="1" applyFill="1" applyBorder="1" applyAlignment="1" applyProtection="1">
      <alignment horizontal="center" wrapText="1"/>
    </xf>
    <xf numFmtId="0" fontId="15" fillId="2" borderId="1" xfId="0" applyFont="1" applyFill="1" applyBorder="1" applyAlignment="1" applyProtection="1">
      <alignment horizontal="center" vertical="center" wrapText="1"/>
    </xf>
    <xf numFmtId="0" fontId="15" fillId="2" borderId="2" xfId="0" applyFont="1" applyFill="1" applyBorder="1" applyAlignment="1" applyProtection="1">
      <alignment vertical="center" wrapText="1"/>
    </xf>
    <xf numFmtId="0" fontId="15" fillId="2" borderId="1" xfId="0" applyFont="1" applyFill="1" applyBorder="1" applyAlignment="1" applyProtection="1">
      <alignment vertical="center" wrapText="1"/>
    </xf>
    <xf numFmtId="164" fontId="15" fillId="2" borderId="1" xfId="0" applyNumberFormat="1" applyFont="1" applyFill="1" applyBorder="1" applyAlignment="1" applyProtection="1">
      <alignment horizontal="center" vertical="center" wrapText="1"/>
    </xf>
    <xf numFmtId="164" fontId="15"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6" fillId="4" borderId="0" xfId="0" applyFont="1" applyFill="1" applyBorder="1" applyAlignment="1">
      <alignment vertical="center"/>
    </xf>
    <xf numFmtId="0" fontId="17" fillId="4" borderId="0" xfId="0" applyFont="1" applyFill="1" applyBorder="1" applyAlignment="1">
      <alignment vertical="center"/>
    </xf>
    <xf numFmtId="0" fontId="17" fillId="0" borderId="0" xfId="0" applyFont="1" applyFill="1" applyBorder="1" applyAlignment="1">
      <alignment vertical="center"/>
    </xf>
    <xf numFmtId="0" fontId="20" fillId="0" borderId="0" xfId="0" applyFont="1" applyBorder="1" applyAlignment="1"/>
    <xf numFmtId="0" fontId="15" fillId="0" borderId="0" xfId="0" applyFont="1" applyBorder="1"/>
    <xf numFmtId="0" fontId="15" fillId="4" borderId="0" xfId="0" applyFont="1" applyFill="1" applyBorder="1"/>
    <xf numFmtId="0" fontId="16" fillId="4" borderId="0" xfId="0" applyFont="1" applyFill="1" applyBorder="1" applyAlignment="1">
      <alignment horizontal="center"/>
    </xf>
    <xf numFmtId="0" fontId="16" fillId="4" borderId="0" xfId="0" applyFont="1" applyFill="1" applyBorder="1" applyAlignment="1"/>
    <xf numFmtId="0" fontId="15" fillId="0" borderId="0" xfId="0" applyFont="1"/>
    <xf numFmtId="0" fontId="16" fillId="4" borderId="0" xfId="0" applyFont="1" applyFill="1" applyBorder="1"/>
    <xf numFmtId="0" fontId="16" fillId="4" borderId="0" xfId="0" applyFont="1" applyFill="1" applyBorder="1" applyAlignment="1">
      <alignment wrapText="1"/>
    </xf>
    <xf numFmtId="0" fontId="16" fillId="4" borderId="0" xfId="0" applyFont="1" applyFill="1" applyBorder="1" applyAlignment="1">
      <alignment horizontal="left"/>
    </xf>
    <xf numFmtId="0" fontId="16" fillId="4" borderId="0" xfId="0" applyFont="1" applyFill="1" applyBorder="1" applyAlignment="1">
      <alignment horizontal="right"/>
    </xf>
    <xf numFmtId="0" fontId="16" fillId="4" borderId="0" xfId="0" applyFont="1" applyFill="1" applyBorder="1" applyAlignment="1" applyProtection="1">
      <protection locked="0"/>
    </xf>
    <xf numFmtId="0" fontId="16" fillId="4" borderId="0" xfId="0" applyFont="1" applyFill="1" applyBorder="1" applyAlignment="1" applyProtection="1">
      <alignment horizontal="center"/>
      <protection locked="0"/>
    </xf>
    <xf numFmtId="0" fontId="15" fillId="4" borderId="0" xfId="0" applyFont="1" applyFill="1" applyBorder="1" applyAlignment="1" applyProtection="1">
      <alignment horizontal="center"/>
    </xf>
    <xf numFmtId="0" fontId="23" fillId="3" borderId="2" xfId="0" applyFont="1" applyFill="1" applyBorder="1" applyAlignment="1" applyProtection="1">
      <alignment vertical="center" wrapText="1"/>
    </xf>
    <xf numFmtId="0" fontId="23" fillId="3" borderId="1" xfId="0" applyFont="1" applyFill="1" applyBorder="1" applyAlignment="1" applyProtection="1">
      <alignment horizontal="center" vertical="center" wrapText="1"/>
    </xf>
    <xf numFmtId="0" fontId="23" fillId="3" borderId="1" xfId="0" applyFont="1" applyFill="1" applyBorder="1" applyAlignment="1">
      <alignment horizontal="center" vertical="center"/>
    </xf>
    <xf numFmtId="0" fontId="23" fillId="4" borderId="0" xfId="0" applyFont="1" applyFill="1" applyBorder="1" applyAlignment="1" applyProtection="1">
      <alignment vertical="center" wrapText="1"/>
    </xf>
    <xf numFmtId="0" fontId="23" fillId="3" borderId="1" xfId="0" applyFont="1" applyFill="1" applyBorder="1" applyAlignment="1" applyProtection="1">
      <alignment vertical="center" wrapText="1"/>
    </xf>
    <xf numFmtId="0" fontId="15" fillId="4" borderId="0" xfId="0" applyFont="1" applyFill="1" applyBorder="1" applyAlignment="1" applyProtection="1">
      <alignment vertical="center" wrapText="1"/>
    </xf>
    <xf numFmtId="0" fontId="15" fillId="4" borderId="0" xfId="0" applyFont="1" applyFill="1"/>
    <xf numFmtId="0" fontId="15" fillId="0" borderId="2" xfId="0" applyFont="1" applyBorder="1" applyAlignment="1">
      <alignment vertical="center"/>
    </xf>
    <xf numFmtId="164" fontId="15" fillId="0" borderId="1" xfId="0" applyNumberFormat="1" applyFont="1" applyBorder="1" applyAlignment="1">
      <alignment horizontal="center" vertical="center"/>
    </xf>
    <xf numFmtId="0" fontId="16" fillId="4" borderId="0" xfId="0" applyFont="1" applyFill="1" applyBorder="1" applyAlignment="1" applyProtection="1">
      <alignment vertical="center" wrapText="1"/>
    </xf>
    <xf numFmtId="0" fontId="15" fillId="0" borderId="1" xfId="0" applyFont="1" applyBorder="1" applyAlignment="1">
      <alignment vertical="center"/>
    </xf>
    <xf numFmtId="8" fontId="15" fillId="4" borderId="0" xfId="0" applyNumberFormat="1" applyFont="1" applyFill="1" applyBorder="1" applyAlignment="1">
      <alignment vertical="center"/>
    </xf>
    <xf numFmtId="0" fontId="15" fillId="0" borderId="2" xfId="0" applyFont="1" applyFill="1" applyBorder="1" applyAlignment="1">
      <alignment vertical="center"/>
    </xf>
    <xf numFmtId="164" fontId="15" fillId="0" borderId="1" xfId="0" applyNumberFormat="1" applyFont="1" applyFill="1" applyBorder="1" applyAlignment="1">
      <alignment horizontal="center" vertical="center"/>
    </xf>
    <xf numFmtId="0" fontId="15" fillId="0" borderId="1" xfId="0" applyFont="1" applyFill="1" applyBorder="1" applyAlignment="1">
      <alignment vertical="center"/>
    </xf>
    <xf numFmtId="0" fontId="15" fillId="4" borderId="0" xfId="0" applyFont="1" applyFill="1" applyBorder="1" applyAlignment="1">
      <alignment vertical="center"/>
    </xf>
    <xf numFmtId="8" fontId="15" fillId="4" borderId="0" xfId="0" applyNumberFormat="1" applyFont="1" applyFill="1" applyBorder="1" applyAlignment="1">
      <alignment horizontal="center" vertical="center"/>
    </xf>
    <xf numFmtId="0" fontId="15" fillId="0" borderId="0" xfId="0" applyFont="1" applyAlignment="1">
      <alignment horizontal="center"/>
    </xf>
    <xf numFmtId="0" fontId="16" fillId="3" borderId="7" xfId="0" applyFont="1" applyFill="1" applyBorder="1" applyAlignment="1">
      <alignment vertical="center"/>
    </xf>
    <xf numFmtId="0" fontId="16" fillId="3" borderId="10" xfId="0" applyFont="1" applyFill="1" applyBorder="1" applyAlignment="1">
      <alignment vertical="center"/>
    </xf>
    <xf numFmtId="0" fontId="23" fillId="3" borderId="7" xfId="0" applyFont="1" applyFill="1" applyBorder="1" applyAlignment="1" applyProtection="1">
      <alignment horizontal="center" wrapText="1"/>
    </xf>
    <xf numFmtId="0" fontId="23" fillId="3" borderId="8" xfId="0" applyFont="1" applyFill="1" applyBorder="1" applyAlignment="1" applyProtection="1">
      <alignment horizontal="center" vertical="center" wrapText="1"/>
    </xf>
    <xf numFmtId="0" fontId="23" fillId="3" borderId="8" xfId="0" applyFont="1" applyFill="1" applyBorder="1" applyAlignment="1">
      <alignment horizontal="center" vertical="center"/>
    </xf>
    <xf numFmtId="0" fontId="15" fillId="4" borderId="0" xfId="0" applyFont="1" applyFill="1" applyBorder="1" applyAlignment="1">
      <alignment horizontal="left" vertical="center" indent="1"/>
    </xf>
    <xf numFmtId="0" fontId="15" fillId="4" borderId="0" xfId="0" applyFont="1" applyFill="1" applyBorder="1" applyAlignment="1">
      <alignment horizontal="center"/>
    </xf>
    <xf numFmtId="0" fontId="16" fillId="3" borderId="10" xfId="0" applyFont="1" applyFill="1" applyBorder="1" applyAlignment="1" applyProtection="1">
      <alignment horizontal="center" vertical="center" wrapText="1"/>
    </xf>
    <xf numFmtId="0" fontId="23" fillId="3" borderId="7" xfId="0" applyFont="1" applyFill="1" applyBorder="1" applyAlignment="1" applyProtection="1">
      <alignment horizontal="center" vertical="center" wrapText="1"/>
    </xf>
    <xf numFmtId="0" fontId="23" fillId="3" borderId="4" xfId="0" applyFont="1" applyFill="1" applyBorder="1" applyAlignment="1">
      <alignment horizontal="center" vertical="center"/>
    </xf>
    <xf numFmtId="0" fontId="15" fillId="0" borderId="1" xfId="0" applyFont="1" applyBorder="1" applyAlignment="1">
      <alignment horizontal="center"/>
    </xf>
    <xf numFmtId="0" fontId="15" fillId="0" borderId="6" xfId="0" applyFont="1" applyBorder="1" applyAlignment="1">
      <alignment horizontal="center"/>
    </xf>
    <xf numFmtId="6" fontId="15" fillId="0" borderId="6" xfId="0" applyNumberFormat="1" applyFont="1" applyBorder="1" applyAlignment="1">
      <alignment horizontal="center" vertical="center"/>
    </xf>
    <xf numFmtId="6" fontId="15" fillId="0" borderId="1" xfId="0" applyNumberFormat="1" applyFont="1" applyBorder="1" applyAlignment="1">
      <alignment horizontal="center" vertical="center"/>
    </xf>
    <xf numFmtId="0" fontId="15" fillId="4" borderId="0" xfId="0" applyFont="1" applyFill="1" applyBorder="1" applyAlignment="1">
      <alignment horizontal="left" vertical="center"/>
    </xf>
    <xf numFmtId="0" fontId="23" fillId="3" borderId="1" xfId="0" applyFont="1" applyFill="1" applyBorder="1" applyAlignment="1" applyProtection="1">
      <alignment horizontal="center" wrapText="1"/>
    </xf>
    <xf numFmtId="6" fontId="15" fillId="2" borderId="1" xfId="0" applyNumberFormat="1" applyFont="1" applyFill="1" applyBorder="1" applyAlignment="1">
      <alignment horizontal="center" vertical="center"/>
    </xf>
    <xf numFmtId="0" fontId="15" fillId="0" borderId="0" xfId="0" applyFont="1" applyAlignment="1">
      <alignment vertical="center"/>
    </xf>
    <xf numFmtId="0" fontId="15" fillId="0" borderId="0" xfId="0" applyFont="1" applyFill="1" applyAlignment="1" applyProtection="1">
      <alignment horizontal="center"/>
    </xf>
    <xf numFmtId="0" fontId="15" fillId="0" borderId="0" xfId="0" applyFont="1" applyFill="1"/>
    <xf numFmtId="0" fontId="16" fillId="4" borderId="0" xfId="0" applyFont="1" applyFill="1" applyBorder="1" applyAlignment="1">
      <alignment horizontal="right" vertical="center"/>
    </xf>
    <xf numFmtId="0" fontId="16" fillId="4" borderId="5" xfId="0" applyFont="1" applyFill="1" applyBorder="1" applyAlignment="1">
      <alignment horizontal="right" vertical="center"/>
    </xf>
    <xf numFmtId="0" fontId="18" fillId="4" borderId="0" xfId="0" applyFont="1" applyFill="1" applyBorder="1" applyAlignment="1">
      <alignment horizontal="right" vertical="center" wrapText="1"/>
    </xf>
    <xf numFmtId="0" fontId="21" fillId="4" borderId="0" xfId="0" applyFont="1" applyFill="1" applyBorder="1" applyAlignment="1">
      <alignment horizontal="center" vertical="top" wrapText="1"/>
    </xf>
    <xf numFmtId="0" fontId="15" fillId="2" borderId="2" xfId="0" applyFont="1" applyFill="1" applyBorder="1" applyAlignment="1">
      <alignment horizontal="left" vertical="center"/>
    </xf>
    <xf numFmtId="0" fontId="15" fillId="2" borderId="3" xfId="0" applyFont="1" applyFill="1" applyBorder="1" applyAlignment="1">
      <alignment horizontal="left" vertical="center"/>
    </xf>
    <xf numFmtId="0" fontId="15" fillId="2" borderId="4" xfId="0" applyFont="1" applyFill="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6" fillId="4" borderId="0" xfId="0" applyFont="1" applyFill="1" applyAlignment="1">
      <alignment horizontal="center" vertical="top"/>
    </xf>
    <xf numFmtId="0" fontId="16" fillId="2" borderId="2" xfId="0" applyFont="1" applyFill="1" applyBorder="1" applyAlignment="1">
      <alignment horizontal="center"/>
    </xf>
    <xf numFmtId="0" fontId="16" fillId="2" borderId="3" xfId="0" applyFont="1" applyFill="1" applyBorder="1" applyAlignment="1">
      <alignment horizontal="center"/>
    </xf>
    <xf numFmtId="0" fontId="16" fillId="2" borderId="4" xfId="0" applyFont="1" applyFill="1" applyBorder="1" applyAlignment="1">
      <alignment horizontal="center"/>
    </xf>
    <xf numFmtId="0" fontId="22" fillId="2" borderId="2" xfId="0" applyFont="1" applyFill="1" applyBorder="1" applyAlignment="1">
      <alignment horizontal="center" vertical="top"/>
    </xf>
    <xf numFmtId="0" fontId="22" fillId="2" borderId="3" xfId="0" applyFont="1" applyFill="1" applyBorder="1" applyAlignment="1">
      <alignment horizontal="center" vertical="top"/>
    </xf>
    <xf numFmtId="0" fontId="22" fillId="2" borderId="4" xfId="0" applyFont="1" applyFill="1" applyBorder="1" applyAlignment="1">
      <alignment horizontal="center" vertical="top"/>
    </xf>
    <xf numFmtId="0" fontId="16" fillId="2" borderId="3" xfId="0" applyFont="1" applyFill="1" applyBorder="1" applyAlignment="1">
      <alignment horizontal="left" vertical="center"/>
    </xf>
    <xf numFmtId="0" fontId="16" fillId="2" borderId="4" xfId="0" applyFont="1" applyFill="1" applyBorder="1" applyAlignment="1">
      <alignment horizontal="left" vertical="center"/>
    </xf>
    <xf numFmtId="0" fontId="15" fillId="0" borderId="3" xfId="0" applyFont="1" applyBorder="1" applyAlignment="1">
      <alignment horizontal="left"/>
    </xf>
    <xf numFmtId="0" fontId="15" fillId="0" borderId="4" xfId="0" applyFont="1" applyBorder="1" applyAlignment="1">
      <alignment horizontal="left"/>
    </xf>
    <xf numFmtId="0" fontId="16" fillId="3" borderId="2" xfId="0" applyFont="1" applyFill="1" applyBorder="1" applyAlignment="1" applyProtection="1">
      <alignment horizontal="left" vertical="center" wrapText="1"/>
    </xf>
    <xf numFmtId="0" fontId="16" fillId="3" borderId="3" xfId="0" applyFont="1" applyFill="1" applyBorder="1" applyAlignment="1" applyProtection="1">
      <alignment horizontal="left" vertical="center" wrapText="1"/>
    </xf>
    <xf numFmtId="0" fontId="16" fillId="3" borderId="4" xfId="0" applyFont="1" applyFill="1" applyBorder="1" applyAlignment="1" applyProtection="1">
      <alignment horizontal="left" vertical="center" wrapText="1"/>
    </xf>
    <xf numFmtId="0" fontId="15" fillId="0" borderId="0" xfId="0" applyFont="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12" fillId="4" borderId="0" xfId="0" applyFont="1" applyFill="1" applyBorder="1" applyAlignment="1">
      <alignment horizontal="right" vertical="center"/>
    </xf>
    <xf numFmtId="0" fontId="2" fillId="2" borderId="1" xfId="0" applyFont="1" applyFill="1" applyBorder="1" applyAlignment="1">
      <alignment horizontal="center"/>
    </xf>
    <xf numFmtId="0" fontId="7" fillId="2" borderId="1" xfId="1" applyFont="1" applyFill="1" applyBorder="1" applyAlignment="1" applyProtection="1">
      <alignment horizontal="center"/>
    </xf>
    <xf numFmtId="0" fontId="8" fillId="2" borderId="1" xfId="0" applyFont="1" applyFill="1" applyBorder="1" applyAlignment="1">
      <alignment horizontal="center"/>
    </xf>
    <xf numFmtId="0" fontId="13" fillId="4" borderId="0" xfId="0" applyFont="1" applyFill="1" applyAlignment="1">
      <alignment horizontal="center" vertical="center"/>
    </xf>
    <xf numFmtId="0" fontId="9" fillId="2" borderId="1" xfId="0" applyFont="1" applyFill="1" applyBorder="1" applyAlignment="1">
      <alignment horizontal="center"/>
    </xf>
    <xf numFmtId="0" fontId="2" fillId="4" borderId="5" xfId="0" applyFont="1" applyFill="1" applyBorder="1" applyAlignment="1">
      <alignment horizontal="right" vertical="center" textRotation="90"/>
    </xf>
    <xf numFmtId="0" fontId="0" fillId="0" borderId="0" xfId="0" applyAlignment="1">
      <alignment horizontal="center"/>
    </xf>
    <xf numFmtId="0" fontId="5" fillId="3" borderId="3" xfId="0" applyFont="1" applyFill="1" applyBorder="1" applyAlignment="1" applyProtection="1">
      <alignment horizontal="center" vertical="center" wrapText="1"/>
    </xf>
    <xf numFmtId="0" fontId="5" fillId="3" borderId="4" xfId="0" applyFont="1" applyFill="1" applyBorder="1" applyAlignment="1" applyProtection="1">
      <alignment horizontal="center"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134050</xdr:colOff>
      <xdr:row>0</xdr:row>
      <xdr:rowOff>152400</xdr:rowOff>
    </xdr:from>
    <xdr:to>
      <xdr:col>1</xdr:col>
      <xdr:colOff>2559184</xdr:colOff>
      <xdr:row>0</xdr:row>
      <xdr:rowOff>771525</xdr:rowOff>
    </xdr:to>
    <xdr:pic>
      <xdr:nvPicPr>
        <xdr:cNvPr id="4" name="Picture 3" descr="Hvly Horiz color.png"/>
        <xdr:cNvPicPr>
          <a:picLocks noChangeAspect="1"/>
        </xdr:cNvPicPr>
      </xdr:nvPicPr>
      <xdr:blipFill>
        <a:blip xmlns:r="http://schemas.openxmlformats.org/officeDocument/2006/relationships" r:embed="rId1" cstate="print"/>
        <a:stretch>
          <a:fillRect/>
        </a:stretch>
      </xdr:blipFill>
      <xdr:spPr>
        <a:xfrm>
          <a:off x="134050" y="152400"/>
          <a:ext cx="2577534" cy="619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24493</xdr:colOff>
      <xdr:row>0</xdr:row>
      <xdr:rowOff>109539</xdr:rowOff>
    </xdr:from>
    <xdr:to>
      <xdr:col>3</xdr:col>
      <xdr:colOff>708933</xdr:colOff>
      <xdr:row>0</xdr:row>
      <xdr:rowOff>728664</xdr:rowOff>
    </xdr:to>
    <xdr:pic>
      <xdr:nvPicPr>
        <xdr:cNvPr id="10" name="Picture 9" descr="Hvly Horiz color.png"/>
        <xdr:cNvPicPr>
          <a:picLocks noChangeAspect="1"/>
        </xdr:cNvPicPr>
      </xdr:nvPicPr>
      <xdr:blipFill>
        <a:blip xmlns:r="http://schemas.openxmlformats.org/officeDocument/2006/relationships" r:embed="rId1" cstate="print"/>
        <a:stretch>
          <a:fillRect/>
        </a:stretch>
      </xdr:blipFill>
      <xdr:spPr>
        <a:xfrm>
          <a:off x="179274" y="109539"/>
          <a:ext cx="2577534" cy="619125"/>
        </a:xfrm>
        <a:prstGeom prst="rect">
          <a:avLst/>
        </a:prstGeom>
      </xdr:spPr>
    </xdr:pic>
    <xdr:clientData/>
  </xdr:twoCellAnchor>
  <xdr:twoCellAnchor>
    <xdr:from>
      <xdr:col>0</xdr:col>
      <xdr:colOff>9526</xdr:colOff>
      <xdr:row>56</xdr:row>
      <xdr:rowOff>66674</xdr:rowOff>
    </xdr:from>
    <xdr:to>
      <xdr:col>4</xdr:col>
      <xdr:colOff>685800</xdr:colOff>
      <xdr:row>62</xdr:row>
      <xdr:rowOff>9525</xdr:rowOff>
    </xdr:to>
    <xdr:sp macro="" textlink="">
      <xdr:nvSpPr>
        <xdr:cNvPr id="3" name="TextBox 2"/>
        <xdr:cNvSpPr txBox="1"/>
      </xdr:nvSpPr>
      <xdr:spPr>
        <a:xfrm>
          <a:off x="9526" y="10582274"/>
          <a:ext cx="3648074" cy="981076"/>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solidFill>
                <a:schemeClr val="dk1"/>
              </a:solidFill>
              <a:latin typeface="+mn-lt"/>
              <a:ea typeface="+mn-ea"/>
              <a:cs typeface="+mn-cs"/>
            </a:rPr>
            <a:t>Please send orders, payment, and questions to:</a:t>
          </a:r>
          <a:endParaRPr lang="en-US" sz="1100">
            <a:solidFill>
              <a:schemeClr val="dk1"/>
            </a:solidFill>
            <a:latin typeface="+mn-lt"/>
            <a:ea typeface="+mn-ea"/>
            <a:cs typeface="+mn-cs"/>
          </a:endParaRPr>
        </a:p>
        <a:p>
          <a:r>
            <a:rPr lang="en-US" sz="1100">
              <a:solidFill>
                <a:schemeClr val="dk1"/>
              </a:solidFill>
              <a:latin typeface="+mn-lt"/>
              <a:ea typeface="+mn-ea"/>
              <a:cs typeface="+mn-cs"/>
            </a:rPr>
            <a:t>Shelby Tritthart </a:t>
          </a:r>
        </a:p>
        <a:p>
          <a:r>
            <a:rPr lang="en-US" sz="1100">
              <a:solidFill>
                <a:schemeClr val="dk1"/>
              </a:solidFill>
              <a:latin typeface="+mn-lt"/>
              <a:ea typeface="+mn-ea"/>
              <a:cs typeface="+mn-cs"/>
            </a:rPr>
            <a:t>stritthart@vailresorts.com</a:t>
          </a:r>
        </a:p>
        <a:p>
          <a:r>
            <a:rPr lang="en-US" sz="1100">
              <a:solidFill>
                <a:schemeClr val="dk1"/>
              </a:solidFill>
              <a:latin typeface="+mn-lt"/>
              <a:ea typeface="+mn-ea"/>
              <a:cs typeface="+mn-cs"/>
            </a:rPr>
            <a:t>(775)586-4444 </a:t>
          </a:r>
        </a:p>
        <a:p>
          <a:endParaRPr lang="en-US" sz="1100">
            <a:solidFill>
              <a:schemeClr val="dk1"/>
            </a:solidFill>
            <a:latin typeface="+mn-lt"/>
            <a:ea typeface="+mn-ea"/>
            <a:cs typeface="+mn-cs"/>
          </a:endParaRPr>
        </a:p>
        <a:p>
          <a:endParaRPr lang="en-US" sz="1100"/>
        </a:p>
      </xdr:txBody>
    </xdr:sp>
    <xdr:clientData/>
  </xdr:twoCellAnchor>
  <xdr:twoCellAnchor>
    <xdr:from>
      <xdr:col>4</xdr:col>
      <xdr:colOff>666750</xdr:colOff>
      <xdr:row>56</xdr:row>
      <xdr:rowOff>76200</xdr:rowOff>
    </xdr:from>
    <xdr:to>
      <xdr:col>11</xdr:col>
      <xdr:colOff>9525</xdr:colOff>
      <xdr:row>62</xdr:row>
      <xdr:rowOff>0</xdr:rowOff>
    </xdr:to>
    <xdr:sp macro="" textlink="">
      <xdr:nvSpPr>
        <xdr:cNvPr id="5" name="TextBox 4"/>
        <xdr:cNvSpPr txBox="1"/>
      </xdr:nvSpPr>
      <xdr:spPr>
        <a:xfrm>
          <a:off x="3638550" y="10591800"/>
          <a:ext cx="4267200" cy="962025"/>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latin typeface="+mn-lt"/>
              <a:ea typeface="+mn-ea"/>
              <a:cs typeface="+mn-cs"/>
            </a:rPr>
            <a:t>ADDRESS:  </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Heavenly Group Sales</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P.O. Box 2180</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 Stateline, NV 89449</a:t>
          </a:r>
        </a:p>
        <a:p>
          <a:endParaRPr lang="en-US" sz="1100"/>
        </a:p>
      </xdr:txBody>
    </xdr:sp>
    <xdr:clientData/>
  </xdr:twoCellAnchor>
  <xdr:twoCellAnchor>
    <xdr:from>
      <xdr:col>0</xdr:col>
      <xdr:colOff>66675</xdr:colOff>
      <xdr:row>57</xdr:row>
      <xdr:rowOff>47625</xdr:rowOff>
    </xdr:from>
    <xdr:to>
      <xdr:col>0</xdr:col>
      <xdr:colOff>76200</xdr:colOff>
      <xdr:row>61</xdr:row>
      <xdr:rowOff>104775</xdr:rowOff>
    </xdr:to>
    <xdr:cxnSp macro="">
      <xdr:nvCxnSpPr>
        <xdr:cNvPr id="7" name="Straight Connector 6"/>
        <xdr:cNvCxnSpPr/>
      </xdr:nvCxnSpPr>
      <xdr:spPr>
        <a:xfrm>
          <a:off x="66675" y="10648950"/>
          <a:ext cx="9525" cy="8191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676275</xdr:colOff>
      <xdr:row>57</xdr:row>
      <xdr:rowOff>9525</xdr:rowOff>
    </xdr:from>
    <xdr:to>
      <xdr:col>4</xdr:col>
      <xdr:colOff>685800</xdr:colOff>
      <xdr:row>61</xdr:row>
      <xdr:rowOff>66675</xdr:rowOff>
    </xdr:to>
    <xdr:cxnSp macro="">
      <xdr:nvCxnSpPr>
        <xdr:cNvPr id="8" name="Straight Connector 7"/>
        <xdr:cNvCxnSpPr/>
      </xdr:nvCxnSpPr>
      <xdr:spPr>
        <a:xfrm>
          <a:off x="3648075" y="10610850"/>
          <a:ext cx="9525" cy="8191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95251</xdr:rowOff>
    </xdr:from>
    <xdr:to>
      <xdr:col>2</xdr:col>
      <xdr:colOff>1647825</xdr:colOff>
      <xdr:row>0</xdr:row>
      <xdr:rowOff>755847</xdr:rowOff>
    </xdr:to>
    <xdr:pic>
      <xdr:nvPicPr>
        <xdr:cNvPr id="3" name="Picture 2" descr="Hvly Horiz color.png"/>
        <xdr:cNvPicPr>
          <a:picLocks noChangeAspect="1"/>
        </xdr:cNvPicPr>
      </xdr:nvPicPr>
      <xdr:blipFill>
        <a:blip xmlns:r="http://schemas.openxmlformats.org/officeDocument/2006/relationships" r:embed="rId1" cstate="print"/>
        <a:stretch>
          <a:fillRect/>
        </a:stretch>
      </xdr:blipFill>
      <xdr:spPr>
        <a:xfrm>
          <a:off x="152400" y="95251"/>
          <a:ext cx="2752725" cy="660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AH33"/>
  <sheetViews>
    <sheetView showGridLines="0" showRowColHeaders="0" zoomScaleNormal="100" workbookViewId="0">
      <selection activeCell="F19" sqref="F19"/>
    </sheetView>
  </sheetViews>
  <sheetFormatPr defaultColWidth="8.7109375" defaultRowHeight="15"/>
  <cols>
    <col min="1" max="1" width="2.28515625" style="22" customWidth="1"/>
    <col min="2" max="2" width="102.5703125" style="27" customWidth="1"/>
    <col min="3" max="3" width="2.28515625" customWidth="1"/>
    <col min="4" max="4" width="3.85546875" style="44" customWidth="1"/>
    <col min="5" max="34" width="8.7109375" style="44"/>
  </cols>
  <sheetData>
    <row r="1" spans="1:34" s="1" customFormat="1" ht="68.25" customHeight="1">
      <c r="A1" s="16"/>
      <c r="B1" s="39" t="s">
        <v>47</v>
      </c>
      <c r="C1" s="16"/>
      <c r="D1" s="43"/>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row>
    <row r="2" spans="1:34" ht="15" customHeight="1">
      <c r="A2" s="13"/>
      <c r="B2" s="30" t="s">
        <v>26</v>
      </c>
      <c r="C2" s="13"/>
    </row>
    <row r="3" spans="1:34" ht="30" customHeight="1">
      <c r="A3" s="13"/>
      <c r="B3" s="33" t="s">
        <v>32</v>
      </c>
      <c r="C3" s="13"/>
    </row>
    <row r="4" spans="1:34" ht="15" customHeight="1">
      <c r="A4" s="13"/>
      <c r="B4" s="31" t="s">
        <v>27</v>
      </c>
      <c r="C4" s="13"/>
    </row>
    <row r="5" spans="1:34" ht="30" customHeight="1">
      <c r="A5" s="13"/>
      <c r="B5" s="33" t="s">
        <v>50</v>
      </c>
      <c r="C5" s="13"/>
    </row>
    <row r="6" spans="1:34" ht="15" customHeight="1">
      <c r="A6" s="13"/>
      <c r="B6" s="31" t="s">
        <v>28</v>
      </c>
      <c r="C6" s="13"/>
    </row>
    <row r="7" spans="1:34" ht="60" customHeight="1">
      <c r="A7" s="13"/>
      <c r="B7" s="37" t="s">
        <v>61</v>
      </c>
      <c r="C7" s="13"/>
    </row>
    <row r="8" spans="1:34" ht="15" customHeight="1">
      <c r="A8" s="6"/>
      <c r="B8" s="29" t="s">
        <v>29</v>
      </c>
      <c r="C8" s="19"/>
    </row>
    <row r="9" spans="1:34" ht="45" customHeight="1">
      <c r="A9" s="6"/>
      <c r="B9" s="32" t="s">
        <v>33</v>
      </c>
      <c r="C9" s="19"/>
    </row>
    <row r="10" spans="1:34" ht="15" customHeight="1">
      <c r="A10" s="6"/>
      <c r="B10" s="29" t="s">
        <v>37</v>
      </c>
      <c r="C10" s="19"/>
    </row>
    <row r="11" spans="1:34" ht="15" customHeight="1">
      <c r="A11" s="6"/>
      <c r="B11" s="34" t="s">
        <v>34</v>
      </c>
      <c r="C11" s="19"/>
    </row>
    <row r="12" spans="1:34" ht="15" customHeight="1">
      <c r="A12" s="6"/>
      <c r="B12" s="34" t="s">
        <v>35</v>
      </c>
      <c r="C12" s="19"/>
    </row>
    <row r="13" spans="1:34" ht="15" customHeight="1">
      <c r="A13" s="6"/>
      <c r="B13" s="34" t="s">
        <v>36</v>
      </c>
      <c r="C13" s="19"/>
    </row>
    <row r="14" spans="1:34" ht="15" customHeight="1">
      <c r="A14" s="6"/>
      <c r="B14" s="29" t="s">
        <v>52</v>
      </c>
      <c r="C14" s="19"/>
    </row>
    <row r="15" spans="1:34" ht="15" customHeight="1">
      <c r="A15" s="6"/>
      <c r="B15" s="40" t="s">
        <v>51</v>
      </c>
      <c r="C15" s="19"/>
    </row>
    <row r="16" spans="1:34" ht="15" customHeight="1">
      <c r="A16" s="20"/>
      <c r="B16" s="35" t="s">
        <v>39</v>
      </c>
      <c r="C16" s="19"/>
    </row>
    <row r="17" spans="1:4" ht="15" customHeight="1">
      <c r="A17" s="20"/>
      <c r="B17" s="35" t="s">
        <v>38</v>
      </c>
      <c r="C17" s="19"/>
    </row>
    <row r="18" spans="1:4" ht="15" customHeight="1">
      <c r="A18" s="20"/>
      <c r="B18" s="35" t="s">
        <v>40</v>
      </c>
      <c r="C18" s="19"/>
    </row>
    <row r="19" spans="1:4" ht="15" customHeight="1">
      <c r="A19" s="20"/>
      <c r="B19" s="29" t="s">
        <v>46</v>
      </c>
      <c r="C19" s="19"/>
      <c r="D19" s="45"/>
    </row>
    <row r="20" spans="1:4" ht="45" customHeight="1">
      <c r="A20" s="20"/>
      <c r="B20" s="32" t="s">
        <v>41</v>
      </c>
      <c r="C20" s="19"/>
      <c r="D20" s="45"/>
    </row>
    <row r="21" spans="1:4" ht="15" customHeight="1">
      <c r="A21" s="21"/>
      <c r="B21" s="28" t="s">
        <v>30</v>
      </c>
      <c r="C21" s="19"/>
    </row>
    <row r="22" spans="1:4" ht="45" customHeight="1">
      <c r="A22" s="21"/>
      <c r="B22" s="32" t="s">
        <v>53</v>
      </c>
      <c r="C22" s="19"/>
    </row>
    <row r="23" spans="1:4">
      <c r="A23" s="6"/>
      <c r="B23" s="30" t="s">
        <v>31</v>
      </c>
      <c r="C23" s="6"/>
    </row>
    <row r="24" spans="1:4" ht="45" customHeight="1">
      <c r="A24" s="6"/>
      <c r="B24" s="33" t="s">
        <v>56</v>
      </c>
      <c r="C24" s="6"/>
    </row>
    <row r="25" spans="1:4">
      <c r="A25" s="6"/>
      <c r="B25" s="31" t="s">
        <v>42</v>
      </c>
      <c r="C25" s="6"/>
    </row>
    <row r="26" spans="1:4" ht="15" customHeight="1">
      <c r="A26" s="6"/>
      <c r="B26" s="36" t="s">
        <v>43</v>
      </c>
      <c r="C26" s="6"/>
    </row>
    <row r="27" spans="1:4" ht="15" customHeight="1">
      <c r="A27" s="6"/>
      <c r="B27" s="32" t="s">
        <v>57</v>
      </c>
      <c r="C27" s="6"/>
    </row>
    <row r="28" spans="1:4" ht="15" customHeight="1">
      <c r="A28" s="6"/>
      <c r="B28" s="37" t="s">
        <v>58</v>
      </c>
      <c r="C28" s="6"/>
    </row>
    <row r="29" spans="1:4" ht="30" customHeight="1">
      <c r="A29" s="6"/>
      <c r="B29" s="37" t="s">
        <v>59</v>
      </c>
      <c r="C29" s="6"/>
    </row>
    <row r="30" spans="1:4" ht="15" customHeight="1">
      <c r="A30" s="6"/>
      <c r="B30" s="35" t="s">
        <v>45</v>
      </c>
      <c r="C30" s="6"/>
    </row>
    <row r="31" spans="1:4" ht="30" customHeight="1">
      <c r="A31" s="6"/>
      <c r="B31" s="32" t="s">
        <v>60</v>
      </c>
      <c r="C31" s="6"/>
    </row>
    <row r="32" spans="1:4" ht="15" customHeight="1">
      <c r="A32" s="6"/>
      <c r="B32" s="41" t="s">
        <v>44</v>
      </c>
      <c r="C32" s="6"/>
    </row>
    <row r="33" spans="1:3">
      <c r="A33" s="6"/>
      <c r="B33" s="38"/>
      <c r="C33" s="6"/>
    </row>
  </sheetData>
  <printOptions horizontalCentered="1" verticalCentered="1"/>
  <pageMargins left="0.2" right="0.2" top="0.2" bottom="0.2" header="0.2" footer="0.2"/>
  <pageSetup scale="96"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M65"/>
  <sheetViews>
    <sheetView tabSelected="1" zoomScaleNormal="100" workbookViewId="0">
      <selection activeCell="G83" sqref="G83"/>
    </sheetView>
  </sheetViews>
  <sheetFormatPr defaultColWidth="8.7109375" defaultRowHeight="15"/>
  <cols>
    <col min="1" max="1" width="2.28515625" style="107" customWidth="1"/>
    <col min="2" max="2" width="17.7109375" style="62" customWidth="1"/>
    <col min="3" max="4" width="10.7109375" style="62" customWidth="1"/>
    <col min="5" max="5" width="12.7109375" style="62" customWidth="1"/>
    <col min="6" max="6" width="1.7109375" style="62" customWidth="1"/>
    <col min="7" max="7" width="17.7109375" style="62" customWidth="1"/>
    <col min="8" max="9" width="10.7109375" style="62" customWidth="1"/>
    <col min="10" max="10" width="12.7109375" style="62" customWidth="1"/>
    <col min="11" max="11" width="2.28515625" style="62" customWidth="1"/>
    <col min="12" max="12" width="10.28515625" style="62" bestFit="1" customWidth="1"/>
    <col min="13" max="13" width="3.85546875" style="62" customWidth="1"/>
    <col min="14" max="16384" width="8.7109375" style="62"/>
  </cols>
  <sheetData>
    <row r="1" spans="1:13" s="58" customFormat="1" ht="68.25" customHeight="1">
      <c r="A1" s="55"/>
      <c r="B1" s="110" t="s">
        <v>87</v>
      </c>
      <c r="C1" s="110"/>
      <c r="D1" s="110"/>
      <c r="E1" s="110"/>
      <c r="F1" s="110"/>
      <c r="G1" s="110"/>
      <c r="H1" s="110"/>
      <c r="I1" s="110"/>
      <c r="J1" s="110"/>
      <c r="K1" s="55"/>
      <c r="L1" s="56"/>
      <c r="M1" s="57"/>
    </row>
    <row r="2" spans="1:13" s="58" customFormat="1" ht="27" customHeight="1">
      <c r="A2" s="111" t="s">
        <v>93</v>
      </c>
      <c r="B2" s="111"/>
      <c r="C2" s="111"/>
      <c r="D2" s="111"/>
      <c r="E2" s="111"/>
      <c r="F2" s="111"/>
      <c r="G2" s="111"/>
      <c r="H2" s="111"/>
      <c r="I2" s="111"/>
      <c r="J2" s="111"/>
      <c r="K2" s="111"/>
      <c r="L2" s="56"/>
      <c r="M2" s="57"/>
    </row>
    <row r="3" spans="1:13" ht="20.100000000000001" customHeight="1">
      <c r="A3" s="59"/>
      <c r="B3" s="60" t="s">
        <v>0</v>
      </c>
      <c r="C3" s="119"/>
      <c r="D3" s="120"/>
      <c r="E3" s="121"/>
      <c r="F3" s="61"/>
      <c r="G3" s="61" t="s">
        <v>3</v>
      </c>
      <c r="H3" s="119"/>
      <c r="I3" s="120"/>
      <c r="J3" s="121"/>
      <c r="K3" s="59"/>
      <c r="L3" s="58"/>
    </row>
    <row r="4" spans="1:13" ht="5.0999999999999996" customHeight="1">
      <c r="A4" s="59"/>
      <c r="B4" s="60"/>
      <c r="C4" s="60"/>
      <c r="D4" s="63"/>
      <c r="E4" s="61"/>
      <c r="F4" s="61"/>
      <c r="G4" s="61"/>
      <c r="H4" s="60"/>
      <c r="I4" s="61"/>
      <c r="J4" s="61"/>
      <c r="K4" s="59"/>
      <c r="L4" s="58"/>
    </row>
    <row r="5" spans="1:13" ht="19.5" customHeight="1">
      <c r="A5" s="59"/>
      <c r="B5" s="60" t="s">
        <v>2</v>
      </c>
      <c r="C5" s="119"/>
      <c r="D5" s="120"/>
      <c r="E5" s="121"/>
      <c r="F5" s="64"/>
      <c r="G5" s="64" t="s">
        <v>54</v>
      </c>
      <c r="H5" s="122" t="s">
        <v>55</v>
      </c>
      <c r="I5" s="123"/>
      <c r="J5" s="124"/>
      <c r="K5" s="59"/>
      <c r="L5" s="58"/>
    </row>
    <row r="6" spans="1:13" ht="5.0999999999999996" customHeight="1">
      <c r="A6" s="59"/>
      <c r="B6" s="60"/>
      <c r="C6" s="60"/>
      <c r="D6" s="63"/>
      <c r="E6" s="63"/>
      <c r="F6" s="63"/>
      <c r="G6" s="63"/>
      <c r="H6" s="63"/>
      <c r="I6" s="61"/>
      <c r="J6" s="61"/>
      <c r="K6" s="59"/>
      <c r="L6" s="58"/>
    </row>
    <row r="7" spans="1:13" ht="20.100000000000001" customHeight="1">
      <c r="A7" s="59"/>
      <c r="B7" s="60" t="s">
        <v>4</v>
      </c>
      <c r="C7" s="119"/>
      <c r="D7" s="120"/>
      <c r="E7" s="121"/>
      <c r="F7" s="61"/>
      <c r="G7" s="61" t="s">
        <v>1</v>
      </c>
      <c r="H7" s="119"/>
      <c r="I7" s="120"/>
      <c r="J7" s="121"/>
      <c r="K7" s="59"/>
      <c r="L7" s="58"/>
    </row>
    <row r="8" spans="1:13" ht="5.0999999999999996" customHeight="1">
      <c r="A8" s="59"/>
      <c r="B8" s="60"/>
      <c r="C8" s="60"/>
      <c r="D8" s="63"/>
      <c r="E8" s="63"/>
      <c r="F8" s="63"/>
      <c r="G8" s="63"/>
      <c r="H8" s="63"/>
      <c r="I8" s="63"/>
      <c r="J8" s="59"/>
      <c r="K8" s="59"/>
      <c r="L8" s="58"/>
    </row>
    <row r="9" spans="1:13" ht="20.100000000000001" customHeight="1">
      <c r="A9" s="59"/>
      <c r="B9" s="60" t="s">
        <v>5</v>
      </c>
      <c r="C9" s="119"/>
      <c r="D9" s="120"/>
      <c r="E9" s="121"/>
      <c r="F9" s="61"/>
      <c r="G9" s="61" t="s">
        <v>48</v>
      </c>
      <c r="H9" s="119"/>
      <c r="I9" s="120"/>
      <c r="J9" s="121"/>
      <c r="K9" s="59"/>
      <c r="L9" s="58"/>
    </row>
    <row r="10" spans="1:13" ht="5.0999999999999996" customHeight="1">
      <c r="A10" s="59"/>
      <c r="B10" s="65"/>
      <c r="C10" s="65"/>
      <c r="D10" s="66"/>
      <c r="E10" s="66"/>
      <c r="F10" s="66"/>
      <c r="G10" s="67"/>
      <c r="H10" s="67"/>
      <c r="I10" s="65"/>
      <c r="J10" s="68"/>
      <c r="K10" s="59"/>
      <c r="L10" s="58"/>
    </row>
    <row r="11" spans="1:13" ht="15" customHeight="1">
      <c r="A11" s="69"/>
      <c r="B11" s="70" t="s">
        <v>86</v>
      </c>
      <c r="C11" s="71" t="s">
        <v>6</v>
      </c>
      <c r="D11" s="71" t="s">
        <v>8</v>
      </c>
      <c r="E11" s="72" t="s">
        <v>7</v>
      </c>
      <c r="F11" s="73"/>
      <c r="G11" s="74" t="s">
        <v>78</v>
      </c>
      <c r="H11" s="71" t="s">
        <v>6</v>
      </c>
      <c r="I11" s="71" t="s">
        <v>8</v>
      </c>
      <c r="J11" s="72" t="s">
        <v>7</v>
      </c>
      <c r="K11" s="54"/>
    </row>
    <row r="12" spans="1:13" ht="15" customHeight="1">
      <c r="A12" s="69"/>
      <c r="B12" s="49" t="s">
        <v>84</v>
      </c>
      <c r="C12" s="48"/>
      <c r="D12" s="51">
        <v>32</v>
      </c>
      <c r="E12" s="52">
        <f>C12*D12</f>
        <v>0</v>
      </c>
      <c r="F12" s="75"/>
      <c r="G12" s="50" t="s">
        <v>84</v>
      </c>
      <c r="H12" s="48"/>
      <c r="I12" s="51">
        <v>28</v>
      </c>
      <c r="J12" s="52">
        <f>H12*I12</f>
        <v>0</v>
      </c>
      <c r="K12" s="54"/>
    </row>
    <row r="13" spans="1:13" ht="15" customHeight="1">
      <c r="A13" s="76"/>
      <c r="B13" s="77" t="s">
        <v>75</v>
      </c>
      <c r="C13" s="78"/>
      <c r="D13" s="78">
        <v>67</v>
      </c>
      <c r="E13" s="78">
        <f>C13*D13</f>
        <v>0</v>
      </c>
      <c r="F13" s="79"/>
      <c r="G13" s="80" t="s">
        <v>75</v>
      </c>
      <c r="H13" s="48"/>
      <c r="I13" s="78">
        <v>70</v>
      </c>
      <c r="J13" s="78">
        <f>H13*I13</f>
        <v>0</v>
      </c>
      <c r="K13" s="81"/>
    </row>
    <row r="14" spans="1:13" ht="15" customHeight="1">
      <c r="A14" s="76"/>
      <c r="B14" s="77" t="s">
        <v>74</v>
      </c>
      <c r="C14" s="78"/>
      <c r="D14" s="78">
        <v>126</v>
      </c>
      <c r="E14" s="78">
        <f t="shared" ref="E14:E19" si="0">C14*D14</f>
        <v>0</v>
      </c>
      <c r="F14" s="79"/>
      <c r="G14" s="80" t="s">
        <v>74</v>
      </c>
      <c r="H14" s="48"/>
      <c r="I14" s="78">
        <f>66*2</f>
        <v>132</v>
      </c>
      <c r="J14" s="78">
        <f t="shared" ref="J14:J19" si="1">H14*I14</f>
        <v>0</v>
      </c>
      <c r="K14" s="81"/>
    </row>
    <row r="15" spans="1:13" ht="15" customHeight="1">
      <c r="A15" s="76"/>
      <c r="B15" s="77" t="s">
        <v>73</v>
      </c>
      <c r="C15" s="78"/>
      <c r="D15" s="78">
        <v>165</v>
      </c>
      <c r="E15" s="78">
        <f t="shared" si="0"/>
        <v>0</v>
      </c>
      <c r="F15" s="79"/>
      <c r="G15" s="80" t="s">
        <v>73</v>
      </c>
      <c r="H15" s="48"/>
      <c r="I15" s="78">
        <f>60*3</f>
        <v>180</v>
      </c>
      <c r="J15" s="78">
        <f t="shared" si="1"/>
        <v>0</v>
      </c>
      <c r="K15" s="81"/>
    </row>
    <row r="16" spans="1:13" ht="15" customHeight="1">
      <c r="A16" s="76"/>
      <c r="B16" s="77" t="s">
        <v>71</v>
      </c>
      <c r="C16" s="78"/>
      <c r="D16" s="78">
        <v>220</v>
      </c>
      <c r="E16" s="78">
        <f t="shared" si="0"/>
        <v>0</v>
      </c>
      <c r="F16" s="79"/>
      <c r="G16" s="80" t="s">
        <v>71</v>
      </c>
      <c r="H16" s="48"/>
      <c r="I16" s="78">
        <f>58*4</f>
        <v>232</v>
      </c>
      <c r="J16" s="78">
        <f t="shared" si="1"/>
        <v>0</v>
      </c>
      <c r="K16" s="81"/>
    </row>
    <row r="17" spans="1:13" ht="15" customHeight="1">
      <c r="A17" s="76"/>
      <c r="B17" s="82" t="s">
        <v>72</v>
      </c>
      <c r="C17" s="83"/>
      <c r="D17" s="83">
        <v>275</v>
      </c>
      <c r="E17" s="78">
        <f t="shared" si="0"/>
        <v>0</v>
      </c>
      <c r="F17" s="79"/>
      <c r="G17" s="84" t="s">
        <v>72</v>
      </c>
      <c r="H17" s="48"/>
      <c r="I17" s="83">
        <f>57*5</f>
        <v>285</v>
      </c>
      <c r="J17" s="78">
        <f t="shared" si="1"/>
        <v>0</v>
      </c>
      <c r="K17" s="81"/>
    </row>
    <row r="18" spans="1:13" ht="15" customHeight="1">
      <c r="A18" s="76"/>
      <c r="B18" s="82" t="s">
        <v>76</v>
      </c>
      <c r="C18" s="83"/>
      <c r="D18" s="83">
        <v>330</v>
      </c>
      <c r="E18" s="78">
        <f t="shared" si="0"/>
        <v>0</v>
      </c>
      <c r="F18" s="79"/>
      <c r="G18" s="84" t="s">
        <v>76</v>
      </c>
      <c r="H18" s="48"/>
      <c r="I18" s="83">
        <f>55*6</f>
        <v>330</v>
      </c>
      <c r="J18" s="78">
        <f t="shared" si="1"/>
        <v>0</v>
      </c>
      <c r="K18" s="81"/>
    </row>
    <row r="19" spans="1:13" ht="15" customHeight="1">
      <c r="A19" s="76"/>
      <c r="B19" s="77" t="s">
        <v>77</v>
      </c>
      <c r="C19" s="78"/>
      <c r="D19" s="78">
        <v>385</v>
      </c>
      <c r="E19" s="78">
        <f t="shared" si="0"/>
        <v>0</v>
      </c>
      <c r="F19" s="79"/>
      <c r="G19" s="80" t="s">
        <v>77</v>
      </c>
      <c r="H19" s="48"/>
      <c r="I19" s="78">
        <f>55*7</f>
        <v>385</v>
      </c>
      <c r="J19" s="78">
        <f t="shared" si="1"/>
        <v>0</v>
      </c>
      <c r="K19" s="81"/>
    </row>
    <row r="20" spans="1:13" ht="5.0999999999999996" customHeight="1">
      <c r="A20" s="76"/>
      <c r="B20" s="85"/>
      <c r="C20" s="85"/>
      <c r="D20" s="85"/>
      <c r="E20" s="85"/>
      <c r="F20" s="79"/>
      <c r="G20" s="59"/>
      <c r="H20" s="59"/>
      <c r="I20" s="86"/>
      <c r="J20" s="86"/>
      <c r="K20" s="81"/>
    </row>
    <row r="21" spans="1:13" ht="15" customHeight="1">
      <c r="A21" s="76"/>
      <c r="B21" s="70" t="s">
        <v>70</v>
      </c>
      <c r="C21" s="71" t="s">
        <v>6</v>
      </c>
      <c r="D21" s="71" t="s">
        <v>8</v>
      </c>
      <c r="E21" s="72" t="s">
        <v>7</v>
      </c>
      <c r="F21" s="73"/>
      <c r="G21" s="70" t="s">
        <v>79</v>
      </c>
      <c r="H21" s="71" t="s">
        <v>6</v>
      </c>
      <c r="I21" s="71" t="s">
        <v>8</v>
      </c>
      <c r="J21" s="72" t="s">
        <v>7</v>
      </c>
      <c r="K21" s="81"/>
    </row>
    <row r="22" spans="1:13" ht="15" customHeight="1">
      <c r="A22" s="76"/>
      <c r="B22" s="49" t="s">
        <v>84</v>
      </c>
      <c r="C22" s="48"/>
      <c r="D22" s="51">
        <v>32</v>
      </c>
      <c r="E22" s="52">
        <f>C22*D22</f>
        <v>0</v>
      </c>
      <c r="F22" s="75"/>
      <c r="G22" s="49" t="s">
        <v>84</v>
      </c>
      <c r="H22" s="48"/>
      <c r="I22" s="51">
        <v>28</v>
      </c>
      <c r="J22" s="52">
        <f>H22*I22</f>
        <v>0</v>
      </c>
      <c r="K22" s="81"/>
    </row>
    <row r="23" spans="1:13" ht="15" customHeight="1">
      <c r="A23" s="76"/>
      <c r="B23" s="77" t="s">
        <v>75</v>
      </c>
      <c r="C23" s="78"/>
      <c r="D23" s="78">
        <v>79</v>
      </c>
      <c r="E23" s="78">
        <f>C23*D23</f>
        <v>0</v>
      </c>
      <c r="F23" s="79"/>
      <c r="G23" s="77" t="s">
        <v>75</v>
      </c>
      <c r="H23" s="48"/>
      <c r="I23" s="78">
        <v>70</v>
      </c>
      <c r="J23" s="52">
        <f t="shared" ref="J23:J29" si="2">H23*I23</f>
        <v>0</v>
      </c>
      <c r="K23" s="81"/>
    </row>
    <row r="24" spans="1:13" ht="15" customHeight="1">
      <c r="A24" s="76"/>
      <c r="B24" s="77" t="s">
        <v>74</v>
      </c>
      <c r="C24" s="78"/>
      <c r="D24" s="78">
        <f>77*2</f>
        <v>154</v>
      </c>
      <c r="E24" s="78">
        <f t="shared" ref="E24:E29" si="3">C24*D24</f>
        <v>0</v>
      </c>
      <c r="F24" s="79"/>
      <c r="G24" s="77" t="s">
        <v>74</v>
      </c>
      <c r="H24" s="48"/>
      <c r="I24" s="78">
        <f>66*2</f>
        <v>132</v>
      </c>
      <c r="J24" s="52">
        <f t="shared" si="2"/>
        <v>0</v>
      </c>
      <c r="K24" s="81"/>
    </row>
    <row r="25" spans="1:13" ht="15" customHeight="1">
      <c r="A25" s="76"/>
      <c r="B25" s="77" t="s">
        <v>73</v>
      </c>
      <c r="C25" s="78"/>
      <c r="D25" s="78">
        <f>77*3</f>
        <v>231</v>
      </c>
      <c r="E25" s="78">
        <f t="shared" si="3"/>
        <v>0</v>
      </c>
      <c r="F25" s="79"/>
      <c r="G25" s="77" t="s">
        <v>73</v>
      </c>
      <c r="H25" s="48"/>
      <c r="I25" s="78">
        <f>60*3</f>
        <v>180</v>
      </c>
      <c r="J25" s="52">
        <f t="shared" si="2"/>
        <v>0</v>
      </c>
      <c r="K25" s="86"/>
    </row>
    <row r="26" spans="1:13" ht="15" customHeight="1">
      <c r="A26" s="69"/>
      <c r="B26" s="77" t="s">
        <v>71</v>
      </c>
      <c r="C26" s="78"/>
      <c r="D26" s="78">
        <f>75*4</f>
        <v>300</v>
      </c>
      <c r="E26" s="78">
        <f t="shared" si="3"/>
        <v>0</v>
      </c>
      <c r="F26" s="79"/>
      <c r="G26" s="77" t="s">
        <v>71</v>
      </c>
      <c r="H26" s="48"/>
      <c r="I26" s="78">
        <f>58*4</f>
        <v>232</v>
      </c>
      <c r="J26" s="52">
        <f t="shared" si="2"/>
        <v>0</v>
      </c>
      <c r="K26" s="54"/>
    </row>
    <row r="27" spans="1:13" ht="15" customHeight="1">
      <c r="A27" s="69"/>
      <c r="B27" s="82" t="s">
        <v>72</v>
      </c>
      <c r="C27" s="83"/>
      <c r="D27" s="83">
        <f>71*5</f>
        <v>355</v>
      </c>
      <c r="E27" s="78">
        <f t="shared" si="3"/>
        <v>0</v>
      </c>
      <c r="F27" s="79"/>
      <c r="G27" s="82" t="s">
        <v>72</v>
      </c>
      <c r="H27" s="48"/>
      <c r="I27" s="83">
        <f>57*5</f>
        <v>285</v>
      </c>
      <c r="J27" s="52">
        <f t="shared" si="2"/>
        <v>0</v>
      </c>
      <c r="K27" s="81"/>
      <c r="L27" s="132"/>
      <c r="M27" s="132"/>
    </row>
    <row r="28" spans="1:13" ht="15" customHeight="1">
      <c r="A28" s="69"/>
      <c r="B28" s="82" t="s">
        <v>76</v>
      </c>
      <c r="C28" s="83"/>
      <c r="D28" s="83">
        <f>63*6</f>
        <v>378</v>
      </c>
      <c r="E28" s="78">
        <f t="shared" si="3"/>
        <v>0</v>
      </c>
      <c r="F28" s="79"/>
      <c r="G28" s="82" t="s">
        <v>76</v>
      </c>
      <c r="H28" s="48"/>
      <c r="I28" s="83">
        <f>55*6</f>
        <v>330</v>
      </c>
      <c r="J28" s="52">
        <f t="shared" si="2"/>
        <v>0</v>
      </c>
      <c r="K28" s="81"/>
      <c r="L28" s="132"/>
      <c r="M28" s="132"/>
    </row>
    <row r="29" spans="1:13" ht="15" customHeight="1">
      <c r="A29" s="69"/>
      <c r="B29" s="77" t="s">
        <v>77</v>
      </c>
      <c r="C29" s="78"/>
      <c r="D29" s="78">
        <f>59*7</f>
        <v>413</v>
      </c>
      <c r="E29" s="78">
        <f t="shared" si="3"/>
        <v>0</v>
      </c>
      <c r="F29" s="79"/>
      <c r="G29" s="77" t="s">
        <v>77</v>
      </c>
      <c r="H29" s="48"/>
      <c r="I29" s="78">
        <f>55*7</f>
        <v>385</v>
      </c>
      <c r="J29" s="52">
        <f t="shared" si="2"/>
        <v>0</v>
      </c>
      <c r="K29" s="81"/>
      <c r="L29" s="132"/>
      <c r="M29" s="132"/>
    </row>
    <row r="30" spans="1:13" ht="5.0999999999999996" customHeight="1">
      <c r="A30" s="69"/>
      <c r="B30" s="85"/>
      <c r="C30" s="59"/>
      <c r="D30" s="86"/>
      <c r="E30" s="86"/>
      <c r="F30" s="79"/>
      <c r="G30" s="85"/>
      <c r="H30" s="59"/>
      <c r="I30" s="86"/>
      <c r="J30" s="86"/>
      <c r="K30" s="81"/>
      <c r="L30" s="87"/>
      <c r="M30" s="87"/>
    </row>
    <row r="31" spans="1:13" ht="15" customHeight="1">
      <c r="A31" s="69"/>
      <c r="B31" s="88" t="s">
        <v>80</v>
      </c>
      <c r="C31" s="89"/>
      <c r="D31" s="89"/>
      <c r="E31" s="89"/>
      <c r="F31" s="89"/>
      <c r="G31" s="90" t="s">
        <v>82</v>
      </c>
      <c r="H31" s="91" t="s">
        <v>6</v>
      </c>
      <c r="I31" s="91" t="s">
        <v>8</v>
      </c>
      <c r="J31" s="92" t="s">
        <v>7</v>
      </c>
      <c r="K31" s="81"/>
      <c r="L31" s="87"/>
      <c r="M31" s="87"/>
    </row>
    <row r="32" spans="1:13" ht="15" customHeight="1">
      <c r="A32" s="69"/>
      <c r="B32" s="112" t="s">
        <v>9</v>
      </c>
      <c r="C32" s="125"/>
      <c r="D32" s="125"/>
      <c r="E32" s="125"/>
      <c r="F32" s="126"/>
      <c r="G32" s="47"/>
      <c r="H32" s="48"/>
      <c r="I32" s="51">
        <v>35</v>
      </c>
      <c r="J32" s="52">
        <f>H32*I32</f>
        <v>0</v>
      </c>
      <c r="K32" s="81"/>
      <c r="L32" s="87"/>
      <c r="M32" s="87"/>
    </row>
    <row r="33" spans="1:13" ht="15" customHeight="1">
      <c r="A33" s="69"/>
      <c r="B33" s="112" t="s">
        <v>10</v>
      </c>
      <c r="C33" s="125"/>
      <c r="D33" s="125"/>
      <c r="E33" s="125"/>
      <c r="F33" s="126"/>
      <c r="G33" s="47"/>
      <c r="H33" s="48"/>
      <c r="I33" s="51">
        <v>40</v>
      </c>
      <c r="J33" s="52">
        <f t="shared" ref="J33:J39" si="4">H33*I33</f>
        <v>0</v>
      </c>
      <c r="K33" s="81"/>
      <c r="L33" s="87"/>
      <c r="M33" s="87"/>
    </row>
    <row r="34" spans="1:13" ht="15" customHeight="1">
      <c r="A34" s="69"/>
      <c r="B34" s="112" t="s">
        <v>11</v>
      </c>
      <c r="C34" s="113"/>
      <c r="D34" s="113"/>
      <c r="E34" s="113"/>
      <c r="F34" s="114"/>
      <c r="G34" s="47"/>
      <c r="H34" s="48"/>
      <c r="I34" s="51">
        <v>43</v>
      </c>
      <c r="J34" s="52">
        <f t="shared" si="4"/>
        <v>0</v>
      </c>
      <c r="K34" s="81"/>
      <c r="L34" s="87"/>
      <c r="M34" s="87"/>
    </row>
    <row r="35" spans="1:13" ht="15" customHeight="1">
      <c r="A35" s="69"/>
      <c r="B35" s="112" t="s">
        <v>12</v>
      </c>
      <c r="C35" s="113"/>
      <c r="D35" s="113"/>
      <c r="E35" s="113"/>
      <c r="F35" s="114"/>
      <c r="G35" s="46"/>
      <c r="H35" s="53"/>
      <c r="I35" s="52">
        <v>35</v>
      </c>
      <c r="J35" s="52">
        <f t="shared" si="4"/>
        <v>0</v>
      </c>
      <c r="K35" s="81"/>
      <c r="L35" s="132"/>
      <c r="M35" s="132"/>
    </row>
    <row r="36" spans="1:13" ht="15" customHeight="1">
      <c r="A36" s="69"/>
      <c r="B36" s="112" t="s">
        <v>88</v>
      </c>
      <c r="C36" s="113"/>
      <c r="D36" s="113"/>
      <c r="E36" s="113"/>
      <c r="F36" s="114"/>
      <c r="G36" s="46"/>
      <c r="H36" s="53"/>
      <c r="I36" s="52">
        <v>43</v>
      </c>
      <c r="J36" s="52">
        <f t="shared" si="4"/>
        <v>0</v>
      </c>
      <c r="K36" s="81"/>
      <c r="L36" s="132"/>
      <c r="M36" s="132"/>
    </row>
    <row r="37" spans="1:13" ht="15" customHeight="1">
      <c r="A37" s="69"/>
      <c r="B37" s="112" t="s">
        <v>13</v>
      </c>
      <c r="C37" s="113"/>
      <c r="D37" s="113"/>
      <c r="E37" s="113"/>
      <c r="F37" s="114"/>
      <c r="G37" s="46"/>
      <c r="H37" s="53"/>
      <c r="I37" s="52">
        <v>20</v>
      </c>
      <c r="J37" s="52">
        <f t="shared" si="4"/>
        <v>0</v>
      </c>
      <c r="K37" s="81"/>
      <c r="L37" s="132"/>
      <c r="M37" s="132"/>
    </row>
    <row r="38" spans="1:13" ht="15" customHeight="1">
      <c r="A38" s="69"/>
      <c r="B38" s="112" t="s">
        <v>14</v>
      </c>
      <c r="C38" s="113"/>
      <c r="D38" s="113"/>
      <c r="E38" s="113"/>
      <c r="F38" s="114"/>
      <c r="G38" s="46"/>
      <c r="H38" s="53"/>
      <c r="I38" s="52">
        <v>20</v>
      </c>
      <c r="J38" s="52">
        <f t="shared" si="4"/>
        <v>0</v>
      </c>
      <c r="K38" s="81"/>
      <c r="L38" s="132"/>
      <c r="M38" s="132"/>
    </row>
    <row r="39" spans="1:13" ht="15" customHeight="1">
      <c r="A39" s="69"/>
      <c r="B39" s="112" t="s">
        <v>85</v>
      </c>
      <c r="C39" s="113"/>
      <c r="D39" s="113"/>
      <c r="E39" s="113"/>
      <c r="F39" s="114"/>
      <c r="G39" s="46"/>
      <c r="H39" s="53"/>
      <c r="I39" s="52">
        <v>8</v>
      </c>
      <c r="J39" s="52">
        <f t="shared" si="4"/>
        <v>0</v>
      </c>
      <c r="K39" s="81"/>
      <c r="L39" s="87"/>
      <c r="M39" s="87"/>
    </row>
    <row r="40" spans="1:13" ht="5.0999999999999996" customHeight="1">
      <c r="A40" s="69"/>
      <c r="B40" s="93"/>
      <c r="C40" s="93"/>
      <c r="D40" s="93"/>
      <c r="E40" s="93"/>
      <c r="F40" s="79"/>
      <c r="G40" s="94"/>
      <c r="H40" s="85"/>
      <c r="I40" s="86"/>
      <c r="J40" s="86"/>
      <c r="K40" s="86"/>
      <c r="L40" s="87"/>
      <c r="M40" s="87"/>
    </row>
    <row r="41" spans="1:13" ht="15" customHeight="1">
      <c r="A41" s="69"/>
      <c r="B41" s="129" t="s">
        <v>63</v>
      </c>
      <c r="C41" s="130"/>
      <c r="D41" s="130"/>
      <c r="E41" s="131"/>
      <c r="F41" s="95"/>
      <c r="G41" s="90" t="s">
        <v>81</v>
      </c>
      <c r="H41" s="91" t="s">
        <v>6</v>
      </c>
      <c r="I41" s="96" t="s">
        <v>8</v>
      </c>
      <c r="J41" s="97" t="s">
        <v>7</v>
      </c>
      <c r="K41" s="54"/>
      <c r="L41" s="87"/>
      <c r="M41" s="87"/>
    </row>
    <row r="42" spans="1:13" ht="15" customHeight="1">
      <c r="A42" s="69"/>
      <c r="B42" s="115" t="s">
        <v>89</v>
      </c>
      <c r="C42" s="116"/>
      <c r="D42" s="116"/>
      <c r="E42" s="116"/>
      <c r="F42" s="117"/>
      <c r="G42" s="98"/>
      <c r="H42" s="99"/>
      <c r="I42" s="100">
        <v>132</v>
      </c>
      <c r="J42" s="101">
        <f>H42*I42</f>
        <v>0</v>
      </c>
      <c r="K42" s="54"/>
      <c r="L42" s="87"/>
      <c r="M42" s="87"/>
    </row>
    <row r="43" spans="1:13" ht="15" customHeight="1">
      <c r="A43" s="69"/>
      <c r="B43" s="115" t="s">
        <v>90</v>
      </c>
      <c r="C43" s="116"/>
      <c r="D43" s="116"/>
      <c r="E43" s="116"/>
      <c r="F43" s="117"/>
      <c r="G43" s="98"/>
      <c r="H43" s="99"/>
      <c r="I43" s="100">
        <v>106</v>
      </c>
      <c r="J43" s="101">
        <f>H43*I43</f>
        <v>0</v>
      </c>
      <c r="K43" s="54"/>
      <c r="L43" s="87"/>
      <c r="M43" s="87"/>
    </row>
    <row r="44" spans="1:13" ht="15" customHeight="1">
      <c r="A44" s="69"/>
      <c r="B44" s="115" t="s">
        <v>65</v>
      </c>
      <c r="C44" s="116"/>
      <c r="D44" s="116"/>
      <c r="E44" s="116"/>
      <c r="F44" s="117"/>
      <c r="G44" s="98"/>
      <c r="H44" s="99"/>
      <c r="I44" s="100">
        <v>89</v>
      </c>
      <c r="J44" s="101">
        <f t="shared" ref="J44:J45" si="5">H44*I44</f>
        <v>0</v>
      </c>
      <c r="K44" s="54"/>
      <c r="L44" s="87"/>
      <c r="M44" s="87"/>
    </row>
    <row r="45" spans="1:13" ht="15" customHeight="1">
      <c r="A45" s="69"/>
      <c r="B45" s="115" t="s">
        <v>66</v>
      </c>
      <c r="C45" s="116"/>
      <c r="D45" s="116"/>
      <c r="E45" s="116"/>
      <c r="F45" s="117"/>
      <c r="G45" s="98"/>
      <c r="H45" s="99"/>
      <c r="I45" s="100">
        <v>149</v>
      </c>
      <c r="J45" s="101">
        <f t="shared" si="5"/>
        <v>0</v>
      </c>
      <c r="K45" s="54"/>
      <c r="L45" s="87"/>
      <c r="M45" s="87"/>
    </row>
    <row r="46" spans="1:13" ht="5.0999999999999996" customHeight="1">
      <c r="A46" s="69"/>
      <c r="B46" s="102"/>
      <c r="C46" s="102"/>
      <c r="D46" s="102"/>
      <c r="E46" s="102"/>
      <c r="F46" s="102"/>
      <c r="G46" s="94"/>
      <c r="H46" s="59"/>
      <c r="I46" s="86"/>
      <c r="J46" s="86"/>
      <c r="K46" s="54"/>
      <c r="L46" s="87"/>
      <c r="M46" s="87"/>
    </row>
    <row r="47" spans="1:13" ht="15" customHeight="1">
      <c r="A47" s="69"/>
      <c r="B47" s="129" t="s">
        <v>62</v>
      </c>
      <c r="C47" s="130"/>
      <c r="D47" s="130"/>
      <c r="E47" s="131"/>
      <c r="F47" s="95"/>
      <c r="G47" s="90" t="s">
        <v>81</v>
      </c>
      <c r="H47" s="91" t="s">
        <v>6</v>
      </c>
      <c r="I47" s="96" t="s">
        <v>8</v>
      </c>
      <c r="J47" s="97" t="s">
        <v>7</v>
      </c>
      <c r="K47" s="54"/>
      <c r="L47" s="87"/>
      <c r="M47" s="87"/>
    </row>
    <row r="48" spans="1:13" ht="15" customHeight="1">
      <c r="A48" s="69"/>
      <c r="B48" s="115" t="s">
        <v>91</v>
      </c>
      <c r="C48" s="116"/>
      <c r="D48" s="116"/>
      <c r="E48" s="116"/>
      <c r="F48" s="117"/>
      <c r="G48" s="98"/>
      <c r="H48" s="99"/>
      <c r="I48" s="100">
        <v>132</v>
      </c>
      <c r="J48" s="101">
        <f>H48*I48</f>
        <v>0</v>
      </c>
      <c r="K48" s="81"/>
    </row>
    <row r="49" spans="1:11" ht="15" customHeight="1">
      <c r="A49" s="69"/>
      <c r="B49" s="115" t="s">
        <v>92</v>
      </c>
      <c r="C49" s="116"/>
      <c r="D49" s="116"/>
      <c r="E49" s="116"/>
      <c r="F49" s="117"/>
      <c r="G49" s="98"/>
      <c r="H49" s="99"/>
      <c r="I49" s="100">
        <v>106</v>
      </c>
      <c r="J49" s="101">
        <f t="shared" ref="J49:J51" si="6">H49*I49</f>
        <v>0</v>
      </c>
      <c r="K49" s="81"/>
    </row>
    <row r="50" spans="1:11" ht="15" customHeight="1">
      <c r="A50" s="69"/>
      <c r="B50" s="115" t="s">
        <v>67</v>
      </c>
      <c r="C50" s="116"/>
      <c r="D50" s="116"/>
      <c r="E50" s="116"/>
      <c r="F50" s="117"/>
      <c r="G50" s="98"/>
      <c r="H50" s="99"/>
      <c r="I50" s="100">
        <v>89</v>
      </c>
      <c r="J50" s="101">
        <f t="shared" si="6"/>
        <v>0</v>
      </c>
      <c r="K50" s="81"/>
    </row>
    <row r="51" spans="1:11" ht="15" customHeight="1">
      <c r="A51" s="69"/>
      <c r="B51" s="115" t="s">
        <v>68</v>
      </c>
      <c r="C51" s="116"/>
      <c r="D51" s="116"/>
      <c r="E51" s="116"/>
      <c r="F51" s="117"/>
      <c r="G51" s="98"/>
      <c r="H51" s="99"/>
      <c r="I51" s="100">
        <v>149</v>
      </c>
      <c r="J51" s="101">
        <f t="shared" si="6"/>
        <v>0</v>
      </c>
      <c r="K51" s="81"/>
    </row>
    <row r="52" spans="1:11" ht="5.0999999999999996" customHeight="1">
      <c r="A52" s="69"/>
      <c r="B52" s="93"/>
      <c r="C52" s="93"/>
      <c r="D52" s="93"/>
      <c r="E52" s="93"/>
      <c r="F52" s="93"/>
      <c r="G52" s="94"/>
      <c r="H52" s="59"/>
      <c r="I52" s="86"/>
      <c r="J52" s="86"/>
      <c r="K52" s="86"/>
    </row>
    <row r="53" spans="1:11" ht="15" customHeight="1">
      <c r="A53" s="69"/>
      <c r="B53" s="129" t="s">
        <v>16</v>
      </c>
      <c r="C53" s="130"/>
      <c r="D53" s="130"/>
      <c r="E53" s="130"/>
      <c r="F53" s="131"/>
      <c r="G53" s="103" t="s">
        <v>83</v>
      </c>
      <c r="H53" s="91" t="s">
        <v>6</v>
      </c>
      <c r="I53" s="71" t="s">
        <v>8</v>
      </c>
      <c r="J53" s="72" t="s">
        <v>7</v>
      </c>
      <c r="K53" s="54"/>
    </row>
    <row r="54" spans="1:11" ht="15" customHeight="1">
      <c r="A54" s="69"/>
      <c r="B54" s="115" t="s">
        <v>15</v>
      </c>
      <c r="C54" s="127"/>
      <c r="D54" s="127"/>
      <c r="E54" s="127"/>
      <c r="F54" s="128"/>
      <c r="G54" s="98"/>
      <c r="H54" s="98"/>
      <c r="I54" s="101">
        <v>15</v>
      </c>
      <c r="J54" s="101">
        <f>H54*I54</f>
        <v>0</v>
      </c>
      <c r="K54" s="81"/>
    </row>
    <row r="55" spans="1:11" ht="9.75" customHeight="1">
      <c r="A55" s="69"/>
      <c r="B55" s="93"/>
      <c r="C55" s="93"/>
      <c r="D55" s="93"/>
      <c r="E55" s="93"/>
      <c r="F55" s="93"/>
      <c r="G55" s="59"/>
      <c r="H55" s="59"/>
      <c r="I55" s="86"/>
      <c r="J55" s="86"/>
      <c r="K55" s="81"/>
    </row>
    <row r="56" spans="1:11" ht="20.100000000000001" customHeight="1">
      <c r="A56" s="69"/>
      <c r="B56" s="54"/>
      <c r="C56" s="54"/>
      <c r="D56" s="54"/>
      <c r="E56" s="54"/>
      <c r="F56" s="54"/>
      <c r="G56" s="54"/>
      <c r="H56" s="108" t="s">
        <v>64</v>
      </c>
      <c r="I56" s="109"/>
      <c r="J56" s="104">
        <f>J54+J51+J50+J49+J48+J45+J44+J43+J42+J39+J38+J37+J36+J35+J34+J33+J32+J29+J28+J27+J26+J25+J24+J23+J22+J19+J18+J17+J16+J15+J13+J12+J14+E29+E28+E27+E26+E25+E24+E23+E22+E19+E18+E17+E16+E15+E14+E13+E12</f>
        <v>0</v>
      </c>
      <c r="K56" s="81"/>
    </row>
    <row r="57" spans="1:11" s="105" customFormat="1" ht="6.75" customHeight="1">
      <c r="A57" s="118"/>
      <c r="B57" s="118"/>
      <c r="C57" s="118"/>
      <c r="D57" s="118"/>
      <c r="E57" s="118"/>
      <c r="F57" s="118"/>
      <c r="G57" s="118"/>
      <c r="H57" s="118"/>
      <c r="I57" s="118"/>
      <c r="J57" s="118"/>
      <c r="K57" s="118"/>
    </row>
    <row r="58" spans="1:11" ht="15" customHeight="1">
      <c r="A58" s="106"/>
    </row>
    <row r="59" spans="1:11">
      <c r="A59" s="106"/>
    </row>
    <row r="60" spans="1:11">
      <c r="A60" s="106"/>
    </row>
    <row r="61" spans="1:11">
      <c r="A61" s="106"/>
    </row>
    <row r="62" spans="1:11">
      <c r="A62" s="106"/>
    </row>
    <row r="63" spans="1:11">
      <c r="A63" s="106"/>
    </row>
    <row r="64" spans="1:11">
      <c r="A64" s="106"/>
    </row>
    <row r="65" spans="1:1">
      <c r="A65" s="106"/>
    </row>
  </sheetData>
  <customSheetViews>
    <customSheetView guid="{B7A94201-9826-4DEC-93A1-50A981D3DD66}" showPageBreaks="1" fitToPage="1">
      <selection activeCell="B11" sqref="B11:I50"/>
      <pageMargins left="0.45" right="0.45" top="0.75" bottom="0.75" header="0.3" footer="0.3"/>
      <pageSetup scale="75" orientation="portrait"/>
    </customSheetView>
  </customSheetViews>
  <mergeCells count="39">
    <mergeCell ref="L37:M37"/>
    <mergeCell ref="L38:M38"/>
    <mergeCell ref="B41:E41"/>
    <mergeCell ref="B47:E47"/>
    <mergeCell ref="B43:F43"/>
    <mergeCell ref="B44:F44"/>
    <mergeCell ref="B38:F38"/>
    <mergeCell ref="B42:F42"/>
    <mergeCell ref="B37:F37"/>
    <mergeCell ref="B45:F45"/>
    <mergeCell ref="L27:M27"/>
    <mergeCell ref="L28:M28"/>
    <mergeCell ref="L29:M29"/>
    <mergeCell ref="L35:M35"/>
    <mergeCell ref="L36:M36"/>
    <mergeCell ref="A57:K57"/>
    <mergeCell ref="C3:E3"/>
    <mergeCell ref="C5:E5"/>
    <mergeCell ref="C7:E7"/>
    <mergeCell ref="C9:E9"/>
    <mergeCell ref="H3:J3"/>
    <mergeCell ref="H5:J5"/>
    <mergeCell ref="H7:J7"/>
    <mergeCell ref="H9:J9"/>
    <mergeCell ref="B32:F32"/>
    <mergeCell ref="B33:F33"/>
    <mergeCell ref="B34:F34"/>
    <mergeCell ref="B35:F35"/>
    <mergeCell ref="B36:F36"/>
    <mergeCell ref="B54:F54"/>
    <mergeCell ref="B53:F53"/>
    <mergeCell ref="H56:I56"/>
    <mergeCell ref="B1:J1"/>
    <mergeCell ref="A2:K2"/>
    <mergeCell ref="B39:F39"/>
    <mergeCell ref="B48:F48"/>
    <mergeCell ref="B49:F49"/>
    <mergeCell ref="B50:F50"/>
    <mergeCell ref="B51:F51"/>
  </mergeCells>
  <printOptions horizontalCentered="1" verticalCentered="1"/>
  <pageMargins left="0.2" right="0.2" top="0.2" bottom="0.2" header="0.2" footer="0.2"/>
  <pageSetup scale="86" orientation="portrait" r:id="rId1"/>
  <drawing r:id="rId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8.7109375" defaultRowHeight="15"/>
  <sheetData/>
  <customSheetViews>
    <customSheetView guid="{B7A94201-9826-4DEC-93A1-50A981D3DD66}" state="hidden">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ColWidth="8.7109375" defaultRowHeight="15"/>
  <sheetData/>
  <customSheetViews>
    <customSheetView guid="{B7A94201-9826-4DEC-93A1-50A981D3DD66}" state="hidden">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sheetPr>
    <pageSetUpPr fitToPage="1"/>
  </sheetPr>
  <dimension ref="A1:K50"/>
  <sheetViews>
    <sheetView showGridLines="0" showRowColHeaders="0" zoomScaleNormal="100" workbookViewId="0">
      <selection activeCell="J40" sqref="J40"/>
    </sheetView>
  </sheetViews>
  <sheetFormatPr defaultColWidth="8.7109375" defaultRowHeight="15"/>
  <cols>
    <col min="1" max="1" width="2.28515625" style="22" customWidth="1"/>
    <col min="2" max="2" width="16.5703125" customWidth="1"/>
    <col min="3" max="3" width="32" customWidth="1"/>
    <col min="4" max="4" width="12.85546875" customWidth="1"/>
    <col min="5" max="5" width="3.7109375" customWidth="1"/>
    <col min="6" max="8" width="15.85546875" customWidth="1"/>
    <col min="9" max="9" width="2.28515625" customWidth="1"/>
    <col min="10" max="10" width="10.28515625" bestFit="1" customWidth="1"/>
    <col min="11" max="11" width="3.85546875" customWidth="1"/>
  </cols>
  <sheetData>
    <row r="1" spans="1:11" s="1" customFormat="1" ht="68.25" customHeight="1">
      <c r="A1" s="16"/>
      <c r="B1" s="135" t="s">
        <v>49</v>
      </c>
      <c r="C1" s="135"/>
      <c r="D1" s="135"/>
      <c r="E1" s="135"/>
      <c r="F1" s="135"/>
      <c r="G1" s="135"/>
      <c r="H1" s="135"/>
      <c r="I1" s="16"/>
      <c r="J1" s="15"/>
      <c r="K1" s="14"/>
    </row>
    <row r="2" spans="1:11" ht="20.100000000000001" customHeight="1">
      <c r="A2" s="13"/>
      <c r="B2" s="7" t="s">
        <v>0</v>
      </c>
      <c r="C2" s="136"/>
      <c r="D2" s="136"/>
      <c r="E2" s="141" t="s">
        <v>20</v>
      </c>
      <c r="F2" s="140"/>
      <c r="G2" s="140"/>
      <c r="H2" s="140"/>
      <c r="I2" s="13"/>
      <c r="J2" s="1"/>
    </row>
    <row r="3" spans="1:11" ht="9.9499999999999993" customHeight="1">
      <c r="A3" s="13"/>
      <c r="B3" s="7"/>
      <c r="C3" s="12"/>
      <c r="D3" s="12"/>
      <c r="E3" s="141"/>
      <c r="F3" s="140"/>
      <c r="G3" s="140"/>
      <c r="H3" s="140"/>
      <c r="I3" s="13"/>
      <c r="J3" s="1"/>
    </row>
    <row r="4" spans="1:11" ht="20.100000000000001" customHeight="1">
      <c r="A4" s="13"/>
      <c r="B4" s="7" t="s">
        <v>17</v>
      </c>
      <c r="C4" s="136"/>
      <c r="D4" s="136"/>
      <c r="E4" s="141"/>
      <c r="F4" s="140"/>
      <c r="G4" s="140"/>
      <c r="H4" s="140"/>
      <c r="I4" s="13"/>
      <c r="J4" s="1"/>
    </row>
    <row r="5" spans="1:11" ht="9.9499999999999993" customHeight="1">
      <c r="A5" s="13"/>
      <c r="B5" s="7"/>
      <c r="C5" s="12"/>
      <c r="D5" s="12"/>
      <c r="E5" s="141"/>
      <c r="F5" s="140"/>
      <c r="G5" s="140"/>
      <c r="H5" s="140"/>
      <c r="I5" s="13"/>
      <c r="J5" s="1"/>
    </row>
    <row r="6" spans="1:11" ht="20.100000000000001" customHeight="1">
      <c r="A6" s="13"/>
      <c r="B6" s="7" t="s">
        <v>18</v>
      </c>
      <c r="C6" s="137"/>
      <c r="D6" s="137"/>
      <c r="E6" s="141"/>
      <c r="F6" s="140"/>
      <c r="G6" s="140"/>
      <c r="H6" s="140"/>
      <c r="I6" s="13"/>
      <c r="J6" s="1"/>
    </row>
    <row r="7" spans="1:11" ht="9.9499999999999993" customHeight="1">
      <c r="A7" s="13"/>
      <c r="B7" s="7"/>
      <c r="C7" s="12"/>
      <c r="D7" s="12"/>
      <c r="E7" s="141"/>
      <c r="F7" s="140"/>
      <c r="G7" s="140"/>
      <c r="H7" s="140"/>
      <c r="I7" s="13"/>
      <c r="J7" s="1"/>
    </row>
    <row r="8" spans="1:11" ht="20.100000000000001" customHeight="1">
      <c r="A8" s="13"/>
      <c r="B8" s="7" t="s">
        <v>19</v>
      </c>
      <c r="C8" s="138"/>
      <c r="D8" s="138"/>
      <c r="E8" s="141"/>
      <c r="F8" s="140"/>
      <c r="G8" s="140"/>
      <c r="H8" s="140"/>
      <c r="I8" s="13"/>
      <c r="J8" s="1"/>
    </row>
    <row r="9" spans="1:11" ht="9.9499999999999993" customHeight="1">
      <c r="A9" s="13"/>
      <c r="B9" s="8"/>
      <c r="C9" s="9"/>
      <c r="D9" s="9"/>
      <c r="E9" s="141"/>
      <c r="F9" s="140"/>
      <c r="G9" s="140"/>
      <c r="H9" s="140"/>
      <c r="I9" s="13"/>
      <c r="J9" s="1"/>
    </row>
    <row r="10" spans="1:11" ht="20.100000000000001" customHeight="1">
      <c r="A10" s="13"/>
      <c r="B10" s="7" t="s">
        <v>4</v>
      </c>
      <c r="C10" s="138"/>
      <c r="D10" s="138"/>
      <c r="E10" s="141"/>
      <c r="F10" s="140"/>
      <c r="G10" s="140"/>
      <c r="H10" s="140"/>
      <c r="I10" s="13"/>
      <c r="J10" s="1"/>
    </row>
    <row r="11" spans="1:11" ht="20.25" customHeight="1">
      <c r="A11" s="13"/>
      <c r="B11" s="8"/>
      <c r="C11" s="9"/>
      <c r="D11" s="9"/>
      <c r="E11" s="9"/>
      <c r="F11" s="10"/>
      <c r="G11" s="8"/>
      <c r="H11" s="11"/>
      <c r="I11" s="13"/>
      <c r="J11" s="1"/>
    </row>
    <row r="12" spans="1:11" ht="20.100000000000001" customHeight="1">
      <c r="A12" s="20"/>
      <c r="B12" s="24" t="s">
        <v>21</v>
      </c>
      <c r="C12" s="25"/>
      <c r="D12" s="143" t="s">
        <v>22</v>
      </c>
      <c r="E12" s="144"/>
      <c r="F12" s="26" t="s">
        <v>23</v>
      </c>
      <c r="G12" s="26" t="s">
        <v>24</v>
      </c>
      <c r="H12" s="2" t="s">
        <v>25</v>
      </c>
      <c r="I12" s="18"/>
    </row>
    <row r="13" spans="1:11" ht="23.1" customHeight="1">
      <c r="A13" s="6"/>
      <c r="B13" s="133"/>
      <c r="C13" s="134"/>
      <c r="D13" s="133"/>
      <c r="E13" s="134"/>
      <c r="F13" s="4"/>
      <c r="G13" s="5"/>
      <c r="H13" s="5"/>
      <c r="I13" s="19"/>
    </row>
    <row r="14" spans="1:11" ht="23.1" customHeight="1">
      <c r="A14" s="6"/>
      <c r="B14" s="133"/>
      <c r="C14" s="134"/>
      <c r="D14" s="133"/>
      <c r="E14" s="134"/>
      <c r="F14" s="4"/>
      <c r="G14" s="5"/>
      <c r="H14" s="5"/>
      <c r="I14" s="19"/>
    </row>
    <row r="15" spans="1:11" ht="23.1" customHeight="1">
      <c r="A15" s="6"/>
      <c r="B15" s="133"/>
      <c r="C15" s="134"/>
      <c r="D15" s="133"/>
      <c r="E15" s="134"/>
      <c r="F15" s="4"/>
      <c r="G15" s="5"/>
      <c r="H15" s="5"/>
      <c r="I15" s="19"/>
    </row>
    <row r="16" spans="1:11" ht="23.1" customHeight="1">
      <c r="A16" s="6"/>
      <c r="B16" s="133"/>
      <c r="C16" s="134"/>
      <c r="D16" s="133"/>
      <c r="E16" s="134"/>
      <c r="F16" s="4"/>
      <c r="G16" s="5"/>
      <c r="H16" s="5"/>
      <c r="I16" s="19"/>
    </row>
    <row r="17" spans="1:11" ht="23.1" customHeight="1">
      <c r="A17" s="6"/>
      <c r="B17" s="133"/>
      <c r="C17" s="134"/>
      <c r="D17" s="133"/>
      <c r="E17" s="134"/>
      <c r="F17" s="4"/>
      <c r="G17" s="5"/>
      <c r="H17" s="5"/>
      <c r="I17" s="19"/>
    </row>
    <row r="18" spans="1:11" ht="23.1" customHeight="1">
      <c r="A18" s="6"/>
      <c r="B18" s="133"/>
      <c r="C18" s="134"/>
      <c r="D18" s="133"/>
      <c r="E18" s="134"/>
      <c r="F18" s="4"/>
      <c r="G18" s="5"/>
      <c r="H18" s="5"/>
      <c r="I18" s="19"/>
    </row>
    <row r="19" spans="1:11" ht="23.1" customHeight="1">
      <c r="A19" s="6"/>
      <c r="B19" s="133"/>
      <c r="C19" s="134"/>
      <c r="D19" s="133"/>
      <c r="E19" s="134"/>
      <c r="F19" s="4"/>
      <c r="G19" s="5"/>
      <c r="H19" s="5"/>
      <c r="I19" s="19"/>
    </row>
    <row r="20" spans="1:11" ht="23.1" customHeight="1">
      <c r="A20" s="6"/>
      <c r="B20" s="133"/>
      <c r="C20" s="134"/>
      <c r="D20" s="133"/>
      <c r="E20" s="134"/>
      <c r="F20" s="4"/>
      <c r="G20" s="5"/>
      <c r="H20" s="5"/>
      <c r="I20" s="19"/>
    </row>
    <row r="21" spans="1:11" ht="23.1" customHeight="1">
      <c r="A21" s="6"/>
      <c r="B21" s="133"/>
      <c r="C21" s="134"/>
      <c r="D21" s="133"/>
      <c r="E21" s="134"/>
      <c r="F21" s="4"/>
      <c r="G21" s="5"/>
      <c r="H21" s="5"/>
      <c r="I21" s="19"/>
    </row>
    <row r="22" spans="1:11" ht="23.1" customHeight="1">
      <c r="A22" s="6"/>
      <c r="B22" s="133"/>
      <c r="C22" s="134"/>
      <c r="D22" s="133"/>
      <c r="E22" s="134"/>
      <c r="F22" s="4"/>
      <c r="G22" s="5"/>
      <c r="H22" s="5"/>
      <c r="I22" s="19"/>
    </row>
    <row r="23" spans="1:11" ht="23.1" customHeight="1">
      <c r="A23" s="6"/>
      <c r="B23" s="133"/>
      <c r="C23" s="134"/>
      <c r="D23" s="133"/>
      <c r="E23" s="134"/>
      <c r="F23" s="4"/>
      <c r="G23" s="5"/>
      <c r="H23" s="5"/>
      <c r="I23" s="19"/>
    </row>
    <row r="24" spans="1:11" ht="23.1" customHeight="1">
      <c r="A24" s="6"/>
      <c r="B24" s="133"/>
      <c r="C24" s="134"/>
      <c r="D24" s="133"/>
      <c r="E24" s="134"/>
      <c r="F24" s="4"/>
      <c r="G24" s="5"/>
      <c r="H24" s="5"/>
      <c r="I24" s="17"/>
    </row>
    <row r="25" spans="1:11" ht="23.1" customHeight="1">
      <c r="A25" s="20"/>
      <c r="B25" s="133"/>
      <c r="C25" s="134"/>
      <c r="D25" s="133"/>
      <c r="E25" s="134"/>
      <c r="F25" s="4"/>
      <c r="G25" s="5"/>
      <c r="H25" s="5"/>
      <c r="I25" s="18"/>
    </row>
    <row r="26" spans="1:11" ht="23.1" customHeight="1">
      <c r="A26" s="20"/>
      <c r="B26" s="133"/>
      <c r="C26" s="134"/>
      <c r="D26" s="133"/>
      <c r="E26" s="134"/>
      <c r="F26" s="4"/>
      <c r="G26" s="5"/>
      <c r="H26" s="5"/>
      <c r="I26" s="19"/>
      <c r="J26" s="142"/>
      <c r="K26" s="142"/>
    </row>
    <row r="27" spans="1:11" ht="23.1" customHeight="1">
      <c r="A27" s="20"/>
      <c r="B27" s="133"/>
      <c r="C27" s="134"/>
      <c r="D27" s="133"/>
      <c r="E27" s="134"/>
      <c r="F27" s="4"/>
      <c r="G27" s="5"/>
      <c r="H27" s="5"/>
      <c r="I27" s="19"/>
      <c r="J27" s="142"/>
      <c r="K27" s="142"/>
    </row>
    <row r="28" spans="1:11" ht="23.1" customHeight="1">
      <c r="A28" s="20"/>
      <c r="B28" s="133"/>
      <c r="C28" s="134"/>
      <c r="D28" s="133"/>
      <c r="E28" s="134"/>
      <c r="F28" s="4"/>
      <c r="G28" s="5"/>
      <c r="H28" s="5"/>
      <c r="I28" s="19"/>
      <c r="J28" s="142"/>
      <c r="K28" s="142"/>
    </row>
    <row r="29" spans="1:11" ht="23.1" customHeight="1">
      <c r="A29" s="20"/>
      <c r="B29" s="133"/>
      <c r="C29" s="134"/>
      <c r="D29" s="133"/>
      <c r="E29" s="134"/>
      <c r="F29" s="4"/>
      <c r="G29" s="5"/>
      <c r="H29" s="5"/>
      <c r="I29" s="19"/>
      <c r="J29" s="142"/>
      <c r="K29" s="142"/>
    </row>
    <row r="30" spans="1:11" ht="23.1" customHeight="1">
      <c r="A30" s="20"/>
      <c r="B30" s="133"/>
      <c r="C30" s="134"/>
      <c r="D30" s="133"/>
      <c r="E30" s="134"/>
      <c r="F30" s="4"/>
      <c r="G30" s="5"/>
      <c r="H30" s="5"/>
      <c r="I30" s="19"/>
      <c r="J30" s="142"/>
      <c r="K30" s="142"/>
    </row>
    <row r="31" spans="1:11" ht="23.1" customHeight="1">
      <c r="A31" s="20"/>
      <c r="B31" s="133"/>
      <c r="C31" s="134"/>
      <c r="D31" s="133"/>
      <c r="E31" s="134"/>
      <c r="F31" s="4"/>
      <c r="G31" s="5"/>
      <c r="H31" s="5"/>
      <c r="I31" s="19"/>
      <c r="J31" s="142"/>
      <c r="K31" s="142"/>
    </row>
    <row r="32" spans="1:11" ht="23.1" customHeight="1">
      <c r="A32" s="20"/>
      <c r="B32" s="133"/>
      <c r="C32" s="134"/>
      <c r="D32" s="133"/>
      <c r="E32" s="134"/>
      <c r="F32" s="4"/>
      <c r="G32" s="5"/>
      <c r="H32" s="5"/>
      <c r="I32" s="19"/>
      <c r="J32" s="142"/>
      <c r="K32" s="142"/>
    </row>
    <row r="33" spans="1:11" ht="23.1" customHeight="1">
      <c r="A33" s="20"/>
      <c r="B33" s="133"/>
      <c r="C33" s="134"/>
      <c r="D33" s="133"/>
      <c r="E33" s="134"/>
      <c r="F33" s="4"/>
      <c r="G33" s="5"/>
      <c r="H33" s="5"/>
      <c r="I33" s="17"/>
      <c r="J33" s="3"/>
      <c r="K33" s="3"/>
    </row>
    <row r="34" spans="1:11" ht="23.1" customHeight="1">
      <c r="A34" s="20"/>
      <c r="B34" s="133"/>
      <c r="C34" s="134"/>
      <c r="D34" s="133"/>
      <c r="E34" s="134"/>
      <c r="F34" s="4"/>
      <c r="G34" s="5"/>
      <c r="H34" s="5"/>
      <c r="I34" s="18"/>
      <c r="J34" s="3"/>
      <c r="K34" s="3"/>
    </row>
    <row r="35" spans="1:11" ht="23.1" customHeight="1">
      <c r="A35" s="20"/>
      <c r="B35" s="133"/>
      <c r="C35" s="134"/>
      <c r="D35" s="133"/>
      <c r="E35" s="134"/>
      <c r="F35" s="4"/>
      <c r="G35" s="5"/>
      <c r="H35" s="5"/>
      <c r="I35" s="19"/>
    </row>
    <row r="36" spans="1:11" ht="23.1" customHeight="1">
      <c r="A36" s="20"/>
      <c r="B36" s="133"/>
      <c r="C36" s="134"/>
      <c r="D36" s="133"/>
      <c r="E36" s="134"/>
      <c r="F36" s="4"/>
      <c r="G36" s="5"/>
      <c r="H36" s="5"/>
      <c r="I36" s="19"/>
    </row>
    <row r="37" spans="1:11" ht="23.1" customHeight="1">
      <c r="A37" s="20"/>
      <c r="B37" s="133"/>
      <c r="C37" s="134"/>
      <c r="D37" s="133"/>
      <c r="E37" s="134"/>
      <c r="F37" s="4"/>
      <c r="G37" s="5"/>
      <c r="H37" s="5"/>
      <c r="I37" s="19"/>
    </row>
    <row r="38" spans="1:11" ht="23.1" customHeight="1">
      <c r="A38" s="20"/>
      <c r="B38" s="133"/>
      <c r="C38" s="134"/>
      <c r="D38" s="133"/>
      <c r="E38" s="134"/>
      <c r="F38" s="4"/>
      <c r="G38" s="5"/>
      <c r="H38" s="5"/>
      <c r="I38" s="17"/>
    </row>
    <row r="39" spans="1:11" ht="23.1" customHeight="1">
      <c r="A39" s="20"/>
      <c r="B39" s="133"/>
      <c r="C39" s="134"/>
      <c r="D39" s="133"/>
      <c r="E39" s="134"/>
      <c r="F39" s="4"/>
      <c r="G39" s="5"/>
      <c r="H39" s="5"/>
      <c r="I39" s="18"/>
    </row>
    <row r="40" spans="1:11" ht="23.1" customHeight="1">
      <c r="A40" s="20"/>
      <c r="B40" s="133"/>
      <c r="C40" s="134"/>
      <c r="D40" s="133"/>
      <c r="E40" s="134"/>
      <c r="F40" s="4"/>
      <c r="G40" s="5"/>
      <c r="H40" s="5"/>
      <c r="I40" s="19"/>
    </row>
    <row r="41" spans="1:11" ht="18" customHeight="1">
      <c r="A41" s="139" t="s">
        <v>69</v>
      </c>
      <c r="B41" s="139"/>
      <c r="C41" s="139"/>
      <c r="D41" s="139"/>
      <c r="E41" s="139"/>
      <c r="F41" s="139"/>
      <c r="G41" s="139"/>
      <c r="H41" s="139"/>
      <c r="I41" s="139"/>
      <c r="J41" s="1"/>
    </row>
    <row r="42" spans="1:11" ht="19.5" customHeight="1">
      <c r="A42" s="139"/>
      <c r="B42" s="139"/>
      <c r="C42" s="139"/>
      <c r="D42" s="139"/>
      <c r="E42" s="139"/>
      <c r="F42" s="139"/>
      <c r="G42" s="139"/>
      <c r="H42" s="139"/>
      <c r="I42" s="139"/>
      <c r="J42" s="1"/>
    </row>
    <row r="43" spans="1:11" ht="15" customHeight="1">
      <c r="A43" s="23"/>
    </row>
    <row r="44" spans="1:11">
      <c r="A44" s="23"/>
    </row>
    <row r="45" spans="1:11">
      <c r="A45" s="23"/>
    </row>
    <row r="46" spans="1:11">
      <c r="A46" s="23"/>
    </row>
    <row r="47" spans="1:11">
      <c r="A47" s="23"/>
    </row>
    <row r="48" spans="1:11">
      <c r="A48" s="23"/>
    </row>
    <row r="49" spans="1:1">
      <c r="A49" s="23"/>
    </row>
    <row r="50" spans="1:1">
      <c r="A50" s="23"/>
    </row>
  </sheetData>
  <mergeCells count="73">
    <mergeCell ref="B13:C13"/>
    <mergeCell ref="B14:C14"/>
    <mergeCell ref="B15:C15"/>
    <mergeCell ref="B16:C16"/>
    <mergeCell ref="D12:E12"/>
    <mergeCell ref="D13:E13"/>
    <mergeCell ref="D14:E14"/>
    <mergeCell ref="D15:E15"/>
    <mergeCell ref="D16:E16"/>
    <mergeCell ref="J28:K28"/>
    <mergeCell ref="B26:C26"/>
    <mergeCell ref="B27:C27"/>
    <mergeCell ref="B28:C28"/>
    <mergeCell ref="D26:E26"/>
    <mergeCell ref="A41:I42"/>
    <mergeCell ref="F2:H10"/>
    <mergeCell ref="E2:E10"/>
    <mergeCell ref="J32:K32"/>
    <mergeCell ref="B32:C32"/>
    <mergeCell ref="B33:C33"/>
    <mergeCell ref="B34:C34"/>
    <mergeCell ref="B35:C35"/>
    <mergeCell ref="J29:K29"/>
    <mergeCell ref="J30:K30"/>
    <mergeCell ref="J31:K31"/>
    <mergeCell ref="B29:C29"/>
    <mergeCell ref="B30:C30"/>
    <mergeCell ref="B31:C31"/>
    <mergeCell ref="J26:K26"/>
    <mergeCell ref="J27:K27"/>
    <mergeCell ref="B40:C40"/>
    <mergeCell ref="C2:D2"/>
    <mergeCell ref="C4:D4"/>
    <mergeCell ref="C6:D6"/>
    <mergeCell ref="C8:D8"/>
    <mergeCell ref="C10:D10"/>
    <mergeCell ref="B17:C17"/>
    <mergeCell ref="B18:C18"/>
    <mergeCell ref="B19:C19"/>
    <mergeCell ref="B20:C20"/>
    <mergeCell ref="B21:C21"/>
    <mergeCell ref="B22:C22"/>
    <mergeCell ref="B23:C23"/>
    <mergeCell ref="B24:C24"/>
    <mergeCell ref="B25:C25"/>
    <mergeCell ref="D19:E19"/>
    <mergeCell ref="B36:C36"/>
    <mergeCell ref="B37:C37"/>
    <mergeCell ref="B38:C38"/>
    <mergeCell ref="B39:C39"/>
    <mergeCell ref="D25:E25"/>
    <mergeCell ref="D39:E39"/>
    <mergeCell ref="D21:E21"/>
    <mergeCell ref="D22:E22"/>
    <mergeCell ref="D23:E23"/>
    <mergeCell ref="D24:E24"/>
    <mergeCell ref="D18:E18"/>
    <mergeCell ref="D40:E40"/>
    <mergeCell ref="B1:H1"/>
    <mergeCell ref="D33:E33"/>
    <mergeCell ref="D34:E34"/>
    <mergeCell ref="D35:E35"/>
    <mergeCell ref="D36:E36"/>
    <mergeCell ref="D37:E37"/>
    <mergeCell ref="D38:E38"/>
    <mergeCell ref="D27:E27"/>
    <mergeCell ref="D28:E28"/>
    <mergeCell ref="D29:E29"/>
    <mergeCell ref="D30:E30"/>
    <mergeCell ref="D31:E31"/>
    <mergeCell ref="D32:E32"/>
    <mergeCell ref="D20:E20"/>
    <mergeCell ref="D17:E17"/>
  </mergeCells>
  <printOptions horizontalCentered="1" verticalCentered="1"/>
  <pageMargins left="0.2" right="0.2" top="0.2" bottom="0.2" header="0.2" footer="0.2"/>
  <pageSetup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Info &amp; Instructions</vt:lpstr>
      <vt:lpstr>Order Form</vt:lpstr>
      <vt:lpstr>Sheet2</vt:lpstr>
      <vt:lpstr>Sheet3</vt:lpstr>
      <vt:lpstr>Sign Up Sheet</vt:lpstr>
      <vt:lpstr>'Info &amp; Instructions'!Print_Area</vt:lpstr>
      <vt:lpstr>'Order Form'!Print_Area</vt:lpstr>
      <vt:lpstr>'Sign Up Sheet'!Print_Area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bpeterson</dc:creator>
  <cp:lastModifiedBy>Ashley Rojas</cp:lastModifiedBy>
  <cp:lastPrinted>2013-10-08T17:01:04Z</cp:lastPrinted>
  <dcterms:created xsi:type="dcterms:W3CDTF">2010-01-17T19:03:24Z</dcterms:created>
  <dcterms:modified xsi:type="dcterms:W3CDTF">2013-11-26T23:26:39Z</dcterms:modified>
</cp:coreProperties>
</file>