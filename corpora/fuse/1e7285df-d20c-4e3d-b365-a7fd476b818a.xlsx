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FOG_ESSC 2011\Forms\"/>
    </mc:Choice>
  </mc:AlternateContent>
  <bookViews>
    <workbookView xWindow="120" yWindow="60" windowWidth="15180" windowHeight="8835"/>
  </bookViews>
  <sheets>
    <sheet name="Calculator" sheetId="1" r:id="rId1"/>
    <sheet name="Instructions" sheetId="2" r:id="rId2"/>
  </sheets>
  <calcPr calcId="152511"/>
</workbook>
</file>

<file path=xl/calcChain.xml><?xml version="1.0" encoding="utf-8"?>
<calcChain xmlns="http://schemas.openxmlformats.org/spreadsheetml/2006/main">
  <c r="G106" i="1" l="1"/>
  <c r="G107" i="1"/>
  <c r="G108" i="1"/>
  <c r="G109" i="1"/>
  <c r="G110" i="1"/>
  <c r="G111" i="1"/>
  <c r="G112" i="1"/>
  <c r="G113" i="1"/>
  <c r="G105" i="1"/>
  <c r="G95" i="1"/>
  <c r="G96" i="1"/>
  <c r="G97" i="1"/>
  <c r="G98" i="1"/>
  <c r="G99" i="1"/>
  <c r="G100" i="1"/>
  <c r="G101" i="1"/>
  <c r="G102" i="1"/>
  <c r="G94" i="1"/>
  <c r="G71" i="1"/>
  <c r="G72" i="1"/>
  <c r="G73" i="1"/>
  <c r="G74" i="1"/>
  <c r="G75" i="1"/>
  <c r="G70" i="1"/>
  <c r="G63" i="1"/>
  <c r="G64" i="1"/>
  <c r="G65" i="1"/>
  <c r="G66" i="1"/>
  <c r="G67" i="1"/>
  <c r="G62" i="1"/>
  <c r="G44" i="1"/>
  <c r="G45" i="1"/>
  <c r="G46" i="1"/>
  <c r="G47" i="1"/>
  <c r="G48" i="1"/>
  <c r="G49" i="1"/>
  <c r="G50" i="1"/>
  <c r="G51" i="1"/>
  <c r="G43" i="1"/>
  <c r="G33" i="1"/>
  <c r="G34" i="1"/>
  <c r="G35" i="1"/>
  <c r="G36" i="1"/>
  <c r="G37" i="1"/>
  <c r="G38" i="1"/>
  <c r="G39" i="1"/>
  <c r="G40" i="1"/>
  <c r="G32" i="1"/>
  <c r="G22" i="1"/>
  <c r="G23" i="1"/>
  <c r="G24" i="1"/>
  <c r="G25" i="1"/>
  <c r="G26" i="1"/>
  <c r="G27" i="1"/>
  <c r="G28" i="1"/>
  <c r="G29" i="1"/>
  <c r="G21" i="1"/>
  <c r="G11" i="1"/>
  <c r="G12" i="1"/>
  <c r="G13" i="1"/>
  <c r="G14" i="1"/>
  <c r="G15" i="1"/>
  <c r="G16" i="1"/>
  <c r="G17" i="1"/>
  <c r="G18" i="1"/>
  <c r="G10" i="1"/>
  <c r="G91" i="1"/>
  <c r="G90" i="1"/>
  <c r="G89" i="1"/>
  <c r="G88" i="1"/>
  <c r="G87" i="1"/>
  <c r="G86" i="1"/>
  <c r="G83" i="1"/>
  <c r="G82" i="1"/>
  <c r="G81" i="1"/>
  <c r="G80" i="1"/>
  <c r="G79" i="1"/>
  <c r="G78" i="1"/>
  <c r="G55" i="1"/>
  <c r="G56" i="1"/>
  <c r="G57" i="1"/>
  <c r="G58" i="1"/>
  <c r="G59" i="1"/>
  <c r="G54" i="1"/>
  <c r="D27" i="1" l="1"/>
  <c r="F117" i="1"/>
  <c r="F23" i="1"/>
  <c r="E114" i="1"/>
  <c r="D113" i="1"/>
  <c r="D112" i="1"/>
  <c r="D111" i="1"/>
  <c r="D110" i="1"/>
  <c r="D109" i="1"/>
  <c r="D108" i="1"/>
  <c r="D107" i="1"/>
  <c r="D106" i="1"/>
  <c r="D105" i="1"/>
  <c r="D102" i="1"/>
  <c r="D101" i="1"/>
  <c r="D100" i="1"/>
  <c r="D99" i="1"/>
  <c r="D98" i="1"/>
  <c r="D97" i="1"/>
  <c r="D96" i="1"/>
  <c r="D95" i="1"/>
  <c r="D94" i="1"/>
  <c r="D91" i="1"/>
  <c r="D90" i="1"/>
  <c r="D89" i="1"/>
  <c r="D88" i="1"/>
  <c r="D87" i="1"/>
  <c r="D86" i="1"/>
  <c r="D83" i="1"/>
  <c r="D82" i="1"/>
  <c r="D81" i="1"/>
  <c r="D80" i="1"/>
  <c r="D79" i="1"/>
  <c r="D78" i="1"/>
  <c r="D75" i="1"/>
  <c r="D74" i="1"/>
  <c r="D73" i="1"/>
  <c r="D72" i="1"/>
  <c r="D71" i="1"/>
  <c r="D70" i="1"/>
  <c r="D67" i="1"/>
  <c r="D66" i="1"/>
  <c r="D65" i="1"/>
  <c r="D64" i="1"/>
  <c r="D63" i="1"/>
  <c r="D62" i="1"/>
  <c r="D59" i="1"/>
  <c r="D58" i="1"/>
  <c r="D57" i="1"/>
  <c r="D56" i="1"/>
  <c r="D55" i="1"/>
  <c r="D54" i="1"/>
  <c r="D51" i="1"/>
  <c r="D50" i="1"/>
  <c r="D49" i="1"/>
  <c r="D48" i="1"/>
  <c r="D47" i="1"/>
  <c r="D46" i="1"/>
  <c r="D45" i="1"/>
  <c r="D44" i="1"/>
  <c r="D43" i="1"/>
  <c r="D40" i="1"/>
  <c r="D39" i="1"/>
  <c r="D38" i="1"/>
  <c r="D37" i="1"/>
  <c r="D36" i="1"/>
  <c r="D35" i="1"/>
  <c r="D34" i="1"/>
  <c r="D33" i="1"/>
  <c r="D32" i="1"/>
  <c r="D29" i="1"/>
  <c r="D28" i="1"/>
  <c r="D26" i="1"/>
  <c r="D25" i="1"/>
  <c r="D24" i="1"/>
  <c r="D23" i="1"/>
  <c r="D22" i="1"/>
  <c r="D21" i="1"/>
  <c r="D18" i="1"/>
  <c r="D17" i="1"/>
  <c r="D16" i="1"/>
  <c r="D15" i="1"/>
  <c r="D14" i="1"/>
  <c r="D13" i="1"/>
  <c r="D12" i="1"/>
  <c r="D11" i="1"/>
  <c r="D10" i="1"/>
  <c r="F10" i="1"/>
  <c r="F11" i="1"/>
  <c r="F12" i="1"/>
  <c r="F13" i="1"/>
  <c r="F14" i="1"/>
  <c r="F15" i="1"/>
  <c r="F16" i="1"/>
  <c r="F17" i="1"/>
  <c r="F18" i="1"/>
  <c r="F21" i="1"/>
  <c r="F22" i="1"/>
  <c r="F24" i="1"/>
  <c r="F25" i="1"/>
  <c r="F26" i="1"/>
  <c r="F27" i="1"/>
  <c r="F28" i="1"/>
  <c r="F29" i="1"/>
  <c r="F32" i="1"/>
  <c r="F33" i="1"/>
  <c r="F34" i="1"/>
  <c r="F35" i="1"/>
  <c r="F36" i="1"/>
  <c r="F37" i="1"/>
  <c r="F38" i="1"/>
  <c r="F39" i="1"/>
  <c r="F40" i="1"/>
  <c r="F43" i="1"/>
  <c r="F44" i="1"/>
  <c r="F45" i="1"/>
  <c r="F46" i="1"/>
  <c r="F47" i="1"/>
  <c r="F48" i="1"/>
  <c r="F49" i="1"/>
  <c r="F50" i="1"/>
  <c r="F51" i="1"/>
  <c r="F54" i="1"/>
  <c r="F55" i="1"/>
  <c r="F56" i="1"/>
  <c r="F57" i="1"/>
  <c r="F58" i="1"/>
  <c r="F59" i="1"/>
  <c r="F62" i="1"/>
  <c r="F63" i="1"/>
  <c r="F64" i="1"/>
  <c r="F65" i="1"/>
  <c r="F66" i="1"/>
  <c r="F67" i="1"/>
  <c r="F70" i="1"/>
  <c r="F71" i="1"/>
  <c r="F72" i="1"/>
  <c r="F73" i="1"/>
  <c r="F74" i="1"/>
  <c r="F75" i="1"/>
  <c r="F78" i="1"/>
  <c r="F79" i="1"/>
  <c r="F80" i="1"/>
  <c r="F81" i="1"/>
  <c r="F82" i="1"/>
  <c r="F83" i="1"/>
  <c r="F86" i="1"/>
  <c r="F87" i="1"/>
  <c r="F88" i="1"/>
  <c r="F89" i="1"/>
  <c r="F90" i="1"/>
  <c r="F91" i="1"/>
  <c r="F94" i="1"/>
  <c r="F95" i="1"/>
  <c r="F96" i="1"/>
  <c r="F97" i="1"/>
  <c r="F98" i="1"/>
  <c r="F99" i="1"/>
  <c r="F100" i="1"/>
  <c r="F101" i="1"/>
  <c r="F102" i="1"/>
  <c r="F105" i="1"/>
  <c r="F106" i="1"/>
  <c r="F107" i="1"/>
  <c r="F108" i="1"/>
  <c r="F109" i="1"/>
  <c r="F110" i="1"/>
  <c r="F111" i="1"/>
  <c r="F112" i="1"/>
  <c r="F113" i="1"/>
  <c r="F116" i="1"/>
</calcChain>
</file>

<file path=xl/sharedStrings.xml><?xml version="1.0" encoding="utf-8"?>
<sst xmlns="http://schemas.openxmlformats.org/spreadsheetml/2006/main" count="134" uniqueCount="56">
  <si>
    <t>Restaurant, Sit Down.</t>
  </si>
  <si>
    <t>BOD</t>
  </si>
  <si>
    <t>TSS</t>
  </si>
  <si>
    <t>Restaurant, Fast Food</t>
  </si>
  <si>
    <t>Brew Pub</t>
  </si>
  <si>
    <t>Meat Market</t>
  </si>
  <si>
    <t>Bakery, bread</t>
  </si>
  <si>
    <t>Donut Shop</t>
  </si>
  <si>
    <t>Coffee Shop</t>
  </si>
  <si>
    <t>%</t>
  </si>
  <si>
    <t>mg/L</t>
  </si>
  <si>
    <t>ESSC Rate</t>
  </si>
  <si>
    <t>$/CCF</t>
  </si>
  <si>
    <t>$</t>
  </si>
  <si>
    <t>no Grinders</t>
  </si>
  <si>
    <t>no Grinders &amp; GT</t>
  </si>
  <si>
    <t>no Grinders &amp; GI</t>
  </si>
  <si>
    <t>Flow %</t>
  </si>
  <si>
    <t>BOD Charge</t>
  </si>
  <si>
    <t>TSS Charge</t>
  </si>
  <si>
    <t>BOD Rate</t>
  </si>
  <si>
    <t>$/Lb</t>
  </si>
  <si>
    <t>TSS Rate</t>
  </si>
  <si>
    <t>Net Bio Oxygen Demand</t>
  </si>
  <si>
    <t>Net Total Suspended Solids</t>
  </si>
  <si>
    <t>Supermarket, with bakery, meat cutting, deli, produce, or seafood</t>
  </si>
  <si>
    <t>Bakery, confections, cake, pie, cookies</t>
  </si>
  <si>
    <t>Commercial Kitchens, cafeterias, caterers, commissaries</t>
  </si>
  <si>
    <t>Hotel, with full service restaurants and/or banquet kitchens.</t>
  </si>
  <si>
    <t>Total %</t>
  </si>
  <si>
    <t>Base, No BMPs</t>
  </si>
  <si>
    <t>with Grease Trap (GT)</t>
  </si>
  <si>
    <t>with Grease Interceptor (GI)</t>
  </si>
  <si>
    <t>Food Composting/Donation, no Grinders</t>
  </si>
  <si>
    <t>Food Composting/Donation, no Grinders &amp; GT</t>
  </si>
  <si>
    <t>Food Composting/Donation, no Grinders &amp; GI</t>
  </si>
  <si>
    <t>Account Number</t>
  </si>
  <si>
    <t>City of Portland, Oregon</t>
  </si>
  <si>
    <t>Bureau of Environmental Services</t>
  </si>
  <si>
    <t>Commercial, Industrial, Institutional and Multi-Family Residential Ratepayers</t>
  </si>
  <si>
    <t>In order to use this file, you must compile the following detailed information:</t>
  </si>
  <si>
    <t>The file is organized into three areas:</t>
  </si>
  <si>
    <t>Portland Prevents Grease Extra Strength Charge Rate Calculator Instructions</t>
  </si>
  <si>
    <t xml:space="preserve">Updated:  </t>
  </si>
  <si>
    <t>This file contains all of the calculations needed to compute Class Average Extra Strength Charges</t>
  </si>
  <si>
    <t>1.  The amount of flow to the sanitary sewer subject to Class Average Extra Strength Charges from the subject account.</t>
  </si>
  <si>
    <t xml:space="preserve">2.  The percentage of total flow to the sewer system associated with the identifed business class and applicable BMP rate options. </t>
  </si>
  <si>
    <t xml:space="preserve">3.  The Account Number for the account in question.  </t>
  </si>
  <si>
    <r>
      <t xml:space="preserve">For most Accounts this can be found on the City Utility Bill labed as "Sewer Volume/Usage in CCF".  This should be entered into the Green box labled with the red </t>
    </r>
    <r>
      <rPr>
        <b/>
        <sz val="11"/>
        <color indexed="10"/>
        <rFont val="Arial"/>
        <family val="2"/>
      </rPr>
      <t>1</t>
    </r>
    <r>
      <rPr>
        <b/>
        <sz val="11"/>
        <rFont val="Arial"/>
        <family val="2"/>
      </rPr>
      <t>.  Some accounts get credit for water use not discharged to the sanitary sewer.  These flows should be subtracted from the entry in this field.</t>
    </r>
  </si>
  <si>
    <t>It is not necessary to enter the Account Number to use this calculator.  It is encouraged for ratepayers that use this form to manage charges from multiple accounts or for those that wish to discuss charges with City staff.</t>
  </si>
  <si>
    <r>
      <t xml:space="preserve">It is necessary to identify the correct business class rate option and then enter the appropriate percentage of flow in the green box in the column labled with the red </t>
    </r>
    <r>
      <rPr>
        <b/>
        <sz val="11"/>
        <color indexed="10"/>
        <rFont val="Arial"/>
        <family val="2"/>
      </rPr>
      <t>2</t>
    </r>
    <r>
      <rPr>
        <b/>
        <sz val="11"/>
        <rFont val="Arial"/>
        <family val="2"/>
      </rPr>
      <t>.  For accounts that serve an individual business the entry should be "100".  Some accounts serve multiple businesses and it is possible to apportin flow to applicable rate options by entering percentages on the appropriate line.  Resultant charges will be displayed to the right of the rate option with a total of the charges as they they will appear on the City Utility Bill displayed at the bottom of this form.</t>
    </r>
  </si>
  <si>
    <t>CALCULATOR.  This worksheet contains tables for account specific information to calculate different billing scenarios and to review or apportion City Utility Bill charges.</t>
  </si>
  <si>
    <t xml:space="preserve">INSTRUCTIONS.  This worksheet (tab) contains calculator sheet instructions.  </t>
  </si>
  <si>
    <r>
      <t xml:space="preserve">Sewer Volume/Usage in CCF    </t>
    </r>
    <r>
      <rPr>
        <b/>
        <sz val="10"/>
        <color indexed="10"/>
        <rFont val="Arial"/>
        <family val="2"/>
      </rPr>
      <t>1</t>
    </r>
  </si>
  <si>
    <t>Cut Through the FOG Rate Calculator</t>
  </si>
  <si>
    <t>Fiscal Year 2014/15 Rates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</si>
</sst>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quot;$&quot;#,##0.000"/>
    <numFmt numFmtId="165" formatCode="&quot;$&quot;#,##0"/>
    <numFmt numFmtId="166" formatCode="0.0"/>
    <numFmt numFmtId="167" formatCode="0.000"/>
  </numFmts>
  <fonts count="7" x14ac:knownFonts="1">
    <font>
      <sz val="10"/>
      <name val="Arial"/>
    </font>
    <font>
      <sz val="8"/>
      <name val="Arial"/>
    </font>
    <font>
      <b/>
      <sz val="10"/>
      <name val="Arial"/>
      <family val="2"/>
    </font>
    <font>
      <b/>
      <sz val="10"/>
      <color indexed="10"/>
      <name val="Arial"/>
      <family val="2"/>
    </font>
    <font>
      <b/>
      <sz val="11"/>
      <name val="Arial"/>
      <family val="2"/>
    </font>
    <font>
      <sz val="11"/>
      <name val="Arial"/>
      <family val="2"/>
    </font>
    <font>
      <b/>
      <sz val="11"/>
      <color indexed="10"/>
      <name val="Arial"/>
      <family val="2"/>
    </font>
  </fonts>
  <fills count="3">
    <fill>
      <patternFill patternType="none"/>
    </fill>
    <fill>
      <patternFill patternType="gray125"/>
    </fill>
    <fill>
      <patternFill patternType="solid">
        <fgColor indexed="42"/>
        <bgColor indexed="64"/>
      </patternFill>
    </fill>
  </fills>
  <borders count="14">
    <border>
      <left/>
      <right/>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style="medium">
        <color indexed="64"/>
      </left>
      <right/>
      <top/>
      <bottom/>
      <diagonal/>
    </border>
  </borders>
  <cellStyleXfs count="1">
    <xf numFmtId="0" fontId="0" fillId="0" borderId="0"/>
  </cellStyleXfs>
  <cellXfs count="59">
    <xf numFmtId="0" fontId="0" fillId="0" borderId="0" xfId="0"/>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0" fillId="0" borderId="0" xfId="0" applyAlignment="1">
      <alignment wrapText="1"/>
    </xf>
    <xf numFmtId="0" fontId="2" fillId="0" borderId="0" xfId="0" applyFont="1" applyAlignment="1">
      <alignment horizontal="center" wrapText="1"/>
    </xf>
    <xf numFmtId="1" fontId="2" fillId="0" borderId="0" xfId="0" applyNumberFormat="1" applyFont="1" applyAlignment="1">
      <alignment horizontal="center" wrapText="1"/>
    </xf>
    <xf numFmtId="165" fontId="0" fillId="0" borderId="0" xfId="0" applyNumberFormat="1"/>
    <xf numFmtId="0" fontId="0" fillId="0" borderId="0" xfId="0" applyBorder="1"/>
    <xf numFmtId="1" fontId="0" fillId="0" borderId="0" xfId="0" applyNumberFormat="1" applyBorder="1" applyAlignment="1">
      <alignment horizontal="center"/>
    </xf>
    <xf numFmtId="1" fontId="0" fillId="0" borderId="1" xfId="0" applyNumberFormat="1" applyBorder="1" applyAlignment="1">
      <alignment horizontal="center"/>
    </xf>
    <xf numFmtId="1" fontId="0" fillId="0" borderId="0" xfId="0" applyNumberFormat="1" applyFill="1" applyBorder="1" applyAlignment="1">
      <alignment horizontal="center"/>
    </xf>
    <xf numFmtId="0" fontId="0" fillId="0" borderId="0" xfId="0" applyAlignment="1">
      <alignment horizontal="left"/>
    </xf>
    <xf numFmtId="166" fontId="0" fillId="0" borderId="0" xfId="0" applyNumberFormat="1" applyAlignment="1">
      <alignment horizontal="center"/>
    </xf>
    <xf numFmtId="0" fontId="0" fillId="2" borderId="0" xfId="0" applyFill="1" applyAlignment="1">
      <alignment horizontal="center"/>
    </xf>
    <xf numFmtId="166" fontId="0" fillId="2" borderId="0" xfId="0" applyNumberFormat="1" applyFill="1" applyAlignment="1">
      <alignment horizontal="center"/>
    </xf>
    <xf numFmtId="164" fontId="0" fillId="0" borderId="2" xfId="0" applyNumberFormat="1" applyBorder="1" applyAlignment="1">
      <alignment horizontal="center"/>
    </xf>
    <xf numFmtId="164" fontId="0" fillId="0" borderId="3" xfId="0" applyNumberFormat="1" applyBorder="1" applyAlignment="1">
      <alignment horizontal="center"/>
    </xf>
    <xf numFmtId="164" fontId="0" fillId="0" borderId="4" xfId="0" applyNumberFormat="1" applyBorder="1" applyAlignment="1">
      <alignment horizontal="center"/>
    </xf>
    <xf numFmtId="0" fontId="0" fillId="0" borderId="2" xfId="0" applyBorder="1" applyAlignment="1">
      <alignment horizontal="center"/>
    </xf>
    <xf numFmtId="0" fontId="2" fillId="0" borderId="5" xfId="0" applyFont="1" applyBorder="1"/>
    <xf numFmtId="1" fontId="0" fillId="0" borderId="6" xfId="0" applyNumberFormat="1" applyBorder="1" applyAlignment="1">
      <alignment horizontal="center"/>
    </xf>
    <xf numFmtId="0" fontId="0" fillId="0" borderId="7" xfId="0" applyBorder="1" applyAlignment="1">
      <alignment horizontal="center"/>
    </xf>
    <xf numFmtId="164" fontId="0" fillId="0" borderId="7" xfId="0" applyNumberFormat="1" applyBorder="1" applyAlignment="1">
      <alignment horizontal="center"/>
    </xf>
    <xf numFmtId="0" fontId="0" fillId="0" borderId="5" xfId="0" applyBorder="1" applyAlignment="1">
      <alignment horizontal="center"/>
    </xf>
    <xf numFmtId="1" fontId="0" fillId="0" borderId="7" xfId="0" applyNumberFormat="1" applyBorder="1" applyAlignment="1">
      <alignment horizontal="center"/>
    </xf>
    <xf numFmtId="0" fontId="2" fillId="0" borderId="8" xfId="0" applyFont="1" applyBorder="1" applyAlignment="1">
      <alignment horizontal="center"/>
    </xf>
    <xf numFmtId="0" fontId="0" fillId="2" borderId="9" xfId="0" applyFill="1" applyBorder="1"/>
    <xf numFmtId="0" fontId="2" fillId="0" borderId="0" xfId="0" applyFont="1"/>
    <xf numFmtId="0" fontId="3" fillId="0" borderId="0" xfId="0" applyFont="1" applyAlignment="1">
      <alignment horizontal="center"/>
    </xf>
    <xf numFmtId="0" fontId="4" fillId="0" borderId="0" xfId="0" applyFont="1"/>
    <xf numFmtId="49" fontId="4" fillId="0" borderId="0" xfId="0" applyNumberFormat="1" applyFont="1" applyAlignment="1">
      <alignment horizontal="left"/>
    </xf>
    <xf numFmtId="0" fontId="4" fillId="0" borderId="0" xfId="0" applyFont="1" applyAlignment="1">
      <alignment vertical="top" wrapText="1"/>
    </xf>
    <xf numFmtId="0" fontId="0" fillId="2" borderId="7" xfId="0" applyFill="1" applyBorder="1" applyAlignment="1">
      <alignment horizontal="center"/>
    </xf>
    <xf numFmtId="1" fontId="0" fillId="0" borderId="10" xfId="0" applyNumberFormat="1" applyBorder="1" applyAlignment="1">
      <alignment horizontal="center"/>
    </xf>
    <xf numFmtId="0" fontId="0" fillId="0" borderId="11" xfId="0" applyBorder="1" applyAlignment="1">
      <alignment horizontal="center"/>
    </xf>
    <xf numFmtId="1" fontId="0" fillId="0" borderId="12" xfId="0" applyNumberFormat="1" applyBorder="1" applyAlignment="1">
      <alignment horizontal="center"/>
    </xf>
    <xf numFmtId="0" fontId="0" fillId="0" borderId="1" xfId="0" applyBorder="1" applyAlignment="1">
      <alignment horizontal="center"/>
    </xf>
    <xf numFmtId="0" fontId="0" fillId="0" borderId="13" xfId="0" applyBorder="1" applyAlignment="1">
      <alignment horizontal="left" indent="1"/>
    </xf>
    <xf numFmtId="0" fontId="0" fillId="0" borderId="12" xfId="0" applyBorder="1" applyAlignment="1">
      <alignment horizontal="left" indent="1"/>
    </xf>
    <xf numFmtId="0" fontId="2" fillId="0" borderId="10" xfId="0" applyFont="1" applyBorder="1" applyAlignment="1">
      <alignment horizontal="left"/>
    </xf>
    <xf numFmtId="0" fontId="2" fillId="0" borderId="11" xfId="0" applyFont="1" applyBorder="1" applyAlignment="1">
      <alignment horizontal="left"/>
    </xf>
    <xf numFmtId="1" fontId="2" fillId="0" borderId="12" xfId="0" applyNumberFormat="1" applyFont="1" applyBorder="1" applyAlignment="1">
      <alignment horizontal="left"/>
    </xf>
    <xf numFmtId="0" fontId="2" fillId="0" borderId="1" xfId="0" applyFont="1" applyBorder="1" applyAlignment="1">
      <alignment horizontal="left"/>
    </xf>
    <xf numFmtId="167" fontId="0" fillId="0" borderId="4" xfId="0" applyNumberFormat="1" applyBorder="1" applyAlignment="1">
      <alignment horizontal="center"/>
    </xf>
    <xf numFmtId="1" fontId="0" fillId="0" borderId="5" xfId="0" applyNumberFormat="1" applyBorder="1" applyAlignment="1">
      <alignment horizontal="left"/>
    </xf>
    <xf numFmtId="0" fontId="0" fillId="0" borderId="6" xfId="0" applyBorder="1" applyAlignment="1"/>
    <xf numFmtId="165" fontId="0" fillId="0" borderId="10" xfId="0" applyNumberFormat="1" applyBorder="1" applyAlignment="1">
      <alignment horizontal="center"/>
    </xf>
    <xf numFmtId="0" fontId="0" fillId="0" borderId="2" xfId="0" applyBorder="1" applyAlignment="1">
      <alignment horizontal="center"/>
    </xf>
    <xf numFmtId="165" fontId="0" fillId="0" borderId="12" xfId="0" applyNumberFormat="1" applyBorder="1" applyAlignment="1">
      <alignment horizontal="center"/>
    </xf>
    <xf numFmtId="0" fontId="0" fillId="0" borderId="4" xfId="0" applyBorder="1" applyAlignment="1">
      <alignment horizontal="center"/>
    </xf>
    <xf numFmtId="1" fontId="0" fillId="0" borderId="5" xfId="0" applyNumberForma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4" fillId="0" borderId="0" xfId="0" applyFont="1" applyAlignment="1">
      <alignment vertical="top" wrapText="1"/>
    </xf>
    <xf numFmtId="0" fontId="4" fillId="0" borderId="0" xfId="0" applyFont="1" applyAlignment="1">
      <alignment wrapText="1"/>
    </xf>
    <xf numFmtId="0" fontId="0" fillId="0" borderId="0" xfId="0" applyAlignment="1">
      <alignment wrapText="1"/>
    </xf>
    <xf numFmtId="0" fontId="0" fillId="0" borderId="0" xfId="0" applyAlignmen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152400</xdr:colOff>
      <xdr:row>6</xdr:row>
      <xdr:rowOff>0</xdr:rowOff>
    </xdr:from>
    <xdr:to>
      <xdr:col>5</xdr:col>
      <xdr:colOff>438150</xdr:colOff>
      <xdr:row>6</xdr:row>
      <xdr:rowOff>0</xdr:rowOff>
    </xdr:to>
    <xdr:sp macro="" textlink="">
      <xdr:nvSpPr>
        <xdr:cNvPr id="1026" name="Text Box 2"/>
        <xdr:cNvSpPr txBox="1">
          <a:spLocks noChangeArrowheads="1"/>
        </xdr:cNvSpPr>
      </xdr:nvSpPr>
      <xdr:spPr bwMode="auto">
        <a:xfrm>
          <a:off x="5314950" y="1019175"/>
          <a:ext cx="28575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7"/>
  <sheetViews>
    <sheetView tabSelected="1" view="pageBreakPreview" zoomScaleNormal="100" workbookViewId="0">
      <selection activeCell="G105" sqref="G105:G113"/>
    </sheetView>
  </sheetViews>
  <sheetFormatPr defaultRowHeight="12.75" x14ac:dyDescent="0.2"/>
  <cols>
    <col min="1" max="1" width="41.5703125" customWidth="1"/>
    <col min="2" max="2" width="9.140625" style="2"/>
    <col min="3" max="3" width="9.7109375" style="2" customWidth="1"/>
    <col min="4" max="4" width="9.42578125" style="1" customWidth="1"/>
    <col min="5" max="5" width="7.5703125" style="1" customWidth="1"/>
    <col min="6" max="6" width="8.5703125" customWidth="1"/>
    <col min="9" max="9" width="13.140625" customWidth="1"/>
    <col min="10" max="10" width="3" customWidth="1"/>
  </cols>
  <sheetData>
    <row r="1" spans="1:9" ht="13.5" thickBot="1" x14ac:dyDescent="0.25">
      <c r="A1" s="28" t="s">
        <v>54</v>
      </c>
    </row>
    <row r="2" spans="1:9" ht="13.5" thickBot="1" x14ac:dyDescent="0.25">
      <c r="C2" s="51" t="s">
        <v>55</v>
      </c>
      <c r="D2" s="52"/>
      <c r="E2" s="53"/>
    </row>
    <row r="3" spans="1:9" ht="13.5" thickBot="1" x14ac:dyDescent="0.25">
      <c r="C3" s="34" t="s">
        <v>20</v>
      </c>
      <c r="D3" s="35" t="s">
        <v>21</v>
      </c>
      <c r="E3" s="19">
        <v>0.622</v>
      </c>
    </row>
    <row r="4" spans="1:9" ht="13.5" thickBot="1" x14ac:dyDescent="0.25">
      <c r="A4" s="26" t="s">
        <v>36</v>
      </c>
      <c r="C4" s="36" t="s">
        <v>22</v>
      </c>
      <c r="D4" s="37" t="s">
        <v>21</v>
      </c>
      <c r="E4" s="44">
        <v>0.77</v>
      </c>
    </row>
    <row r="5" spans="1:9" ht="13.5" thickBot="1" x14ac:dyDescent="0.25">
      <c r="A5" s="27"/>
      <c r="B5" s="45" t="s">
        <v>53</v>
      </c>
      <c r="C5" s="46"/>
      <c r="D5" s="46"/>
      <c r="E5" s="33"/>
    </row>
    <row r="7" spans="1:9" s="4" customFormat="1" ht="27.75" customHeight="1" x14ac:dyDescent="0.2">
      <c r="B7" s="6" t="s">
        <v>1</v>
      </c>
      <c r="C7" s="6" t="s">
        <v>2</v>
      </c>
      <c r="D7" s="5" t="s">
        <v>11</v>
      </c>
      <c r="E7" s="5" t="s">
        <v>17</v>
      </c>
      <c r="F7" s="5" t="s">
        <v>18</v>
      </c>
      <c r="G7" s="5" t="s">
        <v>19</v>
      </c>
    </row>
    <row r="8" spans="1:9" ht="13.5" thickBot="1" x14ac:dyDescent="0.25">
      <c r="B8" s="2" t="s">
        <v>10</v>
      </c>
      <c r="C8" s="2" t="s">
        <v>10</v>
      </c>
      <c r="D8" s="1" t="s">
        <v>12</v>
      </c>
      <c r="E8" s="1" t="s">
        <v>9</v>
      </c>
      <c r="F8" s="1" t="s">
        <v>13</v>
      </c>
      <c r="G8" s="1" t="s">
        <v>13</v>
      </c>
    </row>
    <row r="9" spans="1:9" ht="13.5" thickBot="1" x14ac:dyDescent="0.25">
      <c r="A9" s="20" t="s">
        <v>0</v>
      </c>
      <c r="B9" s="21"/>
      <c r="C9" s="21"/>
      <c r="D9" s="22"/>
      <c r="E9" s="29">
        <v>2</v>
      </c>
    </row>
    <row r="10" spans="1:9" x14ac:dyDescent="0.2">
      <c r="A10" s="38" t="s">
        <v>30</v>
      </c>
      <c r="B10" s="9">
        <v>1200</v>
      </c>
      <c r="C10" s="9">
        <v>500</v>
      </c>
      <c r="D10" s="16">
        <f>((B10-300)*0.006243*(E3))+((C10-350)*0.006243*(E4))</f>
        <v>4.2158978999999999</v>
      </c>
      <c r="E10" s="14"/>
      <c r="F10" s="7">
        <f>(E10/100)*(B10-300)*0.006243*E3*E5</f>
        <v>0</v>
      </c>
      <c r="G10" s="7">
        <f>(E10/100)*(C10-350)*0.006243*$E$4*$E$5</f>
        <v>0</v>
      </c>
      <c r="H10" s="12"/>
      <c r="I10" s="12"/>
    </row>
    <row r="11" spans="1:9" x14ac:dyDescent="0.2">
      <c r="A11" s="38" t="s">
        <v>31</v>
      </c>
      <c r="B11" s="9">
        <v>1140</v>
      </c>
      <c r="C11" s="9">
        <v>475</v>
      </c>
      <c r="D11" s="17">
        <f>((B11-300)*0.006243*(E3))+((C11-350)*0.006243*(E4))</f>
        <v>3.8627313900000004</v>
      </c>
      <c r="E11" s="15"/>
      <c r="F11" s="7">
        <f>(E11/100)*(B11-300)*0.006243*E3*E5</f>
        <v>0</v>
      </c>
      <c r="G11" s="7">
        <f t="shared" ref="G11:G18" si="0">(E11/100)*(C11-350)*0.006243*$E$4*$E$5</f>
        <v>0</v>
      </c>
      <c r="H11" s="12"/>
      <c r="I11" s="12"/>
    </row>
    <row r="12" spans="1:9" x14ac:dyDescent="0.2">
      <c r="A12" s="38" t="s">
        <v>32</v>
      </c>
      <c r="B12" s="9">
        <v>1080</v>
      </c>
      <c r="C12" s="9">
        <v>450</v>
      </c>
      <c r="D12" s="17">
        <f>((B12-300)*0.006243*(E3))+((C12-350)*0.006243*(E4))</f>
        <v>3.5095648800000001</v>
      </c>
      <c r="E12" s="15"/>
      <c r="F12" s="7">
        <f>(E12/100)*(B12-300)*0.006243*E3*E5</f>
        <v>0</v>
      </c>
      <c r="G12" s="7">
        <f t="shared" si="0"/>
        <v>0</v>
      </c>
      <c r="H12" s="12"/>
      <c r="I12" s="12"/>
    </row>
    <row r="13" spans="1:9" x14ac:dyDescent="0.2">
      <c r="A13" s="38" t="s">
        <v>14</v>
      </c>
      <c r="B13" s="9">
        <v>1164</v>
      </c>
      <c r="C13" s="9">
        <v>485</v>
      </c>
      <c r="D13" s="17">
        <f>((B13-300)*0.006243*(E3))+((C13-350)*0.006243*(E4))</f>
        <v>4.0039979940000006</v>
      </c>
      <c r="E13" s="15"/>
      <c r="F13" s="7">
        <f>(E13/100)*(B13-300)*0.006243*E3*E5</f>
        <v>0</v>
      </c>
      <c r="G13" s="7">
        <f t="shared" si="0"/>
        <v>0</v>
      </c>
      <c r="H13" s="12"/>
      <c r="I13" s="12"/>
    </row>
    <row r="14" spans="1:9" x14ac:dyDescent="0.2">
      <c r="A14" s="38" t="s">
        <v>15</v>
      </c>
      <c r="B14" s="9">
        <v>1104</v>
      </c>
      <c r="C14" s="9">
        <v>460</v>
      </c>
      <c r="D14" s="17">
        <f>((B14-300)*0.006243*(E3))+((C14-350)*0.006243*(E4))</f>
        <v>3.6508314840000002</v>
      </c>
      <c r="E14" s="15"/>
      <c r="F14" s="7">
        <f>(E14/100)*(B14-300)*0.006243*E3*E5</f>
        <v>0</v>
      </c>
      <c r="G14" s="7">
        <f t="shared" si="0"/>
        <v>0</v>
      </c>
      <c r="H14" s="12"/>
      <c r="I14" s="12"/>
    </row>
    <row r="15" spans="1:9" x14ac:dyDescent="0.2">
      <c r="A15" s="38" t="s">
        <v>16</v>
      </c>
      <c r="B15" s="9">
        <v>1044</v>
      </c>
      <c r="C15" s="9">
        <v>435</v>
      </c>
      <c r="D15" s="17">
        <f>((B15-300)*0.006243*(E3))+((C15-350)*0.006243*(E4))</f>
        <v>3.2976649739999999</v>
      </c>
      <c r="E15" s="15"/>
      <c r="F15" s="7">
        <f>(E15/100)*(B15-300)*0.006243*E3*E5</f>
        <v>0</v>
      </c>
      <c r="G15" s="7">
        <f t="shared" si="0"/>
        <v>0</v>
      </c>
      <c r="H15" s="12"/>
      <c r="I15" s="12"/>
    </row>
    <row r="16" spans="1:9" x14ac:dyDescent="0.2">
      <c r="A16" s="38" t="s">
        <v>33</v>
      </c>
      <c r="B16" s="9">
        <v>1116</v>
      </c>
      <c r="C16" s="9">
        <v>465</v>
      </c>
      <c r="D16" s="17">
        <f>((B16-300)*0.006243*(E3))+((C16-350)*0.006243*(E4))</f>
        <v>3.7214647860000003</v>
      </c>
      <c r="E16" s="15"/>
      <c r="F16" s="7">
        <f>(E16/100)*(B16-300)*0.006243*E3*E5</f>
        <v>0</v>
      </c>
      <c r="G16" s="7">
        <f t="shared" si="0"/>
        <v>0</v>
      </c>
      <c r="H16" s="12"/>
      <c r="I16" s="12"/>
    </row>
    <row r="17" spans="1:9" x14ac:dyDescent="0.2">
      <c r="A17" s="38" t="s">
        <v>34</v>
      </c>
      <c r="B17" s="9">
        <v>1056</v>
      </c>
      <c r="C17" s="9">
        <v>440</v>
      </c>
      <c r="D17" s="17">
        <f>((B17-300)*0.006243*(E3))+((C17-350)*0.006243*(E4))</f>
        <v>3.3682982759999995</v>
      </c>
      <c r="E17" s="15"/>
      <c r="F17" s="7">
        <f>(E17/100)*(B17-300)*0.006243*E3*E5</f>
        <v>0</v>
      </c>
      <c r="G17" s="7">
        <f t="shared" si="0"/>
        <v>0</v>
      </c>
      <c r="H17" s="12"/>
      <c r="I17" s="12"/>
    </row>
    <row r="18" spans="1:9" ht="13.5" thickBot="1" x14ac:dyDescent="0.25">
      <c r="A18" s="39" t="s">
        <v>35</v>
      </c>
      <c r="B18" s="10">
        <v>996</v>
      </c>
      <c r="C18" s="10">
        <v>415</v>
      </c>
      <c r="D18" s="18">
        <f>((B18-300)*0.006243*(E3))+((C18-350)*0.006243*(E4))</f>
        <v>3.0151317660000001</v>
      </c>
      <c r="E18" s="15"/>
      <c r="F18" s="7">
        <f>(E18/100)*(B18-300)*0.006243*E3*E5</f>
        <v>0</v>
      </c>
      <c r="G18" s="7">
        <f t="shared" si="0"/>
        <v>0</v>
      </c>
      <c r="H18" s="12"/>
      <c r="I18" s="12"/>
    </row>
    <row r="19" spans="1:9" ht="13.5" thickBot="1" x14ac:dyDescent="0.25">
      <c r="D19" s="3"/>
      <c r="E19" s="13"/>
      <c r="F19" s="7"/>
      <c r="G19" s="12"/>
      <c r="H19" s="12"/>
      <c r="I19" s="12"/>
    </row>
    <row r="20" spans="1:9" ht="13.5" thickBot="1" x14ac:dyDescent="0.25">
      <c r="A20" s="20" t="s">
        <v>3</v>
      </c>
      <c r="B20" s="21"/>
      <c r="C20" s="21"/>
      <c r="D20" s="23"/>
      <c r="E20" s="13"/>
      <c r="F20" s="7"/>
      <c r="G20" s="12"/>
      <c r="H20" s="12"/>
      <c r="I20" s="12"/>
    </row>
    <row r="21" spans="1:9" x14ac:dyDescent="0.2">
      <c r="A21" s="38" t="s">
        <v>30</v>
      </c>
      <c r="B21" s="9">
        <v>550</v>
      </c>
      <c r="C21" s="9">
        <v>450</v>
      </c>
      <c r="D21" s="16">
        <f>((B21-300)*0.006243*(E3))+((C21-350)*0.006243*(E4))</f>
        <v>1.4514975000000001</v>
      </c>
      <c r="E21" s="15"/>
      <c r="F21" s="7">
        <f>(E21/100)*(B21-300)*0.006243*E3*E5</f>
        <v>0</v>
      </c>
      <c r="G21" s="7">
        <f>(E21/100)*(C21-350)*0.006243*$E$4*$E$5</f>
        <v>0</v>
      </c>
      <c r="H21" s="12"/>
      <c r="I21" s="12"/>
    </row>
    <row r="22" spans="1:9" x14ac:dyDescent="0.2">
      <c r="A22" s="38" t="s">
        <v>31</v>
      </c>
      <c r="B22" s="9">
        <v>522.5</v>
      </c>
      <c r="C22" s="9">
        <v>427.5</v>
      </c>
      <c r="D22" s="17">
        <f>((B22-300)*0.006243*(E3))+((C22-350)*0.006243*(E4))</f>
        <v>1.2365510100000001</v>
      </c>
      <c r="E22" s="15"/>
      <c r="F22" s="7">
        <f>(E22/100)*(B22-300)*0.006243*E3*E5</f>
        <v>0</v>
      </c>
      <c r="G22" s="7">
        <f t="shared" ref="G22:G29" si="1">(E22/100)*(C22-350)*0.006243*$E$4*$E$5</f>
        <v>0</v>
      </c>
      <c r="H22" s="12"/>
      <c r="I22" s="12"/>
    </row>
    <row r="23" spans="1:9" x14ac:dyDescent="0.2">
      <c r="A23" s="38" t="s">
        <v>32</v>
      </c>
      <c r="B23" s="9">
        <v>495</v>
      </c>
      <c r="C23" s="9">
        <v>405</v>
      </c>
      <c r="D23" s="17">
        <f>((B23-300)*0.006243*(E3))+((C23-350)*0.006243*(E4))</f>
        <v>1.0216045200000001</v>
      </c>
      <c r="E23" s="15"/>
      <c r="F23" s="7">
        <f>(E23/100)*(B23-300)*0.006243*E3*E5</f>
        <v>0</v>
      </c>
      <c r="G23" s="7">
        <f t="shared" si="1"/>
        <v>0</v>
      </c>
      <c r="H23" s="12"/>
      <c r="I23" s="12"/>
    </row>
    <row r="24" spans="1:9" x14ac:dyDescent="0.2">
      <c r="A24" s="38" t="s">
        <v>14</v>
      </c>
      <c r="B24" s="9">
        <v>539</v>
      </c>
      <c r="C24" s="9">
        <v>441</v>
      </c>
      <c r="D24" s="17">
        <f>((B24-300)*0.006243*(E3))+((C24-350)*0.006243*(E4))</f>
        <v>1.365518904</v>
      </c>
      <c r="E24" s="15"/>
      <c r="F24" s="7">
        <f>(E24/100)*(B24-300)*0.006243*E3*E5</f>
        <v>0</v>
      </c>
      <c r="G24" s="7">
        <f t="shared" si="1"/>
        <v>0</v>
      </c>
      <c r="H24" s="12"/>
      <c r="I24" s="12"/>
    </row>
    <row r="25" spans="1:9" x14ac:dyDescent="0.2">
      <c r="A25" s="38" t="s">
        <v>15</v>
      </c>
      <c r="B25" s="9">
        <v>511.5</v>
      </c>
      <c r="C25" s="9">
        <v>418.5</v>
      </c>
      <c r="D25" s="17">
        <f>((B25-300)*0.006243*(E3))+((C25-350)*0.006243*(E4))</f>
        <v>1.150572414</v>
      </c>
      <c r="E25" s="15"/>
      <c r="F25" s="7">
        <f>(E25/100)*(B25-300)*0.006243*E3*E5</f>
        <v>0</v>
      </c>
      <c r="G25" s="7">
        <f t="shared" si="1"/>
        <v>0</v>
      </c>
      <c r="H25" s="12"/>
      <c r="I25" s="12"/>
    </row>
    <row r="26" spans="1:9" x14ac:dyDescent="0.2">
      <c r="A26" s="38" t="s">
        <v>16</v>
      </c>
      <c r="B26" s="9">
        <v>484</v>
      </c>
      <c r="C26" s="9">
        <v>396</v>
      </c>
      <c r="D26" s="17">
        <f>((B26-300)*0.006243*(E3))+((C26-350)*0.006243*(E4))</f>
        <v>0.935625924</v>
      </c>
      <c r="E26" s="15"/>
      <c r="F26" s="7">
        <f>(E26/100)*(B26-300)*0.006243*E3*E5</f>
        <v>0</v>
      </c>
      <c r="G26" s="7">
        <f t="shared" si="1"/>
        <v>0</v>
      </c>
      <c r="H26" s="12"/>
      <c r="I26" s="12"/>
    </row>
    <row r="27" spans="1:9" x14ac:dyDescent="0.2">
      <c r="A27" s="38" t="s">
        <v>33</v>
      </c>
      <c r="B27" s="9">
        <v>528</v>
      </c>
      <c r="C27" s="9">
        <v>432</v>
      </c>
      <c r="D27" s="17">
        <f>((B27-300)*0.006243*(E3))+((C27-350)*0.006243*(E4))</f>
        <v>1.2795403080000001</v>
      </c>
      <c r="E27" s="15"/>
      <c r="F27" s="7">
        <f>(E27/100)*(B27-300)*0.006243*E3*E5</f>
        <v>0</v>
      </c>
      <c r="G27" s="7">
        <f t="shared" si="1"/>
        <v>0</v>
      </c>
      <c r="H27" s="12"/>
      <c r="I27" s="12"/>
    </row>
    <row r="28" spans="1:9" x14ac:dyDescent="0.2">
      <c r="A28" s="38" t="s">
        <v>34</v>
      </c>
      <c r="B28" s="9">
        <v>500.5</v>
      </c>
      <c r="C28" s="9">
        <v>409.5</v>
      </c>
      <c r="D28" s="17">
        <f>((B28-300)*0.006243*(E3))+((C28-350)*0.006243*(E4))</f>
        <v>1.0645938180000001</v>
      </c>
      <c r="E28" s="15"/>
      <c r="F28" s="7">
        <f>(E28/100)*(B28-300)*0.006243*E3*E5</f>
        <v>0</v>
      </c>
      <c r="G28" s="7">
        <f t="shared" si="1"/>
        <v>0</v>
      </c>
      <c r="H28" s="12"/>
      <c r="I28" s="12"/>
    </row>
    <row r="29" spans="1:9" ht="13.5" thickBot="1" x14ac:dyDescent="0.25">
      <c r="A29" s="39" t="s">
        <v>35</v>
      </c>
      <c r="B29" s="10">
        <v>473</v>
      </c>
      <c r="C29" s="10">
        <v>387</v>
      </c>
      <c r="D29" s="18">
        <f>((B29-300)*0.006243*(E3))+((C29-350)*0.006243*(E4))</f>
        <v>0.84964732799999998</v>
      </c>
      <c r="E29" s="15"/>
      <c r="F29" s="7">
        <f>(E29/100)*(B29-300)*0.006243*E3*E5</f>
        <v>0</v>
      </c>
      <c r="G29" s="7">
        <f t="shared" si="1"/>
        <v>0</v>
      </c>
      <c r="H29" s="12"/>
      <c r="I29" s="12"/>
    </row>
    <row r="30" spans="1:9" ht="13.5" thickBot="1" x14ac:dyDescent="0.25">
      <c r="D30" s="3"/>
      <c r="E30" s="13"/>
      <c r="F30" s="7"/>
      <c r="G30" s="12"/>
      <c r="H30" s="12"/>
      <c r="I30" s="12"/>
    </row>
    <row r="31" spans="1:9" ht="13.5" customHeight="1" thickBot="1" x14ac:dyDescent="0.25">
      <c r="A31" s="20" t="s">
        <v>25</v>
      </c>
      <c r="B31" s="21"/>
      <c r="C31" s="21"/>
      <c r="D31" s="23"/>
      <c r="E31" s="13"/>
      <c r="F31" s="7"/>
      <c r="G31" s="12"/>
      <c r="H31" s="12"/>
      <c r="I31" s="12"/>
    </row>
    <row r="32" spans="1:9" x14ac:dyDescent="0.2">
      <c r="A32" s="38" t="s">
        <v>30</v>
      </c>
      <c r="B32" s="9">
        <v>1050</v>
      </c>
      <c r="C32" s="9">
        <v>650</v>
      </c>
      <c r="D32" s="17">
        <f>((B32-300)*0.006243*(E3))+((C32-350)*0.006243*(E4))</f>
        <v>4.3544925000000001</v>
      </c>
      <c r="E32" s="15"/>
      <c r="F32" s="7">
        <f>(E45/100)*(B32-300)*0.006243*E3*E5</f>
        <v>0</v>
      </c>
      <c r="G32" s="7">
        <f>(E45/100)*(C32-350)*0.006243*$E$4*$E$5</f>
        <v>0</v>
      </c>
      <c r="H32" s="12"/>
      <c r="I32" s="12"/>
    </row>
    <row r="33" spans="1:9" ht="12.75" customHeight="1" x14ac:dyDescent="0.2">
      <c r="A33" s="38" t="s">
        <v>31</v>
      </c>
      <c r="B33" s="9">
        <v>997.5</v>
      </c>
      <c r="C33" s="9">
        <v>617.5</v>
      </c>
      <c r="D33" s="17">
        <f>((B33-300)*0.006243*(E3))+((C33-350)*0.006243*(E4))</f>
        <v>3.9943962600000003</v>
      </c>
      <c r="E33" s="15"/>
      <c r="F33" s="7">
        <f>(E33/100)*(B33-300)*0.006243*E3*E5</f>
        <v>0</v>
      </c>
      <c r="G33" s="7">
        <f t="shared" ref="G33:G40" si="2">(E46/100)*(C33-350)*0.006243*$E$4*$E$5</f>
        <v>0</v>
      </c>
      <c r="H33" s="12"/>
      <c r="I33" s="12"/>
    </row>
    <row r="34" spans="1:9" x14ac:dyDescent="0.2">
      <c r="A34" s="38" t="s">
        <v>32</v>
      </c>
      <c r="B34" s="9">
        <v>945</v>
      </c>
      <c r="C34" s="9">
        <v>585</v>
      </c>
      <c r="D34" s="17">
        <f>((B34-300)*0.006243*(E3))+((C34-350)*0.006243*(E4))</f>
        <v>3.6343000200000004</v>
      </c>
      <c r="E34" s="15"/>
      <c r="F34" s="7">
        <f>(E34/100)*(B34-300)*0.006243*E3*E5</f>
        <v>0</v>
      </c>
      <c r="G34" s="7">
        <f t="shared" si="2"/>
        <v>0</v>
      </c>
      <c r="H34" s="12"/>
      <c r="I34" s="12"/>
    </row>
    <row r="35" spans="1:9" x14ac:dyDescent="0.2">
      <c r="A35" s="38" t="s">
        <v>14</v>
      </c>
      <c r="B35" s="9">
        <v>1018.5</v>
      </c>
      <c r="C35" s="9">
        <v>630.5</v>
      </c>
      <c r="D35" s="17">
        <f>((B35-300)*0.006243*(E3))+((C35-350)*0.006243*(E4))</f>
        <v>4.1384347560000005</v>
      </c>
      <c r="E35" s="15"/>
      <c r="F35" s="7">
        <f>(E35/100)*(B35-300)*0.006243*E3*E5</f>
        <v>0</v>
      </c>
      <c r="G35" s="7">
        <f t="shared" si="2"/>
        <v>0</v>
      </c>
      <c r="H35" s="12"/>
      <c r="I35" s="12"/>
    </row>
    <row r="36" spans="1:9" x14ac:dyDescent="0.2">
      <c r="A36" s="38" t="s">
        <v>15</v>
      </c>
      <c r="B36" s="9">
        <v>966</v>
      </c>
      <c r="C36" s="9">
        <v>598</v>
      </c>
      <c r="D36" s="17">
        <f>((B36-300)*0.006243*(E3))+((C36-350)*0.006243*(E4))</f>
        <v>3.7783385159999998</v>
      </c>
      <c r="E36" s="15"/>
      <c r="F36" s="7">
        <f>(E36/100)*(B36-300)*0.006243*E3*E5</f>
        <v>0</v>
      </c>
      <c r="G36" s="7">
        <f t="shared" si="2"/>
        <v>0</v>
      </c>
      <c r="H36" s="12"/>
      <c r="I36" s="12"/>
    </row>
    <row r="37" spans="1:9" x14ac:dyDescent="0.2">
      <c r="A37" s="38" t="s">
        <v>16</v>
      </c>
      <c r="B37" s="9">
        <v>913.5</v>
      </c>
      <c r="C37" s="9">
        <v>565.5</v>
      </c>
      <c r="D37" s="17">
        <f>((B37-300)*0.006243*(E3))+((C37-350)*0.006243*(E4))</f>
        <v>3.418242276</v>
      </c>
      <c r="E37" s="15"/>
      <c r="F37" s="7">
        <f>(E37/100)*(B37-300)*0.006243*E3*E5</f>
        <v>0</v>
      </c>
      <c r="G37" s="7">
        <f t="shared" si="2"/>
        <v>0</v>
      </c>
      <c r="H37" s="12"/>
      <c r="I37" s="12"/>
    </row>
    <row r="38" spans="1:9" x14ac:dyDescent="0.2">
      <c r="A38" s="38" t="s">
        <v>33</v>
      </c>
      <c r="B38" s="9">
        <v>976.5</v>
      </c>
      <c r="C38" s="9">
        <v>604.5</v>
      </c>
      <c r="D38" s="17">
        <f>((B38-300)*0.006243*(E3))+((C38-350)*0.006243*(E4))</f>
        <v>3.8503577640000008</v>
      </c>
      <c r="E38" s="15"/>
      <c r="F38" s="7">
        <f>(E38/100)*(B38-300)*0.006243*E3*E5</f>
        <v>0</v>
      </c>
      <c r="G38" s="7">
        <f t="shared" si="2"/>
        <v>0</v>
      </c>
      <c r="H38" s="12"/>
      <c r="I38" s="12"/>
    </row>
    <row r="39" spans="1:9" x14ac:dyDescent="0.2">
      <c r="A39" s="38" t="s">
        <v>34</v>
      </c>
      <c r="B39" s="9">
        <v>924</v>
      </c>
      <c r="C39" s="9">
        <v>572</v>
      </c>
      <c r="D39" s="17">
        <f>((B39-300)*0.006243*(E3))+((C39-350)*0.006243*(E4))</f>
        <v>3.4902615240000001</v>
      </c>
      <c r="E39" s="15"/>
      <c r="F39" s="7">
        <f>(E39/100)*(B39-300)*0.006243*E3*E5</f>
        <v>0</v>
      </c>
      <c r="G39" s="7">
        <f t="shared" si="2"/>
        <v>0</v>
      </c>
      <c r="H39" s="12"/>
      <c r="I39" s="12"/>
    </row>
    <row r="40" spans="1:9" ht="13.5" thickBot="1" x14ac:dyDescent="0.25">
      <c r="A40" s="39" t="s">
        <v>35</v>
      </c>
      <c r="B40" s="10">
        <v>871.5</v>
      </c>
      <c r="C40" s="10">
        <v>539.5</v>
      </c>
      <c r="D40" s="18">
        <f>((B40-300)*0.006243*(E3))+((C40-350)*0.006243*(E4))</f>
        <v>3.1301652839999998</v>
      </c>
      <c r="E40" s="15"/>
      <c r="F40" s="7">
        <f>(E40/100)*(B40-300)*0.006243*E3*E5</f>
        <v>0</v>
      </c>
      <c r="G40" s="7">
        <f t="shared" si="2"/>
        <v>0</v>
      </c>
      <c r="H40" s="12"/>
      <c r="I40" s="12"/>
    </row>
    <row r="41" spans="1:9" ht="13.5" thickBot="1" x14ac:dyDescent="0.25">
      <c r="D41" s="3"/>
      <c r="E41" s="13"/>
      <c r="F41" s="7"/>
      <c r="G41" s="12"/>
      <c r="H41" s="12"/>
      <c r="I41" s="12"/>
    </row>
    <row r="42" spans="1:9" ht="13.5" thickBot="1" x14ac:dyDescent="0.25">
      <c r="A42" s="20" t="s">
        <v>4</v>
      </c>
      <c r="B42" s="21"/>
      <c r="C42" s="21"/>
      <c r="D42" s="23"/>
      <c r="E42" s="13"/>
      <c r="F42" s="7"/>
      <c r="G42" s="12"/>
      <c r="H42" s="12"/>
      <c r="I42" s="12"/>
    </row>
    <row r="43" spans="1:9" x14ac:dyDescent="0.2">
      <c r="A43" s="38" t="s">
        <v>30</v>
      </c>
      <c r="B43" s="9">
        <v>1700</v>
      </c>
      <c r="C43" s="9">
        <v>540</v>
      </c>
      <c r="D43" s="17">
        <f>((B43-300)*0.006243*(E3))+((C43-350)*0.006243*(E4))</f>
        <v>6.3497553</v>
      </c>
      <c r="E43" s="15"/>
      <c r="F43" s="7">
        <f>(E43/100)*(B43-300)*0.006243*E3*E5</f>
        <v>0</v>
      </c>
      <c r="G43" s="7">
        <f>(E43/100)*(C43-350)*0.006243*$E$4*$E$5</f>
        <v>0</v>
      </c>
      <c r="H43" s="12"/>
      <c r="I43" s="12"/>
    </row>
    <row r="44" spans="1:9" x14ac:dyDescent="0.2">
      <c r="A44" s="38" t="s">
        <v>31</v>
      </c>
      <c r="B44" s="9">
        <v>1657.5</v>
      </c>
      <c r="C44" s="9">
        <v>526.5</v>
      </c>
      <c r="D44" s="17">
        <f>((B44-300)*0.006243*(E3))+((C44-350)*0.006243*(E4))</f>
        <v>6.1198256099999995</v>
      </c>
      <c r="E44" s="15"/>
      <c r="F44" s="7">
        <f>(E44/100)*(B44-300)*0.006243*E3*E5</f>
        <v>0</v>
      </c>
      <c r="G44" s="7">
        <f t="shared" ref="G44:G51" si="3">(E44/100)*(C44-350)*0.006243*$E$4*$E$5</f>
        <v>0</v>
      </c>
      <c r="H44" s="12"/>
      <c r="I44" s="12"/>
    </row>
    <row r="45" spans="1:9" x14ac:dyDescent="0.2">
      <c r="A45" s="38" t="s">
        <v>32</v>
      </c>
      <c r="B45" s="9">
        <v>1615</v>
      </c>
      <c r="C45" s="9">
        <v>513</v>
      </c>
      <c r="D45" s="17">
        <f>((B45-300)*0.006243*(E3))+((C45-350)*0.006243*(E4))</f>
        <v>5.8898959199999998</v>
      </c>
      <c r="E45" s="15"/>
      <c r="F45" s="7">
        <f>(E45/100)*(B45-300)*0.006243*E3*E5</f>
        <v>0</v>
      </c>
      <c r="G45" s="7">
        <f t="shared" si="3"/>
        <v>0</v>
      </c>
      <c r="H45" s="12"/>
      <c r="I45" s="12"/>
    </row>
    <row r="46" spans="1:9" x14ac:dyDescent="0.2">
      <c r="A46" s="38" t="s">
        <v>14</v>
      </c>
      <c r="B46" s="9">
        <v>1683</v>
      </c>
      <c r="C46" s="9">
        <v>534.6</v>
      </c>
      <c r="D46" s="17">
        <f>((B46-300)*0.006243*(E3))+((C46-350)*0.006243*(E4))</f>
        <v>6.2577834240000003</v>
      </c>
      <c r="E46" s="15"/>
      <c r="F46" s="7">
        <f>(E46/100)*(B46-300)*0.006243*E3*E5</f>
        <v>0</v>
      </c>
      <c r="G46" s="7">
        <f t="shared" si="3"/>
        <v>0</v>
      </c>
      <c r="H46" s="12"/>
      <c r="I46" s="12"/>
    </row>
    <row r="47" spans="1:9" x14ac:dyDescent="0.2">
      <c r="A47" s="38" t="s">
        <v>15</v>
      </c>
      <c r="B47" s="9">
        <v>1649</v>
      </c>
      <c r="C47" s="9">
        <v>523.79999999999995</v>
      </c>
      <c r="D47" s="17">
        <f>((B47-300)*0.006243*(E3))+((C47-350)*0.006243*(E4))</f>
        <v>6.0738396720000001</v>
      </c>
      <c r="E47" s="15"/>
      <c r="F47" s="7">
        <f>(E47/100)*(B47-300)*0.006243*E3*E5</f>
        <v>0</v>
      </c>
      <c r="G47" s="7">
        <f t="shared" si="3"/>
        <v>0</v>
      </c>
      <c r="H47" s="12"/>
      <c r="I47" s="12"/>
    </row>
    <row r="48" spans="1:9" x14ac:dyDescent="0.2">
      <c r="A48" s="38" t="s">
        <v>16</v>
      </c>
      <c r="B48" s="9">
        <v>1606.5</v>
      </c>
      <c r="C48" s="9">
        <v>510.3</v>
      </c>
      <c r="D48" s="17">
        <f>((B48-300)*0.006243*(E3))+((C48-350)*0.006243*(E4))</f>
        <v>5.8439099819999996</v>
      </c>
      <c r="E48" s="15"/>
      <c r="F48" s="7">
        <f>(E48/100)*(B48-300)*0.006243*E3*E5</f>
        <v>0</v>
      </c>
      <c r="G48" s="7">
        <f t="shared" si="3"/>
        <v>0</v>
      </c>
      <c r="H48" s="12"/>
      <c r="I48" s="12"/>
    </row>
    <row r="49" spans="1:9" x14ac:dyDescent="0.2">
      <c r="A49" s="38" t="s">
        <v>33</v>
      </c>
      <c r="B49" s="9">
        <v>1623.5</v>
      </c>
      <c r="C49" s="9">
        <v>515.70000000000005</v>
      </c>
      <c r="D49" s="17">
        <f>((B49-300)*0.006243*(E3))+((C49-350)*0.006243*(E4))</f>
        <v>5.9358818580000001</v>
      </c>
      <c r="E49" s="15"/>
      <c r="F49" s="7">
        <f>(E49/100)*(B49-300)*0.006243*E3*E5</f>
        <v>0</v>
      </c>
      <c r="G49" s="7">
        <f t="shared" si="3"/>
        <v>0</v>
      </c>
      <c r="H49" s="12"/>
      <c r="I49" s="12"/>
    </row>
    <row r="50" spans="1:9" x14ac:dyDescent="0.2">
      <c r="A50" s="38" t="s">
        <v>34</v>
      </c>
      <c r="B50" s="9">
        <v>1581</v>
      </c>
      <c r="C50" s="9">
        <v>502.2</v>
      </c>
      <c r="D50" s="17">
        <f>((B50-300)*0.006243*(E3))+((C50-350)*0.006243*(E4))</f>
        <v>5.7059521680000005</v>
      </c>
      <c r="E50" s="15"/>
      <c r="F50" s="7">
        <f>(E50/100)*(B50-300)*0.006243*E3*E5</f>
        <v>0</v>
      </c>
      <c r="G50" s="7">
        <f t="shared" si="3"/>
        <v>0</v>
      </c>
      <c r="H50" s="12"/>
      <c r="I50" s="12"/>
    </row>
    <row r="51" spans="1:9" ht="13.5" thickBot="1" x14ac:dyDescent="0.25">
      <c r="A51" s="39" t="s">
        <v>35</v>
      </c>
      <c r="B51" s="10">
        <v>1538.5</v>
      </c>
      <c r="C51" s="10">
        <v>489</v>
      </c>
      <c r="D51" s="18">
        <f>((B51-300)*0.006243*(E3))+((C51-350)*0.006243*(E4))</f>
        <v>5.4774646110000003</v>
      </c>
      <c r="E51" s="15"/>
      <c r="F51" s="7">
        <f>(E51/100)*(B51-300)*0.006243*E3*E5</f>
        <v>0</v>
      </c>
      <c r="G51" s="7">
        <f t="shared" si="3"/>
        <v>0</v>
      </c>
      <c r="H51" s="12"/>
      <c r="I51" s="12"/>
    </row>
    <row r="52" spans="1:9" ht="13.5" thickBot="1" x14ac:dyDescent="0.25">
      <c r="D52" s="3"/>
      <c r="E52" s="13"/>
      <c r="F52" s="7"/>
      <c r="G52" s="12"/>
      <c r="H52" s="12"/>
      <c r="I52" s="12"/>
    </row>
    <row r="53" spans="1:9" ht="13.5" thickBot="1" x14ac:dyDescent="0.25">
      <c r="A53" s="20" t="s">
        <v>5</v>
      </c>
      <c r="B53" s="21"/>
      <c r="C53" s="21"/>
      <c r="D53" s="23"/>
      <c r="E53" s="13"/>
      <c r="F53" s="7"/>
      <c r="G53" s="12"/>
      <c r="H53" s="12"/>
      <c r="I53" s="12"/>
    </row>
    <row r="54" spans="1:9" x14ac:dyDescent="0.2">
      <c r="A54" s="38" t="s">
        <v>30</v>
      </c>
      <c r="B54" s="9">
        <v>1100</v>
      </c>
      <c r="C54" s="9">
        <v>500</v>
      </c>
      <c r="D54" s="17">
        <f>((B54-300)*0.006243*(E3))+((C54-350)*0.006243*(E4))</f>
        <v>3.8275833000000006</v>
      </c>
      <c r="E54" s="15"/>
      <c r="F54" s="7">
        <f>(E54/100)*(B54-300)*0.006243*E3*E5</f>
        <v>0</v>
      </c>
      <c r="G54" s="7">
        <f>(E54/100)*(C54-350)*0.006243*$E$4*$E$5</f>
        <v>0</v>
      </c>
      <c r="H54" s="12"/>
      <c r="I54" s="12"/>
    </row>
    <row r="55" spans="1:9" x14ac:dyDescent="0.2">
      <c r="A55" s="38" t="s">
        <v>31</v>
      </c>
      <c r="B55" s="9">
        <v>770</v>
      </c>
      <c r="C55" s="9">
        <v>350</v>
      </c>
      <c r="D55" s="17">
        <f>((B55-300)*0.006243*(E3))+((C55-350)*0.006243*(E4))</f>
        <v>1.8250786200000002</v>
      </c>
      <c r="E55" s="15"/>
      <c r="F55" s="7">
        <f>(E55/100)*(B55-300)*0.006243*E3*E5</f>
        <v>0</v>
      </c>
      <c r="G55" s="7">
        <f t="shared" ref="G55:G59" si="4">(E55/100)*(C55-350)*0.006243*$E$4*$E$5</f>
        <v>0</v>
      </c>
      <c r="H55" s="12"/>
      <c r="I55" s="12"/>
    </row>
    <row r="56" spans="1:9" x14ac:dyDescent="0.2">
      <c r="A56" s="38" t="s">
        <v>32</v>
      </c>
      <c r="B56" s="9">
        <v>440</v>
      </c>
      <c r="C56" s="9">
        <v>200</v>
      </c>
      <c r="D56" s="17">
        <f>((B56-300)*0.006243*(E3))</f>
        <v>0.54364044</v>
      </c>
      <c r="E56" s="15"/>
      <c r="F56" s="7">
        <f>(E56/100)*(B56-300)*0.006243*E3*E5</f>
        <v>0</v>
      </c>
      <c r="G56" s="7">
        <f t="shared" si="4"/>
        <v>0</v>
      </c>
      <c r="H56" s="12"/>
      <c r="I56" s="12"/>
    </row>
    <row r="57" spans="1:9" x14ac:dyDescent="0.2">
      <c r="A57" s="38" t="s">
        <v>33</v>
      </c>
      <c r="B57" s="9">
        <v>1056</v>
      </c>
      <c r="C57" s="9">
        <v>480</v>
      </c>
      <c r="D57" s="17">
        <f>((B57-300)*0.006243*(E3))+((C57-350)*0.006243*(E4))</f>
        <v>3.5605826759999997</v>
      </c>
      <c r="E57" s="15"/>
      <c r="F57" s="7">
        <f>(E57/100)*(B57-300)*0.006243*E3*E5</f>
        <v>0</v>
      </c>
      <c r="G57" s="7">
        <f t="shared" si="4"/>
        <v>0</v>
      </c>
      <c r="H57" s="12"/>
      <c r="I57" s="12"/>
    </row>
    <row r="58" spans="1:9" x14ac:dyDescent="0.2">
      <c r="A58" s="38" t="s">
        <v>34</v>
      </c>
      <c r="B58" s="9">
        <v>726</v>
      </c>
      <c r="C58" s="9">
        <v>330</v>
      </c>
      <c r="D58" s="17">
        <f>((B58-300)*0.006243*(E3))</f>
        <v>1.6542201960000003</v>
      </c>
      <c r="E58" s="15"/>
      <c r="F58" s="7">
        <f>(E58/100)*(B58-300)*0.006243*E3*E5</f>
        <v>0</v>
      </c>
      <c r="G58" s="7">
        <f t="shared" si="4"/>
        <v>0</v>
      </c>
      <c r="H58" s="12"/>
      <c r="I58" s="12"/>
    </row>
    <row r="59" spans="1:9" ht="13.5" thickBot="1" x14ac:dyDescent="0.25">
      <c r="A59" s="39" t="s">
        <v>35</v>
      </c>
      <c r="B59" s="10">
        <v>396</v>
      </c>
      <c r="C59" s="10">
        <v>180</v>
      </c>
      <c r="D59" s="18">
        <f>((B59-300)*0.006243*(E3))</f>
        <v>0.37278201600000005</v>
      </c>
      <c r="E59" s="15"/>
      <c r="F59" s="7">
        <f>(E59/100)*(B59-300)*0.006243*E3*E5</f>
        <v>0</v>
      </c>
      <c r="G59" s="7">
        <f t="shared" si="4"/>
        <v>0</v>
      </c>
      <c r="H59" s="12"/>
      <c r="I59" s="12"/>
    </row>
    <row r="60" spans="1:9" ht="13.5" thickBot="1" x14ac:dyDescent="0.25">
      <c r="D60" s="3"/>
      <c r="E60" s="13"/>
      <c r="F60" s="7"/>
      <c r="G60" s="12"/>
      <c r="H60" s="12"/>
      <c r="I60" s="12"/>
    </row>
    <row r="61" spans="1:9" ht="13.5" thickBot="1" x14ac:dyDescent="0.25">
      <c r="A61" s="20" t="s">
        <v>6</v>
      </c>
      <c r="B61" s="21"/>
      <c r="C61" s="21"/>
      <c r="D61" s="23"/>
      <c r="E61" s="13"/>
      <c r="F61" s="7"/>
      <c r="G61" s="12"/>
      <c r="H61" s="12"/>
      <c r="I61" s="12"/>
    </row>
    <row r="62" spans="1:9" x14ac:dyDescent="0.2">
      <c r="A62" s="38" t="s">
        <v>30</v>
      </c>
      <c r="B62" s="9">
        <v>1400</v>
      </c>
      <c r="C62" s="9">
        <v>1100</v>
      </c>
      <c r="D62" s="17">
        <f>((B62-300)*0.006243*(E3))+((C62-350)*0.006243*(E4))</f>
        <v>7.8767931000000004</v>
      </c>
      <c r="E62" s="15"/>
      <c r="F62" s="7">
        <f>(E62/100)*(B62-300)*0.006243*E3*E5</f>
        <v>0</v>
      </c>
      <c r="G62" s="7">
        <f>(E62/100)*(C62-350)*0.006243*$E$4*$E$5</f>
        <v>0</v>
      </c>
      <c r="H62" s="12"/>
      <c r="I62" s="12"/>
    </row>
    <row r="63" spans="1:9" x14ac:dyDescent="0.2">
      <c r="A63" s="38" t="s">
        <v>31</v>
      </c>
      <c r="B63" s="9">
        <v>1330</v>
      </c>
      <c r="C63" s="9">
        <v>1045</v>
      </c>
      <c r="D63" s="17">
        <f>((B63-300)*0.006243*(E3))+((C63-350)*0.006243*(E4))</f>
        <v>7.3405818300000005</v>
      </c>
      <c r="E63" s="15"/>
      <c r="F63" s="7">
        <f>(E63/100)*(B63-300)*0.006243*E3*E5</f>
        <v>0</v>
      </c>
      <c r="G63" s="7">
        <f t="shared" ref="G63:G67" si="5">(E63/100)*(C63-350)*0.006243*$E$4*$E$5</f>
        <v>0</v>
      </c>
      <c r="H63" s="12"/>
      <c r="I63" s="12"/>
    </row>
    <row r="64" spans="1:9" x14ac:dyDescent="0.2">
      <c r="A64" s="38" t="s">
        <v>32</v>
      </c>
      <c r="B64" s="9">
        <v>1260</v>
      </c>
      <c r="C64" s="9">
        <v>990</v>
      </c>
      <c r="D64" s="17">
        <f>((B64-300)*0.006243*(E3))+((C64-350)*0.006243*(E4))</f>
        <v>6.8043705600000006</v>
      </c>
      <c r="E64" s="15"/>
      <c r="F64" s="7">
        <f>(E64/100)*(B64-300)*0.006243*E3*E5</f>
        <v>0</v>
      </c>
      <c r="G64" s="7">
        <f t="shared" si="5"/>
        <v>0</v>
      </c>
      <c r="H64" s="12"/>
      <c r="I64" s="12"/>
    </row>
    <row r="65" spans="1:9" x14ac:dyDescent="0.2">
      <c r="A65" s="38" t="s">
        <v>33</v>
      </c>
      <c r="B65" s="9">
        <v>1344</v>
      </c>
      <c r="C65" s="9">
        <v>1056</v>
      </c>
      <c r="D65" s="17">
        <f>((B65-300)*0.006243*(E3))+((C65-350)*0.006243*(E4))</f>
        <v>7.4478240840000005</v>
      </c>
      <c r="E65" s="15"/>
      <c r="F65" s="7">
        <f>(E65/100)*(B65-300)*0.006243*E3*E5</f>
        <v>0</v>
      </c>
      <c r="G65" s="7">
        <f t="shared" si="5"/>
        <v>0</v>
      </c>
      <c r="H65" s="12"/>
      <c r="I65" s="12"/>
    </row>
    <row r="66" spans="1:9" x14ac:dyDescent="0.2">
      <c r="A66" s="38" t="s">
        <v>34</v>
      </c>
      <c r="B66" s="9">
        <v>1274</v>
      </c>
      <c r="C66" s="9">
        <v>1001</v>
      </c>
      <c r="D66" s="17">
        <f>((B66-300)*0.006243*(E3))+((C66-350)*0.006243*(E4))</f>
        <v>6.9116128139999997</v>
      </c>
      <c r="E66" s="15"/>
      <c r="F66" s="7">
        <f>(E66/100)*(B66-300)*0.006243*E3*E5</f>
        <v>0</v>
      </c>
      <c r="G66" s="7">
        <f t="shared" si="5"/>
        <v>0</v>
      </c>
      <c r="H66" s="12"/>
      <c r="I66" s="12"/>
    </row>
    <row r="67" spans="1:9" ht="13.5" thickBot="1" x14ac:dyDescent="0.25">
      <c r="A67" s="39" t="s">
        <v>35</v>
      </c>
      <c r="B67" s="10">
        <v>1204</v>
      </c>
      <c r="C67" s="10">
        <v>946</v>
      </c>
      <c r="D67" s="18">
        <f>((B67-300)*0.006243*(E3))+((C67-350)*0.006243*(E4))</f>
        <v>6.3754015440000007</v>
      </c>
      <c r="E67" s="15"/>
      <c r="F67" s="7">
        <f>(E67/100)*(B67-300)*0.006243*E3*E5</f>
        <v>0</v>
      </c>
      <c r="G67" s="7">
        <f t="shared" si="5"/>
        <v>0</v>
      </c>
      <c r="H67" s="12"/>
      <c r="I67" s="12"/>
    </row>
    <row r="68" spans="1:9" ht="13.5" thickBot="1" x14ac:dyDescent="0.25">
      <c r="D68" s="3"/>
      <c r="E68" s="13"/>
      <c r="F68" s="7"/>
      <c r="G68" s="12"/>
      <c r="H68" s="12"/>
      <c r="I68" s="12"/>
    </row>
    <row r="69" spans="1:9" ht="13.5" thickBot="1" x14ac:dyDescent="0.25">
      <c r="A69" s="20" t="s">
        <v>26</v>
      </c>
      <c r="B69" s="21"/>
      <c r="C69" s="21"/>
      <c r="D69" s="23"/>
      <c r="E69" s="13"/>
      <c r="F69" s="7"/>
      <c r="G69" s="12"/>
      <c r="H69" s="12"/>
      <c r="I69" s="12"/>
    </row>
    <row r="70" spans="1:9" x14ac:dyDescent="0.2">
      <c r="A70" s="38" t="s">
        <v>30</v>
      </c>
      <c r="B70" s="9">
        <v>2300</v>
      </c>
      <c r="C70" s="9">
        <v>900</v>
      </c>
      <c r="D70" s="17">
        <f>((B70-300)*0.006243*(E3))+((C70-350)*0.006243*(E4))</f>
        <v>10.4102025</v>
      </c>
      <c r="E70" s="15"/>
      <c r="F70" s="7">
        <f>(E70/100)*(B70-300)*0.006243*E3*E5</f>
        <v>0</v>
      </c>
      <c r="G70" s="7">
        <f>(E70/100)*(C70-350)*0.006243*$E$4*$E$5</f>
        <v>0</v>
      </c>
      <c r="H70" s="12"/>
      <c r="I70" s="12"/>
    </row>
    <row r="71" spans="1:9" x14ac:dyDescent="0.2">
      <c r="A71" s="38" t="s">
        <v>31</v>
      </c>
      <c r="B71" s="9">
        <v>2185</v>
      </c>
      <c r="C71" s="9">
        <v>855</v>
      </c>
      <c r="D71" s="17">
        <f>((B71-300)*0.006243*(E3))+((C71-350)*0.006243*(E4))</f>
        <v>9.7473207600000009</v>
      </c>
      <c r="E71" s="15"/>
      <c r="F71" s="7">
        <f>(E71/100)*(B71-300)*0.006243*E3*E5</f>
        <v>0</v>
      </c>
      <c r="G71" s="7">
        <f t="shared" ref="G71:G75" si="6">(E71/100)*(C71-350)*0.006243*$E$4*$E$5</f>
        <v>0</v>
      </c>
      <c r="H71" s="12"/>
      <c r="I71" s="12"/>
    </row>
    <row r="72" spans="1:9" x14ac:dyDescent="0.2">
      <c r="A72" s="38" t="s">
        <v>32</v>
      </c>
      <c r="B72" s="9">
        <v>2070</v>
      </c>
      <c r="C72" s="9">
        <v>810</v>
      </c>
      <c r="D72" s="17">
        <f>((B72-300)*0.006243*(E3))+((C72-350)*0.006243*(E4))</f>
        <v>9.0844390199999996</v>
      </c>
      <c r="E72" s="15"/>
      <c r="F72" s="7">
        <f>(E72/100)*(B72-300)*0.006243*E3*E5</f>
        <v>0</v>
      </c>
      <c r="G72" s="7">
        <f t="shared" si="6"/>
        <v>0</v>
      </c>
      <c r="H72" s="12"/>
      <c r="I72" s="12"/>
    </row>
    <row r="73" spans="1:9" x14ac:dyDescent="0.2">
      <c r="A73" s="38" t="s">
        <v>33</v>
      </c>
      <c r="B73" s="9">
        <v>2208</v>
      </c>
      <c r="C73" s="9">
        <v>864</v>
      </c>
      <c r="D73" s="17">
        <f>((B73-300)*0.006243*(E3))+((C73-350)*0.006243*(E4))</f>
        <v>9.8798971080000015</v>
      </c>
      <c r="E73" s="15"/>
      <c r="F73" s="7">
        <f>(E73/100)*(B73-300)*0.006243*E3*E5</f>
        <v>0</v>
      </c>
      <c r="G73" s="7">
        <f t="shared" si="6"/>
        <v>0</v>
      </c>
      <c r="H73" s="12"/>
      <c r="I73" s="12"/>
    </row>
    <row r="74" spans="1:9" x14ac:dyDescent="0.2">
      <c r="A74" s="38" t="s">
        <v>34</v>
      </c>
      <c r="B74" s="9">
        <v>2093</v>
      </c>
      <c r="C74" s="9">
        <v>819</v>
      </c>
      <c r="D74" s="17">
        <f>((B74-300)*0.006243*(E3))+((C74-350)*0.006243*(E4))</f>
        <v>9.2170153680000002</v>
      </c>
      <c r="E74" s="15"/>
      <c r="F74" s="7">
        <f>(E74/100)*(B74-300)*0.006243*E3*E5</f>
        <v>0</v>
      </c>
      <c r="G74" s="7">
        <f t="shared" si="6"/>
        <v>0</v>
      </c>
      <c r="H74" s="12"/>
      <c r="I74" s="12"/>
    </row>
    <row r="75" spans="1:9" ht="13.5" thickBot="1" x14ac:dyDescent="0.25">
      <c r="A75" s="39" t="s">
        <v>35</v>
      </c>
      <c r="B75" s="10">
        <v>1978</v>
      </c>
      <c r="C75" s="10">
        <v>774</v>
      </c>
      <c r="D75" s="18">
        <f>((B75-300)*0.006243*(E3))+((C75-350)*0.006243*(E4))</f>
        <v>8.5541336280000007</v>
      </c>
      <c r="E75" s="15"/>
      <c r="F75" s="7">
        <f>(E75/100)*(B75-300)*0.006243*E3*E5</f>
        <v>0</v>
      </c>
      <c r="G75" s="7">
        <f t="shared" si="6"/>
        <v>0</v>
      </c>
      <c r="H75" s="12"/>
      <c r="I75" s="12"/>
    </row>
    <row r="76" spans="1:9" ht="13.5" thickBot="1" x14ac:dyDescent="0.25">
      <c r="A76" s="8"/>
      <c r="B76" s="9"/>
      <c r="C76" s="9"/>
      <c r="D76" s="3"/>
      <c r="E76" s="13"/>
      <c r="F76" s="7"/>
      <c r="G76" s="12"/>
      <c r="H76" s="12"/>
      <c r="I76" s="12"/>
    </row>
    <row r="77" spans="1:9" ht="13.5" thickBot="1" x14ac:dyDescent="0.25">
      <c r="A77" s="20" t="s">
        <v>7</v>
      </c>
      <c r="B77" s="21"/>
      <c r="C77" s="21"/>
      <c r="D77" s="23"/>
      <c r="E77" s="13"/>
      <c r="F77" s="7"/>
      <c r="G77" s="12"/>
      <c r="H77" s="12"/>
      <c r="I77" s="12"/>
    </row>
    <row r="78" spans="1:9" x14ac:dyDescent="0.2">
      <c r="A78" s="38" t="s">
        <v>30</v>
      </c>
      <c r="B78" s="9">
        <v>1200</v>
      </c>
      <c r="C78" s="9">
        <v>350</v>
      </c>
      <c r="D78" s="17">
        <f>((B78-300)*0.006243*(E3))</f>
        <v>3.4948314000000003</v>
      </c>
      <c r="E78" s="15"/>
      <c r="F78" s="7">
        <f>(E78/100)*(B78-300)*0.006243*E3*E5</f>
        <v>0</v>
      </c>
      <c r="G78" s="7">
        <f t="shared" ref="G78:G83" si="7">(E78/100)*(C78-350)*0.006243*$E$4*$E$5</f>
        <v>0</v>
      </c>
      <c r="H78" s="12"/>
      <c r="I78" s="12"/>
    </row>
    <row r="79" spans="1:9" x14ac:dyDescent="0.2">
      <c r="A79" s="38" t="s">
        <v>31</v>
      </c>
      <c r="B79" s="9">
        <v>1140</v>
      </c>
      <c r="C79" s="9">
        <v>332.5</v>
      </c>
      <c r="D79" s="17">
        <f>((B79-300)*0.006243*(E3))</f>
        <v>3.2618426400000002</v>
      </c>
      <c r="E79" s="15"/>
      <c r="F79" s="7">
        <f>(E79/100)*(B79-300)*0.006243*E3*E5</f>
        <v>0</v>
      </c>
      <c r="G79" s="7">
        <f t="shared" si="7"/>
        <v>0</v>
      </c>
      <c r="H79" s="12"/>
      <c r="I79" s="12"/>
    </row>
    <row r="80" spans="1:9" x14ac:dyDescent="0.2">
      <c r="A80" s="38" t="s">
        <v>32</v>
      </c>
      <c r="B80" s="9">
        <v>1080</v>
      </c>
      <c r="C80" s="9">
        <v>315</v>
      </c>
      <c r="D80" s="17">
        <f>((B80-300)*0.006243*(E3))</f>
        <v>3.0288538800000002</v>
      </c>
      <c r="E80" s="15"/>
      <c r="F80" s="7">
        <f>(E80/100)*(B80-300)*0.006243*E3*E5</f>
        <v>0</v>
      </c>
      <c r="G80" s="7">
        <f t="shared" si="7"/>
        <v>0</v>
      </c>
      <c r="H80" s="12"/>
      <c r="I80" s="12"/>
    </row>
    <row r="81" spans="1:9" x14ac:dyDescent="0.2">
      <c r="A81" s="38" t="s">
        <v>33</v>
      </c>
      <c r="B81" s="9">
        <v>1152</v>
      </c>
      <c r="C81" s="9">
        <v>336</v>
      </c>
      <c r="D81" s="17">
        <f>((B81-300)*0.006243*(E3))</f>
        <v>3.3084403920000005</v>
      </c>
      <c r="E81" s="15"/>
      <c r="F81" s="7">
        <f>(E81/100)*(B81-300)*0.006243*E3*E5</f>
        <v>0</v>
      </c>
      <c r="G81" s="7">
        <f t="shared" si="7"/>
        <v>0</v>
      </c>
      <c r="H81" s="12"/>
      <c r="I81" s="12"/>
    </row>
    <row r="82" spans="1:9" x14ac:dyDescent="0.2">
      <c r="A82" s="38" t="s">
        <v>34</v>
      </c>
      <c r="B82" s="9">
        <v>1092</v>
      </c>
      <c r="C82" s="9">
        <v>318.5</v>
      </c>
      <c r="D82" s="17">
        <f>((B82-300)*0.006243*(E3))</f>
        <v>3.0754516320000005</v>
      </c>
      <c r="E82" s="15"/>
      <c r="F82" s="7">
        <f>(E82/100)*(B82-300)*0.006243*E3*E5</f>
        <v>0</v>
      </c>
      <c r="G82" s="7">
        <f t="shared" si="7"/>
        <v>0</v>
      </c>
      <c r="H82" s="12"/>
      <c r="I82" s="12"/>
    </row>
    <row r="83" spans="1:9" ht="13.5" thickBot="1" x14ac:dyDescent="0.25">
      <c r="A83" s="39" t="s">
        <v>35</v>
      </c>
      <c r="B83" s="10">
        <v>1032</v>
      </c>
      <c r="C83" s="10">
        <v>301</v>
      </c>
      <c r="D83" s="18">
        <f>((B83-300)*0.006243*(E3))</f>
        <v>2.842462872</v>
      </c>
      <c r="E83" s="15"/>
      <c r="F83" s="7">
        <f>(E83/100)*(B83-300)*0.006243*E3*E5</f>
        <v>0</v>
      </c>
      <c r="G83" s="7">
        <f t="shared" si="7"/>
        <v>0</v>
      </c>
      <c r="H83" s="12"/>
      <c r="I83" s="12"/>
    </row>
    <row r="84" spans="1:9" ht="13.5" thickBot="1" x14ac:dyDescent="0.25">
      <c r="D84" s="3"/>
      <c r="E84" s="13"/>
      <c r="F84" s="7"/>
      <c r="G84" s="12"/>
      <c r="H84" s="12"/>
      <c r="I84" s="12"/>
    </row>
    <row r="85" spans="1:9" ht="13.5" thickBot="1" x14ac:dyDescent="0.25">
      <c r="A85" s="20" t="s">
        <v>8</v>
      </c>
      <c r="B85" s="21"/>
      <c r="C85" s="21"/>
      <c r="D85" s="23"/>
      <c r="E85" s="13"/>
      <c r="F85" s="7"/>
      <c r="G85" s="12"/>
      <c r="H85" s="12"/>
      <c r="I85" s="12"/>
    </row>
    <row r="86" spans="1:9" x14ac:dyDescent="0.2">
      <c r="A86" s="38" t="s">
        <v>30</v>
      </c>
      <c r="B86" s="11">
        <v>800</v>
      </c>
      <c r="C86" s="11">
        <v>350</v>
      </c>
      <c r="D86" s="17">
        <f>((B86-300)*0.006243*(E3))</f>
        <v>1.941573</v>
      </c>
      <c r="E86" s="15"/>
      <c r="F86" s="7">
        <f>(E86/100)*(B86-300)*0.006243*E3*E5</f>
        <v>0</v>
      </c>
      <c r="G86" s="7">
        <f t="shared" ref="G86:G91" si="8">(E86/100)*(C86-350)*0.006243*$E$4*$E$5</f>
        <v>0</v>
      </c>
      <c r="H86" s="12"/>
      <c r="I86" s="12"/>
    </row>
    <row r="87" spans="1:9" x14ac:dyDescent="0.2">
      <c r="A87" s="38" t="s">
        <v>31</v>
      </c>
      <c r="B87" s="11">
        <v>760</v>
      </c>
      <c r="C87" s="11">
        <v>332.5</v>
      </c>
      <c r="D87" s="17">
        <f>((B87-300)*0.006243*(E3))</f>
        <v>1.7862471600000001</v>
      </c>
      <c r="E87" s="15"/>
      <c r="F87" s="7">
        <f>(E87/100)*(B87-300)*0.006243*E3*E5</f>
        <v>0</v>
      </c>
      <c r="G87" s="7">
        <f t="shared" si="8"/>
        <v>0</v>
      </c>
      <c r="H87" s="12"/>
      <c r="I87" s="12"/>
    </row>
    <row r="88" spans="1:9" x14ac:dyDescent="0.2">
      <c r="A88" s="38" t="s">
        <v>32</v>
      </c>
      <c r="B88" s="11">
        <v>720</v>
      </c>
      <c r="C88" s="11">
        <v>315</v>
      </c>
      <c r="D88" s="17">
        <f>((B88-300)*0.006243*(E3))</f>
        <v>1.6309213200000001</v>
      </c>
      <c r="E88" s="15"/>
      <c r="F88" s="7">
        <f>(E88/100)*(B88-300)*0.006243*E3*E5</f>
        <v>0</v>
      </c>
      <c r="G88" s="7">
        <f t="shared" si="8"/>
        <v>0</v>
      </c>
      <c r="H88" s="12"/>
      <c r="I88" s="12"/>
    </row>
    <row r="89" spans="1:9" x14ac:dyDescent="0.2">
      <c r="A89" s="38" t="s">
        <v>33</v>
      </c>
      <c r="B89" s="9">
        <v>768</v>
      </c>
      <c r="C89" s="9">
        <v>336</v>
      </c>
      <c r="D89" s="17">
        <f>((B89-300)*0.006243*(E3))</f>
        <v>1.8173123280000001</v>
      </c>
      <c r="E89" s="15"/>
      <c r="F89" s="7">
        <f>(E89/100)*(B89-300)*0.006243*E3*E5</f>
        <v>0</v>
      </c>
      <c r="G89" s="7">
        <f t="shared" si="8"/>
        <v>0</v>
      </c>
      <c r="H89" s="12"/>
      <c r="I89" s="12"/>
    </row>
    <row r="90" spans="1:9" x14ac:dyDescent="0.2">
      <c r="A90" s="38" t="s">
        <v>34</v>
      </c>
      <c r="B90" s="9">
        <v>728</v>
      </c>
      <c r="C90" s="9">
        <v>319</v>
      </c>
      <c r="D90" s="17">
        <f>((B90-300)*0.006243*(E3))</f>
        <v>1.6619864880000002</v>
      </c>
      <c r="E90" s="15"/>
      <c r="F90" s="7">
        <f>(E90/100)*(B90-300)*0.006243*E3*E5</f>
        <v>0</v>
      </c>
      <c r="G90" s="7">
        <f t="shared" si="8"/>
        <v>0</v>
      </c>
      <c r="H90" s="12"/>
      <c r="I90" s="12"/>
    </row>
    <row r="91" spans="1:9" ht="13.5" thickBot="1" x14ac:dyDescent="0.25">
      <c r="A91" s="39" t="s">
        <v>35</v>
      </c>
      <c r="B91" s="10">
        <v>688</v>
      </c>
      <c r="C91" s="10">
        <v>301</v>
      </c>
      <c r="D91" s="18">
        <f>((B91-300)*0.006243*(E3))</f>
        <v>1.5066606480000002</v>
      </c>
      <c r="E91" s="15"/>
      <c r="F91" s="7">
        <f>(E91/100)*(B91-300)*0.006243*E3*E5</f>
        <v>0</v>
      </c>
      <c r="G91" s="7">
        <f t="shared" si="8"/>
        <v>0</v>
      </c>
      <c r="H91" s="12"/>
      <c r="I91" s="12"/>
    </row>
    <row r="92" spans="1:9" ht="13.5" thickBot="1" x14ac:dyDescent="0.25">
      <c r="D92" s="3"/>
      <c r="E92" s="13"/>
      <c r="F92" s="7"/>
      <c r="G92" s="12"/>
      <c r="H92" s="12"/>
      <c r="I92" s="12"/>
    </row>
    <row r="93" spans="1:9" ht="13.5" thickBot="1" x14ac:dyDescent="0.25">
      <c r="A93" s="20" t="s">
        <v>27</v>
      </c>
      <c r="B93" s="21"/>
      <c r="C93" s="21"/>
      <c r="D93" s="23"/>
      <c r="E93" s="13"/>
      <c r="F93" s="7"/>
      <c r="G93" s="12"/>
      <c r="H93" s="12"/>
      <c r="I93" s="12"/>
    </row>
    <row r="94" spans="1:9" x14ac:dyDescent="0.2">
      <c r="A94" s="38" t="s">
        <v>30</v>
      </c>
      <c r="B94" s="11">
        <v>1100</v>
      </c>
      <c r="C94" s="11">
        <v>400</v>
      </c>
      <c r="D94" s="17">
        <f>((B94-300)*0.006243*(E3))+((C94-350)*0.006243*(E4))</f>
        <v>3.3468723000000007</v>
      </c>
      <c r="E94" s="15"/>
      <c r="F94" s="7">
        <f>(E94/100)*(B94-300)*0.006243*E3*E5</f>
        <v>0</v>
      </c>
      <c r="G94" s="7">
        <f>(E94/100)*(C94-350)*0.006243*$E$4*$E$5</f>
        <v>0</v>
      </c>
      <c r="H94" s="12"/>
      <c r="I94" s="12"/>
    </row>
    <row r="95" spans="1:9" ht="12.75" customHeight="1" x14ac:dyDescent="0.2">
      <c r="A95" s="38" t="s">
        <v>31</v>
      </c>
      <c r="B95" s="9">
        <v>1045</v>
      </c>
      <c r="C95" s="9">
        <v>380</v>
      </c>
      <c r="D95" s="17">
        <f>((B95-300)*0.006243*(E3))+((C95-350)*0.006243*(E4))</f>
        <v>3.0371570700000001</v>
      </c>
      <c r="E95" s="15"/>
      <c r="F95" s="7">
        <f>(E95/100)*(B95-300)*0.006243*E3*E5</f>
        <v>0</v>
      </c>
      <c r="G95" s="7">
        <f t="shared" ref="G95:G102" si="9">(E95/100)*(C95-350)*0.006243*$E$4*$E$5</f>
        <v>0</v>
      </c>
      <c r="H95" s="12"/>
      <c r="I95" s="12"/>
    </row>
    <row r="96" spans="1:9" x14ac:dyDescent="0.2">
      <c r="A96" s="38" t="s">
        <v>32</v>
      </c>
      <c r="B96" s="9">
        <v>990</v>
      </c>
      <c r="C96" s="9">
        <v>360</v>
      </c>
      <c r="D96" s="17">
        <f>((B96-300)*0.006243*(E3))+((C96-350)*0.006243*(E4))</f>
        <v>2.72744184</v>
      </c>
      <c r="E96" s="15"/>
      <c r="F96" s="7">
        <f>(E96/100)*(B96-300)*0.006243*E3*E5</f>
        <v>0</v>
      </c>
      <c r="G96" s="7">
        <f t="shared" si="9"/>
        <v>0</v>
      </c>
      <c r="H96" s="12"/>
      <c r="I96" s="12"/>
    </row>
    <row r="97" spans="1:9" x14ac:dyDescent="0.2">
      <c r="A97" s="38" t="s">
        <v>14</v>
      </c>
      <c r="B97" s="9">
        <v>1067</v>
      </c>
      <c r="C97" s="9">
        <v>388</v>
      </c>
      <c r="D97" s="17">
        <f>((B97-300)*0.006243*(E3))+((C97-350)*0.006243*(E4))</f>
        <v>3.1610431620000004</v>
      </c>
      <c r="E97" s="15"/>
      <c r="F97" s="7">
        <f>(E97/100)*(B97-300)*0.006243*E3*E5</f>
        <v>0</v>
      </c>
      <c r="G97" s="7">
        <f t="shared" si="9"/>
        <v>0</v>
      </c>
      <c r="H97" s="12"/>
      <c r="I97" s="12"/>
    </row>
    <row r="98" spans="1:9" x14ac:dyDescent="0.2">
      <c r="A98" s="38" t="s">
        <v>15</v>
      </c>
      <c r="B98" s="9">
        <v>1012</v>
      </c>
      <c r="C98" s="9">
        <v>368</v>
      </c>
      <c r="D98" s="17">
        <f>((B98-300)*0.006243*(E3))+((C98-350)*0.006243*(E4))</f>
        <v>2.8513279319999998</v>
      </c>
      <c r="E98" s="15"/>
      <c r="F98" s="7">
        <f>(E98/100)*(B98-300)*0.006243*E3*E5</f>
        <v>0</v>
      </c>
      <c r="G98" s="7">
        <f t="shared" si="9"/>
        <v>0</v>
      </c>
    </row>
    <row r="99" spans="1:9" x14ac:dyDescent="0.2">
      <c r="A99" s="38" t="s">
        <v>16</v>
      </c>
      <c r="B99" s="9">
        <v>957</v>
      </c>
      <c r="C99" s="9">
        <v>348</v>
      </c>
      <c r="D99" s="17">
        <f>((B99-300)*0.006243*(E3))</f>
        <v>2.5512269220000001</v>
      </c>
      <c r="E99" s="15"/>
      <c r="F99" s="7">
        <f>(E99/100)*(B99-300)*0.006243*E3*E5</f>
        <v>0</v>
      </c>
      <c r="G99" s="7">
        <f t="shared" si="9"/>
        <v>0</v>
      </c>
    </row>
    <row r="100" spans="1:9" x14ac:dyDescent="0.2">
      <c r="A100" s="38" t="s">
        <v>33</v>
      </c>
      <c r="B100" s="9">
        <v>1023</v>
      </c>
      <c r="C100" s="9">
        <v>372</v>
      </c>
      <c r="D100" s="17">
        <f>((B100-300)*0.006243*(E3))+((C100-350)*0.006243*(E4))</f>
        <v>2.9132709780000003</v>
      </c>
      <c r="E100" s="15"/>
      <c r="F100" s="7">
        <f>(E100/100)*(B100-300)*0.006243*E3*E5</f>
        <v>0</v>
      </c>
      <c r="G100" s="7">
        <f t="shared" si="9"/>
        <v>0</v>
      </c>
    </row>
    <row r="101" spans="1:9" x14ac:dyDescent="0.2">
      <c r="A101" s="38" t="s">
        <v>34</v>
      </c>
      <c r="B101" s="9">
        <v>968</v>
      </c>
      <c r="C101" s="9">
        <v>352</v>
      </c>
      <c r="D101" s="17">
        <f>((B101-300)*0.006243*(E3))+((C101-350)*0.006243*(E4))</f>
        <v>2.6035557479999998</v>
      </c>
      <c r="E101" s="15"/>
      <c r="F101" s="7">
        <f>(E101/100)*(B101-300)*0.006243*E3*E5</f>
        <v>0</v>
      </c>
      <c r="G101" s="7">
        <f t="shared" si="9"/>
        <v>0</v>
      </c>
    </row>
    <row r="102" spans="1:9" ht="13.5" thickBot="1" x14ac:dyDescent="0.25">
      <c r="A102" s="39" t="s">
        <v>35</v>
      </c>
      <c r="B102" s="10">
        <v>913</v>
      </c>
      <c r="C102" s="10">
        <v>332</v>
      </c>
      <c r="D102" s="18">
        <f>((B102-300)*0.006243*(E3))</f>
        <v>2.3803684980000002</v>
      </c>
      <c r="E102" s="15"/>
      <c r="F102" s="7">
        <f>(E102/100)*(B102-300)*0.006243*E3*E5</f>
        <v>0</v>
      </c>
      <c r="G102" s="7">
        <f t="shared" si="9"/>
        <v>0</v>
      </c>
    </row>
    <row r="103" spans="1:9" ht="13.5" thickBot="1" x14ac:dyDescent="0.25">
      <c r="E103" s="13"/>
    </row>
    <row r="104" spans="1:9" ht="13.5" thickBot="1" x14ac:dyDescent="0.25">
      <c r="A104" s="20" t="s">
        <v>28</v>
      </c>
      <c r="B104" s="21"/>
      <c r="C104" s="21"/>
      <c r="D104" s="22"/>
      <c r="E104" s="13"/>
    </row>
    <row r="105" spans="1:9" x14ac:dyDescent="0.2">
      <c r="A105" s="38" t="s">
        <v>30</v>
      </c>
      <c r="B105" s="9">
        <v>500</v>
      </c>
      <c r="C105" s="9">
        <v>400</v>
      </c>
      <c r="D105" s="17">
        <f>((B105-300)*0.006243*(E3))+((C105-350)*0.006243*(E4))</f>
        <v>1.0169847000000001</v>
      </c>
      <c r="E105" s="15"/>
      <c r="F105" s="7">
        <f>(E105/100)*(B105-300)*0.006243*E3*E5</f>
        <v>0</v>
      </c>
      <c r="G105" s="7">
        <f>(E105/100)*(C105-350)*0.006243*$E$4*$E$5</f>
        <v>0</v>
      </c>
    </row>
    <row r="106" spans="1:9" ht="12.75" customHeight="1" x14ac:dyDescent="0.2">
      <c r="A106" s="38" t="s">
        <v>31</v>
      </c>
      <c r="B106" s="9">
        <v>475</v>
      </c>
      <c r="C106" s="9">
        <v>380</v>
      </c>
      <c r="D106" s="17">
        <f>((B106-300)*0.006243*(E3))+((C106-350)*0.006243*(E4))</f>
        <v>0.82376384999999996</v>
      </c>
      <c r="E106" s="15"/>
      <c r="F106" s="7">
        <f>(E106/100)*(B106-300)*0.006243*E3*E5</f>
        <v>0</v>
      </c>
      <c r="G106" s="7">
        <f t="shared" ref="G106:G113" si="10">(E106/100)*(C106-350)*0.006243*$E$4*$E$5</f>
        <v>0</v>
      </c>
    </row>
    <row r="107" spans="1:9" x14ac:dyDescent="0.2">
      <c r="A107" s="38" t="s">
        <v>32</v>
      </c>
      <c r="B107" s="9">
        <v>450</v>
      </c>
      <c r="C107" s="9">
        <v>360</v>
      </c>
      <c r="D107" s="17">
        <f>((B107-300)*0.006243*(E3))+((C107-350)*0.006243*(E4))</f>
        <v>0.63054300000000008</v>
      </c>
      <c r="E107" s="15"/>
      <c r="F107" s="7">
        <f>(E107/100)*(B107-300)*0.006243*E3*E5</f>
        <v>0</v>
      </c>
      <c r="G107" s="7">
        <f t="shared" si="10"/>
        <v>0</v>
      </c>
    </row>
    <row r="108" spans="1:9" x14ac:dyDescent="0.2">
      <c r="A108" s="38" t="s">
        <v>14</v>
      </c>
      <c r="B108" s="9">
        <v>485</v>
      </c>
      <c r="C108" s="9">
        <v>388</v>
      </c>
      <c r="D108" s="17">
        <f>((B108-300)*0.006243*(E3))+((C108-350)*0.006243*(E4))</f>
        <v>0.90105219000000003</v>
      </c>
      <c r="E108" s="15"/>
      <c r="F108" s="7">
        <f>(E108/100)*(B108-300)*0.006243*E3*E5</f>
        <v>0</v>
      </c>
      <c r="G108" s="7">
        <f t="shared" si="10"/>
        <v>0</v>
      </c>
    </row>
    <row r="109" spans="1:9" x14ac:dyDescent="0.2">
      <c r="A109" s="38" t="s">
        <v>15</v>
      </c>
      <c r="B109" s="9">
        <v>460</v>
      </c>
      <c r="C109" s="9">
        <v>368</v>
      </c>
      <c r="D109" s="17">
        <f>((B109-300)*0.006243*(E3))+((C109-350)*0.006243*(E4))</f>
        <v>0.70783134000000003</v>
      </c>
      <c r="E109" s="15"/>
      <c r="F109" s="7">
        <f>(E109/100)*(B109-300)*0.006243*E3*E5</f>
        <v>0</v>
      </c>
      <c r="G109" s="7">
        <f t="shared" si="10"/>
        <v>0</v>
      </c>
    </row>
    <row r="110" spans="1:9" x14ac:dyDescent="0.2">
      <c r="A110" s="38" t="s">
        <v>16</v>
      </c>
      <c r="B110" s="9">
        <v>435</v>
      </c>
      <c r="C110" s="9">
        <v>348</v>
      </c>
      <c r="D110" s="17">
        <f>((B110-300)*0.006243*(E3))</f>
        <v>0.52422471000000004</v>
      </c>
      <c r="E110" s="15"/>
      <c r="F110" s="7">
        <f>(E110/100)*(B110-300)*0.006243*E3*E5</f>
        <v>0</v>
      </c>
      <c r="G110" s="7">
        <f t="shared" si="10"/>
        <v>0</v>
      </c>
    </row>
    <row r="111" spans="1:9" x14ac:dyDescent="0.2">
      <c r="A111" s="38" t="s">
        <v>33</v>
      </c>
      <c r="B111" s="9">
        <v>465</v>
      </c>
      <c r="C111" s="9">
        <v>372</v>
      </c>
      <c r="D111" s="17">
        <f>((B111-300)*0.006243*(E3))+((C111-350)*0.006243*(E4))</f>
        <v>0.7464755099999999</v>
      </c>
      <c r="E111" s="15"/>
      <c r="F111" s="7">
        <f>(E111/100)*(B111-300)*0.006243*E3*E5</f>
        <v>0</v>
      </c>
      <c r="G111" s="7">
        <f t="shared" si="10"/>
        <v>0</v>
      </c>
    </row>
    <row r="112" spans="1:9" x14ac:dyDescent="0.2">
      <c r="A112" s="38" t="s">
        <v>34</v>
      </c>
      <c r="B112" s="9">
        <v>440</v>
      </c>
      <c r="C112" s="9">
        <v>352</v>
      </c>
      <c r="D112" s="17">
        <f>((B112-300)*0.006243*(E3))+((C112-350)*0.006243*(E4))</f>
        <v>0.55325466000000001</v>
      </c>
      <c r="E112" s="15"/>
      <c r="F112" s="7">
        <f>(E112/100)*(B112-300)*0.006243*E3*E5</f>
        <v>0</v>
      </c>
      <c r="G112" s="7">
        <f t="shared" si="10"/>
        <v>0</v>
      </c>
    </row>
    <row r="113" spans="1:7" ht="13.5" thickBot="1" x14ac:dyDescent="0.25">
      <c r="A113" s="39" t="s">
        <v>35</v>
      </c>
      <c r="B113" s="10">
        <v>415</v>
      </c>
      <c r="C113" s="10">
        <v>332</v>
      </c>
      <c r="D113" s="18">
        <f>((B113-300)*0.006243*(E3))</f>
        <v>0.44656179000000001</v>
      </c>
      <c r="E113" s="15"/>
      <c r="F113" s="7">
        <f>(E113/100)*(B113-300)*0.006243*E3*E5</f>
        <v>0</v>
      </c>
      <c r="G113" s="7">
        <f t="shared" si="10"/>
        <v>0</v>
      </c>
    </row>
    <row r="114" spans="1:7" ht="13.5" thickBot="1" x14ac:dyDescent="0.25">
      <c r="D114" s="24" t="s">
        <v>29</v>
      </c>
      <c r="E114" s="25">
        <f>SUM(E10:E113)</f>
        <v>0</v>
      </c>
    </row>
    <row r="115" spans="1:7" ht="13.5" thickBot="1" x14ac:dyDescent="0.25"/>
    <row r="116" spans="1:7" x14ac:dyDescent="0.2">
      <c r="C116" s="40" t="s">
        <v>23</v>
      </c>
      <c r="D116" s="35"/>
      <c r="E116" s="41"/>
      <c r="F116" s="47">
        <f>SUM(F10:F113)</f>
        <v>0</v>
      </c>
      <c r="G116" s="48"/>
    </row>
    <row r="117" spans="1:7" ht="13.5" thickBot="1" x14ac:dyDescent="0.25">
      <c r="C117" s="42" t="s">
        <v>24</v>
      </c>
      <c r="D117" s="37"/>
      <c r="E117" s="43"/>
      <c r="F117" s="49">
        <f>SUM(G10:G113)</f>
        <v>0</v>
      </c>
      <c r="G117" s="50"/>
    </row>
  </sheetData>
  <mergeCells count="4">
    <mergeCell ref="B5:D5"/>
    <mergeCell ref="F116:G116"/>
    <mergeCell ref="F117:G117"/>
    <mergeCell ref="C2:E2"/>
  </mergeCells>
  <phoneticPr fontId="1" type="noConversion"/>
  <pageMargins left="0.5" right="0.5" top="0.25" bottom="0.25" header="0.5" footer="0.5"/>
  <pageSetup scale="98" orientation="portrait" r:id="rId1"/>
  <headerFooter alignWithMargins="0"/>
  <rowBreaks count="1" manualBreakCount="1">
    <brk id="5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workbookViewId="0">
      <selection activeCell="P16" sqref="P16"/>
    </sheetView>
  </sheetViews>
  <sheetFormatPr defaultRowHeight="12.75" x14ac:dyDescent="0.2"/>
  <sheetData>
    <row r="1" spans="1:12" ht="15" x14ac:dyDescent="0.25">
      <c r="A1" s="30" t="s">
        <v>37</v>
      </c>
      <c r="B1" s="30"/>
      <c r="C1" s="30"/>
      <c r="D1" s="30"/>
      <c r="E1" s="30"/>
      <c r="F1" s="30"/>
      <c r="G1" s="30"/>
      <c r="H1" s="30"/>
      <c r="I1" s="30"/>
      <c r="J1" s="30"/>
      <c r="K1" s="30"/>
      <c r="L1" s="30"/>
    </row>
    <row r="2" spans="1:12" ht="15" x14ac:dyDescent="0.25">
      <c r="A2" s="30" t="s">
        <v>38</v>
      </c>
      <c r="B2" s="30"/>
      <c r="C2" s="30"/>
      <c r="D2" s="30"/>
      <c r="E2" s="30"/>
      <c r="F2" s="30"/>
      <c r="G2" s="30"/>
      <c r="H2" s="30"/>
      <c r="I2" s="30"/>
      <c r="J2" s="30"/>
      <c r="K2" s="30"/>
      <c r="L2" s="30"/>
    </row>
    <row r="3" spans="1:12" ht="15" x14ac:dyDescent="0.25">
      <c r="A3" s="30"/>
      <c r="B3" s="30"/>
      <c r="C3" s="30"/>
      <c r="D3" s="30"/>
      <c r="E3" s="30"/>
      <c r="F3" s="30"/>
      <c r="G3" s="30"/>
      <c r="H3" s="30"/>
      <c r="I3" s="30"/>
      <c r="J3" s="30"/>
      <c r="K3" s="30"/>
      <c r="L3" s="30"/>
    </row>
    <row r="4" spans="1:12" ht="15" x14ac:dyDescent="0.25">
      <c r="A4" s="30" t="s">
        <v>42</v>
      </c>
      <c r="B4" s="30"/>
      <c r="C4" s="30"/>
      <c r="D4" s="30"/>
      <c r="E4" s="30"/>
      <c r="F4" s="30"/>
      <c r="G4" s="30"/>
      <c r="H4" s="30"/>
      <c r="I4" s="30"/>
      <c r="J4" s="30"/>
      <c r="K4" s="30"/>
      <c r="L4" s="30"/>
    </row>
    <row r="5" spans="1:12" ht="15" x14ac:dyDescent="0.25">
      <c r="A5" s="30" t="s">
        <v>39</v>
      </c>
      <c r="B5" s="30"/>
      <c r="C5" s="30"/>
      <c r="D5" s="30"/>
      <c r="E5" s="30"/>
      <c r="F5" s="30"/>
      <c r="G5" s="30"/>
      <c r="H5" s="30"/>
      <c r="I5" s="30"/>
      <c r="J5" s="30"/>
      <c r="K5" s="30"/>
      <c r="L5" s="30"/>
    </row>
    <row r="6" spans="1:12" ht="15" x14ac:dyDescent="0.25">
      <c r="A6" s="31" t="s">
        <v>43</v>
      </c>
      <c r="B6" s="30"/>
      <c r="C6" s="30"/>
      <c r="D6" s="30"/>
      <c r="E6" s="30"/>
      <c r="F6" s="30"/>
      <c r="G6" s="30"/>
      <c r="H6" s="30"/>
      <c r="I6" s="30"/>
      <c r="J6" s="30"/>
      <c r="K6" s="30"/>
      <c r="L6" s="30"/>
    </row>
    <row r="7" spans="1:12" ht="15" x14ac:dyDescent="0.25">
      <c r="A7" s="30"/>
      <c r="B7" s="30"/>
      <c r="C7" s="30"/>
      <c r="D7" s="30"/>
      <c r="E7" s="30"/>
      <c r="F7" s="30"/>
      <c r="G7" s="30"/>
      <c r="H7" s="30"/>
      <c r="I7" s="30"/>
      <c r="J7" s="30"/>
      <c r="K7" s="30"/>
      <c r="L7" s="30"/>
    </row>
    <row r="8" spans="1:12" ht="15" x14ac:dyDescent="0.25">
      <c r="A8" s="54" t="s">
        <v>44</v>
      </c>
      <c r="B8" s="54"/>
      <c r="C8" s="54"/>
      <c r="D8" s="54"/>
      <c r="E8" s="54"/>
      <c r="F8" s="54"/>
      <c r="G8" s="54"/>
      <c r="H8" s="54"/>
      <c r="I8" s="54"/>
      <c r="J8" s="54"/>
      <c r="K8" s="55"/>
      <c r="L8" s="55"/>
    </row>
    <row r="9" spans="1:12" ht="15" x14ac:dyDescent="0.25">
      <c r="A9" s="30"/>
      <c r="B9" s="30"/>
      <c r="C9" s="30"/>
      <c r="D9" s="30"/>
      <c r="E9" s="30"/>
      <c r="F9" s="30"/>
      <c r="G9" s="30"/>
      <c r="H9" s="30"/>
      <c r="I9" s="30"/>
      <c r="J9" s="30"/>
      <c r="K9" s="30"/>
      <c r="L9" s="30"/>
    </row>
    <row r="10" spans="1:12" ht="15" x14ac:dyDescent="0.25">
      <c r="A10" s="54" t="s">
        <v>40</v>
      </c>
      <c r="B10" s="54"/>
      <c r="C10" s="54"/>
      <c r="D10" s="54"/>
      <c r="E10" s="54"/>
      <c r="F10" s="54"/>
      <c r="G10" s="54"/>
      <c r="H10" s="54"/>
      <c r="I10" s="54"/>
      <c r="J10" s="54"/>
      <c r="K10" s="30"/>
      <c r="L10" s="30"/>
    </row>
    <row r="11" spans="1:12" ht="15" x14ac:dyDescent="0.25">
      <c r="A11" s="32"/>
      <c r="B11" s="32"/>
      <c r="C11" s="32"/>
      <c r="D11" s="32"/>
      <c r="E11" s="32"/>
      <c r="F11" s="32"/>
      <c r="G11" s="32"/>
      <c r="H11" s="32"/>
      <c r="I11" s="32"/>
      <c r="J11" s="32"/>
      <c r="K11" s="30"/>
      <c r="L11" s="30"/>
    </row>
    <row r="12" spans="1:12" ht="15" x14ac:dyDescent="0.2">
      <c r="A12" s="32"/>
      <c r="B12" s="54" t="s">
        <v>45</v>
      </c>
      <c r="C12" s="54"/>
      <c r="D12" s="54"/>
      <c r="E12" s="54"/>
      <c r="F12" s="54"/>
      <c r="G12" s="54"/>
      <c r="H12" s="54"/>
      <c r="I12" s="54"/>
      <c r="J12" s="54"/>
      <c r="K12" s="55"/>
      <c r="L12" s="55"/>
    </row>
    <row r="13" spans="1:12" ht="15" x14ac:dyDescent="0.2">
      <c r="A13" s="32"/>
      <c r="B13" s="56"/>
      <c r="C13" s="56"/>
      <c r="D13" s="56"/>
      <c r="E13" s="56"/>
      <c r="F13" s="56"/>
      <c r="G13" s="56"/>
      <c r="H13" s="56"/>
      <c r="I13" s="56"/>
      <c r="J13" s="56"/>
      <c r="K13" s="56"/>
      <c r="L13" s="56"/>
    </row>
    <row r="14" spans="1:12" ht="78" customHeight="1" x14ac:dyDescent="0.25">
      <c r="A14" s="32"/>
      <c r="B14" s="32"/>
      <c r="C14" s="54" t="s">
        <v>48</v>
      </c>
      <c r="D14" s="57"/>
      <c r="E14" s="57"/>
      <c r="F14" s="57"/>
      <c r="G14" s="57"/>
      <c r="H14" s="57"/>
      <c r="I14" s="57"/>
      <c r="J14" s="57"/>
      <c r="K14" s="57"/>
      <c r="L14" s="30"/>
    </row>
    <row r="15" spans="1:12" ht="15" x14ac:dyDescent="0.25">
      <c r="A15" s="32"/>
      <c r="B15" s="54" t="s">
        <v>46</v>
      </c>
      <c r="C15" s="54"/>
      <c r="D15" s="54"/>
      <c r="E15" s="54"/>
      <c r="F15" s="54"/>
      <c r="G15" s="54"/>
      <c r="H15" s="54"/>
      <c r="I15" s="54"/>
      <c r="J15" s="54"/>
      <c r="K15" s="55"/>
      <c r="L15" s="55"/>
    </row>
    <row r="16" spans="1:12" ht="126.75" customHeight="1" x14ac:dyDescent="0.25">
      <c r="A16" s="32"/>
      <c r="B16" s="32"/>
      <c r="C16" s="54" t="s">
        <v>50</v>
      </c>
      <c r="D16" s="57"/>
      <c r="E16" s="57"/>
      <c r="F16" s="57"/>
      <c r="G16" s="57"/>
      <c r="H16" s="57"/>
      <c r="I16" s="57"/>
      <c r="J16" s="57"/>
      <c r="K16" s="57"/>
      <c r="L16" s="30"/>
    </row>
    <row r="17" spans="1:12" ht="15" x14ac:dyDescent="0.25">
      <c r="A17" s="32"/>
      <c r="B17" s="54" t="s">
        <v>47</v>
      </c>
      <c r="C17" s="54"/>
      <c r="D17" s="54"/>
      <c r="E17" s="54"/>
      <c r="F17" s="54"/>
      <c r="G17" s="54"/>
      <c r="H17" s="54"/>
      <c r="I17" s="54"/>
      <c r="J17" s="54"/>
      <c r="K17" s="55"/>
      <c r="L17" s="55"/>
    </row>
    <row r="18" spans="1:12" ht="48" customHeight="1" x14ac:dyDescent="0.25">
      <c r="A18" s="32"/>
      <c r="B18" s="32"/>
      <c r="C18" s="54" t="s">
        <v>49</v>
      </c>
      <c r="D18" s="57"/>
      <c r="E18" s="57"/>
      <c r="F18" s="57"/>
      <c r="G18" s="57"/>
      <c r="H18" s="57"/>
      <c r="I18" s="57"/>
      <c r="J18" s="57"/>
      <c r="K18" s="57"/>
      <c r="L18" s="30"/>
    </row>
    <row r="19" spans="1:12" ht="15" x14ac:dyDescent="0.2">
      <c r="A19" s="54"/>
      <c r="B19" s="58"/>
      <c r="C19" s="58"/>
      <c r="D19" s="58"/>
      <c r="E19" s="58"/>
      <c r="F19" s="58"/>
      <c r="G19" s="58"/>
      <c r="H19" s="58"/>
      <c r="I19" s="58"/>
      <c r="J19" s="58"/>
      <c r="K19" s="58"/>
      <c r="L19" s="58"/>
    </row>
    <row r="20" spans="1:12" ht="15" x14ac:dyDescent="0.25">
      <c r="A20" s="30"/>
      <c r="B20" s="30"/>
      <c r="C20" s="30"/>
      <c r="D20" s="30"/>
      <c r="E20" s="30"/>
      <c r="F20" s="30"/>
      <c r="G20" s="30"/>
      <c r="H20" s="30"/>
      <c r="I20" s="30"/>
      <c r="J20" s="30"/>
      <c r="K20" s="30"/>
      <c r="L20" s="30"/>
    </row>
    <row r="21" spans="1:12" ht="15" x14ac:dyDescent="0.25">
      <c r="A21" s="54" t="s">
        <v>41</v>
      </c>
      <c r="B21" s="54"/>
      <c r="C21" s="54"/>
      <c r="D21" s="54"/>
      <c r="E21" s="54"/>
      <c r="F21" s="54"/>
      <c r="G21" s="54"/>
      <c r="H21" s="54"/>
      <c r="I21" s="54"/>
      <c r="J21" s="54"/>
      <c r="K21" s="55"/>
      <c r="L21" s="55"/>
    </row>
    <row r="22" spans="1:12" ht="15" x14ac:dyDescent="0.25">
      <c r="A22" s="30"/>
      <c r="B22" s="30"/>
      <c r="C22" s="30"/>
      <c r="D22" s="30"/>
      <c r="E22" s="30"/>
      <c r="F22" s="30"/>
      <c r="G22" s="30"/>
      <c r="H22" s="30"/>
      <c r="I22" s="30"/>
      <c r="J22" s="30"/>
      <c r="K22" s="30"/>
      <c r="L22" s="30"/>
    </row>
    <row r="23" spans="1:12" ht="27.75" customHeight="1" x14ac:dyDescent="0.25">
      <c r="A23" s="30"/>
      <c r="B23" s="54" t="s">
        <v>51</v>
      </c>
      <c r="C23" s="54"/>
      <c r="D23" s="54"/>
      <c r="E23" s="54"/>
      <c r="F23" s="54"/>
      <c r="G23" s="54"/>
      <c r="H23" s="54"/>
      <c r="I23" s="54"/>
      <c r="J23" s="54"/>
      <c r="K23" s="54"/>
      <c r="L23" s="54"/>
    </row>
    <row r="24" spans="1:12" ht="15" x14ac:dyDescent="0.25">
      <c r="A24" s="30"/>
      <c r="B24" s="30"/>
      <c r="C24" s="30"/>
      <c r="D24" s="30"/>
      <c r="E24" s="30"/>
      <c r="F24" s="30"/>
      <c r="G24" s="30"/>
      <c r="H24" s="30"/>
      <c r="I24" s="30"/>
      <c r="J24" s="30"/>
      <c r="K24" s="30"/>
      <c r="L24" s="30"/>
    </row>
    <row r="25" spans="1:12" ht="15" customHeight="1" x14ac:dyDescent="0.25">
      <c r="A25" s="30"/>
      <c r="B25" s="54" t="s">
        <v>52</v>
      </c>
      <c r="C25" s="54"/>
      <c r="D25" s="54"/>
      <c r="E25" s="54"/>
      <c r="F25" s="54"/>
      <c r="G25" s="54"/>
      <c r="H25" s="54"/>
      <c r="I25" s="54"/>
      <c r="J25" s="54"/>
      <c r="K25" s="55"/>
      <c r="L25" s="55"/>
    </row>
  </sheetData>
  <mergeCells count="12">
    <mergeCell ref="A21:L21"/>
    <mergeCell ref="B25:L25"/>
    <mergeCell ref="A8:L8"/>
    <mergeCell ref="A10:J10"/>
    <mergeCell ref="B15:L15"/>
    <mergeCell ref="B23:L23"/>
    <mergeCell ref="B12:L13"/>
    <mergeCell ref="C14:K14"/>
    <mergeCell ref="C16:K16"/>
    <mergeCell ref="C18:K18"/>
    <mergeCell ref="B17:L17"/>
    <mergeCell ref="A19:L19"/>
  </mergeCells>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Calculator</vt:lpstr>
      <vt:lpstr>Instructions</vt:lpstr>
    </vt:vector>
  </TitlesOfParts>
  <Company>City of Portland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%username%</dc:creator>
  <cp:lastModifiedBy>Rae, Stephen</cp:lastModifiedBy>
  <cp:lastPrinted>2014-09-17T22:57:53Z</cp:lastPrinted>
  <dcterms:created xsi:type="dcterms:W3CDTF">2009-11-18T18:56:04Z</dcterms:created>
  <dcterms:modified xsi:type="dcterms:W3CDTF">2014-09-17T23:03:54Z</dcterms:modified>
</cp:coreProperties>
</file>