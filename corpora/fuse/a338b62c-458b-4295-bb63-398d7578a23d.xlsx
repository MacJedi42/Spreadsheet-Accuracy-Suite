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worksheets/sheet6.xml" ContentType="application/vnd.openxmlformats-officedocument.spreadsheetml.worksheet+xml"/>
  <Default Extension="emf" ContentType="image/x-emf"/>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Default Extension="docx" ContentType="application/vnd.openxmlformats-officedocument.wordprocessingml.documen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45" yWindow="15" windowWidth="13515" windowHeight="11475" tabRatio="759"/>
  </bookViews>
  <sheets>
    <sheet name="Customer Metrics" sheetId="4" r:id="rId1"/>
    <sheet name="Revenue and Exp" sheetId="5" r:id="rId2"/>
    <sheet name="Exp as a % of Rev" sheetId="10" state="hidden" r:id="rId3"/>
    <sheet name="Capex and FCF" sheetId="9" r:id="rId4"/>
    <sheet name="Notes" sheetId="12" r:id="rId5"/>
    <sheet name="Capex as a % of Cable Capex" sheetId="11" state="hidden" r:id="rId6"/>
  </sheets>
  <definedNames>
    <definedName name="_xlnm._FilterDatabase" hidden="1">#REF!</definedName>
    <definedName name="_Order1" hidden="1">255</definedName>
    <definedName name="_Order2" hidden="1">0</definedName>
    <definedName name="CableSub">#REF!</definedName>
    <definedName name="Customer_Metrics">#REF!</definedName>
    <definedName name="ddddd" hidden="1">{#N/A,#N/A,FALSE,"Statement of Ops";#N/A,#N/A,FALSE,"Trend Ops"}</definedName>
    <definedName name="dere" hidden="1">{#N/A,#N/A,FALSE,"Statement of Ops";#N/A,#N/A,FALSE,"Trend Ops"}</definedName>
    <definedName name="dfdfd" hidden="1">{#N/A,#N/A,FALSE,"Statement of Ops";#N/A,#N/A,FALSE,"Trend Ops"}</definedName>
    <definedName name="dfsdf" hidden="1">{#N/A,#N/A,FALSE,"Statement of Ops";#N/A,#N/A,FALSE,"Trend Ops"}</definedName>
    <definedName name="dsf" hidden="1">{#N/A,#N/A,FALSE,"Statement of Ops";#N/A,#N/A,FALSE,"Trend Ops"}</definedName>
    <definedName name="eeeeeeeeee" hidden="1">{#N/A,#N/A,FALSE,"Statement of Ops";#N/A,#N/A,FALSE,"Trend Ops"}</definedName>
    <definedName name="erere" hidden="1">{#N/A,#N/A,FALSE,"Statement of Ops";#N/A,#N/A,FALSE,"Trend Ops"}</definedName>
    <definedName name="ererere" hidden="1">{#N/A,#N/A,FALSE,"Statement of Ops";#N/A,#N/A,FALSE,"Trend Ops"}</definedName>
    <definedName name="Filter" hidden="1">#REF!</definedName>
    <definedName name="HTML_CodePage" hidden="1">1252</definedName>
    <definedName name="HTML_Description" hidden="1">"IBN Products"</definedName>
    <definedName name="HTML_Email" hidden="1">""</definedName>
    <definedName name="HTML_Header" hidden="1">"Edit"</definedName>
    <definedName name="HTML_LastUpdate" hidden="1">"24/05/97"</definedName>
    <definedName name="HTML_LineAfter" hidden="1">FALSE</definedName>
    <definedName name="HTML_LineBefore" hidden="1">TRUE</definedName>
    <definedName name="HTML_Name" hidden="1">"Mike Bibbings"</definedName>
    <definedName name="HTML_OBDlg2" hidden="1">TRUE</definedName>
    <definedName name="HTML_OBDlg4" hidden="1">TRUE</definedName>
    <definedName name="HTML_OS" hidden="1">0</definedName>
    <definedName name="HTML_PathFile" hidden="1">"C:\My Documents\mmelHTML.htm"</definedName>
    <definedName name="HTML_Title" hidden="1">"Master Edit List"</definedName>
    <definedName name="l" hidden="1">#REF!</definedName>
    <definedName name="limcount" hidden="1">1</definedName>
    <definedName name="lll" hidden="1">{#N/A,#N/A,FALSE,"Statement of Ops";#N/A,#N/A,FALSE,"Trend Ops"}</definedName>
    <definedName name="llll" hidden="1">{#N/A,#N/A,FALSE,"Statement of Ops";#N/A,#N/A,FALSE,"Trend Ops"}</definedName>
    <definedName name="lllll" hidden="1">{#N/A,#N/A,FALSE,"Statement of Ops";#N/A,#N/A,FALSE,"Trend Ops"}</definedName>
    <definedName name="o" hidden="1">#REF!</definedName>
    <definedName name="OLE_LINK1" localSheetId="4">Notes!$A$5</definedName>
    <definedName name="p" hidden="1">#REF!</definedName>
    <definedName name="_xlnm.Print_Area" localSheetId="3">'Capex and FCF'!$A$1:$P$54</definedName>
    <definedName name="_xlnm.Print_Area" localSheetId="5">'Capex as a % of Cable Capex'!$A$1:$R$33</definedName>
    <definedName name="_xlnm.Print_Area" localSheetId="0">'Customer Metrics'!$A$1:$P$49</definedName>
    <definedName name="_xlnm.Print_Area" localSheetId="2">'Exp as a % of Rev'!$A$1:$R$51</definedName>
    <definedName name="_xlnm.Print_Area" localSheetId="4">Notes!$A$1:$B$69</definedName>
    <definedName name="_xlnm.Print_Area" localSheetId="1">'Revenue and Exp'!$A$1:$P$56</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tim" hidden="1">100</definedName>
    <definedName name="solver_tol" hidden="1">0.05</definedName>
    <definedName name="solver_typ" hidden="1">1</definedName>
    <definedName name="solver_val" hidden="1">0</definedName>
    <definedName name="subs1"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wrn.4Q._.Report." hidden="1">{"Summary OCF",#N/A,FALSE,"Summary OCF";"Rev &amp; OCF",#N/A,FALSE,"Revenue and OCF";"Exp",#N/A,FALSE,"Expenses";"Subs",#N/A,FALSE,"Subscribers"}</definedName>
    <definedName name="wrn.Budget._.Annual." hidden="1">{"Annual P&amp;L",#N/A,TRUE,"P&amp;L";"Annual Revenue 1",#N/A,TRUE,"DetRev";"Annual Revenue 2",#N/A,TRUE,"DetRev";"Annual Tech",#N/A,TRUE,"DetTech";"Annual Customer Service",#N/A,TRUE,"DetCSR";"Annual Marketing",#N/A,TRUE,"DetMrkt";"Annual Online",#N/A,TRUE,"DetOnline";"Annual Telephony",#N/A,TRUE,"DetTelephony";"Annual Adsales",#N/A,TRUE,"DetAdSales";"Annual LO",#N/A,TRUE,"DETLO";"Annual Administration",#N/A,TRUE,"DetAdmin";"Annual Product",#N/A,TRUE,"DetProd";"Annual Manpower",#N/A,TRUE,"Manpower Summary"}</definedName>
    <definedName name="wrn.Budget._.Trend." hidden="1">{"Trend P&amp;L",#N/A,TRUE,"P&amp;L";"Trend Revenue 1",#N/A,TRUE,"DetRev";"Trend Revenue 2",#N/A,TRUE,"DetRev";"Trend Tech",#N/A,TRUE,"DetTech";"Trend Customer Service",#N/A,TRUE,"DetCSR";"Trend Marketing",#N/A,TRUE,"DetMrkt";"Trend Online",#N/A,TRUE,"DetOnline";"Trend Telephony",#N/A,TRUE,"DetTelephony";"Trend Adsales",#N/A,TRUE,"DetAdSales";"Trend LO",#N/A,TRUE,"DETLO";"Trend Administration",#N/A,TRUE,"DetAdmin";"Trend Product",#N/A,TRUE,"DetProd"}</definedName>
    <definedName name="wrn.Cable._.Headcount._.Reports." hidden="1">{"Headcount Annual",#N/A,FALSE,"Headcount";"Headcount Monthly",#N/A,FALSE,"Headcount"}</definedName>
    <definedName name="wrn.Capital." hidden="1">{"Capital",#N/A,FALSE,"CapSum"}</definedName>
    <definedName name="wrn.Capital._.Report." hidden="1">{"Capital",#N/A,FALSE,"CapSum"}</definedName>
    <definedName name="wrn.Capital._.Reports." hidden="1">{"Capital Summary",#N/A,FALSE,"CapSum";"Other Capital",#N/A,FALSE,"CapDet";"Construction Report",#N/A,FALSE,"ConstRep"}</definedName>
    <definedName name="wrn.Capital._.Summary." hidden="1">{"Capital",#N/A,FALSE,"CapSum"}</definedName>
    <definedName name="wrn.Current._.Month." hidden="1">{"current month",#N/A,FALSE,"Capitalization"}</definedName>
    <definedName name="wrn.Digital._.Sub._.Detail." hidden="1">{"Digital Detail",#N/A,FALSE,"Digital"}</definedName>
    <definedName name="wrn.Financial._.Reports." hidden="1">{#N/A,#N/A,FALSE,"Statement of Ops";#N/A,#N/A,FALSE,"Trend Ops";#N/A,#N/A,FALSE,"Revenue";#N/A,#N/A,FALSE,"Trend Rev";#N/A,#N/A,FALSE,"Tech";#N/A,#N/A,FALSE,"Trend Tech";#N/A,#N/A,FALSE,"Cust Serv";#N/A,#N/A,FALSE,"Trend Cust Serv";#N/A,#N/A,FALSE,"Marketing";#N/A,#N/A,FALSE,"Trend Marketing";#N/A,#N/A,FALSE,"Online";#N/A,#N/A,FALSE,"Trend Online";#N/A,#N/A,FALSE,"Telephony";#N/A,#N/A,FALSE,"Trend Telephony";#N/A,#N/A,FALSE,"Ad Sales";#N/A,#N/A,FALSE,"Trend Ad Sales";#N/A,#N/A,FALSE,"LO";#N/A,#N/A,FALSE,"Trend LO";#N/A,#N/A,FALSE,"Admin";#N/A,#N/A,FALSE,"Trend Admin";#N/A,#N/A,FALSE,"Product";#N/A,#N/A,FALSE,"Trend Product"}</definedName>
    <definedName name="wrn.Monthly._.Financial._.Reports."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wrn.No._.Ad._.Sales._.Reports." hidden="1">{"Annual P&amp;L NoAd",#N/A,FALSE,"P&amp;L No Ad Sales";"Annual Rev NoAd",#N/A,FALSE,"DetRev No Ad Sales";"Monthly P&amp;L NoAd",#N/A,FALSE,"P&amp;L No Ad Sales";"Monthly Rev NoAd",#N/A,FALSE,"DetRev No Ad Sales"}</definedName>
    <definedName name="wrn.No._.AdSales._.Annual." hidden="1">{"P&amp;L No Ads Annual",#N/A,TRUE,"P&amp;L No Ad Sales";"Revenue No Ads Annual",#N/A,TRUE,"DetRev No Ad Sales"}</definedName>
    <definedName name="wrn.No._.AdSales._.Financial." hidden="1">{"Annual P&amp;L No Ads",#N/A,TRUE,"Trend No AdSales";"Monthly P&amp;L No Ads",#N/A,TRUE,"Trend No AdSales";"Annual Rev no Ads",#N/A,TRUE,"Trend Rev No AdSales";"Monthly Rev No Ads",#N/A,TRUE,"Trend Rev No AdSales"}</definedName>
    <definedName name="wrn.No._.Adsales._.Reports." hidden="1">{"Trend P&amp;L No Adsales",#N/A,TRUE,"P&amp;L No Ad Sales";"Annual P&amp;L No Adsales",#N/A,TRUE,"P&amp;L No Ad Sales";"Trend Revenue no Adsales",#N/A,TRUE,"DetRev No AdSales";"Annual Revenue No AdSales",#N/A,TRUE,"DetRev No AdSales"}</definedName>
    <definedName name="wrn.No._.AdSales._.Trend." hidden="1">{"P&amp;L No Ads Trend",#N/A,TRUE,"P&amp;L No Ad Sales";"Revenue No Ads Trend",#N/A,TRUE,"DetRev No Ad Sales"}</definedName>
    <definedName name="wrn.Online._.Headcount._.Reports." hidden="1">{"Online Headcount Annual",#N/A,FALSE,"Headcount";"Online Headcount Monthly",#N/A,FALSE,"Headcount"}</definedName>
    <definedName name="wrn.Online._.Sub._.Detail." hidden="1">{"Online Detail",#N/A,FALSE,"OnLine"}</definedName>
    <definedName name="wrn.Pay._.Sub._.Detail." hidden="1">{"Pay Detail",#N/A,FALSE,"Pay"}</definedName>
    <definedName name="xxxx" hidden="1">{"P&amp;L Annual",#N/A,FALSE,"P&amp;L";"Rev Annual",#N/A,FALSE,"DetRev";"Tech Annual",#N/A,FALSE,"DetTech";"CSR Annual",#N/A,FALSE,"DetCSR";"Marketing Annual",#N/A,FALSE,"DetMrkt";"Ad Sales Annual",#N/A,FALSE,"DetAdSales";"LO Annual",#N/A,FALSE,"DETLO";"Admin Annual",#N/A,FALSE,"DetAdmin";"Product Annual",#N/A,FALSE,"DetProd"}</definedName>
  </definedNames>
  <calcPr calcId="125725"/>
</workbook>
</file>

<file path=xl/calcChain.xml><?xml version="1.0" encoding="utf-8"?>
<calcChain xmlns="http://schemas.openxmlformats.org/spreadsheetml/2006/main">
  <c r="R56" i="11"/>
  <c r="Q56"/>
  <c r="P56"/>
  <c r="O56"/>
  <c r="N56"/>
  <c r="L54"/>
  <c r="K54"/>
  <c r="J54"/>
  <c r="I54"/>
  <c r="H54"/>
  <c r="E54"/>
  <c r="D54"/>
  <c r="C54"/>
  <c r="B54"/>
  <c r="L52"/>
  <c r="K52"/>
  <c r="J52"/>
  <c r="I52"/>
  <c r="H52"/>
  <c r="E52"/>
  <c r="D52"/>
  <c r="C52"/>
  <c r="B52"/>
  <c r="R48"/>
  <c r="Q48"/>
  <c r="P48"/>
  <c r="O48"/>
  <c r="N48"/>
  <c r="L48"/>
  <c r="K48"/>
  <c r="J48"/>
  <c r="I48"/>
  <c r="H48"/>
  <c r="F48"/>
  <c r="E48"/>
  <c r="D48"/>
  <c r="C48"/>
  <c r="B48"/>
  <c r="R46"/>
  <c r="Q46"/>
  <c r="P46"/>
  <c r="O46"/>
  <c r="N46"/>
  <c r="L46"/>
  <c r="K46"/>
  <c r="J46"/>
  <c r="I46"/>
  <c r="H46"/>
  <c r="F46"/>
  <c r="E46"/>
  <c r="D46"/>
  <c r="C46"/>
  <c r="B46"/>
  <c r="L44"/>
  <c r="F44"/>
  <c r="R43"/>
  <c r="Q43"/>
  <c r="P43"/>
  <c r="O43"/>
  <c r="N43"/>
  <c r="L43"/>
  <c r="F43"/>
  <c r="E43"/>
  <c r="R40"/>
  <c r="Q40"/>
  <c r="P40"/>
  <c r="O40"/>
  <c r="N40"/>
  <c r="L40"/>
  <c r="F40"/>
  <c r="R39"/>
  <c r="Q39"/>
  <c r="P39"/>
  <c r="O39"/>
  <c r="N39"/>
  <c r="L39"/>
  <c r="F39"/>
  <c r="R38"/>
  <c r="Q38"/>
  <c r="P38"/>
  <c r="O38"/>
  <c r="N38"/>
  <c r="L38"/>
  <c r="F38"/>
  <c r="D38"/>
  <c r="C38"/>
  <c r="R37"/>
  <c r="Q37"/>
  <c r="P37"/>
  <c r="O37"/>
  <c r="N37"/>
  <c r="L37"/>
  <c r="F37"/>
  <c r="L32"/>
  <c r="L33" s="1"/>
  <c r="R33" s="1"/>
  <c r="F32"/>
  <c r="F33"/>
  <c r="K32"/>
  <c r="K33"/>
  <c r="Q33" s="1"/>
  <c r="E32"/>
  <c r="E33"/>
  <c r="J32"/>
  <c r="J33" s="1"/>
  <c r="P33" s="1"/>
  <c r="D32"/>
  <c r="D33"/>
  <c r="I32"/>
  <c r="I33" s="1"/>
  <c r="O33" s="1"/>
  <c r="C32"/>
  <c r="C33"/>
  <c r="H32"/>
  <c r="H33" s="1"/>
  <c r="N33" s="1"/>
  <c r="B32"/>
  <c r="B33"/>
  <c r="R32"/>
  <c r="Q32"/>
  <c r="P32"/>
  <c r="O32"/>
  <c r="L30"/>
  <c r="F30"/>
  <c r="R30"/>
  <c r="K30"/>
  <c r="E30"/>
  <c r="Q30"/>
  <c r="J30"/>
  <c r="D30"/>
  <c r="P30"/>
  <c r="I30"/>
  <c r="C30"/>
  <c r="O30"/>
  <c r="H30"/>
  <c r="B30"/>
  <c r="N30"/>
  <c r="L28"/>
  <c r="F28"/>
  <c r="R28"/>
  <c r="K28"/>
  <c r="E28"/>
  <c r="Q28"/>
  <c r="J28"/>
  <c r="D28"/>
  <c r="P28"/>
  <c r="I28"/>
  <c r="C28"/>
  <c r="O28"/>
  <c r="H28"/>
  <c r="B28"/>
  <c r="N28"/>
  <c r="L26"/>
  <c r="F26"/>
  <c r="R26"/>
  <c r="K26"/>
  <c r="E26"/>
  <c r="Q26"/>
  <c r="J26"/>
  <c r="D26"/>
  <c r="P26"/>
  <c r="I26"/>
  <c r="C26"/>
  <c r="O26"/>
  <c r="H26"/>
  <c r="B26"/>
  <c r="N26"/>
  <c r="L24"/>
  <c r="F24"/>
  <c r="R24"/>
  <c r="K24"/>
  <c r="E24"/>
  <c r="Q24"/>
  <c r="J24"/>
  <c r="D24"/>
  <c r="P24"/>
  <c r="I24"/>
  <c r="C24"/>
  <c r="O24"/>
  <c r="H24"/>
  <c r="B24"/>
  <c r="N24"/>
  <c r="L22"/>
  <c r="F22"/>
  <c r="R22"/>
  <c r="K22"/>
  <c r="E22"/>
  <c r="Q22"/>
  <c r="J22"/>
  <c r="D22"/>
  <c r="P22"/>
  <c r="I22"/>
  <c r="C22"/>
  <c r="O22"/>
  <c r="H22"/>
  <c r="B22"/>
  <c r="N22"/>
  <c r="L21"/>
  <c r="F21"/>
  <c r="R21"/>
  <c r="K21"/>
  <c r="E21"/>
  <c r="Q21"/>
  <c r="J21"/>
  <c r="D21"/>
  <c r="P21"/>
  <c r="I21"/>
  <c r="C21"/>
  <c r="O21"/>
  <c r="H21"/>
  <c r="B21"/>
  <c r="N21"/>
  <c r="L20"/>
  <c r="F20"/>
  <c r="R20"/>
  <c r="K20"/>
  <c r="E20"/>
  <c r="Q20"/>
  <c r="J20"/>
  <c r="D20"/>
  <c r="P20"/>
  <c r="I20"/>
  <c r="C20"/>
  <c r="O20"/>
  <c r="H20"/>
  <c r="B20"/>
  <c r="N20"/>
  <c r="L19"/>
  <c r="F19"/>
  <c r="R19"/>
  <c r="K19"/>
  <c r="E19"/>
  <c r="Q19"/>
  <c r="J19"/>
  <c r="D19"/>
  <c r="P19"/>
  <c r="I19"/>
  <c r="C19"/>
  <c r="O19"/>
  <c r="H19"/>
  <c r="B19"/>
  <c r="N19"/>
  <c r="L18"/>
  <c r="F18"/>
  <c r="R18"/>
  <c r="K18"/>
  <c r="E18"/>
  <c r="Q18"/>
  <c r="J18"/>
  <c r="D18"/>
  <c r="P18"/>
  <c r="I18"/>
  <c r="C18"/>
  <c r="O18"/>
  <c r="H18"/>
  <c r="B18"/>
  <c r="N18"/>
  <c r="L15"/>
  <c r="F15"/>
  <c r="R15"/>
  <c r="K15"/>
  <c r="E15"/>
  <c r="Q15"/>
  <c r="J15"/>
  <c r="D15"/>
  <c r="P15"/>
  <c r="I15"/>
  <c r="C15"/>
  <c r="O15"/>
  <c r="H15"/>
  <c r="B15"/>
  <c r="N15"/>
  <c r="L14"/>
  <c r="F14"/>
  <c r="R14"/>
  <c r="K14"/>
  <c r="E14"/>
  <c r="Q14"/>
  <c r="J14"/>
  <c r="D14"/>
  <c r="P14"/>
  <c r="I14"/>
  <c r="C14"/>
  <c r="O14"/>
  <c r="H14"/>
  <c r="B14"/>
  <c r="N14"/>
  <c r="L13"/>
  <c r="F13"/>
  <c r="R13"/>
  <c r="K13"/>
  <c r="E13"/>
  <c r="Q13"/>
  <c r="J13"/>
  <c r="D13"/>
  <c r="P13"/>
  <c r="I13"/>
  <c r="C13"/>
  <c r="O13"/>
  <c r="H13"/>
  <c r="B13"/>
  <c r="N13"/>
  <c r="L12"/>
  <c r="F12"/>
  <c r="R12"/>
  <c r="K12"/>
  <c r="E12"/>
  <c r="Q12"/>
  <c r="J12"/>
  <c r="D12"/>
  <c r="P12"/>
  <c r="I12"/>
  <c r="C12"/>
  <c r="O12"/>
  <c r="H12"/>
  <c r="B12"/>
  <c r="N12"/>
  <c r="L11"/>
  <c r="F11"/>
  <c r="R11"/>
  <c r="K11"/>
  <c r="E11"/>
  <c r="Q11"/>
  <c r="J11"/>
  <c r="D11"/>
  <c r="P11"/>
  <c r="I11"/>
  <c r="C11"/>
  <c r="O11"/>
  <c r="H11"/>
  <c r="B11"/>
  <c r="N11"/>
  <c r="L10"/>
  <c r="F10"/>
  <c r="R10"/>
  <c r="K10"/>
  <c r="E10"/>
  <c r="Q10"/>
  <c r="J10"/>
  <c r="D10"/>
  <c r="P10"/>
  <c r="I10"/>
  <c r="C10"/>
  <c r="O10"/>
  <c r="H10"/>
  <c r="B10"/>
  <c r="N10"/>
  <c r="L9"/>
  <c r="F9"/>
  <c r="R9"/>
  <c r="K9"/>
  <c r="E9"/>
  <c r="Q9"/>
  <c r="J9"/>
  <c r="D9"/>
  <c r="P9"/>
  <c r="I9"/>
  <c r="C9"/>
  <c r="O9"/>
  <c r="H9"/>
  <c r="B9"/>
  <c r="N9"/>
  <c r="L60" i="10"/>
  <c r="K60"/>
  <c r="J60"/>
  <c r="I60"/>
  <c r="H60"/>
  <c r="F60"/>
  <c r="E60"/>
  <c r="D60"/>
  <c r="C60"/>
  <c r="B60"/>
  <c r="L59"/>
  <c r="F59"/>
  <c r="L58"/>
  <c r="F58"/>
  <c r="L57"/>
  <c r="F57"/>
  <c r="L51"/>
  <c r="K51"/>
  <c r="J51"/>
  <c r="I51"/>
  <c r="H51"/>
  <c r="F51"/>
  <c r="E51"/>
  <c r="D51"/>
  <c r="C51"/>
  <c r="B51"/>
  <c r="L49"/>
  <c r="K49"/>
  <c r="J49"/>
  <c r="I49"/>
  <c r="H49"/>
  <c r="F49"/>
  <c r="E49"/>
  <c r="D49"/>
  <c r="C49"/>
  <c r="B49"/>
  <c r="L47"/>
  <c r="K47"/>
  <c r="J47"/>
  <c r="I47"/>
  <c r="H47"/>
  <c r="F47"/>
  <c r="E47"/>
  <c r="D47"/>
  <c r="C47"/>
  <c r="B47"/>
  <c r="L45"/>
  <c r="K45"/>
  <c r="J45"/>
  <c r="I45"/>
  <c r="H45"/>
  <c r="F45"/>
  <c r="E45"/>
  <c r="D45"/>
  <c r="C45"/>
  <c r="B45"/>
  <c r="R42"/>
  <c r="Q42"/>
  <c r="P42"/>
  <c r="O42"/>
  <c r="N42"/>
  <c r="L42"/>
  <c r="F42"/>
  <c r="K28"/>
  <c r="K35"/>
  <c r="L35" s="1"/>
  <c r="P40"/>
  <c r="O40"/>
  <c r="N40"/>
  <c r="J40"/>
  <c r="I40"/>
  <c r="H40"/>
  <c r="F40"/>
  <c r="E40"/>
  <c r="D40"/>
  <c r="C40"/>
  <c r="B40"/>
  <c r="R39"/>
  <c r="Q39"/>
  <c r="P39"/>
  <c r="O39"/>
  <c r="N39"/>
  <c r="L39"/>
  <c r="K39"/>
  <c r="J39"/>
  <c r="I39"/>
  <c r="H39"/>
  <c r="F39"/>
  <c r="E39"/>
  <c r="D39"/>
  <c r="C39"/>
  <c r="B39"/>
  <c r="R38"/>
  <c r="Q38"/>
  <c r="P38"/>
  <c r="O38"/>
  <c r="N38"/>
  <c r="L38"/>
  <c r="K38"/>
  <c r="J38"/>
  <c r="I38"/>
  <c r="H38"/>
  <c r="F38"/>
  <c r="E38"/>
  <c r="D38"/>
  <c r="C38"/>
  <c r="B38"/>
  <c r="P36"/>
  <c r="O36"/>
  <c r="N36"/>
  <c r="J36"/>
  <c r="I36"/>
  <c r="H36"/>
  <c r="F36"/>
  <c r="E36"/>
  <c r="D36"/>
  <c r="C36"/>
  <c r="B36"/>
  <c r="Q35"/>
  <c r="P35"/>
  <c r="O35"/>
  <c r="N35"/>
  <c r="F35"/>
  <c r="R34"/>
  <c r="Q34"/>
  <c r="P34"/>
  <c r="O34"/>
  <c r="N34"/>
  <c r="L34"/>
  <c r="F34"/>
  <c r="R33"/>
  <c r="Q33"/>
  <c r="P33"/>
  <c r="O33"/>
  <c r="N33"/>
  <c r="F33"/>
  <c r="L30"/>
  <c r="F30"/>
  <c r="R30"/>
  <c r="K30"/>
  <c r="E30"/>
  <c r="Q30"/>
  <c r="J30"/>
  <c r="D30"/>
  <c r="P30"/>
  <c r="I30"/>
  <c r="C30"/>
  <c r="O30"/>
  <c r="H30"/>
  <c r="B30"/>
  <c r="N30"/>
  <c r="L28"/>
  <c r="F28"/>
  <c r="R28"/>
  <c r="E28"/>
  <c r="Q28"/>
  <c r="J28"/>
  <c r="D28"/>
  <c r="P28"/>
  <c r="I28"/>
  <c r="C28"/>
  <c r="O28"/>
  <c r="H28"/>
  <c r="B28"/>
  <c r="N28"/>
  <c r="L26"/>
  <c r="F26"/>
  <c r="R26"/>
  <c r="K26"/>
  <c r="E26"/>
  <c r="Q26"/>
  <c r="J26"/>
  <c r="D26"/>
  <c r="P26"/>
  <c r="I26"/>
  <c r="C26"/>
  <c r="O26"/>
  <c r="H26"/>
  <c r="B26"/>
  <c r="N26"/>
  <c r="L24"/>
  <c r="F24"/>
  <c r="R24"/>
  <c r="K24"/>
  <c r="E24"/>
  <c r="Q24"/>
  <c r="J24"/>
  <c r="D24"/>
  <c r="P24"/>
  <c r="I24"/>
  <c r="C24"/>
  <c r="O24"/>
  <c r="H24"/>
  <c r="B24"/>
  <c r="N24"/>
  <c r="L22"/>
  <c r="F22"/>
  <c r="R22"/>
  <c r="K22"/>
  <c r="E22"/>
  <c r="Q22"/>
  <c r="J22"/>
  <c r="D22"/>
  <c r="P22"/>
  <c r="I22"/>
  <c r="C22"/>
  <c r="O22"/>
  <c r="H22"/>
  <c r="B22"/>
  <c r="N22"/>
  <c r="L21"/>
  <c r="F21"/>
  <c r="R21"/>
  <c r="K21"/>
  <c r="E21"/>
  <c r="Q21"/>
  <c r="J21"/>
  <c r="D21"/>
  <c r="P21"/>
  <c r="I21"/>
  <c r="C21"/>
  <c r="O21"/>
  <c r="H21"/>
  <c r="B21"/>
  <c r="N21"/>
  <c r="L20"/>
  <c r="F20"/>
  <c r="R20"/>
  <c r="K20"/>
  <c r="E20"/>
  <c r="Q20"/>
  <c r="J20"/>
  <c r="D20"/>
  <c r="P20"/>
  <c r="I20"/>
  <c r="C20"/>
  <c r="O20"/>
  <c r="H20"/>
  <c r="B20"/>
  <c r="N20"/>
  <c r="L19"/>
  <c r="F19"/>
  <c r="R19"/>
  <c r="K19"/>
  <c r="E19"/>
  <c r="Q19"/>
  <c r="J19"/>
  <c r="D19"/>
  <c r="P19"/>
  <c r="I19"/>
  <c r="C19"/>
  <c r="O19"/>
  <c r="H19"/>
  <c r="B19"/>
  <c r="N19"/>
  <c r="L17"/>
  <c r="F17"/>
  <c r="R17"/>
  <c r="K17"/>
  <c r="E17"/>
  <c r="Q17"/>
  <c r="J17"/>
  <c r="D17"/>
  <c r="P17"/>
  <c r="I17"/>
  <c r="C17"/>
  <c r="O17"/>
  <c r="H17"/>
  <c r="B17"/>
  <c r="N17"/>
  <c r="L16"/>
  <c r="F16"/>
  <c r="R16"/>
  <c r="K16"/>
  <c r="E16"/>
  <c r="Q16"/>
  <c r="J16"/>
  <c r="D16"/>
  <c r="P16"/>
  <c r="I16"/>
  <c r="C16"/>
  <c r="O16"/>
  <c r="H16"/>
  <c r="B16"/>
  <c r="N16"/>
  <c r="L15"/>
  <c r="F15"/>
  <c r="R15"/>
  <c r="K15"/>
  <c r="E15"/>
  <c r="Q15"/>
  <c r="J15"/>
  <c r="D15"/>
  <c r="P15"/>
  <c r="I15"/>
  <c r="C15"/>
  <c r="O15"/>
  <c r="H15"/>
  <c r="B15"/>
  <c r="N15"/>
  <c r="L14"/>
  <c r="F14"/>
  <c r="R14"/>
  <c r="K14"/>
  <c r="E14"/>
  <c r="Q14"/>
  <c r="J14"/>
  <c r="D14"/>
  <c r="P14"/>
  <c r="I14"/>
  <c r="C14"/>
  <c r="O14"/>
  <c r="H14"/>
  <c r="B14"/>
  <c r="N14"/>
  <c r="L13"/>
  <c r="F13"/>
  <c r="R13"/>
  <c r="K13"/>
  <c r="E13"/>
  <c r="Q13"/>
  <c r="J13"/>
  <c r="D13"/>
  <c r="P13"/>
  <c r="I13"/>
  <c r="C13"/>
  <c r="O13"/>
  <c r="H13"/>
  <c r="B13"/>
  <c r="N13"/>
  <c r="L12"/>
  <c r="F12"/>
  <c r="R12"/>
  <c r="K12"/>
  <c r="E12"/>
  <c r="Q12"/>
  <c r="J12"/>
  <c r="D12"/>
  <c r="P12"/>
  <c r="I12"/>
  <c r="C12"/>
  <c r="O12"/>
  <c r="H12"/>
  <c r="B12"/>
  <c r="N12"/>
  <c r="L9"/>
  <c r="F9"/>
  <c r="R9"/>
  <c r="K9"/>
  <c r="E9"/>
  <c r="Q9"/>
  <c r="J9"/>
  <c r="D9"/>
  <c r="P9"/>
  <c r="I9"/>
  <c r="C9"/>
  <c r="O9"/>
  <c r="H9"/>
  <c r="B9"/>
  <c r="N9"/>
  <c r="L8"/>
  <c r="F8"/>
  <c r="R8"/>
  <c r="K8"/>
  <c r="E8"/>
  <c r="Q8"/>
  <c r="J8"/>
  <c r="D8"/>
  <c r="P8"/>
  <c r="I8"/>
  <c r="C8"/>
  <c r="O8"/>
  <c r="H8"/>
  <c r="B8"/>
  <c r="N8"/>
  <c r="L7"/>
  <c r="F7"/>
  <c r="R7"/>
  <c r="K7"/>
  <c r="E7"/>
  <c r="Q7"/>
  <c r="J7"/>
  <c r="D7"/>
  <c r="P7"/>
  <c r="I7"/>
  <c r="C7"/>
  <c r="O7"/>
  <c r="H7"/>
  <c r="B7"/>
  <c r="N7"/>
  <c r="K36" l="1"/>
  <c r="N32" i="11"/>
  <c r="L36" i="10"/>
  <c r="R35"/>
  <c r="K40" l="1"/>
  <c r="Q40" s="1"/>
  <c r="Q36"/>
  <c r="L40"/>
  <c r="R40" s="1"/>
  <c r="R36"/>
</calcChain>
</file>

<file path=xl/sharedStrings.xml><?xml version="1.0" encoding="utf-8"?>
<sst xmlns="http://schemas.openxmlformats.org/spreadsheetml/2006/main" count="269" uniqueCount="150">
  <si>
    <t>Advertising</t>
  </si>
  <si>
    <t>Franchise Fees</t>
  </si>
  <si>
    <t>Corporate &amp; Other</t>
  </si>
  <si>
    <t>Total Consolidated Revenue</t>
  </si>
  <si>
    <t>Digital Penetration of Total Video</t>
  </si>
  <si>
    <t>Advanced Services Penetration of Total Video</t>
  </si>
  <si>
    <t>HSI Net Additions</t>
  </si>
  <si>
    <t xml:space="preserve"> </t>
  </si>
  <si>
    <t>CDV Net Additions</t>
  </si>
  <si>
    <t>Total Video Customers</t>
  </si>
  <si>
    <t>HSI Customers</t>
  </si>
  <si>
    <t>1Q</t>
  </si>
  <si>
    <t>2Q</t>
  </si>
  <si>
    <t>3Q</t>
  </si>
  <si>
    <t>4Q</t>
  </si>
  <si>
    <t>Video Programming</t>
  </si>
  <si>
    <t>Cable</t>
  </si>
  <si>
    <t>Programming</t>
  </si>
  <si>
    <t>Revenue:</t>
  </si>
  <si>
    <t>Total Consolidated OCF</t>
  </si>
  <si>
    <t>Total Consolidated OCF Margin</t>
  </si>
  <si>
    <t>Corporate and Other</t>
  </si>
  <si>
    <t>Total Consolidated Operating Expense</t>
  </si>
  <si>
    <t>Capital Expenditures</t>
  </si>
  <si>
    <t>Scalable Infrastructure</t>
  </si>
  <si>
    <t>Line Extensions</t>
  </si>
  <si>
    <t>Support Capital</t>
  </si>
  <si>
    <t>Business Services</t>
  </si>
  <si>
    <t>CPE (Drop Replacements)</t>
  </si>
  <si>
    <t>Upgrades</t>
  </si>
  <si>
    <t>Total Consolidated Capital Expenditures</t>
  </si>
  <si>
    <t>Percent of Total Consolidated Revenue</t>
  </si>
  <si>
    <t>Customer Premise Equipment (CPE)</t>
  </si>
  <si>
    <t>Marketing</t>
  </si>
  <si>
    <t>Total Cable SG&amp;A</t>
  </si>
  <si>
    <t>Boxes per Digital Customer</t>
  </si>
  <si>
    <t>Comcast Digital Voice (CDV) Customers</t>
  </si>
  <si>
    <t>Net Cash Provided by Operating Activities</t>
  </si>
  <si>
    <t>Cash Paid for Capitalized Software</t>
  </si>
  <si>
    <t>Cash Paid for Other Intangible Assets</t>
  </si>
  <si>
    <t>Free Cash Flow</t>
  </si>
  <si>
    <t>FCF per Share</t>
  </si>
  <si>
    <t>Diluted weighted-average number of common shares</t>
  </si>
  <si>
    <t>Growth Capital</t>
  </si>
  <si>
    <t>Total Growth Capital</t>
  </si>
  <si>
    <t>Maintenance Capital</t>
  </si>
  <si>
    <t>Total Maintenance Capital</t>
  </si>
  <si>
    <t>Cash Paid Interest</t>
  </si>
  <si>
    <t>Unlevered Free Cash Flow</t>
  </si>
  <si>
    <t>Unlevered FCF per Share</t>
  </si>
  <si>
    <t>Upgrades (Capacity Expansion)</t>
  </si>
  <si>
    <t>FY</t>
  </si>
  <si>
    <t>Adjustments for Nonoperating and Nonrecurring items, net of tax:</t>
  </si>
  <si>
    <t>Payment of Tax on Nonoperating Items</t>
  </si>
  <si>
    <t>Customer Service</t>
  </si>
  <si>
    <t>Affiliate</t>
  </si>
  <si>
    <t>Circuit-Switched Voice Customers</t>
  </si>
  <si>
    <t>Total Voice Customers</t>
  </si>
  <si>
    <t>Combined Video, HSI and Voice Customers</t>
  </si>
  <si>
    <t>Voice</t>
  </si>
  <si>
    <t>High-Speed Internet</t>
  </si>
  <si>
    <t>Advanced Services Penetration of Digital Video</t>
  </si>
  <si>
    <t>RGU Net Adds</t>
  </si>
  <si>
    <t>Note: Pro Forma adjustments for 2007 include the cable system acquired from Patriot Media, the SportsNet Bay Area/Sports Channel New England acquisitions and the cable systems acquired</t>
  </si>
  <si>
    <t xml:space="preserve">          as a result of the dissolution of our cable partnership with Insight Communications.</t>
  </si>
  <si>
    <t>Total Video</t>
  </si>
  <si>
    <t>High-Speed Internet (HSI)</t>
  </si>
  <si>
    <t>Revenue</t>
  </si>
  <si>
    <t>Operating Expense</t>
  </si>
  <si>
    <t>Operating Cash Flow (OCF)</t>
  </si>
  <si>
    <t>Strategic/Discretionary Capital</t>
  </si>
  <si>
    <t>Digital Video Additions</t>
  </si>
  <si>
    <t>(1) Results have been adjusted to reflect the impact of the Insight, Patriot, New England SN and Bay Area SN Acquisitions</t>
  </si>
  <si>
    <t>Technical Labor</t>
  </si>
  <si>
    <t>* Business Services Revenue (included in Total Cable)</t>
  </si>
  <si>
    <t>Economic Stimulus Package *</t>
  </si>
  <si>
    <t>* Our definition of Free Cash Flow remains unchanged and specifically eliminates any impact from the Economic Stimulus package. These amounts have been excluded from Free Cash Flow to provide an appropriate comparison.</t>
  </si>
  <si>
    <t>Growth</t>
  </si>
  <si>
    <t>-</t>
  </si>
  <si>
    <t>Video Programming (% of Cable Rev)</t>
  </si>
  <si>
    <t>Technical Labor (% of Cable Rev)</t>
  </si>
  <si>
    <t>Voice (% of Cable Rev)</t>
  </si>
  <si>
    <t>High-Speed Internet (% of Cable Rev)</t>
  </si>
  <si>
    <t>Other (% of Cable Rev)</t>
  </si>
  <si>
    <t>Total Cable Operating Expense  (% of Cable Rev)</t>
  </si>
  <si>
    <t>Customer Service (% of Cable Rev)</t>
  </si>
  <si>
    <t>Marketing (% of Cable Rev)</t>
  </si>
  <si>
    <t>Administrative and Other  (% of Cable Rev)</t>
  </si>
  <si>
    <t>Total Cable SG&amp;A  (% of Cable Rev)</t>
  </si>
  <si>
    <t>Total Cable  (% of Cable Rev)</t>
  </si>
  <si>
    <t>Corporate and Other (% of Total Rev)</t>
  </si>
  <si>
    <t>Programming (% of Total Rev)</t>
  </si>
  <si>
    <t>Total Consolidated Operating Expense (% of Total Rev)</t>
  </si>
  <si>
    <t>Growth Capital (as a % of Cable Capex)</t>
  </si>
  <si>
    <t>Maintenance Capital (as a % of Cable Capex)</t>
  </si>
  <si>
    <t>Strategic/Discretionary Capital (as a % of Cable Capex)</t>
  </si>
  <si>
    <t>Programming (as a % of Total Capex)</t>
  </si>
  <si>
    <t>Corporate and Other (as a % of Total Capex)</t>
  </si>
  <si>
    <t>Total Consolidated Capital Expenditures (as a % of Total Capex)</t>
  </si>
  <si>
    <t>Pro Forma Operating Expenses as a % of Revenue</t>
  </si>
  <si>
    <t>Voice (% of Voice Rev)</t>
  </si>
  <si>
    <t>High-Speed Internet (% of HSI Rev)</t>
  </si>
  <si>
    <t>Video Programming (% of Video Rev)</t>
  </si>
  <si>
    <t>Programming (% of Programming Rev)</t>
  </si>
  <si>
    <t>Free Cash Flow per Share</t>
  </si>
  <si>
    <t>Total Cable (as a % of Total Capex)</t>
  </si>
  <si>
    <t>Total Cable (% of Total Rev)</t>
  </si>
  <si>
    <t>Product Operating Expense as a % of Product Revenue</t>
  </si>
  <si>
    <t>Total Operating Expense as a % of Total Revenue</t>
  </si>
  <si>
    <t>Capex as a % of Cable and Total Capex</t>
  </si>
  <si>
    <t>Pro Forma Capex as a % of Cable and Total Capex</t>
  </si>
  <si>
    <t>Operating Expense as a % of  Cable and Programming Revenue</t>
  </si>
  <si>
    <t>($ in millions; unaudited)</t>
  </si>
  <si>
    <t>(Customers and boxes in thousands, except per customer data; unaudited)</t>
  </si>
  <si>
    <t>Notes</t>
  </si>
  <si>
    <r>
      <t>Homes Passed</t>
    </r>
    <r>
      <rPr>
        <vertAlign val="superscript"/>
        <sz val="10"/>
        <rFont val="Arial Narrow"/>
        <family val="2"/>
      </rPr>
      <t>1</t>
    </r>
  </si>
  <si>
    <r>
      <t>Total Video Penetration of Homes Passed</t>
    </r>
    <r>
      <rPr>
        <vertAlign val="superscript"/>
        <sz val="10"/>
        <rFont val="Arial Narrow"/>
        <family val="2"/>
      </rPr>
      <t>2</t>
    </r>
  </si>
  <si>
    <r>
      <t>HSI Penetration of "Available" Homes</t>
    </r>
    <r>
      <rPr>
        <vertAlign val="superscript"/>
        <sz val="10"/>
        <rFont val="Arial Narrow"/>
        <family val="2"/>
      </rPr>
      <t>2</t>
    </r>
  </si>
  <si>
    <r>
      <t>CDV Penetration of "Available" Homes</t>
    </r>
    <r>
      <rPr>
        <vertAlign val="superscript"/>
        <sz val="10"/>
        <rFont val="Arial Narrow"/>
        <family val="2"/>
      </rPr>
      <t>2</t>
    </r>
  </si>
  <si>
    <t>Combined Video, HSI and Voice Net Additions</t>
  </si>
  <si>
    <t>Total Programming Segment</t>
  </si>
  <si>
    <t>Total Cable Segment *</t>
  </si>
  <si>
    <t>Total Cable Segment</t>
  </si>
  <si>
    <t>CPE</t>
  </si>
  <si>
    <t>Total Video Net Additions (Losses)</t>
  </si>
  <si>
    <t>* Business Services Revenue (included in Cable service revenues)</t>
  </si>
  <si>
    <t>($ and shares in millions, except per share data; unaudited)</t>
  </si>
  <si>
    <t>Adjustments for Payment of Tax on Nonoperating Items</t>
  </si>
  <si>
    <r>
      <t>Digital Video Customers</t>
    </r>
    <r>
      <rPr>
        <vertAlign val="superscript"/>
        <sz val="10"/>
        <rFont val="Arial Narrow"/>
        <family val="2"/>
      </rPr>
      <t>3</t>
    </r>
  </si>
  <si>
    <r>
      <t>Digital Set-Top Boxes</t>
    </r>
    <r>
      <rPr>
        <vertAlign val="superscript"/>
        <sz val="10"/>
        <rFont val="Arial Narrow"/>
        <family val="2"/>
      </rPr>
      <t>3</t>
    </r>
  </si>
  <si>
    <r>
      <t>Advanced Services Customers</t>
    </r>
    <r>
      <rPr>
        <vertAlign val="superscript"/>
        <sz val="10"/>
        <rFont val="Arial Narrow"/>
        <family val="2"/>
      </rPr>
      <t>4</t>
    </r>
  </si>
  <si>
    <r>
      <t>HSI "Available" Homes</t>
    </r>
    <r>
      <rPr>
        <vertAlign val="superscript"/>
        <sz val="10"/>
        <rFont val="Arial Narrow"/>
        <family val="2"/>
      </rPr>
      <t>5</t>
    </r>
  </si>
  <si>
    <r>
      <t>CDV "Available" Homes</t>
    </r>
    <r>
      <rPr>
        <vertAlign val="superscript"/>
        <sz val="10"/>
        <rFont val="Arial Narrow"/>
        <family val="2"/>
      </rPr>
      <t>5</t>
    </r>
  </si>
  <si>
    <r>
      <t>Total Revenue Generating Units (includes Digital Video Customers)</t>
    </r>
    <r>
      <rPr>
        <vertAlign val="superscript"/>
        <sz val="10"/>
        <rFont val="Arial Narrow"/>
        <family val="2"/>
      </rPr>
      <t>6</t>
    </r>
  </si>
  <si>
    <t>Free Cash Flow (Including Economic Stimulus Packages)</t>
  </si>
  <si>
    <t>Economic Stimulus Packages *</t>
  </si>
  <si>
    <r>
      <t>Other</t>
    </r>
    <r>
      <rPr>
        <vertAlign val="superscript"/>
        <sz val="10"/>
        <rFont val="Arial Narrow"/>
        <family val="2"/>
      </rPr>
      <t>9</t>
    </r>
  </si>
  <si>
    <t>Average Monthly Revenue per Video Customer</t>
  </si>
  <si>
    <r>
      <t>Video</t>
    </r>
    <r>
      <rPr>
        <vertAlign val="superscript"/>
        <sz val="8.5"/>
        <rFont val="Arial Narrow"/>
        <family val="2"/>
      </rPr>
      <t>7</t>
    </r>
  </si>
  <si>
    <t>Capital Expenditures and Free Cash Flow</t>
  </si>
  <si>
    <t>Other (includes Franchise Fees)</t>
  </si>
  <si>
    <r>
      <t>Total Cable Operating Expense</t>
    </r>
    <r>
      <rPr>
        <vertAlign val="superscript"/>
        <sz val="8.5"/>
        <rFont val="Arial Narrow"/>
        <family val="2"/>
      </rPr>
      <t>10</t>
    </r>
  </si>
  <si>
    <r>
      <t>Administrative and Other</t>
    </r>
    <r>
      <rPr>
        <vertAlign val="superscript"/>
        <sz val="8.5"/>
        <rFont val="Arial Narrow"/>
        <family val="2"/>
      </rPr>
      <t>11</t>
    </r>
  </si>
  <si>
    <r>
      <t>Operating Cash Flow (OCF)</t>
    </r>
    <r>
      <rPr>
        <b/>
        <vertAlign val="superscript"/>
        <sz val="10"/>
        <rFont val="Arial Narrow"/>
        <family val="2"/>
      </rPr>
      <t>12</t>
    </r>
  </si>
  <si>
    <r>
      <t>Total Cable Segment</t>
    </r>
    <r>
      <rPr>
        <vertAlign val="superscript"/>
        <sz val="10"/>
        <rFont val="Arial Narrow"/>
        <family val="2"/>
      </rPr>
      <t>13</t>
    </r>
  </si>
  <si>
    <r>
      <t>Free Cash Flow</t>
    </r>
    <r>
      <rPr>
        <b/>
        <vertAlign val="superscript"/>
        <sz val="10"/>
        <rFont val="Arial Narrow"/>
        <family val="2"/>
      </rPr>
      <t>14</t>
    </r>
  </si>
  <si>
    <t>Revenue and Expenses</t>
  </si>
  <si>
    <r>
      <t>Other</t>
    </r>
    <r>
      <rPr>
        <vertAlign val="superscript"/>
        <sz val="10"/>
        <rFont val="Arial Narrow"/>
        <family val="2"/>
      </rPr>
      <t>8</t>
    </r>
  </si>
  <si>
    <t>Pro Forma Cable Customer Metrics</t>
  </si>
  <si>
    <t xml:space="preserve">*Our definition of Free Cash Flow remains unchanged and specifically excludes any impact from the 2008-2010 Economic Stimulus packages. These amounts have been excluded from Free Cash Flow to provide an appropriate comparison. </t>
  </si>
</sst>
</file>

<file path=xl/styles.xml><?xml version="1.0" encoding="utf-8"?>
<styleSheet xmlns="http://schemas.openxmlformats.org/spreadsheetml/2006/main">
  <numFmts count="35">
    <numFmt numFmtId="5" formatCode="&quot;$&quot;#,##0_);\(&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0.0%"/>
    <numFmt numFmtId="165" formatCode="#,##0.0_);\(#,##0.0\)"/>
    <numFmt numFmtId="166" formatCode="0\)"/>
    <numFmt numFmtId="167" formatCode="#,##0,;;;&quot;$K&quot;"/>
    <numFmt numFmtId="168" formatCode="0000"/>
    <numFmt numFmtId="169" formatCode="000000"/>
    <numFmt numFmtId="170" formatCode="00000_)"/>
    <numFmt numFmtId="171" formatCode="_(* #,##0.0000_);_(* \(#,##0.0000\);_(* &quot;-&quot;??_);_(@_)"/>
    <numFmt numFmtId="172" formatCode="0;;"/>
    <numFmt numFmtId="173" formatCode="&quot;US&quot;&quot;$&quot;\ #,##0.00_);\(&quot;$&quot;#,##0.00\)"/>
    <numFmt numFmtId="174" formatCode="mm/dd/yy"/>
    <numFmt numFmtId="175" formatCode="_-* #,##0\ _P_t_s_-;\-* #,##0\ _P_t_s_-;_-* &quot;-&quot;\ _P_t_s_-;_-@_-"/>
    <numFmt numFmtId="176" formatCode="_-* #,##0.00\ _P_t_s_-;\-* #,##0.00\ _P_t_s_-;_-* &quot;-&quot;??\ _P_t_s_-;_-@_-"/>
    <numFmt numFmtId="177" formatCode="_-* #,##0_ _F_-;\-* #,##0_ _F_-;_-* &quot;-&quot;_ _F_-;_-@_-"/>
    <numFmt numFmtId="178" formatCode="_-* #,##0.00_ _F_-;\-* #,##0.00_ _F_-;_-* &quot;-&quot;??_ _F_-;_-@_-"/>
    <numFmt numFmtId="179" formatCode="_ &quot;$&quot;\ * #,##0_ ;_ &quot;$&quot;\ * \-#,##0_ ;_ &quot;$&quot;\ * &quot;-&quot;_ ;_ @_ "/>
    <numFmt numFmtId="180" formatCode="_ &quot;$&quot;\ * #,##0.00_ ;_ &quot;$&quot;\ * \-#,##0.00_ ;_ &quot;$&quot;\ * &quot;-&quot;??_ ;_ @_ "/>
    <numFmt numFmtId="181" formatCode="_-* #,##0&quot; F&quot;_-;\-* #,##0&quot; F&quot;_-;_-* &quot;-&quot;&quot; F&quot;_-;_-@_-"/>
    <numFmt numFmtId="182" formatCode="_-* #,##0.00&quot; F&quot;_-;\-* #,##0.00&quot; F&quot;_-;_-* &quot;-&quot;??&quot; F&quot;_-;_-@_-"/>
    <numFmt numFmtId="183" formatCode="\8"/>
    <numFmt numFmtId="184" formatCode="m/d"/>
    <numFmt numFmtId="185" formatCode="&quot;£&quot;#,##0.00;[Red]\-&quot;£&quot;#,##0.00"/>
    <numFmt numFmtId="186" formatCode="&quot;$&quot;#,##0.0_);\(&quot;$&quot;#,##0.0\)"/>
    <numFmt numFmtId="187" formatCode="_-&quot;$&quot;* #,##0_-;\-&quot;$&quot;* #,##0_-;_-&quot;$&quot;* &quot;-&quot;_-;_-@_-"/>
    <numFmt numFmtId="188" formatCode="&quot;US&quot;&quot;$&quot;#,##0.00_);\(&quot;$&quot;#,##0.00\)"/>
    <numFmt numFmtId="189" formatCode="_-&quot;$&quot;* #,##0.00_-;\-&quot;$&quot;* #,##0.00_-;_-&quot;$&quot;* &quot;-&quot;??_-;_-@_-"/>
    <numFmt numFmtId="190" formatCode="_-&quot;£&quot;* #,##0_-;\-&quot;£&quot;* #,##0_-;_-&quot;£&quot;* &quot;-&quot;_-;_-@_-"/>
    <numFmt numFmtId="191" formatCode="_-&quot;£&quot;* #,##0.00_-;\-&quot;£&quot;* #,##0.00_-;_-&quot;£&quot;* &quot;-&quot;??_-;_-@_-"/>
    <numFmt numFmtId="192" formatCode="0.0%;\ \(0.0%\);&quot;-&quot;_)"/>
  </numFmts>
  <fonts count="87">
    <font>
      <sz val="10"/>
      <name val="Arial"/>
    </font>
    <font>
      <sz val="10"/>
      <name val="Arial"/>
      <family val="2"/>
    </font>
    <font>
      <b/>
      <sz val="12"/>
      <name val="Arial Narrow"/>
      <family val="2"/>
    </font>
    <font>
      <b/>
      <sz val="10"/>
      <name val="Arial Narrow"/>
      <family val="2"/>
    </font>
    <font>
      <sz val="10"/>
      <name val="Arial Narrow"/>
      <family val="2"/>
    </font>
    <font>
      <sz val="8"/>
      <name val="Arial"/>
      <family val="2"/>
    </font>
    <font>
      <u/>
      <sz val="10"/>
      <name val="Arial Narrow"/>
      <family val="2"/>
    </font>
    <font>
      <sz val="10"/>
      <color indexed="8"/>
      <name val="Arial Narrow"/>
      <family val="2"/>
    </font>
    <font>
      <sz val="8"/>
      <name val="Arial Narrow"/>
      <family val="2"/>
    </font>
    <font>
      <i/>
      <sz val="8"/>
      <name val="Arial Narrow"/>
      <family val="2"/>
    </font>
    <font>
      <sz val="12"/>
      <name val="Arial Narrow"/>
      <family val="2"/>
    </font>
    <font>
      <b/>
      <i/>
      <sz val="12"/>
      <name val="Arial Narrow"/>
      <family val="2"/>
    </font>
    <font>
      <vertAlign val="superscript"/>
      <sz val="10"/>
      <name val="Arial Narrow"/>
      <family val="2"/>
    </font>
    <font>
      <vertAlign val="superscript"/>
      <sz val="8.5"/>
      <name val="Arial Narrow"/>
      <family val="2"/>
    </font>
    <font>
      <b/>
      <vertAlign val="superscript"/>
      <sz val="10"/>
      <name val="Arial Narrow"/>
      <family val="2"/>
    </font>
    <font>
      <b/>
      <sz val="14"/>
      <color indexed="55"/>
      <name val="Arial"/>
      <family val="2"/>
    </font>
    <font>
      <i/>
      <sz val="10"/>
      <color indexed="55"/>
      <name val="Arial"/>
      <family val="2"/>
    </font>
    <font>
      <u/>
      <sz val="8"/>
      <name val="Arial Narrow"/>
      <family val="2"/>
    </font>
    <font>
      <sz val="16"/>
      <color rgb="FF000000"/>
      <name val="Calibri"/>
      <family val="2"/>
    </font>
    <font>
      <sz val="11"/>
      <color theme="1"/>
      <name val="Calibri"/>
      <family val="2"/>
      <scheme val="minor"/>
    </font>
    <font>
      <b/>
      <sz val="10"/>
      <name val="Arial"/>
      <family val="2"/>
    </font>
    <font>
      <sz val="12"/>
      <name val="Helv"/>
      <family val="2"/>
    </font>
    <font>
      <sz val="10"/>
      <name val="Helv"/>
      <charset val="204"/>
    </font>
    <font>
      <sz val="10"/>
      <name val="Helv"/>
      <family val="2"/>
    </font>
    <font>
      <sz val="8"/>
      <name val="Antique Olive"/>
      <family val="2"/>
    </font>
    <font>
      <sz val="8"/>
      <name val="Geneva"/>
    </font>
    <font>
      <sz val="11"/>
      <color indexed="8"/>
      <name val="Calibri"/>
      <family val="2"/>
    </font>
    <font>
      <sz val="11"/>
      <color indexed="9"/>
      <name val="Calibri"/>
      <family val="2"/>
    </font>
    <font>
      <sz val="11"/>
      <color indexed="20"/>
      <name val="Calibri"/>
      <family val="2"/>
    </font>
    <font>
      <b/>
      <sz val="9"/>
      <color indexed="0"/>
      <name val="Arial"/>
      <family val="2"/>
    </font>
    <font>
      <sz val="9"/>
      <color indexed="0"/>
      <name val="Arial"/>
      <family val="2"/>
    </font>
    <font>
      <sz val="12"/>
      <name val="Tms Rmn"/>
    </font>
    <font>
      <b/>
      <i/>
      <sz val="12"/>
      <name val="Times New Roman"/>
      <family val="1"/>
    </font>
    <font>
      <sz val="10"/>
      <name val="Geneva"/>
    </font>
    <font>
      <sz val="10"/>
      <name val="Helv"/>
    </font>
    <font>
      <b/>
      <sz val="11"/>
      <color indexed="52"/>
      <name val="Calibri"/>
      <family val="2"/>
    </font>
    <font>
      <b/>
      <sz val="10"/>
      <name val="Helv"/>
    </font>
    <font>
      <b/>
      <sz val="11"/>
      <color indexed="9"/>
      <name val="Calibri"/>
      <family val="2"/>
    </font>
    <font>
      <b/>
      <sz val="8"/>
      <name val="Arial"/>
      <family val="2"/>
    </font>
    <font>
      <sz val="10"/>
      <name val="Book Antiqua"/>
      <family val="1"/>
    </font>
    <font>
      <sz val="10"/>
      <color indexed="8"/>
      <name val="Arial"/>
      <family val="2"/>
    </font>
    <font>
      <sz val="8"/>
      <color indexed="14"/>
      <name val="Times New Roman"/>
      <family val="1"/>
    </font>
    <font>
      <b/>
      <sz val="10"/>
      <color indexed="14"/>
      <name val="Arial"/>
      <family val="2"/>
    </font>
    <font>
      <i/>
      <sz val="11"/>
      <color indexed="23"/>
      <name val="Calibri"/>
      <family val="2"/>
    </font>
    <font>
      <u/>
      <sz val="11"/>
      <color indexed="20"/>
      <name val="Calibri"/>
      <family val="2"/>
    </font>
    <font>
      <sz val="11"/>
      <color indexed="17"/>
      <name val="Calibri"/>
      <family val="2"/>
    </font>
    <font>
      <b/>
      <sz val="12"/>
      <name val="Helv"/>
    </font>
    <font>
      <b/>
      <sz val="12"/>
      <name val="Arial"/>
      <family val="2"/>
    </font>
    <font>
      <b/>
      <sz val="9"/>
      <name val="Arial"/>
      <family val="2"/>
    </font>
    <font>
      <b/>
      <sz val="15"/>
      <color indexed="56"/>
      <name val="Calibri"/>
      <family val="2"/>
    </font>
    <font>
      <b/>
      <sz val="13"/>
      <color indexed="56"/>
      <name val="Calibri"/>
      <family val="2"/>
    </font>
    <font>
      <b/>
      <sz val="11"/>
      <color indexed="56"/>
      <name val="Calibri"/>
      <family val="2"/>
    </font>
    <font>
      <u/>
      <sz val="11"/>
      <color indexed="12"/>
      <name val="Calibri"/>
      <family val="2"/>
    </font>
    <font>
      <sz val="11"/>
      <color indexed="62"/>
      <name val="Calibri"/>
      <family val="2"/>
    </font>
    <font>
      <u/>
      <sz val="10"/>
      <color indexed="36"/>
      <name val="Helv"/>
    </font>
    <font>
      <sz val="11"/>
      <color indexed="52"/>
      <name val="Calibri"/>
      <family val="2"/>
    </font>
    <font>
      <b/>
      <sz val="11"/>
      <name val="Helv"/>
    </font>
    <font>
      <sz val="11"/>
      <color indexed="60"/>
      <name val="Calibri"/>
      <family val="2"/>
    </font>
    <font>
      <sz val="7"/>
      <name val="Small Fonts"/>
      <family val="2"/>
    </font>
    <font>
      <sz val="10"/>
      <name val="Times New Roman"/>
      <family val="1"/>
    </font>
    <font>
      <sz val="10"/>
      <color indexed="12"/>
      <name val="Arial"/>
      <family val="2"/>
    </font>
    <font>
      <sz val="10"/>
      <name val="Tahoma"/>
      <family val="2"/>
    </font>
    <font>
      <sz val="10"/>
      <name val="MS Sans Serif"/>
      <family val="2"/>
    </font>
    <font>
      <i/>
      <sz val="9"/>
      <color indexed="12"/>
      <name val="Helv"/>
    </font>
    <font>
      <b/>
      <sz val="11"/>
      <color indexed="63"/>
      <name val="Calibri"/>
      <family val="2"/>
    </font>
    <font>
      <sz val="10"/>
      <color indexed="8"/>
      <name val="Century Gothic"/>
      <family val="2"/>
    </font>
    <font>
      <sz val="11"/>
      <color indexed="8"/>
      <name val="Times New Roman"/>
      <family val="1"/>
    </font>
    <font>
      <b/>
      <sz val="10"/>
      <color indexed="34"/>
      <name val="Century Gothic"/>
      <family val="2"/>
    </font>
    <font>
      <b/>
      <i/>
      <sz val="11"/>
      <color indexed="8"/>
      <name val="Times New Roman"/>
      <family val="1"/>
    </font>
    <font>
      <b/>
      <sz val="11"/>
      <color indexed="16"/>
      <name val="Times New Roman"/>
      <family val="1"/>
    </font>
    <font>
      <b/>
      <sz val="10"/>
      <color indexed="56"/>
      <name val="Century Gothic"/>
      <family val="2"/>
    </font>
    <font>
      <b/>
      <sz val="24"/>
      <color indexed="56"/>
      <name val="Century Gothic"/>
      <family val="2"/>
    </font>
    <font>
      <b/>
      <sz val="22"/>
      <color indexed="8"/>
      <name val="Times New Roman"/>
      <family val="1"/>
    </font>
    <font>
      <i/>
      <sz val="8"/>
      <name val="Arial"/>
      <family val="2"/>
    </font>
    <font>
      <b/>
      <sz val="10"/>
      <name val="MS Sans Serif"/>
      <family val="2"/>
    </font>
    <font>
      <sz val="7"/>
      <color indexed="12"/>
      <name val="Arial"/>
      <family val="2"/>
    </font>
    <font>
      <sz val="10"/>
      <name val="Century Schoolbook"/>
      <family val="1"/>
    </font>
    <font>
      <b/>
      <sz val="8"/>
      <name val="Times New Roman"/>
      <family val="1"/>
    </font>
    <font>
      <sz val="10"/>
      <name val="Comic Sans MS"/>
      <family val="4"/>
    </font>
    <font>
      <b/>
      <sz val="11"/>
      <name val="Times New Roman"/>
      <family val="1"/>
    </font>
    <font>
      <b/>
      <sz val="16"/>
      <name val="Times New Roman"/>
      <family val="1"/>
    </font>
    <font>
      <b/>
      <sz val="18"/>
      <color indexed="56"/>
      <name val="Cambria"/>
      <family val="2"/>
    </font>
    <font>
      <i/>
      <sz val="10"/>
      <name val="Times New Roman"/>
      <family val="1"/>
    </font>
    <font>
      <b/>
      <sz val="11"/>
      <color indexed="8"/>
      <name val="Calibri"/>
      <family val="2"/>
    </font>
    <font>
      <b/>
      <sz val="7"/>
      <color indexed="12"/>
      <name val="Arial"/>
      <family val="2"/>
    </font>
    <font>
      <b/>
      <sz val="10"/>
      <color indexed="10"/>
      <name val="Arial"/>
      <family val="2"/>
    </font>
    <font>
      <sz val="11"/>
      <color indexed="10"/>
      <name val="Calibri"/>
      <family val="2"/>
    </font>
  </fonts>
  <fills count="39">
    <fill>
      <patternFill patternType="none"/>
    </fill>
    <fill>
      <patternFill patternType="gray125"/>
    </fill>
    <fill>
      <patternFill patternType="solid">
        <fgColor indexed="51"/>
        <bgColor indexed="64"/>
      </patternFill>
    </fill>
    <fill>
      <patternFill patternType="solid">
        <fgColor indexed="22"/>
        <bgColor indexed="64"/>
      </patternFill>
    </fill>
    <fill>
      <patternFill patternType="solid">
        <fgColor theme="0"/>
        <bgColor indexed="64"/>
      </patternFill>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7"/>
        <bgColor indexed="8"/>
      </patternFill>
    </fill>
    <fill>
      <patternFill patternType="solid">
        <fgColor indexed="22"/>
      </patternFill>
    </fill>
    <fill>
      <patternFill patternType="solid">
        <fgColor indexed="55"/>
      </patternFill>
    </fill>
    <fill>
      <patternFill patternType="solid">
        <fgColor indexed="43"/>
        <bgColor indexed="8"/>
      </patternFill>
    </fill>
    <fill>
      <patternFill patternType="solid">
        <fgColor indexed="26"/>
        <bgColor indexed="64"/>
      </patternFill>
    </fill>
    <fill>
      <patternFill patternType="solid">
        <fgColor indexed="9"/>
        <bgColor indexed="64"/>
      </patternFill>
    </fill>
    <fill>
      <patternFill patternType="gray0625">
        <fgColor indexed="8"/>
        <bgColor indexed="26"/>
      </patternFill>
    </fill>
    <fill>
      <patternFill patternType="solid">
        <fgColor indexed="43"/>
      </patternFill>
    </fill>
    <fill>
      <patternFill patternType="solid">
        <fgColor indexed="26"/>
      </patternFill>
    </fill>
    <fill>
      <patternFill patternType="lightGrid">
        <bgColor indexed="56"/>
      </patternFill>
    </fill>
    <fill>
      <patternFill patternType="solid">
        <fgColor indexed="43"/>
        <bgColor indexed="64"/>
      </patternFill>
    </fill>
    <fill>
      <patternFill patternType="mediumGray">
        <fgColor indexed="22"/>
      </patternFill>
    </fill>
    <fill>
      <patternFill patternType="solid">
        <fgColor indexed="15"/>
        <bgColor indexed="64"/>
      </patternFill>
    </fill>
    <fill>
      <patternFill patternType="solid">
        <fgColor rgb="FFF0F0F0"/>
        <bgColor indexed="64"/>
      </patternFill>
    </fill>
    <fill>
      <patternFill patternType="solid">
        <fgColor rgb="FFD71920"/>
        <bgColor indexed="64"/>
      </patternFill>
    </fill>
  </fills>
  <borders count="47">
    <border>
      <left/>
      <right/>
      <top/>
      <bottom/>
      <diagonal/>
    </border>
    <border>
      <left/>
      <right/>
      <top/>
      <bottom style="thin">
        <color indexed="64"/>
      </bottom>
      <diagonal/>
    </border>
    <border>
      <left style="hair">
        <color indexed="64"/>
      </left>
      <right style="hair">
        <color indexed="64"/>
      </right>
      <top/>
      <bottom/>
      <diagonal/>
    </border>
    <border>
      <left/>
      <right style="hair">
        <color indexed="64"/>
      </right>
      <top/>
      <bottom/>
      <diagonal/>
    </border>
    <border>
      <left style="hair">
        <color indexed="64"/>
      </left>
      <right style="hair">
        <color indexed="64"/>
      </right>
      <top/>
      <bottom style="thin">
        <color indexed="64"/>
      </bottom>
      <diagonal/>
    </border>
    <border>
      <left style="hair">
        <color indexed="64"/>
      </left>
      <right/>
      <top/>
      <bottom/>
      <diagonal/>
    </border>
    <border>
      <left style="hair">
        <color indexed="64"/>
      </left>
      <right style="hair">
        <color indexed="64"/>
      </right>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top style="thin">
        <color indexed="64"/>
      </top>
      <bottom/>
      <diagonal/>
    </border>
    <border>
      <left style="hair">
        <color indexed="64"/>
      </left>
      <right style="hair">
        <color indexed="64"/>
      </right>
      <top style="thin">
        <color indexed="64"/>
      </top>
      <bottom/>
      <diagonal/>
    </border>
    <border>
      <left/>
      <right/>
      <top style="thin">
        <color indexed="22"/>
      </top>
      <bottom style="thin">
        <color indexed="22"/>
      </bottom>
      <diagonal/>
    </border>
    <border>
      <left style="hair">
        <color indexed="64"/>
      </left>
      <right style="hair">
        <color indexed="64"/>
      </right>
      <top style="thin">
        <color indexed="22"/>
      </top>
      <bottom style="thin">
        <color indexed="22"/>
      </bottom>
      <diagonal/>
    </border>
    <border>
      <left/>
      <right/>
      <top style="thin">
        <color indexed="22"/>
      </top>
      <bottom/>
      <diagonal/>
    </border>
    <border>
      <left/>
      <right/>
      <top/>
      <bottom style="thin">
        <color indexed="22"/>
      </bottom>
      <diagonal/>
    </border>
    <border>
      <left style="hair">
        <color indexed="64"/>
      </left>
      <right style="hair">
        <color indexed="64"/>
      </right>
      <top/>
      <bottom style="thin">
        <color indexed="22"/>
      </bottom>
      <diagonal/>
    </border>
    <border>
      <left style="hair">
        <color indexed="64"/>
      </left>
      <right style="hair">
        <color indexed="64"/>
      </right>
      <top style="thin">
        <color indexed="22"/>
      </top>
      <bottom style="hair">
        <color indexed="22"/>
      </bottom>
      <diagonal/>
    </border>
    <border>
      <left style="hair">
        <color indexed="64"/>
      </left>
      <right/>
      <top/>
      <bottom style="thin">
        <color indexed="22"/>
      </bottom>
      <diagonal/>
    </border>
    <border>
      <left/>
      <right/>
      <top/>
      <bottom style="thin">
        <color indexed="8"/>
      </bottom>
      <diagonal/>
    </border>
    <border>
      <left style="hair">
        <color indexed="64"/>
      </left>
      <right style="hair">
        <color indexed="8"/>
      </right>
      <top/>
      <bottom style="thin">
        <color indexed="8"/>
      </bottom>
      <diagonal/>
    </border>
    <border>
      <left style="hair">
        <color indexed="64"/>
      </left>
      <right style="hair">
        <color indexed="64"/>
      </right>
      <top style="thin">
        <color indexed="22"/>
      </top>
      <bottom/>
      <diagonal/>
    </border>
    <border>
      <left style="hair">
        <color indexed="64"/>
      </left>
      <right style="hair">
        <color indexed="64"/>
      </right>
      <top style="hair">
        <color indexed="22"/>
      </top>
      <bottom/>
      <diagonal/>
    </border>
    <border>
      <left/>
      <right/>
      <top style="hair">
        <color indexed="64"/>
      </top>
      <bottom/>
      <diagonal/>
    </border>
    <border>
      <left/>
      <right/>
      <top style="medium">
        <color indexed="64"/>
      </top>
      <bottom style="medium">
        <color indexed="64"/>
      </bottom>
      <diagonal/>
    </border>
    <border diagonalDown="1">
      <left/>
      <right/>
      <top/>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right/>
      <top/>
      <bottom style="medium">
        <color indexed="64"/>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right/>
      <top style="thin">
        <color indexed="62"/>
      </top>
      <bottom style="double">
        <color indexed="62"/>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hair">
        <color indexed="64"/>
      </left>
      <right style="hair">
        <color indexed="64"/>
      </right>
      <top style="thin">
        <color indexed="22"/>
      </top>
      <bottom style="thin">
        <color indexed="64"/>
      </bottom>
      <diagonal/>
    </border>
    <border>
      <left/>
      <right/>
      <top/>
      <bottom style="dotted">
        <color rgb="FFD71920"/>
      </bottom>
      <diagonal/>
    </border>
    <border>
      <left/>
      <right/>
      <top style="medium">
        <color rgb="FFD71920"/>
      </top>
      <bottom style="medium">
        <color rgb="FFD71920"/>
      </bottom>
      <diagonal/>
    </border>
    <border>
      <left/>
      <right style="hair">
        <color indexed="64"/>
      </right>
      <top style="medium">
        <color rgb="FFD71920"/>
      </top>
      <bottom style="medium">
        <color rgb="FFD71920"/>
      </bottom>
      <diagonal/>
    </border>
    <border>
      <left style="hair">
        <color indexed="64"/>
      </left>
      <right style="hair">
        <color indexed="64"/>
      </right>
      <top style="medium">
        <color rgb="FFD71920"/>
      </top>
      <bottom style="medium">
        <color rgb="FFD71920"/>
      </bottom>
      <diagonal/>
    </border>
  </borders>
  <cellStyleXfs count="2036">
    <xf numFmtId="0" fontId="0" fillId="0" borderId="0"/>
    <xf numFmtId="9" fontId="1" fillId="0" borderId="0" applyFont="0" applyFill="0" applyBorder="0" applyAlignment="0" applyProtection="0"/>
    <xf numFmtId="43" fontId="1" fillId="0" borderId="0" applyFont="0" applyFill="0" applyBorder="0" applyAlignment="0" applyProtection="0"/>
    <xf numFmtId="0" fontId="19" fillId="0" borderId="0"/>
    <xf numFmtId="0" fontId="1" fillId="0" borderId="0"/>
    <xf numFmtId="167" fontId="21" fillId="0" borderId="0">
      <alignment horizontal="right"/>
    </xf>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5" borderId="0"/>
    <xf numFmtId="0" fontId="1" fillId="0" borderId="0"/>
    <xf numFmtId="168" fontId="24" fillId="0" borderId="0">
      <alignment horizontal="left"/>
    </xf>
    <xf numFmtId="169" fontId="25" fillId="0" borderId="0">
      <alignment horizontal="left"/>
    </xf>
    <xf numFmtId="0" fontId="26" fillId="6" borderId="0" applyNumberFormat="0" applyBorder="0" applyAlignment="0" applyProtection="0"/>
    <xf numFmtId="0" fontId="26" fillId="6" borderId="0" applyNumberFormat="0" applyBorder="0" applyAlignment="0" applyProtection="0"/>
    <xf numFmtId="0" fontId="26" fillId="6" borderId="0" applyNumberFormat="0" applyBorder="0" applyAlignment="0" applyProtection="0"/>
    <xf numFmtId="0" fontId="26" fillId="6"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26" fillId="11" borderId="0" applyNumberFormat="0" applyBorder="0" applyAlignment="0" applyProtection="0"/>
    <xf numFmtId="0" fontId="26" fillId="11" borderId="0" applyNumberFormat="0" applyBorder="0" applyAlignment="0" applyProtection="0"/>
    <xf numFmtId="0" fontId="26" fillId="11" borderId="0" applyNumberFormat="0" applyBorder="0" applyAlignment="0" applyProtection="0"/>
    <xf numFmtId="0" fontId="26" fillId="11"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3" borderId="0" applyNumberFormat="0" applyBorder="0" applyAlignment="0" applyProtection="0"/>
    <xf numFmtId="0" fontId="26" fillId="13" borderId="0" applyNumberFormat="0" applyBorder="0" applyAlignment="0" applyProtection="0"/>
    <xf numFmtId="0" fontId="26" fillId="13" borderId="0" applyNumberFormat="0" applyBorder="0" applyAlignment="0" applyProtection="0"/>
    <xf numFmtId="0" fontId="26" fillId="13" borderId="0" applyNumberFormat="0" applyBorder="0" applyAlignment="0" applyProtection="0"/>
    <xf numFmtId="0" fontId="26" fillId="13" borderId="0" applyNumberFormat="0" applyBorder="0" applyAlignment="0" applyProtection="0"/>
    <xf numFmtId="0" fontId="26" fillId="14" borderId="0" applyNumberFormat="0" applyBorder="0" applyAlignment="0" applyProtection="0"/>
    <xf numFmtId="0" fontId="26" fillId="14" borderId="0" applyNumberFormat="0" applyBorder="0" applyAlignment="0" applyProtection="0"/>
    <xf numFmtId="0" fontId="26" fillId="14" borderId="0" applyNumberFormat="0" applyBorder="0" applyAlignment="0" applyProtection="0"/>
    <xf numFmtId="0" fontId="26" fillId="14" borderId="0" applyNumberFormat="0" applyBorder="0" applyAlignment="0" applyProtection="0"/>
    <xf numFmtId="0" fontId="26" fillId="14"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170" fontId="1" fillId="0" borderId="0">
      <alignment horizontal="right"/>
    </xf>
    <xf numFmtId="0" fontId="5" fillId="0" borderId="0" applyNumberFormat="0" applyAlignment="0"/>
    <xf numFmtId="0" fontId="1" fillId="0" borderId="0"/>
    <xf numFmtId="0" fontId="26" fillId="24" borderId="0" applyNumberFormat="0" applyFont="0" applyBorder="0" applyAlignment="0" applyProtection="0"/>
    <xf numFmtId="0" fontId="28" fillId="7" borderId="0" applyNumberFormat="0" applyBorder="0" applyAlignment="0" applyProtection="0"/>
    <xf numFmtId="0" fontId="28" fillId="7" borderId="0" applyNumberFormat="0" applyBorder="0" applyAlignment="0" applyProtection="0"/>
    <xf numFmtId="0" fontId="28" fillId="7" borderId="0" applyNumberFormat="0" applyBorder="0" applyAlignment="0" applyProtection="0"/>
    <xf numFmtId="0" fontId="28" fillId="7" borderId="0" applyNumberFormat="0" applyBorder="0" applyAlignment="0" applyProtection="0"/>
    <xf numFmtId="0" fontId="28" fillId="7" borderId="0" applyNumberFormat="0" applyBorder="0" applyAlignment="0" applyProtection="0"/>
    <xf numFmtId="0" fontId="29" fillId="0" borderId="25">
      <alignment horizontal="left"/>
    </xf>
    <xf numFmtId="0" fontId="30" fillId="0" borderId="25">
      <alignment horizontal="left" wrapText="1"/>
    </xf>
    <xf numFmtId="0" fontId="25" fillId="0" borderId="0" applyFont="0" applyFill="0" applyBorder="0" applyAlignment="0" applyProtection="0">
      <alignment horizontal="right"/>
    </xf>
    <xf numFmtId="0" fontId="31" fillId="0" borderId="0" applyNumberFormat="0" applyFill="0" applyBorder="0" applyAlignment="0" applyProtection="0"/>
    <xf numFmtId="0" fontId="32" fillId="0" borderId="26" applyFill="0" applyProtection="0">
      <alignment horizontal="right"/>
    </xf>
    <xf numFmtId="0" fontId="1" fillId="0" borderId="0" applyFill="0" applyBorder="0" applyAlignment="0"/>
    <xf numFmtId="0" fontId="33" fillId="0" borderId="0" applyFill="0" applyBorder="0" applyAlignment="0"/>
    <xf numFmtId="171" fontId="34" fillId="0" borderId="0" applyFill="0" applyBorder="0" applyAlignment="0"/>
    <xf numFmtId="0" fontId="1" fillId="0" borderId="0" applyFill="0" applyBorder="0" applyAlignment="0"/>
    <xf numFmtId="0" fontId="1" fillId="0" borderId="0" applyFill="0" applyBorder="0" applyAlignment="0"/>
    <xf numFmtId="44" fontId="34" fillId="0" borderId="0" applyFill="0" applyBorder="0" applyAlignment="0"/>
    <xf numFmtId="0" fontId="33" fillId="0" borderId="0" applyFill="0" applyBorder="0" applyAlignment="0"/>
    <xf numFmtId="0" fontId="33" fillId="0" borderId="0" applyFill="0" applyBorder="0" applyAlignment="0"/>
    <xf numFmtId="0" fontId="35" fillId="25" borderId="27" applyNumberFormat="0" applyAlignment="0" applyProtection="0"/>
    <xf numFmtId="0" fontId="35" fillId="25" borderId="27" applyNumberFormat="0" applyAlignment="0" applyProtection="0"/>
    <xf numFmtId="0" fontId="35" fillId="25" borderId="27" applyNumberFormat="0" applyAlignment="0" applyProtection="0"/>
    <xf numFmtId="0" fontId="35" fillId="25" borderId="27" applyNumberFormat="0" applyAlignment="0" applyProtection="0"/>
    <xf numFmtId="0" fontId="35" fillId="25" borderId="27" applyNumberFormat="0" applyAlignment="0" applyProtection="0"/>
    <xf numFmtId="0" fontId="36" fillId="0" borderId="0"/>
    <xf numFmtId="0" fontId="30" fillId="0" borderId="0">
      <alignment horizontal="right" vertical="center"/>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8" fontId="1" fillId="0" borderId="19" applyFont="0" applyFill="0" applyBorder="0" applyProtection="0">
      <alignment horizontal="right"/>
    </xf>
    <xf numFmtId="0" fontId="29" fillId="0" borderId="0">
      <alignment horizontal="center" vertical="center" wrapText="1"/>
    </xf>
    <xf numFmtId="0" fontId="37" fillId="26" borderId="28" applyNumberFormat="0" applyAlignment="0" applyProtection="0"/>
    <xf numFmtId="0" fontId="37" fillId="26" borderId="28" applyNumberFormat="0" applyAlignment="0" applyProtection="0"/>
    <xf numFmtId="0" fontId="37" fillId="26" borderId="28" applyNumberFormat="0" applyAlignment="0" applyProtection="0"/>
    <xf numFmtId="0" fontId="37" fillId="26" borderId="28" applyNumberFormat="0" applyAlignment="0" applyProtection="0"/>
    <xf numFmtId="0" fontId="37" fillId="26" borderId="28" applyNumberFormat="0" applyAlignment="0" applyProtection="0"/>
    <xf numFmtId="0" fontId="38" fillId="0" borderId="29">
      <alignment horizontal="center"/>
    </xf>
    <xf numFmtId="44" fontId="3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40" fontId="1" fillId="0" borderId="0" applyFont="0" applyFill="0" applyBorder="0" applyProtection="0">
      <alignment horizontal="right"/>
    </xf>
    <xf numFmtId="0" fontId="33" fillId="0" borderId="0" applyFont="0" applyFill="0" applyBorder="0" applyAlignment="0" applyProtection="0"/>
    <xf numFmtId="8" fontId="39" fillId="0" borderId="0" applyBorder="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6" fillId="0" borderId="0" applyFont="0" applyFill="0" applyBorder="0" applyAlignment="0" applyProtection="0"/>
    <xf numFmtId="44" fontId="19"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6"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6" fillId="0" borderId="0" applyNumberFormat="0" applyFont="0" applyFill="0" applyBorder="0" applyAlignment="0" applyProtection="0"/>
    <xf numFmtId="0" fontId="26" fillId="27" borderId="0" applyNumberFormat="0" applyFont="0" applyBorder="0" applyAlignment="0" applyProtection="0"/>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5" fontId="1" fillId="0" borderId="0" applyFont="0" applyFill="0" applyBorder="0" applyProtection="0">
      <alignment horizontal="right"/>
    </xf>
    <xf numFmtId="14" fontId="40" fillId="0" borderId="0" applyFill="0" applyBorder="0" applyAlignment="0"/>
    <xf numFmtId="0" fontId="41" fillId="0" borderId="0" applyFont="0" applyFill="0" applyBorder="0" applyAlignment="0" applyProtection="0"/>
    <xf numFmtId="44" fontId="34" fillId="0" borderId="0" applyFill="0" applyBorder="0" applyAlignment="0"/>
    <xf numFmtId="0" fontId="33" fillId="0" borderId="0" applyFill="0" applyBorder="0" applyAlignment="0"/>
    <xf numFmtId="44" fontId="34" fillId="0" borderId="0" applyFill="0" applyBorder="0" applyAlignment="0"/>
    <xf numFmtId="0" fontId="33" fillId="0" borderId="0" applyFill="0" applyBorder="0" applyAlignment="0"/>
    <xf numFmtId="0" fontId="33" fillId="0" borderId="0" applyFill="0" applyBorder="0" applyAlignment="0"/>
    <xf numFmtId="3" fontId="42" fillId="0" borderId="0" applyNumberFormat="0" applyFill="0" applyBorder="0" applyProtection="0">
      <protection locked="0"/>
    </xf>
    <xf numFmtId="37" fontId="1" fillId="28" borderId="30">
      <protection locked="0"/>
    </xf>
    <xf numFmtId="7" fontId="1" fillId="28" borderId="30">
      <protection locked="0"/>
    </xf>
    <xf numFmtId="10" fontId="1" fillId="28" borderId="30">
      <protection locked="0"/>
    </xf>
    <xf numFmtId="164" fontId="1" fillId="28" borderId="30">
      <protection locked="0"/>
    </xf>
    <xf numFmtId="10" fontId="1" fillId="28" borderId="30">
      <protection locked="0"/>
    </xf>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5" fillId="8" borderId="0" applyNumberFormat="0" applyBorder="0" applyAlignment="0" applyProtection="0"/>
    <xf numFmtId="0" fontId="45" fillId="8" borderId="0" applyNumberFormat="0" applyBorder="0" applyAlignment="0" applyProtection="0"/>
    <xf numFmtId="0" fontId="45" fillId="8" borderId="0" applyNumberFormat="0" applyBorder="0" applyAlignment="0" applyProtection="0"/>
    <xf numFmtId="0" fontId="45" fillId="8" borderId="0" applyNumberFormat="0" applyBorder="0" applyAlignment="0" applyProtection="0"/>
    <xf numFmtId="0" fontId="45" fillId="8" borderId="0" applyNumberFormat="0" applyBorder="0" applyAlignment="0" applyProtection="0"/>
    <xf numFmtId="38" fontId="5" fillId="29" borderId="0" applyNumberFormat="0" applyBorder="0" applyAlignment="0" applyProtection="0"/>
    <xf numFmtId="38" fontId="5" fillId="3" borderId="0" applyNumberFormat="0" applyBorder="0" applyAlignment="0" applyProtection="0"/>
    <xf numFmtId="38" fontId="5" fillId="3" borderId="0" applyNumberFormat="0" applyBorder="0" applyAlignment="0" applyProtection="0"/>
    <xf numFmtId="38" fontId="5" fillId="3" borderId="0" applyNumberFormat="0" applyBorder="0" applyAlignment="0" applyProtection="0"/>
    <xf numFmtId="0" fontId="46" fillId="0" borderId="0">
      <alignment horizontal="left"/>
    </xf>
    <xf numFmtId="0" fontId="47" fillId="0" borderId="24" applyNumberFormat="0" applyAlignment="0" applyProtection="0">
      <alignment horizontal="left" vertical="center"/>
    </xf>
    <xf numFmtId="0" fontId="47" fillId="0" borderId="8">
      <alignment horizontal="left" vertical="center"/>
    </xf>
    <xf numFmtId="0" fontId="48" fillId="0" borderId="0" applyFill="0" applyBorder="0" applyProtection="0">
      <alignment horizontal="right"/>
    </xf>
    <xf numFmtId="0" fontId="49" fillId="0" borderId="31" applyNumberFormat="0" applyFill="0" applyAlignment="0" applyProtection="0"/>
    <xf numFmtId="0" fontId="49" fillId="0" borderId="31" applyNumberFormat="0" applyFill="0" applyAlignment="0" applyProtection="0"/>
    <xf numFmtId="0" fontId="49" fillId="0" borderId="31" applyNumberFormat="0" applyFill="0" applyAlignment="0" applyProtection="0"/>
    <xf numFmtId="0" fontId="49" fillId="0" borderId="31" applyNumberFormat="0" applyFill="0" applyAlignment="0" applyProtection="0"/>
    <xf numFmtId="0" fontId="49" fillId="0" borderId="31" applyNumberFormat="0" applyFill="0" applyAlignment="0" applyProtection="0"/>
    <xf numFmtId="0" fontId="50" fillId="0" borderId="32" applyNumberFormat="0" applyFill="0" applyAlignment="0" applyProtection="0"/>
    <xf numFmtId="0" fontId="50" fillId="0" borderId="32" applyNumberFormat="0" applyFill="0" applyAlignment="0" applyProtection="0"/>
    <xf numFmtId="0" fontId="50" fillId="0" borderId="32" applyNumberFormat="0" applyFill="0" applyAlignment="0" applyProtection="0"/>
    <xf numFmtId="0" fontId="50" fillId="0" borderId="32" applyNumberFormat="0" applyFill="0" applyAlignment="0" applyProtection="0"/>
    <xf numFmtId="0" fontId="50" fillId="0" borderId="32" applyNumberFormat="0" applyFill="0" applyAlignment="0" applyProtection="0"/>
    <xf numFmtId="0" fontId="51" fillId="0" borderId="33" applyNumberFormat="0" applyFill="0" applyAlignment="0" applyProtection="0"/>
    <xf numFmtId="0" fontId="51" fillId="0" borderId="33" applyNumberFormat="0" applyFill="0" applyAlignment="0" applyProtection="0"/>
    <xf numFmtId="0" fontId="51" fillId="0" borderId="33" applyNumberFormat="0" applyFill="0" applyAlignment="0" applyProtection="0"/>
    <xf numFmtId="0" fontId="51" fillId="0" borderId="33" applyNumberFormat="0" applyFill="0" applyAlignment="0" applyProtection="0"/>
    <xf numFmtId="0" fontId="51" fillId="0" borderId="33" applyNumberFormat="0" applyFill="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172" fontId="47" fillId="0" borderId="0"/>
    <xf numFmtId="0" fontId="20" fillId="0" borderId="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10" fontId="5" fillId="29" borderId="34" applyNumberFormat="0" applyBorder="0" applyAlignment="0" applyProtection="0"/>
    <xf numFmtId="10" fontId="5" fillId="28" borderId="34" applyNumberFormat="0" applyBorder="0" applyAlignment="0" applyProtection="0"/>
    <xf numFmtId="10" fontId="5" fillId="28" borderId="34" applyNumberFormat="0" applyBorder="0" applyAlignment="0" applyProtection="0"/>
    <xf numFmtId="10" fontId="5" fillId="28" borderId="34" applyNumberFormat="0" applyBorder="0" applyAlignment="0" applyProtection="0"/>
    <xf numFmtId="0" fontId="53" fillId="11" borderId="27" applyNumberFormat="0" applyAlignment="0" applyProtection="0"/>
    <xf numFmtId="0" fontId="53" fillId="11" borderId="27" applyNumberFormat="0" applyAlignment="0" applyProtection="0"/>
    <xf numFmtId="0" fontId="53" fillId="11" borderId="27" applyNumberFormat="0" applyAlignment="0" applyProtection="0"/>
    <xf numFmtId="0" fontId="53" fillId="11" borderId="27" applyNumberFormat="0" applyAlignment="0" applyProtection="0"/>
    <xf numFmtId="0" fontId="53" fillId="11" borderId="27" applyNumberFormat="0" applyAlignment="0" applyProtection="0"/>
    <xf numFmtId="173" fontId="33" fillId="0" borderId="0" applyFont="0" applyFill="0" applyBorder="0" applyAlignment="0" applyProtection="0"/>
    <xf numFmtId="174" fontId="33" fillId="0" borderId="0" applyFont="0" applyFill="0" applyBorder="0" applyAlignment="0" applyProtection="0"/>
    <xf numFmtId="0" fontId="54" fillId="0" borderId="0" applyNumberFormat="0" applyFill="0" applyBorder="0" applyAlignment="0" applyProtection="0">
      <alignment vertical="top"/>
      <protection locked="0"/>
    </xf>
    <xf numFmtId="44" fontId="34" fillId="0" borderId="0" applyFill="0" applyBorder="0" applyAlignment="0"/>
    <xf numFmtId="0" fontId="33" fillId="0" borderId="0" applyFill="0" applyBorder="0" applyAlignment="0"/>
    <xf numFmtId="44" fontId="34" fillId="0" borderId="0" applyFill="0" applyBorder="0" applyAlignment="0"/>
    <xf numFmtId="0" fontId="33" fillId="0" borderId="0" applyFill="0" applyBorder="0" applyAlignment="0"/>
    <xf numFmtId="0" fontId="33" fillId="0" borderId="0" applyFill="0" applyBorder="0" applyAlignment="0"/>
    <xf numFmtId="0" fontId="55" fillId="0" borderId="35" applyNumberFormat="0" applyFill="0" applyAlignment="0" applyProtection="0"/>
    <xf numFmtId="0" fontId="55" fillId="0" borderId="35" applyNumberFormat="0" applyFill="0" applyAlignment="0" applyProtection="0"/>
    <xf numFmtId="0" fontId="55" fillId="0" borderId="35" applyNumberFormat="0" applyFill="0" applyAlignment="0" applyProtection="0"/>
    <xf numFmtId="0" fontId="55" fillId="0" borderId="35" applyNumberFormat="0" applyFill="0" applyAlignment="0" applyProtection="0"/>
    <xf numFmtId="0" fontId="55" fillId="0" borderId="35" applyNumberFormat="0" applyFill="0" applyAlignment="0" applyProtection="0"/>
    <xf numFmtId="165" fontId="1" fillId="0" borderId="0" applyNumberFormat="0" applyFont="0" applyFill="0" applyBorder="0" applyAlignment="0"/>
    <xf numFmtId="0" fontId="26" fillId="30" borderId="0" applyNumberFormat="0" applyFont="0" applyBorder="0" applyAlignment="0" applyProtection="0"/>
    <xf numFmtId="0" fontId="34" fillId="5" borderId="0" applyNumberFormat="0" applyFont="0" applyBorder="0" applyAlignment="0" applyProtection="0"/>
    <xf numFmtId="175" fontId="1" fillId="0" borderId="0" applyFont="0" applyFill="0" applyBorder="0" applyAlignment="0" applyProtection="0"/>
    <xf numFmtId="176" fontId="1" fillId="0" borderId="0" applyFont="0" applyFill="0" applyBorder="0" applyAlignment="0" applyProtection="0"/>
    <xf numFmtId="177" fontId="33" fillId="0" borderId="0" applyFont="0" applyFill="0" applyBorder="0" applyAlignment="0" applyProtection="0"/>
    <xf numFmtId="178" fontId="33" fillId="0" borderId="0" applyFont="0" applyFill="0" applyBorder="0" applyAlignment="0" applyProtection="0"/>
    <xf numFmtId="0" fontId="56" fillId="0" borderId="36"/>
    <xf numFmtId="179" fontId="1" fillId="0" borderId="0" applyFont="0" applyFill="0" applyBorder="0" applyAlignment="0" applyProtection="0"/>
    <xf numFmtId="180" fontId="1" fillId="0" borderId="0" applyFont="0" applyFill="0" applyBorder="0" applyAlignment="0" applyProtection="0"/>
    <xf numFmtId="181" fontId="33" fillId="0" borderId="0" applyFont="0" applyFill="0" applyBorder="0" applyAlignment="0" applyProtection="0"/>
    <xf numFmtId="182" fontId="33" fillId="0" borderId="0" applyFont="0" applyFill="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37" fontId="58" fillId="0" borderId="0"/>
    <xf numFmtId="183" fontId="59" fillId="0" borderId="0"/>
    <xf numFmtId="184" fontId="1" fillId="0" borderId="0"/>
    <xf numFmtId="184" fontId="1" fillId="0" borderId="0"/>
    <xf numFmtId="184"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0" fillId="0" borderId="0"/>
    <xf numFmtId="0" fontId="1" fillId="0" borderId="0"/>
    <xf numFmtId="0" fontId="6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0" fillId="0" borderId="0"/>
    <xf numFmtId="0" fontId="60" fillId="0" borderId="0"/>
    <xf numFmtId="0" fontId="60" fillId="0" borderId="0"/>
    <xf numFmtId="0" fontId="60" fillId="0" borderId="0"/>
    <xf numFmtId="0" fontId="60" fillId="0" borderId="0"/>
    <xf numFmtId="0" fontId="1" fillId="0" borderId="0"/>
    <xf numFmtId="0" fontId="1" fillId="0" borderId="0"/>
    <xf numFmtId="0" fontId="1" fillId="0" borderId="0"/>
    <xf numFmtId="0" fontId="1" fillId="0" borderId="0"/>
    <xf numFmtId="0" fontId="6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 fillId="0" borderId="0"/>
    <xf numFmtId="0" fontId="26" fillId="0" borderId="0"/>
    <xf numFmtId="0" fontId="1" fillId="0" borderId="0"/>
    <xf numFmtId="0" fontId="26" fillId="0" borderId="0"/>
    <xf numFmtId="0" fontId="26" fillId="0" borderId="0"/>
    <xf numFmtId="0" fontId="1" fillId="0" borderId="0"/>
    <xf numFmtId="0" fontId="1" fillId="0" borderId="0"/>
    <xf numFmtId="0" fontId="1" fillId="0" borderId="0"/>
    <xf numFmtId="0" fontId="1" fillId="0" borderId="0"/>
    <xf numFmtId="0" fontId="26" fillId="0" borderId="0"/>
    <xf numFmtId="0" fontId="26" fillId="0" borderId="0"/>
    <xf numFmtId="0" fontId="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 fontId="34" fillId="0" borderId="0">
      <alignment horizontal="left"/>
    </xf>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26" fillId="32" borderId="30" applyNumberFormat="0" applyFont="0" applyAlignment="0" applyProtection="0"/>
    <xf numFmtId="0" fontId="63" fillId="0" borderId="0" applyNumberFormat="0" applyAlignment="0">
      <alignment vertical="top"/>
    </xf>
    <xf numFmtId="0" fontId="1" fillId="0" borderId="0" applyFont="0" applyFill="0" applyBorder="0" applyAlignment="0" applyProtection="0"/>
    <xf numFmtId="0" fontId="1" fillId="0" borderId="0" applyFont="0" applyFill="0" applyBorder="0" applyAlignment="0" applyProtection="0"/>
    <xf numFmtId="0" fontId="64" fillId="25" borderId="37" applyNumberFormat="0" applyAlignment="0" applyProtection="0"/>
    <xf numFmtId="0" fontId="64" fillId="25" borderId="37" applyNumberFormat="0" applyAlignment="0" applyProtection="0"/>
    <xf numFmtId="0" fontId="64" fillId="25" borderId="37" applyNumberFormat="0" applyAlignment="0" applyProtection="0"/>
    <xf numFmtId="0" fontId="64" fillId="25" borderId="37" applyNumberFormat="0" applyAlignment="0" applyProtection="0"/>
    <xf numFmtId="0" fontId="64" fillId="25" borderId="37" applyNumberFormat="0" applyAlignment="0" applyProtection="0"/>
    <xf numFmtId="40" fontId="65" fillId="29" borderId="0">
      <alignment horizontal="right"/>
    </xf>
    <xf numFmtId="40" fontId="66" fillId="29" borderId="0">
      <alignment horizontal="right"/>
    </xf>
    <xf numFmtId="40" fontId="66" fillId="29" borderId="0">
      <alignment horizontal="right"/>
    </xf>
    <xf numFmtId="40" fontId="66" fillId="29" borderId="0">
      <alignment horizontal="right"/>
    </xf>
    <xf numFmtId="0" fontId="67" fillId="33" borderId="0">
      <alignment horizontal="center"/>
    </xf>
    <xf numFmtId="0" fontId="68" fillId="29" borderId="0">
      <alignment horizontal="right"/>
    </xf>
    <xf numFmtId="0" fontId="68" fillId="29" borderId="0">
      <alignment horizontal="right"/>
    </xf>
    <xf numFmtId="0" fontId="68" fillId="29" borderId="0">
      <alignment horizontal="right"/>
    </xf>
    <xf numFmtId="0" fontId="67" fillId="33" borderId="0"/>
    <xf numFmtId="0" fontId="69" fillId="29" borderId="38"/>
    <xf numFmtId="0" fontId="69" fillId="29" borderId="38"/>
    <xf numFmtId="0" fontId="69" fillId="29" borderId="38"/>
    <xf numFmtId="0" fontId="70" fillId="0" borderId="0" applyBorder="0">
      <alignment horizontal="centerContinuous"/>
    </xf>
    <xf numFmtId="0" fontId="69" fillId="0" borderId="0" applyBorder="0">
      <alignment horizontal="centerContinuous"/>
    </xf>
    <xf numFmtId="0" fontId="69" fillId="0" borderId="0" applyBorder="0">
      <alignment horizontal="centerContinuous"/>
    </xf>
    <xf numFmtId="0" fontId="69" fillId="0" borderId="0" applyBorder="0">
      <alignment horizontal="centerContinuous"/>
    </xf>
    <xf numFmtId="0" fontId="71" fillId="34" borderId="0" applyBorder="0">
      <alignment horizontal="centerContinuous"/>
    </xf>
    <xf numFmtId="0" fontId="72" fillId="0" borderId="0" applyBorder="0">
      <alignment horizontal="centerContinuous"/>
    </xf>
    <xf numFmtId="0" fontId="72" fillId="0" borderId="0" applyBorder="0">
      <alignment horizontal="centerContinuous"/>
    </xf>
    <xf numFmtId="0" fontId="72" fillId="0" borderId="0" applyBorder="0">
      <alignment horizontal="centerContinuous"/>
    </xf>
    <xf numFmtId="37" fontId="60" fillId="0" borderId="0">
      <protection locked="0"/>
    </xf>
    <xf numFmtId="39" fontId="60" fillId="0" borderId="0">
      <protection locked="0"/>
    </xf>
    <xf numFmtId="10" fontId="60" fillId="0" borderId="0">
      <protection locked="0"/>
    </xf>
    <xf numFmtId="164" fontId="1" fillId="0" borderId="0" applyFont="0" applyFill="0" applyBorder="0" applyAlignment="0" applyProtection="0"/>
    <xf numFmtId="0" fontId="1" fillId="0" borderId="0" applyFont="0" applyFill="0" applyBorder="0" applyAlignment="0" applyProtection="0"/>
    <xf numFmtId="185" fontId="62" fillId="0" borderId="0" applyFont="0" applyFill="0" applyBorder="0" applyAlignment="0" applyProtection="0"/>
    <xf numFmtId="0" fontId="73" fillId="3" borderId="0" applyFill="0" applyBorder="0" applyAlignment="0" applyProtection="0">
      <protection hidden="1"/>
    </xf>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applyFont="0" applyFill="0" applyBorder="0" applyProtection="0">
      <alignment horizontal="right"/>
    </xf>
    <xf numFmtId="44" fontId="34" fillId="0" borderId="0" applyFill="0" applyBorder="0" applyAlignment="0"/>
    <xf numFmtId="0" fontId="33" fillId="0" borderId="0" applyFill="0" applyBorder="0" applyAlignment="0"/>
    <xf numFmtId="44" fontId="34" fillId="0" borderId="0" applyFill="0" applyBorder="0" applyAlignment="0"/>
    <xf numFmtId="0" fontId="33" fillId="0" borderId="0" applyFill="0" applyBorder="0" applyAlignment="0"/>
    <xf numFmtId="0" fontId="33" fillId="0" borderId="0" applyFill="0" applyBorder="0" applyAlignment="0"/>
    <xf numFmtId="0" fontId="62" fillId="0" borderId="0" applyNumberFormat="0" applyFont="0" applyFill="0" applyBorder="0" applyAlignment="0" applyProtection="0">
      <alignment horizontal="left"/>
    </xf>
    <xf numFmtId="15" fontId="62" fillId="0" borderId="0" applyFont="0" applyFill="0" applyBorder="0" applyAlignment="0" applyProtection="0"/>
    <xf numFmtId="4" fontId="62" fillId="0" borderId="0" applyFont="0" applyFill="0" applyBorder="0" applyAlignment="0" applyProtection="0"/>
    <xf numFmtId="0" fontId="74" fillId="0" borderId="36">
      <alignment horizontal="center"/>
    </xf>
    <xf numFmtId="3" fontId="62" fillId="0" borderId="0" applyFont="0" applyFill="0" applyBorder="0" applyAlignment="0" applyProtection="0"/>
    <xf numFmtId="0" fontId="62" fillId="35" borderId="0" applyNumberFormat="0" applyFont="0" applyBorder="0" applyAlignment="0" applyProtection="0"/>
    <xf numFmtId="186" fontId="75" fillId="0" borderId="0"/>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1" fillId="0" borderId="0" applyFont="0" applyFill="0" applyBorder="0" applyProtection="0">
      <alignment horizontal="right"/>
    </xf>
    <xf numFmtId="0" fontId="30" fillId="0" borderId="0">
      <alignment horizontal="left" vertical="center" wrapText="1"/>
    </xf>
    <xf numFmtId="0" fontId="47" fillId="0" borderId="0" applyFill="0" applyBorder="0" applyProtection="0">
      <alignment horizontal="left"/>
    </xf>
    <xf numFmtId="0" fontId="29" fillId="0" borderId="0">
      <alignment horizontal="left" vertical="center" wrapText="1"/>
    </xf>
    <xf numFmtId="0" fontId="76" fillId="0" borderId="0"/>
    <xf numFmtId="37" fontId="1" fillId="0" borderId="0"/>
    <xf numFmtId="12" fontId="1" fillId="0" borderId="0" applyFont="0" applyFill="0" applyBorder="0" applyProtection="0">
      <alignment horizontal="right"/>
    </xf>
    <xf numFmtId="0" fontId="1" fillId="36" borderId="0" applyFont="0" applyFill="0" applyBorder="0" applyProtection="0">
      <alignment horizontal="right"/>
    </xf>
    <xf numFmtId="0" fontId="1" fillId="0" borderId="0"/>
    <xf numFmtId="0" fontId="40" fillId="0" borderId="0">
      <alignment vertical="top"/>
    </xf>
    <xf numFmtId="0" fontId="40" fillId="0" borderId="0">
      <alignment vertical="top"/>
    </xf>
    <xf numFmtId="0" fontId="40" fillId="0" borderId="0">
      <alignment vertical="top"/>
    </xf>
    <xf numFmtId="0" fontId="40" fillId="0" borderId="0" applyNumberFormat="0" applyBorder="0" applyAlignment="0"/>
    <xf numFmtId="0" fontId="56" fillId="0" borderId="0"/>
    <xf numFmtId="0" fontId="77" fillId="0" borderId="0"/>
    <xf numFmtId="0" fontId="5" fillId="0" borderId="0"/>
    <xf numFmtId="49" fontId="40" fillId="0" borderId="0" applyFill="0" applyBorder="0" applyAlignment="0"/>
    <xf numFmtId="0" fontId="1" fillId="0" borderId="0" applyFill="0" applyBorder="0" applyAlignment="0"/>
    <xf numFmtId="0" fontId="78" fillId="0" borderId="0" applyFill="0" applyBorder="0" applyAlignment="0"/>
    <xf numFmtId="40" fontId="79" fillId="0" borderId="0"/>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1" fillId="0" borderId="0" applyNumberFormat="0" applyFill="0" applyBorder="0" applyAlignment="0" applyProtection="0"/>
    <xf numFmtId="0" fontId="80" fillId="0" borderId="1" applyFill="0" applyAlignment="0" applyProtection="0">
      <alignment horizontal="left"/>
    </xf>
    <xf numFmtId="0" fontId="80" fillId="0" borderId="1" applyFill="0" applyAlignment="0" applyProtection="0">
      <alignment horizontal="left"/>
    </xf>
    <xf numFmtId="0" fontId="81" fillId="0" borderId="0" applyNumberFormat="0" applyFill="0" applyBorder="0" applyAlignment="0" applyProtection="0"/>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0" fillId="0" borderId="1" applyFill="0" applyAlignment="0" applyProtection="0">
      <alignment horizontal="left"/>
    </xf>
    <xf numFmtId="0" fontId="82" fillId="0" borderId="0" applyFill="0" applyBorder="0" applyAlignment="0" applyProtection="0"/>
    <xf numFmtId="0" fontId="83" fillId="0" borderId="39" applyNumberFormat="0" applyFill="0" applyAlignment="0" applyProtection="0"/>
    <xf numFmtId="0" fontId="83" fillId="0" borderId="39" applyNumberFormat="0" applyFill="0" applyAlignment="0" applyProtection="0"/>
    <xf numFmtId="0" fontId="83" fillId="0" borderId="39" applyNumberFormat="0" applyFill="0" applyAlignment="0" applyProtection="0"/>
    <xf numFmtId="0" fontId="83" fillId="0" borderId="39" applyNumberFormat="0" applyFill="0" applyAlignment="0" applyProtection="0"/>
    <xf numFmtId="0" fontId="83" fillId="0" borderId="39" applyNumberFormat="0" applyFill="0" applyAlignment="0" applyProtection="0"/>
    <xf numFmtId="37" fontId="20" fillId="0" borderId="40"/>
    <xf numFmtId="37" fontId="1" fillId="0" borderId="10"/>
    <xf numFmtId="41" fontId="1" fillId="0" borderId="0" applyFont="0" applyFill="0" applyBorder="0" applyAlignment="0" applyProtection="0"/>
    <xf numFmtId="43" fontId="1" fillId="0" borderId="0" applyFont="0" applyFill="0" applyBorder="0" applyAlignment="0" applyProtection="0"/>
    <xf numFmtId="0" fontId="84" fillId="0" borderId="0">
      <alignment horizontal="left"/>
      <protection locked="0"/>
    </xf>
    <xf numFmtId="187" fontId="1" fillId="0" borderId="0" applyFont="0" applyFill="0" applyBorder="0" applyAlignment="0" applyProtection="0"/>
    <xf numFmtId="188" fontId="33" fillId="0" borderId="0" applyFont="0" applyFill="0" applyBorder="0" applyAlignment="0" applyProtection="0"/>
    <xf numFmtId="189" fontId="1" fillId="0" borderId="0" applyFont="0" applyFill="0" applyBorder="0" applyAlignment="0" applyProtection="0"/>
    <xf numFmtId="190" fontId="76" fillId="0" borderId="0" applyFont="0" applyFill="0" applyBorder="0" applyAlignment="0" applyProtection="0"/>
    <xf numFmtId="191" fontId="76" fillId="0" borderId="0" applyFont="0" applyFill="0" applyBorder="0" applyAlignment="0" applyProtection="0"/>
    <xf numFmtId="0" fontId="85" fillId="0" borderId="0" applyFill="0" applyBorder="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1" fillId="0" borderId="0"/>
  </cellStyleXfs>
  <cellXfs count="304">
    <xf numFmtId="0" fontId="0" fillId="0" borderId="0" xfId="0"/>
    <xf numFmtId="0" fontId="2" fillId="0" borderId="0" xfId="0" applyFont="1"/>
    <xf numFmtId="0" fontId="3" fillId="0" borderId="0" xfId="0" applyFont="1"/>
    <xf numFmtId="0" fontId="4" fillId="0" borderId="0" xfId="0" applyFont="1"/>
    <xf numFmtId="0" fontId="3" fillId="0" borderId="0" xfId="0" applyFont="1" applyBorder="1"/>
    <xf numFmtId="0" fontId="4" fillId="0" borderId="0" xfId="0" applyFont="1" applyAlignment="1">
      <alignment horizontal="left" indent="1"/>
    </xf>
    <xf numFmtId="0" fontId="4" fillId="0" borderId="0" xfId="0" applyFont="1" applyAlignment="1">
      <alignment horizontal="left"/>
    </xf>
    <xf numFmtId="0" fontId="3" fillId="0" borderId="0" xfId="0" applyFont="1" applyFill="1" applyAlignment="1">
      <alignment horizontal="center"/>
    </xf>
    <xf numFmtId="0" fontId="4" fillId="0" borderId="0" xfId="0" applyFont="1" applyFill="1" applyAlignment="1">
      <alignment horizontal="center"/>
    </xf>
    <xf numFmtId="0" fontId="3" fillId="0" borderId="0" xfId="0" applyFont="1" applyAlignment="1">
      <alignment horizontal="left"/>
    </xf>
    <xf numFmtId="0" fontId="4" fillId="0" borderId="0" xfId="0" applyFont="1" applyFill="1"/>
    <xf numFmtId="0" fontId="6" fillId="0" borderId="0" xfId="0" applyFont="1"/>
    <xf numFmtId="14" fontId="3" fillId="0" borderId="0" xfId="0" applyNumberFormat="1" applyFont="1" applyFill="1" applyAlignment="1">
      <alignment horizontal="center"/>
    </xf>
    <xf numFmtId="0" fontId="3" fillId="0" borderId="0" xfId="0" applyFont="1" applyFill="1" applyBorder="1" applyAlignment="1">
      <alignment horizontal="center"/>
    </xf>
    <xf numFmtId="0" fontId="3" fillId="0" borderId="0" xfId="0" applyFont="1" applyFill="1" applyBorder="1"/>
    <xf numFmtId="0" fontId="4" fillId="0" borderId="0" xfId="0" applyFont="1" applyBorder="1"/>
    <xf numFmtId="0" fontId="4" fillId="0" borderId="0" xfId="0" applyFont="1" applyAlignment="1"/>
    <xf numFmtId="5" fontId="4" fillId="0" borderId="0" xfId="0" applyNumberFormat="1" applyFont="1" applyBorder="1" applyAlignment="1">
      <alignment horizontal="center"/>
    </xf>
    <xf numFmtId="5" fontId="3" fillId="0" borderId="0" xfId="0" applyNumberFormat="1" applyFont="1" applyBorder="1" applyAlignment="1">
      <alignment horizontal="center"/>
    </xf>
    <xf numFmtId="5" fontId="3" fillId="0" borderId="0" xfId="0" applyNumberFormat="1" applyFont="1" applyAlignment="1">
      <alignment horizontal="center"/>
    </xf>
    <xf numFmtId="5" fontId="4" fillId="0" borderId="0" xfId="0" applyNumberFormat="1" applyFont="1" applyAlignment="1">
      <alignment horizontal="center"/>
    </xf>
    <xf numFmtId="5" fontId="4" fillId="0" borderId="1" xfId="0" applyNumberFormat="1" applyFont="1" applyBorder="1" applyAlignment="1">
      <alignment horizontal="center"/>
    </xf>
    <xf numFmtId="0" fontId="4" fillId="0" borderId="0" xfId="0" applyFont="1" applyFill="1" applyBorder="1"/>
    <xf numFmtId="0" fontId="3" fillId="0" borderId="1" xfId="0" applyFont="1" applyBorder="1" applyAlignment="1">
      <alignment horizontal="centerContinuous"/>
    </xf>
    <xf numFmtId="0" fontId="4" fillId="0" borderId="0" xfId="0" applyFont="1" applyFill="1" applyAlignment="1">
      <alignment horizontal="left" indent="1"/>
    </xf>
    <xf numFmtId="37" fontId="4" fillId="0" borderId="0" xfId="0" applyNumberFormat="1" applyFont="1" applyFill="1" applyBorder="1" applyAlignment="1">
      <alignment horizontal="right"/>
    </xf>
    <xf numFmtId="0" fontId="3" fillId="0" borderId="2" xfId="0" applyFont="1" applyFill="1" applyBorder="1" applyAlignment="1">
      <alignment horizontal="center"/>
    </xf>
    <xf numFmtId="0" fontId="4" fillId="0" borderId="2" xfId="0" applyFont="1" applyBorder="1"/>
    <xf numFmtId="0" fontId="4" fillId="0" borderId="2" xfId="0" applyFont="1" applyFill="1" applyBorder="1"/>
    <xf numFmtId="0" fontId="3" fillId="0" borderId="3" xfId="0" applyFont="1" applyBorder="1"/>
    <xf numFmtId="14" fontId="3" fillId="0" borderId="0" xfId="0" applyNumberFormat="1" applyFont="1" applyFill="1" applyBorder="1" applyAlignment="1">
      <alignment horizontal="center"/>
    </xf>
    <xf numFmtId="0" fontId="4" fillId="0" borderId="0" xfId="0" applyFont="1" applyFill="1" applyAlignment="1"/>
    <xf numFmtId="37" fontId="4" fillId="0" borderId="0" xfId="0" applyNumberFormat="1" applyFont="1" applyBorder="1" applyAlignment="1">
      <alignment horizontal="right"/>
    </xf>
    <xf numFmtId="37" fontId="4" fillId="0" borderId="3" xfId="0" applyNumberFormat="1" applyFont="1" applyBorder="1" applyAlignment="1">
      <alignment horizontal="right"/>
    </xf>
    <xf numFmtId="37" fontId="4" fillId="0" borderId="2" xfId="0" applyNumberFormat="1" applyFont="1" applyBorder="1" applyAlignment="1">
      <alignment horizontal="right"/>
    </xf>
    <xf numFmtId="0" fontId="4" fillId="0" borderId="0" xfId="0" applyFont="1" applyFill="1" applyBorder="1" applyAlignment="1">
      <alignment horizontal="right"/>
    </xf>
    <xf numFmtId="0" fontId="4" fillId="0" borderId="0" xfId="0" applyFont="1" applyBorder="1" applyAlignment="1">
      <alignment horizontal="right"/>
    </xf>
    <xf numFmtId="0" fontId="4" fillId="0" borderId="0" xfId="0" applyFont="1" applyAlignment="1">
      <alignment horizontal="right"/>
    </xf>
    <xf numFmtId="0" fontId="4" fillId="0" borderId="3" xfId="0" applyFont="1" applyBorder="1" applyAlignment="1">
      <alignment horizontal="right"/>
    </xf>
    <xf numFmtId="0" fontId="4" fillId="0" borderId="2" xfId="0" applyFont="1" applyBorder="1" applyAlignment="1">
      <alignment horizontal="right"/>
    </xf>
    <xf numFmtId="164" fontId="4" fillId="0" borderId="0" xfId="0" applyNumberFormat="1" applyFont="1" applyBorder="1" applyAlignment="1">
      <alignment horizontal="right"/>
    </xf>
    <xf numFmtId="164" fontId="4" fillId="0" borderId="2" xfId="0" applyNumberFormat="1" applyFont="1" applyBorder="1" applyAlignment="1">
      <alignment horizontal="right"/>
    </xf>
    <xf numFmtId="164" fontId="4" fillId="0" borderId="0" xfId="0" applyNumberFormat="1" applyFont="1" applyFill="1" applyBorder="1" applyAlignment="1">
      <alignment horizontal="right"/>
    </xf>
    <xf numFmtId="164" fontId="4" fillId="0" borderId="0" xfId="1" applyNumberFormat="1" applyFont="1" applyFill="1" applyBorder="1" applyAlignment="1">
      <alignment horizontal="right"/>
    </xf>
    <xf numFmtId="9" fontId="4" fillId="0" borderId="0" xfId="1" applyFont="1" applyFill="1" applyBorder="1" applyAlignment="1">
      <alignment horizontal="right"/>
    </xf>
    <xf numFmtId="164" fontId="4" fillId="0" borderId="2" xfId="0" applyNumberFormat="1" applyFont="1" applyFill="1" applyBorder="1" applyAlignment="1">
      <alignment horizontal="right"/>
    </xf>
    <xf numFmtId="37" fontId="4" fillId="0" borderId="3" xfId="0" applyNumberFormat="1" applyFont="1" applyFill="1" applyBorder="1" applyAlignment="1">
      <alignment horizontal="right"/>
    </xf>
    <xf numFmtId="37" fontId="4" fillId="0" borderId="2" xfId="0" applyNumberFormat="1" applyFont="1" applyFill="1" applyBorder="1" applyAlignment="1">
      <alignment horizontal="right"/>
    </xf>
    <xf numFmtId="0" fontId="4" fillId="0" borderId="0" xfId="0" applyFont="1" applyFill="1" applyAlignment="1">
      <alignment horizontal="right"/>
    </xf>
    <xf numFmtId="0" fontId="4" fillId="0" borderId="2" xfId="0" applyFont="1" applyFill="1" applyBorder="1" applyAlignment="1">
      <alignment horizontal="right"/>
    </xf>
    <xf numFmtId="5" fontId="4" fillId="0" borderId="0" xfId="0" applyNumberFormat="1" applyFont="1" applyAlignment="1">
      <alignment horizontal="right"/>
    </xf>
    <xf numFmtId="5" fontId="4" fillId="0" borderId="2" xfId="0" applyNumberFormat="1" applyFont="1" applyBorder="1" applyAlignment="1">
      <alignment horizontal="right"/>
    </xf>
    <xf numFmtId="5" fontId="4" fillId="0" borderId="0" xfId="0" applyNumberFormat="1" applyFont="1" applyBorder="1" applyAlignment="1">
      <alignment horizontal="right"/>
    </xf>
    <xf numFmtId="5" fontId="4" fillId="0" borderId="0" xfId="0" applyNumberFormat="1" applyFont="1" applyFill="1" applyAlignment="1">
      <alignment horizontal="right"/>
    </xf>
    <xf numFmtId="5" fontId="4" fillId="0" borderId="1" xfId="0" applyNumberFormat="1" applyFont="1" applyFill="1" applyBorder="1" applyAlignment="1">
      <alignment horizontal="right"/>
    </xf>
    <xf numFmtId="5" fontId="4" fillId="0" borderId="4" xfId="0" applyNumberFormat="1" applyFont="1" applyBorder="1" applyAlignment="1">
      <alignment horizontal="right"/>
    </xf>
    <xf numFmtId="5" fontId="4" fillId="0" borderId="1" xfId="0" applyNumberFormat="1" applyFont="1" applyBorder="1" applyAlignment="1">
      <alignment horizontal="right"/>
    </xf>
    <xf numFmtId="5" fontId="4" fillId="0" borderId="2" xfId="0" applyNumberFormat="1" applyFont="1" applyFill="1" applyBorder="1" applyAlignment="1">
      <alignment horizontal="right"/>
    </xf>
    <xf numFmtId="5" fontId="4" fillId="0" borderId="0" xfId="0" applyNumberFormat="1" applyFont="1" applyFill="1" applyBorder="1" applyAlignment="1">
      <alignment horizontal="right"/>
    </xf>
    <xf numFmtId="5" fontId="3" fillId="0" borderId="0" xfId="0" applyNumberFormat="1" applyFont="1" applyAlignment="1">
      <alignment horizontal="right"/>
    </xf>
    <xf numFmtId="5" fontId="3" fillId="0" borderId="2" xfId="0" applyNumberFormat="1" applyFont="1" applyBorder="1" applyAlignment="1">
      <alignment horizontal="right"/>
    </xf>
    <xf numFmtId="5" fontId="3" fillId="0" borderId="0" xfId="0" applyNumberFormat="1" applyFont="1" applyBorder="1" applyAlignment="1">
      <alignment horizontal="right"/>
    </xf>
    <xf numFmtId="5" fontId="3" fillId="0" borderId="0" xfId="0" applyNumberFormat="1" applyFont="1" applyFill="1" applyAlignment="1">
      <alignment horizontal="right"/>
    </xf>
    <xf numFmtId="5" fontId="3" fillId="0" borderId="2" xfId="0" applyNumberFormat="1" applyFont="1" applyFill="1" applyBorder="1" applyAlignment="1">
      <alignment horizontal="right"/>
    </xf>
    <xf numFmtId="10" fontId="4" fillId="0" borderId="0" xfId="0" applyNumberFormat="1" applyFont="1" applyBorder="1" applyAlignment="1">
      <alignment horizontal="right"/>
    </xf>
    <xf numFmtId="9" fontId="4" fillId="0" borderId="0" xfId="0" applyNumberFormat="1" applyFont="1" applyBorder="1" applyAlignment="1">
      <alignment horizontal="right"/>
    </xf>
    <xf numFmtId="5" fontId="4" fillId="0" borderId="4" xfId="0" applyNumberFormat="1" applyFont="1" applyFill="1" applyBorder="1" applyAlignment="1">
      <alignment horizontal="right"/>
    </xf>
    <xf numFmtId="164" fontId="4" fillId="0" borderId="0" xfId="0" applyNumberFormat="1" applyFont="1" applyAlignment="1">
      <alignment horizontal="right"/>
    </xf>
    <xf numFmtId="164" fontId="3" fillId="0" borderId="0" xfId="0" applyNumberFormat="1" applyFont="1" applyAlignment="1">
      <alignment horizontal="right"/>
    </xf>
    <xf numFmtId="164" fontId="3" fillId="0" borderId="2" xfId="0" applyNumberFormat="1" applyFont="1" applyBorder="1" applyAlignment="1">
      <alignment horizontal="right"/>
    </xf>
    <xf numFmtId="164" fontId="3" fillId="0" borderId="0" xfId="0" applyNumberFormat="1" applyFont="1" applyBorder="1" applyAlignment="1">
      <alignment horizontal="right"/>
    </xf>
    <xf numFmtId="5" fontId="4" fillId="0" borderId="0" xfId="0" applyNumberFormat="1" applyFont="1" applyBorder="1" applyAlignment="1"/>
    <xf numFmtId="5" fontId="4" fillId="0" borderId="2" xfId="0" applyNumberFormat="1" applyFont="1" applyBorder="1" applyAlignment="1"/>
    <xf numFmtId="0" fontId="4" fillId="0" borderId="0" xfId="0" applyFont="1" applyFill="1" applyBorder="1" applyAlignment="1"/>
    <xf numFmtId="0" fontId="6" fillId="0" borderId="0" xfId="0" applyFont="1" applyFill="1" applyBorder="1" applyAlignment="1"/>
    <xf numFmtId="0" fontId="4" fillId="0" borderId="2" xfId="0" applyFont="1" applyBorder="1" applyAlignment="1"/>
    <xf numFmtId="0" fontId="4" fillId="0" borderId="2" xfId="0" applyFont="1" applyFill="1" applyBorder="1" applyAlignment="1"/>
    <xf numFmtId="5" fontId="4" fillId="0" borderId="0" xfId="0" applyNumberFormat="1" applyFont="1" applyFill="1" applyBorder="1" applyAlignment="1"/>
    <xf numFmtId="10" fontId="4" fillId="0" borderId="0" xfId="0" applyNumberFormat="1" applyFont="1" applyFill="1" applyBorder="1" applyAlignment="1"/>
    <xf numFmtId="0" fontId="6" fillId="0" borderId="2" xfId="0" applyFont="1" applyFill="1" applyBorder="1" applyAlignment="1"/>
    <xf numFmtId="0" fontId="4" fillId="0" borderId="0" xfId="0" applyFont="1" applyBorder="1" applyAlignment="1"/>
    <xf numFmtId="5" fontId="3" fillId="0" borderId="0" xfId="0" applyNumberFormat="1" applyFont="1" applyBorder="1" applyAlignment="1"/>
    <xf numFmtId="5" fontId="3" fillId="0" borderId="2" xfId="0" applyNumberFormat="1" applyFont="1" applyBorder="1" applyAlignment="1"/>
    <xf numFmtId="164" fontId="4" fillId="0" borderId="0" xfId="0" applyNumberFormat="1" applyFont="1" applyAlignment="1"/>
    <xf numFmtId="164" fontId="4" fillId="0" borderId="2" xfId="0" applyNumberFormat="1" applyFont="1" applyBorder="1" applyAlignment="1"/>
    <xf numFmtId="164" fontId="4" fillId="0" borderId="0" xfId="0" applyNumberFormat="1" applyFont="1" applyBorder="1" applyAlignment="1"/>
    <xf numFmtId="5" fontId="4" fillId="0" borderId="2" xfId="0" applyNumberFormat="1" applyFont="1" applyFill="1" applyBorder="1" applyAlignment="1"/>
    <xf numFmtId="7" fontId="3" fillId="0" borderId="0" xfId="0" applyNumberFormat="1" applyFont="1" applyAlignment="1"/>
    <xf numFmtId="7" fontId="3" fillId="0" borderId="2" xfId="0" applyNumberFormat="1" applyFont="1" applyBorder="1" applyAlignment="1"/>
    <xf numFmtId="0" fontId="3" fillId="0" borderId="0" xfId="0" applyFont="1" applyAlignment="1"/>
    <xf numFmtId="0" fontId="4" fillId="0" borderId="5" xfId="0" applyFont="1" applyBorder="1" applyAlignment="1"/>
    <xf numFmtId="7" fontId="3" fillId="0" borderId="5" xfId="0" applyNumberFormat="1" applyFont="1" applyBorder="1" applyAlignment="1"/>
    <xf numFmtId="3" fontId="4" fillId="0" borderId="0" xfId="0" applyNumberFormat="1" applyFont="1" applyBorder="1" applyAlignment="1"/>
    <xf numFmtId="3" fontId="4" fillId="0" borderId="6" xfId="0" applyNumberFormat="1" applyFont="1" applyBorder="1" applyAlignment="1"/>
    <xf numFmtId="3" fontId="4" fillId="0" borderId="0" xfId="0" applyNumberFormat="1" applyFont="1" applyFill="1" applyAlignment="1"/>
    <xf numFmtId="0" fontId="8" fillId="0" borderId="0" xfId="0" applyFont="1"/>
    <xf numFmtId="5" fontId="8" fillId="0" borderId="0" xfId="0" applyNumberFormat="1" applyFont="1" applyAlignment="1">
      <alignment horizontal="right"/>
    </xf>
    <xf numFmtId="5" fontId="8" fillId="0" borderId="0" xfId="0" applyNumberFormat="1" applyFont="1" applyFill="1" applyAlignment="1">
      <alignment horizontal="right"/>
    </xf>
    <xf numFmtId="5" fontId="8" fillId="0" borderId="6" xfId="0" applyNumberFormat="1" applyFont="1" applyBorder="1" applyAlignment="1">
      <alignment horizontal="right"/>
    </xf>
    <xf numFmtId="5" fontId="8" fillId="0" borderId="0" xfId="0" applyNumberFormat="1" applyFont="1" applyBorder="1" applyAlignment="1">
      <alignment horizontal="right"/>
    </xf>
    <xf numFmtId="5" fontId="8" fillId="0" borderId="6" xfId="0" applyNumberFormat="1" applyFont="1" applyFill="1" applyBorder="1" applyAlignment="1">
      <alignment horizontal="right"/>
    </xf>
    <xf numFmtId="0" fontId="9" fillId="0" borderId="0" xfId="0" applyFont="1"/>
    <xf numFmtId="0" fontId="8" fillId="0" borderId="0" xfId="0" applyFont="1" applyAlignment="1">
      <alignment horizontal="centerContinuous"/>
    </xf>
    <xf numFmtId="0" fontId="4" fillId="2" borderId="0" xfId="0" applyFont="1" applyFill="1" applyBorder="1"/>
    <xf numFmtId="0" fontId="4" fillId="2" borderId="0" xfId="0" applyFont="1" applyFill="1" applyBorder="1" applyAlignment="1">
      <alignment horizontal="right"/>
    </xf>
    <xf numFmtId="0" fontId="4" fillId="2" borderId="0" xfId="0" applyFont="1" applyFill="1" applyAlignment="1">
      <alignment horizontal="right"/>
    </xf>
    <xf numFmtId="0" fontId="4" fillId="2" borderId="2" xfId="0" applyFont="1" applyFill="1" applyBorder="1" applyAlignment="1">
      <alignment horizontal="right"/>
    </xf>
    <xf numFmtId="0" fontId="2" fillId="2" borderId="0" xfId="0" applyFont="1" applyFill="1"/>
    <xf numFmtId="14" fontId="3" fillId="0" borderId="3" xfId="0" applyNumberFormat="1" applyFont="1" applyFill="1" applyBorder="1" applyAlignment="1">
      <alignment horizontal="center"/>
    </xf>
    <xf numFmtId="0" fontId="4" fillId="2" borderId="5" xfId="0" applyFont="1" applyFill="1" applyBorder="1" applyAlignment="1">
      <alignment horizontal="right"/>
    </xf>
    <xf numFmtId="0" fontId="11" fillId="0" borderId="0" xfId="0" applyFont="1" applyAlignment="1">
      <alignment horizontal="right"/>
    </xf>
    <xf numFmtId="0" fontId="4" fillId="3" borderId="0" xfId="0" applyFont="1" applyFill="1" applyAlignment="1">
      <alignment horizontal="left" indent="1"/>
    </xf>
    <xf numFmtId="5" fontId="4" fillId="3" borderId="0" xfId="0" applyNumberFormat="1" applyFont="1" applyFill="1" applyBorder="1" applyAlignment="1"/>
    <xf numFmtId="5" fontId="4" fillId="3" borderId="2" xfId="0" applyNumberFormat="1" applyFont="1" applyFill="1" applyBorder="1" applyAlignment="1"/>
    <xf numFmtId="0" fontId="4" fillId="3" borderId="0" xfId="0" applyFont="1" applyFill="1" applyBorder="1" applyAlignment="1"/>
    <xf numFmtId="5" fontId="4" fillId="3" borderId="1" xfId="0" applyNumberFormat="1" applyFont="1" applyFill="1" applyBorder="1" applyAlignment="1"/>
    <xf numFmtId="5" fontId="4" fillId="3" borderId="4" xfId="0" applyNumberFormat="1" applyFont="1" applyFill="1" applyBorder="1" applyAlignment="1"/>
    <xf numFmtId="0" fontId="3" fillId="0" borderId="1" xfId="0" applyFont="1" applyBorder="1"/>
    <xf numFmtId="14" fontId="3" fillId="3" borderId="7" xfId="0" applyNumberFormat="1" applyFont="1" applyFill="1" applyBorder="1" applyAlignment="1">
      <alignment horizontal="center"/>
    </xf>
    <xf numFmtId="14" fontId="3" fillId="3" borderId="8" xfId="0" applyNumberFormat="1" applyFont="1" applyFill="1" applyBorder="1" applyAlignment="1">
      <alignment horizontal="center"/>
    </xf>
    <xf numFmtId="14" fontId="3" fillId="3" borderId="9" xfId="0" applyNumberFormat="1" applyFont="1" applyFill="1" applyBorder="1" applyAlignment="1">
      <alignment horizontal="center"/>
    </xf>
    <xf numFmtId="0" fontId="4" fillId="3" borderId="0" xfId="0" applyFont="1" applyFill="1"/>
    <xf numFmtId="0" fontId="6" fillId="3" borderId="0" xfId="0" applyFont="1" applyFill="1" applyBorder="1" applyAlignment="1"/>
    <xf numFmtId="5" fontId="4" fillId="0" borderId="1" xfId="0" applyNumberFormat="1" applyFont="1" applyFill="1" applyBorder="1" applyAlignment="1"/>
    <xf numFmtId="5" fontId="4" fillId="0" borderId="4" xfId="0" applyNumberFormat="1" applyFont="1" applyFill="1" applyBorder="1" applyAlignment="1"/>
    <xf numFmtId="5" fontId="4" fillId="3" borderId="0" xfId="0" applyNumberFormat="1" applyFont="1" applyFill="1" applyAlignment="1">
      <alignment horizontal="right"/>
    </xf>
    <xf numFmtId="5" fontId="4" fillId="3" borderId="2" xfId="0" applyNumberFormat="1" applyFont="1" applyFill="1" applyBorder="1" applyAlignment="1">
      <alignment horizontal="right"/>
    </xf>
    <xf numFmtId="5" fontId="4" fillId="3" borderId="0" xfId="0" applyNumberFormat="1" applyFont="1" applyFill="1" applyBorder="1" applyAlignment="1">
      <alignment horizontal="right"/>
    </xf>
    <xf numFmtId="0" fontId="4" fillId="3" borderId="0" xfId="0" applyFont="1" applyFill="1" applyAlignment="1">
      <alignment horizontal="left"/>
    </xf>
    <xf numFmtId="164" fontId="4" fillId="3" borderId="0" xfId="0" applyNumberFormat="1" applyFont="1" applyFill="1" applyAlignment="1">
      <alignment horizontal="right"/>
    </xf>
    <xf numFmtId="164" fontId="4" fillId="3" borderId="2" xfId="0" applyNumberFormat="1" applyFont="1" applyFill="1" applyBorder="1" applyAlignment="1">
      <alignment horizontal="right"/>
    </xf>
    <xf numFmtId="164" fontId="4" fillId="3" borderId="0" xfId="0" applyNumberFormat="1" applyFont="1" applyFill="1" applyBorder="1" applyAlignment="1">
      <alignment horizontal="right"/>
    </xf>
    <xf numFmtId="164" fontId="4" fillId="3" borderId="0" xfId="1" applyNumberFormat="1" applyFont="1" applyFill="1" applyBorder="1" applyAlignment="1">
      <alignment horizontal="right"/>
    </xf>
    <xf numFmtId="164" fontId="4" fillId="3" borderId="2" xfId="1" applyNumberFormat="1" applyFont="1" applyFill="1" applyBorder="1" applyAlignment="1">
      <alignment horizontal="right"/>
    </xf>
    <xf numFmtId="164" fontId="4" fillId="0" borderId="2" xfId="1" applyNumberFormat="1" applyFont="1" applyFill="1" applyBorder="1" applyAlignment="1">
      <alignment horizontal="right"/>
    </xf>
    <xf numFmtId="0" fontId="4" fillId="0" borderId="0" xfId="0" applyFont="1" applyFill="1" applyAlignment="1">
      <alignment horizontal="left"/>
    </xf>
    <xf numFmtId="0" fontId="9" fillId="0" borderId="0" xfId="0" applyFont="1" applyAlignment="1">
      <alignment horizontal="left"/>
    </xf>
    <xf numFmtId="9" fontId="4" fillId="0" borderId="0" xfId="1" applyFont="1" applyBorder="1" applyAlignment="1">
      <alignment horizontal="right"/>
    </xf>
    <xf numFmtId="164" fontId="4" fillId="0" borderId="0" xfId="1" applyNumberFormat="1" applyFont="1" applyBorder="1" applyAlignment="1">
      <alignment horizontal="right"/>
    </xf>
    <xf numFmtId="164" fontId="4" fillId="0" borderId="0" xfId="1" applyNumberFormat="1" applyFont="1" applyAlignment="1">
      <alignment horizontal="right"/>
    </xf>
    <xf numFmtId="164" fontId="4" fillId="0" borderId="2" xfId="1" applyNumberFormat="1" applyFont="1" applyBorder="1" applyAlignment="1">
      <alignment horizontal="right"/>
    </xf>
    <xf numFmtId="164" fontId="4" fillId="0" borderId="1" xfId="1" applyNumberFormat="1" applyFont="1" applyBorder="1" applyAlignment="1">
      <alignment horizontal="right"/>
    </xf>
    <xf numFmtId="164" fontId="4" fillId="0" borderId="4" xfId="1" applyNumberFormat="1" applyFont="1" applyBorder="1" applyAlignment="1">
      <alignment horizontal="right"/>
    </xf>
    <xf numFmtId="164" fontId="3" fillId="0" borderId="0" xfId="1" applyNumberFormat="1" applyFont="1" applyBorder="1" applyAlignment="1">
      <alignment horizontal="right"/>
    </xf>
    <xf numFmtId="164" fontId="3" fillId="0" borderId="0" xfId="1" applyNumberFormat="1" applyFont="1" applyAlignment="1">
      <alignment horizontal="right"/>
    </xf>
    <xf numFmtId="164" fontId="3" fillId="0" borderId="2" xfId="1" applyNumberFormat="1" applyFont="1" applyBorder="1" applyAlignment="1">
      <alignment horizontal="right"/>
    </xf>
    <xf numFmtId="164" fontId="4" fillId="0" borderId="0" xfId="1" applyNumberFormat="1" applyFont="1" applyFill="1" applyAlignment="1">
      <alignment horizontal="right"/>
    </xf>
    <xf numFmtId="164" fontId="4" fillId="0" borderId="1" xfId="1" applyNumberFormat="1" applyFont="1" applyFill="1" applyBorder="1" applyAlignment="1">
      <alignment horizontal="right"/>
    </xf>
    <xf numFmtId="164" fontId="8" fillId="0" borderId="0" xfId="1" applyNumberFormat="1" applyFont="1" applyAlignment="1">
      <alignment horizontal="right"/>
    </xf>
    <xf numFmtId="9" fontId="4" fillId="3" borderId="1" xfId="1" applyFont="1" applyFill="1" applyBorder="1" applyAlignment="1">
      <alignment horizontal="right"/>
    </xf>
    <xf numFmtId="9" fontId="4" fillId="3" borderId="4" xfId="1" applyFont="1" applyFill="1" applyBorder="1" applyAlignment="1">
      <alignment horizontal="right"/>
    </xf>
    <xf numFmtId="164" fontId="4" fillId="3" borderId="0" xfId="1" applyNumberFormat="1" applyFont="1" applyFill="1" applyAlignment="1">
      <alignment horizontal="right"/>
    </xf>
    <xf numFmtId="164" fontId="3" fillId="0" borderId="2" xfId="1" applyNumberFormat="1" applyFont="1" applyFill="1" applyBorder="1" applyAlignment="1">
      <alignment horizontal="right"/>
    </xf>
    <xf numFmtId="164" fontId="4" fillId="3" borderId="10" xfId="1" applyNumberFormat="1" applyFont="1" applyFill="1" applyBorder="1" applyAlignment="1">
      <alignment horizontal="right"/>
    </xf>
    <xf numFmtId="164" fontId="4" fillId="3" borderId="11" xfId="1" applyNumberFormat="1" applyFont="1" applyFill="1" applyBorder="1" applyAlignment="1">
      <alignment horizontal="right"/>
    </xf>
    <xf numFmtId="164" fontId="4" fillId="0" borderId="4" xfId="1" applyNumberFormat="1" applyFont="1" applyFill="1" applyBorder="1" applyAlignment="1">
      <alignment horizontal="right"/>
    </xf>
    <xf numFmtId="164" fontId="8" fillId="0" borderId="0" xfId="1" applyNumberFormat="1" applyFont="1" applyFill="1" applyAlignment="1">
      <alignment horizontal="right"/>
    </xf>
    <xf numFmtId="164" fontId="8" fillId="0" borderId="6" xfId="1" applyNumberFormat="1" applyFont="1" applyFill="1" applyBorder="1" applyAlignment="1">
      <alignment horizontal="right"/>
    </xf>
    <xf numFmtId="9" fontId="4" fillId="0" borderId="0" xfId="1" applyFont="1" applyBorder="1" applyAlignment="1"/>
    <xf numFmtId="164" fontId="4" fillId="0" borderId="0" xfId="1" applyNumberFormat="1" applyFont="1" applyBorder="1" applyAlignment="1"/>
    <xf numFmtId="9" fontId="4" fillId="0" borderId="2" xfId="1" applyFont="1" applyBorder="1" applyAlignment="1"/>
    <xf numFmtId="9" fontId="4" fillId="3" borderId="0" xfId="1" applyFont="1" applyFill="1" applyBorder="1" applyAlignment="1"/>
    <xf numFmtId="9" fontId="4" fillId="3" borderId="2" xfId="1" applyFont="1" applyFill="1" applyBorder="1" applyAlignment="1"/>
    <xf numFmtId="9" fontId="4" fillId="0" borderId="0" xfId="1" applyFont="1" applyFill="1" applyBorder="1" applyAlignment="1"/>
    <xf numFmtId="9" fontId="4" fillId="0" borderId="2" xfId="1" applyFont="1" applyFill="1" applyBorder="1" applyAlignment="1"/>
    <xf numFmtId="9" fontId="4" fillId="0" borderId="0" xfId="1" applyFont="1" applyAlignment="1"/>
    <xf numFmtId="9" fontId="3" fillId="0" borderId="2" xfId="1" applyFont="1" applyBorder="1" applyAlignment="1"/>
    <xf numFmtId="9" fontId="3" fillId="0" borderId="0" xfId="1" applyFont="1" applyAlignment="1"/>
    <xf numFmtId="9" fontId="4" fillId="0" borderId="5" xfId="1" applyFont="1" applyBorder="1" applyAlignment="1"/>
    <xf numFmtId="9" fontId="4" fillId="0" borderId="6" xfId="1" applyFont="1" applyBorder="1" applyAlignment="1"/>
    <xf numFmtId="164" fontId="4" fillId="0" borderId="2" xfId="1" applyNumberFormat="1" applyFont="1" applyBorder="1" applyAlignment="1"/>
    <xf numFmtId="164" fontId="4" fillId="3" borderId="0" xfId="1" applyNumberFormat="1" applyFont="1" applyFill="1" applyBorder="1" applyAlignment="1"/>
    <xf numFmtId="164" fontId="4" fillId="3" borderId="2" xfId="1" applyNumberFormat="1" applyFont="1" applyFill="1" applyBorder="1" applyAlignment="1"/>
    <xf numFmtId="164" fontId="4" fillId="3" borderId="1" xfId="1" applyNumberFormat="1" applyFont="1" applyFill="1" applyBorder="1" applyAlignment="1"/>
    <xf numFmtId="164" fontId="4" fillId="3" borderId="4" xfId="1" applyNumberFormat="1" applyFont="1" applyFill="1" applyBorder="1" applyAlignment="1"/>
    <xf numFmtId="164" fontId="4" fillId="0" borderId="0" xfId="1" applyNumberFormat="1" applyFont="1" applyFill="1" applyBorder="1" applyAlignment="1"/>
    <xf numFmtId="164" fontId="4" fillId="0" borderId="2" xfId="1" applyNumberFormat="1" applyFont="1" applyFill="1" applyBorder="1" applyAlignment="1"/>
    <xf numFmtId="164" fontId="4" fillId="0" borderId="1" xfId="1" applyNumberFormat="1" applyFont="1" applyFill="1" applyBorder="1" applyAlignment="1"/>
    <xf numFmtId="164" fontId="4" fillId="0" borderId="4" xfId="1" applyNumberFormat="1" applyFont="1" applyFill="1" applyBorder="1" applyAlignment="1"/>
    <xf numFmtId="164" fontId="4" fillId="0" borderId="0" xfId="1" applyNumberFormat="1" applyFont="1" applyFill="1" applyAlignment="1"/>
    <xf numFmtId="164" fontId="6" fillId="0" borderId="2" xfId="1" applyNumberFormat="1" applyFont="1" applyFill="1" applyBorder="1" applyAlignment="1"/>
    <xf numFmtId="164" fontId="4" fillId="0" borderId="0" xfId="1" applyNumberFormat="1" applyFont="1" applyAlignment="1"/>
    <xf numFmtId="164" fontId="3" fillId="0" borderId="0" xfId="1" applyNumberFormat="1" applyFont="1" applyBorder="1" applyAlignment="1"/>
    <xf numFmtId="164" fontId="4" fillId="2" borderId="0" xfId="1" applyNumberFormat="1" applyFont="1" applyFill="1" applyBorder="1" applyAlignment="1">
      <alignment horizontal="right"/>
    </xf>
    <xf numFmtId="164" fontId="4" fillId="2" borderId="2" xfId="1" applyNumberFormat="1" applyFont="1" applyFill="1" applyBorder="1" applyAlignment="1">
      <alignment horizontal="right"/>
    </xf>
    <xf numFmtId="164" fontId="6" fillId="0" borderId="0" xfId="1" applyNumberFormat="1" applyFont="1" applyFill="1" applyBorder="1" applyAlignment="1"/>
    <xf numFmtId="164" fontId="6" fillId="3" borderId="0" xfId="1" applyNumberFormat="1" applyFont="1" applyFill="1" applyBorder="1" applyAlignment="1"/>
    <xf numFmtId="164" fontId="3" fillId="0" borderId="6" xfId="1" applyNumberFormat="1" applyFont="1" applyBorder="1" applyAlignment="1">
      <alignment horizontal="right"/>
    </xf>
    <xf numFmtId="164" fontId="3" fillId="0" borderId="6" xfId="1" applyNumberFormat="1" applyFont="1" applyFill="1" applyBorder="1" applyAlignment="1">
      <alignment horizontal="right"/>
    </xf>
    <xf numFmtId="164" fontId="3" fillId="0" borderId="6" xfId="1" applyNumberFormat="1" applyFont="1" applyBorder="1" applyAlignment="1"/>
    <xf numFmtId="164" fontId="8" fillId="0" borderId="0" xfId="1" applyNumberFormat="1" applyFont="1" applyFill="1" applyBorder="1" applyAlignment="1">
      <alignment horizontal="right"/>
    </xf>
    <xf numFmtId="0" fontId="4" fillId="0" borderId="0" xfId="0" applyFont="1" applyAlignment="1">
      <alignment horizontal="left" indent="4"/>
    </xf>
    <xf numFmtId="0" fontId="3" fillId="0" borderId="0" xfId="0" applyFont="1" applyAlignment="1">
      <alignment horizontal="left" indent="4"/>
    </xf>
    <xf numFmtId="0" fontId="15" fillId="0" borderId="0" xfId="0" applyFont="1" applyBorder="1"/>
    <xf numFmtId="5" fontId="4" fillId="0" borderId="11" xfId="0" applyNumberFormat="1" applyFont="1" applyFill="1" applyBorder="1" applyAlignment="1">
      <alignment horizontal="right"/>
    </xf>
    <xf numFmtId="0" fontId="4" fillId="0" borderId="12" xfId="0" applyFont="1" applyFill="1" applyBorder="1" applyAlignment="1">
      <alignment horizontal="left" indent="1"/>
    </xf>
    <xf numFmtId="5" fontId="4" fillId="0" borderId="12" xfId="0" applyNumberFormat="1" applyFont="1" applyFill="1" applyBorder="1" applyAlignment="1">
      <alignment horizontal="right"/>
    </xf>
    <xf numFmtId="5" fontId="4" fillId="0" borderId="13" xfId="0" applyNumberFormat="1" applyFont="1" applyFill="1" applyBorder="1" applyAlignment="1">
      <alignment horizontal="right"/>
    </xf>
    <xf numFmtId="5" fontId="4" fillId="0" borderId="10" xfId="0" applyNumberFormat="1" applyFont="1" applyFill="1" applyBorder="1" applyAlignment="1">
      <alignment horizontal="right"/>
    </xf>
    <xf numFmtId="0" fontId="4" fillId="0" borderId="14" xfId="0" applyFont="1" applyFill="1" applyBorder="1" applyAlignment="1">
      <alignment horizontal="left" indent="1"/>
    </xf>
    <xf numFmtId="0" fontId="4" fillId="0" borderId="15" xfId="0" applyFont="1" applyFill="1" applyBorder="1" applyAlignment="1">
      <alignment horizontal="left" indent="1"/>
    </xf>
    <xf numFmtId="5" fontId="4" fillId="0" borderId="15" xfId="0" applyNumberFormat="1" applyFont="1" applyFill="1" applyBorder="1" applyAlignment="1">
      <alignment horizontal="right"/>
    </xf>
    <xf numFmtId="5" fontId="4" fillId="0" borderId="16" xfId="0" applyNumberFormat="1" applyFont="1" applyFill="1" applyBorder="1" applyAlignment="1">
      <alignment horizontal="right"/>
    </xf>
    <xf numFmtId="164" fontId="4" fillId="0" borderId="12" xfId="0" applyNumberFormat="1" applyFont="1" applyFill="1" applyBorder="1" applyAlignment="1">
      <alignment horizontal="right"/>
    </xf>
    <xf numFmtId="164" fontId="4" fillId="0" borderId="13" xfId="0" applyNumberFormat="1" applyFont="1" applyFill="1" applyBorder="1" applyAlignment="1">
      <alignment horizontal="right"/>
    </xf>
    <xf numFmtId="0" fontId="4" fillId="0" borderId="15" xfId="0" applyFont="1" applyFill="1" applyBorder="1" applyAlignment="1">
      <alignment horizontal="left"/>
    </xf>
    <xf numFmtId="0" fontId="4" fillId="0" borderId="12" xfId="0" applyFont="1" applyFill="1" applyBorder="1" applyAlignment="1">
      <alignment horizontal="right"/>
    </xf>
    <xf numFmtId="165" fontId="4" fillId="0" borderId="0" xfId="0" applyNumberFormat="1" applyFont="1" applyFill="1" applyBorder="1" applyAlignment="1">
      <alignment horizontal="right"/>
    </xf>
    <xf numFmtId="165" fontId="4" fillId="0" borderId="2" xfId="0" applyNumberFormat="1" applyFont="1" applyFill="1" applyBorder="1" applyAlignment="1">
      <alignment horizontal="right"/>
    </xf>
    <xf numFmtId="164" fontId="4" fillId="0" borderId="12" xfId="1" applyNumberFormat="1" applyFont="1" applyFill="1" applyBorder="1" applyAlignment="1">
      <alignment horizontal="right"/>
    </xf>
    <xf numFmtId="164" fontId="4" fillId="0" borderId="17" xfId="0" applyNumberFormat="1" applyFont="1" applyFill="1" applyBorder="1" applyAlignment="1">
      <alignment horizontal="right"/>
    </xf>
    <xf numFmtId="37" fontId="4" fillId="0" borderId="15" xfId="0" applyNumberFormat="1" applyFont="1" applyBorder="1" applyAlignment="1">
      <alignment horizontal="right"/>
    </xf>
    <xf numFmtId="37" fontId="4" fillId="0" borderId="16" xfId="0" applyNumberFormat="1" applyFont="1" applyBorder="1" applyAlignment="1">
      <alignment horizontal="right"/>
    </xf>
    <xf numFmtId="0" fontId="4" fillId="0" borderId="18" xfId="0" applyFont="1" applyFill="1" applyBorder="1" applyAlignment="1">
      <alignment horizontal="right"/>
    </xf>
    <xf numFmtId="37" fontId="4" fillId="0" borderId="19" xfId="0" applyNumberFormat="1" applyFont="1" applyFill="1" applyBorder="1" applyAlignment="1">
      <alignment horizontal="right"/>
    </xf>
    <xf numFmtId="0" fontId="4" fillId="0" borderId="19" xfId="0" applyFont="1" applyFill="1" applyBorder="1" applyAlignment="1">
      <alignment horizontal="right"/>
    </xf>
    <xf numFmtId="37" fontId="4" fillId="0" borderId="20" xfId="0" applyNumberFormat="1" applyFont="1" applyFill="1" applyBorder="1" applyAlignment="1">
      <alignment horizontal="right"/>
    </xf>
    <xf numFmtId="0" fontId="6" fillId="0" borderId="0" xfId="0" applyFont="1" applyFill="1"/>
    <xf numFmtId="37" fontId="4" fillId="0" borderId="16" xfId="0" applyNumberFormat="1" applyFont="1" applyFill="1" applyBorder="1" applyAlignment="1">
      <alignment horizontal="right"/>
    </xf>
    <xf numFmtId="0" fontId="4" fillId="0" borderId="15" xfId="0" applyFont="1" applyBorder="1" applyAlignment="1"/>
    <xf numFmtId="37" fontId="4" fillId="0" borderId="14" xfId="0" applyNumberFormat="1" applyFont="1" applyFill="1" applyBorder="1" applyAlignment="1">
      <alignment horizontal="right"/>
    </xf>
    <xf numFmtId="37" fontId="4" fillId="0" borderId="21" xfId="0" applyNumberFormat="1" applyFont="1" applyFill="1" applyBorder="1" applyAlignment="1">
      <alignment horizontal="right"/>
    </xf>
    <xf numFmtId="0" fontId="4" fillId="0" borderId="14" xfId="0" applyFont="1" applyFill="1" applyBorder="1" applyAlignment="1">
      <alignment horizontal="right"/>
    </xf>
    <xf numFmtId="37" fontId="4" fillId="0" borderId="22" xfId="0" applyNumberFormat="1" applyFont="1" applyFill="1" applyBorder="1" applyAlignment="1">
      <alignment horizontal="right"/>
    </xf>
    <xf numFmtId="5" fontId="4" fillId="0" borderId="12" xfId="0" applyNumberFormat="1" applyFont="1" applyFill="1" applyBorder="1" applyAlignment="1"/>
    <xf numFmtId="5" fontId="4" fillId="0" borderId="13" xfId="0" applyNumberFormat="1" applyFont="1" applyFill="1" applyBorder="1" applyAlignment="1"/>
    <xf numFmtId="0" fontId="4" fillId="0" borderId="12" xfId="0" applyFont="1" applyFill="1" applyBorder="1" applyAlignment="1"/>
    <xf numFmtId="0" fontId="4" fillId="0" borderId="12" xfId="0" applyFont="1" applyFill="1" applyBorder="1"/>
    <xf numFmtId="0" fontId="4" fillId="0" borderId="15" xfId="0" applyFont="1" applyFill="1" applyBorder="1"/>
    <xf numFmtId="5" fontId="4" fillId="0" borderId="15" xfId="0" applyNumberFormat="1" applyFont="1" applyFill="1" applyBorder="1" applyAlignment="1"/>
    <xf numFmtId="5" fontId="4" fillId="0" borderId="16" xfId="0" applyNumberFormat="1" applyFont="1" applyFill="1" applyBorder="1" applyAlignment="1"/>
    <xf numFmtId="0" fontId="4" fillId="0" borderId="15" xfId="0" applyFont="1" applyFill="1" applyBorder="1" applyAlignment="1"/>
    <xf numFmtId="0" fontId="6" fillId="0" borderId="15" xfId="0" applyFont="1" applyFill="1" applyBorder="1" applyAlignment="1"/>
    <xf numFmtId="0" fontId="4" fillId="0" borderId="15" xfId="0" applyFont="1" applyBorder="1"/>
    <xf numFmtId="5" fontId="4" fillId="0" borderId="15" xfId="0" applyNumberFormat="1" applyFont="1" applyBorder="1" applyAlignment="1"/>
    <xf numFmtId="0" fontId="4" fillId="0" borderId="23" xfId="0" applyFont="1" applyBorder="1" applyAlignment="1"/>
    <xf numFmtId="0" fontId="4" fillId="0" borderId="0" xfId="0" applyFont="1" applyFill="1" applyBorder="1" applyAlignment="1">
      <alignment horizontal="left" indent="1"/>
    </xf>
    <xf numFmtId="14" fontId="3" fillId="0" borderId="11" xfId="0" applyNumberFormat="1" applyFont="1" applyFill="1" applyBorder="1" applyAlignment="1">
      <alignment horizontal="center"/>
    </xf>
    <xf numFmtId="37" fontId="4" fillId="0" borderId="0" xfId="0" applyNumberFormat="1" applyFont="1" applyBorder="1" applyAlignment="1"/>
    <xf numFmtId="37" fontId="4" fillId="0" borderId="6" xfId="0" applyNumberFormat="1" applyFont="1" applyBorder="1" applyAlignment="1"/>
    <xf numFmtId="37" fontId="4" fillId="0" borderId="0" xfId="0" applyNumberFormat="1" applyFont="1" applyFill="1" applyAlignment="1"/>
    <xf numFmtId="164" fontId="7" fillId="0" borderId="13" xfId="0" applyNumberFormat="1" applyFont="1" applyFill="1" applyBorder="1" applyAlignment="1">
      <alignment horizontal="right"/>
    </xf>
    <xf numFmtId="0" fontId="4" fillId="0" borderId="12" xfId="0" applyFont="1" applyBorder="1" applyAlignment="1">
      <alignment horizontal="left" indent="1"/>
    </xf>
    <xf numFmtId="37" fontId="4" fillId="0" borderId="12" xfId="0" applyNumberFormat="1" applyFont="1" applyBorder="1" applyAlignment="1">
      <alignment horizontal="right"/>
    </xf>
    <xf numFmtId="37" fontId="4" fillId="0" borderId="13" xfId="0" applyNumberFormat="1" applyFont="1" applyBorder="1" applyAlignment="1">
      <alignment horizontal="right"/>
    </xf>
    <xf numFmtId="0" fontId="17" fillId="0" borderId="0" xfId="0" applyFont="1"/>
    <xf numFmtId="0" fontId="5" fillId="0" borderId="0" xfId="0" applyFont="1"/>
    <xf numFmtId="0" fontId="8" fillId="0" borderId="0" xfId="0" applyFont="1" applyAlignment="1">
      <alignment horizontal="left" vertical="top" wrapText="1"/>
    </xf>
    <xf numFmtId="0" fontId="5" fillId="0" borderId="0" xfId="0" applyFont="1" applyAlignment="1">
      <alignment vertical="top"/>
    </xf>
    <xf numFmtId="166" fontId="8" fillId="0" borderId="0" xfId="0" applyNumberFormat="1" applyFont="1" applyAlignment="1">
      <alignment vertical="top"/>
    </xf>
    <xf numFmtId="0" fontId="8" fillId="0" borderId="0" xfId="0" applyFont="1" applyFill="1" applyAlignment="1">
      <alignment horizontal="left" vertical="top" wrapText="1"/>
    </xf>
    <xf numFmtId="166" fontId="8" fillId="0" borderId="0" xfId="0" applyNumberFormat="1" applyFont="1" applyAlignment="1">
      <alignment horizontal="right" vertical="top"/>
    </xf>
    <xf numFmtId="7" fontId="3" fillId="0" borderId="0" xfId="0" applyNumberFormat="1" applyFont="1" applyBorder="1" applyAlignment="1"/>
    <xf numFmtId="0" fontId="18" fillId="0" borderId="0" xfId="0" applyFont="1" applyAlignment="1">
      <alignment horizontal="center"/>
    </xf>
    <xf numFmtId="7" fontId="4" fillId="0" borderId="0" xfId="0" applyNumberFormat="1" applyFont="1" applyFill="1" applyBorder="1" applyAlignment="1">
      <alignment horizontal="right"/>
    </xf>
    <xf numFmtId="7" fontId="4" fillId="0" borderId="3" xfId="0" applyNumberFormat="1" applyFont="1" applyFill="1" applyBorder="1" applyAlignment="1">
      <alignment horizontal="right"/>
    </xf>
    <xf numFmtId="7" fontId="4" fillId="0" borderId="6" xfId="0" applyNumberFormat="1" applyFont="1" applyFill="1" applyBorder="1" applyAlignment="1">
      <alignment horizontal="right"/>
    </xf>
    <xf numFmtId="5" fontId="4" fillId="4" borderId="0" xfId="0" applyNumberFormat="1" applyFont="1" applyFill="1" applyBorder="1" applyAlignment="1"/>
    <xf numFmtId="5" fontId="4" fillId="4" borderId="2" xfId="0" applyNumberFormat="1" applyFont="1" applyFill="1" applyBorder="1" applyAlignment="1"/>
    <xf numFmtId="5" fontId="4" fillId="4" borderId="12" xfId="0" applyNumberFormat="1" applyFont="1" applyFill="1" applyBorder="1" applyAlignment="1"/>
    <xf numFmtId="5" fontId="4" fillId="4" borderId="13" xfId="0" applyNumberFormat="1" applyFont="1" applyFill="1" applyBorder="1" applyAlignment="1"/>
    <xf numFmtId="0" fontId="4" fillId="4" borderId="0" xfId="0" applyFont="1" applyFill="1" applyBorder="1" applyAlignment="1"/>
    <xf numFmtId="0" fontId="4" fillId="4" borderId="2" xfId="0" applyFont="1" applyFill="1" applyBorder="1" applyAlignment="1"/>
    <xf numFmtId="5" fontId="4" fillId="4" borderId="1" xfId="0" applyNumberFormat="1" applyFont="1" applyFill="1" applyBorder="1" applyAlignment="1"/>
    <xf numFmtId="5" fontId="4" fillId="4" borderId="4" xfId="0" applyNumberFormat="1" applyFont="1" applyFill="1" applyBorder="1" applyAlignment="1"/>
    <xf numFmtId="5" fontId="4" fillId="4" borderId="15" xfId="0" applyNumberFormat="1" applyFont="1" applyFill="1" applyBorder="1" applyAlignment="1"/>
    <xf numFmtId="5" fontId="4" fillId="4" borderId="16" xfId="0" applyNumberFormat="1" applyFont="1" applyFill="1" applyBorder="1" applyAlignment="1"/>
    <xf numFmtId="7" fontId="3" fillId="4" borderId="0" xfId="0" applyNumberFormat="1" applyFont="1" applyFill="1" applyBorder="1" applyAlignment="1"/>
    <xf numFmtId="7" fontId="3" fillId="4" borderId="2" xfId="0" applyNumberFormat="1" applyFont="1" applyFill="1" applyBorder="1" applyAlignment="1"/>
    <xf numFmtId="5" fontId="4" fillId="0" borderId="42" xfId="0" applyNumberFormat="1" applyFont="1" applyFill="1" applyBorder="1" applyAlignment="1">
      <alignment horizontal="right"/>
    </xf>
    <xf numFmtId="5" fontId="4" fillId="4" borderId="12" xfId="0" applyNumberFormat="1" applyFont="1" applyFill="1" applyBorder="1" applyAlignment="1">
      <alignment horizontal="right"/>
    </xf>
    <xf numFmtId="5" fontId="4" fillId="4" borderId="1" xfId="0" applyNumberFormat="1" applyFont="1" applyFill="1" applyBorder="1" applyAlignment="1">
      <alignment horizontal="right"/>
    </xf>
    <xf numFmtId="0" fontId="3" fillId="0" borderId="0" xfId="0" applyFont="1" applyBorder="1" applyAlignment="1">
      <alignment horizontal="center"/>
    </xf>
    <xf numFmtId="5" fontId="4" fillId="4" borderId="0" xfId="0" applyNumberFormat="1" applyFont="1" applyFill="1" applyAlignment="1">
      <alignment horizontal="right"/>
    </xf>
    <xf numFmtId="37" fontId="4" fillId="0" borderId="12" xfId="0" applyNumberFormat="1" applyFont="1" applyFill="1" applyBorder="1" applyAlignment="1">
      <alignment horizontal="right"/>
    </xf>
    <xf numFmtId="37" fontId="4" fillId="0" borderId="13" xfId="0" applyNumberFormat="1" applyFont="1" applyFill="1" applyBorder="1" applyAlignment="1">
      <alignment horizontal="right"/>
    </xf>
    <xf numFmtId="0" fontId="16" fillId="0" borderId="43" xfId="0" applyFont="1" applyBorder="1"/>
    <xf numFmtId="0" fontId="4" fillId="0" borderId="43" xfId="0" applyFont="1" applyBorder="1"/>
    <xf numFmtId="14" fontId="3" fillId="37" borderId="7" xfId="0" applyNumberFormat="1" applyFont="1" applyFill="1" applyBorder="1" applyAlignment="1">
      <alignment horizontal="center"/>
    </xf>
    <xf numFmtId="14" fontId="3" fillId="37" borderId="8" xfId="0" applyNumberFormat="1" applyFont="1" applyFill="1" applyBorder="1" applyAlignment="1">
      <alignment horizontal="center"/>
    </xf>
    <xf numFmtId="14" fontId="3" fillId="37" borderId="9" xfId="0" applyNumberFormat="1" applyFont="1" applyFill="1" applyBorder="1" applyAlignment="1">
      <alignment horizontal="center"/>
    </xf>
    <xf numFmtId="0" fontId="4" fillId="38" borderId="0" xfId="0" applyFont="1" applyFill="1" applyAlignment="1"/>
    <xf numFmtId="37" fontId="4" fillId="38" borderId="0" xfId="0" applyNumberFormat="1" applyFont="1" applyFill="1" applyBorder="1" applyAlignment="1">
      <alignment horizontal="right"/>
    </xf>
    <xf numFmtId="37" fontId="4" fillId="38" borderId="3" xfId="0" applyNumberFormat="1" applyFont="1" applyFill="1" applyBorder="1" applyAlignment="1">
      <alignment horizontal="right"/>
    </xf>
    <xf numFmtId="0" fontId="4" fillId="38" borderId="2" xfId="0" applyFont="1" applyFill="1" applyBorder="1" applyAlignment="1">
      <alignment horizontal="right"/>
    </xf>
    <xf numFmtId="0" fontId="4" fillId="38" borderId="0" xfId="0" applyFont="1" applyFill="1" applyBorder="1" applyAlignment="1">
      <alignment horizontal="right"/>
    </xf>
    <xf numFmtId="0" fontId="3" fillId="0" borderId="1" xfId="0" applyFont="1" applyFill="1" applyBorder="1"/>
    <xf numFmtId="0" fontId="2" fillId="37" borderId="44" xfId="0" applyFont="1" applyFill="1" applyBorder="1"/>
    <xf numFmtId="0" fontId="10" fillId="37" borderId="44" xfId="0" applyFont="1" applyFill="1" applyBorder="1" applyAlignment="1">
      <alignment horizontal="right"/>
    </xf>
    <xf numFmtId="0" fontId="10" fillId="37" borderId="45" xfId="0" applyFont="1" applyFill="1" applyBorder="1" applyAlignment="1">
      <alignment horizontal="right"/>
    </xf>
    <xf numFmtId="0" fontId="10" fillId="37" borderId="46" xfId="0" applyFont="1" applyFill="1" applyBorder="1" applyAlignment="1">
      <alignment horizontal="right"/>
    </xf>
    <xf numFmtId="37" fontId="4" fillId="37" borderId="44" xfId="0" applyNumberFormat="1" applyFont="1" applyFill="1" applyBorder="1" applyAlignment="1">
      <alignment horizontal="right"/>
    </xf>
    <xf numFmtId="37" fontId="4" fillId="37" borderId="45" xfId="0" applyNumberFormat="1" applyFont="1" applyFill="1" applyBorder="1" applyAlignment="1">
      <alignment horizontal="right"/>
    </xf>
    <xf numFmtId="0" fontId="4" fillId="37" borderId="46" xfId="0" applyFont="1" applyFill="1" applyBorder="1" applyAlignment="1">
      <alignment horizontal="right"/>
    </xf>
    <xf numFmtId="0" fontId="4" fillId="37" borderId="44" xfId="0" applyFont="1" applyFill="1" applyBorder="1" applyAlignment="1">
      <alignment horizontal="right"/>
    </xf>
    <xf numFmtId="5" fontId="8" fillId="0" borderId="2" xfId="0" applyNumberFormat="1" applyFont="1" applyFill="1" applyBorder="1" applyAlignment="1">
      <alignment horizontal="right"/>
    </xf>
    <xf numFmtId="164" fontId="3" fillId="0" borderId="6" xfId="0" applyNumberFormat="1" applyFont="1" applyFill="1" applyBorder="1" applyAlignment="1">
      <alignment horizontal="right"/>
    </xf>
    <xf numFmtId="0" fontId="3" fillId="0" borderId="0" xfId="0" applyFont="1" applyFill="1" applyBorder="1" applyAlignment="1">
      <alignment horizontal="center"/>
    </xf>
    <xf numFmtId="192" fontId="4" fillId="0" borderId="0" xfId="0" applyNumberFormat="1" applyFont="1" applyBorder="1" applyAlignment="1"/>
    <xf numFmtId="14" fontId="3" fillId="37" borderId="41" xfId="0" applyNumberFormat="1" applyFont="1" applyFill="1" applyBorder="1" applyAlignment="1">
      <alignment horizontal="center"/>
    </xf>
    <xf numFmtId="41" fontId="4" fillId="0" borderId="0" xfId="0" applyNumberFormat="1" applyFont="1" applyFill="1" applyBorder="1" applyAlignment="1"/>
    <xf numFmtId="0" fontId="3" fillId="0" borderId="1" xfId="0" applyFont="1" applyBorder="1" applyAlignment="1">
      <alignment horizontal="center"/>
    </xf>
    <xf numFmtId="0" fontId="0" fillId="0" borderId="1" xfId="0" applyBorder="1" applyAlignment="1"/>
    <xf numFmtId="0" fontId="3" fillId="0" borderId="0" xfId="0" applyFont="1" applyBorder="1" applyAlignment="1">
      <alignment horizontal="center"/>
    </xf>
  </cellXfs>
  <cellStyles count="2036">
    <cellStyle name="$K" xfId="5"/>
    <cellStyle name="_05 Capital PO Tracking-A" xfId="6"/>
    <cellStyle name="_1Q06 Comcast Holdings - Zones Deferred Tax " xfId="7"/>
    <cellStyle name="_1Q06 Comcast Holdings - Zones Deferred Tax _06-09 Treasury" xfId="8"/>
    <cellStyle name="_2007 Carryover Capex (2)" xfId="9"/>
    <cellStyle name="_2007 Carryover Capex (2)_06-09 Treasury" xfId="10"/>
    <cellStyle name="_2007-2008 Capital Forecast (Existing Projects) v2" xfId="11"/>
    <cellStyle name="_2007-2008 Capital Forecast (Existing Projects) v2_06-09 Treasury" xfId="12"/>
    <cellStyle name="_Backbone Financials Summary" xfId="13"/>
    <cellStyle name="_CAPEX Report_Oct 16" xfId="14"/>
    <cellStyle name="_CAPEX Report_Oct 5" xfId="15"/>
    <cellStyle name="_Copy of Backbone Financials Summary 11-21-05" xfId="16"/>
    <cellStyle name="_File to Corp Acctg taxprv05 1-26-06" xfId="17"/>
    <cellStyle name="_File to Corp Acctg taxprv05 1-26-06_06-09 Treasury" xfId="18"/>
    <cellStyle name="_PROJECTS both BG (Essbase) and BU (2)" xfId="19"/>
    <cellStyle name="_PROJECTS both BG (Essbase) and BU (2)_06-09 Treasury" xfId="20"/>
    <cellStyle name="_Retained Earnings Rollforward 1Q07" xfId="21"/>
    <cellStyle name="_Retained Earnings Rollforward 1Q07_06-09 Treasury" xfId="22"/>
    <cellStyle name="=C:\WINDOWS\SYSTEM32\COMMAND.COM" xfId="23"/>
    <cellStyle name="•W_laroux" xfId="24"/>
    <cellStyle name="0000" xfId="25"/>
    <cellStyle name="000000" xfId="26"/>
    <cellStyle name="20% - Accent1 2" xfId="27"/>
    <cellStyle name="20% - Accent1 2 2" xfId="28"/>
    <cellStyle name="20% - Accent1 2 3" xfId="29"/>
    <cellStyle name="20% - Accent1 3" xfId="30"/>
    <cellStyle name="20% - Accent1 4" xfId="31"/>
    <cellStyle name="20% - Accent2 2" xfId="32"/>
    <cellStyle name="20% - Accent2 2 2" xfId="33"/>
    <cellStyle name="20% - Accent2 2 3" xfId="34"/>
    <cellStyle name="20% - Accent2 3" xfId="35"/>
    <cellStyle name="20% - Accent2 4" xfId="36"/>
    <cellStyle name="20% - Accent3 2" xfId="37"/>
    <cellStyle name="20% - Accent3 2 2" xfId="38"/>
    <cellStyle name="20% - Accent3 2 3" xfId="39"/>
    <cellStyle name="20% - Accent3 3" xfId="40"/>
    <cellStyle name="20% - Accent3 4" xfId="41"/>
    <cellStyle name="20% - Accent4 2" xfId="42"/>
    <cellStyle name="20% - Accent4 2 2" xfId="43"/>
    <cellStyle name="20% - Accent4 2 3" xfId="44"/>
    <cellStyle name="20% - Accent4 3" xfId="45"/>
    <cellStyle name="20% - Accent4 4" xfId="46"/>
    <cellStyle name="20% - Accent5 2" xfId="47"/>
    <cellStyle name="20% - Accent5 2 2" xfId="48"/>
    <cellStyle name="20% - Accent5 2 3" xfId="49"/>
    <cellStyle name="20% - Accent5 3" xfId="50"/>
    <cellStyle name="20% - Accent5 4" xfId="51"/>
    <cellStyle name="20% - Accent6 2" xfId="52"/>
    <cellStyle name="20% - Accent6 2 2" xfId="53"/>
    <cellStyle name="20% - Accent6 2 3" xfId="54"/>
    <cellStyle name="20% - Accent6 3" xfId="55"/>
    <cellStyle name="20% - Accent6 4" xfId="56"/>
    <cellStyle name="40% - Accent1 2" xfId="57"/>
    <cellStyle name="40% - Accent1 2 2" xfId="58"/>
    <cellStyle name="40% - Accent1 2 3" xfId="59"/>
    <cellStyle name="40% - Accent1 3" xfId="60"/>
    <cellStyle name="40% - Accent1 4" xfId="61"/>
    <cellStyle name="40% - Accent2 2" xfId="62"/>
    <cellStyle name="40% - Accent2 2 2" xfId="63"/>
    <cellStyle name="40% - Accent2 2 3" xfId="64"/>
    <cellStyle name="40% - Accent2 3" xfId="65"/>
    <cellStyle name="40% - Accent2 4" xfId="66"/>
    <cellStyle name="40% - Accent3 2" xfId="67"/>
    <cellStyle name="40% - Accent3 2 2" xfId="68"/>
    <cellStyle name="40% - Accent3 2 3" xfId="69"/>
    <cellStyle name="40% - Accent3 3" xfId="70"/>
    <cellStyle name="40% - Accent3 4" xfId="71"/>
    <cellStyle name="40% - Accent4 2" xfId="72"/>
    <cellStyle name="40% - Accent4 2 2" xfId="73"/>
    <cellStyle name="40% - Accent4 2 3" xfId="74"/>
    <cellStyle name="40% - Accent4 3" xfId="75"/>
    <cellStyle name="40% - Accent4 4" xfId="76"/>
    <cellStyle name="40% - Accent5 2" xfId="77"/>
    <cellStyle name="40% - Accent5 2 2" xfId="78"/>
    <cellStyle name="40% - Accent5 2 3" xfId="79"/>
    <cellStyle name="40% - Accent5 3" xfId="80"/>
    <cellStyle name="40% - Accent5 4" xfId="81"/>
    <cellStyle name="40% - Accent6 2" xfId="82"/>
    <cellStyle name="40% - Accent6 2 2" xfId="83"/>
    <cellStyle name="40% - Accent6 2 3" xfId="84"/>
    <cellStyle name="40% - Accent6 3" xfId="85"/>
    <cellStyle name="40% - Accent6 4" xfId="86"/>
    <cellStyle name="60% - Accent1 2" xfId="87"/>
    <cellStyle name="60% - Accent1 2 2" xfId="88"/>
    <cellStyle name="60% - Accent1 2 3" xfId="89"/>
    <cellStyle name="60% - Accent1 3" xfId="90"/>
    <cellStyle name="60% - Accent1 4" xfId="91"/>
    <cellStyle name="60% - Accent2 2" xfId="92"/>
    <cellStyle name="60% - Accent2 2 2" xfId="93"/>
    <cellStyle name="60% - Accent2 2 3" xfId="94"/>
    <cellStyle name="60% - Accent2 3" xfId="95"/>
    <cellStyle name="60% - Accent2 4" xfId="96"/>
    <cellStyle name="60% - Accent3 2" xfId="97"/>
    <cellStyle name="60% - Accent3 2 2" xfId="98"/>
    <cellStyle name="60% - Accent3 2 3" xfId="99"/>
    <cellStyle name="60% - Accent3 3" xfId="100"/>
    <cellStyle name="60% - Accent3 4" xfId="101"/>
    <cellStyle name="60% - Accent4 2" xfId="102"/>
    <cellStyle name="60% - Accent4 2 2" xfId="103"/>
    <cellStyle name="60% - Accent4 2 3" xfId="104"/>
    <cellStyle name="60% - Accent4 3" xfId="105"/>
    <cellStyle name="60% - Accent4 4" xfId="106"/>
    <cellStyle name="60% - Accent5 2" xfId="107"/>
    <cellStyle name="60% - Accent5 2 2" xfId="108"/>
    <cellStyle name="60% - Accent5 2 3" xfId="109"/>
    <cellStyle name="60% - Accent5 3" xfId="110"/>
    <cellStyle name="60% - Accent5 4" xfId="111"/>
    <cellStyle name="60% - Accent6 2" xfId="112"/>
    <cellStyle name="60% - Accent6 2 2" xfId="113"/>
    <cellStyle name="60% - Accent6 2 3" xfId="114"/>
    <cellStyle name="60% - Accent6 3" xfId="115"/>
    <cellStyle name="60% - Accent6 4" xfId="116"/>
    <cellStyle name="Accent1 2" xfId="117"/>
    <cellStyle name="Accent1 2 2" xfId="118"/>
    <cellStyle name="Accent1 2 3" xfId="119"/>
    <cellStyle name="Accent1 3" xfId="120"/>
    <cellStyle name="Accent1 4" xfId="121"/>
    <cellStyle name="Accent2 2" xfId="122"/>
    <cellStyle name="Accent2 2 2" xfId="123"/>
    <cellStyle name="Accent2 2 3" xfId="124"/>
    <cellStyle name="Accent2 3" xfId="125"/>
    <cellStyle name="Accent2 4" xfId="126"/>
    <cellStyle name="Accent3 2" xfId="127"/>
    <cellStyle name="Accent3 2 2" xfId="128"/>
    <cellStyle name="Accent3 2 3" xfId="129"/>
    <cellStyle name="Accent3 3" xfId="130"/>
    <cellStyle name="Accent3 4" xfId="131"/>
    <cellStyle name="Accent4 2" xfId="132"/>
    <cellStyle name="Accent4 2 2" xfId="133"/>
    <cellStyle name="Accent4 2 3" xfId="134"/>
    <cellStyle name="Accent4 3" xfId="135"/>
    <cellStyle name="Accent4 4" xfId="136"/>
    <cellStyle name="Accent5 2" xfId="137"/>
    <cellStyle name="Accent5 2 2" xfId="138"/>
    <cellStyle name="Accent5 2 3" xfId="139"/>
    <cellStyle name="Accent5 3" xfId="140"/>
    <cellStyle name="Accent5 4" xfId="141"/>
    <cellStyle name="Accent6 2" xfId="142"/>
    <cellStyle name="Accent6 2 2" xfId="143"/>
    <cellStyle name="Accent6 2 3" xfId="144"/>
    <cellStyle name="Accent6 3" xfId="145"/>
    <cellStyle name="Accent6 4" xfId="146"/>
    <cellStyle name="AcctNum" xfId="147"/>
    <cellStyle name="active" xfId="148"/>
    <cellStyle name="AFE" xfId="149"/>
    <cellStyle name="Annotations Cell - PerformancePoint" xfId="150"/>
    <cellStyle name="Bad 2" xfId="151"/>
    <cellStyle name="Bad 2 2" xfId="152"/>
    <cellStyle name="Bad 2 3" xfId="153"/>
    <cellStyle name="Bad 3" xfId="154"/>
    <cellStyle name="Bad 4" xfId="155"/>
    <cellStyle name="bch" xfId="156"/>
    <cellStyle name="bci" xfId="157"/>
    <cellStyle name="blank" xfId="158"/>
    <cellStyle name="Body" xfId="159"/>
    <cellStyle name="Bottom Edge" xfId="160"/>
    <cellStyle name="Calc Currency (0)" xfId="161"/>
    <cellStyle name="Calc Currency (2)" xfId="162"/>
    <cellStyle name="Calc Percent (0)" xfId="163"/>
    <cellStyle name="Calc Percent (1)" xfId="164"/>
    <cellStyle name="Calc Percent (2)" xfId="165"/>
    <cellStyle name="Calc Units (0)" xfId="166"/>
    <cellStyle name="Calc Units (1)" xfId="167"/>
    <cellStyle name="Calc Units (2)" xfId="168"/>
    <cellStyle name="Calculation 2" xfId="169"/>
    <cellStyle name="Calculation 2 2" xfId="170"/>
    <cellStyle name="Calculation 2 3" xfId="171"/>
    <cellStyle name="Calculation 3" xfId="172"/>
    <cellStyle name="Calculation 4" xfId="173"/>
    <cellStyle name="category" xfId="174"/>
    <cellStyle name="cell" xfId="175"/>
    <cellStyle name="Cents" xfId="176"/>
    <cellStyle name="Cents 2" xfId="177"/>
    <cellStyle name="Cents 2 10" xfId="178"/>
    <cellStyle name="Cents 2 11" xfId="179"/>
    <cellStyle name="Cents 2 12" xfId="180"/>
    <cellStyle name="Cents 2 13" xfId="181"/>
    <cellStyle name="Cents 2 14" xfId="182"/>
    <cellStyle name="Cents 2 15" xfId="183"/>
    <cellStyle name="Cents 2 16" xfId="184"/>
    <cellStyle name="Cents 2 17" xfId="185"/>
    <cellStyle name="Cents 2 18" xfId="186"/>
    <cellStyle name="Cents 2 19" xfId="187"/>
    <cellStyle name="Cents 2 2" xfId="188"/>
    <cellStyle name="Cents 2 3" xfId="189"/>
    <cellStyle name="Cents 2 4" xfId="190"/>
    <cellStyle name="Cents 2 5" xfId="191"/>
    <cellStyle name="Cents 2 6" xfId="192"/>
    <cellStyle name="Cents 2 7" xfId="193"/>
    <cellStyle name="Cents 2 8" xfId="194"/>
    <cellStyle name="Cents 2 9" xfId="195"/>
    <cellStyle name="Cents 3" xfId="196"/>
    <cellStyle name="Cents 3 10" xfId="197"/>
    <cellStyle name="Cents 3 11" xfId="198"/>
    <cellStyle name="Cents 3 12" xfId="199"/>
    <cellStyle name="Cents 3 13" xfId="200"/>
    <cellStyle name="Cents 3 14" xfId="201"/>
    <cellStyle name="Cents 3 15" xfId="202"/>
    <cellStyle name="Cents 3 16" xfId="203"/>
    <cellStyle name="Cents 3 17" xfId="204"/>
    <cellStyle name="Cents 3 18" xfId="205"/>
    <cellStyle name="Cents 3 19" xfId="206"/>
    <cellStyle name="Cents 3 2" xfId="207"/>
    <cellStyle name="Cents 3 3" xfId="208"/>
    <cellStyle name="Cents 3 4" xfId="209"/>
    <cellStyle name="Cents 3 5" xfId="210"/>
    <cellStyle name="Cents 3 6" xfId="211"/>
    <cellStyle name="Cents 3 7" xfId="212"/>
    <cellStyle name="Cents 3 8" xfId="213"/>
    <cellStyle name="Cents 3 9" xfId="214"/>
    <cellStyle name="Cents 4" xfId="215"/>
    <cellStyle name="Cents 4 10" xfId="216"/>
    <cellStyle name="Cents 4 11" xfId="217"/>
    <cellStyle name="Cents 4 12" xfId="218"/>
    <cellStyle name="Cents 4 13" xfId="219"/>
    <cellStyle name="Cents 4 14" xfId="220"/>
    <cellStyle name="Cents 4 15" xfId="221"/>
    <cellStyle name="Cents 4 16" xfId="222"/>
    <cellStyle name="Cents 4 17" xfId="223"/>
    <cellStyle name="Cents 4 18" xfId="224"/>
    <cellStyle name="Cents 4 19" xfId="225"/>
    <cellStyle name="Cents 4 2" xfId="226"/>
    <cellStyle name="Cents 4 3" xfId="227"/>
    <cellStyle name="Cents 4 4" xfId="228"/>
    <cellStyle name="Cents 4 5" xfId="229"/>
    <cellStyle name="Cents 4 6" xfId="230"/>
    <cellStyle name="Cents 4 7" xfId="231"/>
    <cellStyle name="Cents 4 8" xfId="232"/>
    <cellStyle name="Cents 4 9" xfId="233"/>
    <cellStyle name="Cents 5" xfId="234"/>
    <cellStyle name="Cents 5 10" xfId="235"/>
    <cellStyle name="Cents 5 11" xfId="236"/>
    <cellStyle name="Cents 5 12" xfId="237"/>
    <cellStyle name="Cents 5 13" xfId="238"/>
    <cellStyle name="Cents 5 14" xfId="239"/>
    <cellStyle name="Cents 5 15" xfId="240"/>
    <cellStyle name="Cents 5 16" xfId="241"/>
    <cellStyle name="Cents 5 17" xfId="242"/>
    <cellStyle name="Cents 5 18" xfId="243"/>
    <cellStyle name="Cents 5 19" xfId="244"/>
    <cellStyle name="Cents 5 2" xfId="245"/>
    <cellStyle name="Cents 5 3" xfId="246"/>
    <cellStyle name="Cents 5 4" xfId="247"/>
    <cellStyle name="Cents 5 5" xfId="248"/>
    <cellStyle name="Cents 5 6" xfId="249"/>
    <cellStyle name="Cents 5 7" xfId="250"/>
    <cellStyle name="Cents 5 8" xfId="251"/>
    <cellStyle name="Cents 5 9" xfId="252"/>
    <cellStyle name="Cents 6" xfId="253"/>
    <cellStyle name="Cents 6 10" xfId="254"/>
    <cellStyle name="Cents 6 11" xfId="255"/>
    <cellStyle name="Cents 6 12" xfId="256"/>
    <cellStyle name="Cents 6 13" xfId="257"/>
    <cellStyle name="Cents 6 14" xfId="258"/>
    <cellStyle name="Cents 6 15" xfId="259"/>
    <cellStyle name="Cents 6 16" xfId="260"/>
    <cellStyle name="Cents 6 17" xfId="261"/>
    <cellStyle name="Cents 6 18" xfId="262"/>
    <cellStyle name="Cents 6 19" xfId="263"/>
    <cellStyle name="Cents 6 2" xfId="264"/>
    <cellStyle name="Cents 6 3" xfId="265"/>
    <cellStyle name="Cents 6 4" xfId="266"/>
    <cellStyle name="Cents 6 5" xfId="267"/>
    <cellStyle name="Cents 6 6" xfId="268"/>
    <cellStyle name="Cents 6 7" xfId="269"/>
    <cellStyle name="Cents 6 8" xfId="270"/>
    <cellStyle name="Cents 6 9" xfId="271"/>
    <cellStyle name="ch" xfId="272"/>
    <cellStyle name="Check Cell 2" xfId="273"/>
    <cellStyle name="Check Cell 2 2" xfId="274"/>
    <cellStyle name="Check Cell 2 3" xfId="275"/>
    <cellStyle name="Check Cell 3" xfId="276"/>
    <cellStyle name="Check Cell 4" xfId="277"/>
    <cellStyle name="Column_Title" xfId="278"/>
    <cellStyle name="Comma [00]" xfId="279"/>
    <cellStyle name="Comma 10" xfId="280"/>
    <cellStyle name="Comma 11" xfId="281"/>
    <cellStyle name="Comma 12" xfId="282"/>
    <cellStyle name="Comma 13" xfId="283"/>
    <cellStyle name="Comma 14" xfId="284"/>
    <cellStyle name="Comma 15" xfId="285"/>
    <cellStyle name="Comma 16" xfId="286"/>
    <cellStyle name="Comma 17" xfId="287"/>
    <cellStyle name="Comma 18" xfId="288"/>
    <cellStyle name="Comma 19" xfId="289"/>
    <cellStyle name="Comma 2" xfId="290"/>
    <cellStyle name="Comma 2 10" xfId="291"/>
    <cellStyle name="Comma 2 11" xfId="292"/>
    <cellStyle name="Comma 2 12" xfId="293"/>
    <cellStyle name="Comma 2 13" xfId="294"/>
    <cellStyle name="Comma 2 14" xfId="295"/>
    <cellStyle name="Comma 2 15" xfId="296"/>
    <cellStyle name="Comma 2 16" xfId="297"/>
    <cellStyle name="Comma 2 17" xfId="298"/>
    <cellStyle name="Comma 2 18" xfId="299"/>
    <cellStyle name="Comma 2 19" xfId="300"/>
    <cellStyle name="Comma 2 2" xfId="301"/>
    <cellStyle name="Comma 2 20" xfId="302"/>
    <cellStyle name="Comma 2 21" xfId="303"/>
    <cellStyle name="Comma 2 22" xfId="304"/>
    <cellStyle name="Comma 2 23" xfId="305"/>
    <cellStyle name="Comma 2 24" xfId="306"/>
    <cellStyle name="Comma 2 25" xfId="307"/>
    <cellStyle name="Comma 2 26" xfId="308"/>
    <cellStyle name="Comma 2 27" xfId="309"/>
    <cellStyle name="Comma 2 28" xfId="310"/>
    <cellStyle name="Comma 2 29" xfId="311"/>
    <cellStyle name="Comma 2 3" xfId="312"/>
    <cellStyle name="Comma 2 30" xfId="313"/>
    <cellStyle name="Comma 2 31" xfId="314"/>
    <cellStyle name="Comma 2 32" xfId="315"/>
    <cellStyle name="Comma 2 33" xfId="316"/>
    <cellStyle name="Comma 2 34" xfId="317"/>
    <cellStyle name="Comma 2 35" xfId="318"/>
    <cellStyle name="Comma 2 36" xfId="319"/>
    <cellStyle name="Comma 2 37" xfId="320"/>
    <cellStyle name="Comma 2 38" xfId="321"/>
    <cellStyle name="Comma 2 39" xfId="322"/>
    <cellStyle name="Comma 2 4" xfId="323"/>
    <cellStyle name="Comma 2 40" xfId="324"/>
    <cellStyle name="Comma 2 41" xfId="325"/>
    <cellStyle name="Comma 2 5" xfId="326"/>
    <cellStyle name="Comma 2 6" xfId="327"/>
    <cellStyle name="Comma 2 7" xfId="328"/>
    <cellStyle name="Comma 2 8" xfId="329"/>
    <cellStyle name="Comma 2 9" xfId="330"/>
    <cellStyle name="Comma 20" xfId="331"/>
    <cellStyle name="Comma 21" xfId="332"/>
    <cellStyle name="Comma 22" xfId="333"/>
    <cellStyle name="Comma 23" xfId="334"/>
    <cellStyle name="Comma 24" xfId="335"/>
    <cellStyle name="Comma 25" xfId="336"/>
    <cellStyle name="Comma 26" xfId="337"/>
    <cellStyle name="Comma 27" xfId="338"/>
    <cellStyle name="Comma 28" xfId="339"/>
    <cellStyle name="Comma 29" xfId="340"/>
    <cellStyle name="Comma 29 2" xfId="2"/>
    <cellStyle name="Comma 3" xfId="341"/>
    <cellStyle name="Comma 30" xfId="342"/>
    <cellStyle name="Comma 31" xfId="343"/>
    <cellStyle name="Comma 31 10" xfId="344"/>
    <cellStyle name="Comma 31 11" xfId="345"/>
    <cellStyle name="Comma 31 12" xfId="346"/>
    <cellStyle name="Comma 31 13" xfId="347"/>
    <cellStyle name="Comma 31 14" xfId="348"/>
    <cellStyle name="Comma 31 15" xfId="349"/>
    <cellStyle name="Comma 31 16" xfId="350"/>
    <cellStyle name="Comma 31 17" xfId="351"/>
    <cellStyle name="Comma 31 18" xfId="352"/>
    <cellStyle name="Comma 31 19" xfId="353"/>
    <cellStyle name="Comma 31 2" xfId="354"/>
    <cellStyle name="Comma 31 3" xfId="355"/>
    <cellStyle name="Comma 31 4" xfId="356"/>
    <cellStyle name="Comma 31 5" xfId="357"/>
    <cellStyle name="Comma 31 6" xfId="358"/>
    <cellStyle name="Comma 31 7" xfId="359"/>
    <cellStyle name="Comma 31 8" xfId="360"/>
    <cellStyle name="Comma 31 9" xfId="361"/>
    <cellStyle name="Comma 36" xfId="362"/>
    <cellStyle name="Comma 37" xfId="363"/>
    <cellStyle name="Comma 38" xfId="364"/>
    <cellStyle name="Comma 39" xfId="365"/>
    <cellStyle name="Comma 39 10" xfId="366"/>
    <cellStyle name="Comma 39 11" xfId="367"/>
    <cellStyle name="Comma 39 12" xfId="368"/>
    <cellStyle name="Comma 39 13" xfId="369"/>
    <cellStyle name="Comma 39 14" xfId="370"/>
    <cellStyle name="Comma 39 15" xfId="371"/>
    <cellStyle name="Comma 39 16" xfId="372"/>
    <cellStyle name="Comma 39 17" xfId="373"/>
    <cellStyle name="Comma 39 18" xfId="374"/>
    <cellStyle name="Comma 39 19" xfId="375"/>
    <cellStyle name="Comma 39 2" xfId="376"/>
    <cellStyle name="Comma 39 3" xfId="377"/>
    <cellStyle name="Comma 39 4" xfId="378"/>
    <cellStyle name="Comma 39 5" xfId="379"/>
    <cellStyle name="Comma 39 6" xfId="380"/>
    <cellStyle name="Comma 39 7" xfId="381"/>
    <cellStyle name="Comma 39 8" xfId="382"/>
    <cellStyle name="Comma 39 9" xfId="383"/>
    <cellStyle name="Comma 4" xfId="384"/>
    <cellStyle name="Comma 4 2" xfId="385"/>
    <cellStyle name="Comma 40" xfId="386"/>
    <cellStyle name="Comma 40 10" xfId="387"/>
    <cellStyle name="Comma 40 11" xfId="388"/>
    <cellStyle name="Comma 40 12" xfId="389"/>
    <cellStyle name="Comma 40 13" xfId="390"/>
    <cellStyle name="Comma 40 14" xfId="391"/>
    <cellStyle name="Comma 40 15" xfId="392"/>
    <cellStyle name="Comma 40 16" xfId="393"/>
    <cellStyle name="Comma 40 17" xfId="394"/>
    <cellStyle name="Comma 40 18" xfId="395"/>
    <cellStyle name="Comma 40 19" xfId="396"/>
    <cellStyle name="Comma 40 2" xfId="397"/>
    <cellStyle name="Comma 40 3" xfId="398"/>
    <cellStyle name="Comma 40 4" xfId="399"/>
    <cellStyle name="Comma 40 5" xfId="400"/>
    <cellStyle name="Comma 40 6" xfId="401"/>
    <cellStyle name="Comma 40 7" xfId="402"/>
    <cellStyle name="Comma 40 8" xfId="403"/>
    <cellStyle name="Comma 40 9" xfId="404"/>
    <cellStyle name="Comma 41" xfId="405"/>
    <cellStyle name="Comma 42" xfId="406"/>
    <cellStyle name="Comma 43" xfId="407"/>
    <cellStyle name="Comma 44" xfId="408"/>
    <cellStyle name="Comma 45" xfId="409"/>
    <cellStyle name="Comma 46" xfId="410"/>
    <cellStyle name="Comma 46 10" xfId="411"/>
    <cellStyle name="Comma 46 11" xfId="412"/>
    <cellStyle name="Comma 46 12" xfId="413"/>
    <cellStyle name="Comma 46 13" xfId="414"/>
    <cellStyle name="Comma 46 14" xfId="415"/>
    <cellStyle name="Comma 46 15" xfId="416"/>
    <cellStyle name="Comma 46 16" xfId="417"/>
    <cellStyle name="Comma 46 17" xfId="418"/>
    <cellStyle name="Comma 46 18" xfId="419"/>
    <cellStyle name="Comma 46 19" xfId="420"/>
    <cellStyle name="Comma 46 2" xfId="421"/>
    <cellStyle name="Comma 46 3" xfId="422"/>
    <cellStyle name="Comma 46 4" xfId="423"/>
    <cellStyle name="Comma 46 5" xfId="424"/>
    <cellStyle name="Comma 46 6" xfId="425"/>
    <cellStyle name="Comma 46 7" xfId="426"/>
    <cellStyle name="Comma 46 8" xfId="427"/>
    <cellStyle name="Comma 46 9" xfId="428"/>
    <cellStyle name="Comma 47" xfId="429"/>
    <cellStyle name="Comma 47 10" xfId="430"/>
    <cellStyle name="Comma 47 11" xfId="431"/>
    <cellStyle name="Comma 47 12" xfId="432"/>
    <cellStyle name="Comma 47 13" xfId="433"/>
    <cellStyle name="Comma 47 14" xfId="434"/>
    <cellStyle name="Comma 47 15" xfId="435"/>
    <cellStyle name="Comma 47 16" xfId="436"/>
    <cellStyle name="Comma 47 17" xfId="437"/>
    <cellStyle name="Comma 47 18" xfId="438"/>
    <cellStyle name="Comma 47 19" xfId="439"/>
    <cellStyle name="Comma 47 2" xfId="440"/>
    <cellStyle name="Comma 47 3" xfId="441"/>
    <cellStyle name="Comma 47 4" xfId="442"/>
    <cellStyle name="Comma 47 5" xfId="443"/>
    <cellStyle name="Comma 47 6" xfId="444"/>
    <cellStyle name="Comma 47 7" xfId="445"/>
    <cellStyle name="Comma 47 8" xfId="446"/>
    <cellStyle name="Comma 47 9" xfId="447"/>
    <cellStyle name="Comma 48" xfId="448"/>
    <cellStyle name="Comma 48 10" xfId="449"/>
    <cellStyle name="Comma 48 11" xfId="450"/>
    <cellStyle name="Comma 48 12" xfId="451"/>
    <cellStyle name="Comma 48 13" xfId="452"/>
    <cellStyle name="Comma 48 14" xfId="453"/>
    <cellStyle name="Comma 48 15" xfId="454"/>
    <cellStyle name="Comma 48 16" xfId="455"/>
    <cellStyle name="Comma 48 17" xfId="456"/>
    <cellStyle name="Comma 48 18" xfId="457"/>
    <cellStyle name="Comma 48 19" xfId="458"/>
    <cellStyle name="Comma 48 2" xfId="459"/>
    <cellStyle name="Comma 48 3" xfId="460"/>
    <cellStyle name="Comma 48 4" xfId="461"/>
    <cellStyle name="Comma 48 5" xfId="462"/>
    <cellStyle name="Comma 48 6" xfId="463"/>
    <cellStyle name="Comma 48 7" xfId="464"/>
    <cellStyle name="Comma 48 8" xfId="465"/>
    <cellStyle name="Comma 48 9" xfId="466"/>
    <cellStyle name="Comma 5" xfId="467"/>
    <cellStyle name="Comma 5 2" xfId="468"/>
    <cellStyle name="Comma 50" xfId="469"/>
    <cellStyle name="Comma 50 2" xfId="470"/>
    <cellStyle name="Comma 50 3" xfId="471"/>
    <cellStyle name="Comma 50 4" xfId="472"/>
    <cellStyle name="Comma 50 5" xfId="473"/>
    <cellStyle name="Comma 52" xfId="474"/>
    <cellStyle name="Comma 52 2" xfId="475"/>
    <cellStyle name="Comma 52 3" xfId="476"/>
    <cellStyle name="Comma 6" xfId="477"/>
    <cellStyle name="Comma 7" xfId="478"/>
    <cellStyle name="Comma 7 2" xfId="479"/>
    <cellStyle name="Comma 7 3" xfId="480"/>
    <cellStyle name="Comma 7 4" xfId="481"/>
    <cellStyle name="Comma 7 5" xfId="482"/>
    <cellStyle name="Comma 7 6" xfId="483"/>
    <cellStyle name="Comma 8" xfId="484"/>
    <cellStyle name="Comma 9" xfId="485"/>
    <cellStyle name="Comma Cents" xfId="486"/>
    <cellStyle name="Comma Cents 2" xfId="487"/>
    <cellStyle name="Comma Cents 2 10" xfId="488"/>
    <cellStyle name="Comma Cents 2 11" xfId="489"/>
    <cellStyle name="Comma Cents 2 12" xfId="490"/>
    <cellStyle name="Comma Cents 2 13" xfId="491"/>
    <cellStyle name="Comma Cents 2 14" xfId="492"/>
    <cellStyle name="Comma Cents 2 15" xfId="493"/>
    <cellStyle name="Comma Cents 2 16" xfId="494"/>
    <cellStyle name="Comma Cents 2 17" xfId="495"/>
    <cellStyle name="Comma Cents 2 18" xfId="496"/>
    <cellStyle name="Comma Cents 2 19" xfId="497"/>
    <cellStyle name="Comma Cents 2 2" xfId="498"/>
    <cellStyle name="Comma Cents 2 3" xfId="499"/>
    <cellStyle name="Comma Cents 2 4" xfId="500"/>
    <cellStyle name="Comma Cents 2 5" xfId="501"/>
    <cellStyle name="Comma Cents 2 6" xfId="502"/>
    <cellStyle name="Comma Cents 2 7" xfId="503"/>
    <cellStyle name="Comma Cents 2 8" xfId="504"/>
    <cellStyle name="Comma Cents 2 9" xfId="505"/>
    <cellStyle name="Comma Cents 3" xfId="506"/>
    <cellStyle name="Comma Cents 3 10" xfId="507"/>
    <cellStyle name="Comma Cents 3 11" xfId="508"/>
    <cellStyle name="Comma Cents 3 12" xfId="509"/>
    <cellStyle name="Comma Cents 3 13" xfId="510"/>
    <cellStyle name="Comma Cents 3 14" xfId="511"/>
    <cellStyle name="Comma Cents 3 15" xfId="512"/>
    <cellStyle name="Comma Cents 3 16" xfId="513"/>
    <cellStyle name="Comma Cents 3 17" xfId="514"/>
    <cellStyle name="Comma Cents 3 18" xfId="515"/>
    <cellStyle name="Comma Cents 3 19" xfId="516"/>
    <cellStyle name="Comma Cents 3 2" xfId="517"/>
    <cellStyle name="Comma Cents 3 3" xfId="518"/>
    <cellStyle name="Comma Cents 3 4" xfId="519"/>
    <cellStyle name="Comma Cents 3 5" xfId="520"/>
    <cellStyle name="Comma Cents 3 6" xfId="521"/>
    <cellStyle name="Comma Cents 3 7" xfId="522"/>
    <cellStyle name="Comma Cents 3 8" xfId="523"/>
    <cellStyle name="Comma Cents 3 9" xfId="524"/>
    <cellStyle name="Comma Cents 4" xfId="525"/>
    <cellStyle name="Comma Cents 4 10" xfId="526"/>
    <cellStyle name="Comma Cents 4 11" xfId="527"/>
    <cellStyle name="Comma Cents 4 12" xfId="528"/>
    <cellStyle name="Comma Cents 4 13" xfId="529"/>
    <cellStyle name="Comma Cents 4 14" xfId="530"/>
    <cellStyle name="Comma Cents 4 15" xfId="531"/>
    <cellStyle name="Comma Cents 4 16" xfId="532"/>
    <cellStyle name="Comma Cents 4 17" xfId="533"/>
    <cellStyle name="Comma Cents 4 18" xfId="534"/>
    <cellStyle name="Comma Cents 4 19" xfId="535"/>
    <cellStyle name="Comma Cents 4 2" xfId="536"/>
    <cellStyle name="Comma Cents 4 3" xfId="537"/>
    <cellStyle name="Comma Cents 4 4" xfId="538"/>
    <cellStyle name="Comma Cents 4 5" xfId="539"/>
    <cellStyle name="Comma Cents 4 6" xfId="540"/>
    <cellStyle name="Comma Cents 4 7" xfId="541"/>
    <cellStyle name="Comma Cents 4 8" xfId="542"/>
    <cellStyle name="Comma Cents 4 9" xfId="543"/>
    <cellStyle name="Comma Cents 5" xfId="544"/>
    <cellStyle name="Comma Cents 5 10" xfId="545"/>
    <cellStyle name="Comma Cents 5 11" xfId="546"/>
    <cellStyle name="Comma Cents 5 12" xfId="547"/>
    <cellStyle name="Comma Cents 5 13" xfId="548"/>
    <cellStyle name="Comma Cents 5 14" xfId="549"/>
    <cellStyle name="Comma Cents 5 15" xfId="550"/>
    <cellStyle name="Comma Cents 5 16" xfId="551"/>
    <cellStyle name="Comma Cents 5 17" xfId="552"/>
    <cellStyle name="Comma Cents 5 18" xfId="553"/>
    <cellStyle name="Comma Cents 5 19" xfId="554"/>
    <cellStyle name="Comma Cents 5 2" xfId="555"/>
    <cellStyle name="Comma Cents 5 3" xfId="556"/>
    <cellStyle name="Comma Cents 5 4" xfId="557"/>
    <cellStyle name="Comma Cents 5 5" xfId="558"/>
    <cellStyle name="Comma Cents 5 6" xfId="559"/>
    <cellStyle name="Comma Cents 5 7" xfId="560"/>
    <cellStyle name="Comma Cents 5 8" xfId="561"/>
    <cellStyle name="Comma Cents 5 9" xfId="562"/>
    <cellStyle name="Comma Cents 6" xfId="563"/>
    <cellStyle name="Comma Cents 6 10" xfId="564"/>
    <cellStyle name="Comma Cents 6 11" xfId="565"/>
    <cellStyle name="Comma Cents 6 12" xfId="566"/>
    <cellStyle name="Comma Cents 6 13" xfId="567"/>
    <cellStyle name="Comma Cents 6 14" xfId="568"/>
    <cellStyle name="Comma Cents 6 15" xfId="569"/>
    <cellStyle name="Comma Cents 6 16" xfId="570"/>
    <cellStyle name="Comma Cents 6 17" xfId="571"/>
    <cellStyle name="Comma Cents 6 18" xfId="572"/>
    <cellStyle name="Comma Cents 6 19" xfId="573"/>
    <cellStyle name="Comma Cents 6 2" xfId="574"/>
    <cellStyle name="Comma Cents 6 3" xfId="575"/>
    <cellStyle name="Comma Cents 6 4" xfId="576"/>
    <cellStyle name="Comma Cents 6 5" xfId="577"/>
    <cellStyle name="Comma Cents 6 6" xfId="578"/>
    <cellStyle name="Comma Cents 6 7" xfId="579"/>
    <cellStyle name="Comma Cents 6 8" xfId="580"/>
    <cellStyle name="Comma Cents 6 9" xfId="581"/>
    <cellStyle name="Currency [00]" xfId="582"/>
    <cellStyle name="Currency [2]" xfId="583"/>
    <cellStyle name="Currency 10" xfId="584"/>
    <cellStyle name="Currency 11" xfId="585"/>
    <cellStyle name="Currency 12" xfId="586"/>
    <cellStyle name="Currency 13" xfId="587"/>
    <cellStyle name="Currency 14" xfId="588"/>
    <cellStyle name="Currency 15" xfId="589"/>
    <cellStyle name="Currency 16" xfId="590"/>
    <cellStyle name="Currency 17" xfId="591"/>
    <cellStyle name="Currency 18" xfId="592"/>
    <cellStyle name="Currency 2" xfId="593"/>
    <cellStyle name="Currency 2 10" xfId="594"/>
    <cellStyle name="Currency 2 11" xfId="595"/>
    <cellStyle name="Currency 2 12" xfId="596"/>
    <cellStyle name="Currency 2 13" xfId="597"/>
    <cellStyle name="Currency 2 14" xfId="598"/>
    <cellStyle name="Currency 2 15" xfId="599"/>
    <cellStyle name="Currency 2 16" xfId="600"/>
    <cellStyle name="Currency 2 17" xfId="601"/>
    <cellStyle name="Currency 2 18" xfId="602"/>
    <cellStyle name="Currency 2 19" xfId="603"/>
    <cellStyle name="Currency 2 2" xfId="604"/>
    <cellStyle name="Currency 2 20" xfId="605"/>
    <cellStyle name="Currency 2 21" xfId="606"/>
    <cellStyle name="Currency 2 22" xfId="607"/>
    <cellStyle name="Currency 2 23" xfId="608"/>
    <cellStyle name="Currency 2 24" xfId="609"/>
    <cellStyle name="Currency 2 25" xfId="610"/>
    <cellStyle name="Currency 2 26" xfId="611"/>
    <cellStyle name="Currency 2 27" xfId="612"/>
    <cellStyle name="Currency 2 28" xfId="613"/>
    <cellStyle name="Currency 2 29" xfId="614"/>
    <cellStyle name="Currency 2 3" xfId="615"/>
    <cellStyle name="Currency 2 30" xfId="616"/>
    <cellStyle name="Currency 2 31" xfId="617"/>
    <cellStyle name="Currency 2 32" xfId="618"/>
    <cellStyle name="Currency 2 33" xfId="619"/>
    <cellStyle name="Currency 2 34" xfId="620"/>
    <cellStyle name="Currency 2 35" xfId="621"/>
    <cellStyle name="Currency 2 36" xfId="622"/>
    <cellStyle name="Currency 2 37" xfId="623"/>
    <cellStyle name="Currency 2 4" xfId="624"/>
    <cellStyle name="Currency 2 5" xfId="625"/>
    <cellStyle name="Currency 2 6" xfId="626"/>
    <cellStyle name="Currency 2 7" xfId="627"/>
    <cellStyle name="Currency 2 8" xfId="628"/>
    <cellStyle name="Currency 2 9" xfId="629"/>
    <cellStyle name="Currency 3" xfId="630"/>
    <cellStyle name="Currency 3 2" xfId="631"/>
    <cellStyle name="Currency 3 3" xfId="632"/>
    <cellStyle name="Currency 3 4" xfId="633"/>
    <cellStyle name="Currency 4" xfId="634"/>
    <cellStyle name="Currency 4 2" xfId="635"/>
    <cellStyle name="Currency 5" xfId="636"/>
    <cellStyle name="Currency 5 2" xfId="637"/>
    <cellStyle name="Currency 6" xfId="638"/>
    <cellStyle name="Currency 7" xfId="639"/>
    <cellStyle name="Currency 8" xfId="640"/>
    <cellStyle name="Currency 9" xfId="641"/>
    <cellStyle name="Data Cell - PerformancePoint" xfId="642"/>
    <cellStyle name="Data Entry Cell - PerformancePoint" xfId="643"/>
    <cellStyle name="Date" xfId="644"/>
    <cellStyle name="Date 2" xfId="645"/>
    <cellStyle name="Date 2 10" xfId="646"/>
    <cellStyle name="Date 2 11" xfId="647"/>
    <cellStyle name="Date 2 12" xfId="648"/>
    <cellStyle name="Date 2 13" xfId="649"/>
    <cellStyle name="Date 2 14" xfId="650"/>
    <cellStyle name="Date 2 15" xfId="651"/>
    <cellStyle name="Date 2 16" xfId="652"/>
    <cellStyle name="Date 2 17" xfId="653"/>
    <cellStyle name="Date 2 18" xfId="654"/>
    <cellStyle name="Date 2 19" xfId="655"/>
    <cellStyle name="Date 2 2" xfId="656"/>
    <cellStyle name="Date 2 3" xfId="657"/>
    <cellStyle name="Date 2 4" xfId="658"/>
    <cellStyle name="Date 2 5" xfId="659"/>
    <cellStyle name="Date 2 6" xfId="660"/>
    <cellStyle name="Date 2 7" xfId="661"/>
    <cellStyle name="Date 2 8" xfId="662"/>
    <cellStyle name="Date 2 9" xfId="663"/>
    <cellStyle name="Date 3" xfId="664"/>
    <cellStyle name="Date 3 10" xfId="665"/>
    <cellStyle name="Date 3 11" xfId="666"/>
    <cellStyle name="Date 3 12" xfId="667"/>
    <cellStyle name="Date 3 13" xfId="668"/>
    <cellStyle name="Date 3 14" xfId="669"/>
    <cellStyle name="Date 3 15" xfId="670"/>
    <cellStyle name="Date 3 16" xfId="671"/>
    <cellStyle name="Date 3 17" xfId="672"/>
    <cellStyle name="Date 3 18" xfId="673"/>
    <cellStyle name="Date 3 19" xfId="674"/>
    <cellStyle name="Date 3 2" xfId="675"/>
    <cellStyle name="Date 3 3" xfId="676"/>
    <cellStyle name="Date 3 4" xfId="677"/>
    <cellStyle name="Date 3 5" xfId="678"/>
    <cellStyle name="Date 3 6" xfId="679"/>
    <cellStyle name="Date 3 7" xfId="680"/>
    <cellStyle name="Date 3 8" xfId="681"/>
    <cellStyle name="Date 3 9" xfId="682"/>
    <cellStyle name="Date 4" xfId="683"/>
    <cellStyle name="Date 4 10" xfId="684"/>
    <cellStyle name="Date 4 11" xfId="685"/>
    <cellStyle name="Date 4 12" xfId="686"/>
    <cellStyle name="Date 4 13" xfId="687"/>
    <cellStyle name="Date 4 14" xfId="688"/>
    <cellStyle name="Date 4 15" xfId="689"/>
    <cellStyle name="Date 4 16" xfId="690"/>
    <cellStyle name="Date 4 17" xfId="691"/>
    <cellStyle name="Date 4 18" xfId="692"/>
    <cellStyle name="Date 4 19" xfId="693"/>
    <cellStyle name="Date 4 2" xfId="694"/>
    <cellStyle name="Date 4 3" xfId="695"/>
    <cellStyle name="Date 4 4" xfId="696"/>
    <cellStyle name="Date 4 5" xfId="697"/>
    <cellStyle name="Date 4 6" xfId="698"/>
    <cellStyle name="Date 4 7" xfId="699"/>
    <cellStyle name="Date 4 8" xfId="700"/>
    <cellStyle name="Date 4 9" xfId="701"/>
    <cellStyle name="Date 5" xfId="702"/>
    <cellStyle name="Date 5 10" xfId="703"/>
    <cellStyle name="Date 5 11" xfId="704"/>
    <cellStyle name="Date 5 12" xfId="705"/>
    <cellStyle name="Date 5 13" xfId="706"/>
    <cellStyle name="Date 5 14" xfId="707"/>
    <cellStyle name="Date 5 15" xfId="708"/>
    <cellStyle name="Date 5 16" xfId="709"/>
    <cellStyle name="Date 5 17" xfId="710"/>
    <cellStyle name="Date 5 18" xfId="711"/>
    <cellStyle name="Date 5 19" xfId="712"/>
    <cellStyle name="Date 5 2" xfId="713"/>
    <cellStyle name="Date 5 3" xfId="714"/>
    <cellStyle name="Date 5 4" xfId="715"/>
    <cellStyle name="Date 5 5" xfId="716"/>
    <cellStyle name="Date 5 6" xfId="717"/>
    <cellStyle name="Date 5 7" xfId="718"/>
    <cellStyle name="Date 5 8" xfId="719"/>
    <cellStyle name="Date 5 9" xfId="720"/>
    <cellStyle name="Date 6" xfId="721"/>
    <cellStyle name="Date 6 10" xfId="722"/>
    <cellStyle name="Date 6 11" xfId="723"/>
    <cellStyle name="Date 6 12" xfId="724"/>
    <cellStyle name="Date 6 13" xfId="725"/>
    <cellStyle name="Date 6 14" xfId="726"/>
    <cellStyle name="Date 6 15" xfId="727"/>
    <cellStyle name="Date 6 16" xfId="728"/>
    <cellStyle name="Date 6 17" xfId="729"/>
    <cellStyle name="Date 6 18" xfId="730"/>
    <cellStyle name="Date 6 19" xfId="731"/>
    <cellStyle name="Date 6 2" xfId="732"/>
    <cellStyle name="Date 6 3" xfId="733"/>
    <cellStyle name="Date 6 4" xfId="734"/>
    <cellStyle name="Date 6 5" xfId="735"/>
    <cellStyle name="Date 6 6" xfId="736"/>
    <cellStyle name="Date 6 7" xfId="737"/>
    <cellStyle name="Date 6 8" xfId="738"/>
    <cellStyle name="Date 6 9" xfId="739"/>
    <cellStyle name="Date Short" xfId="740"/>
    <cellStyle name="Dollars" xfId="741"/>
    <cellStyle name="Enter Currency (0)" xfId="742"/>
    <cellStyle name="Enter Currency (2)" xfId="743"/>
    <cellStyle name="Enter Units (0)" xfId="744"/>
    <cellStyle name="Enter Units (1)" xfId="745"/>
    <cellStyle name="Enter Units (2)" xfId="746"/>
    <cellStyle name="Entrée" xfId="747"/>
    <cellStyle name="EntryCell" xfId="748"/>
    <cellStyle name="EntryCurrency" xfId="749"/>
    <cellStyle name="EntryPercent" xfId="750"/>
    <cellStyle name="EntryPercent(1)" xfId="751"/>
    <cellStyle name="EntryPercent_06-09 Treasury" xfId="752"/>
    <cellStyle name="Explanatory Text 2" xfId="753"/>
    <cellStyle name="Explanatory Text 2 2" xfId="754"/>
    <cellStyle name="Explanatory Text 2 3" xfId="755"/>
    <cellStyle name="Explanatory Text 3" xfId="756"/>
    <cellStyle name="Explanatory Text 4" xfId="757"/>
    <cellStyle name="Followed Hyperlink 10" xfId="758"/>
    <cellStyle name="Followed Hyperlink 11" xfId="759"/>
    <cellStyle name="Followed Hyperlink 12" xfId="760"/>
    <cellStyle name="Followed Hyperlink 13" xfId="761"/>
    <cellStyle name="Followed Hyperlink 14" xfId="762"/>
    <cellStyle name="Followed Hyperlink 15" xfId="763"/>
    <cellStyle name="Followed Hyperlink 16" xfId="764"/>
    <cellStyle name="Followed Hyperlink 2" xfId="765"/>
    <cellStyle name="Followed Hyperlink 2 2" xfId="766"/>
    <cellStyle name="Followed Hyperlink 2 3" xfId="767"/>
    <cellStyle name="Followed Hyperlink 2 4" xfId="768"/>
    <cellStyle name="Followed Hyperlink 2 5" xfId="769"/>
    <cellStyle name="Followed Hyperlink 2 6" xfId="770"/>
    <cellStyle name="Followed Hyperlink 2 7" xfId="771"/>
    <cellStyle name="Followed Hyperlink 2 8" xfId="772"/>
    <cellStyle name="Followed Hyperlink 2 9" xfId="773"/>
    <cellStyle name="Followed Hyperlink 3" xfId="774"/>
    <cellStyle name="Followed Hyperlink 3 2" xfId="775"/>
    <cellStyle name="Followed Hyperlink 3 3" xfId="776"/>
    <cellStyle name="Followed Hyperlink 3 4" xfId="777"/>
    <cellStyle name="Followed Hyperlink 3 5" xfId="778"/>
    <cellStyle name="Followed Hyperlink 3 6" xfId="779"/>
    <cellStyle name="Followed Hyperlink 3 7" xfId="780"/>
    <cellStyle name="Followed Hyperlink 3 8" xfId="781"/>
    <cellStyle name="Followed Hyperlink 3 9" xfId="782"/>
    <cellStyle name="Followed Hyperlink 4" xfId="783"/>
    <cellStyle name="Followed Hyperlink 5" xfId="784"/>
    <cellStyle name="Followed Hyperlink 6" xfId="785"/>
    <cellStyle name="Followed Hyperlink 7" xfId="786"/>
    <cellStyle name="Followed Hyperlink 8" xfId="787"/>
    <cellStyle name="Followed Hyperlink 9" xfId="788"/>
    <cellStyle name="Good 2" xfId="789"/>
    <cellStyle name="Good 2 2" xfId="790"/>
    <cellStyle name="Good 2 3" xfId="791"/>
    <cellStyle name="Good 3" xfId="792"/>
    <cellStyle name="Good 4" xfId="793"/>
    <cellStyle name="Grey" xfId="794"/>
    <cellStyle name="Grey 2" xfId="795"/>
    <cellStyle name="Grey 3" xfId="796"/>
    <cellStyle name="Grey 4" xfId="797"/>
    <cellStyle name="HEADER" xfId="798"/>
    <cellStyle name="Header1" xfId="799"/>
    <cellStyle name="Header2" xfId="800"/>
    <cellStyle name="Heading" xfId="801"/>
    <cellStyle name="Heading 1 2" xfId="802"/>
    <cellStyle name="Heading 1 2 2" xfId="803"/>
    <cellStyle name="Heading 1 2 3" xfId="804"/>
    <cellStyle name="Heading 1 3" xfId="805"/>
    <cellStyle name="Heading 1 4" xfId="806"/>
    <cellStyle name="Heading 2 2" xfId="807"/>
    <cellStyle name="Heading 2 2 2" xfId="808"/>
    <cellStyle name="Heading 2 2 3" xfId="809"/>
    <cellStyle name="Heading 2 3" xfId="810"/>
    <cellStyle name="Heading 2 4" xfId="811"/>
    <cellStyle name="Heading 3 2" xfId="812"/>
    <cellStyle name="Heading 3 2 2" xfId="813"/>
    <cellStyle name="Heading 3 2 3" xfId="814"/>
    <cellStyle name="Heading 3 3" xfId="815"/>
    <cellStyle name="Heading 3 4" xfId="816"/>
    <cellStyle name="Heading 4 2" xfId="817"/>
    <cellStyle name="Heading 4 2 2" xfId="818"/>
    <cellStyle name="Heading 4 2 3" xfId="819"/>
    <cellStyle name="Heading 4 3" xfId="820"/>
    <cellStyle name="Heading 4 4" xfId="821"/>
    <cellStyle name="Heading1" xfId="822"/>
    <cellStyle name="Heading2" xfId="823"/>
    <cellStyle name="Hyperlink 10" xfId="824"/>
    <cellStyle name="Hyperlink 11" xfId="825"/>
    <cellStyle name="Hyperlink 12" xfId="826"/>
    <cellStyle name="Hyperlink 13" xfId="827"/>
    <cellStyle name="Hyperlink 14" xfId="828"/>
    <cellStyle name="Hyperlink 15" xfId="829"/>
    <cellStyle name="Hyperlink 16" xfId="830"/>
    <cellStyle name="Hyperlink 2" xfId="831"/>
    <cellStyle name="Hyperlink 2 2" xfId="832"/>
    <cellStyle name="Hyperlink 2 3" xfId="833"/>
    <cellStyle name="Hyperlink 2 4" xfId="834"/>
    <cellStyle name="Hyperlink 2 5" xfId="835"/>
    <cellStyle name="Hyperlink 2 6" xfId="836"/>
    <cellStyle name="Hyperlink 2 7" xfId="837"/>
    <cellStyle name="Hyperlink 2 8" xfId="838"/>
    <cellStyle name="Hyperlink 2 9" xfId="839"/>
    <cellStyle name="Hyperlink 3" xfId="840"/>
    <cellStyle name="Hyperlink 3 2" xfId="841"/>
    <cellStyle name="Hyperlink 3 3" xfId="842"/>
    <cellStyle name="Hyperlink 3 4" xfId="843"/>
    <cellStyle name="Hyperlink 3 5" xfId="844"/>
    <cellStyle name="Hyperlink 3 6" xfId="845"/>
    <cellStyle name="Hyperlink 3 7" xfId="846"/>
    <cellStyle name="Hyperlink 3 8" xfId="847"/>
    <cellStyle name="Hyperlink 3 9" xfId="848"/>
    <cellStyle name="Hyperlink 4" xfId="849"/>
    <cellStyle name="Hyperlink 5" xfId="850"/>
    <cellStyle name="Hyperlink 6" xfId="851"/>
    <cellStyle name="Hyperlink 7" xfId="852"/>
    <cellStyle name="Hyperlink 8" xfId="853"/>
    <cellStyle name="Hyperlink 9" xfId="854"/>
    <cellStyle name="Input [yellow]" xfId="855"/>
    <cellStyle name="Input [yellow] 2" xfId="856"/>
    <cellStyle name="Input [yellow] 3" xfId="857"/>
    <cellStyle name="Input [yellow] 4" xfId="858"/>
    <cellStyle name="Input 2" xfId="859"/>
    <cellStyle name="Input 2 2" xfId="860"/>
    <cellStyle name="Input 2 3" xfId="861"/>
    <cellStyle name="Input 3" xfId="862"/>
    <cellStyle name="Input 4" xfId="863"/>
    <cellStyle name="Komma [0]_RESULTS" xfId="864"/>
    <cellStyle name="Komma_RESULTS" xfId="865"/>
    <cellStyle name="Lien hypertexte visité_BSS Spares 15.028" xfId="866"/>
    <cellStyle name="Link Currency (0)" xfId="867"/>
    <cellStyle name="Link Currency (2)" xfId="868"/>
    <cellStyle name="Link Units (0)" xfId="869"/>
    <cellStyle name="Link Units (1)" xfId="870"/>
    <cellStyle name="Link Units (2)" xfId="871"/>
    <cellStyle name="Linked Cell 2" xfId="872"/>
    <cellStyle name="Linked Cell 2 2" xfId="873"/>
    <cellStyle name="Linked Cell 2 3" xfId="874"/>
    <cellStyle name="Linked Cell 3" xfId="875"/>
    <cellStyle name="Linked Cell 4" xfId="876"/>
    <cellStyle name="locked" xfId="877"/>
    <cellStyle name="Locked Cell - PerformancePoint" xfId="878"/>
    <cellStyle name="Matrice" xfId="879"/>
    <cellStyle name="Millares [0]_ARQUEO (2)" xfId="880"/>
    <cellStyle name="Millares_ARQUEO (2)" xfId="881"/>
    <cellStyle name="Milliers [0]_BSS Spares 15.028" xfId="882"/>
    <cellStyle name="Milliers_BSS Spares 15.028" xfId="883"/>
    <cellStyle name="Model" xfId="884"/>
    <cellStyle name="Moneda [0]_Archivo Preview" xfId="885"/>
    <cellStyle name="Moneda_Archivo Preview" xfId="886"/>
    <cellStyle name="Monétaire [0]_BSS Spares 15.028" xfId="887"/>
    <cellStyle name="Monétaire_BSS Spares 15.028" xfId="888"/>
    <cellStyle name="Neutral 2" xfId="889"/>
    <cellStyle name="Neutral 2 2" xfId="890"/>
    <cellStyle name="Neutral 2 3" xfId="891"/>
    <cellStyle name="Neutral 3" xfId="892"/>
    <cellStyle name="Neutral 4" xfId="893"/>
    <cellStyle name="no dec" xfId="894"/>
    <cellStyle name="Normal" xfId="0" builtinId="0"/>
    <cellStyle name="Normal - Style1" xfId="895"/>
    <cellStyle name="Normal - Style1 2" xfId="896"/>
    <cellStyle name="Normal - Style1 3" xfId="897"/>
    <cellStyle name="Normal - Style1 4" xfId="898"/>
    <cellStyle name="Normal 10" xfId="899"/>
    <cellStyle name="Normal 10 10" xfId="900"/>
    <cellStyle name="Normal 10 11" xfId="901"/>
    <cellStyle name="Normal 10 12" xfId="902"/>
    <cellStyle name="Normal 10 13" xfId="903"/>
    <cellStyle name="Normal 10 14" xfId="904"/>
    <cellStyle name="Normal 10 15" xfId="905"/>
    <cellStyle name="Normal 10 16" xfId="906"/>
    <cellStyle name="Normal 10 2" xfId="907"/>
    <cellStyle name="Normal 10 3" xfId="908"/>
    <cellStyle name="Normal 10 4" xfId="909"/>
    <cellStyle name="Normal 10 5" xfId="910"/>
    <cellStyle name="Normal 10 6" xfId="911"/>
    <cellStyle name="Normal 10 7" xfId="912"/>
    <cellStyle name="Normal 10 8" xfId="913"/>
    <cellStyle name="Normal 10 9" xfId="914"/>
    <cellStyle name="Normal 100 2" xfId="915"/>
    <cellStyle name="Normal 100 3" xfId="916"/>
    <cellStyle name="Normal 101 2" xfId="917"/>
    <cellStyle name="Normal 101 3" xfId="918"/>
    <cellStyle name="Normal 102 2" xfId="919"/>
    <cellStyle name="Normal 102 3" xfId="920"/>
    <cellStyle name="Normal 103 2" xfId="921"/>
    <cellStyle name="Normal 103 3" xfId="922"/>
    <cellStyle name="Normal 104 2" xfId="923"/>
    <cellStyle name="Normal 104 3" xfId="924"/>
    <cellStyle name="Normal 105" xfId="925"/>
    <cellStyle name="Normal 105 2" xfId="926"/>
    <cellStyle name="Normal 105 2 2" xfId="927"/>
    <cellStyle name="Normal 105 2 3" xfId="928"/>
    <cellStyle name="Normal 105 3" xfId="929"/>
    <cellStyle name="Normal 105 3 2" xfId="930"/>
    <cellStyle name="Normal 105 3 3" xfId="931"/>
    <cellStyle name="Normal 105 4" xfId="932"/>
    <cellStyle name="Normal 105 5" xfId="933"/>
    <cellStyle name="Normal 108" xfId="934"/>
    <cellStyle name="Normal 109" xfId="935"/>
    <cellStyle name="Normal 11 2" xfId="936"/>
    <cellStyle name="Normal 110" xfId="937"/>
    <cellStyle name="Normal 111" xfId="938"/>
    <cellStyle name="Normal 113" xfId="939"/>
    <cellStyle name="Normal 116" xfId="940"/>
    <cellStyle name="Normal 12" xfId="941"/>
    <cellStyle name="Normal 122" xfId="942"/>
    <cellStyle name="Normal 13" xfId="943"/>
    <cellStyle name="Normal 15" xfId="944"/>
    <cellStyle name="Normal 18" xfId="945"/>
    <cellStyle name="Normal 18 10" xfId="946"/>
    <cellStyle name="Normal 18 11" xfId="947"/>
    <cellStyle name="Normal 18 12" xfId="948"/>
    <cellStyle name="Normal 18 13" xfId="949"/>
    <cellStyle name="Normal 18 14" xfId="950"/>
    <cellStyle name="Normal 18 15" xfId="951"/>
    <cellStyle name="Normal 18 16" xfId="952"/>
    <cellStyle name="Normal 18 17" xfId="953"/>
    <cellStyle name="Normal 18 2" xfId="954"/>
    <cellStyle name="Normal 18 3" xfId="955"/>
    <cellStyle name="Normal 18 4" xfId="956"/>
    <cellStyle name="Normal 18 5" xfId="957"/>
    <cellStyle name="Normal 18 6" xfId="958"/>
    <cellStyle name="Normal 18 7" xfId="959"/>
    <cellStyle name="Normal 18 8" xfId="960"/>
    <cellStyle name="Normal 18 9" xfId="961"/>
    <cellStyle name="Normal 2" xfId="4"/>
    <cellStyle name="Normal 2 10" xfId="962"/>
    <cellStyle name="Normal 2 11" xfId="963"/>
    <cellStyle name="Normal 2 12" xfId="964"/>
    <cellStyle name="Normal 2 13" xfId="965"/>
    <cellStyle name="Normal 2 14" xfId="966"/>
    <cellStyle name="Normal 2 15" xfId="3"/>
    <cellStyle name="Normal 2 2" xfId="967"/>
    <cellStyle name="Normal 2 2 2" xfId="968"/>
    <cellStyle name="Normal 2 2 2 2" xfId="969"/>
    <cellStyle name="Normal 2 2 2 2 2" xfId="970"/>
    <cellStyle name="Normal 2 2 2 3" xfId="971"/>
    <cellStyle name="Normal 2 2 2 4" xfId="972"/>
    <cellStyle name="Normal 2 2 2 5" xfId="973"/>
    <cellStyle name="Normal 2 2 2 6" xfId="974"/>
    <cellStyle name="Normal 2 2 3" xfId="975"/>
    <cellStyle name="Normal 2 2 4" xfId="976"/>
    <cellStyle name="Normal 2 2 4 2" xfId="977"/>
    <cellStyle name="Normal 2 2 5" xfId="978"/>
    <cellStyle name="Normal 2 2 6" xfId="979"/>
    <cellStyle name="Normal 2 2 7" xfId="980"/>
    <cellStyle name="Normal 2 3" xfId="981"/>
    <cellStyle name="Normal 2 4" xfId="982"/>
    <cellStyle name="Normal 2 5" xfId="983"/>
    <cellStyle name="Normal 2 6" xfId="984"/>
    <cellStyle name="Normal 2 7" xfId="985"/>
    <cellStyle name="Normal 2 8" xfId="986"/>
    <cellStyle name="Normal 2 9" xfId="987"/>
    <cellStyle name="Normal 3" xfId="988"/>
    <cellStyle name="Normal 3 2" xfId="989"/>
    <cellStyle name="Normal 3 3" xfId="990"/>
    <cellStyle name="Normal 3 4" xfId="991"/>
    <cellStyle name="Normal 3 5" xfId="992"/>
    <cellStyle name="Normal 3 6" xfId="993"/>
    <cellStyle name="Normal 3 7" xfId="994"/>
    <cellStyle name="Normal 4" xfId="995"/>
    <cellStyle name="Normal 4 2" xfId="996"/>
    <cellStyle name="Normal 4 3" xfId="997"/>
    <cellStyle name="Normal 4 4" xfId="998"/>
    <cellStyle name="Normal 4 5" xfId="999"/>
    <cellStyle name="Normal 4 6" xfId="1000"/>
    <cellStyle name="Normal 41" xfId="1001"/>
    <cellStyle name="Normal 41 10" xfId="1002"/>
    <cellStyle name="Normal 41 11" xfId="1003"/>
    <cellStyle name="Normal 41 12" xfId="1004"/>
    <cellStyle name="Normal 41 13" xfId="1005"/>
    <cellStyle name="Normal 41 14" xfId="1006"/>
    <cellStyle name="Normal 41 15" xfId="1007"/>
    <cellStyle name="Normal 41 16" xfId="1008"/>
    <cellStyle name="Normal 41 17" xfId="1009"/>
    <cellStyle name="Normal 41 2" xfId="1010"/>
    <cellStyle name="Normal 41 3" xfId="1011"/>
    <cellStyle name="Normal 41 4" xfId="1012"/>
    <cellStyle name="Normal 41 5" xfId="1013"/>
    <cellStyle name="Normal 41 6" xfId="1014"/>
    <cellStyle name="Normal 41 7" xfId="1015"/>
    <cellStyle name="Normal 41 8" xfId="1016"/>
    <cellStyle name="Normal 41 9" xfId="1017"/>
    <cellStyle name="Normal 42" xfId="1018"/>
    <cellStyle name="Normal 42 10" xfId="1019"/>
    <cellStyle name="Normal 42 11" xfId="1020"/>
    <cellStyle name="Normal 42 12" xfId="1021"/>
    <cellStyle name="Normal 42 13" xfId="1022"/>
    <cellStyle name="Normal 42 14" xfId="1023"/>
    <cellStyle name="Normal 42 15" xfId="1024"/>
    <cellStyle name="Normal 42 16" xfId="1025"/>
    <cellStyle name="Normal 42 17" xfId="1026"/>
    <cellStyle name="Normal 42 2" xfId="1027"/>
    <cellStyle name="Normal 42 3" xfId="1028"/>
    <cellStyle name="Normal 42 4" xfId="1029"/>
    <cellStyle name="Normal 42 5" xfId="1030"/>
    <cellStyle name="Normal 42 6" xfId="1031"/>
    <cellStyle name="Normal 42 7" xfId="1032"/>
    <cellStyle name="Normal 42 8" xfId="1033"/>
    <cellStyle name="Normal 42 9" xfId="1034"/>
    <cellStyle name="Normal 43" xfId="1035"/>
    <cellStyle name="Normal 43 10" xfId="1036"/>
    <cellStyle name="Normal 43 11" xfId="1037"/>
    <cellStyle name="Normal 43 12" xfId="1038"/>
    <cellStyle name="Normal 43 13" xfId="1039"/>
    <cellStyle name="Normal 43 14" xfId="1040"/>
    <cellStyle name="Normal 43 15" xfId="1041"/>
    <cellStyle name="Normal 43 16" xfId="1042"/>
    <cellStyle name="Normal 43 17" xfId="1043"/>
    <cellStyle name="Normal 43 2" xfId="1044"/>
    <cellStyle name="Normal 43 3" xfId="1045"/>
    <cellStyle name="Normal 43 4" xfId="1046"/>
    <cellStyle name="Normal 43 5" xfId="1047"/>
    <cellStyle name="Normal 43 6" xfId="1048"/>
    <cellStyle name="Normal 43 7" xfId="1049"/>
    <cellStyle name="Normal 43 8" xfId="1050"/>
    <cellStyle name="Normal 43 9" xfId="1051"/>
    <cellStyle name="Normal 44" xfId="1052"/>
    <cellStyle name="Normal 44 10" xfId="1053"/>
    <cellStyle name="Normal 44 11" xfId="1054"/>
    <cellStyle name="Normal 44 12" xfId="1055"/>
    <cellStyle name="Normal 44 13" xfId="1056"/>
    <cellStyle name="Normal 44 14" xfId="1057"/>
    <cellStyle name="Normal 44 15" xfId="1058"/>
    <cellStyle name="Normal 44 16" xfId="1059"/>
    <cellStyle name="Normal 44 17" xfId="1060"/>
    <cellStyle name="Normal 44 2" xfId="1061"/>
    <cellStyle name="Normal 44 3" xfId="1062"/>
    <cellStyle name="Normal 44 4" xfId="1063"/>
    <cellStyle name="Normal 44 5" xfId="1064"/>
    <cellStyle name="Normal 44 6" xfId="1065"/>
    <cellStyle name="Normal 44 7" xfId="1066"/>
    <cellStyle name="Normal 44 8" xfId="1067"/>
    <cellStyle name="Normal 44 9" xfId="1068"/>
    <cellStyle name="Normal 45" xfId="1069"/>
    <cellStyle name="Normal 45 10" xfId="1070"/>
    <cellStyle name="Normal 45 11" xfId="1071"/>
    <cellStyle name="Normal 45 12" xfId="1072"/>
    <cellStyle name="Normal 45 13" xfId="1073"/>
    <cellStyle name="Normal 45 14" xfId="1074"/>
    <cellStyle name="Normal 45 15" xfId="1075"/>
    <cellStyle name="Normal 45 16" xfId="1076"/>
    <cellStyle name="Normal 45 17" xfId="1077"/>
    <cellStyle name="Normal 45 2" xfId="1078"/>
    <cellStyle name="Normal 45 3" xfId="1079"/>
    <cellStyle name="Normal 45 4" xfId="1080"/>
    <cellStyle name="Normal 45 5" xfId="1081"/>
    <cellStyle name="Normal 45 6" xfId="1082"/>
    <cellStyle name="Normal 45 7" xfId="1083"/>
    <cellStyle name="Normal 45 8" xfId="1084"/>
    <cellStyle name="Normal 45 9" xfId="1085"/>
    <cellStyle name="Normal 46" xfId="1086"/>
    <cellStyle name="Normal 46 10" xfId="1087"/>
    <cellStyle name="Normal 46 11" xfId="1088"/>
    <cellStyle name="Normal 46 12" xfId="1089"/>
    <cellStyle name="Normal 46 13" xfId="1090"/>
    <cellStyle name="Normal 46 14" xfId="1091"/>
    <cellStyle name="Normal 46 15" xfId="1092"/>
    <cellStyle name="Normal 46 16" xfId="1093"/>
    <cellStyle name="Normal 46 17" xfId="1094"/>
    <cellStyle name="Normal 46 2" xfId="1095"/>
    <cellStyle name="Normal 46 3" xfId="1096"/>
    <cellStyle name="Normal 46 4" xfId="1097"/>
    <cellStyle name="Normal 46 5" xfId="1098"/>
    <cellStyle name="Normal 46 6" xfId="1099"/>
    <cellStyle name="Normal 46 7" xfId="1100"/>
    <cellStyle name="Normal 46 8" xfId="1101"/>
    <cellStyle name="Normal 46 9" xfId="1102"/>
    <cellStyle name="Normal 47" xfId="1103"/>
    <cellStyle name="Normal 47 10" xfId="1104"/>
    <cellStyle name="Normal 47 11" xfId="1105"/>
    <cellStyle name="Normal 47 12" xfId="1106"/>
    <cellStyle name="Normal 47 13" xfId="1107"/>
    <cellStyle name="Normal 47 14" xfId="1108"/>
    <cellStyle name="Normal 47 15" xfId="1109"/>
    <cellStyle name="Normal 47 16" xfId="1110"/>
    <cellStyle name="Normal 47 17" xfId="1111"/>
    <cellStyle name="Normal 47 2" xfId="1112"/>
    <cellStyle name="Normal 47 3" xfId="1113"/>
    <cellStyle name="Normal 47 4" xfId="1114"/>
    <cellStyle name="Normal 47 5" xfId="1115"/>
    <cellStyle name="Normal 47 6" xfId="1116"/>
    <cellStyle name="Normal 47 7" xfId="1117"/>
    <cellStyle name="Normal 47 8" xfId="1118"/>
    <cellStyle name="Normal 47 9" xfId="1119"/>
    <cellStyle name="Normal 48" xfId="1120"/>
    <cellStyle name="Normal 48 10" xfId="1121"/>
    <cellStyle name="Normal 48 11" xfId="1122"/>
    <cellStyle name="Normal 48 12" xfId="1123"/>
    <cellStyle name="Normal 48 13" xfId="1124"/>
    <cellStyle name="Normal 48 14" xfId="1125"/>
    <cellStyle name="Normal 48 15" xfId="1126"/>
    <cellStyle name="Normal 48 16" xfId="1127"/>
    <cellStyle name="Normal 48 17" xfId="1128"/>
    <cellStyle name="Normal 48 2" xfId="1129"/>
    <cellStyle name="Normal 48 3" xfId="1130"/>
    <cellStyle name="Normal 48 4" xfId="1131"/>
    <cellStyle name="Normal 48 5" xfId="1132"/>
    <cellStyle name="Normal 48 6" xfId="1133"/>
    <cellStyle name="Normal 48 7" xfId="1134"/>
    <cellStyle name="Normal 48 8" xfId="1135"/>
    <cellStyle name="Normal 48 9" xfId="1136"/>
    <cellStyle name="Normal 49" xfId="1137"/>
    <cellStyle name="Normal 49 10" xfId="1138"/>
    <cellStyle name="Normal 49 11" xfId="1139"/>
    <cellStyle name="Normal 49 12" xfId="1140"/>
    <cellStyle name="Normal 49 13" xfId="1141"/>
    <cellStyle name="Normal 49 14" xfId="1142"/>
    <cellStyle name="Normal 49 15" xfId="1143"/>
    <cellStyle name="Normal 49 16" xfId="1144"/>
    <cellStyle name="Normal 49 17" xfId="1145"/>
    <cellStyle name="Normal 49 2" xfId="1146"/>
    <cellStyle name="Normal 49 3" xfId="1147"/>
    <cellStyle name="Normal 49 4" xfId="1148"/>
    <cellStyle name="Normal 49 5" xfId="1149"/>
    <cellStyle name="Normal 49 6" xfId="1150"/>
    <cellStyle name="Normal 49 7" xfId="1151"/>
    <cellStyle name="Normal 49 8" xfId="1152"/>
    <cellStyle name="Normal 49 9" xfId="1153"/>
    <cellStyle name="Normal 5" xfId="1154"/>
    <cellStyle name="Normal 5 2" xfId="1155"/>
    <cellStyle name="Normal 5 3" xfId="1156"/>
    <cellStyle name="Normal 5 4" xfId="1157"/>
    <cellStyle name="Normal 50" xfId="1158"/>
    <cellStyle name="Normal 50 10" xfId="1159"/>
    <cellStyle name="Normal 50 11" xfId="1160"/>
    <cellStyle name="Normal 50 12" xfId="1161"/>
    <cellStyle name="Normal 50 13" xfId="1162"/>
    <cellStyle name="Normal 50 14" xfId="1163"/>
    <cellStyle name="Normal 50 15" xfId="1164"/>
    <cellStyle name="Normal 50 16" xfId="1165"/>
    <cellStyle name="Normal 50 17" xfId="1166"/>
    <cellStyle name="Normal 50 2" xfId="1167"/>
    <cellStyle name="Normal 50 3" xfId="1168"/>
    <cellStyle name="Normal 50 4" xfId="1169"/>
    <cellStyle name="Normal 50 5" xfId="1170"/>
    <cellStyle name="Normal 50 6" xfId="1171"/>
    <cellStyle name="Normal 50 7" xfId="1172"/>
    <cellStyle name="Normal 50 8" xfId="1173"/>
    <cellStyle name="Normal 50 9" xfId="1174"/>
    <cellStyle name="Normal 51" xfId="1175"/>
    <cellStyle name="Normal 51 10" xfId="1176"/>
    <cellStyle name="Normal 51 11" xfId="1177"/>
    <cellStyle name="Normal 51 12" xfId="1178"/>
    <cellStyle name="Normal 51 13" xfId="1179"/>
    <cellStyle name="Normal 51 14" xfId="1180"/>
    <cellStyle name="Normal 51 15" xfId="1181"/>
    <cellStyle name="Normal 51 16" xfId="1182"/>
    <cellStyle name="Normal 51 17" xfId="1183"/>
    <cellStyle name="Normal 51 2" xfId="1184"/>
    <cellStyle name="Normal 51 3" xfId="1185"/>
    <cellStyle name="Normal 51 4" xfId="1186"/>
    <cellStyle name="Normal 51 5" xfId="1187"/>
    <cellStyle name="Normal 51 6" xfId="1188"/>
    <cellStyle name="Normal 51 7" xfId="1189"/>
    <cellStyle name="Normal 51 8" xfId="1190"/>
    <cellStyle name="Normal 51 9" xfId="1191"/>
    <cellStyle name="Normal 52" xfId="1192"/>
    <cellStyle name="Normal 53" xfId="1193"/>
    <cellStyle name="Normal 54" xfId="1194"/>
    <cellStyle name="Normal 54 10" xfId="1195"/>
    <cellStyle name="Normal 54 11" xfId="1196"/>
    <cellStyle name="Normal 54 12" xfId="1197"/>
    <cellStyle name="Normal 54 13" xfId="1198"/>
    <cellStyle name="Normal 54 14" xfId="1199"/>
    <cellStyle name="Normal 54 15" xfId="1200"/>
    <cellStyle name="Normal 54 16" xfId="1201"/>
    <cellStyle name="Normal 54 17" xfId="1202"/>
    <cellStyle name="Normal 54 2" xfId="1203"/>
    <cellStyle name="Normal 54 3" xfId="1204"/>
    <cellStyle name="Normal 54 4" xfId="1205"/>
    <cellStyle name="Normal 54 5" xfId="1206"/>
    <cellStyle name="Normal 54 6" xfId="1207"/>
    <cellStyle name="Normal 54 7" xfId="1208"/>
    <cellStyle name="Normal 54 8" xfId="1209"/>
    <cellStyle name="Normal 54 9" xfId="1210"/>
    <cellStyle name="Normal 55" xfId="1211"/>
    <cellStyle name="Normal 55 10" xfId="1212"/>
    <cellStyle name="Normal 55 11" xfId="1213"/>
    <cellStyle name="Normal 55 12" xfId="1214"/>
    <cellStyle name="Normal 55 13" xfId="1215"/>
    <cellStyle name="Normal 55 14" xfId="1216"/>
    <cellStyle name="Normal 55 15" xfId="1217"/>
    <cellStyle name="Normal 55 16" xfId="1218"/>
    <cellStyle name="Normal 55 17" xfId="1219"/>
    <cellStyle name="Normal 55 2" xfId="1220"/>
    <cellStyle name="Normal 55 3" xfId="1221"/>
    <cellStyle name="Normal 55 4" xfId="1222"/>
    <cellStyle name="Normal 55 5" xfId="1223"/>
    <cellStyle name="Normal 55 6" xfId="1224"/>
    <cellStyle name="Normal 55 7" xfId="1225"/>
    <cellStyle name="Normal 55 8" xfId="1226"/>
    <cellStyle name="Normal 55 9" xfId="1227"/>
    <cellStyle name="Normal 57" xfId="1228"/>
    <cellStyle name="Normal 57 10" xfId="1229"/>
    <cellStyle name="Normal 57 11" xfId="1230"/>
    <cellStyle name="Normal 57 12" xfId="1231"/>
    <cellStyle name="Normal 57 13" xfId="1232"/>
    <cellStyle name="Normal 57 14" xfId="1233"/>
    <cellStyle name="Normal 57 15" xfId="1234"/>
    <cellStyle name="Normal 57 16" xfId="1235"/>
    <cellStyle name="Normal 57 17" xfId="1236"/>
    <cellStyle name="Normal 57 2" xfId="1237"/>
    <cellStyle name="Normal 57 3" xfId="1238"/>
    <cellStyle name="Normal 57 4" xfId="1239"/>
    <cellStyle name="Normal 57 5" xfId="1240"/>
    <cellStyle name="Normal 57 6" xfId="1241"/>
    <cellStyle name="Normal 57 7" xfId="1242"/>
    <cellStyle name="Normal 57 8" xfId="1243"/>
    <cellStyle name="Normal 57 9" xfId="1244"/>
    <cellStyle name="Normal 58" xfId="1245"/>
    <cellStyle name="Normal 59" xfId="1246"/>
    <cellStyle name="Normal 6" xfId="1247"/>
    <cellStyle name="Normal 6 2" xfId="1248"/>
    <cellStyle name="Normal 6 3" xfId="1249"/>
    <cellStyle name="Normal 6 4" xfId="1250"/>
    <cellStyle name="Normal 62" xfId="1251"/>
    <cellStyle name="Normal 66 10" xfId="1252"/>
    <cellStyle name="Normal 66 2" xfId="1253"/>
    <cellStyle name="Normal 66 3" xfId="1254"/>
    <cellStyle name="Normal 66 4" xfId="1255"/>
    <cellStyle name="Normal 66 5" xfId="1256"/>
    <cellStyle name="Normal 66 6" xfId="1257"/>
    <cellStyle name="Normal 66 7" xfId="1258"/>
    <cellStyle name="Normal 66 8" xfId="1259"/>
    <cellStyle name="Normal 66 9" xfId="1260"/>
    <cellStyle name="Normal 7" xfId="1261"/>
    <cellStyle name="Normal 7 10" xfId="1262"/>
    <cellStyle name="Normal 7 10 2" xfId="1263"/>
    <cellStyle name="Normal 7 10 3" xfId="1264"/>
    <cellStyle name="Normal 7 11" xfId="1265"/>
    <cellStyle name="Normal 7 11 2" xfId="1266"/>
    <cellStyle name="Normal 7 11 3" xfId="1267"/>
    <cellStyle name="Normal 7 12" xfId="1268"/>
    <cellStyle name="Normal 7 12 2" xfId="1269"/>
    <cellStyle name="Normal 7 12 3" xfId="1270"/>
    <cellStyle name="Normal 7 13" xfId="1271"/>
    <cellStyle name="Normal 7 13 2" xfId="1272"/>
    <cellStyle name="Normal 7 13 3" xfId="1273"/>
    <cellStyle name="Normal 7 14" xfId="1274"/>
    <cellStyle name="Normal 7 14 2" xfId="1275"/>
    <cellStyle name="Normal 7 14 3" xfId="1276"/>
    <cellStyle name="Normal 7 15" xfId="1277"/>
    <cellStyle name="Normal 7 15 2" xfId="1278"/>
    <cellStyle name="Normal 7 15 3" xfId="1279"/>
    <cellStyle name="Normal 7 16" xfId="1280"/>
    <cellStyle name="Normal 7 17" xfId="1281"/>
    <cellStyle name="Normal 7 17 2" xfId="1282"/>
    <cellStyle name="Normal 7 17 3" xfId="1283"/>
    <cellStyle name="Normal 7 18" xfId="1284"/>
    <cellStyle name="Normal 7 18 2" xfId="1285"/>
    <cellStyle name="Normal 7 18 3" xfId="1286"/>
    <cellStyle name="Normal 7 19" xfId="1287"/>
    <cellStyle name="Normal 7 19 2" xfId="1288"/>
    <cellStyle name="Normal 7 19 3" xfId="1289"/>
    <cellStyle name="Normal 7 2" xfId="1290"/>
    <cellStyle name="Normal 7 2 2" xfId="1291"/>
    <cellStyle name="Normal 7 2 2 2" xfId="1292"/>
    <cellStyle name="Normal 7 2 2 3" xfId="1293"/>
    <cellStyle name="Normal 7 2 2 4" xfId="1294"/>
    <cellStyle name="Normal 7 2 3" xfId="1295"/>
    <cellStyle name="Normal 7 2 4" xfId="1296"/>
    <cellStyle name="Normal 7 2 5" xfId="1297"/>
    <cellStyle name="Normal 7 2 6" xfId="1298"/>
    <cellStyle name="Normal 7 20" xfId="1299"/>
    <cellStyle name="Normal 7 21" xfId="1300"/>
    <cellStyle name="Normal 7 3" xfId="1301"/>
    <cellStyle name="Normal 7 4" xfId="1302"/>
    <cellStyle name="Normal 7 4 2" xfId="1303"/>
    <cellStyle name="Normal 7 4 3" xfId="1304"/>
    <cellStyle name="Normal 7 5" xfId="1305"/>
    <cellStyle name="Normal 7 5 2" xfId="1306"/>
    <cellStyle name="Normal 7 5 3" xfId="1307"/>
    <cellStyle name="Normal 7 6" xfId="1308"/>
    <cellStyle name="Normal 7 6 2" xfId="1309"/>
    <cellStyle name="Normal 7 6 3" xfId="1310"/>
    <cellStyle name="Normal 7 7" xfId="1311"/>
    <cellStyle name="Normal 7 7 2" xfId="1312"/>
    <cellStyle name="Normal 7 7 3" xfId="1313"/>
    <cellStyle name="Normal 7 8" xfId="1314"/>
    <cellStyle name="Normal 7 8 2" xfId="1315"/>
    <cellStyle name="Normal 7 8 3" xfId="1316"/>
    <cellStyle name="Normal 7 9" xfId="1317"/>
    <cellStyle name="Normal 7 9 2" xfId="1318"/>
    <cellStyle name="Normal 7 9 3" xfId="1319"/>
    <cellStyle name="Normal 76" xfId="1320"/>
    <cellStyle name="Normal 77" xfId="1321"/>
    <cellStyle name="Normal 78" xfId="1322"/>
    <cellStyle name="Normal 79" xfId="1323"/>
    <cellStyle name="Normal 8" xfId="1324"/>
    <cellStyle name="Normal 8 2" xfId="1325"/>
    <cellStyle name="Normal 8 3" xfId="1326"/>
    <cellStyle name="Normal 8 4" xfId="1327"/>
    <cellStyle name="Normal 8 5" xfId="1328"/>
    <cellStyle name="Normal 8 6" xfId="1329"/>
    <cellStyle name="Normal 80" xfId="1330"/>
    <cellStyle name="Normal 84" xfId="1331"/>
    <cellStyle name="Normal 85" xfId="1332"/>
    <cellStyle name="Normal 87" xfId="1333"/>
    <cellStyle name="Normal 87 10" xfId="1334"/>
    <cellStyle name="Normal 87 2" xfId="1335"/>
    <cellStyle name="Normal 87 3" xfId="1336"/>
    <cellStyle name="Normal 87 4" xfId="1337"/>
    <cellStyle name="Normal 87 5" xfId="1338"/>
    <cellStyle name="Normal 87 6" xfId="1339"/>
    <cellStyle name="Normal 87 7" xfId="1340"/>
    <cellStyle name="Normal 87 8" xfId="1341"/>
    <cellStyle name="Normal 87 9" xfId="1342"/>
    <cellStyle name="Normal 9" xfId="1343"/>
    <cellStyle name="Normal 9 2" xfId="1344"/>
    <cellStyle name="Normal 9 3" xfId="1345"/>
    <cellStyle name="Normal 93 2" xfId="1346"/>
    <cellStyle name="Normal 93 3" xfId="1347"/>
    <cellStyle name="Normal 94 2" xfId="1348"/>
    <cellStyle name="Normal 94 3" xfId="1349"/>
    <cellStyle name="Normal 95" xfId="1350"/>
    <cellStyle name="Normal 95 2" xfId="1351"/>
    <cellStyle name="Normal 95 3" xfId="1352"/>
    <cellStyle name="Normal 97" xfId="1353"/>
    <cellStyle name="Normal 97 2" xfId="1354"/>
    <cellStyle name="Normal 97 3" xfId="1355"/>
    <cellStyle name="Normal 98 2" xfId="1356"/>
    <cellStyle name="Normal 98 3" xfId="1357"/>
    <cellStyle name="Normal 99 2" xfId="1358"/>
    <cellStyle name="Normal 99 3" xfId="1359"/>
    <cellStyle name="Normal2" xfId="1360"/>
    <cellStyle name="Note 2" xfId="1361"/>
    <cellStyle name="Note 2 10" xfId="1362"/>
    <cellStyle name="Note 2 11" xfId="1363"/>
    <cellStyle name="Note 2 12" xfId="1364"/>
    <cellStyle name="Note 2 13" xfId="1365"/>
    <cellStyle name="Note 2 14" xfId="1366"/>
    <cellStyle name="Note 2 15" xfId="1367"/>
    <cellStyle name="Note 2 16" xfId="1368"/>
    <cellStyle name="Note 2 17" xfId="1369"/>
    <cellStyle name="Note 2 2" xfId="1370"/>
    <cellStyle name="Note 2 3" xfId="1371"/>
    <cellStyle name="Note 2 4" xfId="1372"/>
    <cellStyle name="Note 2 5" xfId="1373"/>
    <cellStyle name="Note 2 6" xfId="1374"/>
    <cellStyle name="Note 2 7" xfId="1375"/>
    <cellStyle name="Note 2 8" xfId="1376"/>
    <cellStyle name="Note 2 9" xfId="1377"/>
    <cellStyle name="Note 3" xfId="1378"/>
    <cellStyle name="Note 3 10" xfId="1379"/>
    <cellStyle name="Note 3 11" xfId="1380"/>
    <cellStyle name="Note 3 12" xfId="1381"/>
    <cellStyle name="Note 3 13" xfId="1382"/>
    <cellStyle name="Note 3 14" xfId="1383"/>
    <cellStyle name="Note 3 15" xfId="1384"/>
    <cellStyle name="Note 3 16" xfId="1385"/>
    <cellStyle name="Note 3 17" xfId="1386"/>
    <cellStyle name="Note 3 2" xfId="1387"/>
    <cellStyle name="Note 3 3" xfId="1388"/>
    <cellStyle name="Note 3 4" xfId="1389"/>
    <cellStyle name="Note 3 5" xfId="1390"/>
    <cellStyle name="Note 3 6" xfId="1391"/>
    <cellStyle name="Note 3 7" xfId="1392"/>
    <cellStyle name="Note 3 8" xfId="1393"/>
    <cellStyle name="Note 3 9" xfId="1394"/>
    <cellStyle name="Note 4" xfId="1395"/>
    <cellStyle name="Note 4 2" xfId="1396"/>
    <cellStyle name="Note 4 3" xfId="1397"/>
    <cellStyle name="Note 5" xfId="1398"/>
    <cellStyle name="Note 6" xfId="1399"/>
    <cellStyle name="Obsolete" xfId="1400"/>
    <cellStyle name="Œ…‹æØ‚è [0.00]_laroux" xfId="1401"/>
    <cellStyle name="Œ…‹æØ‚è_laroux" xfId="1402"/>
    <cellStyle name="Output 2" xfId="1403"/>
    <cellStyle name="Output 2 2" xfId="1404"/>
    <cellStyle name="Output 2 3" xfId="1405"/>
    <cellStyle name="Output 3" xfId="1406"/>
    <cellStyle name="Output 4" xfId="1407"/>
    <cellStyle name="Output Amounts" xfId="1408"/>
    <cellStyle name="Output Amounts 2" xfId="1409"/>
    <cellStyle name="Output Amounts 3" xfId="1410"/>
    <cellStyle name="Output Amounts 4" xfId="1411"/>
    <cellStyle name="Output Column Headings" xfId="1412"/>
    <cellStyle name="Output Column Headings 2" xfId="1413"/>
    <cellStyle name="Output Column Headings 3" xfId="1414"/>
    <cellStyle name="Output Column Headings 4" xfId="1415"/>
    <cellStyle name="Output Line Items" xfId="1416"/>
    <cellStyle name="Output Line Items 2" xfId="1417"/>
    <cellStyle name="Output Line Items 3" xfId="1418"/>
    <cellStyle name="Output Line Items 4" xfId="1419"/>
    <cellStyle name="Output Report Heading" xfId="1420"/>
    <cellStyle name="Output Report Heading 2" xfId="1421"/>
    <cellStyle name="Output Report Heading 3" xfId="1422"/>
    <cellStyle name="Output Report Heading 4" xfId="1423"/>
    <cellStyle name="Output Report Title" xfId="1424"/>
    <cellStyle name="Output Report Title 2" xfId="1425"/>
    <cellStyle name="Output Report Title 3" xfId="1426"/>
    <cellStyle name="Output Report Title 4" xfId="1427"/>
    <cellStyle name="OverWrForm" xfId="1428"/>
    <cellStyle name="OverWrForm(2)" xfId="1429"/>
    <cellStyle name="OverWrPerc(2)" xfId="1430"/>
    <cellStyle name="Percent" xfId="1" builtinId="5"/>
    <cellStyle name="Percent (0)" xfId="1431"/>
    <cellStyle name="Percent [0]" xfId="1432"/>
    <cellStyle name="Percent [00]" xfId="1433"/>
    <cellStyle name="Percent [2]" xfId="1434"/>
    <cellStyle name="Percent [2] 2" xfId="1435"/>
    <cellStyle name="Percent [2] 3" xfId="1436"/>
    <cellStyle name="Percent [2] 4" xfId="1437"/>
    <cellStyle name="Percent 10" xfId="1438"/>
    <cellStyle name="Percent 11" xfId="1439"/>
    <cellStyle name="Percent 12" xfId="1440"/>
    <cellStyle name="Percent 13" xfId="1441"/>
    <cellStyle name="Percent 14" xfId="1442"/>
    <cellStyle name="Percent 15" xfId="1443"/>
    <cellStyle name="Percent 15 10" xfId="1444"/>
    <cellStyle name="Percent 15 11" xfId="1445"/>
    <cellStyle name="Percent 15 12" xfId="1446"/>
    <cellStyle name="Percent 15 13" xfId="1447"/>
    <cellStyle name="Percent 15 14" xfId="1448"/>
    <cellStyle name="Percent 15 15" xfId="1449"/>
    <cellStyle name="Percent 15 16" xfId="1450"/>
    <cellStyle name="Percent 15 17" xfId="1451"/>
    <cellStyle name="Percent 15 18" xfId="1452"/>
    <cellStyle name="Percent 15 19" xfId="1453"/>
    <cellStyle name="Percent 15 2" xfId="1454"/>
    <cellStyle name="Percent 15 3" xfId="1455"/>
    <cellStyle name="Percent 15 4" xfId="1456"/>
    <cellStyle name="Percent 15 5" xfId="1457"/>
    <cellStyle name="Percent 15 6" xfId="1458"/>
    <cellStyle name="Percent 15 7" xfId="1459"/>
    <cellStyle name="Percent 15 8" xfId="1460"/>
    <cellStyle name="Percent 15 9" xfId="1461"/>
    <cellStyle name="Percent 16" xfId="1462"/>
    <cellStyle name="Percent 17" xfId="1463"/>
    <cellStyle name="Percent 2" xfId="1464"/>
    <cellStyle name="Percent 2 10" xfId="1465"/>
    <cellStyle name="Percent 2 11" xfId="1466"/>
    <cellStyle name="Percent 2 12" xfId="1467"/>
    <cellStyle name="Percent 2 13" xfId="1468"/>
    <cellStyle name="Percent 2 14" xfId="1469"/>
    <cellStyle name="Percent 2 15" xfId="1470"/>
    <cellStyle name="Percent 2 16" xfId="1471"/>
    <cellStyle name="Percent 2 17" xfId="1472"/>
    <cellStyle name="Percent 2 18" xfId="1473"/>
    <cellStyle name="Percent 2 19" xfId="1474"/>
    <cellStyle name="Percent 2 2" xfId="1475"/>
    <cellStyle name="Percent 2 20" xfId="1476"/>
    <cellStyle name="Percent 2 21" xfId="1477"/>
    <cellStyle name="Percent 2 22" xfId="1478"/>
    <cellStyle name="Percent 2 23" xfId="1479"/>
    <cellStyle name="Percent 2 24" xfId="1480"/>
    <cellStyle name="Percent 2 25" xfId="1481"/>
    <cellStyle name="Percent 2 26" xfId="1482"/>
    <cellStyle name="Percent 2 27" xfId="1483"/>
    <cellStyle name="Percent 2 28" xfId="1484"/>
    <cellStyle name="Percent 2 29" xfId="1485"/>
    <cellStyle name="Percent 2 3" xfId="1486"/>
    <cellStyle name="Percent 2 30" xfId="1487"/>
    <cellStyle name="Percent 2 31" xfId="1488"/>
    <cellStyle name="Percent 2 32" xfId="1489"/>
    <cellStyle name="Percent 2 33" xfId="1490"/>
    <cellStyle name="Percent 2 34" xfId="1491"/>
    <cellStyle name="Percent 2 35" xfId="1492"/>
    <cellStyle name="Percent 2 36" xfId="1493"/>
    <cellStyle name="Percent 2 37" xfId="1494"/>
    <cellStyle name="Percent 2 4" xfId="1495"/>
    <cellStyle name="Percent 2 5" xfId="1496"/>
    <cellStyle name="Percent 2 6" xfId="1497"/>
    <cellStyle name="Percent 2 7" xfId="1498"/>
    <cellStyle name="Percent 2 8" xfId="1499"/>
    <cellStyle name="Percent 2 9" xfId="1500"/>
    <cellStyle name="Percent 3" xfId="1501"/>
    <cellStyle name="Percent 4" xfId="1502"/>
    <cellStyle name="Percent 4 2" xfId="1503"/>
    <cellStyle name="Percent 5" xfId="1504"/>
    <cellStyle name="Percent 5 2" xfId="1505"/>
    <cellStyle name="Percent 5 3" xfId="1506"/>
    <cellStyle name="Percent 5 4" xfId="1507"/>
    <cellStyle name="Percent 6" xfId="1508"/>
    <cellStyle name="Percent 7" xfId="1509"/>
    <cellStyle name="Percent 8" xfId="1510"/>
    <cellStyle name="Percent 9" xfId="1511"/>
    <cellStyle name="Percent Comma" xfId="1512"/>
    <cellStyle name="PrePop Currency (0)" xfId="1513"/>
    <cellStyle name="PrePop Currency (2)" xfId="1514"/>
    <cellStyle name="PrePop Units (0)" xfId="1515"/>
    <cellStyle name="PrePop Units (1)" xfId="1516"/>
    <cellStyle name="PrePop Units (2)" xfId="1517"/>
    <cellStyle name="PSChar" xfId="1518"/>
    <cellStyle name="PSDate" xfId="1519"/>
    <cellStyle name="PSDec" xfId="1520"/>
    <cellStyle name="PSHeading" xfId="1521"/>
    <cellStyle name="PSInt" xfId="1522"/>
    <cellStyle name="PSSpacer" xfId="1523"/>
    <cellStyle name="rate" xfId="1524"/>
    <cellStyle name="Ratio" xfId="1525"/>
    <cellStyle name="Ratio 2" xfId="1526"/>
    <cellStyle name="Ratio 2 10" xfId="1527"/>
    <cellStyle name="Ratio 2 11" xfId="1528"/>
    <cellStyle name="Ratio 2 12" xfId="1529"/>
    <cellStyle name="Ratio 2 13" xfId="1530"/>
    <cellStyle name="Ratio 2 14" xfId="1531"/>
    <cellStyle name="Ratio 2 15" xfId="1532"/>
    <cellStyle name="Ratio 2 16" xfId="1533"/>
    <cellStyle name="Ratio 2 17" xfId="1534"/>
    <cellStyle name="Ratio 2 18" xfId="1535"/>
    <cellStyle name="Ratio 2 19" xfId="1536"/>
    <cellStyle name="Ratio 2 2" xfId="1537"/>
    <cellStyle name="Ratio 2 3" xfId="1538"/>
    <cellStyle name="Ratio 2 4" xfId="1539"/>
    <cellStyle name="Ratio 2 5" xfId="1540"/>
    <cellStyle name="Ratio 2 6" xfId="1541"/>
    <cellStyle name="Ratio 2 7" xfId="1542"/>
    <cellStyle name="Ratio 2 8" xfId="1543"/>
    <cellStyle name="Ratio 2 9" xfId="1544"/>
    <cellStyle name="Ratio 3" xfId="1545"/>
    <cellStyle name="Ratio 3 10" xfId="1546"/>
    <cellStyle name="Ratio 3 11" xfId="1547"/>
    <cellStyle name="Ratio 3 12" xfId="1548"/>
    <cellStyle name="Ratio 3 13" xfId="1549"/>
    <cellStyle name="Ratio 3 14" xfId="1550"/>
    <cellStyle name="Ratio 3 15" xfId="1551"/>
    <cellStyle name="Ratio 3 16" xfId="1552"/>
    <cellStyle name="Ratio 3 17" xfId="1553"/>
    <cellStyle name="Ratio 3 18" xfId="1554"/>
    <cellStyle name="Ratio 3 19" xfId="1555"/>
    <cellStyle name="Ratio 3 2" xfId="1556"/>
    <cellStyle name="Ratio 3 3" xfId="1557"/>
    <cellStyle name="Ratio 3 4" xfId="1558"/>
    <cellStyle name="Ratio 3 5" xfId="1559"/>
    <cellStyle name="Ratio 3 6" xfId="1560"/>
    <cellStyle name="Ratio 3 7" xfId="1561"/>
    <cellStyle name="Ratio 3 8" xfId="1562"/>
    <cellStyle name="Ratio 3 9" xfId="1563"/>
    <cellStyle name="Ratio 4" xfId="1564"/>
    <cellStyle name="Ratio 4 10" xfId="1565"/>
    <cellStyle name="Ratio 4 11" xfId="1566"/>
    <cellStyle name="Ratio 4 12" xfId="1567"/>
    <cellStyle name="Ratio 4 13" xfId="1568"/>
    <cellStyle name="Ratio 4 14" xfId="1569"/>
    <cellStyle name="Ratio 4 15" xfId="1570"/>
    <cellStyle name="Ratio 4 16" xfId="1571"/>
    <cellStyle name="Ratio 4 17" xfId="1572"/>
    <cellStyle name="Ratio 4 18" xfId="1573"/>
    <cellStyle name="Ratio 4 19" xfId="1574"/>
    <cellStyle name="Ratio 4 2" xfId="1575"/>
    <cellStyle name="Ratio 4 3" xfId="1576"/>
    <cellStyle name="Ratio 4 4" xfId="1577"/>
    <cellStyle name="Ratio 4 5" xfId="1578"/>
    <cellStyle name="Ratio 4 6" xfId="1579"/>
    <cellStyle name="Ratio 4 7" xfId="1580"/>
    <cellStyle name="Ratio 4 8" xfId="1581"/>
    <cellStyle name="Ratio 4 9" xfId="1582"/>
    <cellStyle name="Ratio 5" xfId="1583"/>
    <cellStyle name="Ratio 5 10" xfId="1584"/>
    <cellStyle name="Ratio 5 11" xfId="1585"/>
    <cellStyle name="Ratio 5 12" xfId="1586"/>
    <cellStyle name="Ratio 5 13" xfId="1587"/>
    <cellStyle name="Ratio 5 14" xfId="1588"/>
    <cellStyle name="Ratio 5 15" xfId="1589"/>
    <cellStyle name="Ratio 5 16" xfId="1590"/>
    <cellStyle name="Ratio 5 17" xfId="1591"/>
    <cellStyle name="Ratio 5 18" xfId="1592"/>
    <cellStyle name="Ratio 5 19" xfId="1593"/>
    <cellStyle name="Ratio 5 2" xfId="1594"/>
    <cellStyle name="Ratio 5 3" xfId="1595"/>
    <cellStyle name="Ratio 5 4" xfId="1596"/>
    <cellStyle name="Ratio 5 5" xfId="1597"/>
    <cellStyle name="Ratio 5 6" xfId="1598"/>
    <cellStyle name="Ratio 5 7" xfId="1599"/>
    <cellStyle name="Ratio 5 8" xfId="1600"/>
    <cellStyle name="Ratio 5 9" xfId="1601"/>
    <cellStyle name="Ratio 6" xfId="1602"/>
    <cellStyle name="Ratio 6 10" xfId="1603"/>
    <cellStyle name="Ratio 6 11" xfId="1604"/>
    <cellStyle name="Ratio 6 12" xfId="1605"/>
    <cellStyle name="Ratio 6 13" xfId="1606"/>
    <cellStyle name="Ratio 6 14" xfId="1607"/>
    <cellStyle name="Ratio 6 15" xfId="1608"/>
    <cellStyle name="Ratio 6 16" xfId="1609"/>
    <cellStyle name="Ratio 6 17" xfId="1610"/>
    <cellStyle name="Ratio 6 18" xfId="1611"/>
    <cellStyle name="Ratio 6 19" xfId="1612"/>
    <cellStyle name="Ratio 6 2" xfId="1613"/>
    <cellStyle name="Ratio 6 3" xfId="1614"/>
    <cellStyle name="Ratio 6 4" xfId="1615"/>
    <cellStyle name="Ratio 6 5" xfId="1616"/>
    <cellStyle name="Ratio 6 6" xfId="1617"/>
    <cellStyle name="Ratio 6 7" xfId="1618"/>
    <cellStyle name="Ratio 6 8" xfId="1619"/>
    <cellStyle name="Ratio 6 9" xfId="1620"/>
    <cellStyle name="Ratio Comma" xfId="1621"/>
    <cellStyle name="Ratio_Campbell_TEMPLATE_v1.1" xfId="1622"/>
    <cellStyle name="rh" xfId="1623"/>
    <cellStyle name="Section" xfId="1624"/>
    <cellStyle name="srh" xfId="1625"/>
    <cellStyle name="Standard_pUkwOAZN4HpKs513Q0LYPiAvu" xfId="1626"/>
    <cellStyle name="StdComma(0)" xfId="1627"/>
    <cellStyle name="Stock Comma" xfId="1628"/>
    <cellStyle name="Stock Price" xfId="1629"/>
    <cellStyle name="Style 1" xfId="1630"/>
    <cellStyle name="Style 1 2" xfId="1631"/>
    <cellStyle name="Style 1 3" xfId="1632"/>
    <cellStyle name="Style 1 4" xfId="1633"/>
    <cellStyle name="STYLE1" xfId="1634"/>
    <cellStyle name="subhead" xfId="1635"/>
    <cellStyle name="taples Plaza" xfId="1636"/>
    <cellStyle name="Test" xfId="1637"/>
    <cellStyle name="Text Indent A" xfId="1638"/>
    <cellStyle name="Text Indent B" xfId="1639"/>
    <cellStyle name="Text Indent C" xfId="1640"/>
    <cellStyle name="Times New Roman" xfId="1641"/>
    <cellStyle name="Title 10" xfId="1642"/>
    <cellStyle name="Title 10 10" xfId="1643"/>
    <cellStyle name="Title 10 11" xfId="1644"/>
    <cellStyle name="Title 10 12" xfId="1645"/>
    <cellStyle name="Title 10 13" xfId="1646"/>
    <cellStyle name="Title 10 14" xfId="1647"/>
    <cellStyle name="Title 10 15" xfId="1648"/>
    <cellStyle name="Title 10 16" xfId="1649"/>
    <cellStyle name="Title 10 17" xfId="1650"/>
    <cellStyle name="Title 10 2" xfId="1651"/>
    <cellStyle name="Title 10 3" xfId="1652"/>
    <cellStyle name="Title 10 4" xfId="1653"/>
    <cellStyle name="Title 10 5" xfId="1654"/>
    <cellStyle name="Title 10 6" xfId="1655"/>
    <cellStyle name="Title 10 7" xfId="1656"/>
    <cellStyle name="Title 10 8" xfId="1657"/>
    <cellStyle name="Title 10 9" xfId="1658"/>
    <cellStyle name="Title 11" xfId="1659"/>
    <cellStyle name="Title 11 10" xfId="1660"/>
    <cellStyle name="Title 11 11" xfId="1661"/>
    <cellStyle name="Title 11 12" xfId="1662"/>
    <cellStyle name="Title 11 13" xfId="1663"/>
    <cellStyle name="Title 11 14" xfId="1664"/>
    <cellStyle name="Title 11 15" xfId="1665"/>
    <cellStyle name="Title 11 16" xfId="1666"/>
    <cellStyle name="Title 11 17" xfId="1667"/>
    <cellStyle name="Title 11 2" xfId="1668"/>
    <cellStyle name="Title 11 3" xfId="1669"/>
    <cellStyle name="Title 11 4" xfId="1670"/>
    <cellStyle name="Title 11 5" xfId="1671"/>
    <cellStyle name="Title 11 6" xfId="1672"/>
    <cellStyle name="Title 11 7" xfId="1673"/>
    <cellStyle name="Title 11 8" xfId="1674"/>
    <cellStyle name="Title 11 9" xfId="1675"/>
    <cellStyle name="Title 12" xfId="1676"/>
    <cellStyle name="Title 12 10" xfId="1677"/>
    <cellStyle name="Title 12 11" xfId="1678"/>
    <cellStyle name="Title 12 12" xfId="1679"/>
    <cellStyle name="Title 12 13" xfId="1680"/>
    <cellStyle name="Title 12 14" xfId="1681"/>
    <cellStyle name="Title 12 15" xfId="1682"/>
    <cellStyle name="Title 12 16" xfId="1683"/>
    <cellStyle name="Title 12 17" xfId="1684"/>
    <cellStyle name="Title 12 2" xfId="1685"/>
    <cellStyle name="Title 12 3" xfId="1686"/>
    <cellStyle name="Title 12 4" xfId="1687"/>
    <cellStyle name="Title 12 5" xfId="1688"/>
    <cellStyle name="Title 12 6" xfId="1689"/>
    <cellStyle name="Title 12 7" xfId="1690"/>
    <cellStyle name="Title 12 8" xfId="1691"/>
    <cellStyle name="Title 12 9" xfId="1692"/>
    <cellStyle name="Title 13" xfId="1693"/>
    <cellStyle name="Title 13 10" xfId="1694"/>
    <cellStyle name="Title 13 11" xfId="1695"/>
    <cellStyle name="Title 13 12" xfId="1696"/>
    <cellStyle name="Title 13 13" xfId="1697"/>
    <cellStyle name="Title 13 14" xfId="1698"/>
    <cellStyle name="Title 13 15" xfId="1699"/>
    <cellStyle name="Title 13 16" xfId="1700"/>
    <cellStyle name="Title 13 17" xfId="1701"/>
    <cellStyle name="Title 13 2" xfId="1702"/>
    <cellStyle name="Title 13 3" xfId="1703"/>
    <cellStyle name="Title 13 4" xfId="1704"/>
    <cellStyle name="Title 13 5" xfId="1705"/>
    <cellStyle name="Title 13 6" xfId="1706"/>
    <cellStyle name="Title 13 7" xfId="1707"/>
    <cellStyle name="Title 13 8" xfId="1708"/>
    <cellStyle name="Title 13 9" xfId="1709"/>
    <cellStyle name="Title 14" xfId="1710"/>
    <cellStyle name="Title 14 10" xfId="1711"/>
    <cellStyle name="Title 14 11" xfId="1712"/>
    <cellStyle name="Title 14 12" xfId="1713"/>
    <cellStyle name="Title 14 13" xfId="1714"/>
    <cellStyle name="Title 14 14" xfId="1715"/>
    <cellStyle name="Title 14 15" xfId="1716"/>
    <cellStyle name="Title 14 16" xfId="1717"/>
    <cellStyle name="Title 14 17" xfId="1718"/>
    <cellStyle name="Title 14 2" xfId="1719"/>
    <cellStyle name="Title 14 3" xfId="1720"/>
    <cellStyle name="Title 14 4" xfId="1721"/>
    <cellStyle name="Title 14 5" xfId="1722"/>
    <cellStyle name="Title 14 6" xfId="1723"/>
    <cellStyle name="Title 14 7" xfId="1724"/>
    <cellStyle name="Title 14 8" xfId="1725"/>
    <cellStyle name="Title 14 9" xfId="1726"/>
    <cellStyle name="Title 15" xfId="1727"/>
    <cellStyle name="Title 15 10" xfId="1728"/>
    <cellStyle name="Title 15 11" xfId="1729"/>
    <cellStyle name="Title 15 12" xfId="1730"/>
    <cellStyle name="Title 15 13" xfId="1731"/>
    <cellStyle name="Title 15 14" xfId="1732"/>
    <cellStyle name="Title 15 15" xfId="1733"/>
    <cellStyle name="Title 15 16" xfId="1734"/>
    <cellStyle name="Title 15 17" xfId="1735"/>
    <cellStyle name="Title 15 2" xfId="1736"/>
    <cellStyle name="Title 15 3" xfId="1737"/>
    <cellStyle name="Title 15 4" xfId="1738"/>
    <cellStyle name="Title 15 5" xfId="1739"/>
    <cellStyle name="Title 15 6" xfId="1740"/>
    <cellStyle name="Title 15 7" xfId="1741"/>
    <cellStyle name="Title 15 8" xfId="1742"/>
    <cellStyle name="Title 15 9" xfId="1743"/>
    <cellStyle name="Title 16" xfId="1744"/>
    <cellStyle name="Title 16 10" xfId="1745"/>
    <cellStyle name="Title 16 11" xfId="1746"/>
    <cellStyle name="Title 16 12" xfId="1747"/>
    <cellStyle name="Title 16 13" xfId="1748"/>
    <cellStyle name="Title 16 14" xfId="1749"/>
    <cellStyle name="Title 16 15" xfId="1750"/>
    <cellStyle name="Title 16 16" xfId="1751"/>
    <cellStyle name="Title 16 17" xfId="1752"/>
    <cellStyle name="Title 16 2" xfId="1753"/>
    <cellStyle name="Title 16 3" xfId="1754"/>
    <cellStyle name="Title 16 4" xfId="1755"/>
    <cellStyle name="Title 16 5" xfId="1756"/>
    <cellStyle name="Title 16 6" xfId="1757"/>
    <cellStyle name="Title 16 7" xfId="1758"/>
    <cellStyle name="Title 16 8" xfId="1759"/>
    <cellStyle name="Title 16 9" xfId="1760"/>
    <cellStyle name="Title 17" xfId="1761"/>
    <cellStyle name="Title 17 10" xfId="1762"/>
    <cellStyle name="Title 17 11" xfId="1763"/>
    <cellStyle name="Title 17 12" xfId="1764"/>
    <cellStyle name="Title 17 13" xfId="1765"/>
    <cellStyle name="Title 17 14" xfId="1766"/>
    <cellStyle name="Title 17 15" xfId="1767"/>
    <cellStyle name="Title 17 16" xfId="1768"/>
    <cellStyle name="Title 17 17" xfId="1769"/>
    <cellStyle name="Title 17 2" xfId="1770"/>
    <cellStyle name="Title 17 3" xfId="1771"/>
    <cellStyle name="Title 17 4" xfId="1772"/>
    <cellStyle name="Title 17 5" xfId="1773"/>
    <cellStyle name="Title 17 6" xfId="1774"/>
    <cellStyle name="Title 17 7" xfId="1775"/>
    <cellStyle name="Title 17 8" xfId="1776"/>
    <cellStyle name="Title 17 9" xfId="1777"/>
    <cellStyle name="Title 18" xfId="1778"/>
    <cellStyle name="Title 18 10" xfId="1779"/>
    <cellStyle name="Title 18 2" xfId="1780"/>
    <cellStyle name="Title 18 3" xfId="1781"/>
    <cellStyle name="Title 18 4" xfId="1782"/>
    <cellStyle name="Title 18 5" xfId="1783"/>
    <cellStyle name="Title 18 6" xfId="1784"/>
    <cellStyle name="Title 18 7" xfId="1785"/>
    <cellStyle name="Title 18 8" xfId="1786"/>
    <cellStyle name="Title 18 9" xfId="1787"/>
    <cellStyle name="Title 19" xfId="1788"/>
    <cellStyle name="Title 19 10" xfId="1789"/>
    <cellStyle name="Title 19 2" xfId="1790"/>
    <cellStyle name="Title 19 3" xfId="1791"/>
    <cellStyle name="Title 19 4" xfId="1792"/>
    <cellStyle name="Title 19 5" xfId="1793"/>
    <cellStyle name="Title 19 6" xfId="1794"/>
    <cellStyle name="Title 19 7" xfId="1795"/>
    <cellStyle name="Title 19 8" xfId="1796"/>
    <cellStyle name="Title 19 9" xfId="1797"/>
    <cellStyle name="Title 2" xfId="1798"/>
    <cellStyle name="Title 2 10" xfId="1799"/>
    <cellStyle name="Title 2 11" xfId="1800"/>
    <cellStyle name="Title 2 12" xfId="1801"/>
    <cellStyle name="Title 2 13" xfId="1802"/>
    <cellStyle name="Title 2 14" xfId="1803"/>
    <cellStyle name="Title 2 15" xfId="1804"/>
    <cellStyle name="Title 2 16" xfId="1805"/>
    <cellStyle name="Title 2 17" xfId="1806"/>
    <cellStyle name="Title 2 18" xfId="1807"/>
    <cellStyle name="Title 2 18 2" xfId="1808"/>
    <cellStyle name="Title 2 18 3" xfId="1809"/>
    <cellStyle name="Title 2 19" xfId="1810"/>
    <cellStyle name="Title 2 2" xfId="1811"/>
    <cellStyle name="Title 2 3" xfId="1812"/>
    <cellStyle name="Title 2 4" xfId="1813"/>
    <cellStyle name="Title 2 5" xfId="1814"/>
    <cellStyle name="Title 2 6" xfId="1815"/>
    <cellStyle name="Title 2 7" xfId="1816"/>
    <cellStyle name="Title 2 8" xfId="1817"/>
    <cellStyle name="Title 2 9" xfId="1818"/>
    <cellStyle name="Title 20" xfId="1819"/>
    <cellStyle name="Title 20 10" xfId="1820"/>
    <cellStyle name="Title 20 2" xfId="1821"/>
    <cellStyle name="Title 20 3" xfId="1822"/>
    <cellStyle name="Title 20 4" xfId="1823"/>
    <cellStyle name="Title 20 5" xfId="1824"/>
    <cellStyle name="Title 20 6" xfId="1825"/>
    <cellStyle name="Title 20 7" xfId="1826"/>
    <cellStyle name="Title 20 8" xfId="1827"/>
    <cellStyle name="Title 20 9" xfId="1828"/>
    <cellStyle name="Title 21" xfId="1829"/>
    <cellStyle name="Title 21 10" xfId="1830"/>
    <cellStyle name="Title 21 2" xfId="1831"/>
    <cellStyle name="Title 21 3" xfId="1832"/>
    <cellStyle name="Title 21 4" xfId="1833"/>
    <cellStyle name="Title 21 5" xfId="1834"/>
    <cellStyle name="Title 21 6" xfId="1835"/>
    <cellStyle name="Title 21 7" xfId="1836"/>
    <cellStyle name="Title 21 8" xfId="1837"/>
    <cellStyle name="Title 21 9" xfId="1838"/>
    <cellStyle name="Title 22" xfId="1839"/>
    <cellStyle name="Title 22 10" xfId="1840"/>
    <cellStyle name="Title 22 2" xfId="1841"/>
    <cellStyle name="Title 22 3" xfId="1842"/>
    <cellStyle name="Title 22 4" xfId="1843"/>
    <cellStyle name="Title 22 5" xfId="1844"/>
    <cellStyle name="Title 22 6" xfId="1845"/>
    <cellStyle name="Title 22 7" xfId="1846"/>
    <cellStyle name="Title 22 8" xfId="1847"/>
    <cellStyle name="Title 22 9" xfId="1848"/>
    <cellStyle name="Title 23" xfId="1849"/>
    <cellStyle name="Title 23 10" xfId="1850"/>
    <cellStyle name="Title 23 2" xfId="1851"/>
    <cellStyle name="Title 23 3" xfId="1852"/>
    <cellStyle name="Title 23 4" xfId="1853"/>
    <cellStyle name="Title 23 5" xfId="1854"/>
    <cellStyle name="Title 23 6" xfId="1855"/>
    <cellStyle name="Title 23 7" xfId="1856"/>
    <cellStyle name="Title 23 8" xfId="1857"/>
    <cellStyle name="Title 23 9" xfId="1858"/>
    <cellStyle name="Title 24" xfId="1859"/>
    <cellStyle name="Title 24 10" xfId="1860"/>
    <cellStyle name="Title 24 2" xfId="1861"/>
    <cellStyle name="Title 24 3" xfId="1862"/>
    <cellStyle name="Title 24 4" xfId="1863"/>
    <cellStyle name="Title 24 5" xfId="1864"/>
    <cellStyle name="Title 24 6" xfId="1865"/>
    <cellStyle name="Title 24 7" xfId="1866"/>
    <cellStyle name="Title 24 8" xfId="1867"/>
    <cellStyle name="Title 24 9" xfId="1868"/>
    <cellStyle name="Title 25" xfId="1869"/>
    <cellStyle name="Title 25 10" xfId="1870"/>
    <cellStyle name="Title 25 2" xfId="1871"/>
    <cellStyle name="Title 25 3" xfId="1872"/>
    <cellStyle name="Title 25 4" xfId="1873"/>
    <cellStyle name="Title 25 5" xfId="1874"/>
    <cellStyle name="Title 25 6" xfId="1875"/>
    <cellStyle name="Title 25 7" xfId="1876"/>
    <cellStyle name="Title 25 8" xfId="1877"/>
    <cellStyle name="Title 25 9" xfId="1878"/>
    <cellStyle name="Title 26" xfId="1879"/>
    <cellStyle name="Title 27" xfId="1880"/>
    <cellStyle name="Title 28" xfId="1881"/>
    <cellStyle name="Title 29" xfId="1882"/>
    <cellStyle name="Title 3" xfId="1883"/>
    <cellStyle name="Title 3 10" xfId="1884"/>
    <cellStyle name="Title 3 11" xfId="1885"/>
    <cellStyle name="Title 3 12" xfId="1886"/>
    <cellStyle name="Title 3 13" xfId="1887"/>
    <cellStyle name="Title 3 14" xfId="1888"/>
    <cellStyle name="Title 3 15" xfId="1889"/>
    <cellStyle name="Title 3 16" xfId="1890"/>
    <cellStyle name="Title 3 17" xfId="1891"/>
    <cellStyle name="Title 3 2" xfId="1892"/>
    <cellStyle name="Title 3 3" xfId="1893"/>
    <cellStyle name="Title 3 4" xfId="1894"/>
    <cellStyle name="Title 3 5" xfId="1895"/>
    <cellStyle name="Title 3 6" xfId="1896"/>
    <cellStyle name="Title 3 7" xfId="1897"/>
    <cellStyle name="Title 3 8" xfId="1898"/>
    <cellStyle name="Title 3 9" xfId="1899"/>
    <cellStyle name="Title 30" xfId="1900"/>
    <cellStyle name="Title 31" xfId="1901"/>
    <cellStyle name="Title 32" xfId="1902"/>
    <cellStyle name="Title 33" xfId="1903"/>
    <cellStyle name="Title 33 2" xfId="1904"/>
    <cellStyle name="Title 33 3" xfId="1905"/>
    <cellStyle name="Title 34" xfId="1906"/>
    <cellStyle name="Title 35" xfId="1907"/>
    <cellStyle name="Title 36" xfId="1908"/>
    <cellStyle name="Title 37" xfId="1909"/>
    <cellStyle name="Title 38" xfId="1910"/>
    <cellStyle name="Title 4" xfId="1911"/>
    <cellStyle name="Title 4 10" xfId="1912"/>
    <cellStyle name="Title 4 11" xfId="1913"/>
    <cellStyle name="Title 4 12" xfId="1914"/>
    <cellStyle name="Title 4 13" xfId="1915"/>
    <cellStyle name="Title 4 14" xfId="1916"/>
    <cellStyle name="Title 4 15" xfId="1917"/>
    <cellStyle name="Title 4 16" xfId="1918"/>
    <cellStyle name="Title 4 17" xfId="1919"/>
    <cellStyle name="Title 4 2" xfId="1920"/>
    <cellStyle name="Title 4 3" xfId="1921"/>
    <cellStyle name="Title 4 4" xfId="1922"/>
    <cellStyle name="Title 4 5" xfId="1923"/>
    <cellStyle name="Title 4 6" xfId="1924"/>
    <cellStyle name="Title 4 7" xfId="1925"/>
    <cellStyle name="Title 4 8" xfId="1926"/>
    <cellStyle name="Title 4 9" xfId="1927"/>
    <cellStyle name="Title 5" xfId="1928"/>
    <cellStyle name="Title 5 10" xfId="1929"/>
    <cellStyle name="Title 5 11" xfId="1930"/>
    <cellStyle name="Title 5 12" xfId="1931"/>
    <cellStyle name="Title 5 13" xfId="1932"/>
    <cellStyle name="Title 5 14" xfId="1933"/>
    <cellStyle name="Title 5 15" xfId="1934"/>
    <cellStyle name="Title 5 16" xfId="1935"/>
    <cellStyle name="Title 5 17" xfId="1936"/>
    <cellStyle name="Title 5 2" xfId="1937"/>
    <cellStyle name="Title 5 3" xfId="1938"/>
    <cellStyle name="Title 5 4" xfId="1939"/>
    <cellStyle name="Title 5 5" xfId="1940"/>
    <cellStyle name="Title 5 6" xfId="1941"/>
    <cellStyle name="Title 5 7" xfId="1942"/>
    <cellStyle name="Title 5 8" xfId="1943"/>
    <cellStyle name="Title 5 9" xfId="1944"/>
    <cellStyle name="Title 6" xfId="1945"/>
    <cellStyle name="Title 6 10" xfId="1946"/>
    <cellStyle name="Title 6 11" xfId="1947"/>
    <cellStyle name="Title 6 12" xfId="1948"/>
    <cellStyle name="Title 6 13" xfId="1949"/>
    <cellStyle name="Title 6 14" xfId="1950"/>
    <cellStyle name="Title 6 15" xfId="1951"/>
    <cellStyle name="Title 6 16" xfId="1952"/>
    <cellStyle name="Title 6 17" xfId="1953"/>
    <cellStyle name="Title 6 2" xfId="1954"/>
    <cellStyle name="Title 6 3" xfId="1955"/>
    <cellStyle name="Title 6 4" xfId="1956"/>
    <cellStyle name="Title 6 5" xfId="1957"/>
    <cellStyle name="Title 6 6" xfId="1958"/>
    <cellStyle name="Title 6 7" xfId="1959"/>
    <cellStyle name="Title 6 8" xfId="1960"/>
    <cellStyle name="Title 6 9" xfId="1961"/>
    <cellStyle name="Title 7" xfId="1962"/>
    <cellStyle name="Title 7 10" xfId="1963"/>
    <cellStyle name="Title 7 11" xfId="1964"/>
    <cellStyle name="Title 7 12" xfId="1965"/>
    <cellStyle name="Title 7 13" xfId="1966"/>
    <cellStyle name="Title 7 14" xfId="1967"/>
    <cellStyle name="Title 7 15" xfId="1968"/>
    <cellStyle name="Title 7 16" xfId="1969"/>
    <cellStyle name="Title 7 17" xfId="1970"/>
    <cellStyle name="Title 7 2" xfId="1971"/>
    <cellStyle name="Title 7 3" xfId="1972"/>
    <cellStyle name="Title 7 4" xfId="1973"/>
    <cellStyle name="Title 7 5" xfId="1974"/>
    <cellStyle name="Title 7 6" xfId="1975"/>
    <cellStyle name="Title 7 7" xfId="1976"/>
    <cellStyle name="Title 7 8" xfId="1977"/>
    <cellStyle name="Title 7 9" xfId="1978"/>
    <cellStyle name="Title 8" xfId="1979"/>
    <cellStyle name="Title 8 10" xfId="1980"/>
    <cellStyle name="Title 8 11" xfId="1981"/>
    <cellStyle name="Title 8 12" xfId="1982"/>
    <cellStyle name="Title 8 13" xfId="1983"/>
    <cellStyle name="Title 8 14" xfId="1984"/>
    <cellStyle name="Title 8 15" xfId="1985"/>
    <cellStyle name="Title 8 16" xfId="1986"/>
    <cellStyle name="Title 8 17" xfId="1987"/>
    <cellStyle name="Title 8 2" xfId="1988"/>
    <cellStyle name="Title 8 3" xfId="1989"/>
    <cellStyle name="Title 8 4" xfId="1990"/>
    <cellStyle name="Title 8 5" xfId="1991"/>
    <cellStyle name="Title 8 6" xfId="1992"/>
    <cellStyle name="Title 8 7" xfId="1993"/>
    <cellStyle name="Title 8 8" xfId="1994"/>
    <cellStyle name="Title 8 9" xfId="1995"/>
    <cellStyle name="Title 9" xfId="1996"/>
    <cellStyle name="Title 9 10" xfId="1997"/>
    <cellStyle name="Title 9 11" xfId="1998"/>
    <cellStyle name="Title 9 12" xfId="1999"/>
    <cellStyle name="Title 9 13" xfId="2000"/>
    <cellStyle name="Title 9 14" xfId="2001"/>
    <cellStyle name="Title 9 15" xfId="2002"/>
    <cellStyle name="Title 9 16" xfId="2003"/>
    <cellStyle name="Title 9 17" xfId="2004"/>
    <cellStyle name="Title 9 2" xfId="2005"/>
    <cellStyle name="Title 9 3" xfId="2006"/>
    <cellStyle name="Title 9 4" xfId="2007"/>
    <cellStyle name="Title 9 5" xfId="2008"/>
    <cellStyle name="Title 9 6" xfId="2009"/>
    <cellStyle name="Title 9 7" xfId="2010"/>
    <cellStyle name="Title 9 8" xfId="2011"/>
    <cellStyle name="Title 9 9" xfId="2012"/>
    <cellStyle name="Top Edge" xfId="2013"/>
    <cellStyle name="Total 2" xfId="2014"/>
    <cellStyle name="Total 2 2" xfId="2015"/>
    <cellStyle name="Total 2 3" xfId="2016"/>
    <cellStyle name="Total 3" xfId="2017"/>
    <cellStyle name="Total 4" xfId="2018"/>
    <cellStyle name="TotalHilite" xfId="2019"/>
    <cellStyle name="TotalRow" xfId="2020"/>
    <cellStyle name="Tusental (0)_pldt" xfId="2021"/>
    <cellStyle name="Tusental_pldt" xfId="2022"/>
    <cellStyle name="ubordinated Debt" xfId="2023"/>
    <cellStyle name="Valuta (0)_pldt" xfId="2024"/>
    <cellStyle name="Valuta [0]_RESULTS" xfId="2025"/>
    <cellStyle name="Valuta_pldt" xfId="2026"/>
    <cellStyle name="Währung [0]_pUkwOAZN4HpKs513Q0LYPiAvu" xfId="2027"/>
    <cellStyle name="Währung_pUkwOAZN4HpKs513Q0LYPiAvu" xfId="2028"/>
    <cellStyle name="Warning" xfId="2029"/>
    <cellStyle name="Warning Text 2" xfId="2030"/>
    <cellStyle name="Warning Text 2 2" xfId="2031"/>
    <cellStyle name="Warning Text 2 3" xfId="2032"/>
    <cellStyle name="Warning Text 3" xfId="2033"/>
    <cellStyle name="Warning Text 4" xfId="2034"/>
    <cellStyle name="標準_NTT G.Lite Pricing Jan 25th" xfId="2035"/>
  </cellStyles>
  <dxfs count="0"/>
  <tableStyles count="0" defaultTableStyle="TableStyleMedium9" defaultPivotStyle="PivotStyleLight16"/>
  <colors>
    <mruColors>
      <color rgb="FFD71920"/>
      <color rgb="FFF0F0F0"/>
    </mruColors>
  </colors>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13</xdr:col>
      <xdr:colOff>66675</xdr:colOff>
      <xdr:row>0</xdr:row>
      <xdr:rowOff>47625</xdr:rowOff>
    </xdr:from>
    <xdr:to>
      <xdr:col>15</xdr:col>
      <xdr:colOff>22972</xdr:colOff>
      <xdr:row>1</xdr:row>
      <xdr:rowOff>127196</xdr:rowOff>
    </xdr:to>
    <xdr:pic>
      <xdr:nvPicPr>
        <xdr:cNvPr id="4" name="Picture 3"/>
        <xdr:cNvPicPr>
          <a:picLocks noChangeAspect="1" noChangeArrowheads="1"/>
        </xdr:cNvPicPr>
      </xdr:nvPicPr>
      <xdr:blipFill>
        <a:blip xmlns:r="http://schemas.openxmlformats.org/officeDocument/2006/relationships" r:embed="rId1" cstate="print"/>
        <a:srcRect/>
        <a:stretch>
          <a:fillRect/>
        </a:stretch>
      </xdr:blipFill>
      <xdr:spPr bwMode="auto">
        <a:xfrm>
          <a:off x="9239250" y="47625"/>
          <a:ext cx="1137397" cy="30817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38100</xdr:colOff>
      <xdr:row>0</xdr:row>
      <xdr:rowOff>47625</xdr:rowOff>
    </xdr:from>
    <xdr:to>
      <xdr:col>14</xdr:col>
      <xdr:colOff>603997</xdr:colOff>
      <xdr:row>1</xdr:row>
      <xdr:rowOff>127196</xdr:rowOff>
    </xdr:to>
    <xdr:pic>
      <xdr:nvPicPr>
        <xdr:cNvPr id="5" name="Picture 4"/>
        <xdr:cNvPicPr>
          <a:picLocks noChangeAspect="1" noChangeArrowheads="1"/>
        </xdr:cNvPicPr>
      </xdr:nvPicPr>
      <xdr:blipFill>
        <a:blip xmlns:r="http://schemas.openxmlformats.org/officeDocument/2006/relationships" r:embed="rId1" cstate="print"/>
        <a:srcRect/>
        <a:stretch>
          <a:fillRect/>
        </a:stretch>
      </xdr:blipFill>
      <xdr:spPr bwMode="auto">
        <a:xfrm>
          <a:off x="9210675" y="47625"/>
          <a:ext cx="1137397" cy="30817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1362075</xdr:colOff>
      <xdr:row>2</xdr:row>
      <xdr:rowOff>114300</xdr:rowOff>
    </xdr:to>
    <xdr:pic>
      <xdr:nvPicPr>
        <xdr:cNvPr id="4097"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362075" cy="361950"/>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28575</xdr:colOff>
      <xdr:row>0</xdr:row>
      <xdr:rowOff>38100</xdr:rowOff>
    </xdr:from>
    <xdr:to>
      <xdr:col>15</xdr:col>
      <xdr:colOff>22972</xdr:colOff>
      <xdr:row>1</xdr:row>
      <xdr:rowOff>117671</xdr:rowOff>
    </xdr:to>
    <xdr:pic>
      <xdr:nvPicPr>
        <xdr:cNvPr id="5" name="Picture 4"/>
        <xdr:cNvPicPr>
          <a:picLocks noChangeAspect="1" noChangeArrowheads="1"/>
        </xdr:cNvPicPr>
      </xdr:nvPicPr>
      <xdr:blipFill>
        <a:blip xmlns:r="http://schemas.openxmlformats.org/officeDocument/2006/relationships" r:embed="rId1" cstate="print"/>
        <a:srcRect/>
        <a:stretch>
          <a:fillRect/>
        </a:stretch>
      </xdr:blipFill>
      <xdr:spPr bwMode="auto">
        <a:xfrm>
          <a:off x="9048750" y="38100"/>
          <a:ext cx="1137397" cy="308171"/>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8790857</xdr:colOff>
      <xdr:row>0</xdr:row>
      <xdr:rowOff>38100</xdr:rowOff>
    </xdr:from>
    <xdr:to>
      <xdr:col>1</xdr:col>
      <xdr:colOff>9986122</xdr:colOff>
      <xdr:row>1</xdr:row>
      <xdr:rowOff>133350</xdr:rowOff>
    </xdr:to>
    <xdr:pic>
      <xdr:nvPicPr>
        <xdr:cNvPr id="4" name="Picture 3"/>
        <xdr:cNvPicPr>
          <a:picLocks noChangeAspect="1" noChangeArrowheads="1"/>
        </xdr:cNvPicPr>
      </xdr:nvPicPr>
      <xdr:blipFill>
        <a:blip xmlns:r="http://schemas.openxmlformats.org/officeDocument/2006/relationships" r:embed="rId1" cstate="print"/>
        <a:srcRect/>
        <a:stretch>
          <a:fillRect/>
        </a:stretch>
      </xdr:blipFill>
      <xdr:spPr bwMode="auto">
        <a:xfrm>
          <a:off x="9048032" y="38100"/>
          <a:ext cx="1195265" cy="3238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1371600</xdr:colOff>
      <xdr:row>2</xdr:row>
      <xdr:rowOff>114300</xdr:rowOff>
    </xdr:to>
    <xdr:pic>
      <xdr:nvPicPr>
        <xdr:cNvPr id="5121"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371600" cy="36195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package" Target="../embeddings/Microsoft_Office_Word_Document1.docx"/></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1">
    <tabColor theme="7" tint="0.39997558519241921"/>
    <pageSetUpPr fitToPage="1"/>
  </sheetPr>
  <dimension ref="A1:P49"/>
  <sheetViews>
    <sheetView showGridLines="0" tabSelected="1" zoomScaleNormal="100" zoomScaleSheetLayoutView="85" workbookViewId="0">
      <pane xSplit="1" ySplit="5" topLeftCell="B6" activePane="bottomRight" state="frozen"/>
      <selection activeCell="V18" sqref="V18"/>
      <selection pane="topRight" activeCell="V18" sqref="V18"/>
      <selection pane="bottomLeft" activeCell="V18" sqref="V18"/>
      <selection pane="bottomRight" activeCell="A5" sqref="A5"/>
    </sheetView>
  </sheetViews>
  <sheetFormatPr defaultRowHeight="12.75"/>
  <cols>
    <col min="1" max="1" width="49" style="3" customWidth="1"/>
    <col min="2" max="6" width="8.5703125" style="3" customWidth="1"/>
    <col min="7" max="7" width="1.42578125" style="3" customWidth="1"/>
    <col min="8" max="12" width="8.5703125" style="3" customWidth="1"/>
    <col min="13" max="13" width="1.42578125" style="3" customWidth="1"/>
    <col min="14" max="14" width="8.5703125" style="3" customWidth="1"/>
    <col min="15" max="16" width="9.140625" style="3" customWidth="1"/>
    <col min="17" max="16384" width="9.140625" style="3"/>
  </cols>
  <sheetData>
    <row r="1" spans="1:16" ht="18">
      <c r="A1" s="193" t="s">
        <v>148</v>
      </c>
      <c r="B1" s="303"/>
      <c r="C1" s="303"/>
      <c r="D1" s="303"/>
      <c r="E1" s="303"/>
      <c r="F1" s="303"/>
      <c r="L1" s="110"/>
    </row>
    <row r="2" spans="1:16">
      <c r="A2" s="276" t="s">
        <v>113</v>
      </c>
      <c r="B2" s="277"/>
      <c r="C2" s="277"/>
      <c r="D2" s="277"/>
      <c r="E2" s="277"/>
      <c r="F2" s="277"/>
      <c r="G2" s="277"/>
      <c r="H2" s="277"/>
      <c r="I2" s="277"/>
      <c r="J2" s="277"/>
      <c r="K2" s="277"/>
      <c r="L2" s="277"/>
      <c r="M2" s="277"/>
      <c r="N2" s="277"/>
      <c r="O2" s="277"/>
      <c r="P2" s="277"/>
    </row>
    <row r="3" spans="1:16" ht="11.85" customHeight="1"/>
    <row r="4" spans="1:16">
      <c r="B4" s="23">
        <v>2008</v>
      </c>
      <c r="C4" s="23"/>
      <c r="D4" s="23"/>
      <c r="E4" s="23"/>
      <c r="F4" s="23"/>
      <c r="H4" s="301">
        <v>2009</v>
      </c>
      <c r="I4" s="302"/>
      <c r="J4" s="302"/>
      <c r="K4" s="302"/>
      <c r="L4" s="23"/>
      <c r="N4" s="301">
        <v>2010</v>
      </c>
      <c r="O4" s="301"/>
      <c r="P4" s="301"/>
    </row>
    <row r="5" spans="1:16" s="2" customFormat="1">
      <c r="A5" s="286"/>
      <c r="B5" s="278" t="s">
        <v>11</v>
      </c>
      <c r="C5" s="279" t="s">
        <v>12</v>
      </c>
      <c r="D5" s="279" t="s">
        <v>13</v>
      </c>
      <c r="E5" s="279" t="s">
        <v>14</v>
      </c>
      <c r="F5" s="280" t="s">
        <v>51</v>
      </c>
      <c r="G5" s="4"/>
      <c r="H5" s="278" t="s">
        <v>11</v>
      </c>
      <c r="I5" s="279" t="s">
        <v>12</v>
      </c>
      <c r="J5" s="279" t="s">
        <v>13</v>
      </c>
      <c r="K5" s="279" t="s">
        <v>14</v>
      </c>
      <c r="L5" s="280" t="s">
        <v>51</v>
      </c>
      <c r="M5" s="4"/>
      <c r="N5" s="278" t="s">
        <v>11</v>
      </c>
      <c r="O5" s="279" t="s">
        <v>12</v>
      </c>
      <c r="P5" s="299" t="s">
        <v>13</v>
      </c>
    </row>
    <row r="6" spans="1:16" s="2" customFormat="1" ht="3.75" customHeight="1">
      <c r="B6" s="13"/>
      <c r="C6" s="14"/>
      <c r="D6" s="4"/>
      <c r="E6" s="29"/>
      <c r="F6" s="26"/>
      <c r="G6" s="4"/>
      <c r="H6" s="4"/>
      <c r="I6" s="4"/>
      <c r="J6" s="4"/>
      <c r="K6" s="4"/>
      <c r="L6" s="26"/>
      <c r="M6" s="4"/>
      <c r="N6" s="4"/>
      <c r="O6" s="4"/>
      <c r="P6" s="4"/>
    </row>
    <row r="7" spans="1:16" ht="15">
      <c r="A7" s="3" t="s">
        <v>115</v>
      </c>
      <c r="B7" s="32">
        <v>49902</v>
      </c>
      <c r="C7" s="32">
        <v>50096</v>
      </c>
      <c r="D7" s="32">
        <v>50329</v>
      </c>
      <c r="E7" s="32">
        <v>50575.4</v>
      </c>
      <c r="F7" s="34">
        <v>50575.4</v>
      </c>
      <c r="G7" s="15"/>
      <c r="H7" s="32">
        <v>50740</v>
      </c>
      <c r="I7" s="32">
        <v>50900</v>
      </c>
      <c r="J7" s="32">
        <v>51078</v>
      </c>
      <c r="K7" s="32">
        <v>51233</v>
      </c>
      <c r="L7" s="34">
        <v>51233</v>
      </c>
      <c r="M7" s="15"/>
      <c r="N7" s="32">
        <v>51387.097999999998</v>
      </c>
      <c r="O7" s="32">
        <v>51547.254000000001</v>
      </c>
      <c r="P7" s="32">
        <v>51740.339999999989</v>
      </c>
    </row>
    <row r="8" spans="1:16" ht="3.75" customHeight="1" thickBot="1">
      <c r="B8" s="36"/>
      <c r="C8" s="36"/>
      <c r="D8" s="36"/>
      <c r="E8" s="38"/>
      <c r="F8" s="39"/>
      <c r="G8" s="15"/>
      <c r="H8" s="36"/>
      <c r="I8" s="36"/>
      <c r="J8" s="36"/>
      <c r="K8" s="36"/>
      <c r="L8" s="39"/>
      <c r="M8" s="15"/>
      <c r="N8" s="36"/>
      <c r="O8" s="36"/>
      <c r="P8" s="36"/>
    </row>
    <row r="9" spans="1:16" ht="16.5" thickBot="1">
      <c r="A9" s="287" t="s">
        <v>65</v>
      </c>
      <c r="B9" s="288"/>
      <c r="C9" s="288"/>
      <c r="D9" s="288"/>
      <c r="E9" s="289"/>
      <c r="F9" s="290"/>
      <c r="G9" s="288"/>
      <c r="H9" s="288"/>
      <c r="I9" s="288"/>
      <c r="J9" s="288"/>
      <c r="K9" s="288"/>
      <c r="L9" s="290"/>
      <c r="M9" s="288"/>
      <c r="N9" s="288"/>
      <c r="O9" s="288"/>
      <c r="P9" s="288"/>
    </row>
    <row r="10" spans="1:16">
      <c r="A10" s="5" t="s">
        <v>9</v>
      </c>
      <c r="B10" s="32">
        <v>24700.799999999999</v>
      </c>
      <c r="C10" s="32">
        <v>24562.7</v>
      </c>
      <c r="D10" s="32">
        <v>24415.200000000001</v>
      </c>
      <c r="E10" s="32">
        <v>24182.400000000001</v>
      </c>
      <c r="F10" s="34">
        <v>24182.400000000001</v>
      </c>
      <c r="G10" s="15"/>
      <c r="H10" s="32">
        <v>24104</v>
      </c>
      <c r="I10" s="32">
        <v>23891</v>
      </c>
      <c r="J10" s="32">
        <v>23759</v>
      </c>
      <c r="K10" s="32">
        <v>23559</v>
      </c>
      <c r="L10" s="34">
        <v>23559</v>
      </c>
      <c r="M10" s="15"/>
      <c r="N10" s="32">
        <v>23476.968326274211</v>
      </c>
      <c r="O10" s="32">
        <v>23212.322146500679</v>
      </c>
      <c r="P10" s="32">
        <v>22937.176958609376</v>
      </c>
    </row>
    <row r="11" spans="1:16" ht="15">
      <c r="A11" s="195" t="s">
        <v>116</v>
      </c>
      <c r="B11" s="203">
        <v>0.4949861728988818</v>
      </c>
      <c r="C11" s="203">
        <v>0.49031259980836794</v>
      </c>
      <c r="D11" s="203">
        <v>0.48511196328160705</v>
      </c>
      <c r="E11" s="203">
        <v>0.47814550156795599</v>
      </c>
      <c r="F11" s="204">
        <v>0.47814550156795599</v>
      </c>
      <c r="G11" s="206"/>
      <c r="H11" s="203">
        <v>0.47499999999999998</v>
      </c>
      <c r="I11" s="203">
        <v>0.46899999999999997</v>
      </c>
      <c r="J11" s="203">
        <v>0.46500000000000002</v>
      </c>
      <c r="K11" s="203">
        <v>0.46</v>
      </c>
      <c r="L11" s="204">
        <v>0.46</v>
      </c>
      <c r="M11" s="206"/>
      <c r="N11" s="203">
        <v>0.4568650349991395</v>
      </c>
      <c r="O11" s="203">
        <v>0.45031151701118122</v>
      </c>
      <c r="P11" s="203">
        <v>0.44331322443202692</v>
      </c>
    </row>
    <row r="12" spans="1:16">
      <c r="A12" s="24" t="s">
        <v>124</v>
      </c>
      <c r="B12" s="25">
        <v>-56.9</v>
      </c>
      <c r="C12" s="25">
        <v>-138.1</v>
      </c>
      <c r="D12" s="25">
        <v>-147.5</v>
      </c>
      <c r="E12" s="25">
        <v>-232.8</v>
      </c>
      <c r="F12" s="47">
        <v>-575.29999999999995</v>
      </c>
      <c r="G12" s="35"/>
      <c r="H12" s="25">
        <v>-78</v>
      </c>
      <c r="I12" s="25">
        <v>-214</v>
      </c>
      <c r="J12" s="25">
        <v>-132</v>
      </c>
      <c r="K12" s="25">
        <v>-199</v>
      </c>
      <c r="L12" s="47">
        <v>-623</v>
      </c>
      <c r="M12" s="35"/>
      <c r="N12" s="25">
        <v>-82.431208246294403</v>
      </c>
      <c r="O12" s="25">
        <v>-264.64617977353186</v>
      </c>
      <c r="P12" s="25">
        <v>-275.14518789130449</v>
      </c>
    </row>
    <row r="13" spans="1:16" ht="3" customHeight="1">
      <c r="A13" s="24"/>
      <c r="B13" s="25"/>
      <c r="C13" s="25"/>
      <c r="D13" s="25"/>
      <c r="E13" s="46"/>
      <c r="F13" s="47"/>
      <c r="G13" s="35"/>
      <c r="H13" s="25"/>
      <c r="I13" s="25"/>
      <c r="J13" s="25">
        <v>0</v>
      </c>
      <c r="K13" s="25">
        <v>0</v>
      </c>
      <c r="L13" s="47"/>
      <c r="M13" s="35"/>
      <c r="N13" s="25"/>
      <c r="O13" s="25"/>
      <c r="P13" s="25"/>
    </row>
    <row r="14" spans="1:16" ht="15">
      <c r="A14" s="24" t="s">
        <v>128</v>
      </c>
      <c r="B14" s="32">
        <v>16020.7</v>
      </c>
      <c r="C14" s="32">
        <v>16340.5</v>
      </c>
      <c r="D14" s="32">
        <v>16757.599999999999</v>
      </c>
      <c r="E14" s="32">
        <v>17004.099999999999</v>
      </c>
      <c r="F14" s="34">
        <v>17004.099999999999</v>
      </c>
      <c r="G14" s="15"/>
      <c r="H14" s="32">
        <v>17293</v>
      </c>
      <c r="I14" s="32">
        <v>17542</v>
      </c>
      <c r="J14" s="32">
        <v>18005</v>
      </c>
      <c r="K14" s="32">
        <v>18415</v>
      </c>
      <c r="L14" s="34">
        <v>18415</v>
      </c>
      <c r="M14" s="15"/>
      <c r="N14" s="32">
        <v>18842.687630896631</v>
      </c>
      <c r="O14" s="32">
        <v>19236.72319158203</v>
      </c>
      <c r="P14" s="32">
        <v>19456.120937368272</v>
      </c>
    </row>
    <row r="15" spans="1:16">
      <c r="A15" s="195" t="s">
        <v>4</v>
      </c>
      <c r="B15" s="203">
        <v>0.64859032905816816</v>
      </c>
      <c r="C15" s="203">
        <v>0.665256669665794</v>
      </c>
      <c r="D15" s="203">
        <v>0.6863593171466954</v>
      </c>
      <c r="E15" s="203">
        <v>0.70316014953023676</v>
      </c>
      <c r="F15" s="204">
        <v>0.70316014953023676</v>
      </c>
      <c r="G15" s="203"/>
      <c r="H15" s="203">
        <v>0.71699999999999997</v>
      </c>
      <c r="I15" s="203">
        <v>0.73399999999999999</v>
      </c>
      <c r="J15" s="203">
        <v>0.75800000000000001</v>
      </c>
      <c r="K15" s="203">
        <v>0.78200000000000003</v>
      </c>
      <c r="L15" s="204">
        <v>0.78200000000000003</v>
      </c>
      <c r="M15" s="203"/>
      <c r="N15" s="203">
        <v>0.80260310313614336</v>
      </c>
      <c r="O15" s="203">
        <v>0.82872894276465225</v>
      </c>
      <c r="P15" s="203">
        <v>0.8482352022865437</v>
      </c>
    </row>
    <row r="16" spans="1:16">
      <c r="A16" s="24" t="s">
        <v>71</v>
      </c>
      <c r="B16" s="25">
        <v>494.2</v>
      </c>
      <c r="C16" s="25">
        <v>319.8</v>
      </c>
      <c r="D16" s="25">
        <v>417.1</v>
      </c>
      <c r="E16" s="25">
        <v>246.5</v>
      </c>
      <c r="F16" s="47">
        <v>1477.6</v>
      </c>
      <c r="G16" s="35"/>
      <c r="H16" s="25">
        <v>288</v>
      </c>
      <c r="I16" s="25">
        <v>250</v>
      </c>
      <c r="J16" s="25">
        <v>463</v>
      </c>
      <c r="K16" s="25">
        <v>410</v>
      </c>
      <c r="L16" s="47">
        <v>1411</v>
      </c>
      <c r="M16" s="35"/>
      <c r="N16" s="25">
        <v>427.38289634515718</v>
      </c>
      <c r="O16" s="25">
        <v>394.0355606853999</v>
      </c>
      <c r="P16" s="25">
        <v>219.39774578624218</v>
      </c>
    </row>
    <row r="17" spans="1:16" ht="15">
      <c r="A17" s="195" t="s">
        <v>129</v>
      </c>
      <c r="B17" s="274">
        <v>25862.7</v>
      </c>
      <c r="C17" s="274">
        <v>26352.3</v>
      </c>
      <c r="D17" s="274">
        <v>27067.599999999999</v>
      </c>
      <c r="E17" s="274">
        <v>27580</v>
      </c>
      <c r="F17" s="275">
        <v>27580</v>
      </c>
      <c r="G17" s="274"/>
      <c r="H17" s="274">
        <v>28824</v>
      </c>
      <c r="I17" s="274">
        <v>30697</v>
      </c>
      <c r="J17" s="274">
        <v>33314</v>
      </c>
      <c r="K17" s="274">
        <v>36402</v>
      </c>
      <c r="L17" s="275">
        <v>36402</v>
      </c>
      <c r="M17" s="274"/>
      <c r="N17" s="274">
        <v>39649.374575606285</v>
      </c>
      <c r="O17" s="274">
        <v>44246.96756428956</v>
      </c>
      <c r="P17" s="274">
        <v>46803.336913196268</v>
      </c>
    </row>
    <row r="18" spans="1:16">
      <c r="A18" s="24" t="s">
        <v>35</v>
      </c>
      <c r="B18" s="207">
        <v>1.6143302102904367</v>
      </c>
      <c r="C18" s="207">
        <v>1.6126985098375202</v>
      </c>
      <c r="D18" s="207">
        <v>1.6152432329211821</v>
      </c>
      <c r="E18" s="207">
        <v>1.619815221034927</v>
      </c>
      <c r="F18" s="208">
        <v>1.619815221034927</v>
      </c>
      <c r="G18" s="207"/>
      <c r="H18" s="207">
        <v>1.7</v>
      </c>
      <c r="I18" s="207">
        <v>1.7</v>
      </c>
      <c r="J18" s="207">
        <v>1.9</v>
      </c>
      <c r="K18" s="207">
        <v>2</v>
      </c>
      <c r="L18" s="208">
        <v>2</v>
      </c>
      <c r="M18" s="207"/>
      <c r="N18" s="207">
        <v>2.1042313788927132</v>
      </c>
      <c r="O18" s="207">
        <v>2.3001301793255511</v>
      </c>
      <c r="P18" s="207">
        <v>2.4055841893593364</v>
      </c>
    </row>
    <row r="19" spans="1:16" ht="3.75" customHeight="1">
      <c r="A19" s="24"/>
      <c r="B19" s="207"/>
      <c r="C19" s="207"/>
      <c r="D19" s="207"/>
      <c r="E19" s="207"/>
      <c r="F19" s="208"/>
      <c r="G19" s="207"/>
      <c r="H19" s="207"/>
      <c r="I19" s="207"/>
      <c r="J19" s="207"/>
      <c r="K19" s="207"/>
      <c r="L19" s="208"/>
      <c r="M19" s="207"/>
      <c r="N19" s="207"/>
      <c r="O19" s="207"/>
      <c r="P19" s="207"/>
    </row>
    <row r="20" spans="1:16" ht="15">
      <c r="A20" s="24" t="s">
        <v>130</v>
      </c>
      <c r="B20" s="32">
        <v>6908.7</v>
      </c>
      <c r="C20" s="32">
        <v>6982</v>
      </c>
      <c r="D20" s="32">
        <v>7292.8</v>
      </c>
      <c r="E20" s="32">
        <v>7725.3</v>
      </c>
      <c r="F20" s="34">
        <v>7725.3</v>
      </c>
      <c r="G20" s="15"/>
      <c r="H20" s="32">
        <v>8177</v>
      </c>
      <c r="I20" s="32">
        <v>8349</v>
      </c>
      <c r="J20" s="32">
        <v>8748</v>
      </c>
      <c r="K20" s="32">
        <v>9158</v>
      </c>
      <c r="L20" s="34">
        <v>9158</v>
      </c>
      <c r="M20" s="15"/>
      <c r="N20" s="32">
        <v>9510.619391019567</v>
      </c>
      <c r="O20" s="32">
        <v>9664.5825682791383</v>
      </c>
      <c r="P20" s="32">
        <v>9892.3217551986418</v>
      </c>
    </row>
    <row r="21" spans="1:16">
      <c r="A21" s="195" t="s">
        <v>5</v>
      </c>
      <c r="B21" s="209">
        <v>0.27969539448115038</v>
      </c>
      <c r="C21" s="209">
        <v>0.28425213840497993</v>
      </c>
      <c r="D21" s="209">
        <v>0.29869917100822441</v>
      </c>
      <c r="E21" s="209">
        <v>0.31945960698689957</v>
      </c>
      <c r="F21" s="210">
        <v>0.31945960698689957</v>
      </c>
      <c r="G21" s="203"/>
      <c r="H21" s="209">
        <v>0.33900000000000002</v>
      </c>
      <c r="I21" s="209">
        <v>0.34899999999999998</v>
      </c>
      <c r="J21" s="209">
        <v>0.36799999999999999</v>
      </c>
      <c r="K21" s="209">
        <v>0.38900000000000001</v>
      </c>
      <c r="L21" s="210">
        <v>0.38900000000000001</v>
      </c>
      <c r="M21" s="203"/>
      <c r="N21" s="209">
        <v>0.40510423913533045</v>
      </c>
      <c r="O21" s="209">
        <v>0.41635569708548531</v>
      </c>
      <c r="P21" s="209">
        <v>0.43127895699848096</v>
      </c>
    </row>
    <row r="22" spans="1:16">
      <c r="A22" s="24" t="s">
        <v>61</v>
      </c>
      <c r="B22" s="43">
        <v>0.43123583863376752</v>
      </c>
      <c r="C22" s="43">
        <v>0.42728190691839296</v>
      </c>
      <c r="D22" s="43">
        <v>0.43519358380675044</v>
      </c>
      <c r="E22" s="43">
        <v>0.45431984050905377</v>
      </c>
      <c r="F22" s="45">
        <v>0.45431984050905377</v>
      </c>
      <c r="G22" s="42"/>
      <c r="H22" s="43">
        <v>0.47299999999999998</v>
      </c>
      <c r="I22" s="43">
        <v>0.47599999999999998</v>
      </c>
      <c r="J22" s="43">
        <v>0.48599999999999999</v>
      </c>
      <c r="K22" s="43">
        <v>0.497</v>
      </c>
      <c r="L22" s="45">
        <v>0.497</v>
      </c>
      <c r="M22" s="42"/>
      <c r="N22" s="43">
        <v>0.50473794276697903</v>
      </c>
      <c r="O22" s="43">
        <v>0.5024027466646892</v>
      </c>
      <c r="P22" s="43">
        <v>0.50844265344789352</v>
      </c>
    </row>
    <row r="23" spans="1:16" ht="6" customHeight="1" thickBot="1">
      <c r="A23" s="80"/>
      <c r="B23" s="32"/>
      <c r="C23" s="44"/>
      <c r="D23" s="44"/>
      <c r="E23" s="33"/>
      <c r="F23" s="39"/>
      <c r="G23" s="35"/>
      <c r="H23" s="32"/>
      <c r="I23" s="44"/>
      <c r="J23" s="44"/>
      <c r="K23" s="44"/>
      <c r="L23" s="39"/>
      <c r="M23" s="35"/>
      <c r="N23" s="32"/>
      <c r="O23" s="44"/>
      <c r="P23" s="44"/>
    </row>
    <row r="24" spans="1:16" ht="16.5" thickBot="1">
      <c r="A24" s="287" t="s">
        <v>66</v>
      </c>
      <c r="B24" s="291"/>
      <c r="C24" s="291"/>
      <c r="D24" s="291"/>
      <c r="E24" s="292"/>
      <c r="F24" s="293"/>
      <c r="G24" s="294"/>
      <c r="H24" s="291"/>
      <c r="I24" s="291"/>
      <c r="J24" s="291"/>
      <c r="K24" s="291"/>
      <c r="L24" s="293"/>
      <c r="M24" s="294"/>
      <c r="N24" s="291"/>
      <c r="O24" s="291"/>
      <c r="P24" s="291"/>
    </row>
    <row r="25" spans="1:16">
      <c r="A25" s="5" t="s">
        <v>10</v>
      </c>
      <c r="B25" s="32">
        <v>14085.3</v>
      </c>
      <c r="C25" s="32">
        <v>14363.7</v>
      </c>
      <c r="D25" s="32">
        <v>14745.4</v>
      </c>
      <c r="E25" s="32">
        <v>14929</v>
      </c>
      <c r="F25" s="34">
        <v>14929</v>
      </c>
      <c r="G25" s="15"/>
      <c r="H25" s="32">
        <v>15258</v>
      </c>
      <c r="I25" s="32">
        <v>15322</v>
      </c>
      <c r="J25" s="32">
        <v>15684</v>
      </c>
      <c r="K25" s="32">
        <v>15930</v>
      </c>
      <c r="L25" s="34">
        <v>15930</v>
      </c>
      <c r="M25" s="15"/>
      <c r="N25" s="32">
        <v>16329.269906118347</v>
      </c>
      <c r="O25" s="32">
        <v>16447.737325380596</v>
      </c>
      <c r="P25" s="32">
        <v>16696.393883904446</v>
      </c>
    </row>
    <row r="26" spans="1:16" ht="15">
      <c r="A26" s="242" t="s">
        <v>131</v>
      </c>
      <c r="B26" s="243">
        <v>49548</v>
      </c>
      <c r="C26" s="243">
        <v>49745</v>
      </c>
      <c r="D26" s="243">
        <v>49982</v>
      </c>
      <c r="E26" s="243">
        <v>50283</v>
      </c>
      <c r="F26" s="244">
        <v>50283</v>
      </c>
      <c r="G26" s="206"/>
      <c r="H26" s="243">
        <v>50456</v>
      </c>
      <c r="I26" s="243">
        <v>50615</v>
      </c>
      <c r="J26" s="243">
        <v>50805</v>
      </c>
      <c r="K26" s="243">
        <v>50754</v>
      </c>
      <c r="L26" s="244">
        <v>50754</v>
      </c>
      <c r="M26" s="206"/>
      <c r="N26" s="243">
        <v>50906.061999999998</v>
      </c>
      <c r="O26" s="243">
        <v>51059.544999999998</v>
      </c>
      <c r="P26" s="243">
        <v>51259.22</v>
      </c>
    </row>
    <row r="27" spans="1:16" ht="15">
      <c r="A27" s="195" t="s">
        <v>117</v>
      </c>
      <c r="B27" s="203">
        <v>0.28399999999999997</v>
      </c>
      <c r="C27" s="203">
        <v>0.28899999999999998</v>
      </c>
      <c r="D27" s="203">
        <v>0.29499999999999998</v>
      </c>
      <c r="E27" s="203">
        <v>0.29699999999999999</v>
      </c>
      <c r="F27" s="241">
        <v>0.29699999999999999</v>
      </c>
      <c r="G27" s="206"/>
      <c r="H27" s="203">
        <v>0.30199999999999999</v>
      </c>
      <c r="I27" s="203">
        <v>0.30299999999999999</v>
      </c>
      <c r="J27" s="203">
        <v>0.309</v>
      </c>
      <c r="K27" s="203">
        <v>0.314</v>
      </c>
      <c r="L27" s="241">
        <v>0.314</v>
      </c>
      <c r="M27" s="206"/>
      <c r="N27" s="203">
        <v>0.32077260083717235</v>
      </c>
      <c r="O27" s="203">
        <v>0.32212855256310247</v>
      </c>
      <c r="P27" s="203">
        <v>0.3257246966283226</v>
      </c>
    </row>
    <row r="28" spans="1:16">
      <c r="A28" s="5" t="s">
        <v>6</v>
      </c>
      <c r="B28" s="32">
        <v>492.3</v>
      </c>
      <c r="C28" s="32">
        <v>278.5</v>
      </c>
      <c r="D28" s="32">
        <v>381.7</v>
      </c>
      <c r="E28" s="32">
        <v>183.5</v>
      </c>
      <c r="F28" s="34">
        <v>1336</v>
      </c>
      <c r="G28" s="35"/>
      <c r="H28" s="32">
        <v>329</v>
      </c>
      <c r="I28" s="32">
        <v>65</v>
      </c>
      <c r="J28" s="32">
        <v>361</v>
      </c>
      <c r="K28" s="32">
        <v>247</v>
      </c>
      <c r="L28" s="34">
        <v>1002</v>
      </c>
      <c r="M28" s="35"/>
      <c r="N28" s="32">
        <v>398.79845000000114</v>
      </c>
      <c r="O28" s="32">
        <v>118.46741926225089</v>
      </c>
      <c r="P28" s="32">
        <v>248.6565585238468</v>
      </c>
    </row>
    <row r="29" spans="1:16" ht="6" customHeight="1" thickBot="1">
      <c r="A29" s="16"/>
      <c r="B29" s="32"/>
      <c r="C29" s="32"/>
      <c r="D29" s="32"/>
      <c r="E29" s="33"/>
      <c r="F29" s="39"/>
      <c r="G29" s="35"/>
      <c r="H29" s="32"/>
      <c r="I29" s="32"/>
      <c r="J29" s="32"/>
      <c r="K29" s="32"/>
      <c r="L29" s="39"/>
      <c r="M29" s="35"/>
      <c r="N29" s="32"/>
      <c r="O29" s="32"/>
      <c r="P29" s="32"/>
    </row>
    <row r="30" spans="1:16" ht="16.5" thickBot="1">
      <c r="A30" s="287" t="s">
        <v>59</v>
      </c>
      <c r="B30" s="291"/>
      <c r="C30" s="291"/>
      <c r="D30" s="291"/>
      <c r="E30" s="292"/>
      <c r="F30" s="293"/>
      <c r="G30" s="294"/>
      <c r="H30" s="291"/>
      <c r="I30" s="291"/>
      <c r="J30" s="291"/>
      <c r="K30" s="291"/>
      <c r="L30" s="293"/>
      <c r="M30" s="294"/>
      <c r="N30" s="291"/>
      <c r="O30" s="291"/>
      <c r="P30" s="291"/>
    </row>
    <row r="31" spans="1:16">
      <c r="A31" s="5" t="s">
        <v>36</v>
      </c>
      <c r="B31" s="211">
        <v>5087.8999999999996</v>
      </c>
      <c r="C31" s="211">
        <v>5643.4</v>
      </c>
      <c r="D31" s="211">
        <v>6126.5</v>
      </c>
      <c r="E31" s="211">
        <v>6470.1</v>
      </c>
      <c r="F31" s="212">
        <v>6470.1</v>
      </c>
      <c r="G31" s="213"/>
      <c r="H31" s="211">
        <v>6769</v>
      </c>
      <c r="I31" s="211">
        <v>7002</v>
      </c>
      <c r="J31" s="211">
        <v>7377</v>
      </c>
      <c r="K31" s="211">
        <v>7620</v>
      </c>
      <c r="L31" s="212">
        <v>7620</v>
      </c>
      <c r="M31" s="213"/>
      <c r="N31" s="211">
        <v>7894.2903924895254</v>
      </c>
      <c r="O31" s="211">
        <v>8124.8438372725923</v>
      </c>
      <c r="P31" s="211">
        <v>8353.0474698011658</v>
      </c>
    </row>
    <row r="32" spans="1:16">
      <c r="A32" s="199" t="s">
        <v>56</v>
      </c>
      <c r="B32" s="214">
        <v>66</v>
      </c>
      <c r="C32" s="214">
        <v>10.4</v>
      </c>
      <c r="D32" s="214">
        <v>6.7</v>
      </c>
      <c r="E32" s="214">
        <v>2.8</v>
      </c>
      <c r="F32" s="216">
        <v>2.8</v>
      </c>
      <c r="G32" s="215"/>
      <c r="H32" s="214">
        <v>2</v>
      </c>
      <c r="I32" s="214">
        <v>2</v>
      </c>
      <c r="J32" s="214">
        <v>2</v>
      </c>
      <c r="K32" s="214">
        <v>2</v>
      </c>
      <c r="L32" s="216">
        <v>2</v>
      </c>
      <c r="M32" s="215"/>
      <c r="N32" s="214">
        <v>0.98199999999999998</v>
      </c>
      <c r="O32" s="214">
        <v>0</v>
      </c>
      <c r="P32" s="214">
        <v>0</v>
      </c>
    </row>
    <row r="33" spans="1:16">
      <c r="A33" s="24" t="s">
        <v>57</v>
      </c>
      <c r="B33" s="25">
        <v>5153.8999999999996</v>
      </c>
      <c r="C33" s="25">
        <v>5653.8</v>
      </c>
      <c r="D33" s="25">
        <v>6133.2</v>
      </c>
      <c r="E33" s="25">
        <v>6472.9</v>
      </c>
      <c r="F33" s="47">
        <v>6472.9</v>
      </c>
      <c r="G33" s="25"/>
      <c r="H33" s="25">
        <v>6771</v>
      </c>
      <c r="I33" s="25">
        <v>7004</v>
      </c>
      <c r="J33" s="25">
        <v>7379</v>
      </c>
      <c r="K33" s="25">
        <v>7622</v>
      </c>
      <c r="L33" s="47">
        <v>7622</v>
      </c>
      <c r="M33" s="25"/>
      <c r="N33" s="25">
        <v>7895.2723924895254</v>
      </c>
      <c r="O33" s="25">
        <v>8124.8438372725923</v>
      </c>
      <c r="P33" s="25">
        <v>8353.0474698011658</v>
      </c>
    </row>
    <row r="34" spans="1:16" ht="3.75" customHeight="1">
      <c r="A34" s="217"/>
      <c r="B34" s="25"/>
      <c r="C34" s="25"/>
      <c r="D34" s="25"/>
      <c r="E34" s="46"/>
      <c r="F34" s="49"/>
      <c r="G34" s="35"/>
      <c r="H34" s="25"/>
      <c r="I34" s="25"/>
      <c r="J34" s="25"/>
      <c r="K34" s="25"/>
      <c r="L34" s="49"/>
      <c r="M34" s="35"/>
      <c r="N34" s="25"/>
      <c r="O34" s="25"/>
      <c r="P34" s="25"/>
    </row>
    <row r="35" spans="1:16" ht="15">
      <c r="A35" s="24" t="s">
        <v>132</v>
      </c>
      <c r="B35" s="32">
        <v>44081.9</v>
      </c>
      <c r="C35" s="32">
        <v>45142.8</v>
      </c>
      <c r="D35" s="32">
        <v>46083.199999999997</v>
      </c>
      <c r="E35" s="32">
        <v>46687.3</v>
      </c>
      <c r="F35" s="34">
        <v>46687.3</v>
      </c>
      <c r="G35" s="15"/>
      <c r="H35" s="32">
        <v>47393</v>
      </c>
      <c r="I35" s="32">
        <v>47654</v>
      </c>
      <c r="J35" s="32">
        <v>48136</v>
      </c>
      <c r="K35" s="32">
        <v>48406</v>
      </c>
      <c r="L35" s="34">
        <v>48406</v>
      </c>
      <c r="M35" s="15"/>
      <c r="N35" s="32">
        <v>48879.724000000002</v>
      </c>
      <c r="O35" s="32">
        <v>49183.815000000002</v>
      </c>
      <c r="P35" s="32">
        <v>49614.913999999997</v>
      </c>
    </row>
    <row r="36" spans="1:16" ht="15">
      <c r="A36" s="195" t="s">
        <v>118</v>
      </c>
      <c r="B36" s="203">
        <v>0.1154192537073039</v>
      </c>
      <c r="C36" s="203">
        <v>0.12501218355972601</v>
      </c>
      <c r="D36" s="203">
        <v>0.1329443267828623</v>
      </c>
      <c r="E36" s="203">
        <v>0.13858372619534648</v>
      </c>
      <c r="F36" s="204">
        <v>0.13858372619534648</v>
      </c>
      <c r="G36" s="206"/>
      <c r="H36" s="203">
        <v>0.14299999999999999</v>
      </c>
      <c r="I36" s="203">
        <v>0.14699999999999999</v>
      </c>
      <c r="J36" s="203">
        <v>0.153</v>
      </c>
      <c r="K36" s="203">
        <v>0.157</v>
      </c>
      <c r="L36" s="204">
        <v>0.157</v>
      </c>
      <c r="M36" s="206"/>
      <c r="N36" s="203">
        <v>0.16150439786627119</v>
      </c>
      <c r="O36" s="203">
        <v>0.16519344498332617</v>
      </c>
      <c r="P36" s="203">
        <v>0.16835759243281498</v>
      </c>
    </row>
    <row r="37" spans="1:16">
      <c r="A37" s="24" t="s">
        <v>8</v>
      </c>
      <c r="B37" s="25">
        <v>638.9</v>
      </c>
      <c r="C37" s="25">
        <v>555</v>
      </c>
      <c r="D37" s="25">
        <v>483.1</v>
      </c>
      <c r="E37" s="25">
        <v>343.6</v>
      </c>
      <c r="F37" s="47">
        <v>2020.6</v>
      </c>
      <c r="G37" s="35"/>
      <c r="H37" s="25">
        <v>298</v>
      </c>
      <c r="I37" s="25">
        <v>233</v>
      </c>
      <c r="J37" s="25">
        <v>375</v>
      </c>
      <c r="K37" s="25">
        <v>243</v>
      </c>
      <c r="L37" s="47">
        <v>1149</v>
      </c>
      <c r="M37" s="35"/>
      <c r="N37" s="25">
        <v>274.54584095106179</v>
      </c>
      <c r="O37" s="25">
        <v>229.5534447830664</v>
      </c>
      <c r="P37" s="25">
        <v>228.20363252857328</v>
      </c>
    </row>
    <row r="38" spans="1:16" ht="3.75" customHeight="1">
      <c r="A38" s="16" t="s">
        <v>7</v>
      </c>
      <c r="B38" s="32"/>
      <c r="C38" s="32"/>
      <c r="D38" s="32"/>
      <c r="E38" s="33"/>
      <c r="F38" s="39"/>
      <c r="G38" s="35"/>
      <c r="H38" s="32"/>
      <c r="I38" s="32"/>
      <c r="J38" s="32"/>
      <c r="K38" s="32"/>
      <c r="L38" s="39"/>
      <c r="M38" s="35"/>
      <c r="N38" s="32"/>
      <c r="O38" s="32"/>
      <c r="P38" s="32"/>
    </row>
    <row r="39" spans="1:16" ht="3.75" customHeight="1">
      <c r="A39" s="281"/>
      <c r="B39" s="282"/>
      <c r="C39" s="282"/>
      <c r="D39" s="282"/>
      <c r="E39" s="283"/>
      <c r="F39" s="284"/>
      <c r="G39" s="285"/>
      <c r="H39" s="282"/>
      <c r="I39" s="282"/>
      <c r="J39" s="282"/>
      <c r="K39" s="282"/>
      <c r="L39" s="284"/>
      <c r="M39" s="285"/>
      <c r="N39" s="282"/>
      <c r="O39" s="282"/>
      <c r="P39" s="282"/>
    </row>
    <row r="40" spans="1:16" ht="3.75" customHeight="1">
      <c r="A40" s="16"/>
      <c r="B40" s="32"/>
      <c r="C40" s="32"/>
      <c r="D40" s="32"/>
      <c r="E40" s="33"/>
      <c r="F40" s="39"/>
      <c r="G40" s="35"/>
      <c r="H40" s="32"/>
      <c r="I40" s="32"/>
      <c r="J40" s="32"/>
      <c r="K40" s="32"/>
      <c r="L40" s="39"/>
      <c r="M40" s="35"/>
      <c r="N40" s="32"/>
      <c r="O40" s="32"/>
      <c r="P40" s="32"/>
    </row>
    <row r="41" spans="1:16">
      <c r="A41" s="219" t="s">
        <v>58</v>
      </c>
      <c r="B41" s="211">
        <v>43940</v>
      </c>
      <c r="C41" s="211">
        <v>44580.2</v>
      </c>
      <c r="D41" s="211">
        <v>45293.8</v>
      </c>
      <c r="E41" s="211">
        <v>45584.3</v>
      </c>
      <c r="F41" s="212">
        <v>45584.3</v>
      </c>
      <c r="G41" s="213"/>
      <c r="H41" s="211">
        <v>46133</v>
      </c>
      <c r="I41" s="211">
        <v>46217</v>
      </c>
      <c r="J41" s="211">
        <v>46821</v>
      </c>
      <c r="K41" s="211">
        <v>47112</v>
      </c>
      <c r="L41" s="212">
        <v>47112</v>
      </c>
      <c r="M41" s="213"/>
      <c r="N41" s="211">
        <v>47701.510624882081</v>
      </c>
      <c r="O41" s="211">
        <v>47784.903309153873</v>
      </c>
      <c r="P41" s="211">
        <v>47986.618312314989</v>
      </c>
    </row>
    <row r="42" spans="1:16">
      <c r="A42" s="236" t="s">
        <v>119</v>
      </c>
      <c r="B42" s="220">
        <v>964.3</v>
      </c>
      <c r="C42" s="220">
        <v>640.29999999999995</v>
      </c>
      <c r="D42" s="220">
        <v>713.60000000000059</v>
      </c>
      <c r="E42" s="220">
        <v>290.40000000000072</v>
      </c>
      <c r="F42" s="221">
        <v>2608.6</v>
      </c>
      <c r="G42" s="222"/>
      <c r="H42" s="220">
        <v>549</v>
      </c>
      <c r="I42" s="220">
        <v>84</v>
      </c>
      <c r="J42" s="220">
        <v>604</v>
      </c>
      <c r="K42" s="220">
        <v>290</v>
      </c>
      <c r="L42" s="221">
        <v>1528</v>
      </c>
      <c r="M42" s="222"/>
      <c r="N42" s="220">
        <v>589.68408270476391</v>
      </c>
      <c r="O42" s="220">
        <v>83.392684271785427</v>
      </c>
      <c r="P42" s="220">
        <v>201.71500316111744</v>
      </c>
    </row>
    <row r="43" spans="1:16" ht="6" customHeight="1">
      <c r="A43" s="31"/>
      <c r="B43" s="25"/>
      <c r="C43" s="25"/>
      <c r="D43" s="25"/>
      <c r="E43" s="46"/>
      <c r="F43" s="49"/>
      <c r="G43" s="35"/>
      <c r="H43" s="25"/>
      <c r="I43" s="25"/>
      <c r="J43" s="25"/>
      <c r="K43" s="25"/>
      <c r="L43" s="49"/>
      <c r="M43" s="35"/>
      <c r="N43" s="25"/>
      <c r="O43" s="25"/>
      <c r="P43" s="25"/>
    </row>
    <row r="44" spans="1:16" ht="15">
      <c r="A44" s="31" t="s">
        <v>133</v>
      </c>
      <c r="B44" s="25">
        <v>59960.7</v>
      </c>
      <c r="C44" s="25">
        <v>60920.7</v>
      </c>
      <c r="D44" s="25">
        <v>62051.4</v>
      </c>
      <c r="E44" s="25">
        <v>62588.4</v>
      </c>
      <c r="F44" s="218">
        <v>62588.4</v>
      </c>
      <c r="G44" s="35"/>
      <c r="H44" s="25">
        <v>63426</v>
      </c>
      <c r="I44" s="25">
        <v>63760</v>
      </c>
      <c r="J44" s="25">
        <v>64826</v>
      </c>
      <c r="K44" s="25">
        <v>65527</v>
      </c>
      <c r="L44" s="218">
        <v>65527</v>
      </c>
      <c r="M44" s="35"/>
      <c r="N44" s="25">
        <v>66544.198255778712</v>
      </c>
      <c r="O44" s="25">
        <v>67021.626500735903</v>
      </c>
      <c r="P44" s="25">
        <v>67442.739249683262</v>
      </c>
    </row>
    <row r="45" spans="1:16">
      <c r="A45" s="199" t="s">
        <v>62</v>
      </c>
      <c r="B45" s="220">
        <v>1458.5</v>
      </c>
      <c r="C45" s="220">
        <v>960.09999999999889</v>
      </c>
      <c r="D45" s="220">
        <v>1130.7</v>
      </c>
      <c r="E45" s="220">
        <v>536.90000000000077</v>
      </c>
      <c r="F45" s="223">
        <v>4086.2</v>
      </c>
      <c r="G45" s="222"/>
      <c r="H45" s="220">
        <v>837</v>
      </c>
      <c r="I45" s="220">
        <v>334</v>
      </c>
      <c r="J45" s="220">
        <v>1067</v>
      </c>
      <c r="K45" s="220">
        <v>701</v>
      </c>
      <c r="L45" s="223">
        <v>2939</v>
      </c>
      <c r="M45" s="222"/>
      <c r="N45" s="220">
        <v>1017.0669790499247</v>
      </c>
      <c r="O45" s="220">
        <v>477.42824495718719</v>
      </c>
      <c r="P45" s="220">
        <v>421.11274894736334</v>
      </c>
    </row>
    <row r="46" spans="1:16" ht="3.75" customHeight="1">
      <c r="A46" s="16" t="s">
        <v>7</v>
      </c>
      <c r="B46" s="32"/>
      <c r="C46" s="32"/>
      <c r="D46" s="32"/>
      <c r="E46" s="33"/>
      <c r="F46" s="39"/>
      <c r="G46" s="35"/>
      <c r="H46" s="32"/>
      <c r="I46" s="32"/>
      <c r="J46" s="32"/>
      <c r="K46" s="32"/>
      <c r="L46" s="39"/>
      <c r="M46" s="35"/>
      <c r="N46" s="32"/>
      <c r="O46" s="32"/>
      <c r="P46" s="32"/>
    </row>
    <row r="47" spans="1:16" ht="3.75" customHeight="1">
      <c r="A47" s="281"/>
      <c r="B47" s="282"/>
      <c r="C47" s="282"/>
      <c r="D47" s="282"/>
      <c r="E47" s="283"/>
      <c r="F47" s="284"/>
      <c r="G47" s="285"/>
      <c r="H47" s="282"/>
      <c r="I47" s="282"/>
      <c r="J47" s="282"/>
      <c r="K47" s="282"/>
      <c r="L47" s="284"/>
      <c r="M47" s="285"/>
      <c r="N47" s="282"/>
      <c r="O47" s="282"/>
      <c r="P47" s="282"/>
    </row>
    <row r="48" spans="1:16" ht="3.75" customHeight="1">
      <c r="A48" s="16"/>
      <c r="B48" s="32"/>
      <c r="C48" s="32"/>
      <c r="D48" s="32"/>
      <c r="E48" s="33"/>
      <c r="F48" s="39"/>
      <c r="G48" s="35"/>
      <c r="H48" s="32"/>
      <c r="I48" s="32"/>
      <c r="J48" s="32"/>
      <c r="K48" s="32"/>
      <c r="L48" s="39"/>
      <c r="M48" s="35"/>
      <c r="N48" s="32"/>
      <c r="O48" s="32"/>
      <c r="P48" s="32"/>
    </row>
    <row r="49" spans="1:16">
      <c r="A49" s="31" t="s">
        <v>137</v>
      </c>
      <c r="B49" s="254">
        <v>107.2</v>
      </c>
      <c r="C49" s="254">
        <v>110.24</v>
      </c>
      <c r="D49" s="254">
        <v>111.32</v>
      </c>
      <c r="E49" s="255">
        <v>114.48</v>
      </c>
      <c r="F49" s="256">
        <v>111.1</v>
      </c>
      <c r="G49" s="254"/>
      <c r="H49" s="254">
        <v>115.74</v>
      </c>
      <c r="I49" s="254">
        <v>118.32</v>
      </c>
      <c r="J49" s="254">
        <v>117.54</v>
      </c>
      <c r="K49" s="254">
        <v>120.66</v>
      </c>
      <c r="L49" s="256">
        <v>118.23</v>
      </c>
      <c r="M49" s="254"/>
      <c r="N49" s="254">
        <v>122.98</v>
      </c>
      <c r="O49" s="254">
        <v>127.78</v>
      </c>
      <c r="P49" s="254">
        <v>129.75</v>
      </c>
    </row>
  </sheetData>
  <mergeCells count="3">
    <mergeCell ref="N4:P4"/>
    <mergeCell ref="H4:K4"/>
    <mergeCell ref="B1:F1"/>
  </mergeCells>
  <phoneticPr fontId="5" type="noConversion"/>
  <printOptions horizontalCentered="1"/>
  <pageMargins left="0.5" right="0.5" top="0.25" bottom="0.25" header="0.25" footer="0.25"/>
  <pageSetup scale="78" orientation="landscape" r:id="rId1"/>
  <headerFooter alignWithMargins="0">
    <oddFooter>&amp;L&amp;"Arial Narrow,Regular"&amp;8See notes on page 4. Minor differences may exist due to rounding.&amp;R&amp;"Arial Narrow,Regular"&amp;8 1</oddFooter>
  </headerFooter>
  <customProperties>
    <customPr name="WORKBKFUNCTIONCACHE" r:id="rId2"/>
  </customProperties>
  <drawing r:id="rId3"/>
</worksheet>
</file>

<file path=xl/worksheets/sheet2.xml><?xml version="1.0" encoding="utf-8"?>
<worksheet xmlns="http://schemas.openxmlformats.org/spreadsheetml/2006/main" xmlns:r="http://schemas.openxmlformats.org/officeDocument/2006/relationships">
  <sheetPr codeName="Sheet2">
    <tabColor theme="7" tint="0.39997558519241921"/>
    <pageSetUpPr fitToPage="1"/>
  </sheetPr>
  <dimension ref="A1:P56"/>
  <sheetViews>
    <sheetView showGridLines="0" zoomScaleNormal="100" zoomScaleSheetLayoutView="85" workbookViewId="0">
      <pane xSplit="1" ySplit="5" topLeftCell="B6" activePane="bottomRight" state="frozen"/>
      <selection activeCell="Q14" sqref="Q14"/>
      <selection pane="topRight" activeCell="Q14" sqref="Q14"/>
      <selection pane="bottomLeft" activeCell="Q14" sqref="Q14"/>
      <selection pane="bottomRight" activeCell="A4" sqref="A4"/>
    </sheetView>
  </sheetViews>
  <sheetFormatPr defaultRowHeight="12.75"/>
  <cols>
    <col min="1" max="1" width="46.7109375" style="3" customWidth="1"/>
    <col min="2" max="5" width="8.5703125" style="3" customWidth="1"/>
    <col min="6" max="6" width="9.7109375" style="3" customWidth="1"/>
    <col min="7" max="7" width="1.42578125" style="15" customWidth="1"/>
    <col min="8" max="11" width="8.5703125" style="3" customWidth="1"/>
    <col min="12" max="12" width="9.7109375" style="3" customWidth="1"/>
    <col min="13" max="13" width="1.42578125" style="15" customWidth="1"/>
    <col min="14" max="14" width="8.5703125" style="3" customWidth="1"/>
    <col min="15" max="16" width="9.140625" style="3" customWidth="1"/>
    <col min="17" max="16384" width="9.140625" style="3"/>
  </cols>
  <sheetData>
    <row r="1" spans="1:16" ht="18">
      <c r="A1" s="193" t="s">
        <v>146</v>
      </c>
      <c r="B1" s="303"/>
      <c r="C1" s="303"/>
      <c r="D1" s="303"/>
      <c r="E1" s="303"/>
      <c r="F1" s="15"/>
      <c r="H1" s="15"/>
      <c r="L1" s="15"/>
      <c r="N1" s="15"/>
    </row>
    <row r="2" spans="1:16">
      <c r="A2" s="276" t="s">
        <v>112</v>
      </c>
      <c r="B2" s="277"/>
      <c r="C2" s="277"/>
      <c r="D2" s="277"/>
      <c r="E2" s="277"/>
      <c r="F2" s="277"/>
      <c r="G2" s="277"/>
      <c r="H2" s="277"/>
      <c r="I2" s="277"/>
      <c r="J2" s="277"/>
      <c r="K2" s="277"/>
      <c r="L2" s="277"/>
      <c r="M2" s="277"/>
      <c r="N2" s="277"/>
      <c r="O2" s="277"/>
      <c r="P2" s="277"/>
    </row>
    <row r="3" spans="1:16" ht="11.85" customHeight="1"/>
    <row r="4" spans="1:16">
      <c r="B4" s="23">
        <v>2008</v>
      </c>
      <c r="C4" s="23"/>
      <c r="D4" s="23"/>
      <c r="E4" s="23"/>
      <c r="F4" s="23"/>
      <c r="G4" s="3"/>
      <c r="H4" s="301">
        <v>2009</v>
      </c>
      <c r="I4" s="302"/>
      <c r="J4" s="302"/>
      <c r="K4" s="302"/>
      <c r="L4" s="23"/>
      <c r="M4" s="3"/>
      <c r="N4" s="301">
        <v>2010</v>
      </c>
      <c r="O4" s="301"/>
      <c r="P4" s="301"/>
    </row>
    <row r="5" spans="1:16">
      <c r="A5" s="117"/>
      <c r="B5" s="278" t="s">
        <v>11</v>
      </c>
      <c r="C5" s="279" t="s">
        <v>12</v>
      </c>
      <c r="D5" s="279" t="s">
        <v>13</v>
      </c>
      <c r="E5" s="279" t="s">
        <v>14</v>
      </c>
      <c r="F5" s="280" t="s">
        <v>51</v>
      </c>
      <c r="G5" s="14"/>
      <c r="H5" s="278" t="s">
        <v>11</v>
      </c>
      <c r="I5" s="279" t="s">
        <v>12</v>
      </c>
      <c r="J5" s="279" t="s">
        <v>13</v>
      </c>
      <c r="K5" s="279" t="s">
        <v>14</v>
      </c>
      <c r="L5" s="280" t="s">
        <v>51</v>
      </c>
      <c r="M5" s="14"/>
      <c r="N5" s="278" t="s">
        <v>11</v>
      </c>
      <c r="O5" s="279" t="s">
        <v>12</v>
      </c>
      <c r="P5" s="299" t="s">
        <v>13</v>
      </c>
    </row>
    <row r="6" spans="1:16" ht="3.75" customHeight="1" thickBot="1">
      <c r="B6" s="30"/>
      <c r="C6" s="12"/>
      <c r="D6" s="12"/>
      <c r="E6" s="12"/>
      <c r="F6" s="237"/>
      <c r="G6" s="14"/>
      <c r="H6" s="30"/>
      <c r="I6" s="15"/>
      <c r="J6" s="15"/>
      <c r="K6" s="15"/>
      <c r="L6" s="237"/>
      <c r="M6" s="14"/>
      <c r="N6" s="30"/>
      <c r="O6" s="15"/>
      <c r="P6" s="15"/>
    </row>
    <row r="7" spans="1:16" s="2" customFormat="1" ht="15.75" customHeight="1" thickBot="1">
      <c r="A7" s="287" t="s">
        <v>67</v>
      </c>
      <c r="B7" s="288"/>
      <c r="C7" s="288"/>
      <c r="D7" s="288"/>
      <c r="E7" s="289"/>
      <c r="F7" s="290"/>
      <c r="G7" s="288"/>
      <c r="H7" s="288"/>
      <c r="I7" s="288"/>
      <c r="J7" s="288"/>
      <c r="K7" s="288"/>
      <c r="L7" s="290"/>
      <c r="M7" s="288"/>
      <c r="N7" s="288"/>
      <c r="O7" s="288"/>
      <c r="P7" s="288"/>
    </row>
    <row r="8" spans="1:16" ht="14.25" customHeight="1">
      <c r="A8" s="5" t="s">
        <v>138</v>
      </c>
      <c r="B8" s="52">
        <v>4778</v>
      </c>
      <c r="C8" s="50">
        <v>4800</v>
      </c>
      <c r="D8" s="50">
        <v>4767</v>
      </c>
      <c r="E8" s="50">
        <v>4817</v>
      </c>
      <c r="F8" s="51">
        <v>19162</v>
      </c>
      <c r="G8" s="58"/>
      <c r="H8" s="52">
        <v>4929</v>
      </c>
      <c r="I8" s="50">
        <v>4884</v>
      </c>
      <c r="J8" s="50">
        <v>4777</v>
      </c>
      <c r="K8" s="50">
        <v>4787</v>
      </c>
      <c r="L8" s="51">
        <v>19377</v>
      </c>
      <c r="M8" s="58"/>
      <c r="N8" s="52">
        <v>4842</v>
      </c>
      <c r="O8" s="50">
        <v>4917</v>
      </c>
      <c r="P8" s="50">
        <v>4881</v>
      </c>
    </row>
    <row r="9" spans="1:16" ht="12" customHeight="1">
      <c r="A9" s="195" t="s">
        <v>60</v>
      </c>
      <c r="B9" s="196">
        <v>1750</v>
      </c>
      <c r="C9" s="196">
        <v>1792</v>
      </c>
      <c r="D9" s="196">
        <v>1822</v>
      </c>
      <c r="E9" s="196">
        <v>1861</v>
      </c>
      <c r="F9" s="197">
        <v>7225</v>
      </c>
      <c r="G9" s="196"/>
      <c r="H9" s="196">
        <v>1909</v>
      </c>
      <c r="I9" s="196">
        <v>1929</v>
      </c>
      <c r="J9" s="196">
        <v>1930</v>
      </c>
      <c r="K9" s="196">
        <v>1989</v>
      </c>
      <c r="L9" s="197">
        <v>7757</v>
      </c>
      <c r="M9" s="196"/>
      <c r="N9" s="196">
        <v>2071</v>
      </c>
      <c r="O9" s="196">
        <v>2129</v>
      </c>
      <c r="P9" s="196">
        <v>2164</v>
      </c>
    </row>
    <row r="10" spans="1:16" ht="12" customHeight="1">
      <c r="A10" s="195" t="s">
        <v>59</v>
      </c>
      <c r="B10" s="196">
        <v>587</v>
      </c>
      <c r="C10" s="196">
        <v>640</v>
      </c>
      <c r="D10" s="196">
        <v>690</v>
      </c>
      <c r="E10" s="196">
        <v>732</v>
      </c>
      <c r="F10" s="197">
        <v>2649</v>
      </c>
      <c r="G10" s="196"/>
      <c r="H10" s="196">
        <v>777</v>
      </c>
      <c r="I10" s="196">
        <v>801</v>
      </c>
      <c r="J10" s="196">
        <v>829</v>
      </c>
      <c r="K10" s="196">
        <v>855</v>
      </c>
      <c r="L10" s="197">
        <v>3262</v>
      </c>
      <c r="M10" s="196"/>
      <c r="N10" s="196">
        <v>877</v>
      </c>
      <c r="O10" s="196">
        <v>916</v>
      </c>
      <c r="P10" s="196">
        <v>934</v>
      </c>
    </row>
    <row r="11" spans="1:16">
      <c r="A11" s="195" t="s">
        <v>0</v>
      </c>
      <c r="B11" s="196">
        <v>379</v>
      </c>
      <c r="C11" s="196">
        <v>446</v>
      </c>
      <c r="D11" s="196">
        <v>423</v>
      </c>
      <c r="E11" s="196">
        <v>461</v>
      </c>
      <c r="F11" s="197">
        <v>1709</v>
      </c>
      <c r="G11" s="201"/>
      <c r="H11" s="196">
        <v>292</v>
      </c>
      <c r="I11" s="196">
        <v>363</v>
      </c>
      <c r="J11" s="196">
        <v>363</v>
      </c>
      <c r="K11" s="196">
        <v>426</v>
      </c>
      <c r="L11" s="197">
        <v>1444</v>
      </c>
      <c r="M11" s="201"/>
      <c r="N11" s="196">
        <v>360</v>
      </c>
      <c r="O11" s="196">
        <v>446</v>
      </c>
      <c r="P11" s="196">
        <v>461</v>
      </c>
    </row>
    <row r="12" spans="1:16" ht="15">
      <c r="A12" s="195" t="s">
        <v>147</v>
      </c>
      <c r="B12" s="196">
        <v>235</v>
      </c>
      <c r="C12" s="196">
        <v>241</v>
      </c>
      <c r="D12" s="196">
        <v>248</v>
      </c>
      <c r="E12" s="196">
        <v>242</v>
      </c>
      <c r="F12" s="197">
        <v>966</v>
      </c>
      <c r="G12" s="201"/>
      <c r="H12" s="270">
        <v>242</v>
      </c>
      <c r="I12" s="196">
        <v>303</v>
      </c>
      <c r="J12" s="196">
        <v>265</v>
      </c>
      <c r="K12" s="196">
        <v>269</v>
      </c>
      <c r="L12" s="197">
        <v>1079</v>
      </c>
      <c r="M12" s="201"/>
      <c r="N12" s="270">
        <v>285</v>
      </c>
      <c r="O12" s="196">
        <v>290</v>
      </c>
      <c r="P12" s="196">
        <v>293</v>
      </c>
    </row>
    <row r="13" spans="1:16">
      <c r="A13" s="24" t="s">
        <v>1</v>
      </c>
      <c r="B13" s="54">
        <v>224</v>
      </c>
      <c r="C13" s="54">
        <v>227</v>
      </c>
      <c r="D13" s="54">
        <v>228</v>
      </c>
      <c r="E13" s="54">
        <v>232</v>
      </c>
      <c r="F13" s="57">
        <v>911</v>
      </c>
      <c r="G13" s="58"/>
      <c r="H13" s="271">
        <v>234</v>
      </c>
      <c r="I13" s="54">
        <v>238</v>
      </c>
      <c r="J13" s="54">
        <v>238</v>
      </c>
      <c r="K13" s="54">
        <v>238</v>
      </c>
      <c r="L13" s="57">
        <v>948</v>
      </c>
      <c r="M13" s="58"/>
      <c r="N13" s="271">
        <v>242</v>
      </c>
      <c r="O13" s="54">
        <v>251</v>
      </c>
      <c r="P13" s="54">
        <v>248</v>
      </c>
    </row>
    <row r="14" spans="1:16">
      <c r="A14" s="135" t="s">
        <v>121</v>
      </c>
      <c r="B14" s="58">
        <v>7953</v>
      </c>
      <c r="C14" s="53">
        <v>8146</v>
      </c>
      <c r="D14" s="53">
        <v>8178</v>
      </c>
      <c r="E14" s="53">
        <v>8345</v>
      </c>
      <c r="F14" s="194">
        <v>32622</v>
      </c>
      <c r="G14" s="52"/>
      <c r="H14" s="58">
        <v>8383</v>
      </c>
      <c r="I14" s="53">
        <v>8518</v>
      </c>
      <c r="J14" s="53">
        <v>8402</v>
      </c>
      <c r="K14" s="53">
        <v>8564</v>
      </c>
      <c r="L14" s="194">
        <v>33867</v>
      </c>
      <c r="M14" s="52"/>
      <c r="N14" s="58">
        <v>8677</v>
      </c>
      <c r="O14" s="53">
        <v>8949</v>
      </c>
      <c r="P14" s="53">
        <v>8981</v>
      </c>
    </row>
    <row r="15" spans="1:16" ht="3.75" customHeight="1">
      <c r="A15" s="10"/>
      <c r="B15" s="35"/>
      <c r="C15" s="48"/>
      <c r="D15" s="48"/>
      <c r="E15" s="48"/>
      <c r="F15" s="49"/>
      <c r="G15" s="35"/>
      <c r="H15" s="35"/>
      <c r="I15" s="48"/>
      <c r="J15" s="48"/>
      <c r="K15" s="48"/>
      <c r="L15" s="49"/>
      <c r="M15" s="35"/>
      <c r="N15" s="35"/>
      <c r="O15" s="48"/>
      <c r="P15" s="48"/>
    </row>
    <row r="16" spans="1:16">
      <c r="A16" s="24" t="s">
        <v>0</v>
      </c>
      <c r="B16" s="58">
        <v>154.12922445999999</v>
      </c>
      <c r="C16" s="53">
        <v>169.64496437</v>
      </c>
      <c r="D16" s="53">
        <v>145.90180017999998</v>
      </c>
      <c r="E16" s="53">
        <v>142.51283368</v>
      </c>
      <c r="F16" s="57">
        <v>613</v>
      </c>
      <c r="G16" s="58"/>
      <c r="H16" s="58">
        <v>143</v>
      </c>
      <c r="I16" s="53">
        <v>158</v>
      </c>
      <c r="J16" s="53">
        <v>158</v>
      </c>
      <c r="K16" s="53">
        <v>152</v>
      </c>
      <c r="L16" s="57">
        <v>611</v>
      </c>
      <c r="M16" s="58"/>
      <c r="N16" s="58">
        <v>152</v>
      </c>
      <c r="O16" s="53">
        <v>191</v>
      </c>
      <c r="P16" s="53">
        <v>165</v>
      </c>
    </row>
    <row r="17" spans="1:16">
      <c r="A17" s="195" t="s">
        <v>55</v>
      </c>
      <c r="B17" s="196">
        <v>155.66506176999997</v>
      </c>
      <c r="C17" s="196">
        <v>154.80111602000002</v>
      </c>
      <c r="D17" s="196">
        <v>158.36343378999999</v>
      </c>
      <c r="E17" s="196">
        <v>162.87660329000002</v>
      </c>
      <c r="F17" s="197">
        <v>631.70621486999994</v>
      </c>
      <c r="G17" s="196"/>
      <c r="H17" s="196">
        <v>178</v>
      </c>
      <c r="I17" s="196">
        <v>179</v>
      </c>
      <c r="J17" s="196">
        <v>178</v>
      </c>
      <c r="K17" s="196">
        <v>171</v>
      </c>
      <c r="L17" s="197">
        <v>706</v>
      </c>
      <c r="M17" s="196"/>
      <c r="N17" s="196">
        <v>185</v>
      </c>
      <c r="O17" s="196">
        <v>196</v>
      </c>
      <c r="P17" s="196">
        <v>196</v>
      </c>
    </row>
    <row r="18" spans="1:16" ht="14.25" customHeight="1">
      <c r="A18" s="24" t="s">
        <v>136</v>
      </c>
      <c r="B18" s="54">
        <v>53</v>
      </c>
      <c r="C18" s="54">
        <v>41.380641099999991</v>
      </c>
      <c r="D18" s="54">
        <v>42.591809009999999</v>
      </c>
      <c r="E18" s="54">
        <v>44</v>
      </c>
      <c r="F18" s="66">
        <v>180.97245010999998</v>
      </c>
      <c r="G18" s="58"/>
      <c r="H18" s="54">
        <v>40</v>
      </c>
      <c r="I18" s="54">
        <v>47</v>
      </c>
      <c r="J18" s="54">
        <v>47</v>
      </c>
      <c r="K18" s="54">
        <v>45</v>
      </c>
      <c r="L18" s="66">
        <v>179</v>
      </c>
      <c r="M18" s="58"/>
      <c r="N18" s="54">
        <v>48</v>
      </c>
      <c r="O18" s="54">
        <v>67</v>
      </c>
      <c r="P18" s="54">
        <v>55</v>
      </c>
    </row>
    <row r="19" spans="1:16">
      <c r="A19" s="135" t="s">
        <v>120</v>
      </c>
      <c r="B19" s="58">
        <v>363</v>
      </c>
      <c r="C19" s="53">
        <v>366</v>
      </c>
      <c r="D19" s="53">
        <v>347</v>
      </c>
      <c r="E19" s="53">
        <v>350</v>
      </c>
      <c r="F19" s="57">
        <v>1426</v>
      </c>
      <c r="G19" s="52"/>
      <c r="H19" s="58">
        <v>361</v>
      </c>
      <c r="I19" s="53">
        <v>384</v>
      </c>
      <c r="J19" s="53">
        <v>383</v>
      </c>
      <c r="K19" s="53">
        <v>368</v>
      </c>
      <c r="L19" s="57">
        <v>1496</v>
      </c>
      <c r="M19" s="52"/>
      <c r="N19" s="58">
        <v>385</v>
      </c>
      <c r="O19" s="53">
        <v>454</v>
      </c>
      <c r="P19" s="273">
        <v>416</v>
      </c>
    </row>
    <row r="20" spans="1:16" ht="3.75" customHeight="1">
      <c r="A20" s="10"/>
      <c r="B20" s="35"/>
      <c r="C20" s="48"/>
      <c r="D20" s="48"/>
      <c r="E20" s="48"/>
      <c r="F20" s="49"/>
      <c r="G20" s="35"/>
      <c r="H20" s="35"/>
      <c r="I20" s="48"/>
      <c r="J20" s="48"/>
      <c r="K20" s="48"/>
      <c r="L20" s="49"/>
      <c r="M20" s="35"/>
      <c r="N20" s="35"/>
      <c r="O20" s="48"/>
      <c r="P20" s="48"/>
    </row>
    <row r="21" spans="1:16">
      <c r="A21" s="205" t="s">
        <v>2</v>
      </c>
      <c r="B21" s="201">
        <v>107</v>
      </c>
      <c r="C21" s="201">
        <v>85</v>
      </c>
      <c r="D21" s="201">
        <v>67</v>
      </c>
      <c r="E21" s="201">
        <v>116</v>
      </c>
      <c r="F21" s="202">
        <v>375</v>
      </c>
      <c r="G21" s="201"/>
      <c r="H21" s="201">
        <v>122</v>
      </c>
      <c r="I21" s="201">
        <v>76</v>
      </c>
      <c r="J21" s="201">
        <v>60</v>
      </c>
      <c r="K21" s="201">
        <v>135</v>
      </c>
      <c r="L21" s="202">
        <v>393</v>
      </c>
      <c r="M21" s="201"/>
      <c r="N21" s="201">
        <v>140</v>
      </c>
      <c r="O21" s="201">
        <v>122</v>
      </c>
      <c r="P21" s="201">
        <v>92</v>
      </c>
    </row>
    <row r="22" spans="1:16" ht="3.75" customHeight="1">
      <c r="B22" s="36"/>
      <c r="C22" s="37"/>
      <c r="D22" s="37"/>
      <c r="E22" s="48"/>
      <c r="F22" s="49"/>
      <c r="G22" s="36"/>
      <c r="H22" s="36"/>
      <c r="I22" s="37"/>
      <c r="J22" s="37"/>
      <c r="K22" s="48"/>
      <c r="L22" s="49"/>
      <c r="M22" s="36"/>
      <c r="N22" s="36"/>
      <c r="O22" s="37"/>
      <c r="P22" s="37"/>
    </row>
    <row r="23" spans="1:16" s="2" customFormat="1">
      <c r="A23" s="9" t="s">
        <v>3</v>
      </c>
      <c r="B23" s="61">
        <v>8423</v>
      </c>
      <c r="C23" s="61">
        <v>8597</v>
      </c>
      <c r="D23" s="61">
        <v>8592</v>
      </c>
      <c r="E23" s="62">
        <v>8811</v>
      </c>
      <c r="F23" s="63">
        <v>34423</v>
      </c>
      <c r="G23" s="61"/>
      <c r="H23" s="61">
        <v>8866</v>
      </c>
      <c r="I23" s="61">
        <v>8978</v>
      </c>
      <c r="J23" s="61">
        <v>8845</v>
      </c>
      <c r="K23" s="62">
        <v>9067</v>
      </c>
      <c r="L23" s="63">
        <v>35756</v>
      </c>
      <c r="M23" s="61"/>
      <c r="N23" s="61">
        <v>9202</v>
      </c>
      <c r="O23" s="61">
        <v>9525</v>
      </c>
      <c r="P23" s="61">
        <v>9489</v>
      </c>
    </row>
    <row r="24" spans="1:16" ht="3.75" customHeight="1">
      <c r="B24" s="36"/>
      <c r="C24" s="37"/>
      <c r="D24" s="37"/>
      <c r="E24" s="37"/>
      <c r="F24" s="39"/>
      <c r="G24" s="64"/>
      <c r="H24" s="36"/>
      <c r="I24" s="37"/>
      <c r="J24" s="37"/>
      <c r="K24" s="37"/>
      <c r="L24" s="39"/>
      <c r="M24" s="64"/>
      <c r="N24" s="36"/>
      <c r="O24" s="37"/>
      <c r="P24" s="37"/>
    </row>
    <row r="25" spans="1:16" ht="13.5">
      <c r="A25" s="136" t="s">
        <v>125</v>
      </c>
      <c r="B25" s="96">
        <v>120</v>
      </c>
      <c r="C25" s="96">
        <v>131</v>
      </c>
      <c r="D25" s="96">
        <v>145</v>
      </c>
      <c r="E25" s="97">
        <v>162</v>
      </c>
      <c r="F25" s="295">
        <v>558</v>
      </c>
      <c r="G25" s="99"/>
      <c r="H25" s="96">
        <v>176</v>
      </c>
      <c r="I25" s="96">
        <v>198</v>
      </c>
      <c r="J25" s="96">
        <v>216</v>
      </c>
      <c r="K25" s="97">
        <v>238</v>
      </c>
      <c r="L25" s="295">
        <v>828</v>
      </c>
      <c r="M25" s="99"/>
      <c r="N25" s="96">
        <v>263</v>
      </c>
      <c r="O25" s="96">
        <v>306</v>
      </c>
      <c r="P25" s="96">
        <v>333</v>
      </c>
    </row>
    <row r="26" spans="1:16" ht="3.75" customHeight="1" thickBot="1">
      <c r="A26" s="10"/>
      <c r="B26" s="35"/>
      <c r="C26" s="48"/>
      <c r="D26" s="48"/>
      <c r="E26" s="48"/>
      <c r="F26" s="49"/>
      <c r="G26" s="35"/>
      <c r="H26" s="35"/>
      <c r="I26" s="48"/>
      <c r="J26" s="48"/>
      <c r="K26" s="48"/>
      <c r="L26" s="49"/>
      <c r="M26" s="35"/>
      <c r="N26" s="35"/>
      <c r="O26" s="48"/>
      <c r="P26" s="48"/>
    </row>
    <row r="27" spans="1:16" ht="16.5" thickBot="1">
      <c r="A27" s="287" t="s">
        <v>68</v>
      </c>
      <c r="B27" s="288"/>
      <c r="C27" s="288"/>
      <c r="D27" s="288"/>
      <c r="E27" s="289"/>
      <c r="F27" s="290"/>
      <c r="G27" s="288"/>
      <c r="H27" s="288"/>
      <c r="I27" s="288"/>
      <c r="J27" s="288"/>
      <c r="K27" s="289"/>
      <c r="L27" s="290"/>
      <c r="M27" s="288"/>
      <c r="N27" s="288"/>
      <c r="O27" s="288"/>
      <c r="P27" s="288"/>
    </row>
    <row r="28" spans="1:16">
      <c r="A28" s="24" t="s">
        <v>15</v>
      </c>
      <c r="B28" s="58">
        <v>1619</v>
      </c>
      <c r="C28" s="58">
        <v>1611</v>
      </c>
      <c r="D28" s="58">
        <v>1617</v>
      </c>
      <c r="E28" s="58">
        <v>1632</v>
      </c>
      <c r="F28" s="51">
        <v>6479</v>
      </c>
      <c r="G28" s="58"/>
      <c r="H28" s="58">
        <v>1775</v>
      </c>
      <c r="I28" s="58">
        <v>1758</v>
      </c>
      <c r="J28" s="58">
        <v>1759</v>
      </c>
      <c r="K28" s="58">
        <v>1754</v>
      </c>
      <c r="L28" s="51">
        <v>7046</v>
      </c>
      <c r="M28" s="58"/>
      <c r="N28" s="58">
        <v>1864</v>
      </c>
      <c r="O28" s="58">
        <v>1870</v>
      </c>
      <c r="P28" s="58">
        <v>1846</v>
      </c>
    </row>
    <row r="29" spans="1:16">
      <c r="A29" s="195" t="s">
        <v>60</v>
      </c>
      <c r="B29" s="196">
        <v>139</v>
      </c>
      <c r="C29" s="196">
        <v>137</v>
      </c>
      <c r="D29" s="196">
        <v>132</v>
      </c>
      <c r="E29" s="196">
        <v>118</v>
      </c>
      <c r="F29" s="197">
        <v>526</v>
      </c>
      <c r="G29" s="196"/>
      <c r="H29" s="196">
        <v>127</v>
      </c>
      <c r="I29" s="196">
        <v>126</v>
      </c>
      <c r="J29" s="196">
        <v>134</v>
      </c>
      <c r="K29" s="196">
        <v>137</v>
      </c>
      <c r="L29" s="197">
        <v>524</v>
      </c>
      <c r="M29" s="196"/>
      <c r="N29" s="196">
        <v>125</v>
      </c>
      <c r="O29" s="196">
        <v>128</v>
      </c>
      <c r="P29" s="196">
        <v>124</v>
      </c>
    </row>
    <row r="30" spans="1:16">
      <c r="A30" s="195" t="s">
        <v>59</v>
      </c>
      <c r="B30" s="196">
        <v>193</v>
      </c>
      <c r="C30" s="196">
        <v>174</v>
      </c>
      <c r="D30" s="196">
        <v>170</v>
      </c>
      <c r="E30" s="196">
        <v>162</v>
      </c>
      <c r="F30" s="197">
        <v>699</v>
      </c>
      <c r="G30" s="196"/>
      <c r="H30" s="196">
        <v>154</v>
      </c>
      <c r="I30" s="196">
        <v>132</v>
      </c>
      <c r="J30" s="196">
        <v>135</v>
      </c>
      <c r="K30" s="196">
        <v>146</v>
      </c>
      <c r="L30" s="197">
        <v>567</v>
      </c>
      <c r="M30" s="196"/>
      <c r="N30" s="196">
        <v>141</v>
      </c>
      <c r="O30" s="196">
        <v>145</v>
      </c>
      <c r="P30" s="196">
        <v>148</v>
      </c>
    </row>
    <row r="31" spans="1:16">
      <c r="A31" s="200" t="s">
        <v>73</v>
      </c>
      <c r="B31" s="201">
        <v>535</v>
      </c>
      <c r="C31" s="201">
        <v>528</v>
      </c>
      <c r="D31" s="201">
        <v>572</v>
      </c>
      <c r="E31" s="201">
        <v>553</v>
      </c>
      <c r="F31" s="197">
        <v>2188</v>
      </c>
      <c r="G31" s="201"/>
      <c r="H31" s="201">
        <v>586</v>
      </c>
      <c r="I31" s="201">
        <v>586</v>
      </c>
      <c r="J31" s="201">
        <v>573</v>
      </c>
      <c r="K31" s="201">
        <v>550</v>
      </c>
      <c r="L31" s="197">
        <v>2295</v>
      </c>
      <c r="M31" s="201"/>
      <c r="N31" s="201">
        <v>561</v>
      </c>
      <c r="O31" s="201">
        <v>541</v>
      </c>
      <c r="P31" s="201">
        <v>594</v>
      </c>
    </row>
    <row r="32" spans="1:16">
      <c r="A32" s="24" t="s">
        <v>140</v>
      </c>
      <c r="B32" s="54">
        <v>718</v>
      </c>
      <c r="C32" s="54">
        <v>740</v>
      </c>
      <c r="D32" s="271">
        <v>742</v>
      </c>
      <c r="E32" s="54">
        <v>765</v>
      </c>
      <c r="F32" s="269">
        <v>2965</v>
      </c>
      <c r="G32" s="58"/>
      <c r="H32" s="54">
        <v>731</v>
      </c>
      <c r="I32" s="54">
        <v>785</v>
      </c>
      <c r="J32" s="54">
        <v>780</v>
      </c>
      <c r="K32" s="54">
        <v>794</v>
      </c>
      <c r="L32" s="269">
        <v>3090</v>
      </c>
      <c r="M32" s="58"/>
      <c r="N32" s="54">
        <v>808</v>
      </c>
      <c r="O32" s="54">
        <v>897</v>
      </c>
      <c r="P32" s="54">
        <v>893</v>
      </c>
    </row>
    <row r="33" spans="1:16" ht="13.5">
      <c r="A33" s="135" t="s">
        <v>141</v>
      </c>
      <c r="B33" s="58">
        <v>3204</v>
      </c>
      <c r="C33" s="58">
        <v>3190</v>
      </c>
      <c r="D33" s="58">
        <v>3233</v>
      </c>
      <c r="E33" s="58">
        <v>3230</v>
      </c>
      <c r="F33" s="51">
        <v>12857</v>
      </c>
      <c r="G33" s="58"/>
      <c r="H33" s="58">
        <v>3373</v>
      </c>
      <c r="I33" s="58">
        <v>3387</v>
      </c>
      <c r="J33" s="58">
        <v>3381</v>
      </c>
      <c r="K33" s="58">
        <v>3381</v>
      </c>
      <c r="L33" s="51">
        <v>13522</v>
      </c>
      <c r="M33" s="58"/>
      <c r="N33" s="58">
        <v>3499</v>
      </c>
      <c r="O33" s="58">
        <v>3581</v>
      </c>
      <c r="P33" s="58">
        <v>3605</v>
      </c>
    </row>
    <row r="34" spans="1:16" ht="4.5" customHeight="1">
      <c r="A34" s="135"/>
      <c r="B34" s="58"/>
      <c r="C34" s="58"/>
      <c r="D34" s="58"/>
      <c r="E34" s="58"/>
      <c r="F34" s="57"/>
      <c r="G34" s="58"/>
      <c r="H34" s="58"/>
      <c r="I34" s="53"/>
      <c r="J34" s="53"/>
      <c r="K34" s="53"/>
      <c r="L34" s="57"/>
      <c r="M34" s="58"/>
      <c r="N34" s="58"/>
      <c r="O34" s="53"/>
      <c r="P34" s="53"/>
    </row>
    <row r="35" spans="1:16">
      <c r="A35" s="24" t="s">
        <v>54</v>
      </c>
      <c r="B35" s="58">
        <v>438</v>
      </c>
      <c r="C35" s="58">
        <v>430</v>
      </c>
      <c r="D35" s="58">
        <v>439</v>
      </c>
      <c r="E35" s="58">
        <v>450</v>
      </c>
      <c r="F35" s="57">
        <v>1757</v>
      </c>
      <c r="G35" s="58"/>
      <c r="H35" s="58">
        <v>474</v>
      </c>
      <c r="I35" s="58">
        <v>457</v>
      </c>
      <c r="J35" s="58">
        <v>471</v>
      </c>
      <c r="K35" s="58">
        <v>459</v>
      </c>
      <c r="L35" s="57">
        <v>1861</v>
      </c>
      <c r="M35" s="58"/>
      <c r="N35" s="58">
        <v>449</v>
      </c>
      <c r="O35" s="58">
        <v>446</v>
      </c>
      <c r="P35" s="58">
        <v>459</v>
      </c>
    </row>
    <row r="36" spans="1:16" ht="13.5" customHeight="1">
      <c r="A36" s="195" t="s">
        <v>33</v>
      </c>
      <c r="B36" s="196">
        <v>400</v>
      </c>
      <c r="C36" s="196">
        <v>411</v>
      </c>
      <c r="D36" s="196">
        <v>427</v>
      </c>
      <c r="E36" s="196">
        <v>390</v>
      </c>
      <c r="F36" s="197">
        <v>1628</v>
      </c>
      <c r="G36" s="196"/>
      <c r="H36" s="196">
        <v>370</v>
      </c>
      <c r="I36" s="196">
        <v>403</v>
      </c>
      <c r="J36" s="196">
        <v>443</v>
      </c>
      <c r="K36" s="196">
        <v>387</v>
      </c>
      <c r="L36" s="197">
        <v>1603</v>
      </c>
      <c r="M36" s="196"/>
      <c r="N36" s="196">
        <v>429</v>
      </c>
      <c r="O36" s="196">
        <v>453</v>
      </c>
      <c r="P36" s="196">
        <v>520</v>
      </c>
    </row>
    <row r="37" spans="1:16" ht="14.25" customHeight="1">
      <c r="A37" s="24" t="s">
        <v>142</v>
      </c>
      <c r="B37" s="58">
        <v>771</v>
      </c>
      <c r="C37" s="58">
        <v>755</v>
      </c>
      <c r="D37" s="58">
        <v>830</v>
      </c>
      <c r="E37" s="58">
        <v>861</v>
      </c>
      <c r="F37" s="66">
        <v>3217</v>
      </c>
      <c r="G37" s="58"/>
      <c r="H37" s="58">
        <v>762</v>
      </c>
      <c r="I37" s="58">
        <v>772</v>
      </c>
      <c r="J37" s="58">
        <v>795</v>
      </c>
      <c r="K37" s="58">
        <v>866</v>
      </c>
      <c r="L37" s="66">
        <v>3195</v>
      </c>
      <c r="M37" s="58"/>
      <c r="N37" s="58">
        <v>758</v>
      </c>
      <c r="O37" s="58">
        <v>771</v>
      </c>
      <c r="P37" s="58">
        <v>851</v>
      </c>
    </row>
    <row r="38" spans="1:16" ht="12.75" customHeight="1">
      <c r="A38" s="135" t="s">
        <v>34</v>
      </c>
      <c r="B38" s="198">
        <v>1609</v>
      </c>
      <c r="C38" s="198">
        <v>1596</v>
      </c>
      <c r="D38" s="198">
        <v>1696</v>
      </c>
      <c r="E38" s="198">
        <v>1701</v>
      </c>
      <c r="F38" s="194">
        <v>6602</v>
      </c>
      <c r="G38" s="58"/>
      <c r="H38" s="198">
        <v>1606</v>
      </c>
      <c r="I38" s="198">
        <v>1632</v>
      </c>
      <c r="J38" s="198">
        <v>1709</v>
      </c>
      <c r="K38" s="198">
        <v>1712</v>
      </c>
      <c r="L38" s="194">
        <v>6659</v>
      </c>
      <c r="M38" s="58"/>
      <c r="N38" s="198">
        <v>1636</v>
      </c>
      <c r="O38" s="198">
        <v>1670</v>
      </c>
      <c r="P38" s="198">
        <v>1830</v>
      </c>
    </row>
    <row r="39" spans="1:16" ht="4.5" customHeight="1">
      <c r="A39" s="24"/>
      <c r="B39" s="35"/>
      <c r="C39" s="48"/>
      <c r="D39" s="48"/>
      <c r="E39" s="48"/>
      <c r="F39" s="49"/>
      <c r="G39" s="35"/>
      <c r="H39" s="35"/>
      <c r="I39" s="48"/>
      <c r="J39" s="48"/>
      <c r="K39" s="48"/>
      <c r="L39" s="49"/>
      <c r="M39" s="35"/>
      <c r="N39" s="35"/>
      <c r="O39" s="48"/>
      <c r="P39" s="48"/>
    </row>
    <row r="40" spans="1:16" ht="12" customHeight="1">
      <c r="A40" s="205" t="s">
        <v>122</v>
      </c>
      <c r="B40" s="201">
        <v>4813</v>
      </c>
      <c r="C40" s="201">
        <v>4786</v>
      </c>
      <c r="D40" s="201">
        <v>4929</v>
      </c>
      <c r="E40" s="201">
        <v>4931</v>
      </c>
      <c r="F40" s="202">
        <v>19459</v>
      </c>
      <c r="G40" s="201"/>
      <c r="H40" s="201">
        <v>4979</v>
      </c>
      <c r="I40" s="201">
        <v>5019</v>
      </c>
      <c r="J40" s="201">
        <v>5090</v>
      </c>
      <c r="K40" s="201">
        <v>5093</v>
      </c>
      <c r="L40" s="202">
        <v>20181</v>
      </c>
      <c r="M40" s="201"/>
      <c r="N40" s="201">
        <v>5135</v>
      </c>
      <c r="O40" s="201">
        <v>5251</v>
      </c>
      <c r="P40" s="201">
        <v>5435</v>
      </c>
    </row>
    <row r="41" spans="1:16" ht="4.5" customHeight="1">
      <c r="A41" s="24"/>
      <c r="B41" s="35"/>
      <c r="C41" s="48"/>
      <c r="D41" s="48"/>
      <c r="E41" s="48"/>
      <c r="F41" s="49"/>
      <c r="G41" s="35"/>
      <c r="H41" s="35"/>
      <c r="I41" s="48"/>
      <c r="J41" s="48"/>
      <c r="K41" s="48"/>
      <c r="L41" s="49"/>
      <c r="M41" s="35"/>
      <c r="N41" s="35"/>
      <c r="O41" s="48"/>
      <c r="P41" s="48"/>
    </row>
    <row r="42" spans="1:16">
      <c r="A42" s="205" t="s">
        <v>120</v>
      </c>
      <c r="B42" s="201">
        <v>250</v>
      </c>
      <c r="C42" s="201">
        <v>277</v>
      </c>
      <c r="D42" s="201">
        <v>242</v>
      </c>
      <c r="E42" s="201">
        <v>295</v>
      </c>
      <c r="F42" s="202">
        <v>1064</v>
      </c>
      <c r="G42" s="201"/>
      <c r="H42" s="201">
        <v>249</v>
      </c>
      <c r="I42" s="201">
        <v>271</v>
      </c>
      <c r="J42" s="201">
        <v>265</v>
      </c>
      <c r="K42" s="201">
        <v>322</v>
      </c>
      <c r="L42" s="202">
        <v>1107</v>
      </c>
      <c r="M42" s="201"/>
      <c r="N42" s="201">
        <v>264</v>
      </c>
      <c r="O42" s="201">
        <v>302</v>
      </c>
      <c r="P42" s="201">
        <v>266</v>
      </c>
    </row>
    <row r="43" spans="1:16" ht="3.75" customHeight="1">
      <c r="B43" s="36"/>
      <c r="C43" s="37"/>
      <c r="D43" s="37"/>
      <c r="E43" s="48"/>
      <c r="F43" s="49"/>
      <c r="G43" s="36"/>
      <c r="H43" s="36"/>
      <c r="I43" s="37"/>
      <c r="J43" s="37"/>
      <c r="K43" s="48"/>
      <c r="L43" s="49"/>
      <c r="M43" s="36"/>
      <c r="N43" s="36"/>
      <c r="O43" s="37"/>
      <c r="P43" s="37"/>
    </row>
    <row r="44" spans="1:16">
      <c r="A44" s="205" t="s">
        <v>21</v>
      </c>
      <c r="B44" s="201">
        <v>186</v>
      </c>
      <c r="C44" s="201">
        <v>183</v>
      </c>
      <c r="D44" s="201">
        <v>184</v>
      </c>
      <c r="E44" s="201">
        <v>215</v>
      </c>
      <c r="F44" s="202">
        <v>768</v>
      </c>
      <c r="G44" s="201"/>
      <c r="H44" s="201">
        <v>194</v>
      </c>
      <c r="I44" s="201">
        <v>153</v>
      </c>
      <c r="J44" s="201">
        <v>164</v>
      </c>
      <c r="K44" s="201">
        <v>243</v>
      </c>
      <c r="L44" s="202">
        <v>754</v>
      </c>
      <c r="M44" s="201"/>
      <c r="N44" s="201">
        <v>238</v>
      </c>
      <c r="O44" s="201">
        <v>235</v>
      </c>
      <c r="P44" s="201">
        <v>210</v>
      </c>
    </row>
    <row r="45" spans="1:16" ht="4.5" customHeight="1">
      <c r="B45" s="36"/>
      <c r="C45" s="37"/>
      <c r="D45" s="37"/>
      <c r="E45" s="37"/>
      <c r="F45" s="49"/>
      <c r="G45" s="36"/>
      <c r="H45" s="36"/>
      <c r="I45" s="37"/>
      <c r="J45" s="37"/>
      <c r="K45" s="37"/>
      <c r="L45" s="49"/>
      <c r="M45" s="36"/>
      <c r="N45" s="36"/>
      <c r="O45" s="37"/>
      <c r="P45" s="37"/>
    </row>
    <row r="46" spans="1:16" s="2" customFormat="1">
      <c r="A46" s="2" t="s">
        <v>22</v>
      </c>
      <c r="B46" s="61">
        <v>5249</v>
      </c>
      <c r="C46" s="61">
        <v>5246</v>
      </c>
      <c r="D46" s="61">
        <v>5355</v>
      </c>
      <c r="E46" s="61">
        <v>5441</v>
      </c>
      <c r="F46" s="63">
        <v>21291</v>
      </c>
      <c r="G46" s="61"/>
      <c r="H46" s="61">
        <v>5422</v>
      </c>
      <c r="I46" s="61">
        <v>5443</v>
      </c>
      <c r="J46" s="61">
        <v>5519</v>
      </c>
      <c r="K46" s="61">
        <v>5658</v>
      </c>
      <c r="L46" s="63">
        <v>22042</v>
      </c>
      <c r="M46" s="61"/>
      <c r="N46" s="61">
        <v>5637</v>
      </c>
      <c r="O46" s="61">
        <v>5788</v>
      </c>
      <c r="P46" s="61">
        <v>5911</v>
      </c>
    </row>
    <row r="47" spans="1:16" ht="4.5" customHeight="1" thickBot="1">
      <c r="B47" s="37"/>
      <c r="C47" s="37"/>
      <c r="D47" s="37"/>
      <c r="E47" s="37"/>
      <c r="F47" s="39"/>
      <c r="G47" s="36"/>
      <c r="H47" s="37"/>
      <c r="I47" s="37"/>
      <c r="J47" s="37"/>
      <c r="K47" s="37"/>
      <c r="L47" s="39"/>
      <c r="M47" s="36"/>
      <c r="N47" s="37"/>
      <c r="O47" s="37"/>
      <c r="P47" s="37"/>
    </row>
    <row r="48" spans="1:16" ht="16.5" thickBot="1">
      <c r="A48" s="287" t="s">
        <v>143</v>
      </c>
      <c r="B48" s="288"/>
      <c r="C48" s="288"/>
      <c r="D48" s="288"/>
      <c r="E48" s="289"/>
      <c r="F48" s="290"/>
      <c r="G48" s="288"/>
      <c r="H48" s="288"/>
      <c r="I48" s="288"/>
      <c r="J48" s="288"/>
      <c r="K48" s="289"/>
      <c r="L48" s="290"/>
      <c r="M48" s="288"/>
      <c r="N48" s="288"/>
      <c r="O48" s="288"/>
      <c r="P48" s="288"/>
    </row>
    <row r="49" spans="1:16">
      <c r="A49" s="5" t="s">
        <v>16</v>
      </c>
      <c r="B49" s="50">
        <v>3140</v>
      </c>
      <c r="C49" s="50">
        <v>3360</v>
      </c>
      <c r="D49" s="53">
        <v>3249</v>
      </c>
      <c r="E49" s="53">
        <v>3414</v>
      </c>
      <c r="F49" s="51">
        <v>13163</v>
      </c>
      <c r="G49" s="52"/>
      <c r="H49" s="50">
        <v>3404</v>
      </c>
      <c r="I49" s="50">
        <v>3499</v>
      </c>
      <c r="J49" s="53">
        <v>3312</v>
      </c>
      <c r="K49" s="53">
        <v>3471</v>
      </c>
      <c r="L49" s="51">
        <v>13686</v>
      </c>
      <c r="M49" s="52"/>
      <c r="N49" s="50">
        <v>3542</v>
      </c>
      <c r="O49" s="50">
        <v>3698</v>
      </c>
      <c r="P49" s="53">
        <v>3546</v>
      </c>
    </row>
    <row r="50" spans="1:16">
      <c r="A50" s="195" t="s">
        <v>17</v>
      </c>
      <c r="B50" s="196">
        <v>113</v>
      </c>
      <c r="C50" s="196">
        <v>89</v>
      </c>
      <c r="D50" s="196">
        <v>105</v>
      </c>
      <c r="E50" s="196">
        <v>55</v>
      </c>
      <c r="F50" s="197">
        <v>362</v>
      </c>
      <c r="G50" s="196"/>
      <c r="H50" s="196">
        <v>112</v>
      </c>
      <c r="I50" s="196">
        <v>113</v>
      </c>
      <c r="J50" s="196">
        <v>118</v>
      </c>
      <c r="K50" s="196">
        <v>46</v>
      </c>
      <c r="L50" s="197">
        <v>389</v>
      </c>
      <c r="M50" s="196"/>
      <c r="N50" s="196">
        <v>121</v>
      </c>
      <c r="O50" s="196">
        <v>152</v>
      </c>
      <c r="P50" s="196">
        <v>150</v>
      </c>
    </row>
    <row r="51" spans="1:16">
      <c r="A51" s="5" t="s">
        <v>2</v>
      </c>
      <c r="B51" s="56">
        <v>-79</v>
      </c>
      <c r="C51" s="56">
        <v>-98</v>
      </c>
      <c r="D51" s="56">
        <v>-117</v>
      </c>
      <c r="E51" s="54">
        <v>-99</v>
      </c>
      <c r="F51" s="66">
        <v>-393</v>
      </c>
      <c r="G51" s="52"/>
      <c r="H51" s="56">
        <v>-72</v>
      </c>
      <c r="I51" s="56">
        <v>-77</v>
      </c>
      <c r="J51" s="56">
        <v>-104</v>
      </c>
      <c r="K51" s="54">
        <v>-108</v>
      </c>
      <c r="L51" s="66">
        <v>-361</v>
      </c>
      <c r="M51" s="52"/>
      <c r="N51" s="56">
        <v>-98</v>
      </c>
      <c r="O51" s="56">
        <v>-113</v>
      </c>
      <c r="P51" s="56">
        <v>-118</v>
      </c>
    </row>
    <row r="52" spans="1:16" s="2" customFormat="1">
      <c r="A52" s="2" t="s">
        <v>19</v>
      </c>
      <c r="B52" s="59">
        <v>3174</v>
      </c>
      <c r="C52" s="59">
        <v>3351</v>
      </c>
      <c r="D52" s="59">
        <v>3237</v>
      </c>
      <c r="E52" s="59">
        <v>3370</v>
      </c>
      <c r="F52" s="63">
        <v>13132</v>
      </c>
      <c r="G52" s="61"/>
      <c r="H52" s="59">
        <v>3444</v>
      </c>
      <c r="I52" s="59">
        <v>3535</v>
      </c>
      <c r="J52" s="59">
        <v>3326</v>
      </c>
      <c r="K52" s="59">
        <v>3409</v>
      </c>
      <c r="L52" s="63">
        <v>13714</v>
      </c>
      <c r="M52" s="61"/>
      <c r="N52" s="59">
        <v>3565</v>
      </c>
      <c r="O52" s="59">
        <v>3737</v>
      </c>
      <c r="P52" s="59">
        <v>3578</v>
      </c>
    </row>
    <row r="53" spans="1:16" ht="3.75" customHeight="1">
      <c r="B53" s="37"/>
      <c r="C53" s="37"/>
      <c r="D53" s="37"/>
      <c r="E53" s="37"/>
      <c r="F53" s="39"/>
      <c r="G53" s="36"/>
      <c r="H53" s="37"/>
      <c r="I53" s="37"/>
      <c r="J53" s="37"/>
      <c r="K53" s="37"/>
      <c r="L53" s="39"/>
      <c r="M53" s="36"/>
      <c r="N53" s="37"/>
      <c r="O53" s="37"/>
      <c r="P53" s="37"/>
    </row>
    <row r="54" spans="1:16">
      <c r="A54" s="5" t="s">
        <v>16</v>
      </c>
      <c r="B54" s="67">
        <v>0.39480439596236661</v>
      </c>
      <c r="C54" s="67">
        <v>0.41245931822585308</v>
      </c>
      <c r="D54" s="67">
        <v>0.39730292054216265</v>
      </c>
      <c r="E54" s="67">
        <v>0.40907088297625388</v>
      </c>
      <c r="F54" s="41">
        <v>0.40348901375370105</v>
      </c>
      <c r="G54" s="40"/>
      <c r="H54" s="67">
        <v>0.40605913316536218</v>
      </c>
      <c r="I54" s="67">
        <v>0.41076959592696938</v>
      </c>
      <c r="J54" s="67">
        <v>0.39424452448740505</v>
      </c>
      <c r="K54" s="67">
        <v>0.40531083316444766</v>
      </c>
      <c r="L54" s="41">
        <v>0.40412380079301619</v>
      </c>
      <c r="M54" s="40"/>
      <c r="N54" s="67">
        <v>0.40825088424447054</v>
      </c>
      <c r="O54" s="67">
        <v>0.41319877705579133</v>
      </c>
      <c r="P54" s="67">
        <v>0.39486430570457981</v>
      </c>
    </row>
    <row r="55" spans="1:16">
      <c r="A55" s="195" t="s">
        <v>17</v>
      </c>
      <c r="B55" s="203">
        <v>0.31177592621733596</v>
      </c>
      <c r="C55" s="203">
        <v>0.24154658488304059</v>
      </c>
      <c r="D55" s="203">
        <v>0.30319342182148479</v>
      </c>
      <c r="E55" s="203">
        <v>0.15707702150859945</v>
      </c>
      <c r="F55" s="204">
        <v>0.2536822957663703</v>
      </c>
      <c r="G55" s="203"/>
      <c r="H55" s="203">
        <v>0.30943967900537422</v>
      </c>
      <c r="I55" s="203">
        <v>0.2948282228836131</v>
      </c>
      <c r="J55" s="203">
        <v>0.30916939326557208</v>
      </c>
      <c r="K55" s="203">
        <v>0.12395437321378104</v>
      </c>
      <c r="L55" s="204">
        <v>0.25992489396324825</v>
      </c>
      <c r="M55" s="203"/>
      <c r="N55" s="203">
        <v>0.31455142860255053</v>
      </c>
      <c r="O55" s="203">
        <v>0.33550037327138116</v>
      </c>
      <c r="P55" s="203">
        <v>0.35926640451354386</v>
      </c>
    </row>
    <row r="56" spans="1:16" s="2" customFormat="1">
      <c r="A56" s="9" t="s">
        <v>20</v>
      </c>
      <c r="B56" s="68">
        <v>0.37684799412871212</v>
      </c>
      <c r="C56" s="68">
        <v>0.38978935578813884</v>
      </c>
      <c r="D56" s="68">
        <v>0.37668042941127872</v>
      </c>
      <c r="E56" s="68">
        <v>0.38255281489891224</v>
      </c>
      <c r="F56" s="296">
        <v>0.38149847914177787</v>
      </c>
      <c r="G56" s="70"/>
      <c r="H56" s="68">
        <v>0.38841593093587251</v>
      </c>
      <c r="I56" s="68">
        <v>0.39382224932143861</v>
      </c>
      <c r="J56" s="68">
        <v>0.37596258408004712</v>
      </c>
      <c r="K56" s="68">
        <v>0.37595126256445366</v>
      </c>
      <c r="L56" s="296">
        <v>0.38353202232235084</v>
      </c>
      <c r="M56" s="70"/>
      <c r="N56" s="68">
        <v>0.38737278756342081</v>
      </c>
      <c r="O56" s="68">
        <v>0.39234043941521413</v>
      </c>
      <c r="P56" s="68">
        <v>0.37707160939726664</v>
      </c>
    </row>
  </sheetData>
  <mergeCells count="3">
    <mergeCell ref="H4:K4"/>
    <mergeCell ref="B1:E1"/>
    <mergeCell ref="N4:P4"/>
  </mergeCells>
  <phoneticPr fontId="5" type="noConversion"/>
  <printOptions horizontalCentered="1"/>
  <pageMargins left="0.5" right="0.5" top="0.25" bottom="0.5" header="0.25" footer="0.25"/>
  <pageSetup scale="78" orientation="landscape" r:id="rId1"/>
  <headerFooter alignWithMargins="0">
    <oddFooter>&amp;L&amp;"Arial Narrow,Regular"&amp;8See notes on page 4. Minor differences may exist due to rounding.&amp;R&amp;"Arial Narrow,Regular"&amp;8 2</oddFooter>
  </headerFooter>
  <customProperties>
    <customPr name="ConnName" r:id="rId2"/>
  </customProperties>
  <drawing r:id="rId3"/>
</worksheet>
</file>

<file path=xl/worksheets/sheet3.xml><?xml version="1.0" encoding="utf-8"?>
<worksheet xmlns="http://schemas.openxmlformats.org/spreadsheetml/2006/main" xmlns:r="http://schemas.openxmlformats.org/officeDocument/2006/relationships">
  <sheetPr codeName="Sheet3">
    <pageSetUpPr fitToPage="1"/>
  </sheetPr>
  <dimension ref="A1:T66"/>
  <sheetViews>
    <sheetView view="pageBreakPreview" zoomScale="85" zoomScaleNormal="85" zoomScaleSheetLayoutView="100" workbookViewId="0"/>
  </sheetViews>
  <sheetFormatPr defaultRowHeight="12.75" outlineLevelRow="1" outlineLevelCol="1"/>
  <cols>
    <col min="1" max="1" width="66.7109375" style="3" customWidth="1"/>
    <col min="2" max="6" width="8.5703125" style="3" customWidth="1"/>
    <col min="7" max="7" width="1.42578125" style="15" customWidth="1"/>
    <col min="8" max="12" width="8.5703125" style="3" customWidth="1"/>
    <col min="13" max="13" width="1.42578125" style="3" hidden="1" customWidth="1" outlineLevel="1"/>
    <col min="14" max="18" width="8.5703125" style="3" hidden="1" customWidth="1" outlineLevel="1"/>
    <col min="19" max="19" width="9.140625" style="3" collapsed="1"/>
    <col min="20" max="16384" width="9.140625" style="3"/>
  </cols>
  <sheetData>
    <row r="1" spans="1:20" ht="15.75">
      <c r="A1" s="1"/>
      <c r="L1" s="110" t="s">
        <v>99</v>
      </c>
      <c r="M1" s="15"/>
    </row>
    <row r="2" spans="1:20" ht="3.75" customHeight="1">
      <c r="M2" s="15"/>
    </row>
    <row r="3" spans="1:20">
      <c r="B3" s="23">
        <v>2007</v>
      </c>
      <c r="C3" s="23"/>
      <c r="D3" s="23"/>
      <c r="E3" s="23"/>
      <c r="F3" s="23"/>
      <c r="G3" s="3"/>
      <c r="H3" s="23">
        <v>2008</v>
      </c>
      <c r="I3" s="23"/>
      <c r="J3" s="23"/>
      <c r="K3" s="23"/>
      <c r="L3" s="23"/>
      <c r="N3" s="23" t="s">
        <v>77</v>
      </c>
      <c r="O3" s="23"/>
      <c r="P3" s="23"/>
      <c r="Q3" s="23"/>
      <c r="R3" s="23"/>
    </row>
    <row r="4" spans="1:20">
      <c r="A4" s="117"/>
      <c r="B4" s="118" t="s">
        <v>11</v>
      </c>
      <c r="C4" s="119" t="s">
        <v>12</v>
      </c>
      <c r="D4" s="119" t="s">
        <v>13</v>
      </c>
      <c r="E4" s="119" t="s">
        <v>14</v>
      </c>
      <c r="F4" s="120" t="s">
        <v>51</v>
      </c>
      <c r="G4" s="14"/>
      <c r="H4" s="118" t="s">
        <v>11</v>
      </c>
      <c r="I4" s="119" t="s">
        <v>12</v>
      </c>
      <c r="J4" s="119" t="s">
        <v>13</v>
      </c>
      <c r="K4" s="119" t="s">
        <v>14</v>
      </c>
      <c r="L4" s="120" t="s">
        <v>51</v>
      </c>
      <c r="M4" s="14"/>
      <c r="N4" s="118" t="s">
        <v>11</v>
      </c>
      <c r="O4" s="119" t="s">
        <v>12</v>
      </c>
      <c r="P4" s="119" t="s">
        <v>13</v>
      </c>
      <c r="Q4" s="119" t="s">
        <v>14</v>
      </c>
      <c r="R4" s="120" t="s">
        <v>51</v>
      </c>
      <c r="S4" s="15"/>
      <c r="T4" s="15"/>
    </row>
    <row r="5" spans="1:20" ht="3.75" customHeight="1">
      <c r="B5" s="12"/>
      <c r="C5" s="12"/>
      <c r="D5" s="12"/>
      <c r="E5" s="12"/>
      <c r="F5" s="108"/>
      <c r="G5" s="14"/>
      <c r="H5" s="30"/>
      <c r="I5" s="12"/>
      <c r="J5" s="12"/>
      <c r="K5" s="12"/>
      <c r="L5" s="108"/>
      <c r="M5" s="14"/>
      <c r="N5" s="30"/>
      <c r="O5" s="12"/>
      <c r="P5" s="12"/>
      <c r="Q5" s="12"/>
      <c r="R5" s="108"/>
      <c r="S5" s="15"/>
      <c r="T5" s="15"/>
    </row>
    <row r="6" spans="1:20" s="2" customFormat="1" ht="15.75">
      <c r="A6" s="107" t="s">
        <v>107</v>
      </c>
      <c r="B6" s="103"/>
      <c r="C6" s="104"/>
      <c r="D6" s="105"/>
      <c r="E6" s="104"/>
      <c r="F6" s="106"/>
      <c r="G6" s="109"/>
      <c r="H6" s="104"/>
      <c r="I6" s="104"/>
      <c r="J6" s="104"/>
      <c r="K6" s="104"/>
      <c r="L6" s="106"/>
      <c r="M6" s="109"/>
      <c r="N6" s="104"/>
      <c r="O6" s="104"/>
      <c r="P6" s="104"/>
      <c r="Q6" s="104"/>
      <c r="R6" s="106"/>
      <c r="S6" s="4"/>
      <c r="T6" s="4"/>
    </row>
    <row r="7" spans="1:20">
      <c r="A7" s="24" t="s">
        <v>102</v>
      </c>
      <c r="B7" s="139" t="e">
        <f>'Revenue and Exp'!#REF!/'Revenue and Exp'!#REF!</f>
        <v>#REF!</v>
      </c>
      <c r="C7" s="139" t="e">
        <f>'Revenue and Exp'!#REF!/'Revenue and Exp'!#REF!</f>
        <v>#REF!</v>
      </c>
      <c r="D7" s="139" t="e">
        <f>'Revenue and Exp'!#REF!/'Revenue and Exp'!#REF!</f>
        <v>#REF!</v>
      </c>
      <c r="E7" s="139" t="e">
        <f>'Revenue and Exp'!#REF!/'Revenue and Exp'!#REF!</f>
        <v>#REF!</v>
      </c>
      <c r="F7" s="140" t="e">
        <f>'Revenue and Exp'!#REF!/'Revenue and Exp'!#REF!</f>
        <v>#REF!</v>
      </c>
      <c r="G7" s="52"/>
      <c r="H7" s="138">
        <f>'Revenue and Exp'!B28/'Revenue and Exp'!B8</f>
        <v>0.33884470489744661</v>
      </c>
      <c r="I7" s="139">
        <f>'Revenue and Exp'!C28/'Revenue and Exp'!C8</f>
        <v>0.33562500000000001</v>
      </c>
      <c r="J7" s="139">
        <f>'Revenue and Exp'!D28/'Revenue and Exp'!D8</f>
        <v>0.33920704845814981</v>
      </c>
      <c r="K7" s="139">
        <f>'Revenue and Exp'!E28/'Revenue and Exp'!E8</f>
        <v>0.33880008303923603</v>
      </c>
      <c r="L7" s="140">
        <f>'Revenue and Exp'!F28/'Revenue and Exp'!F8</f>
        <v>0.33811710677382317</v>
      </c>
      <c r="M7" s="52"/>
      <c r="N7" s="138" t="e">
        <f t="shared" ref="N7:R9" si="0">H7/B7-1</f>
        <v>#REF!</v>
      </c>
      <c r="O7" s="139" t="e">
        <f t="shared" si="0"/>
        <v>#REF!</v>
      </c>
      <c r="P7" s="139" t="e">
        <f t="shared" si="0"/>
        <v>#REF!</v>
      </c>
      <c r="Q7" s="139" t="e">
        <f t="shared" si="0"/>
        <v>#REF!</v>
      </c>
      <c r="R7" s="140" t="e">
        <f t="shared" si="0"/>
        <v>#REF!</v>
      </c>
      <c r="S7" s="15"/>
      <c r="T7" s="15"/>
    </row>
    <row r="8" spans="1:20">
      <c r="A8" s="111" t="s">
        <v>100</v>
      </c>
      <c r="B8" s="151" t="e">
        <f>'Revenue and Exp'!#REF!/'Revenue and Exp'!#REF!</f>
        <v>#REF!</v>
      </c>
      <c r="C8" s="151" t="e">
        <f>'Revenue and Exp'!#REF!/'Revenue and Exp'!#REF!</f>
        <v>#REF!</v>
      </c>
      <c r="D8" s="151" t="e">
        <f>'Revenue and Exp'!#REF!/'Revenue and Exp'!#REF!</f>
        <v>#REF!</v>
      </c>
      <c r="E8" s="151" t="e">
        <f>'Revenue and Exp'!#REF!/'Revenue and Exp'!#REF!</f>
        <v>#REF!</v>
      </c>
      <c r="F8" s="133" t="e">
        <f>'Revenue and Exp'!#REF!/'Revenue and Exp'!#REF!</f>
        <v>#REF!</v>
      </c>
      <c r="G8" s="132"/>
      <c r="H8" s="132">
        <f>'Revenue and Exp'!B30/'Revenue and Exp'!B10</f>
        <v>0.32879045996592843</v>
      </c>
      <c r="I8" s="151">
        <f>'Revenue and Exp'!C30/'Revenue and Exp'!C10</f>
        <v>0.27187499999999998</v>
      </c>
      <c r="J8" s="151">
        <f>'Revenue and Exp'!D30/'Revenue and Exp'!D10</f>
        <v>0.24637681159420291</v>
      </c>
      <c r="K8" s="151">
        <f>'Revenue and Exp'!E30/'Revenue and Exp'!E10</f>
        <v>0.22131147540983606</v>
      </c>
      <c r="L8" s="133">
        <f>'Revenue and Exp'!F30/'Revenue and Exp'!F10</f>
        <v>0.26387315968289921</v>
      </c>
      <c r="M8" s="127"/>
      <c r="N8" s="132" t="e">
        <f t="shared" si="0"/>
        <v>#REF!</v>
      </c>
      <c r="O8" s="151" t="e">
        <f t="shared" si="0"/>
        <v>#REF!</v>
      </c>
      <c r="P8" s="151" t="e">
        <f t="shared" si="0"/>
        <v>#REF!</v>
      </c>
      <c r="Q8" s="151" t="e">
        <f t="shared" si="0"/>
        <v>#REF!</v>
      </c>
      <c r="R8" s="133" t="e">
        <f t="shared" si="0"/>
        <v>#REF!</v>
      </c>
      <c r="S8" s="15"/>
      <c r="T8" s="15"/>
    </row>
    <row r="9" spans="1:20">
      <c r="A9" s="24" t="s">
        <v>101</v>
      </c>
      <c r="B9" s="139" t="e">
        <f>'Revenue and Exp'!#REF!/'Revenue and Exp'!#REF!</f>
        <v>#REF!</v>
      </c>
      <c r="C9" s="139" t="e">
        <f>'Revenue and Exp'!#REF!/'Revenue and Exp'!#REF!</f>
        <v>#REF!</v>
      </c>
      <c r="D9" s="139" t="e">
        <f>'Revenue and Exp'!#REF!/'Revenue and Exp'!#REF!</f>
        <v>#REF!</v>
      </c>
      <c r="E9" s="139" t="e">
        <f>'Revenue and Exp'!#REF!/'Revenue and Exp'!#REF!</f>
        <v>#REF!</v>
      </c>
      <c r="F9" s="140" t="e">
        <f>'Revenue and Exp'!#REF!/'Revenue and Exp'!#REF!</f>
        <v>#REF!</v>
      </c>
      <c r="G9" s="138"/>
      <c r="H9" s="138">
        <f>'Revenue and Exp'!B29/'Revenue and Exp'!B9</f>
        <v>7.9428571428571432E-2</v>
      </c>
      <c r="I9" s="139">
        <f>'Revenue and Exp'!C29/'Revenue and Exp'!C9</f>
        <v>7.6450892857142863E-2</v>
      </c>
      <c r="J9" s="139">
        <f>'Revenue and Exp'!D29/'Revenue and Exp'!D9</f>
        <v>7.2447859495060371E-2</v>
      </c>
      <c r="K9" s="139">
        <f>'Revenue and Exp'!E29/'Revenue and Exp'!E9</f>
        <v>6.3406770553465885E-2</v>
      </c>
      <c r="L9" s="140">
        <f>'Revenue and Exp'!F29/'Revenue and Exp'!F9</f>
        <v>7.2802768166089965E-2</v>
      </c>
      <c r="M9" s="52"/>
      <c r="N9" s="138" t="e">
        <f t="shared" si="0"/>
        <v>#REF!</v>
      </c>
      <c r="O9" s="139" t="e">
        <f t="shared" si="0"/>
        <v>#REF!</v>
      </c>
      <c r="P9" s="139" t="e">
        <f t="shared" si="0"/>
        <v>#REF!</v>
      </c>
      <c r="Q9" s="139" t="e">
        <f t="shared" si="0"/>
        <v>#REF!</v>
      </c>
      <c r="R9" s="140" t="e">
        <f t="shared" si="0"/>
        <v>#REF!</v>
      </c>
      <c r="S9" s="15"/>
      <c r="T9" s="15"/>
    </row>
    <row r="10" spans="1:20" ht="3.75" customHeight="1">
      <c r="B10" s="37"/>
      <c r="C10" s="64"/>
      <c r="D10" s="64"/>
      <c r="E10" s="65"/>
      <c r="F10" s="39"/>
      <c r="G10" s="64"/>
      <c r="H10" s="36"/>
      <c r="I10" s="37"/>
      <c r="J10" s="37"/>
      <c r="K10" s="37"/>
      <c r="L10" s="39"/>
      <c r="M10" s="64"/>
      <c r="N10" s="36"/>
      <c r="O10" s="37"/>
      <c r="P10" s="37"/>
      <c r="Q10" s="37"/>
      <c r="R10" s="39"/>
      <c r="S10" s="15"/>
      <c r="T10" s="15"/>
    </row>
    <row r="11" spans="1:20" ht="15.75">
      <c r="A11" s="107" t="s">
        <v>111</v>
      </c>
      <c r="B11" s="103"/>
      <c r="C11" s="104"/>
      <c r="D11" s="105"/>
      <c r="E11" s="104"/>
      <c r="F11" s="106"/>
      <c r="G11" s="109"/>
      <c r="H11" s="104"/>
      <c r="I11" s="104"/>
      <c r="J11" s="104"/>
      <c r="K11" s="104"/>
      <c r="L11" s="106"/>
      <c r="M11" s="109"/>
      <c r="N11" s="104"/>
      <c r="O11" s="104"/>
      <c r="P11" s="104"/>
      <c r="Q11" s="104"/>
      <c r="R11" s="106"/>
      <c r="S11" s="15"/>
      <c r="T11" s="15"/>
    </row>
    <row r="12" spans="1:20">
      <c r="A12" s="5" t="s">
        <v>79</v>
      </c>
      <c r="B12" s="139" t="e">
        <f>'Revenue and Exp'!#REF!/'Revenue and Exp'!#REF!</f>
        <v>#REF!</v>
      </c>
      <c r="C12" s="139" t="e">
        <f>'Revenue and Exp'!#REF!/'Revenue and Exp'!#REF!</f>
        <v>#REF!</v>
      </c>
      <c r="D12" s="139" t="e">
        <f>'Revenue and Exp'!#REF!/'Revenue and Exp'!#REF!</f>
        <v>#REF!</v>
      </c>
      <c r="E12" s="139" t="e">
        <f>'Revenue and Exp'!#REF!/'Revenue and Exp'!#REF!</f>
        <v>#REF!</v>
      </c>
      <c r="F12" s="140" t="e">
        <f>'Revenue and Exp'!#REF!/'Revenue and Exp'!#REF!</f>
        <v>#REF!</v>
      </c>
      <c r="G12" s="138"/>
      <c r="H12" s="138">
        <f>'Revenue and Exp'!B28/'Revenue and Exp'!B$14</f>
        <v>0.20357097950458947</v>
      </c>
      <c r="I12" s="139">
        <f>'Revenue and Exp'!C28/'Revenue and Exp'!C$14</f>
        <v>0.19776577461330713</v>
      </c>
      <c r="J12" s="139">
        <f>'Revenue and Exp'!D28/'Revenue and Exp'!D$14</f>
        <v>0.19772560528246516</v>
      </c>
      <c r="K12" s="139">
        <f>'Revenue and Exp'!E28/'Revenue and Exp'!E$14</f>
        <v>0.19556620730976632</v>
      </c>
      <c r="L12" s="140">
        <f>'Revenue and Exp'!F28/'Revenue and Exp'!F$14</f>
        <v>0.19860830114646558</v>
      </c>
      <c r="M12" s="52"/>
      <c r="N12" s="138" t="e">
        <f t="shared" ref="N12:R17" si="1">H12/B12-1</f>
        <v>#REF!</v>
      </c>
      <c r="O12" s="139" t="e">
        <f t="shared" si="1"/>
        <v>#REF!</v>
      </c>
      <c r="P12" s="139" t="e">
        <f t="shared" si="1"/>
        <v>#REF!</v>
      </c>
      <c r="Q12" s="139" t="e">
        <f t="shared" si="1"/>
        <v>#REF!</v>
      </c>
      <c r="R12" s="140" t="e">
        <f t="shared" si="1"/>
        <v>#REF!</v>
      </c>
      <c r="S12" s="15"/>
      <c r="T12" s="15"/>
    </row>
    <row r="13" spans="1:20">
      <c r="A13" s="111" t="s">
        <v>80</v>
      </c>
      <c r="B13" s="151" t="e">
        <f>'Revenue and Exp'!#REF!/'Revenue and Exp'!#REF!</f>
        <v>#REF!</v>
      </c>
      <c r="C13" s="151" t="e">
        <f>'Revenue and Exp'!#REF!/'Revenue and Exp'!#REF!</f>
        <v>#REF!</v>
      </c>
      <c r="D13" s="151" t="e">
        <f>'Revenue and Exp'!#REF!/'Revenue and Exp'!#REF!</f>
        <v>#REF!</v>
      </c>
      <c r="E13" s="151" t="e">
        <f>'Revenue and Exp'!#REF!/'Revenue and Exp'!#REF!</f>
        <v>#REF!</v>
      </c>
      <c r="F13" s="133" t="e">
        <f>'Revenue and Exp'!#REF!/'Revenue and Exp'!#REF!</f>
        <v>#REF!</v>
      </c>
      <c r="G13" s="132"/>
      <c r="H13" s="132">
        <f>'Revenue and Exp'!B31/'Revenue and Exp'!B$14</f>
        <v>6.7270212498428267E-2</v>
      </c>
      <c r="I13" s="151">
        <f>'Revenue and Exp'!C31/'Revenue and Exp'!C$14</f>
        <v>6.4817088141419107E-2</v>
      </c>
      <c r="J13" s="151">
        <f>'Revenue and Exp'!D31/'Revenue and Exp'!D$14</f>
        <v>6.9943751528491069E-2</v>
      </c>
      <c r="K13" s="151">
        <f>'Revenue and Exp'!E31/'Revenue and Exp'!E$14</f>
        <v>6.6267225883762729E-2</v>
      </c>
      <c r="L13" s="133">
        <f>'Revenue and Exp'!F31/'Revenue and Exp'!F$14</f>
        <v>6.7071301575623812E-2</v>
      </c>
      <c r="M13" s="127"/>
      <c r="N13" s="132" t="e">
        <f t="shared" si="1"/>
        <v>#REF!</v>
      </c>
      <c r="O13" s="151" t="e">
        <f t="shared" si="1"/>
        <v>#REF!</v>
      </c>
      <c r="P13" s="151" t="e">
        <f t="shared" si="1"/>
        <v>#REF!</v>
      </c>
      <c r="Q13" s="151" t="e">
        <f t="shared" si="1"/>
        <v>#REF!</v>
      </c>
      <c r="R13" s="133" t="e">
        <f t="shared" si="1"/>
        <v>#REF!</v>
      </c>
      <c r="S13" s="15"/>
      <c r="T13" s="15"/>
    </row>
    <row r="14" spans="1:20">
      <c r="A14" s="5" t="s">
        <v>81</v>
      </c>
      <c r="B14" s="139" t="e">
        <f>'Revenue and Exp'!#REF!/'Revenue and Exp'!#REF!</f>
        <v>#REF!</v>
      </c>
      <c r="C14" s="139" t="e">
        <f>'Revenue and Exp'!#REF!/'Revenue and Exp'!#REF!</f>
        <v>#REF!</v>
      </c>
      <c r="D14" s="139" t="e">
        <f>'Revenue and Exp'!#REF!/'Revenue and Exp'!#REF!</f>
        <v>#REF!</v>
      </c>
      <c r="E14" s="139" t="e">
        <f>'Revenue and Exp'!#REF!/'Revenue and Exp'!#REF!</f>
        <v>#REF!</v>
      </c>
      <c r="F14" s="140" t="e">
        <f>'Revenue and Exp'!#REF!/'Revenue and Exp'!#REF!</f>
        <v>#REF!</v>
      </c>
      <c r="G14" s="138"/>
      <c r="H14" s="138">
        <f>'Revenue and Exp'!B30/'Revenue and Exp'!B$14</f>
        <v>2.4267571985414307E-2</v>
      </c>
      <c r="I14" s="139">
        <f>'Revenue and Exp'!C30/'Revenue and Exp'!C$14</f>
        <v>2.1360176773876749E-2</v>
      </c>
      <c r="J14" s="139">
        <f>'Revenue and Exp'!D30/'Revenue and Exp'!D$14</f>
        <v>2.0787478601124971E-2</v>
      </c>
      <c r="K14" s="139">
        <f>'Revenue and Exp'!E30/'Revenue and Exp'!E$14</f>
        <v>1.9412822049131216E-2</v>
      </c>
      <c r="L14" s="140">
        <f>'Revenue and Exp'!F30/'Revenue and Exp'!F$14</f>
        <v>2.1427257678867023E-2</v>
      </c>
      <c r="M14" s="52"/>
      <c r="N14" s="138" t="e">
        <f t="shared" si="1"/>
        <v>#REF!</v>
      </c>
      <c r="O14" s="139" t="e">
        <f t="shared" si="1"/>
        <v>#REF!</v>
      </c>
      <c r="P14" s="139" t="e">
        <f>J14/D14-1</f>
        <v>#REF!</v>
      </c>
      <c r="Q14" s="139" t="e">
        <f>K14/E14-1</f>
        <v>#REF!</v>
      </c>
      <c r="R14" s="140" t="e">
        <f t="shared" si="1"/>
        <v>#REF!</v>
      </c>
      <c r="S14" s="15"/>
      <c r="T14" s="15"/>
    </row>
    <row r="15" spans="1:20">
      <c r="A15" s="111" t="s">
        <v>82</v>
      </c>
      <c r="B15" s="132" t="e">
        <f>'Revenue and Exp'!#REF!/'Revenue and Exp'!#REF!</f>
        <v>#REF!</v>
      </c>
      <c r="C15" s="132" t="e">
        <f>'Revenue and Exp'!#REF!/'Revenue and Exp'!#REF!</f>
        <v>#REF!</v>
      </c>
      <c r="D15" s="132" t="e">
        <f>'Revenue and Exp'!#REF!/'Revenue and Exp'!#REF!</f>
        <v>#REF!</v>
      </c>
      <c r="E15" s="132" t="e">
        <f>'Revenue and Exp'!#REF!/'Revenue and Exp'!#REF!</f>
        <v>#REF!</v>
      </c>
      <c r="F15" s="133" t="e">
        <f>'Revenue and Exp'!#REF!/'Revenue and Exp'!#REF!</f>
        <v>#REF!</v>
      </c>
      <c r="G15" s="132"/>
      <c r="H15" s="132">
        <f>'Revenue and Exp'!B29/'Revenue and Exp'!B$14</f>
        <v>1.7477681378096317E-2</v>
      </c>
      <c r="I15" s="132">
        <f>'Revenue and Exp'!C29/'Revenue and Exp'!C$14</f>
        <v>1.6818070218512154E-2</v>
      </c>
      <c r="J15" s="132">
        <f>'Revenue and Exp'!D29/'Revenue and Exp'!D$14</f>
        <v>1.6140865737344093E-2</v>
      </c>
      <c r="K15" s="132">
        <f>'Revenue and Exp'!E29/'Revenue and Exp'!E$14</f>
        <v>1.4140203714799281E-2</v>
      </c>
      <c r="L15" s="133">
        <f>'Revenue and Exp'!F29/'Revenue and Exp'!F$14</f>
        <v>1.6124088038746858E-2</v>
      </c>
      <c r="M15" s="127"/>
      <c r="N15" s="132" t="e">
        <f t="shared" si="1"/>
        <v>#REF!</v>
      </c>
      <c r="O15" s="132" t="e">
        <f t="shared" si="1"/>
        <v>#REF!</v>
      </c>
      <c r="P15" s="132" t="e">
        <f t="shared" si="1"/>
        <v>#REF!</v>
      </c>
      <c r="Q15" s="132" t="e">
        <f t="shared" si="1"/>
        <v>#REF!</v>
      </c>
      <c r="R15" s="133" t="e">
        <f t="shared" si="1"/>
        <v>#REF!</v>
      </c>
      <c r="S15" s="15"/>
      <c r="T15" s="15"/>
    </row>
    <row r="16" spans="1:20">
      <c r="A16" s="5" t="s">
        <v>83</v>
      </c>
      <c r="B16" s="147" t="e">
        <f>'Revenue and Exp'!#REF!/'Revenue and Exp'!#REF!</f>
        <v>#REF!</v>
      </c>
      <c r="C16" s="147" t="e">
        <f>'Revenue and Exp'!#REF!/'Revenue and Exp'!#REF!</f>
        <v>#REF!</v>
      </c>
      <c r="D16" s="147" t="e">
        <f>'Revenue and Exp'!#REF!/'Revenue and Exp'!#REF!</f>
        <v>#REF!</v>
      </c>
      <c r="E16" s="147" t="e">
        <f>'Revenue and Exp'!#REF!/'Revenue and Exp'!#REF!</f>
        <v>#REF!</v>
      </c>
      <c r="F16" s="142" t="e">
        <f>'Revenue and Exp'!#REF!/'Revenue and Exp'!#REF!</f>
        <v>#REF!</v>
      </c>
      <c r="G16" s="43"/>
      <c r="H16" s="147">
        <f>'Revenue and Exp'!B32/'Revenue and Exp'!B$14</f>
        <v>9.0280397334339249E-2</v>
      </c>
      <c r="I16" s="147">
        <f>'Revenue and Exp'!C32/'Revenue and Exp'!C$14</f>
        <v>9.0842131107291918E-2</v>
      </c>
      <c r="J16" s="147">
        <f>'Revenue and Exp'!D32/'Revenue and Exp'!D$14</f>
        <v>9.0731230129616036E-2</v>
      </c>
      <c r="K16" s="147">
        <f>'Revenue and Exp'!E32/'Revenue and Exp'!E$14</f>
        <v>9.1671659676452966E-2</v>
      </c>
      <c r="L16" s="142">
        <f>'Revenue and Exp'!F32/'Revenue and Exp'!F$14</f>
        <v>9.0889583716510333E-2</v>
      </c>
      <c r="M16" s="58"/>
      <c r="N16" s="147" t="e">
        <f t="shared" si="1"/>
        <v>#REF!</v>
      </c>
      <c r="O16" s="147" t="e">
        <f t="shared" si="1"/>
        <v>#REF!</v>
      </c>
      <c r="P16" s="147" t="e">
        <f t="shared" si="1"/>
        <v>#REF!</v>
      </c>
      <c r="Q16" s="147" t="e">
        <f t="shared" si="1"/>
        <v>#REF!</v>
      </c>
      <c r="R16" s="142" t="e">
        <f t="shared" si="1"/>
        <v>#REF!</v>
      </c>
      <c r="S16" s="15"/>
      <c r="T16" s="15"/>
    </row>
    <row r="17" spans="1:20">
      <c r="A17" s="128" t="s">
        <v>84</v>
      </c>
      <c r="B17" s="151" t="e">
        <f>'Revenue and Exp'!#REF!/'Revenue and Exp'!#REF!</f>
        <v>#REF!</v>
      </c>
      <c r="C17" s="151" t="e">
        <f>'Revenue and Exp'!#REF!/'Revenue and Exp'!#REF!</f>
        <v>#REF!</v>
      </c>
      <c r="D17" s="151" t="e">
        <f>'Revenue and Exp'!#REF!/'Revenue and Exp'!#REF!</f>
        <v>#REF!</v>
      </c>
      <c r="E17" s="151" t="e">
        <f>'Revenue and Exp'!#REF!/'Revenue and Exp'!#REF!</f>
        <v>#REF!</v>
      </c>
      <c r="F17" s="133" t="e">
        <f>'Revenue and Exp'!#REF!/'Revenue and Exp'!#REF!</f>
        <v>#REF!</v>
      </c>
      <c r="G17" s="132"/>
      <c r="H17" s="132">
        <f>'Revenue and Exp'!B33/'Revenue and Exp'!B$14</f>
        <v>0.40286684270086759</v>
      </c>
      <c r="I17" s="151">
        <f>'Revenue and Exp'!C33/'Revenue and Exp'!C$14</f>
        <v>0.39160324085440706</v>
      </c>
      <c r="J17" s="151">
        <f>'Revenue and Exp'!D33/'Revenue and Exp'!D$14</f>
        <v>0.39532893127904134</v>
      </c>
      <c r="K17" s="151">
        <f>'Revenue and Exp'!E33/'Revenue and Exp'!E$14</f>
        <v>0.38705811863391254</v>
      </c>
      <c r="L17" s="133">
        <f>'Revenue and Exp'!F33/'Revenue and Exp'!F$14</f>
        <v>0.39412053215621362</v>
      </c>
      <c r="M17" s="127"/>
      <c r="N17" s="132" t="e">
        <f t="shared" si="1"/>
        <v>#REF!</v>
      </c>
      <c r="O17" s="151" t="e">
        <f t="shared" si="1"/>
        <v>#REF!</v>
      </c>
      <c r="P17" s="151" t="e">
        <f t="shared" si="1"/>
        <v>#REF!</v>
      </c>
      <c r="Q17" s="151" t="e">
        <f t="shared" si="1"/>
        <v>#REF!</v>
      </c>
      <c r="R17" s="133" t="e">
        <f t="shared" si="1"/>
        <v>#REF!</v>
      </c>
      <c r="S17" s="15"/>
      <c r="T17" s="15"/>
    </row>
    <row r="18" spans="1:20" ht="4.5" customHeight="1">
      <c r="A18" s="6"/>
      <c r="B18" s="139"/>
      <c r="C18" s="139"/>
      <c r="D18" s="139"/>
      <c r="E18" s="139"/>
      <c r="F18" s="140"/>
      <c r="G18" s="138"/>
      <c r="H18" s="138"/>
      <c r="I18" s="139"/>
      <c r="J18" s="139"/>
      <c r="K18" s="139"/>
      <c r="L18" s="140"/>
      <c r="M18" s="52"/>
      <c r="N18" s="138"/>
      <c r="O18" s="139"/>
      <c r="P18" s="139"/>
      <c r="Q18" s="139"/>
      <c r="R18" s="140"/>
      <c r="S18" s="15"/>
      <c r="T18" s="15"/>
    </row>
    <row r="19" spans="1:20">
      <c r="A19" s="5" t="s">
        <v>85</v>
      </c>
      <c r="B19" s="139" t="e">
        <f>'Revenue and Exp'!#REF!/'Revenue and Exp'!#REF!</f>
        <v>#REF!</v>
      </c>
      <c r="C19" s="139" t="e">
        <f>'Revenue and Exp'!#REF!/'Revenue and Exp'!#REF!</f>
        <v>#REF!</v>
      </c>
      <c r="D19" s="139" t="e">
        <f>'Revenue and Exp'!#REF!/'Revenue and Exp'!#REF!</f>
        <v>#REF!</v>
      </c>
      <c r="E19" s="139" t="e">
        <f>'Revenue and Exp'!#REF!/'Revenue and Exp'!#REF!</f>
        <v>#REF!</v>
      </c>
      <c r="F19" s="140" t="e">
        <f>'Revenue and Exp'!#REF!/'Revenue and Exp'!#REF!</f>
        <v>#REF!</v>
      </c>
      <c r="G19" s="138"/>
      <c r="H19" s="138">
        <f>'Revenue and Exp'!B35/'Revenue and Exp'!B$14</f>
        <v>5.5073557148245945E-2</v>
      </c>
      <c r="I19" s="139">
        <f>'Revenue and Exp'!C35/'Revenue and Exp'!C$14</f>
        <v>5.2786643751534496E-2</v>
      </c>
      <c r="J19" s="139">
        <f>'Revenue and Exp'!D35/'Revenue and Exp'!D$14</f>
        <v>5.3680606505258008E-2</v>
      </c>
      <c r="K19" s="139">
        <f>'Revenue and Exp'!E35/'Revenue and Exp'!E$14</f>
        <v>5.3924505692031159E-2</v>
      </c>
      <c r="L19" s="140">
        <f>'Revenue and Exp'!F35/'Revenue and Exp'!F$14</f>
        <v>5.3859358714977622E-2</v>
      </c>
      <c r="M19" s="52"/>
      <c r="N19" s="138" t="e">
        <f t="shared" ref="N19:R22" si="2">H19/B19-1</f>
        <v>#REF!</v>
      </c>
      <c r="O19" s="139" t="e">
        <f t="shared" si="2"/>
        <v>#REF!</v>
      </c>
      <c r="P19" s="139" t="e">
        <f t="shared" si="2"/>
        <v>#REF!</v>
      </c>
      <c r="Q19" s="139" t="e">
        <f t="shared" si="2"/>
        <v>#REF!</v>
      </c>
      <c r="R19" s="140" t="e">
        <f t="shared" si="2"/>
        <v>#REF!</v>
      </c>
      <c r="S19" s="15"/>
      <c r="T19" s="15"/>
    </row>
    <row r="20" spans="1:20">
      <c r="A20" s="111" t="s">
        <v>86</v>
      </c>
      <c r="B20" s="151" t="e">
        <f>'Revenue and Exp'!#REF!/'Revenue and Exp'!#REF!</f>
        <v>#REF!</v>
      </c>
      <c r="C20" s="151" t="e">
        <f>'Revenue and Exp'!#REF!/'Revenue and Exp'!#REF!</f>
        <v>#REF!</v>
      </c>
      <c r="D20" s="151" t="e">
        <f>'Revenue and Exp'!#REF!/'Revenue and Exp'!#REF!</f>
        <v>#REF!</v>
      </c>
      <c r="E20" s="151" t="e">
        <f>'Revenue and Exp'!#REF!/'Revenue and Exp'!#REF!</f>
        <v>#REF!</v>
      </c>
      <c r="F20" s="133" t="e">
        <f>'Revenue and Exp'!#REF!/'Revenue and Exp'!#REF!</f>
        <v>#REF!</v>
      </c>
      <c r="G20" s="132"/>
      <c r="H20" s="132">
        <f>'Revenue and Exp'!B36/'Revenue and Exp'!B$14</f>
        <v>5.0295485980133281E-2</v>
      </c>
      <c r="I20" s="151">
        <f>'Revenue and Exp'!C36/'Revenue and Exp'!C$14</f>
        <v>5.0454210655536458E-2</v>
      </c>
      <c r="J20" s="151">
        <f>'Revenue and Exp'!D36/'Revenue and Exp'!D$14</f>
        <v>5.2213255074590362E-2</v>
      </c>
      <c r="K20" s="151">
        <f>'Revenue and Exp'!E36/'Revenue and Exp'!E$14</f>
        <v>4.6734571599760334E-2</v>
      </c>
      <c r="L20" s="133">
        <f>'Revenue and Exp'!F36/'Revenue and Exp'!F$14</f>
        <v>4.9904972104714611E-2</v>
      </c>
      <c r="M20" s="127"/>
      <c r="N20" s="132" t="e">
        <f>H20/B20-1</f>
        <v>#REF!</v>
      </c>
      <c r="O20" s="151" t="e">
        <f t="shared" si="2"/>
        <v>#REF!</v>
      </c>
      <c r="P20" s="151" t="e">
        <f t="shared" si="2"/>
        <v>#REF!</v>
      </c>
      <c r="Q20" s="151" t="e">
        <f t="shared" si="2"/>
        <v>#REF!</v>
      </c>
      <c r="R20" s="133" t="e">
        <f t="shared" si="2"/>
        <v>#REF!</v>
      </c>
      <c r="S20" s="15"/>
      <c r="T20" s="15"/>
    </row>
    <row r="21" spans="1:20">
      <c r="A21" s="5" t="s">
        <v>87</v>
      </c>
      <c r="B21" s="139" t="e">
        <f>'Revenue and Exp'!#REF!/'Revenue and Exp'!#REF!</f>
        <v>#REF!</v>
      </c>
      <c r="C21" s="139" t="e">
        <f>'Revenue and Exp'!#REF!/'Revenue and Exp'!#REF!</f>
        <v>#REF!</v>
      </c>
      <c r="D21" s="139" t="e">
        <f>'Revenue and Exp'!#REF!/'Revenue and Exp'!#REF!</f>
        <v>#REF!</v>
      </c>
      <c r="E21" s="139" t="e">
        <f>'Revenue and Exp'!#REF!/'Revenue and Exp'!#REF!</f>
        <v>#REF!</v>
      </c>
      <c r="F21" s="140" t="e">
        <f>'Revenue and Exp'!#REF!/'Revenue and Exp'!#REF!</f>
        <v>#REF!</v>
      </c>
      <c r="G21" s="138"/>
      <c r="H21" s="138">
        <f>'Revenue and Exp'!B37/'Revenue and Exp'!B$14</f>
        <v>9.6944549226706908E-2</v>
      </c>
      <c r="I21" s="139">
        <f>'Revenue and Exp'!C37/'Revenue and Exp'!C$14</f>
        <v>9.2683525656764063E-2</v>
      </c>
      <c r="J21" s="139">
        <f>'Revenue and Exp'!D37/'Revenue and Exp'!D$14</f>
        <v>0.10149180728784545</v>
      </c>
      <c r="K21" s="139">
        <f>'Revenue and Exp'!E37/'Revenue and Exp'!E$14</f>
        <v>0.10317555422408628</v>
      </c>
      <c r="L21" s="140">
        <f>'Revenue and Exp'!F37/'Revenue and Exp'!F$14</f>
        <v>9.8614431978419473E-2</v>
      </c>
      <c r="M21" s="52"/>
      <c r="N21" s="138" t="e">
        <f t="shared" si="2"/>
        <v>#REF!</v>
      </c>
      <c r="O21" s="139" t="e">
        <f t="shared" si="2"/>
        <v>#REF!</v>
      </c>
      <c r="P21" s="139" t="e">
        <f t="shared" si="2"/>
        <v>#REF!</v>
      </c>
      <c r="Q21" s="139" t="e">
        <f t="shared" si="2"/>
        <v>#REF!</v>
      </c>
      <c r="R21" s="140" t="e">
        <f t="shared" si="2"/>
        <v>#REF!</v>
      </c>
      <c r="S21" s="15"/>
      <c r="T21" s="15"/>
    </row>
    <row r="22" spans="1:20" ht="12.75" customHeight="1">
      <c r="A22" s="128" t="s">
        <v>88</v>
      </c>
      <c r="B22" s="153" t="e">
        <f>'Revenue and Exp'!#REF!/'Revenue and Exp'!#REF!</f>
        <v>#REF!</v>
      </c>
      <c r="C22" s="153" t="e">
        <f>'Revenue and Exp'!#REF!/'Revenue and Exp'!#REF!</f>
        <v>#REF!</v>
      </c>
      <c r="D22" s="153" t="e">
        <f>'Revenue and Exp'!#REF!/'Revenue and Exp'!#REF!</f>
        <v>#REF!</v>
      </c>
      <c r="E22" s="153" t="e">
        <f>'Revenue and Exp'!#REF!/'Revenue and Exp'!#REF!</f>
        <v>#REF!</v>
      </c>
      <c r="F22" s="154" t="e">
        <f>'Revenue and Exp'!#REF!/'Revenue and Exp'!#REF!</f>
        <v>#REF!</v>
      </c>
      <c r="G22" s="132"/>
      <c r="H22" s="153">
        <f>'Revenue and Exp'!B38/'Revenue and Exp'!B$14</f>
        <v>0.20231359235508614</v>
      </c>
      <c r="I22" s="153">
        <f>'Revenue and Exp'!C38/'Revenue and Exp'!C$14</f>
        <v>0.195924380063835</v>
      </c>
      <c r="J22" s="153">
        <f>'Revenue and Exp'!D38/'Revenue and Exp'!D$14</f>
        <v>0.2073856688676938</v>
      </c>
      <c r="K22" s="153">
        <f>'Revenue and Exp'!E38/'Revenue and Exp'!E$14</f>
        <v>0.20383463151587777</v>
      </c>
      <c r="L22" s="154">
        <f>'Revenue and Exp'!F38/'Revenue and Exp'!F$14</f>
        <v>0.20237876279811171</v>
      </c>
      <c r="M22" s="127"/>
      <c r="N22" s="153" t="e">
        <f t="shared" si="2"/>
        <v>#REF!</v>
      </c>
      <c r="O22" s="153" t="e">
        <f t="shared" si="2"/>
        <v>#REF!</v>
      </c>
      <c r="P22" s="153" t="e">
        <f t="shared" si="2"/>
        <v>#REF!</v>
      </c>
      <c r="Q22" s="153" t="e">
        <f t="shared" si="2"/>
        <v>#REF!</v>
      </c>
      <c r="R22" s="154" t="e">
        <f t="shared" si="2"/>
        <v>#REF!</v>
      </c>
      <c r="S22" s="15"/>
      <c r="T22" s="15"/>
    </row>
    <row r="23" spans="1:20" ht="3.75" customHeight="1">
      <c r="A23" s="5"/>
      <c r="B23" s="139"/>
      <c r="C23" s="139"/>
      <c r="D23" s="139"/>
      <c r="E23" s="139"/>
      <c r="F23" s="140"/>
      <c r="G23" s="138"/>
      <c r="H23" s="138"/>
      <c r="I23" s="139"/>
      <c r="J23" s="139"/>
      <c r="K23" s="139"/>
      <c r="L23" s="140"/>
      <c r="M23" s="36"/>
      <c r="N23" s="138"/>
      <c r="O23" s="139"/>
      <c r="P23" s="139"/>
      <c r="Q23" s="139"/>
      <c r="R23" s="140"/>
      <c r="S23" s="15"/>
      <c r="T23" s="15"/>
    </row>
    <row r="24" spans="1:20" ht="12" customHeight="1">
      <c r="A24" s="135" t="s">
        <v>89</v>
      </c>
      <c r="B24" s="146" t="e">
        <f>'Revenue and Exp'!#REF!/'Revenue and Exp'!#REF!</f>
        <v>#REF!</v>
      </c>
      <c r="C24" s="146" t="e">
        <f>'Revenue and Exp'!#REF!/'Revenue and Exp'!#REF!</f>
        <v>#REF!</v>
      </c>
      <c r="D24" s="146" t="e">
        <f>'Revenue and Exp'!#REF!/'Revenue and Exp'!#REF!</f>
        <v>#REF!</v>
      </c>
      <c r="E24" s="146" t="e">
        <f>'Revenue and Exp'!#REF!/'Revenue and Exp'!#REF!</f>
        <v>#REF!</v>
      </c>
      <c r="F24" s="134" t="e">
        <f>'Revenue and Exp'!#REF!/'Revenue and Exp'!#REF!</f>
        <v>#REF!</v>
      </c>
      <c r="G24" s="43"/>
      <c r="H24" s="43">
        <f>'Revenue and Exp'!B40/'Revenue and Exp'!B$14</f>
        <v>0.60518043505595376</v>
      </c>
      <c r="I24" s="146">
        <f>'Revenue and Exp'!C40/'Revenue and Exp'!C$14</f>
        <v>0.58752762091824207</v>
      </c>
      <c r="J24" s="146">
        <f>'Revenue and Exp'!D40/'Revenue and Exp'!D$14</f>
        <v>0.60271460014673517</v>
      </c>
      <c r="K24" s="146">
        <f>'Revenue and Exp'!E40/'Revenue and Exp'!E$14</f>
        <v>0.59089275014979026</v>
      </c>
      <c r="L24" s="134">
        <f>'Revenue and Exp'!F40/'Revenue and Exp'!F$14</f>
        <v>0.5964992949543253</v>
      </c>
      <c r="M24" s="58"/>
      <c r="N24" s="43" t="e">
        <f>H24/B24-1</f>
        <v>#REF!</v>
      </c>
      <c r="O24" s="146" t="e">
        <f>I24/C24-1</f>
        <v>#REF!</v>
      </c>
      <c r="P24" s="146" t="e">
        <f>J24/D24-1</f>
        <v>#REF!</v>
      </c>
      <c r="Q24" s="146" t="e">
        <f>K24/E24-1</f>
        <v>#REF!</v>
      </c>
      <c r="R24" s="134" t="e">
        <f>L24/F24-1</f>
        <v>#REF!</v>
      </c>
      <c r="S24" s="15"/>
      <c r="T24" s="15"/>
    </row>
    <row r="25" spans="1:20" ht="4.5" customHeight="1">
      <c r="A25" s="5"/>
      <c r="B25" s="139"/>
      <c r="C25" s="139"/>
      <c r="D25" s="139"/>
      <c r="E25" s="139"/>
      <c r="F25" s="140"/>
      <c r="G25" s="138"/>
      <c r="H25" s="138"/>
      <c r="I25" s="139"/>
      <c r="J25" s="139"/>
      <c r="K25" s="139"/>
      <c r="L25" s="140"/>
      <c r="M25" s="36"/>
      <c r="N25" s="138"/>
      <c r="O25" s="139"/>
      <c r="P25" s="139"/>
      <c r="Q25" s="139"/>
      <c r="R25" s="140"/>
      <c r="S25" s="15"/>
      <c r="T25" s="15"/>
    </row>
    <row r="26" spans="1:20">
      <c r="A26" s="128" t="s">
        <v>103</v>
      </c>
      <c r="B26" s="151" t="e">
        <f>'Revenue and Exp'!#REF!/'Revenue and Exp'!#REF!</f>
        <v>#REF!</v>
      </c>
      <c r="C26" s="151" t="e">
        <f>'Revenue and Exp'!#REF!/'Revenue and Exp'!#REF!</f>
        <v>#REF!</v>
      </c>
      <c r="D26" s="151" t="e">
        <f>'Revenue and Exp'!#REF!/'Revenue and Exp'!#REF!</f>
        <v>#REF!</v>
      </c>
      <c r="E26" s="151" t="e">
        <f>'Revenue and Exp'!#REF!/'Revenue and Exp'!#REF!</f>
        <v>#REF!</v>
      </c>
      <c r="F26" s="133" t="e">
        <f>'Revenue and Exp'!#REF!/'Revenue and Exp'!#REF!</f>
        <v>#REF!</v>
      </c>
      <c r="G26" s="132"/>
      <c r="H26" s="132">
        <f>'Revenue and Exp'!B42/'Revenue and Exp'!B$19</f>
        <v>0.68870523415977958</v>
      </c>
      <c r="I26" s="151">
        <f>'Revenue and Exp'!C42/'Revenue and Exp'!C$19</f>
        <v>0.75683060109289613</v>
      </c>
      <c r="J26" s="151">
        <f>'Revenue and Exp'!D42/'Revenue and Exp'!D$19</f>
        <v>0.69740634005763691</v>
      </c>
      <c r="K26" s="151">
        <f>'Revenue and Exp'!E42/'Revenue and Exp'!E$19</f>
        <v>0.84285714285714286</v>
      </c>
      <c r="L26" s="133">
        <f>'Revenue and Exp'!F42/'Revenue and Exp'!F$19</f>
        <v>0.74614305750350629</v>
      </c>
      <c r="M26" s="127"/>
      <c r="N26" s="132" t="e">
        <f>H26/B26-1</f>
        <v>#REF!</v>
      </c>
      <c r="O26" s="151" t="e">
        <f>I26/C26-1</f>
        <v>#REF!</v>
      </c>
      <c r="P26" s="151" t="e">
        <f>J26/D26-1</f>
        <v>#REF!</v>
      </c>
      <c r="Q26" s="151" t="e">
        <f>K26/E26-1</f>
        <v>#REF!</v>
      </c>
      <c r="R26" s="133" t="e">
        <f>L26/F26-1</f>
        <v>#REF!</v>
      </c>
      <c r="S26" s="15"/>
      <c r="T26" s="15"/>
    </row>
    <row r="27" spans="1:20" ht="3.75" customHeight="1">
      <c r="B27" s="139"/>
      <c r="C27" s="139"/>
      <c r="D27" s="139"/>
      <c r="E27" s="139"/>
      <c r="F27" s="140"/>
      <c r="G27" s="138"/>
      <c r="H27" s="138"/>
      <c r="I27" s="139"/>
      <c r="J27" s="139"/>
      <c r="K27" s="146"/>
      <c r="L27" s="134"/>
      <c r="M27" s="36"/>
      <c r="N27" s="138"/>
      <c r="O27" s="139"/>
      <c r="P27" s="139"/>
      <c r="Q27" s="146"/>
      <c r="R27" s="134"/>
      <c r="S27" s="15"/>
      <c r="T27" s="15"/>
    </row>
    <row r="28" spans="1:20" hidden="1" outlineLevel="1">
      <c r="A28" s="135" t="s">
        <v>90</v>
      </c>
      <c r="B28" s="43" t="e">
        <f>'Revenue and Exp'!#REF!/'Revenue and Exp'!#REF!</f>
        <v>#REF!</v>
      </c>
      <c r="C28" s="43" t="e">
        <f>'Revenue and Exp'!#REF!/'Revenue and Exp'!#REF!</f>
        <v>#REF!</v>
      </c>
      <c r="D28" s="43" t="e">
        <f>'Revenue and Exp'!#REF!/'Revenue and Exp'!#REF!</f>
        <v>#REF!</v>
      </c>
      <c r="E28" s="43" t="e">
        <f>'Revenue and Exp'!#REF!/'Revenue and Exp'!#REF!</f>
        <v>#REF!</v>
      </c>
      <c r="F28" s="134" t="e">
        <f>'Revenue and Exp'!#REF!/'Revenue and Exp'!#REF!</f>
        <v>#REF!</v>
      </c>
      <c r="G28" s="43"/>
      <c r="H28" s="43">
        <f>'Revenue and Exp'!B44/'Revenue and Exp'!B$23</f>
        <v>2.2082393446515493E-2</v>
      </c>
      <c r="I28" s="43">
        <f>'Revenue and Exp'!C44/'Revenue and Exp'!C$23</f>
        <v>2.1286495289054321E-2</v>
      </c>
      <c r="J28" s="43">
        <f>'Revenue and Exp'!D44/'Revenue and Exp'!D$23</f>
        <v>2.1415270018621976E-2</v>
      </c>
      <c r="K28" s="43">
        <f>'Revenue and Exp'!E44/'Revenue and Exp'!E$23</f>
        <v>2.4401316536147997E-2</v>
      </c>
      <c r="L28" s="134">
        <f>'Revenue and Exp'!F44/'Revenue and Exp'!F$23</f>
        <v>2.231066438137292E-2</v>
      </c>
      <c r="M28" s="58"/>
      <c r="N28" s="43" t="e">
        <f>H28/B28-1</f>
        <v>#REF!</v>
      </c>
      <c r="O28" s="43" t="e">
        <f>I28/C28-1</f>
        <v>#REF!</v>
      </c>
      <c r="P28" s="43" t="e">
        <f>J28/D28-1</f>
        <v>#REF!</v>
      </c>
      <c r="Q28" s="43" t="e">
        <f>K28/E28-1</f>
        <v>#REF!</v>
      </c>
      <c r="R28" s="134" t="e">
        <f>L28/F28-1</f>
        <v>#REF!</v>
      </c>
      <c r="S28" s="15"/>
      <c r="T28" s="15"/>
    </row>
    <row r="29" spans="1:20" ht="4.5" hidden="1" customHeight="1" outlineLevel="1">
      <c r="B29" s="139"/>
      <c r="C29" s="139"/>
      <c r="D29" s="139"/>
      <c r="E29" s="139"/>
      <c r="F29" s="140"/>
      <c r="G29" s="138"/>
      <c r="H29" s="138"/>
      <c r="I29" s="139"/>
      <c r="J29" s="139"/>
      <c r="K29" s="139"/>
      <c r="L29" s="134"/>
      <c r="M29" s="36"/>
      <c r="N29" s="138"/>
      <c r="O29" s="139"/>
      <c r="P29" s="139"/>
      <c r="Q29" s="139"/>
      <c r="R29" s="134"/>
      <c r="S29" s="15"/>
      <c r="T29" s="15"/>
    </row>
    <row r="30" spans="1:20" s="2" customFormat="1" hidden="1" outlineLevel="1">
      <c r="A30" s="2" t="s">
        <v>92</v>
      </c>
      <c r="B30" s="144" t="e">
        <f>'Revenue and Exp'!#REF!/'Revenue and Exp'!#REF!</f>
        <v>#REF!</v>
      </c>
      <c r="C30" s="144" t="e">
        <f>'Revenue and Exp'!#REF!/'Revenue and Exp'!#REF!</f>
        <v>#REF!</v>
      </c>
      <c r="D30" s="144" t="e">
        <f>'Revenue and Exp'!#REF!/'Revenue and Exp'!#REF!</f>
        <v>#REF!</v>
      </c>
      <c r="E30" s="144" t="e">
        <f>'Revenue and Exp'!#REF!/'Revenue and Exp'!#REF!</f>
        <v>#REF!</v>
      </c>
      <c r="F30" s="145" t="e">
        <f>'Revenue and Exp'!#REF!/'Revenue and Exp'!#REF!</f>
        <v>#REF!</v>
      </c>
      <c r="G30" s="143"/>
      <c r="H30" s="143">
        <f>'Revenue and Exp'!B46/'Revenue and Exp'!B$23</f>
        <v>0.62317464086430008</v>
      </c>
      <c r="I30" s="144">
        <f>'Revenue and Exp'!C46/'Revenue and Exp'!C$23</f>
        <v>0.61021286495289051</v>
      </c>
      <c r="J30" s="144">
        <f>'Revenue and Exp'!D46/'Revenue and Exp'!D$23</f>
        <v>0.62325418994413406</v>
      </c>
      <c r="K30" s="144">
        <f>'Revenue and Exp'!E46/'Revenue and Exp'!E$23</f>
        <v>0.61752355010781979</v>
      </c>
      <c r="L30" s="152">
        <f>'Revenue and Exp'!F46/'Revenue and Exp'!F$23</f>
        <v>0.61851087935392035</v>
      </c>
      <c r="M30" s="61"/>
      <c r="N30" s="143" t="e">
        <f>H30/B30-1</f>
        <v>#REF!</v>
      </c>
      <c r="O30" s="144" t="e">
        <f>I30/C30-1</f>
        <v>#REF!</v>
      </c>
      <c r="P30" s="144" t="e">
        <f>J30/D30-1</f>
        <v>#REF!</v>
      </c>
      <c r="Q30" s="144" t="e">
        <f>K30/E30-1</f>
        <v>#REF!</v>
      </c>
      <c r="R30" s="188" t="e">
        <f>L30/F30-1</f>
        <v>#REF!</v>
      </c>
      <c r="S30" s="4"/>
      <c r="T30" s="4"/>
    </row>
    <row r="31" spans="1:20" ht="3.75" hidden="1" customHeight="1" outlineLevel="1">
      <c r="B31" s="37"/>
      <c r="C31" s="37"/>
      <c r="D31" s="37"/>
      <c r="E31" s="37"/>
      <c r="F31" s="39"/>
      <c r="G31" s="36"/>
      <c r="H31" s="37"/>
      <c r="I31" s="37"/>
      <c r="J31" s="37"/>
      <c r="K31" s="37"/>
      <c r="L31" s="39"/>
      <c r="M31" s="36"/>
      <c r="N31" s="37"/>
      <c r="O31" s="37"/>
      <c r="P31" s="37"/>
      <c r="Q31" s="37"/>
      <c r="R31" s="39"/>
    </row>
    <row r="32" spans="1:20" ht="15.75" hidden="1" outlineLevel="1">
      <c r="A32" s="107" t="s">
        <v>69</v>
      </c>
      <c r="B32" s="103"/>
      <c r="C32" s="104"/>
      <c r="D32" s="105"/>
      <c r="E32" s="104"/>
      <c r="F32" s="106"/>
      <c r="G32" s="109"/>
      <c r="H32" s="104"/>
      <c r="I32" s="104"/>
      <c r="J32" s="104"/>
      <c r="K32" s="104"/>
      <c r="L32" s="106"/>
      <c r="M32" s="109"/>
      <c r="N32" s="104"/>
      <c r="O32" s="104"/>
      <c r="P32" s="104"/>
      <c r="Q32" s="104"/>
      <c r="R32" s="106"/>
    </row>
    <row r="33" spans="1:20" hidden="1" outlineLevel="1">
      <c r="A33" s="5" t="s">
        <v>16</v>
      </c>
      <c r="B33" s="50">
        <v>2876</v>
      </c>
      <c r="C33" s="50">
        <v>3124</v>
      </c>
      <c r="D33" s="50">
        <v>3050</v>
      </c>
      <c r="E33" s="50">
        <v>3196</v>
      </c>
      <c r="F33" s="51">
        <f>SUM(B33:E33)</f>
        <v>12246</v>
      </c>
      <c r="G33" s="52"/>
      <c r="H33" s="50">
        <v>3142</v>
      </c>
      <c r="I33" s="50">
        <v>3362</v>
      </c>
      <c r="J33" s="53">
        <v>3251</v>
      </c>
      <c r="K33" s="53">
        <v>3415</v>
      </c>
      <c r="L33" s="51">
        <v>13170</v>
      </c>
      <c r="M33" s="52"/>
      <c r="N33" s="139">
        <f t="shared" ref="N33:R36" si="3">H33/B33-1</f>
        <v>9.2489568845618875E-2</v>
      </c>
      <c r="O33" s="139">
        <f t="shared" si="3"/>
        <v>7.6184379001280389E-2</v>
      </c>
      <c r="P33" s="146">
        <f t="shared" si="3"/>
        <v>6.5901639344262186E-2</v>
      </c>
      <c r="Q33" s="146">
        <f t="shared" si="3"/>
        <v>6.8523153942428028E-2</v>
      </c>
      <c r="R33" s="140">
        <f t="shared" si="3"/>
        <v>7.5453209211171046E-2</v>
      </c>
    </row>
    <row r="34" spans="1:20" hidden="1" outlineLevel="1">
      <c r="A34" s="111" t="s">
        <v>17</v>
      </c>
      <c r="B34" s="125">
        <v>64.537683766666675</v>
      </c>
      <c r="C34" s="125">
        <v>75</v>
      </c>
      <c r="D34" s="125">
        <v>97</v>
      </c>
      <c r="E34" s="125">
        <v>49</v>
      </c>
      <c r="F34" s="126">
        <f>SUM(B34:E34)</f>
        <v>285.53768376666665</v>
      </c>
      <c r="G34" s="127"/>
      <c r="H34" s="125">
        <v>113.30410793000001</v>
      </c>
      <c r="I34" s="125">
        <v>89</v>
      </c>
      <c r="J34" s="125">
        <v>105.16293284000001</v>
      </c>
      <c r="K34" s="125">
        <v>55.032389072000029</v>
      </c>
      <c r="L34" s="126">
        <f>SUM(H34:K34)</f>
        <v>362.49942984200004</v>
      </c>
      <c r="M34" s="127"/>
      <c r="N34" s="151">
        <f t="shared" si="3"/>
        <v>0.75562712073222715</v>
      </c>
      <c r="O34" s="151">
        <f t="shared" si="3"/>
        <v>0.18666666666666676</v>
      </c>
      <c r="P34" s="151">
        <f t="shared" si="3"/>
        <v>8.4153946804123914E-2</v>
      </c>
      <c r="Q34" s="151">
        <f t="shared" si="3"/>
        <v>0.12310998106122506</v>
      </c>
      <c r="R34" s="133">
        <f t="shared" si="3"/>
        <v>0.26953271126981737</v>
      </c>
    </row>
    <row r="35" spans="1:20" hidden="1" outlineLevel="1">
      <c r="A35" s="5" t="s">
        <v>2</v>
      </c>
      <c r="B35" s="56">
        <v>-96</v>
      </c>
      <c r="C35" s="56">
        <v>-93</v>
      </c>
      <c r="D35" s="56">
        <v>-143</v>
      </c>
      <c r="E35" s="56">
        <v>-91</v>
      </c>
      <c r="F35" s="55">
        <f>SUM(B35:E35)</f>
        <v>-423</v>
      </c>
      <c r="G35" s="52"/>
      <c r="H35" s="56">
        <v>-81</v>
      </c>
      <c r="I35" s="56">
        <v>-100</v>
      </c>
      <c r="J35" s="56">
        <v>-119</v>
      </c>
      <c r="K35" s="54" t="e">
        <f>#REF!-K28</f>
        <v>#REF!</v>
      </c>
      <c r="L35" s="66" t="e">
        <f>SUM(H35:K35)</f>
        <v>#REF!</v>
      </c>
      <c r="M35" s="52"/>
      <c r="N35" s="141">
        <f t="shared" si="3"/>
        <v>-0.15625</v>
      </c>
      <c r="O35" s="141">
        <f t="shared" si="3"/>
        <v>7.5268817204301008E-2</v>
      </c>
      <c r="P35" s="141">
        <f t="shared" si="3"/>
        <v>-0.16783216783216781</v>
      </c>
      <c r="Q35" s="147" t="e">
        <f t="shared" si="3"/>
        <v>#REF!</v>
      </c>
      <c r="R35" s="155" t="e">
        <f t="shared" si="3"/>
        <v>#REF!</v>
      </c>
    </row>
    <row r="36" spans="1:20" s="2" customFormat="1" hidden="1" outlineLevel="1">
      <c r="A36" s="2" t="s">
        <v>19</v>
      </c>
      <c r="B36" s="59">
        <f>+B33+B34+B35</f>
        <v>2844.5376837666668</v>
      </c>
      <c r="C36" s="59">
        <f>+C33+C34+C35</f>
        <v>3106</v>
      </c>
      <c r="D36" s="59">
        <f>+D33+D34+D35</f>
        <v>3004</v>
      </c>
      <c r="E36" s="59">
        <f>+E33+E34+E35</f>
        <v>3154</v>
      </c>
      <c r="F36" s="60">
        <f>SUM(F31:F35)</f>
        <v>12108.537683766666</v>
      </c>
      <c r="G36" s="61"/>
      <c r="H36" s="59">
        <f>+H33+H34+H35</f>
        <v>3174.3041079300001</v>
      </c>
      <c r="I36" s="59">
        <f>+I33+I34+I35</f>
        <v>3351</v>
      </c>
      <c r="J36" s="59">
        <f>+J33+J34+J35</f>
        <v>3237.1629328399999</v>
      </c>
      <c r="K36" s="59" t="e">
        <f>+K33+K34+K35</f>
        <v>#REF!</v>
      </c>
      <c r="L36" s="63" t="e">
        <f>SUM(L33:L35)</f>
        <v>#REF!</v>
      </c>
      <c r="M36" s="61"/>
      <c r="N36" s="144">
        <f t="shared" si="3"/>
        <v>0.11592970838293293</v>
      </c>
      <c r="O36" s="144">
        <f t="shared" si="3"/>
        <v>7.8879587894397973E-2</v>
      </c>
      <c r="P36" s="144">
        <f t="shared" si="3"/>
        <v>7.7617487629826787E-2</v>
      </c>
      <c r="Q36" s="144" t="e">
        <f t="shared" si="3"/>
        <v>#REF!</v>
      </c>
      <c r="R36" s="152" t="e">
        <f t="shared" si="3"/>
        <v>#REF!</v>
      </c>
    </row>
    <row r="37" spans="1:20" ht="3.75" hidden="1" customHeight="1" outlineLevel="1">
      <c r="B37" s="37"/>
      <c r="C37" s="37"/>
      <c r="D37" s="37"/>
      <c r="E37" s="37"/>
      <c r="F37" s="39"/>
      <c r="G37" s="36"/>
      <c r="H37" s="37"/>
      <c r="I37" s="37"/>
      <c r="J37" s="37"/>
      <c r="K37" s="37"/>
      <c r="L37" s="39"/>
      <c r="M37" s="36"/>
      <c r="N37" s="37"/>
      <c r="O37" s="37"/>
      <c r="P37" s="37"/>
      <c r="Q37" s="37"/>
      <c r="R37" s="39"/>
    </row>
    <row r="38" spans="1:20" hidden="1" outlineLevel="1">
      <c r="A38" s="5" t="s">
        <v>16</v>
      </c>
      <c r="B38" s="67" t="e">
        <f>+B33/#REF!</f>
        <v>#REF!</v>
      </c>
      <c r="C38" s="67" t="e">
        <f>+C33/#REF!</f>
        <v>#REF!</v>
      </c>
      <c r="D38" s="67" t="e">
        <f>+D33/#REF!</f>
        <v>#REF!</v>
      </c>
      <c r="E38" s="67" t="e">
        <f>+E33/#REF!</f>
        <v>#REF!</v>
      </c>
      <c r="F38" s="41" t="e">
        <f>+F33/#REF!</f>
        <v>#REF!</v>
      </c>
      <c r="G38" s="40"/>
      <c r="H38" s="67" t="e">
        <f>+H33/#REF!</f>
        <v>#REF!</v>
      </c>
      <c r="I38" s="67" t="e">
        <f>+I33/#REF!</f>
        <v>#REF!</v>
      </c>
      <c r="J38" s="67" t="e">
        <f>+J33/#REF!</f>
        <v>#REF!</v>
      </c>
      <c r="K38" s="67" t="e">
        <f>+K33/#REF!</f>
        <v>#REF!</v>
      </c>
      <c r="L38" s="41" t="e">
        <f>+L33/#REF!</f>
        <v>#REF!</v>
      </c>
      <c r="M38" s="40"/>
      <c r="N38" s="139" t="e">
        <f t="shared" ref="N38:R40" si="4">H38/B38-1</f>
        <v>#REF!</v>
      </c>
      <c r="O38" s="139" t="e">
        <f t="shared" si="4"/>
        <v>#REF!</v>
      </c>
      <c r="P38" s="139" t="e">
        <f t="shared" si="4"/>
        <v>#REF!</v>
      </c>
      <c r="Q38" s="139" t="e">
        <f t="shared" si="4"/>
        <v>#REF!</v>
      </c>
      <c r="R38" s="140" t="e">
        <f t="shared" si="4"/>
        <v>#REF!</v>
      </c>
    </row>
    <row r="39" spans="1:20" hidden="1" outlineLevel="1">
      <c r="A39" s="111" t="s">
        <v>17</v>
      </c>
      <c r="B39" s="129" t="e">
        <f>B34/#REF!</f>
        <v>#REF!</v>
      </c>
      <c r="C39" s="129" t="e">
        <f>C34/#REF!</f>
        <v>#REF!</v>
      </c>
      <c r="D39" s="129" t="e">
        <f>D34/#REF!</f>
        <v>#REF!</v>
      </c>
      <c r="E39" s="129" t="e">
        <f>E34/#REF!</f>
        <v>#REF!</v>
      </c>
      <c r="F39" s="130" t="e">
        <f>F34/#REF!</f>
        <v>#REF!</v>
      </c>
      <c r="G39" s="131"/>
      <c r="H39" s="129" t="e">
        <f>H34/#REF!</f>
        <v>#REF!</v>
      </c>
      <c r="I39" s="129" t="e">
        <f>I34/#REF!</f>
        <v>#REF!</v>
      </c>
      <c r="J39" s="129" t="e">
        <f>J34/#REF!</f>
        <v>#REF!</v>
      </c>
      <c r="K39" s="129" t="e">
        <f>K34/#REF!</f>
        <v>#REF!</v>
      </c>
      <c r="L39" s="130" t="e">
        <f>L34/#REF!</f>
        <v>#REF!</v>
      </c>
      <c r="M39" s="131"/>
      <c r="N39" s="151" t="e">
        <f t="shared" si="4"/>
        <v>#REF!</v>
      </c>
      <c r="O39" s="151" t="e">
        <f t="shared" si="4"/>
        <v>#REF!</v>
      </c>
      <c r="P39" s="151" t="e">
        <f t="shared" si="4"/>
        <v>#REF!</v>
      </c>
      <c r="Q39" s="151" t="e">
        <f t="shared" si="4"/>
        <v>#REF!</v>
      </c>
      <c r="R39" s="133" t="e">
        <f t="shared" si="4"/>
        <v>#REF!</v>
      </c>
    </row>
    <row r="40" spans="1:20" s="2" customFormat="1" hidden="1" outlineLevel="1">
      <c r="A40" s="9" t="s">
        <v>20</v>
      </c>
      <c r="B40" s="68" t="e">
        <f>+B36/#REF!</f>
        <v>#REF!</v>
      </c>
      <c r="C40" s="68" t="e">
        <f>+C36/#REF!</f>
        <v>#REF!</v>
      </c>
      <c r="D40" s="68" t="e">
        <f>+D36/#REF!</f>
        <v>#REF!</v>
      </c>
      <c r="E40" s="68" t="e">
        <f>+E36/#REF!</f>
        <v>#REF!</v>
      </c>
      <c r="F40" s="69" t="e">
        <f>+F36/#REF!</f>
        <v>#REF!</v>
      </c>
      <c r="G40" s="70"/>
      <c r="H40" s="68" t="e">
        <f>+H36/#REF!</f>
        <v>#REF!</v>
      </c>
      <c r="I40" s="68" t="e">
        <f>+I36/#REF!</f>
        <v>#REF!</v>
      </c>
      <c r="J40" s="68" t="e">
        <f>+J36/#REF!</f>
        <v>#REF!</v>
      </c>
      <c r="K40" s="68" t="e">
        <f>+K36/#REF!</f>
        <v>#REF!</v>
      </c>
      <c r="L40" s="69" t="e">
        <f>+L36/#REF!</f>
        <v>#REF!</v>
      </c>
      <c r="M40" s="70"/>
      <c r="N40" s="144" t="e">
        <f t="shared" si="4"/>
        <v>#REF!</v>
      </c>
      <c r="O40" s="144" t="e">
        <f t="shared" si="4"/>
        <v>#REF!</v>
      </c>
      <c r="P40" s="144" t="e">
        <f t="shared" si="4"/>
        <v>#REF!</v>
      </c>
      <c r="Q40" s="144" t="e">
        <f t="shared" si="4"/>
        <v>#REF!</v>
      </c>
      <c r="R40" s="145" t="e">
        <f t="shared" si="4"/>
        <v>#REF!</v>
      </c>
    </row>
    <row r="41" spans="1:20" ht="6" hidden="1" customHeight="1" outlineLevel="1">
      <c r="B41" s="37"/>
      <c r="C41" s="37"/>
      <c r="D41" s="37"/>
      <c r="E41" s="37"/>
      <c r="F41" s="39"/>
      <c r="G41" s="36"/>
      <c r="H41" s="37"/>
      <c r="I41" s="37"/>
      <c r="J41" s="37"/>
      <c r="K41" s="37"/>
      <c r="L41" s="39"/>
      <c r="M41" s="36"/>
      <c r="N41" s="37"/>
      <c r="O41" s="37"/>
      <c r="P41" s="37"/>
      <c r="Q41" s="37"/>
      <c r="R41" s="39"/>
    </row>
    <row r="42" spans="1:20" s="101" customFormat="1" hidden="1" outlineLevel="1">
      <c r="A42" s="136" t="s">
        <v>74</v>
      </c>
      <c r="B42" s="96">
        <v>87</v>
      </c>
      <c r="C42" s="96">
        <v>95</v>
      </c>
      <c r="D42" s="96">
        <v>102</v>
      </c>
      <c r="E42" s="97">
        <v>110</v>
      </c>
      <c r="F42" s="98">
        <f>SUM(B42:E42)</f>
        <v>394</v>
      </c>
      <c r="G42" s="99"/>
      <c r="H42" s="96">
        <v>120</v>
      </c>
      <c r="I42" s="96">
        <v>131</v>
      </c>
      <c r="J42" s="96">
        <v>145</v>
      </c>
      <c r="K42" s="97">
        <v>162</v>
      </c>
      <c r="L42" s="100">
        <f>SUM(H42:K42)</f>
        <v>558</v>
      </c>
      <c r="M42" s="99"/>
      <c r="N42" s="148">
        <f>H42/B42-1</f>
        <v>0.3793103448275863</v>
      </c>
      <c r="O42" s="148">
        <f>I42/C42-1</f>
        <v>0.3789473684210527</v>
      </c>
      <c r="P42" s="148">
        <f>J42/D42-1</f>
        <v>0.42156862745098045</v>
      </c>
      <c r="Q42" s="156">
        <f>K42/E42-1</f>
        <v>0.47272727272727266</v>
      </c>
      <c r="R42" s="157">
        <f>L42/F42-1</f>
        <v>0.41624365482233494</v>
      </c>
    </row>
    <row r="43" spans="1:20" ht="3.75" hidden="1" customHeight="1" outlineLevel="1">
      <c r="B43" s="37"/>
      <c r="C43" s="64"/>
      <c r="D43" s="64"/>
      <c r="E43" s="65"/>
      <c r="F43" s="39"/>
      <c r="G43" s="64"/>
      <c r="H43" s="36"/>
      <c r="I43" s="37"/>
      <c r="J43" s="37"/>
      <c r="K43" s="37"/>
      <c r="L43" s="39"/>
      <c r="M43" s="64"/>
      <c r="N43" s="36"/>
      <c r="O43" s="37"/>
      <c r="P43" s="37"/>
      <c r="Q43" s="37"/>
      <c r="R43" s="39"/>
      <c r="S43" s="15"/>
      <c r="T43" s="15"/>
    </row>
    <row r="44" spans="1:20" s="101" customFormat="1" ht="15.75" collapsed="1">
      <c r="A44" s="107" t="s">
        <v>108</v>
      </c>
      <c r="B44" s="103"/>
      <c r="C44" s="104"/>
      <c r="D44" s="105"/>
      <c r="E44" s="104"/>
      <c r="F44" s="106"/>
      <c r="G44" s="109"/>
      <c r="H44" s="104"/>
      <c r="I44" s="104"/>
      <c r="J44" s="104"/>
      <c r="K44" s="104"/>
      <c r="L44" s="106"/>
      <c r="M44" s="99"/>
      <c r="N44" s="148"/>
      <c r="O44" s="148"/>
      <c r="P44" s="148"/>
      <c r="Q44" s="156"/>
      <c r="R44" s="190"/>
    </row>
    <row r="45" spans="1:20" ht="12" customHeight="1">
      <c r="A45" s="135" t="s">
        <v>106</v>
      </c>
      <c r="B45" s="146" t="e">
        <f>'Revenue and Exp'!#REF!/'Revenue and Exp'!#REF!</f>
        <v>#REF!</v>
      </c>
      <c r="C45" s="146" t="e">
        <f>'Revenue and Exp'!#REF!/'Revenue and Exp'!#REF!</f>
        <v>#REF!</v>
      </c>
      <c r="D45" s="146" t="e">
        <f>'Revenue and Exp'!#REF!/'Revenue and Exp'!#REF!</f>
        <v>#REF!</v>
      </c>
      <c r="E45" s="146" t="e">
        <f>'Revenue and Exp'!#REF!/'Revenue and Exp'!#REF!</f>
        <v>#REF!</v>
      </c>
      <c r="F45" s="134" t="e">
        <f>'Revenue and Exp'!#REF!/'Revenue and Exp'!#REF!</f>
        <v>#REF!</v>
      </c>
      <c r="G45" s="43"/>
      <c r="H45" s="43">
        <f>'Revenue and Exp'!B40/'Revenue and Exp'!B$23</f>
        <v>0.57141161106494121</v>
      </c>
      <c r="I45" s="146">
        <f>'Revenue and Exp'!C40/'Revenue and Exp'!C$23</f>
        <v>0.556705827614284</v>
      </c>
      <c r="J45" s="146">
        <f>'Revenue and Exp'!D40/'Revenue and Exp'!D$23</f>
        <v>0.57367318435754189</v>
      </c>
      <c r="K45" s="146">
        <f>'Revenue and Exp'!E40/'Revenue and Exp'!E$23</f>
        <v>0.55964135739416643</v>
      </c>
      <c r="L45" s="134">
        <f>'Revenue and Exp'!F40/'Revenue and Exp'!F$23</f>
        <v>0.56529064869418699</v>
      </c>
      <c r="M45" s="58"/>
      <c r="N45" s="43"/>
      <c r="O45" s="146"/>
      <c r="P45" s="146"/>
      <c r="Q45" s="146"/>
      <c r="R45" s="134"/>
      <c r="S45" s="15"/>
      <c r="T45" s="15"/>
    </row>
    <row r="46" spans="1:20" ht="4.5" customHeight="1">
      <c r="A46" s="5"/>
      <c r="B46" s="139"/>
      <c r="C46" s="139"/>
      <c r="D46" s="139"/>
      <c r="E46" s="139"/>
      <c r="F46" s="140"/>
      <c r="G46" s="138"/>
      <c r="H46" s="138"/>
      <c r="I46" s="139"/>
      <c r="J46" s="139"/>
      <c r="K46" s="139"/>
      <c r="L46" s="140"/>
      <c r="M46" s="36"/>
      <c r="N46" s="138"/>
      <c r="O46" s="139"/>
      <c r="P46" s="139"/>
      <c r="Q46" s="139"/>
      <c r="R46" s="140"/>
      <c r="S46" s="15"/>
      <c r="T46" s="15"/>
    </row>
    <row r="47" spans="1:20">
      <c r="A47" s="128" t="s">
        <v>91</v>
      </c>
      <c r="B47" s="151" t="e">
        <f>'Revenue and Exp'!#REF!/'Revenue and Exp'!#REF!</f>
        <v>#REF!</v>
      </c>
      <c r="C47" s="151" t="e">
        <f>'Revenue and Exp'!#REF!/'Revenue and Exp'!#REF!</f>
        <v>#REF!</v>
      </c>
      <c r="D47" s="151" t="e">
        <f>'Revenue and Exp'!#REF!/'Revenue and Exp'!#REF!</f>
        <v>#REF!</v>
      </c>
      <c r="E47" s="151" t="e">
        <f>'Revenue and Exp'!#REF!/'Revenue and Exp'!#REF!</f>
        <v>#REF!</v>
      </c>
      <c r="F47" s="133" t="e">
        <f>'Revenue and Exp'!#REF!/'Revenue and Exp'!#REF!</f>
        <v>#REF!</v>
      </c>
      <c r="G47" s="132"/>
      <c r="H47" s="132">
        <f>'Revenue and Exp'!B42/'Revenue and Exp'!B$23</f>
        <v>2.9680636352843404E-2</v>
      </c>
      <c r="I47" s="151">
        <f>'Revenue and Exp'!C42/'Revenue and Exp'!C$23</f>
        <v>3.2220542049552173E-2</v>
      </c>
      <c r="J47" s="151">
        <f>'Revenue and Exp'!D42/'Revenue and Exp'!D$23</f>
        <v>2.8165735567970206E-2</v>
      </c>
      <c r="K47" s="151">
        <f>'Revenue and Exp'!E42/'Revenue and Exp'!E$23</f>
        <v>3.3480876177505392E-2</v>
      </c>
      <c r="L47" s="133">
        <f>'Revenue and Exp'!F42/'Revenue and Exp'!F$23</f>
        <v>3.09095662783604E-2</v>
      </c>
      <c r="M47" s="127"/>
      <c r="N47" s="132"/>
      <c r="O47" s="151"/>
      <c r="P47" s="151"/>
      <c r="Q47" s="151"/>
      <c r="R47" s="133"/>
      <c r="S47" s="15"/>
      <c r="T47" s="15"/>
    </row>
    <row r="48" spans="1:20" ht="3.75" customHeight="1">
      <c r="B48" s="139"/>
      <c r="C48" s="139"/>
      <c r="D48" s="139"/>
      <c r="E48" s="139"/>
      <c r="F48" s="140"/>
      <c r="G48" s="138"/>
      <c r="H48" s="138"/>
      <c r="I48" s="139"/>
      <c r="J48" s="139"/>
      <c r="K48" s="146"/>
      <c r="L48" s="134"/>
      <c r="M48" s="36"/>
      <c r="N48" s="138"/>
      <c r="O48" s="139"/>
      <c r="P48" s="139"/>
      <c r="Q48" s="146"/>
      <c r="R48" s="134"/>
      <c r="S48" s="15"/>
      <c r="T48" s="15"/>
    </row>
    <row r="49" spans="1:20">
      <c r="A49" s="135" t="s">
        <v>90</v>
      </c>
      <c r="B49" s="43" t="e">
        <f>'Revenue and Exp'!#REF!/'Revenue and Exp'!#REF!</f>
        <v>#REF!</v>
      </c>
      <c r="C49" s="43" t="e">
        <f>'Revenue and Exp'!#REF!/'Revenue and Exp'!#REF!</f>
        <v>#REF!</v>
      </c>
      <c r="D49" s="43" t="e">
        <f>'Revenue and Exp'!#REF!/'Revenue and Exp'!#REF!</f>
        <v>#REF!</v>
      </c>
      <c r="E49" s="43" t="e">
        <f>'Revenue and Exp'!#REF!/'Revenue and Exp'!#REF!</f>
        <v>#REF!</v>
      </c>
      <c r="F49" s="134" t="e">
        <f>'Revenue and Exp'!#REF!/'Revenue and Exp'!#REF!</f>
        <v>#REF!</v>
      </c>
      <c r="G49" s="43"/>
      <c r="H49" s="43">
        <f>'Revenue and Exp'!B44/'Revenue and Exp'!B$23</f>
        <v>2.2082393446515493E-2</v>
      </c>
      <c r="I49" s="43">
        <f>'Revenue and Exp'!C44/'Revenue and Exp'!C$23</f>
        <v>2.1286495289054321E-2</v>
      </c>
      <c r="J49" s="43">
        <f>'Revenue and Exp'!D44/'Revenue and Exp'!D$23</f>
        <v>2.1415270018621976E-2</v>
      </c>
      <c r="K49" s="43">
        <f>'Revenue and Exp'!E44/'Revenue and Exp'!E$23</f>
        <v>2.4401316536147997E-2</v>
      </c>
      <c r="L49" s="134">
        <f>'Revenue and Exp'!F44/'Revenue and Exp'!F$23</f>
        <v>2.231066438137292E-2</v>
      </c>
      <c r="M49" s="58"/>
      <c r="N49" s="43"/>
      <c r="O49" s="43"/>
      <c r="P49" s="43"/>
      <c r="Q49" s="43"/>
      <c r="R49" s="134"/>
      <c r="S49" s="15"/>
      <c r="T49" s="15"/>
    </row>
    <row r="50" spans="1:20" ht="4.5" customHeight="1">
      <c r="B50" s="139"/>
      <c r="C50" s="139"/>
      <c r="D50" s="139"/>
      <c r="E50" s="139"/>
      <c r="F50" s="140"/>
      <c r="G50" s="138"/>
      <c r="H50" s="138"/>
      <c r="I50" s="139"/>
      <c r="J50" s="139"/>
      <c r="K50" s="139"/>
      <c r="L50" s="134"/>
      <c r="M50" s="36"/>
      <c r="N50" s="138"/>
      <c r="O50" s="139"/>
      <c r="P50" s="139"/>
      <c r="Q50" s="139"/>
      <c r="R50" s="134"/>
      <c r="S50" s="15"/>
      <c r="T50" s="15"/>
    </row>
    <row r="51" spans="1:20" s="2" customFormat="1">
      <c r="A51" s="2" t="s">
        <v>92</v>
      </c>
      <c r="B51" s="144" t="e">
        <f>'Revenue and Exp'!#REF!/'Revenue and Exp'!#REF!</f>
        <v>#REF!</v>
      </c>
      <c r="C51" s="144" t="e">
        <f>'Revenue and Exp'!#REF!/'Revenue and Exp'!#REF!</f>
        <v>#REF!</v>
      </c>
      <c r="D51" s="144" t="e">
        <f>'Revenue and Exp'!#REF!/'Revenue and Exp'!#REF!</f>
        <v>#REF!</v>
      </c>
      <c r="E51" s="144" t="e">
        <f>'Revenue and Exp'!#REF!/'Revenue and Exp'!#REF!</f>
        <v>#REF!</v>
      </c>
      <c r="F51" s="187" t="e">
        <f>'Revenue and Exp'!#REF!/'Revenue and Exp'!#REF!</f>
        <v>#REF!</v>
      </c>
      <c r="G51" s="143"/>
      <c r="H51" s="143">
        <f>'Revenue and Exp'!B46/'Revenue and Exp'!B$23</f>
        <v>0.62317464086430008</v>
      </c>
      <c r="I51" s="144">
        <f>'Revenue and Exp'!C46/'Revenue and Exp'!C$23</f>
        <v>0.61021286495289051</v>
      </c>
      <c r="J51" s="144">
        <f>'Revenue and Exp'!D46/'Revenue and Exp'!D$23</f>
        <v>0.62325418994413406</v>
      </c>
      <c r="K51" s="144">
        <f>'Revenue and Exp'!E46/'Revenue and Exp'!E$23</f>
        <v>0.61752355010781979</v>
      </c>
      <c r="L51" s="188">
        <f>'Revenue and Exp'!F46/'Revenue and Exp'!F$23</f>
        <v>0.61851087935392035</v>
      </c>
      <c r="M51" s="61"/>
      <c r="N51" s="143"/>
      <c r="O51" s="144"/>
      <c r="P51" s="144"/>
      <c r="Q51" s="144"/>
      <c r="R51" s="188"/>
      <c r="S51" s="4"/>
      <c r="T51" s="4"/>
    </row>
    <row r="52" spans="1:20" ht="13.5">
      <c r="A52" s="95" t="s">
        <v>63</v>
      </c>
    </row>
    <row r="53" spans="1:20" ht="13.5">
      <c r="A53" s="95" t="s">
        <v>64</v>
      </c>
    </row>
    <row r="54" spans="1:20" ht="13.5">
      <c r="A54" s="95" t="s">
        <v>72</v>
      </c>
    </row>
    <row r="56" spans="1:20" hidden="1">
      <c r="A56" s="11" t="s">
        <v>18</v>
      </c>
    </row>
    <row r="57" spans="1:20" hidden="1">
      <c r="A57" s="5" t="s">
        <v>16</v>
      </c>
      <c r="B57" s="20">
        <v>7212</v>
      </c>
      <c r="C57" s="20">
        <v>7557</v>
      </c>
      <c r="D57" s="20">
        <v>7593</v>
      </c>
      <c r="E57" s="20">
        <v>7758</v>
      </c>
      <c r="F57" s="17">
        <f>SUM(B57:E57)</f>
        <v>30120</v>
      </c>
      <c r="G57" s="17"/>
      <c r="H57" s="20">
        <v>7916</v>
      </c>
      <c r="I57" s="20">
        <v>8100</v>
      </c>
      <c r="J57" s="20">
        <v>8131</v>
      </c>
      <c r="K57" s="20">
        <v>8296</v>
      </c>
      <c r="L57" s="17">
        <f>SUM(H57:K57)</f>
        <v>32443</v>
      </c>
      <c r="N57" s="20"/>
      <c r="O57" s="20"/>
      <c r="P57" s="20"/>
      <c r="Q57" s="20"/>
      <c r="R57" s="20"/>
    </row>
    <row r="58" spans="1:20" hidden="1">
      <c r="A58" s="5" t="s">
        <v>17</v>
      </c>
      <c r="B58" s="20">
        <v>302</v>
      </c>
      <c r="C58" s="20">
        <v>334</v>
      </c>
      <c r="D58" s="20">
        <v>330</v>
      </c>
      <c r="E58" s="20">
        <v>348</v>
      </c>
      <c r="F58" s="17">
        <f>SUM(B58:E58)</f>
        <v>1314</v>
      </c>
      <c r="G58" s="17"/>
      <c r="H58" s="20">
        <v>363</v>
      </c>
      <c r="I58" s="20">
        <v>366</v>
      </c>
      <c r="J58" s="20">
        <v>347</v>
      </c>
      <c r="K58" s="20">
        <v>350</v>
      </c>
      <c r="L58" s="17">
        <f>SUM(H58:K58)</f>
        <v>1426</v>
      </c>
      <c r="N58" s="20"/>
      <c r="O58" s="20"/>
      <c r="P58" s="20"/>
      <c r="Q58" s="20"/>
      <c r="R58" s="20"/>
    </row>
    <row r="59" spans="1:20" hidden="1">
      <c r="A59" s="5" t="s">
        <v>2</v>
      </c>
      <c r="B59" s="21">
        <v>88</v>
      </c>
      <c r="C59" s="21">
        <v>48</v>
      </c>
      <c r="D59" s="21">
        <v>51</v>
      </c>
      <c r="E59" s="21">
        <v>89</v>
      </c>
      <c r="F59" s="21">
        <f>SUM(B59:E59)</f>
        <v>276</v>
      </c>
      <c r="G59" s="17"/>
      <c r="H59" s="21">
        <v>110</v>
      </c>
      <c r="I59" s="21">
        <v>87</v>
      </c>
      <c r="J59" s="21">
        <v>71</v>
      </c>
      <c r="K59" s="21">
        <v>119</v>
      </c>
      <c r="L59" s="21">
        <f>SUM(H59:K59)</f>
        <v>387</v>
      </c>
      <c r="N59" s="21"/>
      <c r="O59" s="21"/>
      <c r="P59" s="21"/>
      <c r="Q59" s="21"/>
      <c r="R59" s="21"/>
    </row>
    <row r="60" spans="1:20" s="2" customFormat="1" hidden="1">
      <c r="A60" s="2" t="s">
        <v>3</v>
      </c>
      <c r="B60" s="19">
        <f>+B57+B58+B59</f>
        <v>7602</v>
      </c>
      <c r="C60" s="19">
        <f>+C57+C58+C59</f>
        <v>7939</v>
      </c>
      <c r="D60" s="19">
        <f>+D57+D58+D59</f>
        <v>7974</v>
      </c>
      <c r="E60" s="19">
        <f>+E57+E58+E59</f>
        <v>8195</v>
      </c>
      <c r="F60" s="19">
        <f>SUM(F55:F59)</f>
        <v>31710</v>
      </c>
      <c r="G60" s="18"/>
      <c r="H60" s="19">
        <f>+H57+H58+H59</f>
        <v>8389</v>
      </c>
      <c r="I60" s="19">
        <f>+I57+I58+I59</f>
        <v>8553</v>
      </c>
      <c r="J60" s="19">
        <f>+J57+J58+J59</f>
        <v>8549</v>
      </c>
      <c r="K60" s="19">
        <f>+K57+K58+K59</f>
        <v>8765</v>
      </c>
      <c r="L60" s="19">
        <f>SUM(L55:L59)</f>
        <v>34256</v>
      </c>
      <c r="N60" s="19"/>
      <c r="O60" s="19"/>
      <c r="P60" s="19"/>
      <c r="Q60" s="19"/>
      <c r="R60" s="19"/>
    </row>
    <row r="66" spans="4:4">
      <c r="D66" s="3" t="s">
        <v>7</v>
      </c>
    </row>
  </sheetData>
  <phoneticPr fontId="5" type="noConversion"/>
  <printOptions horizontalCentered="1"/>
  <pageMargins left="0.5" right="0.5" top="0.25" bottom="0.25" header="0.25" footer="0.25"/>
  <pageSetup scale="84"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sheetPr codeName="Sheet4">
    <tabColor theme="7" tint="0.39997558519241921"/>
    <pageSetUpPr fitToPage="1"/>
  </sheetPr>
  <dimension ref="A1:P54"/>
  <sheetViews>
    <sheetView showGridLines="0" zoomScaleNormal="100" zoomScaleSheetLayoutView="85" workbookViewId="0">
      <pane xSplit="1" ySplit="5" topLeftCell="B6" activePane="bottomRight" state="frozen"/>
      <selection activeCell="Q14" sqref="Q14"/>
      <selection pane="topRight" activeCell="Q14" sqref="Q14"/>
      <selection pane="bottomLeft" activeCell="Q14" sqref="Q14"/>
      <selection pane="bottomRight" activeCell="A5" sqref="A5"/>
    </sheetView>
  </sheetViews>
  <sheetFormatPr defaultRowHeight="12.75"/>
  <cols>
    <col min="1" max="1" width="46.7109375" style="3" bestFit="1" customWidth="1"/>
    <col min="2" max="6" width="8.5703125" style="3" customWidth="1"/>
    <col min="7" max="7" width="1.42578125" style="3" customWidth="1"/>
    <col min="8" max="12" width="8.5703125" style="3" customWidth="1"/>
    <col min="13" max="13" width="1.42578125" style="3" customWidth="1"/>
    <col min="14" max="16" width="8.5703125" style="3" customWidth="1"/>
    <col min="17" max="16384" width="9.140625" style="3"/>
  </cols>
  <sheetData>
    <row r="1" spans="1:16" ht="18">
      <c r="A1" s="193" t="s">
        <v>139</v>
      </c>
      <c r="B1" s="272"/>
      <c r="C1" s="272"/>
      <c r="D1" s="272"/>
      <c r="E1" s="272"/>
      <c r="F1" s="15"/>
      <c r="G1" s="15"/>
      <c r="H1" s="15"/>
      <c r="L1" s="15"/>
      <c r="M1" s="15"/>
      <c r="N1" s="15"/>
    </row>
    <row r="2" spans="1:16">
      <c r="A2" s="276" t="s">
        <v>126</v>
      </c>
      <c r="B2" s="277"/>
      <c r="C2" s="277"/>
      <c r="D2" s="277"/>
      <c r="E2" s="277"/>
      <c r="F2" s="277"/>
      <c r="G2" s="277"/>
      <c r="H2" s="277"/>
      <c r="I2" s="277"/>
      <c r="J2" s="277"/>
      <c r="K2" s="277"/>
      <c r="L2" s="277"/>
      <c r="M2" s="277"/>
      <c r="N2" s="277"/>
      <c r="O2" s="277"/>
      <c r="P2" s="277"/>
    </row>
    <row r="3" spans="1:16" ht="11.85" customHeight="1"/>
    <row r="4" spans="1:16">
      <c r="B4" s="23">
        <v>2008</v>
      </c>
      <c r="C4" s="23"/>
      <c r="D4" s="23"/>
      <c r="E4" s="23"/>
      <c r="F4" s="23"/>
      <c r="H4" s="301">
        <v>2009</v>
      </c>
      <c r="I4" s="302"/>
      <c r="J4" s="302"/>
      <c r="K4" s="302"/>
      <c r="L4" s="23"/>
      <c r="N4" s="301">
        <v>2010</v>
      </c>
      <c r="O4" s="301"/>
      <c r="P4" s="301"/>
    </row>
    <row r="5" spans="1:16" s="2" customFormat="1">
      <c r="A5" s="117"/>
      <c r="B5" s="278" t="s">
        <v>11</v>
      </c>
      <c r="C5" s="279" t="s">
        <v>12</v>
      </c>
      <c r="D5" s="279" t="s">
        <v>13</v>
      </c>
      <c r="E5" s="279" t="s">
        <v>14</v>
      </c>
      <c r="F5" s="280" t="s">
        <v>51</v>
      </c>
      <c r="G5" s="14"/>
      <c r="H5" s="278" t="s">
        <v>11</v>
      </c>
      <c r="I5" s="279" t="s">
        <v>12</v>
      </c>
      <c r="J5" s="279" t="s">
        <v>13</v>
      </c>
      <c r="K5" s="279" t="s">
        <v>14</v>
      </c>
      <c r="L5" s="280" t="s">
        <v>51</v>
      </c>
      <c r="M5" s="14"/>
      <c r="N5" s="278" t="s">
        <v>11</v>
      </c>
      <c r="O5" s="279" t="s">
        <v>12</v>
      </c>
      <c r="P5" s="299" t="s">
        <v>13</v>
      </c>
    </row>
    <row r="6" spans="1:16" s="2" customFormat="1" ht="3.75" customHeight="1" thickBot="1">
      <c r="B6" s="13"/>
      <c r="C6" s="14"/>
      <c r="D6" s="4"/>
      <c r="E6" s="4"/>
      <c r="F6" s="26"/>
      <c r="G6" s="14"/>
      <c r="H6" s="13"/>
      <c r="I6" s="14"/>
      <c r="J6" s="14"/>
      <c r="K6" s="14"/>
      <c r="L6" s="26"/>
      <c r="M6" s="14"/>
      <c r="N6" s="297"/>
      <c r="O6" s="14"/>
      <c r="P6" s="14"/>
    </row>
    <row r="7" spans="1:16" ht="15" customHeight="1" thickBot="1">
      <c r="A7" s="287" t="s">
        <v>23</v>
      </c>
      <c r="B7" s="288"/>
      <c r="C7" s="288"/>
      <c r="D7" s="288"/>
      <c r="E7" s="289"/>
      <c r="F7" s="290"/>
      <c r="G7" s="288"/>
      <c r="H7" s="288"/>
      <c r="I7" s="288"/>
      <c r="J7" s="288"/>
      <c r="K7" s="288"/>
      <c r="L7" s="290"/>
      <c r="M7" s="288"/>
      <c r="N7" s="288"/>
      <c r="O7" s="288"/>
      <c r="P7" s="288"/>
    </row>
    <row r="8" spans="1:16" ht="6" customHeight="1">
      <c r="B8" s="15"/>
      <c r="F8" s="27"/>
      <c r="G8" s="15"/>
      <c r="H8" s="15"/>
      <c r="I8" s="15"/>
      <c r="J8" s="15"/>
      <c r="K8" s="15"/>
      <c r="L8" s="27"/>
      <c r="M8" s="15"/>
      <c r="N8" s="15"/>
      <c r="O8" s="15"/>
      <c r="P8" s="15"/>
    </row>
    <row r="9" spans="1:16">
      <c r="A9" s="3" t="s">
        <v>43</v>
      </c>
      <c r="B9" s="22"/>
      <c r="C9" s="10"/>
      <c r="D9" s="17"/>
      <c r="E9" s="17"/>
      <c r="F9" s="28"/>
      <c r="G9" s="22"/>
      <c r="H9" s="22"/>
      <c r="I9" s="22"/>
      <c r="J9" s="22"/>
      <c r="K9" s="22"/>
      <c r="L9" s="28"/>
      <c r="M9" s="22"/>
      <c r="N9" s="22"/>
      <c r="O9" s="22"/>
      <c r="P9" s="22"/>
    </row>
    <row r="10" spans="1:16">
      <c r="A10" s="5" t="s">
        <v>32</v>
      </c>
      <c r="B10" s="71">
        <v>819</v>
      </c>
      <c r="C10" s="71">
        <v>687</v>
      </c>
      <c r="D10" s="71">
        <v>590</v>
      </c>
      <c r="E10" s="71">
        <v>775</v>
      </c>
      <c r="F10" s="72">
        <v>2871</v>
      </c>
      <c r="G10" s="73"/>
      <c r="H10" s="71">
        <v>704</v>
      </c>
      <c r="I10" s="71">
        <v>564</v>
      </c>
      <c r="J10" s="71">
        <v>626</v>
      </c>
      <c r="K10" s="71">
        <v>750</v>
      </c>
      <c r="L10" s="72">
        <v>2644</v>
      </c>
      <c r="M10" s="73"/>
      <c r="N10" s="71">
        <v>518</v>
      </c>
      <c r="O10" s="71">
        <v>566</v>
      </c>
      <c r="P10" s="71">
        <v>675</v>
      </c>
    </row>
    <row r="11" spans="1:16">
      <c r="A11" s="195" t="s">
        <v>24</v>
      </c>
      <c r="B11" s="224">
        <v>59</v>
      </c>
      <c r="C11" s="224">
        <v>55</v>
      </c>
      <c r="D11" s="224">
        <v>61</v>
      </c>
      <c r="E11" s="224">
        <v>80</v>
      </c>
      <c r="F11" s="225">
        <v>255</v>
      </c>
      <c r="G11" s="226"/>
      <c r="H11" s="224">
        <v>31</v>
      </c>
      <c r="I11" s="224">
        <v>47</v>
      </c>
      <c r="J11" s="224">
        <v>45</v>
      </c>
      <c r="K11" s="224">
        <v>88</v>
      </c>
      <c r="L11" s="225">
        <v>211</v>
      </c>
      <c r="M11" s="226"/>
      <c r="N11" s="224">
        <v>25</v>
      </c>
      <c r="O11" s="224">
        <v>39</v>
      </c>
      <c r="P11" s="224">
        <v>50</v>
      </c>
    </row>
    <row r="12" spans="1:16">
      <c r="A12" s="195" t="s">
        <v>25</v>
      </c>
      <c r="B12" s="224">
        <v>48</v>
      </c>
      <c r="C12" s="224">
        <v>52</v>
      </c>
      <c r="D12" s="224">
        <v>54</v>
      </c>
      <c r="E12" s="224">
        <v>58</v>
      </c>
      <c r="F12" s="225">
        <v>212</v>
      </c>
      <c r="G12" s="226"/>
      <c r="H12" s="224">
        <v>27</v>
      </c>
      <c r="I12" s="224">
        <v>30</v>
      </c>
      <c r="J12" s="224">
        <v>31</v>
      </c>
      <c r="K12" s="224">
        <v>32</v>
      </c>
      <c r="L12" s="225">
        <v>120</v>
      </c>
      <c r="M12" s="226"/>
      <c r="N12" s="224">
        <v>19</v>
      </c>
      <c r="O12" s="224">
        <v>24</v>
      </c>
      <c r="P12" s="224">
        <v>28</v>
      </c>
    </row>
    <row r="13" spans="1:16">
      <c r="A13" s="195" t="s">
        <v>26</v>
      </c>
      <c r="B13" s="224">
        <v>54</v>
      </c>
      <c r="C13" s="224">
        <v>57</v>
      </c>
      <c r="D13" s="224">
        <v>65</v>
      </c>
      <c r="E13" s="224">
        <v>102</v>
      </c>
      <c r="F13" s="225">
        <v>278</v>
      </c>
      <c r="G13" s="226"/>
      <c r="H13" s="224">
        <v>45</v>
      </c>
      <c r="I13" s="224">
        <v>40</v>
      </c>
      <c r="J13" s="224">
        <v>49</v>
      </c>
      <c r="K13" s="224">
        <v>81</v>
      </c>
      <c r="L13" s="225">
        <v>215</v>
      </c>
      <c r="M13" s="226"/>
      <c r="N13" s="224">
        <v>32</v>
      </c>
      <c r="O13" s="224">
        <v>39</v>
      </c>
      <c r="P13" s="224">
        <v>55</v>
      </c>
    </row>
    <row r="14" spans="1:16">
      <c r="A14" s="195" t="s">
        <v>50</v>
      </c>
      <c r="B14" s="224">
        <v>21</v>
      </c>
      <c r="C14" s="224">
        <v>25</v>
      </c>
      <c r="D14" s="224">
        <v>13</v>
      </c>
      <c r="E14" s="224">
        <v>8</v>
      </c>
      <c r="F14" s="225">
        <v>67</v>
      </c>
      <c r="G14" s="226"/>
      <c r="H14" s="224">
        <v>1</v>
      </c>
      <c r="I14" s="224">
        <v>4</v>
      </c>
      <c r="J14" s="224">
        <v>5</v>
      </c>
      <c r="K14" s="224">
        <v>5</v>
      </c>
      <c r="L14" s="225">
        <v>15</v>
      </c>
      <c r="M14" s="226"/>
      <c r="N14" s="224">
        <v>2</v>
      </c>
      <c r="O14" s="224">
        <v>3</v>
      </c>
      <c r="P14" s="224">
        <v>4</v>
      </c>
    </row>
    <row r="15" spans="1:16">
      <c r="A15" s="24" t="s">
        <v>27</v>
      </c>
      <c r="B15" s="123">
        <v>50</v>
      </c>
      <c r="C15" s="123">
        <v>48</v>
      </c>
      <c r="D15" s="123">
        <v>61</v>
      </c>
      <c r="E15" s="123">
        <v>72</v>
      </c>
      <c r="F15" s="124">
        <v>231</v>
      </c>
      <c r="G15" s="73"/>
      <c r="H15" s="123">
        <v>53</v>
      </c>
      <c r="I15" s="123">
        <v>85</v>
      </c>
      <c r="J15" s="123">
        <v>94</v>
      </c>
      <c r="K15" s="123">
        <v>119</v>
      </c>
      <c r="L15" s="124">
        <v>351</v>
      </c>
      <c r="M15" s="73"/>
      <c r="N15" s="123">
        <v>96</v>
      </c>
      <c r="O15" s="123">
        <v>109</v>
      </c>
      <c r="P15" s="123">
        <v>129</v>
      </c>
    </row>
    <row r="16" spans="1:16">
      <c r="A16" s="10" t="s">
        <v>44</v>
      </c>
      <c r="B16" s="77">
        <v>1051</v>
      </c>
      <c r="C16" s="77">
        <v>924</v>
      </c>
      <c r="D16" s="77">
        <v>844</v>
      </c>
      <c r="E16" s="77">
        <v>1095</v>
      </c>
      <c r="F16" s="86">
        <v>3914</v>
      </c>
      <c r="G16" s="74"/>
      <c r="H16" s="77">
        <v>861</v>
      </c>
      <c r="I16" s="77">
        <v>770</v>
      </c>
      <c r="J16" s="77">
        <v>850</v>
      </c>
      <c r="K16" s="77">
        <v>1075</v>
      </c>
      <c r="L16" s="86">
        <v>3556</v>
      </c>
      <c r="M16" s="74"/>
      <c r="N16" s="77">
        <v>692</v>
      </c>
      <c r="O16" s="77">
        <v>780</v>
      </c>
      <c r="P16" s="77">
        <v>941</v>
      </c>
    </row>
    <row r="17" spans="1:16" ht="3.75" customHeight="1">
      <c r="A17" s="10"/>
      <c r="B17" s="77"/>
      <c r="C17" s="77"/>
      <c r="D17" s="77"/>
      <c r="E17" s="77"/>
      <c r="F17" s="76"/>
      <c r="G17" s="73"/>
      <c r="H17" s="77"/>
      <c r="I17" s="77"/>
      <c r="J17" s="77"/>
      <c r="K17" s="77"/>
      <c r="L17" s="76"/>
      <c r="M17" s="73"/>
      <c r="N17" s="77"/>
      <c r="O17" s="77"/>
      <c r="P17" s="77"/>
    </row>
    <row r="18" spans="1:16">
      <c r="A18" s="10" t="s">
        <v>45</v>
      </c>
      <c r="B18" s="77"/>
      <c r="C18" s="77"/>
      <c r="D18" s="77"/>
      <c r="E18" s="77"/>
      <c r="F18" s="76"/>
      <c r="G18" s="73"/>
      <c r="H18" s="77"/>
      <c r="I18" s="77"/>
      <c r="J18" s="77"/>
      <c r="K18" s="77"/>
      <c r="L18" s="76"/>
      <c r="M18" s="73"/>
      <c r="N18" s="77"/>
      <c r="O18" s="77"/>
      <c r="P18" s="77"/>
    </row>
    <row r="19" spans="1:16">
      <c r="A19" s="24" t="s">
        <v>123</v>
      </c>
      <c r="B19" s="77">
        <v>58</v>
      </c>
      <c r="C19" s="77">
        <v>73</v>
      </c>
      <c r="D19" s="77">
        <v>76</v>
      </c>
      <c r="E19" s="77">
        <v>69</v>
      </c>
      <c r="F19" s="86">
        <v>276</v>
      </c>
      <c r="G19" s="73"/>
      <c r="H19" s="77">
        <v>62</v>
      </c>
      <c r="I19" s="77">
        <v>76</v>
      </c>
      <c r="J19" s="77">
        <v>82</v>
      </c>
      <c r="K19" s="77">
        <v>70</v>
      </c>
      <c r="L19" s="86">
        <v>290</v>
      </c>
      <c r="M19" s="73"/>
      <c r="N19" s="77">
        <v>57</v>
      </c>
      <c r="O19" s="77">
        <v>71</v>
      </c>
      <c r="P19" s="77">
        <v>74</v>
      </c>
    </row>
    <row r="20" spans="1:16">
      <c r="A20" s="195" t="s">
        <v>24</v>
      </c>
      <c r="B20" s="224">
        <v>103</v>
      </c>
      <c r="C20" s="224">
        <v>115</v>
      </c>
      <c r="D20" s="224">
        <v>194</v>
      </c>
      <c r="E20" s="224">
        <v>269</v>
      </c>
      <c r="F20" s="225">
        <v>681</v>
      </c>
      <c r="G20" s="226"/>
      <c r="H20" s="224">
        <v>97</v>
      </c>
      <c r="I20" s="224">
        <v>137</v>
      </c>
      <c r="J20" s="224">
        <v>130</v>
      </c>
      <c r="K20" s="224">
        <v>248</v>
      </c>
      <c r="L20" s="225">
        <v>612</v>
      </c>
      <c r="M20" s="226"/>
      <c r="N20" s="224">
        <v>66</v>
      </c>
      <c r="O20" s="224">
        <v>121</v>
      </c>
      <c r="P20" s="224">
        <v>134</v>
      </c>
    </row>
    <row r="21" spans="1:16">
      <c r="A21" s="195" t="s">
        <v>26</v>
      </c>
      <c r="B21" s="224">
        <v>43</v>
      </c>
      <c r="C21" s="224">
        <v>58</v>
      </c>
      <c r="D21" s="224">
        <v>54</v>
      </c>
      <c r="E21" s="224">
        <v>72</v>
      </c>
      <c r="F21" s="225">
        <v>227</v>
      </c>
      <c r="G21" s="226"/>
      <c r="H21" s="224">
        <v>39</v>
      </c>
      <c r="I21" s="224">
        <v>36</v>
      </c>
      <c r="J21" s="224">
        <v>48</v>
      </c>
      <c r="K21" s="224">
        <v>70</v>
      </c>
      <c r="L21" s="225">
        <v>193</v>
      </c>
      <c r="M21" s="226"/>
      <c r="N21" s="224">
        <v>23</v>
      </c>
      <c r="O21" s="224">
        <v>30</v>
      </c>
      <c r="P21" s="224">
        <v>45</v>
      </c>
    </row>
    <row r="22" spans="1:16">
      <c r="A22" s="24" t="s">
        <v>29</v>
      </c>
      <c r="B22" s="123">
        <v>60</v>
      </c>
      <c r="C22" s="123">
        <v>58</v>
      </c>
      <c r="D22" s="123">
        <v>81</v>
      </c>
      <c r="E22" s="123">
        <v>141</v>
      </c>
      <c r="F22" s="124">
        <v>340</v>
      </c>
      <c r="G22" s="73"/>
      <c r="H22" s="123">
        <v>63</v>
      </c>
      <c r="I22" s="123">
        <v>83</v>
      </c>
      <c r="J22" s="123">
        <v>93</v>
      </c>
      <c r="K22" s="123">
        <v>102</v>
      </c>
      <c r="L22" s="124">
        <v>341</v>
      </c>
      <c r="M22" s="73"/>
      <c r="N22" s="123">
        <v>55</v>
      </c>
      <c r="O22" s="123">
        <v>81</v>
      </c>
      <c r="P22" s="123">
        <v>92</v>
      </c>
    </row>
    <row r="23" spans="1:16">
      <c r="A23" s="10" t="s">
        <v>46</v>
      </c>
      <c r="B23" s="77">
        <v>264</v>
      </c>
      <c r="C23" s="77">
        <v>304</v>
      </c>
      <c r="D23" s="77">
        <v>405</v>
      </c>
      <c r="E23" s="77">
        <v>551</v>
      </c>
      <c r="F23" s="86">
        <v>1524</v>
      </c>
      <c r="G23" s="73"/>
      <c r="H23" s="77">
        <v>261</v>
      </c>
      <c r="I23" s="77">
        <v>332</v>
      </c>
      <c r="J23" s="77">
        <v>353</v>
      </c>
      <c r="K23" s="77">
        <v>490</v>
      </c>
      <c r="L23" s="86">
        <v>1436</v>
      </c>
      <c r="M23" s="73"/>
      <c r="N23" s="77">
        <v>201</v>
      </c>
      <c r="O23" s="77">
        <v>303</v>
      </c>
      <c r="P23" s="77">
        <v>345</v>
      </c>
    </row>
    <row r="24" spans="1:16" ht="3.75" customHeight="1">
      <c r="A24" s="10"/>
      <c r="B24" s="77"/>
      <c r="C24" s="77"/>
      <c r="D24" s="77"/>
      <c r="E24" s="77"/>
      <c r="F24" s="76"/>
      <c r="G24" s="78"/>
      <c r="H24" s="77"/>
      <c r="I24" s="77"/>
      <c r="J24" s="77"/>
      <c r="K24" s="77"/>
      <c r="L24" s="76"/>
      <c r="M24" s="78"/>
      <c r="N24" s="77"/>
      <c r="O24" s="77"/>
      <c r="P24" s="77"/>
    </row>
    <row r="25" spans="1:16">
      <c r="A25" s="228" t="s">
        <v>70</v>
      </c>
      <c r="B25" s="229">
        <v>40</v>
      </c>
      <c r="C25" s="229">
        <v>26</v>
      </c>
      <c r="D25" s="229">
        <v>19</v>
      </c>
      <c r="E25" s="229">
        <v>22</v>
      </c>
      <c r="F25" s="230">
        <v>107</v>
      </c>
      <c r="G25" s="231"/>
      <c r="H25" s="229">
        <v>8</v>
      </c>
      <c r="I25" s="229">
        <v>6</v>
      </c>
      <c r="J25" s="229">
        <v>9</v>
      </c>
      <c r="K25" s="229">
        <v>22</v>
      </c>
      <c r="L25" s="230">
        <v>45</v>
      </c>
      <c r="M25" s="231"/>
      <c r="N25" s="229">
        <v>20</v>
      </c>
      <c r="O25" s="229">
        <v>37</v>
      </c>
      <c r="P25" s="229">
        <v>32</v>
      </c>
    </row>
    <row r="26" spans="1:16" ht="3.75" customHeight="1">
      <c r="A26" s="10"/>
      <c r="B26" s="73"/>
      <c r="C26" s="31"/>
      <c r="D26" s="31"/>
      <c r="E26" s="31"/>
      <c r="F26" s="79"/>
      <c r="G26" s="74"/>
      <c r="H26" s="73"/>
      <c r="I26" s="73"/>
      <c r="J26" s="73"/>
      <c r="K26" s="73"/>
      <c r="L26" s="79"/>
      <c r="M26" s="74"/>
      <c r="N26" s="73"/>
      <c r="O26" s="73"/>
      <c r="P26" s="73"/>
    </row>
    <row r="27" spans="1:16" ht="15">
      <c r="A27" s="228" t="s">
        <v>144</v>
      </c>
      <c r="B27" s="229">
        <v>1355</v>
      </c>
      <c r="C27" s="229">
        <v>1254</v>
      </c>
      <c r="D27" s="229">
        <v>1268</v>
      </c>
      <c r="E27" s="229">
        <v>1668</v>
      </c>
      <c r="F27" s="230">
        <v>5545</v>
      </c>
      <c r="G27" s="232"/>
      <c r="H27" s="229">
        <v>1130</v>
      </c>
      <c r="I27" s="229">
        <v>1108</v>
      </c>
      <c r="J27" s="229">
        <v>1212</v>
      </c>
      <c r="K27" s="229">
        <v>1587</v>
      </c>
      <c r="L27" s="230">
        <v>5037</v>
      </c>
      <c r="M27" s="232"/>
      <c r="N27" s="229">
        <v>913</v>
      </c>
      <c r="O27" s="229">
        <v>1120</v>
      </c>
      <c r="P27" s="229">
        <v>1318</v>
      </c>
    </row>
    <row r="28" spans="1:16" ht="3.75" customHeight="1">
      <c r="A28" s="10"/>
      <c r="B28" s="73"/>
      <c r="C28" s="73"/>
      <c r="D28" s="73"/>
      <c r="E28" s="73"/>
      <c r="F28" s="76"/>
      <c r="G28" s="73"/>
      <c r="H28" s="73"/>
      <c r="I28" s="73"/>
      <c r="J28" s="73"/>
      <c r="K28" s="73"/>
      <c r="L28" s="76"/>
      <c r="M28" s="73"/>
      <c r="N28" s="73"/>
      <c r="O28" s="73"/>
      <c r="P28" s="73"/>
    </row>
    <row r="29" spans="1:16">
      <c r="A29" s="228" t="s">
        <v>120</v>
      </c>
      <c r="B29" s="229">
        <v>4</v>
      </c>
      <c r="C29" s="229">
        <v>6</v>
      </c>
      <c r="D29" s="229">
        <v>12</v>
      </c>
      <c r="E29" s="229">
        <v>22</v>
      </c>
      <c r="F29" s="230">
        <v>44</v>
      </c>
      <c r="G29" s="229"/>
      <c r="H29" s="229">
        <v>8</v>
      </c>
      <c r="I29" s="229">
        <v>6</v>
      </c>
      <c r="J29" s="229">
        <v>9</v>
      </c>
      <c r="K29" s="229">
        <v>11</v>
      </c>
      <c r="L29" s="230">
        <v>34</v>
      </c>
      <c r="M29" s="229"/>
      <c r="N29" s="229">
        <v>5</v>
      </c>
      <c r="O29" s="229">
        <v>7</v>
      </c>
      <c r="P29" s="229">
        <v>7</v>
      </c>
    </row>
    <row r="30" spans="1:16" ht="3.75" customHeight="1">
      <c r="A30" s="10"/>
      <c r="B30" s="73"/>
      <c r="C30" s="73"/>
      <c r="D30" s="73"/>
      <c r="E30" s="73"/>
      <c r="F30" s="76"/>
      <c r="G30" s="73"/>
      <c r="H30" s="73"/>
      <c r="I30" s="73"/>
      <c r="J30" s="73"/>
      <c r="K30" s="73"/>
      <c r="L30" s="76"/>
      <c r="M30" s="73"/>
      <c r="N30" s="73"/>
      <c r="O30" s="73"/>
      <c r="P30" s="73"/>
    </row>
    <row r="31" spans="1:16">
      <c r="A31" s="10" t="s">
        <v>21</v>
      </c>
      <c r="B31" s="77">
        <v>72</v>
      </c>
      <c r="C31" s="77">
        <v>40</v>
      </c>
      <c r="D31" s="77">
        <v>26</v>
      </c>
      <c r="E31" s="77">
        <v>23</v>
      </c>
      <c r="F31" s="86">
        <v>161</v>
      </c>
      <c r="G31" s="77"/>
      <c r="H31" s="77">
        <v>22</v>
      </c>
      <c r="I31" s="77">
        <v>7</v>
      </c>
      <c r="J31" s="77">
        <v>6</v>
      </c>
      <c r="K31" s="77">
        <v>11</v>
      </c>
      <c r="L31" s="86">
        <v>46</v>
      </c>
      <c r="M31" s="77"/>
      <c r="N31" s="77">
        <v>7</v>
      </c>
      <c r="O31" s="77">
        <v>11</v>
      </c>
      <c r="P31" s="77">
        <v>41</v>
      </c>
    </row>
    <row r="32" spans="1:16" ht="6" customHeight="1">
      <c r="B32" s="80"/>
      <c r="C32" s="16"/>
      <c r="D32" s="16"/>
      <c r="E32" s="16"/>
      <c r="F32" s="75"/>
      <c r="G32" s="80"/>
      <c r="H32" s="80"/>
      <c r="I32" s="80"/>
      <c r="J32" s="80"/>
      <c r="K32" s="80"/>
      <c r="L32" s="75"/>
      <c r="M32" s="80"/>
      <c r="N32" s="80"/>
      <c r="O32" s="80"/>
      <c r="P32" s="80"/>
    </row>
    <row r="33" spans="1:16" s="2" customFormat="1">
      <c r="A33" s="2" t="s">
        <v>30</v>
      </c>
      <c r="B33" s="81">
        <v>1431</v>
      </c>
      <c r="C33" s="81">
        <v>1300</v>
      </c>
      <c r="D33" s="81">
        <v>1306</v>
      </c>
      <c r="E33" s="81">
        <v>1713</v>
      </c>
      <c r="F33" s="82">
        <v>5750</v>
      </c>
      <c r="G33" s="81"/>
      <c r="H33" s="81">
        <v>1160</v>
      </c>
      <c r="I33" s="81">
        <v>1121</v>
      </c>
      <c r="J33" s="81">
        <v>1227</v>
      </c>
      <c r="K33" s="81">
        <v>1609</v>
      </c>
      <c r="L33" s="82">
        <v>5117</v>
      </c>
      <c r="M33" s="81"/>
      <c r="N33" s="81">
        <v>925</v>
      </c>
      <c r="O33" s="81">
        <v>1138</v>
      </c>
      <c r="P33" s="81">
        <v>1366</v>
      </c>
    </row>
    <row r="34" spans="1:16">
      <c r="A34" s="5" t="s">
        <v>31</v>
      </c>
      <c r="B34" s="85">
        <v>0.1698892495036482</v>
      </c>
      <c r="C34" s="85">
        <v>0.15118048140226867</v>
      </c>
      <c r="D34" s="85">
        <v>0.15199486736250364</v>
      </c>
      <c r="E34" s="85">
        <v>0.19440675788379361</v>
      </c>
      <c r="F34" s="84">
        <v>0.16702563185169395</v>
      </c>
      <c r="G34" s="85"/>
      <c r="H34" s="85">
        <v>0.13083975900119313</v>
      </c>
      <c r="I34" s="85">
        <v>0.1248878650559416</v>
      </c>
      <c r="J34" s="85">
        <v>0.13865536661598371</v>
      </c>
      <c r="K34" s="85">
        <v>0.17750653477673584</v>
      </c>
      <c r="L34" s="84">
        <v>0.14311207783626542</v>
      </c>
      <c r="M34" s="85"/>
      <c r="N34" s="85">
        <v>0.10052211372747212</v>
      </c>
      <c r="O34" s="298">
        <v>0.11947856858363685</v>
      </c>
      <c r="P34" s="85">
        <v>0.14395456293263664</v>
      </c>
    </row>
    <row r="35" spans="1:16" ht="13.5" thickBot="1">
      <c r="B35" s="80"/>
      <c r="C35" s="16"/>
      <c r="D35" s="16"/>
      <c r="E35" s="16"/>
      <c r="F35" s="75"/>
      <c r="G35" s="80"/>
      <c r="H35" s="80"/>
      <c r="I35" s="80"/>
      <c r="J35" s="80"/>
      <c r="K35" s="80"/>
      <c r="L35" s="75"/>
      <c r="M35" s="80"/>
      <c r="N35" s="80"/>
      <c r="O35" s="80"/>
      <c r="P35" s="80"/>
    </row>
    <row r="36" spans="1:16" ht="16.5" thickBot="1">
      <c r="A36" s="287" t="s">
        <v>145</v>
      </c>
      <c r="B36" s="288"/>
      <c r="C36" s="288"/>
      <c r="D36" s="288"/>
      <c r="E36" s="289"/>
      <c r="F36" s="290"/>
      <c r="G36" s="288"/>
      <c r="H36" s="288"/>
      <c r="I36" s="288"/>
      <c r="J36" s="288"/>
      <c r="K36" s="288"/>
      <c r="L36" s="290"/>
      <c r="M36" s="288"/>
      <c r="N36" s="288"/>
      <c r="O36" s="288"/>
      <c r="P36" s="288"/>
    </row>
    <row r="37" spans="1:16" ht="6" customHeight="1">
      <c r="B37" s="80"/>
      <c r="C37" s="16"/>
      <c r="D37" s="16"/>
      <c r="E37" s="16"/>
      <c r="F37" s="75"/>
      <c r="G37" s="80"/>
      <c r="H37" s="80"/>
      <c r="I37" s="80"/>
      <c r="J37" s="80"/>
      <c r="K37" s="80"/>
      <c r="L37" s="75"/>
      <c r="M37" s="80"/>
      <c r="N37" s="80"/>
      <c r="O37" s="80"/>
      <c r="P37" s="80"/>
    </row>
    <row r="38" spans="1:16">
      <c r="A38" s="3" t="s">
        <v>37</v>
      </c>
      <c r="B38" s="71">
        <v>2259</v>
      </c>
      <c r="C38" s="71">
        <v>2669</v>
      </c>
      <c r="D38" s="71">
        <v>2445</v>
      </c>
      <c r="E38" s="257">
        <v>2858</v>
      </c>
      <c r="F38" s="258">
        <v>10231</v>
      </c>
      <c r="G38" s="73"/>
      <c r="H38" s="71">
        <v>2512</v>
      </c>
      <c r="I38" s="71">
        <v>2601</v>
      </c>
      <c r="J38" s="71">
        <v>2612</v>
      </c>
      <c r="K38" s="257">
        <v>2556</v>
      </c>
      <c r="L38" s="258">
        <v>10281</v>
      </c>
      <c r="M38" s="73"/>
      <c r="N38" s="71">
        <v>2903</v>
      </c>
      <c r="O38" s="71">
        <v>2429</v>
      </c>
      <c r="P38" s="71">
        <v>2400</v>
      </c>
    </row>
    <row r="39" spans="1:16">
      <c r="A39" s="227" t="s">
        <v>23</v>
      </c>
      <c r="B39" s="224">
        <v>-1431</v>
      </c>
      <c r="C39" s="224">
        <v>-1300</v>
      </c>
      <c r="D39" s="224">
        <v>-1306</v>
      </c>
      <c r="E39" s="259">
        <v>-1713</v>
      </c>
      <c r="F39" s="260">
        <v>-5750</v>
      </c>
      <c r="G39" s="226"/>
      <c r="H39" s="224">
        <v>-1160</v>
      </c>
      <c r="I39" s="224">
        <v>-1121</v>
      </c>
      <c r="J39" s="224">
        <v>-1227</v>
      </c>
      <c r="K39" s="259">
        <v>-1609</v>
      </c>
      <c r="L39" s="260">
        <v>-5117</v>
      </c>
      <c r="M39" s="226"/>
      <c r="N39" s="224">
        <v>-925</v>
      </c>
      <c r="O39" s="224">
        <v>-1138</v>
      </c>
      <c r="P39" s="224">
        <v>-1366</v>
      </c>
    </row>
    <row r="40" spans="1:16">
      <c r="A40" s="227" t="s">
        <v>38</v>
      </c>
      <c r="B40" s="224">
        <v>-99</v>
      </c>
      <c r="C40" s="224">
        <v>-88</v>
      </c>
      <c r="D40" s="224">
        <v>-100</v>
      </c>
      <c r="E40" s="259">
        <v>-123</v>
      </c>
      <c r="F40" s="260">
        <v>-410</v>
      </c>
      <c r="G40" s="226"/>
      <c r="H40" s="224">
        <v>-105</v>
      </c>
      <c r="I40" s="224">
        <v>-83</v>
      </c>
      <c r="J40" s="224">
        <v>-99</v>
      </c>
      <c r="K40" s="259">
        <v>-106</v>
      </c>
      <c r="L40" s="260">
        <v>-393</v>
      </c>
      <c r="M40" s="226"/>
      <c r="N40" s="224">
        <v>-80</v>
      </c>
      <c r="O40" s="224">
        <v>-95</v>
      </c>
      <c r="P40" s="224">
        <v>-102</v>
      </c>
    </row>
    <row r="41" spans="1:16">
      <c r="A41" s="227" t="s">
        <v>39</v>
      </c>
      <c r="B41" s="224">
        <v>-27</v>
      </c>
      <c r="C41" s="224">
        <v>-31</v>
      </c>
      <c r="D41" s="224">
        <v>-31</v>
      </c>
      <c r="E41" s="259">
        <v>-28</v>
      </c>
      <c r="F41" s="260">
        <v>-117</v>
      </c>
      <c r="G41" s="226"/>
      <c r="H41" s="224">
        <v>-28</v>
      </c>
      <c r="I41" s="224">
        <v>-25</v>
      </c>
      <c r="J41" s="224">
        <v>-43</v>
      </c>
      <c r="K41" s="259">
        <v>-33</v>
      </c>
      <c r="L41" s="260">
        <v>-129</v>
      </c>
      <c r="M41" s="226"/>
      <c r="N41" s="224">
        <v>-37</v>
      </c>
      <c r="O41" s="224">
        <v>-25</v>
      </c>
      <c r="P41" s="224">
        <v>-33</v>
      </c>
    </row>
    <row r="42" spans="1:16" ht="3.75" customHeight="1">
      <c r="A42" s="10"/>
      <c r="B42" s="73"/>
      <c r="C42" s="73"/>
      <c r="D42" s="73"/>
      <c r="E42" s="261"/>
      <c r="F42" s="262"/>
      <c r="G42" s="73"/>
      <c r="H42" s="73"/>
      <c r="I42" s="73"/>
      <c r="J42" s="73"/>
      <c r="K42" s="261"/>
      <c r="L42" s="262"/>
      <c r="M42" s="73"/>
      <c r="N42" s="73"/>
      <c r="O42" s="73"/>
      <c r="P42" s="73"/>
    </row>
    <row r="43" spans="1:16">
      <c r="A43" s="10" t="s">
        <v>127</v>
      </c>
      <c r="B43" s="123">
        <v>0</v>
      </c>
      <c r="C43" s="123">
        <v>228</v>
      </c>
      <c r="D43" s="123">
        <v>88</v>
      </c>
      <c r="E43" s="263">
        <v>-13</v>
      </c>
      <c r="F43" s="264">
        <v>303</v>
      </c>
      <c r="G43" s="73"/>
      <c r="H43" s="123">
        <v>147</v>
      </c>
      <c r="I43" s="123">
        <v>3</v>
      </c>
      <c r="J43" s="123">
        <v>-84</v>
      </c>
      <c r="K43" s="263">
        <v>49</v>
      </c>
      <c r="L43" s="264">
        <v>115</v>
      </c>
      <c r="M43" s="73"/>
      <c r="N43" s="123">
        <v>26</v>
      </c>
      <c r="O43" s="123">
        <v>5</v>
      </c>
      <c r="P43" s="123">
        <v>37</v>
      </c>
    </row>
    <row r="44" spans="1:16">
      <c r="A44" s="10" t="s">
        <v>134</v>
      </c>
      <c r="B44" s="77">
        <v>702</v>
      </c>
      <c r="C44" s="77">
        <v>1478</v>
      </c>
      <c r="D44" s="77">
        <v>1096</v>
      </c>
      <c r="E44" s="257">
        <v>981</v>
      </c>
      <c r="F44" s="258">
        <v>4257</v>
      </c>
      <c r="G44" s="73"/>
      <c r="H44" s="77">
        <v>1366</v>
      </c>
      <c r="I44" s="77">
        <v>1375</v>
      </c>
      <c r="J44" s="77">
        <v>1159</v>
      </c>
      <c r="K44" s="257">
        <v>857</v>
      </c>
      <c r="L44" s="258">
        <v>4757</v>
      </c>
      <c r="M44" s="73"/>
      <c r="N44" s="77">
        <v>1887</v>
      </c>
      <c r="O44" s="77">
        <v>1176</v>
      </c>
      <c r="P44" s="300">
        <v>936</v>
      </c>
    </row>
    <row r="45" spans="1:16">
      <c r="A45" s="24" t="s">
        <v>135</v>
      </c>
      <c r="B45" s="123">
        <v>0</v>
      </c>
      <c r="C45" s="123">
        <v>-315</v>
      </c>
      <c r="D45" s="123">
        <v>-168</v>
      </c>
      <c r="E45" s="263">
        <v>-117</v>
      </c>
      <c r="F45" s="264">
        <v>-600</v>
      </c>
      <c r="G45" s="73"/>
      <c r="H45" s="123">
        <v>0</v>
      </c>
      <c r="I45" s="123">
        <v>-205</v>
      </c>
      <c r="J45" s="123">
        <v>-47</v>
      </c>
      <c r="K45" s="263">
        <v>-89</v>
      </c>
      <c r="L45" s="264">
        <v>-341</v>
      </c>
      <c r="M45" s="73"/>
      <c r="N45" s="123">
        <v>0</v>
      </c>
      <c r="O45" s="123">
        <v>179</v>
      </c>
      <c r="P45" s="123">
        <v>89</v>
      </c>
    </row>
    <row r="46" spans="1:16" ht="3.75" customHeight="1">
      <c r="B46" s="80"/>
      <c r="C46" s="80"/>
      <c r="D46" s="80"/>
      <c r="E46" s="261"/>
      <c r="F46" s="262"/>
      <c r="G46" s="16"/>
      <c r="H46" s="80"/>
      <c r="I46" s="80"/>
      <c r="J46" s="80"/>
      <c r="K46" s="261"/>
      <c r="L46" s="262"/>
      <c r="M46" s="16"/>
      <c r="N46" s="80"/>
      <c r="O46" s="80"/>
      <c r="P46" s="80"/>
    </row>
    <row r="47" spans="1:16">
      <c r="A47" s="233" t="s">
        <v>40</v>
      </c>
      <c r="B47" s="234">
        <v>702</v>
      </c>
      <c r="C47" s="234">
        <v>1163</v>
      </c>
      <c r="D47" s="234">
        <v>928</v>
      </c>
      <c r="E47" s="265">
        <v>864</v>
      </c>
      <c r="F47" s="266">
        <v>3657</v>
      </c>
      <c r="G47" s="231"/>
      <c r="H47" s="234">
        <v>1366</v>
      </c>
      <c r="I47" s="234">
        <v>1170</v>
      </c>
      <c r="J47" s="234">
        <v>1112</v>
      </c>
      <c r="K47" s="265">
        <v>768</v>
      </c>
      <c r="L47" s="266">
        <v>4416</v>
      </c>
      <c r="M47" s="231"/>
      <c r="N47" s="234">
        <v>1887</v>
      </c>
      <c r="O47" s="234">
        <v>1355</v>
      </c>
      <c r="P47" s="234">
        <v>1025</v>
      </c>
    </row>
    <row r="48" spans="1:16" ht="3.75" customHeight="1">
      <c r="B48" s="80"/>
      <c r="C48" s="80"/>
      <c r="D48" s="80"/>
      <c r="E48" s="261"/>
      <c r="F48" s="262"/>
      <c r="G48" s="16"/>
      <c r="H48" s="80"/>
      <c r="I48" s="80"/>
      <c r="J48" s="80"/>
      <c r="K48" s="261"/>
      <c r="L48" s="262"/>
      <c r="M48" s="16"/>
      <c r="N48" s="80"/>
      <c r="O48" s="80"/>
      <c r="P48" s="80"/>
    </row>
    <row r="49" spans="1:16" s="2" customFormat="1">
      <c r="A49" s="2" t="s">
        <v>104</v>
      </c>
      <c r="B49" s="252">
        <v>0.23266304323606565</v>
      </c>
      <c r="C49" s="252">
        <v>0.39155576994466573</v>
      </c>
      <c r="D49" s="252">
        <v>0.3178227035124212</v>
      </c>
      <c r="E49" s="267">
        <v>0.29917045693676819</v>
      </c>
      <c r="F49" s="268">
        <v>1.2387158859660417</v>
      </c>
      <c r="G49" s="89"/>
      <c r="H49" s="252">
        <v>0.47261412784824203</v>
      </c>
      <c r="I49" s="252">
        <v>0.40468914525663724</v>
      </c>
      <c r="J49" s="252">
        <v>0.38652420402260773</v>
      </c>
      <c r="K49" s="267">
        <v>0.26835682106783809</v>
      </c>
      <c r="L49" s="268">
        <v>1.5308054446721597</v>
      </c>
      <c r="M49" s="89"/>
      <c r="N49" s="252">
        <v>0.66510930331291085</v>
      </c>
      <c r="O49" s="252">
        <v>0.48</v>
      </c>
      <c r="P49" s="252">
        <v>0.36472236820585896</v>
      </c>
    </row>
    <row r="50" spans="1:16" ht="3.75" customHeight="1">
      <c r="B50" s="16"/>
      <c r="C50" s="16"/>
      <c r="D50" s="16"/>
      <c r="E50" s="16"/>
      <c r="F50" s="75"/>
      <c r="G50" s="16"/>
      <c r="H50" s="80"/>
      <c r="I50" s="80"/>
      <c r="J50" s="80"/>
      <c r="K50" s="80"/>
      <c r="L50" s="75"/>
      <c r="M50" s="16"/>
      <c r="N50" s="80"/>
      <c r="O50" s="80"/>
      <c r="P50" s="80"/>
    </row>
    <row r="51" spans="1:16">
      <c r="A51" s="3" t="s">
        <v>42</v>
      </c>
      <c r="B51" s="238">
        <v>3017</v>
      </c>
      <c r="C51" s="238">
        <v>2970</v>
      </c>
      <c r="D51" s="238">
        <v>2920</v>
      </c>
      <c r="E51" s="238">
        <v>2888</v>
      </c>
      <c r="F51" s="239">
        <v>2952</v>
      </c>
      <c r="G51" s="240"/>
      <c r="H51" s="238">
        <v>2890</v>
      </c>
      <c r="I51" s="238">
        <v>2891</v>
      </c>
      <c r="J51" s="238">
        <v>2877</v>
      </c>
      <c r="K51" s="238">
        <v>2862</v>
      </c>
      <c r="L51" s="239">
        <v>2885</v>
      </c>
      <c r="M51" s="240"/>
      <c r="N51" s="238">
        <v>2837</v>
      </c>
      <c r="O51" s="238">
        <v>2822</v>
      </c>
      <c r="P51" s="238">
        <v>2810</v>
      </c>
    </row>
    <row r="52" spans="1:16" ht="6.75" customHeight="1">
      <c r="B52" s="16"/>
      <c r="C52" s="16"/>
      <c r="D52" s="16"/>
      <c r="E52" s="16"/>
      <c r="F52" s="235"/>
      <c r="G52" s="16"/>
      <c r="H52" s="80"/>
      <c r="L52" s="235"/>
      <c r="M52" s="16"/>
      <c r="N52" s="80"/>
    </row>
    <row r="53" spans="1:16" ht="13.5">
      <c r="A53" s="95"/>
      <c r="H53" s="15"/>
      <c r="N53" s="15"/>
    </row>
    <row r="54" spans="1:16" ht="13.5">
      <c r="A54" s="95" t="s">
        <v>149</v>
      </c>
      <c r="H54" s="15"/>
      <c r="N54" s="15"/>
    </row>
  </sheetData>
  <mergeCells count="2">
    <mergeCell ref="H4:K4"/>
    <mergeCell ref="N4:P4"/>
  </mergeCells>
  <phoneticPr fontId="5" type="noConversion"/>
  <printOptions horizontalCentered="1"/>
  <pageMargins left="0.5" right="0.5" top="0.25" bottom="0.5" header="0.25" footer="0.25"/>
  <pageSetup scale="79" orientation="landscape" r:id="rId1"/>
  <headerFooter alignWithMargins="0">
    <oddFooter>&amp;L&amp;"Arial Narrow,Regular"&amp;8See notes on page 4. Minor differences may exist due to rounding.&amp;R&amp;"Arial Narrow,Regular"&amp;8 3</oddFooter>
  </headerFooter>
  <drawing r:id="rId2"/>
</worksheet>
</file>

<file path=xl/worksheets/sheet5.xml><?xml version="1.0" encoding="utf-8"?>
<worksheet xmlns="http://schemas.openxmlformats.org/spreadsheetml/2006/main" xmlns:r="http://schemas.openxmlformats.org/officeDocument/2006/relationships">
  <sheetPr codeName="Sheet5">
    <tabColor theme="7" tint="0.39997558519241921"/>
  </sheetPr>
  <dimension ref="A1:K66"/>
  <sheetViews>
    <sheetView showGridLines="0" zoomScaleNormal="100" zoomScaleSheetLayoutView="100" workbookViewId="0">
      <selection activeCell="Q14" sqref="Q14"/>
    </sheetView>
  </sheetViews>
  <sheetFormatPr defaultRowHeight="12.75"/>
  <cols>
    <col min="1" max="1" width="3.85546875" customWidth="1"/>
    <col min="2" max="2" width="150.7109375" customWidth="1"/>
  </cols>
  <sheetData>
    <row r="1" spans="1:11" ht="18">
      <c r="A1" s="193" t="s">
        <v>114</v>
      </c>
      <c r="B1" s="15"/>
      <c r="C1" s="15"/>
      <c r="D1" s="15"/>
      <c r="E1" s="15"/>
      <c r="F1" s="15"/>
      <c r="G1" s="15"/>
      <c r="H1" s="15"/>
      <c r="I1" s="15"/>
      <c r="J1" s="15"/>
      <c r="K1" s="15"/>
    </row>
    <row r="2" spans="1:11">
      <c r="A2" s="276"/>
      <c r="B2" s="277"/>
      <c r="C2" s="15"/>
      <c r="D2" s="15"/>
      <c r="E2" s="15"/>
      <c r="F2" s="15"/>
      <c r="G2" s="15"/>
      <c r="H2" s="15"/>
      <c r="I2" s="15"/>
      <c r="J2" s="15"/>
      <c r="K2" s="15"/>
    </row>
    <row r="3" spans="1:11" ht="11.25" customHeight="1"/>
    <row r="4" spans="1:11" ht="3.75" customHeight="1"/>
    <row r="5" spans="1:11" ht="13.5">
      <c r="A5" s="245"/>
      <c r="B5" s="246"/>
    </row>
    <row r="6" spans="1:11" ht="76.5" customHeight="1">
      <c r="A6" s="246"/>
      <c r="B6" s="250"/>
      <c r="F6" s="253"/>
    </row>
    <row r="7" spans="1:11" ht="5.25" customHeight="1">
      <c r="A7" s="246"/>
      <c r="B7" s="247"/>
    </row>
    <row r="8" spans="1:11" ht="14.25" customHeight="1">
      <c r="A8" s="246"/>
      <c r="B8" s="247"/>
    </row>
    <row r="9" spans="1:11" ht="3.75" customHeight="1">
      <c r="A9" s="246"/>
      <c r="B9" s="247"/>
    </row>
    <row r="10" spans="1:11" ht="16.5" customHeight="1">
      <c r="A10" s="246"/>
      <c r="B10" s="247"/>
    </row>
    <row r="11" spans="1:11" ht="3.75" customHeight="1">
      <c r="A11" s="246"/>
      <c r="B11" s="247"/>
    </row>
    <row r="12" spans="1:11">
      <c r="A12" s="249"/>
      <c r="B12" s="247"/>
    </row>
    <row r="13" spans="1:11" ht="3.75" customHeight="1">
      <c r="A13" s="249"/>
      <c r="B13" s="247"/>
    </row>
    <row r="14" spans="1:11">
      <c r="A14" s="249"/>
      <c r="B14" s="247"/>
    </row>
    <row r="15" spans="1:11" ht="3.75" customHeight="1">
      <c r="A15" s="249"/>
      <c r="B15" s="247"/>
    </row>
    <row r="16" spans="1:11">
      <c r="A16" s="251"/>
      <c r="B16" s="247"/>
    </row>
    <row r="17" spans="1:2" ht="3.75" customHeight="1">
      <c r="A17" s="249"/>
      <c r="B17" s="247"/>
    </row>
    <row r="18" spans="1:2">
      <c r="A18" s="251"/>
      <c r="B18" s="247"/>
    </row>
    <row r="19" spans="1:2" ht="3.75" customHeight="1">
      <c r="A19" s="251"/>
      <c r="B19" s="247"/>
    </row>
    <row r="20" spans="1:2">
      <c r="A20" s="251"/>
      <c r="B20" s="247"/>
    </row>
    <row r="21" spans="1:2" ht="3.75" customHeight="1">
      <c r="A21" s="251"/>
      <c r="B21" s="247"/>
    </row>
    <row r="22" spans="1:2">
      <c r="A22" s="251"/>
      <c r="B22" s="247"/>
    </row>
    <row r="23" spans="1:2" ht="3.75" customHeight="1">
      <c r="A23" s="251"/>
      <c r="B23" s="247"/>
    </row>
    <row r="24" spans="1:2">
      <c r="A24" s="251"/>
      <c r="B24" s="247"/>
    </row>
    <row r="25" spans="1:2" ht="3.75" customHeight="1">
      <c r="A25" s="251"/>
      <c r="B25" s="247"/>
    </row>
    <row r="26" spans="1:2">
      <c r="A26" s="251"/>
      <c r="B26" s="247"/>
    </row>
    <row r="27" spans="1:2" ht="3.75" customHeight="1">
      <c r="A27" s="251"/>
      <c r="B27" s="247"/>
    </row>
    <row r="28" spans="1:2">
      <c r="A28" s="251"/>
      <c r="B28" s="247"/>
    </row>
    <row r="29" spans="1:2" ht="3.75" customHeight="1">
      <c r="A29" s="251"/>
      <c r="B29" s="247"/>
    </row>
    <row r="30" spans="1:2">
      <c r="A30" s="251"/>
      <c r="B30" s="247"/>
    </row>
    <row r="31" spans="1:2" ht="3.75" customHeight="1">
      <c r="A31" s="251"/>
      <c r="B31" s="248"/>
    </row>
    <row r="32" spans="1:2">
      <c r="A32" s="251"/>
      <c r="B32" s="247"/>
    </row>
    <row r="33" spans="1:2" ht="3.75" customHeight="1">
      <c r="A33" s="251"/>
      <c r="B33" s="248"/>
    </row>
    <row r="34" spans="1:2">
      <c r="A34" s="251"/>
      <c r="B34" s="247"/>
    </row>
    <row r="35" spans="1:2" ht="3.75" customHeight="1">
      <c r="A35" s="251"/>
      <c r="B35" s="248"/>
    </row>
    <row r="36" spans="1:2">
      <c r="A36" s="251"/>
      <c r="B36" s="247"/>
    </row>
    <row r="37" spans="1:2" ht="3.75" customHeight="1">
      <c r="A37" s="251"/>
      <c r="B37" s="248"/>
    </row>
    <row r="38" spans="1:2">
      <c r="A38" s="251"/>
      <c r="B38" s="247"/>
    </row>
    <row r="39" spans="1:2" ht="3.75" customHeight="1">
      <c r="A39" s="251"/>
      <c r="B39" s="248"/>
    </row>
    <row r="40" spans="1:2">
      <c r="A40" s="251"/>
      <c r="B40" s="247"/>
    </row>
    <row r="41" spans="1:2" ht="3.75" customHeight="1">
      <c r="A41" s="251"/>
      <c r="B41" s="248"/>
    </row>
    <row r="42" spans="1:2">
      <c r="A42" s="251"/>
      <c r="B42" s="247"/>
    </row>
    <row r="43" spans="1:2" ht="3.75" customHeight="1">
      <c r="A43" s="251"/>
      <c r="B43" s="247"/>
    </row>
    <row r="44" spans="1:2">
      <c r="A44" s="251"/>
      <c r="B44" s="247"/>
    </row>
    <row r="45" spans="1:2" ht="3.75" customHeight="1">
      <c r="A45" s="251"/>
      <c r="B45" s="247"/>
    </row>
    <row r="46" spans="1:2">
      <c r="A46" s="251"/>
      <c r="B46" s="247"/>
    </row>
    <row r="47" spans="1:2" ht="3.75" customHeight="1">
      <c r="A47" s="251"/>
      <c r="B47" s="247"/>
    </row>
    <row r="48" spans="1:2">
      <c r="A48" s="251"/>
      <c r="B48" s="247"/>
    </row>
    <row r="49" spans="1:2" ht="3.75" customHeight="1">
      <c r="A49" s="251"/>
      <c r="B49" s="247"/>
    </row>
    <row r="50" spans="1:2">
      <c r="A50" s="251"/>
      <c r="B50" s="247"/>
    </row>
    <row r="51" spans="1:2" ht="3.75" customHeight="1">
      <c r="A51" s="251"/>
      <c r="B51" s="247"/>
    </row>
    <row r="52" spans="1:2">
      <c r="A52" s="251"/>
      <c r="B52" s="247"/>
    </row>
    <row r="53" spans="1:2" ht="3.75" customHeight="1">
      <c r="A53" s="251"/>
      <c r="B53" s="247"/>
    </row>
    <row r="54" spans="1:2">
      <c r="A54" s="251"/>
      <c r="B54" s="247"/>
    </row>
    <row r="55" spans="1:2" ht="3.75" customHeight="1">
      <c r="A55" s="251"/>
      <c r="B55" s="247"/>
    </row>
    <row r="56" spans="1:2">
      <c r="A56" s="251"/>
      <c r="B56" s="247"/>
    </row>
    <row r="57" spans="1:2" ht="3.75" customHeight="1">
      <c r="A57" s="251"/>
      <c r="B57" s="247"/>
    </row>
    <row r="58" spans="1:2">
      <c r="A58" s="251"/>
      <c r="B58" s="247"/>
    </row>
    <row r="59" spans="1:2" ht="3.75" customHeight="1">
      <c r="A59" s="251"/>
      <c r="B59" s="247"/>
    </row>
    <row r="60" spans="1:2">
      <c r="A60" s="251"/>
      <c r="B60" s="247"/>
    </row>
    <row r="61" spans="1:2" ht="3.75" customHeight="1">
      <c r="A61" s="249"/>
      <c r="B61" s="247"/>
    </row>
    <row r="62" spans="1:2">
      <c r="B62" s="191"/>
    </row>
    <row r="63" spans="1:2">
      <c r="B63" s="191"/>
    </row>
    <row r="64" spans="1:2">
      <c r="B64" s="192"/>
    </row>
    <row r="65" spans="2:2">
      <c r="B65" s="3"/>
    </row>
    <row r="66" spans="2:2">
      <c r="B66" s="3"/>
    </row>
  </sheetData>
  <phoneticPr fontId="5" type="noConversion"/>
  <printOptions horizontalCentered="1"/>
  <pageMargins left="0.5" right="0.5" top="0.25" bottom="0.5" header="0.25" footer="0.25"/>
  <pageSetup scale="80" orientation="landscape" r:id="rId1"/>
  <headerFooter alignWithMargins="0">
    <oddFooter>&amp;R4</oddFooter>
  </headerFooter>
  <drawing r:id="rId2"/>
  <legacyDrawing r:id="rId3"/>
  <oleObjects>
    <oleObject progId="Word.Document.12" shapeId="1266" r:id="rId4"/>
  </oleObjects>
</worksheet>
</file>

<file path=xl/worksheets/sheet6.xml><?xml version="1.0" encoding="utf-8"?>
<worksheet xmlns="http://schemas.openxmlformats.org/spreadsheetml/2006/main" xmlns:r="http://schemas.openxmlformats.org/officeDocument/2006/relationships">
  <sheetPr codeName="Sheet6">
    <pageSetUpPr fitToPage="1"/>
  </sheetPr>
  <dimension ref="A1:T74"/>
  <sheetViews>
    <sheetView view="pageBreakPreview" zoomScale="85" zoomScaleNormal="85" zoomScaleSheetLayoutView="100" workbookViewId="0"/>
  </sheetViews>
  <sheetFormatPr defaultRowHeight="12.75" outlineLevelRow="2" outlineLevelCol="1"/>
  <cols>
    <col min="1" max="1" width="53.5703125" style="3" customWidth="1"/>
    <col min="2" max="6" width="8.5703125" style="3" customWidth="1"/>
    <col min="7" max="7" width="1.42578125" style="3" customWidth="1"/>
    <col min="8" max="12" width="8.5703125" style="3" customWidth="1"/>
    <col min="13" max="13" width="1.42578125" style="3" hidden="1" customWidth="1" outlineLevel="1"/>
    <col min="14" max="18" width="8.5703125" style="3" hidden="1" customWidth="1" outlineLevel="1"/>
    <col min="19" max="19" width="9.140625" style="3" collapsed="1"/>
    <col min="20" max="16384" width="9.140625" style="3"/>
  </cols>
  <sheetData>
    <row r="1" spans="1:20" ht="15.75">
      <c r="A1" s="1"/>
      <c r="L1" s="110" t="s">
        <v>110</v>
      </c>
    </row>
    <row r="2" spans="1:20" ht="3.75" customHeight="1"/>
    <row r="3" spans="1:20">
      <c r="B3" s="23">
        <v>2007</v>
      </c>
      <c r="C3" s="23"/>
      <c r="D3" s="23"/>
      <c r="E3" s="23"/>
      <c r="F3" s="23"/>
      <c r="H3" s="23">
        <v>2008</v>
      </c>
      <c r="I3" s="23"/>
      <c r="J3" s="23"/>
      <c r="K3" s="23"/>
      <c r="L3" s="23"/>
      <c r="N3" s="23" t="s">
        <v>77</v>
      </c>
      <c r="O3" s="23"/>
      <c r="P3" s="23"/>
      <c r="Q3" s="23"/>
      <c r="R3" s="23"/>
    </row>
    <row r="4" spans="1:20" s="2" customFormat="1">
      <c r="A4" s="117"/>
      <c r="B4" s="118" t="s">
        <v>11</v>
      </c>
      <c r="C4" s="119" t="s">
        <v>12</v>
      </c>
      <c r="D4" s="119" t="s">
        <v>13</v>
      </c>
      <c r="E4" s="119" t="s">
        <v>14</v>
      </c>
      <c r="F4" s="120" t="s">
        <v>51</v>
      </c>
      <c r="G4" s="14"/>
      <c r="H4" s="118" t="s">
        <v>11</v>
      </c>
      <c r="I4" s="119" t="s">
        <v>12</v>
      </c>
      <c r="J4" s="119" t="s">
        <v>13</v>
      </c>
      <c r="K4" s="119" t="s">
        <v>14</v>
      </c>
      <c r="L4" s="120" t="s">
        <v>51</v>
      </c>
      <c r="M4" s="14"/>
      <c r="N4" s="118" t="s">
        <v>11</v>
      </c>
      <c r="O4" s="119" t="s">
        <v>12</v>
      </c>
      <c r="P4" s="119" t="s">
        <v>13</v>
      </c>
      <c r="Q4" s="119" t="s">
        <v>14</v>
      </c>
      <c r="R4" s="120" t="s">
        <v>51</v>
      </c>
      <c r="S4" s="4"/>
      <c r="T4" s="4"/>
    </row>
    <row r="5" spans="1:20" s="2" customFormat="1" ht="3.75" customHeight="1">
      <c r="C5" s="8"/>
      <c r="E5" s="7"/>
      <c r="F5" s="26"/>
      <c r="G5" s="14"/>
      <c r="H5" s="13"/>
      <c r="I5" s="14"/>
      <c r="J5" s="4"/>
      <c r="K5" s="4"/>
      <c r="L5" s="26"/>
      <c r="M5" s="14"/>
      <c r="N5" s="13"/>
      <c r="O5" s="14"/>
      <c r="P5" s="4"/>
      <c r="Q5" s="4"/>
      <c r="R5" s="26"/>
      <c r="S5" s="4"/>
      <c r="T5" s="4"/>
    </row>
    <row r="6" spans="1:20" ht="15.75">
      <c r="A6" s="107" t="s">
        <v>109</v>
      </c>
      <c r="B6" s="103"/>
      <c r="C6" s="104"/>
      <c r="D6" s="105"/>
      <c r="E6" s="104"/>
      <c r="F6" s="106"/>
      <c r="G6" s="109"/>
      <c r="H6" s="104"/>
      <c r="I6" s="104"/>
      <c r="J6" s="104"/>
      <c r="K6" s="104"/>
      <c r="L6" s="106"/>
      <c r="M6" s="109"/>
      <c r="N6" s="104"/>
      <c r="O6" s="104"/>
      <c r="P6" s="104"/>
      <c r="Q6" s="104"/>
      <c r="R6" s="106"/>
      <c r="S6" s="15"/>
      <c r="T6" s="15"/>
    </row>
    <row r="7" spans="1:20" ht="6" customHeight="1">
      <c r="F7" s="27"/>
      <c r="G7" s="15"/>
      <c r="H7" s="15"/>
      <c r="L7" s="27"/>
      <c r="M7" s="15"/>
      <c r="N7" s="15"/>
      <c r="R7" s="27"/>
      <c r="S7" s="15"/>
      <c r="T7" s="15"/>
    </row>
    <row r="8" spans="1:20">
      <c r="A8" s="3" t="s">
        <v>93</v>
      </c>
      <c r="B8" s="17"/>
      <c r="C8" s="17"/>
      <c r="E8" s="10"/>
      <c r="F8" s="28"/>
      <c r="G8" s="22"/>
      <c r="H8" s="22"/>
      <c r="I8" s="10"/>
      <c r="J8" s="17"/>
      <c r="K8" s="17"/>
      <c r="L8" s="28"/>
      <c r="M8" s="22"/>
      <c r="N8" s="22"/>
      <c r="O8" s="10"/>
      <c r="P8" s="17"/>
      <c r="Q8" s="17"/>
      <c r="R8" s="28"/>
      <c r="S8" s="15"/>
      <c r="T8" s="15"/>
    </row>
    <row r="9" spans="1:20">
      <c r="A9" s="5" t="s">
        <v>32</v>
      </c>
      <c r="B9" s="159" t="e">
        <f>'Capex and FCF'!#REF!/'Capex and FCF'!#REF!</f>
        <v>#REF!</v>
      </c>
      <c r="C9" s="159" t="e">
        <f>'Capex and FCF'!#REF!/'Capex and FCF'!#REF!</f>
        <v>#REF!</v>
      </c>
      <c r="D9" s="159" t="e">
        <f>'Capex and FCF'!#REF!/'Capex and FCF'!#REF!</f>
        <v>#REF!</v>
      </c>
      <c r="E9" s="159" t="e">
        <f>'Capex and FCF'!#REF!/'Capex and FCF'!#REF!</f>
        <v>#REF!</v>
      </c>
      <c r="F9" s="170" t="e">
        <f>'Capex and FCF'!#REF!/'Capex and FCF'!#REF!</f>
        <v>#REF!</v>
      </c>
      <c r="G9" s="175"/>
      <c r="H9" s="159">
        <f>'Capex and FCF'!B10/'Capex and FCF'!B$27</f>
        <v>0.60442804428044283</v>
      </c>
      <c r="I9" s="159">
        <f>'Capex and FCF'!C10/'Capex and FCF'!C$27</f>
        <v>0.54784688995215314</v>
      </c>
      <c r="J9" s="159">
        <f>'Capex and FCF'!D10/'Capex and FCF'!D$27</f>
        <v>0.46529968454258674</v>
      </c>
      <c r="K9" s="159">
        <f>'Capex and FCF'!E10/'Capex and FCF'!E$27</f>
        <v>0.46462829736211031</v>
      </c>
      <c r="L9" s="170">
        <f>'Capex and FCF'!F10/'Capex and FCF'!F$27</f>
        <v>0.51776375112714157</v>
      </c>
      <c r="M9" s="73"/>
      <c r="N9" s="159" t="e">
        <f>H9/B9-1</f>
        <v>#REF!</v>
      </c>
      <c r="O9" s="159" t="e">
        <f t="shared" ref="N9:R15" si="0">I9/C9-1</f>
        <v>#REF!</v>
      </c>
      <c r="P9" s="159" t="e">
        <f t="shared" si="0"/>
        <v>#REF!</v>
      </c>
      <c r="Q9" s="159" t="e">
        <f t="shared" si="0"/>
        <v>#REF!</v>
      </c>
      <c r="R9" s="170" t="e">
        <f t="shared" si="0"/>
        <v>#REF!</v>
      </c>
      <c r="S9" s="15"/>
      <c r="T9" s="15"/>
    </row>
    <row r="10" spans="1:20">
      <c r="A10" s="111" t="s">
        <v>24</v>
      </c>
      <c r="B10" s="171" t="e">
        <f>'Capex and FCF'!#REF!/'Capex and FCF'!#REF!</f>
        <v>#REF!</v>
      </c>
      <c r="C10" s="171" t="e">
        <f>'Capex and FCF'!#REF!/'Capex and FCF'!#REF!</f>
        <v>#REF!</v>
      </c>
      <c r="D10" s="171" t="e">
        <f>'Capex and FCF'!#REF!/'Capex and FCF'!#REF!</f>
        <v>#REF!</v>
      </c>
      <c r="E10" s="171" t="e">
        <f>'Capex and FCF'!#REF!/'Capex and FCF'!#REF!</f>
        <v>#REF!</v>
      </c>
      <c r="F10" s="172" t="e">
        <f>'Capex and FCF'!#REF!/'Capex and FCF'!#REF!</f>
        <v>#REF!</v>
      </c>
      <c r="G10" s="171"/>
      <c r="H10" s="171">
        <f>'Capex and FCF'!B11/'Capex and FCF'!B$27</f>
        <v>4.3542435424354244E-2</v>
      </c>
      <c r="I10" s="171">
        <f>'Capex and FCF'!C11/'Capex and FCF'!C$27</f>
        <v>4.3859649122807015E-2</v>
      </c>
      <c r="J10" s="171">
        <f>'Capex and FCF'!D11/'Capex and FCF'!D$27</f>
        <v>4.8107255520504731E-2</v>
      </c>
      <c r="K10" s="171">
        <f>'Capex and FCF'!E11/'Capex and FCF'!E$27</f>
        <v>4.7961630695443645E-2</v>
      </c>
      <c r="L10" s="172">
        <f>'Capex and FCF'!F11/'Capex and FCF'!F$27</f>
        <v>4.5987376014427414E-2</v>
      </c>
      <c r="M10" s="114"/>
      <c r="N10" s="171" t="e">
        <f t="shared" si="0"/>
        <v>#REF!</v>
      </c>
      <c r="O10" s="171" t="e">
        <f t="shared" si="0"/>
        <v>#REF!</v>
      </c>
      <c r="P10" s="171" t="e">
        <f t="shared" si="0"/>
        <v>#REF!</v>
      </c>
      <c r="Q10" s="171" t="e">
        <f t="shared" si="0"/>
        <v>#REF!</v>
      </c>
      <c r="R10" s="172" t="e">
        <f t="shared" si="0"/>
        <v>#REF!</v>
      </c>
      <c r="S10" s="15"/>
      <c r="T10" s="15"/>
    </row>
    <row r="11" spans="1:20">
      <c r="A11" s="5" t="s">
        <v>25</v>
      </c>
      <c r="B11" s="159" t="e">
        <f>'Capex and FCF'!#REF!/'Capex and FCF'!#REF!</f>
        <v>#REF!</v>
      </c>
      <c r="C11" s="159" t="e">
        <f>'Capex and FCF'!#REF!/'Capex and FCF'!#REF!</f>
        <v>#REF!</v>
      </c>
      <c r="D11" s="159" t="e">
        <f>'Capex and FCF'!#REF!/'Capex and FCF'!#REF!</f>
        <v>#REF!</v>
      </c>
      <c r="E11" s="159" t="e">
        <f>'Capex and FCF'!#REF!/'Capex and FCF'!#REF!</f>
        <v>#REF!</v>
      </c>
      <c r="F11" s="170" t="e">
        <f>'Capex and FCF'!#REF!/'Capex and FCF'!#REF!</f>
        <v>#REF!</v>
      </c>
      <c r="G11" s="175"/>
      <c r="H11" s="159">
        <f>'Capex and FCF'!B12/'Capex and FCF'!B$27</f>
        <v>3.5424354243542434E-2</v>
      </c>
      <c r="I11" s="159">
        <f>'Capex and FCF'!C12/'Capex and FCF'!C$27</f>
        <v>4.1467304625199361E-2</v>
      </c>
      <c r="J11" s="159">
        <f>'Capex and FCF'!D12/'Capex and FCF'!D$27</f>
        <v>4.2586750788643532E-2</v>
      </c>
      <c r="K11" s="159">
        <f>'Capex and FCF'!E12/'Capex and FCF'!E$27</f>
        <v>3.4772182254196642E-2</v>
      </c>
      <c r="L11" s="170">
        <f>'Capex and FCF'!F12/'Capex and FCF'!F$27</f>
        <v>3.8232642019837691E-2</v>
      </c>
      <c r="M11" s="73"/>
      <c r="N11" s="159" t="e">
        <f t="shared" si="0"/>
        <v>#REF!</v>
      </c>
      <c r="O11" s="159" t="e">
        <f t="shared" si="0"/>
        <v>#REF!</v>
      </c>
      <c r="P11" s="159" t="e">
        <f t="shared" si="0"/>
        <v>#REF!</v>
      </c>
      <c r="Q11" s="159" t="e">
        <f t="shared" si="0"/>
        <v>#REF!</v>
      </c>
      <c r="R11" s="170" t="e">
        <f t="shared" si="0"/>
        <v>#REF!</v>
      </c>
      <c r="S11" s="15"/>
      <c r="T11" s="15"/>
    </row>
    <row r="12" spans="1:20">
      <c r="A12" s="111" t="s">
        <v>26</v>
      </c>
      <c r="B12" s="171" t="e">
        <f>'Capex and FCF'!#REF!/'Capex and FCF'!#REF!</f>
        <v>#REF!</v>
      </c>
      <c r="C12" s="171" t="e">
        <f>'Capex and FCF'!#REF!/'Capex and FCF'!#REF!</f>
        <v>#REF!</v>
      </c>
      <c r="D12" s="171" t="e">
        <f>'Capex and FCF'!#REF!/'Capex and FCF'!#REF!</f>
        <v>#REF!</v>
      </c>
      <c r="E12" s="171" t="e">
        <f>'Capex and FCF'!#REF!/'Capex and FCF'!#REF!</f>
        <v>#REF!</v>
      </c>
      <c r="F12" s="172" t="e">
        <f>'Capex and FCF'!#REF!/'Capex and FCF'!#REF!</f>
        <v>#REF!</v>
      </c>
      <c r="G12" s="171"/>
      <c r="H12" s="171">
        <f>'Capex and FCF'!B13/'Capex and FCF'!B$27</f>
        <v>3.9852398523985241E-2</v>
      </c>
      <c r="I12" s="171">
        <f>'Capex and FCF'!C13/'Capex and FCF'!C$27</f>
        <v>4.5454545454545456E-2</v>
      </c>
      <c r="J12" s="171">
        <f>'Capex and FCF'!D13/'Capex and FCF'!D$27</f>
        <v>5.1261829652996846E-2</v>
      </c>
      <c r="K12" s="171">
        <f>'Capex and FCF'!E13/'Capex and FCF'!E$27</f>
        <v>6.1151079136690649E-2</v>
      </c>
      <c r="L12" s="172">
        <f>'Capex and FCF'!F13/'Capex and FCF'!F$27</f>
        <v>5.0135256988277727E-2</v>
      </c>
      <c r="M12" s="114"/>
      <c r="N12" s="171" t="e">
        <f t="shared" si="0"/>
        <v>#REF!</v>
      </c>
      <c r="O12" s="171" t="e">
        <f t="shared" si="0"/>
        <v>#REF!</v>
      </c>
      <c r="P12" s="171" t="e">
        <f t="shared" si="0"/>
        <v>#REF!</v>
      </c>
      <c r="Q12" s="171" t="e">
        <f t="shared" si="0"/>
        <v>#REF!</v>
      </c>
      <c r="R12" s="172" t="e">
        <f t="shared" si="0"/>
        <v>#REF!</v>
      </c>
      <c r="S12" s="15"/>
      <c r="T12" s="15"/>
    </row>
    <row r="13" spans="1:20">
      <c r="A13" s="5" t="s">
        <v>50</v>
      </c>
      <c r="B13" s="159" t="e">
        <f>'Capex and FCF'!#REF!/'Capex and FCF'!#REF!</f>
        <v>#REF!</v>
      </c>
      <c r="C13" s="159" t="e">
        <f>'Capex and FCF'!#REF!/'Capex and FCF'!#REF!</f>
        <v>#REF!</v>
      </c>
      <c r="D13" s="159" t="e">
        <f>'Capex and FCF'!#REF!/'Capex and FCF'!#REF!</f>
        <v>#REF!</v>
      </c>
      <c r="E13" s="159" t="e">
        <f>'Capex and FCF'!#REF!/'Capex and FCF'!#REF!</f>
        <v>#REF!</v>
      </c>
      <c r="F13" s="170" t="e">
        <f>'Capex and FCF'!#REF!/'Capex and FCF'!#REF!</f>
        <v>#REF!</v>
      </c>
      <c r="G13" s="175"/>
      <c r="H13" s="159">
        <f>'Capex and FCF'!B14/'Capex and FCF'!B$27</f>
        <v>1.5498154981549815E-2</v>
      </c>
      <c r="I13" s="159">
        <f>'Capex and FCF'!C14/'Capex and FCF'!C$27</f>
        <v>1.9936204146730464E-2</v>
      </c>
      <c r="J13" s="159">
        <f>'Capex and FCF'!D14/'Capex and FCF'!D$27</f>
        <v>1.025236593059937E-2</v>
      </c>
      <c r="K13" s="159">
        <f>'Capex and FCF'!E14/'Capex and FCF'!E$27</f>
        <v>4.7961630695443642E-3</v>
      </c>
      <c r="L13" s="170">
        <f>'Capex and FCF'!F14/'Capex and FCF'!F$27</f>
        <v>1.2082957619477006E-2</v>
      </c>
      <c r="M13" s="73"/>
      <c r="N13" s="159" t="e">
        <f t="shared" si="0"/>
        <v>#REF!</v>
      </c>
      <c r="O13" s="159" t="e">
        <f t="shared" si="0"/>
        <v>#REF!</v>
      </c>
      <c r="P13" s="159" t="e">
        <f t="shared" si="0"/>
        <v>#REF!</v>
      </c>
      <c r="Q13" s="159" t="e">
        <f t="shared" si="0"/>
        <v>#REF!</v>
      </c>
      <c r="R13" s="170" t="e">
        <f t="shared" si="0"/>
        <v>#REF!</v>
      </c>
      <c r="S13" s="15"/>
      <c r="T13" s="15"/>
    </row>
    <row r="14" spans="1:20">
      <c r="A14" s="111" t="s">
        <v>27</v>
      </c>
      <c r="B14" s="173" t="e">
        <f>'Capex and FCF'!#REF!/'Capex and FCF'!#REF!</f>
        <v>#REF!</v>
      </c>
      <c r="C14" s="173" t="e">
        <f>'Capex and FCF'!#REF!/'Capex and FCF'!#REF!</f>
        <v>#REF!</v>
      </c>
      <c r="D14" s="173" t="e">
        <f>'Capex and FCF'!#REF!/'Capex and FCF'!#REF!</f>
        <v>#REF!</v>
      </c>
      <c r="E14" s="173" t="e">
        <f>'Capex and FCF'!#REF!/'Capex and FCF'!#REF!</f>
        <v>#REF!</v>
      </c>
      <c r="F14" s="174" t="e">
        <f>'Capex and FCF'!#REF!/'Capex and FCF'!#REF!</f>
        <v>#REF!</v>
      </c>
      <c r="G14" s="171"/>
      <c r="H14" s="173">
        <f>'Capex and FCF'!B15/'Capex and FCF'!B$27</f>
        <v>3.6900369003690037E-2</v>
      </c>
      <c r="I14" s="173">
        <f>'Capex and FCF'!C15/'Capex and FCF'!C$27</f>
        <v>3.8277511961722487E-2</v>
      </c>
      <c r="J14" s="173">
        <f>'Capex and FCF'!D15/'Capex and FCF'!D$27</f>
        <v>4.8107255520504731E-2</v>
      </c>
      <c r="K14" s="173">
        <f>'Capex and FCF'!E15/'Capex and FCF'!E$27</f>
        <v>4.3165467625899283E-2</v>
      </c>
      <c r="L14" s="174">
        <f>'Capex and FCF'!F15/'Capex and FCF'!F$27</f>
        <v>4.1659152389540127E-2</v>
      </c>
      <c r="M14" s="114"/>
      <c r="N14" s="173" t="e">
        <f>H14/B14-1</f>
        <v>#REF!</v>
      </c>
      <c r="O14" s="173" t="e">
        <f t="shared" si="0"/>
        <v>#REF!</v>
      </c>
      <c r="P14" s="173" t="e">
        <f t="shared" si="0"/>
        <v>#REF!</v>
      </c>
      <c r="Q14" s="173" t="e">
        <f t="shared" si="0"/>
        <v>#REF!</v>
      </c>
      <c r="R14" s="174" t="e">
        <f>L14/F14-1</f>
        <v>#REF!</v>
      </c>
      <c r="S14" s="15"/>
      <c r="T14" s="15"/>
    </row>
    <row r="15" spans="1:20">
      <c r="A15" s="3" t="s">
        <v>44</v>
      </c>
      <c r="B15" s="159" t="e">
        <f>'Capex and FCF'!#REF!/'Capex and FCF'!#REF!</f>
        <v>#REF!</v>
      </c>
      <c r="C15" s="159" t="e">
        <f>'Capex and FCF'!#REF!/'Capex and FCF'!#REF!</f>
        <v>#REF!</v>
      </c>
      <c r="D15" s="159" t="e">
        <f>'Capex and FCF'!#REF!/'Capex and FCF'!#REF!</f>
        <v>#REF!</v>
      </c>
      <c r="E15" s="159" t="e">
        <f>'Capex and FCF'!#REF!/'Capex and FCF'!#REF!</f>
        <v>#REF!</v>
      </c>
      <c r="F15" s="170" t="e">
        <f>'Capex and FCF'!#REF!/'Capex and FCF'!#REF!</f>
        <v>#REF!</v>
      </c>
      <c r="G15" s="185"/>
      <c r="H15" s="159">
        <f>'Capex and FCF'!B16/'Capex and FCF'!B$27</f>
        <v>0.77564575645756462</v>
      </c>
      <c r="I15" s="159">
        <f>'Capex and FCF'!C16/'Capex and FCF'!C$27</f>
        <v>0.73684210526315785</v>
      </c>
      <c r="J15" s="159">
        <f>'Capex and FCF'!D16/'Capex and FCF'!D$27</f>
        <v>0.66561514195583593</v>
      </c>
      <c r="K15" s="159">
        <f>'Capex and FCF'!E16/'Capex and FCF'!E$27</f>
        <v>0.65647482014388492</v>
      </c>
      <c r="L15" s="170">
        <f>'Capex and FCF'!F16/'Capex and FCF'!F$27</f>
        <v>0.7058611361587015</v>
      </c>
      <c r="M15" s="74"/>
      <c r="N15" s="159" t="e">
        <f t="shared" si="0"/>
        <v>#REF!</v>
      </c>
      <c r="O15" s="159" t="e">
        <f t="shared" si="0"/>
        <v>#REF!</v>
      </c>
      <c r="P15" s="159" t="e">
        <f t="shared" si="0"/>
        <v>#REF!</v>
      </c>
      <c r="Q15" s="159" t="e">
        <f t="shared" si="0"/>
        <v>#REF!</v>
      </c>
      <c r="R15" s="170" t="e">
        <f t="shared" si="0"/>
        <v>#REF!</v>
      </c>
      <c r="S15" s="15"/>
      <c r="T15" s="15"/>
    </row>
    <row r="16" spans="1:20" ht="3.75" customHeight="1">
      <c r="B16" s="159"/>
      <c r="C16" s="159"/>
      <c r="D16" s="159"/>
      <c r="E16" s="181"/>
      <c r="F16" s="170"/>
      <c r="G16" s="175"/>
      <c r="H16" s="159"/>
      <c r="I16" s="159"/>
      <c r="J16" s="159"/>
      <c r="K16" s="159"/>
      <c r="L16" s="170"/>
      <c r="M16" s="73"/>
      <c r="N16" s="159"/>
      <c r="O16" s="159"/>
      <c r="P16" s="159"/>
      <c r="Q16" s="159"/>
      <c r="R16" s="170"/>
      <c r="S16" s="15"/>
      <c r="T16" s="15"/>
    </row>
    <row r="17" spans="1:20">
      <c r="A17" s="3" t="s">
        <v>94</v>
      </c>
      <c r="B17" s="159"/>
      <c r="C17" s="159"/>
      <c r="D17" s="159"/>
      <c r="E17" s="179"/>
      <c r="F17" s="176"/>
      <c r="G17" s="175"/>
      <c r="H17" s="175"/>
      <c r="I17" s="159"/>
      <c r="J17" s="159"/>
      <c r="K17" s="159"/>
      <c r="L17" s="176"/>
      <c r="M17" s="73"/>
      <c r="N17" s="175"/>
      <c r="O17" s="159"/>
      <c r="P17" s="159"/>
      <c r="Q17" s="159"/>
      <c r="R17" s="176"/>
      <c r="S17" s="15"/>
      <c r="T17" s="15"/>
    </row>
    <row r="18" spans="1:20">
      <c r="A18" s="111" t="s">
        <v>28</v>
      </c>
      <c r="B18" s="171" t="e">
        <f>'Capex and FCF'!#REF!/'Capex and FCF'!#REF!</f>
        <v>#REF!</v>
      </c>
      <c r="C18" s="171" t="e">
        <f>'Capex and FCF'!#REF!/'Capex and FCF'!#REF!</f>
        <v>#REF!</v>
      </c>
      <c r="D18" s="171" t="e">
        <f>'Capex and FCF'!#REF!/'Capex and FCF'!#REF!</f>
        <v>#REF!</v>
      </c>
      <c r="E18" s="171" t="e">
        <f>'Capex and FCF'!#REF!/'Capex and FCF'!#REF!</f>
        <v>#REF!</v>
      </c>
      <c r="F18" s="172" t="e">
        <f>'Capex and FCF'!#REF!/'Capex and FCF'!#REF!</f>
        <v>#REF!</v>
      </c>
      <c r="G18" s="171"/>
      <c r="H18" s="171">
        <f>'Capex and FCF'!B19/'Capex and FCF'!B$27</f>
        <v>4.2804428044280446E-2</v>
      </c>
      <c r="I18" s="171">
        <f>'Capex and FCF'!C19/'Capex and FCF'!C$27</f>
        <v>5.8213716108452954E-2</v>
      </c>
      <c r="J18" s="171">
        <f>'Capex and FCF'!D19/'Capex and FCF'!D$27</f>
        <v>5.993690851735016E-2</v>
      </c>
      <c r="K18" s="171">
        <f>'Capex and FCF'!E19/'Capex and FCF'!E$27</f>
        <v>4.1366906474820143E-2</v>
      </c>
      <c r="L18" s="172">
        <f>'Capex and FCF'!F19/'Capex and FCF'!F$27</f>
        <v>4.9774571686203785E-2</v>
      </c>
      <c r="M18" s="114"/>
      <c r="N18" s="171" t="e">
        <f t="shared" ref="N18:R22" si="1">H18/B18-1</f>
        <v>#REF!</v>
      </c>
      <c r="O18" s="171" t="e">
        <f t="shared" si="1"/>
        <v>#REF!</v>
      </c>
      <c r="P18" s="171" t="e">
        <f t="shared" si="1"/>
        <v>#REF!</v>
      </c>
      <c r="Q18" s="171" t="e">
        <f t="shared" si="1"/>
        <v>#REF!</v>
      </c>
      <c r="R18" s="172" t="e">
        <f t="shared" si="1"/>
        <v>#REF!</v>
      </c>
      <c r="S18" s="15"/>
      <c r="T18" s="15"/>
    </row>
    <row r="19" spans="1:20">
      <c r="A19" s="24" t="s">
        <v>24</v>
      </c>
      <c r="B19" s="175" t="e">
        <f>'Capex and FCF'!#REF!/'Capex and FCF'!#REF!</f>
        <v>#REF!</v>
      </c>
      <c r="C19" s="175" t="e">
        <f>'Capex and FCF'!#REF!/'Capex and FCF'!#REF!</f>
        <v>#REF!</v>
      </c>
      <c r="D19" s="175" t="e">
        <f>'Capex and FCF'!#REF!/'Capex and FCF'!#REF!</f>
        <v>#REF!</v>
      </c>
      <c r="E19" s="175" t="e">
        <f>'Capex and FCF'!#REF!/'Capex and FCF'!#REF!</f>
        <v>#REF!</v>
      </c>
      <c r="F19" s="176" t="e">
        <f>'Capex and FCF'!#REF!/'Capex and FCF'!#REF!</f>
        <v>#REF!</v>
      </c>
      <c r="G19" s="175"/>
      <c r="H19" s="175">
        <f>'Capex and FCF'!B20/'Capex and FCF'!B$27</f>
        <v>7.6014760147601473E-2</v>
      </c>
      <c r="I19" s="175">
        <f>'Capex and FCF'!C20/'Capex and FCF'!C$27</f>
        <v>9.1706539074960125E-2</v>
      </c>
      <c r="J19" s="175">
        <f>'Capex and FCF'!D20/'Capex and FCF'!D$27</f>
        <v>0.1529968454258675</v>
      </c>
      <c r="K19" s="175">
        <f>'Capex and FCF'!E20/'Capex and FCF'!E$27</f>
        <v>0.16127098321342925</v>
      </c>
      <c r="L19" s="176">
        <f>'Capex and FCF'!F20/'Capex and FCF'!F$27</f>
        <v>0.12281334535617673</v>
      </c>
      <c r="M19" s="73"/>
      <c r="N19" s="175" t="e">
        <f t="shared" si="1"/>
        <v>#REF!</v>
      </c>
      <c r="O19" s="175" t="e">
        <f t="shared" si="1"/>
        <v>#REF!</v>
      </c>
      <c r="P19" s="175" t="e">
        <f t="shared" si="1"/>
        <v>#REF!</v>
      </c>
      <c r="Q19" s="175" t="e">
        <f t="shared" si="1"/>
        <v>#REF!</v>
      </c>
      <c r="R19" s="176" t="e">
        <f t="shared" si="1"/>
        <v>#REF!</v>
      </c>
      <c r="S19" s="15"/>
      <c r="T19" s="15"/>
    </row>
    <row r="20" spans="1:20">
      <c r="A20" s="111" t="s">
        <v>26</v>
      </c>
      <c r="B20" s="171" t="e">
        <f>'Capex and FCF'!#REF!/'Capex and FCF'!#REF!</f>
        <v>#REF!</v>
      </c>
      <c r="C20" s="171" t="e">
        <f>'Capex and FCF'!#REF!/'Capex and FCF'!#REF!</f>
        <v>#REF!</v>
      </c>
      <c r="D20" s="171" t="e">
        <f>'Capex and FCF'!#REF!/'Capex and FCF'!#REF!</f>
        <v>#REF!</v>
      </c>
      <c r="E20" s="171" t="e">
        <f>'Capex and FCF'!#REF!/'Capex and FCF'!#REF!</f>
        <v>#REF!</v>
      </c>
      <c r="F20" s="172" t="e">
        <f>'Capex and FCF'!#REF!/'Capex and FCF'!#REF!</f>
        <v>#REF!</v>
      </c>
      <c r="G20" s="171"/>
      <c r="H20" s="171">
        <f>'Capex and FCF'!B21/'Capex and FCF'!B$27</f>
        <v>3.1734317343173432E-2</v>
      </c>
      <c r="I20" s="171">
        <f>'Capex and FCF'!C21/'Capex and FCF'!C$27</f>
        <v>4.6251993620414676E-2</v>
      </c>
      <c r="J20" s="171">
        <f>'Capex and FCF'!D21/'Capex and FCF'!D$27</f>
        <v>4.2586750788643532E-2</v>
      </c>
      <c r="K20" s="171">
        <f>'Capex and FCF'!E21/'Capex and FCF'!E$27</f>
        <v>4.3165467625899283E-2</v>
      </c>
      <c r="L20" s="172">
        <f>'Capex and FCF'!F21/'Capex and FCF'!F$27</f>
        <v>4.0937781785392244E-2</v>
      </c>
      <c r="M20" s="114"/>
      <c r="N20" s="171" t="e">
        <f t="shared" si="1"/>
        <v>#REF!</v>
      </c>
      <c r="O20" s="171" t="e">
        <f t="shared" si="1"/>
        <v>#REF!</v>
      </c>
      <c r="P20" s="171" t="e">
        <f>J20/D20-1</f>
        <v>#REF!</v>
      </c>
      <c r="Q20" s="171" t="e">
        <f t="shared" si="1"/>
        <v>#REF!</v>
      </c>
      <c r="R20" s="172" t="e">
        <f t="shared" si="1"/>
        <v>#REF!</v>
      </c>
      <c r="S20" s="15"/>
      <c r="T20" s="15"/>
    </row>
    <row r="21" spans="1:20">
      <c r="A21" s="24" t="s">
        <v>29</v>
      </c>
      <c r="B21" s="177" t="e">
        <f>'Capex and FCF'!#REF!/'Capex and FCF'!#REF!</f>
        <v>#REF!</v>
      </c>
      <c r="C21" s="177" t="e">
        <f>'Capex and FCF'!#REF!/'Capex and FCF'!#REF!</f>
        <v>#REF!</v>
      </c>
      <c r="D21" s="177" t="e">
        <f>'Capex and FCF'!#REF!/'Capex and FCF'!#REF!</f>
        <v>#REF!</v>
      </c>
      <c r="E21" s="177" t="e">
        <f>'Capex and FCF'!#REF!/'Capex and FCF'!#REF!</f>
        <v>#REF!</v>
      </c>
      <c r="F21" s="178" t="e">
        <f>'Capex and FCF'!#REF!/'Capex and FCF'!#REF!</f>
        <v>#REF!</v>
      </c>
      <c r="G21" s="175"/>
      <c r="H21" s="177">
        <f>'Capex and FCF'!B22/'Capex and FCF'!B$27</f>
        <v>4.4280442804428041E-2</v>
      </c>
      <c r="I21" s="177">
        <f>'Capex and FCF'!C22/'Capex and FCF'!C$27</f>
        <v>4.6251993620414676E-2</v>
      </c>
      <c r="J21" s="177">
        <f>'Capex and FCF'!D22/'Capex and FCF'!D$27</f>
        <v>6.3880126182965305E-2</v>
      </c>
      <c r="K21" s="177">
        <f>'Capex and FCF'!E22/'Capex and FCF'!E$27</f>
        <v>8.4532374100719426E-2</v>
      </c>
      <c r="L21" s="178">
        <f>'Capex and FCF'!F22/'Capex and FCF'!F$27</f>
        <v>6.1316501352569885E-2</v>
      </c>
      <c r="M21" s="73"/>
      <c r="N21" s="177" t="e">
        <f t="shared" si="1"/>
        <v>#REF!</v>
      </c>
      <c r="O21" s="177" t="e">
        <f t="shared" si="1"/>
        <v>#REF!</v>
      </c>
      <c r="P21" s="177" t="e">
        <f t="shared" si="1"/>
        <v>#REF!</v>
      </c>
      <c r="Q21" s="177" t="e">
        <f t="shared" si="1"/>
        <v>#REF!</v>
      </c>
      <c r="R21" s="178" t="e">
        <f t="shared" si="1"/>
        <v>#REF!</v>
      </c>
      <c r="S21" s="15"/>
      <c r="T21" s="15"/>
    </row>
    <row r="22" spans="1:20">
      <c r="A22" s="121" t="s">
        <v>46</v>
      </c>
      <c r="B22" s="171" t="e">
        <f>'Capex and FCF'!#REF!/'Capex and FCF'!#REF!</f>
        <v>#REF!</v>
      </c>
      <c r="C22" s="171" t="e">
        <f>'Capex and FCF'!#REF!/'Capex and FCF'!#REF!</f>
        <v>#REF!</v>
      </c>
      <c r="D22" s="171" t="e">
        <f>'Capex and FCF'!#REF!/'Capex and FCF'!#REF!</f>
        <v>#REF!</v>
      </c>
      <c r="E22" s="171" t="e">
        <f>'Capex and FCF'!#REF!/'Capex and FCF'!#REF!</f>
        <v>#REF!</v>
      </c>
      <c r="F22" s="172" t="e">
        <f>'Capex and FCF'!#REF!/'Capex and FCF'!#REF!</f>
        <v>#REF!</v>
      </c>
      <c r="G22" s="171"/>
      <c r="H22" s="171">
        <f>'Capex and FCF'!B23/'Capex and FCF'!B$27</f>
        <v>0.19483394833948339</v>
      </c>
      <c r="I22" s="171">
        <f>'Capex and FCF'!C23/'Capex and FCF'!C$27</f>
        <v>0.24242424242424243</v>
      </c>
      <c r="J22" s="171">
        <f>'Capex and FCF'!D23/'Capex and FCF'!D$27</f>
        <v>0.31940063091482651</v>
      </c>
      <c r="K22" s="171">
        <f>'Capex and FCF'!E23/'Capex and FCF'!E$27</f>
        <v>0.33033573141486811</v>
      </c>
      <c r="L22" s="172">
        <f>'Capex and FCF'!F23/'Capex and FCF'!F$27</f>
        <v>0.27484220018034267</v>
      </c>
      <c r="M22" s="114"/>
      <c r="N22" s="171" t="e">
        <f t="shared" si="1"/>
        <v>#REF!</v>
      </c>
      <c r="O22" s="171" t="e">
        <f t="shared" si="1"/>
        <v>#REF!</v>
      </c>
      <c r="P22" s="171" t="e">
        <f t="shared" si="1"/>
        <v>#REF!</v>
      </c>
      <c r="Q22" s="171" t="e">
        <f t="shared" si="1"/>
        <v>#REF!</v>
      </c>
      <c r="R22" s="172" t="e">
        <f t="shared" si="1"/>
        <v>#REF!</v>
      </c>
      <c r="S22" s="15"/>
      <c r="T22" s="15"/>
    </row>
    <row r="23" spans="1:20" ht="3.75" customHeight="1">
      <c r="A23" s="10"/>
      <c r="B23" s="175"/>
      <c r="C23" s="175"/>
      <c r="D23" s="175"/>
      <c r="E23" s="175"/>
      <c r="F23" s="176"/>
      <c r="G23" s="175"/>
      <c r="H23" s="175"/>
      <c r="I23" s="175"/>
      <c r="J23" s="175"/>
      <c r="K23" s="175"/>
      <c r="L23" s="176"/>
      <c r="M23" s="78"/>
      <c r="N23" s="175"/>
      <c r="O23" s="175"/>
      <c r="P23" s="175"/>
      <c r="Q23" s="175"/>
      <c r="R23" s="176"/>
      <c r="S23" s="15"/>
      <c r="T23" s="15"/>
    </row>
    <row r="24" spans="1:20">
      <c r="A24" s="10" t="s">
        <v>95</v>
      </c>
      <c r="B24" s="175" t="e">
        <f>'Capex and FCF'!#REF!/'Capex and FCF'!#REF!</f>
        <v>#REF!</v>
      </c>
      <c r="C24" s="175" t="e">
        <f>'Capex and FCF'!#REF!/'Capex and FCF'!#REF!</f>
        <v>#REF!</v>
      </c>
      <c r="D24" s="175" t="e">
        <f>'Capex and FCF'!#REF!/'Capex and FCF'!#REF!</f>
        <v>#REF!</v>
      </c>
      <c r="E24" s="175" t="e">
        <f>'Capex and FCF'!#REF!/'Capex and FCF'!#REF!</f>
        <v>#REF!</v>
      </c>
      <c r="F24" s="176" t="e">
        <f>'Capex and FCF'!#REF!/'Capex and FCF'!#REF!</f>
        <v>#REF!</v>
      </c>
      <c r="G24" s="175"/>
      <c r="H24" s="175">
        <f>'Capex and FCF'!B25/'Capex and FCF'!B$27</f>
        <v>2.9520295202952029E-2</v>
      </c>
      <c r="I24" s="175">
        <f>'Capex and FCF'!C25/'Capex and FCF'!C$27</f>
        <v>2.0733652312599681E-2</v>
      </c>
      <c r="J24" s="175">
        <f>'Capex and FCF'!D25/'Capex and FCF'!D$27</f>
        <v>1.498422712933754E-2</v>
      </c>
      <c r="K24" s="175">
        <f>'Capex and FCF'!E25/'Capex and FCF'!E$27</f>
        <v>1.3189448441247002E-2</v>
      </c>
      <c r="L24" s="176">
        <f>'Capex and FCF'!F25/'Capex and FCF'!F$27</f>
        <v>1.9296663660955816E-2</v>
      </c>
      <c r="M24" s="73"/>
      <c r="N24" s="175" t="e">
        <f>H24/B24-1</f>
        <v>#REF!</v>
      </c>
      <c r="O24" s="175" t="e">
        <f>I24/C24-1</f>
        <v>#REF!</v>
      </c>
      <c r="P24" s="175" t="e">
        <f>J24/D24-1</f>
        <v>#REF!</v>
      </c>
      <c r="Q24" s="175" t="e">
        <f>K24/E24-1</f>
        <v>#REF!</v>
      </c>
      <c r="R24" s="176" t="e">
        <f>L24/F24-1</f>
        <v>#REF!</v>
      </c>
      <c r="S24" s="15"/>
      <c r="T24" s="15"/>
    </row>
    <row r="25" spans="1:20" ht="3.75" customHeight="1">
      <c r="A25" s="10"/>
      <c r="B25" s="179"/>
      <c r="C25" s="179"/>
      <c r="D25" s="179"/>
      <c r="E25" s="185"/>
      <c r="F25" s="180"/>
      <c r="G25" s="185"/>
      <c r="H25" s="175"/>
      <c r="I25" s="179"/>
      <c r="J25" s="179"/>
      <c r="K25" s="179"/>
      <c r="L25" s="180"/>
      <c r="M25" s="74"/>
      <c r="N25" s="175"/>
      <c r="O25" s="179"/>
      <c r="P25" s="179"/>
      <c r="Q25" s="179"/>
      <c r="R25" s="180"/>
      <c r="S25" s="15"/>
      <c r="T25" s="15"/>
    </row>
    <row r="26" spans="1:20">
      <c r="A26" s="121" t="s">
        <v>105</v>
      </c>
      <c r="B26" s="171" t="e">
        <f>'Capex and FCF'!#REF!/'Capex and FCF'!#REF!</f>
        <v>#REF!</v>
      </c>
      <c r="C26" s="171" t="e">
        <f>'Capex and FCF'!#REF!/'Capex and FCF'!#REF!</f>
        <v>#REF!</v>
      </c>
      <c r="D26" s="171" t="e">
        <f>'Capex and FCF'!#REF!/'Capex and FCF'!#REF!</f>
        <v>#REF!</v>
      </c>
      <c r="E26" s="171" t="e">
        <f>'Capex and FCF'!#REF!/'Capex and FCF'!#REF!</f>
        <v>#REF!</v>
      </c>
      <c r="F26" s="172" t="e">
        <f>'Capex and FCF'!#REF!/'Capex and FCF'!#REF!</f>
        <v>#REF!</v>
      </c>
      <c r="G26" s="186"/>
      <c r="H26" s="171">
        <f>'Capex and FCF'!B27/'Capex and FCF'!B$33</f>
        <v>0.94689028651292806</v>
      </c>
      <c r="I26" s="171">
        <f>'Capex and FCF'!C27/'Capex and FCF'!C$33</f>
        <v>0.96461538461538465</v>
      </c>
      <c r="J26" s="171">
        <f>'Capex and FCF'!D27/'Capex and FCF'!D$33</f>
        <v>0.9709035222052067</v>
      </c>
      <c r="K26" s="171">
        <f>'Capex and FCF'!E27/'Capex and FCF'!E$33</f>
        <v>0.97373029772329245</v>
      </c>
      <c r="L26" s="172">
        <f>'Capex and FCF'!F27/'Capex and FCF'!F$33</f>
        <v>0.96434782608695657</v>
      </c>
      <c r="M26" s="122"/>
      <c r="N26" s="171" t="e">
        <f>H26/B26-1</f>
        <v>#REF!</v>
      </c>
      <c r="O26" s="171" t="e">
        <f>I26/C26-1</f>
        <v>#REF!</v>
      </c>
      <c r="P26" s="171" t="e">
        <f>J26/D26-1</f>
        <v>#REF!</v>
      </c>
      <c r="Q26" s="171" t="e">
        <f>K26/E26-1</f>
        <v>#REF!</v>
      </c>
      <c r="R26" s="172" t="e">
        <f>L26/F26-1</f>
        <v>#REF!</v>
      </c>
      <c r="S26" s="15"/>
      <c r="T26" s="15"/>
    </row>
    <row r="27" spans="1:20" ht="3.75" customHeight="1">
      <c r="A27" s="10"/>
      <c r="B27" s="179"/>
      <c r="C27" s="179"/>
      <c r="D27" s="179"/>
      <c r="E27" s="179"/>
      <c r="F27" s="176"/>
      <c r="G27" s="175"/>
      <c r="H27" s="175"/>
      <c r="I27" s="179"/>
      <c r="J27" s="179"/>
      <c r="K27" s="179"/>
      <c r="L27" s="176"/>
      <c r="M27" s="73"/>
      <c r="N27" s="175"/>
      <c r="O27" s="179"/>
      <c r="P27" s="179"/>
      <c r="Q27" s="179"/>
      <c r="R27" s="176"/>
      <c r="S27" s="15"/>
      <c r="T27" s="15"/>
    </row>
    <row r="28" spans="1:20">
      <c r="A28" s="10" t="s">
        <v>96</v>
      </c>
      <c r="B28" s="175" t="e">
        <f>'Capex and FCF'!#REF!/'Capex and FCF'!#REF!</f>
        <v>#REF!</v>
      </c>
      <c r="C28" s="175" t="e">
        <f>'Capex and FCF'!#REF!/'Capex and FCF'!#REF!</f>
        <v>#REF!</v>
      </c>
      <c r="D28" s="175" t="e">
        <f>'Capex and FCF'!#REF!/'Capex and FCF'!#REF!</f>
        <v>#REF!</v>
      </c>
      <c r="E28" s="175" t="e">
        <f>'Capex and FCF'!#REF!/'Capex and FCF'!#REF!</f>
        <v>#REF!</v>
      </c>
      <c r="F28" s="176" t="e">
        <f>'Capex and FCF'!#REF!/'Capex and FCF'!#REF!</f>
        <v>#REF!</v>
      </c>
      <c r="G28" s="175"/>
      <c r="H28" s="175">
        <f>'Capex and FCF'!B29/'Capex and FCF'!B$33</f>
        <v>2.7952480782669461E-3</v>
      </c>
      <c r="I28" s="175">
        <f>'Capex and FCF'!C29/'Capex and FCF'!C$33</f>
        <v>4.6153846153846158E-3</v>
      </c>
      <c r="J28" s="175">
        <f>'Capex and FCF'!D29/'Capex and FCF'!D$33</f>
        <v>9.1883614088820835E-3</v>
      </c>
      <c r="K28" s="175">
        <f>'Capex and FCF'!E29/'Capex and FCF'!E$33</f>
        <v>1.284296555750146E-2</v>
      </c>
      <c r="L28" s="176">
        <f>'Capex and FCF'!F29/'Capex and FCF'!F$33</f>
        <v>7.6521739130434785E-3</v>
      </c>
      <c r="M28" s="77"/>
      <c r="N28" s="175" t="e">
        <f>H28/B28-1</f>
        <v>#REF!</v>
      </c>
      <c r="O28" s="175" t="e">
        <f>I28/C28-1</f>
        <v>#REF!</v>
      </c>
      <c r="P28" s="175" t="e">
        <f>J28/D28-1</f>
        <v>#REF!</v>
      </c>
      <c r="Q28" s="175" t="e">
        <f>K28/E28-1</f>
        <v>#REF!</v>
      </c>
      <c r="R28" s="176" t="e">
        <f>L28/F28-1</f>
        <v>#REF!</v>
      </c>
      <c r="S28" s="15"/>
      <c r="T28" s="15"/>
    </row>
    <row r="29" spans="1:20" ht="3.75" customHeight="1">
      <c r="B29" s="181"/>
      <c r="C29" s="181"/>
      <c r="D29" s="181"/>
      <c r="E29" s="181"/>
      <c r="F29" s="170"/>
      <c r="G29" s="159"/>
      <c r="H29" s="159"/>
      <c r="I29" s="181"/>
      <c r="J29" s="181"/>
      <c r="K29" s="181"/>
      <c r="L29" s="170"/>
      <c r="M29" s="80"/>
      <c r="N29" s="159"/>
      <c r="O29" s="181"/>
      <c r="P29" s="181"/>
      <c r="Q29" s="181"/>
      <c r="R29" s="170"/>
      <c r="S29" s="15"/>
      <c r="T29" s="15"/>
    </row>
    <row r="30" spans="1:20">
      <c r="A30" s="121" t="s">
        <v>97</v>
      </c>
      <c r="B30" s="171" t="e">
        <f>'Capex and FCF'!#REF!/'Capex and FCF'!#REF!</f>
        <v>#REF!</v>
      </c>
      <c r="C30" s="171" t="e">
        <f>'Capex and FCF'!#REF!/'Capex and FCF'!#REF!</f>
        <v>#REF!</v>
      </c>
      <c r="D30" s="171" t="e">
        <f>'Capex and FCF'!#REF!/'Capex and FCF'!#REF!</f>
        <v>#REF!</v>
      </c>
      <c r="E30" s="171" t="e">
        <f>'Capex and FCF'!#REF!/'Capex and FCF'!#REF!</f>
        <v>#REF!</v>
      </c>
      <c r="F30" s="172" t="e">
        <f>'Capex and FCF'!#REF!/'Capex and FCF'!#REF!</f>
        <v>#REF!</v>
      </c>
      <c r="G30" s="171"/>
      <c r="H30" s="171">
        <f>'Capex and FCF'!B31/'Capex and FCF'!B$33</f>
        <v>5.0314465408805034E-2</v>
      </c>
      <c r="I30" s="171">
        <f>'Capex and FCF'!C31/'Capex and FCF'!C$33</f>
        <v>3.0769230769230771E-2</v>
      </c>
      <c r="J30" s="171">
        <f>'Capex and FCF'!D31/'Capex and FCF'!D$33</f>
        <v>1.9908116385911178E-2</v>
      </c>
      <c r="K30" s="171">
        <f>'Capex and FCF'!E31/'Capex and FCF'!E$33</f>
        <v>1.3426736719206071E-2</v>
      </c>
      <c r="L30" s="172">
        <f>'Capex and FCF'!F31/'Capex and FCF'!F$33</f>
        <v>2.8000000000000001E-2</v>
      </c>
      <c r="M30" s="112"/>
      <c r="N30" s="171" t="e">
        <f>H30/B30-1</f>
        <v>#REF!</v>
      </c>
      <c r="O30" s="171" t="e">
        <f>I30/C30-1</f>
        <v>#REF!</v>
      </c>
      <c r="P30" s="171" t="e">
        <f>J30/D30-1</f>
        <v>#REF!</v>
      </c>
      <c r="Q30" s="171" t="e">
        <f>K30/E30-1</f>
        <v>#REF!</v>
      </c>
      <c r="R30" s="172" t="e">
        <f>L30/F30-1</f>
        <v>#REF!</v>
      </c>
      <c r="S30" s="15"/>
      <c r="T30" s="15"/>
    </row>
    <row r="31" spans="1:20" ht="6" customHeight="1">
      <c r="B31" s="181"/>
      <c r="C31" s="181"/>
      <c r="D31" s="181"/>
      <c r="E31" s="181"/>
      <c r="F31" s="170"/>
      <c r="G31" s="159"/>
      <c r="H31" s="159"/>
      <c r="I31" s="181"/>
      <c r="J31" s="181"/>
      <c r="K31" s="181"/>
      <c r="L31" s="170"/>
      <c r="M31" s="80"/>
      <c r="N31" s="159"/>
      <c r="O31" s="181"/>
      <c r="P31" s="181"/>
      <c r="Q31" s="181"/>
      <c r="R31" s="170"/>
      <c r="S31" s="15"/>
      <c r="T31" s="15"/>
    </row>
    <row r="32" spans="1:20" s="2" customFormat="1">
      <c r="A32" s="2" t="s">
        <v>98</v>
      </c>
      <c r="B32" s="182" t="e">
        <f>'Capex and FCF'!#REF!/'Capex and FCF'!#REF!</f>
        <v>#REF!</v>
      </c>
      <c r="C32" s="182" t="e">
        <f>'Capex and FCF'!#REF!/'Capex and FCF'!#REF!</f>
        <v>#REF!</v>
      </c>
      <c r="D32" s="182" t="e">
        <f>'Capex and FCF'!#REF!/'Capex and FCF'!#REF!</f>
        <v>#REF!</v>
      </c>
      <c r="E32" s="182" t="e">
        <f>'Capex and FCF'!#REF!/'Capex and FCF'!#REF!</f>
        <v>#REF!</v>
      </c>
      <c r="F32" s="189" t="e">
        <f>'Capex and FCF'!#REF!/'Capex and FCF'!#REF!</f>
        <v>#REF!</v>
      </c>
      <c r="G32" s="182"/>
      <c r="H32" s="182">
        <f>'Capex and FCF'!B33/'Capex and FCF'!B$33</f>
        <v>1</v>
      </c>
      <c r="I32" s="182">
        <f>'Capex and FCF'!C33/'Capex and FCF'!C$33</f>
        <v>1</v>
      </c>
      <c r="J32" s="182">
        <f>'Capex and FCF'!D33/'Capex and FCF'!D$33</f>
        <v>1</v>
      </c>
      <c r="K32" s="182">
        <f>'Capex and FCF'!E33/'Capex and FCF'!E$33</f>
        <v>1</v>
      </c>
      <c r="L32" s="189">
        <f>'Capex and FCF'!F33/'Capex and FCF'!F$33</f>
        <v>1</v>
      </c>
      <c r="M32" s="81"/>
      <c r="N32" s="182" t="e">
        <f t="shared" ref="N32:R33" si="2">H32/B32-1</f>
        <v>#REF!</v>
      </c>
      <c r="O32" s="182" t="e">
        <f t="shared" si="2"/>
        <v>#REF!</v>
      </c>
      <c r="P32" s="182" t="e">
        <f t="shared" si="2"/>
        <v>#REF!</v>
      </c>
      <c r="Q32" s="182" t="e">
        <f t="shared" si="2"/>
        <v>#REF!</v>
      </c>
      <c r="R32" s="189" t="e">
        <f t="shared" si="2"/>
        <v>#REF!</v>
      </c>
      <c r="S32" s="4"/>
      <c r="T32" s="4"/>
    </row>
    <row r="33" spans="1:20" hidden="1" outlineLevel="1">
      <c r="A33" s="5" t="s">
        <v>31</v>
      </c>
      <c r="B33" s="83" t="e">
        <f>+B32/'Revenue and Exp'!#REF!</f>
        <v>#REF!</v>
      </c>
      <c r="C33" s="83" t="e">
        <f>+C32/'Revenue and Exp'!#REF!</f>
        <v>#REF!</v>
      </c>
      <c r="D33" s="83" t="e">
        <f>+D32/'Revenue and Exp'!#REF!</f>
        <v>#REF!</v>
      </c>
      <c r="E33" s="83" t="e">
        <f>+E32/'Revenue and Exp'!#REF!</f>
        <v>#REF!</v>
      </c>
      <c r="F33" s="84" t="e">
        <f>+F32/'Revenue and Exp'!#REF!</f>
        <v>#REF!</v>
      </c>
      <c r="G33" s="85"/>
      <c r="H33" s="85" t="e">
        <f>+H32/'Revenue and Exp'!#REF!</f>
        <v>#REF!</v>
      </c>
      <c r="I33" s="83" t="e">
        <f>+I32/'Revenue and Exp'!#REF!</f>
        <v>#REF!</v>
      </c>
      <c r="J33" s="83" t="e">
        <f>+J32/'Revenue and Exp'!#REF!</f>
        <v>#REF!</v>
      </c>
      <c r="K33" s="83" t="e">
        <f>+K32/'Revenue and Exp'!#REF!</f>
        <v>#REF!</v>
      </c>
      <c r="L33" s="84" t="e">
        <f>+L32/'Revenue and Exp'!#REF!</f>
        <v>#REF!</v>
      </c>
      <c r="M33" s="85"/>
      <c r="N33" s="159" t="e">
        <f t="shared" si="2"/>
        <v>#REF!</v>
      </c>
      <c r="O33" s="181" t="e">
        <f t="shared" si="2"/>
        <v>#REF!</v>
      </c>
      <c r="P33" s="181" t="e">
        <f t="shared" si="2"/>
        <v>#REF!</v>
      </c>
      <c r="Q33" s="181" t="e">
        <f t="shared" si="2"/>
        <v>#REF!</v>
      </c>
      <c r="R33" s="170" t="e">
        <f t="shared" si="2"/>
        <v>#REF!</v>
      </c>
      <c r="S33" s="15"/>
      <c r="T33" s="15"/>
    </row>
    <row r="34" spans="1:20" collapsed="1">
      <c r="B34" s="16"/>
      <c r="C34" s="16"/>
      <c r="D34" s="16"/>
      <c r="E34" s="16"/>
      <c r="F34" s="80"/>
      <c r="G34" s="80"/>
      <c r="H34" s="80"/>
      <c r="I34" s="16"/>
      <c r="J34" s="16"/>
      <c r="K34" s="16"/>
      <c r="L34" s="80"/>
      <c r="M34" s="80"/>
      <c r="N34" s="159"/>
      <c r="O34" s="181"/>
      <c r="P34" s="181"/>
      <c r="Q34" s="181"/>
      <c r="R34" s="159"/>
      <c r="S34" s="15"/>
      <c r="T34" s="15"/>
    </row>
    <row r="35" spans="1:20" ht="15.75" hidden="1" outlineLevel="1">
      <c r="A35" s="107" t="s">
        <v>40</v>
      </c>
      <c r="B35" s="103"/>
      <c r="C35" s="104"/>
      <c r="D35" s="105"/>
      <c r="E35" s="104"/>
      <c r="F35" s="106"/>
      <c r="G35" s="109"/>
      <c r="H35" s="104"/>
      <c r="I35" s="104"/>
      <c r="J35" s="104"/>
      <c r="K35" s="104"/>
      <c r="L35" s="106"/>
      <c r="M35" s="109"/>
      <c r="N35" s="183"/>
      <c r="O35" s="183"/>
      <c r="P35" s="183"/>
      <c r="Q35" s="183"/>
      <c r="R35" s="184"/>
      <c r="S35" s="15"/>
      <c r="T35" s="15"/>
    </row>
    <row r="36" spans="1:20" ht="6" hidden="1" customHeight="1" outlineLevel="1">
      <c r="B36" s="16"/>
      <c r="C36" s="16"/>
      <c r="D36" s="16"/>
      <c r="E36" s="16"/>
      <c r="F36" s="75"/>
      <c r="G36" s="80"/>
      <c r="H36" s="80"/>
      <c r="I36" s="16"/>
      <c r="J36" s="16"/>
      <c r="K36" s="16"/>
      <c r="L36" s="75"/>
      <c r="M36" s="80"/>
      <c r="N36" s="159"/>
      <c r="O36" s="181"/>
      <c r="P36" s="181"/>
      <c r="Q36" s="181"/>
      <c r="R36" s="170"/>
      <c r="S36" s="15"/>
      <c r="T36" s="15"/>
    </row>
    <row r="37" spans="1:20" hidden="1" outlineLevel="1">
      <c r="A37" s="3" t="s">
        <v>37</v>
      </c>
      <c r="B37" s="71">
        <v>1965</v>
      </c>
      <c r="C37" s="71">
        <v>1942</v>
      </c>
      <c r="D37" s="71">
        <v>1598</v>
      </c>
      <c r="E37" s="71">
        <v>2684</v>
      </c>
      <c r="F37" s="72">
        <f>SUM(B37:E37)</f>
        <v>8189</v>
      </c>
      <c r="G37" s="73"/>
      <c r="H37" s="71">
        <v>2259</v>
      </c>
      <c r="I37" s="71">
        <v>2669</v>
      </c>
      <c r="J37" s="71">
        <v>2445</v>
      </c>
      <c r="K37" s="71">
        <v>2858</v>
      </c>
      <c r="L37" s="72">
        <f>SUM(H37:K37)</f>
        <v>10231</v>
      </c>
      <c r="M37" s="73"/>
      <c r="N37" s="158">
        <f t="shared" ref="N37:R40" si="3">H37/B37-1</f>
        <v>0.14961832061068692</v>
      </c>
      <c r="O37" s="158">
        <f t="shared" si="3"/>
        <v>0.37435633367662202</v>
      </c>
      <c r="P37" s="158">
        <f t="shared" si="3"/>
        <v>0.53003754693366711</v>
      </c>
      <c r="Q37" s="158">
        <f t="shared" si="3"/>
        <v>6.4828614008941798E-2</v>
      </c>
      <c r="R37" s="160">
        <f t="shared" si="3"/>
        <v>0.24935889608010742</v>
      </c>
      <c r="S37" s="15"/>
      <c r="T37" s="15"/>
    </row>
    <row r="38" spans="1:20" hidden="1" outlineLevel="1">
      <c r="A38" s="121" t="s">
        <v>23</v>
      </c>
      <c r="B38" s="112">
        <v>-1454</v>
      </c>
      <c r="C38" s="112">
        <f>-3058-B38</f>
        <v>-1604</v>
      </c>
      <c r="D38" s="112">
        <f>-4584+3058</f>
        <v>-1526</v>
      </c>
      <c r="E38" s="112">
        <v>-1574</v>
      </c>
      <c r="F38" s="113">
        <f>SUM(B38:E38)</f>
        <v>-6158</v>
      </c>
      <c r="G38" s="114"/>
      <c r="H38" s="112">
        <v>-1431</v>
      </c>
      <c r="I38" s="112">
        <v>-1300</v>
      </c>
      <c r="J38" s="112">
        <v>-1306</v>
      </c>
      <c r="K38" s="112">
        <v>-1713</v>
      </c>
      <c r="L38" s="113">
        <f>SUM(H38:K38)</f>
        <v>-5750</v>
      </c>
      <c r="M38" s="114"/>
      <c r="N38" s="161">
        <f t="shared" si="3"/>
        <v>-1.5818431911966968E-2</v>
      </c>
      <c r="O38" s="161">
        <f t="shared" si="3"/>
        <v>-0.18952618453865333</v>
      </c>
      <c r="P38" s="161">
        <f t="shared" si="3"/>
        <v>-0.14416775884665789</v>
      </c>
      <c r="Q38" s="161">
        <f t="shared" si="3"/>
        <v>8.8310038119440826E-2</v>
      </c>
      <c r="R38" s="162">
        <f t="shared" si="3"/>
        <v>-6.6255277687560898E-2</v>
      </c>
      <c r="S38" s="15"/>
      <c r="T38" s="15"/>
    </row>
    <row r="39" spans="1:20" hidden="1" outlineLevel="1">
      <c r="A39" s="3" t="s">
        <v>38</v>
      </c>
      <c r="B39" s="71">
        <v>-88</v>
      </c>
      <c r="C39" s="77">
        <v>-86</v>
      </c>
      <c r="D39" s="77">
        <v>-60</v>
      </c>
      <c r="E39" s="77">
        <v>-77</v>
      </c>
      <c r="F39" s="72">
        <f>SUM(B39:E39)</f>
        <v>-311</v>
      </c>
      <c r="G39" s="73"/>
      <c r="H39" s="71">
        <v>-99</v>
      </c>
      <c r="I39" s="71">
        <v>-88</v>
      </c>
      <c r="J39" s="71">
        <v>-100</v>
      </c>
      <c r="K39" s="77">
        <v>-123</v>
      </c>
      <c r="L39" s="86">
        <f>SUM(H39:K39)</f>
        <v>-410</v>
      </c>
      <c r="M39" s="73"/>
      <c r="N39" s="158">
        <f t="shared" si="3"/>
        <v>0.125</v>
      </c>
      <c r="O39" s="158">
        <f t="shared" si="3"/>
        <v>2.3255813953488413E-2</v>
      </c>
      <c r="P39" s="158">
        <f t="shared" si="3"/>
        <v>0.66666666666666674</v>
      </c>
      <c r="Q39" s="163">
        <f t="shared" si="3"/>
        <v>0.59740259740259738</v>
      </c>
      <c r="R39" s="164">
        <f t="shared" si="3"/>
        <v>0.31832797427652726</v>
      </c>
      <c r="S39" s="15"/>
      <c r="T39" s="15"/>
    </row>
    <row r="40" spans="1:20" hidden="1" outlineLevel="1">
      <c r="A40" s="121" t="s">
        <v>39</v>
      </c>
      <c r="B40" s="112">
        <v>-30</v>
      </c>
      <c r="C40" s="112">
        <v>-25</v>
      </c>
      <c r="D40" s="112">
        <v>-24</v>
      </c>
      <c r="E40" s="112">
        <v>-16</v>
      </c>
      <c r="F40" s="113">
        <f>SUM(B40:E40)</f>
        <v>-95</v>
      </c>
      <c r="G40" s="114"/>
      <c r="H40" s="112">
        <v>-27</v>
      </c>
      <c r="I40" s="112">
        <v>-31</v>
      </c>
      <c r="J40" s="112">
        <v>-31</v>
      </c>
      <c r="K40" s="112">
        <v>-28</v>
      </c>
      <c r="L40" s="113">
        <f>SUM(H40:K40)</f>
        <v>-117</v>
      </c>
      <c r="M40" s="114"/>
      <c r="N40" s="161">
        <f t="shared" si="3"/>
        <v>-9.9999999999999978E-2</v>
      </c>
      <c r="O40" s="161">
        <f t="shared" si="3"/>
        <v>0.24</v>
      </c>
      <c r="P40" s="161">
        <f t="shared" si="3"/>
        <v>0.29166666666666674</v>
      </c>
      <c r="Q40" s="161">
        <f t="shared" si="3"/>
        <v>0.75</v>
      </c>
      <c r="R40" s="162">
        <f t="shared" si="3"/>
        <v>0.23157894736842111</v>
      </c>
      <c r="S40" s="15"/>
      <c r="T40" s="15"/>
    </row>
    <row r="41" spans="1:20" ht="3.75" hidden="1" customHeight="1" outlineLevel="1">
      <c r="B41" s="16"/>
      <c r="C41" s="16"/>
      <c r="D41" s="16"/>
      <c r="E41" s="16"/>
      <c r="F41" s="75"/>
      <c r="G41" s="80"/>
      <c r="H41" s="80"/>
      <c r="I41" s="16"/>
      <c r="J41" s="16"/>
      <c r="K41" s="16"/>
      <c r="L41" s="75"/>
      <c r="M41" s="80"/>
      <c r="N41" s="158"/>
      <c r="O41" s="165"/>
      <c r="P41" s="165"/>
      <c r="Q41" s="165"/>
      <c r="R41" s="160"/>
      <c r="S41" s="15"/>
      <c r="T41" s="15"/>
    </row>
    <row r="42" spans="1:20" hidden="1" outlineLevel="1">
      <c r="A42" s="3" t="s">
        <v>52</v>
      </c>
      <c r="B42" s="16"/>
      <c r="C42" s="16"/>
      <c r="D42" s="16"/>
      <c r="E42" s="16"/>
      <c r="F42" s="75"/>
      <c r="G42" s="80"/>
      <c r="H42" s="80"/>
      <c r="I42" s="16"/>
      <c r="J42" s="16"/>
      <c r="K42" s="16"/>
      <c r="L42" s="75"/>
      <c r="M42" s="80"/>
      <c r="N42" s="158"/>
      <c r="O42" s="165"/>
      <c r="P42" s="165"/>
      <c r="Q42" s="165"/>
      <c r="R42" s="160"/>
      <c r="S42" s="15"/>
      <c r="T42" s="15"/>
    </row>
    <row r="43" spans="1:20" hidden="1" outlineLevel="1">
      <c r="A43" s="5" t="s">
        <v>53</v>
      </c>
      <c r="B43" s="71">
        <v>49</v>
      </c>
      <c r="C43" s="71">
        <v>141</v>
      </c>
      <c r="D43" s="71">
        <v>536</v>
      </c>
      <c r="E43" s="71">
        <f>141-132-18</f>
        <v>-9</v>
      </c>
      <c r="F43" s="72">
        <f>SUM(B43:E43)</f>
        <v>717</v>
      </c>
      <c r="G43" s="73"/>
      <c r="H43" s="71">
        <v>0</v>
      </c>
      <c r="I43" s="71">
        <v>228</v>
      </c>
      <c r="J43" s="71">
        <v>88</v>
      </c>
      <c r="K43" s="71">
        <v>-13</v>
      </c>
      <c r="L43" s="72">
        <f>SUM(H43:K43)</f>
        <v>303</v>
      </c>
      <c r="M43" s="73"/>
      <c r="N43" s="137">
        <f>H43/B43-1</f>
        <v>-1</v>
      </c>
      <c r="O43" s="158">
        <f>I43/C43-1</f>
        <v>0.61702127659574457</v>
      </c>
      <c r="P43" s="158">
        <f>J43/D43-1</f>
        <v>-0.83582089552238803</v>
      </c>
      <c r="Q43" s="158">
        <f>K43/E43-1</f>
        <v>0.44444444444444442</v>
      </c>
      <c r="R43" s="160">
        <f>L43/F43-1</f>
        <v>-0.57740585774058584</v>
      </c>
      <c r="S43" s="15"/>
      <c r="T43" s="15"/>
    </row>
    <row r="44" spans="1:20" hidden="1" outlineLevel="1">
      <c r="A44" s="111" t="s">
        <v>75</v>
      </c>
      <c r="B44" s="115">
        <v>0</v>
      </c>
      <c r="C44" s="115">
        <v>0</v>
      </c>
      <c r="D44" s="115">
        <v>0</v>
      </c>
      <c r="E44" s="115">
        <v>0</v>
      </c>
      <c r="F44" s="116">
        <f>SUM(B44:E44)</f>
        <v>0</v>
      </c>
      <c r="G44" s="114"/>
      <c r="H44" s="115">
        <v>0</v>
      </c>
      <c r="I44" s="115">
        <v>-315</v>
      </c>
      <c r="J44" s="115">
        <v>-168</v>
      </c>
      <c r="K44" s="115">
        <v>-117</v>
      </c>
      <c r="L44" s="116">
        <f>SUM(H44:K44)</f>
        <v>-600</v>
      </c>
      <c r="M44" s="114"/>
      <c r="N44" s="149" t="s">
        <v>78</v>
      </c>
      <c r="O44" s="149" t="s">
        <v>78</v>
      </c>
      <c r="P44" s="149" t="s">
        <v>78</v>
      </c>
      <c r="Q44" s="149" t="s">
        <v>78</v>
      </c>
      <c r="R44" s="150" t="s">
        <v>78</v>
      </c>
      <c r="S44" s="15"/>
      <c r="T44" s="15"/>
    </row>
    <row r="45" spans="1:20" ht="3.75" hidden="1" customHeight="1" outlineLevel="1">
      <c r="B45" s="16"/>
      <c r="C45" s="16"/>
      <c r="D45" s="16"/>
      <c r="E45" s="16"/>
      <c r="F45" s="75"/>
      <c r="G45" s="16"/>
      <c r="H45" s="16"/>
      <c r="I45" s="16"/>
      <c r="J45" s="16"/>
      <c r="K45" s="16"/>
      <c r="L45" s="75"/>
      <c r="M45" s="16"/>
      <c r="N45" s="165"/>
      <c r="O45" s="165"/>
      <c r="P45" s="165"/>
      <c r="Q45" s="165"/>
      <c r="R45" s="160"/>
    </row>
    <row r="46" spans="1:20" hidden="1" outlineLevel="1">
      <c r="A46" s="3" t="s">
        <v>40</v>
      </c>
      <c r="B46" s="71">
        <f>SUM(B37:B44)</f>
        <v>442</v>
      </c>
      <c r="C46" s="71">
        <f>SUM(C37:C44)</f>
        <v>368</v>
      </c>
      <c r="D46" s="71">
        <f>SUM(D37:D44)</f>
        <v>524</v>
      </c>
      <c r="E46" s="71">
        <f>SUM(E37:E44)</f>
        <v>1008</v>
      </c>
      <c r="F46" s="72">
        <f>SUM(F37:F44)</f>
        <v>2342</v>
      </c>
      <c r="G46" s="31"/>
      <c r="H46" s="71">
        <f>SUM(H37:H44)</f>
        <v>702</v>
      </c>
      <c r="I46" s="71">
        <f>SUM(I37:I44)</f>
        <v>1163</v>
      </c>
      <c r="J46" s="71">
        <f>SUM(J37:J44)</f>
        <v>928</v>
      </c>
      <c r="K46" s="71">
        <f>SUM(K37:K44)</f>
        <v>864</v>
      </c>
      <c r="L46" s="72">
        <f>SUM(L37:L44)</f>
        <v>3657</v>
      </c>
      <c r="M46" s="31"/>
      <c r="N46" s="158">
        <f>H46/B46-1</f>
        <v>0.58823529411764697</v>
      </c>
      <c r="O46" s="158">
        <f>I46/C46-1</f>
        <v>2.160326086956522</v>
      </c>
      <c r="P46" s="158">
        <f>J46/D46-1</f>
        <v>0.7709923664122138</v>
      </c>
      <c r="Q46" s="158">
        <f>K46/E46-1</f>
        <v>-0.1428571428571429</v>
      </c>
      <c r="R46" s="160">
        <f>L46/F46-1</f>
        <v>0.56148590947907762</v>
      </c>
    </row>
    <row r="47" spans="1:20" ht="3.75" hidden="1" customHeight="1" outlineLevel="1">
      <c r="B47" s="16"/>
      <c r="C47" s="16"/>
      <c r="D47" s="16"/>
      <c r="E47" s="16"/>
      <c r="F47" s="75"/>
      <c r="G47" s="16"/>
      <c r="H47" s="16"/>
      <c r="I47" s="16"/>
      <c r="J47" s="16"/>
      <c r="K47" s="16"/>
      <c r="L47" s="75"/>
      <c r="M47" s="16"/>
      <c r="N47" s="165"/>
      <c r="O47" s="165"/>
      <c r="P47" s="165"/>
      <c r="Q47" s="165"/>
      <c r="R47" s="160"/>
    </row>
    <row r="48" spans="1:20" s="2" customFormat="1" hidden="1" outlineLevel="1">
      <c r="A48" s="2" t="s">
        <v>41</v>
      </c>
      <c r="B48" s="87">
        <f>B46/B56</f>
        <v>0.13982916798481493</v>
      </c>
      <c r="C48" s="87">
        <f>C46/C56</f>
        <v>0.1169367651731808</v>
      </c>
      <c r="D48" s="87">
        <f>D46/D56</f>
        <v>0.16805644644002565</v>
      </c>
      <c r="E48" s="87">
        <f>E46/E56</f>
        <v>0.32748538011695905</v>
      </c>
      <c r="F48" s="88">
        <f>F46/F56</f>
        <v>0.74848194311281557</v>
      </c>
      <c r="G48" s="89"/>
      <c r="H48" s="87">
        <f>H46/H56</f>
        <v>0.23268147166059</v>
      </c>
      <c r="I48" s="87">
        <f>I46/I56</f>
        <v>0.39158249158249159</v>
      </c>
      <c r="J48" s="87">
        <f>J46/J56</f>
        <v>0.31780821917808222</v>
      </c>
      <c r="K48" s="87">
        <f>K46/K56</f>
        <v>0.29916897506925205</v>
      </c>
      <c r="L48" s="88">
        <f>L46/L56</f>
        <v>1.2388211382113821</v>
      </c>
      <c r="M48" s="89"/>
      <c r="N48" s="167">
        <f>H48/B48-1</f>
        <v>0.66404102244145924</v>
      </c>
      <c r="O48" s="167">
        <f>I48/C48-1</f>
        <v>2.3486687527448398</v>
      </c>
      <c r="P48" s="167">
        <f>J48/D48-1</f>
        <v>0.89108020495660378</v>
      </c>
      <c r="Q48" s="167">
        <f>K48/E48-1</f>
        <v>-8.6466165413533913E-2</v>
      </c>
      <c r="R48" s="166">
        <f>L48/F48-1</f>
        <v>0.65511158901085165</v>
      </c>
    </row>
    <row r="49" spans="1:18" ht="3.75" hidden="1" customHeight="1" outlineLevel="1">
      <c r="B49" s="16"/>
      <c r="C49" s="16"/>
      <c r="D49" s="16"/>
      <c r="E49" s="16"/>
      <c r="F49" s="75"/>
      <c r="G49" s="16"/>
      <c r="H49" s="16"/>
      <c r="I49" s="16"/>
      <c r="J49" s="16"/>
      <c r="K49" s="16"/>
      <c r="L49" s="75"/>
      <c r="M49" s="16"/>
      <c r="N49" s="165"/>
      <c r="O49" s="165"/>
      <c r="P49" s="165"/>
      <c r="Q49" s="165"/>
      <c r="R49" s="160"/>
    </row>
    <row r="50" spans="1:18" hidden="1" outlineLevel="2">
      <c r="A50" s="3" t="s">
        <v>47</v>
      </c>
      <c r="B50" s="71">
        <v>662</v>
      </c>
      <c r="C50" s="71">
        <v>416</v>
      </c>
      <c r="D50" s="71">
        <v>646</v>
      </c>
      <c r="E50" s="71">
        <v>410</v>
      </c>
      <c r="F50" s="72"/>
      <c r="G50" s="16"/>
      <c r="H50" s="71">
        <v>708</v>
      </c>
      <c r="I50" s="71">
        <v>408</v>
      </c>
      <c r="J50" s="71">
        <v>679</v>
      </c>
      <c r="K50" s="71">
        <v>461</v>
      </c>
      <c r="L50" s="72">
        <v>2256</v>
      </c>
      <c r="M50" s="16"/>
      <c r="N50" s="158"/>
      <c r="O50" s="158"/>
      <c r="P50" s="158"/>
      <c r="Q50" s="158"/>
      <c r="R50" s="160"/>
    </row>
    <row r="51" spans="1:18" ht="3.75" hidden="1" customHeight="1" outlineLevel="2">
      <c r="B51" s="16"/>
      <c r="C51" s="16"/>
      <c r="D51" s="16"/>
      <c r="E51" s="16"/>
      <c r="F51" s="75"/>
      <c r="G51" s="16"/>
      <c r="H51" s="16"/>
      <c r="I51" s="16"/>
      <c r="J51" s="16"/>
      <c r="K51" s="16"/>
      <c r="L51" s="75"/>
      <c r="M51" s="16"/>
      <c r="N51" s="165"/>
      <c r="O51" s="165"/>
      <c r="P51" s="165"/>
      <c r="Q51" s="165"/>
      <c r="R51" s="160"/>
    </row>
    <row r="52" spans="1:18" hidden="1" outlineLevel="2">
      <c r="A52" s="3" t="s">
        <v>48</v>
      </c>
      <c r="B52" s="71">
        <f>SUM(B50,B46)</f>
        <v>1104</v>
      </c>
      <c r="C52" s="71">
        <f>SUM(C50,C46)</f>
        <v>784</v>
      </c>
      <c r="D52" s="71">
        <f>SUM(D50,D46)</f>
        <v>1170</v>
      </c>
      <c r="E52" s="71">
        <f>SUM(E50,E46)</f>
        <v>1418</v>
      </c>
      <c r="F52" s="72"/>
      <c r="G52" s="16"/>
      <c r="H52" s="71">
        <f>SUM(H50,H46)</f>
        <v>1410</v>
      </c>
      <c r="I52" s="71">
        <f>SUM(I50,I46)</f>
        <v>1571</v>
      </c>
      <c r="J52" s="71">
        <f>SUM(J50,J46)</f>
        <v>1607</v>
      </c>
      <c r="K52" s="71">
        <f>SUM(K50,K46)</f>
        <v>1325</v>
      </c>
      <c r="L52" s="72">
        <f>SUM(L50,L46)</f>
        <v>5913</v>
      </c>
      <c r="M52" s="16"/>
      <c r="N52" s="158"/>
      <c r="O52" s="158"/>
      <c r="P52" s="158"/>
      <c r="Q52" s="158"/>
      <c r="R52" s="160"/>
    </row>
    <row r="53" spans="1:18" ht="3.75" hidden="1" customHeight="1" outlineLevel="2">
      <c r="B53" s="16"/>
      <c r="C53" s="16"/>
      <c r="D53" s="16"/>
      <c r="E53" s="16"/>
      <c r="F53" s="90"/>
      <c r="G53" s="16"/>
      <c r="H53" s="16"/>
      <c r="I53" s="16"/>
      <c r="J53" s="16"/>
      <c r="K53" s="16"/>
      <c r="L53" s="90"/>
      <c r="M53" s="16"/>
      <c r="N53" s="165"/>
      <c r="O53" s="165"/>
      <c r="P53" s="165"/>
      <c r="Q53" s="165"/>
      <c r="R53" s="168"/>
    </row>
    <row r="54" spans="1:18" hidden="1" outlineLevel="2">
      <c r="A54" s="2" t="s">
        <v>49</v>
      </c>
      <c r="B54" s="87">
        <f>B52/B56</f>
        <v>0.34925656437836128</v>
      </c>
      <c r="C54" s="87">
        <f>C52/C56</f>
        <v>0.24912615189068954</v>
      </c>
      <c r="D54" s="87">
        <f>D52/D56</f>
        <v>0.37524053880692754</v>
      </c>
      <c r="E54" s="87">
        <f>E52/E56</f>
        <v>0.46068875893437294</v>
      </c>
      <c r="F54" s="91"/>
      <c r="G54" s="16"/>
      <c r="H54" s="87">
        <f>H52/H56</f>
        <v>0.46735167384819359</v>
      </c>
      <c r="I54" s="87">
        <f>I52/I56</f>
        <v>0.52895622895622896</v>
      </c>
      <c r="J54" s="87">
        <f>J52/J56</f>
        <v>0.5503424657534246</v>
      </c>
      <c r="K54" s="87">
        <f>K52/K56</f>
        <v>0.45879501385041549</v>
      </c>
      <c r="L54" s="88">
        <f>L52/L56</f>
        <v>2.0030487804878048</v>
      </c>
      <c r="M54" s="16"/>
      <c r="N54" s="167"/>
      <c r="O54" s="167"/>
      <c r="P54" s="167"/>
      <c r="Q54" s="167"/>
      <c r="R54" s="166"/>
    </row>
    <row r="55" spans="1:18" ht="3.75" hidden="1" customHeight="1" outlineLevel="2">
      <c r="B55" s="16"/>
      <c r="C55" s="16"/>
      <c r="D55" s="16"/>
      <c r="E55" s="16"/>
      <c r="F55" s="90"/>
      <c r="G55" s="16"/>
      <c r="H55" s="16"/>
      <c r="I55" s="16"/>
      <c r="J55" s="16"/>
      <c r="K55" s="16"/>
      <c r="L55" s="90"/>
      <c r="M55" s="16"/>
      <c r="N55" s="165"/>
      <c r="O55" s="165"/>
      <c r="P55" s="165"/>
      <c r="Q55" s="165"/>
      <c r="R55" s="168"/>
    </row>
    <row r="56" spans="1:18" hidden="1" outlineLevel="1" collapsed="1">
      <c r="A56" s="3" t="s">
        <v>42</v>
      </c>
      <c r="B56" s="92">
        <v>3161</v>
      </c>
      <c r="C56" s="92">
        <v>3147</v>
      </c>
      <c r="D56" s="92">
        <v>3118</v>
      </c>
      <c r="E56" s="92">
        <v>3078</v>
      </c>
      <c r="F56" s="93">
        <v>3129</v>
      </c>
      <c r="G56" s="94"/>
      <c r="H56" s="92">
        <v>3017</v>
      </c>
      <c r="I56" s="92">
        <v>2970</v>
      </c>
      <c r="J56" s="92">
        <v>2920</v>
      </c>
      <c r="K56" s="92">
        <v>2888</v>
      </c>
      <c r="L56" s="93">
        <v>2952</v>
      </c>
      <c r="M56" s="94"/>
      <c r="N56" s="158">
        <f>H56/B56-1</f>
        <v>-4.5555204049351428E-2</v>
      </c>
      <c r="O56" s="158">
        <f>I56/C56-1</f>
        <v>-5.6244041944709222E-2</v>
      </c>
      <c r="P56" s="158">
        <f>J56/D56-1</f>
        <v>-6.3502245028864701E-2</v>
      </c>
      <c r="Q56" s="158">
        <f>K56/E56-1</f>
        <v>-6.1728395061728447E-2</v>
      </c>
      <c r="R56" s="169">
        <f>L56/F56-1</f>
        <v>-5.6567593480345124E-2</v>
      </c>
    </row>
    <row r="57" spans="1:18" hidden="1" outlineLevel="1"/>
    <row r="58" spans="1:18" s="95" customFormat="1" hidden="1" outlineLevel="1">
      <c r="A58" s="95" t="s">
        <v>76</v>
      </c>
      <c r="B58" s="102"/>
      <c r="C58" s="102"/>
      <c r="D58" s="102"/>
      <c r="E58" s="102"/>
      <c r="F58" s="102"/>
      <c r="G58" s="102"/>
      <c r="H58" s="102"/>
      <c r="I58" s="102"/>
      <c r="J58" s="102"/>
      <c r="M58" s="102"/>
      <c r="N58" s="102"/>
      <c r="O58" s="102"/>
      <c r="P58" s="102"/>
    </row>
    <row r="59" spans="1:18" collapsed="1"/>
    <row r="60" spans="1:18" ht="13.5">
      <c r="A60" s="95" t="s">
        <v>63</v>
      </c>
    </row>
    <row r="61" spans="1:18" ht="13.5">
      <c r="A61" s="95" t="s">
        <v>64</v>
      </c>
    </row>
    <row r="74" spans="4:4">
      <c r="D74" s="3" t="s">
        <v>7</v>
      </c>
    </row>
  </sheetData>
  <phoneticPr fontId="5" type="noConversion"/>
  <printOptions horizontalCentered="1"/>
  <pageMargins left="0.5" right="0.5" top="0.25" bottom="0.25" header="0.25" footer="0.25"/>
  <pageSetup scale="92"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Customer Metrics</vt:lpstr>
      <vt:lpstr>Revenue and Exp</vt:lpstr>
      <vt:lpstr>Exp as a % of Rev</vt:lpstr>
      <vt:lpstr>Capex and FCF</vt:lpstr>
      <vt:lpstr>Notes</vt:lpstr>
      <vt:lpstr>Capex as a % of Cable Capex</vt:lpstr>
      <vt:lpstr>Notes!OLE_LINK1</vt:lpstr>
      <vt:lpstr>'Capex and FCF'!Print_Area</vt:lpstr>
      <vt:lpstr>'Capex as a % of Cable Capex'!Print_Area</vt:lpstr>
      <vt:lpstr>'Customer Metrics'!Print_Area</vt:lpstr>
      <vt:lpstr>'Exp as a % of Rev'!Print_Area</vt:lpstr>
      <vt:lpstr>Notes!Print_Area</vt:lpstr>
      <vt:lpstr>'Revenue and Exp'!Print_Area</vt:lpstr>
    </vt:vector>
  </TitlesOfParts>
  <Company>Comcast Cable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Comcast User</dc:creator>
  <cp:lastModifiedBy>DChoe000</cp:lastModifiedBy>
  <cp:lastPrinted>2010-10-25T14:18:21Z</cp:lastPrinted>
  <dcterms:created xsi:type="dcterms:W3CDTF">2008-12-16T19:43:06Z</dcterms:created>
  <dcterms:modified xsi:type="dcterms:W3CDTF">2010-10-26T20:06:27Z</dcterms:modified>
</cp:coreProperties>
</file>