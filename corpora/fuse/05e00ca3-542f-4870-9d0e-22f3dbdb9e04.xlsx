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360" windowWidth="16155" windowHeight="9540"/>
  </bookViews>
  <sheets>
    <sheet name="Summary" sheetId="60" r:id="rId1"/>
    <sheet name="Rate History" sheetId="66" r:id="rId2"/>
    <sheet name="FTSE Summary" sheetId="65" r:id="rId3"/>
    <sheet name="Discipline Summary" sheetId="62" r:id="rId4"/>
    <sheet name="Discipline Analysis" sheetId="63" r:id="rId5"/>
    <sheet name="Neutral" sheetId="64"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definedNames>
    <definedName name="Broadway_AP_FRP_RFOE_CCSurvey" localSheetId="63" hidden="1">Data!$A$4:$LB$61</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B4" i="64" l="1"/>
  <c r="B62" i="64"/>
  <c r="B61" i="64"/>
  <c r="B60" i="64"/>
  <c r="B59" i="64"/>
  <c r="B58" i="64"/>
  <c r="B57" i="64"/>
  <c r="B56" i="64"/>
  <c r="B55" i="64"/>
  <c r="B54" i="64"/>
  <c r="B53" i="64"/>
  <c r="B52" i="64"/>
  <c r="B51" i="64"/>
  <c r="B50" i="64"/>
  <c r="B49" i="64"/>
  <c r="B48" i="64"/>
  <c r="B47" i="64"/>
  <c r="B46" i="64"/>
  <c r="B45" i="64"/>
  <c r="B44" i="64"/>
  <c r="B43" i="64"/>
  <c r="B42" i="64"/>
  <c r="B41" i="64"/>
  <c r="B40" i="64"/>
  <c r="B39" i="64"/>
  <c r="B38" i="64"/>
  <c r="B37" i="64"/>
  <c r="B36" i="64"/>
  <c r="B35" i="64"/>
  <c r="B34" i="64"/>
  <c r="B33" i="64"/>
  <c r="B32" i="64"/>
  <c r="B31" i="64"/>
  <c r="B30" i="64"/>
  <c r="B29" i="64"/>
  <c r="B28" i="64"/>
  <c r="B27" i="64"/>
  <c r="B26" i="64"/>
  <c r="B25" i="64"/>
  <c r="B24" i="64"/>
  <c r="B23" i="64"/>
  <c r="B22" i="64"/>
  <c r="B21" i="64"/>
  <c r="B20" i="64"/>
  <c r="B19" i="64"/>
  <c r="B18" i="64"/>
  <c r="B17" i="64"/>
  <c r="B16" i="64"/>
  <c r="B15" i="64"/>
  <c r="B14" i="64"/>
  <c r="B13" i="64"/>
  <c r="B12" i="64"/>
  <c r="B11" i="64"/>
  <c r="B10" i="64"/>
  <c r="B9" i="64"/>
  <c r="B8" i="64"/>
  <c r="B7" i="64"/>
  <c r="B6" i="64"/>
  <c r="A1" i="66"/>
  <c r="M34" i="66"/>
  <c r="L34" i="66"/>
  <c r="X34" i="66" s="1"/>
  <c r="K34" i="66"/>
  <c r="W34" i="66" s="1"/>
  <c r="J34" i="66"/>
  <c r="V34" i="66" s="1"/>
  <c r="I34" i="66"/>
  <c r="U34" i="66" s="1"/>
  <c r="H34" i="66"/>
  <c r="T34" i="66" s="1"/>
  <c r="G34" i="66"/>
  <c r="R34" i="66" s="1"/>
  <c r="E34" i="66"/>
  <c r="Q34" i="66" s="1"/>
  <c r="M33" i="66"/>
  <c r="L33" i="66"/>
  <c r="X33" i="66" s="1"/>
  <c r="K33" i="66"/>
  <c r="W33" i="66" s="1"/>
  <c r="J33" i="66"/>
  <c r="V33" i="66" s="1"/>
  <c r="I33" i="66"/>
  <c r="U33" i="66" s="1"/>
  <c r="H33" i="66"/>
  <c r="T33" i="66" s="1"/>
  <c r="G33" i="66"/>
  <c r="R33" i="66" s="1"/>
  <c r="E33" i="66"/>
  <c r="Q33" i="66" s="1"/>
  <c r="M32" i="66"/>
  <c r="L32" i="66"/>
  <c r="X32" i="66" s="1"/>
  <c r="K32" i="66"/>
  <c r="W32" i="66" s="1"/>
  <c r="J32" i="66"/>
  <c r="V32" i="66" s="1"/>
  <c r="I32" i="66"/>
  <c r="U32" i="66" s="1"/>
  <c r="H32" i="66"/>
  <c r="T32" i="66" s="1"/>
  <c r="G32" i="66"/>
  <c r="R32" i="66" s="1"/>
  <c r="E32" i="66"/>
  <c r="Q32" i="66" s="1"/>
  <c r="X31" i="66"/>
  <c r="W31" i="66"/>
  <c r="V31" i="66"/>
  <c r="U31" i="66"/>
  <c r="T31" i="66"/>
  <c r="S31" i="66"/>
  <c r="R31" i="66"/>
  <c r="Q31" i="66"/>
  <c r="P31" i="66"/>
  <c r="X30" i="66"/>
  <c r="W30" i="66"/>
  <c r="V30" i="66"/>
  <c r="U30" i="66"/>
  <c r="T30" i="66"/>
  <c r="S30" i="66"/>
  <c r="R30" i="66"/>
  <c r="Q30" i="66"/>
  <c r="P30" i="66"/>
  <c r="X29" i="66"/>
  <c r="W29" i="66"/>
  <c r="V29" i="66"/>
  <c r="U29" i="66"/>
  <c r="T29" i="66"/>
  <c r="S29" i="66"/>
  <c r="R29" i="66"/>
  <c r="Q29" i="66"/>
  <c r="P29" i="66"/>
  <c r="X28" i="66"/>
  <c r="W28" i="66"/>
  <c r="V28" i="66"/>
  <c r="U28" i="66"/>
  <c r="T28" i="66"/>
  <c r="S28" i="66"/>
  <c r="R28" i="66"/>
  <c r="Q28" i="66"/>
  <c r="P28" i="66"/>
  <c r="X27" i="66"/>
  <c r="W27" i="66"/>
  <c r="V27" i="66"/>
  <c r="U27" i="66"/>
  <c r="T27" i="66"/>
  <c r="S27" i="66"/>
  <c r="R27" i="66"/>
  <c r="Q27" i="66"/>
  <c r="P27" i="66"/>
  <c r="X26" i="66"/>
  <c r="W26" i="66"/>
  <c r="V26" i="66"/>
  <c r="U26" i="66"/>
  <c r="T26" i="66"/>
  <c r="S26" i="66"/>
  <c r="R26" i="66"/>
  <c r="Q26" i="66"/>
  <c r="P26" i="66"/>
  <c r="X25" i="66"/>
  <c r="W25" i="66"/>
  <c r="V25" i="66"/>
  <c r="U25" i="66"/>
  <c r="T25" i="66"/>
  <c r="S25" i="66"/>
  <c r="R25" i="66"/>
  <c r="Q25" i="66"/>
  <c r="P25" i="66"/>
  <c r="X24" i="66"/>
  <c r="W24" i="66"/>
  <c r="V24" i="66"/>
  <c r="U24" i="66"/>
  <c r="T24" i="66"/>
  <c r="S24" i="66"/>
  <c r="R24" i="66"/>
  <c r="Q24" i="66"/>
  <c r="P24" i="66"/>
  <c r="X23" i="66"/>
  <c r="W23" i="66"/>
  <c r="V23" i="66"/>
  <c r="U23" i="66"/>
  <c r="T23" i="66"/>
  <c r="S23" i="66"/>
  <c r="R23" i="66"/>
  <c r="Q23" i="66"/>
  <c r="P23" i="66"/>
  <c r="X22" i="66"/>
  <c r="W22" i="66"/>
  <c r="V22" i="66"/>
  <c r="U22" i="66"/>
  <c r="T22" i="66"/>
  <c r="S22" i="66"/>
  <c r="R22" i="66"/>
  <c r="Q22" i="66"/>
  <c r="P22" i="66"/>
  <c r="X21" i="66"/>
  <c r="W21" i="66"/>
  <c r="V21" i="66"/>
  <c r="U21" i="66"/>
  <c r="T21" i="66"/>
  <c r="S21" i="66"/>
  <c r="R21" i="66"/>
  <c r="Q21" i="66"/>
  <c r="P21" i="66"/>
  <c r="X20" i="66"/>
  <c r="W20" i="66"/>
  <c r="V20" i="66"/>
  <c r="U20" i="66"/>
  <c r="T20" i="66"/>
  <c r="S20" i="66"/>
  <c r="R20" i="66"/>
  <c r="Q20" i="66"/>
  <c r="P20" i="66"/>
  <c r="X19" i="66"/>
  <c r="W19" i="66"/>
  <c r="V19" i="66"/>
  <c r="U19" i="66"/>
  <c r="T19" i="66"/>
  <c r="S19" i="66"/>
  <c r="R19" i="66"/>
  <c r="Q19" i="66"/>
  <c r="P19" i="66"/>
  <c r="X18" i="66"/>
  <c r="W18" i="66"/>
  <c r="V18" i="66"/>
  <c r="U18" i="66"/>
  <c r="T18" i="66"/>
  <c r="S18" i="66"/>
  <c r="R18" i="66"/>
  <c r="Q18" i="66"/>
  <c r="P18" i="66"/>
  <c r="X17" i="66"/>
  <c r="W17" i="66"/>
  <c r="V17" i="66"/>
  <c r="U17" i="66"/>
  <c r="T17" i="66"/>
  <c r="S17" i="66"/>
  <c r="R17" i="66"/>
  <c r="Q17" i="66"/>
  <c r="P17" i="66"/>
  <c r="X16" i="66"/>
  <c r="W16" i="66"/>
  <c r="V16" i="66"/>
  <c r="U16" i="66"/>
  <c r="T16" i="66"/>
  <c r="S16" i="66"/>
  <c r="R16" i="66"/>
  <c r="Q16" i="66"/>
  <c r="P16" i="66"/>
  <c r="X15" i="66"/>
  <c r="W15" i="66"/>
  <c r="V15" i="66"/>
  <c r="U15" i="66"/>
  <c r="T15" i="66"/>
  <c r="S15" i="66"/>
  <c r="R15" i="66"/>
  <c r="Q15" i="66"/>
  <c r="P15" i="66"/>
  <c r="X14" i="66"/>
  <c r="W14" i="66"/>
  <c r="V14" i="66"/>
  <c r="U14" i="66"/>
  <c r="T14" i="66"/>
  <c r="S14" i="66"/>
  <c r="R14" i="66"/>
  <c r="Q14" i="66"/>
  <c r="P14" i="66"/>
  <c r="X13" i="66"/>
  <c r="W13" i="66"/>
  <c r="V13" i="66"/>
  <c r="U13" i="66"/>
  <c r="T13" i="66"/>
  <c r="S13" i="66"/>
  <c r="R13" i="66"/>
  <c r="Q13" i="66"/>
  <c r="P13" i="66"/>
  <c r="X12" i="66"/>
  <c r="W12" i="66"/>
  <c r="V12" i="66"/>
  <c r="U12" i="66"/>
  <c r="T12" i="66"/>
  <c r="S12" i="66"/>
  <c r="R12" i="66"/>
  <c r="Q12" i="66"/>
  <c r="P12" i="66"/>
  <c r="X11" i="66"/>
  <c r="W11" i="66"/>
  <c r="V11" i="66"/>
  <c r="U11" i="66"/>
  <c r="T11" i="66"/>
  <c r="S11" i="66"/>
  <c r="R11" i="66"/>
  <c r="Q11" i="66"/>
  <c r="P11" i="66"/>
  <c r="X10" i="66"/>
  <c r="W10" i="66"/>
  <c r="V10" i="66"/>
  <c r="U10" i="66"/>
  <c r="T10" i="66"/>
  <c r="S10" i="66"/>
  <c r="R10" i="66"/>
  <c r="Q10" i="66"/>
  <c r="P10" i="66"/>
  <c r="X9" i="66"/>
  <c r="W9" i="66"/>
  <c r="V9" i="66"/>
  <c r="U9" i="66"/>
  <c r="T9" i="66"/>
  <c r="S9" i="66"/>
  <c r="R9" i="66"/>
  <c r="Q9" i="66"/>
  <c r="P9" i="66"/>
  <c r="X8" i="66"/>
  <c r="W8" i="66"/>
  <c r="V8" i="66"/>
  <c r="U8" i="66"/>
  <c r="T8" i="66"/>
  <c r="S8" i="66"/>
  <c r="R8" i="66"/>
  <c r="Q8" i="66"/>
  <c r="P8" i="66"/>
  <c r="X7" i="66"/>
  <c r="W7" i="66"/>
  <c r="V7" i="66"/>
  <c r="U7" i="66"/>
  <c r="T7" i="66"/>
  <c r="S7" i="66"/>
  <c r="R7" i="66"/>
  <c r="Q7" i="66"/>
  <c r="P7" i="66"/>
  <c r="X6" i="66"/>
  <c r="W6" i="66"/>
  <c r="V6" i="66"/>
  <c r="U6" i="66"/>
  <c r="T6" i="66"/>
  <c r="S6" i="66"/>
  <c r="R6" i="66"/>
  <c r="Q6" i="66"/>
  <c r="P6" i="66"/>
  <c r="X5" i="66"/>
  <c r="W5" i="66"/>
  <c r="V5" i="66"/>
  <c r="U5" i="66"/>
  <c r="T5" i="66"/>
  <c r="S5" i="66"/>
  <c r="R5" i="66"/>
  <c r="Q5" i="66"/>
  <c r="P5" i="66"/>
  <c r="X4" i="66"/>
  <c r="W4" i="66"/>
  <c r="V4" i="66"/>
  <c r="U4" i="66"/>
  <c r="T4" i="66"/>
  <c r="S4" i="66"/>
  <c r="R4" i="66"/>
  <c r="Q4" i="66"/>
  <c r="P4" i="66"/>
  <c r="D32" i="66" l="1"/>
  <c r="P32" i="66" s="1"/>
  <c r="S32" i="66"/>
  <c r="D33" i="66"/>
  <c r="P33" i="66" s="1"/>
  <c r="S33" i="66"/>
  <c r="D34" i="66"/>
  <c r="P34" i="66" s="1"/>
  <c r="S34" i="66"/>
  <c r="C4" i="64" l="1"/>
  <c r="F3" i="57" l="1"/>
  <c r="F3" i="56"/>
  <c r="F3" i="55"/>
  <c r="F3" i="54"/>
  <c r="F3" i="53"/>
  <c r="F3" i="52"/>
  <c r="F3" i="51"/>
  <c r="F3" i="50"/>
  <c r="F3" i="49"/>
  <c r="F3" i="48"/>
  <c r="F3" i="47"/>
  <c r="F3" i="46"/>
  <c r="F3" i="45"/>
  <c r="F3" i="44"/>
  <c r="F3" i="43"/>
  <c r="F3" i="42"/>
  <c r="F3" i="41"/>
  <c r="F3" i="40"/>
  <c r="F3" i="39"/>
  <c r="F3" i="38"/>
  <c r="F3" i="37"/>
  <c r="F3" i="36"/>
  <c r="F3" i="35"/>
  <c r="F3" i="34"/>
  <c r="F3" i="33"/>
  <c r="F3" i="32"/>
  <c r="F3" i="31"/>
  <c r="F3" i="30"/>
  <c r="F3" i="29"/>
  <c r="F3" i="28"/>
  <c r="F3" i="27"/>
  <c r="F3" i="26"/>
  <c r="F3" i="25"/>
  <c r="F3" i="24"/>
  <c r="F3" i="23"/>
  <c r="F3" i="22"/>
  <c r="F3" i="21"/>
  <c r="F3" i="20"/>
  <c r="F3" i="19"/>
  <c r="F3" i="18"/>
  <c r="F3" i="17"/>
  <c r="F3" i="16"/>
  <c r="F3" i="15"/>
  <c r="F3" i="14"/>
  <c r="F3" i="13"/>
  <c r="F3" i="12"/>
  <c r="F3" i="11"/>
  <c r="F3" i="10"/>
  <c r="F3" i="9"/>
  <c r="F3" i="8"/>
  <c r="F3" i="7"/>
  <c r="F3" i="6"/>
  <c r="F3" i="5"/>
  <c r="F3" i="4"/>
  <c r="F3" i="3"/>
  <c r="F3" i="59"/>
  <c r="F3" i="1"/>
  <c r="D117" i="1" l="1"/>
  <c r="F117" i="1" s="1"/>
  <c r="D115" i="1"/>
  <c r="E113" i="1"/>
  <c r="E111" i="1"/>
  <c r="E109" i="1"/>
  <c r="C15" i="65"/>
  <c r="C38" i="65"/>
  <c r="C45" i="65"/>
  <c r="C46" i="65"/>
  <c r="C60" i="65"/>
  <c r="C59" i="65"/>
  <c r="C58" i="65"/>
  <c r="C57" i="65"/>
  <c r="C56" i="65"/>
  <c r="C55" i="65"/>
  <c r="C54" i="65"/>
  <c r="C53" i="65"/>
  <c r="C52" i="65"/>
  <c r="C51" i="65"/>
  <c r="C50" i="65"/>
  <c r="C49" i="65"/>
  <c r="C48" i="65"/>
  <c r="C47" i="65"/>
  <c r="C44" i="65"/>
  <c r="C43" i="65"/>
  <c r="C42" i="65"/>
  <c r="C41" i="65"/>
  <c r="C40" i="65"/>
  <c r="C39" i="65"/>
  <c r="C37" i="65"/>
  <c r="C36" i="65"/>
  <c r="C35" i="65"/>
  <c r="C34" i="65"/>
  <c r="C33" i="65"/>
  <c r="C32" i="65"/>
  <c r="C31" i="65"/>
  <c r="C30" i="65"/>
  <c r="C29" i="65"/>
  <c r="C28" i="65"/>
  <c r="C27" i="65"/>
  <c r="C26" i="65"/>
  <c r="C25" i="65"/>
  <c r="C24" i="65"/>
  <c r="C23" i="65"/>
  <c r="C22" i="65"/>
  <c r="C21" i="65"/>
  <c r="C20" i="65"/>
  <c r="C19" i="65"/>
  <c r="C18" i="65"/>
  <c r="C17" i="65"/>
  <c r="C16" i="65"/>
  <c r="C14" i="65"/>
  <c r="C13" i="65"/>
  <c r="C12" i="65"/>
  <c r="C11" i="65"/>
  <c r="C10" i="65"/>
  <c r="C9" i="65"/>
  <c r="C8" i="65"/>
  <c r="C7" i="65"/>
  <c r="C6" i="65"/>
  <c r="C5" i="65"/>
  <c r="C4" i="65"/>
  <c r="A1" i="65"/>
  <c r="D5" i="64"/>
  <c r="A1" i="64"/>
  <c r="A1" i="63"/>
  <c r="A1" i="62"/>
  <c r="C115" i="12"/>
  <c r="B2" i="55"/>
  <c r="B2" i="54"/>
  <c r="B2" i="53"/>
  <c r="B2" i="52"/>
  <c r="B2" i="51"/>
  <c r="B2" i="50"/>
  <c r="B2" i="49"/>
  <c r="B2" i="48"/>
  <c r="B2" i="47"/>
  <c r="E113" i="46"/>
  <c r="B2" i="46"/>
  <c r="B2" i="45"/>
  <c r="C116" i="44"/>
  <c r="B2" i="44"/>
  <c r="B2" i="43"/>
  <c r="C112" i="42"/>
  <c r="B2" i="42"/>
  <c r="B2" i="41"/>
  <c r="E115" i="40"/>
  <c r="B2" i="40"/>
  <c r="B2" i="39"/>
  <c r="C112" i="38"/>
  <c r="B2" i="38"/>
  <c r="B2" i="37"/>
  <c r="E115" i="36"/>
  <c r="B2" i="36"/>
  <c r="B2" i="35"/>
  <c r="C111" i="34"/>
  <c r="B2" i="34"/>
  <c r="B2" i="33"/>
  <c r="C114" i="32"/>
  <c r="B2" i="32"/>
  <c r="B2" i="31"/>
  <c r="D109" i="30"/>
  <c r="B2" i="30"/>
  <c r="B2" i="29"/>
  <c r="E113" i="28"/>
  <c r="B2" i="28"/>
  <c r="B2" i="27"/>
  <c r="C116" i="26"/>
  <c r="B2" i="26"/>
  <c r="B2" i="25"/>
  <c r="D115" i="24"/>
  <c r="B2" i="24"/>
  <c r="B2" i="23"/>
  <c r="C115" i="22"/>
  <c r="B2" i="22"/>
  <c r="B2" i="21"/>
  <c r="C115" i="20"/>
  <c r="B2" i="20"/>
  <c r="B2" i="19"/>
  <c r="C115" i="18"/>
  <c r="B2" i="18"/>
  <c r="B2" i="17"/>
  <c r="C115" i="16"/>
  <c r="B2" i="16"/>
  <c r="B2" i="15"/>
  <c r="E115" i="14"/>
  <c r="B2" i="14"/>
  <c r="B2" i="13"/>
  <c r="B2" i="12"/>
  <c r="C116" i="11"/>
  <c r="B2" i="11"/>
  <c r="B2" i="10"/>
  <c r="D117" i="9"/>
  <c r="F117" i="9" s="1"/>
  <c r="B2" i="9"/>
  <c r="B2" i="8"/>
  <c r="E114" i="7"/>
  <c r="B2" i="7"/>
  <c r="B2" i="6"/>
  <c r="D115" i="5"/>
  <c r="B2" i="5"/>
  <c r="B2" i="4"/>
  <c r="C116" i="3"/>
  <c r="B2" i="3"/>
  <c r="B2" i="59"/>
  <c r="B2" i="1"/>
  <c r="B2" i="56"/>
  <c r="D109" i="57"/>
  <c r="D120" i="60"/>
  <c r="C120" i="60"/>
  <c r="E117" i="60"/>
  <c r="C117" i="60"/>
  <c r="D116" i="60"/>
  <c r="D114" i="60"/>
  <c r="D113" i="60"/>
  <c r="D112" i="60"/>
  <c r="D111" i="60"/>
  <c r="D110" i="60"/>
  <c r="A1" i="55"/>
  <c r="A1" i="54"/>
  <c r="A1" i="53"/>
  <c r="A1" i="52"/>
  <c r="A1" i="51"/>
  <c r="A1" i="50"/>
  <c r="A1" i="49"/>
  <c r="A1" i="48"/>
  <c r="A1" i="47"/>
  <c r="A1" i="46"/>
  <c r="A1" i="45"/>
  <c r="A1" i="44"/>
  <c r="A1" i="43"/>
  <c r="A1" i="42"/>
  <c r="A1" i="41"/>
  <c r="A1" i="40"/>
  <c r="A1" i="39"/>
  <c r="A1" i="38"/>
  <c r="A1" i="37"/>
  <c r="A1" i="36"/>
  <c r="A1" i="35"/>
  <c r="A1" i="34"/>
  <c r="A1" i="33"/>
  <c r="A1" i="32"/>
  <c r="A1" i="31"/>
  <c r="A1" i="30"/>
  <c r="A1" i="29"/>
  <c r="A1" i="28"/>
  <c r="A1" i="27"/>
  <c r="A1" i="26"/>
  <c r="A1" i="25"/>
  <c r="A1" i="24"/>
  <c r="A1" i="23"/>
  <c r="A1" i="22"/>
  <c r="A1" i="21"/>
  <c r="A1" i="20"/>
  <c r="A1" i="19"/>
  <c r="A1" i="18"/>
  <c r="A1" i="17"/>
  <c r="A1" i="16"/>
  <c r="A1" i="15"/>
  <c r="A1" i="14"/>
  <c r="A1" i="13"/>
  <c r="A1" i="12"/>
  <c r="A1" i="11"/>
  <c r="A1" i="10"/>
  <c r="A1" i="9"/>
  <c r="A1" i="8"/>
  <c r="A1" i="7"/>
  <c r="A1" i="6"/>
  <c r="A1" i="5"/>
  <c r="A1" i="4"/>
  <c r="A1" i="3"/>
  <c r="A1" i="59"/>
  <c r="A1" i="1"/>
  <c r="A1" i="56"/>
  <c r="A1" i="57"/>
  <c r="B2" i="57"/>
  <c r="E110" i="3" l="1"/>
  <c r="E114" i="3"/>
  <c r="E109" i="5"/>
  <c r="E113" i="5"/>
  <c r="D117" i="5"/>
  <c r="F117" i="5" s="1"/>
  <c r="E112" i="7"/>
  <c r="C116" i="7"/>
  <c r="E111" i="9"/>
  <c r="D115" i="9"/>
  <c r="E110" i="11"/>
  <c r="E114" i="11"/>
  <c r="D109" i="12"/>
  <c r="C113" i="12"/>
  <c r="C110" i="14"/>
  <c r="C114" i="14"/>
  <c r="D109" i="16"/>
  <c r="C113" i="16"/>
  <c r="D109" i="18"/>
  <c r="C113" i="18"/>
  <c r="D109" i="20"/>
  <c r="C113" i="20"/>
  <c r="C111" i="22"/>
  <c r="E111" i="24"/>
  <c r="E112" i="26"/>
  <c r="E109" i="28"/>
  <c r="D117" i="28"/>
  <c r="F117" i="28" s="1"/>
  <c r="E112" i="3"/>
  <c r="E111" i="5"/>
  <c r="E110" i="7"/>
  <c r="E109" i="9"/>
  <c r="E113" i="9"/>
  <c r="E112" i="11"/>
  <c r="C111" i="12"/>
  <c r="C112" i="14"/>
  <c r="C111" i="16"/>
  <c r="C111" i="18"/>
  <c r="C111" i="20"/>
  <c r="E120" i="56"/>
  <c r="D117" i="56"/>
  <c r="F117" i="56" s="1"/>
  <c r="C116" i="56"/>
  <c r="D115" i="56"/>
  <c r="E114" i="56"/>
  <c r="E113" i="56"/>
  <c r="E112" i="56"/>
  <c r="E111" i="56"/>
  <c r="E110" i="56"/>
  <c r="E109" i="56"/>
  <c r="D117" i="59"/>
  <c r="F117" i="59" s="1"/>
  <c r="C116" i="59"/>
  <c r="D115" i="59"/>
  <c r="E114" i="59"/>
  <c r="E113" i="59"/>
  <c r="E112" i="59"/>
  <c r="E111" i="59"/>
  <c r="E110" i="59"/>
  <c r="E109" i="59"/>
  <c r="D117" i="4"/>
  <c r="F117" i="4" s="1"/>
  <c r="C116" i="4"/>
  <c r="D115" i="4"/>
  <c r="E114" i="4"/>
  <c r="E113" i="4"/>
  <c r="E112" i="4"/>
  <c r="E111" i="4"/>
  <c r="E110" i="4"/>
  <c r="E109" i="4"/>
  <c r="D117" i="6"/>
  <c r="F117" i="6" s="1"/>
  <c r="C116" i="6"/>
  <c r="D115" i="6"/>
  <c r="E114" i="6"/>
  <c r="E113" i="6"/>
  <c r="E112" i="6"/>
  <c r="E111" i="6"/>
  <c r="E110" i="6"/>
  <c r="E109" i="6"/>
  <c r="D117" i="8"/>
  <c r="F117" i="8" s="1"/>
  <c r="C116" i="8"/>
  <c r="D115" i="8"/>
  <c r="E114" i="8"/>
  <c r="E113" i="8"/>
  <c r="E112" i="8"/>
  <c r="E111" i="8"/>
  <c r="E110" i="8"/>
  <c r="E109" i="8"/>
  <c r="D117" i="10"/>
  <c r="F117" i="10" s="1"/>
  <c r="C116" i="10"/>
  <c r="D115" i="10"/>
  <c r="E114" i="10"/>
  <c r="E113" i="10"/>
  <c r="E112" i="10"/>
  <c r="E111" i="10"/>
  <c r="E110" i="10"/>
  <c r="E109" i="10"/>
  <c r="E115" i="13"/>
  <c r="C115" i="13"/>
  <c r="C114" i="13"/>
  <c r="C113" i="13"/>
  <c r="C112" i="13"/>
  <c r="C111" i="13"/>
  <c r="C110" i="13"/>
  <c r="D109" i="13"/>
  <c r="E115" i="15"/>
  <c r="C115" i="15"/>
  <c r="C114" i="15"/>
  <c r="C113" i="15"/>
  <c r="C112" i="15"/>
  <c r="C111" i="15"/>
  <c r="C110" i="15"/>
  <c r="D109" i="15"/>
  <c r="D117" i="17"/>
  <c r="F117" i="17" s="1"/>
  <c r="C116" i="17"/>
  <c r="D115" i="17"/>
  <c r="E114" i="17"/>
  <c r="E113" i="17"/>
  <c r="E112" i="17"/>
  <c r="E111" i="17"/>
  <c r="E110" i="17"/>
  <c r="E109" i="17"/>
  <c r="D117" i="19"/>
  <c r="F117" i="19" s="1"/>
  <c r="C116" i="19"/>
  <c r="D115" i="19"/>
  <c r="E114" i="19"/>
  <c r="E113" i="19"/>
  <c r="E112" i="19"/>
  <c r="E111" i="19"/>
  <c r="E110" i="19"/>
  <c r="E109" i="19"/>
  <c r="E115" i="21"/>
  <c r="C115" i="21"/>
  <c r="C114" i="21"/>
  <c r="C113" i="21"/>
  <c r="C112" i="21"/>
  <c r="C111" i="21"/>
  <c r="C110" i="21"/>
  <c r="D109" i="21"/>
  <c r="D117" i="21"/>
  <c r="F117" i="21" s="1"/>
  <c r="D115" i="21"/>
  <c r="E113" i="21"/>
  <c r="E111" i="21"/>
  <c r="E109" i="21"/>
  <c r="E115" i="23"/>
  <c r="C115" i="23"/>
  <c r="C114" i="23"/>
  <c r="C113" i="23"/>
  <c r="C112" i="23"/>
  <c r="C111" i="23"/>
  <c r="C110" i="23"/>
  <c r="D109" i="23"/>
  <c r="C116" i="23"/>
  <c r="E114" i="23"/>
  <c r="E112" i="23"/>
  <c r="E110" i="23"/>
  <c r="D117" i="25"/>
  <c r="F117" i="25" s="1"/>
  <c r="C116" i="25"/>
  <c r="D115" i="25"/>
  <c r="E114" i="25"/>
  <c r="E113" i="25"/>
  <c r="E112" i="25"/>
  <c r="E111" i="25"/>
  <c r="E110" i="25"/>
  <c r="E109" i="25"/>
  <c r="C115" i="25"/>
  <c r="C113" i="25"/>
  <c r="F113" i="25" s="1"/>
  <c r="C111" i="25"/>
  <c r="D109" i="25"/>
  <c r="D117" i="27"/>
  <c r="F117" i="27" s="1"/>
  <c r="C116" i="27"/>
  <c r="D115" i="27"/>
  <c r="E114" i="27"/>
  <c r="E113" i="27"/>
  <c r="E112" i="27"/>
  <c r="E111" i="27"/>
  <c r="E110" i="27"/>
  <c r="E109" i="27"/>
  <c r="E115" i="27"/>
  <c r="C114" i="27"/>
  <c r="C112" i="27"/>
  <c r="F112" i="27" s="1"/>
  <c r="C110" i="27"/>
  <c r="E115" i="29"/>
  <c r="C115" i="29"/>
  <c r="C114" i="29"/>
  <c r="D117" i="29"/>
  <c r="F117" i="29" s="1"/>
  <c r="D115" i="29"/>
  <c r="E113" i="29"/>
  <c r="E112" i="29"/>
  <c r="E111" i="29"/>
  <c r="E110" i="29"/>
  <c r="E109" i="29"/>
  <c r="C116" i="29"/>
  <c r="C113" i="29"/>
  <c r="F113" i="29" s="1"/>
  <c r="C111" i="29"/>
  <c r="D109" i="29"/>
  <c r="E115" i="31"/>
  <c r="C115" i="31"/>
  <c r="C114" i="31"/>
  <c r="C113" i="31"/>
  <c r="C112" i="31"/>
  <c r="C111" i="31"/>
  <c r="C110" i="31"/>
  <c r="D109" i="31"/>
  <c r="C116" i="31"/>
  <c r="E114" i="31"/>
  <c r="E112" i="31"/>
  <c r="E110" i="31"/>
  <c r="D117" i="31"/>
  <c r="F117" i="31" s="1"/>
  <c r="E113" i="31"/>
  <c r="E109" i="31"/>
  <c r="E115" i="33"/>
  <c r="C115" i="33"/>
  <c r="C114" i="33"/>
  <c r="C113" i="33"/>
  <c r="C112" i="33"/>
  <c r="C111" i="33"/>
  <c r="C110" i="33"/>
  <c r="D109" i="33"/>
  <c r="D117" i="33"/>
  <c r="F117" i="33" s="1"/>
  <c r="D115" i="33"/>
  <c r="E113" i="33"/>
  <c r="E111" i="33"/>
  <c r="E109" i="33"/>
  <c r="E114" i="33"/>
  <c r="E110" i="33"/>
  <c r="E115" i="35"/>
  <c r="C115" i="35"/>
  <c r="C114" i="35"/>
  <c r="C113" i="35"/>
  <c r="C112" i="35"/>
  <c r="C111" i="35"/>
  <c r="C110" i="35"/>
  <c r="D109" i="35"/>
  <c r="C116" i="35"/>
  <c r="E114" i="35"/>
  <c r="E112" i="35"/>
  <c r="E110" i="35"/>
  <c r="D115" i="35"/>
  <c r="E111" i="35"/>
  <c r="D117" i="37"/>
  <c r="F117" i="37" s="1"/>
  <c r="C116" i="37"/>
  <c r="D115" i="37"/>
  <c r="E114" i="37"/>
  <c r="E113" i="37"/>
  <c r="E112" i="37"/>
  <c r="E111" i="37"/>
  <c r="E110" i="37"/>
  <c r="E109" i="37"/>
  <c r="C115" i="37"/>
  <c r="C113" i="37"/>
  <c r="F113" i="37" s="1"/>
  <c r="C111" i="37"/>
  <c r="D109" i="37"/>
  <c r="E115" i="37"/>
  <c r="C112" i="37"/>
  <c r="D117" i="39"/>
  <c r="F117" i="39" s="1"/>
  <c r="C116" i="39"/>
  <c r="D115" i="39"/>
  <c r="E114" i="39"/>
  <c r="E113" i="39"/>
  <c r="E112" i="39"/>
  <c r="E111" i="39"/>
  <c r="E110" i="39"/>
  <c r="E109" i="39"/>
  <c r="C115" i="39"/>
  <c r="C113" i="39"/>
  <c r="F113" i="39" s="1"/>
  <c r="C111" i="39"/>
  <c r="D109" i="39"/>
  <c r="E115" i="39"/>
  <c r="C112" i="39"/>
  <c r="D117" i="41"/>
  <c r="F117" i="41" s="1"/>
  <c r="C116" i="41"/>
  <c r="D115" i="41"/>
  <c r="E114" i="41"/>
  <c r="E113" i="41"/>
  <c r="E112" i="41"/>
  <c r="E111" i="41"/>
  <c r="E110" i="41"/>
  <c r="E109" i="41"/>
  <c r="C115" i="41"/>
  <c r="C113" i="41"/>
  <c r="F113" i="41" s="1"/>
  <c r="C111" i="41"/>
  <c r="D109" i="41"/>
  <c r="E115" i="41"/>
  <c r="C112" i="41"/>
  <c r="D117" i="43"/>
  <c r="F117" i="43" s="1"/>
  <c r="C116" i="43"/>
  <c r="D115" i="43"/>
  <c r="E114" i="43"/>
  <c r="E113" i="43"/>
  <c r="E112" i="43"/>
  <c r="E111" i="43"/>
  <c r="E110" i="43"/>
  <c r="E109" i="43"/>
  <c r="C115" i="43"/>
  <c r="C113" i="43"/>
  <c r="F113" i="43" s="1"/>
  <c r="C111" i="43"/>
  <c r="D109" i="43"/>
  <c r="E115" i="43"/>
  <c r="C112" i="43"/>
  <c r="D117" i="45"/>
  <c r="F117" i="45" s="1"/>
  <c r="C116" i="45"/>
  <c r="D115" i="45"/>
  <c r="E114" i="45"/>
  <c r="E113" i="45"/>
  <c r="E112" i="45"/>
  <c r="E111" i="45"/>
  <c r="E110" i="45"/>
  <c r="E109" i="45"/>
  <c r="E115" i="45"/>
  <c r="C114" i="45"/>
  <c r="C112" i="45"/>
  <c r="F112" i="45" s="1"/>
  <c r="C110" i="45"/>
  <c r="C113" i="45"/>
  <c r="D109" i="45"/>
  <c r="D117" i="47"/>
  <c r="F117" i="47" s="1"/>
  <c r="C116" i="47"/>
  <c r="D115" i="47"/>
  <c r="E114" i="47"/>
  <c r="E113" i="47"/>
  <c r="E112" i="47"/>
  <c r="E111" i="47"/>
  <c r="E110" i="47"/>
  <c r="E109" i="47"/>
  <c r="E115" i="47"/>
  <c r="C115" i="47"/>
  <c r="C114" i="47"/>
  <c r="F114" i="47" s="1"/>
  <c r="C113" i="47"/>
  <c r="F113" i="47" s="1"/>
  <c r="C112" i="47"/>
  <c r="F112" i="47" s="1"/>
  <c r="C111" i="47"/>
  <c r="F111" i="47" s="1"/>
  <c r="C110" i="47"/>
  <c r="F110" i="47" s="1"/>
  <c r="D109" i="47"/>
  <c r="D117" i="49"/>
  <c r="F117" i="49" s="1"/>
  <c r="C116" i="49"/>
  <c r="D115" i="49"/>
  <c r="E114" i="49"/>
  <c r="E113" i="49"/>
  <c r="E112" i="49"/>
  <c r="E111" i="49"/>
  <c r="E110" i="49"/>
  <c r="E109" i="49"/>
  <c r="E115" i="49"/>
  <c r="C115" i="49"/>
  <c r="C114" i="49"/>
  <c r="F114" i="49" s="1"/>
  <c r="C113" i="49"/>
  <c r="F113" i="49" s="1"/>
  <c r="C112" i="49"/>
  <c r="F112" i="49" s="1"/>
  <c r="C111" i="49"/>
  <c r="F111" i="49" s="1"/>
  <c r="C110" i="49"/>
  <c r="F110" i="49" s="1"/>
  <c r="D109" i="49"/>
  <c r="D117" i="51"/>
  <c r="F117" i="51" s="1"/>
  <c r="C116" i="51"/>
  <c r="D115" i="51"/>
  <c r="E114" i="51"/>
  <c r="E113" i="51"/>
  <c r="E112" i="51"/>
  <c r="E111" i="51"/>
  <c r="E110" i="51"/>
  <c r="E109" i="51"/>
  <c r="E115" i="51"/>
  <c r="C115" i="51"/>
  <c r="C114" i="51"/>
  <c r="F114" i="51" s="1"/>
  <c r="C113" i="51"/>
  <c r="F113" i="51" s="1"/>
  <c r="C112" i="51"/>
  <c r="F112" i="51" s="1"/>
  <c r="C111" i="51"/>
  <c r="F111" i="51" s="1"/>
  <c r="C110" i="51"/>
  <c r="F110" i="51" s="1"/>
  <c r="D109" i="51"/>
  <c r="D109" i="56"/>
  <c r="C111" i="56"/>
  <c r="F111" i="56" s="1"/>
  <c r="C113" i="56"/>
  <c r="C115" i="56"/>
  <c r="C110" i="59"/>
  <c r="C112" i="59"/>
  <c r="F112" i="59" s="1"/>
  <c r="C114" i="59"/>
  <c r="E115" i="59"/>
  <c r="D109" i="4"/>
  <c r="C111" i="4"/>
  <c r="F111" i="4" s="1"/>
  <c r="C113" i="4"/>
  <c r="C115" i="4"/>
  <c r="C110" i="6"/>
  <c r="C112" i="6"/>
  <c r="F112" i="6" s="1"/>
  <c r="C114" i="6"/>
  <c r="E115" i="6"/>
  <c r="D109" i="8"/>
  <c r="C111" i="8"/>
  <c r="F111" i="8" s="1"/>
  <c r="C113" i="8"/>
  <c r="C115" i="8"/>
  <c r="C110" i="10"/>
  <c r="C112" i="10"/>
  <c r="F112" i="10" s="1"/>
  <c r="C114" i="10"/>
  <c r="E115" i="10"/>
  <c r="E109" i="13"/>
  <c r="E111" i="13"/>
  <c r="E113" i="13"/>
  <c r="D115" i="13"/>
  <c r="D117" i="13"/>
  <c r="F117" i="13" s="1"/>
  <c r="E110" i="15"/>
  <c r="E112" i="15"/>
  <c r="E114" i="15"/>
  <c r="C116" i="15"/>
  <c r="D109" i="17"/>
  <c r="C111" i="17"/>
  <c r="C113" i="17"/>
  <c r="F113" i="17" s="1"/>
  <c r="C115" i="17"/>
  <c r="D109" i="19"/>
  <c r="C111" i="19"/>
  <c r="F111" i="19" s="1"/>
  <c r="C113" i="19"/>
  <c r="F113" i="19" s="1"/>
  <c r="C115" i="19"/>
  <c r="E112" i="21"/>
  <c r="C116" i="21"/>
  <c r="E109" i="23"/>
  <c r="E113" i="23"/>
  <c r="D117" i="23"/>
  <c r="F117" i="23" s="1"/>
  <c r="C110" i="25"/>
  <c r="C114" i="25"/>
  <c r="F114" i="25" s="1"/>
  <c r="C111" i="27"/>
  <c r="C115" i="27"/>
  <c r="F115" i="27" s="1"/>
  <c r="C112" i="29"/>
  <c r="F112" i="29" s="1"/>
  <c r="D115" i="31"/>
  <c r="E112" i="33"/>
  <c r="E109" i="35"/>
  <c r="D117" i="35"/>
  <c r="F117" i="35" s="1"/>
  <c r="C114" i="37"/>
  <c r="F114" i="37" s="1"/>
  <c r="C110" i="39"/>
  <c r="F110" i="39" s="1"/>
  <c r="C114" i="41"/>
  <c r="F114" i="41" s="1"/>
  <c r="C110" i="43"/>
  <c r="F110" i="43" s="1"/>
  <c r="C115" i="45"/>
  <c r="F115" i="45" s="1"/>
  <c r="E115" i="1"/>
  <c r="C115" i="1"/>
  <c r="C114" i="1"/>
  <c r="C113" i="1"/>
  <c r="F113" i="1" s="1"/>
  <c r="C112" i="1"/>
  <c r="C111" i="1"/>
  <c r="F111" i="1" s="1"/>
  <c r="C110" i="1"/>
  <c r="D109" i="1"/>
  <c r="E115" i="3"/>
  <c r="C115" i="3"/>
  <c r="C114" i="3"/>
  <c r="C113" i="3"/>
  <c r="C112" i="3"/>
  <c r="F112" i="3" s="1"/>
  <c r="C111" i="3"/>
  <c r="C110" i="3"/>
  <c r="F110" i="3" s="1"/>
  <c r="D109" i="3"/>
  <c r="E115" i="5"/>
  <c r="C115" i="5"/>
  <c r="C114" i="5"/>
  <c r="C113" i="5"/>
  <c r="F113" i="5" s="1"/>
  <c r="C112" i="5"/>
  <c r="C111" i="5"/>
  <c r="F111" i="5" s="1"/>
  <c r="C110" i="5"/>
  <c r="D109" i="5"/>
  <c r="E115" i="7"/>
  <c r="C115" i="7"/>
  <c r="C114" i="7"/>
  <c r="F114" i="7" s="1"/>
  <c r="C113" i="7"/>
  <c r="C112" i="7"/>
  <c r="C111" i="7"/>
  <c r="C110" i="7"/>
  <c r="F110" i="7" s="1"/>
  <c r="D109" i="7"/>
  <c r="E115" i="9"/>
  <c r="C115" i="9"/>
  <c r="C114" i="9"/>
  <c r="C113" i="9"/>
  <c r="F113" i="9" s="1"/>
  <c r="C112" i="9"/>
  <c r="C111" i="9"/>
  <c r="F111" i="9" s="1"/>
  <c r="C110" i="9"/>
  <c r="D109" i="9"/>
  <c r="E115" i="11"/>
  <c r="C115" i="11"/>
  <c r="C114" i="11"/>
  <c r="F114" i="11" s="1"/>
  <c r="C113" i="11"/>
  <c r="C112" i="11"/>
  <c r="C111" i="11"/>
  <c r="C110" i="11"/>
  <c r="D109" i="11"/>
  <c r="D117" i="14"/>
  <c r="F117" i="14" s="1"/>
  <c r="C116" i="14"/>
  <c r="D115" i="14"/>
  <c r="E114" i="14"/>
  <c r="F114" i="14" s="1"/>
  <c r="E113" i="14"/>
  <c r="E112" i="14"/>
  <c r="F112" i="14" s="1"/>
  <c r="E111" i="14"/>
  <c r="E110" i="14"/>
  <c r="F110" i="14" s="1"/>
  <c r="E109" i="14"/>
  <c r="D117" i="16"/>
  <c r="F117" i="16" s="1"/>
  <c r="C116" i="16"/>
  <c r="D115" i="16"/>
  <c r="E114" i="16"/>
  <c r="E113" i="16"/>
  <c r="F113" i="16" s="1"/>
  <c r="E112" i="16"/>
  <c r="E111" i="16"/>
  <c r="F111" i="16" s="1"/>
  <c r="E110" i="16"/>
  <c r="E109" i="16"/>
  <c r="D117" i="18"/>
  <c r="F117" i="18" s="1"/>
  <c r="C116" i="18"/>
  <c r="D115" i="18"/>
  <c r="E114" i="18"/>
  <c r="E113" i="18"/>
  <c r="F113" i="18" s="1"/>
  <c r="E112" i="18"/>
  <c r="E111" i="18"/>
  <c r="E110" i="18"/>
  <c r="E109" i="18"/>
  <c r="E115" i="20"/>
  <c r="D117" i="20"/>
  <c r="F117" i="20" s="1"/>
  <c r="D115" i="20"/>
  <c r="F115" i="20" s="1"/>
  <c r="E114" i="20"/>
  <c r="E113" i="20"/>
  <c r="F113" i="20" s="1"/>
  <c r="E112" i="20"/>
  <c r="E111" i="20"/>
  <c r="F111" i="20" s="1"/>
  <c r="E110" i="20"/>
  <c r="E109" i="20"/>
  <c r="D117" i="22"/>
  <c r="F117" i="22" s="1"/>
  <c r="C116" i="22"/>
  <c r="D115" i="22"/>
  <c r="E114" i="22"/>
  <c r="E113" i="22"/>
  <c r="E112" i="22"/>
  <c r="E111" i="22"/>
  <c r="E110" i="22"/>
  <c r="E109" i="22"/>
  <c r="E115" i="22"/>
  <c r="C114" i="22"/>
  <c r="C112" i="22"/>
  <c r="F112" i="22" s="1"/>
  <c r="C110" i="22"/>
  <c r="E115" i="24"/>
  <c r="C115" i="24"/>
  <c r="C114" i="24"/>
  <c r="C113" i="24"/>
  <c r="C112" i="24"/>
  <c r="C111" i="24"/>
  <c r="F111" i="24" s="1"/>
  <c r="C110" i="24"/>
  <c r="D109" i="24"/>
  <c r="C116" i="24"/>
  <c r="E114" i="24"/>
  <c r="E112" i="24"/>
  <c r="E110" i="24"/>
  <c r="E115" i="26"/>
  <c r="C115" i="26"/>
  <c r="C114" i="26"/>
  <c r="C113" i="26"/>
  <c r="C112" i="26"/>
  <c r="F112" i="26" s="1"/>
  <c r="C111" i="26"/>
  <c r="C110" i="26"/>
  <c r="D109" i="26"/>
  <c r="D117" i="26"/>
  <c r="F117" i="26" s="1"/>
  <c r="D115" i="26"/>
  <c r="E113" i="26"/>
  <c r="E111" i="26"/>
  <c r="E109" i="26"/>
  <c r="E115" i="28"/>
  <c r="C115" i="28"/>
  <c r="C114" i="28"/>
  <c r="C113" i="28"/>
  <c r="F113" i="28" s="1"/>
  <c r="C112" i="28"/>
  <c r="C111" i="28"/>
  <c r="C110" i="28"/>
  <c r="D109" i="28"/>
  <c r="C116" i="28"/>
  <c r="E114" i="28"/>
  <c r="E112" i="28"/>
  <c r="E110" i="28"/>
  <c r="D117" i="30"/>
  <c r="F117" i="30" s="1"/>
  <c r="C116" i="30"/>
  <c r="D115" i="30"/>
  <c r="E114" i="30"/>
  <c r="E113" i="30"/>
  <c r="E112" i="30"/>
  <c r="E111" i="30"/>
  <c r="E110" i="30"/>
  <c r="E109" i="30"/>
  <c r="E115" i="30"/>
  <c r="C114" i="30"/>
  <c r="C112" i="30"/>
  <c r="F112" i="30" s="1"/>
  <c r="C110" i="30"/>
  <c r="C115" i="30"/>
  <c r="C111" i="30"/>
  <c r="F111" i="30" s="1"/>
  <c r="D117" i="32"/>
  <c r="F117" i="32" s="1"/>
  <c r="C116" i="32"/>
  <c r="D115" i="32"/>
  <c r="E114" i="32"/>
  <c r="F114" i="32" s="1"/>
  <c r="E113" i="32"/>
  <c r="E112" i="32"/>
  <c r="E111" i="32"/>
  <c r="E110" i="32"/>
  <c r="E109" i="32"/>
  <c r="C115" i="32"/>
  <c r="C113" i="32"/>
  <c r="F113" i="32" s="1"/>
  <c r="C111" i="32"/>
  <c r="D109" i="32"/>
  <c r="E115" i="32"/>
  <c r="C112" i="32"/>
  <c r="D117" i="34"/>
  <c r="F117" i="34" s="1"/>
  <c r="C116" i="34"/>
  <c r="D115" i="34"/>
  <c r="E114" i="34"/>
  <c r="E113" i="34"/>
  <c r="E112" i="34"/>
  <c r="E111" i="34"/>
  <c r="F111" i="34" s="1"/>
  <c r="E110" i="34"/>
  <c r="E109" i="34"/>
  <c r="E115" i="34"/>
  <c r="C114" i="34"/>
  <c r="C112" i="34"/>
  <c r="F112" i="34" s="1"/>
  <c r="C110" i="34"/>
  <c r="C113" i="34"/>
  <c r="D109" i="34"/>
  <c r="D117" i="36"/>
  <c r="F117" i="36" s="1"/>
  <c r="C116" i="36"/>
  <c r="D115" i="36"/>
  <c r="E114" i="36"/>
  <c r="E113" i="36"/>
  <c r="E112" i="36"/>
  <c r="E111" i="36"/>
  <c r="E110" i="36"/>
  <c r="E109" i="36"/>
  <c r="C115" i="36"/>
  <c r="C113" i="36"/>
  <c r="F113" i="36" s="1"/>
  <c r="C111" i="36"/>
  <c r="D109" i="36"/>
  <c r="C114" i="36"/>
  <c r="C110" i="36"/>
  <c r="D117" i="38"/>
  <c r="F117" i="38" s="1"/>
  <c r="C116" i="38"/>
  <c r="D115" i="38"/>
  <c r="E114" i="38"/>
  <c r="E113" i="38"/>
  <c r="E112" i="38"/>
  <c r="F112" i="38" s="1"/>
  <c r="E111" i="38"/>
  <c r="E110" i="38"/>
  <c r="E109" i="38"/>
  <c r="C115" i="38"/>
  <c r="C113" i="38"/>
  <c r="F113" i="38" s="1"/>
  <c r="C111" i="38"/>
  <c r="D109" i="38"/>
  <c r="C114" i="38"/>
  <c r="F114" i="38" s="1"/>
  <c r="C110" i="38"/>
  <c r="D117" i="40"/>
  <c r="F117" i="40" s="1"/>
  <c r="C116" i="40"/>
  <c r="D115" i="40"/>
  <c r="E114" i="40"/>
  <c r="E113" i="40"/>
  <c r="E112" i="40"/>
  <c r="E111" i="40"/>
  <c r="E110" i="40"/>
  <c r="E109" i="40"/>
  <c r="C115" i="40"/>
  <c r="C113" i="40"/>
  <c r="F113" i="40" s="1"/>
  <c r="C111" i="40"/>
  <c r="D109" i="40"/>
  <c r="C114" i="40"/>
  <c r="F114" i="40" s="1"/>
  <c r="C110" i="40"/>
  <c r="D117" i="42"/>
  <c r="F117" i="42" s="1"/>
  <c r="C116" i="42"/>
  <c r="D115" i="42"/>
  <c r="E114" i="42"/>
  <c r="E113" i="42"/>
  <c r="E112" i="42"/>
  <c r="F112" i="42" s="1"/>
  <c r="E111" i="42"/>
  <c r="E110" i="42"/>
  <c r="E109" i="42"/>
  <c r="C115" i="42"/>
  <c r="C113" i="42"/>
  <c r="F113" i="42" s="1"/>
  <c r="C111" i="42"/>
  <c r="D109" i="42"/>
  <c r="C114" i="42"/>
  <c r="F114" i="42" s="1"/>
  <c r="C110" i="42"/>
  <c r="E115" i="44"/>
  <c r="C115" i="44"/>
  <c r="C114" i="44"/>
  <c r="C113" i="44"/>
  <c r="C112" i="44"/>
  <c r="C111" i="44"/>
  <c r="C110" i="44"/>
  <c r="D109" i="44"/>
  <c r="D117" i="44"/>
  <c r="F117" i="44" s="1"/>
  <c r="D115" i="44"/>
  <c r="E113" i="44"/>
  <c r="E111" i="44"/>
  <c r="E109" i="44"/>
  <c r="E114" i="44"/>
  <c r="E110" i="44"/>
  <c r="E115" i="46"/>
  <c r="C115" i="46"/>
  <c r="C114" i="46"/>
  <c r="C113" i="46"/>
  <c r="F113" i="46" s="1"/>
  <c r="C112" i="46"/>
  <c r="C111" i="46"/>
  <c r="C110" i="46"/>
  <c r="D109" i="46"/>
  <c r="C116" i="46"/>
  <c r="E114" i="46"/>
  <c r="E112" i="46"/>
  <c r="E110" i="46"/>
  <c r="D115" i="46"/>
  <c r="E111" i="46"/>
  <c r="E115" i="48"/>
  <c r="C115" i="48"/>
  <c r="C114" i="48"/>
  <c r="C113" i="48"/>
  <c r="C112" i="48"/>
  <c r="C111" i="48"/>
  <c r="C110" i="48"/>
  <c r="D109" i="48"/>
  <c r="D117" i="48"/>
  <c r="F117" i="48" s="1"/>
  <c r="C116" i="48"/>
  <c r="D115" i="48"/>
  <c r="E114" i="48"/>
  <c r="E113" i="48"/>
  <c r="E112" i="48"/>
  <c r="E111" i="48"/>
  <c r="E110" i="48"/>
  <c r="E109" i="48"/>
  <c r="E115" i="50"/>
  <c r="C115" i="50"/>
  <c r="C114" i="50"/>
  <c r="C113" i="50"/>
  <c r="C112" i="50"/>
  <c r="C111" i="50"/>
  <c r="C110" i="50"/>
  <c r="D109" i="50"/>
  <c r="D117" i="50"/>
  <c r="F117" i="50" s="1"/>
  <c r="C116" i="50"/>
  <c r="D115" i="50"/>
  <c r="E114" i="50"/>
  <c r="E113" i="50"/>
  <c r="E112" i="50"/>
  <c r="E111" i="50"/>
  <c r="E110" i="50"/>
  <c r="E109" i="50"/>
  <c r="E115" i="52"/>
  <c r="C115" i="52"/>
  <c r="C114" i="52"/>
  <c r="C113" i="52"/>
  <c r="C112" i="52"/>
  <c r="C111" i="52"/>
  <c r="C110" i="52"/>
  <c r="D109" i="52"/>
  <c r="D117" i="52"/>
  <c r="F117" i="52" s="1"/>
  <c r="C116" i="52"/>
  <c r="D115" i="52"/>
  <c r="E114" i="52"/>
  <c r="E113" i="52"/>
  <c r="E112" i="52"/>
  <c r="E111" i="52"/>
  <c r="E110" i="52"/>
  <c r="E109" i="52"/>
  <c r="E115" i="54"/>
  <c r="C115" i="54"/>
  <c r="C114" i="54"/>
  <c r="C113" i="54"/>
  <c r="C112" i="54"/>
  <c r="C111" i="54"/>
  <c r="C110" i="54"/>
  <c r="D109" i="54"/>
  <c r="D117" i="54"/>
  <c r="F117" i="54" s="1"/>
  <c r="C116" i="54"/>
  <c r="D115" i="54"/>
  <c r="E114" i="54"/>
  <c r="E113" i="54"/>
  <c r="E112" i="54"/>
  <c r="E111" i="54"/>
  <c r="E110" i="54"/>
  <c r="E109" i="54"/>
  <c r="D117" i="12"/>
  <c r="F117" i="12" s="1"/>
  <c r="C116" i="12"/>
  <c r="D115" i="12"/>
  <c r="E114" i="12"/>
  <c r="E113" i="12"/>
  <c r="F113" i="12" s="1"/>
  <c r="E112" i="12"/>
  <c r="E111" i="12"/>
  <c r="F111" i="12" s="1"/>
  <c r="E110" i="12"/>
  <c r="E109" i="12"/>
  <c r="C110" i="56"/>
  <c r="F110" i="56" s="1"/>
  <c r="C112" i="56"/>
  <c r="F112" i="56" s="1"/>
  <c r="C114" i="56"/>
  <c r="F114" i="56" s="1"/>
  <c r="E115" i="56"/>
  <c r="E110" i="1"/>
  <c r="E112" i="1"/>
  <c r="E114" i="1"/>
  <c r="C116" i="1"/>
  <c r="D109" i="59"/>
  <c r="C111" i="59"/>
  <c r="F111" i="59" s="1"/>
  <c r="C113" i="59"/>
  <c r="F113" i="59" s="1"/>
  <c r="C115" i="59"/>
  <c r="E109" i="3"/>
  <c r="E111" i="3"/>
  <c r="E113" i="3"/>
  <c r="D115" i="3"/>
  <c r="D117" i="3"/>
  <c r="F117" i="3" s="1"/>
  <c r="C110" i="4"/>
  <c r="F110" i="4" s="1"/>
  <c r="C112" i="4"/>
  <c r="F112" i="4" s="1"/>
  <c r="C114" i="4"/>
  <c r="F114" i="4" s="1"/>
  <c r="E115" i="4"/>
  <c r="E110" i="5"/>
  <c r="E112" i="5"/>
  <c r="E114" i="5"/>
  <c r="C116" i="5"/>
  <c r="D109" i="6"/>
  <c r="C111" i="6"/>
  <c r="F111" i="6" s="1"/>
  <c r="C113" i="6"/>
  <c r="F113" i="6" s="1"/>
  <c r="C115" i="6"/>
  <c r="F115" i="6" s="1"/>
  <c r="E109" i="7"/>
  <c r="E111" i="7"/>
  <c r="E113" i="7"/>
  <c r="D115" i="7"/>
  <c r="D117" i="7"/>
  <c r="F117" i="7" s="1"/>
  <c r="C110" i="8"/>
  <c r="F110" i="8" s="1"/>
  <c r="C112" i="8"/>
  <c r="F112" i="8" s="1"/>
  <c r="C114" i="8"/>
  <c r="F114" i="8" s="1"/>
  <c r="E115" i="8"/>
  <c r="E110" i="9"/>
  <c r="E112" i="9"/>
  <c r="E114" i="9"/>
  <c r="C116" i="9"/>
  <c r="D109" i="10"/>
  <c r="C111" i="10"/>
  <c r="F111" i="10" s="1"/>
  <c r="C113" i="10"/>
  <c r="F113" i="10" s="1"/>
  <c r="C115" i="10"/>
  <c r="E109" i="11"/>
  <c r="E111" i="11"/>
  <c r="E113" i="11"/>
  <c r="D115" i="11"/>
  <c r="D117" i="11"/>
  <c r="F117" i="11" s="1"/>
  <c r="C110" i="12"/>
  <c r="C112" i="12"/>
  <c r="F112" i="12" s="1"/>
  <c r="C114" i="12"/>
  <c r="E115" i="12"/>
  <c r="E110" i="13"/>
  <c r="E112" i="13"/>
  <c r="E114" i="13"/>
  <c r="C116" i="13"/>
  <c r="D109" i="14"/>
  <c r="C111" i="14"/>
  <c r="F111" i="14" s="1"/>
  <c r="C113" i="14"/>
  <c r="F113" i="14" s="1"/>
  <c r="C115" i="14"/>
  <c r="F115" i="14" s="1"/>
  <c r="E109" i="15"/>
  <c r="E111" i="15"/>
  <c r="E113" i="15"/>
  <c r="D115" i="15"/>
  <c r="F115" i="15" s="1"/>
  <c r="D117" i="15"/>
  <c r="F117" i="15" s="1"/>
  <c r="C110" i="16"/>
  <c r="F110" i="16" s="1"/>
  <c r="C112" i="16"/>
  <c r="F112" i="16" s="1"/>
  <c r="C114" i="16"/>
  <c r="F114" i="16" s="1"/>
  <c r="E115" i="16"/>
  <c r="C110" i="17"/>
  <c r="F110" i="17" s="1"/>
  <c r="C112" i="17"/>
  <c r="F112" i="17" s="1"/>
  <c r="C114" i="17"/>
  <c r="F114" i="17" s="1"/>
  <c r="E115" i="17"/>
  <c r="C110" i="18"/>
  <c r="F110" i="18" s="1"/>
  <c r="C112" i="18"/>
  <c r="C114" i="18"/>
  <c r="F114" i="18" s="1"/>
  <c r="E115" i="18"/>
  <c r="C110" i="19"/>
  <c r="F110" i="19" s="1"/>
  <c r="C112" i="19"/>
  <c r="C114" i="19"/>
  <c r="F114" i="19" s="1"/>
  <c r="E115" i="19"/>
  <c r="C110" i="20"/>
  <c r="F110" i="20" s="1"/>
  <c r="C112" i="20"/>
  <c r="F112" i="20" s="1"/>
  <c r="C114" i="20"/>
  <c r="F114" i="20" s="1"/>
  <c r="C116" i="20"/>
  <c r="E110" i="21"/>
  <c r="E114" i="21"/>
  <c r="D109" i="22"/>
  <c r="C113" i="22"/>
  <c r="F113" i="22" s="1"/>
  <c r="E111" i="23"/>
  <c r="D115" i="23"/>
  <c r="E109" i="24"/>
  <c r="E113" i="24"/>
  <c r="D117" i="24"/>
  <c r="F117" i="24" s="1"/>
  <c r="C112" i="25"/>
  <c r="E115" i="25"/>
  <c r="E110" i="26"/>
  <c r="E114" i="26"/>
  <c r="D109" i="27"/>
  <c r="C113" i="27"/>
  <c r="F113" i="27" s="1"/>
  <c r="E111" i="28"/>
  <c r="D115" i="28"/>
  <c r="C110" i="29"/>
  <c r="F110" i="29" s="1"/>
  <c r="E114" i="29"/>
  <c r="C113" i="30"/>
  <c r="F113" i="30" s="1"/>
  <c r="E111" i="31"/>
  <c r="C110" i="32"/>
  <c r="F110" i="32" s="1"/>
  <c r="C116" i="33"/>
  <c r="C115" i="34"/>
  <c r="E113" i="35"/>
  <c r="C112" i="36"/>
  <c r="F112" i="36" s="1"/>
  <c r="C110" i="37"/>
  <c r="F110" i="37" s="1"/>
  <c r="E115" i="38"/>
  <c r="C114" i="39"/>
  <c r="F114" i="39" s="1"/>
  <c r="C112" i="40"/>
  <c r="F112" i="40" s="1"/>
  <c r="C110" i="41"/>
  <c r="F110" i="41" s="1"/>
  <c r="E115" i="42"/>
  <c r="C114" i="43"/>
  <c r="F114" i="43" s="1"/>
  <c r="E112" i="44"/>
  <c r="C111" i="45"/>
  <c r="F111" i="45" s="1"/>
  <c r="E109" i="46"/>
  <c r="D117" i="46"/>
  <c r="F117" i="46" s="1"/>
  <c r="D117" i="53"/>
  <c r="F117" i="53" s="1"/>
  <c r="C116" i="53"/>
  <c r="D115" i="53"/>
  <c r="E114" i="53"/>
  <c r="E113" i="53"/>
  <c r="E112" i="53"/>
  <c r="E111" i="53"/>
  <c r="E110" i="53"/>
  <c r="E109" i="53"/>
  <c r="E115" i="53"/>
  <c r="C115" i="53"/>
  <c r="C114" i="53"/>
  <c r="F114" i="53" s="1"/>
  <c r="C113" i="53"/>
  <c r="F113" i="53" s="1"/>
  <c r="C112" i="53"/>
  <c r="F112" i="53" s="1"/>
  <c r="C111" i="53"/>
  <c r="F111" i="53" s="1"/>
  <c r="C110" i="53"/>
  <c r="F110" i="53" s="1"/>
  <c r="D109" i="53"/>
  <c r="D117" i="55"/>
  <c r="F117" i="55" s="1"/>
  <c r="C116" i="55"/>
  <c r="D115" i="55"/>
  <c r="E114" i="55"/>
  <c r="E113" i="55"/>
  <c r="E112" i="55"/>
  <c r="E111" i="55"/>
  <c r="E110" i="55"/>
  <c r="E109" i="55"/>
  <c r="E115" i="55"/>
  <c r="C115" i="55"/>
  <c r="C114" i="55"/>
  <c r="F114" i="55" s="1"/>
  <c r="C113" i="55"/>
  <c r="F113" i="55" s="1"/>
  <c r="C112" i="55"/>
  <c r="F112" i="55" s="1"/>
  <c r="C111" i="55"/>
  <c r="F111" i="55" s="1"/>
  <c r="C110" i="55"/>
  <c r="F110" i="55" s="1"/>
  <c r="D109" i="55"/>
  <c r="F114" i="36"/>
  <c r="E109" i="57"/>
  <c r="E120" i="57"/>
  <c r="C116" i="57"/>
  <c r="D115" i="57"/>
  <c r="E114" i="57"/>
  <c r="E113" i="57"/>
  <c r="E112" i="57"/>
  <c r="E111" i="57"/>
  <c r="E110" i="57"/>
  <c r="E104" i="57"/>
  <c r="E102" i="57"/>
  <c r="E116" i="57" s="1"/>
  <c r="F116" i="57" s="1"/>
  <c r="E100" i="57"/>
  <c r="E98" i="57"/>
  <c r="E93" i="57"/>
  <c r="E91" i="57"/>
  <c r="E89" i="57"/>
  <c r="E87" i="57"/>
  <c r="E85" i="57"/>
  <c r="E83" i="57"/>
  <c r="E81" i="57"/>
  <c r="E79" i="57"/>
  <c r="E77" i="57"/>
  <c r="E75" i="57"/>
  <c r="E73" i="57"/>
  <c r="E71" i="57"/>
  <c r="E69" i="57"/>
  <c r="E67" i="57"/>
  <c r="E63" i="57"/>
  <c r="D62" i="57"/>
  <c r="E61" i="57"/>
  <c r="D60" i="57"/>
  <c r="D29" i="57" s="1"/>
  <c r="E59" i="57"/>
  <c r="D58" i="57"/>
  <c r="D27" i="57" s="1"/>
  <c r="E57" i="57"/>
  <c r="D56" i="57"/>
  <c r="D25" i="57" s="1"/>
  <c r="E55" i="57"/>
  <c r="D54" i="57"/>
  <c r="D23" i="57" s="1"/>
  <c r="E53" i="57"/>
  <c r="D52" i="57"/>
  <c r="D21" i="57" s="1"/>
  <c r="E51" i="57"/>
  <c r="D50" i="57"/>
  <c r="D19" i="57" s="1"/>
  <c r="E49" i="57"/>
  <c r="D48" i="57"/>
  <c r="E47" i="57"/>
  <c r="D46" i="57"/>
  <c r="E45" i="57"/>
  <c r="D44" i="57"/>
  <c r="E43" i="57"/>
  <c r="D42" i="57"/>
  <c r="D11" i="57" s="1"/>
  <c r="E41" i="57"/>
  <c r="D117" i="57"/>
  <c r="E115" i="57"/>
  <c r="C115" i="57"/>
  <c r="C114" i="57"/>
  <c r="C113" i="57"/>
  <c r="F113" i="57" s="1"/>
  <c r="C112" i="57"/>
  <c r="C111" i="57"/>
  <c r="F111" i="57" s="1"/>
  <c r="C110" i="57"/>
  <c r="E103" i="57"/>
  <c r="E101" i="57"/>
  <c r="E99" i="57"/>
  <c r="E94" i="57"/>
  <c r="E92" i="57"/>
  <c r="E90" i="57"/>
  <c r="E88" i="57"/>
  <c r="E86" i="57"/>
  <c r="E84" i="57"/>
  <c r="E82" i="57"/>
  <c r="E80" i="57"/>
  <c r="E78" i="57"/>
  <c r="E76" i="57"/>
  <c r="E74" i="57"/>
  <c r="E72" i="57"/>
  <c r="E70" i="57"/>
  <c r="E68" i="57"/>
  <c r="D63" i="57"/>
  <c r="E62" i="57"/>
  <c r="F62" i="57" s="1"/>
  <c r="D61" i="57"/>
  <c r="E60" i="57"/>
  <c r="D59" i="57"/>
  <c r="E58" i="57"/>
  <c r="F58" i="57" s="1"/>
  <c r="D57" i="57"/>
  <c r="E56" i="57"/>
  <c r="D55" i="57"/>
  <c r="E54" i="57"/>
  <c r="F54" i="57" s="1"/>
  <c r="D53" i="57"/>
  <c r="E52" i="57"/>
  <c r="D51" i="57"/>
  <c r="E50" i="57"/>
  <c r="F50" i="57" s="1"/>
  <c r="D49" i="57"/>
  <c r="E48" i="57"/>
  <c r="F48" i="57" s="1"/>
  <c r="D47" i="57"/>
  <c r="E46" i="57"/>
  <c r="F46" i="57" s="1"/>
  <c r="D45" i="57"/>
  <c r="E44" i="57"/>
  <c r="D43" i="57"/>
  <c r="E42" i="57"/>
  <c r="F42" i="57" s="1"/>
  <c r="D41" i="57"/>
  <c r="E40" i="57"/>
  <c r="E36" i="57"/>
  <c r="D37" i="57"/>
  <c r="E38" i="57"/>
  <c r="D39" i="57"/>
  <c r="D8" i="57" s="1"/>
  <c r="D36" i="57"/>
  <c r="E37" i="57"/>
  <c r="F37" i="57" s="1"/>
  <c r="D38" i="57"/>
  <c r="E39" i="57"/>
  <c r="D40" i="57"/>
  <c r="E120" i="1"/>
  <c r="F120" i="1" s="1"/>
  <c r="E104" i="1"/>
  <c r="E102" i="1"/>
  <c r="E116" i="1" s="1"/>
  <c r="E100" i="1"/>
  <c r="E98" i="1"/>
  <c r="E93" i="1"/>
  <c r="E91" i="1"/>
  <c r="E89" i="1"/>
  <c r="E87" i="1"/>
  <c r="E85" i="1"/>
  <c r="E83" i="1"/>
  <c r="E81" i="1"/>
  <c r="E79" i="1"/>
  <c r="E77" i="1"/>
  <c r="E75" i="1"/>
  <c r="E73" i="1"/>
  <c r="E71" i="1"/>
  <c r="E69" i="1"/>
  <c r="E67" i="1"/>
  <c r="E63" i="1"/>
  <c r="D62" i="1"/>
  <c r="E61" i="1"/>
  <c r="D60" i="1"/>
  <c r="E59" i="1"/>
  <c r="D58" i="1"/>
  <c r="E57" i="1"/>
  <c r="D56" i="1"/>
  <c r="E55" i="1"/>
  <c r="D54" i="1"/>
  <c r="E53" i="1"/>
  <c r="D52" i="1"/>
  <c r="E51" i="1"/>
  <c r="D50" i="1"/>
  <c r="E49" i="1"/>
  <c r="D48" i="1"/>
  <c r="E47" i="1"/>
  <c r="D46" i="1"/>
  <c r="E103" i="1"/>
  <c r="E101" i="1"/>
  <c r="E99" i="1"/>
  <c r="E94" i="1"/>
  <c r="E92" i="1"/>
  <c r="E90" i="1"/>
  <c r="E88" i="1"/>
  <c r="E86" i="1"/>
  <c r="E84" i="1"/>
  <c r="E82" i="1"/>
  <c r="E80" i="1"/>
  <c r="E78" i="1"/>
  <c r="E76" i="1"/>
  <c r="E74" i="1"/>
  <c r="E72" i="1"/>
  <c r="E70" i="1"/>
  <c r="E68" i="1"/>
  <c r="D63" i="1"/>
  <c r="E62" i="1"/>
  <c r="D61" i="1"/>
  <c r="E60" i="1"/>
  <c r="D59" i="1"/>
  <c r="E58" i="1"/>
  <c r="D57" i="1"/>
  <c r="E56" i="1"/>
  <c r="D55" i="1"/>
  <c r="E54" i="1"/>
  <c r="D53" i="1"/>
  <c r="E52" i="1"/>
  <c r="D51" i="1"/>
  <c r="E50" i="1"/>
  <c r="D49" i="1"/>
  <c r="E48" i="1"/>
  <c r="D47" i="1"/>
  <c r="E46" i="1"/>
  <c r="E45" i="1"/>
  <c r="D44" i="1"/>
  <c r="E43" i="1"/>
  <c r="D42" i="1"/>
  <c r="E41" i="1"/>
  <c r="D40" i="1"/>
  <c r="E39" i="1"/>
  <c r="D38" i="1"/>
  <c r="E37" i="1"/>
  <c r="D36" i="1"/>
  <c r="D45" i="1"/>
  <c r="E44" i="1"/>
  <c r="D43" i="1"/>
  <c r="E42" i="1"/>
  <c r="D41" i="1"/>
  <c r="E40" i="1"/>
  <c r="D39" i="1"/>
  <c r="E38" i="1"/>
  <c r="D37" i="1"/>
  <c r="E36" i="1"/>
  <c r="E120" i="3"/>
  <c r="F120" i="3" s="1"/>
  <c r="E104" i="3"/>
  <c r="E102" i="3"/>
  <c r="E116" i="3" s="1"/>
  <c r="F116" i="3" s="1"/>
  <c r="E100" i="3"/>
  <c r="E98" i="3"/>
  <c r="E93" i="3"/>
  <c r="E91" i="3"/>
  <c r="E89" i="3"/>
  <c r="E87" i="3"/>
  <c r="E85" i="3"/>
  <c r="E83" i="3"/>
  <c r="E81" i="3"/>
  <c r="E79" i="3"/>
  <c r="E77" i="3"/>
  <c r="E75" i="3"/>
  <c r="E73" i="3"/>
  <c r="E71" i="3"/>
  <c r="E69" i="3"/>
  <c r="E67" i="3"/>
  <c r="E63" i="3"/>
  <c r="D62" i="3"/>
  <c r="E61" i="3"/>
  <c r="D60" i="3"/>
  <c r="E59" i="3"/>
  <c r="D58" i="3"/>
  <c r="E57" i="3"/>
  <c r="D56" i="3"/>
  <c r="E55" i="3"/>
  <c r="E103" i="3"/>
  <c r="E101" i="3"/>
  <c r="E99" i="3"/>
  <c r="E94" i="3"/>
  <c r="E92" i="3"/>
  <c r="E90" i="3"/>
  <c r="E88" i="3"/>
  <c r="E86" i="3"/>
  <c r="E84" i="3"/>
  <c r="E82" i="3"/>
  <c r="E80" i="3"/>
  <c r="E78" i="3"/>
  <c r="E76" i="3"/>
  <c r="E74" i="3"/>
  <c r="E72" i="3"/>
  <c r="E70" i="3"/>
  <c r="E68" i="3"/>
  <c r="D63" i="3"/>
  <c r="E62" i="3"/>
  <c r="D61" i="3"/>
  <c r="E60" i="3"/>
  <c r="D59" i="3"/>
  <c r="E58" i="3"/>
  <c r="D57" i="3"/>
  <c r="E56" i="3"/>
  <c r="D55" i="3"/>
  <c r="E54" i="3"/>
  <c r="D54" i="3"/>
  <c r="E53" i="3"/>
  <c r="D52" i="3"/>
  <c r="E51" i="3"/>
  <c r="D50" i="3"/>
  <c r="E49" i="3"/>
  <c r="D48" i="3"/>
  <c r="E47" i="3"/>
  <c r="D46" i="3"/>
  <c r="E45" i="3"/>
  <c r="D44" i="3"/>
  <c r="E43" i="3"/>
  <c r="D42" i="3"/>
  <c r="E41" i="3"/>
  <c r="D40" i="3"/>
  <c r="E39" i="3"/>
  <c r="D38" i="3"/>
  <c r="E37" i="3"/>
  <c r="D36" i="3"/>
  <c r="D53" i="3"/>
  <c r="E52" i="3"/>
  <c r="D51" i="3"/>
  <c r="E50" i="3"/>
  <c r="D49" i="3"/>
  <c r="E48" i="3"/>
  <c r="D47" i="3"/>
  <c r="E46" i="3"/>
  <c r="D45" i="3"/>
  <c r="E44" i="3"/>
  <c r="D43" i="3"/>
  <c r="E42" i="3"/>
  <c r="D41" i="3"/>
  <c r="E40" i="3"/>
  <c r="D39" i="3"/>
  <c r="E38" i="3"/>
  <c r="D37" i="3"/>
  <c r="E36" i="3"/>
  <c r="E120" i="5"/>
  <c r="F120" i="5" s="1"/>
  <c r="E104" i="5"/>
  <c r="E102" i="5"/>
  <c r="E116" i="5" s="1"/>
  <c r="E100" i="5"/>
  <c r="E98" i="5"/>
  <c r="E93" i="5"/>
  <c r="E91" i="5"/>
  <c r="E89" i="5"/>
  <c r="E87" i="5"/>
  <c r="E85" i="5"/>
  <c r="E83" i="5"/>
  <c r="E81" i="5"/>
  <c r="E79" i="5"/>
  <c r="E77" i="5"/>
  <c r="E75" i="5"/>
  <c r="E73" i="5"/>
  <c r="E71" i="5"/>
  <c r="E69" i="5"/>
  <c r="E67" i="5"/>
  <c r="E63" i="5"/>
  <c r="E103" i="5"/>
  <c r="E101" i="5"/>
  <c r="E99" i="5"/>
  <c r="E94" i="5"/>
  <c r="E92" i="5"/>
  <c r="E90" i="5"/>
  <c r="E88" i="5"/>
  <c r="E86" i="5"/>
  <c r="E84" i="5"/>
  <c r="E82" i="5"/>
  <c r="E80" i="5"/>
  <c r="E78" i="5"/>
  <c r="E76" i="5"/>
  <c r="E74" i="5"/>
  <c r="E72" i="5"/>
  <c r="E70" i="5"/>
  <c r="E68" i="5"/>
  <c r="D63" i="5"/>
  <c r="E62" i="5"/>
  <c r="D61" i="5"/>
  <c r="E60" i="5"/>
  <c r="D59" i="5"/>
  <c r="E58" i="5"/>
  <c r="D57" i="5"/>
  <c r="E56" i="5"/>
  <c r="D55" i="5"/>
  <c r="E54" i="5"/>
  <c r="D53" i="5"/>
  <c r="E52" i="5"/>
  <c r="D51" i="5"/>
  <c r="E50" i="5"/>
  <c r="D49" i="5"/>
  <c r="E48" i="5"/>
  <c r="D47" i="5"/>
  <c r="E46" i="5"/>
  <c r="D45" i="5"/>
  <c r="E44" i="5"/>
  <c r="D43" i="5"/>
  <c r="E42" i="5"/>
  <c r="D41" i="5"/>
  <c r="E40" i="5"/>
  <c r="D39" i="5"/>
  <c r="E38" i="5"/>
  <c r="D37" i="5"/>
  <c r="E36" i="5"/>
  <c r="D62" i="5"/>
  <c r="E61" i="5"/>
  <c r="D60" i="5"/>
  <c r="E59" i="5"/>
  <c r="D58" i="5"/>
  <c r="E57" i="5"/>
  <c r="D56" i="5"/>
  <c r="E55" i="5"/>
  <c r="D54" i="5"/>
  <c r="E53" i="5"/>
  <c r="D52" i="5"/>
  <c r="E51" i="5"/>
  <c r="D50" i="5"/>
  <c r="E49" i="5"/>
  <c r="D48" i="5"/>
  <c r="E47" i="5"/>
  <c r="D46" i="5"/>
  <c r="E45" i="5"/>
  <c r="D44" i="5"/>
  <c r="E43" i="5"/>
  <c r="D42" i="5"/>
  <c r="E41" i="5"/>
  <c r="D40" i="5"/>
  <c r="E39" i="5"/>
  <c r="D38" i="5"/>
  <c r="E37" i="5"/>
  <c r="D36" i="5"/>
  <c r="E103" i="7"/>
  <c r="E101" i="7"/>
  <c r="E99" i="7"/>
  <c r="E94" i="7"/>
  <c r="E92" i="7"/>
  <c r="E90" i="7"/>
  <c r="E88" i="7"/>
  <c r="E86" i="7"/>
  <c r="E84" i="7"/>
  <c r="E82" i="7"/>
  <c r="E80" i="7"/>
  <c r="E78" i="7"/>
  <c r="E76" i="7"/>
  <c r="E74" i="7"/>
  <c r="E72" i="7"/>
  <c r="E70" i="7"/>
  <c r="E68" i="7"/>
  <c r="D63" i="7"/>
  <c r="E62" i="7"/>
  <c r="D61" i="7"/>
  <c r="E60" i="7"/>
  <c r="D59" i="7"/>
  <c r="E58" i="7"/>
  <c r="D57" i="7"/>
  <c r="E56" i="7"/>
  <c r="D55" i="7"/>
  <c r="E54" i="7"/>
  <c r="D53" i="7"/>
  <c r="E52" i="7"/>
  <c r="D51" i="7"/>
  <c r="E50" i="7"/>
  <c r="D49" i="7"/>
  <c r="E48" i="7"/>
  <c r="D47" i="7"/>
  <c r="E46" i="7"/>
  <c r="D45" i="7"/>
  <c r="E44" i="7"/>
  <c r="D43" i="7"/>
  <c r="E42" i="7"/>
  <c r="D41" i="7"/>
  <c r="E40" i="7"/>
  <c r="D39" i="7"/>
  <c r="E38" i="7"/>
  <c r="D37" i="7"/>
  <c r="E36" i="7"/>
  <c r="E120" i="7"/>
  <c r="E104" i="7"/>
  <c r="E102" i="7"/>
  <c r="E116" i="7" s="1"/>
  <c r="F116" i="7" s="1"/>
  <c r="E100" i="7"/>
  <c r="E98" i="7"/>
  <c r="E93" i="7"/>
  <c r="E91" i="7"/>
  <c r="E89" i="7"/>
  <c r="E87" i="7"/>
  <c r="E85" i="7"/>
  <c r="E83" i="7"/>
  <c r="E81" i="7"/>
  <c r="E79" i="7"/>
  <c r="E77" i="7"/>
  <c r="E75" i="7"/>
  <c r="E73" i="7"/>
  <c r="E71" i="7"/>
  <c r="E69" i="7"/>
  <c r="E67" i="7"/>
  <c r="E63" i="7"/>
  <c r="D62" i="7"/>
  <c r="E61" i="7"/>
  <c r="D60" i="7"/>
  <c r="E59" i="7"/>
  <c r="D58" i="7"/>
  <c r="E57" i="7"/>
  <c r="D56" i="7"/>
  <c r="E55" i="7"/>
  <c r="D54" i="7"/>
  <c r="E53" i="7"/>
  <c r="D52" i="7"/>
  <c r="E51" i="7"/>
  <c r="D50" i="7"/>
  <c r="E49" i="7"/>
  <c r="D48" i="7"/>
  <c r="E47" i="7"/>
  <c r="D46" i="7"/>
  <c r="E45" i="7"/>
  <c r="D44" i="7"/>
  <c r="E43" i="7"/>
  <c r="D42" i="7"/>
  <c r="E41" i="7"/>
  <c r="D40" i="7"/>
  <c r="E39" i="7"/>
  <c r="D38" i="7"/>
  <c r="E37" i="7"/>
  <c r="D36" i="7"/>
  <c r="E103" i="9"/>
  <c r="E101" i="9"/>
  <c r="E99" i="9"/>
  <c r="E94" i="9"/>
  <c r="E92" i="9"/>
  <c r="E90" i="9"/>
  <c r="E88" i="9"/>
  <c r="E86" i="9"/>
  <c r="E84" i="9"/>
  <c r="E82" i="9"/>
  <c r="E80" i="9"/>
  <c r="E78" i="9"/>
  <c r="E76" i="9"/>
  <c r="E74" i="9"/>
  <c r="E72" i="9"/>
  <c r="E70" i="9"/>
  <c r="E68" i="9"/>
  <c r="D63" i="9"/>
  <c r="E62" i="9"/>
  <c r="D61" i="9"/>
  <c r="E60" i="9"/>
  <c r="D59" i="9"/>
  <c r="E58" i="9"/>
  <c r="D57" i="9"/>
  <c r="E56" i="9"/>
  <c r="D55" i="9"/>
  <c r="E54" i="9"/>
  <c r="D53" i="9"/>
  <c r="E52" i="9"/>
  <c r="D51" i="9"/>
  <c r="E50" i="9"/>
  <c r="D49" i="9"/>
  <c r="E48" i="9"/>
  <c r="D47" i="9"/>
  <c r="E46" i="9"/>
  <c r="D45" i="9"/>
  <c r="E44" i="9"/>
  <c r="D43" i="9"/>
  <c r="E42" i="9"/>
  <c r="D41" i="9"/>
  <c r="E40" i="9"/>
  <c r="D39" i="9"/>
  <c r="E38" i="9"/>
  <c r="D37" i="9"/>
  <c r="E36" i="9"/>
  <c r="E120" i="9"/>
  <c r="E104" i="9"/>
  <c r="E102" i="9"/>
  <c r="E116" i="9" s="1"/>
  <c r="E100" i="9"/>
  <c r="E98" i="9"/>
  <c r="E93" i="9"/>
  <c r="E91" i="9"/>
  <c r="E89" i="9"/>
  <c r="E87" i="9"/>
  <c r="E85" i="9"/>
  <c r="E83" i="9"/>
  <c r="E81" i="9"/>
  <c r="E79" i="9"/>
  <c r="E77" i="9"/>
  <c r="E75" i="9"/>
  <c r="E73" i="9"/>
  <c r="E71" i="9"/>
  <c r="E69" i="9"/>
  <c r="E67" i="9"/>
  <c r="E63" i="9"/>
  <c r="D62" i="9"/>
  <c r="E61" i="9"/>
  <c r="D60" i="9"/>
  <c r="E59" i="9"/>
  <c r="D58" i="9"/>
  <c r="E57" i="9"/>
  <c r="D56" i="9"/>
  <c r="E55" i="9"/>
  <c r="D54" i="9"/>
  <c r="E53" i="9"/>
  <c r="D52" i="9"/>
  <c r="E51" i="9"/>
  <c r="D50" i="9"/>
  <c r="E49" i="9"/>
  <c r="D48" i="9"/>
  <c r="E47" i="9"/>
  <c r="D46" i="9"/>
  <c r="E45" i="9"/>
  <c r="D44" i="9"/>
  <c r="E43" i="9"/>
  <c r="D42" i="9"/>
  <c r="E41" i="9"/>
  <c r="D40" i="9"/>
  <c r="E39" i="9"/>
  <c r="D38" i="9"/>
  <c r="E37" i="9"/>
  <c r="D36" i="9"/>
  <c r="E103" i="11"/>
  <c r="E101" i="11"/>
  <c r="E99" i="11"/>
  <c r="E94" i="11"/>
  <c r="E92" i="11"/>
  <c r="E90" i="11"/>
  <c r="E88" i="11"/>
  <c r="E86" i="11"/>
  <c r="E84" i="11"/>
  <c r="E82" i="11"/>
  <c r="E80" i="11"/>
  <c r="E78" i="11"/>
  <c r="E76" i="11"/>
  <c r="E74" i="11"/>
  <c r="E72" i="11"/>
  <c r="E70" i="11"/>
  <c r="E68" i="11"/>
  <c r="D63" i="11"/>
  <c r="E62" i="11"/>
  <c r="D61" i="11"/>
  <c r="E60" i="11"/>
  <c r="D59" i="11"/>
  <c r="E58" i="11"/>
  <c r="D57" i="11"/>
  <c r="E56" i="11"/>
  <c r="D55" i="11"/>
  <c r="E54" i="11"/>
  <c r="D53" i="11"/>
  <c r="E52" i="11"/>
  <c r="D51" i="11"/>
  <c r="E50" i="11"/>
  <c r="D49" i="11"/>
  <c r="E48" i="11"/>
  <c r="D47" i="11"/>
  <c r="E46" i="11"/>
  <c r="D45" i="11"/>
  <c r="E44" i="11"/>
  <c r="D43" i="11"/>
  <c r="E42" i="11"/>
  <c r="D41" i="11"/>
  <c r="E40" i="11"/>
  <c r="D39" i="11"/>
  <c r="E38" i="11"/>
  <c r="D37" i="11"/>
  <c r="E36" i="11"/>
  <c r="E120" i="11"/>
  <c r="E104" i="11"/>
  <c r="E102" i="11"/>
  <c r="E116" i="11" s="1"/>
  <c r="F116" i="11" s="1"/>
  <c r="E100" i="11"/>
  <c r="E98" i="11"/>
  <c r="E93" i="11"/>
  <c r="E91" i="11"/>
  <c r="E89" i="11"/>
  <c r="E87" i="11"/>
  <c r="E85" i="11"/>
  <c r="E83" i="11"/>
  <c r="E81" i="11"/>
  <c r="E79" i="11"/>
  <c r="E77" i="11"/>
  <c r="E75" i="11"/>
  <c r="E73" i="11"/>
  <c r="E71" i="11"/>
  <c r="E69" i="11"/>
  <c r="E67" i="11"/>
  <c r="E63" i="11"/>
  <c r="D62" i="11"/>
  <c r="E61" i="11"/>
  <c r="D60" i="11"/>
  <c r="E59" i="11"/>
  <c r="D58" i="11"/>
  <c r="E57" i="11"/>
  <c r="D56" i="11"/>
  <c r="E55" i="11"/>
  <c r="D54" i="11"/>
  <c r="E53" i="11"/>
  <c r="D52" i="11"/>
  <c r="E51" i="11"/>
  <c r="D50" i="11"/>
  <c r="E49" i="11"/>
  <c r="D48" i="11"/>
  <c r="E47" i="11"/>
  <c r="D46" i="11"/>
  <c r="E45" i="11"/>
  <c r="D44" i="11"/>
  <c r="E43" i="11"/>
  <c r="D42" i="11"/>
  <c r="E41" i="11"/>
  <c r="D40" i="11"/>
  <c r="E39" i="11"/>
  <c r="D38" i="11"/>
  <c r="E37" i="11"/>
  <c r="D36" i="11"/>
  <c r="E120" i="13"/>
  <c r="F120" i="13" s="1"/>
  <c r="E104" i="13"/>
  <c r="E102" i="13"/>
  <c r="E116" i="13" s="1"/>
  <c r="E100" i="13"/>
  <c r="E98" i="13"/>
  <c r="E93" i="13"/>
  <c r="E91" i="13"/>
  <c r="E89" i="13"/>
  <c r="E87" i="13"/>
  <c r="E85" i="13"/>
  <c r="E83" i="13"/>
  <c r="E81" i="13"/>
  <c r="E79" i="13"/>
  <c r="E77" i="13"/>
  <c r="E75" i="13"/>
  <c r="E73" i="13"/>
  <c r="E71" i="13"/>
  <c r="E69" i="13"/>
  <c r="E67" i="13"/>
  <c r="E63" i="13"/>
  <c r="D62" i="13"/>
  <c r="E61" i="13"/>
  <c r="D60" i="13"/>
  <c r="E59" i="13"/>
  <c r="D58" i="13"/>
  <c r="E57" i="13"/>
  <c r="D56" i="13"/>
  <c r="E55" i="13"/>
  <c r="D54" i="13"/>
  <c r="E53" i="13"/>
  <c r="D52" i="13"/>
  <c r="E51" i="13"/>
  <c r="D50" i="13"/>
  <c r="E49" i="13"/>
  <c r="D48" i="13"/>
  <c r="E47" i="13"/>
  <c r="D46" i="13"/>
  <c r="E45" i="13"/>
  <c r="D44" i="13"/>
  <c r="E43" i="13"/>
  <c r="D42" i="13"/>
  <c r="E41" i="13"/>
  <c r="D40" i="13"/>
  <c r="E39" i="13"/>
  <c r="D38" i="13"/>
  <c r="E37" i="13"/>
  <c r="D36" i="13"/>
  <c r="E103" i="13"/>
  <c r="E101" i="13"/>
  <c r="E99" i="13"/>
  <c r="E94" i="13"/>
  <c r="E92" i="13"/>
  <c r="E90" i="13"/>
  <c r="E88" i="13"/>
  <c r="E86" i="13"/>
  <c r="E84" i="13"/>
  <c r="E82" i="13"/>
  <c r="E80" i="13"/>
  <c r="E78" i="13"/>
  <c r="E76" i="13"/>
  <c r="E74" i="13"/>
  <c r="E72" i="13"/>
  <c r="E70" i="13"/>
  <c r="E68" i="13"/>
  <c r="D63" i="13"/>
  <c r="E62" i="13"/>
  <c r="D61" i="13"/>
  <c r="E60" i="13"/>
  <c r="D59" i="13"/>
  <c r="E58" i="13"/>
  <c r="D57" i="13"/>
  <c r="E56" i="13"/>
  <c r="D55" i="13"/>
  <c r="E54" i="13"/>
  <c r="D53" i="13"/>
  <c r="E52" i="13"/>
  <c r="D51" i="13"/>
  <c r="E50" i="13"/>
  <c r="D49" i="13"/>
  <c r="E48" i="13"/>
  <c r="D47" i="13"/>
  <c r="E46" i="13"/>
  <c r="D45" i="13"/>
  <c r="E44" i="13"/>
  <c r="D43" i="13"/>
  <c r="E42" i="13"/>
  <c r="D41" i="13"/>
  <c r="E40" i="13"/>
  <c r="D39" i="13"/>
  <c r="E38" i="13"/>
  <c r="D37" i="13"/>
  <c r="E36" i="13"/>
  <c r="E120" i="15"/>
  <c r="F120" i="15" s="1"/>
  <c r="E104" i="15"/>
  <c r="E102" i="15"/>
  <c r="E116" i="15" s="1"/>
  <c r="E100" i="15"/>
  <c r="E98" i="15"/>
  <c r="E93" i="15"/>
  <c r="E91" i="15"/>
  <c r="E89" i="15"/>
  <c r="E87" i="15"/>
  <c r="E85" i="15"/>
  <c r="E83" i="15"/>
  <c r="E81" i="15"/>
  <c r="E79" i="15"/>
  <c r="E77" i="15"/>
  <c r="E75" i="15"/>
  <c r="E73" i="15"/>
  <c r="E71" i="15"/>
  <c r="E69" i="15"/>
  <c r="E67" i="15"/>
  <c r="E63" i="15"/>
  <c r="D62" i="15"/>
  <c r="E61" i="15"/>
  <c r="D60" i="15"/>
  <c r="E59" i="15"/>
  <c r="D58" i="15"/>
  <c r="E57" i="15"/>
  <c r="D56" i="15"/>
  <c r="E55" i="15"/>
  <c r="D54" i="15"/>
  <c r="E53" i="15"/>
  <c r="D52" i="15"/>
  <c r="E51" i="15"/>
  <c r="D50" i="15"/>
  <c r="E49" i="15"/>
  <c r="D48" i="15"/>
  <c r="E47" i="15"/>
  <c r="D46" i="15"/>
  <c r="E45" i="15"/>
  <c r="D44" i="15"/>
  <c r="E43" i="15"/>
  <c r="D42" i="15"/>
  <c r="E41" i="15"/>
  <c r="D40" i="15"/>
  <c r="E39" i="15"/>
  <c r="D38" i="15"/>
  <c r="E37" i="15"/>
  <c r="D36" i="15"/>
  <c r="E103" i="15"/>
  <c r="E101" i="15"/>
  <c r="E99" i="15"/>
  <c r="E94" i="15"/>
  <c r="E92" i="15"/>
  <c r="E90" i="15"/>
  <c r="E88" i="15"/>
  <c r="E86" i="15"/>
  <c r="E84" i="15"/>
  <c r="E82" i="15"/>
  <c r="E80" i="15"/>
  <c r="E78" i="15"/>
  <c r="E76" i="15"/>
  <c r="E74" i="15"/>
  <c r="E72" i="15"/>
  <c r="E70" i="15"/>
  <c r="E68" i="15"/>
  <c r="D63" i="15"/>
  <c r="E62" i="15"/>
  <c r="D61" i="15"/>
  <c r="E60" i="15"/>
  <c r="D59" i="15"/>
  <c r="E58" i="15"/>
  <c r="D57" i="15"/>
  <c r="E56" i="15"/>
  <c r="D55" i="15"/>
  <c r="E54" i="15"/>
  <c r="D53" i="15"/>
  <c r="E52" i="15"/>
  <c r="D51" i="15"/>
  <c r="E50" i="15"/>
  <c r="D49" i="15"/>
  <c r="E48" i="15"/>
  <c r="D47" i="15"/>
  <c r="E46" i="15"/>
  <c r="D45" i="15"/>
  <c r="E44" i="15"/>
  <c r="D43" i="15"/>
  <c r="E42" i="15"/>
  <c r="D41" i="15"/>
  <c r="E40" i="15"/>
  <c r="D39" i="15"/>
  <c r="E38" i="15"/>
  <c r="D37" i="15"/>
  <c r="E36" i="15"/>
  <c r="E120" i="17"/>
  <c r="F120" i="17" s="1"/>
  <c r="E104" i="17"/>
  <c r="E102" i="17"/>
  <c r="E116" i="17" s="1"/>
  <c r="E100" i="17"/>
  <c r="E98" i="17"/>
  <c r="E93" i="17"/>
  <c r="E91" i="17"/>
  <c r="E89" i="17"/>
  <c r="E87" i="17"/>
  <c r="E85" i="17"/>
  <c r="E83" i="17"/>
  <c r="E81" i="17"/>
  <c r="E79" i="17"/>
  <c r="E77" i="17"/>
  <c r="E75" i="17"/>
  <c r="E73" i="17"/>
  <c r="E71" i="17"/>
  <c r="E69" i="17"/>
  <c r="E67" i="17"/>
  <c r="E63" i="17"/>
  <c r="D62" i="17"/>
  <c r="E61" i="17"/>
  <c r="D60" i="17"/>
  <c r="E59" i="17"/>
  <c r="D58" i="17"/>
  <c r="E57" i="17"/>
  <c r="D56" i="17"/>
  <c r="E55" i="17"/>
  <c r="D54" i="17"/>
  <c r="E53" i="17"/>
  <c r="D52" i="17"/>
  <c r="E51" i="17"/>
  <c r="D50" i="17"/>
  <c r="E49" i="17"/>
  <c r="D48" i="17"/>
  <c r="E47" i="17"/>
  <c r="D46" i="17"/>
  <c r="E45" i="17"/>
  <c r="D44" i="17"/>
  <c r="E43" i="17"/>
  <c r="D42" i="17"/>
  <c r="E41" i="17"/>
  <c r="D40" i="17"/>
  <c r="E39" i="17"/>
  <c r="D38" i="17"/>
  <c r="E37" i="17"/>
  <c r="D36" i="17"/>
  <c r="E103" i="17"/>
  <c r="E101" i="17"/>
  <c r="E99" i="17"/>
  <c r="E94" i="17"/>
  <c r="E92" i="17"/>
  <c r="E90" i="17"/>
  <c r="E88" i="17"/>
  <c r="E86" i="17"/>
  <c r="E84" i="17"/>
  <c r="E82" i="17"/>
  <c r="E80" i="17"/>
  <c r="E78" i="17"/>
  <c r="E76" i="17"/>
  <c r="E74" i="17"/>
  <c r="E72" i="17"/>
  <c r="E70" i="17"/>
  <c r="E68" i="17"/>
  <c r="D63" i="17"/>
  <c r="E62" i="17"/>
  <c r="D61" i="17"/>
  <c r="E60" i="17"/>
  <c r="D59" i="17"/>
  <c r="E58" i="17"/>
  <c r="D57" i="17"/>
  <c r="E56" i="17"/>
  <c r="D55" i="17"/>
  <c r="E54" i="17"/>
  <c r="D53" i="17"/>
  <c r="E52" i="17"/>
  <c r="D51" i="17"/>
  <c r="E50" i="17"/>
  <c r="D49" i="17"/>
  <c r="E48" i="17"/>
  <c r="D47" i="17"/>
  <c r="E46" i="17"/>
  <c r="D45" i="17"/>
  <c r="E44" i="17"/>
  <c r="D43" i="17"/>
  <c r="E42" i="17"/>
  <c r="D41" i="17"/>
  <c r="E40" i="17"/>
  <c r="D39" i="17"/>
  <c r="E38" i="17"/>
  <c r="D37" i="17"/>
  <c r="E36" i="17"/>
  <c r="E120" i="19"/>
  <c r="F120" i="19" s="1"/>
  <c r="E104" i="19"/>
  <c r="E102" i="19"/>
  <c r="E116" i="19" s="1"/>
  <c r="E100" i="19"/>
  <c r="E98" i="19"/>
  <c r="E93" i="19"/>
  <c r="E91" i="19"/>
  <c r="E89" i="19"/>
  <c r="E87" i="19"/>
  <c r="E85" i="19"/>
  <c r="E83" i="19"/>
  <c r="E81" i="19"/>
  <c r="E79" i="19"/>
  <c r="E77" i="19"/>
  <c r="E75" i="19"/>
  <c r="E73" i="19"/>
  <c r="E71" i="19"/>
  <c r="E69" i="19"/>
  <c r="E67" i="19"/>
  <c r="E63" i="19"/>
  <c r="D62" i="19"/>
  <c r="E61" i="19"/>
  <c r="D60" i="19"/>
  <c r="E59" i="19"/>
  <c r="D58" i="19"/>
  <c r="E57" i="19"/>
  <c r="D56" i="19"/>
  <c r="E55" i="19"/>
  <c r="D54" i="19"/>
  <c r="E103" i="19"/>
  <c r="E101" i="19"/>
  <c r="E99" i="19"/>
  <c r="E94" i="19"/>
  <c r="E92" i="19"/>
  <c r="E90" i="19"/>
  <c r="E88" i="19"/>
  <c r="E86" i="19"/>
  <c r="E84" i="19"/>
  <c r="E82" i="19"/>
  <c r="E80" i="19"/>
  <c r="E78" i="19"/>
  <c r="E76" i="19"/>
  <c r="E74" i="19"/>
  <c r="E72" i="19"/>
  <c r="E70" i="19"/>
  <c r="E68" i="19"/>
  <c r="D63" i="19"/>
  <c r="E62" i="19"/>
  <c r="D61" i="19"/>
  <c r="E60" i="19"/>
  <c r="D59" i="19"/>
  <c r="E58" i="19"/>
  <c r="D57" i="19"/>
  <c r="E56" i="19"/>
  <c r="D55" i="19"/>
  <c r="E54" i="19"/>
  <c r="D53" i="19"/>
  <c r="E52" i="19"/>
  <c r="D52" i="19"/>
  <c r="E51" i="19"/>
  <c r="D50" i="19"/>
  <c r="E49" i="19"/>
  <c r="D48" i="19"/>
  <c r="E47" i="19"/>
  <c r="D46" i="19"/>
  <c r="E45" i="19"/>
  <c r="D44" i="19"/>
  <c r="E43" i="19"/>
  <c r="D42" i="19"/>
  <c r="E41" i="19"/>
  <c r="D40" i="19"/>
  <c r="E39" i="19"/>
  <c r="D38" i="19"/>
  <c r="E37" i="19"/>
  <c r="D36" i="19"/>
  <c r="E53" i="19"/>
  <c r="D51" i="19"/>
  <c r="E50" i="19"/>
  <c r="D49" i="19"/>
  <c r="E48" i="19"/>
  <c r="D47" i="19"/>
  <c r="E46" i="19"/>
  <c r="D45" i="19"/>
  <c r="E44" i="19"/>
  <c r="D43" i="19"/>
  <c r="E42" i="19"/>
  <c r="D41" i="19"/>
  <c r="E40" i="19"/>
  <c r="D39" i="19"/>
  <c r="E38" i="19"/>
  <c r="D37" i="19"/>
  <c r="E36" i="19"/>
  <c r="E120" i="21"/>
  <c r="F120" i="21" s="1"/>
  <c r="E104" i="21"/>
  <c r="E102" i="21"/>
  <c r="E116" i="21" s="1"/>
  <c r="E100" i="21"/>
  <c r="E98" i="21"/>
  <c r="E93" i="21"/>
  <c r="E91" i="21"/>
  <c r="E89" i="21"/>
  <c r="E87" i="21"/>
  <c r="E85" i="21"/>
  <c r="E83" i="21"/>
  <c r="E81" i="21"/>
  <c r="E79" i="21"/>
  <c r="E77" i="21"/>
  <c r="E75" i="21"/>
  <c r="E73" i="21"/>
  <c r="E71" i="21"/>
  <c r="E69" i="21"/>
  <c r="E67" i="21"/>
  <c r="E63" i="21"/>
  <c r="D62" i="21"/>
  <c r="E61" i="21"/>
  <c r="D60" i="21"/>
  <c r="E59" i="21"/>
  <c r="D58" i="21"/>
  <c r="E57" i="21"/>
  <c r="D56" i="21"/>
  <c r="E55" i="21"/>
  <c r="D54" i="21"/>
  <c r="E53" i="21"/>
  <c r="D52" i="21"/>
  <c r="E51" i="21"/>
  <c r="D50" i="21"/>
  <c r="E49" i="21"/>
  <c r="D48" i="21"/>
  <c r="E47" i="21"/>
  <c r="D46" i="21"/>
  <c r="E45" i="21"/>
  <c r="D44" i="21"/>
  <c r="E43" i="21"/>
  <c r="D42" i="21"/>
  <c r="E41" i="21"/>
  <c r="D40" i="21"/>
  <c r="E39" i="21"/>
  <c r="D38" i="21"/>
  <c r="E37" i="21"/>
  <c r="D36" i="21"/>
  <c r="E103" i="21"/>
  <c r="E101" i="21"/>
  <c r="E99" i="21"/>
  <c r="E94" i="21"/>
  <c r="E92" i="21"/>
  <c r="E90" i="21"/>
  <c r="E88" i="21"/>
  <c r="E86" i="21"/>
  <c r="E84" i="21"/>
  <c r="E82" i="21"/>
  <c r="E80" i="21"/>
  <c r="E78" i="21"/>
  <c r="E76" i="21"/>
  <c r="E74" i="21"/>
  <c r="E72" i="21"/>
  <c r="E70" i="21"/>
  <c r="E68" i="21"/>
  <c r="D63" i="21"/>
  <c r="E62" i="21"/>
  <c r="D61" i="21"/>
  <c r="D92" i="21" s="1"/>
  <c r="E60" i="21"/>
  <c r="D59" i="21"/>
  <c r="E58" i="21"/>
  <c r="D57" i="21"/>
  <c r="E56" i="21"/>
  <c r="D55" i="21"/>
  <c r="E54" i="21"/>
  <c r="D53" i="21"/>
  <c r="D84" i="21" s="1"/>
  <c r="E52" i="21"/>
  <c r="D51" i="21"/>
  <c r="E50" i="21"/>
  <c r="D49" i="21"/>
  <c r="E48" i="21"/>
  <c r="D47" i="21"/>
  <c r="E46" i="21"/>
  <c r="D45" i="21"/>
  <c r="D76" i="21" s="1"/>
  <c r="E44" i="21"/>
  <c r="D43" i="21"/>
  <c r="E42" i="21"/>
  <c r="D41" i="21"/>
  <c r="E40" i="21"/>
  <c r="D39" i="21"/>
  <c r="E38" i="21"/>
  <c r="D37" i="21"/>
  <c r="D68" i="21" s="1"/>
  <c r="E36" i="21"/>
  <c r="E120" i="23"/>
  <c r="F120" i="23" s="1"/>
  <c r="E104" i="23"/>
  <c r="E102" i="23"/>
  <c r="E116" i="23" s="1"/>
  <c r="E100" i="23"/>
  <c r="E98" i="23"/>
  <c r="E93" i="23"/>
  <c r="E91" i="23"/>
  <c r="E89" i="23"/>
  <c r="E87" i="23"/>
  <c r="E85" i="23"/>
  <c r="E83" i="23"/>
  <c r="E81" i="23"/>
  <c r="E79" i="23"/>
  <c r="E77" i="23"/>
  <c r="E75" i="23"/>
  <c r="E73" i="23"/>
  <c r="E71" i="23"/>
  <c r="E69" i="23"/>
  <c r="E67" i="23"/>
  <c r="E63" i="23"/>
  <c r="D62" i="23"/>
  <c r="E61" i="23"/>
  <c r="D60" i="23"/>
  <c r="E59" i="23"/>
  <c r="D58" i="23"/>
  <c r="E57" i="23"/>
  <c r="D56" i="23"/>
  <c r="E55" i="23"/>
  <c r="D54" i="23"/>
  <c r="E53" i="23"/>
  <c r="D52" i="23"/>
  <c r="E51" i="23"/>
  <c r="D50" i="23"/>
  <c r="E49" i="23"/>
  <c r="D48" i="23"/>
  <c r="E47" i="23"/>
  <c r="D46" i="23"/>
  <c r="E45" i="23"/>
  <c r="D44" i="23"/>
  <c r="E43" i="23"/>
  <c r="D42" i="23"/>
  <c r="E41" i="23"/>
  <c r="D40" i="23"/>
  <c r="E39" i="23"/>
  <c r="D38" i="23"/>
  <c r="E37" i="23"/>
  <c r="D36" i="23"/>
  <c r="E103" i="23"/>
  <c r="E101" i="23"/>
  <c r="E99" i="23"/>
  <c r="E94" i="23"/>
  <c r="E92" i="23"/>
  <c r="E90" i="23"/>
  <c r="E88" i="23"/>
  <c r="E86" i="23"/>
  <c r="E84" i="23"/>
  <c r="E82" i="23"/>
  <c r="E80" i="23"/>
  <c r="E78" i="23"/>
  <c r="E76" i="23"/>
  <c r="E74" i="23"/>
  <c r="E72" i="23"/>
  <c r="E70" i="23"/>
  <c r="E68" i="23"/>
  <c r="D63" i="23"/>
  <c r="E62" i="23"/>
  <c r="D61" i="23"/>
  <c r="E60" i="23"/>
  <c r="D59" i="23"/>
  <c r="E58" i="23"/>
  <c r="D57" i="23"/>
  <c r="D26" i="23" s="1"/>
  <c r="E56" i="23"/>
  <c r="D55" i="23"/>
  <c r="E54" i="23"/>
  <c r="D53" i="23"/>
  <c r="E52" i="23"/>
  <c r="D51" i="23"/>
  <c r="E50" i="23"/>
  <c r="D49" i="23"/>
  <c r="D18" i="23" s="1"/>
  <c r="E48" i="23"/>
  <c r="D47" i="23"/>
  <c r="E46" i="23"/>
  <c r="D45" i="23"/>
  <c r="E44" i="23"/>
  <c r="D43" i="23"/>
  <c r="E42" i="23"/>
  <c r="D41" i="23"/>
  <c r="D10" i="23" s="1"/>
  <c r="E40" i="23"/>
  <c r="D39" i="23"/>
  <c r="E38" i="23"/>
  <c r="D37" i="23"/>
  <c r="E36" i="23"/>
  <c r="E120" i="25"/>
  <c r="F120" i="25" s="1"/>
  <c r="E104" i="25"/>
  <c r="E102" i="25"/>
  <c r="E116" i="25" s="1"/>
  <c r="E100" i="25"/>
  <c r="E98" i="25"/>
  <c r="E93" i="25"/>
  <c r="E91" i="25"/>
  <c r="E89" i="25"/>
  <c r="E87" i="25"/>
  <c r="E85" i="25"/>
  <c r="E83" i="25"/>
  <c r="E81" i="25"/>
  <c r="E79" i="25"/>
  <c r="E77" i="25"/>
  <c r="E75" i="25"/>
  <c r="E73" i="25"/>
  <c r="E71" i="25"/>
  <c r="E69" i="25"/>
  <c r="E67" i="25"/>
  <c r="E63" i="25"/>
  <c r="D62" i="25"/>
  <c r="E61" i="25"/>
  <c r="D60" i="25"/>
  <c r="E59" i="25"/>
  <c r="D58" i="25"/>
  <c r="E57" i="25"/>
  <c r="D56" i="25"/>
  <c r="E55" i="25"/>
  <c r="D54" i="25"/>
  <c r="E53" i="25"/>
  <c r="D52" i="25"/>
  <c r="E51" i="25"/>
  <c r="D50" i="25"/>
  <c r="E49" i="25"/>
  <c r="D48" i="25"/>
  <c r="E47" i="25"/>
  <c r="D46" i="25"/>
  <c r="E45" i="25"/>
  <c r="D44" i="25"/>
  <c r="E43" i="25"/>
  <c r="D42" i="25"/>
  <c r="E41" i="25"/>
  <c r="D40" i="25"/>
  <c r="E39" i="25"/>
  <c r="D38" i="25"/>
  <c r="E37" i="25"/>
  <c r="D36" i="25"/>
  <c r="E103" i="25"/>
  <c r="E101" i="25"/>
  <c r="E99" i="25"/>
  <c r="E94" i="25"/>
  <c r="E92" i="25"/>
  <c r="E90" i="25"/>
  <c r="E88" i="25"/>
  <c r="E86" i="25"/>
  <c r="E84" i="25"/>
  <c r="E82" i="25"/>
  <c r="E80" i="25"/>
  <c r="E78" i="25"/>
  <c r="E76" i="25"/>
  <c r="E74" i="25"/>
  <c r="E72" i="25"/>
  <c r="E70" i="25"/>
  <c r="E68" i="25"/>
  <c r="D63" i="25"/>
  <c r="E62" i="25"/>
  <c r="D61" i="25"/>
  <c r="D92" i="25" s="1"/>
  <c r="E60" i="25"/>
  <c r="D59" i="25"/>
  <c r="E58" i="25"/>
  <c r="D57" i="25"/>
  <c r="D26" i="25" s="1"/>
  <c r="E56" i="25"/>
  <c r="D55" i="25"/>
  <c r="E54" i="25"/>
  <c r="D53" i="25"/>
  <c r="D84" i="25" s="1"/>
  <c r="E52" i="25"/>
  <c r="D51" i="25"/>
  <c r="E50" i="25"/>
  <c r="D49" i="25"/>
  <c r="E48" i="25"/>
  <c r="D47" i="25"/>
  <c r="E46" i="25"/>
  <c r="D45" i="25"/>
  <c r="D76" i="25" s="1"/>
  <c r="E44" i="25"/>
  <c r="D43" i="25"/>
  <c r="E42" i="25"/>
  <c r="D41" i="25"/>
  <c r="D10" i="25" s="1"/>
  <c r="E40" i="25"/>
  <c r="D39" i="25"/>
  <c r="E38" i="25"/>
  <c r="D37" i="25"/>
  <c r="E36" i="25"/>
  <c r="E120" i="27"/>
  <c r="F120" i="27" s="1"/>
  <c r="E104" i="27"/>
  <c r="E102" i="27"/>
  <c r="E116" i="27" s="1"/>
  <c r="E100" i="27"/>
  <c r="E98" i="27"/>
  <c r="E93" i="27"/>
  <c r="E91" i="27"/>
  <c r="E89" i="27"/>
  <c r="E87" i="27"/>
  <c r="E85" i="27"/>
  <c r="E83" i="27"/>
  <c r="E81" i="27"/>
  <c r="E79" i="27"/>
  <c r="E77" i="27"/>
  <c r="E75" i="27"/>
  <c r="E73" i="27"/>
  <c r="E71" i="27"/>
  <c r="E69" i="27"/>
  <c r="E67" i="27"/>
  <c r="E63" i="27"/>
  <c r="D62" i="27"/>
  <c r="E61" i="27"/>
  <c r="D60" i="27"/>
  <c r="E59" i="27"/>
  <c r="D58" i="27"/>
  <c r="E57" i="27"/>
  <c r="D56" i="27"/>
  <c r="E55" i="27"/>
  <c r="D54" i="27"/>
  <c r="E53" i="27"/>
  <c r="D52" i="27"/>
  <c r="E51" i="27"/>
  <c r="D50" i="27"/>
  <c r="E49" i="27"/>
  <c r="D48" i="27"/>
  <c r="E47" i="27"/>
  <c r="D46" i="27"/>
  <c r="E45" i="27"/>
  <c r="D44" i="27"/>
  <c r="E43" i="27"/>
  <c r="D42" i="27"/>
  <c r="E41" i="27"/>
  <c r="D40" i="27"/>
  <c r="E39" i="27"/>
  <c r="D38" i="27"/>
  <c r="E37" i="27"/>
  <c r="D36" i="27"/>
  <c r="E103" i="27"/>
  <c r="E101" i="27"/>
  <c r="E99" i="27"/>
  <c r="E94" i="27"/>
  <c r="E92" i="27"/>
  <c r="E90" i="27"/>
  <c r="E88" i="27"/>
  <c r="E86" i="27"/>
  <c r="E84" i="27"/>
  <c r="E82" i="27"/>
  <c r="E80" i="27"/>
  <c r="E78" i="27"/>
  <c r="E76" i="27"/>
  <c r="E74" i="27"/>
  <c r="E72" i="27"/>
  <c r="E70" i="27"/>
  <c r="E68" i="27"/>
  <c r="D63" i="27"/>
  <c r="E62" i="27"/>
  <c r="D61" i="27"/>
  <c r="E60" i="27"/>
  <c r="D59" i="27"/>
  <c r="E58" i="27"/>
  <c r="D57" i="27"/>
  <c r="E56" i="27"/>
  <c r="D55" i="27"/>
  <c r="E54" i="27"/>
  <c r="D53" i="27"/>
  <c r="E52" i="27"/>
  <c r="D51" i="27"/>
  <c r="E50" i="27"/>
  <c r="D49" i="27"/>
  <c r="E48" i="27"/>
  <c r="D47" i="27"/>
  <c r="E46" i="27"/>
  <c r="D45" i="27"/>
  <c r="E44" i="27"/>
  <c r="D43" i="27"/>
  <c r="E42" i="27"/>
  <c r="D41" i="27"/>
  <c r="E40" i="27"/>
  <c r="D39" i="27"/>
  <c r="E38" i="27"/>
  <c r="D37" i="27"/>
  <c r="E36" i="27"/>
  <c r="E120" i="29"/>
  <c r="F120" i="29" s="1"/>
  <c r="E104" i="29"/>
  <c r="E102" i="29"/>
  <c r="E116" i="29" s="1"/>
  <c r="E100" i="29"/>
  <c r="E98" i="29"/>
  <c r="E93" i="29"/>
  <c r="E91" i="29"/>
  <c r="E89" i="29"/>
  <c r="E87" i="29"/>
  <c r="E85" i="29"/>
  <c r="E83" i="29"/>
  <c r="E81" i="29"/>
  <c r="E79" i="29"/>
  <c r="E77" i="29"/>
  <c r="E75" i="29"/>
  <c r="E73" i="29"/>
  <c r="E71" i="29"/>
  <c r="E69" i="29"/>
  <c r="E67" i="29"/>
  <c r="E63" i="29"/>
  <c r="D62" i="29"/>
  <c r="E61" i="29"/>
  <c r="D60" i="29"/>
  <c r="E59" i="29"/>
  <c r="D58" i="29"/>
  <c r="E57" i="29"/>
  <c r="D56" i="29"/>
  <c r="E55" i="29"/>
  <c r="D54" i="29"/>
  <c r="E53" i="29"/>
  <c r="D52" i="29"/>
  <c r="E51" i="29"/>
  <c r="D50" i="29"/>
  <c r="E49" i="29"/>
  <c r="D48" i="29"/>
  <c r="E47" i="29"/>
  <c r="D46" i="29"/>
  <c r="E45" i="29"/>
  <c r="D44" i="29"/>
  <c r="E43" i="29"/>
  <c r="D42" i="29"/>
  <c r="E41" i="29"/>
  <c r="D40" i="29"/>
  <c r="E39" i="29"/>
  <c r="D38" i="29"/>
  <c r="E37" i="29"/>
  <c r="D36" i="29"/>
  <c r="E103" i="29"/>
  <c r="E101" i="29"/>
  <c r="E99" i="29"/>
  <c r="E94" i="29"/>
  <c r="E92" i="29"/>
  <c r="E90" i="29"/>
  <c r="E88" i="29"/>
  <c r="E86" i="29"/>
  <c r="E84" i="29"/>
  <c r="E82" i="29"/>
  <c r="E80" i="29"/>
  <c r="E78" i="29"/>
  <c r="E76" i="29"/>
  <c r="E74" i="29"/>
  <c r="E72" i="29"/>
  <c r="E70" i="29"/>
  <c r="E68" i="29"/>
  <c r="D63" i="29"/>
  <c r="E62" i="29"/>
  <c r="D61" i="29"/>
  <c r="E60" i="29"/>
  <c r="D59" i="29"/>
  <c r="E58" i="29"/>
  <c r="D57" i="29"/>
  <c r="E56" i="29"/>
  <c r="D55" i="29"/>
  <c r="E54" i="29"/>
  <c r="D53" i="29"/>
  <c r="E52" i="29"/>
  <c r="D51" i="29"/>
  <c r="E50" i="29"/>
  <c r="D49" i="29"/>
  <c r="E48" i="29"/>
  <c r="D47" i="29"/>
  <c r="E46" i="29"/>
  <c r="D45" i="29"/>
  <c r="E44" i="29"/>
  <c r="D43" i="29"/>
  <c r="E42" i="29"/>
  <c r="D41" i="29"/>
  <c r="E40" i="29"/>
  <c r="D39" i="29"/>
  <c r="E38" i="29"/>
  <c r="D37" i="29"/>
  <c r="E36" i="29"/>
  <c r="E120" i="31"/>
  <c r="F120" i="31" s="1"/>
  <c r="E104" i="31"/>
  <c r="E102" i="31"/>
  <c r="E116" i="31" s="1"/>
  <c r="E100" i="31"/>
  <c r="E98" i="31"/>
  <c r="E93" i="31"/>
  <c r="E91" i="31"/>
  <c r="E89" i="31"/>
  <c r="E87" i="31"/>
  <c r="E85" i="31"/>
  <c r="E83" i="31"/>
  <c r="E81" i="31"/>
  <c r="E79" i="31"/>
  <c r="E77" i="31"/>
  <c r="E75" i="31"/>
  <c r="E73" i="31"/>
  <c r="E71" i="31"/>
  <c r="E69" i="31"/>
  <c r="E67" i="31"/>
  <c r="E63" i="31"/>
  <c r="D62" i="31"/>
  <c r="E61" i="31"/>
  <c r="D60" i="31"/>
  <c r="E59" i="31"/>
  <c r="D58" i="31"/>
  <c r="E57" i="31"/>
  <c r="D56" i="31"/>
  <c r="E55" i="31"/>
  <c r="D54" i="31"/>
  <c r="E53" i="31"/>
  <c r="D52" i="31"/>
  <c r="E51" i="31"/>
  <c r="D50" i="31"/>
  <c r="E49" i="31"/>
  <c r="D48" i="31"/>
  <c r="E47" i="31"/>
  <c r="D46" i="31"/>
  <c r="E45" i="31"/>
  <c r="D44" i="31"/>
  <c r="E43" i="31"/>
  <c r="D42" i="31"/>
  <c r="E41" i="31"/>
  <c r="D40" i="31"/>
  <c r="E39" i="31"/>
  <c r="D38" i="31"/>
  <c r="E37" i="31"/>
  <c r="D36" i="31"/>
  <c r="E103" i="31"/>
  <c r="E101" i="31"/>
  <c r="E99" i="31"/>
  <c r="E94" i="31"/>
  <c r="E92" i="31"/>
  <c r="E90" i="31"/>
  <c r="E88" i="31"/>
  <c r="E86" i="31"/>
  <c r="E84" i="31"/>
  <c r="E82" i="31"/>
  <c r="E80" i="31"/>
  <c r="E78" i="31"/>
  <c r="E76" i="31"/>
  <c r="E74" i="31"/>
  <c r="E72" i="31"/>
  <c r="E70" i="31"/>
  <c r="E68" i="31"/>
  <c r="D63" i="31"/>
  <c r="E62" i="31"/>
  <c r="D61" i="31"/>
  <c r="E60" i="31"/>
  <c r="D59" i="31"/>
  <c r="E58" i="31"/>
  <c r="D57" i="31"/>
  <c r="E56" i="31"/>
  <c r="D55" i="31"/>
  <c r="E54" i="31"/>
  <c r="D53" i="31"/>
  <c r="E52" i="31"/>
  <c r="D51" i="31"/>
  <c r="E50" i="31"/>
  <c r="D49" i="31"/>
  <c r="E48" i="31"/>
  <c r="D47" i="31"/>
  <c r="E46" i="31"/>
  <c r="D45" i="31"/>
  <c r="E44" i="31"/>
  <c r="D43" i="31"/>
  <c r="E42" i="31"/>
  <c r="D41" i="31"/>
  <c r="E40" i="31"/>
  <c r="D39" i="31"/>
  <c r="E38" i="31"/>
  <c r="D37" i="31"/>
  <c r="E36" i="31"/>
  <c r="E120" i="33"/>
  <c r="F120" i="33" s="1"/>
  <c r="E104" i="33"/>
  <c r="E102" i="33"/>
  <c r="E116" i="33" s="1"/>
  <c r="E100" i="33"/>
  <c r="E98" i="33"/>
  <c r="E93" i="33"/>
  <c r="E91" i="33"/>
  <c r="E89" i="33"/>
  <c r="E87" i="33"/>
  <c r="E85" i="33"/>
  <c r="E83" i="33"/>
  <c r="E81" i="33"/>
  <c r="E79" i="33"/>
  <c r="E77" i="33"/>
  <c r="E75" i="33"/>
  <c r="E73" i="33"/>
  <c r="E71" i="33"/>
  <c r="E69" i="33"/>
  <c r="E67" i="33"/>
  <c r="E63" i="33"/>
  <c r="D62" i="33"/>
  <c r="E61" i="33"/>
  <c r="D60" i="33"/>
  <c r="E59" i="33"/>
  <c r="D58" i="33"/>
  <c r="E57" i="33"/>
  <c r="D56" i="33"/>
  <c r="E55" i="33"/>
  <c r="D54" i="33"/>
  <c r="E53" i="33"/>
  <c r="D52" i="33"/>
  <c r="E51" i="33"/>
  <c r="D50" i="33"/>
  <c r="E49" i="33"/>
  <c r="D48" i="33"/>
  <c r="E47" i="33"/>
  <c r="D46" i="33"/>
  <c r="E45" i="33"/>
  <c r="D44" i="33"/>
  <c r="E43" i="33"/>
  <c r="D42" i="33"/>
  <c r="E41" i="33"/>
  <c r="D40" i="33"/>
  <c r="E39" i="33"/>
  <c r="D38" i="33"/>
  <c r="E37" i="33"/>
  <c r="D36" i="33"/>
  <c r="E103" i="33"/>
  <c r="E101" i="33"/>
  <c r="E99" i="33"/>
  <c r="E94" i="33"/>
  <c r="E92" i="33"/>
  <c r="E90" i="33"/>
  <c r="E88" i="33"/>
  <c r="E86" i="33"/>
  <c r="E84" i="33"/>
  <c r="E82" i="33"/>
  <c r="E80" i="33"/>
  <c r="E78" i="33"/>
  <c r="E76" i="33"/>
  <c r="E74" i="33"/>
  <c r="E72" i="33"/>
  <c r="E70" i="33"/>
  <c r="E68" i="33"/>
  <c r="D63" i="33"/>
  <c r="E62" i="33"/>
  <c r="D61" i="33"/>
  <c r="E60" i="33"/>
  <c r="D59" i="33"/>
  <c r="E58" i="33"/>
  <c r="D57" i="33"/>
  <c r="E56" i="33"/>
  <c r="D55" i="33"/>
  <c r="E54" i="33"/>
  <c r="D53" i="33"/>
  <c r="E52" i="33"/>
  <c r="D51" i="33"/>
  <c r="E50" i="33"/>
  <c r="D49" i="33"/>
  <c r="E48" i="33"/>
  <c r="D47" i="33"/>
  <c r="E46" i="33"/>
  <c r="D45" i="33"/>
  <c r="E44" i="33"/>
  <c r="D43" i="33"/>
  <c r="E42" i="33"/>
  <c r="D41" i="33"/>
  <c r="E40" i="33"/>
  <c r="D39" i="33"/>
  <c r="E38" i="33"/>
  <c r="D37" i="33"/>
  <c r="E36" i="33"/>
  <c r="E120" i="35"/>
  <c r="F120" i="35" s="1"/>
  <c r="E104" i="35"/>
  <c r="E102" i="35"/>
  <c r="E116" i="35" s="1"/>
  <c r="E100" i="35"/>
  <c r="E98" i="35"/>
  <c r="E93" i="35"/>
  <c r="E91" i="35"/>
  <c r="E89" i="35"/>
  <c r="E87" i="35"/>
  <c r="E85" i="35"/>
  <c r="E83" i="35"/>
  <c r="E81" i="35"/>
  <c r="E79" i="35"/>
  <c r="E77" i="35"/>
  <c r="E75" i="35"/>
  <c r="E73" i="35"/>
  <c r="E71" i="35"/>
  <c r="E69" i="35"/>
  <c r="E67" i="35"/>
  <c r="E63" i="35"/>
  <c r="D62" i="35"/>
  <c r="E61" i="35"/>
  <c r="D60" i="35"/>
  <c r="E59" i="35"/>
  <c r="D58" i="35"/>
  <c r="E57" i="35"/>
  <c r="D56" i="35"/>
  <c r="E55" i="35"/>
  <c r="D54" i="35"/>
  <c r="E53" i="35"/>
  <c r="D52" i="35"/>
  <c r="E51" i="35"/>
  <c r="D50" i="35"/>
  <c r="E49" i="35"/>
  <c r="D48" i="35"/>
  <c r="E47" i="35"/>
  <c r="D46" i="35"/>
  <c r="E45" i="35"/>
  <c r="D44" i="35"/>
  <c r="E43" i="35"/>
  <c r="D42" i="35"/>
  <c r="E41" i="35"/>
  <c r="D40" i="35"/>
  <c r="E39" i="35"/>
  <c r="D38" i="35"/>
  <c r="E37" i="35"/>
  <c r="D36" i="35"/>
  <c r="E103" i="35"/>
  <c r="E101" i="35"/>
  <c r="E99" i="35"/>
  <c r="E94" i="35"/>
  <c r="E92" i="35"/>
  <c r="E90" i="35"/>
  <c r="E88" i="35"/>
  <c r="E86" i="35"/>
  <c r="E84" i="35"/>
  <c r="E82" i="35"/>
  <c r="E80" i="35"/>
  <c r="E78" i="35"/>
  <c r="E76" i="35"/>
  <c r="E74" i="35"/>
  <c r="E72" i="35"/>
  <c r="E70" i="35"/>
  <c r="E68" i="35"/>
  <c r="D63" i="35"/>
  <c r="E62" i="35"/>
  <c r="D61" i="35"/>
  <c r="E60" i="35"/>
  <c r="D59" i="35"/>
  <c r="E58" i="35"/>
  <c r="D57" i="35"/>
  <c r="E56" i="35"/>
  <c r="D55" i="35"/>
  <c r="E54" i="35"/>
  <c r="D53" i="35"/>
  <c r="E52" i="35"/>
  <c r="D51" i="35"/>
  <c r="E50" i="35"/>
  <c r="D49" i="35"/>
  <c r="E48" i="35"/>
  <c r="D47" i="35"/>
  <c r="E46" i="35"/>
  <c r="D45" i="35"/>
  <c r="E44" i="35"/>
  <c r="D43" i="35"/>
  <c r="E42" i="35"/>
  <c r="D41" i="35"/>
  <c r="E40" i="35"/>
  <c r="D39" i="35"/>
  <c r="E38" i="35"/>
  <c r="D37" i="35"/>
  <c r="E36" i="35"/>
  <c r="E120" i="37"/>
  <c r="F120" i="37" s="1"/>
  <c r="E104" i="37"/>
  <c r="E102" i="37"/>
  <c r="E116" i="37" s="1"/>
  <c r="E100" i="37"/>
  <c r="E98" i="37"/>
  <c r="E93" i="37"/>
  <c r="E91" i="37"/>
  <c r="E89" i="37"/>
  <c r="E87" i="37"/>
  <c r="E85" i="37"/>
  <c r="E83" i="37"/>
  <c r="E81" i="37"/>
  <c r="E79" i="37"/>
  <c r="E77" i="37"/>
  <c r="E75" i="37"/>
  <c r="E73" i="37"/>
  <c r="E71" i="37"/>
  <c r="E69" i="37"/>
  <c r="E67" i="37"/>
  <c r="E63" i="37"/>
  <c r="D62" i="37"/>
  <c r="E61" i="37"/>
  <c r="D60" i="37"/>
  <c r="E59" i="37"/>
  <c r="D58" i="37"/>
  <c r="E57" i="37"/>
  <c r="D56" i="37"/>
  <c r="E55" i="37"/>
  <c r="D54" i="37"/>
  <c r="E53" i="37"/>
  <c r="D52" i="37"/>
  <c r="E51" i="37"/>
  <c r="D50" i="37"/>
  <c r="E49" i="37"/>
  <c r="D48" i="37"/>
  <c r="E47" i="37"/>
  <c r="D46" i="37"/>
  <c r="E45" i="37"/>
  <c r="D44" i="37"/>
  <c r="E43" i="37"/>
  <c r="D42" i="37"/>
  <c r="E41" i="37"/>
  <c r="D40" i="37"/>
  <c r="E39" i="37"/>
  <c r="D38" i="37"/>
  <c r="E37" i="37"/>
  <c r="D36" i="37"/>
  <c r="E103" i="37"/>
  <c r="E101" i="37"/>
  <c r="E99" i="37"/>
  <c r="E94" i="37"/>
  <c r="E92" i="37"/>
  <c r="E90" i="37"/>
  <c r="E88" i="37"/>
  <c r="E86" i="37"/>
  <c r="E84" i="37"/>
  <c r="E82" i="37"/>
  <c r="E80" i="37"/>
  <c r="E78" i="37"/>
  <c r="E76" i="37"/>
  <c r="E74" i="37"/>
  <c r="E72" i="37"/>
  <c r="E70" i="37"/>
  <c r="E68" i="37"/>
  <c r="D63" i="37"/>
  <c r="E62" i="37"/>
  <c r="D61" i="37"/>
  <c r="E60" i="37"/>
  <c r="D59" i="37"/>
  <c r="E58" i="37"/>
  <c r="D57" i="37"/>
  <c r="E56" i="37"/>
  <c r="D55" i="37"/>
  <c r="E54" i="37"/>
  <c r="D53" i="37"/>
  <c r="E52" i="37"/>
  <c r="D51" i="37"/>
  <c r="E50" i="37"/>
  <c r="D49" i="37"/>
  <c r="E48" i="37"/>
  <c r="D47" i="37"/>
  <c r="E46" i="37"/>
  <c r="D45" i="37"/>
  <c r="E44" i="37"/>
  <c r="D43" i="37"/>
  <c r="E42" i="37"/>
  <c r="D41" i="37"/>
  <c r="E40" i="37"/>
  <c r="D39" i="37"/>
  <c r="E38" i="37"/>
  <c r="D37" i="37"/>
  <c r="E36" i="37"/>
  <c r="E120" i="39"/>
  <c r="F120" i="39" s="1"/>
  <c r="E104" i="39"/>
  <c r="E102" i="39"/>
  <c r="E116" i="39" s="1"/>
  <c r="E100" i="39"/>
  <c r="E98" i="39"/>
  <c r="E93" i="39"/>
  <c r="E91" i="39"/>
  <c r="E89" i="39"/>
  <c r="E87" i="39"/>
  <c r="E85" i="39"/>
  <c r="E83" i="39"/>
  <c r="E81" i="39"/>
  <c r="E79" i="39"/>
  <c r="E77" i="39"/>
  <c r="E75" i="39"/>
  <c r="E73" i="39"/>
  <c r="E71" i="39"/>
  <c r="E69" i="39"/>
  <c r="E67" i="39"/>
  <c r="E63" i="39"/>
  <c r="D62" i="39"/>
  <c r="E61" i="39"/>
  <c r="D60" i="39"/>
  <c r="E59" i="39"/>
  <c r="D58" i="39"/>
  <c r="E57" i="39"/>
  <c r="D56" i="39"/>
  <c r="E55" i="39"/>
  <c r="D54" i="39"/>
  <c r="E53" i="39"/>
  <c r="D52" i="39"/>
  <c r="E51" i="39"/>
  <c r="D50" i="39"/>
  <c r="E49" i="39"/>
  <c r="D48" i="39"/>
  <c r="E47" i="39"/>
  <c r="D46" i="39"/>
  <c r="E45" i="39"/>
  <c r="D44" i="39"/>
  <c r="E43" i="39"/>
  <c r="D42" i="39"/>
  <c r="E41" i="39"/>
  <c r="D40" i="39"/>
  <c r="E39" i="39"/>
  <c r="D38" i="39"/>
  <c r="E37" i="39"/>
  <c r="D36" i="39"/>
  <c r="E103" i="39"/>
  <c r="E101" i="39"/>
  <c r="E99" i="39"/>
  <c r="E94" i="39"/>
  <c r="E92" i="39"/>
  <c r="E90" i="39"/>
  <c r="E88" i="39"/>
  <c r="E86" i="39"/>
  <c r="E84" i="39"/>
  <c r="E82" i="39"/>
  <c r="E80" i="39"/>
  <c r="E78" i="39"/>
  <c r="E76" i="39"/>
  <c r="E74" i="39"/>
  <c r="E72" i="39"/>
  <c r="E70" i="39"/>
  <c r="E68" i="39"/>
  <c r="D63" i="39"/>
  <c r="E62" i="39"/>
  <c r="D61" i="39"/>
  <c r="E60" i="39"/>
  <c r="D59" i="39"/>
  <c r="E58" i="39"/>
  <c r="D57" i="39"/>
  <c r="E56" i="39"/>
  <c r="D55" i="39"/>
  <c r="E54" i="39"/>
  <c r="D53" i="39"/>
  <c r="E52" i="39"/>
  <c r="D51" i="39"/>
  <c r="E50" i="39"/>
  <c r="D49" i="39"/>
  <c r="E48" i="39"/>
  <c r="D47" i="39"/>
  <c r="E46" i="39"/>
  <c r="D45" i="39"/>
  <c r="E44" i="39"/>
  <c r="D43" i="39"/>
  <c r="E42" i="39"/>
  <c r="D41" i="39"/>
  <c r="E40" i="39"/>
  <c r="D39" i="39"/>
  <c r="E38" i="39"/>
  <c r="D37" i="39"/>
  <c r="E36" i="39"/>
  <c r="E103" i="41"/>
  <c r="E101" i="41"/>
  <c r="E99" i="41"/>
  <c r="E94" i="41"/>
  <c r="E92" i="41"/>
  <c r="E90" i="41"/>
  <c r="E88" i="41"/>
  <c r="E86" i="41"/>
  <c r="E84" i="41"/>
  <c r="E82" i="41"/>
  <c r="E80" i="41"/>
  <c r="E78" i="41"/>
  <c r="E76" i="41"/>
  <c r="E74" i="41"/>
  <c r="E72" i="41"/>
  <c r="E70" i="41"/>
  <c r="E68" i="41"/>
  <c r="D63" i="41"/>
  <c r="E62" i="41"/>
  <c r="D61" i="41"/>
  <c r="E60" i="41"/>
  <c r="D59" i="41"/>
  <c r="E58" i="41"/>
  <c r="D57" i="41"/>
  <c r="E56" i="41"/>
  <c r="D55" i="41"/>
  <c r="E54" i="41"/>
  <c r="D53" i="41"/>
  <c r="E52" i="41"/>
  <c r="D51" i="41"/>
  <c r="E50" i="41"/>
  <c r="D49" i="41"/>
  <c r="E48" i="41"/>
  <c r="D47" i="41"/>
  <c r="E46" i="41"/>
  <c r="D45" i="41"/>
  <c r="E44" i="41"/>
  <c r="D43" i="41"/>
  <c r="E42" i="41"/>
  <c r="D41" i="41"/>
  <c r="E40" i="41"/>
  <c r="D39" i="41"/>
  <c r="E38" i="41"/>
  <c r="D37" i="41"/>
  <c r="E36" i="41"/>
  <c r="E120" i="41"/>
  <c r="E104" i="41"/>
  <c r="E102" i="41"/>
  <c r="E116" i="41" s="1"/>
  <c r="E100" i="41"/>
  <c r="E98" i="41"/>
  <c r="E93" i="41"/>
  <c r="E91" i="41"/>
  <c r="E89" i="41"/>
  <c r="E87" i="41"/>
  <c r="E85" i="41"/>
  <c r="E83" i="41"/>
  <c r="E81" i="41"/>
  <c r="E79" i="41"/>
  <c r="E77" i="41"/>
  <c r="E75" i="41"/>
  <c r="E73" i="41"/>
  <c r="E71" i="41"/>
  <c r="E69" i="41"/>
  <c r="E67" i="41"/>
  <c r="E63" i="41"/>
  <c r="D62" i="41"/>
  <c r="E61" i="41"/>
  <c r="D60" i="41"/>
  <c r="E59" i="41"/>
  <c r="D58" i="41"/>
  <c r="E57" i="41"/>
  <c r="D56" i="41"/>
  <c r="E55" i="41"/>
  <c r="D54" i="41"/>
  <c r="E53" i="41"/>
  <c r="D52" i="41"/>
  <c r="E51" i="41"/>
  <c r="D50" i="41"/>
  <c r="E49" i="41"/>
  <c r="D48" i="41"/>
  <c r="E47" i="41"/>
  <c r="D46" i="41"/>
  <c r="E45" i="41"/>
  <c r="D44" i="41"/>
  <c r="E43" i="41"/>
  <c r="D42" i="41"/>
  <c r="E41" i="41"/>
  <c r="D40" i="41"/>
  <c r="E39" i="41"/>
  <c r="D38" i="41"/>
  <c r="E37" i="41"/>
  <c r="D36" i="41"/>
  <c r="E103" i="43"/>
  <c r="E101" i="43"/>
  <c r="E99" i="43"/>
  <c r="E94" i="43"/>
  <c r="E92" i="43"/>
  <c r="E90" i="43"/>
  <c r="E88" i="43"/>
  <c r="E86" i="43"/>
  <c r="E84" i="43"/>
  <c r="E82" i="43"/>
  <c r="E80" i="43"/>
  <c r="E78" i="43"/>
  <c r="E76" i="43"/>
  <c r="E74" i="43"/>
  <c r="E72" i="43"/>
  <c r="E70" i="43"/>
  <c r="E68" i="43"/>
  <c r="D63" i="43"/>
  <c r="E62" i="43"/>
  <c r="D61" i="43"/>
  <c r="E60" i="43"/>
  <c r="D59" i="43"/>
  <c r="E58" i="43"/>
  <c r="D57" i="43"/>
  <c r="E56" i="43"/>
  <c r="D55" i="43"/>
  <c r="E54" i="43"/>
  <c r="D53" i="43"/>
  <c r="E52" i="43"/>
  <c r="D51" i="43"/>
  <c r="E50" i="43"/>
  <c r="D49" i="43"/>
  <c r="E48" i="43"/>
  <c r="D47" i="43"/>
  <c r="E46" i="43"/>
  <c r="D45" i="43"/>
  <c r="E44" i="43"/>
  <c r="D43" i="43"/>
  <c r="E42" i="43"/>
  <c r="D41" i="43"/>
  <c r="E40" i="43"/>
  <c r="D39" i="43"/>
  <c r="E38" i="43"/>
  <c r="D37" i="43"/>
  <c r="E36" i="43"/>
  <c r="E120" i="43"/>
  <c r="E104" i="43"/>
  <c r="E102" i="43"/>
  <c r="E116" i="43" s="1"/>
  <c r="E100" i="43"/>
  <c r="E98" i="43"/>
  <c r="E93" i="43"/>
  <c r="E91" i="43"/>
  <c r="E89" i="43"/>
  <c r="E87" i="43"/>
  <c r="E85" i="43"/>
  <c r="E83" i="43"/>
  <c r="E81" i="43"/>
  <c r="E79" i="43"/>
  <c r="E77" i="43"/>
  <c r="E75" i="43"/>
  <c r="E73" i="43"/>
  <c r="E71" i="43"/>
  <c r="E69" i="43"/>
  <c r="E67" i="43"/>
  <c r="E63" i="43"/>
  <c r="D62" i="43"/>
  <c r="E61" i="43"/>
  <c r="D60" i="43"/>
  <c r="E59" i="43"/>
  <c r="D58" i="43"/>
  <c r="E57" i="43"/>
  <c r="D56" i="43"/>
  <c r="E55" i="43"/>
  <c r="D54" i="43"/>
  <c r="E53" i="43"/>
  <c r="D52" i="43"/>
  <c r="E51" i="43"/>
  <c r="D50" i="43"/>
  <c r="E49" i="43"/>
  <c r="D48" i="43"/>
  <c r="E47" i="43"/>
  <c r="D46" i="43"/>
  <c r="E45" i="43"/>
  <c r="D44" i="43"/>
  <c r="E43" i="43"/>
  <c r="D42" i="43"/>
  <c r="E41" i="43"/>
  <c r="D40" i="43"/>
  <c r="E39" i="43"/>
  <c r="D38" i="43"/>
  <c r="E37" i="43"/>
  <c r="D36" i="43"/>
  <c r="E103" i="45"/>
  <c r="E101" i="45"/>
  <c r="E99" i="45"/>
  <c r="E94" i="45"/>
  <c r="E92" i="45"/>
  <c r="E90" i="45"/>
  <c r="E88" i="45"/>
  <c r="E86" i="45"/>
  <c r="E84" i="45"/>
  <c r="E82" i="45"/>
  <c r="E80" i="45"/>
  <c r="E78" i="45"/>
  <c r="E76" i="45"/>
  <c r="E74" i="45"/>
  <c r="E72" i="45"/>
  <c r="E70" i="45"/>
  <c r="E68" i="45"/>
  <c r="D63" i="45"/>
  <c r="E62" i="45"/>
  <c r="D61" i="45"/>
  <c r="E60" i="45"/>
  <c r="D59" i="45"/>
  <c r="E58" i="45"/>
  <c r="D57" i="45"/>
  <c r="E56" i="45"/>
  <c r="D55" i="45"/>
  <c r="E54" i="45"/>
  <c r="D53" i="45"/>
  <c r="E52" i="45"/>
  <c r="D51" i="45"/>
  <c r="E50" i="45"/>
  <c r="D49" i="45"/>
  <c r="E48" i="45"/>
  <c r="D47" i="45"/>
  <c r="E46" i="45"/>
  <c r="D45" i="45"/>
  <c r="E44" i="45"/>
  <c r="D43" i="45"/>
  <c r="E42" i="45"/>
  <c r="D41" i="45"/>
  <c r="E40" i="45"/>
  <c r="D39" i="45"/>
  <c r="E38" i="45"/>
  <c r="D37" i="45"/>
  <c r="E36" i="45"/>
  <c r="E120" i="45"/>
  <c r="F120" i="45" s="1"/>
  <c r="E104" i="45"/>
  <c r="E102" i="45"/>
  <c r="E116" i="45" s="1"/>
  <c r="E100" i="45"/>
  <c r="E98" i="45"/>
  <c r="E93" i="45"/>
  <c r="E91" i="45"/>
  <c r="E89" i="45"/>
  <c r="E87" i="45"/>
  <c r="E85" i="45"/>
  <c r="E83" i="45"/>
  <c r="E81" i="45"/>
  <c r="E79" i="45"/>
  <c r="E77" i="45"/>
  <c r="E75" i="45"/>
  <c r="E73" i="45"/>
  <c r="E71" i="45"/>
  <c r="E69" i="45"/>
  <c r="E67" i="45"/>
  <c r="E63" i="45"/>
  <c r="D62" i="45"/>
  <c r="E61" i="45"/>
  <c r="D60" i="45"/>
  <c r="E59" i="45"/>
  <c r="D58" i="45"/>
  <c r="E57" i="45"/>
  <c r="D56" i="45"/>
  <c r="E55" i="45"/>
  <c r="D54" i="45"/>
  <c r="E53" i="45"/>
  <c r="D52" i="45"/>
  <c r="E51" i="45"/>
  <c r="D50" i="45"/>
  <c r="E49" i="45"/>
  <c r="D48" i="45"/>
  <c r="E47" i="45"/>
  <c r="D46" i="45"/>
  <c r="E45" i="45"/>
  <c r="D44" i="45"/>
  <c r="E43" i="45"/>
  <c r="D42" i="45"/>
  <c r="E41" i="45"/>
  <c r="D40" i="45"/>
  <c r="E39" i="45"/>
  <c r="D38" i="45"/>
  <c r="E37" i="45"/>
  <c r="D36" i="45"/>
  <c r="E103" i="47"/>
  <c r="E101" i="47"/>
  <c r="E99" i="47"/>
  <c r="E94" i="47"/>
  <c r="E92" i="47"/>
  <c r="E90" i="47"/>
  <c r="E88" i="47"/>
  <c r="E86" i="47"/>
  <c r="E84" i="47"/>
  <c r="E82" i="47"/>
  <c r="E80" i="47"/>
  <c r="E78" i="47"/>
  <c r="E76" i="47"/>
  <c r="E74" i="47"/>
  <c r="E72" i="47"/>
  <c r="E70" i="47"/>
  <c r="E68" i="47"/>
  <c r="D63" i="47"/>
  <c r="E62" i="47"/>
  <c r="D61" i="47"/>
  <c r="E60" i="47"/>
  <c r="D59" i="47"/>
  <c r="E58" i="47"/>
  <c r="D57" i="47"/>
  <c r="E56" i="47"/>
  <c r="D55" i="47"/>
  <c r="E54" i="47"/>
  <c r="D53" i="47"/>
  <c r="E52" i="47"/>
  <c r="D51" i="47"/>
  <c r="E50" i="47"/>
  <c r="D49" i="47"/>
  <c r="E48" i="47"/>
  <c r="D47" i="47"/>
  <c r="E46" i="47"/>
  <c r="D45" i="47"/>
  <c r="E44" i="47"/>
  <c r="D43" i="47"/>
  <c r="E42" i="47"/>
  <c r="D41" i="47"/>
  <c r="E40" i="47"/>
  <c r="D39" i="47"/>
  <c r="E38" i="47"/>
  <c r="D37" i="47"/>
  <c r="E36" i="47"/>
  <c r="E120" i="47"/>
  <c r="E104" i="47"/>
  <c r="E102" i="47"/>
  <c r="E116" i="47" s="1"/>
  <c r="E100" i="47"/>
  <c r="E98" i="47"/>
  <c r="E93" i="47"/>
  <c r="E91" i="47"/>
  <c r="E89" i="47"/>
  <c r="E87" i="47"/>
  <c r="E85" i="47"/>
  <c r="E83" i="47"/>
  <c r="E81" i="47"/>
  <c r="E79" i="47"/>
  <c r="E77" i="47"/>
  <c r="E75" i="47"/>
  <c r="E73" i="47"/>
  <c r="E71" i="47"/>
  <c r="E69" i="47"/>
  <c r="E67" i="47"/>
  <c r="E63" i="47"/>
  <c r="D62" i="47"/>
  <c r="E61" i="47"/>
  <c r="D60" i="47"/>
  <c r="E59" i="47"/>
  <c r="D58" i="47"/>
  <c r="E57" i="47"/>
  <c r="D56" i="47"/>
  <c r="E55" i="47"/>
  <c r="D54" i="47"/>
  <c r="E53" i="47"/>
  <c r="D52" i="47"/>
  <c r="E51" i="47"/>
  <c r="D50" i="47"/>
  <c r="E49" i="47"/>
  <c r="D48" i="47"/>
  <c r="E47" i="47"/>
  <c r="D46" i="47"/>
  <c r="E45" i="47"/>
  <c r="D44" i="47"/>
  <c r="E43" i="47"/>
  <c r="D42" i="47"/>
  <c r="E41" i="47"/>
  <c r="D40" i="47"/>
  <c r="E39" i="47"/>
  <c r="D38" i="47"/>
  <c r="E37" i="47"/>
  <c r="D36" i="47"/>
  <c r="E103" i="49"/>
  <c r="E101" i="49"/>
  <c r="E99" i="49"/>
  <c r="E94" i="49"/>
  <c r="E92" i="49"/>
  <c r="E90" i="49"/>
  <c r="E88" i="49"/>
  <c r="E86" i="49"/>
  <c r="E84" i="49"/>
  <c r="E82" i="49"/>
  <c r="E80" i="49"/>
  <c r="E78" i="49"/>
  <c r="E76" i="49"/>
  <c r="E74" i="49"/>
  <c r="E72" i="49"/>
  <c r="E70" i="49"/>
  <c r="E68" i="49"/>
  <c r="D63" i="49"/>
  <c r="E62" i="49"/>
  <c r="D61" i="49"/>
  <c r="E60" i="49"/>
  <c r="D59" i="49"/>
  <c r="E58" i="49"/>
  <c r="D57" i="49"/>
  <c r="E56" i="49"/>
  <c r="D55" i="49"/>
  <c r="E54" i="49"/>
  <c r="D53" i="49"/>
  <c r="E52" i="49"/>
  <c r="D51" i="49"/>
  <c r="E50" i="49"/>
  <c r="D49" i="49"/>
  <c r="E48" i="49"/>
  <c r="D47" i="49"/>
  <c r="E46" i="49"/>
  <c r="D45" i="49"/>
  <c r="E44" i="49"/>
  <c r="D43" i="49"/>
  <c r="E42" i="49"/>
  <c r="D41" i="49"/>
  <c r="E40" i="49"/>
  <c r="D39" i="49"/>
  <c r="E38" i="49"/>
  <c r="D37" i="49"/>
  <c r="E36" i="49"/>
  <c r="E120" i="49"/>
  <c r="E104" i="49"/>
  <c r="E102" i="49"/>
  <c r="E116" i="49" s="1"/>
  <c r="E100" i="49"/>
  <c r="E98" i="49"/>
  <c r="E93" i="49"/>
  <c r="E91" i="49"/>
  <c r="E89" i="49"/>
  <c r="E87" i="49"/>
  <c r="E85" i="49"/>
  <c r="E83" i="49"/>
  <c r="E81" i="49"/>
  <c r="E79" i="49"/>
  <c r="E77" i="49"/>
  <c r="E75" i="49"/>
  <c r="E73" i="49"/>
  <c r="E71" i="49"/>
  <c r="E69" i="49"/>
  <c r="E67" i="49"/>
  <c r="E63" i="49"/>
  <c r="D62" i="49"/>
  <c r="E61" i="49"/>
  <c r="D60" i="49"/>
  <c r="E59" i="49"/>
  <c r="D58" i="49"/>
  <c r="E57" i="49"/>
  <c r="D56" i="49"/>
  <c r="E55" i="49"/>
  <c r="D54" i="49"/>
  <c r="E53" i="49"/>
  <c r="D52" i="49"/>
  <c r="E51" i="49"/>
  <c r="D50" i="49"/>
  <c r="E49" i="49"/>
  <c r="D48" i="49"/>
  <c r="E47" i="49"/>
  <c r="D46" i="49"/>
  <c r="E45" i="49"/>
  <c r="D44" i="49"/>
  <c r="E43" i="49"/>
  <c r="D42" i="49"/>
  <c r="E41" i="49"/>
  <c r="D40" i="49"/>
  <c r="E39" i="49"/>
  <c r="D38" i="49"/>
  <c r="E37" i="49"/>
  <c r="D36" i="49"/>
  <c r="E103" i="51"/>
  <c r="E101" i="51"/>
  <c r="E99" i="51"/>
  <c r="E94" i="51"/>
  <c r="E92" i="51"/>
  <c r="E90" i="51"/>
  <c r="E88" i="51"/>
  <c r="E86" i="51"/>
  <c r="E84" i="51"/>
  <c r="E82" i="51"/>
  <c r="E80" i="51"/>
  <c r="E78" i="51"/>
  <c r="E76" i="51"/>
  <c r="E74" i="51"/>
  <c r="E72" i="51"/>
  <c r="E70" i="51"/>
  <c r="E68" i="51"/>
  <c r="D63" i="51"/>
  <c r="E62" i="51"/>
  <c r="D61" i="51"/>
  <c r="E60" i="51"/>
  <c r="D59" i="51"/>
  <c r="E58" i="51"/>
  <c r="D57" i="51"/>
  <c r="E56" i="51"/>
  <c r="D55" i="51"/>
  <c r="E54" i="51"/>
  <c r="D53" i="51"/>
  <c r="E52" i="51"/>
  <c r="D51" i="51"/>
  <c r="E50" i="51"/>
  <c r="D49" i="51"/>
  <c r="E48" i="51"/>
  <c r="D47" i="51"/>
  <c r="E46" i="51"/>
  <c r="D45" i="51"/>
  <c r="E44" i="51"/>
  <c r="D43" i="51"/>
  <c r="E42" i="51"/>
  <c r="D41" i="51"/>
  <c r="E40" i="51"/>
  <c r="D39" i="51"/>
  <c r="E38" i="51"/>
  <c r="D37" i="51"/>
  <c r="E36" i="51"/>
  <c r="E120" i="51"/>
  <c r="E104" i="51"/>
  <c r="E102" i="51"/>
  <c r="E116" i="51" s="1"/>
  <c r="E100" i="51"/>
  <c r="E98" i="51"/>
  <c r="E93" i="51"/>
  <c r="E91" i="51"/>
  <c r="E89" i="51"/>
  <c r="E87" i="51"/>
  <c r="E85" i="51"/>
  <c r="E83" i="51"/>
  <c r="E81" i="51"/>
  <c r="E79" i="51"/>
  <c r="E77" i="51"/>
  <c r="E75" i="51"/>
  <c r="E73" i="51"/>
  <c r="E71" i="51"/>
  <c r="E69" i="51"/>
  <c r="E67" i="51"/>
  <c r="E63" i="51"/>
  <c r="D62" i="51"/>
  <c r="E61" i="51"/>
  <c r="D60" i="51"/>
  <c r="E59" i="51"/>
  <c r="D58" i="51"/>
  <c r="E57" i="51"/>
  <c r="D56" i="51"/>
  <c r="E55" i="51"/>
  <c r="D54" i="51"/>
  <c r="E53" i="51"/>
  <c r="D52" i="51"/>
  <c r="E51" i="51"/>
  <c r="D50" i="51"/>
  <c r="E49" i="51"/>
  <c r="D48" i="51"/>
  <c r="E47" i="51"/>
  <c r="D46" i="51"/>
  <c r="E45" i="51"/>
  <c r="D44" i="51"/>
  <c r="E43" i="51"/>
  <c r="D42" i="51"/>
  <c r="E41" i="51"/>
  <c r="D40" i="51"/>
  <c r="E39" i="51"/>
  <c r="D38" i="51"/>
  <c r="E37" i="51"/>
  <c r="D36" i="51"/>
  <c r="E103" i="53"/>
  <c r="E101" i="53"/>
  <c r="E99" i="53"/>
  <c r="E94" i="53"/>
  <c r="E92" i="53"/>
  <c r="E90" i="53"/>
  <c r="E88" i="53"/>
  <c r="E86" i="53"/>
  <c r="E84" i="53"/>
  <c r="E82" i="53"/>
  <c r="E80" i="53"/>
  <c r="E78" i="53"/>
  <c r="E76" i="53"/>
  <c r="E74" i="53"/>
  <c r="E72" i="53"/>
  <c r="E70" i="53"/>
  <c r="E68" i="53"/>
  <c r="D63" i="53"/>
  <c r="E62" i="53"/>
  <c r="D61" i="53"/>
  <c r="E60" i="53"/>
  <c r="D59" i="53"/>
  <c r="E58" i="53"/>
  <c r="D57" i="53"/>
  <c r="E56" i="53"/>
  <c r="D55" i="53"/>
  <c r="E54" i="53"/>
  <c r="D53" i="53"/>
  <c r="E52" i="53"/>
  <c r="D51" i="53"/>
  <c r="E50" i="53"/>
  <c r="D49" i="53"/>
  <c r="E48" i="53"/>
  <c r="D47" i="53"/>
  <c r="E46" i="53"/>
  <c r="D45" i="53"/>
  <c r="E44" i="53"/>
  <c r="D43" i="53"/>
  <c r="E42" i="53"/>
  <c r="D41" i="53"/>
  <c r="E40" i="53"/>
  <c r="D39" i="53"/>
  <c r="E38" i="53"/>
  <c r="D37" i="53"/>
  <c r="E36" i="53"/>
  <c r="E120" i="53"/>
  <c r="E104" i="53"/>
  <c r="E102" i="53"/>
  <c r="E116" i="53" s="1"/>
  <c r="E100" i="53"/>
  <c r="E98" i="53"/>
  <c r="E93" i="53"/>
  <c r="E91" i="53"/>
  <c r="E89" i="53"/>
  <c r="E87" i="53"/>
  <c r="E85" i="53"/>
  <c r="E83" i="53"/>
  <c r="E81" i="53"/>
  <c r="E79" i="53"/>
  <c r="E77" i="53"/>
  <c r="E75" i="53"/>
  <c r="E73" i="53"/>
  <c r="E71" i="53"/>
  <c r="E69" i="53"/>
  <c r="E67" i="53"/>
  <c r="E63" i="53"/>
  <c r="D62" i="53"/>
  <c r="E61" i="53"/>
  <c r="D60" i="53"/>
  <c r="E59" i="53"/>
  <c r="D58" i="53"/>
  <c r="E57" i="53"/>
  <c r="D56" i="53"/>
  <c r="E55" i="53"/>
  <c r="D54" i="53"/>
  <c r="E53" i="53"/>
  <c r="D52" i="53"/>
  <c r="E51" i="53"/>
  <c r="D50" i="53"/>
  <c r="E49" i="53"/>
  <c r="D48" i="53"/>
  <c r="E47" i="53"/>
  <c r="D46" i="53"/>
  <c r="E45" i="53"/>
  <c r="D44" i="53"/>
  <c r="E43" i="53"/>
  <c r="D42" i="53"/>
  <c r="E41" i="53"/>
  <c r="D40" i="53"/>
  <c r="E39" i="53"/>
  <c r="D38" i="53"/>
  <c r="E37" i="53"/>
  <c r="D36" i="53"/>
  <c r="E36" i="56"/>
  <c r="D37" i="56"/>
  <c r="E38" i="56"/>
  <c r="D39" i="56"/>
  <c r="E40" i="56"/>
  <c r="D41" i="56"/>
  <c r="E42" i="56"/>
  <c r="D43" i="56"/>
  <c r="E44" i="56"/>
  <c r="D45" i="56"/>
  <c r="E46" i="56"/>
  <c r="D47" i="56"/>
  <c r="E48" i="56"/>
  <c r="D49" i="56"/>
  <c r="E50" i="56"/>
  <c r="D51" i="56"/>
  <c r="E52" i="56"/>
  <c r="D53" i="56"/>
  <c r="E54" i="56"/>
  <c r="D55" i="56"/>
  <c r="E56" i="56"/>
  <c r="D57" i="56"/>
  <c r="E58" i="56"/>
  <c r="D59" i="56"/>
  <c r="E60" i="56"/>
  <c r="D61" i="56"/>
  <c r="E62" i="56"/>
  <c r="D63" i="56"/>
  <c r="E68" i="56"/>
  <c r="E70" i="56"/>
  <c r="E72" i="56"/>
  <c r="E74" i="56"/>
  <c r="E76" i="56"/>
  <c r="E78" i="56"/>
  <c r="E80" i="56"/>
  <c r="E82" i="56"/>
  <c r="E84" i="56"/>
  <c r="E86" i="56"/>
  <c r="E88" i="56"/>
  <c r="E90" i="56"/>
  <c r="E92" i="56"/>
  <c r="E94" i="56"/>
  <c r="E99" i="56"/>
  <c r="E101" i="56"/>
  <c r="E103" i="56"/>
  <c r="D36" i="55"/>
  <c r="E37" i="55"/>
  <c r="D38" i="55"/>
  <c r="E39" i="55"/>
  <c r="D40" i="55"/>
  <c r="E41" i="55"/>
  <c r="D42" i="55"/>
  <c r="E43" i="55"/>
  <c r="D44" i="55"/>
  <c r="E45" i="55"/>
  <c r="D46" i="55"/>
  <c r="E47" i="55"/>
  <c r="D48" i="55"/>
  <c r="E49" i="55"/>
  <c r="D50" i="55"/>
  <c r="E51" i="55"/>
  <c r="D52" i="55"/>
  <c r="E53" i="55"/>
  <c r="D54" i="55"/>
  <c r="E55" i="55"/>
  <c r="D56" i="55"/>
  <c r="E57" i="55"/>
  <c r="D58" i="55"/>
  <c r="E59" i="55"/>
  <c r="D60" i="55"/>
  <c r="E61" i="55"/>
  <c r="D62" i="55"/>
  <c r="E63" i="55"/>
  <c r="E67" i="55"/>
  <c r="E69" i="55"/>
  <c r="E71" i="55"/>
  <c r="E73" i="55"/>
  <c r="E75" i="55"/>
  <c r="E77" i="55"/>
  <c r="E79" i="55"/>
  <c r="E81" i="55"/>
  <c r="E83" i="55"/>
  <c r="E85" i="55"/>
  <c r="E87" i="55"/>
  <c r="E89" i="55"/>
  <c r="E91" i="55"/>
  <c r="E93" i="55"/>
  <c r="E98" i="55"/>
  <c r="E100" i="55"/>
  <c r="E102" i="55"/>
  <c r="E116" i="55" s="1"/>
  <c r="E104" i="55"/>
  <c r="E120" i="55"/>
  <c r="E103" i="59"/>
  <c r="E101" i="59"/>
  <c r="E99" i="59"/>
  <c r="E94" i="59"/>
  <c r="E92" i="59"/>
  <c r="E90" i="59"/>
  <c r="E88" i="59"/>
  <c r="E86" i="59"/>
  <c r="E84" i="59"/>
  <c r="E82" i="59"/>
  <c r="E80" i="59"/>
  <c r="E78" i="59"/>
  <c r="E76" i="59"/>
  <c r="E74" i="59"/>
  <c r="E72" i="59"/>
  <c r="E70" i="59"/>
  <c r="E68" i="59"/>
  <c r="D63" i="59"/>
  <c r="E62" i="59"/>
  <c r="D61" i="59"/>
  <c r="E60" i="59"/>
  <c r="D59" i="59"/>
  <c r="E58" i="59"/>
  <c r="D57" i="59"/>
  <c r="E56" i="59"/>
  <c r="D55" i="59"/>
  <c r="E54" i="59"/>
  <c r="D53" i="59"/>
  <c r="E52" i="59"/>
  <c r="D51" i="59"/>
  <c r="E50" i="59"/>
  <c r="D49" i="59"/>
  <c r="E48" i="59"/>
  <c r="D47" i="59"/>
  <c r="E46" i="59"/>
  <c r="D45" i="59"/>
  <c r="E44" i="59"/>
  <c r="D43" i="59"/>
  <c r="E42" i="59"/>
  <c r="D41" i="59"/>
  <c r="E40" i="59"/>
  <c r="D39" i="59"/>
  <c r="E38" i="59"/>
  <c r="D37" i="59"/>
  <c r="E36" i="59"/>
  <c r="E120" i="59"/>
  <c r="E104" i="59"/>
  <c r="E102" i="59"/>
  <c r="E116" i="59" s="1"/>
  <c r="E100" i="59"/>
  <c r="E98" i="59"/>
  <c r="E93" i="59"/>
  <c r="E91" i="59"/>
  <c r="E89" i="59"/>
  <c r="E87" i="59"/>
  <c r="E85" i="59"/>
  <c r="E83" i="59"/>
  <c r="E81" i="59"/>
  <c r="E79" i="59"/>
  <c r="E77" i="59"/>
  <c r="E75" i="59"/>
  <c r="E73" i="59"/>
  <c r="E71" i="59"/>
  <c r="E69" i="59"/>
  <c r="E67" i="59"/>
  <c r="E63" i="59"/>
  <c r="D62" i="59"/>
  <c r="E61" i="59"/>
  <c r="D60" i="59"/>
  <c r="E59" i="59"/>
  <c r="D58" i="59"/>
  <c r="E57" i="59"/>
  <c r="D56" i="59"/>
  <c r="E55" i="59"/>
  <c r="D54" i="59"/>
  <c r="E53" i="59"/>
  <c r="D52" i="59"/>
  <c r="E51" i="59"/>
  <c r="D50" i="59"/>
  <c r="E49" i="59"/>
  <c r="D48" i="59"/>
  <c r="E47" i="59"/>
  <c r="D46" i="59"/>
  <c r="E45" i="59"/>
  <c r="D44" i="59"/>
  <c r="E43" i="59"/>
  <c r="D42" i="59"/>
  <c r="E41" i="59"/>
  <c r="D40" i="59"/>
  <c r="E39" i="59"/>
  <c r="D38" i="59"/>
  <c r="E37" i="59"/>
  <c r="D36" i="59"/>
  <c r="E103" i="4"/>
  <c r="E101" i="4"/>
  <c r="E99" i="4"/>
  <c r="E94" i="4"/>
  <c r="E92" i="4"/>
  <c r="E90" i="4"/>
  <c r="E88" i="4"/>
  <c r="E86" i="4"/>
  <c r="E84" i="4"/>
  <c r="E82" i="4"/>
  <c r="E80" i="4"/>
  <c r="E78" i="4"/>
  <c r="E76" i="4"/>
  <c r="E74" i="4"/>
  <c r="E72" i="4"/>
  <c r="E70" i="4"/>
  <c r="E68" i="4"/>
  <c r="D63" i="4"/>
  <c r="E62" i="4"/>
  <c r="D61" i="4"/>
  <c r="E60" i="4"/>
  <c r="D59" i="4"/>
  <c r="E58" i="4"/>
  <c r="D57" i="4"/>
  <c r="E56" i="4"/>
  <c r="D55" i="4"/>
  <c r="E54" i="4"/>
  <c r="D53" i="4"/>
  <c r="E52" i="4"/>
  <c r="D51" i="4"/>
  <c r="E50" i="4"/>
  <c r="D49" i="4"/>
  <c r="E48" i="4"/>
  <c r="D47" i="4"/>
  <c r="E46" i="4"/>
  <c r="D45" i="4"/>
  <c r="E44" i="4"/>
  <c r="D43" i="4"/>
  <c r="E42" i="4"/>
  <c r="D41" i="4"/>
  <c r="E40" i="4"/>
  <c r="D39" i="4"/>
  <c r="E38" i="4"/>
  <c r="D37" i="4"/>
  <c r="E36" i="4"/>
  <c r="E120" i="4"/>
  <c r="E104" i="4"/>
  <c r="E102" i="4"/>
  <c r="E116" i="4" s="1"/>
  <c r="E100" i="4"/>
  <c r="E98" i="4"/>
  <c r="E93" i="4"/>
  <c r="E91" i="4"/>
  <c r="E89" i="4"/>
  <c r="E87" i="4"/>
  <c r="E85" i="4"/>
  <c r="E83" i="4"/>
  <c r="E81" i="4"/>
  <c r="E79" i="4"/>
  <c r="E77" i="4"/>
  <c r="E75" i="4"/>
  <c r="E73" i="4"/>
  <c r="E71" i="4"/>
  <c r="E69" i="4"/>
  <c r="E67" i="4"/>
  <c r="E63" i="4"/>
  <c r="D62" i="4"/>
  <c r="E61" i="4"/>
  <c r="D60" i="4"/>
  <c r="E59" i="4"/>
  <c r="D58" i="4"/>
  <c r="E57" i="4"/>
  <c r="D56" i="4"/>
  <c r="E55" i="4"/>
  <c r="D54" i="4"/>
  <c r="E53" i="4"/>
  <c r="D52" i="4"/>
  <c r="E51" i="4"/>
  <c r="D50" i="4"/>
  <c r="E49" i="4"/>
  <c r="D48" i="4"/>
  <c r="E47" i="4"/>
  <c r="D46" i="4"/>
  <c r="E45" i="4"/>
  <c r="D44" i="4"/>
  <c r="E43" i="4"/>
  <c r="D42" i="4"/>
  <c r="E41" i="4"/>
  <c r="D40" i="4"/>
  <c r="E39" i="4"/>
  <c r="D38" i="4"/>
  <c r="E37" i="4"/>
  <c r="D36" i="4"/>
  <c r="E120" i="6"/>
  <c r="F120" i="6" s="1"/>
  <c r="E104" i="6"/>
  <c r="E102" i="6"/>
  <c r="E116" i="6" s="1"/>
  <c r="E100" i="6"/>
  <c r="E98" i="6"/>
  <c r="E93" i="6"/>
  <c r="E91" i="6"/>
  <c r="E89" i="6"/>
  <c r="E87" i="6"/>
  <c r="E85" i="6"/>
  <c r="E83" i="6"/>
  <c r="E81" i="6"/>
  <c r="E79" i="6"/>
  <c r="E77" i="6"/>
  <c r="E75" i="6"/>
  <c r="E73" i="6"/>
  <c r="E71" i="6"/>
  <c r="E69" i="6"/>
  <c r="E67" i="6"/>
  <c r="E63" i="6"/>
  <c r="D62" i="6"/>
  <c r="E61" i="6"/>
  <c r="D60" i="6"/>
  <c r="E59" i="6"/>
  <c r="D58" i="6"/>
  <c r="E57" i="6"/>
  <c r="D56" i="6"/>
  <c r="E55" i="6"/>
  <c r="D54" i="6"/>
  <c r="E53" i="6"/>
  <c r="D52" i="6"/>
  <c r="E51" i="6"/>
  <c r="D50" i="6"/>
  <c r="E49" i="6"/>
  <c r="D48" i="6"/>
  <c r="E47" i="6"/>
  <c r="D46" i="6"/>
  <c r="E45" i="6"/>
  <c r="D44" i="6"/>
  <c r="E43" i="6"/>
  <c r="D42" i="6"/>
  <c r="E41" i="6"/>
  <c r="D40" i="6"/>
  <c r="E39" i="6"/>
  <c r="D38" i="6"/>
  <c r="E37" i="6"/>
  <c r="D36" i="6"/>
  <c r="E103" i="6"/>
  <c r="E101" i="6"/>
  <c r="E99" i="6"/>
  <c r="E94" i="6"/>
  <c r="E92" i="6"/>
  <c r="E90" i="6"/>
  <c r="E88" i="6"/>
  <c r="E86" i="6"/>
  <c r="E84" i="6"/>
  <c r="E82" i="6"/>
  <c r="E80" i="6"/>
  <c r="E78" i="6"/>
  <c r="E76" i="6"/>
  <c r="E74" i="6"/>
  <c r="E72" i="6"/>
  <c r="E70" i="6"/>
  <c r="E68" i="6"/>
  <c r="D63" i="6"/>
  <c r="E62" i="6"/>
  <c r="D61" i="6"/>
  <c r="E60" i="6"/>
  <c r="D59" i="6"/>
  <c r="E58" i="6"/>
  <c r="D57" i="6"/>
  <c r="E56" i="6"/>
  <c r="D55" i="6"/>
  <c r="E54" i="6"/>
  <c r="D53" i="6"/>
  <c r="E52" i="6"/>
  <c r="D51" i="6"/>
  <c r="E50" i="6"/>
  <c r="D49" i="6"/>
  <c r="E48" i="6"/>
  <c r="D47" i="6"/>
  <c r="E46" i="6"/>
  <c r="D45" i="6"/>
  <c r="E44" i="6"/>
  <c r="D43" i="6"/>
  <c r="E42" i="6"/>
  <c r="D41" i="6"/>
  <c r="E40" i="6"/>
  <c r="D39" i="6"/>
  <c r="E38" i="6"/>
  <c r="D37" i="6"/>
  <c r="E36" i="6"/>
  <c r="E120" i="8"/>
  <c r="F120" i="8" s="1"/>
  <c r="E104" i="8"/>
  <c r="E102" i="8"/>
  <c r="E116" i="8" s="1"/>
  <c r="E100" i="8"/>
  <c r="E98" i="8"/>
  <c r="E93" i="8"/>
  <c r="E91" i="8"/>
  <c r="E89" i="8"/>
  <c r="E87" i="8"/>
  <c r="E85" i="8"/>
  <c r="E83" i="8"/>
  <c r="E81" i="8"/>
  <c r="E79" i="8"/>
  <c r="E77" i="8"/>
  <c r="E75" i="8"/>
  <c r="E73" i="8"/>
  <c r="E71" i="8"/>
  <c r="E69" i="8"/>
  <c r="E67" i="8"/>
  <c r="E63" i="8"/>
  <c r="D62" i="8"/>
  <c r="E61" i="8"/>
  <c r="D60" i="8"/>
  <c r="E59" i="8"/>
  <c r="D58" i="8"/>
  <c r="E57" i="8"/>
  <c r="D56" i="8"/>
  <c r="E55" i="8"/>
  <c r="D54" i="8"/>
  <c r="E53" i="8"/>
  <c r="D52" i="8"/>
  <c r="E51" i="8"/>
  <c r="D50" i="8"/>
  <c r="E49" i="8"/>
  <c r="D48" i="8"/>
  <c r="E47" i="8"/>
  <c r="D46" i="8"/>
  <c r="E45" i="8"/>
  <c r="D44" i="8"/>
  <c r="E43" i="8"/>
  <c r="D42" i="8"/>
  <c r="E41" i="8"/>
  <c r="E103" i="8"/>
  <c r="E101" i="8"/>
  <c r="E99" i="8"/>
  <c r="E94" i="8"/>
  <c r="E92" i="8"/>
  <c r="E90" i="8"/>
  <c r="E88" i="8"/>
  <c r="E86" i="8"/>
  <c r="E84" i="8"/>
  <c r="E82" i="8"/>
  <c r="E80" i="8"/>
  <c r="E78" i="8"/>
  <c r="E76" i="8"/>
  <c r="E74" i="8"/>
  <c r="E72" i="8"/>
  <c r="E70" i="8"/>
  <c r="E68" i="8"/>
  <c r="D63" i="8"/>
  <c r="E62" i="8"/>
  <c r="D61" i="8"/>
  <c r="E60" i="8"/>
  <c r="D59" i="8"/>
  <c r="E58" i="8"/>
  <c r="D57" i="8"/>
  <c r="E56" i="8"/>
  <c r="D55" i="8"/>
  <c r="E54" i="8"/>
  <c r="D53" i="8"/>
  <c r="E52" i="8"/>
  <c r="D51" i="8"/>
  <c r="E50" i="8"/>
  <c r="D49" i="8"/>
  <c r="E48" i="8"/>
  <c r="D47" i="8"/>
  <c r="E46" i="8"/>
  <c r="D45" i="8"/>
  <c r="E44" i="8"/>
  <c r="D43" i="8"/>
  <c r="E42" i="8"/>
  <c r="D41" i="8"/>
  <c r="D40" i="8"/>
  <c r="E39" i="8"/>
  <c r="D38" i="8"/>
  <c r="E37" i="8"/>
  <c r="D36" i="8"/>
  <c r="E40" i="8"/>
  <c r="D39" i="8"/>
  <c r="E38" i="8"/>
  <c r="D37" i="8"/>
  <c r="E36" i="8"/>
  <c r="E120" i="10"/>
  <c r="F120" i="10" s="1"/>
  <c r="E104" i="10"/>
  <c r="E102" i="10"/>
  <c r="E116" i="10" s="1"/>
  <c r="E100" i="10"/>
  <c r="E98" i="10"/>
  <c r="E93" i="10"/>
  <c r="E91" i="10"/>
  <c r="E89" i="10"/>
  <c r="E87" i="10"/>
  <c r="E85" i="10"/>
  <c r="E83" i="10"/>
  <c r="E81" i="10"/>
  <c r="E79" i="10"/>
  <c r="E77" i="10"/>
  <c r="E75" i="10"/>
  <c r="E73" i="10"/>
  <c r="E71" i="10"/>
  <c r="E69" i="10"/>
  <c r="E67" i="10"/>
  <c r="E63" i="10"/>
  <c r="D62" i="10"/>
  <c r="E61" i="10"/>
  <c r="D60" i="10"/>
  <c r="E59" i="10"/>
  <c r="D58" i="10"/>
  <c r="E57" i="10"/>
  <c r="D56" i="10"/>
  <c r="E55" i="10"/>
  <c r="D54" i="10"/>
  <c r="E53" i="10"/>
  <c r="D52" i="10"/>
  <c r="E51" i="10"/>
  <c r="D50" i="10"/>
  <c r="E49" i="10"/>
  <c r="D48" i="10"/>
  <c r="E47" i="10"/>
  <c r="D46" i="10"/>
  <c r="E45" i="10"/>
  <c r="D44" i="10"/>
  <c r="E43" i="10"/>
  <c r="D42" i="10"/>
  <c r="E41" i="10"/>
  <c r="D40" i="10"/>
  <c r="E39" i="10"/>
  <c r="D38" i="10"/>
  <c r="E37" i="10"/>
  <c r="D36" i="10"/>
  <c r="E103" i="10"/>
  <c r="E101" i="10"/>
  <c r="E99" i="10"/>
  <c r="E94" i="10"/>
  <c r="E92" i="10"/>
  <c r="E90" i="10"/>
  <c r="E88" i="10"/>
  <c r="E86" i="10"/>
  <c r="E84" i="10"/>
  <c r="E82" i="10"/>
  <c r="E80" i="10"/>
  <c r="E78" i="10"/>
  <c r="E76" i="10"/>
  <c r="E74" i="10"/>
  <c r="E72" i="10"/>
  <c r="E70" i="10"/>
  <c r="E68" i="10"/>
  <c r="D63" i="10"/>
  <c r="E62" i="10"/>
  <c r="D61" i="10"/>
  <c r="E60" i="10"/>
  <c r="D59" i="10"/>
  <c r="E58" i="10"/>
  <c r="D57" i="10"/>
  <c r="E56" i="10"/>
  <c r="D55" i="10"/>
  <c r="E54" i="10"/>
  <c r="D53" i="10"/>
  <c r="E52" i="10"/>
  <c r="D51" i="10"/>
  <c r="E50" i="10"/>
  <c r="D49" i="10"/>
  <c r="E48" i="10"/>
  <c r="D47" i="10"/>
  <c r="E46" i="10"/>
  <c r="D45" i="10"/>
  <c r="E44" i="10"/>
  <c r="D43" i="10"/>
  <c r="E42" i="10"/>
  <c r="D41" i="10"/>
  <c r="E40" i="10"/>
  <c r="D39" i="10"/>
  <c r="E38" i="10"/>
  <c r="D37" i="10"/>
  <c r="E36" i="10"/>
  <c r="E120" i="12"/>
  <c r="F120" i="12" s="1"/>
  <c r="E104" i="12"/>
  <c r="E102" i="12"/>
  <c r="E116" i="12" s="1"/>
  <c r="E100" i="12"/>
  <c r="E98" i="12"/>
  <c r="E93" i="12"/>
  <c r="E91" i="12"/>
  <c r="E89" i="12"/>
  <c r="E87" i="12"/>
  <c r="E85" i="12"/>
  <c r="E83" i="12"/>
  <c r="E81" i="12"/>
  <c r="E79" i="12"/>
  <c r="E77" i="12"/>
  <c r="E75" i="12"/>
  <c r="E73" i="12"/>
  <c r="E71" i="12"/>
  <c r="E69" i="12"/>
  <c r="E67" i="12"/>
  <c r="E63" i="12"/>
  <c r="D62" i="12"/>
  <c r="E61" i="12"/>
  <c r="D60" i="12"/>
  <c r="E59" i="12"/>
  <c r="D58" i="12"/>
  <c r="E57" i="12"/>
  <c r="E103" i="12"/>
  <c r="E101" i="12"/>
  <c r="E99" i="12"/>
  <c r="E94" i="12"/>
  <c r="E92" i="12"/>
  <c r="E90" i="12"/>
  <c r="E88" i="12"/>
  <c r="E86" i="12"/>
  <c r="E84" i="12"/>
  <c r="E82" i="12"/>
  <c r="E80" i="12"/>
  <c r="E78" i="12"/>
  <c r="E76" i="12"/>
  <c r="E74" i="12"/>
  <c r="E72" i="12"/>
  <c r="E70" i="12"/>
  <c r="E68" i="12"/>
  <c r="D63" i="12"/>
  <c r="E62" i="12"/>
  <c r="D61" i="12"/>
  <c r="E60" i="12"/>
  <c r="D59" i="12"/>
  <c r="E58" i="12"/>
  <c r="D57" i="12"/>
  <c r="E56" i="12"/>
  <c r="D55" i="12"/>
  <c r="E54" i="12"/>
  <c r="D53" i="12"/>
  <c r="E52" i="12"/>
  <c r="D51" i="12"/>
  <c r="E50" i="12"/>
  <c r="D49" i="12"/>
  <c r="E48" i="12"/>
  <c r="D47" i="12"/>
  <c r="E46" i="12"/>
  <c r="D45" i="12"/>
  <c r="E44" i="12"/>
  <c r="D43" i="12"/>
  <c r="E42" i="12"/>
  <c r="D41" i="12"/>
  <c r="E40" i="12"/>
  <c r="D39" i="12"/>
  <c r="E38" i="12"/>
  <c r="D37" i="12"/>
  <c r="E36" i="12"/>
  <c r="D56" i="12"/>
  <c r="E55" i="12"/>
  <c r="D54" i="12"/>
  <c r="E53" i="12"/>
  <c r="D52" i="12"/>
  <c r="E51" i="12"/>
  <c r="D50" i="12"/>
  <c r="E49" i="12"/>
  <c r="D48" i="12"/>
  <c r="E47" i="12"/>
  <c r="D46" i="12"/>
  <c r="E45" i="12"/>
  <c r="D44" i="12"/>
  <c r="E43" i="12"/>
  <c r="D42" i="12"/>
  <c r="E41" i="12"/>
  <c r="D40" i="12"/>
  <c r="E39" i="12"/>
  <c r="D38" i="12"/>
  <c r="E37" i="12"/>
  <c r="D36" i="12"/>
  <c r="E103" i="14"/>
  <c r="E101" i="14"/>
  <c r="E99" i="14"/>
  <c r="E94" i="14"/>
  <c r="E92" i="14"/>
  <c r="E90" i="14"/>
  <c r="E88" i="14"/>
  <c r="E86" i="14"/>
  <c r="E84" i="14"/>
  <c r="E82" i="14"/>
  <c r="E80" i="14"/>
  <c r="E78" i="14"/>
  <c r="E76" i="14"/>
  <c r="E74" i="14"/>
  <c r="E72" i="14"/>
  <c r="E70" i="14"/>
  <c r="E68" i="14"/>
  <c r="D63" i="14"/>
  <c r="E62" i="14"/>
  <c r="D61" i="14"/>
  <c r="E60" i="14"/>
  <c r="D59" i="14"/>
  <c r="E58" i="14"/>
  <c r="D57" i="14"/>
  <c r="E56" i="14"/>
  <c r="D55" i="14"/>
  <c r="E54" i="14"/>
  <c r="D53" i="14"/>
  <c r="E52" i="14"/>
  <c r="D51" i="14"/>
  <c r="E50" i="14"/>
  <c r="D49" i="14"/>
  <c r="E48" i="14"/>
  <c r="D47" i="14"/>
  <c r="E46" i="14"/>
  <c r="D45" i="14"/>
  <c r="E44" i="14"/>
  <c r="D43" i="14"/>
  <c r="E42" i="14"/>
  <c r="D41" i="14"/>
  <c r="E40" i="14"/>
  <c r="D39" i="14"/>
  <c r="E38" i="14"/>
  <c r="D37" i="14"/>
  <c r="E36" i="14"/>
  <c r="E120" i="14"/>
  <c r="E104" i="14"/>
  <c r="E102" i="14"/>
  <c r="E116" i="14" s="1"/>
  <c r="E100" i="14"/>
  <c r="E98" i="14"/>
  <c r="E93" i="14"/>
  <c r="E91" i="14"/>
  <c r="E89" i="14"/>
  <c r="E87" i="14"/>
  <c r="E85" i="14"/>
  <c r="E83" i="14"/>
  <c r="E81" i="14"/>
  <c r="E79" i="14"/>
  <c r="E77" i="14"/>
  <c r="E75" i="14"/>
  <c r="E73" i="14"/>
  <c r="E71" i="14"/>
  <c r="E69" i="14"/>
  <c r="E67" i="14"/>
  <c r="E63" i="14"/>
  <c r="D62" i="14"/>
  <c r="E61" i="14"/>
  <c r="D60" i="14"/>
  <c r="E59" i="14"/>
  <c r="D58" i="14"/>
  <c r="E57" i="14"/>
  <c r="D56" i="14"/>
  <c r="E55" i="14"/>
  <c r="D54" i="14"/>
  <c r="E53" i="14"/>
  <c r="D52" i="14"/>
  <c r="E51" i="14"/>
  <c r="D50" i="14"/>
  <c r="E49" i="14"/>
  <c r="D48" i="14"/>
  <c r="E47" i="14"/>
  <c r="D46" i="14"/>
  <c r="E45" i="14"/>
  <c r="D44" i="14"/>
  <c r="E43" i="14"/>
  <c r="D42" i="14"/>
  <c r="E41" i="14"/>
  <c r="D40" i="14"/>
  <c r="E39" i="14"/>
  <c r="D38" i="14"/>
  <c r="E37" i="14"/>
  <c r="D36" i="14"/>
  <c r="E103" i="16"/>
  <c r="E101" i="16"/>
  <c r="E99" i="16"/>
  <c r="E94" i="16"/>
  <c r="E92" i="16"/>
  <c r="E90" i="16"/>
  <c r="E88" i="16"/>
  <c r="E86" i="16"/>
  <c r="E84" i="16"/>
  <c r="E82" i="16"/>
  <c r="E80" i="16"/>
  <c r="E78" i="16"/>
  <c r="E76" i="16"/>
  <c r="E74" i="16"/>
  <c r="E72" i="16"/>
  <c r="E70" i="16"/>
  <c r="E68" i="16"/>
  <c r="D63" i="16"/>
  <c r="E62" i="16"/>
  <c r="D61" i="16"/>
  <c r="E60" i="16"/>
  <c r="D59" i="16"/>
  <c r="E58" i="16"/>
  <c r="D57" i="16"/>
  <c r="E56" i="16"/>
  <c r="D55" i="16"/>
  <c r="E54" i="16"/>
  <c r="D53" i="16"/>
  <c r="E52" i="16"/>
  <c r="D51" i="16"/>
  <c r="E50" i="16"/>
  <c r="D49" i="16"/>
  <c r="E48" i="16"/>
  <c r="D47" i="16"/>
  <c r="E46" i="16"/>
  <c r="D45" i="16"/>
  <c r="E44" i="16"/>
  <c r="D43" i="16"/>
  <c r="E42" i="16"/>
  <c r="D41" i="16"/>
  <c r="E40" i="16"/>
  <c r="D39" i="16"/>
  <c r="E38" i="16"/>
  <c r="D37" i="16"/>
  <c r="E36" i="16"/>
  <c r="E120" i="16"/>
  <c r="E104" i="16"/>
  <c r="E102" i="16"/>
  <c r="E116" i="16" s="1"/>
  <c r="E100" i="16"/>
  <c r="E98" i="16"/>
  <c r="E93" i="16"/>
  <c r="E91" i="16"/>
  <c r="E89" i="16"/>
  <c r="E87" i="16"/>
  <c r="E85" i="16"/>
  <c r="E83" i="16"/>
  <c r="E81" i="16"/>
  <c r="E79" i="16"/>
  <c r="E77" i="16"/>
  <c r="E75" i="16"/>
  <c r="E73" i="16"/>
  <c r="E71" i="16"/>
  <c r="E69" i="16"/>
  <c r="E67" i="16"/>
  <c r="E63" i="16"/>
  <c r="D62" i="16"/>
  <c r="E61" i="16"/>
  <c r="D60" i="16"/>
  <c r="E59" i="16"/>
  <c r="D58" i="16"/>
  <c r="E57" i="16"/>
  <c r="D56" i="16"/>
  <c r="E55" i="16"/>
  <c r="D54" i="16"/>
  <c r="E53" i="16"/>
  <c r="D52" i="16"/>
  <c r="E51" i="16"/>
  <c r="D50" i="16"/>
  <c r="E49" i="16"/>
  <c r="D48" i="16"/>
  <c r="E47" i="16"/>
  <c r="D46" i="16"/>
  <c r="E45" i="16"/>
  <c r="D44" i="16"/>
  <c r="E43" i="16"/>
  <c r="D42" i="16"/>
  <c r="E41" i="16"/>
  <c r="D40" i="16"/>
  <c r="E39" i="16"/>
  <c r="D38" i="16"/>
  <c r="E37" i="16"/>
  <c r="D36" i="16"/>
  <c r="E103" i="18"/>
  <c r="E101" i="18"/>
  <c r="E99" i="18"/>
  <c r="E94" i="18"/>
  <c r="E92" i="18"/>
  <c r="E90" i="18"/>
  <c r="E88" i="18"/>
  <c r="E86" i="18"/>
  <c r="E84" i="18"/>
  <c r="E82" i="18"/>
  <c r="E80" i="18"/>
  <c r="E78" i="18"/>
  <c r="E76" i="18"/>
  <c r="E74" i="18"/>
  <c r="E72" i="18"/>
  <c r="E70" i="18"/>
  <c r="E68" i="18"/>
  <c r="D63" i="18"/>
  <c r="E62" i="18"/>
  <c r="D61" i="18"/>
  <c r="E60" i="18"/>
  <c r="D59" i="18"/>
  <c r="E58" i="18"/>
  <c r="D57" i="18"/>
  <c r="E56" i="18"/>
  <c r="D55" i="18"/>
  <c r="E54" i="18"/>
  <c r="D53" i="18"/>
  <c r="E52" i="18"/>
  <c r="D51" i="18"/>
  <c r="E50" i="18"/>
  <c r="D49" i="18"/>
  <c r="E48" i="18"/>
  <c r="D47" i="18"/>
  <c r="E46" i="18"/>
  <c r="D45" i="18"/>
  <c r="E44" i="18"/>
  <c r="D43" i="18"/>
  <c r="E42" i="18"/>
  <c r="D41" i="18"/>
  <c r="E40" i="18"/>
  <c r="D39" i="18"/>
  <c r="E38" i="18"/>
  <c r="D37" i="18"/>
  <c r="E36" i="18"/>
  <c r="E120" i="18"/>
  <c r="E104" i="18"/>
  <c r="E102" i="18"/>
  <c r="E116" i="18" s="1"/>
  <c r="E100" i="18"/>
  <c r="E98" i="18"/>
  <c r="E93" i="18"/>
  <c r="E91" i="18"/>
  <c r="E89" i="18"/>
  <c r="E87" i="18"/>
  <c r="E85" i="18"/>
  <c r="E83" i="18"/>
  <c r="E81" i="18"/>
  <c r="E79" i="18"/>
  <c r="E77" i="18"/>
  <c r="E75" i="18"/>
  <c r="E73" i="18"/>
  <c r="E71" i="18"/>
  <c r="E69" i="18"/>
  <c r="E67" i="18"/>
  <c r="E63" i="18"/>
  <c r="D62" i="18"/>
  <c r="E61" i="18"/>
  <c r="D60" i="18"/>
  <c r="E59" i="18"/>
  <c r="D58" i="18"/>
  <c r="E57" i="18"/>
  <c r="D56" i="18"/>
  <c r="E55" i="18"/>
  <c r="D54" i="18"/>
  <c r="E53" i="18"/>
  <c r="D52" i="18"/>
  <c r="E51" i="18"/>
  <c r="D50" i="18"/>
  <c r="E49" i="18"/>
  <c r="D48" i="18"/>
  <c r="E47" i="18"/>
  <c r="D46" i="18"/>
  <c r="E45" i="18"/>
  <c r="D44" i="18"/>
  <c r="E43" i="18"/>
  <c r="D42" i="18"/>
  <c r="E41" i="18"/>
  <c r="D40" i="18"/>
  <c r="E39" i="18"/>
  <c r="D38" i="18"/>
  <c r="E37" i="18"/>
  <c r="D36" i="18"/>
  <c r="E103" i="20"/>
  <c r="E101" i="20"/>
  <c r="E99" i="20"/>
  <c r="E94" i="20"/>
  <c r="E92" i="20"/>
  <c r="E90" i="20"/>
  <c r="E88" i="20"/>
  <c r="E86" i="20"/>
  <c r="E84" i="20"/>
  <c r="E82" i="20"/>
  <c r="E80" i="20"/>
  <c r="E78" i="20"/>
  <c r="E76" i="20"/>
  <c r="E74" i="20"/>
  <c r="E72" i="20"/>
  <c r="E70" i="20"/>
  <c r="E68" i="20"/>
  <c r="D63" i="20"/>
  <c r="E62" i="20"/>
  <c r="D61" i="20"/>
  <c r="E60" i="20"/>
  <c r="D59" i="20"/>
  <c r="E58" i="20"/>
  <c r="D57" i="20"/>
  <c r="E56" i="20"/>
  <c r="D55" i="20"/>
  <c r="E54" i="20"/>
  <c r="D53" i="20"/>
  <c r="E52" i="20"/>
  <c r="D51" i="20"/>
  <c r="E50" i="20"/>
  <c r="D49" i="20"/>
  <c r="E48" i="20"/>
  <c r="D47" i="20"/>
  <c r="E46" i="20"/>
  <c r="D45" i="20"/>
  <c r="E44" i="20"/>
  <c r="D43" i="20"/>
  <c r="E42" i="20"/>
  <c r="D41" i="20"/>
  <c r="E40" i="20"/>
  <c r="D39" i="20"/>
  <c r="E38" i="20"/>
  <c r="D37" i="20"/>
  <c r="E36" i="20"/>
  <c r="E120" i="20"/>
  <c r="E104" i="20"/>
  <c r="E102" i="20"/>
  <c r="E116" i="20" s="1"/>
  <c r="E100" i="20"/>
  <c r="E98" i="20"/>
  <c r="E93" i="20"/>
  <c r="E91" i="20"/>
  <c r="E89" i="20"/>
  <c r="E87" i="20"/>
  <c r="E85" i="20"/>
  <c r="E83" i="20"/>
  <c r="E81" i="20"/>
  <c r="E79" i="20"/>
  <c r="E77" i="20"/>
  <c r="E75" i="20"/>
  <c r="E73" i="20"/>
  <c r="E71" i="20"/>
  <c r="E69" i="20"/>
  <c r="E67" i="20"/>
  <c r="E63" i="20"/>
  <c r="D62" i="20"/>
  <c r="E61" i="20"/>
  <c r="D60" i="20"/>
  <c r="E59" i="20"/>
  <c r="D58" i="20"/>
  <c r="E57" i="20"/>
  <c r="D56" i="20"/>
  <c r="E55" i="20"/>
  <c r="D54" i="20"/>
  <c r="E53" i="20"/>
  <c r="D52" i="20"/>
  <c r="E51" i="20"/>
  <c r="D50" i="20"/>
  <c r="E49" i="20"/>
  <c r="D48" i="20"/>
  <c r="E47" i="20"/>
  <c r="D46" i="20"/>
  <c r="E45" i="20"/>
  <c r="D44" i="20"/>
  <c r="E43" i="20"/>
  <c r="D42" i="20"/>
  <c r="E41" i="20"/>
  <c r="D40" i="20"/>
  <c r="E39" i="20"/>
  <c r="D38" i="20"/>
  <c r="E37" i="20"/>
  <c r="D36" i="20"/>
  <c r="E103" i="22"/>
  <c r="E101" i="22"/>
  <c r="E99" i="22"/>
  <c r="E94" i="22"/>
  <c r="E92" i="22"/>
  <c r="E90" i="22"/>
  <c r="E88" i="22"/>
  <c r="E86" i="22"/>
  <c r="E84" i="22"/>
  <c r="E82" i="22"/>
  <c r="E80" i="22"/>
  <c r="E78" i="22"/>
  <c r="E76" i="22"/>
  <c r="E74" i="22"/>
  <c r="E72" i="22"/>
  <c r="E70" i="22"/>
  <c r="E68" i="22"/>
  <c r="D63" i="22"/>
  <c r="E62" i="22"/>
  <c r="D61" i="22"/>
  <c r="E60" i="22"/>
  <c r="D59" i="22"/>
  <c r="E58" i="22"/>
  <c r="D57" i="22"/>
  <c r="E56" i="22"/>
  <c r="D55" i="22"/>
  <c r="E54" i="22"/>
  <c r="D53" i="22"/>
  <c r="E52" i="22"/>
  <c r="D51" i="22"/>
  <c r="E50" i="22"/>
  <c r="D49" i="22"/>
  <c r="E48" i="22"/>
  <c r="D47" i="22"/>
  <c r="E46" i="22"/>
  <c r="D45" i="22"/>
  <c r="E44" i="22"/>
  <c r="D43" i="22"/>
  <c r="E42" i="22"/>
  <c r="D41" i="22"/>
  <c r="E40" i="22"/>
  <c r="D39" i="22"/>
  <c r="E38" i="22"/>
  <c r="D37" i="22"/>
  <c r="E36" i="22"/>
  <c r="E120" i="22"/>
  <c r="E104" i="22"/>
  <c r="E102" i="22"/>
  <c r="E116" i="22" s="1"/>
  <c r="E100" i="22"/>
  <c r="E98" i="22"/>
  <c r="E93" i="22"/>
  <c r="E91" i="22"/>
  <c r="E89" i="22"/>
  <c r="E87" i="22"/>
  <c r="E85" i="22"/>
  <c r="E83" i="22"/>
  <c r="E81" i="22"/>
  <c r="E79" i="22"/>
  <c r="E77" i="22"/>
  <c r="E75" i="22"/>
  <c r="E73" i="22"/>
  <c r="E71" i="22"/>
  <c r="E69" i="22"/>
  <c r="E67" i="22"/>
  <c r="E63" i="22"/>
  <c r="D62" i="22"/>
  <c r="E61" i="22"/>
  <c r="D60" i="22"/>
  <c r="E59" i="22"/>
  <c r="D58" i="22"/>
  <c r="E57" i="22"/>
  <c r="D56" i="22"/>
  <c r="E55" i="22"/>
  <c r="D54" i="22"/>
  <c r="E53" i="22"/>
  <c r="D52" i="22"/>
  <c r="E51" i="22"/>
  <c r="D50" i="22"/>
  <c r="E49" i="22"/>
  <c r="D48" i="22"/>
  <c r="E47" i="22"/>
  <c r="D46" i="22"/>
  <c r="E45" i="22"/>
  <c r="D44" i="22"/>
  <c r="E43" i="22"/>
  <c r="D42" i="22"/>
  <c r="E41" i="22"/>
  <c r="D40" i="22"/>
  <c r="E39" i="22"/>
  <c r="D38" i="22"/>
  <c r="E37" i="22"/>
  <c r="D36" i="22"/>
  <c r="E103" i="24"/>
  <c r="E101" i="24"/>
  <c r="E99" i="24"/>
  <c r="E94" i="24"/>
  <c r="E92" i="24"/>
  <c r="E90" i="24"/>
  <c r="E88" i="24"/>
  <c r="E86" i="24"/>
  <c r="E84" i="24"/>
  <c r="E82" i="24"/>
  <c r="E80" i="24"/>
  <c r="E78" i="24"/>
  <c r="E76" i="24"/>
  <c r="E74" i="24"/>
  <c r="E72" i="24"/>
  <c r="E70" i="24"/>
  <c r="E68" i="24"/>
  <c r="D63" i="24"/>
  <c r="E62" i="24"/>
  <c r="D61" i="24"/>
  <c r="E60" i="24"/>
  <c r="D59" i="24"/>
  <c r="E58" i="24"/>
  <c r="D57" i="24"/>
  <c r="E56" i="24"/>
  <c r="D55" i="24"/>
  <c r="E54" i="24"/>
  <c r="D53" i="24"/>
  <c r="E52" i="24"/>
  <c r="D51" i="24"/>
  <c r="E50" i="24"/>
  <c r="D49" i="24"/>
  <c r="E48" i="24"/>
  <c r="D47" i="24"/>
  <c r="E46" i="24"/>
  <c r="D45" i="24"/>
  <c r="E44" i="24"/>
  <c r="D43" i="24"/>
  <c r="E42" i="24"/>
  <c r="D41" i="24"/>
  <c r="E40" i="24"/>
  <c r="D39" i="24"/>
  <c r="E38" i="24"/>
  <c r="D37" i="24"/>
  <c r="E36" i="24"/>
  <c r="E120" i="24"/>
  <c r="E104" i="24"/>
  <c r="E102" i="24"/>
  <c r="E116" i="24" s="1"/>
  <c r="E100" i="24"/>
  <c r="E98" i="24"/>
  <c r="E93" i="24"/>
  <c r="E91" i="24"/>
  <c r="E89" i="24"/>
  <c r="E87" i="24"/>
  <c r="E85" i="24"/>
  <c r="E83" i="24"/>
  <c r="E81" i="24"/>
  <c r="E79" i="24"/>
  <c r="E77" i="24"/>
  <c r="E75" i="24"/>
  <c r="E73" i="24"/>
  <c r="E71" i="24"/>
  <c r="E69" i="24"/>
  <c r="E67" i="24"/>
  <c r="E63" i="24"/>
  <c r="D62" i="24"/>
  <c r="E61" i="24"/>
  <c r="D60" i="24"/>
  <c r="E59" i="24"/>
  <c r="D58" i="24"/>
  <c r="E57" i="24"/>
  <c r="D56" i="24"/>
  <c r="E55" i="24"/>
  <c r="D54" i="24"/>
  <c r="E53" i="24"/>
  <c r="D52" i="24"/>
  <c r="E51" i="24"/>
  <c r="D50" i="24"/>
  <c r="E49" i="24"/>
  <c r="D48" i="24"/>
  <c r="E47" i="24"/>
  <c r="D46" i="24"/>
  <c r="E45" i="24"/>
  <c r="D44" i="24"/>
  <c r="E43" i="24"/>
  <c r="D42" i="24"/>
  <c r="E41" i="24"/>
  <c r="D40" i="24"/>
  <c r="E39" i="24"/>
  <c r="D38" i="24"/>
  <c r="E37" i="24"/>
  <c r="D36" i="24"/>
  <c r="E103" i="26"/>
  <c r="E101" i="26"/>
  <c r="E99" i="26"/>
  <c r="E94" i="26"/>
  <c r="E92" i="26"/>
  <c r="E90" i="26"/>
  <c r="E88" i="26"/>
  <c r="E86" i="26"/>
  <c r="E84" i="26"/>
  <c r="E82" i="26"/>
  <c r="E80" i="26"/>
  <c r="E78" i="26"/>
  <c r="E76" i="26"/>
  <c r="E74" i="26"/>
  <c r="E72" i="26"/>
  <c r="E70" i="26"/>
  <c r="E68" i="26"/>
  <c r="D63" i="26"/>
  <c r="E62" i="26"/>
  <c r="D61" i="26"/>
  <c r="E60" i="26"/>
  <c r="D59" i="26"/>
  <c r="E58" i="26"/>
  <c r="D57" i="26"/>
  <c r="E56" i="26"/>
  <c r="D55" i="26"/>
  <c r="E54" i="26"/>
  <c r="D53" i="26"/>
  <c r="E52" i="26"/>
  <c r="D51" i="26"/>
  <c r="E50" i="26"/>
  <c r="D49" i="26"/>
  <c r="E48" i="26"/>
  <c r="E120" i="26"/>
  <c r="E104" i="26"/>
  <c r="E102" i="26"/>
  <c r="E116" i="26" s="1"/>
  <c r="F116" i="26" s="1"/>
  <c r="E100" i="26"/>
  <c r="E98" i="26"/>
  <c r="E93" i="26"/>
  <c r="E91" i="26"/>
  <c r="E89" i="26"/>
  <c r="E87" i="26"/>
  <c r="E85" i="26"/>
  <c r="E83" i="26"/>
  <c r="E81" i="26"/>
  <c r="E79" i="26"/>
  <c r="E77" i="26"/>
  <c r="E75" i="26"/>
  <c r="E73" i="26"/>
  <c r="E71" i="26"/>
  <c r="E69" i="26"/>
  <c r="E67" i="26"/>
  <c r="E63" i="26"/>
  <c r="D62" i="26"/>
  <c r="E61" i="26"/>
  <c r="D60" i="26"/>
  <c r="E59" i="26"/>
  <c r="D58" i="26"/>
  <c r="E57" i="26"/>
  <c r="D56" i="26"/>
  <c r="E55" i="26"/>
  <c r="D54" i="26"/>
  <c r="E53" i="26"/>
  <c r="D52" i="26"/>
  <c r="E51" i="26"/>
  <c r="D50" i="26"/>
  <c r="E49" i="26"/>
  <c r="D48" i="26"/>
  <c r="D47" i="26"/>
  <c r="E46" i="26"/>
  <c r="D45" i="26"/>
  <c r="E44" i="26"/>
  <c r="D43" i="26"/>
  <c r="E42" i="26"/>
  <c r="D41" i="26"/>
  <c r="E40" i="26"/>
  <c r="D39" i="26"/>
  <c r="E38" i="26"/>
  <c r="D37" i="26"/>
  <c r="E36" i="26"/>
  <c r="E47" i="26"/>
  <c r="D46" i="26"/>
  <c r="E45" i="26"/>
  <c r="D44" i="26"/>
  <c r="E43" i="26"/>
  <c r="D42" i="26"/>
  <c r="E41" i="26"/>
  <c r="D40" i="26"/>
  <c r="E39" i="26"/>
  <c r="D38" i="26"/>
  <c r="E37" i="26"/>
  <c r="D36" i="26"/>
  <c r="E103" i="28"/>
  <c r="E101" i="28"/>
  <c r="E99" i="28"/>
  <c r="E94" i="28"/>
  <c r="E92" i="28"/>
  <c r="E90" i="28"/>
  <c r="E88" i="28"/>
  <c r="E86" i="28"/>
  <c r="E84" i="28"/>
  <c r="E82" i="28"/>
  <c r="E80" i="28"/>
  <c r="E78" i="28"/>
  <c r="E76" i="28"/>
  <c r="E74" i="28"/>
  <c r="E72" i="28"/>
  <c r="E70" i="28"/>
  <c r="E68" i="28"/>
  <c r="D63" i="28"/>
  <c r="E62" i="28"/>
  <c r="D61" i="28"/>
  <c r="E60" i="28"/>
  <c r="D59" i="28"/>
  <c r="E58" i="28"/>
  <c r="D57" i="28"/>
  <c r="E56" i="28"/>
  <c r="D55" i="28"/>
  <c r="E54" i="28"/>
  <c r="D53" i="28"/>
  <c r="E52" i="28"/>
  <c r="D51" i="28"/>
  <c r="E50" i="28"/>
  <c r="D49" i="28"/>
  <c r="E48" i="28"/>
  <c r="D47" i="28"/>
  <c r="E46" i="28"/>
  <c r="D45" i="28"/>
  <c r="E44" i="28"/>
  <c r="D43" i="28"/>
  <c r="E42" i="28"/>
  <c r="D41" i="28"/>
  <c r="E40" i="28"/>
  <c r="D39" i="28"/>
  <c r="E38" i="28"/>
  <c r="D37" i="28"/>
  <c r="E36" i="28"/>
  <c r="E120" i="28"/>
  <c r="E104" i="28"/>
  <c r="E102" i="28"/>
  <c r="E116" i="28" s="1"/>
  <c r="E100" i="28"/>
  <c r="E98" i="28"/>
  <c r="E93" i="28"/>
  <c r="E91" i="28"/>
  <c r="E89" i="28"/>
  <c r="E87" i="28"/>
  <c r="E85" i="28"/>
  <c r="E83" i="28"/>
  <c r="E81" i="28"/>
  <c r="E79" i="28"/>
  <c r="E77" i="28"/>
  <c r="E75" i="28"/>
  <c r="E73" i="28"/>
  <c r="E71" i="28"/>
  <c r="E69" i="28"/>
  <c r="E67" i="28"/>
  <c r="E63" i="28"/>
  <c r="D62" i="28"/>
  <c r="E61" i="28"/>
  <c r="D60" i="28"/>
  <c r="E59" i="28"/>
  <c r="D58" i="28"/>
  <c r="E57" i="28"/>
  <c r="D56" i="28"/>
  <c r="E55" i="28"/>
  <c r="D54" i="28"/>
  <c r="E53" i="28"/>
  <c r="D52" i="28"/>
  <c r="E51" i="28"/>
  <c r="D50" i="28"/>
  <c r="E49" i="28"/>
  <c r="D48" i="28"/>
  <c r="E47" i="28"/>
  <c r="D46" i="28"/>
  <c r="E45" i="28"/>
  <c r="D44" i="28"/>
  <c r="E43" i="28"/>
  <c r="D42" i="28"/>
  <c r="E41" i="28"/>
  <c r="D40" i="28"/>
  <c r="E39" i="28"/>
  <c r="D38" i="28"/>
  <c r="E37" i="28"/>
  <c r="D36" i="28"/>
  <c r="E103" i="30"/>
  <c r="E101" i="30"/>
  <c r="E99" i="30"/>
  <c r="E94" i="30"/>
  <c r="E92" i="30"/>
  <c r="E90" i="30"/>
  <c r="E88" i="30"/>
  <c r="E86" i="30"/>
  <c r="E84" i="30"/>
  <c r="E82" i="30"/>
  <c r="E80" i="30"/>
  <c r="E78" i="30"/>
  <c r="E76" i="30"/>
  <c r="E74" i="30"/>
  <c r="E72" i="30"/>
  <c r="E70" i="30"/>
  <c r="E68" i="30"/>
  <c r="D63" i="30"/>
  <c r="E62" i="30"/>
  <c r="D61" i="30"/>
  <c r="E60" i="30"/>
  <c r="D59" i="30"/>
  <c r="E58" i="30"/>
  <c r="D57" i="30"/>
  <c r="E56" i="30"/>
  <c r="D55" i="30"/>
  <c r="E54" i="30"/>
  <c r="D53" i="30"/>
  <c r="E52" i="30"/>
  <c r="D51" i="30"/>
  <c r="E50" i="30"/>
  <c r="D49" i="30"/>
  <c r="E48" i="30"/>
  <c r="D47" i="30"/>
  <c r="E46" i="30"/>
  <c r="D45" i="30"/>
  <c r="E44" i="30"/>
  <c r="D43" i="30"/>
  <c r="E42" i="30"/>
  <c r="D41" i="30"/>
  <c r="E40" i="30"/>
  <c r="D39" i="30"/>
  <c r="E38" i="30"/>
  <c r="D37" i="30"/>
  <c r="E36" i="30"/>
  <c r="E120" i="30"/>
  <c r="E104" i="30"/>
  <c r="E102" i="30"/>
  <c r="E116" i="30" s="1"/>
  <c r="E100" i="30"/>
  <c r="E98" i="30"/>
  <c r="E93" i="30"/>
  <c r="E91" i="30"/>
  <c r="E89" i="30"/>
  <c r="E87" i="30"/>
  <c r="E85" i="30"/>
  <c r="E83" i="30"/>
  <c r="E81" i="30"/>
  <c r="E79" i="30"/>
  <c r="E77" i="30"/>
  <c r="E75" i="30"/>
  <c r="E73" i="30"/>
  <c r="E71" i="30"/>
  <c r="E69" i="30"/>
  <c r="E67" i="30"/>
  <c r="E63" i="30"/>
  <c r="D62" i="30"/>
  <c r="E61" i="30"/>
  <c r="D60" i="30"/>
  <c r="E59" i="30"/>
  <c r="D58" i="30"/>
  <c r="E57" i="30"/>
  <c r="D56" i="30"/>
  <c r="E55" i="30"/>
  <c r="D54" i="30"/>
  <c r="E53" i="30"/>
  <c r="D52" i="30"/>
  <c r="E51" i="30"/>
  <c r="D50" i="30"/>
  <c r="E49" i="30"/>
  <c r="D48" i="30"/>
  <c r="E47" i="30"/>
  <c r="D46" i="30"/>
  <c r="E45" i="30"/>
  <c r="D44" i="30"/>
  <c r="E43" i="30"/>
  <c r="D42" i="30"/>
  <c r="E41" i="30"/>
  <c r="D40" i="30"/>
  <c r="E39" i="30"/>
  <c r="D38" i="30"/>
  <c r="E37" i="30"/>
  <c r="D36" i="30"/>
  <c r="E103" i="32"/>
  <c r="E101" i="32"/>
  <c r="E99" i="32"/>
  <c r="E94" i="32"/>
  <c r="E92" i="32"/>
  <c r="E90" i="32"/>
  <c r="E88" i="32"/>
  <c r="E86" i="32"/>
  <c r="E84" i="32"/>
  <c r="E82" i="32"/>
  <c r="E80" i="32"/>
  <c r="E78" i="32"/>
  <c r="E76" i="32"/>
  <c r="E74" i="32"/>
  <c r="E72" i="32"/>
  <c r="E70" i="32"/>
  <c r="E68" i="32"/>
  <c r="D63" i="32"/>
  <c r="E62" i="32"/>
  <c r="D61" i="32"/>
  <c r="E60" i="32"/>
  <c r="D59" i="32"/>
  <c r="E58" i="32"/>
  <c r="D57" i="32"/>
  <c r="E56" i="32"/>
  <c r="D55" i="32"/>
  <c r="E54" i="32"/>
  <c r="D53" i="32"/>
  <c r="E52" i="32"/>
  <c r="D51" i="32"/>
  <c r="E50" i="32"/>
  <c r="D49" i="32"/>
  <c r="E48" i="32"/>
  <c r="D47" i="32"/>
  <c r="E46" i="32"/>
  <c r="D45" i="32"/>
  <c r="E44" i="32"/>
  <c r="D43" i="32"/>
  <c r="E42" i="32"/>
  <c r="D41" i="32"/>
  <c r="E40" i="32"/>
  <c r="D39" i="32"/>
  <c r="E38" i="32"/>
  <c r="D37" i="32"/>
  <c r="E36" i="32"/>
  <c r="E120" i="32"/>
  <c r="F120" i="32" s="1"/>
  <c r="E104" i="32"/>
  <c r="E102" i="32"/>
  <c r="E116" i="32" s="1"/>
  <c r="E100" i="32"/>
  <c r="E98" i="32"/>
  <c r="E93" i="32"/>
  <c r="E91" i="32"/>
  <c r="E89" i="32"/>
  <c r="E87" i="32"/>
  <c r="E85" i="32"/>
  <c r="E83" i="32"/>
  <c r="E81" i="32"/>
  <c r="E79" i="32"/>
  <c r="E77" i="32"/>
  <c r="E75" i="32"/>
  <c r="E73" i="32"/>
  <c r="E71" i="32"/>
  <c r="E69" i="32"/>
  <c r="E67" i="32"/>
  <c r="E63" i="32"/>
  <c r="D62" i="32"/>
  <c r="E61" i="32"/>
  <c r="D60" i="32"/>
  <c r="E59" i="32"/>
  <c r="D58" i="32"/>
  <c r="E57" i="32"/>
  <c r="D56" i="32"/>
  <c r="E55" i="32"/>
  <c r="D54" i="32"/>
  <c r="E53" i="32"/>
  <c r="D52" i="32"/>
  <c r="E51" i="32"/>
  <c r="D50" i="32"/>
  <c r="E49" i="32"/>
  <c r="D48" i="32"/>
  <c r="E47" i="32"/>
  <c r="D46" i="32"/>
  <c r="E45" i="32"/>
  <c r="D44" i="32"/>
  <c r="E43" i="32"/>
  <c r="D42" i="32"/>
  <c r="E41" i="32"/>
  <c r="D40" i="32"/>
  <c r="E39" i="32"/>
  <c r="D38" i="32"/>
  <c r="E37" i="32"/>
  <c r="D36" i="32"/>
  <c r="E103" i="34"/>
  <c r="E101" i="34"/>
  <c r="E99" i="34"/>
  <c r="E94" i="34"/>
  <c r="E92" i="34"/>
  <c r="E90" i="34"/>
  <c r="E88" i="34"/>
  <c r="E86" i="34"/>
  <c r="E84" i="34"/>
  <c r="E82" i="34"/>
  <c r="E80" i="34"/>
  <c r="E78" i="34"/>
  <c r="E76" i="34"/>
  <c r="E74" i="34"/>
  <c r="E72" i="34"/>
  <c r="E70" i="34"/>
  <c r="E68" i="34"/>
  <c r="D63" i="34"/>
  <c r="E62" i="34"/>
  <c r="D61" i="34"/>
  <c r="E60" i="34"/>
  <c r="D59" i="34"/>
  <c r="E58" i="34"/>
  <c r="D57" i="34"/>
  <c r="E56" i="34"/>
  <c r="D55" i="34"/>
  <c r="E54" i="34"/>
  <c r="D53" i="34"/>
  <c r="E52" i="34"/>
  <c r="D51" i="34"/>
  <c r="E50" i="34"/>
  <c r="D49" i="34"/>
  <c r="E48" i="34"/>
  <c r="D47" i="34"/>
  <c r="E46" i="34"/>
  <c r="D45" i="34"/>
  <c r="E44" i="34"/>
  <c r="D43" i="34"/>
  <c r="E42" i="34"/>
  <c r="D41" i="34"/>
  <c r="E40" i="34"/>
  <c r="D39" i="34"/>
  <c r="E38" i="34"/>
  <c r="D37" i="34"/>
  <c r="E36" i="34"/>
  <c r="E120" i="34"/>
  <c r="F120" i="34" s="1"/>
  <c r="E104" i="34"/>
  <c r="E102" i="34"/>
  <c r="E116" i="34" s="1"/>
  <c r="E100" i="34"/>
  <c r="E98" i="34"/>
  <c r="E93" i="34"/>
  <c r="E91" i="34"/>
  <c r="E89" i="34"/>
  <c r="E87" i="34"/>
  <c r="E85" i="34"/>
  <c r="E83" i="34"/>
  <c r="E81" i="34"/>
  <c r="E79" i="34"/>
  <c r="E77" i="34"/>
  <c r="E75" i="34"/>
  <c r="E73" i="34"/>
  <c r="E71" i="34"/>
  <c r="E69" i="34"/>
  <c r="E67" i="34"/>
  <c r="E63" i="34"/>
  <c r="D62" i="34"/>
  <c r="E61" i="34"/>
  <c r="D60" i="34"/>
  <c r="E59" i="34"/>
  <c r="D58" i="34"/>
  <c r="E57" i="34"/>
  <c r="D56" i="34"/>
  <c r="E55" i="34"/>
  <c r="D54" i="34"/>
  <c r="E53" i="34"/>
  <c r="D52" i="34"/>
  <c r="E51" i="34"/>
  <c r="D50" i="34"/>
  <c r="E49" i="34"/>
  <c r="D48" i="34"/>
  <c r="E47" i="34"/>
  <c r="D46" i="34"/>
  <c r="E45" i="34"/>
  <c r="D44" i="34"/>
  <c r="E43" i="34"/>
  <c r="D42" i="34"/>
  <c r="E41" i="34"/>
  <c r="D40" i="34"/>
  <c r="E39" i="34"/>
  <c r="D38" i="34"/>
  <c r="E37" i="34"/>
  <c r="D36" i="34"/>
  <c r="E103" i="36"/>
  <c r="E101" i="36"/>
  <c r="E99" i="36"/>
  <c r="E94" i="36"/>
  <c r="E92" i="36"/>
  <c r="E90" i="36"/>
  <c r="E88" i="36"/>
  <c r="E86" i="36"/>
  <c r="E84" i="36"/>
  <c r="E82" i="36"/>
  <c r="E80" i="36"/>
  <c r="E78" i="36"/>
  <c r="E76" i="36"/>
  <c r="E74" i="36"/>
  <c r="E72" i="36"/>
  <c r="E70" i="36"/>
  <c r="E68" i="36"/>
  <c r="D63" i="36"/>
  <c r="E62" i="36"/>
  <c r="D61" i="36"/>
  <c r="E60" i="36"/>
  <c r="D59" i="36"/>
  <c r="E58" i="36"/>
  <c r="D57" i="36"/>
  <c r="E56" i="36"/>
  <c r="D55" i="36"/>
  <c r="E54" i="36"/>
  <c r="D53" i="36"/>
  <c r="E52" i="36"/>
  <c r="D51" i="36"/>
  <c r="E50" i="36"/>
  <c r="D49" i="36"/>
  <c r="E48" i="36"/>
  <c r="D47" i="36"/>
  <c r="E46" i="36"/>
  <c r="D45" i="36"/>
  <c r="E44" i="36"/>
  <c r="D43" i="36"/>
  <c r="E42" i="36"/>
  <c r="D41" i="36"/>
  <c r="E40" i="36"/>
  <c r="D39" i="36"/>
  <c r="E38" i="36"/>
  <c r="D37" i="36"/>
  <c r="E36" i="36"/>
  <c r="E120" i="36"/>
  <c r="F120" i="36" s="1"/>
  <c r="E104" i="36"/>
  <c r="E102" i="36"/>
  <c r="E116" i="36" s="1"/>
  <c r="E100" i="36"/>
  <c r="E98" i="36"/>
  <c r="E93" i="36"/>
  <c r="E91" i="36"/>
  <c r="E89" i="36"/>
  <c r="E87" i="36"/>
  <c r="E85" i="36"/>
  <c r="E83" i="36"/>
  <c r="E81" i="36"/>
  <c r="E79" i="36"/>
  <c r="E77" i="36"/>
  <c r="E75" i="36"/>
  <c r="E73" i="36"/>
  <c r="E71" i="36"/>
  <c r="E69" i="36"/>
  <c r="E67" i="36"/>
  <c r="E63" i="36"/>
  <c r="D62" i="36"/>
  <c r="E61" i="36"/>
  <c r="D60" i="36"/>
  <c r="E59" i="36"/>
  <c r="D58" i="36"/>
  <c r="E57" i="36"/>
  <c r="D56" i="36"/>
  <c r="E55" i="36"/>
  <c r="D54" i="36"/>
  <c r="E53" i="36"/>
  <c r="D52" i="36"/>
  <c r="E51" i="36"/>
  <c r="D50" i="36"/>
  <c r="E49" i="36"/>
  <c r="D48" i="36"/>
  <c r="E47" i="36"/>
  <c r="D46" i="36"/>
  <c r="E45" i="36"/>
  <c r="D44" i="36"/>
  <c r="E43" i="36"/>
  <c r="D42" i="36"/>
  <c r="E41" i="36"/>
  <c r="D40" i="36"/>
  <c r="E39" i="36"/>
  <c r="D38" i="36"/>
  <c r="E37" i="36"/>
  <c r="D36" i="36"/>
  <c r="E103" i="38"/>
  <c r="E101" i="38"/>
  <c r="E99" i="38"/>
  <c r="E94" i="38"/>
  <c r="E92" i="38"/>
  <c r="E90" i="38"/>
  <c r="E88" i="38"/>
  <c r="E86" i="38"/>
  <c r="E84" i="38"/>
  <c r="E82" i="38"/>
  <c r="E80" i="38"/>
  <c r="E78" i="38"/>
  <c r="E76" i="38"/>
  <c r="E74" i="38"/>
  <c r="E72" i="38"/>
  <c r="E70" i="38"/>
  <c r="E68" i="38"/>
  <c r="D63" i="38"/>
  <c r="E62" i="38"/>
  <c r="D61" i="38"/>
  <c r="E60" i="38"/>
  <c r="D59" i="38"/>
  <c r="E58" i="38"/>
  <c r="D57" i="38"/>
  <c r="E56" i="38"/>
  <c r="D55" i="38"/>
  <c r="E54" i="38"/>
  <c r="D53" i="38"/>
  <c r="E52" i="38"/>
  <c r="D51" i="38"/>
  <c r="E50" i="38"/>
  <c r="D49" i="38"/>
  <c r="E48" i="38"/>
  <c r="D47" i="38"/>
  <c r="E46" i="38"/>
  <c r="D45" i="38"/>
  <c r="E44" i="38"/>
  <c r="D43" i="38"/>
  <c r="E42" i="38"/>
  <c r="D41" i="38"/>
  <c r="E40" i="38"/>
  <c r="D39" i="38"/>
  <c r="E38" i="38"/>
  <c r="D37" i="38"/>
  <c r="E36" i="38"/>
  <c r="E120" i="38"/>
  <c r="E104" i="38"/>
  <c r="E102" i="38"/>
  <c r="E116" i="38" s="1"/>
  <c r="E100" i="38"/>
  <c r="E98" i="38"/>
  <c r="E93" i="38"/>
  <c r="E91" i="38"/>
  <c r="E89" i="38"/>
  <c r="E87" i="38"/>
  <c r="E85" i="38"/>
  <c r="E83" i="38"/>
  <c r="E81" i="38"/>
  <c r="E79" i="38"/>
  <c r="E77" i="38"/>
  <c r="E75" i="38"/>
  <c r="E73" i="38"/>
  <c r="E71" i="38"/>
  <c r="E69" i="38"/>
  <c r="E67" i="38"/>
  <c r="E63" i="38"/>
  <c r="D62" i="38"/>
  <c r="E61" i="38"/>
  <c r="D60" i="38"/>
  <c r="E59" i="38"/>
  <c r="D58" i="38"/>
  <c r="E57" i="38"/>
  <c r="D56" i="38"/>
  <c r="E55" i="38"/>
  <c r="D54" i="38"/>
  <c r="E53" i="38"/>
  <c r="D52" i="38"/>
  <c r="E51" i="38"/>
  <c r="D50" i="38"/>
  <c r="E49" i="38"/>
  <c r="D48" i="38"/>
  <c r="E47" i="38"/>
  <c r="D46" i="38"/>
  <c r="E45" i="38"/>
  <c r="D44" i="38"/>
  <c r="E43" i="38"/>
  <c r="D42" i="38"/>
  <c r="E41" i="38"/>
  <c r="D40" i="38"/>
  <c r="E39" i="38"/>
  <c r="D38" i="38"/>
  <c r="E37" i="38"/>
  <c r="D36" i="38"/>
  <c r="E103" i="40"/>
  <c r="E101" i="40"/>
  <c r="E99" i="40"/>
  <c r="E94" i="40"/>
  <c r="E92" i="40"/>
  <c r="E90" i="40"/>
  <c r="E88" i="40"/>
  <c r="E86" i="40"/>
  <c r="E84" i="40"/>
  <c r="E82" i="40"/>
  <c r="E80" i="40"/>
  <c r="E78" i="40"/>
  <c r="E76" i="40"/>
  <c r="E74" i="40"/>
  <c r="E72" i="40"/>
  <c r="E70" i="40"/>
  <c r="E68" i="40"/>
  <c r="D63" i="40"/>
  <c r="E62" i="40"/>
  <c r="D61" i="40"/>
  <c r="E60" i="40"/>
  <c r="D59" i="40"/>
  <c r="E58" i="40"/>
  <c r="D57" i="40"/>
  <c r="E56" i="40"/>
  <c r="D55" i="40"/>
  <c r="E54" i="40"/>
  <c r="D53" i="40"/>
  <c r="E52" i="40"/>
  <c r="D51" i="40"/>
  <c r="E50" i="40"/>
  <c r="D49" i="40"/>
  <c r="E48" i="40"/>
  <c r="D47" i="40"/>
  <c r="E46" i="40"/>
  <c r="D45" i="40"/>
  <c r="E44" i="40"/>
  <c r="D43" i="40"/>
  <c r="E42" i="40"/>
  <c r="D41" i="40"/>
  <c r="E40" i="40"/>
  <c r="D39" i="40"/>
  <c r="E38" i="40"/>
  <c r="D37" i="40"/>
  <c r="E120" i="40"/>
  <c r="F120" i="40" s="1"/>
  <c r="E104" i="40"/>
  <c r="E102" i="40"/>
  <c r="E116" i="40" s="1"/>
  <c r="E100" i="40"/>
  <c r="E98" i="40"/>
  <c r="E93" i="40"/>
  <c r="E91" i="40"/>
  <c r="E89" i="40"/>
  <c r="E87" i="40"/>
  <c r="E85" i="40"/>
  <c r="E83" i="40"/>
  <c r="E81" i="40"/>
  <c r="E79" i="40"/>
  <c r="E77" i="40"/>
  <c r="E75" i="40"/>
  <c r="E73" i="40"/>
  <c r="E71" i="40"/>
  <c r="E69" i="40"/>
  <c r="E67" i="40"/>
  <c r="E63" i="40"/>
  <c r="D62" i="40"/>
  <c r="E61" i="40"/>
  <c r="D60" i="40"/>
  <c r="E59" i="40"/>
  <c r="D58" i="40"/>
  <c r="E57" i="40"/>
  <c r="D54" i="40"/>
  <c r="E53" i="40"/>
  <c r="D50" i="40"/>
  <c r="E49" i="40"/>
  <c r="D46" i="40"/>
  <c r="E45" i="40"/>
  <c r="D42" i="40"/>
  <c r="E41" i="40"/>
  <c r="D38" i="40"/>
  <c r="E37" i="40"/>
  <c r="D36" i="40"/>
  <c r="D56" i="40"/>
  <c r="E55" i="40"/>
  <c r="D52" i="40"/>
  <c r="E51" i="40"/>
  <c r="D48" i="40"/>
  <c r="E47" i="40"/>
  <c r="D44" i="40"/>
  <c r="E43" i="40"/>
  <c r="D40" i="40"/>
  <c r="E39" i="40"/>
  <c r="E36" i="40"/>
  <c r="E120" i="42"/>
  <c r="F120" i="42" s="1"/>
  <c r="E104" i="42"/>
  <c r="E102" i="42"/>
  <c r="E116" i="42" s="1"/>
  <c r="E100" i="42"/>
  <c r="E98" i="42"/>
  <c r="E93" i="42"/>
  <c r="E91" i="42"/>
  <c r="E89" i="42"/>
  <c r="E87" i="42"/>
  <c r="E85" i="42"/>
  <c r="E83" i="42"/>
  <c r="E81" i="42"/>
  <c r="E79" i="42"/>
  <c r="E77" i="42"/>
  <c r="E75" i="42"/>
  <c r="E73" i="42"/>
  <c r="E71" i="42"/>
  <c r="E69" i="42"/>
  <c r="E67" i="42"/>
  <c r="E63" i="42"/>
  <c r="D62" i="42"/>
  <c r="E61" i="42"/>
  <c r="D60" i="42"/>
  <c r="E59" i="42"/>
  <c r="D58" i="42"/>
  <c r="E57" i="42"/>
  <c r="D56" i="42"/>
  <c r="E55" i="42"/>
  <c r="D54" i="42"/>
  <c r="E53" i="42"/>
  <c r="D52" i="42"/>
  <c r="E51" i="42"/>
  <c r="D50" i="42"/>
  <c r="E49" i="42"/>
  <c r="D48" i="42"/>
  <c r="E47" i="42"/>
  <c r="D46" i="42"/>
  <c r="E45" i="42"/>
  <c r="D44" i="42"/>
  <c r="E43" i="42"/>
  <c r="D42" i="42"/>
  <c r="E41" i="42"/>
  <c r="D40" i="42"/>
  <c r="E39" i="42"/>
  <c r="D38" i="42"/>
  <c r="E37" i="42"/>
  <c r="D36" i="42"/>
  <c r="E103" i="42"/>
  <c r="E101" i="42"/>
  <c r="E99" i="42"/>
  <c r="E94" i="42"/>
  <c r="E92" i="42"/>
  <c r="E90" i="42"/>
  <c r="E88" i="42"/>
  <c r="E86" i="42"/>
  <c r="E84" i="42"/>
  <c r="E82" i="42"/>
  <c r="E80" i="42"/>
  <c r="E78" i="42"/>
  <c r="E76" i="42"/>
  <c r="E74" i="42"/>
  <c r="E72" i="42"/>
  <c r="E70" i="42"/>
  <c r="E68" i="42"/>
  <c r="D63" i="42"/>
  <c r="E62" i="42"/>
  <c r="D61" i="42"/>
  <c r="E60" i="42"/>
  <c r="D59" i="42"/>
  <c r="E58" i="42"/>
  <c r="D57" i="42"/>
  <c r="E56" i="42"/>
  <c r="D55" i="42"/>
  <c r="E54" i="42"/>
  <c r="D53" i="42"/>
  <c r="E52" i="42"/>
  <c r="D51" i="42"/>
  <c r="E50" i="42"/>
  <c r="D49" i="42"/>
  <c r="E48" i="42"/>
  <c r="D47" i="42"/>
  <c r="E46" i="42"/>
  <c r="D45" i="42"/>
  <c r="E44" i="42"/>
  <c r="D43" i="42"/>
  <c r="E42" i="42"/>
  <c r="D41" i="42"/>
  <c r="E40" i="42"/>
  <c r="D39" i="42"/>
  <c r="E38" i="42"/>
  <c r="D37" i="42"/>
  <c r="E36" i="42"/>
  <c r="E120" i="44"/>
  <c r="F120" i="44" s="1"/>
  <c r="E104" i="44"/>
  <c r="E102" i="44"/>
  <c r="E116" i="44" s="1"/>
  <c r="F116" i="44" s="1"/>
  <c r="E100" i="44"/>
  <c r="E98" i="44"/>
  <c r="E93" i="44"/>
  <c r="E91" i="44"/>
  <c r="E89" i="44"/>
  <c r="E87" i="44"/>
  <c r="E85" i="44"/>
  <c r="E83" i="44"/>
  <c r="E81" i="44"/>
  <c r="E79" i="44"/>
  <c r="E77" i="44"/>
  <c r="E75" i="44"/>
  <c r="E73" i="44"/>
  <c r="E71" i="44"/>
  <c r="E69" i="44"/>
  <c r="E67" i="44"/>
  <c r="E63" i="44"/>
  <c r="D62" i="44"/>
  <c r="E61" i="44"/>
  <c r="D60" i="44"/>
  <c r="E59" i="44"/>
  <c r="D58" i="44"/>
  <c r="E57" i="44"/>
  <c r="D56" i="44"/>
  <c r="E55" i="44"/>
  <c r="D54" i="44"/>
  <c r="E53" i="44"/>
  <c r="D52" i="44"/>
  <c r="E51" i="44"/>
  <c r="D50" i="44"/>
  <c r="E49" i="44"/>
  <c r="D48" i="44"/>
  <c r="E47" i="44"/>
  <c r="D46" i="44"/>
  <c r="E45" i="44"/>
  <c r="D44" i="44"/>
  <c r="E43" i="44"/>
  <c r="D42" i="44"/>
  <c r="E41" i="44"/>
  <c r="D40" i="44"/>
  <c r="E39" i="44"/>
  <c r="D38" i="44"/>
  <c r="E37" i="44"/>
  <c r="D36" i="44"/>
  <c r="E103" i="44"/>
  <c r="E101" i="44"/>
  <c r="E99" i="44"/>
  <c r="E94" i="44"/>
  <c r="E92" i="44"/>
  <c r="E90" i="44"/>
  <c r="E88" i="44"/>
  <c r="E86" i="44"/>
  <c r="E84" i="44"/>
  <c r="E82" i="44"/>
  <c r="E80" i="44"/>
  <c r="E78" i="44"/>
  <c r="E76" i="44"/>
  <c r="E74" i="44"/>
  <c r="E72" i="44"/>
  <c r="E70" i="44"/>
  <c r="E68" i="44"/>
  <c r="D63" i="44"/>
  <c r="E62" i="44"/>
  <c r="D61" i="44"/>
  <c r="E60" i="44"/>
  <c r="D59" i="44"/>
  <c r="E58" i="44"/>
  <c r="D57" i="44"/>
  <c r="E56" i="44"/>
  <c r="D55" i="44"/>
  <c r="E54" i="44"/>
  <c r="D53" i="44"/>
  <c r="E52" i="44"/>
  <c r="D51" i="44"/>
  <c r="E50" i="44"/>
  <c r="D49" i="44"/>
  <c r="E48" i="44"/>
  <c r="D47" i="44"/>
  <c r="E46" i="44"/>
  <c r="D45" i="44"/>
  <c r="E44" i="44"/>
  <c r="D43" i="44"/>
  <c r="E42" i="44"/>
  <c r="D41" i="44"/>
  <c r="E40" i="44"/>
  <c r="D39" i="44"/>
  <c r="E38" i="44"/>
  <c r="D37" i="44"/>
  <c r="E36" i="44"/>
  <c r="E120" i="46"/>
  <c r="F120" i="46" s="1"/>
  <c r="E104" i="46"/>
  <c r="E102" i="46"/>
  <c r="E116" i="46" s="1"/>
  <c r="E100" i="46"/>
  <c r="E98" i="46"/>
  <c r="E93" i="46"/>
  <c r="E91" i="46"/>
  <c r="E89" i="46"/>
  <c r="E87" i="46"/>
  <c r="E85" i="46"/>
  <c r="E83" i="46"/>
  <c r="E81" i="46"/>
  <c r="E79" i="46"/>
  <c r="E77" i="46"/>
  <c r="E75" i="46"/>
  <c r="E73" i="46"/>
  <c r="E71" i="46"/>
  <c r="E69" i="46"/>
  <c r="E67" i="46"/>
  <c r="E63" i="46"/>
  <c r="D62" i="46"/>
  <c r="E61" i="46"/>
  <c r="D60" i="46"/>
  <c r="E59" i="46"/>
  <c r="D58" i="46"/>
  <c r="E57" i="46"/>
  <c r="D56" i="46"/>
  <c r="E55" i="46"/>
  <c r="D54" i="46"/>
  <c r="E53" i="46"/>
  <c r="D52" i="46"/>
  <c r="E51" i="46"/>
  <c r="D50" i="46"/>
  <c r="E49" i="46"/>
  <c r="D48" i="46"/>
  <c r="E47" i="46"/>
  <c r="D46" i="46"/>
  <c r="E45" i="46"/>
  <c r="D44" i="46"/>
  <c r="E43" i="46"/>
  <c r="D42" i="46"/>
  <c r="E41" i="46"/>
  <c r="D40" i="46"/>
  <c r="E39" i="46"/>
  <c r="D38" i="46"/>
  <c r="E37" i="46"/>
  <c r="D36" i="46"/>
  <c r="E103" i="46"/>
  <c r="E101" i="46"/>
  <c r="E99" i="46"/>
  <c r="E94" i="46"/>
  <c r="E92" i="46"/>
  <c r="E90" i="46"/>
  <c r="E88" i="46"/>
  <c r="E86" i="46"/>
  <c r="E84" i="46"/>
  <c r="E82" i="46"/>
  <c r="E80" i="46"/>
  <c r="E78" i="46"/>
  <c r="E76" i="46"/>
  <c r="E74" i="46"/>
  <c r="E72" i="46"/>
  <c r="E70" i="46"/>
  <c r="E68" i="46"/>
  <c r="D63" i="46"/>
  <c r="E62" i="46"/>
  <c r="D61" i="46"/>
  <c r="E60" i="46"/>
  <c r="D59" i="46"/>
  <c r="E58" i="46"/>
  <c r="D57" i="46"/>
  <c r="E56" i="46"/>
  <c r="D55" i="46"/>
  <c r="E54" i="46"/>
  <c r="D53" i="46"/>
  <c r="E52" i="46"/>
  <c r="D51" i="46"/>
  <c r="E50" i="46"/>
  <c r="D49" i="46"/>
  <c r="E48" i="46"/>
  <c r="D47" i="46"/>
  <c r="E46" i="46"/>
  <c r="D45" i="46"/>
  <c r="E44" i="46"/>
  <c r="D43" i="46"/>
  <c r="E42" i="46"/>
  <c r="D41" i="46"/>
  <c r="E40" i="46"/>
  <c r="D39" i="46"/>
  <c r="E38" i="46"/>
  <c r="D37" i="46"/>
  <c r="E36" i="46"/>
  <c r="E120" i="48"/>
  <c r="F120" i="48" s="1"/>
  <c r="E104" i="48"/>
  <c r="E102" i="48"/>
  <c r="E116" i="48" s="1"/>
  <c r="E100" i="48"/>
  <c r="E98" i="48"/>
  <c r="E93" i="48"/>
  <c r="E91" i="48"/>
  <c r="E89" i="48"/>
  <c r="E87" i="48"/>
  <c r="E85" i="48"/>
  <c r="E83" i="48"/>
  <c r="E81" i="48"/>
  <c r="E79" i="48"/>
  <c r="E77" i="48"/>
  <c r="E75" i="48"/>
  <c r="E73" i="48"/>
  <c r="E71" i="48"/>
  <c r="E69" i="48"/>
  <c r="E67" i="48"/>
  <c r="E63" i="48"/>
  <c r="D62" i="48"/>
  <c r="E61" i="48"/>
  <c r="D60" i="48"/>
  <c r="E59" i="48"/>
  <c r="D58" i="48"/>
  <c r="E57" i="48"/>
  <c r="D56" i="48"/>
  <c r="E55" i="48"/>
  <c r="D54" i="48"/>
  <c r="E53" i="48"/>
  <c r="D52" i="48"/>
  <c r="E51" i="48"/>
  <c r="D50" i="48"/>
  <c r="E49" i="48"/>
  <c r="D48" i="48"/>
  <c r="E47" i="48"/>
  <c r="D46" i="48"/>
  <c r="E45" i="48"/>
  <c r="D44" i="48"/>
  <c r="E43" i="48"/>
  <c r="D42" i="48"/>
  <c r="E41" i="48"/>
  <c r="D40" i="48"/>
  <c r="E39" i="48"/>
  <c r="D38" i="48"/>
  <c r="E37" i="48"/>
  <c r="D36" i="48"/>
  <c r="E103" i="48"/>
  <c r="E101" i="48"/>
  <c r="E99" i="48"/>
  <c r="E94" i="48"/>
  <c r="E92" i="48"/>
  <c r="E90" i="48"/>
  <c r="E88" i="48"/>
  <c r="E86" i="48"/>
  <c r="E84" i="48"/>
  <c r="E82" i="48"/>
  <c r="E80" i="48"/>
  <c r="E78" i="48"/>
  <c r="E76" i="48"/>
  <c r="E74" i="48"/>
  <c r="E72" i="48"/>
  <c r="E70" i="48"/>
  <c r="E68" i="48"/>
  <c r="D63" i="48"/>
  <c r="E62" i="48"/>
  <c r="D61" i="48"/>
  <c r="E60" i="48"/>
  <c r="D59" i="48"/>
  <c r="E58" i="48"/>
  <c r="D57" i="48"/>
  <c r="E56" i="48"/>
  <c r="D55" i="48"/>
  <c r="E54" i="48"/>
  <c r="D53" i="48"/>
  <c r="E52" i="48"/>
  <c r="D51" i="48"/>
  <c r="E50" i="48"/>
  <c r="D49" i="48"/>
  <c r="E48" i="48"/>
  <c r="D47" i="48"/>
  <c r="E46" i="48"/>
  <c r="D45" i="48"/>
  <c r="E44" i="48"/>
  <c r="D43" i="48"/>
  <c r="E42" i="48"/>
  <c r="D41" i="48"/>
  <c r="E40" i="48"/>
  <c r="D39" i="48"/>
  <c r="E38" i="48"/>
  <c r="D37" i="48"/>
  <c r="E36" i="48"/>
  <c r="E120" i="50"/>
  <c r="F120" i="50" s="1"/>
  <c r="E104" i="50"/>
  <c r="E102" i="50"/>
  <c r="E116" i="50" s="1"/>
  <c r="E100" i="50"/>
  <c r="E98" i="50"/>
  <c r="E93" i="50"/>
  <c r="E91" i="50"/>
  <c r="E89" i="50"/>
  <c r="E87" i="50"/>
  <c r="E85" i="50"/>
  <c r="E83" i="50"/>
  <c r="E81" i="50"/>
  <c r="E79" i="50"/>
  <c r="E77" i="50"/>
  <c r="E75" i="50"/>
  <c r="E73" i="50"/>
  <c r="E71" i="50"/>
  <c r="E69" i="50"/>
  <c r="E67" i="50"/>
  <c r="E63" i="50"/>
  <c r="D62" i="50"/>
  <c r="E61" i="50"/>
  <c r="D60" i="50"/>
  <c r="E59" i="50"/>
  <c r="D58" i="50"/>
  <c r="E57" i="50"/>
  <c r="D56" i="50"/>
  <c r="E55" i="50"/>
  <c r="D54" i="50"/>
  <c r="E53" i="50"/>
  <c r="D52" i="50"/>
  <c r="E51" i="50"/>
  <c r="D50" i="50"/>
  <c r="E49" i="50"/>
  <c r="D48" i="50"/>
  <c r="E47" i="50"/>
  <c r="D46" i="50"/>
  <c r="E45" i="50"/>
  <c r="D44" i="50"/>
  <c r="E43" i="50"/>
  <c r="D42" i="50"/>
  <c r="E41" i="50"/>
  <c r="D40" i="50"/>
  <c r="E39" i="50"/>
  <c r="D38" i="50"/>
  <c r="E37" i="50"/>
  <c r="D36" i="50"/>
  <c r="E103" i="50"/>
  <c r="E101" i="50"/>
  <c r="E99" i="50"/>
  <c r="E94" i="50"/>
  <c r="E92" i="50"/>
  <c r="E90" i="50"/>
  <c r="E88" i="50"/>
  <c r="E86" i="50"/>
  <c r="E84" i="50"/>
  <c r="E82" i="50"/>
  <c r="E80" i="50"/>
  <c r="E78" i="50"/>
  <c r="E76" i="50"/>
  <c r="E74" i="50"/>
  <c r="E72" i="50"/>
  <c r="E70" i="50"/>
  <c r="E68" i="50"/>
  <c r="D63" i="50"/>
  <c r="E62" i="50"/>
  <c r="D61" i="50"/>
  <c r="E60" i="50"/>
  <c r="D59" i="50"/>
  <c r="E58" i="50"/>
  <c r="D57" i="50"/>
  <c r="E56" i="50"/>
  <c r="D55" i="50"/>
  <c r="E54" i="50"/>
  <c r="D53" i="50"/>
  <c r="E52" i="50"/>
  <c r="D51" i="50"/>
  <c r="E50" i="50"/>
  <c r="D49" i="50"/>
  <c r="E48" i="50"/>
  <c r="D47" i="50"/>
  <c r="E46" i="50"/>
  <c r="D45" i="50"/>
  <c r="E44" i="50"/>
  <c r="D43" i="50"/>
  <c r="E42" i="50"/>
  <c r="D41" i="50"/>
  <c r="E40" i="50"/>
  <c r="D39" i="50"/>
  <c r="E38" i="50"/>
  <c r="D37" i="50"/>
  <c r="E36" i="50"/>
  <c r="E120" i="52"/>
  <c r="F120" i="52" s="1"/>
  <c r="E104" i="52"/>
  <c r="E102" i="52"/>
  <c r="E116" i="52" s="1"/>
  <c r="E100" i="52"/>
  <c r="E98" i="52"/>
  <c r="E93" i="52"/>
  <c r="E91" i="52"/>
  <c r="E89" i="52"/>
  <c r="E87" i="52"/>
  <c r="E85" i="52"/>
  <c r="E83" i="52"/>
  <c r="E81" i="52"/>
  <c r="E79" i="52"/>
  <c r="E77" i="52"/>
  <c r="E75" i="52"/>
  <c r="E73" i="52"/>
  <c r="E71" i="52"/>
  <c r="E69" i="52"/>
  <c r="E67" i="52"/>
  <c r="E63" i="52"/>
  <c r="D62" i="52"/>
  <c r="E61" i="52"/>
  <c r="D60" i="52"/>
  <c r="E59" i="52"/>
  <c r="D58" i="52"/>
  <c r="E57" i="52"/>
  <c r="D56" i="52"/>
  <c r="E55" i="52"/>
  <c r="D54" i="52"/>
  <c r="E53" i="52"/>
  <c r="D52" i="52"/>
  <c r="E51" i="52"/>
  <c r="D50" i="52"/>
  <c r="E49" i="52"/>
  <c r="D48" i="52"/>
  <c r="E47" i="52"/>
  <c r="D46" i="52"/>
  <c r="E45" i="52"/>
  <c r="D44" i="52"/>
  <c r="E43" i="52"/>
  <c r="D42" i="52"/>
  <c r="E41" i="52"/>
  <c r="D40" i="52"/>
  <c r="E39" i="52"/>
  <c r="D38" i="52"/>
  <c r="E37" i="52"/>
  <c r="D36" i="52"/>
  <c r="E103" i="52"/>
  <c r="E101" i="52"/>
  <c r="E99" i="52"/>
  <c r="E94" i="52"/>
  <c r="E92" i="52"/>
  <c r="E90" i="52"/>
  <c r="E88" i="52"/>
  <c r="E86" i="52"/>
  <c r="E84" i="52"/>
  <c r="E82" i="52"/>
  <c r="E80" i="52"/>
  <c r="E78" i="52"/>
  <c r="E76" i="52"/>
  <c r="E74" i="52"/>
  <c r="E72" i="52"/>
  <c r="E70" i="52"/>
  <c r="E68" i="52"/>
  <c r="D63" i="52"/>
  <c r="E62" i="52"/>
  <c r="D61" i="52"/>
  <c r="E60" i="52"/>
  <c r="D59" i="52"/>
  <c r="E58" i="52"/>
  <c r="D57" i="52"/>
  <c r="E56" i="52"/>
  <c r="D55" i="52"/>
  <c r="E54" i="52"/>
  <c r="D53" i="52"/>
  <c r="E52" i="52"/>
  <c r="D51" i="52"/>
  <c r="E50" i="52"/>
  <c r="D49" i="52"/>
  <c r="E48" i="52"/>
  <c r="D47" i="52"/>
  <c r="E46" i="52"/>
  <c r="D45" i="52"/>
  <c r="E44" i="52"/>
  <c r="D43" i="52"/>
  <c r="E42" i="52"/>
  <c r="D41" i="52"/>
  <c r="E40" i="52"/>
  <c r="D39" i="52"/>
  <c r="E38" i="52"/>
  <c r="D37" i="52"/>
  <c r="E36" i="52"/>
  <c r="E120" i="54"/>
  <c r="F120" i="54" s="1"/>
  <c r="E104" i="54"/>
  <c r="E102" i="54"/>
  <c r="E116" i="54" s="1"/>
  <c r="E100" i="54"/>
  <c r="E98" i="54"/>
  <c r="E93" i="54"/>
  <c r="E91" i="54"/>
  <c r="E89" i="54"/>
  <c r="E87" i="54"/>
  <c r="E85" i="54"/>
  <c r="E83" i="54"/>
  <c r="E81" i="54"/>
  <c r="E79" i="54"/>
  <c r="E77" i="54"/>
  <c r="E75" i="54"/>
  <c r="E73" i="54"/>
  <c r="E71" i="54"/>
  <c r="E69" i="54"/>
  <c r="E67" i="54"/>
  <c r="E63" i="54"/>
  <c r="D62" i="54"/>
  <c r="E61" i="54"/>
  <c r="D60" i="54"/>
  <c r="E59" i="54"/>
  <c r="D58" i="54"/>
  <c r="E57" i="54"/>
  <c r="D56" i="54"/>
  <c r="E55" i="54"/>
  <c r="D54" i="54"/>
  <c r="E53" i="54"/>
  <c r="D52" i="54"/>
  <c r="E51" i="54"/>
  <c r="D50" i="54"/>
  <c r="E49" i="54"/>
  <c r="D48" i="54"/>
  <c r="E47" i="54"/>
  <c r="D46" i="54"/>
  <c r="E45" i="54"/>
  <c r="D44" i="54"/>
  <c r="E43" i="54"/>
  <c r="D42" i="54"/>
  <c r="E41" i="54"/>
  <c r="D40" i="54"/>
  <c r="E39" i="54"/>
  <c r="D38" i="54"/>
  <c r="E37" i="54"/>
  <c r="E103" i="54"/>
  <c r="E101" i="54"/>
  <c r="E99" i="54"/>
  <c r="E94" i="54"/>
  <c r="E92" i="54"/>
  <c r="E90" i="54"/>
  <c r="E88" i="54"/>
  <c r="E86" i="54"/>
  <c r="E84" i="54"/>
  <c r="E82" i="54"/>
  <c r="E80" i="54"/>
  <c r="E78" i="54"/>
  <c r="E76" i="54"/>
  <c r="E74" i="54"/>
  <c r="E72" i="54"/>
  <c r="E70" i="54"/>
  <c r="E68" i="54"/>
  <c r="D63" i="54"/>
  <c r="E62" i="54"/>
  <c r="D61" i="54"/>
  <c r="E60" i="54"/>
  <c r="D59" i="54"/>
  <c r="E58" i="54"/>
  <c r="D57" i="54"/>
  <c r="E56" i="54"/>
  <c r="D55" i="54"/>
  <c r="E54" i="54"/>
  <c r="D53" i="54"/>
  <c r="E52" i="54"/>
  <c r="D51" i="54"/>
  <c r="E50" i="54"/>
  <c r="D49" i="54"/>
  <c r="E48" i="54"/>
  <c r="D47" i="54"/>
  <c r="E46" i="54"/>
  <c r="D45" i="54"/>
  <c r="E44" i="54"/>
  <c r="D43" i="54"/>
  <c r="E42" i="54"/>
  <c r="D41" i="54"/>
  <c r="E40" i="54"/>
  <c r="D39" i="54"/>
  <c r="E38" i="54"/>
  <c r="D37" i="54"/>
  <c r="E36" i="54"/>
  <c r="D36" i="56"/>
  <c r="E37" i="56"/>
  <c r="D38" i="56"/>
  <c r="E39" i="56"/>
  <c r="D40" i="56"/>
  <c r="E41" i="56"/>
  <c r="D42" i="56"/>
  <c r="E43" i="56"/>
  <c r="D44" i="56"/>
  <c r="E45" i="56"/>
  <c r="D46" i="56"/>
  <c r="E47" i="56"/>
  <c r="D48" i="56"/>
  <c r="E49" i="56"/>
  <c r="D50" i="56"/>
  <c r="E51" i="56"/>
  <c r="D52" i="56"/>
  <c r="E53" i="56"/>
  <c r="D54" i="56"/>
  <c r="E55" i="56"/>
  <c r="D56" i="56"/>
  <c r="E57" i="56"/>
  <c r="D58" i="56"/>
  <c r="E59" i="56"/>
  <c r="D60" i="56"/>
  <c r="E61" i="56"/>
  <c r="D62" i="56"/>
  <c r="E63" i="56"/>
  <c r="E67" i="56"/>
  <c r="E69" i="56"/>
  <c r="E71" i="56"/>
  <c r="E73" i="56"/>
  <c r="E75" i="56"/>
  <c r="E77" i="56"/>
  <c r="E79" i="56"/>
  <c r="E81" i="56"/>
  <c r="E83" i="56"/>
  <c r="E85" i="56"/>
  <c r="E87" i="56"/>
  <c r="E89" i="56"/>
  <c r="E91" i="56"/>
  <c r="E93" i="56"/>
  <c r="E98" i="56"/>
  <c r="E100" i="56"/>
  <c r="E100" i="60" s="1"/>
  <c r="E102" i="56"/>
  <c r="E116" i="56" s="1"/>
  <c r="E104" i="56"/>
  <c r="E36" i="55"/>
  <c r="D37" i="55"/>
  <c r="E38" i="55"/>
  <c r="D39" i="55"/>
  <c r="E40" i="55"/>
  <c r="D41" i="55"/>
  <c r="E42" i="55"/>
  <c r="D43" i="55"/>
  <c r="E44" i="55"/>
  <c r="D45" i="55"/>
  <c r="E46" i="55"/>
  <c r="D47" i="55"/>
  <c r="E48" i="55"/>
  <c r="D49" i="55"/>
  <c r="E50" i="55"/>
  <c r="D51" i="55"/>
  <c r="E52" i="55"/>
  <c r="D53" i="55"/>
  <c r="E54" i="55"/>
  <c r="D55" i="55"/>
  <c r="E56" i="55"/>
  <c r="D57" i="55"/>
  <c r="E58" i="55"/>
  <c r="D59" i="55"/>
  <c r="E60" i="55"/>
  <c r="D61" i="55"/>
  <c r="E62" i="55"/>
  <c r="D63" i="55"/>
  <c r="E68" i="55"/>
  <c r="E70" i="55"/>
  <c r="E72" i="55"/>
  <c r="E74" i="55"/>
  <c r="E76" i="55"/>
  <c r="E78" i="55"/>
  <c r="E80" i="55"/>
  <c r="E82" i="55"/>
  <c r="E84" i="55"/>
  <c r="E86" i="55"/>
  <c r="E88" i="55"/>
  <c r="E90" i="55"/>
  <c r="E92" i="55"/>
  <c r="E94" i="55"/>
  <c r="E99" i="55"/>
  <c r="E101" i="55"/>
  <c r="E103" i="55"/>
  <c r="D36" i="54"/>
  <c r="F120" i="22"/>
  <c r="F120" i="24"/>
  <c r="D10" i="57"/>
  <c r="D12" i="57"/>
  <c r="D14" i="57"/>
  <c r="D16" i="57"/>
  <c r="D18" i="57"/>
  <c r="D20" i="57"/>
  <c r="D22" i="57"/>
  <c r="D24" i="57"/>
  <c r="D26" i="57"/>
  <c r="D28" i="57"/>
  <c r="D30" i="57"/>
  <c r="D32" i="57"/>
  <c r="F63" i="57"/>
  <c r="D7" i="57"/>
  <c r="D9" i="57"/>
  <c r="D17" i="57"/>
  <c r="F120" i="49"/>
  <c r="F120" i="56"/>
  <c r="F120" i="59"/>
  <c r="F120" i="4"/>
  <c r="F120" i="7"/>
  <c r="D72" i="23"/>
  <c r="F72" i="23" s="1"/>
  <c r="F120" i="9"/>
  <c r="F120" i="11"/>
  <c r="F120" i="14"/>
  <c r="F120" i="16"/>
  <c r="F120" i="18"/>
  <c r="F120" i="20"/>
  <c r="D68" i="22"/>
  <c r="D6" i="22"/>
  <c r="D72" i="22"/>
  <c r="D10" i="22"/>
  <c r="D76" i="22"/>
  <c r="D14" i="22"/>
  <c r="D80" i="22"/>
  <c r="D18" i="22"/>
  <c r="D84" i="22"/>
  <c r="D22" i="22"/>
  <c r="D88" i="22"/>
  <c r="D26" i="22"/>
  <c r="D92" i="22"/>
  <c r="D30" i="22"/>
  <c r="D68" i="24"/>
  <c r="D6" i="24"/>
  <c r="D72" i="24"/>
  <c r="D10" i="24"/>
  <c r="D76" i="24"/>
  <c r="D14" i="24"/>
  <c r="D80" i="24"/>
  <c r="D18" i="24"/>
  <c r="D84" i="24"/>
  <c r="D22" i="24"/>
  <c r="D88" i="24"/>
  <c r="D26" i="24"/>
  <c r="D92" i="24"/>
  <c r="D30" i="24"/>
  <c r="F120" i="26"/>
  <c r="F120" i="28"/>
  <c r="F120" i="30"/>
  <c r="E64" i="33"/>
  <c r="E64" i="35"/>
  <c r="E64" i="37"/>
  <c r="F120" i="38"/>
  <c r="F120" i="41"/>
  <c r="F120" i="43"/>
  <c r="E64" i="46"/>
  <c r="F39" i="46"/>
  <c r="F120" i="47"/>
  <c r="E64" i="50"/>
  <c r="F120" i="51"/>
  <c r="F120" i="53"/>
  <c r="F120" i="55"/>
  <c r="D5" i="57"/>
  <c r="D69" i="57"/>
  <c r="F69" i="57" s="1"/>
  <c r="D71" i="57"/>
  <c r="F71" i="57" s="1"/>
  <c r="F41" i="57"/>
  <c r="D73" i="57"/>
  <c r="F73" i="57" s="1"/>
  <c r="F45" i="57"/>
  <c r="F47" i="57"/>
  <c r="F49" i="57"/>
  <c r="D81" i="57"/>
  <c r="F81" i="57" s="1"/>
  <c r="F51" i="57"/>
  <c r="D83" i="57"/>
  <c r="F83" i="57" s="1"/>
  <c r="F53" i="57"/>
  <c r="D85" i="57"/>
  <c r="F85" i="57" s="1"/>
  <c r="F55" i="57"/>
  <c r="D87" i="57"/>
  <c r="F87" i="57" s="1"/>
  <c r="F57" i="57"/>
  <c r="D89" i="57"/>
  <c r="F89" i="57" s="1"/>
  <c r="F59" i="57"/>
  <c r="F61" i="57"/>
  <c r="F38" i="57"/>
  <c r="D72" i="57"/>
  <c r="D76" i="57"/>
  <c r="D78" i="57"/>
  <c r="F78" i="57" s="1"/>
  <c r="D80" i="57"/>
  <c r="D84" i="57"/>
  <c r="D86" i="57"/>
  <c r="F86" i="57" s="1"/>
  <c r="D88" i="57"/>
  <c r="D92" i="57"/>
  <c r="E110" i="60"/>
  <c r="F120" i="57"/>
  <c r="C110" i="60"/>
  <c r="F117" i="57"/>
  <c r="E114" i="60" l="1"/>
  <c r="F37" i="51"/>
  <c r="F41" i="51"/>
  <c r="F45" i="51"/>
  <c r="F49" i="51"/>
  <c r="F53" i="51"/>
  <c r="F57" i="51"/>
  <c r="F61" i="51"/>
  <c r="F39" i="49"/>
  <c r="F43" i="49"/>
  <c r="F47" i="49"/>
  <c r="F51" i="49"/>
  <c r="F55" i="49"/>
  <c r="F59" i="49"/>
  <c r="F63" i="49"/>
  <c r="F76" i="25"/>
  <c r="F84" i="25"/>
  <c r="F92" i="25"/>
  <c r="F68" i="21"/>
  <c r="F76" i="21"/>
  <c r="F84" i="21"/>
  <c r="F92" i="21"/>
  <c r="F43" i="46"/>
  <c r="F47" i="46"/>
  <c r="F51" i="46"/>
  <c r="F55" i="46"/>
  <c r="F59" i="46"/>
  <c r="F63" i="46"/>
  <c r="F115" i="57"/>
  <c r="F40" i="57"/>
  <c r="F110" i="57"/>
  <c r="F112" i="57"/>
  <c r="F112" i="37"/>
  <c r="F114" i="57"/>
  <c r="D6" i="21"/>
  <c r="D88" i="25"/>
  <c r="F88" i="25" s="1"/>
  <c r="E64" i="49"/>
  <c r="F80" i="57"/>
  <c r="D22" i="25"/>
  <c r="D88" i="23"/>
  <c r="F88" i="23" s="1"/>
  <c r="D22" i="21"/>
  <c r="E105" i="50"/>
  <c r="F46" i="48"/>
  <c r="F56" i="32"/>
  <c r="F72" i="22"/>
  <c r="E64" i="51"/>
  <c r="E64" i="45"/>
  <c r="E95" i="57"/>
  <c r="C109" i="57" s="1"/>
  <c r="E115" i="60"/>
  <c r="E105" i="46"/>
  <c r="E105" i="34"/>
  <c r="F72" i="24"/>
  <c r="E105" i="49"/>
  <c r="E105" i="45"/>
  <c r="E105" i="37"/>
  <c r="E105" i="35"/>
  <c r="E105" i="33"/>
  <c r="D80" i="25"/>
  <c r="F80" i="25" s="1"/>
  <c r="D18" i="25"/>
  <c r="D6" i="23"/>
  <c r="D68" i="23"/>
  <c r="F68" i="23" s="1"/>
  <c r="D14" i="23"/>
  <c r="D76" i="23"/>
  <c r="F76" i="23" s="1"/>
  <c r="D22" i="23"/>
  <c r="D84" i="23"/>
  <c r="F84" i="23" s="1"/>
  <c r="D30" i="23"/>
  <c r="D92" i="23"/>
  <c r="F92" i="23" s="1"/>
  <c r="D72" i="21"/>
  <c r="F72" i="21" s="1"/>
  <c r="D10" i="21"/>
  <c r="D80" i="21"/>
  <c r="F80" i="21" s="1"/>
  <c r="D18" i="21"/>
  <c r="D88" i="21"/>
  <c r="F88" i="21" s="1"/>
  <c r="D26" i="21"/>
  <c r="E39" i="60"/>
  <c r="F39" i="57"/>
  <c r="D6" i="57"/>
  <c r="D68" i="57"/>
  <c r="D13" i="57"/>
  <c r="D75" i="57"/>
  <c r="F75" i="57" s="1"/>
  <c r="D15" i="57"/>
  <c r="D77" i="57"/>
  <c r="F77" i="57" s="1"/>
  <c r="D31" i="57"/>
  <c r="D93" i="57"/>
  <c r="F93" i="57" s="1"/>
  <c r="E105" i="57"/>
  <c r="E112" i="60"/>
  <c r="C116" i="60"/>
  <c r="C112" i="60"/>
  <c r="E113" i="60"/>
  <c r="E64" i="57"/>
  <c r="C114" i="60"/>
  <c r="E120" i="60"/>
  <c r="D30" i="25"/>
  <c r="D14" i="25"/>
  <c r="D80" i="23"/>
  <c r="F80" i="23" s="1"/>
  <c r="D30" i="21"/>
  <c r="D14" i="21"/>
  <c r="D72" i="25"/>
  <c r="F72" i="25" s="1"/>
  <c r="F92" i="57"/>
  <c r="F88" i="57"/>
  <c r="F72" i="57"/>
  <c r="E103" i="60"/>
  <c r="E99" i="60"/>
  <c r="E92" i="60"/>
  <c r="E88" i="60"/>
  <c r="E84" i="60"/>
  <c r="E80" i="60"/>
  <c r="E76" i="60"/>
  <c r="E72" i="60"/>
  <c r="E68" i="60"/>
  <c r="E62" i="60"/>
  <c r="E60" i="60"/>
  <c r="E58" i="60"/>
  <c r="E56" i="60"/>
  <c r="E54" i="60"/>
  <c r="E52" i="60"/>
  <c r="E50" i="60"/>
  <c r="E48" i="60"/>
  <c r="E46" i="60"/>
  <c r="E42" i="60"/>
  <c r="E40" i="60"/>
  <c r="E38" i="60"/>
  <c r="E98" i="60"/>
  <c r="E91" i="60"/>
  <c r="E87" i="60"/>
  <c r="E83" i="60"/>
  <c r="E79" i="60"/>
  <c r="E75" i="60"/>
  <c r="E71" i="60"/>
  <c r="E67" i="60"/>
  <c r="D46" i="60"/>
  <c r="D115" i="60"/>
  <c r="C113" i="60"/>
  <c r="D117" i="60"/>
  <c r="D68" i="25"/>
  <c r="F68" i="25" s="1"/>
  <c r="D6" i="25"/>
  <c r="C111" i="60"/>
  <c r="C115" i="60"/>
  <c r="F92" i="24"/>
  <c r="F88" i="24"/>
  <c r="F84" i="24"/>
  <c r="F80" i="24"/>
  <c r="F76" i="24"/>
  <c r="F68" i="24"/>
  <c r="F92" i="22"/>
  <c r="F88" i="22"/>
  <c r="F84" i="22"/>
  <c r="F80" i="22"/>
  <c r="F76" i="22"/>
  <c r="F68" i="22"/>
  <c r="E89" i="60"/>
  <c r="E85" i="60"/>
  <c r="E81" i="60"/>
  <c r="E77" i="60"/>
  <c r="F115" i="34"/>
  <c r="F112" i="25"/>
  <c r="F112" i="19"/>
  <c r="F112" i="18"/>
  <c r="F114" i="12"/>
  <c r="F110" i="12"/>
  <c r="F115" i="10"/>
  <c r="F115" i="59"/>
  <c r="F111" i="22"/>
  <c r="F111" i="18"/>
  <c r="F110" i="11"/>
  <c r="F112" i="11"/>
  <c r="F112" i="7"/>
  <c r="F114" i="3"/>
  <c r="F111" i="27"/>
  <c r="F110" i="25"/>
  <c r="F111" i="17"/>
  <c r="F114" i="10"/>
  <c r="F110" i="10"/>
  <c r="F113" i="8"/>
  <c r="F114" i="6"/>
  <c r="F110" i="6"/>
  <c r="F113" i="4"/>
  <c r="F114" i="59"/>
  <c r="F110" i="59"/>
  <c r="F113" i="56"/>
  <c r="E73" i="60"/>
  <c r="E69" i="60"/>
  <c r="E101" i="60"/>
  <c r="D61" i="60"/>
  <c r="D59" i="60"/>
  <c r="D57" i="60"/>
  <c r="D26" i="60" s="1"/>
  <c r="D53" i="60"/>
  <c r="D51" i="60"/>
  <c r="D20" i="60" s="1"/>
  <c r="D49" i="60"/>
  <c r="D47" i="60"/>
  <c r="D45" i="60"/>
  <c r="D43" i="60"/>
  <c r="D12" i="60" s="1"/>
  <c r="D41" i="60"/>
  <c r="D37" i="60"/>
  <c r="D40" i="60"/>
  <c r="D48" i="60"/>
  <c r="F48" i="60" s="1"/>
  <c r="D52" i="60"/>
  <c r="D38" i="60"/>
  <c r="D69" i="60" s="1"/>
  <c r="F69" i="60" s="1"/>
  <c r="D42" i="60"/>
  <c r="D50" i="60"/>
  <c r="D60" i="60"/>
  <c r="F42" i="36"/>
  <c r="F49" i="34"/>
  <c r="D36" i="60"/>
  <c r="D67" i="60" s="1"/>
  <c r="D58" i="60"/>
  <c r="F58" i="60" s="1"/>
  <c r="D54" i="60"/>
  <c r="F54" i="60" s="1"/>
  <c r="F37" i="36"/>
  <c r="F41" i="36"/>
  <c r="F45" i="36"/>
  <c r="F49" i="36"/>
  <c r="F53" i="36"/>
  <c r="F57" i="36"/>
  <c r="F61" i="36"/>
  <c r="F37" i="34"/>
  <c r="F41" i="34"/>
  <c r="F45" i="34"/>
  <c r="F53" i="34"/>
  <c r="F57" i="34"/>
  <c r="F61" i="34"/>
  <c r="F37" i="32"/>
  <c r="F41" i="32"/>
  <c r="F45" i="32"/>
  <c r="F49" i="32"/>
  <c r="F53" i="32"/>
  <c r="F57" i="32"/>
  <c r="F61" i="32"/>
  <c r="E102" i="60"/>
  <c r="E105" i="32"/>
  <c r="E105" i="36"/>
  <c r="E63" i="60"/>
  <c r="F62" i="36"/>
  <c r="F62" i="34"/>
  <c r="F62" i="32"/>
  <c r="E43" i="60"/>
  <c r="F43" i="60" s="1"/>
  <c r="E47" i="60"/>
  <c r="E55" i="60"/>
  <c r="E37" i="60"/>
  <c r="E41" i="60"/>
  <c r="E45" i="60"/>
  <c r="E49" i="60"/>
  <c r="F49" i="60" s="1"/>
  <c r="E53" i="60"/>
  <c r="E57" i="60"/>
  <c r="F57" i="60" s="1"/>
  <c r="E61" i="60"/>
  <c r="F38" i="36"/>
  <c r="F40" i="36"/>
  <c r="F44" i="36"/>
  <c r="F46" i="36"/>
  <c r="F48" i="36"/>
  <c r="F50" i="36"/>
  <c r="F52" i="36"/>
  <c r="F54" i="36"/>
  <c r="F56" i="36"/>
  <c r="F58" i="36"/>
  <c r="F60" i="36"/>
  <c r="F36" i="34"/>
  <c r="F38" i="34"/>
  <c r="F40" i="34"/>
  <c r="F42" i="34"/>
  <c r="F44" i="34"/>
  <c r="F46" i="34"/>
  <c r="F48" i="34"/>
  <c r="F50" i="34"/>
  <c r="F52" i="34"/>
  <c r="F54" i="34"/>
  <c r="F56" i="34"/>
  <c r="F58" i="34"/>
  <c r="F60" i="34"/>
  <c r="F38" i="32"/>
  <c r="F40" i="32"/>
  <c r="F42" i="32"/>
  <c r="F44" i="32"/>
  <c r="F46" i="32"/>
  <c r="F48" i="32"/>
  <c r="F50" i="32"/>
  <c r="F52" i="32"/>
  <c r="F54" i="32"/>
  <c r="F58" i="32"/>
  <c r="F60" i="32"/>
  <c r="E64" i="36"/>
  <c r="E64" i="34"/>
  <c r="M30" i="63" s="1"/>
  <c r="E64" i="32"/>
  <c r="F36" i="36"/>
  <c r="F36" i="32"/>
  <c r="D62" i="60"/>
  <c r="D93" i="60" s="1"/>
  <c r="E94" i="60"/>
  <c r="E90" i="60"/>
  <c r="E86" i="60"/>
  <c r="E82" i="60"/>
  <c r="E78" i="60"/>
  <c r="E74" i="60"/>
  <c r="E70" i="60"/>
  <c r="E36" i="60"/>
  <c r="F115" i="51"/>
  <c r="F115" i="47"/>
  <c r="F113" i="45"/>
  <c r="F112" i="43"/>
  <c r="F111" i="41"/>
  <c r="F112" i="39"/>
  <c r="F111" i="37"/>
  <c r="F110" i="27"/>
  <c r="F114" i="27"/>
  <c r="F111" i="25"/>
  <c r="F115" i="12"/>
  <c r="F115" i="22"/>
  <c r="F115" i="18"/>
  <c r="F115" i="55"/>
  <c r="F110" i="54"/>
  <c r="F112" i="54"/>
  <c r="F114" i="54"/>
  <c r="F111" i="52"/>
  <c r="F113" i="52"/>
  <c r="F115" i="52"/>
  <c r="F110" i="50"/>
  <c r="F112" i="50"/>
  <c r="F114" i="50"/>
  <c r="F111" i="48"/>
  <c r="F113" i="48"/>
  <c r="F115" i="48"/>
  <c r="F115" i="46"/>
  <c r="F114" i="44"/>
  <c r="F111" i="42"/>
  <c r="F110" i="40"/>
  <c r="F111" i="38"/>
  <c r="F110" i="36"/>
  <c r="F113" i="34"/>
  <c r="F112" i="32"/>
  <c r="F115" i="30"/>
  <c r="F110" i="24"/>
  <c r="F114" i="24"/>
  <c r="F115" i="16"/>
  <c r="F115" i="9"/>
  <c r="F115" i="5"/>
  <c r="F115" i="1"/>
  <c r="F115" i="35"/>
  <c r="F114" i="33"/>
  <c r="F115" i="29"/>
  <c r="B63" i="64"/>
  <c r="M28" i="63"/>
  <c r="M32" i="63"/>
  <c r="M13" i="63"/>
  <c r="M15" i="63"/>
  <c r="M19" i="63"/>
  <c r="F116" i="53"/>
  <c r="F116" i="33"/>
  <c r="F116" i="13"/>
  <c r="F116" i="5"/>
  <c r="F116" i="12"/>
  <c r="F116" i="52"/>
  <c r="F116" i="48"/>
  <c r="F111" i="46"/>
  <c r="F110" i="44"/>
  <c r="F112" i="44"/>
  <c r="F115" i="42"/>
  <c r="F116" i="42"/>
  <c r="F115" i="38"/>
  <c r="F116" i="38"/>
  <c r="F116" i="34"/>
  <c r="F116" i="30"/>
  <c r="F111" i="28"/>
  <c r="F115" i="28"/>
  <c r="F110" i="26"/>
  <c r="F114" i="26"/>
  <c r="F116" i="24"/>
  <c r="F112" i="24"/>
  <c r="F116" i="22"/>
  <c r="F116" i="18"/>
  <c r="F116" i="14"/>
  <c r="F111" i="11"/>
  <c r="F113" i="11"/>
  <c r="F115" i="11"/>
  <c r="F111" i="7"/>
  <c r="F113" i="7"/>
  <c r="F115" i="7"/>
  <c r="F111" i="3"/>
  <c r="F113" i="3"/>
  <c r="F115" i="3"/>
  <c r="F116" i="15"/>
  <c r="F115" i="8"/>
  <c r="F115" i="56"/>
  <c r="F116" i="49"/>
  <c r="F116" i="45"/>
  <c r="F115" i="41"/>
  <c r="F116" i="41"/>
  <c r="F115" i="37"/>
  <c r="F116" i="37"/>
  <c r="F111" i="35"/>
  <c r="F113" i="35"/>
  <c r="F110" i="33"/>
  <c r="F112" i="33"/>
  <c r="F111" i="31"/>
  <c r="F113" i="31"/>
  <c r="F115" i="31"/>
  <c r="F115" i="25"/>
  <c r="F116" i="25"/>
  <c r="F111" i="23"/>
  <c r="F113" i="23"/>
  <c r="F115" i="23"/>
  <c r="F110" i="21"/>
  <c r="F112" i="21"/>
  <c r="F114" i="21"/>
  <c r="F116" i="19"/>
  <c r="F110" i="15"/>
  <c r="F112" i="15"/>
  <c r="F114" i="15"/>
  <c r="F110" i="13"/>
  <c r="F112" i="13"/>
  <c r="F114" i="13"/>
  <c r="F116" i="10"/>
  <c r="F116" i="6"/>
  <c r="F116" i="59"/>
  <c r="M14" i="63"/>
  <c r="M18" i="63"/>
  <c r="M27" i="63"/>
  <c r="M29" i="63"/>
  <c r="M31" i="63"/>
  <c r="F116" i="55"/>
  <c r="F115" i="53"/>
  <c r="F116" i="20"/>
  <c r="F116" i="9"/>
  <c r="F116" i="1"/>
  <c r="F116" i="54"/>
  <c r="F111" i="54"/>
  <c r="F113" i="54"/>
  <c r="F115" i="54"/>
  <c r="F110" i="52"/>
  <c r="F112" i="52"/>
  <c r="F114" i="52"/>
  <c r="F116" i="50"/>
  <c r="F111" i="50"/>
  <c r="F113" i="50"/>
  <c r="F115" i="50"/>
  <c r="F110" i="48"/>
  <c r="F112" i="48"/>
  <c r="F114" i="48"/>
  <c r="F116" i="46"/>
  <c r="F110" i="46"/>
  <c r="F112" i="46"/>
  <c r="F114" i="46"/>
  <c r="F111" i="44"/>
  <c r="F113" i="44"/>
  <c r="F115" i="44"/>
  <c r="F110" i="42"/>
  <c r="F111" i="40"/>
  <c r="F115" i="40"/>
  <c r="F116" i="40"/>
  <c r="F110" i="38"/>
  <c r="F111" i="36"/>
  <c r="F115" i="36"/>
  <c r="F116" i="36"/>
  <c r="F110" i="34"/>
  <c r="F114" i="34"/>
  <c r="F111" i="32"/>
  <c r="F115" i="32"/>
  <c r="F116" i="32"/>
  <c r="F110" i="30"/>
  <c r="F114" i="30"/>
  <c r="F116" i="28"/>
  <c r="F110" i="28"/>
  <c r="F112" i="28"/>
  <c r="F114" i="28"/>
  <c r="F111" i="26"/>
  <c r="F113" i="26"/>
  <c r="F115" i="26"/>
  <c r="F113" i="24"/>
  <c r="F115" i="24"/>
  <c r="F110" i="22"/>
  <c r="F114" i="22"/>
  <c r="F116" i="16"/>
  <c r="F110" i="9"/>
  <c r="F112" i="9"/>
  <c r="F114" i="9"/>
  <c r="F110" i="5"/>
  <c r="F112" i="5"/>
  <c r="F114" i="5"/>
  <c r="F110" i="1"/>
  <c r="F112" i="1"/>
  <c r="F114" i="1"/>
  <c r="F116" i="21"/>
  <c r="F115" i="19"/>
  <c r="F115" i="17"/>
  <c r="F115" i="4"/>
  <c r="F116" i="51"/>
  <c r="F115" i="49"/>
  <c r="F116" i="47"/>
  <c r="F110" i="45"/>
  <c r="F114" i="45"/>
  <c r="F111" i="43"/>
  <c r="F115" i="43"/>
  <c r="F116" i="43"/>
  <c r="F112" i="41"/>
  <c r="F111" i="39"/>
  <c r="F115" i="39"/>
  <c r="F116" i="39"/>
  <c r="F116" i="35"/>
  <c r="F110" i="35"/>
  <c r="F112" i="35"/>
  <c r="F114" i="35"/>
  <c r="F111" i="33"/>
  <c r="F113" i="33"/>
  <c r="F115" i="33"/>
  <c r="F116" i="31"/>
  <c r="F110" i="31"/>
  <c r="F112" i="31"/>
  <c r="F114" i="31"/>
  <c r="F111" i="29"/>
  <c r="F116" i="29"/>
  <c r="F114" i="29"/>
  <c r="F116" i="27"/>
  <c r="F116" i="23"/>
  <c r="F110" i="23"/>
  <c r="F112" i="23"/>
  <c r="F114" i="23"/>
  <c r="F111" i="21"/>
  <c r="F113" i="21"/>
  <c r="F115" i="21"/>
  <c r="F116" i="17"/>
  <c r="F111" i="15"/>
  <c r="F113" i="15"/>
  <c r="F111" i="13"/>
  <c r="F113" i="13"/>
  <c r="F115" i="13"/>
  <c r="F116" i="8"/>
  <c r="F116" i="4"/>
  <c r="F116" i="56"/>
  <c r="M7" i="63"/>
  <c r="E7" i="63"/>
  <c r="E104" i="60"/>
  <c r="E93" i="60"/>
  <c r="E111" i="60"/>
  <c r="F117" i="60"/>
  <c r="D33" i="57"/>
  <c r="B7" i="63" s="1"/>
  <c r="D64" i="57"/>
  <c r="F36" i="57"/>
  <c r="D94" i="57"/>
  <c r="F94" i="57" s="1"/>
  <c r="F60" i="57"/>
  <c r="D90" i="57"/>
  <c r="F90" i="57" s="1"/>
  <c r="F56" i="57"/>
  <c r="F84" i="57"/>
  <c r="F52" i="57"/>
  <c r="D82" i="57"/>
  <c r="F82" i="57" s="1"/>
  <c r="F76" i="57"/>
  <c r="F44" i="57"/>
  <c r="D74" i="57"/>
  <c r="F74" i="57" s="1"/>
  <c r="D70" i="57"/>
  <c r="F70" i="57" s="1"/>
  <c r="F68" i="57"/>
  <c r="D91" i="57"/>
  <c r="F91" i="57" s="1"/>
  <c r="E59" i="60"/>
  <c r="F59" i="60" s="1"/>
  <c r="E51" i="60"/>
  <c r="D79" i="57"/>
  <c r="F79" i="57" s="1"/>
  <c r="F43" i="57"/>
  <c r="D67" i="57"/>
  <c r="F67" i="57" s="1"/>
  <c r="D39" i="60"/>
  <c r="D44" i="60"/>
  <c r="D13" i="60" s="1"/>
  <c r="D55" i="60"/>
  <c r="D56" i="60"/>
  <c r="F56" i="60" s="1"/>
  <c r="E44" i="60"/>
  <c r="D63" i="60"/>
  <c r="F40" i="60"/>
  <c r="F62" i="60"/>
  <c r="F46" i="60"/>
  <c r="E95" i="49"/>
  <c r="C109" i="49" s="1"/>
  <c r="F109" i="49" s="1"/>
  <c r="D118" i="48"/>
  <c r="D118" i="47"/>
  <c r="D118" i="50"/>
  <c r="D118" i="45"/>
  <c r="D118" i="36"/>
  <c r="E118" i="37"/>
  <c r="D118" i="35"/>
  <c r="D94" i="24"/>
  <c r="F94" i="24" s="1"/>
  <c r="D32" i="24"/>
  <c r="D90" i="24"/>
  <c r="F90" i="24" s="1"/>
  <c r="D28" i="24"/>
  <c r="D86" i="24"/>
  <c r="F86" i="24" s="1"/>
  <c r="D24" i="24"/>
  <c r="D82" i="24"/>
  <c r="F82" i="24" s="1"/>
  <c r="D20" i="24"/>
  <c r="D78" i="24"/>
  <c r="F78" i="24" s="1"/>
  <c r="D16" i="24"/>
  <c r="D74" i="24"/>
  <c r="F74" i="24" s="1"/>
  <c r="D12" i="24"/>
  <c r="D70" i="24"/>
  <c r="F70" i="24" s="1"/>
  <c r="D8" i="24"/>
  <c r="D94" i="22"/>
  <c r="F94" i="22" s="1"/>
  <c r="D32" i="22"/>
  <c r="D90" i="22"/>
  <c r="F90" i="22" s="1"/>
  <c r="D28" i="22"/>
  <c r="D86" i="22"/>
  <c r="F86" i="22" s="1"/>
  <c r="D24" i="22"/>
  <c r="D82" i="22"/>
  <c r="D20" i="22"/>
  <c r="D78" i="22"/>
  <c r="F78" i="22" s="1"/>
  <c r="D16" i="22"/>
  <c r="D74" i="22"/>
  <c r="F74" i="22" s="1"/>
  <c r="D12" i="22"/>
  <c r="D70" i="22"/>
  <c r="F70" i="22" s="1"/>
  <c r="D8" i="22"/>
  <c r="D118" i="51"/>
  <c r="D118" i="38"/>
  <c r="F82" i="22"/>
  <c r="D118" i="46"/>
  <c r="E118" i="45"/>
  <c r="D118" i="37"/>
  <c r="D118" i="34"/>
  <c r="D118" i="32"/>
  <c r="D94" i="25"/>
  <c r="F94" i="25" s="1"/>
  <c r="D32" i="25"/>
  <c r="D90" i="25"/>
  <c r="F90" i="25" s="1"/>
  <c r="D28" i="25"/>
  <c r="D86" i="25"/>
  <c r="F86" i="25" s="1"/>
  <c r="D24" i="25"/>
  <c r="D82" i="25"/>
  <c r="F82" i="25" s="1"/>
  <c r="D20" i="25"/>
  <c r="D78" i="25"/>
  <c r="F78" i="25" s="1"/>
  <c r="D16" i="25"/>
  <c r="D74" i="25"/>
  <c r="F74" i="25" s="1"/>
  <c r="D12" i="25"/>
  <c r="D70" i="25"/>
  <c r="F70" i="25" s="1"/>
  <c r="D8" i="25"/>
  <c r="D94" i="23"/>
  <c r="F94" i="23" s="1"/>
  <c r="D32" i="23"/>
  <c r="D90" i="23"/>
  <c r="F90" i="23" s="1"/>
  <c r="D28" i="23"/>
  <c r="D86" i="23"/>
  <c r="F86" i="23" s="1"/>
  <c r="D24" i="23"/>
  <c r="D82" i="23"/>
  <c r="F82" i="23" s="1"/>
  <c r="D20" i="23"/>
  <c r="D78" i="23"/>
  <c r="F78" i="23" s="1"/>
  <c r="D16" i="23"/>
  <c r="D74" i="23"/>
  <c r="F74" i="23" s="1"/>
  <c r="D12" i="23"/>
  <c r="D70" i="23"/>
  <c r="F70" i="23" s="1"/>
  <c r="D8" i="23"/>
  <c r="D94" i="21"/>
  <c r="F94" i="21" s="1"/>
  <c r="D32" i="21"/>
  <c r="D90" i="21"/>
  <c r="F90" i="21" s="1"/>
  <c r="D28" i="21"/>
  <c r="D86" i="21"/>
  <c r="F86" i="21" s="1"/>
  <c r="D24" i="21"/>
  <c r="D82" i="21"/>
  <c r="F82" i="21" s="1"/>
  <c r="D20" i="21"/>
  <c r="D78" i="21"/>
  <c r="F78" i="21" s="1"/>
  <c r="D16" i="21"/>
  <c r="D74" i="21"/>
  <c r="F74" i="21" s="1"/>
  <c r="D12" i="21"/>
  <c r="D70" i="21"/>
  <c r="F70" i="21" s="1"/>
  <c r="D8" i="21"/>
  <c r="E118" i="35"/>
  <c r="E118" i="32"/>
  <c r="E64" i="55"/>
  <c r="M9" i="63" s="1"/>
  <c r="F36" i="55"/>
  <c r="D118" i="55"/>
  <c r="F38" i="55"/>
  <c r="F40" i="55"/>
  <c r="F42" i="55"/>
  <c r="F44" i="55"/>
  <c r="F46" i="55"/>
  <c r="F48" i="55"/>
  <c r="F50" i="55"/>
  <c r="F52" i="55"/>
  <c r="F54" i="55"/>
  <c r="F56" i="55"/>
  <c r="F58" i="55"/>
  <c r="D91" i="55"/>
  <c r="F91" i="55" s="1"/>
  <c r="D29" i="55"/>
  <c r="D92" i="55"/>
  <c r="D30" i="55"/>
  <c r="D93" i="55"/>
  <c r="F93" i="55" s="1"/>
  <c r="D31" i="55"/>
  <c r="D94" i="55"/>
  <c r="F94" i="55" s="1"/>
  <c r="D32" i="55"/>
  <c r="F92" i="55"/>
  <c r="F61" i="55"/>
  <c r="F63" i="55"/>
  <c r="E95" i="55"/>
  <c r="C109" i="55" s="1"/>
  <c r="F109" i="55" s="1"/>
  <c r="E105" i="55"/>
  <c r="F39" i="54"/>
  <c r="F37" i="54"/>
  <c r="D72" i="54"/>
  <c r="F72" i="54" s="1"/>
  <c r="D10" i="54"/>
  <c r="D71" i="54"/>
  <c r="F71" i="54" s="1"/>
  <c r="D9" i="54"/>
  <c r="D70" i="54"/>
  <c r="F70" i="54" s="1"/>
  <c r="D8" i="54"/>
  <c r="D69" i="54"/>
  <c r="F69" i="54" s="1"/>
  <c r="D7" i="54"/>
  <c r="D68" i="54"/>
  <c r="F68" i="54" s="1"/>
  <c r="D6" i="54"/>
  <c r="D67" i="54"/>
  <c r="F67" i="54" s="1"/>
  <c r="D64" i="54"/>
  <c r="D5" i="54"/>
  <c r="D73" i="54"/>
  <c r="F73" i="54" s="1"/>
  <c r="D11" i="54"/>
  <c r="D74" i="54"/>
  <c r="F74" i="54" s="1"/>
  <c r="D12" i="54"/>
  <c r="D75" i="54"/>
  <c r="F75" i="54" s="1"/>
  <c r="D13" i="54"/>
  <c r="D76" i="54"/>
  <c r="D14" i="54"/>
  <c r="D77" i="54"/>
  <c r="F77" i="54" s="1"/>
  <c r="D15" i="54"/>
  <c r="D78" i="54"/>
  <c r="F78" i="54" s="1"/>
  <c r="D16" i="54"/>
  <c r="D79" i="54"/>
  <c r="F79" i="54" s="1"/>
  <c r="D17" i="54"/>
  <c r="D80" i="54"/>
  <c r="F80" i="54" s="1"/>
  <c r="D18" i="54"/>
  <c r="D81" i="54"/>
  <c r="D19" i="54"/>
  <c r="D82" i="54"/>
  <c r="F82" i="54" s="1"/>
  <c r="D20" i="54"/>
  <c r="D83" i="54"/>
  <c r="F83" i="54" s="1"/>
  <c r="D21" i="54"/>
  <c r="D84" i="54"/>
  <c r="F84" i="54" s="1"/>
  <c r="D22" i="54"/>
  <c r="D85" i="54"/>
  <c r="F85" i="54" s="1"/>
  <c r="D23" i="54"/>
  <c r="D86" i="54"/>
  <c r="F86" i="54" s="1"/>
  <c r="D24" i="54"/>
  <c r="D87" i="54"/>
  <c r="F87" i="54" s="1"/>
  <c r="D25" i="54"/>
  <c r="D88" i="54"/>
  <c r="F88" i="54" s="1"/>
  <c r="D26" i="54"/>
  <c r="D89" i="54"/>
  <c r="F89" i="54" s="1"/>
  <c r="D27" i="54"/>
  <c r="D90" i="54"/>
  <c r="D28" i="54"/>
  <c r="D91" i="54"/>
  <c r="D29" i="54"/>
  <c r="D92" i="54"/>
  <c r="F92" i="54" s="1"/>
  <c r="D30" i="54"/>
  <c r="D93" i="54"/>
  <c r="F93" i="54" s="1"/>
  <c r="D31" i="54"/>
  <c r="D94" i="54"/>
  <c r="F94" i="54" s="1"/>
  <c r="D32" i="54"/>
  <c r="F76" i="54"/>
  <c r="F41" i="54"/>
  <c r="F43" i="54"/>
  <c r="F45" i="54"/>
  <c r="F47" i="54"/>
  <c r="F49" i="54"/>
  <c r="F51" i="54"/>
  <c r="F53" i="54"/>
  <c r="F55" i="54"/>
  <c r="F57" i="54"/>
  <c r="F59" i="54"/>
  <c r="F61" i="54"/>
  <c r="F63" i="54"/>
  <c r="E95" i="54"/>
  <c r="C109" i="54" s="1"/>
  <c r="F109" i="54" s="1"/>
  <c r="F91" i="54"/>
  <c r="E105" i="54"/>
  <c r="F50" i="53"/>
  <c r="F48" i="53"/>
  <c r="F46" i="53"/>
  <c r="F44" i="53"/>
  <c r="F42" i="53"/>
  <c r="F40" i="53"/>
  <c r="F38" i="53"/>
  <c r="D118" i="53"/>
  <c r="E64" i="53"/>
  <c r="M11" i="63" s="1"/>
  <c r="F36" i="53"/>
  <c r="E105" i="52"/>
  <c r="E95" i="52"/>
  <c r="C109" i="52" s="1"/>
  <c r="F109" i="52" s="1"/>
  <c r="F63" i="52"/>
  <c r="F61" i="52"/>
  <c r="F59" i="52"/>
  <c r="F57" i="52"/>
  <c r="F55" i="52"/>
  <c r="F53" i="52"/>
  <c r="F51" i="52"/>
  <c r="F49" i="52"/>
  <c r="F47" i="52"/>
  <c r="F45" i="52"/>
  <c r="F43" i="52"/>
  <c r="F41" i="52"/>
  <c r="F39" i="52"/>
  <c r="F37" i="52"/>
  <c r="D81" i="53"/>
  <c r="F81" i="53" s="1"/>
  <c r="D19" i="53"/>
  <c r="D80" i="53"/>
  <c r="F80" i="53" s="1"/>
  <c r="D18" i="53"/>
  <c r="D79" i="53"/>
  <c r="F79" i="53" s="1"/>
  <c r="D17" i="53"/>
  <c r="D78" i="53"/>
  <c r="F78" i="53" s="1"/>
  <c r="D16" i="53"/>
  <c r="D77" i="53"/>
  <c r="F77" i="53" s="1"/>
  <c r="D15" i="53"/>
  <c r="D76" i="53"/>
  <c r="F76" i="53" s="1"/>
  <c r="D14" i="53"/>
  <c r="D75" i="53"/>
  <c r="F75" i="53" s="1"/>
  <c r="D13" i="53"/>
  <c r="D74" i="53"/>
  <c r="F74" i="53" s="1"/>
  <c r="D12" i="53"/>
  <c r="D73" i="53"/>
  <c r="F73" i="53" s="1"/>
  <c r="D11" i="53"/>
  <c r="D72" i="53"/>
  <c r="F72" i="53" s="1"/>
  <c r="D10" i="53"/>
  <c r="D71" i="53"/>
  <c r="F71" i="53" s="1"/>
  <c r="D9" i="53"/>
  <c r="D70" i="53"/>
  <c r="F70" i="53" s="1"/>
  <c r="D8" i="53"/>
  <c r="D69" i="53"/>
  <c r="F69" i="53" s="1"/>
  <c r="D7" i="53"/>
  <c r="D68" i="53"/>
  <c r="F68" i="53" s="1"/>
  <c r="D6" i="53"/>
  <c r="D67" i="53"/>
  <c r="F67" i="53" s="1"/>
  <c r="D64" i="53"/>
  <c r="D5" i="53"/>
  <c r="F52" i="53"/>
  <c r="F54" i="53"/>
  <c r="F56" i="53"/>
  <c r="F58" i="53"/>
  <c r="F60" i="53"/>
  <c r="F62" i="53"/>
  <c r="D32" i="50"/>
  <c r="D94" i="50"/>
  <c r="F94" i="50" s="1"/>
  <c r="D93" i="50"/>
  <c r="F93" i="50" s="1"/>
  <c r="D31" i="50"/>
  <c r="D30" i="50"/>
  <c r="D92" i="50"/>
  <c r="F92" i="50" s="1"/>
  <c r="D91" i="50"/>
  <c r="F91" i="50" s="1"/>
  <c r="D29" i="50"/>
  <c r="D28" i="50"/>
  <c r="D90" i="50"/>
  <c r="D89" i="50"/>
  <c r="F89" i="50" s="1"/>
  <c r="D27" i="50"/>
  <c r="D26" i="50"/>
  <c r="D88" i="50"/>
  <c r="F88" i="50" s="1"/>
  <c r="D87" i="50"/>
  <c r="F87" i="50" s="1"/>
  <c r="D25" i="50"/>
  <c r="D24" i="50"/>
  <c r="D86" i="50"/>
  <c r="F86" i="50" s="1"/>
  <c r="D85" i="50"/>
  <c r="F85" i="50" s="1"/>
  <c r="D23" i="50"/>
  <c r="D22" i="50"/>
  <c r="D84" i="50"/>
  <c r="F84" i="50" s="1"/>
  <c r="D83" i="50"/>
  <c r="F83" i="50" s="1"/>
  <c r="D21" i="50"/>
  <c r="D20" i="50"/>
  <c r="D82" i="50"/>
  <c r="F82" i="50" s="1"/>
  <c r="D81" i="50"/>
  <c r="F81" i="50" s="1"/>
  <c r="D19" i="50"/>
  <c r="D18" i="50"/>
  <c r="D80" i="50"/>
  <c r="F80" i="50" s="1"/>
  <c r="D79" i="50"/>
  <c r="F79" i="50" s="1"/>
  <c r="D17" i="50"/>
  <c r="D16" i="50"/>
  <c r="D78" i="50"/>
  <c r="F78" i="50" s="1"/>
  <c r="D77" i="50"/>
  <c r="F77" i="50" s="1"/>
  <c r="D15" i="50"/>
  <c r="D14" i="50"/>
  <c r="D76" i="50"/>
  <c r="F76" i="50" s="1"/>
  <c r="D75" i="50"/>
  <c r="F75" i="50" s="1"/>
  <c r="D13" i="50"/>
  <c r="D12" i="50"/>
  <c r="D74" i="50"/>
  <c r="D73" i="50"/>
  <c r="F73" i="50" s="1"/>
  <c r="D11" i="50"/>
  <c r="D10" i="50"/>
  <c r="D72" i="50"/>
  <c r="F72" i="50" s="1"/>
  <c r="D71" i="50"/>
  <c r="F71" i="50" s="1"/>
  <c r="D9" i="50"/>
  <c r="D8" i="50"/>
  <c r="D70" i="50"/>
  <c r="F70" i="50" s="1"/>
  <c r="D69" i="50"/>
  <c r="F69" i="50" s="1"/>
  <c r="D7" i="50"/>
  <c r="D6" i="50"/>
  <c r="D68" i="50"/>
  <c r="F68" i="50" s="1"/>
  <c r="D67" i="50"/>
  <c r="D64" i="50"/>
  <c r="D5" i="50"/>
  <c r="F64" i="50"/>
  <c r="F62" i="50"/>
  <c r="F60" i="50"/>
  <c r="F58" i="50"/>
  <c r="F56" i="50"/>
  <c r="F54" i="50"/>
  <c r="F52" i="50"/>
  <c r="F50" i="50"/>
  <c r="F48" i="50"/>
  <c r="F46" i="50"/>
  <c r="F44" i="50"/>
  <c r="F42" i="50"/>
  <c r="F40" i="50"/>
  <c r="F38" i="50"/>
  <c r="F36" i="50"/>
  <c r="F60" i="48"/>
  <c r="F56" i="48"/>
  <c r="F52" i="48"/>
  <c r="F61" i="50"/>
  <c r="F57" i="50"/>
  <c r="F53" i="50"/>
  <c r="F49" i="50"/>
  <c r="F45" i="50"/>
  <c r="F41" i="50"/>
  <c r="F37" i="50"/>
  <c r="F63" i="48"/>
  <c r="F59" i="48"/>
  <c r="F55" i="48"/>
  <c r="F51" i="48"/>
  <c r="F47" i="48"/>
  <c r="F43" i="48"/>
  <c r="D73" i="48"/>
  <c r="F73" i="48" s="1"/>
  <c r="D11" i="48"/>
  <c r="D72" i="48"/>
  <c r="F72" i="48" s="1"/>
  <c r="D10" i="48"/>
  <c r="D71" i="48"/>
  <c r="F71" i="48" s="1"/>
  <c r="D9" i="48"/>
  <c r="D70" i="48"/>
  <c r="F70" i="48" s="1"/>
  <c r="D8" i="48"/>
  <c r="D69" i="48"/>
  <c r="F69" i="48" s="1"/>
  <c r="D7" i="48"/>
  <c r="D68" i="48"/>
  <c r="F68" i="48" s="1"/>
  <c r="D6" i="48"/>
  <c r="D67" i="48"/>
  <c r="F67" i="48" s="1"/>
  <c r="D64" i="48"/>
  <c r="D5" i="48"/>
  <c r="E118" i="49"/>
  <c r="F42" i="48"/>
  <c r="F40" i="48"/>
  <c r="F38" i="48"/>
  <c r="E64" i="48"/>
  <c r="M16" i="63" s="1"/>
  <c r="E95" i="47"/>
  <c r="C109" i="47" s="1"/>
  <c r="F109" i="47" s="1"/>
  <c r="F63" i="47"/>
  <c r="F61" i="47"/>
  <c r="F59" i="47"/>
  <c r="F57" i="47"/>
  <c r="F55" i="47"/>
  <c r="F53" i="47"/>
  <c r="F51" i="47"/>
  <c r="F49" i="47"/>
  <c r="F47" i="47"/>
  <c r="F45" i="47"/>
  <c r="F43" i="47"/>
  <c r="D118" i="49"/>
  <c r="F41" i="48"/>
  <c r="F37" i="48"/>
  <c r="E105" i="47"/>
  <c r="D94" i="47"/>
  <c r="F94" i="47" s="1"/>
  <c r="D32" i="47"/>
  <c r="D93" i="47"/>
  <c r="F93" i="47" s="1"/>
  <c r="D31" i="47"/>
  <c r="D92" i="47"/>
  <c r="F92" i="47" s="1"/>
  <c r="D30" i="47"/>
  <c r="D91" i="47"/>
  <c r="F91" i="47" s="1"/>
  <c r="D29" i="47"/>
  <c r="D90" i="47"/>
  <c r="F90" i="47" s="1"/>
  <c r="D28" i="47"/>
  <c r="D89" i="47"/>
  <c r="F89" i="47" s="1"/>
  <c r="D27" i="47"/>
  <c r="D88" i="47"/>
  <c r="D26" i="47"/>
  <c r="D87" i="47"/>
  <c r="F87" i="47" s="1"/>
  <c r="D25" i="47"/>
  <c r="D86" i="47"/>
  <c r="F86" i="47" s="1"/>
  <c r="D24" i="47"/>
  <c r="D85" i="47"/>
  <c r="F85" i="47" s="1"/>
  <c r="D23" i="47"/>
  <c r="D84" i="47"/>
  <c r="F84" i="47" s="1"/>
  <c r="D22" i="47"/>
  <c r="D83" i="47"/>
  <c r="F83" i="47" s="1"/>
  <c r="D21" i="47"/>
  <c r="D82" i="47"/>
  <c r="F82" i="47" s="1"/>
  <c r="D20" i="47"/>
  <c r="D81" i="47"/>
  <c r="F81" i="47" s="1"/>
  <c r="D19" i="47"/>
  <c r="D80" i="47"/>
  <c r="F80" i="47" s="1"/>
  <c r="D18" i="47"/>
  <c r="D79" i="47"/>
  <c r="F79" i="47" s="1"/>
  <c r="D17" i="47"/>
  <c r="D78" i="47"/>
  <c r="F78" i="47" s="1"/>
  <c r="D16" i="47"/>
  <c r="D77" i="47"/>
  <c r="F77" i="47" s="1"/>
  <c r="D15" i="47"/>
  <c r="D76" i="47"/>
  <c r="F76" i="47" s="1"/>
  <c r="D14" i="47"/>
  <c r="D75" i="47"/>
  <c r="F75" i="47" s="1"/>
  <c r="D13" i="47"/>
  <c r="D74" i="47"/>
  <c r="F74" i="47" s="1"/>
  <c r="D12" i="47"/>
  <c r="D73" i="47"/>
  <c r="F73" i="47" s="1"/>
  <c r="D11" i="47"/>
  <c r="D72" i="47"/>
  <c r="F72" i="47" s="1"/>
  <c r="D10" i="47"/>
  <c r="D71" i="47"/>
  <c r="F71" i="47" s="1"/>
  <c r="D9" i="47"/>
  <c r="D70" i="47"/>
  <c r="F70" i="47" s="1"/>
  <c r="D8" i="47"/>
  <c r="D69" i="47"/>
  <c r="D7" i="47"/>
  <c r="D68" i="47"/>
  <c r="F68" i="47" s="1"/>
  <c r="D6" i="47"/>
  <c r="D67" i="47"/>
  <c r="D95" i="47" s="1"/>
  <c r="D105" i="47" s="1"/>
  <c r="D64" i="47"/>
  <c r="D5" i="47"/>
  <c r="D32" i="45"/>
  <c r="D94" i="45"/>
  <c r="D93" i="45"/>
  <c r="F93" i="45" s="1"/>
  <c r="D31" i="45"/>
  <c r="D30" i="45"/>
  <c r="D92" i="45"/>
  <c r="F92" i="45" s="1"/>
  <c r="D91" i="45"/>
  <c r="F91" i="45" s="1"/>
  <c r="D29" i="45"/>
  <c r="D28" i="45"/>
  <c r="D90" i="45"/>
  <c r="F90" i="45" s="1"/>
  <c r="D89" i="45"/>
  <c r="F89" i="45" s="1"/>
  <c r="D27" i="45"/>
  <c r="D26" i="45"/>
  <c r="D88" i="45"/>
  <c r="F88" i="45" s="1"/>
  <c r="D87" i="45"/>
  <c r="F87" i="45" s="1"/>
  <c r="D25" i="45"/>
  <c r="D24" i="45"/>
  <c r="D86" i="45"/>
  <c r="F86" i="45" s="1"/>
  <c r="D85" i="45"/>
  <c r="F85" i="45" s="1"/>
  <c r="D23" i="45"/>
  <c r="D22" i="45"/>
  <c r="D84" i="45"/>
  <c r="F84" i="45" s="1"/>
  <c r="D83" i="45"/>
  <c r="F83" i="45" s="1"/>
  <c r="D21" i="45"/>
  <c r="D20" i="45"/>
  <c r="D82" i="45"/>
  <c r="F82" i="45" s="1"/>
  <c r="D81" i="45"/>
  <c r="F81" i="45" s="1"/>
  <c r="D19" i="45"/>
  <c r="D18" i="45"/>
  <c r="D80" i="45"/>
  <c r="F80" i="45" s="1"/>
  <c r="D79" i="45"/>
  <c r="F79" i="45" s="1"/>
  <c r="D17" i="45"/>
  <c r="D16" i="45"/>
  <c r="D78" i="45"/>
  <c r="D77" i="45"/>
  <c r="F77" i="45" s="1"/>
  <c r="D15" i="45"/>
  <c r="D14" i="45"/>
  <c r="D76" i="45"/>
  <c r="F76" i="45" s="1"/>
  <c r="D75" i="45"/>
  <c r="F75" i="45" s="1"/>
  <c r="D13" i="45"/>
  <c r="D12" i="45"/>
  <c r="D74" i="45"/>
  <c r="F74" i="45" s="1"/>
  <c r="D73" i="45"/>
  <c r="F73" i="45" s="1"/>
  <c r="D11" i="45"/>
  <c r="D10" i="45"/>
  <c r="D72" i="45"/>
  <c r="F72" i="45" s="1"/>
  <c r="D71" i="45"/>
  <c r="F71" i="45" s="1"/>
  <c r="D9" i="45"/>
  <c r="D8" i="45"/>
  <c r="D70" i="45"/>
  <c r="F70" i="45" s="1"/>
  <c r="D69" i="45"/>
  <c r="F69" i="45" s="1"/>
  <c r="D7" i="45"/>
  <c r="D6" i="45"/>
  <c r="D68" i="45"/>
  <c r="F68" i="45" s="1"/>
  <c r="D67" i="45"/>
  <c r="D64" i="45"/>
  <c r="D5" i="45"/>
  <c r="F36" i="47"/>
  <c r="F62" i="45"/>
  <c r="F60" i="45"/>
  <c r="F58" i="45"/>
  <c r="F56" i="45"/>
  <c r="F54" i="45"/>
  <c r="F52" i="45"/>
  <c r="F50" i="45"/>
  <c r="F48" i="45"/>
  <c r="F46" i="45"/>
  <c r="F44" i="45"/>
  <c r="F42" i="45"/>
  <c r="F40" i="45"/>
  <c r="F38" i="45"/>
  <c r="F36" i="45"/>
  <c r="E95" i="44"/>
  <c r="C109" i="44" s="1"/>
  <c r="F109" i="44" s="1"/>
  <c r="F60" i="44"/>
  <c r="F58" i="44"/>
  <c r="F56" i="44"/>
  <c r="F54" i="44"/>
  <c r="F52" i="44"/>
  <c r="F50" i="44"/>
  <c r="F48" i="44"/>
  <c r="F46" i="44"/>
  <c r="F44" i="44"/>
  <c r="F42" i="44"/>
  <c r="F40" i="44"/>
  <c r="F38" i="44"/>
  <c r="D118" i="44"/>
  <c r="E64" i="44"/>
  <c r="M20" i="63" s="1"/>
  <c r="F36" i="44"/>
  <c r="E105" i="43"/>
  <c r="E95" i="43"/>
  <c r="C109" i="43" s="1"/>
  <c r="F109" i="43" s="1"/>
  <c r="F63" i="43"/>
  <c r="F61" i="43"/>
  <c r="F59" i="43"/>
  <c r="F57" i="43"/>
  <c r="F55" i="43"/>
  <c r="F53" i="43"/>
  <c r="F51" i="43"/>
  <c r="F49" i="43"/>
  <c r="F47" i="43"/>
  <c r="F45" i="43"/>
  <c r="F43" i="43"/>
  <c r="F41" i="43"/>
  <c r="F39" i="43"/>
  <c r="F37" i="43"/>
  <c r="F62" i="42"/>
  <c r="F60" i="42"/>
  <c r="F58" i="42"/>
  <c r="F56" i="42"/>
  <c r="F54" i="42"/>
  <c r="F52" i="42"/>
  <c r="F50" i="42"/>
  <c r="F48" i="42"/>
  <c r="F46" i="42"/>
  <c r="F44" i="42"/>
  <c r="F42" i="42"/>
  <c r="F40" i="42"/>
  <c r="F38" i="42"/>
  <c r="D118" i="42"/>
  <c r="E64" i="42"/>
  <c r="M22" i="63" s="1"/>
  <c r="F36" i="42"/>
  <c r="E105" i="41"/>
  <c r="E95" i="41"/>
  <c r="C109" i="41" s="1"/>
  <c r="F109" i="41" s="1"/>
  <c r="F63" i="41"/>
  <c r="F61" i="41"/>
  <c r="F59" i="41"/>
  <c r="F57" i="41"/>
  <c r="F55" i="41"/>
  <c r="F53" i="41"/>
  <c r="F51" i="41"/>
  <c r="F49" i="41"/>
  <c r="F47" i="41"/>
  <c r="F45" i="41"/>
  <c r="F43" i="41"/>
  <c r="F41" i="41"/>
  <c r="F39" i="41"/>
  <c r="F37" i="41"/>
  <c r="F62" i="40"/>
  <c r="F60" i="40"/>
  <c r="F58" i="40"/>
  <c r="F56" i="40"/>
  <c r="F54" i="40"/>
  <c r="F52" i="40"/>
  <c r="F50" i="40"/>
  <c r="F48" i="40"/>
  <c r="F46" i="40"/>
  <c r="F44" i="40"/>
  <c r="F42" i="40"/>
  <c r="F40" i="40"/>
  <c r="F38" i="40"/>
  <c r="D118" i="40"/>
  <c r="E64" i="40"/>
  <c r="M24" i="63" s="1"/>
  <c r="F36" i="40"/>
  <c r="E105" i="39"/>
  <c r="E95" i="39"/>
  <c r="C109" i="39" s="1"/>
  <c r="F109" i="39" s="1"/>
  <c r="F63" i="39"/>
  <c r="F61" i="39"/>
  <c r="F59" i="39"/>
  <c r="F57" i="39"/>
  <c r="F55" i="39"/>
  <c r="F53" i="39"/>
  <c r="F51" i="39"/>
  <c r="F49" i="39"/>
  <c r="F47" i="39"/>
  <c r="F45" i="39"/>
  <c r="F43" i="39"/>
  <c r="F41" i="39"/>
  <c r="F39" i="39"/>
  <c r="F37" i="39"/>
  <c r="F41" i="47"/>
  <c r="F37" i="47"/>
  <c r="F61" i="45"/>
  <c r="F57" i="45"/>
  <c r="F53" i="45"/>
  <c r="F49" i="45"/>
  <c r="F45" i="45"/>
  <c r="F41" i="45"/>
  <c r="F37" i="45"/>
  <c r="E105" i="44"/>
  <c r="F62" i="44"/>
  <c r="D92" i="44"/>
  <c r="F92" i="44" s="1"/>
  <c r="D30" i="44"/>
  <c r="D91" i="44"/>
  <c r="F91" i="44" s="1"/>
  <c r="D29" i="44"/>
  <c r="D90" i="44"/>
  <c r="F90" i="44" s="1"/>
  <c r="D28" i="44"/>
  <c r="D89" i="44"/>
  <c r="F89" i="44" s="1"/>
  <c r="D27" i="44"/>
  <c r="D88" i="44"/>
  <c r="F88" i="44" s="1"/>
  <c r="D26" i="44"/>
  <c r="D87" i="44"/>
  <c r="F87" i="44" s="1"/>
  <c r="D25" i="44"/>
  <c r="D86" i="44"/>
  <c r="F86" i="44" s="1"/>
  <c r="D24" i="44"/>
  <c r="D85" i="44"/>
  <c r="F85" i="44" s="1"/>
  <c r="D23" i="44"/>
  <c r="D84" i="44"/>
  <c r="F84" i="44" s="1"/>
  <c r="D22" i="44"/>
  <c r="D83" i="44"/>
  <c r="F83" i="44" s="1"/>
  <c r="D21" i="44"/>
  <c r="D82" i="44"/>
  <c r="F82" i="44" s="1"/>
  <c r="D20" i="44"/>
  <c r="D81" i="44"/>
  <c r="F81" i="44" s="1"/>
  <c r="D19" i="44"/>
  <c r="D80" i="44"/>
  <c r="D18" i="44"/>
  <c r="D79" i="44"/>
  <c r="F79" i="44" s="1"/>
  <c r="D17" i="44"/>
  <c r="D78" i="44"/>
  <c r="F78" i="44" s="1"/>
  <c r="D16" i="44"/>
  <c r="D77" i="44"/>
  <c r="F77" i="44" s="1"/>
  <c r="D15" i="44"/>
  <c r="D76" i="44"/>
  <c r="F76" i="44" s="1"/>
  <c r="D14" i="44"/>
  <c r="D75" i="44"/>
  <c r="F75" i="44" s="1"/>
  <c r="D13" i="44"/>
  <c r="D74" i="44"/>
  <c r="F74" i="44" s="1"/>
  <c r="D12" i="44"/>
  <c r="D73" i="44"/>
  <c r="F73" i="44" s="1"/>
  <c r="D11" i="44"/>
  <c r="D72" i="44"/>
  <c r="F72" i="44" s="1"/>
  <c r="D10" i="44"/>
  <c r="D71" i="44"/>
  <c r="D9" i="44"/>
  <c r="D70" i="44"/>
  <c r="F70" i="44" s="1"/>
  <c r="D8" i="44"/>
  <c r="D69" i="44"/>
  <c r="D7" i="44"/>
  <c r="D68" i="44"/>
  <c r="F68" i="44" s="1"/>
  <c r="D6" i="44"/>
  <c r="D67" i="44"/>
  <c r="D64" i="44"/>
  <c r="D5" i="44"/>
  <c r="D94" i="43"/>
  <c r="F94" i="43" s="1"/>
  <c r="D32" i="43"/>
  <c r="D31" i="43"/>
  <c r="D93" i="43"/>
  <c r="D92" i="43"/>
  <c r="F92" i="43" s="1"/>
  <c r="D30" i="43"/>
  <c r="D29" i="43"/>
  <c r="D91" i="43"/>
  <c r="F91" i="43" s="1"/>
  <c r="D90" i="43"/>
  <c r="F90" i="43" s="1"/>
  <c r="D28" i="43"/>
  <c r="D27" i="43"/>
  <c r="D89" i="43"/>
  <c r="F89" i="43" s="1"/>
  <c r="D88" i="43"/>
  <c r="F88" i="43" s="1"/>
  <c r="D26" i="43"/>
  <c r="D25" i="43"/>
  <c r="D87" i="43"/>
  <c r="F87" i="43" s="1"/>
  <c r="D86" i="43"/>
  <c r="D24" i="43"/>
  <c r="D23" i="43"/>
  <c r="D85" i="43"/>
  <c r="F85" i="43" s="1"/>
  <c r="D84" i="43"/>
  <c r="F84" i="43" s="1"/>
  <c r="D22" i="43"/>
  <c r="D21" i="43"/>
  <c r="D83" i="43"/>
  <c r="F83" i="43" s="1"/>
  <c r="D82" i="43"/>
  <c r="F82" i="43" s="1"/>
  <c r="D20" i="43"/>
  <c r="D19" i="43"/>
  <c r="D81" i="43"/>
  <c r="F81" i="43" s="1"/>
  <c r="D80" i="43"/>
  <c r="F80" i="43" s="1"/>
  <c r="D18" i="43"/>
  <c r="D17" i="43"/>
  <c r="D79" i="43"/>
  <c r="F79" i="43" s="1"/>
  <c r="D78" i="43"/>
  <c r="F78" i="43" s="1"/>
  <c r="D16" i="43"/>
  <c r="D15" i="43"/>
  <c r="D77" i="43"/>
  <c r="D76" i="43"/>
  <c r="F76" i="43" s="1"/>
  <c r="D14" i="43"/>
  <c r="D13" i="43"/>
  <c r="D75" i="43"/>
  <c r="F75" i="43" s="1"/>
  <c r="D74" i="43"/>
  <c r="F74" i="43" s="1"/>
  <c r="D12" i="43"/>
  <c r="D11" i="43"/>
  <c r="D73" i="43"/>
  <c r="F73" i="43" s="1"/>
  <c r="D72" i="43"/>
  <c r="F72" i="43" s="1"/>
  <c r="D10" i="43"/>
  <c r="D9" i="43"/>
  <c r="D71" i="43"/>
  <c r="F71" i="43" s="1"/>
  <c r="D70" i="43"/>
  <c r="F70" i="43" s="1"/>
  <c r="D8" i="43"/>
  <c r="D7" i="43"/>
  <c r="D69" i="43"/>
  <c r="F69" i="43" s="1"/>
  <c r="D68" i="43"/>
  <c r="F68" i="43" s="1"/>
  <c r="D6" i="43"/>
  <c r="D5" i="43"/>
  <c r="D67" i="43"/>
  <c r="D64" i="43"/>
  <c r="D94" i="42"/>
  <c r="D32" i="42"/>
  <c r="D31" i="42"/>
  <c r="D93" i="42"/>
  <c r="F93" i="42" s="1"/>
  <c r="D92" i="42"/>
  <c r="F92" i="42" s="1"/>
  <c r="D30" i="42"/>
  <c r="D29" i="42"/>
  <c r="D91" i="42"/>
  <c r="F91" i="42" s="1"/>
  <c r="D90" i="42"/>
  <c r="F90" i="42" s="1"/>
  <c r="D28" i="42"/>
  <c r="D27" i="42"/>
  <c r="D89" i="42"/>
  <c r="F89" i="42" s="1"/>
  <c r="D88" i="42"/>
  <c r="F88" i="42" s="1"/>
  <c r="D26" i="42"/>
  <c r="D25" i="42"/>
  <c r="D87" i="42"/>
  <c r="F87" i="42" s="1"/>
  <c r="D86" i="42"/>
  <c r="F86" i="42" s="1"/>
  <c r="D24" i="42"/>
  <c r="D23" i="42"/>
  <c r="D85" i="42"/>
  <c r="F85" i="42" s="1"/>
  <c r="D84" i="42"/>
  <c r="F84" i="42" s="1"/>
  <c r="D22" i="42"/>
  <c r="D21" i="42"/>
  <c r="D83" i="42"/>
  <c r="F83" i="42" s="1"/>
  <c r="D82" i="42"/>
  <c r="F82" i="42" s="1"/>
  <c r="D20" i="42"/>
  <c r="D19" i="42"/>
  <c r="D81" i="42"/>
  <c r="F81" i="42" s="1"/>
  <c r="D80" i="42"/>
  <c r="F80" i="42" s="1"/>
  <c r="D18" i="42"/>
  <c r="D17" i="42"/>
  <c r="D79" i="42"/>
  <c r="F79" i="42" s="1"/>
  <c r="D78" i="42"/>
  <c r="D16" i="42"/>
  <c r="D15" i="42"/>
  <c r="D77" i="42"/>
  <c r="F77" i="42" s="1"/>
  <c r="D76" i="42"/>
  <c r="F76" i="42" s="1"/>
  <c r="D14" i="42"/>
  <c r="D13" i="42"/>
  <c r="D75" i="42"/>
  <c r="D74" i="42"/>
  <c r="F74" i="42" s="1"/>
  <c r="D12" i="42"/>
  <c r="D11" i="42"/>
  <c r="D73" i="42"/>
  <c r="F73" i="42" s="1"/>
  <c r="D72" i="42"/>
  <c r="F72" i="42" s="1"/>
  <c r="D10" i="42"/>
  <c r="D9" i="42"/>
  <c r="D71" i="42"/>
  <c r="F71" i="42" s="1"/>
  <c r="D70" i="42"/>
  <c r="F70" i="42" s="1"/>
  <c r="D8" i="42"/>
  <c r="D7" i="42"/>
  <c r="D69" i="42"/>
  <c r="F69" i="42" s="1"/>
  <c r="D68" i="42"/>
  <c r="F68" i="42" s="1"/>
  <c r="D6" i="42"/>
  <c r="D5" i="42"/>
  <c r="D67" i="42"/>
  <c r="F67" i="42" s="1"/>
  <c r="D64" i="42"/>
  <c r="D94" i="41"/>
  <c r="F94" i="41" s="1"/>
  <c r="D32" i="41"/>
  <c r="D31" i="41"/>
  <c r="D93" i="41"/>
  <c r="F93" i="41" s="1"/>
  <c r="D92" i="41"/>
  <c r="F92" i="41" s="1"/>
  <c r="D30" i="41"/>
  <c r="D29" i="41"/>
  <c r="D91" i="41"/>
  <c r="F91" i="41" s="1"/>
  <c r="D90" i="41"/>
  <c r="F90" i="41" s="1"/>
  <c r="D28" i="41"/>
  <c r="D27" i="41"/>
  <c r="D89" i="41"/>
  <c r="D88" i="41"/>
  <c r="F88" i="41" s="1"/>
  <c r="D26" i="41"/>
  <c r="D25" i="41"/>
  <c r="D87" i="41"/>
  <c r="F87" i="41" s="1"/>
  <c r="D86" i="41"/>
  <c r="D24" i="41"/>
  <c r="D23" i="41"/>
  <c r="D85" i="41"/>
  <c r="F85" i="41" s="1"/>
  <c r="D84" i="41"/>
  <c r="F84" i="41" s="1"/>
  <c r="D22" i="41"/>
  <c r="D21" i="41"/>
  <c r="D83" i="41"/>
  <c r="F83" i="41" s="1"/>
  <c r="D82" i="41"/>
  <c r="F82" i="41" s="1"/>
  <c r="D20" i="41"/>
  <c r="D19" i="41"/>
  <c r="D81" i="41"/>
  <c r="F81" i="41" s="1"/>
  <c r="D80" i="41"/>
  <c r="F80" i="41" s="1"/>
  <c r="D18" i="41"/>
  <c r="D17" i="41"/>
  <c r="D79" i="41"/>
  <c r="F79" i="41" s="1"/>
  <c r="D78" i="41"/>
  <c r="F78" i="41" s="1"/>
  <c r="D16" i="41"/>
  <c r="D15" i="41"/>
  <c r="D77" i="41"/>
  <c r="F77" i="41" s="1"/>
  <c r="D76" i="41"/>
  <c r="F76" i="41" s="1"/>
  <c r="D14" i="41"/>
  <c r="D13" i="41"/>
  <c r="D75" i="41"/>
  <c r="F75" i="41" s="1"/>
  <c r="D74" i="41"/>
  <c r="F74" i="41" s="1"/>
  <c r="D12" i="41"/>
  <c r="D11" i="41"/>
  <c r="D73" i="41"/>
  <c r="D72" i="41"/>
  <c r="F72" i="41" s="1"/>
  <c r="D10" i="41"/>
  <c r="D9" i="41"/>
  <c r="D71" i="41"/>
  <c r="F71" i="41" s="1"/>
  <c r="D70" i="41"/>
  <c r="F70" i="41" s="1"/>
  <c r="D8" i="41"/>
  <c r="D7" i="41"/>
  <c r="D69" i="41"/>
  <c r="F69" i="41" s="1"/>
  <c r="D68" i="41"/>
  <c r="F68" i="41" s="1"/>
  <c r="D6" i="41"/>
  <c r="D5" i="41"/>
  <c r="D67" i="41"/>
  <c r="D64" i="41"/>
  <c r="D94" i="40"/>
  <c r="F94" i="40" s="1"/>
  <c r="D32" i="40"/>
  <c r="D31" i="40"/>
  <c r="D93" i="40"/>
  <c r="F93" i="40" s="1"/>
  <c r="D92" i="40"/>
  <c r="F92" i="40" s="1"/>
  <c r="D30" i="40"/>
  <c r="D29" i="40"/>
  <c r="D91" i="40"/>
  <c r="F91" i="40" s="1"/>
  <c r="D90" i="40"/>
  <c r="D28" i="40"/>
  <c r="D27" i="40"/>
  <c r="D89" i="40"/>
  <c r="F89" i="40" s="1"/>
  <c r="D88" i="40"/>
  <c r="F88" i="40" s="1"/>
  <c r="D26" i="40"/>
  <c r="D25" i="40"/>
  <c r="D87" i="40"/>
  <c r="D86" i="40"/>
  <c r="F86" i="40" s="1"/>
  <c r="D24" i="40"/>
  <c r="D23" i="40"/>
  <c r="D85" i="40"/>
  <c r="F85" i="40" s="1"/>
  <c r="D84" i="40"/>
  <c r="F84" i="40" s="1"/>
  <c r="D22" i="40"/>
  <c r="D21" i="40"/>
  <c r="D83" i="40"/>
  <c r="F83" i="40" s="1"/>
  <c r="D82" i="40"/>
  <c r="F82" i="40" s="1"/>
  <c r="D20" i="40"/>
  <c r="D19" i="40"/>
  <c r="D81" i="40"/>
  <c r="F81" i="40" s="1"/>
  <c r="D80" i="40"/>
  <c r="F80" i="40" s="1"/>
  <c r="D18" i="40"/>
  <c r="D17" i="40"/>
  <c r="D79" i="40"/>
  <c r="F79" i="40" s="1"/>
  <c r="D78" i="40"/>
  <c r="F78" i="40" s="1"/>
  <c r="D16" i="40"/>
  <c r="D15" i="40"/>
  <c r="D77" i="40"/>
  <c r="F77" i="40" s="1"/>
  <c r="D76" i="40"/>
  <c r="F76" i="40" s="1"/>
  <c r="D14" i="40"/>
  <c r="D13" i="40"/>
  <c r="D75" i="40"/>
  <c r="F75" i="40" s="1"/>
  <c r="D74" i="40"/>
  <c r="D12" i="40"/>
  <c r="D11" i="40"/>
  <c r="D73" i="40"/>
  <c r="F73" i="40" s="1"/>
  <c r="D72" i="40"/>
  <c r="F72" i="40" s="1"/>
  <c r="D10" i="40"/>
  <c r="D9" i="40"/>
  <c r="D71" i="40"/>
  <c r="F71" i="40" s="1"/>
  <c r="D70" i="40"/>
  <c r="F70" i="40" s="1"/>
  <c r="D8" i="40"/>
  <c r="D7" i="40"/>
  <c r="D69" i="40"/>
  <c r="F69" i="40" s="1"/>
  <c r="D68" i="40"/>
  <c r="F68" i="40" s="1"/>
  <c r="D6" i="40"/>
  <c r="D5" i="40"/>
  <c r="D67" i="40"/>
  <c r="F67" i="40" s="1"/>
  <c r="D64" i="40"/>
  <c r="D94" i="39"/>
  <c r="F94" i="39" s="1"/>
  <c r="D32" i="39"/>
  <c r="D31" i="39"/>
  <c r="D93" i="39"/>
  <c r="F93" i="39" s="1"/>
  <c r="D92" i="39"/>
  <c r="F92" i="39" s="1"/>
  <c r="D30" i="39"/>
  <c r="D29" i="39"/>
  <c r="D91" i="39"/>
  <c r="F91" i="39" s="1"/>
  <c r="D90" i="39"/>
  <c r="F90" i="39" s="1"/>
  <c r="D28" i="39"/>
  <c r="D27" i="39"/>
  <c r="D89" i="39"/>
  <c r="D88" i="39"/>
  <c r="F88" i="39" s="1"/>
  <c r="D26" i="39"/>
  <c r="D25" i="39"/>
  <c r="D87" i="39"/>
  <c r="F87" i="39" s="1"/>
  <c r="D86" i="39"/>
  <c r="D24" i="39"/>
  <c r="D23" i="39"/>
  <c r="D85" i="39"/>
  <c r="F85" i="39" s="1"/>
  <c r="D84" i="39"/>
  <c r="F84" i="39" s="1"/>
  <c r="D22" i="39"/>
  <c r="D21" i="39"/>
  <c r="D83" i="39"/>
  <c r="F83" i="39" s="1"/>
  <c r="D82" i="39"/>
  <c r="F82" i="39" s="1"/>
  <c r="D20" i="39"/>
  <c r="D19" i="39"/>
  <c r="D81" i="39"/>
  <c r="F81" i="39" s="1"/>
  <c r="D80" i="39"/>
  <c r="F80" i="39" s="1"/>
  <c r="D18" i="39"/>
  <c r="D17" i="39"/>
  <c r="D79" i="39"/>
  <c r="F79" i="39" s="1"/>
  <c r="D78" i="39"/>
  <c r="F78" i="39" s="1"/>
  <c r="D16" i="39"/>
  <c r="D15" i="39"/>
  <c r="D77" i="39"/>
  <c r="F77" i="39" s="1"/>
  <c r="D76" i="39"/>
  <c r="F76" i="39" s="1"/>
  <c r="D14" i="39"/>
  <c r="D13" i="39"/>
  <c r="D75" i="39"/>
  <c r="F75" i="39" s="1"/>
  <c r="D74" i="39"/>
  <c r="F74" i="39" s="1"/>
  <c r="D12" i="39"/>
  <c r="D11" i="39"/>
  <c r="D73" i="39"/>
  <c r="D72" i="39"/>
  <c r="F72" i="39" s="1"/>
  <c r="D10" i="39"/>
  <c r="D9" i="39"/>
  <c r="D71" i="39"/>
  <c r="F71" i="39" s="1"/>
  <c r="D70" i="39"/>
  <c r="F70" i="39" s="1"/>
  <c r="D8" i="39"/>
  <c r="D7" i="39"/>
  <c r="D69" i="39"/>
  <c r="F69" i="39" s="1"/>
  <c r="D68" i="39"/>
  <c r="F68" i="39" s="1"/>
  <c r="D6" i="39"/>
  <c r="D5" i="39"/>
  <c r="D67" i="39"/>
  <c r="D64" i="39"/>
  <c r="E95" i="38"/>
  <c r="C109" i="38" s="1"/>
  <c r="F109" i="38" s="1"/>
  <c r="F63" i="38"/>
  <c r="F61" i="38"/>
  <c r="F59" i="38"/>
  <c r="F57" i="38"/>
  <c r="F55" i="38"/>
  <c r="D94" i="38"/>
  <c r="F94" i="38" s="1"/>
  <c r="D32" i="38"/>
  <c r="D93" i="38"/>
  <c r="F93" i="38" s="1"/>
  <c r="D31" i="38"/>
  <c r="D92" i="38"/>
  <c r="F92" i="38" s="1"/>
  <c r="D30" i="38"/>
  <c r="D91" i="38"/>
  <c r="F91" i="38" s="1"/>
  <c r="D29" i="38"/>
  <c r="D90" i="38"/>
  <c r="F90" i="38" s="1"/>
  <c r="D28" i="38"/>
  <c r="D89" i="38"/>
  <c r="F89" i="38" s="1"/>
  <c r="D27" i="38"/>
  <c r="D88" i="38"/>
  <c r="F88" i="38" s="1"/>
  <c r="D26" i="38"/>
  <c r="D87" i="38"/>
  <c r="F87" i="38" s="1"/>
  <c r="D25" i="38"/>
  <c r="D86" i="38"/>
  <c r="F86" i="38" s="1"/>
  <c r="D24" i="38"/>
  <c r="D85" i="38"/>
  <c r="F85" i="38" s="1"/>
  <c r="D23" i="38"/>
  <c r="D84" i="38"/>
  <c r="D22" i="38"/>
  <c r="D83" i="38"/>
  <c r="D21" i="38"/>
  <c r="D82" i="38"/>
  <c r="F82" i="38" s="1"/>
  <c r="D20" i="38"/>
  <c r="D81" i="38"/>
  <c r="F81" i="38" s="1"/>
  <c r="D19" i="38"/>
  <c r="D80" i="38"/>
  <c r="F80" i="38" s="1"/>
  <c r="D18" i="38"/>
  <c r="D79" i="38"/>
  <c r="F79" i="38" s="1"/>
  <c r="D17" i="38"/>
  <c r="D78" i="38"/>
  <c r="F78" i="38" s="1"/>
  <c r="D16" i="38"/>
  <c r="D77" i="38"/>
  <c r="F77" i="38" s="1"/>
  <c r="D15" i="38"/>
  <c r="D76" i="38"/>
  <c r="F76" i="38" s="1"/>
  <c r="D14" i="38"/>
  <c r="D75" i="38"/>
  <c r="F75" i="38" s="1"/>
  <c r="D13" i="38"/>
  <c r="D74" i="38"/>
  <c r="F74" i="38" s="1"/>
  <c r="D12" i="38"/>
  <c r="D73" i="38"/>
  <c r="F73" i="38" s="1"/>
  <c r="D11" i="38"/>
  <c r="D72" i="38"/>
  <c r="F72" i="38" s="1"/>
  <c r="D10" i="38"/>
  <c r="D71" i="38"/>
  <c r="F71" i="38" s="1"/>
  <c r="D9" i="38"/>
  <c r="D70" i="38"/>
  <c r="F70" i="38" s="1"/>
  <c r="D8" i="38"/>
  <c r="D69" i="38"/>
  <c r="D7" i="38"/>
  <c r="D68" i="38"/>
  <c r="F68" i="38" s="1"/>
  <c r="D6" i="38"/>
  <c r="D67" i="38"/>
  <c r="D95" i="38" s="1"/>
  <c r="D105" i="38" s="1"/>
  <c r="D64" i="38"/>
  <c r="D5" i="38"/>
  <c r="D32" i="37"/>
  <c r="D94" i="37"/>
  <c r="F94" i="37" s="1"/>
  <c r="D93" i="37"/>
  <c r="F93" i="37" s="1"/>
  <c r="D31" i="37"/>
  <c r="D30" i="37"/>
  <c r="D92" i="37"/>
  <c r="F92" i="37" s="1"/>
  <c r="D91" i="37"/>
  <c r="F91" i="37" s="1"/>
  <c r="D29" i="37"/>
  <c r="D28" i="37"/>
  <c r="D90" i="37"/>
  <c r="D89" i="37"/>
  <c r="F89" i="37" s="1"/>
  <c r="D27" i="37"/>
  <c r="D26" i="37"/>
  <c r="D88" i="37"/>
  <c r="F88" i="37" s="1"/>
  <c r="D87" i="37"/>
  <c r="F87" i="37" s="1"/>
  <c r="D25" i="37"/>
  <c r="D24" i="37"/>
  <c r="D86" i="37"/>
  <c r="F86" i="37" s="1"/>
  <c r="D85" i="37"/>
  <c r="F85" i="37" s="1"/>
  <c r="D23" i="37"/>
  <c r="D22" i="37"/>
  <c r="D84" i="37"/>
  <c r="F84" i="37" s="1"/>
  <c r="D83" i="37"/>
  <c r="F83" i="37" s="1"/>
  <c r="D21" i="37"/>
  <c r="D20" i="37"/>
  <c r="D82" i="37"/>
  <c r="F82" i="37" s="1"/>
  <c r="D81" i="37"/>
  <c r="F81" i="37" s="1"/>
  <c r="D19" i="37"/>
  <c r="D18" i="37"/>
  <c r="D80" i="37"/>
  <c r="F80" i="37" s="1"/>
  <c r="D79" i="37"/>
  <c r="F79" i="37" s="1"/>
  <c r="D17" i="37"/>
  <c r="D16" i="37"/>
  <c r="D78" i="37"/>
  <c r="F78" i="37" s="1"/>
  <c r="D77" i="37"/>
  <c r="F77" i="37" s="1"/>
  <c r="D15" i="37"/>
  <c r="D14" i="37"/>
  <c r="D76" i="37"/>
  <c r="F76" i="37" s="1"/>
  <c r="D75" i="37"/>
  <c r="F75" i="37" s="1"/>
  <c r="D13" i="37"/>
  <c r="D12" i="37"/>
  <c r="D74" i="37"/>
  <c r="D73" i="37"/>
  <c r="F73" i="37" s="1"/>
  <c r="D11" i="37"/>
  <c r="D10" i="37"/>
  <c r="D72" i="37"/>
  <c r="F72" i="37" s="1"/>
  <c r="D71" i="37"/>
  <c r="F71" i="37" s="1"/>
  <c r="D9" i="37"/>
  <c r="D8" i="37"/>
  <c r="D70" i="37"/>
  <c r="F70" i="37" s="1"/>
  <c r="D69" i="37"/>
  <c r="F69" i="37" s="1"/>
  <c r="D7" i="37"/>
  <c r="D6" i="37"/>
  <c r="D68" i="37"/>
  <c r="F68" i="37" s="1"/>
  <c r="D67" i="37"/>
  <c r="D64" i="37"/>
  <c r="D5" i="37"/>
  <c r="D32" i="35"/>
  <c r="D94" i="35"/>
  <c r="F94" i="35" s="1"/>
  <c r="D93" i="35"/>
  <c r="F93" i="35" s="1"/>
  <c r="D31" i="35"/>
  <c r="D30" i="35"/>
  <c r="D92" i="35"/>
  <c r="F92" i="35" s="1"/>
  <c r="D91" i="35"/>
  <c r="F91" i="35" s="1"/>
  <c r="D29" i="35"/>
  <c r="D28" i="35"/>
  <c r="D90" i="35"/>
  <c r="F90" i="35" s="1"/>
  <c r="D89" i="35"/>
  <c r="F89" i="35" s="1"/>
  <c r="D27" i="35"/>
  <c r="D26" i="35"/>
  <c r="D88" i="35"/>
  <c r="F88" i="35" s="1"/>
  <c r="D87" i="35"/>
  <c r="F87" i="35" s="1"/>
  <c r="D25" i="35"/>
  <c r="D24" i="35"/>
  <c r="D86" i="35"/>
  <c r="D85" i="35"/>
  <c r="F85" i="35" s="1"/>
  <c r="D23" i="35"/>
  <c r="D22" i="35"/>
  <c r="D84" i="35"/>
  <c r="F84" i="35" s="1"/>
  <c r="D83" i="35"/>
  <c r="F83" i="35" s="1"/>
  <c r="D21" i="35"/>
  <c r="D20" i="35"/>
  <c r="D82" i="35"/>
  <c r="F82" i="35" s="1"/>
  <c r="D81" i="35"/>
  <c r="F81" i="35" s="1"/>
  <c r="D19" i="35"/>
  <c r="D18" i="35"/>
  <c r="D80" i="35"/>
  <c r="F80" i="35" s="1"/>
  <c r="D79" i="35"/>
  <c r="F79" i="35" s="1"/>
  <c r="D17" i="35"/>
  <c r="D16" i="35"/>
  <c r="D78" i="35"/>
  <c r="F78" i="35" s="1"/>
  <c r="D77" i="35"/>
  <c r="F77" i="35" s="1"/>
  <c r="D15" i="35"/>
  <c r="D14" i="35"/>
  <c r="D76" i="35"/>
  <c r="F76" i="35" s="1"/>
  <c r="D75" i="35"/>
  <c r="F75" i="35" s="1"/>
  <c r="D13" i="35"/>
  <c r="D12" i="35"/>
  <c r="D74" i="35"/>
  <c r="F74" i="35" s="1"/>
  <c r="D73" i="35"/>
  <c r="F73" i="35" s="1"/>
  <c r="D11" i="35"/>
  <c r="D10" i="35"/>
  <c r="D72" i="35"/>
  <c r="F72" i="35" s="1"/>
  <c r="D71" i="35"/>
  <c r="F71" i="35" s="1"/>
  <c r="D9" i="35"/>
  <c r="D8" i="35"/>
  <c r="D70" i="35"/>
  <c r="F70" i="35" s="1"/>
  <c r="D69" i="35"/>
  <c r="F69" i="35" s="1"/>
  <c r="D7" i="35"/>
  <c r="D6" i="35"/>
  <c r="D68" i="35"/>
  <c r="F68" i="35" s="1"/>
  <c r="D67" i="35"/>
  <c r="D64" i="35"/>
  <c r="F64" i="35" s="1"/>
  <c r="D5" i="35"/>
  <c r="D32" i="33"/>
  <c r="D94" i="33"/>
  <c r="F94" i="33" s="1"/>
  <c r="D93" i="33"/>
  <c r="F93" i="33" s="1"/>
  <c r="D31" i="33"/>
  <c r="D30" i="33"/>
  <c r="D92" i="33"/>
  <c r="F92" i="33" s="1"/>
  <c r="D91" i="33"/>
  <c r="F91" i="33" s="1"/>
  <c r="D29" i="33"/>
  <c r="D28" i="33"/>
  <c r="D90" i="33"/>
  <c r="F90" i="33" s="1"/>
  <c r="D89" i="33"/>
  <c r="F89" i="33" s="1"/>
  <c r="D27" i="33"/>
  <c r="D26" i="33"/>
  <c r="D88" i="33"/>
  <c r="F88" i="33" s="1"/>
  <c r="D87" i="33"/>
  <c r="F87" i="33" s="1"/>
  <c r="D25" i="33"/>
  <c r="D24" i="33"/>
  <c r="D86" i="33"/>
  <c r="D85" i="33"/>
  <c r="F85" i="33" s="1"/>
  <c r="D23" i="33"/>
  <c r="D22" i="33"/>
  <c r="D84" i="33"/>
  <c r="F84" i="33" s="1"/>
  <c r="D83" i="33"/>
  <c r="F83" i="33" s="1"/>
  <c r="D21" i="33"/>
  <c r="D20" i="33"/>
  <c r="D82" i="33"/>
  <c r="F82" i="33" s="1"/>
  <c r="D81" i="33"/>
  <c r="F81" i="33" s="1"/>
  <c r="D19" i="33"/>
  <c r="D18" i="33"/>
  <c r="D80" i="33"/>
  <c r="F80" i="33" s="1"/>
  <c r="D79" i="33"/>
  <c r="F79" i="33" s="1"/>
  <c r="D17" i="33"/>
  <c r="D16" i="33"/>
  <c r="D78" i="33"/>
  <c r="F78" i="33" s="1"/>
  <c r="D77" i="33"/>
  <c r="F77" i="33" s="1"/>
  <c r="D15" i="33"/>
  <c r="D14" i="33"/>
  <c r="D76" i="33"/>
  <c r="F76" i="33" s="1"/>
  <c r="D75" i="33"/>
  <c r="F75" i="33" s="1"/>
  <c r="D13" i="33"/>
  <c r="D12" i="33"/>
  <c r="D74" i="33"/>
  <c r="F74" i="33" s="1"/>
  <c r="D73" i="33"/>
  <c r="F73" i="33" s="1"/>
  <c r="D11" i="33"/>
  <c r="D10" i="33"/>
  <c r="D72" i="33"/>
  <c r="F72" i="33" s="1"/>
  <c r="D71" i="33"/>
  <c r="F71" i="33" s="1"/>
  <c r="D9" i="33"/>
  <c r="D8" i="33"/>
  <c r="D70" i="33"/>
  <c r="D69" i="33"/>
  <c r="F69" i="33" s="1"/>
  <c r="D7" i="33"/>
  <c r="D6" i="33"/>
  <c r="D68" i="33"/>
  <c r="F68" i="33" s="1"/>
  <c r="D67" i="33"/>
  <c r="D64" i="33"/>
  <c r="F64" i="33" s="1"/>
  <c r="D5" i="33"/>
  <c r="F53" i="38"/>
  <c r="F49" i="38"/>
  <c r="F45" i="38"/>
  <c r="F41" i="38"/>
  <c r="F37" i="38"/>
  <c r="F62" i="31"/>
  <c r="F60" i="31"/>
  <c r="F58" i="31"/>
  <c r="F56" i="31"/>
  <c r="F54" i="31"/>
  <c r="F52" i="31"/>
  <c r="F50" i="31"/>
  <c r="F48" i="31"/>
  <c r="F46" i="31"/>
  <c r="F44" i="31"/>
  <c r="F42" i="31"/>
  <c r="F40" i="31"/>
  <c r="F38" i="31"/>
  <c r="D118" i="31"/>
  <c r="E64" i="31"/>
  <c r="M33" i="63" s="1"/>
  <c r="F36" i="31"/>
  <c r="E105" i="30"/>
  <c r="E95" i="30"/>
  <c r="C109" i="30" s="1"/>
  <c r="F109" i="30" s="1"/>
  <c r="F63" i="30"/>
  <c r="F61" i="30"/>
  <c r="F59" i="30"/>
  <c r="F57" i="30"/>
  <c r="F55" i="30"/>
  <c r="F53" i="30"/>
  <c r="F51" i="30"/>
  <c r="F49" i="30"/>
  <c r="F47" i="30"/>
  <c r="F45" i="30"/>
  <c r="F43" i="30"/>
  <c r="F41" i="30"/>
  <c r="F39" i="30"/>
  <c r="F37" i="30"/>
  <c r="F62" i="29"/>
  <c r="F60" i="29"/>
  <c r="F58" i="29"/>
  <c r="F56" i="29"/>
  <c r="F54" i="29"/>
  <c r="F52" i="29"/>
  <c r="F50" i="29"/>
  <c r="F48" i="29"/>
  <c r="F46" i="29"/>
  <c r="F44" i="29"/>
  <c r="F42" i="29"/>
  <c r="F40" i="29"/>
  <c r="F38" i="29"/>
  <c r="D118" i="29"/>
  <c r="E64" i="29"/>
  <c r="M35" i="63" s="1"/>
  <c r="F36" i="29"/>
  <c r="E105" i="28"/>
  <c r="E95" i="28"/>
  <c r="C109" i="28" s="1"/>
  <c r="F109" i="28" s="1"/>
  <c r="F63" i="28"/>
  <c r="F61" i="28"/>
  <c r="F59" i="28"/>
  <c r="F57" i="28"/>
  <c r="F55" i="28"/>
  <c r="F53" i="28"/>
  <c r="F51" i="28"/>
  <c r="F49" i="28"/>
  <c r="F47" i="28"/>
  <c r="F45" i="28"/>
  <c r="F43" i="28"/>
  <c r="F41" i="28"/>
  <c r="F39" i="28"/>
  <c r="F37" i="28"/>
  <c r="F62" i="27"/>
  <c r="F60" i="27"/>
  <c r="F58" i="27"/>
  <c r="F56" i="27"/>
  <c r="F54" i="27"/>
  <c r="F52" i="27"/>
  <c r="F50" i="27"/>
  <c r="F48" i="27"/>
  <c r="F46" i="27"/>
  <c r="F44" i="27"/>
  <c r="F42" i="27"/>
  <c r="F40" i="27"/>
  <c r="F38" i="27"/>
  <c r="D118" i="27"/>
  <c r="E64" i="27"/>
  <c r="M37" i="63" s="1"/>
  <c r="F36" i="27"/>
  <c r="E105" i="26"/>
  <c r="E95" i="26"/>
  <c r="C109" i="26" s="1"/>
  <c r="F109" i="26" s="1"/>
  <c r="F63" i="26"/>
  <c r="F61" i="26"/>
  <c r="F59" i="26"/>
  <c r="F57" i="26"/>
  <c r="F55" i="26"/>
  <c r="F53" i="26"/>
  <c r="F51" i="26"/>
  <c r="F49" i="26"/>
  <c r="F47" i="26"/>
  <c r="F45" i="26"/>
  <c r="F43" i="26"/>
  <c r="F41" i="26"/>
  <c r="F39" i="26"/>
  <c r="F37" i="26"/>
  <c r="F54" i="38"/>
  <c r="F50" i="38"/>
  <c r="F48" i="38"/>
  <c r="F46" i="38"/>
  <c r="F44" i="38"/>
  <c r="F42" i="38"/>
  <c r="F40" i="38"/>
  <c r="F38" i="38"/>
  <c r="E64" i="38"/>
  <c r="F64" i="38" s="1"/>
  <c r="E95" i="37"/>
  <c r="C109" i="37" s="1"/>
  <c r="F109" i="37" s="1"/>
  <c r="F63" i="37"/>
  <c r="F59" i="37"/>
  <c r="F55" i="37"/>
  <c r="F51" i="37"/>
  <c r="F47" i="37"/>
  <c r="F43" i="37"/>
  <c r="F39" i="37"/>
  <c r="E95" i="35"/>
  <c r="C109" i="35" s="1"/>
  <c r="F109" i="35" s="1"/>
  <c r="F63" i="35"/>
  <c r="F59" i="35"/>
  <c r="F55" i="35"/>
  <c r="F51" i="35"/>
  <c r="F47" i="35"/>
  <c r="F43" i="35"/>
  <c r="F39" i="35"/>
  <c r="E95" i="33"/>
  <c r="C109" i="33" s="1"/>
  <c r="F109" i="33" s="1"/>
  <c r="F63" i="33"/>
  <c r="F59" i="33"/>
  <c r="F55" i="33"/>
  <c r="F51" i="33"/>
  <c r="F47" i="33"/>
  <c r="F43" i="33"/>
  <c r="F39" i="33"/>
  <c r="D94" i="31"/>
  <c r="F94" i="31" s="1"/>
  <c r="D32" i="31"/>
  <c r="D31" i="31"/>
  <c r="D93" i="31"/>
  <c r="F93" i="31" s="1"/>
  <c r="D92" i="31"/>
  <c r="F92" i="31" s="1"/>
  <c r="D30" i="31"/>
  <c r="D29" i="31"/>
  <c r="D91" i="31"/>
  <c r="F91" i="31" s="1"/>
  <c r="D90" i="31"/>
  <c r="F90" i="31" s="1"/>
  <c r="D28" i="31"/>
  <c r="D27" i="31"/>
  <c r="D89" i="31"/>
  <c r="F89" i="31" s="1"/>
  <c r="D88" i="31"/>
  <c r="F88" i="31" s="1"/>
  <c r="D26" i="31"/>
  <c r="D25" i="31"/>
  <c r="D87" i="31"/>
  <c r="F87" i="31" s="1"/>
  <c r="D86" i="31"/>
  <c r="F86" i="31" s="1"/>
  <c r="D24" i="31"/>
  <c r="D23" i="31"/>
  <c r="D85" i="31"/>
  <c r="F85" i="31" s="1"/>
  <c r="D84" i="31"/>
  <c r="F84" i="31" s="1"/>
  <c r="D22" i="31"/>
  <c r="D21" i="31"/>
  <c r="D83" i="31"/>
  <c r="D82" i="31"/>
  <c r="D20" i="31"/>
  <c r="D19" i="31"/>
  <c r="D81" i="31"/>
  <c r="F81" i="31" s="1"/>
  <c r="D80" i="31"/>
  <c r="F80" i="31" s="1"/>
  <c r="D18" i="31"/>
  <c r="D17" i="31"/>
  <c r="D79" i="31"/>
  <c r="F79" i="31" s="1"/>
  <c r="D78" i="31"/>
  <c r="F78" i="31" s="1"/>
  <c r="D16" i="31"/>
  <c r="D15" i="31"/>
  <c r="D77" i="31"/>
  <c r="F77" i="31" s="1"/>
  <c r="D76" i="31"/>
  <c r="F76" i="31" s="1"/>
  <c r="D14" i="31"/>
  <c r="D13" i="31"/>
  <c r="D75" i="31"/>
  <c r="F75" i="31" s="1"/>
  <c r="D74" i="31"/>
  <c r="F74" i="31" s="1"/>
  <c r="D12" i="31"/>
  <c r="D11" i="31"/>
  <c r="D73" i="31"/>
  <c r="F73" i="31" s="1"/>
  <c r="D72" i="31"/>
  <c r="F72" i="31" s="1"/>
  <c r="D10" i="31"/>
  <c r="D9" i="31"/>
  <c r="D71" i="31"/>
  <c r="F71" i="31" s="1"/>
  <c r="D70" i="31"/>
  <c r="F70" i="31" s="1"/>
  <c r="D8" i="31"/>
  <c r="D7" i="31"/>
  <c r="D69" i="31"/>
  <c r="F69" i="31" s="1"/>
  <c r="D68" i="31"/>
  <c r="F68" i="31" s="1"/>
  <c r="D6" i="31"/>
  <c r="D5" i="31"/>
  <c r="D67" i="31"/>
  <c r="F67" i="31" s="1"/>
  <c r="D64" i="31"/>
  <c r="D94" i="30"/>
  <c r="F94" i="30" s="1"/>
  <c r="D32" i="30"/>
  <c r="D31" i="30"/>
  <c r="D93" i="30"/>
  <c r="F93" i="30" s="1"/>
  <c r="D92" i="30"/>
  <c r="F92" i="30" s="1"/>
  <c r="D30" i="30"/>
  <c r="D29" i="30"/>
  <c r="D91" i="30"/>
  <c r="F91" i="30" s="1"/>
  <c r="D90" i="30"/>
  <c r="F90" i="30" s="1"/>
  <c r="D28" i="30"/>
  <c r="D27" i="30"/>
  <c r="D89" i="30"/>
  <c r="D88" i="30"/>
  <c r="F88" i="30" s="1"/>
  <c r="D26" i="30"/>
  <c r="D25" i="30"/>
  <c r="D87" i="30"/>
  <c r="F87" i="30" s="1"/>
  <c r="D86" i="30"/>
  <c r="D24" i="30"/>
  <c r="D23" i="30"/>
  <c r="D85" i="30"/>
  <c r="F85" i="30" s="1"/>
  <c r="D84" i="30"/>
  <c r="F84" i="30" s="1"/>
  <c r="D22" i="30"/>
  <c r="D21" i="30"/>
  <c r="D83" i="30"/>
  <c r="F83" i="30" s="1"/>
  <c r="D82" i="30"/>
  <c r="F82" i="30" s="1"/>
  <c r="D20" i="30"/>
  <c r="D19" i="30"/>
  <c r="D81" i="30"/>
  <c r="F81" i="30" s="1"/>
  <c r="D80" i="30"/>
  <c r="F80" i="30" s="1"/>
  <c r="D18" i="30"/>
  <c r="D17" i="30"/>
  <c r="D79" i="30"/>
  <c r="F79" i="30" s="1"/>
  <c r="D78" i="30"/>
  <c r="F78" i="30" s="1"/>
  <c r="D16" i="30"/>
  <c r="D15" i="30"/>
  <c r="D77" i="30"/>
  <c r="F77" i="30" s="1"/>
  <c r="D76" i="30"/>
  <c r="F76" i="30" s="1"/>
  <c r="D14" i="30"/>
  <c r="D13" i="30"/>
  <c r="D75" i="30"/>
  <c r="F75" i="30" s="1"/>
  <c r="D74" i="30"/>
  <c r="F74" i="30" s="1"/>
  <c r="D12" i="30"/>
  <c r="D11" i="30"/>
  <c r="D73" i="30"/>
  <c r="D72" i="30"/>
  <c r="F72" i="30" s="1"/>
  <c r="D10" i="30"/>
  <c r="D9" i="30"/>
  <c r="D71" i="30"/>
  <c r="F71" i="30" s="1"/>
  <c r="D70" i="30"/>
  <c r="F70" i="30" s="1"/>
  <c r="D8" i="30"/>
  <c r="D7" i="30"/>
  <c r="D69" i="30"/>
  <c r="F69" i="30" s="1"/>
  <c r="D68" i="30"/>
  <c r="F68" i="30" s="1"/>
  <c r="D6" i="30"/>
  <c r="D5" i="30"/>
  <c r="D67" i="30"/>
  <c r="D64" i="30"/>
  <c r="D94" i="29"/>
  <c r="D32" i="29"/>
  <c r="D31" i="29"/>
  <c r="D93" i="29"/>
  <c r="F93" i="29" s="1"/>
  <c r="D92" i="29"/>
  <c r="F92" i="29" s="1"/>
  <c r="D30" i="29"/>
  <c r="D29" i="29"/>
  <c r="D91" i="29"/>
  <c r="F91" i="29" s="1"/>
  <c r="D90" i="29"/>
  <c r="F90" i="29" s="1"/>
  <c r="D28" i="29"/>
  <c r="D27" i="29"/>
  <c r="D89" i="29"/>
  <c r="F89" i="29" s="1"/>
  <c r="D88" i="29"/>
  <c r="F88" i="29" s="1"/>
  <c r="D26" i="29"/>
  <c r="D25" i="29"/>
  <c r="D87" i="29"/>
  <c r="F87" i="29" s="1"/>
  <c r="D86" i="29"/>
  <c r="F86" i="29" s="1"/>
  <c r="D24" i="29"/>
  <c r="D23" i="29"/>
  <c r="D85" i="29"/>
  <c r="F85" i="29" s="1"/>
  <c r="D84" i="29"/>
  <c r="F84" i="29" s="1"/>
  <c r="D22" i="29"/>
  <c r="D21" i="29"/>
  <c r="D83" i="29"/>
  <c r="F83" i="29" s="1"/>
  <c r="D82" i="29"/>
  <c r="F82" i="29" s="1"/>
  <c r="D20" i="29"/>
  <c r="D19" i="29"/>
  <c r="D81" i="29"/>
  <c r="F81" i="29" s="1"/>
  <c r="D80" i="29"/>
  <c r="F80" i="29" s="1"/>
  <c r="D18" i="29"/>
  <c r="D17" i="29"/>
  <c r="D79" i="29"/>
  <c r="D78" i="29"/>
  <c r="D16" i="29"/>
  <c r="D15" i="29"/>
  <c r="D77" i="29"/>
  <c r="F77" i="29" s="1"/>
  <c r="D76" i="29"/>
  <c r="F76" i="29" s="1"/>
  <c r="D14" i="29"/>
  <c r="D13" i="29"/>
  <c r="D75" i="29"/>
  <c r="F75" i="29" s="1"/>
  <c r="D74" i="29"/>
  <c r="F74" i="29" s="1"/>
  <c r="D12" i="29"/>
  <c r="D11" i="29"/>
  <c r="D73" i="29"/>
  <c r="F73" i="29" s="1"/>
  <c r="D72" i="29"/>
  <c r="F72" i="29" s="1"/>
  <c r="D10" i="29"/>
  <c r="D9" i="29"/>
  <c r="D71" i="29"/>
  <c r="F71" i="29" s="1"/>
  <c r="D70" i="29"/>
  <c r="F70" i="29" s="1"/>
  <c r="D8" i="29"/>
  <c r="D7" i="29"/>
  <c r="D69" i="29"/>
  <c r="F69" i="29" s="1"/>
  <c r="D68" i="29"/>
  <c r="F68" i="29" s="1"/>
  <c r="D6" i="29"/>
  <c r="D5" i="29"/>
  <c r="D67" i="29"/>
  <c r="F67" i="29" s="1"/>
  <c r="D64" i="29"/>
  <c r="D94" i="28"/>
  <c r="F94" i="28" s="1"/>
  <c r="D32" i="28"/>
  <c r="D31" i="28"/>
  <c r="D93" i="28"/>
  <c r="F93" i="28" s="1"/>
  <c r="D92" i="28"/>
  <c r="F92" i="28" s="1"/>
  <c r="D30" i="28"/>
  <c r="D29" i="28"/>
  <c r="D91" i="28"/>
  <c r="F91" i="28" s="1"/>
  <c r="D90" i="28"/>
  <c r="F90" i="28" s="1"/>
  <c r="D28" i="28"/>
  <c r="D27" i="28"/>
  <c r="D89" i="28"/>
  <c r="D88" i="28"/>
  <c r="F88" i="28" s="1"/>
  <c r="D26" i="28"/>
  <c r="D25" i="28"/>
  <c r="D87" i="28"/>
  <c r="F87" i="28" s="1"/>
  <c r="D86" i="28"/>
  <c r="D24" i="28"/>
  <c r="D23" i="28"/>
  <c r="D85" i="28"/>
  <c r="F85" i="28" s="1"/>
  <c r="D84" i="28"/>
  <c r="F84" i="28" s="1"/>
  <c r="D22" i="28"/>
  <c r="D21" i="28"/>
  <c r="D83" i="28"/>
  <c r="F83" i="28" s="1"/>
  <c r="D82" i="28"/>
  <c r="F82" i="28" s="1"/>
  <c r="D20" i="28"/>
  <c r="D19" i="28"/>
  <c r="D81" i="28"/>
  <c r="F81" i="28" s="1"/>
  <c r="D80" i="28"/>
  <c r="F80" i="28" s="1"/>
  <c r="D18" i="28"/>
  <c r="D17" i="28"/>
  <c r="D79" i="28"/>
  <c r="F79" i="28" s="1"/>
  <c r="D78" i="28"/>
  <c r="F78" i="28" s="1"/>
  <c r="D16" i="28"/>
  <c r="D15" i="28"/>
  <c r="D77" i="28"/>
  <c r="F77" i="28" s="1"/>
  <c r="D76" i="28"/>
  <c r="F76" i="28" s="1"/>
  <c r="D14" i="28"/>
  <c r="D13" i="28"/>
  <c r="D75" i="28"/>
  <c r="F75" i="28" s="1"/>
  <c r="D74" i="28"/>
  <c r="F74" i="28" s="1"/>
  <c r="D12" i="28"/>
  <c r="D11" i="28"/>
  <c r="D73" i="28"/>
  <c r="D72" i="28"/>
  <c r="F72" i="28" s="1"/>
  <c r="D10" i="28"/>
  <c r="D9" i="28"/>
  <c r="D71" i="28"/>
  <c r="F71" i="28" s="1"/>
  <c r="D70" i="28"/>
  <c r="F70" i="28" s="1"/>
  <c r="D8" i="28"/>
  <c r="D7" i="28"/>
  <c r="D69" i="28"/>
  <c r="F69" i="28" s="1"/>
  <c r="D68" i="28"/>
  <c r="F68" i="28" s="1"/>
  <c r="D6" i="28"/>
  <c r="D5" i="28"/>
  <c r="D67" i="28"/>
  <c r="D64" i="28"/>
  <c r="D94" i="27"/>
  <c r="F94" i="27" s="1"/>
  <c r="D32" i="27"/>
  <c r="D31" i="27"/>
  <c r="D93" i="27"/>
  <c r="F93" i="27" s="1"/>
  <c r="D92" i="27"/>
  <c r="F92" i="27" s="1"/>
  <c r="D30" i="27"/>
  <c r="D29" i="27"/>
  <c r="D91" i="27"/>
  <c r="D90" i="27"/>
  <c r="D28" i="27"/>
  <c r="D27" i="27"/>
  <c r="D89" i="27"/>
  <c r="F89" i="27" s="1"/>
  <c r="D88" i="27"/>
  <c r="F88" i="27" s="1"/>
  <c r="D26" i="27"/>
  <c r="D25" i="27"/>
  <c r="D87" i="27"/>
  <c r="F87" i="27" s="1"/>
  <c r="D86" i="27"/>
  <c r="F86" i="27" s="1"/>
  <c r="D24" i="27"/>
  <c r="D23" i="27"/>
  <c r="D85" i="27"/>
  <c r="F85" i="27" s="1"/>
  <c r="D84" i="27"/>
  <c r="F84" i="27" s="1"/>
  <c r="D22" i="27"/>
  <c r="D21" i="27"/>
  <c r="D83" i="27"/>
  <c r="F83" i="27" s="1"/>
  <c r="D82" i="27"/>
  <c r="F82" i="27" s="1"/>
  <c r="D20" i="27"/>
  <c r="D19" i="27"/>
  <c r="D81" i="27"/>
  <c r="F81" i="27" s="1"/>
  <c r="D80" i="27"/>
  <c r="F80" i="27" s="1"/>
  <c r="D18" i="27"/>
  <c r="D17" i="27"/>
  <c r="D79" i="27"/>
  <c r="F79" i="27" s="1"/>
  <c r="D78" i="27"/>
  <c r="F78" i="27" s="1"/>
  <c r="D16" i="27"/>
  <c r="D15" i="27"/>
  <c r="D77" i="27"/>
  <c r="F77" i="27" s="1"/>
  <c r="D76" i="27"/>
  <c r="F76" i="27" s="1"/>
  <c r="D14" i="27"/>
  <c r="D13" i="27"/>
  <c r="D75" i="27"/>
  <c r="F75" i="27" s="1"/>
  <c r="D74" i="27"/>
  <c r="D12" i="27"/>
  <c r="D11" i="27"/>
  <c r="D73" i="27"/>
  <c r="F73" i="27" s="1"/>
  <c r="D72" i="27"/>
  <c r="F72" i="27" s="1"/>
  <c r="D10" i="27"/>
  <c r="D9" i="27"/>
  <c r="D71" i="27"/>
  <c r="F71" i="27" s="1"/>
  <c r="D70" i="27"/>
  <c r="F70" i="27" s="1"/>
  <c r="D8" i="27"/>
  <c r="D7" i="27"/>
  <c r="D69" i="27"/>
  <c r="F69" i="27" s="1"/>
  <c r="D68" i="27"/>
  <c r="F68" i="27" s="1"/>
  <c r="D6" i="27"/>
  <c r="D5" i="27"/>
  <c r="D67" i="27"/>
  <c r="F67" i="27" s="1"/>
  <c r="D64" i="27"/>
  <c r="D94" i="26"/>
  <c r="F94" i="26" s="1"/>
  <c r="D32" i="26"/>
  <c r="D31" i="26"/>
  <c r="D93" i="26"/>
  <c r="F93" i="26" s="1"/>
  <c r="D92" i="26"/>
  <c r="F92" i="26" s="1"/>
  <c r="D30" i="26"/>
  <c r="D29" i="26"/>
  <c r="D91" i="26"/>
  <c r="F91" i="26" s="1"/>
  <c r="D90" i="26"/>
  <c r="F90" i="26" s="1"/>
  <c r="D28" i="26"/>
  <c r="D27" i="26"/>
  <c r="D89" i="26"/>
  <c r="F89" i="26" s="1"/>
  <c r="D88" i="26"/>
  <c r="F88" i="26" s="1"/>
  <c r="D26" i="26"/>
  <c r="D25" i="26"/>
  <c r="D87" i="26"/>
  <c r="F87" i="26" s="1"/>
  <c r="D86" i="26"/>
  <c r="D24" i="26"/>
  <c r="D23" i="26"/>
  <c r="D85" i="26"/>
  <c r="D84" i="26"/>
  <c r="F84" i="26" s="1"/>
  <c r="D22" i="26"/>
  <c r="D21" i="26"/>
  <c r="D83" i="26"/>
  <c r="F83" i="26" s="1"/>
  <c r="D82" i="26"/>
  <c r="F82" i="26" s="1"/>
  <c r="D20" i="26"/>
  <c r="D19" i="26"/>
  <c r="D81" i="26"/>
  <c r="F81" i="26" s="1"/>
  <c r="D80" i="26"/>
  <c r="F80" i="26" s="1"/>
  <c r="D18" i="26"/>
  <c r="D17" i="26"/>
  <c r="D79" i="26"/>
  <c r="F79" i="26" s="1"/>
  <c r="D78" i="26"/>
  <c r="F78" i="26" s="1"/>
  <c r="D16" i="26"/>
  <c r="D15" i="26"/>
  <c r="D77" i="26"/>
  <c r="F77" i="26" s="1"/>
  <c r="D76" i="26"/>
  <c r="F76" i="26" s="1"/>
  <c r="D14" i="26"/>
  <c r="D13" i="26"/>
  <c r="D75" i="26"/>
  <c r="F75" i="26" s="1"/>
  <c r="D74" i="26"/>
  <c r="F74" i="26" s="1"/>
  <c r="D12" i="26"/>
  <c r="D11" i="26"/>
  <c r="D73" i="26"/>
  <c r="F73" i="26" s="1"/>
  <c r="D72" i="26"/>
  <c r="F72" i="26" s="1"/>
  <c r="D10" i="26"/>
  <c r="D9" i="26"/>
  <c r="D71" i="26"/>
  <c r="F71" i="26" s="1"/>
  <c r="D70" i="26"/>
  <c r="F70" i="26" s="1"/>
  <c r="D8" i="26"/>
  <c r="D7" i="26"/>
  <c r="D69" i="26"/>
  <c r="D68" i="26"/>
  <c r="F68" i="26" s="1"/>
  <c r="D6" i="26"/>
  <c r="D5" i="26"/>
  <c r="D67" i="26"/>
  <c r="D64" i="26"/>
  <c r="E118" i="36"/>
  <c r="E118" i="33"/>
  <c r="D118" i="33"/>
  <c r="D31" i="25"/>
  <c r="D93" i="25"/>
  <c r="F93" i="25" s="1"/>
  <c r="D29" i="25"/>
  <c r="D91" i="25"/>
  <c r="D27" i="25"/>
  <c r="D89" i="25"/>
  <c r="F89" i="25" s="1"/>
  <c r="D25" i="25"/>
  <c r="D87" i="25"/>
  <c r="F87" i="25" s="1"/>
  <c r="D23" i="25"/>
  <c r="D85" i="25"/>
  <c r="F85" i="25" s="1"/>
  <c r="D21" i="25"/>
  <c r="D83" i="25"/>
  <c r="F83" i="25" s="1"/>
  <c r="D19" i="25"/>
  <c r="D81" i="25"/>
  <c r="F81" i="25" s="1"/>
  <c r="D17" i="25"/>
  <c r="D79" i="25"/>
  <c r="F79" i="25" s="1"/>
  <c r="D15" i="25"/>
  <c r="D77" i="25"/>
  <c r="F77" i="25" s="1"/>
  <c r="D13" i="25"/>
  <c r="D75" i="25"/>
  <c r="D11" i="25"/>
  <c r="D73" i="25"/>
  <c r="F73" i="25" s="1"/>
  <c r="D9" i="25"/>
  <c r="D71" i="25"/>
  <c r="F71" i="25" s="1"/>
  <c r="D7" i="25"/>
  <c r="D69" i="25"/>
  <c r="D5" i="25"/>
  <c r="D67" i="25"/>
  <c r="F67" i="25" s="1"/>
  <c r="D64" i="25"/>
  <c r="E64" i="25"/>
  <c r="M39" i="63" s="1"/>
  <c r="F36" i="25"/>
  <c r="D118" i="25"/>
  <c r="F38" i="25"/>
  <c r="F40" i="25"/>
  <c r="F42" i="25"/>
  <c r="F44" i="25"/>
  <c r="F46" i="25"/>
  <c r="F48" i="25"/>
  <c r="F50" i="25"/>
  <c r="F52" i="25"/>
  <c r="F54" i="25"/>
  <c r="F56" i="25"/>
  <c r="F58" i="25"/>
  <c r="F60" i="25"/>
  <c r="F62" i="25"/>
  <c r="F69" i="25"/>
  <c r="E64" i="24"/>
  <c r="M40" i="63" s="1"/>
  <c r="F36" i="24"/>
  <c r="D118" i="24"/>
  <c r="F38" i="24"/>
  <c r="F40" i="24"/>
  <c r="F42" i="24"/>
  <c r="F44" i="24"/>
  <c r="F46" i="24"/>
  <c r="F48" i="24"/>
  <c r="F50" i="24"/>
  <c r="F52" i="24"/>
  <c r="F54" i="24"/>
  <c r="F56" i="24"/>
  <c r="F58" i="24"/>
  <c r="F60" i="24"/>
  <c r="F62" i="24"/>
  <c r="E64" i="23"/>
  <c r="M41" i="63" s="1"/>
  <c r="F36" i="23"/>
  <c r="D118" i="23"/>
  <c r="F38" i="23"/>
  <c r="F40" i="23"/>
  <c r="F42" i="23"/>
  <c r="F44" i="23"/>
  <c r="F46" i="23"/>
  <c r="F48" i="23"/>
  <c r="F50" i="23"/>
  <c r="F52" i="23"/>
  <c r="F54" i="23"/>
  <c r="F56" i="23"/>
  <c r="F58" i="23"/>
  <c r="F60" i="23"/>
  <c r="F62" i="23"/>
  <c r="E64" i="22"/>
  <c r="M42" i="63" s="1"/>
  <c r="F36" i="22"/>
  <c r="D118" i="22"/>
  <c r="F38" i="22"/>
  <c r="F40" i="22"/>
  <c r="F42" i="22"/>
  <c r="F44" i="22"/>
  <c r="F46" i="22"/>
  <c r="F48" i="22"/>
  <c r="F50" i="22"/>
  <c r="F52" i="22"/>
  <c r="F54" i="22"/>
  <c r="F56" i="22"/>
  <c r="F58" i="22"/>
  <c r="F60" i="22"/>
  <c r="F62" i="22"/>
  <c r="E64" i="21"/>
  <c r="M43" i="63" s="1"/>
  <c r="F36" i="21"/>
  <c r="D118" i="21"/>
  <c r="F38" i="21"/>
  <c r="F40" i="21"/>
  <c r="F42" i="21"/>
  <c r="F44" i="21"/>
  <c r="F46" i="21"/>
  <c r="F48" i="21"/>
  <c r="F50" i="21"/>
  <c r="F52" i="21"/>
  <c r="F54" i="21"/>
  <c r="F56" i="21"/>
  <c r="F58" i="21"/>
  <c r="F60" i="21"/>
  <c r="F62" i="21"/>
  <c r="F51" i="9"/>
  <c r="F49" i="9"/>
  <c r="F47" i="9"/>
  <c r="F45" i="9"/>
  <c r="F43" i="9"/>
  <c r="F41" i="9"/>
  <c r="F39" i="9"/>
  <c r="F37" i="9"/>
  <c r="F62" i="8"/>
  <c r="F60" i="8"/>
  <c r="F58" i="8"/>
  <c r="F56" i="8"/>
  <c r="F54" i="8"/>
  <c r="F52" i="8"/>
  <c r="F50" i="8"/>
  <c r="F48" i="8"/>
  <c r="F46" i="8"/>
  <c r="F44" i="8"/>
  <c r="F42" i="8"/>
  <c r="F40" i="8"/>
  <c r="F38" i="8"/>
  <c r="D118" i="8"/>
  <c r="E64" i="8"/>
  <c r="M56" i="63" s="1"/>
  <c r="F36" i="8"/>
  <c r="E105" i="7"/>
  <c r="E95" i="7"/>
  <c r="C109" i="7" s="1"/>
  <c r="F109" i="7" s="1"/>
  <c r="F63" i="7"/>
  <c r="F61" i="7"/>
  <c r="F59" i="7"/>
  <c r="F57" i="7"/>
  <c r="F55" i="7"/>
  <c r="F53" i="7"/>
  <c r="F51" i="7"/>
  <c r="F49" i="7"/>
  <c r="F47" i="7"/>
  <c r="F45" i="7"/>
  <c r="F43" i="7"/>
  <c r="F41" i="7"/>
  <c r="F39" i="7"/>
  <c r="F37" i="7"/>
  <c r="F62" i="6"/>
  <c r="F60" i="6"/>
  <c r="F58" i="6"/>
  <c r="F56" i="6"/>
  <c r="F54" i="6"/>
  <c r="F52" i="6"/>
  <c r="F50" i="6"/>
  <c r="F48" i="6"/>
  <c r="F46" i="6"/>
  <c r="F44" i="6"/>
  <c r="F42" i="6"/>
  <c r="F40" i="6"/>
  <c r="F38" i="6"/>
  <c r="D118" i="6"/>
  <c r="E64" i="6"/>
  <c r="M58" i="63" s="1"/>
  <c r="F36" i="6"/>
  <c r="E105" i="5"/>
  <c r="E95" i="5"/>
  <c r="C109" i="5" s="1"/>
  <c r="F109" i="5" s="1"/>
  <c r="F63" i="5"/>
  <c r="F61" i="5"/>
  <c r="F59" i="5"/>
  <c r="F57" i="5"/>
  <c r="F55" i="5"/>
  <c r="F53" i="5"/>
  <c r="F51" i="5"/>
  <c r="F49" i="5"/>
  <c r="F47" i="5"/>
  <c r="F45" i="5"/>
  <c r="F43" i="5"/>
  <c r="F41" i="5"/>
  <c r="F39" i="5"/>
  <c r="F37" i="5"/>
  <c r="F62" i="4"/>
  <c r="F60" i="4"/>
  <c r="F58" i="4"/>
  <c r="F56" i="4"/>
  <c r="F54" i="4"/>
  <c r="F52" i="4"/>
  <c r="F50" i="4"/>
  <c r="F48" i="4"/>
  <c r="F46" i="4"/>
  <c r="F44" i="4"/>
  <c r="F42" i="4"/>
  <c r="F40" i="4"/>
  <c r="F38" i="4"/>
  <c r="D118" i="4"/>
  <c r="E64" i="4"/>
  <c r="M60" i="63" s="1"/>
  <c r="F36" i="4"/>
  <c r="E105" i="3"/>
  <c r="E95" i="3"/>
  <c r="C109" i="3" s="1"/>
  <c r="F109" i="3" s="1"/>
  <c r="F63" i="3"/>
  <c r="F61" i="3"/>
  <c r="F59" i="3"/>
  <c r="F57" i="3"/>
  <c r="F55" i="3"/>
  <c r="F53" i="3"/>
  <c r="F51" i="3"/>
  <c r="F49" i="3"/>
  <c r="F47" i="3"/>
  <c r="F45" i="3"/>
  <c r="F43" i="3"/>
  <c r="F41" i="3"/>
  <c r="F39" i="3"/>
  <c r="F37" i="3"/>
  <c r="F62" i="59"/>
  <c r="F60" i="59"/>
  <c r="F58" i="59"/>
  <c r="F56" i="59"/>
  <c r="F54" i="59"/>
  <c r="F52" i="59"/>
  <c r="F50" i="59"/>
  <c r="F48" i="59"/>
  <c r="F46" i="59"/>
  <c r="F44" i="59"/>
  <c r="F42" i="59"/>
  <c r="F40" i="59"/>
  <c r="F38" i="59"/>
  <c r="D118" i="59"/>
  <c r="E64" i="59"/>
  <c r="M62" i="63" s="1"/>
  <c r="F36" i="59"/>
  <c r="E105" i="1"/>
  <c r="E95" i="1"/>
  <c r="C109" i="1" s="1"/>
  <c r="F109" i="1" s="1"/>
  <c r="F63" i="1"/>
  <c r="F61" i="1"/>
  <c r="F59" i="1"/>
  <c r="F57" i="1"/>
  <c r="F55" i="1"/>
  <c r="F53" i="1"/>
  <c r="F51" i="1"/>
  <c r="F49" i="1"/>
  <c r="F47" i="1"/>
  <c r="F45" i="1"/>
  <c r="F43" i="1"/>
  <c r="F41" i="1"/>
  <c r="F39" i="1"/>
  <c r="F37" i="1"/>
  <c r="F62" i="56"/>
  <c r="F60" i="56"/>
  <c r="F58" i="56"/>
  <c r="F56" i="56"/>
  <c r="F54" i="56"/>
  <c r="F52" i="56"/>
  <c r="F50" i="56"/>
  <c r="F48" i="56"/>
  <c r="F46" i="56"/>
  <c r="F44" i="56"/>
  <c r="F42" i="56"/>
  <c r="F40" i="56"/>
  <c r="F38" i="56"/>
  <c r="D118" i="56"/>
  <c r="E64" i="56"/>
  <c r="M8" i="63" s="1"/>
  <c r="F36" i="56"/>
  <c r="D13" i="20"/>
  <c r="D75" i="20"/>
  <c r="F75" i="20" s="1"/>
  <c r="D73" i="20"/>
  <c r="F73" i="20" s="1"/>
  <c r="D11" i="20"/>
  <c r="D9" i="20"/>
  <c r="D71" i="20"/>
  <c r="D69" i="20"/>
  <c r="F69" i="20" s="1"/>
  <c r="D7" i="20"/>
  <c r="D64" i="20"/>
  <c r="D5" i="20"/>
  <c r="D67" i="20"/>
  <c r="F37" i="20"/>
  <c r="F39" i="20"/>
  <c r="F41" i="20"/>
  <c r="F43" i="20"/>
  <c r="D77" i="20"/>
  <c r="D15" i="20"/>
  <c r="D17" i="20"/>
  <c r="D79" i="20"/>
  <c r="F79" i="20" s="1"/>
  <c r="D81" i="20"/>
  <c r="F81" i="20" s="1"/>
  <c r="D19" i="20"/>
  <c r="D21" i="20"/>
  <c r="D83" i="20"/>
  <c r="F83" i="20" s="1"/>
  <c r="D85" i="20"/>
  <c r="D23" i="20"/>
  <c r="D25" i="20"/>
  <c r="D87" i="20"/>
  <c r="F87" i="20" s="1"/>
  <c r="D89" i="20"/>
  <c r="F89" i="20" s="1"/>
  <c r="D27" i="20"/>
  <c r="D29" i="20"/>
  <c r="D91" i="20"/>
  <c r="F91" i="20" s="1"/>
  <c r="D93" i="20"/>
  <c r="D31" i="20"/>
  <c r="F45" i="20"/>
  <c r="F47" i="20"/>
  <c r="F49" i="20"/>
  <c r="F51" i="20"/>
  <c r="F53" i="20"/>
  <c r="F55" i="20"/>
  <c r="F57" i="20"/>
  <c r="F59" i="20"/>
  <c r="F61" i="20"/>
  <c r="F63" i="20"/>
  <c r="E95" i="20"/>
  <c r="C109" i="20" s="1"/>
  <c r="F109" i="20" s="1"/>
  <c r="F67" i="20"/>
  <c r="F71" i="20"/>
  <c r="E105" i="20"/>
  <c r="E118" i="20"/>
  <c r="D31" i="19"/>
  <c r="D93" i="19"/>
  <c r="D29" i="19"/>
  <c r="D91" i="19"/>
  <c r="F91" i="19" s="1"/>
  <c r="D27" i="19"/>
  <c r="D89" i="19"/>
  <c r="F89" i="19" s="1"/>
  <c r="D25" i="19"/>
  <c r="D87" i="19"/>
  <c r="F87" i="19" s="1"/>
  <c r="D23" i="19"/>
  <c r="D85" i="19"/>
  <c r="D21" i="19"/>
  <c r="D83" i="19"/>
  <c r="F83" i="19" s="1"/>
  <c r="D19" i="19"/>
  <c r="D81" i="19"/>
  <c r="F81" i="19" s="1"/>
  <c r="D17" i="19"/>
  <c r="D79" i="19"/>
  <c r="F79" i="19" s="1"/>
  <c r="D15" i="19"/>
  <c r="D77" i="19"/>
  <c r="D13" i="19"/>
  <c r="D75" i="19"/>
  <c r="F75" i="19" s="1"/>
  <c r="D11" i="19"/>
  <c r="D73" i="19"/>
  <c r="F73" i="19" s="1"/>
  <c r="D9" i="19"/>
  <c r="D71" i="19"/>
  <c r="F71" i="19" s="1"/>
  <c r="D7" i="19"/>
  <c r="D69" i="19"/>
  <c r="D5" i="19"/>
  <c r="D67" i="19"/>
  <c r="F67" i="19" s="1"/>
  <c r="D64" i="19"/>
  <c r="F37" i="19"/>
  <c r="F39" i="19"/>
  <c r="F41" i="19"/>
  <c r="F43" i="19"/>
  <c r="F45" i="19"/>
  <c r="F47" i="19"/>
  <c r="F49" i="19"/>
  <c r="F51" i="19"/>
  <c r="F53" i="19"/>
  <c r="F55" i="19"/>
  <c r="F57" i="19"/>
  <c r="F59" i="19"/>
  <c r="F61" i="19"/>
  <c r="F63" i="19"/>
  <c r="E95" i="19"/>
  <c r="C109" i="19" s="1"/>
  <c r="F109" i="19" s="1"/>
  <c r="E105" i="19"/>
  <c r="E118" i="19"/>
  <c r="D31" i="18"/>
  <c r="D93" i="18"/>
  <c r="D29" i="18"/>
  <c r="D91" i="18"/>
  <c r="F91" i="18" s="1"/>
  <c r="D27" i="18"/>
  <c r="D89" i="18"/>
  <c r="F89" i="18" s="1"/>
  <c r="D25" i="18"/>
  <c r="D87" i="18"/>
  <c r="F87" i="18" s="1"/>
  <c r="D23" i="18"/>
  <c r="D85" i="18"/>
  <c r="D21" i="18"/>
  <c r="D83" i="18"/>
  <c r="F83" i="18" s="1"/>
  <c r="D19" i="18"/>
  <c r="D81" i="18"/>
  <c r="F81" i="18" s="1"/>
  <c r="D17" i="18"/>
  <c r="D79" i="18"/>
  <c r="F79" i="18" s="1"/>
  <c r="D15" i="18"/>
  <c r="D77" i="18"/>
  <c r="D13" i="18"/>
  <c r="D75" i="18"/>
  <c r="F75" i="18" s="1"/>
  <c r="D11" i="18"/>
  <c r="D73" i="18"/>
  <c r="F73" i="18" s="1"/>
  <c r="D9" i="18"/>
  <c r="D71" i="18"/>
  <c r="F71" i="18" s="1"/>
  <c r="D7" i="18"/>
  <c r="D69" i="18"/>
  <c r="D5" i="18"/>
  <c r="D67" i="18"/>
  <c r="F67" i="18" s="1"/>
  <c r="D64" i="18"/>
  <c r="F37" i="18"/>
  <c r="F39" i="18"/>
  <c r="F41" i="18"/>
  <c r="F43" i="18"/>
  <c r="F45" i="18"/>
  <c r="F47" i="18"/>
  <c r="F49" i="18"/>
  <c r="F51" i="18"/>
  <c r="F53" i="18"/>
  <c r="F55" i="18"/>
  <c r="F57" i="18"/>
  <c r="F59" i="18"/>
  <c r="F61" i="18"/>
  <c r="F63" i="18"/>
  <c r="E95" i="18"/>
  <c r="C109" i="18" s="1"/>
  <c r="F109" i="18" s="1"/>
  <c r="E105" i="18"/>
  <c r="E118" i="18"/>
  <c r="D31" i="17"/>
  <c r="D93" i="17"/>
  <c r="D29" i="17"/>
  <c r="D91" i="17"/>
  <c r="F91" i="17" s="1"/>
  <c r="D27" i="17"/>
  <c r="D89" i="17"/>
  <c r="F89" i="17" s="1"/>
  <c r="D25" i="17"/>
  <c r="D87" i="17"/>
  <c r="F87" i="17" s="1"/>
  <c r="D23" i="17"/>
  <c r="D85" i="17"/>
  <c r="D21" i="17"/>
  <c r="D83" i="17"/>
  <c r="F83" i="17" s="1"/>
  <c r="D19" i="17"/>
  <c r="D81" i="17"/>
  <c r="F81" i="17" s="1"/>
  <c r="D17" i="17"/>
  <c r="D79" i="17"/>
  <c r="F79" i="17" s="1"/>
  <c r="D15" i="17"/>
  <c r="D77" i="17"/>
  <c r="D13" i="17"/>
  <c r="D75" i="17"/>
  <c r="F75" i="17" s="1"/>
  <c r="D11" i="17"/>
  <c r="D73" i="17"/>
  <c r="F73" i="17" s="1"/>
  <c r="D9" i="17"/>
  <c r="D71" i="17"/>
  <c r="F71" i="17" s="1"/>
  <c r="D7" i="17"/>
  <c r="D69" i="17"/>
  <c r="D5" i="17"/>
  <c r="D67" i="17"/>
  <c r="F67" i="17" s="1"/>
  <c r="D64" i="17"/>
  <c r="F37" i="17"/>
  <c r="F39" i="17"/>
  <c r="F41" i="17"/>
  <c r="F43" i="17"/>
  <c r="F45" i="17"/>
  <c r="F47" i="17"/>
  <c r="F49" i="17"/>
  <c r="F51" i="17"/>
  <c r="F53" i="17"/>
  <c r="F55" i="17"/>
  <c r="F57" i="17"/>
  <c r="F59" i="17"/>
  <c r="F61" i="17"/>
  <c r="F63" i="17"/>
  <c r="E95" i="17"/>
  <c r="C109" i="17" s="1"/>
  <c r="F109" i="17" s="1"/>
  <c r="E105" i="17"/>
  <c r="E118" i="17"/>
  <c r="D31" i="16"/>
  <c r="D93" i="16"/>
  <c r="F93" i="16" s="1"/>
  <c r="D29" i="16"/>
  <c r="D91" i="16"/>
  <c r="F91" i="16" s="1"/>
  <c r="D27" i="16"/>
  <c r="D89" i="16"/>
  <c r="D25" i="16"/>
  <c r="D87" i="16"/>
  <c r="F87" i="16" s="1"/>
  <c r="D23" i="16"/>
  <c r="D85" i="16"/>
  <c r="F85" i="16" s="1"/>
  <c r="D21" i="16"/>
  <c r="D83" i="16"/>
  <c r="F83" i="16" s="1"/>
  <c r="D19" i="16"/>
  <c r="D81" i="16"/>
  <c r="F81" i="16" s="1"/>
  <c r="D17" i="16"/>
  <c r="D79" i="16"/>
  <c r="F79" i="16" s="1"/>
  <c r="D15" i="16"/>
  <c r="D77" i="16"/>
  <c r="F77" i="16" s="1"/>
  <c r="D13" i="16"/>
  <c r="D75" i="16"/>
  <c r="F75" i="16" s="1"/>
  <c r="D11" i="16"/>
  <c r="D73" i="16"/>
  <c r="D9" i="16"/>
  <c r="D71" i="16"/>
  <c r="F71" i="16" s="1"/>
  <c r="D7" i="16"/>
  <c r="D69" i="16"/>
  <c r="F69" i="16" s="1"/>
  <c r="D5" i="16"/>
  <c r="D67" i="16"/>
  <c r="F67" i="16" s="1"/>
  <c r="D64" i="16"/>
  <c r="F37" i="16"/>
  <c r="F39" i="16"/>
  <c r="F41" i="16"/>
  <c r="F43" i="16"/>
  <c r="F45" i="16"/>
  <c r="F47" i="16"/>
  <c r="F49" i="16"/>
  <c r="F51" i="16"/>
  <c r="F53" i="16"/>
  <c r="F55" i="16"/>
  <c r="F57" i="16"/>
  <c r="F59" i="16"/>
  <c r="F61" i="16"/>
  <c r="F63" i="16"/>
  <c r="E95" i="16"/>
  <c r="C109" i="16" s="1"/>
  <c r="F109" i="16" s="1"/>
  <c r="E105" i="16"/>
  <c r="D31" i="15"/>
  <c r="D93" i="15"/>
  <c r="D29" i="15"/>
  <c r="D91" i="15"/>
  <c r="F91" i="15" s="1"/>
  <c r="D27" i="15"/>
  <c r="D89" i="15"/>
  <c r="F89" i="15" s="1"/>
  <c r="D25" i="15"/>
  <c r="D87" i="15"/>
  <c r="F87" i="15" s="1"/>
  <c r="D23" i="15"/>
  <c r="D85" i="15"/>
  <c r="F85" i="15" s="1"/>
  <c r="D21" i="15"/>
  <c r="D83" i="15"/>
  <c r="F83" i="15" s="1"/>
  <c r="D19" i="15"/>
  <c r="D81" i="15"/>
  <c r="F81" i="15" s="1"/>
  <c r="D17" i="15"/>
  <c r="D79" i="15"/>
  <c r="F79" i="15" s="1"/>
  <c r="D15" i="15"/>
  <c r="D77" i="15"/>
  <c r="D13" i="15"/>
  <c r="D75" i="15"/>
  <c r="F75" i="15" s="1"/>
  <c r="D11" i="15"/>
  <c r="D73" i="15"/>
  <c r="F73" i="15" s="1"/>
  <c r="D9" i="15"/>
  <c r="D71" i="15"/>
  <c r="F71" i="15" s="1"/>
  <c r="D7" i="15"/>
  <c r="D69" i="15"/>
  <c r="F69" i="15" s="1"/>
  <c r="D5" i="15"/>
  <c r="D67" i="15"/>
  <c r="F67" i="15" s="1"/>
  <c r="D64" i="15"/>
  <c r="F37" i="15"/>
  <c r="F39" i="15"/>
  <c r="F41" i="15"/>
  <c r="F43" i="15"/>
  <c r="F45" i="15"/>
  <c r="F47" i="15"/>
  <c r="F49" i="15"/>
  <c r="F51" i="15"/>
  <c r="F53" i="15"/>
  <c r="F55" i="15"/>
  <c r="F57" i="15"/>
  <c r="F59" i="15"/>
  <c r="F61" i="15"/>
  <c r="F63" i="15"/>
  <c r="E95" i="15"/>
  <c r="C109" i="15" s="1"/>
  <c r="F109" i="15" s="1"/>
  <c r="E105" i="15"/>
  <c r="D31" i="14"/>
  <c r="D93" i="14"/>
  <c r="F93" i="14" s="1"/>
  <c r="D29" i="14"/>
  <c r="D91" i="14"/>
  <c r="F91" i="14" s="1"/>
  <c r="D27" i="14"/>
  <c r="D89" i="14"/>
  <c r="F89" i="14" s="1"/>
  <c r="D25" i="14"/>
  <c r="D87" i="14"/>
  <c r="F87" i="14" s="1"/>
  <c r="D23" i="14"/>
  <c r="D85" i="14"/>
  <c r="F85" i="14" s="1"/>
  <c r="D21" i="14"/>
  <c r="D83" i="14"/>
  <c r="F83" i="14" s="1"/>
  <c r="D19" i="14"/>
  <c r="D81" i="14"/>
  <c r="F81" i="14" s="1"/>
  <c r="D17" i="14"/>
  <c r="D79" i="14"/>
  <c r="F79" i="14" s="1"/>
  <c r="D15" i="14"/>
  <c r="D77" i="14"/>
  <c r="D13" i="14"/>
  <c r="D75" i="14"/>
  <c r="F75" i="14" s="1"/>
  <c r="D11" i="14"/>
  <c r="D73" i="14"/>
  <c r="F73" i="14" s="1"/>
  <c r="D9" i="14"/>
  <c r="D71" i="14"/>
  <c r="F71" i="14" s="1"/>
  <c r="D7" i="14"/>
  <c r="D69" i="14"/>
  <c r="F69" i="14" s="1"/>
  <c r="D5" i="14"/>
  <c r="D67" i="14"/>
  <c r="F67" i="14" s="1"/>
  <c r="D64" i="14"/>
  <c r="F37" i="14"/>
  <c r="F39" i="14"/>
  <c r="F41" i="14"/>
  <c r="F43" i="14"/>
  <c r="F45" i="14"/>
  <c r="F47" i="14"/>
  <c r="F49" i="14"/>
  <c r="F51" i="14"/>
  <c r="F53" i="14"/>
  <c r="F55" i="14"/>
  <c r="F57" i="14"/>
  <c r="F59" i="14"/>
  <c r="F61" i="14"/>
  <c r="F63" i="14"/>
  <c r="E95" i="14"/>
  <c r="C109" i="14" s="1"/>
  <c r="F109" i="14" s="1"/>
  <c r="E105" i="14"/>
  <c r="E118" i="14"/>
  <c r="D31" i="13"/>
  <c r="D93" i="13"/>
  <c r="F93" i="13" s="1"/>
  <c r="D29" i="13"/>
  <c r="D91" i="13"/>
  <c r="F91" i="13" s="1"/>
  <c r="D27" i="13"/>
  <c r="D89" i="13"/>
  <c r="F89" i="13" s="1"/>
  <c r="D25" i="13"/>
  <c r="D87" i="13"/>
  <c r="F87" i="13" s="1"/>
  <c r="D23" i="13"/>
  <c r="D85" i="13"/>
  <c r="F85" i="13" s="1"/>
  <c r="D21" i="13"/>
  <c r="D83" i="13"/>
  <c r="F83" i="13" s="1"/>
  <c r="D19" i="13"/>
  <c r="D81" i="13"/>
  <c r="F81" i="13" s="1"/>
  <c r="D17" i="13"/>
  <c r="D79" i="13"/>
  <c r="F79" i="13" s="1"/>
  <c r="D15" i="13"/>
  <c r="D77" i="13"/>
  <c r="F77" i="13" s="1"/>
  <c r="D13" i="13"/>
  <c r="D75" i="13"/>
  <c r="F75" i="13" s="1"/>
  <c r="D11" i="13"/>
  <c r="D73" i="13"/>
  <c r="F73" i="13" s="1"/>
  <c r="D9" i="13"/>
  <c r="D71" i="13"/>
  <c r="F71" i="13" s="1"/>
  <c r="D7" i="13"/>
  <c r="D69" i="13"/>
  <c r="F69" i="13" s="1"/>
  <c r="D5" i="13"/>
  <c r="D67" i="13"/>
  <c r="F67" i="13" s="1"/>
  <c r="D64" i="13"/>
  <c r="F37" i="13"/>
  <c r="F39" i="13"/>
  <c r="F41" i="13"/>
  <c r="F43" i="13"/>
  <c r="F45" i="13"/>
  <c r="F47" i="13"/>
  <c r="F49" i="13"/>
  <c r="F51" i="13"/>
  <c r="F53" i="13"/>
  <c r="F55" i="13"/>
  <c r="F57" i="13"/>
  <c r="F59" i="13"/>
  <c r="F61" i="13"/>
  <c r="F63" i="13"/>
  <c r="E95" i="13"/>
  <c r="C109" i="13" s="1"/>
  <c r="F109" i="13" s="1"/>
  <c r="E105" i="13"/>
  <c r="E118" i="13"/>
  <c r="D31" i="12"/>
  <c r="D93" i="12"/>
  <c r="F93" i="12" s="1"/>
  <c r="D29" i="12"/>
  <c r="D91" i="12"/>
  <c r="F91" i="12" s="1"/>
  <c r="D27" i="12"/>
  <c r="D89" i="12"/>
  <c r="F89" i="12" s="1"/>
  <c r="D25" i="12"/>
  <c r="D87" i="12"/>
  <c r="F87" i="12" s="1"/>
  <c r="D23" i="12"/>
  <c r="D85" i="12"/>
  <c r="F85" i="12" s="1"/>
  <c r="D21" i="12"/>
  <c r="D83" i="12"/>
  <c r="F83" i="12" s="1"/>
  <c r="D19" i="12"/>
  <c r="D81" i="12"/>
  <c r="F81" i="12" s="1"/>
  <c r="D17" i="12"/>
  <c r="D79" i="12"/>
  <c r="F79" i="12" s="1"/>
  <c r="D15" i="12"/>
  <c r="D77" i="12"/>
  <c r="F77" i="12" s="1"/>
  <c r="D13" i="12"/>
  <c r="D75" i="12"/>
  <c r="F75" i="12" s="1"/>
  <c r="D11" i="12"/>
  <c r="D73" i="12"/>
  <c r="F73" i="12" s="1"/>
  <c r="D9" i="12"/>
  <c r="D71" i="12"/>
  <c r="F71" i="12" s="1"/>
  <c r="D7" i="12"/>
  <c r="D69" i="12"/>
  <c r="F69" i="12" s="1"/>
  <c r="D5" i="12"/>
  <c r="D67" i="12"/>
  <c r="F67" i="12" s="1"/>
  <c r="D64" i="12"/>
  <c r="F37" i="12"/>
  <c r="F39" i="12"/>
  <c r="F41" i="12"/>
  <c r="F43" i="12"/>
  <c r="F45" i="12"/>
  <c r="F47" i="12"/>
  <c r="F49" i="12"/>
  <c r="F51" i="12"/>
  <c r="F53" i="12"/>
  <c r="F55" i="12"/>
  <c r="F57" i="12"/>
  <c r="F59" i="12"/>
  <c r="F61" i="12"/>
  <c r="F63" i="12"/>
  <c r="E95" i="12"/>
  <c r="C109" i="12" s="1"/>
  <c r="F109" i="12" s="1"/>
  <c r="E105" i="12"/>
  <c r="D31" i="11"/>
  <c r="D93" i="11"/>
  <c r="F93" i="11" s="1"/>
  <c r="D29" i="11"/>
  <c r="D91" i="11"/>
  <c r="F91" i="11" s="1"/>
  <c r="D27" i="11"/>
  <c r="D89" i="11"/>
  <c r="F89" i="11" s="1"/>
  <c r="D25" i="11"/>
  <c r="D87" i="11"/>
  <c r="F87" i="11" s="1"/>
  <c r="D23" i="11"/>
  <c r="D85" i="11"/>
  <c r="D21" i="11"/>
  <c r="D83" i="11"/>
  <c r="F83" i="11" s="1"/>
  <c r="D19" i="11"/>
  <c r="D81" i="11"/>
  <c r="F81" i="11" s="1"/>
  <c r="D17" i="11"/>
  <c r="D79" i="11"/>
  <c r="F79" i="11" s="1"/>
  <c r="D15" i="11"/>
  <c r="D77" i="11"/>
  <c r="F77" i="11" s="1"/>
  <c r="D13" i="11"/>
  <c r="D75" i="11"/>
  <c r="F75" i="11" s="1"/>
  <c r="D11" i="11"/>
  <c r="D73" i="11"/>
  <c r="F73" i="11" s="1"/>
  <c r="D9" i="11"/>
  <c r="D71" i="11"/>
  <c r="F71" i="11" s="1"/>
  <c r="D7" i="11"/>
  <c r="D69" i="11"/>
  <c r="D5" i="11"/>
  <c r="D67" i="11"/>
  <c r="F67" i="11" s="1"/>
  <c r="D64" i="11"/>
  <c r="F37" i="11"/>
  <c r="F39" i="11"/>
  <c r="F41" i="11"/>
  <c r="F43" i="11"/>
  <c r="F45" i="11"/>
  <c r="F47" i="11"/>
  <c r="F49" i="11"/>
  <c r="F51" i="11"/>
  <c r="F53" i="11"/>
  <c r="F55" i="11"/>
  <c r="F57" i="11"/>
  <c r="F59" i="11"/>
  <c r="F61" i="11"/>
  <c r="F63" i="11"/>
  <c r="E95" i="11"/>
  <c r="C109" i="11" s="1"/>
  <c r="F109" i="11" s="1"/>
  <c r="E105" i="11"/>
  <c r="E118" i="11"/>
  <c r="D31" i="10"/>
  <c r="D93" i="10"/>
  <c r="F93" i="10" s="1"/>
  <c r="D29" i="10"/>
  <c r="D91" i="10"/>
  <c r="F91" i="10" s="1"/>
  <c r="D27" i="10"/>
  <c r="D89" i="10"/>
  <c r="D25" i="10"/>
  <c r="D87" i="10"/>
  <c r="F87" i="10" s="1"/>
  <c r="D23" i="10"/>
  <c r="D85" i="10"/>
  <c r="F85" i="10" s="1"/>
  <c r="D21" i="10"/>
  <c r="D83" i="10"/>
  <c r="F83" i="10" s="1"/>
  <c r="D19" i="10"/>
  <c r="D81" i="10"/>
  <c r="F81" i="10" s="1"/>
  <c r="D17" i="10"/>
  <c r="D79" i="10"/>
  <c r="F79" i="10" s="1"/>
  <c r="D15" i="10"/>
  <c r="D77" i="10"/>
  <c r="F77" i="10" s="1"/>
  <c r="D13" i="10"/>
  <c r="D75" i="10"/>
  <c r="F75" i="10" s="1"/>
  <c r="D11" i="10"/>
  <c r="D73" i="10"/>
  <c r="D9" i="10"/>
  <c r="D71" i="10"/>
  <c r="F71" i="10" s="1"/>
  <c r="D7" i="10"/>
  <c r="D69" i="10"/>
  <c r="F69" i="10" s="1"/>
  <c r="D5" i="10"/>
  <c r="D67" i="10"/>
  <c r="F67" i="10" s="1"/>
  <c r="D64" i="10"/>
  <c r="F37" i="10"/>
  <c r="F39" i="10"/>
  <c r="F41" i="10"/>
  <c r="F43" i="10"/>
  <c r="F45" i="10"/>
  <c r="F47" i="10"/>
  <c r="F49" i="10"/>
  <c r="F51" i="10"/>
  <c r="F53" i="10"/>
  <c r="F55" i="10"/>
  <c r="F57" i="10"/>
  <c r="F59" i="10"/>
  <c r="F61" i="10"/>
  <c r="F63" i="10"/>
  <c r="E95" i="10"/>
  <c r="C109" i="10" s="1"/>
  <c r="F109" i="10" s="1"/>
  <c r="E105" i="10"/>
  <c r="E118" i="10"/>
  <c r="D31" i="9"/>
  <c r="D93" i="9"/>
  <c r="F93" i="9" s="1"/>
  <c r="D91" i="9"/>
  <c r="F91" i="9" s="1"/>
  <c r="D29" i="9"/>
  <c r="D27" i="9"/>
  <c r="D89" i="9"/>
  <c r="D87" i="9"/>
  <c r="F87" i="9" s="1"/>
  <c r="D25" i="9"/>
  <c r="D23" i="9"/>
  <c r="D85" i="9"/>
  <c r="F85" i="9" s="1"/>
  <c r="D83" i="9"/>
  <c r="F83" i="9" s="1"/>
  <c r="D21" i="9"/>
  <c r="D82" i="9"/>
  <c r="F82" i="9" s="1"/>
  <c r="D20" i="9"/>
  <c r="D19" i="9"/>
  <c r="D81" i="9"/>
  <c r="F81" i="9" s="1"/>
  <c r="D80" i="9"/>
  <c r="F80" i="9" s="1"/>
  <c r="D18" i="9"/>
  <c r="D79" i="9"/>
  <c r="F79" i="9" s="1"/>
  <c r="D17" i="9"/>
  <c r="D78" i="9"/>
  <c r="F78" i="9" s="1"/>
  <c r="D16" i="9"/>
  <c r="D15" i="9"/>
  <c r="D77" i="9"/>
  <c r="F77" i="9" s="1"/>
  <c r="D76" i="9"/>
  <c r="F76" i="9" s="1"/>
  <c r="D14" i="9"/>
  <c r="D75" i="9"/>
  <c r="F75" i="9" s="1"/>
  <c r="D13" i="9"/>
  <c r="D74" i="9"/>
  <c r="F74" i="9" s="1"/>
  <c r="D12" i="9"/>
  <c r="D11" i="9"/>
  <c r="D73" i="9"/>
  <c r="D72" i="9"/>
  <c r="F72" i="9" s="1"/>
  <c r="D10" i="9"/>
  <c r="D71" i="9"/>
  <c r="F71" i="9" s="1"/>
  <c r="D9" i="9"/>
  <c r="D70" i="9"/>
  <c r="F70" i="9" s="1"/>
  <c r="D8" i="9"/>
  <c r="D7" i="9"/>
  <c r="D69" i="9"/>
  <c r="F69" i="9" s="1"/>
  <c r="D68" i="9"/>
  <c r="F68" i="9" s="1"/>
  <c r="D6" i="9"/>
  <c r="D67" i="9"/>
  <c r="D5" i="9"/>
  <c r="D64" i="9"/>
  <c r="F53" i="9"/>
  <c r="F55" i="9"/>
  <c r="F57" i="9"/>
  <c r="F59" i="9"/>
  <c r="F61" i="9"/>
  <c r="F63" i="9"/>
  <c r="E95" i="9"/>
  <c r="C109" i="9" s="1"/>
  <c r="F109" i="9" s="1"/>
  <c r="F67" i="9"/>
  <c r="E105" i="9"/>
  <c r="E118" i="9"/>
  <c r="D94" i="8"/>
  <c r="F94" i="8" s="1"/>
  <c r="D32" i="8"/>
  <c r="D31" i="8"/>
  <c r="D93" i="8"/>
  <c r="F93" i="8" s="1"/>
  <c r="D92" i="8"/>
  <c r="F92" i="8" s="1"/>
  <c r="D30" i="8"/>
  <c r="D29" i="8"/>
  <c r="D91" i="8"/>
  <c r="F91" i="8" s="1"/>
  <c r="D90" i="8"/>
  <c r="F90" i="8" s="1"/>
  <c r="D28" i="8"/>
  <c r="D27" i="8"/>
  <c r="D89" i="8"/>
  <c r="F89" i="8" s="1"/>
  <c r="D88" i="8"/>
  <c r="F88" i="8" s="1"/>
  <c r="D26" i="8"/>
  <c r="D25" i="8"/>
  <c r="D87" i="8"/>
  <c r="F87" i="8" s="1"/>
  <c r="D86" i="8"/>
  <c r="D24" i="8"/>
  <c r="D23" i="8"/>
  <c r="D85" i="8"/>
  <c r="F85" i="8" s="1"/>
  <c r="D84" i="8"/>
  <c r="F84" i="8" s="1"/>
  <c r="D22" i="8"/>
  <c r="D21" i="8"/>
  <c r="D83" i="8"/>
  <c r="D82" i="8"/>
  <c r="F82" i="8" s="1"/>
  <c r="D20" i="8"/>
  <c r="D19" i="8"/>
  <c r="D81" i="8"/>
  <c r="F81" i="8" s="1"/>
  <c r="D80" i="8"/>
  <c r="F80" i="8" s="1"/>
  <c r="D18" i="8"/>
  <c r="D17" i="8"/>
  <c r="D79" i="8"/>
  <c r="F79" i="8" s="1"/>
  <c r="D78" i="8"/>
  <c r="F78" i="8" s="1"/>
  <c r="D16" i="8"/>
  <c r="D15" i="8"/>
  <c r="D77" i="8"/>
  <c r="F77" i="8" s="1"/>
  <c r="D76" i="8"/>
  <c r="F76" i="8" s="1"/>
  <c r="D14" i="8"/>
  <c r="D13" i="8"/>
  <c r="D75" i="8"/>
  <c r="F75" i="8" s="1"/>
  <c r="D74" i="8"/>
  <c r="F74" i="8" s="1"/>
  <c r="D12" i="8"/>
  <c r="D11" i="8"/>
  <c r="D73" i="8"/>
  <c r="F73" i="8" s="1"/>
  <c r="D72" i="8"/>
  <c r="F72" i="8" s="1"/>
  <c r="D10" i="8"/>
  <c r="D9" i="8"/>
  <c r="D71" i="8"/>
  <c r="F71" i="8" s="1"/>
  <c r="D70" i="8"/>
  <c r="D8" i="8"/>
  <c r="D7" i="8"/>
  <c r="D69" i="8"/>
  <c r="F69" i="8" s="1"/>
  <c r="D68" i="8"/>
  <c r="F68" i="8" s="1"/>
  <c r="D6" i="8"/>
  <c r="D5" i="8"/>
  <c r="D67" i="8"/>
  <c r="F67" i="8" s="1"/>
  <c r="D64" i="8"/>
  <c r="D94" i="7"/>
  <c r="F94" i="7" s="1"/>
  <c r="D32" i="7"/>
  <c r="D31" i="7"/>
  <c r="D93" i="7"/>
  <c r="F93" i="7" s="1"/>
  <c r="D92" i="7"/>
  <c r="F92" i="7" s="1"/>
  <c r="D30" i="7"/>
  <c r="D29" i="7"/>
  <c r="D91" i="7"/>
  <c r="F91" i="7" s="1"/>
  <c r="D90" i="7"/>
  <c r="F90" i="7" s="1"/>
  <c r="D28" i="7"/>
  <c r="D27" i="7"/>
  <c r="D89" i="7"/>
  <c r="F89" i="7" s="1"/>
  <c r="D88" i="7"/>
  <c r="F88" i="7" s="1"/>
  <c r="D26" i="7"/>
  <c r="D25" i="7"/>
  <c r="D87" i="7"/>
  <c r="F87" i="7" s="1"/>
  <c r="D86" i="7"/>
  <c r="F86" i="7" s="1"/>
  <c r="D24" i="7"/>
  <c r="D23" i="7"/>
  <c r="D85" i="7"/>
  <c r="F85" i="7" s="1"/>
  <c r="D84" i="7"/>
  <c r="F84" i="7" s="1"/>
  <c r="D22" i="7"/>
  <c r="D21" i="7"/>
  <c r="D83" i="7"/>
  <c r="F83" i="7" s="1"/>
  <c r="D82" i="7"/>
  <c r="F82" i="7" s="1"/>
  <c r="D20" i="7"/>
  <c r="D19" i="7"/>
  <c r="D81" i="7"/>
  <c r="F81" i="7" s="1"/>
  <c r="D80" i="7"/>
  <c r="F80" i="7" s="1"/>
  <c r="D18" i="7"/>
  <c r="D17" i="7"/>
  <c r="D79" i="7"/>
  <c r="F79" i="7" s="1"/>
  <c r="D78" i="7"/>
  <c r="F78" i="7" s="1"/>
  <c r="D16" i="7"/>
  <c r="D15" i="7"/>
  <c r="D77" i="7"/>
  <c r="F77" i="7" s="1"/>
  <c r="D76" i="7"/>
  <c r="F76" i="7" s="1"/>
  <c r="D14" i="7"/>
  <c r="D13" i="7"/>
  <c r="D75" i="7"/>
  <c r="F75" i="7" s="1"/>
  <c r="D74" i="7"/>
  <c r="F74" i="7" s="1"/>
  <c r="D12" i="7"/>
  <c r="D11" i="7"/>
  <c r="D73" i="7"/>
  <c r="F73" i="7" s="1"/>
  <c r="D72" i="7"/>
  <c r="F72" i="7" s="1"/>
  <c r="D10" i="7"/>
  <c r="D9" i="7"/>
  <c r="D71" i="7"/>
  <c r="F71" i="7" s="1"/>
  <c r="D70" i="7"/>
  <c r="F70" i="7" s="1"/>
  <c r="D8" i="7"/>
  <c r="D7" i="7"/>
  <c r="D69" i="7"/>
  <c r="F69" i="7" s="1"/>
  <c r="D68" i="7"/>
  <c r="F68" i="7" s="1"/>
  <c r="D6" i="7"/>
  <c r="D5" i="7"/>
  <c r="D67" i="7"/>
  <c r="D64" i="7"/>
  <c r="D94" i="6"/>
  <c r="F94" i="6" s="1"/>
  <c r="D32" i="6"/>
  <c r="D31" i="6"/>
  <c r="D93" i="6"/>
  <c r="F93" i="6" s="1"/>
  <c r="D92" i="6"/>
  <c r="F92" i="6" s="1"/>
  <c r="D30" i="6"/>
  <c r="D29" i="6"/>
  <c r="D91" i="6"/>
  <c r="F91" i="6" s="1"/>
  <c r="D90" i="6"/>
  <c r="F90" i="6" s="1"/>
  <c r="D28" i="6"/>
  <c r="D27" i="6"/>
  <c r="D89" i="6"/>
  <c r="F89" i="6" s="1"/>
  <c r="D88" i="6"/>
  <c r="F88" i="6" s="1"/>
  <c r="D26" i="6"/>
  <c r="D25" i="6"/>
  <c r="D87" i="6"/>
  <c r="F87" i="6" s="1"/>
  <c r="D86" i="6"/>
  <c r="F86" i="6" s="1"/>
  <c r="D24" i="6"/>
  <c r="D23" i="6"/>
  <c r="D85" i="6"/>
  <c r="F85" i="6" s="1"/>
  <c r="D84" i="6"/>
  <c r="F84" i="6" s="1"/>
  <c r="D22" i="6"/>
  <c r="D21" i="6"/>
  <c r="D83" i="6"/>
  <c r="D82" i="6"/>
  <c r="D20" i="6"/>
  <c r="D19" i="6"/>
  <c r="D81" i="6"/>
  <c r="F81" i="6" s="1"/>
  <c r="D80" i="6"/>
  <c r="F80" i="6" s="1"/>
  <c r="D18" i="6"/>
  <c r="D17" i="6"/>
  <c r="D79" i="6"/>
  <c r="F79" i="6" s="1"/>
  <c r="D78" i="6"/>
  <c r="F78" i="6" s="1"/>
  <c r="D16" i="6"/>
  <c r="D15" i="6"/>
  <c r="D77" i="6"/>
  <c r="F77" i="6" s="1"/>
  <c r="D76" i="6"/>
  <c r="F76" i="6" s="1"/>
  <c r="D14" i="6"/>
  <c r="D13" i="6"/>
  <c r="D75" i="6"/>
  <c r="F75" i="6" s="1"/>
  <c r="D74" i="6"/>
  <c r="F74" i="6" s="1"/>
  <c r="D12" i="6"/>
  <c r="D11" i="6"/>
  <c r="D73" i="6"/>
  <c r="F73" i="6" s="1"/>
  <c r="D72" i="6"/>
  <c r="F72" i="6" s="1"/>
  <c r="D10" i="6"/>
  <c r="D9" i="6"/>
  <c r="D71" i="6"/>
  <c r="F71" i="6" s="1"/>
  <c r="D70" i="6"/>
  <c r="F70" i="6" s="1"/>
  <c r="D8" i="6"/>
  <c r="D7" i="6"/>
  <c r="D69" i="6"/>
  <c r="F69" i="6" s="1"/>
  <c r="D68" i="6"/>
  <c r="F68" i="6" s="1"/>
  <c r="D6" i="6"/>
  <c r="D5" i="6"/>
  <c r="D67" i="6"/>
  <c r="F67" i="6" s="1"/>
  <c r="D64" i="6"/>
  <c r="D94" i="5"/>
  <c r="F94" i="5" s="1"/>
  <c r="D32" i="5"/>
  <c r="D31" i="5"/>
  <c r="D93" i="5"/>
  <c r="F93" i="5" s="1"/>
  <c r="D92" i="5"/>
  <c r="F92" i="5" s="1"/>
  <c r="D30" i="5"/>
  <c r="D29" i="5"/>
  <c r="D91" i="5"/>
  <c r="F91" i="5" s="1"/>
  <c r="D90" i="5"/>
  <c r="F90" i="5" s="1"/>
  <c r="D28" i="5"/>
  <c r="D27" i="5"/>
  <c r="D89" i="5"/>
  <c r="F89" i="5" s="1"/>
  <c r="D88" i="5"/>
  <c r="F88" i="5" s="1"/>
  <c r="D26" i="5"/>
  <c r="D25" i="5"/>
  <c r="D87" i="5"/>
  <c r="F87" i="5" s="1"/>
  <c r="D86" i="5"/>
  <c r="F86" i="5" s="1"/>
  <c r="D24" i="5"/>
  <c r="D23" i="5"/>
  <c r="D85" i="5"/>
  <c r="D84" i="5"/>
  <c r="F84" i="5" s="1"/>
  <c r="D22" i="5"/>
  <c r="D21" i="5"/>
  <c r="D83" i="5"/>
  <c r="F83" i="5" s="1"/>
  <c r="D82" i="5"/>
  <c r="F82" i="5" s="1"/>
  <c r="D20" i="5"/>
  <c r="D19" i="5"/>
  <c r="D81" i="5"/>
  <c r="F81" i="5" s="1"/>
  <c r="D80" i="5"/>
  <c r="F80" i="5" s="1"/>
  <c r="D18" i="5"/>
  <c r="D17" i="5"/>
  <c r="D79" i="5"/>
  <c r="F79" i="5" s="1"/>
  <c r="D78" i="5"/>
  <c r="F78" i="5" s="1"/>
  <c r="D16" i="5"/>
  <c r="D15" i="5"/>
  <c r="D77" i="5"/>
  <c r="F77" i="5" s="1"/>
  <c r="D76" i="5"/>
  <c r="F76" i="5" s="1"/>
  <c r="D14" i="5"/>
  <c r="D13" i="5"/>
  <c r="D75" i="5"/>
  <c r="F75" i="5" s="1"/>
  <c r="D74" i="5"/>
  <c r="F74" i="5" s="1"/>
  <c r="D12" i="5"/>
  <c r="D11" i="5"/>
  <c r="D73" i="5"/>
  <c r="F73" i="5" s="1"/>
  <c r="D72" i="5"/>
  <c r="F72" i="5" s="1"/>
  <c r="D10" i="5"/>
  <c r="D9" i="5"/>
  <c r="D71" i="5"/>
  <c r="F71" i="5" s="1"/>
  <c r="D70" i="5"/>
  <c r="F70" i="5" s="1"/>
  <c r="D8" i="5"/>
  <c r="D7" i="5"/>
  <c r="D69" i="5"/>
  <c r="F69" i="5" s="1"/>
  <c r="D68" i="5"/>
  <c r="F68" i="5" s="1"/>
  <c r="D6" i="5"/>
  <c r="D5" i="5"/>
  <c r="D67" i="5"/>
  <c r="D64" i="5"/>
  <c r="D94" i="4"/>
  <c r="D32" i="4"/>
  <c r="D31" i="4"/>
  <c r="D93" i="4"/>
  <c r="F93" i="4" s="1"/>
  <c r="D92" i="4"/>
  <c r="F92" i="4" s="1"/>
  <c r="D30" i="4"/>
  <c r="D29" i="4"/>
  <c r="D91" i="4"/>
  <c r="F91" i="4" s="1"/>
  <c r="D90" i="4"/>
  <c r="F90" i="4" s="1"/>
  <c r="D28" i="4"/>
  <c r="D27" i="4"/>
  <c r="D89" i="4"/>
  <c r="F89" i="4" s="1"/>
  <c r="D88" i="4"/>
  <c r="F88" i="4" s="1"/>
  <c r="D26" i="4"/>
  <c r="D25" i="4"/>
  <c r="D87" i="4"/>
  <c r="F87" i="4" s="1"/>
  <c r="D86" i="4"/>
  <c r="F86" i="4" s="1"/>
  <c r="D24" i="4"/>
  <c r="D23" i="4"/>
  <c r="D85" i="4"/>
  <c r="F85" i="4" s="1"/>
  <c r="D84" i="4"/>
  <c r="F84" i="4" s="1"/>
  <c r="D22" i="4"/>
  <c r="D21" i="4"/>
  <c r="D83" i="4"/>
  <c r="F83" i="4" s="1"/>
  <c r="D82" i="4"/>
  <c r="F82" i="4" s="1"/>
  <c r="D20" i="4"/>
  <c r="D19" i="4"/>
  <c r="D81" i="4"/>
  <c r="F81" i="4" s="1"/>
  <c r="D80" i="4"/>
  <c r="F80" i="4" s="1"/>
  <c r="D18" i="4"/>
  <c r="D17" i="4"/>
  <c r="D79" i="4"/>
  <c r="F79" i="4" s="1"/>
  <c r="D78" i="4"/>
  <c r="D16" i="4"/>
  <c r="D15" i="4"/>
  <c r="D77" i="4"/>
  <c r="F77" i="4" s="1"/>
  <c r="D76" i="4"/>
  <c r="F76" i="4" s="1"/>
  <c r="D14" i="4"/>
  <c r="D13" i="4"/>
  <c r="D75" i="4"/>
  <c r="F75" i="4" s="1"/>
  <c r="D74" i="4"/>
  <c r="F74" i="4" s="1"/>
  <c r="D12" i="4"/>
  <c r="D11" i="4"/>
  <c r="D73" i="4"/>
  <c r="F73" i="4" s="1"/>
  <c r="D72" i="4"/>
  <c r="F72" i="4" s="1"/>
  <c r="D10" i="4"/>
  <c r="D9" i="4"/>
  <c r="D71" i="4"/>
  <c r="F71" i="4" s="1"/>
  <c r="D70" i="4"/>
  <c r="F70" i="4" s="1"/>
  <c r="D8" i="4"/>
  <c r="D7" i="4"/>
  <c r="D69" i="4"/>
  <c r="F69" i="4" s="1"/>
  <c r="D68" i="4"/>
  <c r="F68" i="4" s="1"/>
  <c r="D6" i="4"/>
  <c r="D5" i="4"/>
  <c r="D67" i="4"/>
  <c r="F67" i="4" s="1"/>
  <c r="D64" i="4"/>
  <c r="D94" i="3"/>
  <c r="F94" i="3" s="1"/>
  <c r="D32" i="3"/>
  <c r="D31" i="3"/>
  <c r="D93" i="3"/>
  <c r="F93" i="3" s="1"/>
  <c r="D92" i="3"/>
  <c r="F92" i="3" s="1"/>
  <c r="D30" i="3"/>
  <c r="D29" i="3"/>
  <c r="D91" i="3"/>
  <c r="F91" i="3" s="1"/>
  <c r="D90" i="3"/>
  <c r="F90" i="3" s="1"/>
  <c r="D28" i="3"/>
  <c r="D27" i="3"/>
  <c r="D89" i="3"/>
  <c r="F89" i="3" s="1"/>
  <c r="D88" i="3"/>
  <c r="F88" i="3" s="1"/>
  <c r="D26" i="3"/>
  <c r="D25" i="3"/>
  <c r="D87" i="3"/>
  <c r="F87" i="3" s="1"/>
  <c r="D86" i="3"/>
  <c r="F86" i="3" s="1"/>
  <c r="D24" i="3"/>
  <c r="D23" i="3"/>
  <c r="D85" i="3"/>
  <c r="F85" i="3" s="1"/>
  <c r="D84" i="3"/>
  <c r="F84" i="3" s="1"/>
  <c r="D22" i="3"/>
  <c r="D21" i="3"/>
  <c r="D83" i="3"/>
  <c r="F83" i="3" s="1"/>
  <c r="D82" i="3"/>
  <c r="F82" i="3" s="1"/>
  <c r="D20" i="3"/>
  <c r="D19" i="3"/>
  <c r="D81" i="3"/>
  <c r="F81" i="3" s="1"/>
  <c r="D80" i="3"/>
  <c r="F80" i="3" s="1"/>
  <c r="D18" i="3"/>
  <c r="D17" i="3"/>
  <c r="D79" i="3"/>
  <c r="F79" i="3" s="1"/>
  <c r="D78" i="3"/>
  <c r="F78" i="3" s="1"/>
  <c r="D16" i="3"/>
  <c r="D15" i="3"/>
  <c r="D77" i="3"/>
  <c r="F77" i="3" s="1"/>
  <c r="D76" i="3"/>
  <c r="F76" i="3" s="1"/>
  <c r="D14" i="3"/>
  <c r="D13" i="3"/>
  <c r="D75" i="3"/>
  <c r="F75" i="3" s="1"/>
  <c r="D74" i="3"/>
  <c r="F74" i="3" s="1"/>
  <c r="D12" i="3"/>
  <c r="D11" i="3"/>
  <c r="D73" i="3"/>
  <c r="F73" i="3" s="1"/>
  <c r="D72" i="3"/>
  <c r="F72" i="3" s="1"/>
  <c r="D10" i="3"/>
  <c r="D9" i="3"/>
  <c r="D71" i="3"/>
  <c r="F71" i="3" s="1"/>
  <c r="D70" i="3"/>
  <c r="F70" i="3" s="1"/>
  <c r="D8" i="3"/>
  <c r="D7" i="3"/>
  <c r="D69" i="3"/>
  <c r="F69" i="3" s="1"/>
  <c r="D68" i="3"/>
  <c r="F68" i="3" s="1"/>
  <c r="D6" i="3"/>
  <c r="D5" i="3"/>
  <c r="D67" i="3"/>
  <c r="D64" i="3"/>
  <c r="D94" i="59"/>
  <c r="F94" i="59" s="1"/>
  <c r="D32" i="59"/>
  <c r="D31" i="59"/>
  <c r="D93" i="59"/>
  <c r="F93" i="59" s="1"/>
  <c r="D92" i="59"/>
  <c r="F92" i="59" s="1"/>
  <c r="D30" i="59"/>
  <c r="D29" i="59"/>
  <c r="D91" i="59"/>
  <c r="F91" i="59" s="1"/>
  <c r="D90" i="59"/>
  <c r="D28" i="59"/>
  <c r="D27" i="59"/>
  <c r="D89" i="59"/>
  <c r="F89" i="59" s="1"/>
  <c r="D88" i="59"/>
  <c r="F88" i="59" s="1"/>
  <c r="D26" i="59"/>
  <c r="D25" i="59"/>
  <c r="D87" i="59"/>
  <c r="F87" i="59" s="1"/>
  <c r="D86" i="59"/>
  <c r="F86" i="59" s="1"/>
  <c r="D24" i="59"/>
  <c r="D23" i="59"/>
  <c r="D85" i="59"/>
  <c r="F85" i="59" s="1"/>
  <c r="D84" i="59"/>
  <c r="F84" i="59" s="1"/>
  <c r="D22" i="59"/>
  <c r="D21" i="59"/>
  <c r="D83" i="59"/>
  <c r="F83" i="59" s="1"/>
  <c r="D82" i="59"/>
  <c r="F82" i="59" s="1"/>
  <c r="D20" i="59"/>
  <c r="D19" i="59"/>
  <c r="D81" i="59"/>
  <c r="F81" i="59" s="1"/>
  <c r="D80" i="59"/>
  <c r="F80" i="59" s="1"/>
  <c r="D18" i="59"/>
  <c r="D17" i="59"/>
  <c r="D79" i="59"/>
  <c r="F79" i="59" s="1"/>
  <c r="D78" i="59"/>
  <c r="F78" i="59" s="1"/>
  <c r="D16" i="59"/>
  <c r="D15" i="59"/>
  <c r="D77" i="59"/>
  <c r="F77" i="59" s="1"/>
  <c r="D76" i="59"/>
  <c r="F76" i="59" s="1"/>
  <c r="D14" i="59"/>
  <c r="D13" i="59"/>
  <c r="D75" i="59"/>
  <c r="F75" i="59" s="1"/>
  <c r="D74" i="59"/>
  <c r="D12" i="59"/>
  <c r="D11" i="59"/>
  <c r="D73" i="59"/>
  <c r="F73" i="59" s="1"/>
  <c r="D72" i="59"/>
  <c r="F72" i="59" s="1"/>
  <c r="D10" i="59"/>
  <c r="D9" i="59"/>
  <c r="D71" i="59"/>
  <c r="F71" i="59" s="1"/>
  <c r="D70" i="59"/>
  <c r="F70" i="59" s="1"/>
  <c r="D8" i="59"/>
  <c r="D7" i="59"/>
  <c r="D69" i="59"/>
  <c r="F69" i="59" s="1"/>
  <c r="D68" i="59"/>
  <c r="F68" i="59" s="1"/>
  <c r="D6" i="59"/>
  <c r="D5" i="59"/>
  <c r="D67" i="59"/>
  <c r="F67" i="59" s="1"/>
  <c r="D64" i="59"/>
  <c r="D94" i="1"/>
  <c r="F94" i="1" s="1"/>
  <c r="D32" i="1"/>
  <c r="D31" i="1"/>
  <c r="D93" i="1"/>
  <c r="F93" i="1" s="1"/>
  <c r="D92" i="1"/>
  <c r="F92" i="1" s="1"/>
  <c r="D30" i="1"/>
  <c r="D29" i="1"/>
  <c r="D91" i="1"/>
  <c r="F91" i="1" s="1"/>
  <c r="D90" i="1"/>
  <c r="F90" i="1" s="1"/>
  <c r="D28" i="1"/>
  <c r="D27" i="1"/>
  <c r="D89" i="1"/>
  <c r="F89" i="1" s="1"/>
  <c r="D88" i="1"/>
  <c r="F88" i="1" s="1"/>
  <c r="D26" i="1"/>
  <c r="D25" i="1"/>
  <c r="D87" i="1"/>
  <c r="F87" i="1" s="1"/>
  <c r="D86" i="1"/>
  <c r="F86" i="1" s="1"/>
  <c r="D24" i="1"/>
  <c r="D23" i="1"/>
  <c r="D85" i="1"/>
  <c r="F85" i="1" s="1"/>
  <c r="D84" i="1"/>
  <c r="F84" i="1" s="1"/>
  <c r="D22" i="1"/>
  <c r="D21" i="1"/>
  <c r="D83" i="1"/>
  <c r="F83" i="1" s="1"/>
  <c r="D82" i="1"/>
  <c r="F82" i="1" s="1"/>
  <c r="D20" i="1"/>
  <c r="D19" i="1"/>
  <c r="D81" i="1"/>
  <c r="F81" i="1" s="1"/>
  <c r="D80" i="1"/>
  <c r="F80" i="1" s="1"/>
  <c r="D18" i="1"/>
  <c r="D17" i="1"/>
  <c r="D79" i="1"/>
  <c r="F79" i="1" s="1"/>
  <c r="D78" i="1"/>
  <c r="F78" i="1" s="1"/>
  <c r="D16" i="1"/>
  <c r="D15" i="1"/>
  <c r="D77" i="1"/>
  <c r="F77" i="1" s="1"/>
  <c r="D76" i="1"/>
  <c r="F76" i="1" s="1"/>
  <c r="D14" i="1"/>
  <c r="D13" i="1"/>
  <c r="D75" i="1"/>
  <c r="F75" i="1" s="1"/>
  <c r="D74" i="1"/>
  <c r="F74" i="1" s="1"/>
  <c r="D12" i="1"/>
  <c r="D11" i="1"/>
  <c r="D73" i="1"/>
  <c r="F73" i="1" s="1"/>
  <c r="D72" i="1"/>
  <c r="F72" i="1" s="1"/>
  <c r="D10" i="1"/>
  <c r="D9" i="1"/>
  <c r="D71" i="1"/>
  <c r="F71" i="1" s="1"/>
  <c r="D70" i="1"/>
  <c r="F70" i="1" s="1"/>
  <c r="D8" i="1"/>
  <c r="D7" i="1"/>
  <c r="D69" i="1"/>
  <c r="F69" i="1" s="1"/>
  <c r="D68" i="1"/>
  <c r="F68" i="1" s="1"/>
  <c r="D6" i="1"/>
  <c r="D5" i="1"/>
  <c r="D67" i="1"/>
  <c r="D64" i="1"/>
  <c r="D94" i="56"/>
  <c r="F94" i="56" s="1"/>
  <c r="D32" i="56"/>
  <c r="D31" i="56"/>
  <c r="D93" i="56"/>
  <c r="F93" i="56" s="1"/>
  <c r="D92" i="56"/>
  <c r="F92" i="56" s="1"/>
  <c r="D30" i="56"/>
  <c r="D29" i="56"/>
  <c r="D91" i="56"/>
  <c r="F91" i="56" s="1"/>
  <c r="D90" i="56"/>
  <c r="F90" i="56" s="1"/>
  <c r="D28" i="56"/>
  <c r="D27" i="56"/>
  <c r="D89" i="56"/>
  <c r="F89" i="56" s="1"/>
  <c r="D88" i="56"/>
  <c r="F88" i="56" s="1"/>
  <c r="D26" i="56"/>
  <c r="D25" i="56"/>
  <c r="D87" i="56"/>
  <c r="F87" i="56" s="1"/>
  <c r="D86" i="56"/>
  <c r="D24" i="56"/>
  <c r="D23" i="56"/>
  <c r="D85" i="56"/>
  <c r="F85" i="56" s="1"/>
  <c r="D84" i="56"/>
  <c r="F84" i="56" s="1"/>
  <c r="D22" i="56"/>
  <c r="D21" i="56"/>
  <c r="D83" i="56"/>
  <c r="F83" i="56" s="1"/>
  <c r="D82" i="56"/>
  <c r="F82" i="56" s="1"/>
  <c r="D20" i="56"/>
  <c r="D19" i="56"/>
  <c r="D81" i="56"/>
  <c r="F81" i="56" s="1"/>
  <c r="D80" i="56"/>
  <c r="F80" i="56" s="1"/>
  <c r="D18" i="56"/>
  <c r="D17" i="56"/>
  <c r="D79" i="56"/>
  <c r="F79" i="56" s="1"/>
  <c r="D78" i="56"/>
  <c r="F78" i="56" s="1"/>
  <c r="D16" i="56"/>
  <c r="D15" i="56"/>
  <c r="D77" i="56"/>
  <c r="F77" i="56" s="1"/>
  <c r="D76" i="56"/>
  <c r="F76" i="56" s="1"/>
  <c r="D14" i="56"/>
  <c r="D13" i="56"/>
  <c r="D75" i="56"/>
  <c r="F75" i="56" s="1"/>
  <c r="D74" i="56"/>
  <c r="F74" i="56" s="1"/>
  <c r="D12" i="56"/>
  <c r="D11" i="56"/>
  <c r="D73" i="56"/>
  <c r="F73" i="56" s="1"/>
  <c r="D72" i="56"/>
  <c r="F72" i="56" s="1"/>
  <c r="D10" i="56"/>
  <c r="D9" i="56"/>
  <c r="D71" i="56"/>
  <c r="F71" i="56" s="1"/>
  <c r="D70" i="56"/>
  <c r="D8" i="56"/>
  <c r="D7" i="56"/>
  <c r="D69" i="56"/>
  <c r="F69" i="56" s="1"/>
  <c r="D68" i="56"/>
  <c r="F68" i="56" s="1"/>
  <c r="D6" i="56"/>
  <c r="D5" i="56"/>
  <c r="D67" i="56"/>
  <c r="F67" i="56" s="1"/>
  <c r="D64" i="56"/>
  <c r="D67" i="55"/>
  <c r="D64" i="55"/>
  <c r="D5" i="55"/>
  <c r="D68" i="55"/>
  <c r="F68" i="55" s="1"/>
  <c r="D6" i="55"/>
  <c r="D69" i="55"/>
  <c r="F69" i="55" s="1"/>
  <c r="D7" i="55"/>
  <c r="D70" i="55"/>
  <c r="D8" i="55"/>
  <c r="D71" i="55"/>
  <c r="F71" i="55" s="1"/>
  <c r="D9" i="55"/>
  <c r="D72" i="55"/>
  <c r="F72" i="55" s="1"/>
  <c r="D10" i="55"/>
  <c r="D73" i="55"/>
  <c r="F73" i="55" s="1"/>
  <c r="D11" i="55"/>
  <c r="D74" i="55"/>
  <c r="F74" i="55" s="1"/>
  <c r="D12" i="55"/>
  <c r="D75" i="55"/>
  <c r="F75" i="55" s="1"/>
  <c r="D13" i="55"/>
  <c r="D76" i="55"/>
  <c r="F76" i="55" s="1"/>
  <c r="D14" i="55"/>
  <c r="D77" i="55"/>
  <c r="F77" i="55" s="1"/>
  <c r="D15" i="55"/>
  <c r="D78" i="55"/>
  <c r="F78" i="55" s="1"/>
  <c r="D16" i="55"/>
  <c r="D79" i="55"/>
  <c r="F79" i="55" s="1"/>
  <c r="D17" i="55"/>
  <c r="D80" i="55"/>
  <c r="F80" i="55" s="1"/>
  <c r="D18" i="55"/>
  <c r="D81" i="55"/>
  <c r="F81" i="55" s="1"/>
  <c r="D19" i="55"/>
  <c r="D82" i="55"/>
  <c r="F82" i="55" s="1"/>
  <c r="D20" i="55"/>
  <c r="D83" i="55"/>
  <c r="F83" i="55" s="1"/>
  <c r="D21" i="55"/>
  <c r="D84" i="55"/>
  <c r="F84" i="55" s="1"/>
  <c r="D22" i="55"/>
  <c r="D85" i="55"/>
  <c r="F85" i="55" s="1"/>
  <c r="D23" i="55"/>
  <c r="D86" i="55"/>
  <c r="F86" i="55" s="1"/>
  <c r="D24" i="55"/>
  <c r="D87" i="55"/>
  <c r="F87" i="55" s="1"/>
  <c r="D25" i="55"/>
  <c r="D88" i="55"/>
  <c r="F88" i="55" s="1"/>
  <c r="D26" i="55"/>
  <c r="D89" i="55"/>
  <c r="F89" i="55" s="1"/>
  <c r="D27" i="55"/>
  <c r="D90" i="55"/>
  <c r="F90" i="55" s="1"/>
  <c r="D28" i="55"/>
  <c r="F37" i="55"/>
  <c r="F39" i="55"/>
  <c r="F41" i="55"/>
  <c r="F43" i="55"/>
  <c r="F45" i="55"/>
  <c r="F47" i="55"/>
  <c r="F49" i="55"/>
  <c r="F51" i="55"/>
  <c r="F53" i="55"/>
  <c r="F55" i="55"/>
  <c r="F57" i="55"/>
  <c r="F59" i="55"/>
  <c r="F70" i="55"/>
  <c r="F60" i="55"/>
  <c r="F62" i="55"/>
  <c r="F40" i="54"/>
  <c r="F38" i="54"/>
  <c r="D118" i="54"/>
  <c r="E64" i="54"/>
  <c r="F36" i="54"/>
  <c r="F90" i="54"/>
  <c r="F42" i="54"/>
  <c r="F44" i="54"/>
  <c r="F46" i="54"/>
  <c r="F48" i="54"/>
  <c r="F50" i="54"/>
  <c r="F52" i="54"/>
  <c r="F54" i="54"/>
  <c r="F56" i="54"/>
  <c r="F58" i="54"/>
  <c r="F60" i="54"/>
  <c r="F62" i="54"/>
  <c r="F81" i="54"/>
  <c r="F49" i="53"/>
  <c r="F47" i="53"/>
  <c r="F45" i="53"/>
  <c r="F43" i="53"/>
  <c r="F41" i="53"/>
  <c r="F39" i="53"/>
  <c r="F37" i="53"/>
  <c r="E118" i="52"/>
  <c r="F62" i="52"/>
  <c r="F60" i="52"/>
  <c r="F58" i="52"/>
  <c r="F56" i="52"/>
  <c r="F54" i="52"/>
  <c r="F52" i="52"/>
  <c r="F50" i="52"/>
  <c r="F48" i="52"/>
  <c r="F46" i="52"/>
  <c r="F44" i="52"/>
  <c r="F42" i="52"/>
  <c r="F40" i="52"/>
  <c r="F38" i="52"/>
  <c r="D118" i="52"/>
  <c r="E64" i="52"/>
  <c r="M12" i="63" s="1"/>
  <c r="F36" i="52"/>
  <c r="D82" i="53"/>
  <c r="F82" i="53" s="1"/>
  <c r="D20" i="53"/>
  <c r="D83" i="53"/>
  <c r="F83" i="53" s="1"/>
  <c r="D21" i="53"/>
  <c r="D84" i="53"/>
  <c r="D22" i="53"/>
  <c r="D85" i="53"/>
  <c r="F85" i="53" s="1"/>
  <c r="D23" i="53"/>
  <c r="D86" i="53"/>
  <c r="F86" i="53" s="1"/>
  <c r="D24" i="53"/>
  <c r="D87" i="53"/>
  <c r="F87" i="53" s="1"/>
  <c r="D25" i="53"/>
  <c r="D88" i="53"/>
  <c r="F88" i="53" s="1"/>
  <c r="D26" i="53"/>
  <c r="D89" i="53"/>
  <c r="F89" i="53" s="1"/>
  <c r="D27" i="53"/>
  <c r="D90" i="53"/>
  <c r="F90" i="53" s="1"/>
  <c r="D28" i="53"/>
  <c r="D91" i="53"/>
  <c r="F91" i="53" s="1"/>
  <c r="D29" i="53"/>
  <c r="D92" i="53"/>
  <c r="F92" i="53" s="1"/>
  <c r="D30" i="53"/>
  <c r="D93" i="53"/>
  <c r="F93" i="53" s="1"/>
  <c r="D31" i="53"/>
  <c r="D94" i="53"/>
  <c r="F94" i="53" s="1"/>
  <c r="D32" i="53"/>
  <c r="F84" i="53"/>
  <c r="F51" i="53"/>
  <c r="F53" i="53"/>
  <c r="F55" i="53"/>
  <c r="F57" i="53"/>
  <c r="F59" i="53"/>
  <c r="F61" i="53"/>
  <c r="F63" i="53"/>
  <c r="E95" i="53"/>
  <c r="C109" i="53" s="1"/>
  <c r="F109" i="53" s="1"/>
  <c r="E105" i="53"/>
  <c r="E118" i="53"/>
  <c r="D94" i="52"/>
  <c r="F94" i="52" s="1"/>
  <c r="D32" i="52"/>
  <c r="D31" i="52"/>
  <c r="D93" i="52"/>
  <c r="F93" i="52" s="1"/>
  <c r="D92" i="52"/>
  <c r="F92" i="52" s="1"/>
  <c r="D30" i="52"/>
  <c r="D29" i="52"/>
  <c r="D91" i="52"/>
  <c r="F91" i="52" s="1"/>
  <c r="D90" i="52"/>
  <c r="F90" i="52" s="1"/>
  <c r="D28" i="52"/>
  <c r="D27" i="52"/>
  <c r="D89" i="52"/>
  <c r="F89" i="52" s="1"/>
  <c r="D88" i="52"/>
  <c r="F88" i="52" s="1"/>
  <c r="D26" i="52"/>
  <c r="D25" i="52"/>
  <c r="D87" i="52"/>
  <c r="F87" i="52" s="1"/>
  <c r="D86" i="52"/>
  <c r="F86" i="52" s="1"/>
  <c r="D24" i="52"/>
  <c r="D23" i="52"/>
  <c r="D85" i="52"/>
  <c r="F85" i="52" s="1"/>
  <c r="D84" i="52"/>
  <c r="F84" i="52" s="1"/>
  <c r="D22" i="52"/>
  <c r="D21" i="52"/>
  <c r="D83" i="52"/>
  <c r="F83" i="52" s="1"/>
  <c r="D82" i="52"/>
  <c r="F82" i="52" s="1"/>
  <c r="D20" i="52"/>
  <c r="D19" i="52"/>
  <c r="D81" i="52"/>
  <c r="F81" i="52" s="1"/>
  <c r="D80" i="52"/>
  <c r="F80" i="52" s="1"/>
  <c r="D18" i="52"/>
  <c r="D17" i="52"/>
  <c r="D79" i="52"/>
  <c r="F79" i="52" s="1"/>
  <c r="D78" i="52"/>
  <c r="F78" i="52" s="1"/>
  <c r="D16" i="52"/>
  <c r="D15" i="52"/>
  <c r="D77" i="52"/>
  <c r="F77" i="52" s="1"/>
  <c r="D76" i="52"/>
  <c r="F76" i="52" s="1"/>
  <c r="D14" i="52"/>
  <c r="D13" i="52"/>
  <c r="D75" i="52"/>
  <c r="F75" i="52" s="1"/>
  <c r="D74" i="52"/>
  <c r="F74" i="52" s="1"/>
  <c r="D12" i="52"/>
  <c r="D11" i="52"/>
  <c r="D73" i="52"/>
  <c r="F73" i="52" s="1"/>
  <c r="D72" i="52"/>
  <c r="F72" i="52" s="1"/>
  <c r="D10" i="52"/>
  <c r="D9" i="52"/>
  <c r="D71" i="52"/>
  <c r="F71" i="52" s="1"/>
  <c r="D70" i="52"/>
  <c r="F70" i="52" s="1"/>
  <c r="D8" i="52"/>
  <c r="D7" i="52"/>
  <c r="D69" i="52"/>
  <c r="F69" i="52" s="1"/>
  <c r="D68" i="52"/>
  <c r="F68" i="52" s="1"/>
  <c r="D6" i="52"/>
  <c r="D5" i="52"/>
  <c r="D67" i="52"/>
  <c r="D64" i="52"/>
  <c r="D94" i="51"/>
  <c r="F94" i="51" s="1"/>
  <c r="D32" i="51"/>
  <c r="D93" i="51"/>
  <c r="F93" i="51" s="1"/>
  <c r="D31" i="51"/>
  <c r="D92" i="51"/>
  <c r="F92" i="51" s="1"/>
  <c r="D30" i="51"/>
  <c r="D91" i="51"/>
  <c r="F91" i="51" s="1"/>
  <c r="D29" i="51"/>
  <c r="D90" i="51"/>
  <c r="F90" i="51" s="1"/>
  <c r="D28" i="51"/>
  <c r="D89" i="51"/>
  <c r="F89" i="51" s="1"/>
  <c r="D27" i="51"/>
  <c r="D88" i="51"/>
  <c r="F88" i="51" s="1"/>
  <c r="D26" i="51"/>
  <c r="D87" i="51"/>
  <c r="F87" i="51" s="1"/>
  <c r="D25" i="51"/>
  <c r="D86" i="51"/>
  <c r="F86" i="51" s="1"/>
  <c r="D24" i="51"/>
  <c r="D85" i="51"/>
  <c r="F85" i="51" s="1"/>
  <c r="D23" i="51"/>
  <c r="D84" i="51"/>
  <c r="F84" i="51" s="1"/>
  <c r="D22" i="51"/>
  <c r="D83" i="51"/>
  <c r="F83" i="51" s="1"/>
  <c r="D21" i="51"/>
  <c r="D82" i="51"/>
  <c r="F82" i="51" s="1"/>
  <c r="D20" i="51"/>
  <c r="D81" i="51"/>
  <c r="F81" i="51" s="1"/>
  <c r="D19" i="51"/>
  <c r="D80" i="51"/>
  <c r="F80" i="51" s="1"/>
  <c r="D18" i="51"/>
  <c r="D79" i="51"/>
  <c r="F79" i="51" s="1"/>
  <c r="D17" i="51"/>
  <c r="D78" i="51"/>
  <c r="F78" i="51" s="1"/>
  <c r="D16" i="51"/>
  <c r="D77" i="51"/>
  <c r="F77" i="51" s="1"/>
  <c r="D15" i="51"/>
  <c r="D14" i="51"/>
  <c r="D76" i="51"/>
  <c r="F76" i="51" s="1"/>
  <c r="D75" i="51"/>
  <c r="F75" i="51" s="1"/>
  <c r="D13" i="51"/>
  <c r="D12" i="51"/>
  <c r="D74" i="51"/>
  <c r="F74" i="51" s="1"/>
  <c r="D73" i="51"/>
  <c r="F73" i="51" s="1"/>
  <c r="D11" i="51"/>
  <c r="D10" i="51"/>
  <c r="D72" i="51"/>
  <c r="F72" i="51" s="1"/>
  <c r="D71" i="51"/>
  <c r="F71" i="51" s="1"/>
  <c r="D9" i="51"/>
  <c r="D8" i="51"/>
  <c r="D70" i="51"/>
  <c r="F70" i="51" s="1"/>
  <c r="D69" i="51"/>
  <c r="F69" i="51" s="1"/>
  <c r="D7" i="51"/>
  <c r="D6" i="51"/>
  <c r="D68" i="51"/>
  <c r="F68" i="51" s="1"/>
  <c r="D67" i="51"/>
  <c r="D64" i="51"/>
  <c r="F64" i="51" s="1"/>
  <c r="D5" i="51"/>
  <c r="E105" i="51"/>
  <c r="E118" i="51"/>
  <c r="F90" i="50"/>
  <c r="F74" i="50"/>
  <c r="D32" i="49"/>
  <c r="D94" i="49"/>
  <c r="F94" i="49" s="1"/>
  <c r="D93" i="49"/>
  <c r="F93" i="49" s="1"/>
  <c r="D31" i="49"/>
  <c r="D30" i="49"/>
  <c r="D92" i="49"/>
  <c r="F92" i="49" s="1"/>
  <c r="D91" i="49"/>
  <c r="F91" i="49" s="1"/>
  <c r="D29" i="49"/>
  <c r="D28" i="49"/>
  <c r="D90" i="49"/>
  <c r="F90" i="49" s="1"/>
  <c r="D89" i="49"/>
  <c r="F89" i="49" s="1"/>
  <c r="D27" i="49"/>
  <c r="D26" i="49"/>
  <c r="D88" i="49"/>
  <c r="F88" i="49" s="1"/>
  <c r="D87" i="49"/>
  <c r="F87" i="49" s="1"/>
  <c r="D25" i="49"/>
  <c r="D24" i="49"/>
  <c r="D86" i="49"/>
  <c r="F86" i="49" s="1"/>
  <c r="D85" i="49"/>
  <c r="F85" i="49" s="1"/>
  <c r="D23" i="49"/>
  <c r="D22" i="49"/>
  <c r="D84" i="49"/>
  <c r="F84" i="49" s="1"/>
  <c r="D83" i="49"/>
  <c r="F83" i="49" s="1"/>
  <c r="D21" i="49"/>
  <c r="D20" i="49"/>
  <c r="D82" i="49"/>
  <c r="F82" i="49" s="1"/>
  <c r="D81" i="49"/>
  <c r="F81" i="49" s="1"/>
  <c r="D19" i="49"/>
  <c r="D18" i="49"/>
  <c r="D80" i="49"/>
  <c r="F80" i="49" s="1"/>
  <c r="D79" i="49"/>
  <c r="F79" i="49" s="1"/>
  <c r="D17" i="49"/>
  <c r="D16" i="49"/>
  <c r="D78" i="49"/>
  <c r="F78" i="49" s="1"/>
  <c r="D77" i="49"/>
  <c r="F77" i="49" s="1"/>
  <c r="D15" i="49"/>
  <c r="D14" i="49"/>
  <c r="D76" i="49"/>
  <c r="F76" i="49" s="1"/>
  <c r="D75" i="49"/>
  <c r="F75" i="49" s="1"/>
  <c r="D13" i="49"/>
  <c r="D12" i="49"/>
  <c r="D74" i="49"/>
  <c r="F74" i="49" s="1"/>
  <c r="D73" i="49"/>
  <c r="F73" i="49" s="1"/>
  <c r="D11" i="49"/>
  <c r="D10" i="49"/>
  <c r="D72" i="49"/>
  <c r="F72" i="49" s="1"/>
  <c r="D71" i="49"/>
  <c r="F71" i="49" s="1"/>
  <c r="D9" i="49"/>
  <c r="D8" i="49"/>
  <c r="D70" i="49"/>
  <c r="F70" i="49" s="1"/>
  <c r="D69" i="49"/>
  <c r="F69" i="49" s="1"/>
  <c r="D7" i="49"/>
  <c r="D6" i="49"/>
  <c r="D68" i="49"/>
  <c r="F68" i="49" s="1"/>
  <c r="D67" i="49"/>
  <c r="D64" i="49"/>
  <c r="F64" i="49" s="1"/>
  <c r="D5" i="49"/>
  <c r="E95" i="51"/>
  <c r="C109" i="51" s="1"/>
  <c r="F109" i="51" s="1"/>
  <c r="F63" i="51"/>
  <c r="F59" i="51"/>
  <c r="F55" i="51"/>
  <c r="F51" i="51"/>
  <c r="F47" i="51"/>
  <c r="F43" i="51"/>
  <c r="F39" i="51"/>
  <c r="F61" i="49"/>
  <c r="F57" i="49"/>
  <c r="F53" i="49"/>
  <c r="F49" i="49"/>
  <c r="F45" i="49"/>
  <c r="F41" i="49"/>
  <c r="F37" i="49"/>
  <c r="E118" i="48"/>
  <c r="E105" i="48"/>
  <c r="F62" i="48"/>
  <c r="F58" i="48"/>
  <c r="F54" i="48"/>
  <c r="F50" i="48"/>
  <c r="F62" i="51"/>
  <c r="F60" i="51"/>
  <c r="F58" i="51"/>
  <c r="F56" i="51"/>
  <c r="F54" i="51"/>
  <c r="F52" i="51"/>
  <c r="F50" i="51"/>
  <c r="F48" i="51"/>
  <c r="F46" i="51"/>
  <c r="F44" i="51"/>
  <c r="F42" i="51"/>
  <c r="F40" i="51"/>
  <c r="F38" i="51"/>
  <c r="F36" i="51"/>
  <c r="E95" i="50"/>
  <c r="C109" i="50" s="1"/>
  <c r="F109" i="50" s="1"/>
  <c r="F63" i="50"/>
  <c r="F59" i="50"/>
  <c r="F55" i="50"/>
  <c r="F51" i="50"/>
  <c r="F47" i="50"/>
  <c r="F43" i="50"/>
  <c r="F39" i="50"/>
  <c r="F62" i="49"/>
  <c r="F60" i="49"/>
  <c r="F58" i="49"/>
  <c r="F56" i="49"/>
  <c r="F54" i="49"/>
  <c r="F52" i="49"/>
  <c r="F50" i="49"/>
  <c r="F48" i="49"/>
  <c r="F46" i="49"/>
  <c r="F44" i="49"/>
  <c r="F42" i="49"/>
  <c r="F40" i="49"/>
  <c r="F38" i="49"/>
  <c r="F36" i="49"/>
  <c r="E95" i="48"/>
  <c r="C109" i="48" s="1"/>
  <c r="F109" i="48" s="1"/>
  <c r="F61" i="48"/>
  <c r="F57" i="48"/>
  <c r="F53" i="48"/>
  <c r="F49" i="48"/>
  <c r="F45" i="48"/>
  <c r="D74" i="48"/>
  <c r="F74" i="48" s="1"/>
  <c r="D12" i="48"/>
  <c r="D75" i="48"/>
  <c r="F75" i="48" s="1"/>
  <c r="D13" i="48"/>
  <c r="D76" i="48"/>
  <c r="F76" i="48" s="1"/>
  <c r="D14" i="48"/>
  <c r="D77" i="48"/>
  <c r="F77" i="48" s="1"/>
  <c r="D15" i="48"/>
  <c r="D78" i="48"/>
  <c r="F78" i="48" s="1"/>
  <c r="D16" i="48"/>
  <c r="D79" i="48"/>
  <c r="F79" i="48" s="1"/>
  <c r="D17" i="48"/>
  <c r="D80" i="48"/>
  <c r="F80" i="48" s="1"/>
  <c r="D18" i="48"/>
  <c r="D81" i="48"/>
  <c r="F81" i="48" s="1"/>
  <c r="D19" i="48"/>
  <c r="D82" i="48"/>
  <c r="F82" i="48" s="1"/>
  <c r="D20" i="48"/>
  <c r="D83" i="48"/>
  <c r="F83" i="48" s="1"/>
  <c r="D21" i="48"/>
  <c r="D84" i="48"/>
  <c r="F84" i="48" s="1"/>
  <c r="D22" i="48"/>
  <c r="D85" i="48"/>
  <c r="F85" i="48" s="1"/>
  <c r="D23" i="48"/>
  <c r="D86" i="48"/>
  <c r="F86" i="48" s="1"/>
  <c r="D24" i="48"/>
  <c r="D87" i="48"/>
  <c r="F87" i="48" s="1"/>
  <c r="D25" i="48"/>
  <c r="D88" i="48"/>
  <c r="F88" i="48" s="1"/>
  <c r="D26" i="48"/>
  <c r="D89" i="48"/>
  <c r="F89" i="48" s="1"/>
  <c r="D27" i="48"/>
  <c r="D90" i="48"/>
  <c r="F90" i="48" s="1"/>
  <c r="D28" i="48"/>
  <c r="D91" i="48"/>
  <c r="F91" i="48" s="1"/>
  <c r="D29" i="48"/>
  <c r="D92" i="48"/>
  <c r="F92" i="48" s="1"/>
  <c r="D30" i="48"/>
  <c r="D93" i="48"/>
  <c r="F93" i="48" s="1"/>
  <c r="D31" i="48"/>
  <c r="D94" i="48"/>
  <c r="F94" i="48" s="1"/>
  <c r="D32" i="48"/>
  <c r="E118" i="50"/>
  <c r="F36" i="48"/>
  <c r="F69" i="47"/>
  <c r="E118" i="47"/>
  <c r="F62" i="47"/>
  <c r="F60" i="47"/>
  <c r="F58" i="47"/>
  <c r="F56" i="47"/>
  <c r="F54" i="47"/>
  <c r="F52" i="47"/>
  <c r="F50" i="47"/>
  <c r="F48" i="47"/>
  <c r="F46" i="47"/>
  <c r="F44" i="47"/>
  <c r="F48" i="48"/>
  <c r="F44" i="48"/>
  <c r="F39" i="48"/>
  <c r="F88" i="47"/>
  <c r="D32" i="46"/>
  <c r="D94" i="46"/>
  <c r="F94" i="46" s="1"/>
  <c r="D93" i="46"/>
  <c r="F93" i="46" s="1"/>
  <c r="D31" i="46"/>
  <c r="D30" i="46"/>
  <c r="D92" i="46"/>
  <c r="F92" i="46" s="1"/>
  <c r="D91" i="46"/>
  <c r="F91" i="46" s="1"/>
  <c r="D29" i="46"/>
  <c r="D28" i="46"/>
  <c r="D90" i="46"/>
  <c r="F90" i="46" s="1"/>
  <c r="D89" i="46"/>
  <c r="F89" i="46" s="1"/>
  <c r="D27" i="46"/>
  <c r="D26" i="46"/>
  <c r="D88" i="46"/>
  <c r="F88" i="46" s="1"/>
  <c r="D87" i="46"/>
  <c r="F87" i="46" s="1"/>
  <c r="D25" i="46"/>
  <c r="D24" i="46"/>
  <c r="D86" i="46"/>
  <c r="F86" i="46" s="1"/>
  <c r="D85" i="46"/>
  <c r="F85" i="46" s="1"/>
  <c r="D23" i="46"/>
  <c r="D22" i="46"/>
  <c r="D84" i="46"/>
  <c r="F84" i="46" s="1"/>
  <c r="D83" i="46"/>
  <c r="F83" i="46" s="1"/>
  <c r="D21" i="46"/>
  <c r="D20" i="46"/>
  <c r="D82" i="46"/>
  <c r="F82" i="46" s="1"/>
  <c r="D81" i="46"/>
  <c r="F81" i="46" s="1"/>
  <c r="D19" i="46"/>
  <c r="D18" i="46"/>
  <c r="D80" i="46"/>
  <c r="F80" i="46" s="1"/>
  <c r="D79" i="46"/>
  <c r="F79" i="46" s="1"/>
  <c r="D17" i="46"/>
  <c r="D16" i="46"/>
  <c r="D78" i="46"/>
  <c r="F78" i="46" s="1"/>
  <c r="D77" i="46"/>
  <c r="F77" i="46" s="1"/>
  <c r="D15" i="46"/>
  <c r="D14" i="46"/>
  <c r="D76" i="46"/>
  <c r="F76" i="46" s="1"/>
  <c r="D75" i="46"/>
  <c r="F75" i="46" s="1"/>
  <c r="D13" i="46"/>
  <c r="D12" i="46"/>
  <c r="D74" i="46"/>
  <c r="F74" i="46" s="1"/>
  <c r="D73" i="46"/>
  <c r="F73" i="46" s="1"/>
  <c r="D11" i="46"/>
  <c r="D10" i="46"/>
  <c r="D72" i="46"/>
  <c r="F72" i="46" s="1"/>
  <c r="D71" i="46"/>
  <c r="F71" i="46" s="1"/>
  <c r="D9" i="46"/>
  <c r="D8" i="46"/>
  <c r="D70" i="46"/>
  <c r="F70" i="46" s="1"/>
  <c r="D69" i="46"/>
  <c r="F69" i="46" s="1"/>
  <c r="D7" i="46"/>
  <c r="D6" i="46"/>
  <c r="D68" i="46"/>
  <c r="F68" i="46" s="1"/>
  <c r="D67" i="46"/>
  <c r="D64" i="46"/>
  <c r="F64" i="46" s="1"/>
  <c r="D5" i="46"/>
  <c r="F94" i="45"/>
  <c r="F78" i="45"/>
  <c r="F42" i="47"/>
  <c r="F40" i="47"/>
  <c r="F38" i="47"/>
  <c r="E64" i="47"/>
  <c r="E95" i="46"/>
  <c r="C109" i="46" s="1"/>
  <c r="F109" i="46" s="1"/>
  <c r="E118" i="46"/>
  <c r="F61" i="46"/>
  <c r="F57" i="46"/>
  <c r="F53" i="46"/>
  <c r="F49" i="46"/>
  <c r="F45" i="46"/>
  <c r="F41" i="46"/>
  <c r="F37" i="46"/>
  <c r="F71" i="44"/>
  <c r="E118" i="44"/>
  <c r="F63" i="44"/>
  <c r="F61" i="44"/>
  <c r="F59" i="44"/>
  <c r="F57" i="44"/>
  <c r="F55" i="44"/>
  <c r="F53" i="44"/>
  <c r="F51" i="44"/>
  <c r="F49" i="44"/>
  <c r="F47" i="44"/>
  <c r="F45" i="44"/>
  <c r="F43" i="44"/>
  <c r="F41" i="44"/>
  <c r="F39" i="44"/>
  <c r="F37" i="44"/>
  <c r="F93" i="43"/>
  <c r="F77" i="43"/>
  <c r="E118" i="43"/>
  <c r="F62" i="43"/>
  <c r="F60" i="43"/>
  <c r="F58" i="43"/>
  <c r="F56" i="43"/>
  <c r="F54" i="43"/>
  <c r="F52" i="43"/>
  <c r="F50" i="43"/>
  <c r="F48" i="43"/>
  <c r="F46" i="43"/>
  <c r="F44" i="43"/>
  <c r="F42" i="43"/>
  <c r="F40" i="43"/>
  <c r="F38" i="43"/>
  <c r="D118" i="43"/>
  <c r="E64" i="43"/>
  <c r="F36" i="43"/>
  <c r="E105" i="42"/>
  <c r="F75" i="42"/>
  <c r="E95" i="42"/>
  <c r="C109" i="42" s="1"/>
  <c r="F109" i="42" s="1"/>
  <c r="F63" i="42"/>
  <c r="F61" i="42"/>
  <c r="F59" i="42"/>
  <c r="F57" i="42"/>
  <c r="F55" i="42"/>
  <c r="F53" i="42"/>
  <c r="F51" i="42"/>
  <c r="F49" i="42"/>
  <c r="F47" i="42"/>
  <c r="F45" i="42"/>
  <c r="F43" i="42"/>
  <c r="F41" i="42"/>
  <c r="F39" i="42"/>
  <c r="F37" i="42"/>
  <c r="F89" i="41"/>
  <c r="F73" i="41"/>
  <c r="E118" i="41"/>
  <c r="F62" i="41"/>
  <c r="F60" i="41"/>
  <c r="F58" i="41"/>
  <c r="F56" i="41"/>
  <c r="F54" i="41"/>
  <c r="F52" i="41"/>
  <c r="F50" i="41"/>
  <c r="F48" i="41"/>
  <c r="F46" i="41"/>
  <c r="F44" i="41"/>
  <c r="F42" i="41"/>
  <c r="F40" i="41"/>
  <c r="F38" i="41"/>
  <c r="D118" i="41"/>
  <c r="E64" i="41"/>
  <c r="F36" i="41"/>
  <c r="E105" i="40"/>
  <c r="F87" i="40"/>
  <c r="E95" i="40"/>
  <c r="C109" i="40" s="1"/>
  <c r="F109" i="40" s="1"/>
  <c r="F63" i="40"/>
  <c r="F61" i="40"/>
  <c r="F59" i="40"/>
  <c r="F57" i="40"/>
  <c r="F55" i="40"/>
  <c r="F53" i="40"/>
  <c r="F51" i="40"/>
  <c r="F49" i="40"/>
  <c r="F47" i="40"/>
  <c r="F45" i="40"/>
  <c r="F43" i="40"/>
  <c r="F41" i="40"/>
  <c r="F39" i="40"/>
  <c r="F37" i="40"/>
  <c r="F89" i="39"/>
  <c r="F73" i="39"/>
  <c r="E118" i="39"/>
  <c r="F62" i="39"/>
  <c r="F60" i="39"/>
  <c r="F58" i="39"/>
  <c r="F56" i="39"/>
  <c r="F54" i="39"/>
  <c r="F52" i="39"/>
  <c r="F50" i="39"/>
  <c r="F48" i="39"/>
  <c r="F46" i="39"/>
  <c r="F44" i="39"/>
  <c r="F42" i="39"/>
  <c r="F40" i="39"/>
  <c r="F38" i="39"/>
  <c r="D118" i="39"/>
  <c r="E64" i="39"/>
  <c r="F36" i="39"/>
  <c r="F39" i="47"/>
  <c r="F62" i="46"/>
  <c r="F60" i="46"/>
  <c r="F58" i="46"/>
  <c r="F56" i="46"/>
  <c r="F54" i="46"/>
  <c r="F52" i="46"/>
  <c r="F50" i="46"/>
  <c r="F48" i="46"/>
  <c r="F46" i="46"/>
  <c r="F44" i="46"/>
  <c r="F42" i="46"/>
  <c r="F40" i="46"/>
  <c r="F38" i="46"/>
  <c r="F36" i="46"/>
  <c r="E95" i="45"/>
  <c r="C109" i="45" s="1"/>
  <c r="F109" i="45" s="1"/>
  <c r="F63" i="45"/>
  <c r="F59" i="45"/>
  <c r="F55" i="45"/>
  <c r="F51" i="45"/>
  <c r="F47" i="45"/>
  <c r="F43" i="45"/>
  <c r="F39" i="45"/>
  <c r="F69" i="44"/>
  <c r="D93" i="44"/>
  <c r="F93" i="44" s="1"/>
  <c r="D31" i="44"/>
  <c r="D94" i="44"/>
  <c r="F94" i="44" s="1"/>
  <c r="D32" i="44"/>
  <c r="F80" i="44"/>
  <c r="F86" i="43"/>
  <c r="F94" i="42"/>
  <c r="F78" i="42"/>
  <c r="F86" i="41"/>
  <c r="F90" i="40"/>
  <c r="F74" i="40"/>
  <c r="F86" i="39"/>
  <c r="F69" i="38"/>
  <c r="F62" i="38"/>
  <c r="F60" i="38"/>
  <c r="F58" i="38"/>
  <c r="F56" i="38"/>
  <c r="F84" i="38"/>
  <c r="F83" i="38"/>
  <c r="E105" i="38"/>
  <c r="E118" i="38"/>
  <c r="F90" i="37"/>
  <c r="F74" i="37"/>
  <c r="D32" i="36"/>
  <c r="D94" i="36"/>
  <c r="F94" i="36" s="1"/>
  <c r="D93" i="36"/>
  <c r="F93" i="36" s="1"/>
  <c r="D31" i="36"/>
  <c r="D30" i="36"/>
  <c r="D92" i="36"/>
  <c r="F92" i="36" s="1"/>
  <c r="D91" i="36"/>
  <c r="F91" i="36" s="1"/>
  <c r="D29" i="36"/>
  <c r="D28" i="36"/>
  <c r="D90" i="36"/>
  <c r="F90" i="36" s="1"/>
  <c r="D89" i="36"/>
  <c r="F89" i="36" s="1"/>
  <c r="D27" i="36"/>
  <c r="D26" i="36"/>
  <c r="D88" i="36"/>
  <c r="F88" i="36" s="1"/>
  <c r="D87" i="36"/>
  <c r="F87" i="36" s="1"/>
  <c r="D25" i="36"/>
  <c r="D24" i="36"/>
  <c r="D86" i="36"/>
  <c r="F86" i="36" s="1"/>
  <c r="D85" i="36"/>
  <c r="F85" i="36" s="1"/>
  <c r="D23" i="36"/>
  <c r="D22" i="36"/>
  <c r="D84" i="36"/>
  <c r="F84" i="36" s="1"/>
  <c r="D83" i="36"/>
  <c r="F83" i="36" s="1"/>
  <c r="D21" i="36"/>
  <c r="D20" i="36"/>
  <c r="D82" i="36"/>
  <c r="F82" i="36" s="1"/>
  <c r="D81" i="36"/>
  <c r="F81" i="36" s="1"/>
  <c r="D19" i="36"/>
  <c r="D18" i="36"/>
  <c r="D80" i="36"/>
  <c r="F80" i="36" s="1"/>
  <c r="D79" i="36"/>
  <c r="F79" i="36" s="1"/>
  <c r="D17" i="36"/>
  <c r="D16" i="36"/>
  <c r="D78" i="36"/>
  <c r="F78" i="36" s="1"/>
  <c r="D77" i="36"/>
  <c r="F77" i="36" s="1"/>
  <c r="D15" i="36"/>
  <c r="D14" i="36"/>
  <c r="D76" i="36"/>
  <c r="F76" i="36" s="1"/>
  <c r="D75" i="36"/>
  <c r="F75" i="36" s="1"/>
  <c r="D13" i="36"/>
  <c r="D12" i="36"/>
  <c r="D74" i="36"/>
  <c r="F74" i="36" s="1"/>
  <c r="D73" i="36"/>
  <c r="F73" i="36" s="1"/>
  <c r="D11" i="36"/>
  <c r="D10" i="36"/>
  <c r="D72" i="36"/>
  <c r="F72" i="36" s="1"/>
  <c r="D71" i="36"/>
  <c r="F71" i="36" s="1"/>
  <c r="D9" i="36"/>
  <c r="D8" i="36"/>
  <c r="D70" i="36"/>
  <c r="F70" i="36" s="1"/>
  <c r="D69" i="36"/>
  <c r="F69" i="36" s="1"/>
  <c r="D7" i="36"/>
  <c r="D6" i="36"/>
  <c r="D68" i="36"/>
  <c r="F68" i="36" s="1"/>
  <c r="D67" i="36"/>
  <c r="D64" i="36"/>
  <c r="F64" i="36" s="1"/>
  <c r="D5" i="36"/>
  <c r="F86" i="35"/>
  <c r="D32" i="34"/>
  <c r="D94" i="34"/>
  <c r="F94" i="34" s="1"/>
  <c r="D93" i="34"/>
  <c r="F93" i="34" s="1"/>
  <c r="D31" i="34"/>
  <c r="D30" i="34"/>
  <c r="D92" i="34"/>
  <c r="F92" i="34" s="1"/>
  <c r="D91" i="34"/>
  <c r="F91" i="34" s="1"/>
  <c r="D29" i="34"/>
  <c r="D28" i="34"/>
  <c r="D90" i="34"/>
  <c r="F90" i="34" s="1"/>
  <c r="D89" i="34"/>
  <c r="F89" i="34" s="1"/>
  <c r="D27" i="34"/>
  <c r="D26" i="34"/>
  <c r="D88" i="34"/>
  <c r="F88" i="34" s="1"/>
  <c r="D87" i="34"/>
  <c r="F87" i="34" s="1"/>
  <c r="D25" i="34"/>
  <c r="D24" i="34"/>
  <c r="D86" i="34"/>
  <c r="F86" i="34" s="1"/>
  <c r="D85" i="34"/>
  <c r="F85" i="34" s="1"/>
  <c r="D23" i="34"/>
  <c r="D22" i="34"/>
  <c r="D84" i="34"/>
  <c r="F84" i="34" s="1"/>
  <c r="D83" i="34"/>
  <c r="F83" i="34" s="1"/>
  <c r="D21" i="34"/>
  <c r="D20" i="34"/>
  <c r="D82" i="34"/>
  <c r="F82" i="34" s="1"/>
  <c r="D81" i="34"/>
  <c r="F81" i="34" s="1"/>
  <c r="D19" i="34"/>
  <c r="D18" i="34"/>
  <c r="D80" i="34"/>
  <c r="F80" i="34" s="1"/>
  <c r="D79" i="34"/>
  <c r="F79" i="34" s="1"/>
  <c r="D17" i="34"/>
  <c r="D16" i="34"/>
  <c r="D78" i="34"/>
  <c r="F78" i="34" s="1"/>
  <c r="D77" i="34"/>
  <c r="F77" i="34" s="1"/>
  <c r="D15" i="34"/>
  <c r="D14" i="34"/>
  <c r="D76" i="34"/>
  <c r="F76" i="34" s="1"/>
  <c r="D75" i="34"/>
  <c r="F75" i="34" s="1"/>
  <c r="D13" i="34"/>
  <c r="D12" i="34"/>
  <c r="D74" i="34"/>
  <c r="F74" i="34" s="1"/>
  <c r="D73" i="34"/>
  <c r="F73" i="34" s="1"/>
  <c r="D11" i="34"/>
  <c r="D10" i="34"/>
  <c r="D72" i="34"/>
  <c r="F72" i="34" s="1"/>
  <c r="D71" i="34"/>
  <c r="F71" i="34" s="1"/>
  <c r="D9" i="34"/>
  <c r="D8" i="34"/>
  <c r="D70" i="34"/>
  <c r="F70" i="34" s="1"/>
  <c r="D69" i="34"/>
  <c r="F69" i="34" s="1"/>
  <c r="D7" i="34"/>
  <c r="D6" i="34"/>
  <c r="D68" i="34"/>
  <c r="F68" i="34" s="1"/>
  <c r="D67" i="34"/>
  <c r="D64" i="34"/>
  <c r="D5" i="34"/>
  <c r="F86" i="33"/>
  <c r="F70" i="33"/>
  <c r="D32" i="32"/>
  <c r="D94" i="32"/>
  <c r="F94" i="32" s="1"/>
  <c r="D93" i="32"/>
  <c r="F93" i="32" s="1"/>
  <c r="D31" i="32"/>
  <c r="D30" i="32"/>
  <c r="D92" i="32"/>
  <c r="F92" i="32" s="1"/>
  <c r="D91" i="32"/>
  <c r="F91" i="32" s="1"/>
  <c r="D29" i="32"/>
  <c r="D28" i="32"/>
  <c r="D90" i="32"/>
  <c r="F90" i="32" s="1"/>
  <c r="D89" i="32"/>
  <c r="F89" i="32" s="1"/>
  <c r="D27" i="32"/>
  <c r="D26" i="32"/>
  <c r="D88" i="32"/>
  <c r="F88" i="32" s="1"/>
  <c r="D87" i="32"/>
  <c r="F87" i="32" s="1"/>
  <c r="D25" i="32"/>
  <c r="D24" i="32"/>
  <c r="D86" i="32"/>
  <c r="F86" i="32" s="1"/>
  <c r="D85" i="32"/>
  <c r="F85" i="32" s="1"/>
  <c r="D23" i="32"/>
  <c r="D22" i="32"/>
  <c r="D84" i="32"/>
  <c r="F84" i="32" s="1"/>
  <c r="D83" i="32"/>
  <c r="F83" i="32" s="1"/>
  <c r="D21" i="32"/>
  <c r="D20" i="32"/>
  <c r="D82" i="32"/>
  <c r="F82" i="32" s="1"/>
  <c r="D81" i="32"/>
  <c r="F81" i="32" s="1"/>
  <c r="D19" i="32"/>
  <c r="D18" i="32"/>
  <c r="D80" i="32"/>
  <c r="F80" i="32" s="1"/>
  <c r="D79" i="32"/>
  <c r="F79" i="32" s="1"/>
  <c r="D17" i="32"/>
  <c r="D16" i="32"/>
  <c r="D78" i="32"/>
  <c r="F78" i="32" s="1"/>
  <c r="D77" i="32"/>
  <c r="F77" i="32" s="1"/>
  <c r="D15" i="32"/>
  <c r="D14" i="32"/>
  <c r="D76" i="32"/>
  <c r="F76" i="32" s="1"/>
  <c r="D75" i="32"/>
  <c r="F75" i="32" s="1"/>
  <c r="D13" i="32"/>
  <c r="D12" i="32"/>
  <c r="D74" i="32"/>
  <c r="F74" i="32" s="1"/>
  <c r="D73" i="32"/>
  <c r="F73" i="32" s="1"/>
  <c r="D11" i="32"/>
  <c r="D10" i="32"/>
  <c r="D72" i="32"/>
  <c r="F72" i="32" s="1"/>
  <c r="D71" i="32"/>
  <c r="F71" i="32" s="1"/>
  <c r="D9" i="32"/>
  <c r="D8" i="32"/>
  <c r="D70" i="32"/>
  <c r="F70" i="32" s="1"/>
  <c r="D69" i="32"/>
  <c r="F69" i="32" s="1"/>
  <c r="D7" i="32"/>
  <c r="D6" i="32"/>
  <c r="D68" i="32"/>
  <c r="F68" i="32" s="1"/>
  <c r="D67" i="32"/>
  <c r="D64" i="32"/>
  <c r="F64" i="32" s="1"/>
  <c r="D5" i="32"/>
  <c r="F51" i="38"/>
  <c r="F47" i="38"/>
  <c r="F43" i="38"/>
  <c r="F39" i="38"/>
  <c r="F64" i="37"/>
  <c r="F62" i="37"/>
  <c r="F60" i="37"/>
  <c r="F58" i="37"/>
  <c r="F56" i="37"/>
  <c r="F54" i="37"/>
  <c r="F52" i="37"/>
  <c r="F50" i="37"/>
  <c r="F48" i="37"/>
  <c r="F46" i="37"/>
  <c r="F44" i="37"/>
  <c r="F42" i="37"/>
  <c r="F40" i="37"/>
  <c r="F38" i="37"/>
  <c r="F36" i="37"/>
  <c r="E95" i="36"/>
  <c r="C109" i="36" s="1"/>
  <c r="F109" i="36" s="1"/>
  <c r="F63" i="36"/>
  <c r="F59" i="36"/>
  <c r="F55" i="36"/>
  <c r="F51" i="36"/>
  <c r="F47" i="36"/>
  <c r="F43" i="36"/>
  <c r="F39" i="36"/>
  <c r="F62" i="35"/>
  <c r="F60" i="35"/>
  <c r="F58" i="35"/>
  <c r="F56" i="35"/>
  <c r="F54" i="35"/>
  <c r="F52" i="35"/>
  <c r="F50" i="35"/>
  <c r="F48" i="35"/>
  <c r="F46" i="35"/>
  <c r="F44" i="35"/>
  <c r="F42" i="35"/>
  <c r="F40" i="35"/>
  <c r="F38" i="35"/>
  <c r="F36" i="35"/>
  <c r="E95" i="34"/>
  <c r="C109" i="34" s="1"/>
  <c r="F109" i="34" s="1"/>
  <c r="F63" i="34"/>
  <c r="F59" i="34"/>
  <c r="F55" i="34"/>
  <c r="F51" i="34"/>
  <c r="F47" i="34"/>
  <c r="F43" i="34"/>
  <c r="F39" i="34"/>
  <c r="F62" i="33"/>
  <c r="F60" i="33"/>
  <c r="F58" i="33"/>
  <c r="F56" i="33"/>
  <c r="F54" i="33"/>
  <c r="F52" i="33"/>
  <c r="F50" i="33"/>
  <c r="F48" i="33"/>
  <c r="F46" i="33"/>
  <c r="F44" i="33"/>
  <c r="F42" i="33"/>
  <c r="F40" i="33"/>
  <c r="F38" i="33"/>
  <c r="F36" i="33"/>
  <c r="E95" i="32"/>
  <c r="C109" i="32" s="1"/>
  <c r="F109" i="32" s="1"/>
  <c r="F63" i="32"/>
  <c r="F59" i="32"/>
  <c r="F55" i="32"/>
  <c r="F51" i="32"/>
  <c r="F47" i="32"/>
  <c r="F43" i="32"/>
  <c r="F39" i="32"/>
  <c r="E105" i="31"/>
  <c r="F83" i="31"/>
  <c r="E95" i="31"/>
  <c r="C109" i="31" s="1"/>
  <c r="F109" i="31" s="1"/>
  <c r="F63" i="31"/>
  <c r="F61" i="31"/>
  <c r="F59" i="31"/>
  <c r="F57" i="31"/>
  <c r="F55" i="31"/>
  <c r="F53" i="31"/>
  <c r="F51" i="31"/>
  <c r="F49" i="31"/>
  <c r="F47" i="31"/>
  <c r="F45" i="31"/>
  <c r="F43" i="31"/>
  <c r="F41" i="31"/>
  <c r="F39" i="31"/>
  <c r="F37" i="31"/>
  <c r="F89" i="30"/>
  <c r="F73" i="30"/>
  <c r="E118" i="30"/>
  <c r="F62" i="30"/>
  <c r="F60" i="30"/>
  <c r="F58" i="30"/>
  <c r="F56" i="30"/>
  <c r="F54" i="30"/>
  <c r="F52" i="30"/>
  <c r="F50" i="30"/>
  <c r="F48" i="30"/>
  <c r="F46" i="30"/>
  <c r="F44" i="30"/>
  <c r="F42" i="30"/>
  <c r="F40" i="30"/>
  <c r="F38" i="30"/>
  <c r="D118" i="30"/>
  <c r="E64" i="30"/>
  <c r="F36" i="30"/>
  <c r="E105" i="29"/>
  <c r="F79" i="29"/>
  <c r="E95" i="29"/>
  <c r="C109" i="29" s="1"/>
  <c r="F109" i="29" s="1"/>
  <c r="F63" i="29"/>
  <c r="F61" i="29"/>
  <c r="F59" i="29"/>
  <c r="F57" i="29"/>
  <c r="F55" i="29"/>
  <c r="F53" i="29"/>
  <c r="F51" i="29"/>
  <c r="F49" i="29"/>
  <c r="F47" i="29"/>
  <c r="F45" i="29"/>
  <c r="F43" i="29"/>
  <c r="F41" i="29"/>
  <c r="F39" i="29"/>
  <c r="F37" i="29"/>
  <c r="F89" i="28"/>
  <c r="F73" i="28"/>
  <c r="E118" i="28"/>
  <c r="F62" i="28"/>
  <c r="F60" i="28"/>
  <c r="F58" i="28"/>
  <c r="F56" i="28"/>
  <c r="F54" i="28"/>
  <c r="F52" i="28"/>
  <c r="F50" i="28"/>
  <c r="F48" i="28"/>
  <c r="F46" i="28"/>
  <c r="F44" i="28"/>
  <c r="F42" i="28"/>
  <c r="F40" i="28"/>
  <c r="F38" i="28"/>
  <c r="D118" i="28"/>
  <c r="E64" i="28"/>
  <c r="F36" i="28"/>
  <c r="E105" i="27"/>
  <c r="F91" i="27"/>
  <c r="E95" i="27"/>
  <c r="C109" i="27" s="1"/>
  <c r="F109" i="27" s="1"/>
  <c r="F63" i="27"/>
  <c r="F61" i="27"/>
  <c r="F59" i="27"/>
  <c r="F57" i="27"/>
  <c r="F55" i="27"/>
  <c r="F53" i="27"/>
  <c r="F51" i="27"/>
  <c r="F49" i="27"/>
  <c r="F47" i="27"/>
  <c r="F45" i="27"/>
  <c r="F43" i="27"/>
  <c r="F41" i="27"/>
  <c r="F39" i="27"/>
  <c r="F37" i="27"/>
  <c r="F85" i="26"/>
  <c r="F69" i="26"/>
  <c r="E118" i="26"/>
  <c r="F62" i="26"/>
  <c r="F60" i="26"/>
  <c r="F58" i="26"/>
  <c r="F56" i="26"/>
  <c r="F54" i="26"/>
  <c r="F52" i="26"/>
  <c r="F50" i="26"/>
  <c r="F48" i="26"/>
  <c r="F46" i="26"/>
  <c r="F44" i="26"/>
  <c r="F42" i="26"/>
  <c r="F40" i="26"/>
  <c r="F38" i="26"/>
  <c r="D118" i="26"/>
  <c r="E64" i="26"/>
  <c r="F36" i="26"/>
  <c r="F52" i="38"/>
  <c r="F36" i="38"/>
  <c r="F61" i="37"/>
  <c r="F57" i="37"/>
  <c r="F53" i="37"/>
  <c r="F49" i="37"/>
  <c r="F45" i="37"/>
  <c r="F41" i="37"/>
  <c r="F37" i="37"/>
  <c r="F61" i="35"/>
  <c r="F57" i="35"/>
  <c r="F53" i="35"/>
  <c r="F49" i="35"/>
  <c r="F45" i="35"/>
  <c r="F41" i="35"/>
  <c r="F37" i="35"/>
  <c r="F61" i="33"/>
  <c r="F57" i="33"/>
  <c r="F53" i="33"/>
  <c r="F49" i="33"/>
  <c r="F45" i="33"/>
  <c r="F41" i="33"/>
  <c r="F37" i="33"/>
  <c r="F82" i="31"/>
  <c r="F86" i="30"/>
  <c r="F94" i="29"/>
  <c r="F78" i="29"/>
  <c r="F86" i="28"/>
  <c r="F90" i="27"/>
  <c r="F74" i="27"/>
  <c r="F86" i="26"/>
  <c r="E118" i="34"/>
  <c r="F37" i="25"/>
  <c r="F39" i="25"/>
  <c r="F41" i="25"/>
  <c r="F43" i="25"/>
  <c r="F45" i="25"/>
  <c r="F47" i="25"/>
  <c r="F49" i="25"/>
  <c r="F51" i="25"/>
  <c r="F53" i="25"/>
  <c r="F55" i="25"/>
  <c r="F57" i="25"/>
  <c r="F59" i="25"/>
  <c r="F61" i="25"/>
  <c r="F63" i="25"/>
  <c r="E95" i="25"/>
  <c r="C109" i="25" s="1"/>
  <c r="F109" i="25" s="1"/>
  <c r="F75" i="25"/>
  <c r="F91" i="25"/>
  <c r="E105" i="25"/>
  <c r="E118" i="25"/>
  <c r="D31" i="24"/>
  <c r="D93" i="24"/>
  <c r="F93" i="24" s="1"/>
  <c r="D29" i="24"/>
  <c r="D91" i="24"/>
  <c r="F91" i="24" s="1"/>
  <c r="D27" i="24"/>
  <c r="D89" i="24"/>
  <c r="F89" i="24" s="1"/>
  <c r="D25" i="24"/>
  <c r="D87" i="24"/>
  <c r="F87" i="24" s="1"/>
  <c r="D23" i="24"/>
  <c r="D85" i="24"/>
  <c r="F85" i="24" s="1"/>
  <c r="D21" i="24"/>
  <c r="D83" i="24"/>
  <c r="F83" i="24" s="1"/>
  <c r="D19" i="24"/>
  <c r="D81" i="24"/>
  <c r="F81" i="24" s="1"/>
  <c r="D17" i="24"/>
  <c r="D79" i="24"/>
  <c r="F79" i="24" s="1"/>
  <c r="D15" i="24"/>
  <c r="D77" i="24"/>
  <c r="F77" i="24" s="1"/>
  <c r="D13" i="24"/>
  <c r="D75" i="24"/>
  <c r="F75" i="24" s="1"/>
  <c r="D11" i="24"/>
  <c r="D73" i="24"/>
  <c r="F73" i="24" s="1"/>
  <c r="D9" i="24"/>
  <c r="D71" i="24"/>
  <c r="D7" i="24"/>
  <c r="D69" i="24"/>
  <c r="F69" i="24" s="1"/>
  <c r="D5" i="24"/>
  <c r="D64" i="24"/>
  <c r="D67" i="24"/>
  <c r="F37" i="24"/>
  <c r="F39" i="24"/>
  <c r="F41" i="24"/>
  <c r="F43" i="24"/>
  <c r="F45" i="24"/>
  <c r="F47" i="24"/>
  <c r="F49" i="24"/>
  <c r="F51" i="24"/>
  <c r="F53" i="24"/>
  <c r="F55" i="24"/>
  <c r="F57" i="24"/>
  <c r="F59" i="24"/>
  <c r="F61" i="24"/>
  <c r="F63" i="24"/>
  <c r="E95" i="24"/>
  <c r="C109" i="24" s="1"/>
  <c r="F109" i="24" s="1"/>
  <c r="F67" i="24"/>
  <c r="F71" i="24"/>
  <c r="E105" i="24"/>
  <c r="E118" i="24"/>
  <c r="D31" i="23"/>
  <c r="D93" i="23"/>
  <c r="F93" i="23" s="1"/>
  <c r="D29" i="23"/>
  <c r="D91" i="23"/>
  <c r="F91" i="23" s="1"/>
  <c r="D27" i="23"/>
  <c r="D89" i="23"/>
  <c r="F89" i="23" s="1"/>
  <c r="D25" i="23"/>
  <c r="D87" i="23"/>
  <c r="F87" i="23" s="1"/>
  <c r="D23" i="23"/>
  <c r="D85" i="23"/>
  <c r="F85" i="23" s="1"/>
  <c r="D21" i="23"/>
  <c r="D83" i="23"/>
  <c r="F83" i="23" s="1"/>
  <c r="D19" i="23"/>
  <c r="D81" i="23"/>
  <c r="F81" i="23" s="1"/>
  <c r="D17" i="23"/>
  <c r="D79" i="23"/>
  <c r="F79" i="23" s="1"/>
  <c r="D15" i="23"/>
  <c r="D77" i="23"/>
  <c r="F77" i="23" s="1"/>
  <c r="D13" i="23"/>
  <c r="D75" i="23"/>
  <c r="F75" i="23" s="1"/>
  <c r="D11" i="23"/>
  <c r="D73" i="23"/>
  <c r="F73" i="23" s="1"/>
  <c r="D9" i="23"/>
  <c r="D71" i="23"/>
  <c r="D7" i="23"/>
  <c r="D69" i="23"/>
  <c r="F69" i="23" s="1"/>
  <c r="D5" i="23"/>
  <c r="D64" i="23"/>
  <c r="D67" i="23"/>
  <c r="F37" i="23"/>
  <c r="F39" i="23"/>
  <c r="F41" i="23"/>
  <c r="F43" i="23"/>
  <c r="F45" i="23"/>
  <c r="F47" i="23"/>
  <c r="F49" i="23"/>
  <c r="F51" i="23"/>
  <c r="F53" i="23"/>
  <c r="F55" i="23"/>
  <c r="F57" i="23"/>
  <c r="F59" i="23"/>
  <c r="F61" i="23"/>
  <c r="F63" i="23"/>
  <c r="E95" i="23"/>
  <c r="C109" i="23" s="1"/>
  <c r="F109" i="23" s="1"/>
  <c r="F67" i="23"/>
  <c r="F71" i="23"/>
  <c r="E105" i="23"/>
  <c r="E118" i="23"/>
  <c r="D31" i="22"/>
  <c r="D93" i="22"/>
  <c r="F93" i="22" s="1"/>
  <c r="D29" i="22"/>
  <c r="D91" i="22"/>
  <c r="F91" i="22" s="1"/>
  <c r="D27" i="22"/>
  <c r="D89" i="22"/>
  <c r="F89" i="22" s="1"/>
  <c r="D25" i="22"/>
  <c r="D87" i="22"/>
  <c r="F87" i="22" s="1"/>
  <c r="D23" i="22"/>
  <c r="D85" i="22"/>
  <c r="F85" i="22" s="1"/>
  <c r="D21" i="22"/>
  <c r="D83" i="22"/>
  <c r="F83" i="22" s="1"/>
  <c r="D19" i="22"/>
  <c r="D81" i="22"/>
  <c r="F81" i="22" s="1"/>
  <c r="D17" i="22"/>
  <c r="D79" i="22"/>
  <c r="F79" i="22" s="1"/>
  <c r="D15" i="22"/>
  <c r="D77" i="22"/>
  <c r="F77" i="22" s="1"/>
  <c r="D13" i="22"/>
  <c r="D75" i="22"/>
  <c r="F75" i="22" s="1"/>
  <c r="D11" i="22"/>
  <c r="D73" i="22"/>
  <c r="F73" i="22" s="1"/>
  <c r="D9" i="22"/>
  <c r="D71" i="22"/>
  <c r="D7" i="22"/>
  <c r="D69" i="22"/>
  <c r="F69" i="22" s="1"/>
  <c r="D5" i="22"/>
  <c r="D64" i="22"/>
  <c r="D67" i="22"/>
  <c r="F37" i="22"/>
  <c r="F39" i="22"/>
  <c r="F41" i="22"/>
  <c r="F43" i="22"/>
  <c r="F45" i="22"/>
  <c r="F47" i="22"/>
  <c r="F49" i="22"/>
  <c r="F51" i="22"/>
  <c r="F53" i="22"/>
  <c r="F55" i="22"/>
  <c r="F57" i="22"/>
  <c r="F59" i="22"/>
  <c r="F61" i="22"/>
  <c r="F63" i="22"/>
  <c r="E95" i="22"/>
  <c r="C109" i="22" s="1"/>
  <c r="F109" i="22" s="1"/>
  <c r="F67" i="22"/>
  <c r="F71" i="22"/>
  <c r="E105" i="22"/>
  <c r="E118" i="22"/>
  <c r="D31" i="21"/>
  <c r="D93" i="21"/>
  <c r="F93" i="21" s="1"/>
  <c r="D29" i="21"/>
  <c r="D91" i="21"/>
  <c r="F91" i="21" s="1"/>
  <c r="D27" i="21"/>
  <c r="D89" i="21"/>
  <c r="F89" i="21" s="1"/>
  <c r="D25" i="21"/>
  <c r="D87" i="21"/>
  <c r="F87" i="21" s="1"/>
  <c r="D23" i="21"/>
  <c r="D85" i="21"/>
  <c r="F85" i="21" s="1"/>
  <c r="D21" i="21"/>
  <c r="D83" i="21"/>
  <c r="F83" i="21" s="1"/>
  <c r="D19" i="21"/>
  <c r="D81" i="21"/>
  <c r="F81" i="21" s="1"/>
  <c r="D17" i="21"/>
  <c r="D79" i="21"/>
  <c r="F79" i="21" s="1"/>
  <c r="D15" i="21"/>
  <c r="D77" i="21"/>
  <c r="F77" i="21" s="1"/>
  <c r="D13" i="21"/>
  <c r="D75" i="21"/>
  <c r="F75" i="21" s="1"/>
  <c r="D11" i="21"/>
  <c r="D73" i="21"/>
  <c r="F73" i="21" s="1"/>
  <c r="D9" i="21"/>
  <c r="D71" i="21"/>
  <c r="D7" i="21"/>
  <c r="D69" i="21"/>
  <c r="F69" i="21" s="1"/>
  <c r="D5" i="21"/>
  <c r="D64" i="21"/>
  <c r="D67" i="21"/>
  <c r="F37" i="21"/>
  <c r="F39" i="21"/>
  <c r="F41" i="21"/>
  <c r="F43" i="21"/>
  <c r="F45" i="21"/>
  <c r="F47" i="21"/>
  <c r="F49" i="21"/>
  <c r="F51" i="21"/>
  <c r="F53" i="21"/>
  <c r="F55" i="21"/>
  <c r="F57" i="21"/>
  <c r="F59" i="21"/>
  <c r="F61" i="21"/>
  <c r="F63" i="21"/>
  <c r="E95" i="21"/>
  <c r="C109" i="21" s="1"/>
  <c r="F109" i="21" s="1"/>
  <c r="F67" i="21"/>
  <c r="F71" i="21"/>
  <c r="E105" i="21"/>
  <c r="E118" i="21"/>
  <c r="D92" i="20"/>
  <c r="F92" i="20" s="1"/>
  <c r="D30" i="20"/>
  <c r="D88" i="20"/>
  <c r="F88" i="20" s="1"/>
  <c r="D26" i="20"/>
  <c r="D84" i="20"/>
  <c r="F84" i="20" s="1"/>
  <c r="D22" i="20"/>
  <c r="D80" i="20"/>
  <c r="F80" i="20" s="1"/>
  <c r="D18" i="20"/>
  <c r="D76" i="20"/>
  <c r="F76" i="20" s="1"/>
  <c r="D14" i="20"/>
  <c r="D74" i="20"/>
  <c r="F74" i="20" s="1"/>
  <c r="D12" i="20"/>
  <c r="D72" i="20"/>
  <c r="F72" i="20" s="1"/>
  <c r="D10" i="20"/>
  <c r="D70" i="20"/>
  <c r="F70" i="20" s="1"/>
  <c r="D8" i="20"/>
  <c r="D68" i="20"/>
  <c r="F68" i="20" s="1"/>
  <c r="D6" i="20"/>
  <c r="D94" i="19"/>
  <c r="F94" i="19" s="1"/>
  <c r="D32" i="19"/>
  <c r="D92" i="19"/>
  <c r="F92" i="19" s="1"/>
  <c r="D30" i="19"/>
  <c r="D90" i="19"/>
  <c r="F90" i="19" s="1"/>
  <c r="D28" i="19"/>
  <c r="D88" i="19"/>
  <c r="F88" i="19" s="1"/>
  <c r="D26" i="19"/>
  <c r="D86" i="19"/>
  <c r="F86" i="19" s="1"/>
  <c r="D24" i="19"/>
  <c r="D84" i="19"/>
  <c r="F84" i="19" s="1"/>
  <c r="D22" i="19"/>
  <c r="D82" i="19"/>
  <c r="D20" i="19"/>
  <c r="D80" i="19"/>
  <c r="F80" i="19" s="1"/>
  <c r="D18" i="19"/>
  <c r="D78" i="19"/>
  <c r="F78" i="19" s="1"/>
  <c r="D16" i="19"/>
  <c r="D76" i="19"/>
  <c r="F76" i="19" s="1"/>
  <c r="D14" i="19"/>
  <c r="D74" i="19"/>
  <c r="F74" i="19" s="1"/>
  <c r="D12" i="19"/>
  <c r="D72" i="19"/>
  <c r="F72" i="19" s="1"/>
  <c r="D10" i="19"/>
  <c r="D70" i="19"/>
  <c r="F70" i="19" s="1"/>
  <c r="D8" i="19"/>
  <c r="D68" i="19"/>
  <c r="F68" i="19" s="1"/>
  <c r="D6" i="19"/>
  <c r="D94" i="18"/>
  <c r="F94" i="18" s="1"/>
  <c r="D32" i="18"/>
  <c r="D92" i="18"/>
  <c r="F92" i="18" s="1"/>
  <c r="D30" i="18"/>
  <c r="D90" i="18"/>
  <c r="F90" i="18" s="1"/>
  <c r="D28" i="18"/>
  <c r="D88" i="18"/>
  <c r="F88" i="18" s="1"/>
  <c r="D26" i="18"/>
  <c r="D86" i="18"/>
  <c r="F86" i="18" s="1"/>
  <c r="D24" i="18"/>
  <c r="D84" i="18"/>
  <c r="F84" i="18" s="1"/>
  <c r="D22" i="18"/>
  <c r="D82" i="18"/>
  <c r="D20" i="18"/>
  <c r="D80" i="18"/>
  <c r="F80" i="18" s="1"/>
  <c r="D18" i="18"/>
  <c r="D78" i="18"/>
  <c r="F78" i="18" s="1"/>
  <c r="D16" i="18"/>
  <c r="D76" i="18"/>
  <c r="F76" i="18" s="1"/>
  <c r="D14" i="18"/>
  <c r="D74" i="18"/>
  <c r="F74" i="18" s="1"/>
  <c r="D12" i="18"/>
  <c r="D72" i="18"/>
  <c r="F72" i="18" s="1"/>
  <c r="D10" i="18"/>
  <c r="D70" i="18"/>
  <c r="F70" i="18" s="1"/>
  <c r="D8" i="18"/>
  <c r="D68" i="18"/>
  <c r="F68" i="18" s="1"/>
  <c r="D6" i="18"/>
  <c r="D94" i="17"/>
  <c r="F94" i="17" s="1"/>
  <c r="D32" i="17"/>
  <c r="D92" i="17"/>
  <c r="F92" i="17" s="1"/>
  <c r="D30" i="17"/>
  <c r="D90" i="17"/>
  <c r="F90" i="17" s="1"/>
  <c r="D28" i="17"/>
  <c r="D88" i="17"/>
  <c r="F88" i="17" s="1"/>
  <c r="D26" i="17"/>
  <c r="D86" i="17"/>
  <c r="F86" i="17" s="1"/>
  <c r="D24" i="17"/>
  <c r="D84" i="17"/>
  <c r="F84" i="17" s="1"/>
  <c r="D22" i="17"/>
  <c r="D82" i="17"/>
  <c r="D20" i="17"/>
  <c r="D80" i="17"/>
  <c r="F80" i="17" s="1"/>
  <c r="D18" i="17"/>
  <c r="D78" i="17"/>
  <c r="F78" i="17" s="1"/>
  <c r="D16" i="17"/>
  <c r="D76" i="17"/>
  <c r="F76" i="17" s="1"/>
  <c r="D14" i="17"/>
  <c r="D74" i="17"/>
  <c r="F74" i="17" s="1"/>
  <c r="D12" i="17"/>
  <c r="D72" i="17"/>
  <c r="F72" i="17" s="1"/>
  <c r="D10" i="17"/>
  <c r="D70" i="17"/>
  <c r="F70" i="17" s="1"/>
  <c r="D8" i="17"/>
  <c r="D68" i="17"/>
  <c r="F68" i="17" s="1"/>
  <c r="D6" i="17"/>
  <c r="D94" i="16"/>
  <c r="F94" i="16" s="1"/>
  <c r="D32" i="16"/>
  <c r="D92" i="16"/>
  <c r="F92" i="16" s="1"/>
  <c r="D30" i="16"/>
  <c r="D90" i="16"/>
  <c r="F90" i="16" s="1"/>
  <c r="D28" i="16"/>
  <c r="D88" i="16"/>
  <c r="F88" i="16" s="1"/>
  <c r="D26" i="16"/>
  <c r="D86" i="16"/>
  <c r="F86" i="16" s="1"/>
  <c r="D24" i="16"/>
  <c r="D84" i="16"/>
  <c r="F84" i="16" s="1"/>
  <c r="D22" i="16"/>
  <c r="D82" i="16"/>
  <c r="D20" i="16"/>
  <c r="D80" i="16"/>
  <c r="F80" i="16" s="1"/>
  <c r="D18" i="16"/>
  <c r="D78" i="16"/>
  <c r="F78" i="16" s="1"/>
  <c r="D16" i="16"/>
  <c r="D76" i="16"/>
  <c r="F76" i="16" s="1"/>
  <c r="D14" i="16"/>
  <c r="D74" i="16"/>
  <c r="F74" i="16" s="1"/>
  <c r="D12" i="16"/>
  <c r="D72" i="16"/>
  <c r="F72" i="16" s="1"/>
  <c r="D10" i="16"/>
  <c r="D70" i="16"/>
  <c r="F70" i="16" s="1"/>
  <c r="D8" i="16"/>
  <c r="D68" i="16"/>
  <c r="F68" i="16" s="1"/>
  <c r="D6" i="16"/>
  <c r="D94" i="15"/>
  <c r="F94" i="15" s="1"/>
  <c r="D32" i="15"/>
  <c r="D92" i="15"/>
  <c r="F92" i="15" s="1"/>
  <c r="D30" i="15"/>
  <c r="D90" i="15"/>
  <c r="F90" i="15" s="1"/>
  <c r="D28" i="15"/>
  <c r="D88" i="15"/>
  <c r="F88" i="15" s="1"/>
  <c r="D26" i="15"/>
  <c r="D86" i="15"/>
  <c r="F86" i="15" s="1"/>
  <c r="D24" i="15"/>
  <c r="D84" i="15"/>
  <c r="F84" i="15" s="1"/>
  <c r="D22" i="15"/>
  <c r="D82" i="15"/>
  <c r="F82" i="15" s="1"/>
  <c r="D20" i="15"/>
  <c r="D80" i="15"/>
  <c r="F80" i="15" s="1"/>
  <c r="D18" i="15"/>
  <c r="D78" i="15"/>
  <c r="F78" i="15" s="1"/>
  <c r="D16" i="15"/>
  <c r="D76" i="15"/>
  <c r="F76" i="15" s="1"/>
  <c r="D14" i="15"/>
  <c r="D74" i="15"/>
  <c r="F74" i="15" s="1"/>
  <c r="D12" i="15"/>
  <c r="D72" i="15"/>
  <c r="F72" i="15" s="1"/>
  <c r="D10" i="15"/>
  <c r="D70" i="15"/>
  <c r="F70" i="15" s="1"/>
  <c r="D8" i="15"/>
  <c r="D68" i="15"/>
  <c r="F68" i="15" s="1"/>
  <c r="D6" i="15"/>
  <c r="D94" i="14"/>
  <c r="F94" i="14" s="1"/>
  <c r="D32" i="14"/>
  <c r="D92" i="14"/>
  <c r="F92" i="14" s="1"/>
  <c r="D30" i="14"/>
  <c r="D90" i="14"/>
  <c r="F90" i="14" s="1"/>
  <c r="D28" i="14"/>
  <c r="D88" i="14"/>
  <c r="F88" i="14"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D94" i="13"/>
  <c r="F94" i="13" s="1"/>
  <c r="D32" i="13"/>
  <c r="D92" i="13"/>
  <c r="F92" i="13" s="1"/>
  <c r="D30" i="13"/>
  <c r="D90" i="13"/>
  <c r="F90" i="13" s="1"/>
  <c r="D28" i="13"/>
  <c r="D88" i="13"/>
  <c r="F88" i="13" s="1"/>
  <c r="D26" i="13"/>
  <c r="D86" i="13"/>
  <c r="F86" i="13" s="1"/>
  <c r="D24" i="13"/>
  <c r="D84" i="13"/>
  <c r="F84" i="13" s="1"/>
  <c r="D22" i="13"/>
  <c r="D82" i="13"/>
  <c r="F82" i="13" s="1"/>
  <c r="D20" i="13"/>
  <c r="D80" i="13"/>
  <c r="F80" i="13" s="1"/>
  <c r="D18" i="13"/>
  <c r="D78" i="13"/>
  <c r="F78" i="13" s="1"/>
  <c r="D16" i="13"/>
  <c r="D76" i="13"/>
  <c r="F76" i="13" s="1"/>
  <c r="D14" i="13"/>
  <c r="D74" i="13"/>
  <c r="F74" i="13" s="1"/>
  <c r="D12" i="13"/>
  <c r="D72" i="13"/>
  <c r="F72" i="13" s="1"/>
  <c r="D10" i="13"/>
  <c r="D70" i="13"/>
  <c r="F70" i="13" s="1"/>
  <c r="D8" i="13"/>
  <c r="D68" i="13"/>
  <c r="F68" i="13" s="1"/>
  <c r="D6" i="13"/>
  <c r="D94" i="12"/>
  <c r="F94" i="12" s="1"/>
  <c r="D32" i="12"/>
  <c r="D92" i="12"/>
  <c r="F92" i="12" s="1"/>
  <c r="D30" i="12"/>
  <c r="D90" i="12"/>
  <c r="F90" i="12" s="1"/>
  <c r="D28" i="12"/>
  <c r="D88" i="12"/>
  <c r="F88" i="12" s="1"/>
  <c r="D26" i="12"/>
  <c r="D86" i="12"/>
  <c r="F86" i="12" s="1"/>
  <c r="D24" i="12"/>
  <c r="D84" i="12"/>
  <c r="F84" i="12" s="1"/>
  <c r="D22" i="12"/>
  <c r="D82" i="12"/>
  <c r="F82" i="12" s="1"/>
  <c r="D20" i="12"/>
  <c r="D80" i="12"/>
  <c r="F80" i="12" s="1"/>
  <c r="D18" i="12"/>
  <c r="D78" i="12"/>
  <c r="F78" i="12" s="1"/>
  <c r="D16" i="12"/>
  <c r="D76" i="12"/>
  <c r="F76" i="12" s="1"/>
  <c r="D14" i="12"/>
  <c r="D74" i="12"/>
  <c r="F74" i="12" s="1"/>
  <c r="D12" i="12"/>
  <c r="D72" i="12"/>
  <c r="F72" i="12" s="1"/>
  <c r="D10" i="12"/>
  <c r="D70" i="12"/>
  <c r="F70" i="12" s="1"/>
  <c r="D8" i="12"/>
  <c r="D68" i="12"/>
  <c r="F68" i="12" s="1"/>
  <c r="D6" i="12"/>
  <c r="D94" i="11"/>
  <c r="F94" i="11" s="1"/>
  <c r="D32" i="11"/>
  <c r="D92" i="11"/>
  <c r="F92" i="11" s="1"/>
  <c r="D30" i="11"/>
  <c r="D90" i="11"/>
  <c r="F90" i="11" s="1"/>
  <c r="D28" i="11"/>
  <c r="D88" i="11"/>
  <c r="F88" i="11"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D94" i="10"/>
  <c r="F94" i="10" s="1"/>
  <c r="D32" i="10"/>
  <c r="D92" i="10"/>
  <c r="F92" i="10" s="1"/>
  <c r="D30" i="10"/>
  <c r="D90" i="10"/>
  <c r="F90" i="10" s="1"/>
  <c r="D28" i="10"/>
  <c r="D88" i="10"/>
  <c r="F88" i="10"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D94" i="9"/>
  <c r="F94" i="9" s="1"/>
  <c r="D32" i="9"/>
  <c r="D92" i="9"/>
  <c r="F92" i="9" s="1"/>
  <c r="D30" i="9"/>
  <c r="D90" i="9"/>
  <c r="F90" i="9" s="1"/>
  <c r="D28" i="9"/>
  <c r="D88" i="9"/>
  <c r="F88" i="9" s="1"/>
  <c r="D26" i="9"/>
  <c r="D86" i="9"/>
  <c r="F86" i="9" s="1"/>
  <c r="D24" i="9"/>
  <c r="D84" i="9"/>
  <c r="F84" i="9" s="1"/>
  <c r="D22" i="9"/>
  <c r="F50" i="9"/>
  <c r="F48" i="9"/>
  <c r="F46" i="9"/>
  <c r="F44" i="9"/>
  <c r="F42" i="9"/>
  <c r="F40" i="9"/>
  <c r="F38" i="9"/>
  <c r="D118" i="9"/>
  <c r="E64" i="9"/>
  <c r="F36" i="9"/>
  <c r="E105" i="8"/>
  <c r="F83" i="8"/>
  <c r="E95" i="8"/>
  <c r="C109" i="8" s="1"/>
  <c r="F109" i="8" s="1"/>
  <c r="F63" i="8"/>
  <c r="F61" i="8"/>
  <c r="F59" i="8"/>
  <c r="F57" i="8"/>
  <c r="F55" i="8"/>
  <c r="F53" i="8"/>
  <c r="F51" i="8"/>
  <c r="F49" i="8"/>
  <c r="F47" i="8"/>
  <c r="F45" i="8"/>
  <c r="F43" i="8"/>
  <c r="F41" i="8"/>
  <c r="F39" i="8"/>
  <c r="F37" i="8"/>
  <c r="E118" i="7"/>
  <c r="F62" i="7"/>
  <c r="F60" i="7"/>
  <c r="F58" i="7"/>
  <c r="F56" i="7"/>
  <c r="F54" i="7"/>
  <c r="F52" i="7"/>
  <c r="F50" i="7"/>
  <c r="F48" i="7"/>
  <c r="F46" i="7"/>
  <c r="F44" i="7"/>
  <c r="F42" i="7"/>
  <c r="F40" i="7"/>
  <c r="F38" i="7"/>
  <c r="D118" i="7"/>
  <c r="E64" i="7"/>
  <c r="F36" i="7"/>
  <c r="E105" i="6"/>
  <c r="F83" i="6"/>
  <c r="E95" i="6"/>
  <c r="C109" i="6" s="1"/>
  <c r="F109" i="6" s="1"/>
  <c r="F63" i="6"/>
  <c r="F61" i="6"/>
  <c r="F59" i="6"/>
  <c r="F57" i="6"/>
  <c r="F55" i="6"/>
  <c r="F53" i="6"/>
  <c r="F51" i="6"/>
  <c r="F49" i="6"/>
  <c r="F47" i="6"/>
  <c r="F45" i="6"/>
  <c r="F43" i="6"/>
  <c r="F41" i="6"/>
  <c r="F39" i="6"/>
  <c r="F37" i="6"/>
  <c r="F85" i="5"/>
  <c r="E118" i="5"/>
  <c r="F62" i="5"/>
  <c r="F60" i="5"/>
  <c r="F58" i="5"/>
  <c r="F56" i="5"/>
  <c r="F54" i="5"/>
  <c r="F52" i="5"/>
  <c r="F50" i="5"/>
  <c r="F48" i="5"/>
  <c r="F46" i="5"/>
  <c r="F44" i="5"/>
  <c r="F42" i="5"/>
  <c r="F40" i="5"/>
  <c r="F38" i="5"/>
  <c r="D118" i="5"/>
  <c r="E64" i="5"/>
  <c r="F36" i="5"/>
  <c r="E105" i="4"/>
  <c r="E95" i="4"/>
  <c r="C109" i="4" s="1"/>
  <c r="F109" i="4" s="1"/>
  <c r="F63" i="4"/>
  <c r="F61" i="4"/>
  <c r="F59" i="4"/>
  <c r="F57" i="4"/>
  <c r="F55" i="4"/>
  <c r="F53" i="4"/>
  <c r="F51" i="4"/>
  <c r="F49" i="4"/>
  <c r="F47" i="4"/>
  <c r="F45" i="4"/>
  <c r="F43" i="4"/>
  <c r="F41" i="4"/>
  <c r="F39" i="4"/>
  <c r="F37" i="4"/>
  <c r="E118" i="3"/>
  <c r="F62" i="3"/>
  <c r="F60" i="3"/>
  <c r="F58" i="3"/>
  <c r="F56" i="3"/>
  <c r="F54" i="3"/>
  <c r="F52" i="3"/>
  <c r="F50" i="3"/>
  <c r="F48" i="3"/>
  <c r="F46" i="3"/>
  <c r="F44" i="3"/>
  <c r="F42" i="3"/>
  <c r="F40" i="3"/>
  <c r="F38" i="3"/>
  <c r="D118" i="3"/>
  <c r="E64" i="3"/>
  <c r="F36" i="3"/>
  <c r="E105" i="59"/>
  <c r="E95" i="59"/>
  <c r="C109" i="59" s="1"/>
  <c r="F109" i="59" s="1"/>
  <c r="F63" i="59"/>
  <c r="F61" i="59"/>
  <c r="F59" i="59"/>
  <c r="F57" i="59"/>
  <c r="F55" i="59"/>
  <c r="F53" i="59"/>
  <c r="F51" i="59"/>
  <c r="F49" i="59"/>
  <c r="F47" i="59"/>
  <c r="F45" i="59"/>
  <c r="F43" i="59"/>
  <c r="F41" i="59"/>
  <c r="F39" i="59"/>
  <c r="F37" i="59"/>
  <c r="E118" i="1"/>
  <c r="F62" i="1"/>
  <c r="F60" i="1"/>
  <c r="F58" i="1"/>
  <c r="F56" i="1"/>
  <c r="F54" i="1"/>
  <c r="F52" i="1"/>
  <c r="F50" i="1"/>
  <c r="F48" i="1"/>
  <c r="F46" i="1"/>
  <c r="F44" i="1"/>
  <c r="F42" i="1"/>
  <c r="F40" i="1"/>
  <c r="F38" i="1"/>
  <c r="D118" i="1"/>
  <c r="E64" i="1"/>
  <c r="F36" i="1"/>
  <c r="E105" i="56"/>
  <c r="E95" i="56"/>
  <c r="C109" i="56" s="1"/>
  <c r="F109" i="56" s="1"/>
  <c r="F63" i="56"/>
  <c r="F61" i="56"/>
  <c r="F59" i="56"/>
  <c r="F57" i="56"/>
  <c r="F55" i="56"/>
  <c r="F53" i="56"/>
  <c r="F51" i="56"/>
  <c r="F49" i="56"/>
  <c r="F47" i="56"/>
  <c r="F45" i="56"/>
  <c r="F43" i="56"/>
  <c r="F41" i="56"/>
  <c r="F39" i="56"/>
  <c r="F37" i="56"/>
  <c r="D94" i="20"/>
  <c r="F94" i="20" s="1"/>
  <c r="D32" i="20"/>
  <c r="D90" i="20"/>
  <c r="F90" i="20" s="1"/>
  <c r="D28" i="20"/>
  <c r="D86" i="20"/>
  <c r="F86" i="20" s="1"/>
  <c r="D24" i="20"/>
  <c r="D82" i="20"/>
  <c r="F82" i="20" s="1"/>
  <c r="D20" i="20"/>
  <c r="D78" i="20"/>
  <c r="F78" i="20" s="1"/>
  <c r="D16" i="20"/>
  <c r="E64" i="20"/>
  <c r="F36" i="20"/>
  <c r="D118" i="20"/>
  <c r="F38" i="20"/>
  <c r="F40" i="20"/>
  <c r="F42" i="20"/>
  <c r="F44" i="20"/>
  <c r="F46" i="20"/>
  <c r="F48" i="20"/>
  <c r="F50" i="20"/>
  <c r="F52" i="20"/>
  <c r="F54" i="20"/>
  <c r="F56" i="20"/>
  <c r="F58" i="20"/>
  <c r="F60" i="20"/>
  <c r="F62" i="20"/>
  <c r="F77" i="20"/>
  <c r="F85" i="20"/>
  <c r="F93" i="20"/>
  <c r="F82" i="19"/>
  <c r="E64" i="19"/>
  <c r="F36" i="19"/>
  <c r="D118" i="19"/>
  <c r="F38" i="19"/>
  <c r="F40" i="19"/>
  <c r="F42" i="19"/>
  <c r="F44" i="19"/>
  <c r="F46" i="19"/>
  <c r="F48" i="19"/>
  <c r="F50" i="19"/>
  <c r="F52" i="19"/>
  <c r="F54" i="19"/>
  <c r="F56" i="19"/>
  <c r="F58" i="19"/>
  <c r="F60" i="19"/>
  <c r="F62" i="19"/>
  <c r="F69" i="19"/>
  <c r="F77" i="19"/>
  <c r="F85" i="19"/>
  <c r="F93" i="19"/>
  <c r="F82" i="18"/>
  <c r="E64" i="18"/>
  <c r="F36" i="18"/>
  <c r="D118" i="18"/>
  <c r="F38" i="18"/>
  <c r="F40" i="18"/>
  <c r="F42" i="18"/>
  <c r="F44" i="18"/>
  <c r="F46" i="18"/>
  <c r="F48" i="18"/>
  <c r="F50" i="18"/>
  <c r="F52" i="18"/>
  <c r="F54" i="18"/>
  <c r="F56" i="18"/>
  <c r="F58" i="18"/>
  <c r="F60" i="18"/>
  <c r="F62" i="18"/>
  <c r="F69" i="18"/>
  <c r="F77" i="18"/>
  <c r="F85" i="18"/>
  <c r="F93" i="18"/>
  <c r="F82" i="17"/>
  <c r="E64" i="17"/>
  <c r="F36" i="17"/>
  <c r="D118" i="17"/>
  <c r="F38" i="17"/>
  <c r="F40" i="17"/>
  <c r="F42" i="17"/>
  <c r="F44" i="17"/>
  <c r="F46" i="17"/>
  <c r="F48" i="17"/>
  <c r="F50" i="17"/>
  <c r="F52" i="17"/>
  <c r="F54" i="17"/>
  <c r="F56" i="17"/>
  <c r="F58" i="17"/>
  <c r="F60" i="17"/>
  <c r="F62" i="17"/>
  <c r="F69" i="17"/>
  <c r="F77" i="17"/>
  <c r="F85" i="17"/>
  <c r="F93" i="17"/>
  <c r="F82" i="16"/>
  <c r="E64" i="16"/>
  <c r="F36" i="16"/>
  <c r="D118" i="16"/>
  <c r="F38" i="16"/>
  <c r="F40" i="16"/>
  <c r="F42" i="16"/>
  <c r="F44" i="16"/>
  <c r="F46" i="16"/>
  <c r="F48" i="16"/>
  <c r="F50" i="16"/>
  <c r="F52" i="16"/>
  <c r="F54" i="16"/>
  <c r="F56" i="16"/>
  <c r="F58" i="16"/>
  <c r="F60" i="16"/>
  <c r="F62" i="16"/>
  <c r="E118" i="16"/>
  <c r="F73" i="16"/>
  <c r="F89" i="16"/>
  <c r="E64" i="15"/>
  <c r="F36" i="15"/>
  <c r="D118" i="15"/>
  <c r="F38" i="15"/>
  <c r="F40" i="15"/>
  <c r="F42" i="15"/>
  <c r="F44" i="15"/>
  <c r="F46" i="15"/>
  <c r="F48" i="15"/>
  <c r="F50" i="15"/>
  <c r="F52" i="15"/>
  <c r="F54" i="15"/>
  <c r="F56" i="15"/>
  <c r="F58" i="15"/>
  <c r="F60" i="15"/>
  <c r="F62" i="15"/>
  <c r="E118" i="15"/>
  <c r="F77" i="15"/>
  <c r="F93" i="15"/>
  <c r="E64" i="14"/>
  <c r="F36" i="14"/>
  <c r="D118" i="14"/>
  <c r="F38" i="14"/>
  <c r="F40" i="14"/>
  <c r="F42" i="14"/>
  <c r="F44" i="14"/>
  <c r="F46" i="14"/>
  <c r="F48" i="14"/>
  <c r="F50" i="14"/>
  <c r="F52" i="14"/>
  <c r="F54" i="14"/>
  <c r="F56" i="14"/>
  <c r="F58" i="14"/>
  <c r="F60" i="14"/>
  <c r="F62" i="14"/>
  <c r="F77" i="14"/>
  <c r="E64" i="13"/>
  <c r="F36" i="13"/>
  <c r="D118" i="13"/>
  <c r="F38" i="13"/>
  <c r="F40" i="13"/>
  <c r="F42" i="13"/>
  <c r="F44" i="13"/>
  <c r="F46" i="13"/>
  <c r="F48" i="13"/>
  <c r="F50" i="13"/>
  <c r="F52" i="13"/>
  <c r="F54" i="13"/>
  <c r="F56" i="13"/>
  <c r="F58" i="13"/>
  <c r="F60" i="13"/>
  <c r="F62" i="13"/>
  <c r="E64" i="12"/>
  <c r="F64" i="12" s="1"/>
  <c r="F36" i="12"/>
  <c r="D118" i="12"/>
  <c r="F38" i="12"/>
  <c r="F40" i="12"/>
  <c r="F42" i="12"/>
  <c r="F44" i="12"/>
  <c r="F46" i="12"/>
  <c r="F48" i="12"/>
  <c r="F50" i="12"/>
  <c r="F52" i="12"/>
  <c r="F54" i="12"/>
  <c r="F56" i="12"/>
  <c r="F58" i="12"/>
  <c r="F60" i="12"/>
  <c r="F62" i="12"/>
  <c r="E118" i="12"/>
  <c r="E64" i="11"/>
  <c r="F36" i="11"/>
  <c r="D118" i="11"/>
  <c r="F38" i="11"/>
  <c r="F40" i="11"/>
  <c r="F42" i="11"/>
  <c r="F44" i="11"/>
  <c r="F46" i="11"/>
  <c r="F48" i="11"/>
  <c r="F50" i="11"/>
  <c r="F52" i="11"/>
  <c r="F54" i="11"/>
  <c r="F56" i="11"/>
  <c r="F58" i="11"/>
  <c r="F60" i="11"/>
  <c r="F62" i="11"/>
  <c r="F69" i="11"/>
  <c r="F85" i="11"/>
  <c r="E64" i="10"/>
  <c r="F36" i="10"/>
  <c r="D118" i="10"/>
  <c r="F38" i="10"/>
  <c r="F40" i="10"/>
  <c r="F42" i="10"/>
  <c r="F44" i="10"/>
  <c r="F46" i="10"/>
  <c r="F48" i="10"/>
  <c r="F50" i="10"/>
  <c r="F52" i="10"/>
  <c r="F54" i="10"/>
  <c r="F56" i="10"/>
  <c r="F58" i="10"/>
  <c r="F60" i="10"/>
  <c r="F62" i="10"/>
  <c r="F73" i="10"/>
  <c r="F89" i="10"/>
  <c r="F52" i="9"/>
  <c r="F54" i="9"/>
  <c r="F56" i="9"/>
  <c r="F58" i="9"/>
  <c r="F60" i="9"/>
  <c r="F62" i="9"/>
  <c r="F73" i="9"/>
  <c r="F89" i="9"/>
  <c r="F86" i="8"/>
  <c r="F70" i="8"/>
  <c r="F82" i="6"/>
  <c r="F94" i="4"/>
  <c r="F78" i="4"/>
  <c r="F90" i="59"/>
  <c r="F74" i="59"/>
  <c r="F86" i="56"/>
  <c r="F70" i="56"/>
  <c r="F120" i="60"/>
  <c r="D28" i="60"/>
  <c r="D90" i="60"/>
  <c r="D24" i="60"/>
  <c r="D86" i="60"/>
  <c r="F86" i="60" s="1"/>
  <c r="D82" i="60"/>
  <c r="F82" i="60" s="1"/>
  <c r="D8" i="60"/>
  <c r="D70" i="60"/>
  <c r="F70" i="60" s="1"/>
  <c r="D29" i="60"/>
  <c r="D91" i="60"/>
  <c r="D25" i="60"/>
  <c r="F53" i="60"/>
  <c r="D21" i="60"/>
  <c r="D83" i="60"/>
  <c r="D17" i="60"/>
  <c r="F45" i="60"/>
  <c r="D75" i="60"/>
  <c r="F75" i="60" s="1"/>
  <c r="D9" i="60"/>
  <c r="D71" i="60"/>
  <c r="F71" i="60" s="1"/>
  <c r="F114" i="60"/>
  <c r="F110" i="60"/>
  <c r="D88" i="60"/>
  <c r="F88" i="60" s="1"/>
  <c r="D22" i="60"/>
  <c r="D84" i="60"/>
  <c r="F84" i="60" s="1"/>
  <c r="D18" i="60"/>
  <c r="D80" i="60"/>
  <c r="F80" i="60" s="1"/>
  <c r="D14" i="60"/>
  <c r="D76" i="60"/>
  <c r="F76" i="60" s="1"/>
  <c r="D10" i="60"/>
  <c r="D72" i="60"/>
  <c r="F72" i="60" s="1"/>
  <c r="D31" i="60"/>
  <c r="D27" i="60"/>
  <c r="D89" i="60"/>
  <c r="F89" i="60" s="1"/>
  <c r="D23" i="60"/>
  <c r="D81" i="60"/>
  <c r="F81" i="60" s="1"/>
  <c r="D15" i="60"/>
  <c r="D77" i="60"/>
  <c r="D11" i="60"/>
  <c r="D73" i="60"/>
  <c r="F73" i="60" s="1"/>
  <c r="F39" i="60"/>
  <c r="D118" i="57"/>
  <c r="D109" i="60"/>
  <c r="E118" i="57"/>
  <c r="E109" i="60"/>
  <c r="D95" i="57"/>
  <c r="F99" i="57" s="1"/>
  <c r="F109" i="57"/>
  <c r="C118" i="57"/>
  <c r="F41" i="60" l="1"/>
  <c r="F64" i="11"/>
  <c r="F64" i="15"/>
  <c r="F64" i="3"/>
  <c r="F64" i="1"/>
  <c r="F112" i="60"/>
  <c r="F42" i="60"/>
  <c r="E105" i="60"/>
  <c r="D32" i="60"/>
  <c r="D94" i="60"/>
  <c r="F94" i="60" s="1"/>
  <c r="F36" i="60"/>
  <c r="E64" i="60"/>
  <c r="M64" i="63" s="1"/>
  <c r="D19" i="60"/>
  <c r="F50" i="60"/>
  <c r="D6" i="60"/>
  <c r="F37" i="60"/>
  <c r="D16" i="60"/>
  <c r="D78" i="60"/>
  <c r="F78" i="60" s="1"/>
  <c r="D30" i="60"/>
  <c r="F61" i="60"/>
  <c r="D7" i="60"/>
  <c r="F51" i="60"/>
  <c r="D68" i="60"/>
  <c r="F68" i="60" s="1"/>
  <c r="D92" i="60"/>
  <c r="F92" i="60" s="1"/>
  <c r="D5" i="60"/>
  <c r="D74" i="60"/>
  <c r="F74" i="60" s="1"/>
  <c r="D64" i="60"/>
  <c r="F64" i="17"/>
  <c r="F64" i="19"/>
  <c r="F64" i="30"/>
  <c r="F64" i="47"/>
  <c r="F83" i="60"/>
  <c r="F91" i="60"/>
  <c r="F90" i="60"/>
  <c r="F64" i="13"/>
  <c r="F64" i="14"/>
  <c r="F64" i="16"/>
  <c r="F64" i="18"/>
  <c r="F64" i="26"/>
  <c r="F64" i="41"/>
  <c r="F64" i="45"/>
  <c r="F115" i="60"/>
  <c r="F111" i="60"/>
  <c r="F93" i="60"/>
  <c r="F55" i="60"/>
  <c r="F63" i="60"/>
  <c r="F113" i="60"/>
  <c r="E95" i="60"/>
  <c r="E64" i="63" s="1"/>
  <c r="F38" i="60"/>
  <c r="F52" i="60"/>
  <c r="F64" i="57"/>
  <c r="F77" i="60"/>
  <c r="F47" i="60"/>
  <c r="D85" i="60"/>
  <c r="F85" i="60" s="1"/>
  <c r="D79" i="60"/>
  <c r="F79" i="60" s="1"/>
  <c r="D87" i="60"/>
  <c r="F87" i="60" s="1"/>
  <c r="F64" i="10"/>
  <c r="F64" i="5"/>
  <c r="D33" i="21"/>
  <c r="D33" i="23"/>
  <c r="B41" i="63" s="1"/>
  <c r="N41" i="63" s="1"/>
  <c r="D33" i="24"/>
  <c r="F64" i="34"/>
  <c r="F60" i="60"/>
  <c r="F64" i="7"/>
  <c r="F64" i="9"/>
  <c r="D33" i="25"/>
  <c r="B39" i="63" s="1"/>
  <c r="N39" i="63" s="1"/>
  <c r="D95" i="25"/>
  <c r="D105" i="25" s="1"/>
  <c r="E22" i="25" s="1"/>
  <c r="F22" i="25" s="1"/>
  <c r="S36" i="62" s="1"/>
  <c r="F64" i="20"/>
  <c r="F64" i="28"/>
  <c r="F64" i="39"/>
  <c r="F64" i="43"/>
  <c r="F64" i="54"/>
  <c r="D33" i="27"/>
  <c r="D33" i="29"/>
  <c r="B35" i="63" s="1"/>
  <c r="N35" i="63" s="1"/>
  <c r="N7" i="63"/>
  <c r="F7" i="63"/>
  <c r="D33" i="22"/>
  <c r="D33" i="56"/>
  <c r="D33" i="59"/>
  <c r="D95" i="5"/>
  <c r="D105" i="5" s="1"/>
  <c r="E29" i="5" s="1"/>
  <c r="F29" i="5" s="1"/>
  <c r="Z56" i="62" s="1"/>
  <c r="D95" i="7"/>
  <c r="D105" i="7" s="1"/>
  <c r="E27" i="7" s="1"/>
  <c r="F27" i="7" s="1"/>
  <c r="X54" i="62" s="1"/>
  <c r="D33" i="32"/>
  <c r="B32" i="63" s="1"/>
  <c r="N32" i="63" s="1"/>
  <c r="D33" i="34"/>
  <c r="F44" i="60"/>
  <c r="B43" i="63"/>
  <c r="N43" i="63" s="1"/>
  <c r="D33" i="49"/>
  <c r="B15" i="63" s="1"/>
  <c r="N15" i="63" s="1"/>
  <c r="E63" i="63"/>
  <c r="E61" i="63"/>
  <c r="E51" i="63"/>
  <c r="E49" i="63"/>
  <c r="E47" i="63"/>
  <c r="E45" i="63"/>
  <c r="E43" i="63"/>
  <c r="E41" i="63"/>
  <c r="E39" i="63"/>
  <c r="E37" i="63"/>
  <c r="E35" i="63"/>
  <c r="E33" i="63"/>
  <c r="E31" i="63"/>
  <c r="E29" i="63"/>
  <c r="E27" i="63"/>
  <c r="E25" i="63"/>
  <c r="E58" i="63"/>
  <c r="E56" i="63"/>
  <c r="M54" i="63"/>
  <c r="E24" i="63"/>
  <c r="M10" i="63"/>
  <c r="M61" i="63"/>
  <c r="M57" i="63"/>
  <c r="M55" i="63"/>
  <c r="M53" i="63"/>
  <c r="M23" i="63"/>
  <c r="M21" i="63"/>
  <c r="M17" i="63"/>
  <c r="M50" i="63"/>
  <c r="M48" i="63"/>
  <c r="M46" i="63"/>
  <c r="M44" i="63"/>
  <c r="M38" i="63"/>
  <c r="M36" i="63"/>
  <c r="M34" i="63"/>
  <c r="M26" i="63"/>
  <c r="B42" i="63"/>
  <c r="N42" i="63" s="1"/>
  <c r="B40" i="63"/>
  <c r="N40" i="63" s="1"/>
  <c r="B30" i="63"/>
  <c r="N30" i="63" s="1"/>
  <c r="B8" i="63"/>
  <c r="N8" i="63" s="1"/>
  <c r="B62" i="63"/>
  <c r="N62" i="63" s="1"/>
  <c r="B37" i="63"/>
  <c r="N37" i="63" s="1"/>
  <c r="D33" i="40"/>
  <c r="B24" i="63" s="1"/>
  <c r="N24" i="63" s="1"/>
  <c r="D33" i="42"/>
  <c r="B22" i="63" s="1"/>
  <c r="N22" i="63" s="1"/>
  <c r="E8" i="63"/>
  <c r="M63" i="63"/>
  <c r="E59" i="63"/>
  <c r="M51" i="63"/>
  <c r="M49" i="63"/>
  <c r="M47" i="63"/>
  <c r="M45" i="63"/>
  <c r="M25" i="63"/>
  <c r="E54" i="63"/>
  <c r="E52" i="63"/>
  <c r="E22" i="63"/>
  <c r="E20" i="63"/>
  <c r="E18" i="63"/>
  <c r="E16" i="63"/>
  <c r="E14" i="63"/>
  <c r="E12" i="63"/>
  <c r="E10" i="63"/>
  <c r="M59" i="63"/>
  <c r="E57" i="63"/>
  <c r="E55" i="63"/>
  <c r="E53" i="63"/>
  <c r="E23" i="63"/>
  <c r="E21" i="63"/>
  <c r="E19" i="63"/>
  <c r="E17" i="63"/>
  <c r="E15" i="63"/>
  <c r="E13" i="63"/>
  <c r="E11" i="63"/>
  <c r="E9" i="63"/>
  <c r="E62" i="63"/>
  <c r="E60" i="63"/>
  <c r="M52" i="63"/>
  <c r="E50" i="63"/>
  <c r="E48" i="63"/>
  <c r="E46" i="63"/>
  <c r="E44" i="63"/>
  <c r="E42" i="63"/>
  <c r="F42" i="63" s="1"/>
  <c r="E40" i="63"/>
  <c r="E38" i="63"/>
  <c r="E36" i="63"/>
  <c r="E34" i="63"/>
  <c r="E32" i="63"/>
  <c r="E30" i="63"/>
  <c r="F30" i="63" s="1"/>
  <c r="E28" i="63"/>
  <c r="E26" i="63"/>
  <c r="K7" i="63"/>
  <c r="L7" i="63" s="1"/>
  <c r="E7" i="25"/>
  <c r="E20" i="38"/>
  <c r="F105" i="38"/>
  <c r="F100" i="57"/>
  <c r="G7" i="63" s="1"/>
  <c r="H7" i="63" s="1"/>
  <c r="F99" i="47"/>
  <c r="F98" i="47"/>
  <c r="F104" i="38"/>
  <c r="F102" i="57"/>
  <c r="Q7" i="63" s="1"/>
  <c r="R7" i="63" s="1"/>
  <c r="F103" i="57"/>
  <c r="S7" i="63" s="1"/>
  <c r="T7" i="63" s="1"/>
  <c r="F101" i="47"/>
  <c r="F100" i="47"/>
  <c r="F99" i="38"/>
  <c r="F98" i="38"/>
  <c r="F105" i="47"/>
  <c r="F104" i="57"/>
  <c r="U7" i="63" s="1"/>
  <c r="V7" i="63" s="1"/>
  <c r="F101" i="57"/>
  <c r="O7" i="63" s="1"/>
  <c r="P7" i="63" s="1"/>
  <c r="F101" i="25"/>
  <c r="F103" i="47"/>
  <c r="F102" i="47"/>
  <c r="F101" i="38"/>
  <c r="F100" i="38"/>
  <c r="F105" i="57"/>
  <c r="F98" i="57"/>
  <c r="I7" i="63" s="1"/>
  <c r="F101" i="7"/>
  <c r="F104" i="47"/>
  <c r="F103" i="38"/>
  <c r="F102" i="38"/>
  <c r="E20" i="7"/>
  <c r="F20" i="7" s="1"/>
  <c r="Q54" i="62" s="1"/>
  <c r="E18" i="47"/>
  <c r="E21" i="5"/>
  <c r="F21" i="5" s="1"/>
  <c r="R56" i="62" s="1"/>
  <c r="E16" i="5"/>
  <c r="E30" i="7"/>
  <c r="F30" i="7" s="1"/>
  <c r="AA54" i="62" s="1"/>
  <c r="E30" i="25"/>
  <c r="F30" i="25" s="1"/>
  <c r="AA36" i="62" s="1"/>
  <c r="E25" i="25"/>
  <c r="F25" i="25" s="1"/>
  <c r="V36" i="62" s="1"/>
  <c r="E19" i="47"/>
  <c r="F19" i="47" s="1"/>
  <c r="P14" i="62" s="1"/>
  <c r="E26" i="5"/>
  <c r="E5" i="7"/>
  <c r="F5" i="7" s="1"/>
  <c r="B54" i="62" s="1"/>
  <c r="E17" i="47"/>
  <c r="F17" i="47" s="1"/>
  <c r="N14" i="62" s="1"/>
  <c r="E32" i="47"/>
  <c r="E16" i="47"/>
  <c r="F16" i="47" s="1"/>
  <c r="M14" i="62" s="1"/>
  <c r="E21" i="38"/>
  <c r="E5" i="38"/>
  <c r="E8" i="25"/>
  <c r="F8" i="25" s="1"/>
  <c r="E36" i="62" s="1"/>
  <c r="E6" i="38"/>
  <c r="E14" i="38"/>
  <c r="E22" i="38"/>
  <c r="F22" i="38" s="1"/>
  <c r="S23" i="62" s="1"/>
  <c r="E30" i="38"/>
  <c r="E11" i="38"/>
  <c r="F11" i="38" s="1"/>
  <c r="H23" i="62" s="1"/>
  <c r="E19" i="38"/>
  <c r="E27" i="38"/>
  <c r="F27" i="38" s="1"/>
  <c r="X23" i="62" s="1"/>
  <c r="E8" i="38"/>
  <c r="E16" i="38"/>
  <c r="F16" i="38" s="1"/>
  <c r="M23" i="62" s="1"/>
  <c r="E24" i="38"/>
  <c r="E32" i="38"/>
  <c r="F32" i="38" s="1"/>
  <c r="AC23" i="62" s="1"/>
  <c r="E9" i="38"/>
  <c r="F9" i="38" s="1"/>
  <c r="F23" i="62" s="1"/>
  <c r="E17" i="38"/>
  <c r="F17" i="38" s="1"/>
  <c r="N23" i="62" s="1"/>
  <c r="E25" i="38"/>
  <c r="E10" i="38"/>
  <c r="F10" i="38" s="1"/>
  <c r="G23" i="62" s="1"/>
  <c r="E18" i="38"/>
  <c r="F18" i="38" s="1"/>
  <c r="O23" i="62" s="1"/>
  <c r="E26" i="38"/>
  <c r="F26" i="38" s="1"/>
  <c r="W23" i="62" s="1"/>
  <c r="E7" i="38"/>
  <c r="F7" i="38" s="1"/>
  <c r="D23" i="62" s="1"/>
  <c r="E15" i="38"/>
  <c r="F15" i="38" s="1"/>
  <c r="L23" i="62" s="1"/>
  <c r="E23" i="38"/>
  <c r="E31" i="38"/>
  <c r="F31" i="38" s="1"/>
  <c r="AB23" i="62" s="1"/>
  <c r="E14" i="5"/>
  <c r="F14" i="5" s="1"/>
  <c r="K56" i="62" s="1"/>
  <c r="E30" i="5"/>
  <c r="F30" i="5" s="1"/>
  <c r="AA56" i="62" s="1"/>
  <c r="E19" i="5"/>
  <c r="F19" i="5" s="1"/>
  <c r="P56" i="62" s="1"/>
  <c r="E8" i="7"/>
  <c r="F8" i="7" s="1"/>
  <c r="E54" i="62" s="1"/>
  <c r="E9" i="7"/>
  <c r="F9" i="7" s="1"/>
  <c r="F54" i="62" s="1"/>
  <c r="E6" i="47"/>
  <c r="F6" i="47" s="1"/>
  <c r="C14" i="62" s="1"/>
  <c r="E14" i="47"/>
  <c r="F14" i="47" s="1"/>
  <c r="K14" i="62" s="1"/>
  <c r="E22" i="47"/>
  <c r="E30" i="47"/>
  <c r="F30" i="47" s="1"/>
  <c r="AA14" i="62" s="1"/>
  <c r="E12" i="47"/>
  <c r="F12" i="47" s="1"/>
  <c r="I14" i="62" s="1"/>
  <c r="E20" i="47"/>
  <c r="E28" i="47"/>
  <c r="F28" i="47" s="1"/>
  <c r="Y14" i="62" s="1"/>
  <c r="E5" i="47"/>
  <c r="F5" i="47" s="1"/>
  <c r="B14" i="62" s="1"/>
  <c r="E13" i="47"/>
  <c r="F13" i="47" s="1"/>
  <c r="J14" i="62" s="1"/>
  <c r="E21" i="47"/>
  <c r="F21" i="47" s="1"/>
  <c r="R14" i="62" s="1"/>
  <c r="E29" i="47"/>
  <c r="F29" i="47" s="1"/>
  <c r="Z14" i="62" s="1"/>
  <c r="E7" i="47"/>
  <c r="E15" i="47"/>
  <c r="F15" i="47" s="1"/>
  <c r="L14" i="62" s="1"/>
  <c r="E23" i="47"/>
  <c r="F23" i="47" s="1"/>
  <c r="T14" i="62" s="1"/>
  <c r="E31" i="47"/>
  <c r="E25" i="5"/>
  <c r="F25" i="5" s="1"/>
  <c r="V56" i="62" s="1"/>
  <c r="E9" i="5"/>
  <c r="F9" i="5" s="1"/>
  <c r="F56" i="62" s="1"/>
  <c r="E20" i="5"/>
  <c r="E31" i="7"/>
  <c r="E15" i="7"/>
  <c r="F15" i="7" s="1"/>
  <c r="L54" i="62" s="1"/>
  <c r="E26" i="7"/>
  <c r="E10" i="7"/>
  <c r="F10" i="7" s="1"/>
  <c r="G54" i="62" s="1"/>
  <c r="E18" i="25"/>
  <c r="F18" i="25" s="1"/>
  <c r="O36" i="62" s="1"/>
  <c r="E29" i="25"/>
  <c r="E13" i="25"/>
  <c r="F13" i="25" s="1"/>
  <c r="J36" i="62" s="1"/>
  <c r="E27" i="47"/>
  <c r="F27" i="47" s="1"/>
  <c r="X14" i="62" s="1"/>
  <c r="E11" i="47"/>
  <c r="F11" i="47" s="1"/>
  <c r="H14" i="62" s="1"/>
  <c r="E7" i="5"/>
  <c r="F7" i="5" s="1"/>
  <c r="D56" i="62" s="1"/>
  <c r="E13" i="7"/>
  <c r="F13" i="7" s="1"/>
  <c r="J54" i="62" s="1"/>
  <c r="E12" i="7"/>
  <c r="E31" i="25"/>
  <c r="F31" i="25" s="1"/>
  <c r="AB36" i="62" s="1"/>
  <c r="E25" i="47"/>
  <c r="F25" i="47" s="1"/>
  <c r="V14" i="62" s="1"/>
  <c r="E9" i="47"/>
  <c r="F9" i="47" s="1"/>
  <c r="F14" i="62" s="1"/>
  <c r="E24" i="47"/>
  <c r="F24" i="47" s="1"/>
  <c r="U14" i="62" s="1"/>
  <c r="E8" i="47"/>
  <c r="F8" i="47" s="1"/>
  <c r="E14" i="62" s="1"/>
  <c r="E26" i="47"/>
  <c r="E10" i="47"/>
  <c r="F10" i="47" s="1"/>
  <c r="G14" i="62" s="1"/>
  <c r="E29" i="38"/>
  <c r="F29" i="38" s="1"/>
  <c r="Z23" i="62" s="1"/>
  <c r="E13" i="38"/>
  <c r="F13" i="38" s="1"/>
  <c r="J23" i="62" s="1"/>
  <c r="E28" i="38"/>
  <c r="E12" i="38"/>
  <c r="F12" i="38" s="1"/>
  <c r="I23" i="62" s="1"/>
  <c r="E118" i="54"/>
  <c r="D33" i="4"/>
  <c r="B60" i="63" s="1"/>
  <c r="N60" i="63" s="1"/>
  <c r="D33" i="6"/>
  <c r="B58" i="63" s="1"/>
  <c r="N58" i="63" s="1"/>
  <c r="D33" i="8"/>
  <c r="B56" i="63" s="1"/>
  <c r="N56" i="63" s="1"/>
  <c r="D95" i="26"/>
  <c r="F105" i="26" s="1"/>
  <c r="D95" i="28"/>
  <c r="F95" i="28" s="1"/>
  <c r="D95" i="30"/>
  <c r="F105" i="30" s="1"/>
  <c r="D33" i="33"/>
  <c r="B31" i="63" s="1"/>
  <c r="N31" i="63" s="1"/>
  <c r="D33" i="35"/>
  <c r="B29" i="63" s="1"/>
  <c r="N29" i="63" s="1"/>
  <c r="D33" i="37"/>
  <c r="B27" i="63" s="1"/>
  <c r="N27" i="63" s="1"/>
  <c r="D95" i="39"/>
  <c r="D95" i="41"/>
  <c r="F95" i="41" s="1"/>
  <c r="D95" i="43"/>
  <c r="F95" i="43" s="1"/>
  <c r="E118" i="55"/>
  <c r="D95" i="1"/>
  <c r="F105" i="1" s="1"/>
  <c r="D95" i="3"/>
  <c r="F95" i="3" s="1"/>
  <c r="D33" i="45"/>
  <c r="B19" i="63" s="1"/>
  <c r="N19" i="63" s="1"/>
  <c r="F64" i="48"/>
  <c r="D95" i="22"/>
  <c r="D95" i="24"/>
  <c r="F95" i="24" s="1"/>
  <c r="D33" i="31"/>
  <c r="B33" i="63" s="1"/>
  <c r="N33" i="63" s="1"/>
  <c r="F7" i="47"/>
  <c r="D14" i="62" s="1"/>
  <c r="D33" i="52"/>
  <c r="B12" i="63" s="1"/>
  <c r="N12" i="63" s="1"/>
  <c r="D33" i="50"/>
  <c r="B14" i="63" s="1"/>
  <c r="N14" i="63" s="1"/>
  <c r="C118" i="49"/>
  <c r="F118" i="49"/>
  <c r="D95" i="21"/>
  <c r="F105" i="21" s="1"/>
  <c r="F95" i="22"/>
  <c r="D95" i="23"/>
  <c r="F95" i="23" s="1"/>
  <c r="D33" i="36"/>
  <c r="B28" i="63" s="1"/>
  <c r="N28" i="63" s="1"/>
  <c r="D95" i="36"/>
  <c r="F95" i="36" s="1"/>
  <c r="F67" i="36"/>
  <c r="F19" i="38"/>
  <c r="P23" i="62" s="1"/>
  <c r="F23" i="38"/>
  <c r="T23" i="62" s="1"/>
  <c r="F8" i="38"/>
  <c r="E23" i="62" s="1"/>
  <c r="F25" i="38"/>
  <c r="V23" i="62" s="1"/>
  <c r="D33" i="46"/>
  <c r="B18" i="63" s="1"/>
  <c r="N18" i="63" s="1"/>
  <c r="D95" i="46"/>
  <c r="F67" i="46"/>
  <c r="D33" i="51"/>
  <c r="B13" i="63" s="1"/>
  <c r="N13" i="63" s="1"/>
  <c r="D95" i="51"/>
  <c r="F67" i="51"/>
  <c r="D95" i="52"/>
  <c r="F95" i="52" s="1"/>
  <c r="F64" i="52"/>
  <c r="D33" i="55"/>
  <c r="B9" i="63" s="1"/>
  <c r="N9" i="63" s="1"/>
  <c r="D95" i="55"/>
  <c r="F95" i="55" s="1"/>
  <c r="D95" i="56"/>
  <c r="F105" i="56" s="1"/>
  <c r="D33" i="1"/>
  <c r="B63" i="63" s="1"/>
  <c r="D95" i="59"/>
  <c r="D33" i="3"/>
  <c r="B61" i="63" s="1"/>
  <c r="D95" i="4"/>
  <c r="F105" i="4" s="1"/>
  <c r="D33" i="5"/>
  <c r="B59" i="63" s="1"/>
  <c r="D95" i="6"/>
  <c r="D33" i="7"/>
  <c r="B57" i="63" s="1"/>
  <c r="D95" i="8"/>
  <c r="F105" i="8" s="1"/>
  <c r="D95" i="9"/>
  <c r="F95" i="9" s="1"/>
  <c r="D95" i="10"/>
  <c r="D33" i="11"/>
  <c r="B53" i="63" s="1"/>
  <c r="D95" i="12"/>
  <c r="F105" i="12" s="1"/>
  <c r="D33" i="13"/>
  <c r="B51" i="63" s="1"/>
  <c r="D95" i="14"/>
  <c r="D33" i="15"/>
  <c r="B49" i="63" s="1"/>
  <c r="D95" i="16"/>
  <c r="F105" i="16" s="1"/>
  <c r="D33" i="17"/>
  <c r="B47" i="63" s="1"/>
  <c r="D95" i="18"/>
  <c r="D33" i="19"/>
  <c r="B45" i="63" s="1"/>
  <c r="D33" i="20"/>
  <c r="B44" i="63" s="1"/>
  <c r="F64" i="56"/>
  <c r="F67" i="1"/>
  <c r="F64" i="4"/>
  <c r="F67" i="5"/>
  <c r="F12" i="7"/>
  <c r="I54" i="62" s="1"/>
  <c r="F26" i="7"/>
  <c r="W54" i="62" s="1"/>
  <c r="F95" i="7"/>
  <c r="F64" i="8"/>
  <c r="F64" i="22"/>
  <c r="F64" i="23"/>
  <c r="F64" i="25"/>
  <c r="D33" i="26"/>
  <c r="B38" i="63" s="1"/>
  <c r="D95" i="27"/>
  <c r="D33" i="28"/>
  <c r="B36" i="63" s="1"/>
  <c r="D95" i="29"/>
  <c r="D33" i="30"/>
  <c r="B34" i="63" s="1"/>
  <c r="D95" i="31"/>
  <c r="F67" i="26"/>
  <c r="F64" i="29"/>
  <c r="F67" i="30"/>
  <c r="F20" i="38"/>
  <c r="Q23" i="62" s="1"/>
  <c r="D33" i="38"/>
  <c r="B26" i="63" s="1"/>
  <c r="F24" i="38"/>
  <c r="U23" i="62" s="1"/>
  <c r="F28" i="38"/>
  <c r="Y23" i="62" s="1"/>
  <c r="F30" i="38"/>
  <c r="AA23" i="62" s="1"/>
  <c r="F67" i="38"/>
  <c r="D33" i="39"/>
  <c r="B25" i="63" s="1"/>
  <c r="D95" i="40"/>
  <c r="D33" i="41"/>
  <c r="B23" i="63" s="1"/>
  <c r="D95" i="42"/>
  <c r="F105" i="42" s="1"/>
  <c r="D33" i="43"/>
  <c r="B21" i="63" s="1"/>
  <c r="D33" i="44"/>
  <c r="B20" i="63" s="1"/>
  <c r="N20" i="63" s="1"/>
  <c r="D95" i="44"/>
  <c r="F95" i="39"/>
  <c r="F64" i="40"/>
  <c r="F67" i="41"/>
  <c r="F64" i="44"/>
  <c r="D33" i="47"/>
  <c r="B17" i="63" s="1"/>
  <c r="F18" i="47"/>
  <c r="O14" i="62" s="1"/>
  <c r="F20" i="47"/>
  <c r="Q14" i="62" s="1"/>
  <c r="F22" i="47"/>
  <c r="S14" i="62" s="1"/>
  <c r="F26" i="47"/>
  <c r="W14" i="62" s="1"/>
  <c r="F32" i="47"/>
  <c r="AC14" i="62" s="1"/>
  <c r="F67" i="47"/>
  <c r="D33" i="48"/>
  <c r="B16" i="63" s="1"/>
  <c r="N16" i="63" s="1"/>
  <c r="D95" i="48"/>
  <c r="F116" i="60"/>
  <c r="F67" i="52"/>
  <c r="D33" i="54"/>
  <c r="B10" i="63" s="1"/>
  <c r="D95" i="54"/>
  <c r="F64" i="55"/>
  <c r="E116" i="60"/>
  <c r="E118" i="60" s="1"/>
  <c r="E118" i="6"/>
  <c r="E118" i="31"/>
  <c r="E118" i="42"/>
  <c r="E118" i="4"/>
  <c r="F95" i="4"/>
  <c r="F95" i="25"/>
  <c r="F95" i="29"/>
  <c r="D95" i="32"/>
  <c r="F67" i="32"/>
  <c r="D95" i="34"/>
  <c r="F67" i="34"/>
  <c r="F95" i="46"/>
  <c r="D95" i="49"/>
  <c r="F67" i="49"/>
  <c r="D33" i="9"/>
  <c r="B55" i="63" s="1"/>
  <c r="D33" i="10"/>
  <c r="B54" i="63" s="1"/>
  <c r="D95" i="11"/>
  <c r="D33" i="12"/>
  <c r="B52" i="63" s="1"/>
  <c r="D95" i="13"/>
  <c r="D33" i="14"/>
  <c r="B50" i="63" s="1"/>
  <c r="D95" i="15"/>
  <c r="D33" i="16"/>
  <c r="B48" i="63" s="1"/>
  <c r="D95" i="17"/>
  <c r="D33" i="18"/>
  <c r="B46" i="63" s="1"/>
  <c r="D95" i="19"/>
  <c r="D95" i="20"/>
  <c r="F95" i="1"/>
  <c r="F64" i="59"/>
  <c r="F67" i="3"/>
  <c r="F16" i="5"/>
  <c r="M56" i="62" s="1"/>
  <c r="F20" i="5"/>
  <c r="Q56" i="62" s="1"/>
  <c r="F26" i="5"/>
  <c r="W56" i="62" s="1"/>
  <c r="F95" i="5"/>
  <c r="F64" i="6"/>
  <c r="F67" i="7"/>
  <c r="F64" i="21"/>
  <c r="F64" i="24"/>
  <c r="F29" i="25"/>
  <c r="Z36" i="62" s="1"/>
  <c r="F7" i="25"/>
  <c r="D36" i="62" s="1"/>
  <c r="F64" i="27"/>
  <c r="F67" i="28"/>
  <c r="F95" i="30"/>
  <c r="F64" i="31"/>
  <c r="D95" i="33"/>
  <c r="F67" i="33"/>
  <c r="D95" i="35"/>
  <c r="F67" i="35"/>
  <c r="D95" i="37"/>
  <c r="F67" i="37"/>
  <c r="F6" i="38"/>
  <c r="C23" i="62" s="1"/>
  <c r="F14" i="38"/>
  <c r="K23" i="62" s="1"/>
  <c r="F95" i="38"/>
  <c r="F67" i="39"/>
  <c r="F64" i="42"/>
  <c r="F67" i="43"/>
  <c r="F67" i="44"/>
  <c r="D95" i="45"/>
  <c r="F67" i="45"/>
  <c r="F95" i="47"/>
  <c r="D95" i="50"/>
  <c r="F67" i="50"/>
  <c r="D33" i="53"/>
  <c r="B11" i="63" s="1"/>
  <c r="N11" i="63" s="1"/>
  <c r="D95" i="53"/>
  <c r="F64" i="53"/>
  <c r="F67" i="55"/>
  <c r="E118" i="59"/>
  <c r="E118" i="27"/>
  <c r="E118" i="56"/>
  <c r="E118" i="8"/>
  <c r="E118" i="29"/>
  <c r="F21" i="38"/>
  <c r="R23" i="62" s="1"/>
  <c r="E118" i="40"/>
  <c r="D105" i="57"/>
  <c r="F95" i="57"/>
  <c r="F67" i="60"/>
  <c r="D118" i="60"/>
  <c r="F118" i="57"/>
  <c r="D33" i="60"/>
  <c r="B64" i="63" s="1"/>
  <c r="F62" i="63" l="1"/>
  <c r="F64" i="63"/>
  <c r="F8" i="63"/>
  <c r="E18" i="5"/>
  <c r="F18" i="5" s="1"/>
  <c r="O56" i="62" s="1"/>
  <c r="E23" i="5"/>
  <c r="F23" i="5" s="1"/>
  <c r="T56" i="62" s="1"/>
  <c r="E12" i="5"/>
  <c r="F12" i="5" s="1"/>
  <c r="I56" i="62" s="1"/>
  <c r="E28" i="5"/>
  <c r="F28" i="5" s="1"/>
  <c r="Y56" i="62" s="1"/>
  <c r="E17" i="5"/>
  <c r="F17" i="5" s="1"/>
  <c r="N56" i="62" s="1"/>
  <c r="E31" i="5"/>
  <c r="E27" i="5"/>
  <c r="F27" i="5" s="1"/>
  <c r="X56" i="62" s="1"/>
  <c r="E11" i="5"/>
  <c r="F11" i="5" s="1"/>
  <c r="H56" i="62" s="1"/>
  <c r="E22" i="5"/>
  <c r="F22" i="5" s="1"/>
  <c r="S56" i="62" s="1"/>
  <c r="E6" i="5"/>
  <c r="F6" i="5" s="1"/>
  <c r="C56" i="62" s="1"/>
  <c r="E32" i="5"/>
  <c r="F32" i="5" s="1"/>
  <c r="AC56" i="62" s="1"/>
  <c r="E5" i="5"/>
  <c r="F5" i="5" s="1"/>
  <c r="B56" i="62" s="1"/>
  <c r="E10" i="5"/>
  <c r="F10" i="5" s="1"/>
  <c r="G56" i="62" s="1"/>
  <c r="F98" i="5"/>
  <c r="F101" i="5"/>
  <c r="F102" i="5"/>
  <c r="F105" i="5"/>
  <c r="F32" i="63"/>
  <c r="F15" i="63"/>
  <c r="J7" i="63"/>
  <c r="F64" i="60"/>
  <c r="F95" i="21"/>
  <c r="E15" i="5"/>
  <c r="F15" i="5" s="1"/>
  <c r="L56" i="62" s="1"/>
  <c r="E8" i="5"/>
  <c r="F8" i="5" s="1"/>
  <c r="E56" i="62" s="1"/>
  <c r="E24" i="5"/>
  <c r="F24" i="5" s="1"/>
  <c r="U56" i="62" s="1"/>
  <c r="E13" i="5"/>
  <c r="F13" i="5" s="1"/>
  <c r="J56" i="62" s="1"/>
  <c r="F100" i="5"/>
  <c r="F99" i="5"/>
  <c r="F104" i="5"/>
  <c r="F103" i="5"/>
  <c r="D95" i="60"/>
  <c r="F105" i="60" s="1"/>
  <c r="F95" i="26"/>
  <c r="U26" i="63"/>
  <c r="V26" i="63" s="1"/>
  <c r="E15" i="25"/>
  <c r="F15" i="25" s="1"/>
  <c r="L36" i="62" s="1"/>
  <c r="E20" i="25"/>
  <c r="F20" i="25" s="1"/>
  <c r="Q36" i="62" s="1"/>
  <c r="E28" i="7"/>
  <c r="F28" i="7" s="1"/>
  <c r="Y54" i="62" s="1"/>
  <c r="E29" i="7"/>
  <c r="F29" i="7" s="1"/>
  <c r="Z54" i="62" s="1"/>
  <c r="E5" i="25"/>
  <c r="F5" i="25" s="1"/>
  <c r="B36" i="62" s="1"/>
  <c r="E21" i="25"/>
  <c r="F21" i="25" s="1"/>
  <c r="R36" i="62" s="1"/>
  <c r="E10" i="25"/>
  <c r="F10" i="25" s="1"/>
  <c r="G36" i="62" s="1"/>
  <c r="E26" i="25"/>
  <c r="F26" i="25" s="1"/>
  <c r="W36" i="62" s="1"/>
  <c r="E18" i="7"/>
  <c r="F18" i="7" s="1"/>
  <c r="O54" i="62" s="1"/>
  <c r="E7" i="7"/>
  <c r="F7" i="7" s="1"/>
  <c r="D54" i="62" s="1"/>
  <c r="E23" i="7"/>
  <c r="F23" i="7" s="1"/>
  <c r="T54" i="62" s="1"/>
  <c r="E25" i="7"/>
  <c r="F25" i="7" s="1"/>
  <c r="V54" i="62" s="1"/>
  <c r="E24" i="7"/>
  <c r="F24" i="7" s="1"/>
  <c r="U54" i="62" s="1"/>
  <c r="E24" i="25"/>
  <c r="F24" i="25" s="1"/>
  <c r="U36" i="62" s="1"/>
  <c r="E19" i="25"/>
  <c r="F19" i="25" s="1"/>
  <c r="P36" i="62" s="1"/>
  <c r="E12" i="25"/>
  <c r="F12" i="25" s="1"/>
  <c r="I36" i="62" s="1"/>
  <c r="E9" i="25"/>
  <c r="F9" i="25" s="1"/>
  <c r="F36" i="62" s="1"/>
  <c r="E14" i="25"/>
  <c r="F14" i="25" s="1"/>
  <c r="K36" i="62" s="1"/>
  <c r="E14" i="7"/>
  <c r="F14" i="7" s="1"/>
  <c r="K54" i="62" s="1"/>
  <c r="E19" i="7"/>
  <c r="F19" i="7" s="1"/>
  <c r="P54" i="62" s="1"/>
  <c r="F104" i="25"/>
  <c r="F98" i="7"/>
  <c r="F100" i="25"/>
  <c r="F102" i="7"/>
  <c r="Q57" i="63" s="1"/>
  <c r="R57" i="63" s="1"/>
  <c r="E17" i="7"/>
  <c r="F17" i="7" s="1"/>
  <c r="N54" i="62" s="1"/>
  <c r="E32" i="7"/>
  <c r="F32" i="7" s="1"/>
  <c r="AC54" i="62" s="1"/>
  <c r="E16" i="7"/>
  <c r="F16" i="7" s="1"/>
  <c r="M54" i="62" s="1"/>
  <c r="E32" i="25"/>
  <c r="F32" i="25" s="1"/>
  <c r="AC36" i="62" s="1"/>
  <c r="E16" i="25"/>
  <c r="F16" i="25" s="1"/>
  <c r="M36" i="62" s="1"/>
  <c r="E27" i="25"/>
  <c r="F27" i="25" s="1"/>
  <c r="X36" i="62" s="1"/>
  <c r="E11" i="25"/>
  <c r="F11" i="25" s="1"/>
  <c r="H36" i="62" s="1"/>
  <c r="E23" i="25"/>
  <c r="F23" i="25" s="1"/>
  <c r="T36" i="62" s="1"/>
  <c r="E28" i="25"/>
  <c r="F28" i="25" s="1"/>
  <c r="Y36" i="62" s="1"/>
  <c r="E21" i="7"/>
  <c r="F21" i="7" s="1"/>
  <c r="R54" i="62" s="1"/>
  <c r="E17" i="25"/>
  <c r="F17" i="25" s="1"/>
  <c r="N36" i="62" s="1"/>
  <c r="E6" i="25"/>
  <c r="F6" i="25" s="1"/>
  <c r="C36" i="62" s="1"/>
  <c r="E6" i="7"/>
  <c r="E22" i="7"/>
  <c r="F22" i="7" s="1"/>
  <c r="S54" i="62" s="1"/>
  <c r="E11" i="7"/>
  <c r="F11" i="7" s="1"/>
  <c r="H54" i="62" s="1"/>
  <c r="F103" i="25"/>
  <c r="S39" i="63" s="1"/>
  <c r="T39" i="63" s="1"/>
  <c r="F100" i="7"/>
  <c r="F102" i="25"/>
  <c r="F99" i="7"/>
  <c r="F99" i="25"/>
  <c r="K39" i="63" s="1"/>
  <c r="L39" i="63" s="1"/>
  <c r="F104" i="7"/>
  <c r="U57" i="63" s="1"/>
  <c r="V57" i="63" s="1"/>
  <c r="F98" i="25"/>
  <c r="F103" i="7"/>
  <c r="F105" i="7"/>
  <c r="F105" i="25"/>
  <c r="F95" i="42"/>
  <c r="F95" i="8"/>
  <c r="F95" i="56"/>
  <c r="F40" i="63"/>
  <c r="F22" i="63"/>
  <c r="F39" i="63"/>
  <c r="F43" i="63"/>
  <c r="N52" i="63"/>
  <c r="N59" i="63"/>
  <c r="N25" i="63"/>
  <c r="N47" i="63"/>
  <c r="N51" i="63"/>
  <c r="N63" i="63"/>
  <c r="N26" i="63"/>
  <c r="N36" i="63"/>
  <c r="N44" i="63"/>
  <c r="N48" i="63"/>
  <c r="N17" i="63"/>
  <c r="N23" i="63"/>
  <c r="N55" i="63"/>
  <c r="N61" i="63"/>
  <c r="N64" i="63"/>
  <c r="N45" i="63"/>
  <c r="N49" i="63"/>
  <c r="N34" i="63"/>
  <c r="N38" i="63"/>
  <c r="N46" i="63"/>
  <c r="N50" i="63"/>
  <c r="N21" i="63"/>
  <c r="N53" i="63"/>
  <c r="N57" i="63"/>
  <c r="N10" i="63"/>
  <c r="N54" i="63"/>
  <c r="F28" i="63"/>
  <c r="F36" i="63"/>
  <c r="F44" i="63"/>
  <c r="F48" i="63"/>
  <c r="F11" i="63"/>
  <c r="F19" i="63"/>
  <c r="F23" i="63"/>
  <c r="F55" i="63"/>
  <c r="F12" i="63"/>
  <c r="F16" i="63"/>
  <c r="F20" i="63"/>
  <c r="F52" i="63"/>
  <c r="F24" i="63"/>
  <c r="F56" i="63"/>
  <c r="F25" i="63"/>
  <c r="F29" i="63"/>
  <c r="F33" i="63"/>
  <c r="F37" i="63"/>
  <c r="F41" i="63"/>
  <c r="F45" i="63"/>
  <c r="F49" i="63"/>
  <c r="F61" i="63"/>
  <c r="F26" i="63"/>
  <c r="F34" i="63"/>
  <c r="F38" i="63"/>
  <c r="F46" i="63"/>
  <c r="F50" i="63"/>
  <c r="F60" i="63"/>
  <c r="F9" i="63"/>
  <c r="F13" i="63"/>
  <c r="F17" i="63"/>
  <c r="F21" i="63"/>
  <c r="F53" i="63"/>
  <c r="F57" i="63"/>
  <c r="F10" i="63"/>
  <c r="F14" i="63"/>
  <c r="F18" i="63"/>
  <c r="F54" i="63"/>
  <c r="F59" i="63"/>
  <c r="F58" i="63"/>
  <c r="F27" i="63"/>
  <c r="F31" i="63"/>
  <c r="F35" i="63"/>
  <c r="F47" i="63"/>
  <c r="F51" i="63"/>
  <c r="F63" i="63"/>
  <c r="Q39" i="63"/>
  <c r="R39" i="63" s="1"/>
  <c r="I39" i="63"/>
  <c r="U39" i="63"/>
  <c r="V39" i="63" s="1"/>
  <c r="O39" i="63"/>
  <c r="P39" i="63" s="1"/>
  <c r="G39" i="63"/>
  <c r="H39" i="63" s="1"/>
  <c r="S26" i="63"/>
  <c r="T26" i="63" s="1"/>
  <c r="G57" i="63"/>
  <c r="H57" i="63" s="1"/>
  <c r="G59" i="63"/>
  <c r="H59" i="63" s="1"/>
  <c r="O26" i="63"/>
  <c r="P26" i="63" s="1"/>
  <c r="S17" i="63"/>
  <c r="T17" i="63" s="1"/>
  <c r="K57" i="63"/>
  <c r="L57" i="63" s="1"/>
  <c r="I59" i="63"/>
  <c r="K26" i="63"/>
  <c r="L26" i="63" s="1"/>
  <c r="O17" i="63"/>
  <c r="P17" i="63" s="1"/>
  <c r="O59" i="63"/>
  <c r="P59" i="63" s="1"/>
  <c r="K17" i="63"/>
  <c r="L17" i="63" s="1"/>
  <c r="S59" i="63"/>
  <c r="T59" i="63" s="1"/>
  <c r="Q26" i="63"/>
  <c r="R26" i="63" s="1"/>
  <c r="U17" i="63"/>
  <c r="V17" i="63" s="1"/>
  <c r="O57" i="63"/>
  <c r="P57" i="63" s="1"/>
  <c r="G26" i="63"/>
  <c r="H26" i="63" s="1"/>
  <c r="Q17" i="63"/>
  <c r="R17" i="63" s="1"/>
  <c r="I57" i="63"/>
  <c r="K59" i="63"/>
  <c r="L59" i="63" s="1"/>
  <c r="I26" i="63"/>
  <c r="G17" i="63"/>
  <c r="H17" i="63" s="1"/>
  <c r="U59" i="63"/>
  <c r="V59" i="63" s="1"/>
  <c r="I17" i="63"/>
  <c r="S57" i="63"/>
  <c r="T57" i="63" s="1"/>
  <c r="Q59" i="63"/>
  <c r="R59" i="63" s="1"/>
  <c r="F99" i="37"/>
  <c r="K27" i="63" s="1"/>
  <c r="L27" i="63" s="1"/>
  <c r="F100" i="37"/>
  <c r="G27" i="63" s="1"/>
  <c r="H27" i="63" s="1"/>
  <c r="F98" i="37"/>
  <c r="I27" i="63" s="1"/>
  <c r="F105" i="37"/>
  <c r="F103" i="37"/>
  <c r="S27" i="63" s="1"/>
  <c r="T27" i="63" s="1"/>
  <c r="F104" i="37"/>
  <c r="U27" i="63" s="1"/>
  <c r="V27" i="63" s="1"/>
  <c r="F101" i="37"/>
  <c r="O27" i="63" s="1"/>
  <c r="P27" i="63" s="1"/>
  <c r="F102" i="37"/>
  <c r="Q27" i="63" s="1"/>
  <c r="R27" i="63" s="1"/>
  <c r="F101" i="35"/>
  <c r="O29" i="63" s="1"/>
  <c r="P29" i="63" s="1"/>
  <c r="F102" i="35"/>
  <c r="Q29" i="63" s="1"/>
  <c r="R29" i="63" s="1"/>
  <c r="F99" i="35"/>
  <c r="K29" i="63" s="1"/>
  <c r="L29" i="63" s="1"/>
  <c r="F100" i="35"/>
  <c r="G29" i="63" s="1"/>
  <c r="H29" i="63" s="1"/>
  <c r="F105" i="35"/>
  <c r="F98" i="35"/>
  <c r="I29" i="63" s="1"/>
  <c r="F103" i="35"/>
  <c r="S29" i="63" s="1"/>
  <c r="T29" i="63" s="1"/>
  <c r="F104" i="35"/>
  <c r="U29" i="63" s="1"/>
  <c r="V29" i="63" s="1"/>
  <c r="F103" i="33"/>
  <c r="S31" i="63" s="1"/>
  <c r="T31" i="63" s="1"/>
  <c r="F104" i="33"/>
  <c r="U31" i="63" s="1"/>
  <c r="V31" i="63" s="1"/>
  <c r="F105" i="33"/>
  <c r="F101" i="33"/>
  <c r="O31" i="63" s="1"/>
  <c r="P31" i="63" s="1"/>
  <c r="F102" i="33"/>
  <c r="Q31" i="63" s="1"/>
  <c r="R31" i="63" s="1"/>
  <c r="F99" i="33"/>
  <c r="K31" i="63" s="1"/>
  <c r="L31" i="63" s="1"/>
  <c r="F100" i="33"/>
  <c r="G31" i="63" s="1"/>
  <c r="H31" i="63" s="1"/>
  <c r="F98" i="33"/>
  <c r="I31" i="63" s="1"/>
  <c r="F95" i="20"/>
  <c r="F104" i="20"/>
  <c r="U44" i="63" s="1"/>
  <c r="V44" i="63" s="1"/>
  <c r="F102" i="20"/>
  <c r="Q44" i="63" s="1"/>
  <c r="R44" i="63" s="1"/>
  <c r="F103" i="20"/>
  <c r="S44" i="63" s="1"/>
  <c r="T44" i="63" s="1"/>
  <c r="F100" i="20"/>
  <c r="G44" i="63" s="1"/>
  <c r="H44" i="63" s="1"/>
  <c r="F101" i="20"/>
  <c r="O44" i="63" s="1"/>
  <c r="P44" i="63" s="1"/>
  <c r="F98" i="20"/>
  <c r="I44" i="63" s="1"/>
  <c r="F99" i="20"/>
  <c r="K44" i="63" s="1"/>
  <c r="L44" i="63" s="1"/>
  <c r="F95" i="17"/>
  <c r="F99" i="17"/>
  <c r="K47" i="63" s="1"/>
  <c r="L47" i="63" s="1"/>
  <c r="F100" i="17"/>
  <c r="G47" i="63" s="1"/>
  <c r="H47" i="63" s="1"/>
  <c r="F98" i="17"/>
  <c r="I47" i="63" s="1"/>
  <c r="F103" i="17"/>
  <c r="S47" i="63" s="1"/>
  <c r="T47" i="63" s="1"/>
  <c r="F104" i="17"/>
  <c r="U47" i="63" s="1"/>
  <c r="V47" i="63" s="1"/>
  <c r="F101" i="17"/>
  <c r="O47" i="63" s="1"/>
  <c r="P47" i="63" s="1"/>
  <c r="F102" i="17"/>
  <c r="Q47" i="63" s="1"/>
  <c r="R47" i="63" s="1"/>
  <c r="F95" i="13"/>
  <c r="F103" i="13"/>
  <c r="S51" i="63" s="1"/>
  <c r="T51" i="63" s="1"/>
  <c r="F104" i="13"/>
  <c r="U51" i="63" s="1"/>
  <c r="V51" i="63" s="1"/>
  <c r="F101" i="13"/>
  <c r="O51" i="63" s="1"/>
  <c r="P51" i="63" s="1"/>
  <c r="F102" i="13"/>
  <c r="Q51" i="63" s="1"/>
  <c r="R51" i="63" s="1"/>
  <c r="F99" i="13"/>
  <c r="K51" i="63" s="1"/>
  <c r="L51" i="63" s="1"/>
  <c r="F100" i="13"/>
  <c r="G51" i="63" s="1"/>
  <c r="H51" i="63" s="1"/>
  <c r="F98" i="13"/>
  <c r="I51" i="63" s="1"/>
  <c r="F105" i="34"/>
  <c r="F98" i="34"/>
  <c r="I30" i="63" s="1"/>
  <c r="F99" i="34"/>
  <c r="K30" i="63" s="1"/>
  <c r="L30" i="63" s="1"/>
  <c r="F104" i="34"/>
  <c r="U30" i="63" s="1"/>
  <c r="V30" i="63" s="1"/>
  <c r="F102" i="34"/>
  <c r="Q30" i="63" s="1"/>
  <c r="R30" i="63" s="1"/>
  <c r="F103" i="34"/>
  <c r="S30" i="63" s="1"/>
  <c r="T30" i="63" s="1"/>
  <c r="F100" i="34"/>
  <c r="G30" i="63" s="1"/>
  <c r="H30" i="63" s="1"/>
  <c r="F101" i="34"/>
  <c r="O30" i="63" s="1"/>
  <c r="P30" i="63" s="1"/>
  <c r="F95" i="32"/>
  <c r="F100" i="32"/>
  <c r="G32" i="63" s="1"/>
  <c r="H32" i="63" s="1"/>
  <c r="F101" i="32"/>
  <c r="O32" i="63" s="1"/>
  <c r="P32" i="63" s="1"/>
  <c r="F98" i="32"/>
  <c r="I32" i="63" s="1"/>
  <c r="F99" i="32"/>
  <c r="K32" i="63" s="1"/>
  <c r="L32" i="63" s="1"/>
  <c r="F105" i="32"/>
  <c r="F104" i="32"/>
  <c r="U32" i="63" s="1"/>
  <c r="V32" i="63" s="1"/>
  <c r="F102" i="32"/>
  <c r="Q32" i="63" s="1"/>
  <c r="R32" i="63" s="1"/>
  <c r="F103" i="32"/>
  <c r="S32" i="63" s="1"/>
  <c r="T32" i="63" s="1"/>
  <c r="F101" i="54"/>
  <c r="O10" i="63" s="1"/>
  <c r="P10" i="63" s="1"/>
  <c r="F104" i="54"/>
  <c r="U10" i="63" s="1"/>
  <c r="V10" i="63" s="1"/>
  <c r="F103" i="54"/>
  <c r="S10" i="63" s="1"/>
  <c r="T10" i="63" s="1"/>
  <c r="F102" i="54"/>
  <c r="Q10" i="63" s="1"/>
  <c r="R10" i="63" s="1"/>
  <c r="F100" i="54"/>
  <c r="G10" i="63" s="1"/>
  <c r="H10" i="63" s="1"/>
  <c r="F99" i="54"/>
  <c r="K10" i="63" s="1"/>
  <c r="L10" i="63" s="1"/>
  <c r="F98" i="54"/>
  <c r="I10" i="63" s="1"/>
  <c r="F95" i="44"/>
  <c r="F98" i="44"/>
  <c r="I20" i="63" s="1"/>
  <c r="F103" i="44"/>
  <c r="S20" i="63" s="1"/>
  <c r="T20" i="63" s="1"/>
  <c r="F104" i="44"/>
  <c r="U20" i="63" s="1"/>
  <c r="V20" i="63" s="1"/>
  <c r="F101" i="44"/>
  <c r="O20" i="63" s="1"/>
  <c r="P20" i="63" s="1"/>
  <c r="F102" i="44"/>
  <c r="Q20" i="63" s="1"/>
  <c r="R20" i="63" s="1"/>
  <c r="F99" i="44"/>
  <c r="K20" i="63" s="1"/>
  <c r="L20" i="63" s="1"/>
  <c r="F100" i="44"/>
  <c r="G20" i="63" s="1"/>
  <c r="H20" i="63" s="1"/>
  <c r="F95" i="31"/>
  <c r="F98" i="31"/>
  <c r="I33" i="63" s="1"/>
  <c r="F103" i="31"/>
  <c r="S33" i="63" s="1"/>
  <c r="T33" i="63" s="1"/>
  <c r="F104" i="31"/>
  <c r="U33" i="63" s="1"/>
  <c r="V33" i="63" s="1"/>
  <c r="F101" i="31"/>
  <c r="O33" i="63" s="1"/>
  <c r="P33" i="63" s="1"/>
  <c r="F102" i="31"/>
  <c r="Q33" i="63" s="1"/>
  <c r="R33" i="63" s="1"/>
  <c r="F99" i="31"/>
  <c r="K33" i="63" s="1"/>
  <c r="L33" i="63" s="1"/>
  <c r="F100" i="31"/>
  <c r="G33" i="63" s="1"/>
  <c r="H33" i="63" s="1"/>
  <c r="F99" i="29"/>
  <c r="K35" i="63" s="1"/>
  <c r="L35" i="63" s="1"/>
  <c r="F100" i="29"/>
  <c r="G35" i="63" s="1"/>
  <c r="H35" i="63" s="1"/>
  <c r="F98" i="29"/>
  <c r="I35" i="63" s="1"/>
  <c r="F103" i="29"/>
  <c r="S35" i="63" s="1"/>
  <c r="T35" i="63" s="1"/>
  <c r="F104" i="29"/>
  <c r="U35" i="63" s="1"/>
  <c r="V35" i="63" s="1"/>
  <c r="F101" i="29"/>
  <c r="O35" i="63" s="1"/>
  <c r="P35" i="63" s="1"/>
  <c r="F102" i="29"/>
  <c r="Q35" i="63" s="1"/>
  <c r="R35" i="63" s="1"/>
  <c r="F101" i="27"/>
  <c r="O37" i="63" s="1"/>
  <c r="P37" i="63" s="1"/>
  <c r="F102" i="27"/>
  <c r="Q37" i="63" s="1"/>
  <c r="R37" i="63" s="1"/>
  <c r="F99" i="27"/>
  <c r="K37" i="63" s="1"/>
  <c r="L37" i="63" s="1"/>
  <c r="F100" i="27"/>
  <c r="G37" i="63" s="1"/>
  <c r="H37" i="63" s="1"/>
  <c r="F98" i="27"/>
  <c r="I37" i="63" s="1"/>
  <c r="F103" i="27"/>
  <c r="S37" i="63" s="1"/>
  <c r="T37" i="63" s="1"/>
  <c r="F104" i="27"/>
  <c r="U37" i="63" s="1"/>
  <c r="V37" i="63" s="1"/>
  <c r="F98" i="18"/>
  <c r="I46" i="63" s="1"/>
  <c r="F99" i="18"/>
  <c r="K46" i="63" s="1"/>
  <c r="L46" i="63" s="1"/>
  <c r="F104" i="18"/>
  <c r="U46" i="63" s="1"/>
  <c r="V46" i="63" s="1"/>
  <c r="F102" i="18"/>
  <c r="Q46" i="63" s="1"/>
  <c r="R46" i="63" s="1"/>
  <c r="F103" i="18"/>
  <c r="S46" i="63" s="1"/>
  <c r="T46" i="63" s="1"/>
  <c r="F100" i="18"/>
  <c r="G46" i="63" s="1"/>
  <c r="H46" i="63" s="1"/>
  <c r="F101" i="18"/>
  <c r="O46" i="63" s="1"/>
  <c r="P46" i="63" s="1"/>
  <c r="F102" i="14"/>
  <c r="Q50" i="63" s="1"/>
  <c r="R50" i="63" s="1"/>
  <c r="F103" i="14"/>
  <c r="S50" i="63" s="1"/>
  <c r="T50" i="63" s="1"/>
  <c r="F100" i="14"/>
  <c r="G50" i="63" s="1"/>
  <c r="H50" i="63" s="1"/>
  <c r="F101" i="14"/>
  <c r="O50" i="63" s="1"/>
  <c r="P50" i="63" s="1"/>
  <c r="F98" i="14"/>
  <c r="I50" i="63" s="1"/>
  <c r="F99" i="14"/>
  <c r="K50" i="63" s="1"/>
  <c r="L50" i="63" s="1"/>
  <c r="F104" i="14"/>
  <c r="U50" i="63" s="1"/>
  <c r="V50" i="63" s="1"/>
  <c r="F103" i="10"/>
  <c r="S54" i="63" s="1"/>
  <c r="T54" i="63" s="1"/>
  <c r="F104" i="10"/>
  <c r="U54" i="63" s="1"/>
  <c r="V54" i="63" s="1"/>
  <c r="F101" i="10"/>
  <c r="O54" i="63" s="1"/>
  <c r="P54" i="63" s="1"/>
  <c r="F102" i="10"/>
  <c r="Q54" i="63" s="1"/>
  <c r="R54" i="63" s="1"/>
  <c r="F99" i="10"/>
  <c r="K54" i="63" s="1"/>
  <c r="L54" i="63" s="1"/>
  <c r="F100" i="10"/>
  <c r="G54" i="63" s="1"/>
  <c r="H54" i="63" s="1"/>
  <c r="F98" i="10"/>
  <c r="I54" i="63" s="1"/>
  <c r="F98" i="9"/>
  <c r="I55" i="63" s="1"/>
  <c r="F99" i="9"/>
  <c r="K55" i="63" s="1"/>
  <c r="L55" i="63" s="1"/>
  <c r="F104" i="9"/>
  <c r="U55" i="63" s="1"/>
  <c r="V55" i="63" s="1"/>
  <c r="F102" i="9"/>
  <c r="Q55" i="63" s="1"/>
  <c r="R55" i="63" s="1"/>
  <c r="F103" i="9"/>
  <c r="S55" i="63" s="1"/>
  <c r="T55" i="63" s="1"/>
  <c r="F100" i="9"/>
  <c r="G55" i="63" s="1"/>
  <c r="H55" i="63" s="1"/>
  <c r="F101" i="9"/>
  <c r="O55" i="63" s="1"/>
  <c r="P55" i="63" s="1"/>
  <c r="F98" i="55"/>
  <c r="I9" i="63" s="1"/>
  <c r="F100" i="55"/>
  <c r="G9" i="63" s="1"/>
  <c r="H9" i="63" s="1"/>
  <c r="F99" i="55"/>
  <c r="K9" i="63" s="1"/>
  <c r="L9" i="63" s="1"/>
  <c r="F101" i="55"/>
  <c r="O9" i="63" s="1"/>
  <c r="P9" i="63" s="1"/>
  <c r="F102" i="55"/>
  <c r="Q9" i="63" s="1"/>
  <c r="R9" i="63" s="1"/>
  <c r="F103" i="55"/>
  <c r="S9" i="63" s="1"/>
  <c r="T9" i="63" s="1"/>
  <c r="F104" i="55"/>
  <c r="U9" i="63" s="1"/>
  <c r="V9" i="63" s="1"/>
  <c r="F105" i="46"/>
  <c r="F103" i="46"/>
  <c r="S18" i="63" s="1"/>
  <c r="T18" i="63" s="1"/>
  <c r="F104" i="46"/>
  <c r="U18" i="63" s="1"/>
  <c r="V18" i="63" s="1"/>
  <c r="F101" i="46"/>
  <c r="O18" i="63" s="1"/>
  <c r="P18" i="63" s="1"/>
  <c r="F102" i="46"/>
  <c r="Q18" i="63" s="1"/>
  <c r="R18" i="63" s="1"/>
  <c r="F99" i="46"/>
  <c r="K18" i="63" s="1"/>
  <c r="L18" i="63" s="1"/>
  <c r="F100" i="46"/>
  <c r="G18" i="63" s="1"/>
  <c r="H18" i="63" s="1"/>
  <c r="F98" i="46"/>
  <c r="I18" i="63" s="1"/>
  <c r="F98" i="23"/>
  <c r="I41" i="63" s="1"/>
  <c r="F103" i="23"/>
  <c r="S41" i="63" s="1"/>
  <c r="T41" i="63" s="1"/>
  <c r="F104" i="23"/>
  <c r="U41" i="63" s="1"/>
  <c r="V41" i="63" s="1"/>
  <c r="F101" i="23"/>
  <c r="O41" i="63" s="1"/>
  <c r="P41" i="63" s="1"/>
  <c r="F102" i="23"/>
  <c r="Q41" i="63" s="1"/>
  <c r="R41" i="63" s="1"/>
  <c r="F99" i="23"/>
  <c r="K41" i="63" s="1"/>
  <c r="L41" i="63" s="1"/>
  <c r="F100" i="23"/>
  <c r="G41" i="63" s="1"/>
  <c r="H41" i="63" s="1"/>
  <c r="F100" i="24"/>
  <c r="G40" i="63" s="1"/>
  <c r="H40" i="63" s="1"/>
  <c r="F101" i="24"/>
  <c r="O40" i="63" s="1"/>
  <c r="P40" i="63" s="1"/>
  <c r="F98" i="24"/>
  <c r="I40" i="63" s="1"/>
  <c r="F99" i="24"/>
  <c r="K40" i="63" s="1"/>
  <c r="L40" i="63" s="1"/>
  <c r="F104" i="24"/>
  <c r="U40" i="63" s="1"/>
  <c r="V40" i="63" s="1"/>
  <c r="F102" i="24"/>
  <c r="Q40" i="63" s="1"/>
  <c r="R40" i="63" s="1"/>
  <c r="F103" i="24"/>
  <c r="S40" i="63" s="1"/>
  <c r="T40" i="63" s="1"/>
  <c r="F102" i="22"/>
  <c r="Q42" i="63" s="1"/>
  <c r="R42" i="63" s="1"/>
  <c r="F103" i="22"/>
  <c r="S42" i="63" s="1"/>
  <c r="T42" i="63" s="1"/>
  <c r="F100" i="22"/>
  <c r="G42" i="63" s="1"/>
  <c r="H42" i="63" s="1"/>
  <c r="F101" i="22"/>
  <c r="O42" i="63" s="1"/>
  <c r="P42" i="63" s="1"/>
  <c r="F98" i="22"/>
  <c r="I42" i="63" s="1"/>
  <c r="F99" i="22"/>
  <c r="K42" i="63" s="1"/>
  <c r="L42" i="63" s="1"/>
  <c r="F104" i="22"/>
  <c r="U42" i="63" s="1"/>
  <c r="V42" i="63" s="1"/>
  <c r="F101" i="3"/>
  <c r="O61" i="63" s="1"/>
  <c r="P61" i="63" s="1"/>
  <c r="F102" i="3"/>
  <c r="Q61" i="63" s="1"/>
  <c r="R61" i="63" s="1"/>
  <c r="F99" i="3"/>
  <c r="K61" i="63" s="1"/>
  <c r="L61" i="63" s="1"/>
  <c r="F100" i="3"/>
  <c r="G61" i="63" s="1"/>
  <c r="H61" i="63" s="1"/>
  <c r="F98" i="3"/>
  <c r="I61" i="63" s="1"/>
  <c r="F103" i="3"/>
  <c r="S61" i="63" s="1"/>
  <c r="T61" i="63" s="1"/>
  <c r="F104" i="3"/>
  <c r="U61" i="63" s="1"/>
  <c r="V61" i="63" s="1"/>
  <c r="F102" i="41"/>
  <c r="Q23" i="63" s="1"/>
  <c r="R23" i="63" s="1"/>
  <c r="F103" i="41"/>
  <c r="S23" i="63" s="1"/>
  <c r="T23" i="63" s="1"/>
  <c r="F100" i="41"/>
  <c r="G23" i="63" s="1"/>
  <c r="H23" i="63" s="1"/>
  <c r="F101" i="41"/>
  <c r="O23" i="63" s="1"/>
  <c r="P23" i="63" s="1"/>
  <c r="F98" i="41"/>
  <c r="I23" i="63" s="1"/>
  <c r="F99" i="41"/>
  <c r="K23" i="63" s="1"/>
  <c r="L23" i="63" s="1"/>
  <c r="F104" i="41"/>
  <c r="U23" i="63" s="1"/>
  <c r="V23" i="63" s="1"/>
  <c r="F104" i="28"/>
  <c r="U36" i="63" s="1"/>
  <c r="V36" i="63" s="1"/>
  <c r="F102" i="28"/>
  <c r="Q36" i="63" s="1"/>
  <c r="R36" i="63" s="1"/>
  <c r="F103" i="28"/>
  <c r="S36" i="63" s="1"/>
  <c r="T36" i="63" s="1"/>
  <c r="F100" i="28"/>
  <c r="G36" i="63" s="1"/>
  <c r="H36" i="63" s="1"/>
  <c r="F101" i="28"/>
  <c r="O36" i="63" s="1"/>
  <c r="P36" i="63" s="1"/>
  <c r="F98" i="28"/>
  <c r="I36" i="63" s="1"/>
  <c r="F99" i="28"/>
  <c r="K36" i="63" s="1"/>
  <c r="L36" i="63" s="1"/>
  <c r="F31" i="5"/>
  <c r="AB56" i="62" s="1"/>
  <c r="F105" i="44"/>
  <c r="F105" i="29"/>
  <c r="F105" i="55"/>
  <c r="F105" i="54"/>
  <c r="F105" i="41"/>
  <c r="F105" i="20"/>
  <c r="F105" i="18"/>
  <c r="F105" i="14"/>
  <c r="F105" i="10"/>
  <c r="F105" i="24"/>
  <c r="F105" i="50"/>
  <c r="F99" i="50"/>
  <c r="K14" i="63" s="1"/>
  <c r="L14" i="63" s="1"/>
  <c r="F100" i="50"/>
  <c r="G14" i="63" s="1"/>
  <c r="H14" i="63" s="1"/>
  <c r="F98" i="50"/>
  <c r="I14" i="63" s="1"/>
  <c r="F103" i="50"/>
  <c r="S14" i="63" s="1"/>
  <c r="T14" i="63" s="1"/>
  <c r="F104" i="50"/>
  <c r="U14" i="63" s="1"/>
  <c r="V14" i="63" s="1"/>
  <c r="F101" i="50"/>
  <c r="O14" i="63" s="1"/>
  <c r="P14" i="63" s="1"/>
  <c r="F102" i="50"/>
  <c r="Q14" i="63" s="1"/>
  <c r="R14" i="63" s="1"/>
  <c r="F98" i="53"/>
  <c r="I11" i="63" s="1"/>
  <c r="F99" i="53"/>
  <c r="K11" i="63" s="1"/>
  <c r="L11" i="63" s="1"/>
  <c r="F104" i="53"/>
  <c r="U11" i="63" s="1"/>
  <c r="V11" i="63" s="1"/>
  <c r="F102" i="53"/>
  <c r="Q11" i="63" s="1"/>
  <c r="R11" i="63" s="1"/>
  <c r="F103" i="53"/>
  <c r="S11" i="63" s="1"/>
  <c r="T11" i="63" s="1"/>
  <c r="F100" i="53"/>
  <c r="G11" i="63" s="1"/>
  <c r="H11" i="63" s="1"/>
  <c r="F101" i="53"/>
  <c r="O11" i="63" s="1"/>
  <c r="P11" i="63" s="1"/>
  <c r="F98" i="45"/>
  <c r="I19" i="63" s="1"/>
  <c r="F99" i="45"/>
  <c r="K19" i="63" s="1"/>
  <c r="L19" i="63" s="1"/>
  <c r="F104" i="45"/>
  <c r="U19" i="63" s="1"/>
  <c r="V19" i="63" s="1"/>
  <c r="F102" i="45"/>
  <c r="Q19" i="63" s="1"/>
  <c r="R19" i="63" s="1"/>
  <c r="F103" i="45"/>
  <c r="S19" i="63" s="1"/>
  <c r="T19" i="63" s="1"/>
  <c r="F105" i="45"/>
  <c r="F100" i="45"/>
  <c r="G19" i="63" s="1"/>
  <c r="H19" i="63" s="1"/>
  <c r="F101" i="45"/>
  <c r="O19" i="63" s="1"/>
  <c r="P19" i="63" s="1"/>
  <c r="F95" i="19"/>
  <c r="F99" i="19"/>
  <c r="K45" i="63" s="1"/>
  <c r="L45" i="63" s="1"/>
  <c r="F98" i="19"/>
  <c r="I45" i="63" s="1"/>
  <c r="F101" i="19"/>
  <c r="O45" i="63" s="1"/>
  <c r="P45" i="63" s="1"/>
  <c r="F104" i="19"/>
  <c r="U45" i="63" s="1"/>
  <c r="V45" i="63" s="1"/>
  <c r="F103" i="19"/>
  <c r="S45" i="63" s="1"/>
  <c r="T45" i="63" s="1"/>
  <c r="F102" i="19"/>
  <c r="Q45" i="63" s="1"/>
  <c r="R45" i="63" s="1"/>
  <c r="F100" i="19"/>
  <c r="G45" i="63" s="1"/>
  <c r="H45" i="63" s="1"/>
  <c r="F95" i="15"/>
  <c r="F101" i="15"/>
  <c r="O49" i="63" s="1"/>
  <c r="P49" i="63" s="1"/>
  <c r="F102" i="15"/>
  <c r="Q49" i="63" s="1"/>
  <c r="R49" i="63" s="1"/>
  <c r="F99" i="15"/>
  <c r="K49" i="63" s="1"/>
  <c r="L49" i="63" s="1"/>
  <c r="F100" i="15"/>
  <c r="G49" i="63" s="1"/>
  <c r="H49" i="63" s="1"/>
  <c r="F98" i="15"/>
  <c r="I49" i="63" s="1"/>
  <c r="F103" i="15"/>
  <c r="S49" i="63" s="1"/>
  <c r="T49" i="63" s="1"/>
  <c r="F104" i="15"/>
  <c r="U49" i="63" s="1"/>
  <c r="V49" i="63" s="1"/>
  <c r="F95" i="11"/>
  <c r="F104" i="11"/>
  <c r="U53" i="63" s="1"/>
  <c r="V53" i="63" s="1"/>
  <c r="F102" i="11"/>
  <c r="Q53" i="63" s="1"/>
  <c r="R53" i="63" s="1"/>
  <c r="F103" i="11"/>
  <c r="S53" i="63" s="1"/>
  <c r="T53" i="63" s="1"/>
  <c r="F100" i="11"/>
  <c r="G53" i="63" s="1"/>
  <c r="H53" i="63" s="1"/>
  <c r="F101" i="11"/>
  <c r="O53" i="63" s="1"/>
  <c r="P53" i="63" s="1"/>
  <c r="F98" i="11"/>
  <c r="I53" i="63" s="1"/>
  <c r="F99" i="11"/>
  <c r="K53" i="63" s="1"/>
  <c r="L53" i="63" s="1"/>
  <c r="F102" i="49"/>
  <c r="Q15" i="63" s="1"/>
  <c r="R15" i="63" s="1"/>
  <c r="F103" i="49"/>
  <c r="S15" i="63" s="1"/>
  <c r="T15" i="63" s="1"/>
  <c r="F100" i="49"/>
  <c r="G15" i="63" s="1"/>
  <c r="H15" i="63" s="1"/>
  <c r="F101" i="49"/>
  <c r="O15" i="63" s="1"/>
  <c r="P15" i="63" s="1"/>
  <c r="F105" i="49"/>
  <c r="F98" i="49"/>
  <c r="I15" i="63" s="1"/>
  <c r="F99" i="49"/>
  <c r="K15" i="63" s="1"/>
  <c r="L15" i="63" s="1"/>
  <c r="F104" i="49"/>
  <c r="U15" i="63" s="1"/>
  <c r="V15" i="63" s="1"/>
  <c r="F95" i="48"/>
  <c r="F101" i="48"/>
  <c r="O16" i="63" s="1"/>
  <c r="P16" i="63" s="1"/>
  <c r="F102" i="48"/>
  <c r="Q16" i="63" s="1"/>
  <c r="R16" i="63" s="1"/>
  <c r="F99" i="48"/>
  <c r="K16" i="63" s="1"/>
  <c r="L16" i="63" s="1"/>
  <c r="F100" i="48"/>
  <c r="G16" i="63" s="1"/>
  <c r="H16" i="63" s="1"/>
  <c r="F98" i="48"/>
  <c r="I16" i="63" s="1"/>
  <c r="F103" i="48"/>
  <c r="S16" i="63" s="1"/>
  <c r="T16" i="63" s="1"/>
  <c r="F104" i="48"/>
  <c r="U16" i="63" s="1"/>
  <c r="V16" i="63" s="1"/>
  <c r="F99" i="42"/>
  <c r="K22" i="63" s="1"/>
  <c r="L22" i="63" s="1"/>
  <c r="F100" i="42"/>
  <c r="G22" i="63" s="1"/>
  <c r="H22" i="63" s="1"/>
  <c r="F98" i="42"/>
  <c r="I22" i="63" s="1"/>
  <c r="F103" i="42"/>
  <c r="S22" i="63" s="1"/>
  <c r="T22" i="63" s="1"/>
  <c r="F104" i="42"/>
  <c r="U22" i="63" s="1"/>
  <c r="V22" i="63" s="1"/>
  <c r="F101" i="42"/>
  <c r="O22" i="63" s="1"/>
  <c r="P22" i="63" s="1"/>
  <c r="F102" i="42"/>
  <c r="Q22" i="63" s="1"/>
  <c r="R22" i="63" s="1"/>
  <c r="F98" i="40"/>
  <c r="I24" i="63" s="1"/>
  <c r="F101" i="40"/>
  <c r="O24" i="63" s="1"/>
  <c r="P24" i="63" s="1"/>
  <c r="F100" i="40"/>
  <c r="G24" i="63" s="1"/>
  <c r="H24" i="63" s="1"/>
  <c r="F99" i="40"/>
  <c r="K24" i="63" s="1"/>
  <c r="L24" i="63" s="1"/>
  <c r="F102" i="40"/>
  <c r="Q24" i="63" s="1"/>
  <c r="R24" i="63" s="1"/>
  <c r="F104" i="40"/>
  <c r="U24" i="63" s="1"/>
  <c r="V24" i="63" s="1"/>
  <c r="F103" i="40"/>
  <c r="S24" i="63" s="1"/>
  <c r="T24" i="63" s="1"/>
  <c r="F100" i="16"/>
  <c r="G48" i="63" s="1"/>
  <c r="H48" i="63" s="1"/>
  <c r="F101" i="16"/>
  <c r="O48" i="63" s="1"/>
  <c r="P48" i="63" s="1"/>
  <c r="F98" i="16"/>
  <c r="I48" i="63" s="1"/>
  <c r="F99" i="16"/>
  <c r="K48" i="63" s="1"/>
  <c r="L48" i="63" s="1"/>
  <c r="F104" i="16"/>
  <c r="U48" i="63" s="1"/>
  <c r="V48" i="63" s="1"/>
  <c r="F102" i="16"/>
  <c r="Q48" i="63" s="1"/>
  <c r="R48" i="63" s="1"/>
  <c r="F103" i="16"/>
  <c r="S48" i="63" s="1"/>
  <c r="T48" i="63" s="1"/>
  <c r="F103" i="12"/>
  <c r="S52" i="63" s="1"/>
  <c r="T52" i="63" s="1"/>
  <c r="F102" i="12"/>
  <c r="Q52" i="63" s="1"/>
  <c r="R52" i="63" s="1"/>
  <c r="F100" i="12"/>
  <c r="G52" i="63" s="1"/>
  <c r="H52" i="63" s="1"/>
  <c r="F99" i="12"/>
  <c r="K52" i="63" s="1"/>
  <c r="L52" i="63" s="1"/>
  <c r="F98" i="12"/>
  <c r="I52" i="63" s="1"/>
  <c r="F101" i="12"/>
  <c r="O52" i="63" s="1"/>
  <c r="P52" i="63" s="1"/>
  <c r="F104" i="12"/>
  <c r="U52" i="63" s="1"/>
  <c r="V52" i="63" s="1"/>
  <c r="F98" i="8"/>
  <c r="I56" i="63" s="1"/>
  <c r="F103" i="8"/>
  <c r="S56" i="63" s="1"/>
  <c r="T56" i="63" s="1"/>
  <c r="F104" i="8"/>
  <c r="U56" i="63" s="1"/>
  <c r="V56" i="63" s="1"/>
  <c r="F101" i="8"/>
  <c r="O56" i="63" s="1"/>
  <c r="P56" i="63" s="1"/>
  <c r="F102" i="8"/>
  <c r="Q56" i="63" s="1"/>
  <c r="R56" i="63" s="1"/>
  <c r="F99" i="8"/>
  <c r="K56" i="63" s="1"/>
  <c r="L56" i="63" s="1"/>
  <c r="F100" i="8"/>
  <c r="G56" i="63" s="1"/>
  <c r="H56" i="63" s="1"/>
  <c r="F99" i="6"/>
  <c r="K58" i="63" s="1"/>
  <c r="L58" i="63" s="1"/>
  <c r="F100" i="6"/>
  <c r="G58" i="63" s="1"/>
  <c r="H58" i="63" s="1"/>
  <c r="F98" i="6"/>
  <c r="I58" i="63" s="1"/>
  <c r="F103" i="6"/>
  <c r="S58" i="63" s="1"/>
  <c r="T58" i="63" s="1"/>
  <c r="F104" i="6"/>
  <c r="U58" i="63" s="1"/>
  <c r="V58" i="63" s="1"/>
  <c r="F101" i="6"/>
  <c r="O58" i="63" s="1"/>
  <c r="P58" i="63" s="1"/>
  <c r="F102" i="6"/>
  <c r="Q58" i="63" s="1"/>
  <c r="R58" i="63" s="1"/>
  <c r="F100" i="4"/>
  <c r="G60" i="63" s="1"/>
  <c r="H60" i="63" s="1"/>
  <c r="F101" i="4"/>
  <c r="O60" i="63" s="1"/>
  <c r="P60" i="63" s="1"/>
  <c r="F98" i="4"/>
  <c r="I60" i="63" s="1"/>
  <c r="F99" i="4"/>
  <c r="K60" i="63" s="1"/>
  <c r="L60" i="63" s="1"/>
  <c r="F104" i="4"/>
  <c r="U60" i="63" s="1"/>
  <c r="V60" i="63" s="1"/>
  <c r="F102" i="4"/>
  <c r="Q60" i="63" s="1"/>
  <c r="R60" i="63" s="1"/>
  <c r="F103" i="4"/>
  <c r="S60" i="63" s="1"/>
  <c r="T60" i="63" s="1"/>
  <c r="F102" i="59"/>
  <c r="Q62" i="63" s="1"/>
  <c r="R62" i="63" s="1"/>
  <c r="F103" i="59"/>
  <c r="S62" i="63" s="1"/>
  <c r="T62" i="63" s="1"/>
  <c r="F100" i="59"/>
  <c r="G62" i="63" s="1"/>
  <c r="H62" i="63" s="1"/>
  <c r="F101" i="59"/>
  <c r="O62" i="63" s="1"/>
  <c r="P62" i="63" s="1"/>
  <c r="F98" i="59"/>
  <c r="I62" i="63" s="1"/>
  <c r="F99" i="59"/>
  <c r="K62" i="63" s="1"/>
  <c r="L62" i="63" s="1"/>
  <c r="F104" i="59"/>
  <c r="U62" i="63" s="1"/>
  <c r="V62" i="63" s="1"/>
  <c r="F102" i="56"/>
  <c r="Q8" i="63" s="1"/>
  <c r="R8" i="63" s="1"/>
  <c r="F100" i="56"/>
  <c r="G8" i="63" s="1"/>
  <c r="H8" i="63" s="1"/>
  <c r="F99" i="56"/>
  <c r="K8" i="63" s="1"/>
  <c r="L8" i="63" s="1"/>
  <c r="F98" i="56"/>
  <c r="I8" i="63" s="1"/>
  <c r="F101" i="56"/>
  <c r="O8" i="63" s="1"/>
  <c r="P8" i="63" s="1"/>
  <c r="F104" i="56"/>
  <c r="U8" i="63" s="1"/>
  <c r="V8" i="63" s="1"/>
  <c r="F103" i="56"/>
  <c r="S8" i="63" s="1"/>
  <c r="T8" i="63" s="1"/>
  <c r="F98" i="52"/>
  <c r="I12" i="63" s="1"/>
  <c r="F103" i="52"/>
  <c r="S12" i="63" s="1"/>
  <c r="T12" i="63" s="1"/>
  <c r="F104" i="52"/>
  <c r="U12" i="63" s="1"/>
  <c r="V12" i="63" s="1"/>
  <c r="F101" i="52"/>
  <c r="O12" i="63" s="1"/>
  <c r="P12" i="63" s="1"/>
  <c r="F102" i="52"/>
  <c r="Q12" i="63" s="1"/>
  <c r="R12" i="63" s="1"/>
  <c r="F99" i="52"/>
  <c r="K12" i="63" s="1"/>
  <c r="L12" i="63" s="1"/>
  <c r="F100" i="52"/>
  <c r="G12" i="63" s="1"/>
  <c r="H12" i="63" s="1"/>
  <c r="F100" i="51"/>
  <c r="G13" i="63" s="1"/>
  <c r="H13" i="63" s="1"/>
  <c r="F101" i="51"/>
  <c r="O13" i="63" s="1"/>
  <c r="P13" i="63" s="1"/>
  <c r="F98" i="51"/>
  <c r="I13" i="63" s="1"/>
  <c r="F99" i="51"/>
  <c r="K13" i="63" s="1"/>
  <c r="L13" i="63" s="1"/>
  <c r="F104" i="51"/>
  <c r="U13" i="63" s="1"/>
  <c r="V13" i="63" s="1"/>
  <c r="F102" i="51"/>
  <c r="Q13" i="63" s="1"/>
  <c r="R13" i="63" s="1"/>
  <c r="F103" i="51"/>
  <c r="S13" i="63" s="1"/>
  <c r="T13" i="63" s="1"/>
  <c r="F105" i="36"/>
  <c r="F104" i="36"/>
  <c r="U28" i="63" s="1"/>
  <c r="V28" i="63" s="1"/>
  <c r="F102" i="36"/>
  <c r="Q28" i="63" s="1"/>
  <c r="R28" i="63" s="1"/>
  <c r="F103" i="36"/>
  <c r="S28" i="63" s="1"/>
  <c r="T28" i="63" s="1"/>
  <c r="F100" i="36"/>
  <c r="G28" i="63" s="1"/>
  <c r="H28" i="63" s="1"/>
  <c r="F101" i="36"/>
  <c r="O28" i="63" s="1"/>
  <c r="P28" i="63" s="1"/>
  <c r="F98" i="36"/>
  <c r="I28" i="63" s="1"/>
  <c r="F99" i="36"/>
  <c r="K28" i="63" s="1"/>
  <c r="L28" i="63" s="1"/>
  <c r="F99" i="21"/>
  <c r="K43" i="63" s="1"/>
  <c r="L43" i="63" s="1"/>
  <c r="F100" i="21"/>
  <c r="G43" i="63" s="1"/>
  <c r="H43" i="63" s="1"/>
  <c r="F98" i="21"/>
  <c r="I43" i="63" s="1"/>
  <c r="F103" i="21"/>
  <c r="S43" i="63" s="1"/>
  <c r="T43" i="63" s="1"/>
  <c r="F104" i="21"/>
  <c r="U43" i="63" s="1"/>
  <c r="V43" i="63" s="1"/>
  <c r="F101" i="21"/>
  <c r="O43" i="63" s="1"/>
  <c r="P43" i="63" s="1"/>
  <c r="F102" i="21"/>
  <c r="Q43" i="63" s="1"/>
  <c r="R43" i="63" s="1"/>
  <c r="F100" i="1"/>
  <c r="G63" i="63" s="1"/>
  <c r="H63" i="63" s="1"/>
  <c r="F99" i="1"/>
  <c r="K63" i="63" s="1"/>
  <c r="L63" i="63" s="1"/>
  <c r="F98" i="1"/>
  <c r="I63" i="63" s="1"/>
  <c r="F101" i="1"/>
  <c r="O63" i="63" s="1"/>
  <c r="P63" i="63" s="1"/>
  <c r="F104" i="1"/>
  <c r="U63" i="63" s="1"/>
  <c r="V63" i="63" s="1"/>
  <c r="F103" i="1"/>
  <c r="S63" i="63" s="1"/>
  <c r="T63" i="63" s="1"/>
  <c r="F102" i="1"/>
  <c r="Q63" i="63" s="1"/>
  <c r="R63" i="63" s="1"/>
  <c r="F100" i="43"/>
  <c r="G21" i="63" s="1"/>
  <c r="H21" i="63" s="1"/>
  <c r="F101" i="43"/>
  <c r="O21" i="63" s="1"/>
  <c r="P21" i="63" s="1"/>
  <c r="F98" i="43"/>
  <c r="I21" i="63" s="1"/>
  <c r="F99" i="43"/>
  <c r="K21" i="63" s="1"/>
  <c r="L21" i="63" s="1"/>
  <c r="F104" i="43"/>
  <c r="U21" i="63" s="1"/>
  <c r="V21" i="63" s="1"/>
  <c r="F102" i="43"/>
  <c r="Q21" i="63" s="1"/>
  <c r="R21" i="63" s="1"/>
  <c r="F103" i="43"/>
  <c r="S21" i="63" s="1"/>
  <c r="T21" i="63" s="1"/>
  <c r="F98" i="39"/>
  <c r="I25" i="63" s="1"/>
  <c r="F103" i="39"/>
  <c r="S25" i="63" s="1"/>
  <c r="T25" i="63" s="1"/>
  <c r="F104" i="39"/>
  <c r="U25" i="63" s="1"/>
  <c r="V25" i="63" s="1"/>
  <c r="F101" i="39"/>
  <c r="O25" i="63" s="1"/>
  <c r="P25" i="63" s="1"/>
  <c r="F102" i="39"/>
  <c r="Q25" i="63" s="1"/>
  <c r="R25" i="63" s="1"/>
  <c r="F99" i="39"/>
  <c r="K25" i="63" s="1"/>
  <c r="L25" i="63" s="1"/>
  <c r="F100" i="39"/>
  <c r="G25" i="63" s="1"/>
  <c r="H25" i="63" s="1"/>
  <c r="F102" i="30"/>
  <c r="Q34" i="63" s="1"/>
  <c r="R34" i="63" s="1"/>
  <c r="F103" i="30"/>
  <c r="S34" i="63" s="1"/>
  <c r="T34" i="63" s="1"/>
  <c r="F100" i="30"/>
  <c r="G34" i="63" s="1"/>
  <c r="H34" i="63" s="1"/>
  <c r="F101" i="30"/>
  <c r="O34" i="63" s="1"/>
  <c r="P34" i="63" s="1"/>
  <c r="F98" i="30"/>
  <c r="I34" i="63" s="1"/>
  <c r="F99" i="30"/>
  <c r="K34" i="63" s="1"/>
  <c r="L34" i="63" s="1"/>
  <c r="F104" i="30"/>
  <c r="U34" i="63" s="1"/>
  <c r="V34" i="63" s="1"/>
  <c r="F100" i="26"/>
  <c r="G38" i="63" s="1"/>
  <c r="H38" i="63" s="1"/>
  <c r="F99" i="26"/>
  <c r="K38" i="63" s="1"/>
  <c r="L38" i="63" s="1"/>
  <c r="F102" i="26"/>
  <c r="Q38" i="63" s="1"/>
  <c r="R38" i="63" s="1"/>
  <c r="F104" i="26"/>
  <c r="U38" i="63" s="1"/>
  <c r="V38" i="63" s="1"/>
  <c r="F103" i="26"/>
  <c r="S38" i="63" s="1"/>
  <c r="T38" i="63" s="1"/>
  <c r="F98" i="26"/>
  <c r="I38" i="63" s="1"/>
  <c r="F101" i="26"/>
  <c r="O38" i="63" s="1"/>
  <c r="P38" i="63" s="1"/>
  <c r="F31" i="7"/>
  <c r="AB54" i="62" s="1"/>
  <c r="F31" i="47"/>
  <c r="AB14" i="62" s="1"/>
  <c r="F105" i="19"/>
  <c r="F105" i="17"/>
  <c r="F105" i="15"/>
  <c r="F105" i="13"/>
  <c r="F105" i="11"/>
  <c r="F105" i="9"/>
  <c r="F105" i="51"/>
  <c r="F105" i="40"/>
  <c r="F105" i="31"/>
  <c r="F105" i="27"/>
  <c r="F105" i="23"/>
  <c r="F105" i="52"/>
  <c r="F105" i="43"/>
  <c r="F105" i="39"/>
  <c r="F105" i="28"/>
  <c r="F105" i="3"/>
  <c r="F105" i="53"/>
  <c r="F105" i="48"/>
  <c r="F105" i="22"/>
  <c r="F105" i="6"/>
  <c r="F105" i="59"/>
  <c r="E29" i="57"/>
  <c r="F29" i="57" s="1"/>
  <c r="Z4" i="62" s="1"/>
  <c r="E13" i="57"/>
  <c r="F13" i="57" s="1"/>
  <c r="J4" i="62" s="1"/>
  <c r="E28" i="57"/>
  <c r="F28" i="57" s="1"/>
  <c r="Y4" i="62" s="1"/>
  <c r="E12" i="57"/>
  <c r="F12" i="57" s="1"/>
  <c r="I4" i="62" s="1"/>
  <c r="E27" i="57"/>
  <c r="F27" i="57" s="1"/>
  <c r="X4" i="62" s="1"/>
  <c r="E19" i="57"/>
  <c r="E11" i="57"/>
  <c r="F11" i="57" s="1"/>
  <c r="H4" i="62" s="1"/>
  <c r="E30" i="57"/>
  <c r="E22" i="57"/>
  <c r="F22" i="57" s="1"/>
  <c r="S4" i="62" s="1"/>
  <c r="E14" i="57"/>
  <c r="F14" i="57" s="1"/>
  <c r="K4" i="62" s="1"/>
  <c r="E6" i="57"/>
  <c r="F6" i="57" s="1"/>
  <c r="C4" i="62" s="1"/>
  <c r="E17" i="57"/>
  <c r="F17" i="57" s="1"/>
  <c r="N4" i="62" s="1"/>
  <c r="E32" i="57"/>
  <c r="F32" i="57" s="1"/>
  <c r="AC4" i="62" s="1"/>
  <c r="E16" i="57"/>
  <c r="F16" i="57" s="1"/>
  <c r="M4" i="62" s="1"/>
  <c r="E21" i="57"/>
  <c r="F21" i="57" s="1"/>
  <c r="R4" i="62" s="1"/>
  <c r="E5" i="57"/>
  <c r="E20" i="57"/>
  <c r="F20" i="57" s="1"/>
  <c r="Q4" i="62" s="1"/>
  <c r="E31" i="57"/>
  <c r="F31" i="57" s="1"/>
  <c r="AB4" i="62" s="1"/>
  <c r="E23" i="57"/>
  <c r="F23" i="57" s="1"/>
  <c r="T4" i="62" s="1"/>
  <c r="E15" i="57"/>
  <c r="F15" i="57" s="1"/>
  <c r="L4" i="62" s="1"/>
  <c r="E7" i="57"/>
  <c r="F7" i="57" s="1"/>
  <c r="D4" i="62" s="1"/>
  <c r="E26" i="57"/>
  <c r="F26" i="57" s="1"/>
  <c r="W4" i="62" s="1"/>
  <c r="E18" i="57"/>
  <c r="F18" i="57" s="1"/>
  <c r="O4" i="62" s="1"/>
  <c r="E10" i="57"/>
  <c r="F10" i="57" s="1"/>
  <c r="G4" i="62" s="1"/>
  <c r="E25" i="57"/>
  <c r="F25" i="57" s="1"/>
  <c r="V4" i="62" s="1"/>
  <c r="E9" i="57"/>
  <c r="E24" i="57"/>
  <c r="F24" i="57" s="1"/>
  <c r="U4" i="62" s="1"/>
  <c r="E8" i="57"/>
  <c r="D105" i="41"/>
  <c r="D105" i="30"/>
  <c r="D105" i="26"/>
  <c r="D105" i="43"/>
  <c r="D105" i="39"/>
  <c r="D105" i="28"/>
  <c r="D105" i="3"/>
  <c r="D105" i="1"/>
  <c r="F95" i="60"/>
  <c r="D105" i="24"/>
  <c r="D105" i="22"/>
  <c r="F118" i="52"/>
  <c r="C118" i="52"/>
  <c r="D105" i="53"/>
  <c r="D105" i="50"/>
  <c r="C118" i="47"/>
  <c r="F118" i="47"/>
  <c r="D105" i="45"/>
  <c r="F118" i="41"/>
  <c r="C118" i="41"/>
  <c r="D105" i="37"/>
  <c r="D105" i="35"/>
  <c r="D105" i="33"/>
  <c r="F118" i="30"/>
  <c r="C118" i="30"/>
  <c r="F118" i="26"/>
  <c r="C118" i="26"/>
  <c r="E33" i="38"/>
  <c r="F5" i="38"/>
  <c r="B23" i="62" s="1"/>
  <c r="C118" i="37"/>
  <c r="F118" i="37"/>
  <c r="C118" i="33"/>
  <c r="F118" i="33"/>
  <c r="D105" i="19"/>
  <c r="F118" i="19"/>
  <c r="C118" i="19"/>
  <c r="D105" i="15"/>
  <c r="F118" i="15"/>
  <c r="C118" i="15"/>
  <c r="D105" i="11"/>
  <c r="F118" i="11"/>
  <c r="C118" i="11"/>
  <c r="F95" i="53"/>
  <c r="C118" i="50"/>
  <c r="F118" i="50"/>
  <c r="E33" i="47"/>
  <c r="C17" i="63" s="1"/>
  <c r="D17" i="63" s="1"/>
  <c r="C118" i="46"/>
  <c r="F118" i="46"/>
  <c r="F95" i="45"/>
  <c r="F118" i="29"/>
  <c r="C118" i="29"/>
  <c r="F118" i="25"/>
  <c r="C118" i="25"/>
  <c r="F118" i="21"/>
  <c r="C118" i="21"/>
  <c r="F118" i="4"/>
  <c r="C118" i="4"/>
  <c r="F118" i="54"/>
  <c r="C118" i="54"/>
  <c r="D105" i="42"/>
  <c r="D105" i="40"/>
  <c r="F118" i="28"/>
  <c r="C118" i="28"/>
  <c r="C118" i="35"/>
  <c r="F118" i="35"/>
  <c r="F118" i="7"/>
  <c r="C118" i="7"/>
  <c r="D105" i="18"/>
  <c r="F95" i="18"/>
  <c r="D105" i="16"/>
  <c r="F95" i="16"/>
  <c r="D105" i="14"/>
  <c r="F95" i="14"/>
  <c r="D105" i="12"/>
  <c r="F95" i="12"/>
  <c r="D105" i="10"/>
  <c r="F95" i="10"/>
  <c r="D105" i="9"/>
  <c r="D105" i="8"/>
  <c r="D105" i="6"/>
  <c r="D105" i="4"/>
  <c r="D105" i="59"/>
  <c r="D105" i="56"/>
  <c r="D105" i="52"/>
  <c r="D105" i="51"/>
  <c r="F95" i="51"/>
  <c r="F95" i="40"/>
  <c r="C118" i="34"/>
  <c r="F118" i="34"/>
  <c r="F118" i="27"/>
  <c r="C118" i="27"/>
  <c r="D105" i="23"/>
  <c r="D105" i="21"/>
  <c r="F95" i="6"/>
  <c r="F118" i="59"/>
  <c r="C118" i="59"/>
  <c r="F118" i="38"/>
  <c r="C118" i="38"/>
  <c r="F95" i="37"/>
  <c r="F95" i="33"/>
  <c r="F118" i="5"/>
  <c r="C118" i="5"/>
  <c r="F118" i="1"/>
  <c r="C118" i="1"/>
  <c r="D105" i="20"/>
  <c r="D105" i="17"/>
  <c r="F118" i="17"/>
  <c r="C118" i="17"/>
  <c r="D105" i="13"/>
  <c r="F118" i="13"/>
  <c r="C118" i="13"/>
  <c r="F118" i="9"/>
  <c r="C118" i="9"/>
  <c r="F118" i="53"/>
  <c r="C118" i="53"/>
  <c r="D105" i="49"/>
  <c r="F95" i="49"/>
  <c r="F95" i="50"/>
  <c r="F118" i="42"/>
  <c r="C118" i="42"/>
  <c r="C118" i="45"/>
  <c r="F118" i="45"/>
  <c r="D105" i="34"/>
  <c r="D105" i="32"/>
  <c r="C118" i="36"/>
  <c r="F118" i="36"/>
  <c r="C118" i="32"/>
  <c r="F118" i="32"/>
  <c r="F118" i="23"/>
  <c r="C118" i="23"/>
  <c r="F118" i="8"/>
  <c r="C118" i="8"/>
  <c r="F118" i="56"/>
  <c r="C118" i="56"/>
  <c r="C109" i="60"/>
  <c r="C118" i="60" s="1"/>
  <c r="F118" i="55"/>
  <c r="C118" i="55"/>
  <c r="D105" i="54"/>
  <c r="F95" i="54"/>
  <c r="D105" i="48"/>
  <c r="C118" i="44"/>
  <c r="F118" i="44"/>
  <c r="F118" i="43"/>
  <c r="C118" i="43"/>
  <c r="F118" i="39"/>
  <c r="C118" i="39"/>
  <c r="D105" i="44"/>
  <c r="F95" i="35"/>
  <c r="D105" i="31"/>
  <c r="D105" i="29"/>
  <c r="D105" i="27"/>
  <c r="F118" i="3"/>
  <c r="C118" i="3"/>
  <c r="F118" i="20"/>
  <c r="C118" i="20"/>
  <c r="F118" i="18"/>
  <c r="C118" i="18"/>
  <c r="F118" i="16"/>
  <c r="C118" i="16"/>
  <c r="F118" i="14"/>
  <c r="C118" i="14"/>
  <c r="F118" i="12"/>
  <c r="C118" i="12"/>
  <c r="F118" i="10"/>
  <c r="C118" i="10"/>
  <c r="D105" i="55"/>
  <c r="F118" i="51"/>
  <c r="C118" i="51"/>
  <c r="C118" i="48"/>
  <c r="F118" i="48"/>
  <c r="D105" i="46"/>
  <c r="F118" i="40"/>
  <c r="C118" i="40"/>
  <c r="D105" i="36"/>
  <c r="F95" i="34"/>
  <c r="C118" i="31"/>
  <c r="F118" i="31"/>
  <c r="F95" i="27"/>
  <c r="F118" i="24"/>
  <c r="C118" i="24"/>
  <c r="F118" i="22"/>
  <c r="C118" i="22"/>
  <c r="F118" i="6"/>
  <c r="C118" i="6"/>
  <c r="F95" i="59"/>
  <c r="F99" i="60"/>
  <c r="K64" i="63" s="1"/>
  <c r="L64" i="63" s="1"/>
  <c r="F104" i="60"/>
  <c r="U64" i="63" s="1"/>
  <c r="V64" i="63" s="1"/>
  <c r="F101" i="60"/>
  <c r="O64" i="63" s="1"/>
  <c r="P64" i="63" s="1"/>
  <c r="F98" i="60"/>
  <c r="I64" i="63" s="1"/>
  <c r="J64" i="63" s="1"/>
  <c r="F30" i="57"/>
  <c r="AA4" i="62" s="1"/>
  <c r="F9" i="57"/>
  <c r="F4" i="62" s="1"/>
  <c r="F19" i="57"/>
  <c r="P4" i="62" s="1"/>
  <c r="F8" i="57"/>
  <c r="E4" i="62" s="1"/>
  <c r="J38" i="63" l="1"/>
  <c r="J34" i="63"/>
  <c r="J21" i="63"/>
  <c r="J43" i="63"/>
  <c r="J28" i="63"/>
  <c r="J12" i="63"/>
  <c r="J8" i="63"/>
  <c r="J62" i="63"/>
  <c r="J58" i="63"/>
  <c r="J52" i="63"/>
  <c r="J24" i="63"/>
  <c r="J16" i="63"/>
  <c r="J15" i="63"/>
  <c r="J49" i="63"/>
  <c r="J11" i="63"/>
  <c r="J61" i="63"/>
  <c r="J40" i="63"/>
  <c r="J18" i="63"/>
  <c r="J9" i="63"/>
  <c r="J54" i="63"/>
  <c r="J46" i="63"/>
  <c r="J35" i="63"/>
  <c r="J44" i="63"/>
  <c r="J27" i="63"/>
  <c r="J26" i="63"/>
  <c r="J57" i="63"/>
  <c r="J25" i="63"/>
  <c r="J63" i="63"/>
  <c r="J13" i="63"/>
  <c r="J60" i="63"/>
  <c r="J56" i="63"/>
  <c r="J48" i="63"/>
  <c r="J22" i="63"/>
  <c r="J53" i="63"/>
  <c r="J45" i="63"/>
  <c r="J19" i="63"/>
  <c r="J14" i="63"/>
  <c r="J36" i="63"/>
  <c r="J23" i="63"/>
  <c r="J42" i="63"/>
  <c r="J41" i="63"/>
  <c r="J55" i="63"/>
  <c r="J50" i="63"/>
  <c r="J37" i="63"/>
  <c r="J33" i="63"/>
  <c r="J20" i="63"/>
  <c r="J10" i="63"/>
  <c r="J32" i="63"/>
  <c r="J30" i="63"/>
  <c r="J51" i="63"/>
  <c r="J47" i="63"/>
  <c r="J31" i="63"/>
  <c r="J29" i="63"/>
  <c r="J17" i="63"/>
  <c r="J59" i="63"/>
  <c r="J39" i="63"/>
  <c r="F100" i="60"/>
  <c r="G64" i="63" s="1"/>
  <c r="H64" i="63" s="1"/>
  <c r="F102" i="60"/>
  <c r="Q64" i="63" s="1"/>
  <c r="R64" i="63" s="1"/>
  <c r="F103" i="60"/>
  <c r="S64" i="63" s="1"/>
  <c r="T64" i="63" s="1"/>
  <c r="D105" i="60"/>
  <c r="E33" i="5"/>
  <c r="D56" i="65" s="1"/>
  <c r="E56" i="65" s="1"/>
  <c r="E33" i="25"/>
  <c r="E33" i="7"/>
  <c r="C57" i="63" s="1"/>
  <c r="D57" i="63" s="1"/>
  <c r="F6" i="7"/>
  <c r="C54" i="62" s="1"/>
  <c r="F33" i="5"/>
  <c r="AD56" i="62" s="1"/>
  <c r="F33" i="25"/>
  <c r="AD36" i="62" s="1"/>
  <c r="D36" i="65"/>
  <c r="E36" i="65" s="1"/>
  <c r="F33" i="47"/>
  <c r="AD14" i="62" s="1"/>
  <c r="D14" i="65"/>
  <c r="E14" i="65" s="1"/>
  <c r="F33" i="38"/>
  <c r="AD23" i="62" s="1"/>
  <c r="D23" i="65"/>
  <c r="E23" i="65" s="1"/>
  <c r="C26" i="63"/>
  <c r="C39" i="63"/>
  <c r="F109" i="60"/>
  <c r="F118" i="60" s="1"/>
  <c r="E8" i="36"/>
  <c r="E16" i="36"/>
  <c r="E24" i="36"/>
  <c r="E32" i="36"/>
  <c r="F32" i="36" s="1"/>
  <c r="AC25" i="62" s="1"/>
  <c r="E9" i="36"/>
  <c r="E17" i="36"/>
  <c r="F17" i="36" s="1"/>
  <c r="N25" i="62" s="1"/>
  <c r="E25" i="36"/>
  <c r="E6" i="36"/>
  <c r="F6" i="36" s="1"/>
  <c r="C25" i="62" s="1"/>
  <c r="E14" i="36"/>
  <c r="E22" i="36"/>
  <c r="F22" i="36" s="1"/>
  <c r="S25" i="62" s="1"/>
  <c r="E30" i="36"/>
  <c r="E11" i="36"/>
  <c r="F11" i="36" s="1"/>
  <c r="H25" i="62" s="1"/>
  <c r="E19" i="36"/>
  <c r="E27" i="36"/>
  <c r="F27" i="36" s="1"/>
  <c r="X25" i="62" s="1"/>
  <c r="E12" i="36"/>
  <c r="E20" i="36"/>
  <c r="F20" i="36" s="1"/>
  <c r="Q25" i="62" s="1"/>
  <c r="E28" i="36"/>
  <c r="E5" i="36"/>
  <c r="E13" i="36"/>
  <c r="E21" i="36"/>
  <c r="F21" i="36" s="1"/>
  <c r="R25" i="62" s="1"/>
  <c r="E29" i="36"/>
  <c r="E18" i="36"/>
  <c r="E7" i="36"/>
  <c r="E23" i="36"/>
  <c r="F23" i="36" s="1"/>
  <c r="T25" i="62" s="1"/>
  <c r="E10" i="36"/>
  <c r="E26" i="36"/>
  <c r="F26" i="36" s="1"/>
  <c r="W25" i="62" s="1"/>
  <c r="E15" i="36"/>
  <c r="E31" i="36"/>
  <c r="F31" i="36" s="1"/>
  <c r="AB25" i="62" s="1"/>
  <c r="E5" i="46"/>
  <c r="E13" i="46"/>
  <c r="F13" i="46" s="1"/>
  <c r="J15" i="62" s="1"/>
  <c r="E21" i="46"/>
  <c r="E29" i="46"/>
  <c r="F29" i="46" s="1"/>
  <c r="Z15" i="62" s="1"/>
  <c r="E10" i="46"/>
  <c r="E18" i="46"/>
  <c r="F18" i="46" s="1"/>
  <c r="O15" i="62" s="1"/>
  <c r="E26" i="46"/>
  <c r="E7" i="46"/>
  <c r="E15" i="46"/>
  <c r="E23" i="46"/>
  <c r="F23" i="46" s="1"/>
  <c r="T15" i="62" s="1"/>
  <c r="E31" i="46"/>
  <c r="E12" i="46"/>
  <c r="E20" i="46"/>
  <c r="E28" i="46"/>
  <c r="F28" i="46" s="1"/>
  <c r="Y15" i="62" s="1"/>
  <c r="E9" i="46"/>
  <c r="E17" i="46"/>
  <c r="F17" i="46" s="1"/>
  <c r="N15" i="62" s="1"/>
  <c r="E25" i="46"/>
  <c r="E6" i="46"/>
  <c r="E14" i="46"/>
  <c r="E22" i="46"/>
  <c r="F22" i="46" s="1"/>
  <c r="S15" i="62" s="1"/>
  <c r="E30" i="46"/>
  <c r="E11" i="46"/>
  <c r="F11" i="46" s="1"/>
  <c r="H15" i="62" s="1"/>
  <c r="E19" i="46"/>
  <c r="E27" i="46"/>
  <c r="F27" i="46" s="1"/>
  <c r="X15" i="62" s="1"/>
  <c r="E8" i="46"/>
  <c r="E16" i="46"/>
  <c r="F16" i="46" s="1"/>
  <c r="M15" i="62" s="1"/>
  <c r="E24" i="46"/>
  <c r="E32" i="46"/>
  <c r="F32" i="46" s="1"/>
  <c r="AC15" i="62" s="1"/>
  <c r="E17" i="55"/>
  <c r="E31" i="55"/>
  <c r="F31" i="55" s="1"/>
  <c r="AB6" i="62" s="1"/>
  <c r="E15" i="55"/>
  <c r="E30" i="55"/>
  <c r="F30" i="55" s="1"/>
  <c r="AA6" i="62" s="1"/>
  <c r="E14" i="55"/>
  <c r="E32" i="55"/>
  <c r="F32" i="55" s="1"/>
  <c r="AC6" i="62" s="1"/>
  <c r="E16" i="55"/>
  <c r="E29" i="55"/>
  <c r="E13" i="55"/>
  <c r="E27" i="55"/>
  <c r="E11" i="55"/>
  <c r="E18" i="55"/>
  <c r="E28" i="55"/>
  <c r="E25" i="55"/>
  <c r="F25" i="55" s="1"/>
  <c r="V6" i="62" s="1"/>
  <c r="E9" i="55"/>
  <c r="E23" i="55"/>
  <c r="F23" i="55" s="1"/>
  <c r="T6" i="62" s="1"/>
  <c r="E7" i="55"/>
  <c r="E22" i="55"/>
  <c r="E6" i="55"/>
  <c r="E24" i="55"/>
  <c r="F24" i="55" s="1"/>
  <c r="U6" i="62" s="1"/>
  <c r="E8" i="55"/>
  <c r="E21" i="55"/>
  <c r="F21" i="55" s="1"/>
  <c r="R6" i="62" s="1"/>
  <c r="E5" i="55"/>
  <c r="E19" i="55"/>
  <c r="F19" i="55" s="1"/>
  <c r="P6" i="62" s="1"/>
  <c r="E26" i="55"/>
  <c r="E10" i="55"/>
  <c r="F10" i="55" s="1"/>
  <c r="G6" i="62" s="1"/>
  <c r="E20" i="55"/>
  <c r="E12" i="55"/>
  <c r="F12" i="55" s="1"/>
  <c r="I6" i="62" s="1"/>
  <c r="E17" i="27"/>
  <c r="E6" i="27"/>
  <c r="F6" i="27" s="1"/>
  <c r="C34" i="62" s="1"/>
  <c r="E22" i="27"/>
  <c r="E24" i="27"/>
  <c r="F24" i="27" s="1"/>
  <c r="U34" i="62" s="1"/>
  <c r="E8" i="27"/>
  <c r="E19" i="27"/>
  <c r="E29" i="27"/>
  <c r="E28" i="27"/>
  <c r="F28" i="27" s="1"/>
  <c r="Y34" i="62" s="1"/>
  <c r="E12" i="27"/>
  <c r="E23" i="27"/>
  <c r="F23" i="27" s="1"/>
  <c r="T34" i="62" s="1"/>
  <c r="E7" i="27"/>
  <c r="E26" i="27"/>
  <c r="F26" i="27" s="1"/>
  <c r="W34" i="62" s="1"/>
  <c r="E21" i="27"/>
  <c r="E9" i="27"/>
  <c r="F9" i="27" s="1"/>
  <c r="F34" i="62" s="1"/>
  <c r="E25" i="27"/>
  <c r="E14" i="27"/>
  <c r="F14" i="27" s="1"/>
  <c r="K34" i="62" s="1"/>
  <c r="E30" i="27"/>
  <c r="E32" i="27"/>
  <c r="F32" i="27" s="1"/>
  <c r="AC34" i="62" s="1"/>
  <c r="E16" i="27"/>
  <c r="E27" i="27"/>
  <c r="F27" i="27" s="1"/>
  <c r="X34" i="62" s="1"/>
  <c r="E11" i="27"/>
  <c r="E18" i="27"/>
  <c r="F18" i="27" s="1"/>
  <c r="O34" i="62" s="1"/>
  <c r="E13" i="27"/>
  <c r="E20" i="27"/>
  <c r="F20" i="27" s="1"/>
  <c r="Q34" i="62" s="1"/>
  <c r="E31" i="27"/>
  <c r="E15" i="27"/>
  <c r="F15" i="27" s="1"/>
  <c r="L34" i="62" s="1"/>
  <c r="E10" i="27"/>
  <c r="E5" i="27"/>
  <c r="E11" i="29"/>
  <c r="E27" i="29"/>
  <c r="F27" i="29" s="1"/>
  <c r="X32" i="62" s="1"/>
  <c r="E16" i="29"/>
  <c r="E32" i="29"/>
  <c r="F32" i="29" s="1"/>
  <c r="AC32" i="62" s="1"/>
  <c r="E17" i="29"/>
  <c r="E30" i="29"/>
  <c r="F30" i="29" s="1"/>
  <c r="AA32" i="62" s="1"/>
  <c r="E14" i="29"/>
  <c r="E21" i="29"/>
  <c r="E28" i="29"/>
  <c r="E23" i="29"/>
  <c r="E18" i="29"/>
  <c r="E29" i="29"/>
  <c r="E20" i="29"/>
  <c r="E15" i="29"/>
  <c r="E19" i="29"/>
  <c r="E8" i="29"/>
  <c r="E24" i="29"/>
  <c r="E9" i="29"/>
  <c r="F9" i="29" s="1"/>
  <c r="F32" i="62" s="1"/>
  <c r="E25" i="29"/>
  <c r="E22" i="29"/>
  <c r="F22" i="29" s="1"/>
  <c r="S32" i="62" s="1"/>
  <c r="E6" i="29"/>
  <c r="E5" i="29"/>
  <c r="E12" i="29"/>
  <c r="E7" i="29"/>
  <c r="E26" i="29"/>
  <c r="E10" i="29"/>
  <c r="F10" i="29" s="1"/>
  <c r="G32" i="62" s="1"/>
  <c r="E13" i="29"/>
  <c r="E31" i="29"/>
  <c r="F31" i="29" s="1"/>
  <c r="AB32" i="62" s="1"/>
  <c r="E9" i="31"/>
  <c r="E25" i="31"/>
  <c r="F25" i="31" s="1"/>
  <c r="V30" i="62" s="1"/>
  <c r="E14" i="31"/>
  <c r="E30" i="31"/>
  <c r="F30" i="31" s="1"/>
  <c r="AA30" i="62" s="1"/>
  <c r="E19" i="31"/>
  <c r="E8" i="31"/>
  <c r="E24" i="31"/>
  <c r="E20" i="31"/>
  <c r="E15" i="31"/>
  <c r="E18" i="31"/>
  <c r="F18" i="31" s="1"/>
  <c r="O30" i="62" s="1"/>
  <c r="E13" i="31"/>
  <c r="E28" i="31"/>
  <c r="F28" i="31" s="1"/>
  <c r="Y30" i="62" s="1"/>
  <c r="E23" i="31"/>
  <c r="E10" i="31"/>
  <c r="F10" i="31" s="1"/>
  <c r="G30" i="62" s="1"/>
  <c r="E5" i="31"/>
  <c r="E17" i="31"/>
  <c r="F17" i="31" s="1"/>
  <c r="N30" i="62" s="1"/>
  <c r="E6" i="31"/>
  <c r="E22" i="31"/>
  <c r="F22" i="31" s="1"/>
  <c r="S30" i="62" s="1"/>
  <c r="E11" i="31"/>
  <c r="E27" i="31"/>
  <c r="F27" i="31" s="1"/>
  <c r="X30" i="62" s="1"/>
  <c r="E16" i="31"/>
  <c r="E32" i="31"/>
  <c r="F32" i="31" s="1"/>
  <c r="AC30" i="62" s="1"/>
  <c r="E31" i="31"/>
  <c r="E29" i="31"/>
  <c r="F29" i="31" s="1"/>
  <c r="Z30" i="62" s="1"/>
  <c r="E12" i="31"/>
  <c r="E7" i="31"/>
  <c r="E26" i="31"/>
  <c r="E21" i="31"/>
  <c r="E6" i="34"/>
  <c r="E14" i="34"/>
  <c r="F14" i="34" s="1"/>
  <c r="K27" i="62" s="1"/>
  <c r="E22" i="34"/>
  <c r="E30" i="34"/>
  <c r="E11" i="34"/>
  <c r="E19" i="34"/>
  <c r="F19" i="34" s="1"/>
  <c r="P27" i="62" s="1"/>
  <c r="E27" i="34"/>
  <c r="E8" i="34"/>
  <c r="F8" i="34" s="1"/>
  <c r="E27" i="62" s="1"/>
  <c r="E16" i="34"/>
  <c r="E24" i="34"/>
  <c r="F24" i="34" s="1"/>
  <c r="U27" i="62" s="1"/>
  <c r="E32" i="34"/>
  <c r="E9" i="34"/>
  <c r="E17" i="34"/>
  <c r="E25" i="34"/>
  <c r="E10" i="34"/>
  <c r="E18" i="34"/>
  <c r="F18" i="34" s="1"/>
  <c r="O27" i="62" s="1"/>
  <c r="E26" i="34"/>
  <c r="E7" i="34"/>
  <c r="F7" i="34" s="1"/>
  <c r="D27" i="62" s="1"/>
  <c r="E15" i="34"/>
  <c r="E23" i="34"/>
  <c r="F23" i="34" s="1"/>
  <c r="T27" i="62" s="1"/>
  <c r="E31" i="34"/>
  <c r="E12" i="34"/>
  <c r="E28" i="34"/>
  <c r="E13" i="34"/>
  <c r="E29" i="34"/>
  <c r="E20" i="34"/>
  <c r="E5" i="34"/>
  <c r="E21" i="34"/>
  <c r="F21" i="34" s="1"/>
  <c r="R27" i="62" s="1"/>
  <c r="E19" i="21"/>
  <c r="E8" i="21"/>
  <c r="F8" i="21" s="1"/>
  <c r="E40" i="62" s="1"/>
  <c r="E24" i="21"/>
  <c r="E30" i="21"/>
  <c r="F30" i="21" s="1"/>
  <c r="AA40" i="62" s="1"/>
  <c r="E14" i="21"/>
  <c r="E25" i="21"/>
  <c r="F25" i="21" s="1"/>
  <c r="V40" i="62" s="1"/>
  <c r="E9" i="21"/>
  <c r="E12" i="21"/>
  <c r="F12" i="21" s="1"/>
  <c r="I40" i="62" s="1"/>
  <c r="E7" i="21"/>
  <c r="E18" i="21"/>
  <c r="F18" i="21" s="1"/>
  <c r="O40" i="62" s="1"/>
  <c r="E29" i="21"/>
  <c r="E13" i="21"/>
  <c r="F13" i="21" s="1"/>
  <c r="J40" i="62" s="1"/>
  <c r="E20" i="21"/>
  <c r="E15" i="21"/>
  <c r="E11" i="21"/>
  <c r="E27" i="21"/>
  <c r="F27" i="21" s="1"/>
  <c r="X40" i="62" s="1"/>
  <c r="E16" i="21"/>
  <c r="E32" i="21"/>
  <c r="F32" i="21" s="1"/>
  <c r="AC40" i="62" s="1"/>
  <c r="E22" i="21"/>
  <c r="E6" i="21"/>
  <c r="F6" i="21" s="1"/>
  <c r="C40" i="62" s="1"/>
  <c r="E17" i="21"/>
  <c r="E28" i="21"/>
  <c r="F28" i="21" s="1"/>
  <c r="Y40" i="62" s="1"/>
  <c r="E23" i="21"/>
  <c r="E26" i="21"/>
  <c r="F26" i="21" s="1"/>
  <c r="W40" i="62" s="1"/>
  <c r="E10" i="21"/>
  <c r="E21" i="21"/>
  <c r="F21" i="21" s="1"/>
  <c r="R40" i="62" s="1"/>
  <c r="E5" i="21"/>
  <c r="E31" i="21"/>
  <c r="E9" i="23"/>
  <c r="E25" i="23"/>
  <c r="F25" i="23" s="1"/>
  <c r="V38" i="62" s="1"/>
  <c r="E14" i="23"/>
  <c r="E30" i="23"/>
  <c r="F30" i="23" s="1"/>
  <c r="AA38" i="62" s="1"/>
  <c r="E24" i="23"/>
  <c r="E8" i="23"/>
  <c r="F8" i="23" s="1"/>
  <c r="E38" i="62" s="1"/>
  <c r="E19" i="23"/>
  <c r="E29" i="23"/>
  <c r="F29" i="23" s="1"/>
  <c r="Z38" i="62" s="1"/>
  <c r="E28" i="23"/>
  <c r="E12" i="23"/>
  <c r="F12" i="23" s="1"/>
  <c r="I38" i="62" s="1"/>
  <c r="E23" i="23"/>
  <c r="E7" i="23"/>
  <c r="F7" i="23" s="1"/>
  <c r="D38" i="62" s="1"/>
  <c r="E10" i="23"/>
  <c r="E5" i="23"/>
  <c r="E17" i="23"/>
  <c r="E6" i="23"/>
  <c r="F6" i="23" s="1"/>
  <c r="C38" i="62" s="1"/>
  <c r="E22" i="23"/>
  <c r="E32" i="23"/>
  <c r="F32" i="23" s="1"/>
  <c r="AC38" i="62" s="1"/>
  <c r="E16" i="23"/>
  <c r="E27" i="23"/>
  <c r="F27" i="23" s="1"/>
  <c r="X38" i="62" s="1"/>
  <c r="E11" i="23"/>
  <c r="E18" i="23"/>
  <c r="F18" i="23" s="1"/>
  <c r="O38" i="62" s="1"/>
  <c r="E13" i="23"/>
  <c r="E20" i="23"/>
  <c r="F20" i="23" s="1"/>
  <c r="Q38" i="62" s="1"/>
  <c r="E31" i="23"/>
  <c r="E15" i="23"/>
  <c r="E26" i="23"/>
  <c r="E21" i="23"/>
  <c r="F21" i="23" s="1"/>
  <c r="R38" i="62" s="1"/>
  <c r="E8" i="51"/>
  <c r="E24" i="51"/>
  <c r="F24" i="51" s="1"/>
  <c r="U10" i="62" s="1"/>
  <c r="E9" i="51"/>
  <c r="E25" i="51"/>
  <c r="E14" i="51"/>
  <c r="E30" i="51"/>
  <c r="F30" i="51" s="1"/>
  <c r="AA10" i="62" s="1"/>
  <c r="E19" i="51"/>
  <c r="E12" i="51"/>
  <c r="F12" i="51" s="1"/>
  <c r="I10" i="62" s="1"/>
  <c r="E28" i="51"/>
  <c r="E13" i="51"/>
  <c r="F13" i="51" s="1"/>
  <c r="J10" i="62" s="1"/>
  <c r="E29" i="51"/>
  <c r="E23" i="51"/>
  <c r="F23" i="51" s="1"/>
  <c r="T10" i="62" s="1"/>
  <c r="E18" i="51"/>
  <c r="E31" i="51"/>
  <c r="F31" i="51" s="1"/>
  <c r="AB10" i="62" s="1"/>
  <c r="E26" i="51"/>
  <c r="E16" i="51"/>
  <c r="E32" i="51"/>
  <c r="E17" i="51"/>
  <c r="F17" i="51" s="1"/>
  <c r="N10" i="62" s="1"/>
  <c r="E6" i="51"/>
  <c r="E22" i="51"/>
  <c r="F22" i="51" s="1"/>
  <c r="S10" i="62" s="1"/>
  <c r="E11" i="51"/>
  <c r="E27" i="51"/>
  <c r="F27" i="51" s="1"/>
  <c r="X10" i="62" s="1"/>
  <c r="E20" i="51"/>
  <c r="E5" i="51"/>
  <c r="E21" i="51"/>
  <c r="E7" i="51"/>
  <c r="E15" i="51"/>
  <c r="E10" i="51"/>
  <c r="E17" i="52"/>
  <c r="E6" i="52"/>
  <c r="F6" i="52" s="1"/>
  <c r="C9" i="62" s="1"/>
  <c r="E22" i="52"/>
  <c r="E7" i="52"/>
  <c r="F7" i="52" s="1"/>
  <c r="D9" i="62" s="1"/>
  <c r="E23" i="52"/>
  <c r="E12" i="52"/>
  <c r="F12" i="52" s="1"/>
  <c r="I9" i="62" s="1"/>
  <c r="E28" i="52"/>
  <c r="E13" i="52"/>
  <c r="E29" i="52"/>
  <c r="E18" i="52"/>
  <c r="E11" i="52"/>
  <c r="E27" i="52"/>
  <c r="F27" i="52" s="1"/>
  <c r="X9" i="62" s="1"/>
  <c r="E16" i="52"/>
  <c r="E32" i="52"/>
  <c r="F32" i="52" s="1"/>
  <c r="AC9" i="62" s="1"/>
  <c r="E9" i="52"/>
  <c r="E25" i="52"/>
  <c r="F25" i="52" s="1"/>
  <c r="V9" i="62" s="1"/>
  <c r="E14" i="52"/>
  <c r="E30" i="52"/>
  <c r="F30" i="52" s="1"/>
  <c r="AA9" i="62" s="1"/>
  <c r="E15" i="52"/>
  <c r="E31" i="52"/>
  <c r="F31" i="52" s="1"/>
  <c r="AB9" i="62" s="1"/>
  <c r="E20" i="52"/>
  <c r="E5" i="52"/>
  <c r="E21" i="52"/>
  <c r="E10" i="52"/>
  <c r="F10" i="52" s="1"/>
  <c r="G9" i="62" s="1"/>
  <c r="E26" i="52"/>
  <c r="E19" i="52"/>
  <c r="F19" i="52" s="1"/>
  <c r="P9" i="62" s="1"/>
  <c r="E8" i="52"/>
  <c r="E24" i="52"/>
  <c r="F24" i="52" s="1"/>
  <c r="U9" i="62" s="1"/>
  <c r="E31" i="56"/>
  <c r="E15" i="56"/>
  <c r="E22" i="56"/>
  <c r="E6" i="56"/>
  <c r="F6" i="56" s="1"/>
  <c r="C5" i="62" s="1"/>
  <c r="E20" i="56"/>
  <c r="E25" i="56"/>
  <c r="F25" i="56" s="1"/>
  <c r="V5" i="62" s="1"/>
  <c r="E9" i="56"/>
  <c r="E19" i="56"/>
  <c r="F19" i="56" s="1"/>
  <c r="P5" i="62" s="1"/>
  <c r="E26" i="56"/>
  <c r="E10" i="56"/>
  <c r="E24" i="56"/>
  <c r="E8" i="56"/>
  <c r="F8" i="56" s="1"/>
  <c r="E5" i="62" s="1"/>
  <c r="E21" i="56"/>
  <c r="E5" i="56"/>
  <c r="E23" i="56"/>
  <c r="E30" i="56"/>
  <c r="F30" i="56" s="1"/>
  <c r="AA5" i="62" s="1"/>
  <c r="E14" i="56"/>
  <c r="E28" i="56"/>
  <c r="F28" i="56" s="1"/>
  <c r="Y5" i="62" s="1"/>
  <c r="E12" i="56"/>
  <c r="E17" i="56"/>
  <c r="F17" i="56" s="1"/>
  <c r="N5" i="62" s="1"/>
  <c r="E27" i="56"/>
  <c r="E11" i="56"/>
  <c r="F11" i="56" s="1"/>
  <c r="H5" i="62" s="1"/>
  <c r="E18" i="56"/>
  <c r="E32" i="56"/>
  <c r="F32" i="56" s="1"/>
  <c r="AC5" i="62" s="1"/>
  <c r="E16" i="56"/>
  <c r="E29" i="56"/>
  <c r="F29" i="56" s="1"/>
  <c r="Z5" i="62" s="1"/>
  <c r="E13" i="56"/>
  <c r="E7" i="56"/>
  <c r="F7" i="56" s="1"/>
  <c r="D5" i="62" s="1"/>
  <c r="E29" i="59"/>
  <c r="E28" i="59"/>
  <c r="F28" i="59" s="1"/>
  <c r="Y59" i="62" s="1"/>
  <c r="E14" i="59"/>
  <c r="E30" i="59"/>
  <c r="F30" i="59" s="1"/>
  <c r="AA59" i="62" s="1"/>
  <c r="E19" i="59"/>
  <c r="E8" i="59"/>
  <c r="F8" i="59" s="1"/>
  <c r="E59" i="62" s="1"/>
  <c r="E24" i="59"/>
  <c r="E9" i="59"/>
  <c r="E25" i="59"/>
  <c r="E18" i="59"/>
  <c r="F18" i="59" s="1"/>
  <c r="O59" i="62" s="1"/>
  <c r="E7" i="59"/>
  <c r="E23" i="59"/>
  <c r="F23" i="59" s="1"/>
  <c r="T59" i="62" s="1"/>
  <c r="E5" i="59"/>
  <c r="E12" i="59"/>
  <c r="F12" i="59" s="1"/>
  <c r="I59" i="62" s="1"/>
  <c r="E13" i="59"/>
  <c r="E6" i="59"/>
  <c r="F6" i="59" s="1"/>
  <c r="C59" i="62" s="1"/>
  <c r="E22" i="59"/>
  <c r="E11" i="59"/>
  <c r="F11" i="59" s="1"/>
  <c r="H59" i="62" s="1"/>
  <c r="E27" i="59"/>
  <c r="E16" i="59"/>
  <c r="F16" i="59" s="1"/>
  <c r="M59" i="62" s="1"/>
  <c r="E32" i="59"/>
  <c r="E17" i="59"/>
  <c r="E10" i="59"/>
  <c r="E26" i="59"/>
  <c r="F26" i="59" s="1"/>
  <c r="W59" i="62" s="1"/>
  <c r="E15" i="59"/>
  <c r="E31" i="59"/>
  <c r="F31" i="59" s="1"/>
  <c r="AB59" i="62" s="1"/>
  <c r="E21" i="59"/>
  <c r="E20" i="59"/>
  <c r="E18" i="4"/>
  <c r="E7" i="4"/>
  <c r="E8" i="4"/>
  <c r="E24" i="4"/>
  <c r="E9" i="4"/>
  <c r="E25" i="4"/>
  <c r="E14" i="4"/>
  <c r="E30" i="4"/>
  <c r="F30" i="4" s="1"/>
  <c r="AA57" i="62" s="1"/>
  <c r="E19" i="4"/>
  <c r="E12" i="4"/>
  <c r="E28" i="4"/>
  <c r="E13" i="4"/>
  <c r="F13" i="4" s="1"/>
  <c r="J57" i="62" s="1"/>
  <c r="E29" i="4"/>
  <c r="E31" i="4"/>
  <c r="F31" i="4" s="1"/>
  <c r="AB57" i="62" s="1"/>
  <c r="E26" i="4"/>
  <c r="E23" i="4"/>
  <c r="F23" i="4" s="1"/>
  <c r="T57" i="62" s="1"/>
  <c r="E16" i="4"/>
  <c r="E32" i="4"/>
  <c r="F32" i="4" s="1"/>
  <c r="AC57" i="62" s="1"/>
  <c r="E17" i="4"/>
  <c r="E6" i="4"/>
  <c r="F6" i="4" s="1"/>
  <c r="C57" i="62" s="1"/>
  <c r="E22" i="4"/>
  <c r="E11" i="4"/>
  <c r="F11" i="4" s="1"/>
  <c r="H57" i="62" s="1"/>
  <c r="E27" i="4"/>
  <c r="E20" i="4"/>
  <c r="E5" i="4"/>
  <c r="E21" i="4"/>
  <c r="F21" i="4" s="1"/>
  <c r="R57" i="62" s="1"/>
  <c r="E15" i="4"/>
  <c r="E10" i="4"/>
  <c r="F10" i="4" s="1"/>
  <c r="G57" i="62" s="1"/>
  <c r="E9" i="6"/>
  <c r="E14" i="6"/>
  <c r="F14" i="6" s="1"/>
  <c r="K55" i="62" s="1"/>
  <c r="E15" i="6"/>
  <c r="E31" i="6"/>
  <c r="F31" i="6" s="1"/>
  <c r="AB55" i="62" s="1"/>
  <c r="E20" i="6"/>
  <c r="E5" i="6"/>
  <c r="E21" i="6"/>
  <c r="E10" i="6"/>
  <c r="F10" i="6" s="1"/>
  <c r="G55" i="62" s="1"/>
  <c r="E26" i="6"/>
  <c r="E19" i="6"/>
  <c r="F19" i="6" s="1"/>
  <c r="P55" i="62" s="1"/>
  <c r="E8" i="6"/>
  <c r="E24" i="6"/>
  <c r="F24" i="6" s="1"/>
  <c r="U55" i="62" s="1"/>
  <c r="E22" i="6"/>
  <c r="E17" i="6"/>
  <c r="E30" i="6"/>
  <c r="E25" i="6"/>
  <c r="E7" i="6"/>
  <c r="E23" i="6"/>
  <c r="F23" i="6" s="1"/>
  <c r="T55" i="62" s="1"/>
  <c r="E12" i="6"/>
  <c r="E28" i="6"/>
  <c r="F28" i="6" s="1"/>
  <c r="Y55" i="62" s="1"/>
  <c r="E13" i="6"/>
  <c r="E29" i="6"/>
  <c r="F29" i="6" s="1"/>
  <c r="Z55" i="62" s="1"/>
  <c r="E18" i="6"/>
  <c r="E11" i="6"/>
  <c r="F11" i="6" s="1"/>
  <c r="H55" i="62" s="1"/>
  <c r="E27" i="6"/>
  <c r="E16" i="6"/>
  <c r="F16" i="6" s="1"/>
  <c r="M55" i="62" s="1"/>
  <c r="E32" i="6"/>
  <c r="E6" i="6"/>
  <c r="F6" i="6" s="1"/>
  <c r="C55" i="62" s="1"/>
  <c r="E24" i="8"/>
  <c r="E5" i="8"/>
  <c r="E17" i="8"/>
  <c r="E10" i="8"/>
  <c r="F10" i="8" s="1"/>
  <c r="G53" i="62" s="1"/>
  <c r="E26" i="8"/>
  <c r="E11" i="8"/>
  <c r="F11" i="8" s="1"/>
  <c r="H53" i="62" s="1"/>
  <c r="E27" i="8"/>
  <c r="E20" i="8"/>
  <c r="F20" i="8" s="1"/>
  <c r="Q53" i="62" s="1"/>
  <c r="E9" i="8"/>
  <c r="E21" i="8"/>
  <c r="E14" i="8"/>
  <c r="E30" i="8"/>
  <c r="F30" i="8" s="1"/>
  <c r="AA53" i="62" s="1"/>
  <c r="E16" i="8"/>
  <c r="E8" i="8"/>
  <c r="F8" i="8" s="1"/>
  <c r="E53" i="62" s="1"/>
  <c r="E15" i="8"/>
  <c r="E31" i="8"/>
  <c r="F31" i="8" s="1"/>
  <c r="AB53" i="62" s="1"/>
  <c r="E6" i="8"/>
  <c r="E25" i="8"/>
  <c r="F25" i="8" s="1"/>
  <c r="V53" i="62" s="1"/>
  <c r="E18" i="8"/>
  <c r="E7" i="8"/>
  <c r="F7" i="8" s="1"/>
  <c r="D53" i="62" s="1"/>
  <c r="E19" i="8"/>
  <c r="E12" i="8"/>
  <c r="F12" i="8" s="1"/>
  <c r="I53" i="62" s="1"/>
  <c r="E28" i="8"/>
  <c r="E13" i="8"/>
  <c r="E29" i="8"/>
  <c r="E22" i="8"/>
  <c r="F22" i="8" s="1"/>
  <c r="S53" i="62" s="1"/>
  <c r="E32" i="8"/>
  <c r="E23" i="8"/>
  <c r="F23" i="8" s="1"/>
  <c r="T53" i="62" s="1"/>
  <c r="E14" i="9"/>
  <c r="E30" i="9"/>
  <c r="F30" i="9" s="1"/>
  <c r="AA52" i="62" s="1"/>
  <c r="E19" i="9"/>
  <c r="E25" i="9"/>
  <c r="F25" i="9" s="1"/>
  <c r="V52" i="62" s="1"/>
  <c r="E9" i="9"/>
  <c r="E24" i="9"/>
  <c r="E8" i="9"/>
  <c r="E31" i="9"/>
  <c r="F31" i="9" s="1"/>
  <c r="AB52" i="62" s="1"/>
  <c r="E26" i="9"/>
  <c r="E29" i="9"/>
  <c r="E13" i="9"/>
  <c r="E28" i="9"/>
  <c r="E12" i="9"/>
  <c r="E7" i="9"/>
  <c r="F7" i="9" s="1"/>
  <c r="D52" i="62" s="1"/>
  <c r="E6" i="9"/>
  <c r="E22" i="9"/>
  <c r="F22" i="9" s="1"/>
  <c r="S52" i="62" s="1"/>
  <c r="E11" i="9"/>
  <c r="E27" i="9"/>
  <c r="F27" i="9" s="1"/>
  <c r="X52" i="62" s="1"/>
  <c r="E17" i="9"/>
  <c r="E32" i="9"/>
  <c r="F32" i="9" s="1"/>
  <c r="AC52" i="62" s="1"/>
  <c r="E16" i="9"/>
  <c r="E15" i="9"/>
  <c r="F15" i="9" s="1"/>
  <c r="L52" i="62" s="1"/>
  <c r="E10" i="9"/>
  <c r="E21" i="9"/>
  <c r="F21" i="9" s="1"/>
  <c r="R52" i="62" s="1"/>
  <c r="E5" i="9"/>
  <c r="E20" i="9"/>
  <c r="F20" i="9" s="1"/>
  <c r="Q52" i="62" s="1"/>
  <c r="E23" i="9"/>
  <c r="E18" i="9"/>
  <c r="F18" i="9" s="1"/>
  <c r="O52" i="62" s="1"/>
  <c r="E15" i="16"/>
  <c r="E8" i="16"/>
  <c r="F8" i="16" s="1"/>
  <c r="E45" i="62" s="1"/>
  <c r="E24" i="16"/>
  <c r="E9" i="16"/>
  <c r="F9" i="16" s="1"/>
  <c r="F45" i="62" s="1"/>
  <c r="E25" i="16"/>
  <c r="E14" i="16"/>
  <c r="F14" i="16" s="1"/>
  <c r="K45" i="62" s="1"/>
  <c r="E30" i="16"/>
  <c r="E19" i="16"/>
  <c r="F19" i="16" s="1"/>
  <c r="P45" i="62" s="1"/>
  <c r="E12" i="16"/>
  <c r="E28" i="16"/>
  <c r="F28" i="16" s="1"/>
  <c r="Y45" i="62" s="1"/>
  <c r="E13" i="16"/>
  <c r="E29" i="16"/>
  <c r="F29" i="16" s="1"/>
  <c r="Z45" i="62" s="1"/>
  <c r="E23" i="16"/>
  <c r="E18" i="16"/>
  <c r="E10" i="16"/>
  <c r="E31" i="16"/>
  <c r="E26" i="16"/>
  <c r="E16" i="16"/>
  <c r="F16" i="16" s="1"/>
  <c r="M45" i="62" s="1"/>
  <c r="E32" i="16"/>
  <c r="E17" i="16"/>
  <c r="F17" i="16" s="1"/>
  <c r="N45" i="62" s="1"/>
  <c r="E6" i="16"/>
  <c r="E22" i="16"/>
  <c r="F22" i="16" s="1"/>
  <c r="S45" i="62" s="1"/>
  <c r="E11" i="16"/>
  <c r="E27" i="16"/>
  <c r="F27" i="16" s="1"/>
  <c r="X45" i="62" s="1"/>
  <c r="E20" i="16"/>
  <c r="E5" i="16"/>
  <c r="E21" i="16"/>
  <c r="E7" i="16"/>
  <c r="F7" i="16" s="1"/>
  <c r="D45" i="62" s="1"/>
  <c r="E11" i="33"/>
  <c r="E19" i="33"/>
  <c r="E27" i="33"/>
  <c r="E8" i="33"/>
  <c r="F8" i="33" s="1"/>
  <c r="E28" i="62" s="1"/>
  <c r="E16" i="33"/>
  <c r="E24" i="33"/>
  <c r="F24" i="33" s="1"/>
  <c r="U28" i="62" s="1"/>
  <c r="E32" i="33"/>
  <c r="E9" i="33"/>
  <c r="F9" i="33" s="1"/>
  <c r="F28" i="62" s="1"/>
  <c r="E17" i="33"/>
  <c r="E25" i="33"/>
  <c r="F25" i="33" s="1"/>
  <c r="V28" i="62" s="1"/>
  <c r="E6" i="33"/>
  <c r="E14" i="33"/>
  <c r="F14" i="33" s="1"/>
  <c r="K28" i="62" s="1"/>
  <c r="E22" i="33"/>
  <c r="E30" i="33"/>
  <c r="F30" i="33" s="1"/>
  <c r="AA28" i="62" s="1"/>
  <c r="E15" i="33"/>
  <c r="E31" i="33"/>
  <c r="F31" i="33" s="1"/>
  <c r="AB28" i="62" s="1"/>
  <c r="E20" i="33"/>
  <c r="E13" i="33"/>
  <c r="E29" i="33"/>
  <c r="E18" i="33"/>
  <c r="E7" i="33"/>
  <c r="E23" i="33"/>
  <c r="F23" i="33" s="1"/>
  <c r="T28" i="62" s="1"/>
  <c r="E12" i="33"/>
  <c r="E28" i="33"/>
  <c r="E5" i="33"/>
  <c r="E21" i="33"/>
  <c r="E10" i="33"/>
  <c r="E26" i="33"/>
  <c r="E11" i="37"/>
  <c r="E19" i="37"/>
  <c r="F19" i="37" s="1"/>
  <c r="P24" i="62" s="1"/>
  <c r="E27" i="37"/>
  <c r="E8" i="37"/>
  <c r="F8" i="37" s="1"/>
  <c r="E24" i="62" s="1"/>
  <c r="E16" i="37"/>
  <c r="E24" i="37"/>
  <c r="F24" i="37" s="1"/>
  <c r="U24" i="62" s="1"/>
  <c r="E32" i="37"/>
  <c r="E9" i="37"/>
  <c r="F9" i="37" s="1"/>
  <c r="F24" i="62" s="1"/>
  <c r="E17" i="37"/>
  <c r="E25" i="37"/>
  <c r="F25" i="37" s="1"/>
  <c r="V24" i="62" s="1"/>
  <c r="E6" i="37"/>
  <c r="E14" i="37"/>
  <c r="F14" i="37" s="1"/>
  <c r="K24" i="62" s="1"/>
  <c r="E22" i="37"/>
  <c r="E30" i="37"/>
  <c r="F30" i="37" s="1"/>
  <c r="AA24" i="62" s="1"/>
  <c r="E15" i="37"/>
  <c r="E31" i="37"/>
  <c r="E20" i="37"/>
  <c r="E13" i="37"/>
  <c r="E29" i="37"/>
  <c r="E18" i="37"/>
  <c r="E7" i="37"/>
  <c r="E23" i="37"/>
  <c r="E12" i="37"/>
  <c r="E28" i="37"/>
  <c r="E5" i="37"/>
  <c r="E21" i="37"/>
  <c r="E10" i="37"/>
  <c r="E26" i="37"/>
  <c r="E11" i="50"/>
  <c r="E19" i="50"/>
  <c r="E27" i="50"/>
  <c r="E8" i="50"/>
  <c r="E16" i="50"/>
  <c r="E24" i="50"/>
  <c r="E32" i="50"/>
  <c r="E5" i="50"/>
  <c r="E13" i="50"/>
  <c r="E21" i="50"/>
  <c r="F21" i="50" s="1"/>
  <c r="R11" i="62" s="1"/>
  <c r="E29" i="50"/>
  <c r="E10" i="50"/>
  <c r="E18" i="50"/>
  <c r="E26" i="50"/>
  <c r="E7" i="50"/>
  <c r="E15" i="50"/>
  <c r="E23" i="50"/>
  <c r="E31" i="50"/>
  <c r="E12" i="50"/>
  <c r="E20" i="50"/>
  <c r="F20" i="50" s="1"/>
  <c r="Q11" i="62" s="1"/>
  <c r="E28" i="50"/>
  <c r="E9" i="50"/>
  <c r="F9" i="50" s="1"/>
  <c r="F11" i="62" s="1"/>
  <c r="E17" i="50"/>
  <c r="E25" i="50"/>
  <c r="F25" i="50" s="1"/>
  <c r="V11" i="62" s="1"/>
  <c r="E6" i="50"/>
  <c r="E14" i="50"/>
  <c r="F14" i="50" s="1"/>
  <c r="K11" i="62" s="1"/>
  <c r="E22" i="50"/>
  <c r="E30" i="50"/>
  <c r="F30" i="50" s="1"/>
  <c r="AA11" i="62" s="1"/>
  <c r="E12" i="53"/>
  <c r="E13" i="53"/>
  <c r="F13" i="53" s="1"/>
  <c r="J8" i="62" s="1"/>
  <c r="E14" i="53"/>
  <c r="E30" i="53"/>
  <c r="E19" i="53"/>
  <c r="E8" i="53"/>
  <c r="F8" i="53" s="1"/>
  <c r="E8" i="62" s="1"/>
  <c r="E24" i="53"/>
  <c r="E9" i="53"/>
  <c r="E25" i="53"/>
  <c r="E18" i="53"/>
  <c r="F18" i="53" s="1"/>
  <c r="O8" i="62" s="1"/>
  <c r="E7" i="53"/>
  <c r="E23" i="53"/>
  <c r="E21" i="53"/>
  <c r="E20" i="53"/>
  <c r="F20" i="53" s="1"/>
  <c r="Q8" i="62" s="1"/>
  <c r="E29" i="53"/>
  <c r="E28" i="53"/>
  <c r="F28" i="53" s="1"/>
  <c r="Y8" i="62" s="1"/>
  <c r="E6" i="53"/>
  <c r="E22" i="53"/>
  <c r="E11" i="53"/>
  <c r="E27" i="53"/>
  <c r="F27" i="53" s="1"/>
  <c r="X8" i="62" s="1"/>
  <c r="E16" i="53"/>
  <c r="E32" i="53"/>
  <c r="F32" i="53" s="1"/>
  <c r="AC8" i="62" s="1"/>
  <c r="E17" i="53"/>
  <c r="E10" i="53"/>
  <c r="F10" i="53" s="1"/>
  <c r="G8" i="62" s="1"/>
  <c r="E26" i="53"/>
  <c r="E15" i="53"/>
  <c r="E31" i="53"/>
  <c r="E5" i="53"/>
  <c r="E15" i="24"/>
  <c r="E8" i="24"/>
  <c r="F8" i="24" s="1"/>
  <c r="E37" i="62" s="1"/>
  <c r="E24" i="24"/>
  <c r="E9" i="24"/>
  <c r="F9" i="24" s="1"/>
  <c r="F37" i="62" s="1"/>
  <c r="E25" i="24"/>
  <c r="E14" i="24"/>
  <c r="F14" i="24" s="1"/>
  <c r="K37" i="62" s="1"/>
  <c r="E30" i="24"/>
  <c r="E19" i="24"/>
  <c r="F19" i="24" s="1"/>
  <c r="P37" i="62" s="1"/>
  <c r="E12" i="24"/>
  <c r="E28" i="24"/>
  <c r="F28" i="24" s="1"/>
  <c r="Y37" i="62" s="1"/>
  <c r="E13" i="24"/>
  <c r="E29" i="24"/>
  <c r="F29" i="24" s="1"/>
  <c r="Z37" i="62" s="1"/>
  <c r="E23" i="24"/>
  <c r="E18" i="24"/>
  <c r="F18" i="24" s="1"/>
  <c r="O37" i="62" s="1"/>
  <c r="E10" i="24"/>
  <c r="E31" i="24"/>
  <c r="F31" i="24" s="1"/>
  <c r="AB37" i="62" s="1"/>
  <c r="E26" i="24"/>
  <c r="E16" i="24"/>
  <c r="F16" i="24" s="1"/>
  <c r="M37" i="62" s="1"/>
  <c r="E32" i="24"/>
  <c r="E17" i="24"/>
  <c r="F17" i="24" s="1"/>
  <c r="N37" i="62" s="1"/>
  <c r="E6" i="24"/>
  <c r="E22" i="24"/>
  <c r="F22" i="24" s="1"/>
  <c r="S37" i="62" s="1"/>
  <c r="E11" i="24"/>
  <c r="E27" i="24"/>
  <c r="F27" i="24" s="1"/>
  <c r="X37" i="62" s="1"/>
  <c r="E20" i="24"/>
  <c r="E5" i="24"/>
  <c r="E21" i="24"/>
  <c r="E7" i="24"/>
  <c r="F7" i="24" s="1"/>
  <c r="D37" i="62" s="1"/>
  <c r="E15" i="44"/>
  <c r="E31" i="44"/>
  <c r="F31" i="44" s="1"/>
  <c r="AB17" i="62" s="1"/>
  <c r="E20" i="44"/>
  <c r="E5" i="44"/>
  <c r="E21" i="44"/>
  <c r="E10" i="44"/>
  <c r="F10" i="44" s="1"/>
  <c r="G17" i="62" s="1"/>
  <c r="E26" i="44"/>
  <c r="E19" i="44"/>
  <c r="E8" i="44"/>
  <c r="E24" i="44"/>
  <c r="F24" i="44" s="1"/>
  <c r="U17" i="62" s="1"/>
  <c r="E9" i="44"/>
  <c r="E25" i="44"/>
  <c r="E14" i="44"/>
  <c r="E30" i="44"/>
  <c r="E7" i="44"/>
  <c r="E23" i="44"/>
  <c r="F23" i="44" s="1"/>
  <c r="T17" i="62" s="1"/>
  <c r="E12" i="44"/>
  <c r="E28" i="44"/>
  <c r="F28" i="44" s="1"/>
  <c r="Y17" i="62" s="1"/>
  <c r="E13" i="44"/>
  <c r="E29" i="44"/>
  <c r="F29" i="44" s="1"/>
  <c r="Z17" i="62" s="1"/>
  <c r="E18" i="44"/>
  <c r="E11" i="44"/>
  <c r="E27" i="44"/>
  <c r="E16" i="44"/>
  <c r="F16" i="44" s="1"/>
  <c r="M17" i="62" s="1"/>
  <c r="E32" i="44"/>
  <c r="E17" i="44"/>
  <c r="E6" i="44"/>
  <c r="E22" i="44"/>
  <c r="E17" i="48"/>
  <c r="E6" i="48"/>
  <c r="F6" i="48" s="1"/>
  <c r="C13" i="62" s="1"/>
  <c r="E22" i="48"/>
  <c r="E7" i="48"/>
  <c r="E23" i="48"/>
  <c r="E12" i="48"/>
  <c r="F12" i="48" s="1"/>
  <c r="I13" i="62" s="1"/>
  <c r="E28" i="48"/>
  <c r="E13" i="48"/>
  <c r="F13" i="48" s="1"/>
  <c r="J13" i="62" s="1"/>
  <c r="E29" i="48"/>
  <c r="E18" i="48"/>
  <c r="F18" i="48" s="1"/>
  <c r="O13" i="62" s="1"/>
  <c r="E11" i="48"/>
  <c r="E27" i="48"/>
  <c r="E16" i="48"/>
  <c r="E32" i="48"/>
  <c r="F32" i="48" s="1"/>
  <c r="AC13" i="62" s="1"/>
  <c r="E9" i="48"/>
  <c r="E25" i="48"/>
  <c r="F25" i="48" s="1"/>
  <c r="V13" i="62" s="1"/>
  <c r="E14" i="48"/>
  <c r="E30" i="48"/>
  <c r="F30" i="48" s="1"/>
  <c r="AA13" i="62" s="1"/>
  <c r="E15" i="48"/>
  <c r="E31" i="48"/>
  <c r="F31" i="48" s="1"/>
  <c r="AB13" i="62" s="1"/>
  <c r="E20" i="48"/>
  <c r="E5" i="48"/>
  <c r="E21" i="48"/>
  <c r="E10" i="48"/>
  <c r="F10" i="48" s="1"/>
  <c r="G13" i="62" s="1"/>
  <c r="E26" i="48"/>
  <c r="E19" i="48"/>
  <c r="E8" i="48"/>
  <c r="E24" i="48"/>
  <c r="F24" i="48" s="1"/>
  <c r="U13" i="62" s="1"/>
  <c r="E17" i="54"/>
  <c r="E8" i="54"/>
  <c r="F8" i="54" s="1"/>
  <c r="E7" i="62" s="1"/>
  <c r="E24" i="54"/>
  <c r="E7" i="54"/>
  <c r="F7" i="54" s="1"/>
  <c r="D7" i="62" s="1"/>
  <c r="E23" i="54"/>
  <c r="E10" i="54"/>
  <c r="F10" i="54" s="1"/>
  <c r="G7" i="62" s="1"/>
  <c r="E26" i="54"/>
  <c r="E13" i="54"/>
  <c r="F13" i="54" s="1"/>
  <c r="J7" i="62" s="1"/>
  <c r="E29" i="54"/>
  <c r="E20" i="54"/>
  <c r="F20" i="54" s="1"/>
  <c r="Q7" i="62" s="1"/>
  <c r="E11" i="54"/>
  <c r="E27" i="54"/>
  <c r="F27" i="54" s="1"/>
  <c r="X7" i="62" s="1"/>
  <c r="E14" i="54"/>
  <c r="E30" i="54"/>
  <c r="F30" i="54" s="1"/>
  <c r="AA7" i="62" s="1"/>
  <c r="E9" i="54"/>
  <c r="E25" i="54"/>
  <c r="F25" i="54" s="1"/>
  <c r="V7" i="62" s="1"/>
  <c r="E16" i="54"/>
  <c r="E32" i="54"/>
  <c r="F32" i="54" s="1"/>
  <c r="AC7" i="62" s="1"/>
  <c r="E15" i="54"/>
  <c r="E31" i="54"/>
  <c r="F31" i="54" s="1"/>
  <c r="AB7" i="62" s="1"/>
  <c r="E18" i="54"/>
  <c r="E5" i="54"/>
  <c r="E21" i="54"/>
  <c r="E12" i="54"/>
  <c r="E28" i="54"/>
  <c r="E19" i="54"/>
  <c r="E6" i="54"/>
  <c r="E22" i="54"/>
  <c r="F22" i="54" s="1"/>
  <c r="S7" i="62" s="1"/>
  <c r="E8" i="32"/>
  <c r="E16" i="32"/>
  <c r="F16" i="32" s="1"/>
  <c r="M29" i="62" s="1"/>
  <c r="E24" i="32"/>
  <c r="E32" i="32"/>
  <c r="F32" i="32" s="1"/>
  <c r="AC29" i="62" s="1"/>
  <c r="E9" i="32"/>
  <c r="E17" i="32"/>
  <c r="F17" i="32" s="1"/>
  <c r="N29" i="62" s="1"/>
  <c r="E25" i="32"/>
  <c r="E6" i="32"/>
  <c r="F6" i="32" s="1"/>
  <c r="C29" i="62" s="1"/>
  <c r="E14" i="32"/>
  <c r="E22" i="32"/>
  <c r="E30" i="32"/>
  <c r="E11" i="32"/>
  <c r="F11" i="32" s="1"/>
  <c r="H29" i="62" s="1"/>
  <c r="E19" i="32"/>
  <c r="E27" i="32"/>
  <c r="F27" i="32" s="1"/>
  <c r="X29" i="62" s="1"/>
  <c r="E12" i="32"/>
  <c r="E20" i="32"/>
  <c r="E28" i="32"/>
  <c r="E5" i="32"/>
  <c r="E13" i="32"/>
  <c r="E21" i="32"/>
  <c r="F21" i="32" s="1"/>
  <c r="R29" i="62" s="1"/>
  <c r="E29" i="32"/>
  <c r="E18" i="32"/>
  <c r="F18" i="32" s="1"/>
  <c r="O29" i="62" s="1"/>
  <c r="E7" i="32"/>
  <c r="E23" i="32"/>
  <c r="F23" i="32" s="1"/>
  <c r="T29" i="62" s="1"/>
  <c r="E10" i="32"/>
  <c r="E26" i="32"/>
  <c r="F26" i="32" s="1"/>
  <c r="W29" i="62" s="1"/>
  <c r="E15" i="32"/>
  <c r="E31" i="32"/>
  <c r="F31" i="32" s="1"/>
  <c r="AB29" i="62" s="1"/>
  <c r="E6" i="49"/>
  <c r="E14" i="49"/>
  <c r="F14" i="49" s="1"/>
  <c r="K12" i="62" s="1"/>
  <c r="E22" i="49"/>
  <c r="E30" i="49"/>
  <c r="E8" i="49"/>
  <c r="E16" i="49"/>
  <c r="F16" i="49" s="1"/>
  <c r="M12" i="62" s="1"/>
  <c r="E24" i="49"/>
  <c r="E32" i="49"/>
  <c r="F32" i="49" s="1"/>
  <c r="AC12" i="62" s="1"/>
  <c r="E9" i="49"/>
  <c r="E17" i="49"/>
  <c r="E25" i="49"/>
  <c r="E15" i="49"/>
  <c r="F15" i="49" s="1"/>
  <c r="L12" i="62" s="1"/>
  <c r="E23" i="49"/>
  <c r="E31" i="49"/>
  <c r="F31" i="49" s="1"/>
  <c r="AB12" i="62" s="1"/>
  <c r="E10" i="49"/>
  <c r="E18" i="49"/>
  <c r="F18" i="49" s="1"/>
  <c r="O12" i="62" s="1"/>
  <c r="E26" i="49"/>
  <c r="E7" i="49"/>
  <c r="F7" i="49" s="1"/>
  <c r="D12" i="62" s="1"/>
  <c r="E20" i="49"/>
  <c r="E5" i="49"/>
  <c r="E21" i="49"/>
  <c r="E19" i="49"/>
  <c r="E12" i="49"/>
  <c r="E28" i="49"/>
  <c r="F28" i="49" s="1"/>
  <c r="Y12" i="62" s="1"/>
  <c r="E13" i="49"/>
  <c r="E29" i="49"/>
  <c r="F29" i="49" s="1"/>
  <c r="Z12" i="62" s="1"/>
  <c r="E11" i="49"/>
  <c r="E27" i="49"/>
  <c r="E15" i="13"/>
  <c r="E31" i="13"/>
  <c r="F31" i="13" s="1"/>
  <c r="AB48" i="62" s="1"/>
  <c r="E20" i="13"/>
  <c r="E26" i="13"/>
  <c r="F26" i="13" s="1"/>
  <c r="W48" i="62" s="1"/>
  <c r="E10" i="13"/>
  <c r="E21" i="13"/>
  <c r="E5" i="13"/>
  <c r="E16" i="13"/>
  <c r="E11" i="13"/>
  <c r="E30" i="13"/>
  <c r="F30" i="13" s="1"/>
  <c r="AA48" i="62" s="1"/>
  <c r="E14" i="13"/>
  <c r="E25" i="13"/>
  <c r="E9" i="13"/>
  <c r="E24" i="13"/>
  <c r="F24" i="13" s="1"/>
  <c r="U48" i="62" s="1"/>
  <c r="E19" i="13"/>
  <c r="E7" i="13"/>
  <c r="F7" i="13" s="1"/>
  <c r="D48" i="62" s="1"/>
  <c r="E23" i="13"/>
  <c r="E12" i="13"/>
  <c r="E28" i="13"/>
  <c r="E18" i="13"/>
  <c r="F18" i="13" s="1"/>
  <c r="O48" i="62" s="1"/>
  <c r="E29" i="13"/>
  <c r="E13" i="13"/>
  <c r="E32" i="13"/>
  <c r="E27" i="13"/>
  <c r="F27" i="13" s="1"/>
  <c r="X48" i="62" s="1"/>
  <c r="E22" i="13"/>
  <c r="E6" i="13"/>
  <c r="F6" i="13" s="1"/>
  <c r="C48" i="62" s="1"/>
  <c r="E17" i="13"/>
  <c r="E8" i="13"/>
  <c r="E15" i="17"/>
  <c r="E31" i="17"/>
  <c r="F31" i="17" s="1"/>
  <c r="AB44" i="62" s="1"/>
  <c r="E20" i="17"/>
  <c r="E26" i="17"/>
  <c r="E10" i="17"/>
  <c r="E21" i="17"/>
  <c r="F21" i="17" s="1"/>
  <c r="R44" i="62" s="1"/>
  <c r="E5" i="17"/>
  <c r="E32" i="17"/>
  <c r="F32" i="17" s="1"/>
  <c r="AC44" i="62" s="1"/>
  <c r="E27" i="17"/>
  <c r="E30" i="17"/>
  <c r="E14" i="17"/>
  <c r="E25" i="17"/>
  <c r="F25" i="17" s="1"/>
  <c r="V44" i="62" s="1"/>
  <c r="E9" i="17"/>
  <c r="E8" i="17"/>
  <c r="F8" i="17" s="1"/>
  <c r="E44" i="62" s="1"/>
  <c r="E7" i="17"/>
  <c r="E23" i="17"/>
  <c r="E12" i="17"/>
  <c r="E28" i="17"/>
  <c r="F28" i="17" s="1"/>
  <c r="Y44" i="62" s="1"/>
  <c r="E18" i="17"/>
  <c r="E29" i="17"/>
  <c r="F29" i="17" s="1"/>
  <c r="Z44" i="62" s="1"/>
  <c r="E13" i="17"/>
  <c r="E16" i="17"/>
  <c r="F16" i="17" s="1"/>
  <c r="M44" i="62" s="1"/>
  <c r="E11" i="17"/>
  <c r="E22" i="17"/>
  <c r="E6" i="17"/>
  <c r="E17" i="17"/>
  <c r="F17" i="17" s="1"/>
  <c r="N44" i="62" s="1"/>
  <c r="E24" i="17"/>
  <c r="E19" i="17"/>
  <c r="E31" i="20"/>
  <c r="E26" i="20"/>
  <c r="E8" i="20"/>
  <c r="E24" i="20"/>
  <c r="F24" i="20" s="1"/>
  <c r="U41" i="62" s="1"/>
  <c r="E9" i="20"/>
  <c r="E25" i="20"/>
  <c r="F25" i="20" s="1"/>
  <c r="V41" i="62" s="1"/>
  <c r="E14" i="20"/>
  <c r="E30" i="20"/>
  <c r="E19" i="20"/>
  <c r="E12" i="20"/>
  <c r="E28" i="20"/>
  <c r="E13" i="20"/>
  <c r="E29" i="20"/>
  <c r="E7" i="20"/>
  <c r="F7" i="20" s="1"/>
  <c r="D41" i="62" s="1"/>
  <c r="E10" i="20"/>
  <c r="E15" i="20"/>
  <c r="F15" i="20" s="1"/>
  <c r="L41" i="62" s="1"/>
  <c r="E16" i="20"/>
  <c r="E32" i="20"/>
  <c r="F32" i="20" s="1"/>
  <c r="AC41" i="62" s="1"/>
  <c r="E17" i="20"/>
  <c r="E6" i="20"/>
  <c r="F6" i="20" s="1"/>
  <c r="C41" i="62" s="1"/>
  <c r="E22" i="20"/>
  <c r="E11" i="20"/>
  <c r="F11" i="20" s="1"/>
  <c r="H41" i="62" s="1"/>
  <c r="E27" i="20"/>
  <c r="E20" i="20"/>
  <c r="F20" i="20" s="1"/>
  <c r="Q41" i="62" s="1"/>
  <c r="E5" i="20"/>
  <c r="E21" i="20"/>
  <c r="E23" i="20"/>
  <c r="E18" i="20"/>
  <c r="E30" i="10"/>
  <c r="E25" i="10"/>
  <c r="F25" i="10" s="1"/>
  <c r="V51" i="62" s="1"/>
  <c r="E7" i="10"/>
  <c r="E23" i="10"/>
  <c r="E12" i="10"/>
  <c r="E28" i="10"/>
  <c r="F28" i="10" s="1"/>
  <c r="Y51" i="62" s="1"/>
  <c r="E13" i="10"/>
  <c r="E29" i="10"/>
  <c r="F29" i="10" s="1"/>
  <c r="Z51" i="62" s="1"/>
  <c r="E18" i="10"/>
  <c r="E11" i="10"/>
  <c r="E27" i="10"/>
  <c r="E16" i="10"/>
  <c r="E32" i="10"/>
  <c r="E6" i="10"/>
  <c r="F6" i="10" s="1"/>
  <c r="C51" i="62" s="1"/>
  <c r="E9" i="10"/>
  <c r="E14" i="10"/>
  <c r="E15" i="10"/>
  <c r="E31" i="10"/>
  <c r="F31" i="10" s="1"/>
  <c r="AB51" i="62" s="1"/>
  <c r="E20" i="10"/>
  <c r="E5" i="10"/>
  <c r="E21" i="10"/>
  <c r="E10" i="10"/>
  <c r="F10" i="10" s="1"/>
  <c r="G51" i="62" s="1"/>
  <c r="E26" i="10"/>
  <c r="E19" i="10"/>
  <c r="E8" i="10"/>
  <c r="E24" i="10"/>
  <c r="E22" i="10"/>
  <c r="E17" i="10"/>
  <c r="F17" i="10" s="1"/>
  <c r="N51" i="62" s="1"/>
  <c r="E20" i="14"/>
  <c r="E5" i="14"/>
  <c r="E14" i="14"/>
  <c r="E30" i="14"/>
  <c r="F30" i="14" s="1"/>
  <c r="AA47" i="62" s="1"/>
  <c r="E19" i="14"/>
  <c r="E8" i="14"/>
  <c r="F8" i="14" s="1"/>
  <c r="E47" i="62" s="1"/>
  <c r="E24" i="14"/>
  <c r="E9" i="14"/>
  <c r="F9" i="14" s="1"/>
  <c r="F47" i="62" s="1"/>
  <c r="E25" i="14"/>
  <c r="E18" i="14"/>
  <c r="E7" i="14"/>
  <c r="E23" i="14"/>
  <c r="E29" i="14"/>
  <c r="E28" i="14"/>
  <c r="E21" i="14"/>
  <c r="E6" i="14"/>
  <c r="E22" i="14"/>
  <c r="E11" i="14"/>
  <c r="E27" i="14"/>
  <c r="E16" i="14"/>
  <c r="F16" i="14" s="1"/>
  <c r="M47" i="62" s="1"/>
  <c r="E32" i="14"/>
  <c r="E17" i="14"/>
  <c r="F17" i="14" s="1"/>
  <c r="N47" i="62" s="1"/>
  <c r="E10" i="14"/>
  <c r="E26" i="14"/>
  <c r="E15" i="14"/>
  <c r="E31" i="14"/>
  <c r="E13" i="14"/>
  <c r="E12" i="14"/>
  <c r="E20" i="18"/>
  <c r="E21" i="18"/>
  <c r="E14" i="18"/>
  <c r="E30" i="18"/>
  <c r="F30" i="18" s="1"/>
  <c r="AA43" i="62" s="1"/>
  <c r="E19" i="18"/>
  <c r="E8" i="18"/>
  <c r="F8" i="18" s="1"/>
  <c r="E43" i="62" s="1"/>
  <c r="E24" i="18"/>
  <c r="E9" i="18"/>
  <c r="E25" i="18"/>
  <c r="E18" i="18"/>
  <c r="E7" i="18"/>
  <c r="E23" i="18"/>
  <c r="F23" i="18" s="1"/>
  <c r="T43" i="62" s="1"/>
  <c r="E13" i="18"/>
  <c r="E12" i="18"/>
  <c r="E5" i="18"/>
  <c r="E6" i="18"/>
  <c r="E22" i="18"/>
  <c r="E11" i="18"/>
  <c r="F11" i="18" s="1"/>
  <c r="H43" i="62" s="1"/>
  <c r="E27" i="18"/>
  <c r="E16" i="18"/>
  <c r="F16" i="18" s="1"/>
  <c r="M43" i="62" s="1"/>
  <c r="E32" i="18"/>
  <c r="E17" i="18"/>
  <c r="E10" i="18"/>
  <c r="E26" i="18"/>
  <c r="E15" i="18"/>
  <c r="E31" i="18"/>
  <c r="F31" i="18" s="1"/>
  <c r="AB43" i="62" s="1"/>
  <c r="E29" i="18"/>
  <c r="E28" i="18"/>
  <c r="E5" i="40"/>
  <c r="E6" i="40"/>
  <c r="E9" i="40"/>
  <c r="E25" i="40"/>
  <c r="F25" i="40" s="1"/>
  <c r="V21" i="62" s="1"/>
  <c r="E10" i="40"/>
  <c r="E32" i="40"/>
  <c r="F32" i="40" s="1"/>
  <c r="AC21" i="62" s="1"/>
  <c r="E19" i="40"/>
  <c r="E8" i="40"/>
  <c r="F8" i="40" s="1"/>
  <c r="E21" i="62" s="1"/>
  <c r="E14" i="40"/>
  <c r="E13" i="40"/>
  <c r="E29" i="40"/>
  <c r="E31" i="40"/>
  <c r="F31" i="40" s="1"/>
  <c r="AB21" i="62" s="1"/>
  <c r="E28" i="40"/>
  <c r="E23" i="40"/>
  <c r="F23" i="40" s="1"/>
  <c r="T21" i="62" s="1"/>
  <c r="E18" i="40"/>
  <c r="E16" i="40"/>
  <c r="F16" i="40" s="1"/>
  <c r="M21" i="62" s="1"/>
  <c r="E22" i="40"/>
  <c r="E17" i="40"/>
  <c r="F17" i="40" s="1"/>
  <c r="N21" i="62" s="1"/>
  <c r="E12" i="40"/>
  <c r="E26" i="40"/>
  <c r="E11" i="40"/>
  <c r="E27" i="40"/>
  <c r="E24" i="40"/>
  <c r="E30" i="40"/>
  <c r="E21" i="40"/>
  <c r="E20" i="40"/>
  <c r="F20" i="40" s="1"/>
  <c r="Q21" i="62" s="1"/>
  <c r="E15" i="40"/>
  <c r="E7" i="40"/>
  <c r="F7" i="40" s="1"/>
  <c r="D21" i="62" s="1"/>
  <c r="E5" i="42"/>
  <c r="E15" i="42"/>
  <c r="E31" i="42"/>
  <c r="E20" i="42"/>
  <c r="E13" i="42"/>
  <c r="E29" i="42"/>
  <c r="E18" i="42"/>
  <c r="E9" i="42"/>
  <c r="F9" i="42" s="1"/>
  <c r="F19" i="62" s="1"/>
  <c r="E19" i="42"/>
  <c r="E8" i="42"/>
  <c r="E24" i="42"/>
  <c r="E17" i="42"/>
  <c r="F17" i="42" s="1"/>
  <c r="N19" i="62" s="1"/>
  <c r="E6" i="42"/>
  <c r="E22" i="42"/>
  <c r="F22" i="42" s="1"/>
  <c r="S19" i="62" s="1"/>
  <c r="E7" i="42"/>
  <c r="E23" i="42"/>
  <c r="E12" i="42"/>
  <c r="E28" i="42"/>
  <c r="E21" i="42"/>
  <c r="E10" i="42"/>
  <c r="F10" i="42" s="1"/>
  <c r="G19" i="62" s="1"/>
  <c r="E26" i="42"/>
  <c r="E11" i="42"/>
  <c r="F11" i="42" s="1"/>
  <c r="H19" i="62" s="1"/>
  <c r="E27" i="42"/>
  <c r="E16" i="42"/>
  <c r="E32" i="42"/>
  <c r="E25" i="42"/>
  <c r="F25" i="42" s="1"/>
  <c r="V19" i="62" s="1"/>
  <c r="E14" i="42"/>
  <c r="E30" i="42"/>
  <c r="F30" i="42" s="1"/>
  <c r="AA19" i="62" s="1"/>
  <c r="E8" i="11"/>
  <c r="E24" i="11"/>
  <c r="F24" i="11" s="1"/>
  <c r="U50" i="62" s="1"/>
  <c r="E9" i="11"/>
  <c r="E25" i="11"/>
  <c r="F25" i="11" s="1"/>
  <c r="V50" i="62" s="1"/>
  <c r="E19" i="11"/>
  <c r="E30" i="11"/>
  <c r="F30" i="11" s="1"/>
  <c r="AA50" i="62" s="1"/>
  <c r="E14" i="11"/>
  <c r="E21" i="11"/>
  <c r="F21" i="11" s="1"/>
  <c r="R50" i="62" s="1"/>
  <c r="E20" i="11"/>
  <c r="E23" i="11"/>
  <c r="E7" i="11"/>
  <c r="E18" i="11"/>
  <c r="F18" i="11" s="1"/>
  <c r="O50" i="62" s="1"/>
  <c r="E29" i="11"/>
  <c r="E28" i="11"/>
  <c r="F28" i="11" s="1"/>
  <c r="Y50" i="62" s="1"/>
  <c r="E16" i="11"/>
  <c r="E32" i="11"/>
  <c r="F32" i="11" s="1"/>
  <c r="AC50" i="62" s="1"/>
  <c r="E17" i="11"/>
  <c r="E27" i="11"/>
  <c r="F27" i="11" s="1"/>
  <c r="X50" i="62" s="1"/>
  <c r="E11" i="11"/>
  <c r="E22" i="11"/>
  <c r="F22" i="11" s="1"/>
  <c r="S50" i="62" s="1"/>
  <c r="E6" i="11"/>
  <c r="E5" i="11"/>
  <c r="E31" i="11"/>
  <c r="E15" i="11"/>
  <c r="F15" i="11" s="1"/>
  <c r="L50" i="62" s="1"/>
  <c r="E26" i="11"/>
  <c r="E10" i="11"/>
  <c r="F10" i="11" s="1"/>
  <c r="G50" i="62" s="1"/>
  <c r="E13" i="11"/>
  <c r="E12" i="11"/>
  <c r="F12" i="11" s="1"/>
  <c r="I50" i="62" s="1"/>
  <c r="E5" i="15"/>
  <c r="E21" i="15"/>
  <c r="F21" i="15" s="1"/>
  <c r="R46" i="62" s="1"/>
  <c r="E10" i="15"/>
  <c r="E26" i="15"/>
  <c r="E20" i="15"/>
  <c r="E31" i="15"/>
  <c r="E15" i="15"/>
  <c r="E6" i="15"/>
  <c r="F6" i="15" s="1"/>
  <c r="C46" i="62" s="1"/>
  <c r="E24" i="15"/>
  <c r="E8" i="15"/>
  <c r="F8" i="15" s="1"/>
  <c r="E46" i="62" s="1"/>
  <c r="E19" i="15"/>
  <c r="E14" i="15"/>
  <c r="F14" i="15" s="1"/>
  <c r="K46" i="62" s="1"/>
  <c r="E9" i="15"/>
  <c r="E13" i="15"/>
  <c r="F13" i="15" s="1"/>
  <c r="J46" i="62" s="1"/>
  <c r="E29" i="15"/>
  <c r="E18" i="15"/>
  <c r="E28" i="15"/>
  <c r="E12" i="15"/>
  <c r="F12" i="15" s="1"/>
  <c r="I46" i="62" s="1"/>
  <c r="E23" i="15"/>
  <c r="E7" i="15"/>
  <c r="E22" i="15"/>
  <c r="E17" i="15"/>
  <c r="F17" i="15" s="1"/>
  <c r="N46" i="62" s="1"/>
  <c r="E32" i="15"/>
  <c r="E16" i="15"/>
  <c r="F16" i="15" s="1"/>
  <c r="M46" i="62" s="1"/>
  <c r="E27" i="15"/>
  <c r="E11" i="15"/>
  <c r="E30" i="15"/>
  <c r="E25" i="15"/>
  <c r="F25" i="15" s="1"/>
  <c r="V46" i="62" s="1"/>
  <c r="E9" i="19"/>
  <c r="E12" i="19"/>
  <c r="F12" i="19" s="1"/>
  <c r="I42" i="62" s="1"/>
  <c r="E27" i="19"/>
  <c r="E29" i="19"/>
  <c r="F29" i="19" s="1"/>
  <c r="Z42" i="62" s="1"/>
  <c r="E14" i="19"/>
  <c r="E19" i="19"/>
  <c r="F19" i="19" s="1"/>
  <c r="P42" i="62" s="1"/>
  <c r="E31" i="19"/>
  <c r="E13" i="19"/>
  <c r="F13" i="19" s="1"/>
  <c r="J42" i="62" s="1"/>
  <c r="E24" i="19"/>
  <c r="E18" i="19"/>
  <c r="F18" i="19" s="1"/>
  <c r="O42" i="62" s="1"/>
  <c r="E22" i="19"/>
  <c r="E7" i="19"/>
  <c r="F7" i="19" s="1"/>
  <c r="D42" i="62" s="1"/>
  <c r="E30" i="19"/>
  <c r="E8" i="19"/>
  <c r="F8" i="19" s="1"/>
  <c r="E42" i="62" s="1"/>
  <c r="E17" i="19"/>
  <c r="E20" i="19"/>
  <c r="F20" i="19" s="1"/>
  <c r="Q42" i="62" s="1"/>
  <c r="E26" i="19"/>
  <c r="E28" i="19"/>
  <c r="F28" i="19" s="1"/>
  <c r="Y42" i="62" s="1"/>
  <c r="E21" i="19"/>
  <c r="E6" i="19"/>
  <c r="F6" i="19" s="1"/>
  <c r="C42" i="62" s="1"/>
  <c r="E11" i="19"/>
  <c r="E16" i="19"/>
  <c r="F16" i="19" s="1"/>
  <c r="M42" i="62" s="1"/>
  <c r="E32" i="19"/>
  <c r="E25" i="19"/>
  <c r="F25" i="19" s="1"/>
  <c r="V42" i="62" s="1"/>
  <c r="E10" i="19"/>
  <c r="E15" i="19"/>
  <c r="F15" i="19" s="1"/>
  <c r="L42" i="62" s="1"/>
  <c r="E23" i="19"/>
  <c r="E5" i="19"/>
  <c r="E9" i="35"/>
  <c r="E17" i="35"/>
  <c r="F17" i="35" s="1"/>
  <c r="N26" i="62" s="1"/>
  <c r="E25" i="35"/>
  <c r="E6" i="35"/>
  <c r="E14" i="35"/>
  <c r="E22" i="35"/>
  <c r="E30" i="35"/>
  <c r="E11" i="35"/>
  <c r="E19" i="35"/>
  <c r="E27" i="35"/>
  <c r="E8" i="35"/>
  <c r="E16" i="35"/>
  <c r="F16" i="35" s="1"/>
  <c r="M26" i="62" s="1"/>
  <c r="E24" i="35"/>
  <c r="E32" i="35"/>
  <c r="F32" i="35" s="1"/>
  <c r="AC26" i="62" s="1"/>
  <c r="E5" i="35"/>
  <c r="E21" i="35"/>
  <c r="E10" i="35"/>
  <c r="E26" i="35"/>
  <c r="F26" i="35" s="1"/>
  <c r="W26" i="62" s="1"/>
  <c r="E7" i="35"/>
  <c r="E23" i="35"/>
  <c r="F23" i="35" s="1"/>
  <c r="T26" i="62" s="1"/>
  <c r="E12" i="35"/>
  <c r="E28" i="35"/>
  <c r="F28" i="35" s="1"/>
  <c r="Y26" i="62" s="1"/>
  <c r="E13" i="35"/>
  <c r="E29" i="35"/>
  <c r="E18" i="35"/>
  <c r="E15" i="35"/>
  <c r="F15" i="35" s="1"/>
  <c r="L26" i="62" s="1"/>
  <c r="E31" i="35"/>
  <c r="E20" i="35"/>
  <c r="F20" i="35" s="1"/>
  <c r="Q26" i="62" s="1"/>
  <c r="E10" i="45"/>
  <c r="E18" i="45"/>
  <c r="F18" i="45" s="1"/>
  <c r="O16" i="62" s="1"/>
  <c r="E26" i="45"/>
  <c r="E7" i="45"/>
  <c r="F7" i="45" s="1"/>
  <c r="D16" i="62" s="1"/>
  <c r="E15" i="45"/>
  <c r="E23" i="45"/>
  <c r="F23" i="45" s="1"/>
  <c r="T16" i="62" s="1"/>
  <c r="E31" i="45"/>
  <c r="E12" i="45"/>
  <c r="F12" i="45" s="1"/>
  <c r="I16" i="62" s="1"/>
  <c r="E20" i="45"/>
  <c r="E28" i="45"/>
  <c r="F28" i="45" s="1"/>
  <c r="Y16" i="62" s="1"/>
  <c r="E5" i="45"/>
  <c r="E13" i="45"/>
  <c r="E21" i="45"/>
  <c r="E29" i="45"/>
  <c r="F29" i="45" s="1"/>
  <c r="Z16" i="62" s="1"/>
  <c r="E14" i="45"/>
  <c r="E30" i="45"/>
  <c r="F30" i="45" s="1"/>
  <c r="AA16" i="62" s="1"/>
  <c r="E19" i="45"/>
  <c r="E16" i="45"/>
  <c r="F16" i="45" s="1"/>
  <c r="M16" i="62" s="1"/>
  <c r="E32" i="45"/>
  <c r="E17" i="45"/>
  <c r="E6" i="45"/>
  <c r="E22" i="45"/>
  <c r="F22" i="45" s="1"/>
  <c r="S16" i="62" s="1"/>
  <c r="E11" i="45"/>
  <c r="E27" i="45"/>
  <c r="F27" i="45" s="1"/>
  <c r="X16" i="62" s="1"/>
  <c r="E8" i="45"/>
  <c r="E24" i="45"/>
  <c r="F24" i="45" s="1"/>
  <c r="U16" i="62" s="1"/>
  <c r="E9" i="45"/>
  <c r="E25" i="45"/>
  <c r="F25" i="45" s="1"/>
  <c r="V16" i="62" s="1"/>
  <c r="E20" i="22"/>
  <c r="E5" i="22"/>
  <c r="E14" i="22"/>
  <c r="E30" i="22"/>
  <c r="F30" i="22" s="1"/>
  <c r="AA39" i="62" s="1"/>
  <c r="E19" i="22"/>
  <c r="E8" i="22"/>
  <c r="F8" i="22" s="1"/>
  <c r="E39" i="62" s="1"/>
  <c r="E24" i="22"/>
  <c r="E9" i="22"/>
  <c r="F9" i="22" s="1"/>
  <c r="F39" i="62" s="1"/>
  <c r="E25" i="22"/>
  <c r="E18" i="22"/>
  <c r="F18" i="22" s="1"/>
  <c r="O39" i="62" s="1"/>
  <c r="E7" i="22"/>
  <c r="E23" i="22"/>
  <c r="F23" i="22" s="1"/>
  <c r="T39" i="62" s="1"/>
  <c r="E29" i="22"/>
  <c r="E28" i="22"/>
  <c r="F28" i="22" s="1"/>
  <c r="Y39" i="62" s="1"/>
  <c r="E21" i="22"/>
  <c r="E6" i="22"/>
  <c r="F6" i="22" s="1"/>
  <c r="C39" i="62" s="1"/>
  <c r="E22" i="22"/>
  <c r="E11" i="22"/>
  <c r="F11" i="22" s="1"/>
  <c r="H39" i="62" s="1"/>
  <c r="E27" i="22"/>
  <c r="E16" i="22"/>
  <c r="F16" i="22" s="1"/>
  <c r="M39" i="62" s="1"/>
  <c r="E32" i="22"/>
  <c r="E17" i="22"/>
  <c r="F17" i="22" s="1"/>
  <c r="N39" i="62" s="1"/>
  <c r="E10" i="22"/>
  <c r="E26" i="22"/>
  <c r="F26" i="22" s="1"/>
  <c r="W39" i="62" s="1"/>
  <c r="E15" i="22"/>
  <c r="E31" i="22"/>
  <c r="F31" i="22" s="1"/>
  <c r="AB39" i="62" s="1"/>
  <c r="E13" i="22"/>
  <c r="E12" i="22"/>
  <c r="F12" i="22" s="1"/>
  <c r="I39" i="62" s="1"/>
  <c r="E11" i="1"/>
  <c r="E26" i="1"/>
  <c r="F26" i="1" s="1"/>
  <c r="W60" i="62" s="1"/>
  <c r="E27" i="1"/>
  <c r="E12" i="1"/>
  <c r="E5" i="1"/>
  <c r="E32" i="1"/>
  <c r="F32" i="1" s="1"/>
  <c r="AC60" i="62" s="1"/>
  <c r="E17" i="1"/>
  <c r="E6" i="1"/>
  <c r="E21" i="1"/>
  <c r="E20" i="1"/>
  <c r="E30" i="1"/>
  <c r="E31" i="1"/>
  <c r="F31" i="1" s="1"/>
  <c r="AB60" i="62" s="1"/>
  <c r="E15" i="1"/>
  <c r="E9" i="1"/>
  <c r="F9" i="1" s="1"/>
  <c r="F60" i="62" s="1"/>
  <c r="E25" i="1"/>
  <c r="E18" i="1"/>
  <c r="F18" i="1" s="1"/>
  <c r="O60" i="62" s="1"/>
  <c r="E19" i="1"/>
  <c r="E13" i="1"/>
  <c r="F13" i="1" s="1"/>
  <c r="J60" i="62" s="1"/>
  <c r="E16" i="1"/>
  <c r="E7" i="1"/>
  <c r="F7" i="1" s="1"/>
  <c r="D60" i="62" s="1"/>
  <c r="E14" i="1"/>
  <c r="E29" i="1"/>
  <c r="F29" i="1" s="1"/>
  <c r="Z60" i="62" s="1"/>
  <c r="E28" i="1"/>
  <c r="E22" i="1"/>
  <c r="E23" i="1"/>
  <c r="E8" i="1"/>
  <c r="F8" i="1" s="1"/>
  <c r="E60" i="62" s="1"/>
  <c r="E24" i="1"/>
  <c r="E10" i="1"/>
  <c r="F10" i="1" s="1"/>
  <c r="G60" i="62" s="1"/>
  <c r="E31" i="3"/>
  <c r="E16" i="3"/>
  <c r="F16" i="3" s="1"/>
  <c r="M58" i="62" s="1"/>
  <c r="E15" i="3"/>
  <c r="E14" i="3"/>
  <c r="F14" i="3" s="1"/>
  <c r="K58" i="62" s="1"/>
  <c r="E5" i="3"/>
  <c r="E21" i="3"/>
  <c r="F21" i="3" s="1"/>
  <c r="R58" i="62" s="1"/>
  <c r="E18" i="3"/>
  <c r="E26" i="3"/>
  <c r="F26" i="3" s="1"/>
  <c r="W58" i="62" s="1"/>
  <c r="E24" i="3"/>
  <c r="E20" i="3"/>
  <c r="F20" i="3" s="1"/>
  <c r="Q58" i="62" s="1"/>
  <c r="E19" i="3"/>
  <c r="E30" i="3"/>
  <c r="F30" i="3" s="1"/>
  <c r="AA58" i="62" s="1"/>
  <c r="E6" i="3"/>
  <c r="E17" i="3"/>
  <c r="F17" i="3" s="1"/>
  <c r="N58" i="62" s="1"/>
  <c r="E28" i="3"/>
  <c r="E23" i="3"/>
  <c r="F23" i="3" s="1"/>
  <c r="T58" i="62" s="1"/>
  <c r="E8" i="3"/>
  <c r="E7" i="3"/>
  <c r="F7" i="3" s="1"/>
  <c r="D58" i="62" s="1"/>
  <c r="E29" i="3"/>
  <c r="E13" i="3"/>
  <c r="F13" i="3" s="1"/>
  <c r="J58" i="62" s="1"/>
  <c r="E10" i="3"/>
  <c r="E25" i="3"/>
  <c r="F25" i="3" s="1"/>
  <c r="V58" i="62" s="1"/>
  <c r="E32" i="3"/>
  <c r="E27" i="3"/>
  <c r="E12" i="3"/>
  <c r="E11" i="3"/>
  <c r="F11" i="3" s="1"/>
  <c r="H58" i="62" s="1"/>
  <c r="E22" i="3"/>
  <c r="E9" i="3"/>
  <c r="F9" i="3" s="1"/>
  <c r="F58" i="62" s="1"/>
  <c r="E16" i="28"/>
  <c r="E32" i="28"/>
  <c r="F32" i="28" s="1"/>
  <c r="AC33" i="62" s="1"/>
  <c r="E17" i="28"/>
  <c r="E6" i="28"/>
  <c r="E22" i="28"/>
  <c r="E11" i="28"/>
  <c r="F11" i="28" s="1"/>
  <c r="H33" i="62" s="1"/>
  <c r="E27" i="28"/>
  <c r="E20" i="28"/>
  <c r="F20" i="28" s="1"/>
  <c r="Q33" i="62" s="1"/>
  <c r="E5" i="28"/>
  <c r="E21" i="28"/>
  <c r="E15" i="28"/>
  <c r="E10" i="28"/>
  <c r="F10" i="28" s="1"/>
  <c r="G33" i="62" s="1"/>
  <c r="E7" i="28"/>
  <c r="E8" i="28"/>
  <c r="F8" i="28" s="1"/>
  <c r="E33" i="62" s="1"/>
  <c r="E24" i="28"/>
  <c r="E9" i="28"/>
  <c r="E25" i="28"/>
  <c r="E14" i="28"/>
  <c r="F14" i="28" s="1"/>
  <c r="K33" i="62" s="1"/>
  <c r="E30" i="28"/>
  <c r="E19" i="28"/>
  <c r="F19" i="28" s="1"/>
  <c r="P33" i="62" s="1"/>
  <c r="E12" i="28"/>
  <c r="E28" i="28"/>
  <c r="F28" i="28" s="1"/>
  <c r="Y33" i="62" s="1"/>
  <c r="E13" i="28"/>
  <c r="E29" i="28"/>
  <c r="E31" i="28"/>
  <c r="E26" i="28"/>
  <c r="F26" i="28" s="1"/>
  <c r="W33" i="62" s="1"/>
  <c r="E23" i="28"/>
  <c r="E18" i="28"/>
  <c r="F18" i="28" s="1"/>
  <c r="O33" i="62" s="1"/>
  <c r="E17" i="39"/>
  <c r="E6" i="39"/>
  <c r="E22" i="39"/>
  <c r="E11" i="39"/>
  <c r="F11" i="39" s="1"/>
  <c r="H22" i="62" s="1"/>
  <c r="E27" i="39"/>
  <c r="E16" i="39"/>
  <c r="F16" i="39" s="1"/>
  <c r="M22" i="62" s="1"/>
  <c r="E32" i="39"/>
  <c r="E31" i="39"/>
  <c r="F31" i="39" s="1"/>
  <c r="AB22" i="62" s="1"/>
  <c r="E29" i="39"/>
  <c r="E28" i="39"/>
  <c r="F28" i="39" s="1"/>
  <c r="Y22" i="62" s="1"/>
  <c r="E23" i="39"/>
  <c r="E10" i="39"/>
  <c r="F10" i="39" s="1"/>
  <c r="G22" i="62" s="1"/>
  <c r="E5" i="39"/>
  <c r="E9" i="39"/>
  <c r="F9" i="39" s="1"/>
  <c r="F22" i="62" s="1"/>
  <c r="E25" i="39"/>
  <c r="E14" i="39"/>
  <c r="F14" i="39" s="1"/>
  <c r="K22" i="62" s="1"/>
  <c r="E30" i="39"/>
  <c r="E19" i="39"/>
  <c r="F19" i="39" s="1"/>
  <c r="P22" i="62" s="1"/>
  <c r="E8" i="39"/>
  <c r="E24" i="39"/>
  <c r="F24" i="39" s="1"/>
  <c r="U22" i="62" s="1"/>
  <c r="E20" i="39"/>
  <c r="E15" i="39"/>
  <c r="F15" i="39" s="1"/>
  <c r="L22" i="62" s="1"/>
  <c r="E18" i="39"/>
  <c r="E13" i="39"/>
  <c r="F13" i="39" s="1"/>
  <c r="J22" i="62" s="1"/>
  <c r="E12" i="39"/>
  <c r="E7" i="39"/>
  <c r="F7" i="39" s="1"/>
  <c r="D22" i="62" s="1"/>
  <c r="E26" i="39"/>
  <c r="E21" i="39"/>
  <c r="F21" i="39" s="1"/>
  <c r="R22" i="62" s="1"/>
  <c r="E20" i="43"/>
  <c r="E5" i="43"/>
  <c r="E21" i="43"/>
  <c r="E10" i="43"/>
  <c r="F10" i="43" s="1"/>
  <c r="G18" i="62" s="1"/>
  <c r="E26" i="43"/>
  <c r="E15" i="43"/>
  <c r="F15" i="43" s="1"/>
  <c r="L18" i="62" s="1"/>
  <c r="E31" i="43"/>
  <c r="E19" i="43"/>
  <c r="F19" i="43" s="1"/>
  <c r="P18" i="62" s="1"/>
  <c r="E14" i="43"/>
  <c r="E17" i="43"/>
  <c r="F17" i="43" s="1"/>
  <c r="N18" i="62" s="1"/>
  <c r="E16" i="43"/>
  <c r="E11" i="43"/>
  <c r="F11" i="43" s="1"/>
  <c r="H18" i="62" s="1"/>
  <c r="E6" i="43"/>
  <c r="E25" i="43"/>
  <c r="F25" i="43" s="1"/>
  <c r="V18" i="62" s="1"/>
  <c r="E24" i="43"/>
  <c r="E12" i="43"/>
  <c r="F12" i="43" s="1"/>
  <c r="I18" i="62" s="1"/>
  <c r="E28" i="43"/>
  <c r="E13" i="43"/>
  <c r="E29" i="43"/>
  <c r="E18" i="43"/>
  <c r="F18" i="43" s="1"/>
  <c r="O18" i="62" s="1"/>
  <c r="E7" i="43"/>
  <c r="E23" i="43"/>
  <c r="F23" i="43" s="1"/>
  <c r="T18" i="62" s="1"/>
  <c r="E30" i="43"/>
  <c r="E32" i="43"/>
  <c r="F32" i="43" s="1"/>
  <c r="AC18" i="62" s="1"/>
  <c r="E27" i="43"/>
  <c r="E22" i="43"/>
  <c r="F22" i="43" s="1"/>
  <c r="S18" i="62" s="1"/>
  <c r="E9" i="43"/>
  <c r="E8" i="43"/>
  <c r="F8" i="43" s="1"/>
  <c r="E18" i="62" s="1"/>
  <c r="E6" i="26"/>
  <c r="E9" i="26"/>
  <c r="F9" i="26" s="1"/>
  <c r="F35" i="62" s="1"/>
  <c r="E28" i="26"/>
  <c r="E27" i="26"/>
  <c r="F27" i="26" s="1"/>
  <c r="X35" i="62" s="1"/>
  <c r="E16" i="26"/>
  <c r="E18" i="26"/>
  <c r="F18" i="26" s="1"/>
  <c r="O35" i="62" s="1"/>
  <c r="E17" i="26"/>
  <c r="E10" i="26"/>
  <c r="F10" i="26" s="1"/>
  <c r="G35" i="62" s="1"/>
  <c r="E13" i="26"/>
  <c r="E32" i="26"/>
  <c r="F32" i="26" s="1"/>
  <c r="AC35" i="62" s="1"/>
  <c r="E31" i="26"/>
  <c r="E21" i="26"/>
  <c r="F21" i="26" s="1"/>
  <c r="R35" i="62" s="1"/>
  <c r="E7" i="26"/>
  <c r="E30" i="26"/>
  <c r="F30" i="26" s="1"/>
  <c r="AA35" i="62" s="1"/>
  <c r="E12" i="26"/>
  <c r="E14" i="26"/>
  <c r="F14" i="26" s="1"/>
  <c r="K35" i="62" s="1"/>
  <c r="E20" i="26"/>
  <c r="E19" i="26"/>
  <c r="F19" i="26" s="1"/>
  <c r="P35" i="62" s="1"/>
  <c r="E8" i="26"/>
  <c r="E11" i="26"/>
  <c r="F11" i="26" s="1"/>
  <c r="H35" i="62" s="1"/>
  <c r="E26" i="26"/>
  <c r="E25" i="26"/>
  <c r="F25" i="26" s="1"/>
  <c r="V35" i="62" s="1"/>
  <c r="E5" i="26"/>
  <c r="E24" i="26"/>
  <c r="F24" i="26" s="1"/>
  <c r="U35" i="62" s="1"/>
  <c r="E23" i="26"/>
  <c r="E22" i="26"/>
  <c r="F22" i="26" s="1"/>
  <c r="S35" i="62" s="1"/>
  <c r="E29" i="26"/>
  <c r="E15" i="26"/>
  <c r="F15" i="26" s="1"/>
  <c r="L35" i="62" s="1"/>
  <c r="E6" i="30"/>
  <c r="E22" i="30"/>
  <c r="F22" i="30" s="1"/>
  <c r="S31" i="62" s="1"/>
  <c r="E11" i="30"/>
  <c r="E27" i="30"/>
  <c r="F27" i="30" s="1"/>
  <c r="X31" i="62" s="1"/>
  <c r="E16" i="30"/>
  <c r="E32" i="30"/>
  <c r="F32" i="30" s="1"/>
  <c r="AC31" i="62" s="1"/>
  <c r="E17" i="30"/>
  <c r="E10" i="30"/>
  <c r="F10" i="30" s="1"/>
  <c r="G31" i="62" s="1"/>
  <c r="E26" i="30"/>
  <c r="E15" i="30"/>
  <c r="F15" i="30" s="1"/>
  <c r="L31" i="62" s="1"/>
  <c r="E31" i="30"/>
  <c r="E5" i="30"/>
  <c r="E29" i="30"/>
  <c r="E28" i="30"/>
  <c r="F28" i="30" s="1"/>
  <c r="Y31" i="62" s="1"/>
  <c r="E14" i="30"/>
  <c r="E30" i="30"/>
  <c r="F30" i="30" s="1"/>
  <c r="AA31" i="62" s="1"/>
  <c r="E19" i="30"/>
  <c r="E8" i="30"/>
  <c r="F8" i="30" s="1"/>
  <c r="E31" i="62" s="1"/>
  <c r="E24" i="30"/>
  <c r="E9" i="30"/>
  <c r="F9" i="30" s="1"/>
  <c r="F31" i="62" s="1"/>
  <c r="E25" i="30"/>
  <c r="E18" i="30"/>
  <c r="F18" i="30" s="1"/>
  <c r="O31" i="62" s="1"/>
  <c r="E7" i="30"/>
  <c r="E23" i="30"/>
  <c r="F23" i="30" s="1"/>
  <c r="T31" i="62" s="1"/>
  <c r="E21" i="30"/>
  <c r="E20" i="30"/>
  <c r="F20" i="30" s="1"/>
  <c r="Q31" i="62" s="1"/>
  <c r="E13" i="30"/>
  <c r="E12" i="30"/>
  <c r="F12" i="30" s="1"/>
  <c r="I31" i="62" s="1"/>
  <c r="E18" i="41"/>
  <c r="E7" i="41"/>
  <c r="F7" i="41" s="1"/>
  <c r="D20" i="62" s="1"/>
  <c r="E23" i="41"/>
  <c r="E12" i="41"/>
  <c r="F12" i="41" s="1"/>
  <c r="I20" i="62" s="1"/>
  <c r="E28" i="41"/>
  <c r="E13" i="41"/>
  <c r="F13" i="41" s="1"/>
  <c r="J20" i="62" s="1"/>
  <c r="E29" i="41"/>
  <c r="E25" i="41"/>
  <c r="F25" i="41" s="1"/>
  <c r="V20" i="62" s="1"/>
  <c r="E24" i="41"/>
  <c r="E27" i="41"/>
  <c r="F27" i="41" s="1"/>
  <c r="X20" i="62" s="1"/>
  <c r="E22" i="41"/>
  <c r="E17" i="41"/>
  <c r="F17" i="41" s="1"/>
  <c r="N20" i="62" s="1"/>
  <c r="E16" i="41"/>
  <c r="E30" i="41"/>
  <c r="F30" i="41" s="1"/>
  <c r="AA20" i="62" s="1"/>
  <c r="E10" i="41"/>
  <c r="E26" i="41"/>
  <c r="F26" i="41" s="1"/>
  <c r="W20" i="62" s="1"/>
  <c r="E15" i="41"/>
  <c r="E31" i="41"/>
  <c r="F31" i="41" s="1"/>
  <c r="AB20" i="62" s="1"/>
  <c r="E20" i="41"/>
  <c r="E5" i="41"/>
  <c r="E21" i="41"/>
  <c r="E9" i="41"/>
  <c r="F9" i="41" s="1"/>
  <c r="F20" i="62" s="1"/>
  <c r="E8" i="41"/>
  <c r="E11" i="41"/>
  <c r="F11" i="41" s="1"/>
  <c r="H20" i="62" s="1"/>
  <c r="E6" i="41"/>
  <c r="E32" i="41"/>
  <c r="F32" i="41" s="1"/>
  <c r="AC20" i="62" s="1"/>
  <c r="E19" i="41"/>
  <c r="E14" i="41"/>
  <c r="F14" i="41" s="1"/>
  <c r="K20" i="62" s="1"/>
  <c r="E8" i="12"/>
  <c r="E32" i="12"/>
  <c r="F32" i="12" s="1"/>
  <c r="AC49" i="62" s="1"/>
  <c r="E19" i="12"/>
  <c r="E22" i="12"/>
  <c r="F22" i="12" s="1"/>
  <c r="S49" i="62" s="1"/>
  <c r="E6" i="12"/>
  <c r="E27" i="12"/>
  <c r="F27" i="12" s="1"/>
  <c r="X49" i="62" s="1"/>
  <c r="E13" i="12"/>
  <c r="E20" i="12"/>
  <c r="F20" i="12" s="1"/>
  <c r="Q49" i="62" s="1"/>
  <c r="E28" i="12"/>
  <c r="E15" i="12"/>
  <c r="F15" i="12" s="1"/>
  <c r="L49" i="62" s="1"/>
  <c r="E18" i="12"/>
  <c r="E30" i="12"/>
  <c r="F30" i="12" s="1"/>
  <c r="AA49" i="62" s="1"/>
  <c r="E25" i="12"/>
  <c r="E9" i="12"/>
  <c r="F9" i="12" s="1"/>
  <c r="F49" i="62" s="1"/>
  <c r="E16" i="12"/>
  <c r="E29" i="12"/>
  <c r="F29" i="12" s="1"/>
  <c r="Z49" i="62" s="1"/>
  <c r="E11" i="12"/>
  <c r="E14" i="12"/>
  <c r="F14" i="12" s="1"/>
  <c r="K49" i="62" s="1"/>
  <c r="E26" i="12"/>
  <c r="E21" i="12"/>
  <c r="F21" i="12" s="1"/>
  <c r="R49" i="62" s="1"/>
  <c r="E5" i="12"/>
  <c r="E12" i="12"/>
  <c r="F12" i="12" s="1"/>
  <c r="I49" i="62" s="1"/>
  <c r="E23" i="12"/>
  <c r="E7" i="12"/>
  <c r="F7" i="12" s="1"/>
  <c r="D49" i="62" s="1"/>
  <c r="E10" i="12"/>
  <c r="E31" i="12"/>
  <c r="F31" i="12" s="1"/>
  <c r="AB49" i="62" s="1"/>
  <c r="E17" i="12"/>
  <c r="E24" i="12"/>
  <c r="F24" i="12" s="1"/>
  <c r="U49" i="62" s="1"/>
  <c r="E8" i="60"/>
  <c r="E9" i="60"/>
  <c r="F9" i="60" s="1"/>
  <c r="E29" i="60"/>
  <c r="E25" i="60"/>
  <c r="F25" i="60" s="1"/>
  <c r="E10" i="60"/>
  <c r="E22" i="60"/>
  <c r="F22" i="60" s="1"/>
  <c r="E30" i="60"/>
  <c r="E21" i="60"/>
  <c r="F21" i="60" s="1"/>
  <c r="E18" i="60"/>
  <c r="E11" i="60"/>
  <c r="F11" i="60" s="1"/>
  <c r="E6" i="60"/>
  <c r="E20" i="60"/>
  <c r="F20" i="60" s="1"/>
  <c r="E28" i="60"/>
  <c r="E31" i="60"/>
  <c r="F31" i="60" s="1"/>
  <c r="E17" i="60"/>
  <c r="E32" i="60"/>
  <c r="F32" i="60" s="1"/>
  <c r="E19" i="60"/>
  <c r="E7" i="60"/>
  <c r="F7" i="60" s="1"/>
  <c r="E16" i="60"/>
  <c r="E26" i="60"/>
  <c r="F26" i="60" s="1"/>
  <c r="E23" i="60"/>
  <c r="E12" i="60"/>
  <c r="F12" i="60" s="1"/>
  <c r="E5" i="60"/>
  <c r="E27" i="60"/>
  <c r="F27" i="60" s="1"/>
  <c r="E13" i="60"/>
  <c r="E14" i="60"/>
  <c r="F14" i="60" s="1"/>
  <c r="E24" i="60"/>
  <c r="E15" i="60"/>
  <c r="F15" i="60" s="1"/>
  <c r="F31" i="28"/>
  <c r="AB33" i="62" s="1"/>
  <c r="F29" i="28"/>
  <c r="Z33" i="62" s="1"/>
  <c r="F27" i="28"/>
  <c r="X33" i="62" s="1"/>
  <c r="F25" i="28"/>
  <c r="V33" i="62" s="1"/>
  <c r="F23" i="28"/>
  <c r="T33" i="62" s="1"/>
  <c r="F21" i="28"/>
  <c r="R33" i="62" s="1"/>
  <c r="F17" i="28"/>
  <c r="N33" i="62" s="1"/>
  <c r="F15" i="28"/>
  <c r="L33" i="62" s="1"/>
  <c r="F13" i="28"/>
  <c r="J33" i="62" s="1"/>
  <c r="F9" i="28"/>
  <c r="F33" i="62" s="1"/>
  <c r="F7" i="28"/>
  <c r="D33" i="62" s="1"/>
  <c r="F6" i="28"/>
  <c r="C33" i="62" s="1"/>
  <c r="F22" i="28"/>
  <c r="S33" i="62" s="1"/>
  <c r="F30" i="28"/>
  <c r="AA33" i="62" s="1"/>
  <c r="F12" i="28"/>
  <c r="I33" i="62" s="1"/>
  <c r="F16" i="28"/>
  <c r="M33" i="62" s="1"/>
  <c r="F24" i="28"/>
  <c r="U33" i="62" s="1"/>
  <c r="F32" i="39"/>
  <c r="AC22" i="62" s="1"/>
  <c r="F29" i="39"/>
  <c r="Z22" i="62" s="1"/>
  <c r="F27" i="39"/>
  <c r="X22" i="62" s="1"/>
  <c r="F25" i="39"/>
  <c r="V22" i="62" s="1"/>
  <c r="F23" i="39"/>
  <c r="T22" i="62" s="1"/>
  <c r="F17" i="39"/>
  <c r="N22" i="62" s="1"/>
  <c r="F6" i="39"/>
  <c r="C22" i="62" s="1"/>
  <c r="F18" i="39"/>
  <c r="O22" i="62" s="1"/>
  <c r="F22" i="39"/>
  <c r="S22" i="62" s="1"/>
  <c r="F26" i="39"/>
  <c r="W22" i="62" s="1"/>
  <c r="F30" i="39"/>
  <c r="AA22" i="62" s="1"/>
  <c r="F8" i="39"/>
  <c r="E22" i="62" s="1"/>
  <c r="F12" i="39"/>
  <c r="I22" i="62" s="1"/>
  <c r="F20" i="39"/>
  <c r="Q22" i="62" s="1"/>
  <c r="F31" i="43"/>
  <c r="AB18" i="62" s="1"/>
  <c r="F29" i="43"/>
  <c r="Z18" i="62" s="1"/>
  <c r="F27" i="43"/>
  <c r="X18" i="62" s="1"/>
  <c r="F21" i="43"/>
  <c r="R18" i="62" s="1"/>
  <c r="F13" i="43"/>
  <c r="J18" i="62" s="1"/>
  <c r="F9" i="43"/>
  <c r="F18" i="62" s="1"/>
  <c r="F7" i="43"/>
  <c r="D18" i="62" s="1"/>
  <c r="F6" i="43"/>
  <c r="C18" i="62" s="1"/>
  <c r="F14" i="43"/>
  <c r="K18" i="62" s="1"/>
  <c r="F26" i="43"/>
  <c r="W18" i="62" s="1"/>
  <c r="F30" i="43"/>
  <c r="AA18" i="62" s="1"/>
  <c r="F16" i="43"/>
  <c r="M18" i="62" s="1"/>
  <c r="F20" i="43"/>
  <c r="Q18" i="62" s="1"/>
  <c r="F24" i="43"/>
  <c r="U18" i="62" s="1"/>
  <c r="F28" i="43"/>
  <c r="Y18" i="62" s="1"/>
  <c r="F31" i="26"/>
  <c r="AB35" i="62" s="1"/>
  <c r="F29" i="26"/>
  <c r="Z35" i="62" s="1"/>
  <c r="F23" i="26"/>
  <c r="T35" i="62" s="1"/>
  <c r="F17" i="26"/>
  <c r="N35" i="62" s="1"/>
  <c r="F13" i="26"/>
  <c r="J35" i="62" s="1"/>
  <c r="F7" i="26"/>
  <c r="D35" i="62" s="1"/>
  <c r="F8" i="26"/>
  <c r="E35" i="62" s="1"/>
  <c r="F12" i="26"/>
  <c r="I35" i="62" s="1"/>
  <c r="F16" i="26"/>
  <c r="M35" i="62" s="1"/>
  <c r="F20" i="26"/>
  <c r="Q35" i="62" s="1"/>
  <c r="F28" i="26"/>
  <c r="Y35" i="62" s="1"/>
  <c r="F6" i="26"/>
  <c r="C35" i="62" s="1"/>
  <c r="F26" i="26"/>
  <c r="W35" i="62" s="1"/>
  <c r="F31" i="30"/>
  <c r="AB31" i="62" s="1"/>
  <c r="F29" i="30"/>
  <c r="Z31" i="62" s="1"/>
  <c r="F25" i="30"/>
  <c r="V31" i="62" s="1"/>
  <c r="F21" i="30"/>
  <c r="R31" i="62" s="1"/>
  <c r="F19" i="30"/>
  <c r="P31" i="62" s="1"/>
  <c r="F17" i="30"/>
  <c r="N31" i="62" s="1"/>
  <c r="F13" i="30"/>
  <c r="J31" i="62" s="1"/>
  <c r="F11" i="30"/>
  <c r="H31" i="62" s="1"/>
  <c r="F7" i="30"/>
  <c r="D31" i="62" s="1"/>
  <c r="F16" i="30"/>
  <c r="M31" i="62" s="1"/>
  <c r="F24" i="30"/>
  <c r="U31" i="62" s="1"/>
  <c r="F6" i="30"/>
  <c r="C31" i="62" s="1"/>
  <c r="F14" i="30"/>
  <c r="K31" i="62" s="1"/>
  <c r="F26" i="30"/>
  <c r="W31" i="62" s="1"/>
  <c r="F29" i="41"/>
  <c r="Z20" i="62" s="1"/>
  <c r="F23" i="41"/>
  <c r="T20" i="62" s="1"/>
  <c r="F21" i="41"/>
  <c r="R20" i="62" s="1"/>
  <c r="F19" i="41"/>
  <c r="P20" i="62" s="1"/>
  <c r="F15" i="41"/>
  <c r="L20" i="62" s="1"/>
  <c r="F8" i="41"/>
  <c r="E20" i="62" s="1"/>
  <c r="F16" i="41"/>
  <c r="M20" i="62" s="1"/>
  <c r="F20" i="41"/>
  <c r="Q20" i="62" s="1"/>
  <c r="F24" i="41"/>
  <c r="U20" i="62" s="1"/>
  <c r="F28" i="41"/>
  <c r="Y20" i="62" s="1"/>
  <c r="F6" i="41"/>
  <c r="C20" i="62" s="1"/>
  <c r="F10" i="41"/>
  <c r="G20" i="62" s="1"/>
  <c r="F18" i="41"/>
  <c r="O20" i="62" s="1"/>
  <c r="F22" i="41"/>
  <c r="S20" i="62" s="1"/>
  <c r="F27" i="1"/>
  <c r="X60" i="62" s="1"/>
  <c r="F25" i="1"/>
  <c r="V60" i="62" s="1"/>
  <c r="F23" i="1"/>
  <c r="T60" i="62" s="1"/>
  <c r="F21" i="1"/>
  <c r="R60" i="62" s="1"/>
  <c r="F19" i="1"/>
  <c r="P60" i="62" s="1"/>
  <c r="F17" i="1"/>
  <c r="N60" i="62" s="1"/>
  <c r="F15" i="1"/>
  <c r="L60" i="62" s="1"/>
  <c r="F11" i="1"/>
  <c r="H60" i="62" s="1"/>
  <c r="F6" i="1"/>
  <c r="C60" i="62" s="1"/>
  <c r="F14" i="1"/>
  <c r="K60" i="62" s="1"/>
  <c r="F22" i="1"/>
  <c r="S60" i="62" s="1"/>
  <c r="F30" i="1"/>
  <c r="AA60" i="62" s="1"/>
  <c r="F12" i="1"/>
  <c r="I60" i="62" s="1"/>
  <c r="F16" i="1"/>
  <c r="M60" i="62" s="1"/>
  <c r="F20" i="1"/>
  <c r="Q60" i="62" s="1"/>
  <c r="F24" i="1"/>
  <c r="U60" i="62" s="1"/>
  <c r="F28" i="1"/>
  <c r="Y60" i="62" s="1"/>
  <c r="F32" i="3"/>
  <c r="AC58" i="62" s="1"/>
  <c r="F31" i="3"/>
  <c r="AB58" i="62" s="1"/>
  <c r="F29" i="3"/>
  <c r="Z58" i="62" s="1"/>
  <c r="F27" i="3"/>
  <c r="X58" i="62" s="1"/>
  <c r="F19" i="3"/>
  <c r="P58" i="62" s="1"/>
  <c r="F15" i="3"/>
  <c r="L58" i="62" s="1"/>
  <c r="F6" i="3"/>
  <c r="C58" i="62" s="1"/>
  <c r="F10" i="3"/>
  <c r="G58" i="62" s="1"/>
  <c r="F18" i="3"/>
  <c r="O58" i="62" s="1"/>
  <c r="F22" i="3"/>
  <c r="S58" i="62" s="1"/>
  <c r="F8" i="3"/>
  <c r="E58" i="62" s="1"/>
  <c r="F12" i="3"/>
  <c r="I58" i="62" s="1"/>
  <c r="F24" i="3"/>
  <c r="U58" i="62" s="1"/>
  <c r="F28" i="3"/>
  <c r="Y58" i="62" s="1"/>
  <c r="F30" i="24"/>
  <c r="AA37" i="62" s="1"/>
  <c r="F26" i="24"/>
  <c r="W37" i="62" s="1"/>
  <c r="F10" i="24"/>
  <c r="G37" i="62" s="1"/>
  <c r="F6" i="24"/>
  <c r="C37" i="62" s="1"/>
  <c r="F21" i="24"/>
  <c r="R37" i="62" s="1"/>
  <c r="F25" i="24"/>
  <c r="V37" i="62" s="1"/>
  <c r="F15" i="24"/>
  <c r="L37" i="62" s="1"/>
  <c r="F32" i="24"/>
  <c r="AC37" i="62" s="1"/>
  <c r="F24" i="24"/>
  <c r="U37" i="62" s="1"/>
  <c r="F20" i="24"/>
  <c r="Q37" i="62" s="1"/>
  <c r="F12" i="24"/>
  <c r="I37" i="62" s="1"/>
  <c r="F13" i="24"/>
  <c r="J37" i="62" s="1"/>
  <c r="F23" i="24"/>
  <c r="T37" i="62" s="1"/>
  <c r="F11" i="24"/>
  <c r="H37" i="62" s="1"/>
  <c r="F22" i="22"/>
  <c r="S39" i="62" s="1"/>
  <c r="F14" i="22"/>
  <c r="K39" i="62" s="1"/>
  <c r="F10" i="22"/>
  <c r="G39" i="62" s="1"/>
  <c r="F25" i="22"/>
  <c r="V39" i="62" s="1"/>
  <c r="F19" i="22"/>
  <c r="P39" i="62" s="1"/>
  <c r="F15" i="22"/>
  <c r="L39" i="62" s="1"/>
  <c r="F29" i="22"/>
  <c r="Z39" i="62" s="1"/>
  <c r="F13" i="22"/>
  <c r="J39" i="62" s="1"/>
  <c r="F32" i="22"/>
  <c r="AC39" i="62" s="1"/>
  <c r="F24" i="22"/>
  <c r="U39" i="62" s="1"/>
  <c r="F20" i="22"/>
  <c r="Q39" i="62" s="1"/>
  <c r="F27" i="22"/>
  <c r="X39" i="62" s="1"/>
  <c r="F7" i="22"/>
  <c r="D39" i="62" s="1"/>
  <c r="F21" i="22"/>
  <c r="R39" i="62" s="1"/>
  <c r="F6" i="46"/>
  <c r="C15" i="62" s="1"/>
  <c r="F25" i="46"/>
  <c r="V15" i="62" s="1"/>
  <c r="F21" i="46"/>
  <c r="R15" i="62" s="1"/>
  <c r="F9" i="46"/>
  <c r="F15" i="62" s="1"/>
  <c r="F24" i="46"/>
  <c r="U15" i="62" s="1"/>
  <c r="F20" i="46"/>
  <c r="Q15" i="62" s="1"/>
  <c r="F12" i="46"/>
  <c r="I15" i="62" s="1"/>
  <c r="F8" i="46"/>
  <c r="E15" i="62" s="1"/>
  <c r="F31" i="46"/>
  <c r="AB15" i="62" s="1"/>
  <c r="F19" i="46"/>
  <c r="P15" i="62" s="1"/>
  <c r="F15" i="46"/>
  <c r="L15" i="62" s="1"/>
  <c r="F7" i="46"/>
  <c r="D15" i="62" s="1"/>
  <c r="F30" i="46"/>
  <c r="AA15" i="62" s="1"/>
  <c r="F26" i="46"/>
  <c r="W15" i="62" s="1"/>
  <c r="F14" i="46"/>
  <c r="K15" i="62" s="1"/>
  <c r="F10" i="46"/>
  <c r="G15" i="62" s="1"/>
  <c r="F26" i="55"/>
  <c r="W6" i="62" s="1"/>
  <c r="F28" i="55"/>
  <c r="Y6" i="62" s="1"/>
  <c r="F29" i="55"/>
  <c r="Z6" i="62" s="1"/>
  <c r="F6" i="55"/>
  <c r="C6" i="62" s="1"/>
  <c r="F8" i="55"/>
  <c r="E6" i="62" s="1"/>
  <c r="F14" i="55"/>
  <c r="K6" i="62" s="1"/>
  <c r="F16" i="55"/>
  <c r="M6" i="62" s="1"/>
  <c r="F18" i="55"/>
  <c r="O6" i="62" s="1"/>
  <c r="F20" i="55"/>
  <c r="Q6" i="62" s="1"/>
  <c r="F22" i="55"/>
  <c r="S6" i="62" s="1"/>
  <c r="F13" i="55"/>
  <c r="J6" i="62" s="1"/>
  <c r="F27" i="55"/>
  <c r="X6" i="62" s="1"/>
  <c r="F15" i="55"/>
  <c r="L6" i="62" s="1"/>
  <c r="F11" i="55"/>
  <c r="H6" i="62" s="1"/>
  <c r="F7" i="55"/>
  <c r="D6" i="62" s="1"/>
  <c r="F17" i="55"/>
  <c r="N6" i="62" s="1"/>
  <c r="F9" i="55"/>
  <c r="F6" i="62" s="1"/>
  <c r="F30" i="27"/>
  <c r="AA34" i="62" s="1"/>
  <c r="F22" i="27"/>
  <c r="S34" i="62" s="1"/>
  <c r="F16" i="27"/>
  <c r="M34" i="62" s="1"/>
  <c r="F12" i="27"/>
  <c r="I34" i="62" s="1"/>
  <c r="F10" i="27"/>
  <c r="G34" i="62" s="1"/>
  <c r="F8" i="27"/>
  <c r="E34" i="62" s="1"/>
  <c r="F7" i="27"/>
  <c r="D34" i="62" s="1"/>
  <c r="F11" i="27"/>
  <c r="H34" i="62" s="1"/>
  <c r="F19" i="27"/>
  <c r="P34" i="62" s="1"/>
  <c r="F31" i="27"/>
  <c r="AB34" i="62" s="1"/>
  <c r="F13" i="27"/>
  <c r="J34" i="62" s="1"/>
  <c r="F17" i="27"/>
  <c r="N34" i="62" s="1"/>
  <c r="F21" i="27"/>
  <c r="R34" i="62" s="1"/>
  <c r="F25" i="27"/>
  <c r="V34" i="62" s="1"/>
  <c r="F29" i="27"/>
  <c r="Z34" i="62" s="1"/>
  <c r="F28" i="29"/>
  <c r="Y32" i="62" s="1"/>
  <c r="F26" i="29"/>
  <c r="W32" i="62" s="1"/>
  <c r="F24" i="29"/>
  <c r="U32" i="62" s="1"/>
  <c r="F20" i="29"/>
  <c r="Q32" i="62" s="1"/>
  <c r="F18" i="29"/>
  <c r="O32" i="62" s="1"/>
  <c r="F16" i="29"/>
  <c r="M32" i="62" s="1"/>
  <c r="F14" i="29"/>
  <c r="K32" i="62" s="1"/>
  <c r="F12" i="29"/>
  <c r="I32" i="62" s="1"/>
  <c r="F8" i="29"/>
  <c r="E32" i="62" s="1"/>
  <c r="F6" i="29"/>
  <c r="C32" i="62" s="1"/>
  <c r="F7" i="29"/>
  <c r="D32" i="62" s="1"/>
  <c r="F11" i="29"/>
  <c r="H32" i="62" s="1"/>
  <c r="F15" i="29"/>
  <c r="L32" i="62" s="1"/>
  <c r="F19" i="29"/>
  <c r="P32" i="62" s="1"/>
  <c r="F23" i="29"/>
  <c r="T32" i="62" s="1"/>
  <c r="F13" i="29"/>
  <c r="J32" i="62" s="1"/>
  <c r="F17" i="29"/>
  <c r="N32" i="62" s="1"/>
  <c r="F21" i="29"/>
  <c r="R32" i="62" s="1"/>
  <c r="F25" i="29"/>
  <c r="V32" i="62" s="1"/>
  <c r="F29" i="29"/>
  <c r="Z32" i="62" s="1"/>
  <c r="F26" i="31"/>
  <c r="W30" i="62" s="1"/>
  <c r="F24" i="31"/>
  <c r="U30" i="62" s="1"/>
  <c r="F20" i="31"/>
  <c r="Q30" i="62" s="1"/>
  <c r="F16" i="31"/>
  <c r="M30" i="62" s="1"/>
  <c r="F14" i="31"/>
  <c r="K30" i="62" s="1"/>
  <c r="F12" i="31"/>
  <c r="I30" i="62" s="1"/>
  <c r="F8" i="31"/>
  <c r="E30" i="62" s="1"/>
  <c r="F6" i="31"/>
  <c r="C30" i="62" s="1"/>
  <c r="F7" i="31"/>
  <c r="D30" i="62" s="1"/>
  <c r="F11" i="31"/>
  <c r="H30" i="62" s="1"/>
  <c r="F15" i="31"/>
  <c r="L30" i="62" s="1"/>
  <c r="F19" i="31"/>
  <c r="P30" i="62" s="1"/>
  <c r="F23" i="31"/>
  <c r="T30" i="62" s="1"/>
  <c r="F31" i="31"/>
  <c r="AB30" i="62" s="1"/>
  <c r="F9" i="31"/>
  <c r="F30" i="62" s="1"/>
  <c r="F13" i="31"/>
  <c r="J30" i="62" s="1"/>
  <c r="F21" i="31"/>
  <c r="R30" i="62" s="1"/>
  <c r="F9" i="34"/>
  <c r="F27" i="62" s="1"/>
  <c r="F11" i="34"/>
  <c r="H27" i="62" s="1"/>
  <c r="F13" i="34"/>
  <c r="J27" i="62" s="1"/>
  <c r="F15" i="34"/>
  <c r="L27" i="62" s="1"/>
  <c r="F17" i="34"/>
  <c r="N27" i="62" s="1"/>
  <c r="F25" i="34"/>
  <c r="V27" i="62" s="1"/>
  <c r="F27" i="34"/>
  <c r="X27" i="62" s="1"/>
  <c r="F29" i="34"/>
  <c r="Z27" i="62" s="1"/>
  <c r="F31" i="34"/>
  <c r="AB27" i="62" s="1"/>
  <c r="F30" i="34"/>
  <c r="AA27" i="62" s="1"/>
  <c r="F26" i="34"/>
  <c r="W27" i="62" s="1"/>
  <c r="F22" i="34"/>
  <c r="S27" i="62" s="1"/>
  <c r="F10" i="34"/>
  <c r="G27" i="62" s="1"/>
  <c r="F6" i="34"/>
  <c r="C27" i="62" s="1"/>
  <c r="F32" i="34"/>
  <c r="AC27" i="62" s="1"/>
  <c r="F28" i="34"/>
  <c r="Y27" i="62" s="1"/>
  <c r="F20" i="34"/>
  <c r="Q27" i="62" s="1"/>
  <c r="F16" i="34"/>
  <c r="M27" i="62" s="1"/>
  <c r="F12" i="34"/>
  <c r="I27" i="62" s="1"/>
  <c r="F9" i="21"/>
  <c r="F40" i="62" s="1"/>
  <c r="F29" i="21"/>
  <c r="Z40" i="62" s="1"/>
  <c r="F24" i="21"/>
  <c r="U40" i="62" s="1"/>
  <c r="F20" i="21"/>
  <c r="Q40" i="62" s="1"/>
  <c r="F16" i="21"/>
  <c r="M40" i="62" s="1"/>
  <c r="F19" i="21"/>
  <c r="P40" i="62" s="1"/>
  <c r="F11" i="21"/>
  <c r="H40" i="62" s="1"/>
  <c r="F17" i="21"/>
  <c r="N40" i="62" s="1"/>
  <c r="F22" i="21"/>
  <c r="S40" i="62" s="1"/>
  <c r="F14" i="21"/>
  <c r="K40" i="62" s="1"/>
  <c r="F10" i="21"/>
  <c r="G40" i="62" s="1"/>
  <c r="F31" i="21"/>
  <c r="AB40" i="62" s="1"/>
  <c r="F23" i="21"/>
  <c r="T40" i="62" s="1"/>
  <c r="F15" i="21"/>
  <c r="L40" i="62" s="1"/>
  <c r="F7" i="21"/>
  <c r="D40" i="62" s="1"/>
  <c r="F31" i="23"/>
  <c r="AB38" i="62" s="1"/>
  <c r="F23" i="23"/>
  <c r="T38" i="62" s="1"/>
  <c r="F15" i="23"/>
  <c r="L38" i="62" s="1"/>
  <c r="F26" i="23"/>
  <c r="W38" i="62" s="1"/>
  <c r="F22" i="23"/>
  <c r="S38" i="62" s="1"/>
  <c r="F14" i="23"/>
  <c r="K38" i="62" s="1"/>
  <c r="F10" i="23"/>
  <c r="G38" i="62" s="1"/>
  <c r="F17" i="23"/>
  <c r="N38" i="62" s="1"/>
  <c r="F9" i="23"/>
  <c r="F38" i="62" s="1"/>
  <c r="F19" i="23"/>
  <c r="P38" i="62" s="1"/>
  <c r="F11" i="23"/>
  <c r="H38" i="62" s="1"/>
  <c r="F28" i="23"/>
  <c r="Y38" i="62" s="1"/>
  <c r="F24" i="23"/>
  <c r="U38" i="62" s="1"/>
  <c r="F16" i="23"/>
  <c r="M38" i="62" s="1"/>
  <c r="F13" i="23"/>
  <c r="J38" i="62" s="1"/>
  <c r="F21" i="51"/>
  <c r="R10" i="62" s="1"/>
  <c r="F10" i="51"/>
  <c r="G10" i="62" s="1"/>
  <c r="F29" i="51"/>
  <c r="Z10" i="62" s="1"/>
  <c r="F7" i="51"/>
  <c r="D10" i="62" s="1"/>
  <c r="F11" i="51"/>
  <c r="H10" i="62" s="1"/>
  <c r="F15" i="51"/>
  <c r="L10" i="62" s="1"/>
  <c r="F28" i="51"/>
  <c r="Y10" i="62" s="1"/>
  <c r="F26" i="51"/>
  <c r="W10" i="62" s="1"/>
  <c r="F18" i="51"/>
  <c r="O10" i="62" s="1"/>
  <c r="F19" i="51"/>
  <c r="P10" i="62" s="1"/>
  <c r="F6" i="51"/>
  <c r="C10" i="62" s="1"/>
  <c r="F14" i="51"/>
  <c r="K10" i="62" s="1"/>
  <c r="F9" i="51"/>
  <c r="F10" i="62" s="1"/>
  <c r="F8" i="51"/>
  <c r="E10" i="62" s="1"/>
  <c r="F32" i="51"/>
  <c r="AC10" i="62" s="1"/>
  <c r="F16" i="51"/>
  <c r="M10" i="62" s="1"/>
  <c r="F20" i="51"/>
  <c r="Q10" i="62" s="1"/>
  <c r="F25" i="51"/>
  <c r="V10" i="62" s="1"/>
  <c r="F28" i="52"/>
  <c r="Y9" i="62" s="1"/>
  <c r="F26" i="52"/>
  <c r="W9" i="62" s="1"/>
  <c r="F22" i="52"/>
  <c r="S9" i="62" s="1"/>
  <c r="F20" i="52"/>
  <c r="Q9" i="62" s="1"/>
  <c r="F18" i="52"/>
  <c r="O9" i="62" s="1"/>
  <c r="F16" i="52"/>
  <c r="M9" i="62" s="1"/>
  <c r="F14" i="52"/>
  <c r="K9" i="62" s="1"/>
  <c r="F8" i="52"/>
  <c r="E9" i="62" s="1"/>
  <c r="F29" i="52"/>
  <c r="Z9" i="62" s="1"/>
  <c r="F23" i="52"/>
  <c r="T9" i="62" s="1"/>
  <c r="F21" i="52"/>
  <c r="R9" i="62" s="1"/>
  <c r="F17" i="52"/>
  <c r="N9" i="62" s="1"/>
  <c r="F15" i="52"/>
  <c r="L9" i="62" s="1"/>
  <c r="F13" i="52"/>
  <c r="J9" i="62" s="1"/>
  <c r="F11" i="52"/>
  <c r="H9" i="62" s="1"/>
  <c r="F9" i="52"/>
  <c r="F9" i="62" s="1"/>
  <c r="F26" i="56"/>
  <c r="W5" i="62" s="1"/>
  <c r="F24" i="56"/>
  <c r="U5" i="62" s="1"/>
  <c r="F22" i="56"/>
  <c r="S5" i="62" s="1"/>
  <c r="F20" i="56"/>
  <c r="Q5" i="62" s="1"/>
  <c r="F18" i="56"/>
  <c r="O5" i="62" s="1"/>
  <c r="F16" i="56"/>
  <c r="M5" i="62" s="1"/>
  <c r="F14" i="56"/>
  <c r="K5" i="62" s="1"/>
  <c r="F12" i="56"/>
  <c r="I5" i="62" s="1"/>
  <c r="F10" i="56"/>
  <c r="G5" i="62" s="1"/>
  <c r="F31" i="56"/>
  <c r="AB5" i="62" s="1"/>
  <c r="F15" i="56"/>
  <c r="L5" i="62" s="1"/>
  <c r="F23" i="56"/>
  <c r="T5" i="62" s="1"/>
  <c r="F27" i="56"/>
  <c r="X5" i="62" s="1"/>
  <c r="F9" i="56"/>
  <c r="F5" i="62" s="1"/>
  <c r="F13" i="56"/>
  <c r="J5" i="62" s="1"/>
  <c r="F21" i="56"/>
  <c r="R5" i="62" s="1"/>
  <c r="F32" i="59"/>
  <c r="AC59" i="62" s="1"/>
  <c r="F24" i="59"/>
  <c r="U59" i="62" s="1"/>
  <c r="F22" i="59"/>
  <c r="S59" i="62" s="1"/>
  <c r="F20" i="59"/>
  <c r="Q59" i="62" s="1"/>
  <c r="F14" i="59"/>
  <c r="K59" i="62" s="1"/>
  <c r="F10" i="59"/>
  <c r="G59" i="62" s="1"/>
  <c r="F9" i="59"/>
  <c r="F59" i="62" s="1"/>
  <c r="F13" i="59"/>
  <c r="J59" i="62" s="1"/>
  <c r="F17" i="59"/>
  <c r="N59" i="62" s="1"/>
  <c r="F21" i="59"/>
  <c r="R59" i="62" s="1"/>
  <c r="F25" i="59"/>
  <c r="V59" i="62" s="1"/>
  <c r="F29" i="59"/>
  <c r="Z59" i="62" s="1"/>
  <c r="F7" i="59"/>
  <c r="D59" i="62" s="1"/>
  <c r="F15" i="59"/>
  <c r="L59" i="62" s="1"/>
  <c r="F19" i="59"/>
  <c r="P59" i="62" s="1"/>
  <c r="F27" i="59"/>
  <c r="X59" i="62" s="1"/>
  <c r="F28" i="4"/>
  <c r="Y57" i="62" s="1"/>
  <c r="F26" i="4"/>
  <c r="W57" i="62" s="1"/>
  <c r="F24" i="4"/>
  <c r="U57" i="62" s="1"/>
  <c r="F22" i="4"/>
  <c r="S57" i="62" s="1"/>
  <c r="F20" i="4"/>
  <c r="Q57" i="62" s="1"/>
  <c r="F18" i="4"/>
  <c r="O57" i="62" s="1"/>
  <c r="F16" i="4"/>
  <c r="M57" i="62" s="1"/>
  <c r="F14" i="4"/>
  <c r="K57" i="62" s="1"/>
  <c r="F12" i="4"/>
  <c r="I57" i="62" s="1"/>
  <c r="F8" i="4"/>
  <c r="E57" i="62" s="1"/>
  <c r="F9" i="4"/>
  <c r="F57" i="62" s="1"/>
  <c r="F17" i="4"/>
  <c r="N57" i="62" s="1"/>
  <c r="F25" i="4"/>
  <c r="V57" i="62" s="1"/>
  <c r="F29" i="4"/>
  <c r="Z57" i="62" s="1"/>
  <c r="F7" i="4"/>
  <c r="D57" i="62" s="1"/>
  <c r="F15" i="4"/>
  <c r="L57" i="62" s="1"/>
  <c r="F19" i="4"/>
  <c r="P57" i="62" s="1"/>
  <c r="F27" i="4"/>
  <c r="X57" i="62" s="1"/>
  <c r="F32" i="6"/>
  <c r="AC55" i="62" s="1"/>
  <c r="F30" i="6"/>
  <c r="AA55" i="62" s="1"/>
  <c r="F26" i="6"/>
  <c r="W55" i="62" s="1"/>
  <c r="F22" i="6"/>
  <c r="S55" i="62" s="1"/>
  <c r="F20" i="6"/>
  <c r="Q55" i="62" s="1"/>
  <c r="F18" i="6"/>
  <c r="O55" i="62" s="1"/>
  <c r="F12" i="6"/>
  <c r="I55" i="62" s="1"/>
  <c r="F8" i="6"/>
  <c r="E55" i="62" s="1"/>
  <c r="F9" i="6"/>
  <c r="F55" i="62" s="1"/>
  <c r="F13" i="6"/>
  <c r="J55" i="62" s="1"/>
  <c r="F17" i="6"/>
  <c r="N55" i="62" s="1"/>
  <c r="F21" i="6"/>
  <c r="R55" i="62" s="1"/>
  <c r="F25" i="6"/>
  <c r="V55" i="62" s="1"/>
  <c r="F7" i="6"/>
  <c r="D55" i="62" s="1"/>
  <c r="F15" i="6"/>
  <c r="L55" i="62" s="1"/>
  <c r="F27" i="6"/>
  <c r="X55" i="62" s="1"/>
  <c r="F32" i="8"/>
  <c r="AC53" i="62" s="1"/>
  <c r="F28" i="8"/>
  <c r="Y53" i="62" s="1"/>
  <c r="F26" i="8"/>
  <c r="W53" i="62" s="1"/>
  <c r="F24" i="8"/>
  <c r="U53" i="62" s="1"/>
  <c r="F18" i="8"/>
  <c r="O53" i="62" s="1"/>
  <c r="F16" i="8"/>
  <c r="M53" i="62" s="1"/>
  <c r="F14" i="8"/>
  <c r="K53" i="62" s="1"/>
  <c r="F6" i="8"/>
  <c r="C53" i="62" s="1"/>
  <c r="F15" i="8"/>
  <c r="L53" i="62" s="1"/>
  <c r="F19" i="8"/>
  <c r="P53" i="62" s="1"/>
  <c r="F27" i="8"/>
  <c r="X53" i="62" s="1"/>
  <c r="F9" i="8"/>
  <c r="F53" i="62" s="1"/>
  <c r="F13" i="8"/>
  <c r="J53" i="62" s="1"/>
  <c r="F17" i="8"/>
  <c r="N53" i="62" s="1"/>
  <c r="F21" i="8"/>
  <c r="R53" i="62" s="1"/>
  <c r="F29" i="8"/>
  <c r="Z53" i="62" s="1"/>
  <c r="F24" i="9"/>
  <c r="U52" i="62" s="1"/>
  <c r="F26" i="9"/>
  <c r="W52" i="62" s="1"/>
  <c r="F28" i="9"/>
  <c r="Y52" i="62" s="1"/>
  <c r="F23" i="9"/>
  <c r="T52" i="62" s="1"/>
  <c r="F29" i="9"/>
  <c r="Z52" i="62" s="1"/>
  <c r="F19" i="9"/>
  <c r="P52" i="62" s="1"/>
  <c r="F17" i="9"/>
  <c r="N52" i="62" s="1"/>
  <c r="F13" i="9"/>
  <c r="J52" i="62" s="1"/>
  <c r="F11" i="9"/>
  <c r="H52" i="62" s="1"/>
  <c r="F9" i="9"/>
  <c r="F52" i="62" s="1"/>
  <c r="F8" i="9"/>
  <c r="E52" i="62" s="1"/>
  <c r="F12" i="9"/>
  <c r="I52" i="62" s="1"/>
  <c r="F16" i="9"/>
  <c r="M52" i="62" s="1"/>
  <c r="F6" i="9"/>
  <c r="C52" i="62" s="1"/>
  <c r="F10" i="9"/>
  <c r="G52" i="62" s="1"/>
  <c r="F14" i="9"/>
  <c r="K52" i="62" s="1"/>
  <c r="F11" i="12"/>
  <c r="H49" i="62" s="1"/>
  <c r="F13" i="12"/>
  <c r="J49" i="62" s="1"/>
  <c r="F17" i="12"/>
  <c r="N49" i="62" s="1"/>
  <c r="F19" i="12"/>
  <c r="P49" i="62" s="1"/>
  <c r="F23" i="12"/>
  <c r="T49" i="62" s="1"/>
  <c r="F25" i="12"/>
  <c r="V49" i="62" s="1"/>
  <c r="F6" i="12"/>
  <c r="C49" i="62" s="1"/>
  <c r="F28" i="12"/>
  <c r="Y49" i="62" s="1"/>
  <c r="F16" i="12"/>
  <c r="M49" i="62" s="1"/>
  <c r="F8" i="12"/>
  <c r="E49" i="62" s="1"/>
  <c r="F26" i="12"/>
  <c r="W49" i="62" s="1"/>
  <c r="F18" i="12"/>
  <c r="O49" i="62" s="1"/>
  <c r="F10" i="12"/>
  <c r="G49" i="62" s="1"/>
  <c r="F11" i="16"/>
  <c r="H45" i="62" s="1"/>
  <c r="F13" i="16"/>
  <c r="J45" i="62" s="1"/>
  <c r="F15" i="16"/>
  <c r="L45" i="62" s="1"/>
  <c r="F21" i="16"/>
  <c r="R45" i="62" s="1"/>
  <c r="F23" i="16"/>
  <c r="T45" i="62" s="1"/>
  <c r="F25" i="16"/>
  <c r="V45" i="62" s="1"/>
  <c r="F31" i="16"/>
  <c r="AB45" i="62" s="1"/>
  <c r="F6" i="16"/>
  <c r="C45" i="62" s="1"/>
  <c r="F32" i="16"/>
  <c r="AC45" i="62" s="1"/>
  <c r="F24" i="16"/>
  <c r="U45" i="62" s="1"/>
  <c r="F20" i="16"/>
  <c r="Q45" i="62" s="1"/>
  <c r="F12" i="16"/>
  <c r="I45" i="62" s="1"/>
  <c r="F30" i="16"/>
  <c r="AA45" i="62" s="1"/>
  <c r="F26" i="16"/>
  <c r="W45" i="62" s="1"/>
  <c r="F18" i="16"/>
  <c r="O45" i="62" s="1"/>
  <c r="F10" i="16"/>
  <c r="G45" i="62" s="1"/>
  <c r="F6" i="11"/>
  <c r="C50" i="62" s="1"/>
  <c r="F8" i="11"/>
  <c r="E50" i="62" s="1"/>
  <c r="F14" i="11"/>
  <c r="K50" i="62" s="1"/>
  <c r="F16" i="11"/>
  <c r="M50" i="62" s="1"/>
  <c r="F20" i="11"/>
  <c r="Q50" i="62" s="1"/>
  <c r="F26" i="11"/>
  <c r="W50" i="62" s="1"/>
  <c r="F7" i="11"/>
  <c r="D50" i="62" s="1"/>
  <c r="F9" i="11"/>
  <c r="F50" i="62" s="1"/>
  <c r="F11" i="11"/>
  <c r="H50" i="62" s="1"/>
  <c r="F13" i="11"/>
  <c r="J50" i="62" s="1"/>
  <c r="F17" i="11"/>
  <c r="N50" i="62" s="1"/>
  <c r="F19" i="11"/>
  <c r="P50" i="62" s="1"/>
  <c r="F23" i="11"/>
  <c r="T50" i="62" s="1"/>
  <c r="F29" i="11"/>
  <c r="Z50" i="62" s="1"/>
  <c r="F31" i="11"/>
  <c r="AB50" i="62" s="1"/>
  <c r="F10" i="15"/>
  <c r="G46" i="62" s="1"/>
  <c r="F18" i="15"/>
  <c r="O46" i="62" s="1"/>
  <c r="F20" i="15"/>
  <c r="Q46" i="62" s="1"/>
  <c r="F22" i="15"/>
  <c r="S46" i="62" s="1"/>
  <c r="F24" i="15"/>
  <c r="U46" i="62" s="1"/>
  <c r="F26" i="15"/>
  <c r="W46" i="62" s="1"/>
  <c r="F28" i="15"/>
  <c r="Y46" i="62" s="1"/>
  <c r="F30" i="15"/>
  <c r="AA46" i="62" s="1"/>
  <c r="F32" i="15"/>
  <c r="AC46" i="62" s="1"/>
  <c r="F7" i="15"/>
  <c r="D46" i="62" s="1"/>
  <c r="F9" i="15"/>
  <c r="F46" i="62" s="1"/>
  <c r="F11" i="15"/>
  <c r="H46" i="62" s="1"/>
  <c r="F15" i="15"/>
  <c r="L46" i="62" s="1"/>
  <c r="F19" i="15"/>
  <c r="P46" i="62" s="1"/>
  <c r="F23" i="15"/>
  <c r="T46" i="62" s="1"/>
  <c r="F27" i="15"/>
  <c r="X46" i="62" s="1"/>
  <c r="F29" i="15"/>
  <c r="Z46" i="62" s="1"/>
  <c r="F31" i="15"/>
  <c r="AB46" i="62" s="1"/>
  <c r="F10" i="19"/>
  <c r="G42" i="62" s="1"/>
  <c r="F14" i="19"/>
  <c r="K42" i="62" s="1"/>
  <c r="F22" i="19"/>
  <c r="S42" i="62" s="1"/>
  <c r="F24" i="19"/>
  <c r="U42" i="62" s="1"/>
  <c r="F26" i="19"/>
  <c r="W42" i="62" s="1"/>
  <c r="F30" i="19"/>
  <c r="AA42" i="62" s="1"/>
  <c r="F32" i="19"/>
  <c r="AC42" i="62" s="1"/>
  <c r="F9" i="19"/>
  <c r="F42" i="62" s="1"/>
  <c r="F11" i="19"/>
  <c r="H42" i="62" s="1"/>
  <c r="F17" i="19"/>
  <c r="N42" i="62" s="1"/>
  <c r="F21" i="19"/>
  <c r="R42" i="62" s="1"/>
  <c r="F23" i="19"/>
  <c r="T42" i="62" s="1"/>
  <c r="F27" i="19"/>
  <c r="X42" i="62" s="1"/>
  <c r="F31" i="19"/>
  <c r="AB42" i="62" s="1"/>
  <c r="F30" i="35"/>
  <c r="AA26" i="62" s="1"/>
  <c r="F22" i="35"/>
  <c r="S26" i="62" s="1"/>
  <c r="F18" i="35"/>
  <c r="O26" i="62" s="1"/>
  <c r="F14" i="35"/>
  <c r="K26" i="62" s="1"/>
  <c r="F10" i="35"/>
  <c r="G26" i="62" s="1"/>
  <c r="F6" i="35"/>
  <c r="C26" i="62" s="1"/>
  <c r="F31" i="35"/>
  <c r="AB26" i="62" s="1"/>
  <c r="F27" i="35"/>
  <c r="X26" i="62" s="1"/>
  <c r="F19" i="35"/>
  <c r="P26" i="62" s="1"/>
  <c r="F11" i="35"/>
  <c r="H26" i="62" s="1"/>
  <c r="F7" i="35"/>
  <c r="D26" i="62" s="1"/>
  <c r="F29" i="35"/>
  <c r="Z26" i="62" s="1"/>
  <c r="F25" i="35"/>
  <c r="V26" i="62" s="1"/>
  <c r="F21" i="35"/>
  <c r="R26" i="62" s="1"/>
  <c r="F13" i="35"/>
  <c r="J26" i="62" s="1"/>
  <c r="F9" i="35"/>
  <c r="F26" i="62" s="1"/>
  <c r="F24" i="35"/>
  <c r="U26" i="62" s="1"/>
  <c r="F12" i="35"/>
  <c r="I26" i="62" s="1"/>
  <c r="F8" i="35"/>
  <c r="E26" i="62" s="1"/>
  <c r="F9" i="45"/>
  <c r="F16" i="62" s="1"/>
  <c r="F11" i="45"/>
  <c r="H16" i="62" s="1"/>
  <c r="F13" i="45"/>
  <c r="J16" i="62" s="1"/>
  <c r="F15" i="45"/>
  <c r="L16" i="62" s="1"/>
  <c r="F17" i="45"/>
  <c r="N16" i="62" s="1"/>
  <c r="F19" i="45"/>
  <c r="P16" i="62" s="1"/>
  <c r="F21" i="45"/>
  <c r="R16" i="62" s="1"/>
  <c r="F31" i="45"/>
  <c r="AB16" i="62" s="1"/>
  <c r="F26" i="45"/>
  <c r="W16" i="62" s="1"/>
  <c r="F14" i="45"/>
  <c r="K16" i="62" s="1"/>
  <c r="F10" i="45"/>
  <c r="G16" i="62" s="1"/>
  <c r="F6" i="45"/>
  <c r="C16" i="62" s="1"/>
  <c r="F32" i="45"/>
  <c r="AC16" i="62" s="1"/>
  <c r="F20" i="45"/>
  <c r="Q16" i="62" s="1"/>
  <c r="F8" i="45"/>
  <c r="E16" i="62" s="1"/>
  <c r="F7" i="36"/>
  <c r="D25" i="62" s="1"/>
  <c r="F9" i="36"/>
  <c r="F25" i="62" s="1"/>
  <c r="F13" i="36"/>
  <c r="J25" i="62" s="1"/>
  <c r="F15" i="36"/>
  <c r="L25" i="62" s="1"/>
  <c r="F19" i="36"/>
  <c r="P25" i="62" s="1"/>
  <c r="F25" i="36"/>
  <c r="V25" i="62" s="1"/>
  <c r="F29" i="36"/>
  <c r="Z25" i="62" s="1"/>
  <c r="F30" i="36"/>
  <c r="AA25" i="62" s="1"/>
  <c r="F18" i="36"/>
  <c r="O25" i="62" s="1"/>
  <c r="F14" i="36"/>
  <c r="K25" i="62" s="1"/>
  <c r="F10" i="36"/>
  <c r="G25" i="62" s="1"/>
  <c r="F28" i="36"/>
  <c r="Y25" i="62" s="1"/>
  <c r="F24" i="36"/>
  <c r="U25" i="62" s="1"/>
  <c r="F16" i="36"/>
  <c r="M25" i="62" s="1"/>
  <c r="F12" i="36"/>
  <c r="I25" i="62" s="1"/>
  <c r="F8" i="36"/>
  <c r="E25" i="62" s="1"/>
  <c r="F32" i="44"/>
  <c r="AC17" i="62" s="1"/>
  <c r="F30" i="44"/>
  <c r="AA17" i="62" s="1"/>
  <c r="F26" i="44"/>
  <c r="W17" i="62" s="1"/>
  <c r="F22" i="44"/>
  <c r="S17" i="62" s="1"/>
  <c r="F20" i="44"/>
  <c r="Q17" i="62" s="1"/>
  <c r="F18" i="44"/>
  <c r="O17" i="62" s="1"/>
  <c r="F14" i="44"/>
  <c r="K17" i="62" s="1"/>
  <c r="F12" i="44"/>
  <c r="I17" i="62" s="1"/>
  <c r="F8" i="44"/>
  <c r="E17" i="62" s="1"/>
  <c r="F6" i="44"/>
  <c r="C17" i="62" s="1"/>
  <c r="F9" i="44"/>
  <c r="F17" i="62" s="1"/>
  <c r="F13" i="44"/>
  <c r="J17" i="62" s="1"/>
  <c r="F17" i="44"/>
  <c r="N17" i="62" s="1"/>
  <c r="F21" i="44"/>
  <c r="R17" i="62" s="1"/>
  <c r="F25" i="44"/>
  <c r="V17" i="62" s="1"/>
  <c r="F7" i="44"/>
  <c r="D17" i="62" s="1"/>
  <c r="F11" i="44"/>
  <c r="H17" i="62" s="1"/>
  <c r="F15" i="44"/>
  <c r="L17" i="62" s="1"/>
  <c r="F19" i="44"/>
  <c r="P17" i="62" s="1"/>
  <c r="F27" i="44"/>
  <c r="X17" i="62" s="1"/>
  <c r="F27" i="48"/>
  <c r="X13" i="62" s="1"/>
  <c r="F23" i="48"/>
  <c r="T13" i="62" s="1"/>
  <c r="F19" i="48"/>
  <c r="P13" i="62" s="1"/>
  <c r="F11" i="48"/>
  <c r="H13" i="62" s="1"/>
  <c r="F7" i="48"/>
  <c r="D13" i="62" s="1"/>
  <c r="F9" i="48"/>
  <c r="F13" i="62" s="1"/>
  <c r="F17" i="48"/>
  <c r="N13" i="62" s="1"/>
  <c r="F26" i="48"/>
  <c r="W13" i="62" s="1"/>
  <c r="F8" i="48"/>
  <c r="E13" i="62" s="1"/>
  <c r="F16" i="48"/>
  <c r="M13" i="62" s="1"/>
  <c r="F15" i="48"/>
  <c r="L13" i="62" s="1"/>
  <c r="F14" i="48"/>
  <c r="K13" i="62" s="1"/>
  <c r="F22" i="48"/>
  <c r="S13" i="62" s="1"/>
  <c r="F21" i="48"/>
  <c r="R13" i="62" s="1"/>
  <c r="F29" i="48"/>
  <c r="Z13" i="62" s="1"/>
  <c r="F20" i="48"/>
  <c r="Q13" i="62" s="1"/>
  <c r="F28" i="48"/>
  <c r="Y13" i="62" s="1"/>
  <c r="F9" i="54"/>
  <c r="F7" i="62" s="1"/>
  <c r="F11" i="54"/>
  <c r="H7" i="62" s="1"/>
  <c r="F15" i="54"/>
  <c r="L7" i="62" s="1"/>
  <c r="F17" i="54"/>
  <c r="N7" i="62" s="1"/>
  <c r="F19" i="54"/>
  <c r="P7" i="62" s="1"/>
  <c r="F21" i="54"/>
  <c r="R7" i="62" s="1"/>
  <c r="F23" i="54"/>
  <c r="T7" i="62" s="1"/>
  <c r="F29" i="54"/>
  <c r="Z7" i="62" s="1"/>
  <c r="F16" i="54"/>
  <c r="M7" i="62" s="1"/>
  <c r="F6" i="54"/>
  <c r="C7" i="62" s="1"/>
  <c r="F26" i="54"/>
  <c r="W7" i="62" s="1"/>
  <c r="F18" i="54"/>
  <c r="O7" i="62" s="1"/>
  <c r="F14" i="54"/>
  <c r="K7" i="62" s="1"/>
  <c r="F28" i="54"/>
  <c r="Y7" i="62" s="1"/>
  <c r="F24" i="54"/>
  <c r="U7" i="62" s="1"/>
  <c r="F12" i="54"/>
  <c r="I7" i="62" s="1"/>
  <c r="F7" i="32"/>
  <c r="D29" i="62" s="1"/>
  <c r="F9" i="32"/>
  <c r="F29" i="62" s="1"/>
  <c r="F13" i="32"/>
  <c r="J29" i="62" s="1"/>
  <c r="F15" i="32"/>
  <c r="L29" i="62" s="1"/>
  <c r="F19" i="32"/>
  <c r="P29" i="62" s="1"/>
  <c r="F25" i="32"/>
  <c r="V29" i="62" s="1"/>
  <c r="F29" i="32"/>
  <c r="Z29" i="62" s="1"/>
  <c r="F28" i="32"/>
  <c r="Y29" i="62" s="1"/>
  <c r="F24" i="32"/>
  <c r="U29" i="62" s="1"/>
  <c r="F20" i="32"/>
  <c r="Q29" i="62" s="1"/>
  <c r="F12" i="32"/>
  <c r="I29" i="62" s="1"/>
  <c r="F8" i="32"/>
  <c r="E29" i="62" s="1"/>
  <c r="F30" i="32"/>
  <c r="AA29" i="62" s="1"/>
  <c r="F22" i="32"/>
  <c r="S29" i="62" s="1"/>
  <c r="F14" i="32"/>
  <c r="K29" i="62" s="1"/>
  <c r="F10" i="32"/>
  <c r="G29" i="62" s="1"/>
  <c r="F25" i="49"/>
  <c r="V12" i="62" s="1"/>
  <c r="F21" i="49"/>
  <c r="R12" i="62" s="1"/>
  <c r="F17" i="49"/>
  <c r="N12" i="62" s="1"/>
  <c r="F13" i="49"/>
  <c r="J12" i="62" s="1"/>
  <c r="F9" i="49"/>
  <c r="F12" i="62" s="1"/>
  <c r="F24" i="49"/>
  <c r="U12" i="62" s="1"/>
  <c r="F20" i="49"/>
  <c r="Q12" i="62" s="1"/>
  <c r="F12" i="49"/>
  <c r="I12" i="62" s="1"/>
  <c r="F8" i="49"/>
  <c r="E12" i="62" s="1"/>
  <c r="F27" i="49"/>
  <c r="X12" i="62" s="1"/>
  <c r="F23" i="49"/>
  <c r="T12" i="62" s="1"/>
  <c r="F19" i="49"/>
  <c r="P12" i="62" s="1"/>
  <c r="F11" i="49"/>
  <c r="H12" i="62" s="1"/>
  <c r="F30" i="49"/>
  <c r="AA12" i="62" s="1"/>
  <c r="F26" i="49"/>
  <c r="W12" i="62" s="1"/>
  <c r="F22" i="49"/>
  <c r="S12" i="62" s="1"/>
  <c r="F10" i="49"/>
  <c r="G12" i="62" s="1"/>
  <c r="F6" i="49"/>
  <c r="C12" i="62" s="1"/>
  <c r="F8" i="13"/>
  <c r="E48" i="62" s="1"/>
  <c r="F10" i="13"/>
  <c r="G48" i="62" s="1"/>
  <c r="F12" i="13"/>
  <c r="I48" i="62" s="1"/>
  <c r="F14" i="13"/>
  <c r="K48" i="62" s="1"/>
  <c r="F16" i="13"/>
  <c r="M48" i="62" s="1"/>
  <c r="F20" i="13"/>
  <c r="Q48" i="62" s="1"/>
  <c r="F22" i="13"/>
  <c r="S48" i="62" s="1"/>
  <c r="F28" i="13"/>
  <c r="Y48" i="62" s="1"/>
  <c r="F32" i="13"/>
  <c r="AC48" i="62" s="1"/>
  <c r="F9" i="13"/>
  <c r="F48" i="62" s="1"/>
  <c r="F11" i="13"/>
  <c r="H48" i="62" s="1"/>
  <c r="F13" i="13"/>
  <c r="J48" i="62" s="1"/>
  <c r="F15" i="13"/>
  <c r="L48" i="62" s="1"/>
  <c r="F17" i="13"/>
  <c r="N48" i="62" s="1"/>
  <c r="F19" i="13"/>
  <c r="P48" i="62" s="1"/>
  <c r="F21" i="13"/>
  <c r="R48" i="62" s="1"/>
  <c r="F23" i="13"/>
  <c r="T48" i="62" s="1"/>
  <c r="F25" i="13"/>
  <c r="V48" i="62" s="1"/>
  <c r="F29" i="13"/>
  <c r="Z48" i="62" s="1"/>
  <c r="F6" i="17"/>
  <c r="C44" i="62" s="1"/>
  <c r="F10" i="17"/>
  <c r="G44" i="62" s="1"/>
  <c r="F12" i="17"/>
  <c r="I44" i="62" s="1"/>
  <c r="F14" i="17"/>
  <c r="K44" i="62" s="1"/>
  <c r="F18" i="17"/>
  <c r="O44" i="62" s="1"/>
  <c r="F20" i="17"/>
  <c r="Q44" i="62" s="1"/>
  <c r="F22" i="17"/>
  <c r="S44" i="62" s="1"/>
  <c r="F24" i="17"/>
  <c r="U44" i="62" s="1"/>
  <c r="F26" i="17"/>
  <c r="W44" i="62" s="1"/>
  <c r="F30" i="17"/>
  <c r="AA44" i="62" s="1"/>
  <c r="F7" i="17"/>
  <c r="D44" i="62" s="1"/>
  <c r="F9" i="17"/>
  <c r="F44" i="62" s="1"/>
  <c r="F11" i="17"/>
  <c r="H44" i="62" s="1"/>
  <c r="F13" i="17"/>
  <c r="J44" i="62" s="1"/>
  <c r="F15" i="17"/>
  <c r="L44" i="62" s="1"/>
  <c r="F19" i="17"/>
  <c r="P44" i="62" s="1"/>
  <c r="F23" i="17"/>
  <c r="T44" i="62" s="1"/>
  <c r="F27" i="17"/>
  <c r="X44" i="62" s="1"/>
  <c r="F14" i="20"/>
  <c r="K41" i="62" s="1"/>
  <c r="F16" i="20"/>
  <c r="M41" i="62" s="1"/>
  <c r="F18" i="20"/>
  <c r="O41" i="62" s="1"/>
  <c r="F22" i="20"/>
  <c r="S41" i="62" s="1"/>
  <c r="F26" i="20"/>
  <c r="W41" i="62" s="1"/>
  <c r="F28" i="20"/>
  <c r="Y41" i="62" s="1"/>
  <c r="F30" i="20"/>
  <c r="AA41" i="62" s="1"/>
  <c r="F9" i="20"/>
  <c r="F41" i="62" s="1"/>
  <c r="F13" i="20"/>
  <c r="J41" i="62" s="1"/>
  <c r="F17" i="20"/>
  <c r="N41" i="62" s="1"/>
  <c r="F21" i="20"/>
  <c r="R41" i="62" s="1"/>
  <c r="F29" i="20"/>
  <c r="Z41" i="62" s="1"/>
  <c r="F19" i="20"/>
  <c r="P41" i="62" s="1"/>
  <c r="F23" i="20"/>
  <c r="T41" i="62" s="1"/>
  <c r="F27" i="20"/>
  <c r="X41" i="62" s="1"/>
  <c r="F31" i="20"/>
  <c r="AB41" i="62" s="1"/>
  <c r="F10" i="20"/>
  <c r="G41" i="62" s="1"/>
  <c r="F12" i="20"/>
  <c r="I41" i="62" s="1"/>
  <c r="F8" i="20"/>
  <c r="E41" i="62" s="1"/>
  <c r="F7" i="10"/>
  <c r="D51" i="62" s="1"/>
  <c r="F9" i="10"/>
  <c r="F51" i="62" s="1"/>
  <c r="F11" i="10"/>
  <c r="H51" i="62" s="1"/>
  <c r="F13" i="10"/>
  <c r="J51" i="62" s="1"/>
  <c r="F15" i="10"/>
  <c r="L51" i="62" s="1"/>
  <c r="F19" i="10"/>
  <c r="P51" i="62" s="1"/>
  <c r="F21" i="10"/>
  <c r="R51" i="62" s="1"/>
  <c r="F23" i="10"/>
  <c r="T51" i="62" s="1"/>
  <c r="F27" i="10"/>
  <c r="X51" i="62" s="1"/>
  <c r="F32" i="10"/>
  <c r="AC51" i="62" s="1"/>
  <c r="F24" i="10"/>
  <c r="U51" i="62" s="1"/>
  <c r="F20" i="10"/>
  <c r="Q51" i="62" s="1"/>
  <c r="F16" i="10"/>
  <c r="M51" i="62" s="1"/>
  <c r="F12" i="10"/>
  <c r="I51" i="62" s="1"/>
  <c r="F8" i="10"/>
  <c r="E51" i="62" s="1"/>
  <c r="F30" i="10"/>
  <c r="AA51" i="62" s="1"/>
  <c r="F26" i="10"/>
  <c r="W51" i="62" s="1"/>
  <c r="F22" i="10"/>
  <c r="S51" i="62" s="1"/>
  <c r="F18" i="10"/>
  <c r="O51" i="62" s="1"/>
  <c r="F14" i="10"/>
  <c r="K51" i="62" s="1"/>
  <c r="F7" i="14"/>
  <c r="D47" i="62" s="1"/>
  <c r="F11" i="14"/>
  <c r="H47" i="62" s="1"/>
  <c r="F13" i="14"/>
  <c r="J47" i="62" s="1"/>
  <c r="F15" i="14"/>
  <c r="L47" i="62" s="1"/>
  <c r="F19" i="14"/>
  <c r="P47" i="62" s="1"/>
  <c r="F21" i="14"/>
  <c r="R47" i="62" s="1"/>
  <c r="F23" i="14"/>
  <c r="T47" i="62" s="1"/>
  <c r="F25" i="14"/>
  <c r="V47" i="62" s="1"/>
  <c r="F27" i="14"/>
  <c r="X47" i="62" s="1"/>
  <c r="F29" i="14"/>
  <c r="Z47" i="62" s="1"/>
  <c r="F31" i="14"/>
  <c r="AB47" i="62" s="1"/>
  <c r="F32" i="14"/>
  <c r="AC47" i="62" s="1"/>
  <c r="F28" i="14"/>
  <c r="Y47" i="62" s="1"/>
  <c r="F24" i="14"/>
  <c r="U47" i="62" s="1"/>
  <c r="F20" i="14"/>
  <c r="Q47" i="62" s="1"/>
  <c r="F12" i="14"/>
  <c r="I47" i="62" s="1"/>
  <c r="F6" i="14"/>
  <c r="C47" i="62" s="1"/>
  <c r="F26" i="14"/>
  <c r="W47" i="62" s="1"/>
  <c r="F22" i="14"/>
  <c r="S47" i="62" s="1"/>
  <c r="F18" i="14"/>
  <c r="O47" i="62" s="1"/>
  <c r="F14" i="14"/>
  <c r="K47" i="62" s="1"/>
  <c r="F10" i="14"/>
  <c r="G47" i="62" s="1"/>
  <c r="F7" i="18"/>
  <c r="D43" i="62" s="1"/>
  <c r="F9" i="18"/>
  <c r="F43" i="62" s="1"/>
  <c r="F13" i="18"/>
  <c r="J43" i="62" s="1"/>
  <c r="F15" i="18"/>
  <c r="L43" i="62" s="1"/>
  <c r="F17" i="18"/>
  <c r="N43" i="62" s="1"/>
  <c r="F19" i="18"/>
  <c r="P43" i="62" s="1"/>
  <c r="F21" i="18"/>
  <c r="R43" i="62" s="1"/>
  <c r="F25" i="18"/>
  <c r="V43" i="62" s="1"/>
  <c r="F27" i="18"/>
  <c r="X43" i="62" s="1"/>
  <c r="F29" i="18"/>
  <c r="Z43" i="62" s="1"/>
  <c r="F32" i="18"/>
  <c r="AC43" i="62" s="1"/>
  <c r="F28" i="18"/>
  <c r="Y43" i="62" s="1"/>
  <c r="F24" i="18"/>
  <c r="U43" i="62" s="1"/>
  <c r="F20" i="18"/>
  <c r="Q43" i="62" s="1"/>
  <c r="F12" i="18"/>
  <c r="I43" i="62" s="1"/>
  <c r="F6" i="18"/>
  <c r="C43" i="62" s="1"/>
  <c r="F26" i="18"/>
  <c r="W43" i="62" s="1"/>
  <c r="F22" i="18"/>
  <c r="S43" i="62" s="1"/>
  <c r="F18" i="18"/>
  <c r="O43" i="62" s="1"/>
  <c r="F14" i="18"/>
  <c r="K43" i="62" s="1"/>
  <c r="F10" i="18"/>
  <c r="G43" i="62" s="1"/>
  <c r="F30" i="40"/>
  <c r="AA21" i="62" s="1"/>
  <c r="F28" i="40"/>
  <c r="Y21" i="62" s="1"/>
  <c r="F26" i="40"/>
  <c r="W21" i="62" s="1"/>
  <c r="F24" i="40"/>
  <c r="U21" i="62" s="1"/>
  <c r="F22" i="40"/>
  <c r="S21" i="62" s="1"/>
  <c r="F18" i="40"/>
  <c r="O21" i="62" s="1"/>
  <c r="F14" i="40"/>
  <c r="K21" i="62" s="1"/>
  <c r="F12" i="40"/>
  <c r="I21" i="62" s="1"/>
  <c r="F10" i="40"/>
  <c r="G21" i="62" s="1"/>
  <c r="F6" i="40"/>
  <c r="C21" i="62" s="1"/>
  <c r="F9" i="40"/>
  <c r="F21" i="62" s="1"/>
  <c r="F13" i="40"/>
  <c r="J21" i="62" s="1"/>
  <c r="F21" i="40"/>
  <c r="R21" i="62" s="1"/>
  <c r="F29" i="40"/>
  <c r="Z21" i="62" s="1"/>
  <c r="F11" i="40"/>
  <c r="H21" i="62" s="1"/>
  <c r="F15" i="40"/>
  <c r="L21" i="62" s="1"/>
  <c r="F19" i="40"/>
  <c r="P21" i="62" s="1"/>
  <c r="F27" i="40"/>
  <c r="X21" i="62" s="1"/>
  <c r="F32" i="42"/>
  <c r="AC19" i="62" s="1"/>
  <c r="F28" i="42"/>
  <c r="Y19" i="62" s="1"/>
  <c r="F26" i="42"/>
  <c r="W19" i="62" s="1"/>
  <c r="F24" i="42"/>
  <c r="U19" i="62" s="1"/>
  <c r="F20" i="42"/>
  <c r="Q19" i="62" s="1"/>
  <c r="F18" i="42"/>
  <c r="O19" i="62" s="1"/>
  <c r="F16" i="42"/>
  <c r="M19" i="62" s="1"/>
  <c r="F14" i="42"/>
  <c r="K19" i="62" s="1"/>
  <c r="F12" i="42"/>
  <c r="I19" i="62" s="1"/>
  <c r="F8" i="42"/>
  <c r="E19" i="62" s="1"/>
  <c r="F6" i="42"/>
  <c r="C19" i="62" s="1"/>
  <c r="F7" i="42"/>
  <c r="D19" i="62" s="1"/>
  <c r="F15" i="42"/>
  <c r="L19" i="62" s="1"/>
  <c r="F19" i="42"/>
  <c r="P19" i="62" s="1"/>
  <c r="F23" i="42"/>
  <c r="T19" i="62" s="1"/>
  <c r="F27" i="42"/>
  <c r="X19" i="62" s="1"/>
  <c r="F31" i="42"/>
  <c r="AB19" i="62" s="1"/>
  <c r="F13" i="42"/>
  <c r="J19" i="62" s="1"/>
  <c r="F21" i="42"/>
  <c r="R19" i="62" s="1"/>
  <c r="F29" i="42"/>
  <c r="Z19" i="62" s="1"/>
  <c r="F26" i="33"/>
  <c r="W28" i="62" s="1"/>
  <c r="F22" i="33"/>
  <c r="S28" i="62" s="1"/>
  <c r="F18" i="33"/>
  <c r="O28" i="62" s="1"/>
  <c r="F29" i="33"/>
  <c r="Z28" i="62" s="1"/>
  <c r="F21" i="33"/>
  <c r="R28" i="62" s="1"/>
  <c r="F17" i="33"/>
  <c r="N28" i="62" s="1"/>
  <c r="F13" i="33"/>
  <c r="J28" i="62" s="1"/>
  <c r="F10" i="33"/>
  <c r="G28" i="62" s="1"/>
  <c r="F32" i="33"/>
  <c r="AC28" i="62" s="1"/>
  <c r="F28" i="33"/>
  <c r="Y28" i="62" s="1"/>
  <c r="F20" i="33"/>
  <c r="Q28" i="62" s="1"/>
  <c r="F16" i="33"/>
  <c r="M28" i="62" s="1"/>
  <c r="F12" i="33"/>
  <c r="I28" i="62" s="1"/>
  <c r="F27" i="33"/>
  <c r="X28" i="62" s="1"/>
  <c r="F19" i="33"/>
  <c r="P28" i="62" s="1"/>
  <c r="F15" i="33"/>
  <c r="L28" i="62" s="1"/>
  <c r="F11" i="33"/>
  <c r="H28" i="62" s="1"/>
  <c r="F7" i="33"/>
  <c r="D28" i="62" s="1"/>
  <c r="F6" i="33"/>
  <c r="C28" i="62" s="1"/>
  <c r="F26" i="37"/>
  <c r="W24" i="62" s="1"/>
  <c r="F22" i="37"/>
  <c r="S24" i="62" s="1"/>
  <c r="F18" i="37"/>
  <c r="O24" i="62" s="1"/>
  <c r="F10" i="37"/>
  <c r="G24" i="62" s="1"/>
  <c r="F6" i="37"/>
  <c r="C24" i="62" s="1"/>
  <c r="F29" i="37"/>
  <c r="Z24" i="62" s="1"/>
  <c r="F21" i="37"/>
  <c r="R24" i="62" s="1"/>
  <c r="F17" i="37"/>
  <c r="N24" i="62" s="1"/>
  <c r="F13" i="37"/>
  <c r="J24" i="62" s="1"/>
  <c r="F31" i="37"/>
  <c r="AB24" i="62" s="1"/>
  <c r="F27" i="37"/>
  <c r="X24" i="62" s="1"/>
  <c r="F23" i="37"/>
  <c r="T24" i="62" s="1"/>
  <c r="F15" i="37"/>
  <c r="L24" i="62" s="1"/>
  <c r="F11" i="37"/>
  <c r="H24" i="62" s="1"/>
  <c r="F7" i="37"/>
  <c r="D24" i="62" s="1"/>
  <c r="F32" i="37"/>
  <c r="AC24" i="62" s="1"/>
  <c r="F28" i="37"/>
  <c r="Y24" i="62" s="1"/>
  <c r="F20" i="37"/>
  <c r="Q24" i="62" s="1"/>
  <c r="F16" i="37"/>
  <c r="M24" i="62" s="1"/>
  <c r="F12" i="37"/>
  <c r="I24" i="62" s="1"/>
  <c r="F7" i="50"/>
  <c r="D11" i="62" s="1"/>
  <c r="F11" i="50"/>
  <c r="H11" i="62" s="1"/>
  <c r="F13" i="50"/>
  <c r="J11" i="62" s="1"/>
  <c r="F15" i="50"/>
  <c r="L11" i="62" s="1"/>
  <c r="F17" i="50"/>
  <c r="N11" i="62" s="1"/>
  <c r="F19" i="50"/>
  <c r="P11" i="62" s="1"/>
  <c r="F23" i="50"/>
  <c r="T11" i="62" s="1"/>
  <c r="F27" i="50"/>
  <c r="X11" i="62" s="1"/>
  <c r="F29" i="50"/>
  <c r="Z11" i="62" s="1"/>
  <c r="F31" i="50"/>
  <c r="AB11" i="62" s="1"/>
  <c r="F26" i="50"/>
  <c r="W11" i="62" s="1"/>
  <c r="F22" i="50"/>
  <c r="S11" i="62" s="1"/>
  <c r="F18" i="50"/>
  <c r="O11" i="62" s="1"/>
  <c r="F10" i="50"/>
  <c r="G11" i="62" s="1"/>
  <c r="F6" i="50"/>
  <c r="C11" i="62" s="1"/>
  <c r="F32" i="50"/>
  <c r="AC11" i="62" s="1"/>
  <c r="F28" i="50"/>
  <c r="Y11" i="62" s="1"/>
  <c r="F24" i="50"/>
  <c r="U11" i="62" s="1"/>
  <c r="F16" i="50"/>
  <c r="M11" i="62" s="1"/>
  <c r="F12" i="50"/>
  <c r="I11" i="62" s="1"/>
  <c r="F8" i="50"/>
  <c r="E11" i="62" s="1"/>
  <c r="F24" i="53"/>
  <c r="U8" i="62" s="1"/>
  <c r="F6" i="53"/>
  <c r="C8" i="62" s="1"/>
  <c r="F14" i="53"/>
  <c r="K8" i="62" s="1"/>
  <c r="F31" i="53"/>
  <c r="AB8" i="62" s="1"/>
  <c r="F23" i="53"/>
  <c r="T8" i="62" s="1"/>
  <c r="F21" i="53"/>
  <c r="R8" i="62" s="1"/>
  <c r="F30" i="53"/>
  <c r="AA8" i="62" s="1"/>
  <c r="F26" i="53"/>
  <c r="W8" i="62" s="1"/>
  <c r="F22" i="53"/>
  <c r="S8" i="62" s="1"/>
  <c r="F12" i="53"/>
  <c r="I8" i="62" s="1"/>
  <c r="F16" i="53"/>
  <c r="M8" i="62" s="1"/>
  <c r="F29" i="53"/>
  <c r="Z8" i="62" s="1"/>
  <c r="F25" i="53"/>
  <c r="V8" i="62" s="1"/>
  <c r="F7" i="53"/>
  <c r="D8" i="62" s="1"/>
  <c r="F11" i="53"/>
  <c r="H8" i="62" s="1"/>
  <c r="F15" i="53"/>
  <c r="L8" i="62" s="1"/>
  <c r="F19" i="53"/>
  <c r="P8" i="62" s="1"/>
  <c r="F9" i="53"/>
  <c r="F8" i="62" s="1"/>
  <c r="F17" i="53"/>
  <c r="N8" i="62" s="1"/>
  <c r="E33" i="57"/>
  <c r="C7" i="63" s="1"/>
  <c r="F5" i="57"/>
  <c r="B4" i="62" s="1"/>
  <c r="F6" i="60"/>
  <c r="F28" i="60"/>
  <c r="F8" i="60"/>
  <c r="F19" i="60"/>
  <c r="F17" i="60"/>
  <c r="F30" i="60"/>
  <c r="F29" i="60"/>
  <c r="F16" i="60"/>
  <c r="F23" i="60"/>
  <c r="F10" i="60"/>
  <c r="F18" i="60"/>
  <c r="F24" i="60"/>
  <c r="F13" i="60"/>
  <c r="C12" i="66" l="1"/>
  <c r="O12" i="66" s="1"/>
  <c r="C22" i="66"/>
  <c r="O22" i="66" s="1"/>
  <c r="C16" i="66"/>
  <c r="O16" i="66" s="1"/>
  <c r="C7" i="66"/>
  <c r="O7" i="66" s="1"/>
  <c r="C5" i="66"/>
  <c r="O5" i="66" s="1"/>
  <c r="C14" i="66"/>
  <c r="O14" i="66" s="1"/>
  <c r="C13" i="66"/>
  <c r="O13" i="66" s="1"/>
  <c r="C26" i="66"/>
  <c r="O26" i="66" s="1"/>
  <c r="C11" i="66"/>
  <c r="O11" i="66" s="1"/>
  <c r="C25" i="66"/>
  <c r="O25" i="66" s="1"/>
  <c r="C6" i="66"/>
  <c r="O6" i="66" s="1"/>
  <c r="C31" i="66"/>
  <c r="O31" i="66" s="1"/>
  <c r="C30" i="66"/>
  <c r="O30" i="66" s="1"/>
  <c r="C19" i="66"/>
  <c r="O19" i="66" s="1"/>
  <c r="C10" i="66"/>
  <c r="O10" i="66" s="1"/>
  <c r="C20" i="66"/>
  <c r="O20" i="66" s="1"/>
  <c r="C21" i="66"/>
  <c r="O21" i="66" s="1"/>
  <c r="C24" i="66"/>
  <c r="O24" i="66" s="1"/>
  <c r="C8" i="66"/>
  <c r="O8" i="66" s="1"/>
  <c r="C17" i="66"/>
  <c r="O17" i="66" s="1"/>
  <c r="C28" i="66"/>
  <c r="O28" i="66" s="1"/>
  <c r="C23" i="66"/>
  <c r="O23" i="66" s="1"/>
  <c r="C9" i="66"/>
  <c r="O9" i="66" s="1"/>
  <c r="C15" i="66"/>
  <c r="O15" i="66" s="1"/>
  <c r="C29" i="66"/>
  <c r="O29" i="66" s="1"/>
  <c r="C18" i="66"/>
  <c r="O18" i="66" s="1"/>
  <c r="C27" i="66"/>
  <c r="O27" i="66" s="1"/>
  <c r="C59" i="63"/>
  <c r="D59" i="63" s="1"/>
  <c r="D54" i="65"/>
  <c r="E54" i="65" s="1"/>
  <c r="F33" i="7"/>
  <c r="AD54" i="62" s="1"/>
  <c r="D26" i="63"/>
  <c r="D39" i="63"/>
  <c r="Z62" i="62"/>
  <c r="R62" i="62"/>
  <c r="J62" i="62"/>
  <c r="X62" i="62"/>
  <c r="P62" i="62"/>
  <c r="H62" i="62"/>
  <c r="E62" i="62"/>
  <c r="I62" i="62"/>
  <c r="M62" i="62"/>
  <c r="Q62" i="62"/>
  <c r="U62" i="62"/>
  <c r="Y62" i="62"/>
  <c r="F33" i="57"/>
  <c r="AD4" i="62" s="1"/>
  <c r="D4" i="65"/>
  <c r="V62" i="62"/>
  <c r="N62" i="62"/>
  <c r="F62" i="62"/>
  <c r="T62" i="62"/>
  <c r="L62" i="62"/>
  <c r="D62" i="62"/>
  <c r="C62" i="62"/>
  <c r="G62" i="62"/>
  <c r="K62" i="62"/>
  <c r="O62" i="62"/>
  <c r="S62" i="62"/>
  <c r="W62" i="62"/>
  <c r="AA62" i="62"/>
  <c r="D63" i="62"/>
  <c r="D65" i="62"/>
  <c r="S63" i="62"/>
  <c r="S65" i="62"/>
  <c r="I63" i="62"/>
  <c r="I65" i="62"/>
  <c r="T63" i="62"/>
  <c r="T65" i="62"/>
  <c r="O63" i="62"/>
  <c r="O65" i="62"/>
  <c r="U63" i="62"/>
  <c r="U65" i="62"/>
  <c r="H63" i="62"/>
  <c r="H65" i="62"/>
  <c r="AA63" i="62"/>
  <c r="AA65" i="62"/>
  <c r="X63" i="62"/>
  <c r="X65" i="62"/>
  <c r="Z63" i="62"/>
  <c r="Z65" i="62"/>
  <c r="V63" i="62"/>
  <c r="V65" i="62"/>
  <c r="L63" i="62"/>
  <c r="L65" i="62"/>
  <c r="K63" i="62"/>
  <c r="K65" i="62"/>
  <c r="Q63" i="62"/>
  <c r="Q65" i="62"/>
  <c r="R63" i="62"/>
  <c r="R65" i="62"/>
  <c r="N63" i="62"/>
  <c r="N65" i="62"/>
  <c r="W63" i="62"/>
  <c r="W65" i="62"/>
  <c r="G63" i="62"/>
  <c r="G65" i="62"/>
  <c r="M63" i="62"/>
  <c r="M65" i="62"/>
  <c r="J63" i="62"/>
  <c r="J65" i="62"/>
  <c r="Y63" i="62"/>
  <c r="Y65" i="62"/>
  <c r="F63" i="62"/>
  <c r="F65" i="62"/>
  <c r="C63" i="62"/>
  <c r="C65" i="62"/>
  <c r="P63" i="62"/>
  <c r="P65" i="62"/>
  <c r="E63" i="62"/>
  <c r="E65" i="62"/>
  <c r="D64" i="62"/>
  <c r="S64" i="62"/>
  <c r="I64" i="62"/>
  <c r="T64" i="62"/>
  <c r="O64" i="62"/>
  <c r="U64" i="62"/>
  <c r="H64" i="62"/>
  <c r="AA64" i="62"/>
  <c r="X64" i="62"/>
  <c r="Z64" i="62"/>
  <c r="V64" i="62"/>
  <c r="L64" i="62"/>
  <c r="K64" i="62"/>
  <c r="Q64" i="62"/>
  <c r="R64" i="62"/>
  <c r="N64" i="62"/>
  <c r="W64" i="62"/>
  <c r="G64" i="62"/>
  <c r="M64" i="62"/>
  <c r="J64" i="62"/>
  <c r="Y64" i="62"/>
  <c r="F64" i="62"/>
  <c r="C64" i="62"/>
  <c r="P64" i="62"/>
  <c r="E64" i="62"/>
  <c r="L61" i="62"/>
  <c r="U61" i="62"/>
  <c r="W61" i="62"/>
  <c r="G61" i="62"/>
  <c r="H61" i="62"/>
  <c r="Z61" i="62"/>
  <c r="V61" i="62"/>
  <c r="F61" i="62"/>
  <c r="E61" i="62"/>
  <c r="Y61" i="62"/>
  <c r="K61" i="62"/>
  <c r="D61" i="62"/>
  <c r="R61" i="62"/>
  <c r="J61" i="62"/>
  <c r="I61" i="62"/>
  <c r="O61" i="62"/>
  <c r="T61" i="62"/>
  <c r="M61" i="62"/>
  <c r="AA61" i="62"/>
  <c r="N61" i="62"/>
  <c r="P61" i="62"/>
  <c r="X61" i="62"/>
  <c r="S61" i="62"/>
  <c r="C61" i="62"/>
  <c r="Q61" i="62"/>
  <c r="F5" i="41"/>
  <c r="B20" i="62" s="1"/>
  <c r="E33" i="41"/>
  <c r="F5" i="30"/>
  <c r="B31" i="62" s="1"/>
  <c r="E33" i="30"/>
  <c r="C34" i="63" s="1"/>
  <c r="F5" i="26"/>
  <c r="B35" i="62" s="1"/>
  <c r="E33" i="26"/>
  <c r="F5" i="43"/>
  <c r="B18" i="62" s="1"/>
  <c r="E33" i="43"/>
  <c r="C21" i="63" s="1"/>
  <c r="F5" i="39"/>
  <c r="B22" i="62" s="1"/>
  <c r="E33" i="39"/>
  <c r="F5" i="28"/>
  <c r="B33" i="62" s="1"/>
  <c r="E33" i="28"/>
  <c r="F5" i="3"/>
  <c r="B58" i="62" s="1"/>
  <c r="E33" i="3"/>
  <c r="F5" i="1"/>
  <c r="B60" i="62" s="1"/>
  <c r="E33" i="1"/>
  <c r="C63" i="63" s="1"/>
  <c r="E33" i="24"/>
  <c r="F5" i="24"/>
  <c r="B37" i="62" s="1"/>
  <c r="F5" i="22"/>
  <c r="B39" i="62" s="1"/>
  <c r="E33" i="22"/>
  <c r="E33" i="33"/>
  <c r="F5" i="33"/>
  <c r="B28" i="62" s="1"/>
  <c r="F5" i="10"/>
  <c r="B51" i="62" s="1"/>
  <c r="E33" i="10"/>
  <c r="E33" i="48"/>
  <c r="F5" i="48"/>
  <c r="B13" i="62" s="1"/>
  <c r="F5" i="44"/>
  <c r="B17" i="62" s="1"/>
  <c r="E33" i="44"/>
  <c r="F5" i="15"/>
  <c r="B46" i="62" s="1"/>
  <c r="E33" i="15"/>
  <c r="F5" i="11"/>
  <c r="B50" i="62" s="1"/>
  <c r="E33" i="11"/>
  <c r="C53" i="63" s="1"/>
  <c r="F5" i="9"/>
  <c r="B52" i="62" s="1"/>
  <c r="E33" i="9"/>
  <c r="F5" i="8"/>
  <c r="B53" i="62" s="1"/>
  <c r="E33" i="8"/>
  <c r="C56" i="63" s="1"/>
  <c r="F5" i="4"/>
  <c r="B57" i="62" s="1"/>
  <c r="E33" i="4"/>
  <c r="F5" i="56"/>
  <c r="B5" i="62" s="1"/>
  <c r="E33" i="56"/>
  <c r="C8" i="63" s="1"/>
  <c r="F5" i="52"/>
  <c r="B9" i="62" s="1"/>
  <c r="E33" i="52"/>
  <c r="E33" i="46"/>
  <c r="F5" i="46"/>
  <c r="B15" i="62" s="1"/>
  <c r="F5" i="53"/>
  <c r="B8" i="62" s="1"/>
  <c r="E33" i="53"/>
  <c r="E33" i="50"/>
  <c r="F5" i="50"/>
  <c r="B11" i="62" s="1"/>
  <c r="E33" i="37"/>
  <c r="F5" i="37"/>
  <c r="B24" i="62" s="1"/>
  <c r="F5" i="42"/>
  <c r="B19" i="62" s="1"/>
  <c r="E33" i="42"/>
  <c r="F5" i="40"/>
  <c r="B21" i="62" s="1"/>
  <c r="E33" i="40"/>
  <c r="F5" i="18"/>
  <c r="B43" i="62" s="1"/>
  <c r="E33" i="18"/>
  <c r="F5" i="14"/>
  <c r="B47" i="62" s="1"/>
  <c r="E33" i="14"/>
  <c r="F5" i="20"/>
  <c r="B41" i="62" s="1"/>
  <c r="E33" i="20"/>
  <c r="F5" i="17"/>
  <c r="B44" i="62" s="1"/>
  <c r="E33" i="17"/>
  <c r="F5" i="13"/>
  <c r="B48" i="62" s="1"/>
  <c r="E33" i="13"/>
  <c r="E33" i="49"/>
  <c r="F5" i="49"/>
  <c r="B12" i="62" s="1"/>
  <c r="E33" i="32"/>
  <c r="F5" i="32"/>
  <c r="B29" i="62" s="1"/>
  <c r="F5" i="54"/>
  <c r="B7" i="62" s="1"/>
  <c r="E33" i="54"/>
  <c r="E33" i="36"/>
  <c r="C28" i="63" s="1"/>
  <c r="F5" i="36"/>
  <c r="B25" i="62" s="1"/>
  <c r="E33" i="45"/>
  <c r="F5" i="45"/>
  <c r="B16" i="62" s="1"/>
  <c r="E33" i="35"/>
  <c r="C29" i="63" s="1"/>
  <c r="F5" i="35"/>
  <c r="B26" i="62" s="1"/>
  <c r="F5" i="19"/>
  <c r="B42" i="62" s="1"/>
  <c r="E33" i="19"/>
  <c r="F5" i="16"/>
  <c r="B45" i="62" s="1"/>
  <c r="E33" i="16"/>
  <c r="F5" i="12"/>
  <c r="B49" i="62" s="1"/>
  <c r="E33" i="12"/>
  <c r="F5" i="6"/>
  <c r="B55" i="62" s="1"/>
  <c r="E33" i="6"/>
  <c r="F5" i="59"/>
  <c r="B59" i="62" s="1"/>
  <c r="E33" i="59"/>
  <c r="E33" i="51"/>
  <c r="F5" i="51"/>
  <c r="B10" i="62" s="1"/>
  <c r="F5" i="23"/>
  <c r="B38" i="62" s="1"/>
  <c r="E33" i="23"/>
  <c r="F5" i="21"/>
  <c r="B40" i="62" s="1"/>
  <c r="E33" i="21"/>
  <c r="E33" i="34"/>
  <c r="F5" i="34"/>
  <c r="B27" i="62" s="1"/>
  <c r="F5" i="31"/>
  <c r="B30" i="62" s="1"/>
  <c r="E33" i="31"/>
  <c r="F5" i="29"/>
  <c r="B32" i="62" s="1"/>
  <c r="E33" i="29"/>
  <c r="F5" i="27"/>
  <c r="B34" i="62" s="1"/>
  <c r="E33" i="27"/>
  <c r="E33" i="55"/>
  <c r="F5" i="55"/>
  <c r="B6" i="62" s="1"/>
  <c r="E33" i="60"/>
  <c r="F5" i="60"/>
  <c r="C4" i="66" l="1"/>
  <c r="D8" i="63"/>
  <c r="D56" i="63"/>
  <c r="D53" i="63"/>
  <c r="D63" i="63"/>
  <c r="D21" i="63"/>
  <c r="D34" i="63"/>
  <c r="D7" i="63"/>
  <c r="F33" i="27"/>
  <c r="AD34" i="62" s="1"/>
  <c r="D34" i="65"/>
  <c r="E34" i="65" s="1"/>
  <c r="F33" i="21"/>
  <c r="AD40" i="62" s="1"/>
  <c r="D40" i="65"/>
  <c r="E40" i="65" s="1"/>
  <c r="F33" i="6"/>
  <c r="AD55" i="62" s="1"/>
  <c r="D55" i="65"/>
  <c r="E55" i="65" s="1"/>
  <c r="F33" i="16"/>
  <c r="AD45" i="62" s="1"/>
  <c r="D45" i="65"/>
  <c r="E45" i="65" s="1"/>
  <c r="F33" i="13"/>
  <c r="AD48" i="62" s="1"/>
  <c r="D48" i="65"/>
  <c r="E48" i="65" s="1"/>
  <c r="F33" i="20"/>
  <c r="AD41" i="62" s="1"/>
  <c r="D41" i="65"/>
  <c r="E41" i="65" s="1"/>
  <c r="F33" i="18"/>
  <c r="AD43" i="62" s="1"/>
  <c r="D43" i="65"/>
  <c r="E43" i="65" s="1"/>
  <c r="F33" i="42"/>
  <c r="AD19" i="62" s="1"/>
  <c r="D19" i="65"/>
  <c r="E19" i="65" s="1"/>
  <c r="F33" i="53"/>
  <c r="AD8" i="62" s="1"/>
  <c r="D8" i="65"/>
  <c r="E8" i="65" s="1"/>
  <c r="F33" i="52"/>
  <c r="AD9" i="62" s="1"/>
  <c r="D9" i="65"/>
  <c r="E9" i="65" s="1"/>
  <c r="F33" i="4"/>
  <c r="AD57" i="62" s="1"/>
  <c r="D57" i="65"/>
  <c r="E57" i="65" s="1"/>
  <c r="F33" i="9"/>
  <c r="AD52" i="62" s="1"/>
  <c r="D52" i="65"/>
  <c r="E52" i="65" s="1"/>
  <c r="F33" i="15"/>
  <c r="AD46" i="62" s="1"/>
  <c r="D46" i="65"/>
  <c r="E46" i="65" s="1"/>
  <c r="F33" i="10"/>
  <c r="AD51" i="62" s="1"/>
  <c r="D51" i="65"/>
  <c r="E51" i="65" s="1"/>
  <c r="F33" i="3"/>
  <c r="AD58" i="62" s="1"/>
  <c r="D58" i="65"/>
  <c r="E58" i="65" s="1"/>
  <c r="F33" i="39"/>
  <c r="AD22" i="62" s="1"/>
  <c r="D22" i="65"/>
  <c r="E22" i="65" s="1"/>
  <c r="F33" i="26"/>
  <c r="AD35" i="62" s="1"/>
  <c r="D35" i="65"/>
  <c r="E35" i="65" s="1"/>
  <c r="F33" i="41"/>
  <c r="AD20" i="62" s="1"/>
  <c r="D20" i="65"/>
  <c r="E20" i="65" s="1"/>
  <c r="F33" i="55"/>
  <c r="AD6" i="62" s="1"/>
  <c r="D6" i="65"/>
  <c r="E6" i="65" s="1"/>
  <c r="F33" i="34"/>
  <c r="AD27" i="62" s="1"/>
  <c r="D27" i="65"/>
  <c r="E27" i="65" s="1"/>
  <c r="F33" i="51"/>
  <c r="AD10" i="62" s="1"/>
  <c r="D10" i="65"/>
  <c r="E10" i="65" s="1"/>
  <c r="F33" i="35"/>
  <c r="AD26" i="62" s="1"/>
  <c r="D26" i="65"/>
  <c r="E26" i="65" s="1"/>
  <c r="F33" i="45"/>
  <c r="AD16" i="62" s="1"/>
  <c r="D16" i="65"/>
  <c r="E16" i="65" s="1"/>
  <c r="F33" i="36"/>
  <c r="AD25" i="62" s="1"/>
  <c r="D25" i="65"/>
  <c r="E25" i="65" s="1"/>
  <c r="F33" i="32"/>
  <c r="AD29" i="62" s="1"/>
  <c r="D29" i="65"/>
  <c r="E29" i="65" s="1"/>
  <c r="F33" i="49"/>
  <c r="AD12" i="62" s="1"/>
  <c r="D12" i="65"/>
  <c r="E12" i="65" s="1"/>
  <c r="F33" i="37"/>
  <c r="AD24" i="62" s="1"/>
  <c r="D24" i="65"/>
  <c r="E24" i="65" s="1"/>
  <c r="F33" i="50"/>
  <c r="AD11" i="62" s="1"/>
  <c r="D11" i="65"/>
  <c r="E11" i="65" s="1"/>
  <c r="F33" i="46"/>
  <c r="AD15" i="62" s="1"/>
  <c r="D15" i="65"/>
  <c r="E15" i="65" s="1"/>
  <c r="F33" i="48"/>
  <c r="AD13" i="62" s="1"/>
  <c r="D13" i="65"/>
  <c r="E13" i="65" s="1"/>
  <c r="F33" i="33"/>
  <c r="AD28" i="62" s="1"/>
  <c r="D28" i="65"/>
  <c r="E28" i="65" s="1"/>
  <c r="F33" i="24"/>
  <c r="AD37" i="62" s="1"/>
  <c r="D37" i="65"/>
  <c r="E37" i="65" s="1"/>
  <c r="C37" i="63"/>
  <c r="C30" i="63"/>
  <c r="C44" i="63"/>
  <c r="C61" i="63"/>
  <c r="C9" i="63"/>
  <c r="C43" i="63"/>
  <c r="C12" i="63"/>
  <c r="C60" i="63"/>
  <c r="C48" i="63"/>
  <c r="C27" i="63"/>
  <c r="C40" i="63"/>
  <c r="C16" i="63"/>
  <c r="C32" i="63"/>
  <c r="C51" i="63"/>
  <c r="C54" i="63"/>
  <c r="C46" i="63"/>
  <c r="C49" i="63"/>
  <c r="C23" i="63"/>
  <c r="F33" i="29"/>
  <c r="AD32" i="62" s="1"/>
  <c r="D32" i="65"/>
  <c r="E32" i="65" s="1"/>
  <c r="F33" i="31"/>
  <c r="AD30" i="62" s="1"/>
  <c r="D30" i="65"/>
  <c r="E30" i="65" s="1"/>
  <c r="F33" i="23"/>
  <c r="AD38" i="62" s="1"/>
  <c r="D38" i="65"/>
  <c r="E38" i="65" s="1"/>
  <c r="F33" i="59"/>
  <c r="AD59" i="62" s="1"/>
  <c r="D59" i="65"/>
  <c r="E59" i="65" s="1"/>
  <c r="F33" i="12"/>
  <c r="AD49" i="62" s="1"/>
  <c r="D49" i="65"/>
  <c r="E49" i="65" s="1"/>
  <c r="F33" i="19"/>
  <c r="AD42" i="62" s="1"/>
  <c r="D42" i="65"/>
  <c r="E42" i="65" s="1"/>
  <c r="F33" i="54"/>
  <c r="AD7" i="62" s="1"/>
  <c r="D7" i="65"/>
  <c r="E7" i="65" s="1"/>
  <c r="F33" i="17"/>
  <c r="AD44" i="62" s="1"/>
  <c r="D44" i="65"/>
  <c r="E44" i="65" s="1"/>
  <c r="F33" i="14"/>
  <c r="AD47" i="62" s="1"/>
  <c r="D47" i="65"/>
  <c r="E47" i="65" s="1"/>
  <c r="F33" i="40"/>
  <c r="AD21" i="62" s="1"/>
  <c r="D21" i="65"/>
  <c r="E21" i="65" s="1"/>
  <c r="F33" i="56"/>
  <c r="AD5" i="62" s="1"/>
  <c r="D5" i="65"/>
  <c r="E5" i="65" s="1"/>
  <c r="F33" i="8"/>
  <c r="AD53" i="62" s="1"/>
  <c r="D53" i="65"/>
  <c r="E53" i="65" s="1"/>
  <c r="F33" i="11"/>
  <c r="AD50" i="62" s="1"/>
  <c r="D50" i="65"/>
  <c r="E50" i="65" s="1"/>
  <c r="F33" i="44"/>
  <c r="AD17" i="62" s="1"/>
  <c r="D17" i="65"/>
  <c r="E17" i="65" s="1"/>
  <c r="F33" i="22"/>
  <c r="AD39" i="62" s="1"/>
  <c r="D39" i="65"/>
  <c r="E39" i="65" s="1"/>
  <c r="F33" i="1"/>
  <c r="AD60" i="62" s="1"/>
  <c r="D60" i="65"/>
  <c r="E60" i="65" s="1"/>
  <c r="F33" i="28"/>
  <c r="AD33" i="62" s="1"/>
  <c r="D33" i="65"/>
  <c r="E33" i="65" s="1"/>
  <c r="F33" i="43"/>
  <c r="AD18" i="62" s="1"/>
  <c r="D18" i="65"/>
  <c r="E18" i="65" s="1"/>
  <c r="F33" i="30"/>
  <c r="AD31" i="62" s="1"/>
  <c r="D31" i="65"/>
  <c r="E31" i="65" s="1"/>
  <c r="C18" i="63"/>
  <c r="C33" i="63"/>
  <c r="C41" i="63"/>
  <c r="C11" i="63"/>
  <c r="C22" i="63"/>
  <c r="C45" i="63"/>
  <c r="C19" i="63"/>
  <c r="C36" i="63"/>
  <c r="C38" i="63"/>
  <c r="C35" i="63"/>
  <c r="C13" i="63"/>
  <c r="C62" i="63"/>
  <c r="C58" i="63"/>
  <c r="C55" i="63"/>
  <c r="C31" i="63"/>
  <c r="C14" i="63"/>
  <c r="C20" i="63"/>
  <c r="C10" i="63"/>
  <c r="C15" i="63"/>
  <c r="C47" i="63"/>
  <c r="C50" i="63"/>
  <c r="C24" i="63"/>
  <c r="C42" i="63"/>
  <c r="C25" i="63"/>
  <c r="C52" i="63"/>
  <c r="E4" i="65"/>
  <c r="B65" i="62"/>
  <c r="F33" i="60"/>
  <c r="AD61" i="62" s="1"/>
  <c r="C64" i="63"/>
  <c r="D64" i="63" s="1"/>
  <c r="B63" i="62"/>
  <c r="B64" i="62"/>
  <c r="B62" i="62"/>
  <c r="B61" i="62"/>
  <c r="C6" i="64" l="1"/>
  <c r="C8" i="64"/>
  <c r="C12" i="64"/>
  <c r="C16" i="64"/>
  <c r="C20" i="64"/>
  <c r="C24" i="64"/>
  <c r="C28" i="64"/>
  <c r="C32" i="64"/>
  <c r="C36" i="64"/>
  <c r="C40" i="64"/>
  <c r="C44" i="64"/>
  <c r="C48" i="64"/>
  <c r="C52" i="64"/>
  <c r="C56" i="64"/>
  <c r="C60" i="64"/>
  <c r="C7" i="64"/>
  <c r="C11" i="64"/>
  <c r="C15" i="64"/>
  <c r="C19" i="64"/>
  <c r="C23" i="64"/>
  <c r="C27" i="64"/>
  <c r="C31" i="64"/>
  <c r="C35" i="64"/>
  <c r="C39" i="64"/>
  <c r="C43" i="64"/>
  <c r="C47" i="64"/>
  <c r="C51" i="64"/>
  <c r="C55" i="64"/>
  <c r="D55" i="64" s="1"/>
  <c r="E55" i="64" s="1"/>
  <c r="C59" i="64"/>
  <c r="C33" i="66"/>
  <c r="O33" i="66" s="1"/>
  <c r="C34" i="66"/>
  <c r="O34" i="66" s="1"/>
  <c r="C61" i="64"/>
  <c r="C10" i="64"/>
  <c r="C14" i="64"/>
  <c r="D14" i="64" s="1"/>
  <c r="E14" i="64" s="1"/>
  <c r="C18" i="64"/>
  <c r="C22" i="64"/>
  <c r="C26" i="64"/>
  <c r="C30" i="64"/>
  <c r="D30" i="64" s="1"/>
  <c r="E30" i="64" s="1"/>
  <c r="C34" i="64"/>
  <c r="C38" i="64"/>
  <c r="C42" i="64"/>
  <c r="C46" i="64"/>
  <c r="D46" i="64" s="1"/>
  <c r="E46" i="64" s="1"/>
  <c r="C50" i="64"/>
  <c r="C54" i="64"/>
  <c r="C58" i="64"/>
  <c r="C62" i="64"/>
  <c r="D62" i="64" s="1"/>
  <c r="E62" i="64" s="1"/>
  <c r="C9" i="64"/>
  <c r="D9" i="64" s="1"/>
  <c r="E9" i="64" s="1"/>
  <c r="C13" i="64"/>
  <c r="C17" i="64"/>
  <c r="D17" i="64" s="1"/>
  <c r="E17" i="64" s="1"/>
  <c r="C21" i="64"/>
  <c r="D21" i="64" s="1"/>
  <c r="E21" i="64" s="1"/>
  <c r="C25" i="64"/>
  <c r="D25" i="64" s="1"/>
  <c r="E25" i="64" s="1"/>
  <c r="C29" i="64"/>
  <c r="C33" i="64"/>
  <c r="D33" i="64" s="1"/>
  <c r="E33" i="64" s="1"/>
  <c r="C37" i="64"/>
  <c r="D37" i="64" s="1"/>
  <c r="E37" i="64" s="1"/>
  <c r="C41" i="64"/>
  <c r="D41" i="64" s="1"/>
  <c r="E41" i="64" s="1"/>
  <c r="C45" i="64"/>
  <c r="C49" i="64"/>
  <c r="D49" i="64" s="1"/>
  <c r="E49" i="64" s="1"/>
  <c r="C53" i="64"/>
  <c r="D53" i="64" s="1"/>
  <c r="E53" i="64" s="1"/>
  <c r="C57" i="64"/>
  <c r="D57" i="64" s="1"/>
  <c r="E57" i="64" s="1"/>
  <c r="O4" i="66"/>
  <c r="C32" i="66"/>
  <c r="O32" i="66" s="1"/>
  <c r="AD65" i="62"/>
  <c r="AD64" i="62"/>
  <c r="AD63" i="62"/>
  <c r="D25" i="63"/>
  <c r="D24" i="63"/>
  <c r="D47" i="63"/>
  <c r="D10" i="63"/>
  <c r="D14" i="63"/>
  <c r="D55" i="63"/>
  <c r="D62" i="63"/>
  <c r="D35" i="63"/>
  <c r="D38" i="63"/>
  <c r="D19" i="63"/>
  <c r="D22" i="63"/>
  <c r="D41" i="63"/>
  <c r="D18" i="63"/>
  <c r="D49" i="63"/>
  <c r="D54" i="63"/>
  <c r="D32" i="63"/>
  <c r="D40" i="63"/>
  <c r="D48" i="63"/>
  <c r="D12" i="63"/>
  <c r="D9" i="63"/>
  <c r="D29" i="63"/>
  <c r="D30" i="63"/>
  <c r="D52" i="63"/>
  <c r="D42" i="63"/>
  <c r="D50" i="63"/>
  <c r="D15" i="63"/>
  <c r="D20" i="63"/>
  <c r="D31" i="63"/>
  <c r="D58" i="63"/>
  <c r="D13" i="63"/>
  <c r="D28" i="63"/>
  <c r="D36" i="63"/>
  <c r="D45" i="63"/>
  <c r="D11" i="63"/>
  <c r="D33" i="63"/>
  <c r="D23" i="63"/>
  <c r="D46" i="63"/>
  <c r="D51" i="63"/>
  <c r="D16" i="63"/>
  <c r="D27" i="63"/>
  <c r="D60" i="63"/>
  <c r="D43" i="63"/>
  <c r="D61" i="63"/>
  <c r="D44" i="63"/>
  <c r="D37" i="63"/>
  <c r="AD62" i="62"/>
  <c r="D61" i="65"/>
  <c r="B61" i="65"/>
  <c r="C61" i="65" s="1"/>
  <c r="D61" i="64"/>
  <c r="E61" i="64" s="1"/>
  <c r="D60" i="64"/>
  <c r="E60" i="64" s="1"/>
  <c r="D59" i="64"/>
  <c r="E59" i="64" s="1"/>
  <c r="D58" i="64"/>
  <c r="E58" i="64" s="1"/>
  <c r="D56" i="64"/>
  <c r="E56" i="64" s="1"/>
  <c r="D54" i="64"/>
  <c r="E54" i="64" s="1"/>
  <c r="D52" i="64"/>
  <c r="E52" i="64" s="1"/>
  <c r="D51" i="64"/>
  <c r="E51" i="64" s="1"/>
  <c r="D50" i="64"/>
  <c r="E50" i="64" s="1"/>
  <c r="D48" i="64"/>
  <c r="E48" i="64" s="1"/>
  <c r="D47" i="64"/>
  <c r="E47" i="64" s="1"/>
  <c r="D45" i="64"/>
  <c r="E45" i="64" s="1"/>
  <c r="D44" i="64"/>
  <c r="E44" i="64" s="1"/>
  <c r="D43" i="64"/>
  <c r="E43" i="64" s="1"/>
  <c r="D42" i="64"/>
  <c r="E42" i="64" s="1"/>
  <c r="D40" i="64"/>
  <c r="E40" i="64" s="1"/>
  <c r="D39" i="64"/>
  <c r="E39" i="64" s="1"/>
  <c r="D38" i="64"/>
  <c r="E38" i="64" s="1"/>
  <c r="D36" i="64"/>
  <c r="E36" i="64" s="1"/>
  <c r="D35" i="64"/>
  <c r="E35" i="64" s="1"/>
  <c r="D34" i="64"/>
  <c r="E34" i="64" s="1"/>
  <c r="D32" i="64"/>
  <c r="E32" i="64" s="1"/>
  <c r="D31" i="64"/>
  <c r="E31" i="64" s="1"/>
  <c r="D29" i="64"/>
  <c r="E29" i="64" s="1"/>
  <c r="D28" i="64"/>
  <c r="E28" i="64" s="1"/>
  <c r="D27" i="64"/>
  <c r="E27" i="64" s="1"/>
  <c r="D26" i="64"/>
  <c r="E26" i="64" s="1"/>
  <c r="D24" i="64"/>
  <c r="E24" i="64" s="1"/>
  <c r="D23" i="64"/>
  <c r="E23" i="64" s="1"/>
  <c r="D22" i="64"/>
  <c r="E22" i="64" s="1"/>
  <c r="D20" i="64"/>
  <c r="E20" i="64" s="1"/>
  <c r="D19" i="64"/>
  <c r="E19" i="64" s="1"/>
  <c r="D18" i="64"/>
  <c r="E18" i="64" s="1"/>
  <c r="D16" i="64"/>
  <c r="E16" i="64" s="1"/>
  <c r="D15" i="64"/>
  <c r="E15" i="64" s="1"/>
  <c r="D13" i="64"/>
  <c r="E13" i="64" s="1"/>
  <c r="D12" i="64"/>
  <c r="E12" i="64" s="1"/>
  <c r="D11" i="64"/>
  <c r="E11" i="64" s="1"/>
  <c r="D10" i="64"/>
  <c r="E10" i="64" s="1"/>
  <c r="D8" i="64"/>
  <c r="E8" i="64" s="1"/>
  <c r="D7" i="64"/>
  <c r="E7" i="64" s="1"/>
  <c r="E61" i="65" l="1"/>
  <c r="D6" i="64"/>
  <c r="E6" i="64" s="1"/>
  <c r="C63" i="64"/>
  <c r="D63" i="64" s="1"/>
  <c r="E63" i="64" s="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<sst xmlns="http://schemas.openxmlformats.org/spreadsheetml/2006/main" count="9548" uniqueCount="1090">
  <si>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</si>
  <si>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</si>
  <si>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</si>
  <si>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</si>
  <si>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</si>
  <si>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</si>
  <si>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</si>
  <si>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</si>
  <si>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</si>
  <si>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</si>
  <si>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</si>
  <si>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</si>
  <si>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</si>
  <si>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</si>
  <si>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</si>
  <si>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</si>
  <si>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</si>
  <si>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</si>
  <si>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</si>
  <si>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</si>
  <si>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</si>
  <si>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</si>
  <si>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</si>
  <si>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</si>
  <si>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</si>
  <si>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</si>
  <si>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</si>
  <si>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</si>
  <si>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</si>
  <si>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</si>
  <si>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</si>
  <si>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</si>
  <si>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</si>
  <si>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</si>
  <si>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</si>
  <si>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</si>
  <si>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</si>
  <si>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</si>
  <si>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</si>
  <si>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</si>
  <si>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</si>
  <si>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</si>
  <si>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</si>
  <si>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</si>
  <si>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</si>
  <si>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</si>
  <si>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</si>
  <si>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</si>
  <si>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</si>
  <si>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</si>
  <si>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</si>
  <si>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</si>
  <si>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</si>
  <si>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</si>
  <si>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</si>
  <si>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</si>
  <si>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</si>
  <si>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</si>
  <si>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</si>
  <si>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</si>
  <si>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</si>
  <si>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</si>
  <si>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</si>
  <si>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</si>
  <si>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</si>
  <si>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</si>
  <si>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</si>
  <si>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</si>
  <si>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</si>
  <si>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</si>
  <si>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</si>
  <si>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</si>
  <si>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</si>
  <si>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</si>
  <si>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</si>
  <si>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</si>
  <si>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</si>
  <si>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</si>
  <si>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</si>
  <si>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</si>
  <si>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</si>
  <si>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</si>
  <si>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</si>
  <si>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</si>
  <si>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</si>
  <si>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</si>
  <si>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</si>
  <si>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</si>
  <si>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</si>
  <si>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</si>
  <si>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</si>
  <si>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</si>
  <si>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</si>
  <si>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</si>
  <si>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</si>
  <si>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</si>
  <si>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</si>
  <si>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</si>
  <si>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</si>
  <si>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</si>
  <si>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</si>
  <si>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</si>
  <si>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</si>
  <si>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</si>
  <si>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</si>
  <si>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</si>
  <si>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</si>
  <si>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</si>
  <si>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</si>
  <si>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</si>
  <si>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</si>
  <si>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</si>
  <si>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</si>
  <si>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</si>
  <si>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</si>
  <si>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</si>
  <si>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</si>
  <si>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</si>
  <si>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</si>
  <si>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</si>
  <si>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</si>
  <si>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</si>
  <si>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</si>
  <si>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</si>
  <si>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</si>
  <si>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</si>
  <si>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</si>
  <si>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</si>
  <si>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</si>
  <si>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</si>
  <si>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</si>
  <si>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</si>
  <si>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</si>
  <si>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</si>
  <si>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</si>
  <si>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</si>
  <si>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</si>
  <si>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</si>
  <si>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</si>
  <si>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</si>
  <si>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</si>
  <si>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</si>
  <si>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</si>
  <si>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</si>
  <si>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</si>
  <si>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</si>
  <si>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</si>
  <si>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</si>
  <si>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</si>
  <si>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</si>
  <si>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</si>
  <si>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</si>
  <si>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</si>
  <si>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</si>
  <si>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</si>
  <si>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</si>
  <si>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</si>
  <si>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</si>
  <si>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</si>
  <si>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</si>
  <si>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</si>
  <si>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</si>
  <si>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</si>
  <si>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</si>
  <si>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</si>
  <si>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</si>
  <si>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</si>
  <si>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</si>
  <si>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</si>
  <si>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</si>
  <si>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</si>
  <si>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</si>
  <si>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</si>
  <si>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</si>
  <si>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</si>
  <si>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</si>
  <si>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</si>
  <si>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</si>
  <si>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</si>
  <si>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</si>
  <si>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</si>
  <si>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</si>
  <si>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</si>
  <si>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</si>
  <si>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</si>
  <si>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</si>
  <si>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</si>
  <si>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</si>
  <si>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</si>
  <si>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</si>
  <si>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</si>
  <si>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</si>
  <si>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</si>
  <si>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</si>
  <si>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</si>
  <si>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</si>
  <si>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</si>
  <si>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</si>
  <si>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</si>
  <si>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</si>
  <si>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</si>
  <si>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</si>
  <si>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</si>
  <si>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</si>
  <si>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</si>
  <si>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</si>
  <si>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</si>
  <si>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</si>
  <si>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</si>
  <si>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</si>
  <si>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</si>
  <si>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</si>
  <si>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</si>
  <si>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</si>
  <si>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</si>
  <si>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</si>
  <si>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</si>
  <si>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</si>
  <si>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</si>
  <si>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</si>
  <si>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</si>
  <si>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</si>
  <si>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</si>
  <si>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</si>
  <si>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</si>
  <si>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</si>
  <si>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</si>
  <si>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</si>
  <si>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</si>
  <si>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</si>
  <si>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</si>
  <si>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</si>
  <si>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</si>
  <si>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</si>
  <si>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</si>
  <si>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</si>
  <si>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</si>
  <si>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</si>
  <si>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</si>
  <si>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</si>
  <si>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</si>
  <si>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</si>
  <si>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</si>
  <si>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</si>
  <si>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</si>
  <si>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</si>
  <si>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</si>
  <si>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</si>
  <si>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</si>
  <si>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</si>
  <si>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</si>
  <si>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</si>
  <si>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</si>
  <si>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</si>
  <si>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</si>
  <si>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</si>
  <si>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</si>
  <si>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</si>
  <si>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</si>
  <si>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</si>
  <si>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</si>
  <si>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</si>
  <si>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</si>
  <si>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</si>
  <si>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</si>
  <si>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</si>
  <si>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</si>
  <si>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</si>
  <si>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</si>
  <si>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</si>
  <si>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</si>
  <si>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</si>
  <si>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</si>
  <si>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</si>
  <si>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</si>
  <si>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</si>
  <si>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</si>
  <si>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</si>
  <si>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</si>
  <si>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</si>
  <si>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</si>
  <si>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</si>
  <si>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</si>
  <si>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</si>
  <si>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</si>
  <si>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</si>
  <si>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</si>
  <si>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</si>
  <si>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</si>
  <si>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</si>
  <si>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</si>
  <si>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</si>
  <si>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</si>
  <si>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</si>
  <si>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</si>
  <si>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</si>
  <si>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</si>
  <si>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</si>
  <si>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</si>
  <si>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</si>
  <si>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</si>
  <si>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</si>
  <si>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</si>
  <si>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</si>
  <si>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</si>
  <si>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</si>
  <si>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</si>
  <si>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</si>
  <si>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</si>
  <si>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</si>
  <si>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</si>
  <si>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</si>
  <si>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</si>
  <si>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</si>
  <si>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</si>
  <si>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</si>
  <si>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</si>
  <si>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</si>
  <si>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</si>
  <si>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</si>
  <si>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</si>
  <si>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</si>
  <si>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</si>
  <si>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</si>
  <si>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</si>
  <si>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</si>
  <si>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</si>
  <si>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</si>
  <si>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</si>
  <si>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</si>
  <si>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</si>
  <si>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</si>
  <si>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</si>
  <si>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</si>
  <si>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</si>
  <si>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</si>
  <si>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</si>
  <si>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</si>
  <si>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</si>
  <si>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</si>
  <si>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</si>
  <si>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</si>
  <si>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</si>
  <si>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</si>
  <si>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</si>
  <si>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</si>
  <si>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</si>
  <si>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</si>
  <si>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</si>
  <si>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</si>
  <si>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</si>
  <si>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</si>
  <si>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</si>
  <si>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</si>
  <si>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</si>
  <si>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</si>
  <si>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</si>
  <si>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</si>
  <si>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</si>
  <si>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</si>
  <si>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</si>
  <si>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</si>
  <si>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</si>
  <si>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</si>
  <si>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</si>
  <si>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</si>
  <si>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</si>
  <si>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</si>
  <si>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</si>
  <si>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</si>
  <si>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</si>
  <si>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</si>
  <si>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</si>
  <si>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</si>
  <si>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</si>
  <si>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</si>
  <si>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</si>
  <si>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</si>
  <si>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</si>
  <si>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</si>
  <si>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</si>
  <si>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</si>
  <si>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</si>
  <si>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</si>
  <si>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</si>
  <si>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</si>
  <si>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</si>
  <si>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</si>
  <si>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</si>
  <si>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</si>
  <si>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</si>
  <si>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</si>
  <si>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</si>
  <si>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</si>
  <si>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</si>
  <si>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</si>
  <si>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</si>
  <si>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</si>
  <si>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</si>
  <si>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</si>
  <si>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</si>
  <si>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</si>
  <si>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003626</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</si>
  <si>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</si>
  <si>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</si>
  <si>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</si>
  <si>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</si>
  <si>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</si>
  <si>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</si>
  <si>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</si>
  <si>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</si>
  <si>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</si>
  <si>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</si>
  <si>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</si>
  <si>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</si>
  <si>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</si>
  <si>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</si>
  <si>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</si>
  <si>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</si>
  <si>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</si>
  <si>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</si>
  <si>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</si>
  <si>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</si>
  <si>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</si>
  <si>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</si>
  <si>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</si>
  <si>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</si>
  <si>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</si>
  <si>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</si>
  <si>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</si>
  <si>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</si>
  <si>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</si>
  <si>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</si>
  <si>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</si>
  <si>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</si>
  <si>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</si>
  <si>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</si>
  <si>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</si>
  <si>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</si>
  <si>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</si>
  <si>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</si>
  <si>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</si>
  <si>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</si>
  <si>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</si>
  <si>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</si>
  <si>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Lone Star College System District</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</si>
  <si>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</si>
  <si>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</si>
  <si>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</si>
  <si>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</si>
  <si>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</si>
  <si>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</si>
  <si>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</si>
  <si>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</si>
  <si>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</si>
  <si>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</si>
  <si>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</si>
  <si>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</si>
  <si>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031034</t>
  </si>
  <si>
    <t>South Texas College</t>
  </si>
  <si>
    <t>033965</t>
  </si>
  <si>
    <t>Texas State Technical Collage-Marshall</t>
  </si>
  <si>
    <t>036273</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</si>
  <si>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</si>
  <si>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</si>
  <si>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</si>
  <si>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</si>
  <si>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</si>
  <si>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</si>
  <si>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</si>
  <si>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</si>
  <si>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</si>
  <si>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</si>
  <si>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</si>
  <si>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</si>
  <si>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</si>
  <si>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</si>
  <si>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</si>
  <si>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</si>
  <si>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</si>
  <si>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</si>
  <si>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</si>
  <si>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</si>
  <si>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</si>
  <si>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</si>
  <si>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</si>
  <si>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</si>
  <si>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</si>
  <si>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</si>
  <si>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</si>
  <si>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</si>
  <si>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</si>
  <si>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</si>
  <si>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</si>
  <si>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</si>
  <si>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</si>
  <si>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</si>
  <si>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</si>
  <si>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</si>
  <si>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</si>
  <si>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</si>
  <si>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</si>
  <si>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</si>
  <si>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</si>
  <si>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</si>
  <si>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</si>
  <si>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</si>
  <si>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</si>
  <si>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</si>
  <si>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</si>
  <si>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</si>
  <si>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</si>
  <si>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</si>
  <si>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</si>
  <si>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</si>
  <si>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</si>
  <si>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</si>
  <si>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</si>
  <si>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</si>
  <si>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</si>
  <si>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</si>
  <si>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</si>
  <si>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</si>
  <si>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</si>
  <si>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</si>
  <si>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</si>
  <si>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</si>
  <si>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</si>
  <si>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</si>
  <si>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</si>
  <si>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</si>
  <si>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</si>
  <si>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</si>
  <si>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</si>
  <si>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</si>
  <si>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</si>
  <si>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</si>
  <si>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</si>
  <si>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</si>
  <si>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</si>
  <si>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</si>
  <si>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</si>
  <si>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</si>
  <si>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</si>
  <si>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</si>
  <si>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</si>
  <si>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</si>
  <si>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</si>
  <si>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</si>
  <si>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</si>
  <si>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</si>
  <si>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</si>
  <si>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</si>
  <si>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</si>
  <si>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</si>
  <si>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</si>
  <si>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</si>
  <si>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</si>
  <si>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</si>
  <si>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</si>
  <si>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</si>
  <si>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</si>
  <si>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</si>
  <si>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</si>
  <si>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</si>
  <si>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</si>
  <si>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</si>
  <si>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</si>
  <si>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</si>
  <si>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</si>
  <si>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</si>
  <si>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</si>
  <si>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</si>
  <si>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</si>
  <si>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</si>
  <si>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</si>
  <si>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</si>
  <si>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</si>
  <si>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</si>
  <si>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</si>
  <si>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</si>
  <si>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</si>
  <si>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</si>
  <si>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</si>
  <si>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</si>
  <si>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</si>
  <si>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</si>
  <si>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</si>
  <si>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</si>
  <si>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</si>
  <si>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</si>
  <si>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</si>
  <si>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</si>
  <si>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</si>
  <si>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</si>
  <si>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</si>
  <si>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</si>
  <si>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</si>
  <si>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</si>
  <si>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</si>
  <si>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</si>
  <si>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</si>
  <si>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</si>
  <si>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</si>
  <si>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</si>
  <si>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</si>
  <si>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</si>
  <si>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</si>
  <si>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</si>
  <si>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</si>
  <si>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</si>
  <si>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</si>
  <si>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</si>
  <si>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</si>
  <si>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</si>
  <si>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</si>
  <si>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</si>
  <si>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</si>
  <si>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</si>
  <si>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</si>
  <si>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</si>
  <si>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</si>
  <si>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</si>
  <si>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</si>
  <si>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</si>
  <si>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</si>
  <si>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</si>
  <si>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</si>
  <si>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</si>
  <si>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</si>
  <si>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</si>
  <si>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</si>
  <si>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</si>
  <si>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</si>
  <si>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</si>
  <si>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</si>
  <si>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</si>
  <si>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</si>
  <si>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</si>
  <si>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</si>
  <si>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</si>
  <si>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</si>
  <si>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</si>
  <si>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</si>
  <si>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</si>
  <si>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</si>
  <si>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</si>
  <si>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</si>
  <si>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</si>
  <si>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</si>
  <si>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</si>
  <si>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</si>
  <si>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</si>
  <si>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</si>
  <si>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</si>
  <si>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</si>
  <si>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</si>
  <si>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</si>
  <si>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</si>
  <si>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</si>
  <si>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</si>
  <si>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</si>
  <si>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</si>
  <si>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</si>
  <si>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</si>
  <si>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</si>
  <si>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</si>
  <si>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</si>
  <si>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</si>
  <si>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</si>
  <si>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</si>
  <si>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</si>
  <si>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</si>
  <si>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</si>
  <si>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</si>
  <si>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</si>
  <si>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</si>
  <si>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</si>
  <si>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</si>
  <si>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</si>
  <si>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</si>
  <si>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</si>
  <si>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</si>
  <si>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</si>
  <si>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</si>
  <si>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</si>
  <si>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</si>
  <si>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</si>
  <si>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</si>
  <si>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</si>
  <si>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</si>
  <si>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</si>
  <si>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</si>
  <si>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</si>
  <si>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</si>
  <si>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</si>
  <si>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</si>
  <si>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</si>
  <si>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</si>
  <si>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</si>
  <si>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</si>
  <si>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</si>
  <si>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</si>
  <si>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</si>
  <si>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</si>
  <si>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</si>
  <si>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</si>
  <si>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</si>
  <si>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</si>
  <si>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</si>
  <si>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</si>
  <si>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</si>
  <si>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</si>
  <si>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</si>
  <si>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</si>
  <si>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</si>
  <si>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</si>
  <si>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</si>
  <si>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</si>
  <si>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</si>
  <si>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</si>
  <si>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</si>
  <si>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</si>
  <si>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</si>
  <si>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</si>
  <si>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</si>
  <si>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</si>
  <si>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</si>
  <si>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</si>
  <si>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</si>
  <si>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</si>
  <si>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</si>
  <si>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</si>
  <si>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</si>
  <si>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</si>
  <si>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</si>
  <si>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</si>
  <si>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</si>
  <si>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</si>
  <si>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</si>
  <si>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</si>
  <si>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</si>
  <si>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</si>
  <si>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</si>
  <si>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</si>
  <si>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</si>
  <si>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</si>
  <si>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</si>
  <si>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</si>
  <si>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</si>
  <si>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</si>
  <si>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</si>
  <si>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</si>
  <si>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</si>
  <si>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</si>
  <si>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</si>
  <si>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</si>
  <si>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</si>
  <si>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</si>
  <si>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</si>
  <si>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</si>
  <si>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</si>
  <si>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</si>
  <si>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</si>
  <si>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</si>
  <si>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</si>
  <si>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</si>
  <si>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</si>
  <si>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</si>
  <si>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</si>
  <si>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</si>
  <si>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</si>
  <si>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</si>
  <si>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</si>
  <si>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</si>
  <si>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</si>
  <si>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</si>
  <si>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</si>
  <si>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</si>
  <si>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</si>
  <si>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</si>
  <si>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</si>
  <si>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</si>
  <si>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</si>
  <si>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</si>
  <si>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</si>
  <si>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</si>
  <si>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</si>
  <si>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</si>
  <si>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</si>
  <si>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</si>
  <si>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</si>
  <si>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</si>
  <si>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</si>
  <si>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</si>
  <si>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</si>
  <si>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</si>
  <si>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</si>
  <si>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</si>
  <si>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</si>
  <si>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</si>
  <si>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</si>
  <si>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</si>
  <si>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</si>
  <si>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</si>
  <si>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</si>
  <si>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</si>
  <si>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</si>
  <si>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</si>
  <si>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</si>
  <si>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</si>
  <si>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</si>
  <si>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</si>
  <si>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</si>
  <si>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</si>
  <si>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</si>
  <si>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</si>
  <si>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</si>
  <si>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</si>
  <si>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</si>
  <si>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</si>
  <si>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</si>
  <si>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</si>
  <si>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</si>
  <si>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</si>
  <si>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</si>
  <si>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</si>
  <si>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</si>
  <si>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</si>
  <si>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</si>
  <si>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</si>
  <si>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</si>
  <si>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</si>
  <si>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</si>
  <si>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</si>
  <si>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</si>
  <si>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</si>
  <si>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</si>
  <si>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</si>
  <si>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</si>
  <si>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</si>
  <si>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</si>
  <si>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</si>
  <si>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</si>
  <si>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</si>
  <si>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</si>
  <si>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</si>
  <si>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</si>
  <si>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</si>
  <si>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</si>
  <si>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</si>
  <si>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</si>
  <si>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</si>
  <si>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</si>
  <si>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</si>
  <si>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</si>
  <si>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</si>
  <si>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</si>
  <si>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</si>
  <si>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</si>
  <si>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</si>
  <si>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</si>
  <si>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</si>
  <si>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</si>
  <si>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</si>
  <si>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</si>
  <si>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</si>
  <si>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</si>
  <si>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</si>
  <si>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</si>
  <si>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</si>
  <si>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</si>
  <si>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</si>
  <si>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</si>
  <si>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</si>
  <si>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</si>
  <si>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</si>
  <si>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</si>
  <si>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</si>
  <si>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</si>
  <si>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</si>
  <si>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</si>
  <si>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</si>
  <si>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</si>
  <si>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</si>
  <si>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</si>
  <si>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</si>
  <si>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</si>
  <si>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</si>
  <si>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</si>
  <si>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</si>
  <si>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</si>
  <si>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</si>
  <si>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</si>
  <si>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</si>
  <si>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</si>
  <si>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</si>
  <si>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</si>
  <si>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</si>
  <si>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</si>
  <si>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</si>
  <si>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</si>
  <si>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</si>
  <si>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</si>
  <si>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</si>
  <si>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Academic Support - Total</t>
  </si>
  <si>
    <t>Other Allocated Administrative Expenses - Research - Total</t>
  </si>
  <si>
    <t>Other Allocated Administrative Expenses - Scholarships and Fellowships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</si>
  <si>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</si>
  <si>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</si>
  <si>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</si>
  <si>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</si>
  <si>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</si>
  <si>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</si>
  <si>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</si>
  <si>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</si>
  <si>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</si>
  <si>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</si>
  <si>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</si>
  <si>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</si>
  <si>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</si>
  <si>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</si>
  <si>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</si>
  <si>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</si>
  <si>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</si>
  <si>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</si>
  <si>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</si>
  <si>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</si>
  <si>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</si>
  <si>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</si>
  <si>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</si>
  <si>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</si>
  <si>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</si>
  <si>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</si>
  <si>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</si>
  <si>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</si>
  <si>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</si>
  <si>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</si>
  <si>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</si>
  <si>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</si>
  <si>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</si>
  <si>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</si>
  <si>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</si>
  <si>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</si>
  <si>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Rate History</t>
  </si>
  <si>
    <t>Expense per Contact Hour by
 Discipline</t>
  </si>
  <si>
    <t>College Of The Mainland</t>
  </si>
  <si>
    <t>TSTC-Harlingen</t>
  </si>
  <si>
    <t>TSTC-West Texas</t>
  </si>
  <si>
    <t>TSTC-Marshall</t>
  </si>
  <si>
    <t>TSTC-Waco</t>
  </si>
  <si>
    <t>Lamar-IOT</t>
  </si>
  <si>
    <t>Lamar-Orange</t>
  </si>
  <si>
    <t>Lamar-Port Arthur</t>
  </si>
  <si>
    <t>Institution</t>
  </si>
  <si>
    <t>Discipline</t>
  </si>
  <si>
    <t>All Disciplines</t>
  </si>
  <si>
    <t>Average</t>
  </si>
  <si>
    <t>Median</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</si>
  <si>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</si>
  <si>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</si>
  <si>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</si>
  <si>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</si>
  <si>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</si>
  <si>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</si>
  <si>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</si>
  <si>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</si>
  <si>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</si>
  <si>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</si>
  <si>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</si>
  <si>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</si>
  <si>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</si>
  <si>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</si>
  <si>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</si>
  <si>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</si>
  <si>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</si>
  <si>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</si>
  <si>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</si>
  <si>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</si>
  <si>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</si>
  <si>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</si>
  <si>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</si>
  <si>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</si>
  <si>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</si>
  <si>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</si>
  <si>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</si>
  <si>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</si>
  <si>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</si>
  <si>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</si>
  <si>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</si>
  <si>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</si>
  <si>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</si>
  <si>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</si>
  <si>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</si>
  <si>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</si>
  <si>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</si>
  <si>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</si>
  <si>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</si>
  <si>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</si>
  <si>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</si>
  <si>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</si>
  <si>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</si>
  <si>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</si>
  <si>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</si>
  <si>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</si>
  <si>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</si>
  <si>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</si>
  <si>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</si>
  <si>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</si>
  <si>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</si>
  <si>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</si>
  <si>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</si>
  <si>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</si>
  <si>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</si>
  <si>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</si>
  <si>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</si>
  <si>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</si>
  <si>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</si>
  <si>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</si>
  <si>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</si>
  <si>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</si>
  <si>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</si>
  <si>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</si>
  <si>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</si>
  <si>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</si>
  <si>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Total FTSE</t>
  </si>
  <si>
    <t>Total Expenditure</t>
  </si>
  <si>
    <t>Average Expenditure per FTSE</t>
  </si>
  <si>
    <t>Total for Instutions Reporting Expense</t>
  </si>
  <si>
    <t>Standard Deviation</t>
  </si>
  <si>
    <t>Summary of Expense divided  Contact Hours</t>
  </si>
  <si>
    <t>Average Total Expenditure per Full-Time Student Equivalent (FTSE)</t>
  </si>
  <si>
    <t>Discipline Analysis by Institution</t>
  </si>
  <si>
    <t>Percent of Rates to Maintain Funding Total</t>
  </si>
  <si>
    <t>Percent of Rates Funded</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</si>
  <si>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</si>
  <si>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</si>
  <si>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</si>
  <si>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</si>
  <si>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</si>
  <si>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</si>
  <si>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</si>
  <si>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</si>
  <si>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</si>
  <si>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</si>
  <si>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</si>
  <si>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</si>
  <si>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</si>
  <si>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</si>
  <si>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</si>
  <si>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</si>
  <si>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</si>
  <si>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</si>
  <si>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</si>
  <si>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</si>
  <si>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</si>
  <si>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</si>
  <si>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</si>
  <si>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</si>
  <si>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</si>
  <si>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</si>
  <si>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</si>
  <si>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</si>
  <si>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</si>
  <si>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</si>
  <si>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</si>
  <si>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</si>
  <si>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</si>
  <si>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</si>
  <si>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</si>
  <si>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</si>
  <si>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</si>
  <si>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</si>
  <si>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</si>
  <si>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</si>
  <si>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</si>
  <si>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</si>
  <si>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</si>
  <si>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</si>
  <si>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</si>
  <si>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</si>
  <si>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</si>
  <si>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</si>
  <si>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</si>
  <si>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</si>
  <si>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</si>
  <si>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Community and Technical Colleges, Report of Fundable Operating Expenses, Fiscal Year (FY) 2009</t>
  </si>
  <si>
    <t>Contact Hours for fall 2008 and spring and summer 2009</t>
  </si>
  <si>
    <t>1</t>
  </si>
  <si>
    <t>Year over Year Change</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</si>
</sst>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00"/>
    <numFmt numFmtId="168" formatCode="&quot;$&quot;#,##0"/>
    <numFmt numFmtId="169" formatCode="&quot;$&quot;#,##0\ ;\(&quot;$&quot;#,##0\)"/>
  </numFmts>
  <fonts count="21"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b/>
      <sz val="10"/>
      <name val="Arial"/>
      <family val="2"/>
    </font>
    <font>
      <sz val="10"/>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style="medium">
        <color indexed="64"/>
      </right>
      <top style="thin">
        <color indexed="64"/>
      </top>
      <bottom style="medium">
        <color indexed="64"/>
      </bottom>
      <diagonal/>
    </border>
  </borders>
  <cellStyleXfs count="29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9"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7"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43" fontId="20"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0" fontId="20" fillId="0" borderId="0"/>
    <xf numFmtId="0" fontId="4" fillId="0" borderId="0"/>
    <xf numFmtId="0" fontId="10" fillId="0" borderId="0"/>
    <xf numFmtId="0" fontId="4" fillId="0" borderId="0"/>
  </cellStyleXfs>
  <cellXfs count="227">
    <xf numFmtId="0" fontId="0" fillId="0" borderId="0" xfId="0"/>
    <xf numFmtId="0" fontId="2" fillId="0" borderId="0" xfId="0" applyFont="1"/>
    <xf numFmtId="22" fontId="0" fillId="0" borderId="0" xfId="0" applyNumberForma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4"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4"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4" applyFont="1" applyAlignment="1"/>
    <xf numFmtId="0" fontId="6" fillId="0" borderId="0" xfId="4"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0" fontId="2" fillId="0" borderId="0" xfId="0"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0" fillId="0" borderId="0" xfId="0" quotePrefix="1"/>
    <xf numFmtId="0" fontId="2" fillId="0" borderId="0" xfId="0" applyFont="1"/>
    <xf numFmtId="164" fontId="2" fillId="0" borderId="0" xfId="1" applyNumberFormat="1" applyFont="1"/>
    <xf numFmtId="44" fontId="2" fillId="0" borderId="0" xfId="2"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164" fontId="2" fillId="0" borderId="0" xfId="1" applyNumberFormat="1" applyFont="1" applyBorder="1" applyAlignment="1">
      <alignment wrapText="1"/>
    </xf>
    <xf numFmtId="43" fontId="2" fillId="0" borderId="27" xfId="0" applyNumberFormat="1" applyFont="1" applyBorder="1"/>
    <xf numFmtId="0" fontId="12" fillId="0" borderId="26" xfId="27"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4"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7"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4" applyFont="1" applyFill="1" applyBorder="1" applyAlignment="1"/>
    <xf numFmtId="0" fontId="7" fillId="0" borderId="0" xfId="0" applyFont="1" applyFill="1" applyBorder="1" applyAlignment="1"/>
    <xf numFmtId="0" fontId="12" fillId="0" borderId="2" xfId="27" applyFont="1" applyFill="1" applyBorder="1" applyAlignment="1" applyProtection="1">
      <alignment horizontal="left" wrapText="1"/>
    </xf>
    <xf numFmtId="3" fontId="5" fillId="0" borderId="7" xfId="60" applyNumberFormat="1" applyFont="1" applyFill="1" applyBorder="1" applyAlignment="1" applyProtection="1">
      <alignment horizontal="left"/>
    </xf>
    <xf numFmtId="0" fontId="12" fillId="0" borderId="5" xfId="27" applyFont="1" applyFill="1" applyBorder="1" applyAlignment="1" applyProtection="1">
      <alignment horizontal="left" wrapText="1"/>
    </xf>
    <xf numFmtId="37" fontId="5" fillId="0" borderId="5" xfId="7" applyFont="1" applyFill="1" applyBorder="1"/>
    <xf numFmtId="37" fontId="5" fillId="0" borderId="5" xfId="7" applyFont="1" applyBorder="1"/>
    <xf numFmtId="43" fontId="2" fillId="0" borderId="6" xfId="0" applyNumberFormat="1" applyFont="1" applyBorder="1"/>
    <xf numFmtId="44" fontId="2" fillId="0" borderId="6" xfId="0" applyNumberFormat="1" applyFont="1" applyBorder="1"/>
    <xf numFmtId="3" fontId="5" fillId="0" borderId="5" xfId="60" applyNumberFormat="1" applyFont="1" applyFill="1" applyBorder="1" applyAlignment="1" applyProtection="1">
      <alignment horizontal="left"/>
    </xf>
    <xf numFmtId="165" fontId="5" fillId="0" borderId="8" xfId="2" applyNumberFormat="1" applyFont="1" applyFill="1" applyBorder="1" applyAlignment="1">
      <alignment horizontal="right" indent="1"/>
    </xf>
    <xf numFmtId="164" fontId="5" fillId="0" borderId="17" xfId="140" applyNumberFormat="1" applyFont="1" applyFill="1" applyBorder="1" applyAlignment="1">
      <alignment horizontal="right" indent="1"/>
    </xf>
    <xf numFmtId="10" fontId="5" fillId="0" borderId="9" xfId="3" applyNumberFormat="1" applyFont="1" applyFill="1" applyBorder="1" applyAlignment="1">
      <alignment horizontal="right" indent="1"/>
    </xf>
    <xf numFmtId="10" fontId="5" fillId="0" borderId="6" xfId="3" applyNumberFormat="1" applyFont="1" applyFill="1" applyBorder="1" applyAlignment="1">
      <alignment horizontal="right" indent="1"/>
    </xf>
    <xf numFmtId="165" fontId="5" fillId="0" borderId="19" xfId="2" applyNumberFormat="1" applyFont="1" applyFill="1" applyBorder="1" applyAlignment="1">
      <alignment horizontal="right" indent="1"/>
    </xf>
    <xf numFmtId="3" fontId="5" fillId="3" borderId="18" xfId="60" quotePrefix="1" applyNumberFormat="1" applyFont="1" applyFill="1" applyBorder="1" applyAlignment="1" applyProtection="1">
      <alignment horizontal="right"/>
    </xf>
    <xf numFmtId="3" fontId="5" fillId="3" borderId="18" xfId="60" applyNumberFormat="1" applyFont="1" applyFill="1" applyBorder="1" applyAlignment="1" applyProtection="1">
      <alignment horizontal="right"/>
    </xf>
    <xf numFmtId="3" fontId="5" fillId="3" borderId="13" xfId="60" applyNumberFormat="1" applyFont="1" applyFill="1" applyBorder="1" applyAlignment="1" applyProtection="1">
      <alignment horizontal="right"/>
    </xf>
    <xf numFmtId="10" fontId="6" fillId="3" borderId="30" xfId="3" applyNumberFormat="1" applyFont="1" applyFill="1" applyBorder="1" applyAlignment="1" applyProtection="1">
      <alignment horizontal="center" wrapText="1"/>
    </xf>
    <xf numFmtId="3" fontId="7" fillId="2" borderId="30" xfId="38" applyNumberFormat="1" applyFont="1" applyFill="1" applyBorder="1" applyAlignment="1" applyProtection="1">
      <alignment horizontal="center" wrapText="1"/>
    </xf>
    <xf numFmtId="165" fontId="5" fillId="0" borderId="1" xfId="140" applyNumberFormat="1" applyFont="1" applyFill="1" applyBorder="1" applyAlignment="1">
      <alignment horizontal="right" indent="1"/>
    </xf>
    <xf numFmtId="165" fontId="5" fillId="0" borderId="17" xfId="140" applyNumberFormat="1" applyFont="1" applyFill="1" applyBorder="1" applyAlignment="1">
      <alignment horizontal="right" indent="1"/>
    </xf>
    <xf numFmtId="10" fontId="6" fillId="3" borderId="31" xfId="108" quotePrefix="1" applyNumberFormat="1" applyFont="1" applyFill="1" applyBorder="1" applyAlignment="1" applyProtection="1">
      <alignment horizontal="center" wrapText="1"/>
    </xf>
    <xf numFmtId="167" fontId="7" fillId="2" borderId="31" xfId="38" applyNumberFormat="1" applyFont="1" applyFill="1" applyBorder="1" applyAlignment="1" applyProtection="1">
      <alignment horizontal="center" wrapText="1"/>
    </xf>
    <xf numFmtId="3" fontId="7" fillId="2" borderId="31" xfId="38" quotePrefix="1" applyNumberFormat="1" applyFont="1" applyFill="1" applyBorder="1" applyAlignment="1" applyProtection="1">
      <alignment horizontal="center" wrapText="1"/>
    </xf>
    <xf numFmtId="3" fontId="7" fillId="2" borderId="32" xfId="38" applyNumberFormat="1" applyFont="1" applyFill="1" applyBorder="1" applyAlignment="1" applyProtection="1">
      <alignment horizontal="center"/>
    </xf>
    <xf numFmtId="41" fontId="5" fillId="0" borderId="1" xfId="140" applyNumberFormat="1" applyFont="1" applyFill="1" applyBorder="1" applyAlignment="1">
      <alignment horizontal="right" indent="1"/>
    </xf>
    <xf numFmtId="0" fontId="5" fillId="0" borderId="0" xfId="38" applyFont="1" applyFill="1" applyBorder="1" applyAlignment="1">
      <alignment vertical="top" wrapText="1"/>
    </xf>
    <xf numFmtId="0" fontId="10" fillId="0" borderId="0" xfId="60"/>
    <xf numFmtId="0" fontId="6" fillId="0" borderId="0" xfId="60" applyFont="1"/>
    <xf numFmtId="0" fontId="5" fillId="0" borderId="0" xfId="38" applyFont="1" applyFill="1" applyBorder="1" applyAlignment="1">
      <alignment horizontal="right"/>
    </xf>
    <xf numFmtId="3" fontId="6" fillId="0" borderId="0" xfId="38" applyNumberFormat="1" applyFont="1" applyFill="1" applyBorder="1" applyAlignment="1" applyProtection="1">
      <alignment horizontal="left"/>
    </xf>
    <xf numFmtId="10" fontId="6" fillId="3" borderId="31" xfId="3" applyNumberFormat="1" applyFont="1" applyFill="1" applyBorder="1" applyAlignment="1" applyProtection="1">
      <alignment horizontal="center" wrapText="1"/>
    </xf>
    <xf numFmtId="0" fontId="10" fillId="0" borderId="0" xfId="60"/>
    <xf numFmtId="0" fontId="5" fillId="0" borderId="0" xfId="38" applyFont="1" applyFill="1" applyBorder="1" applyAlignment="1">
      <alignment horizontal="right"/>
    </xf>
    <xf numFmtId="168" fontId="0" fillId="0" borderId="0" xfId="0" applyNumberFormat="1"/>
    <xf numFmtId="0" fontId="7" fillId="2" borderId="34" xfId="60" applyFont="1" applyFill="1" applyBorder="1" applyAlignment="1">
      <alignment horizontal="center" wrapText="1"/>
    </xf>
    <xf numFmtId="37" fontId="5" fillId="0" borderId="33" xfId="7" applyFont="1" applyBorder="1"/>
    <xf numFmtId="0" fontId="7" fillId="2" borderId="30" xfId="60" applyFont="1" applyFill="1" applyBorder="1" applyAlignment="1">
      <alignment horizontal="center" wrapText="1"/>
    </xf>
    <xf numFmtId="0" fontId="7" fillId="2" borderId="31" xfId="60" applyFont="1" applyFill="1" applyBorder="1" applyAlignment="1">
      <alignment horizontal="center" wrapText="1"/>
    </xf>
    <xf numFmtId="0" fontId="10" fillId="0" borderId="0" xfId="60"/>
    <xf numFmtId="0" fontId="5" fillId="0" borderId="0" xfId="60" applyFont="1"/>
    <xf numFmtId="0" fontId="6" fillId="0" borderId="0" xfId="60" applyFont="1" applyFill="1" applyAlignment="1">
      <alignment horizontal="left"/>
    </xf>
    <xf numFmtId="0" fontId="6" fillId="0" borderId="0" xfId="60" quotePrefix="1" applyFont="1" applyFill="1" applyAlignment="1">
      <alignment horizontal="left"/>
    </xf>
    <xf numFmtId="164" fontId="5" fillId="0" borderId="3" xfId="33" applyNumberFormat="1" applyFont="1" applyFill="1" applyBorder="1" applyAlignment="1">
      <alignment horizontal="right"/>
    </xf>
    <xf numFmtId="168" fontId="5" fillId="0" borderId="3" xfId="60" applyNumberFormat="1" applyFont="1" applyFill="1" applyBorder="1"/>
    <xf numFmtId="168" fontId="5" fillId="0" borderId="4" xfId="60" applyNumberFormat="1" applyFont="1" applyFill="1" applyBorder="1"/>
    <xf numFmtId="3" fontId="5" fillId="0" borderId="1" xfId="60" applyNumberFormat="1" applyFont="1" applyFill="1" applyBorder="1" applyAlignment="1">
      <alignment horizontal="right"/>
    </xf>
    <xf numFmtId="3" fontId="5" fillId="0" borderId="6" xfId="60" applyNumberFormat="1" applyFont="1" applyFill="1" applyBorder="1" applyAlignment="1">
      <alignment horizontal="right"/>
    </xf>
    <xf numFmtId="3" fontId="5" fillId="0" borderId="1" xfId="60" applyNumberFormat="1" applyFont="1" applyFill="1" applyBorder="1"/>
    <xf numFmtId="3" fontId="5" fillId="0" borderId="6" xfId="60" applyNumberFormat="1" applyFont="1" applyFill="1" applyBorder="1"/>
    <xf numFmtId="3" fontId="6" fillId="0" borderId="8" xfId="60" applyNumberFormat="1" applyFont="1" applyFill="1" applyBorder="1" applyAlignment="1">
      <alignment horizontal="right"/>
    </xf>
    <xf numFmtId="168" fontId="6" fillId="0" borderId="8" xfId="60" applyNumberFormat="1" applyFont="1" applyFill="1" applyBorder="1"/>
    <xf numFmtId="168" fontId="6" fillId="0" borderId="9" xfId="60" applyNumberFormat="1" applyFont="1" applyFill="1" applyBorder="1"/>
    <xf numFmtId="166" fontId="2" fillId="0" borderId="0" xfId="3" applyNumberFormat="1" applyFont="1"/>
    <xf numFmtId="44" fontId="2" fillId="0" borderId="0" xfId="0" applyNumberFormat="1" applyFont="1"/>
    <xf numFmtId="3" fontId="6" fillId="3" borderId="32" xfId="38" applyNumberFormat="1" applyFont="1" applyFill="1" applyBorder="1" applyAlignment="1" applyProtection="1">
      <alignment horizontal="right"/>
    </xf>
    <xf numFmtId="44" fontId="2" fillId="0" borderId="3" xfId="2" applyFont="1" applyBorder="1"/>
    <xf numFmtId="44" fontId="2" fillId="0" borderId="4" xfId="2" applyFont="1" applyBorder="1"/>
    <xf numFmtId="0" fontId="12" fillId="0" borderId="5" xfId="27" applyFont="1" applyFill="1" applyBorder="1" applyAlignment="1" applyProtection="1">
      <alignment horizontal="left"/>
    </xf>
    <xf numFmtId="0" fontId="7" fillId="2" borderId="33" xfId="0" applyFont="1" applyFill="1" applyBorder="1" applyAlignment="1">
      <alignment horizontal="center" wrapText="1"/>
    </xf>
    <xf numFmtId="0" fontId="7" fillId="2" borderId="38"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164" fontId="0" fillId="0" borderId="0" xfId="1" applyNumberFormat="1" applyFont="1"/>
    <xf numFmtId="164" fontId="0" fillId="0" borderId="0" xfId="0" applyNumberFormat="1"/>
    <xf numFmtId="165" fontId="0" fillId="0" borderId="0" xfId="0" applyNumberFormat="1"/>
    <xf numFmtId="10" fontId="0" fillId="0" borderId="0" xfId="3" applyNumberFormat="1" applyFont="1"/>
    <xf numFmtId="44" fontId="0" fillId="0" borderId="0" xfId="0" applyNumberFormat="1"/>
    <xf numFmtId="43" fontId="0" fillId="0" borderId="0" xfId="0" applyNumberFormat="1"/>
    <xf numFmtId="43" fontId="6" fillId="3" borderId="31" xfId="1" quotePrefix="1" applyFont="1" applyFill="1" applyBorder="1" applyAlignment="1" applyProtection="1">
      <alignment horizontal="center" wrapText="1"/>
    </xf>
    <xf numFmtId="0" fontId="10" fillId="0" borderId="0" xfId="4" applyFont="1" applyFill="1" applyBorder="1" applyAlignment="1">
      <alignment wrapText="1"/>
    </xf>
    <xf numFmtId="164" fontId="10" fillId="0" borderId="0" xfId="5" applyNumberFormat="1" applyFont="1" applyFill="1" applyBorder="1" applyAlignment="1">
      <alignment horizontal="center" wrapText="1"/>
    </xf>
    <xf numFmtId="164" fontId="19" fillId="0" borderId="0" xfId="5" applyNumberFormat="1" applyFont="1" applyFill="1" applyBorder="1" applyAlignment="1">
      <alignment wrapText="1"/>
    </xf>
    <xf numFmtId="0" fontId="10" fillId="0" borderId="0" xfId="4" applyFont="1" applyFill="1" applyBorder="1"/>
    <xf numFmtId="164" fontId="10" fillId="0" borderId="0" xfId="5" applyNumberFormat="1" applyFont="1" applyFill="1" applyBorder="1"/>
    <xf numFmtId="0" fontId="10" fillId="0" borderId="0" xfId="0" applyFont="1"/>
    <xf numFmtId="37" fontId="5" fillId="0" borderId="0" xfId="7" applyFont="1" applyBorder="1"/>
    <xf numFmtId="37" fontId="5" fillId="0" borderId="0" xfId="7" applyFont="1" applyFill="1" applyBorder="1"/>
    <xf numFmtId="0" fontId="12" fillId="0" borderId="0" xfId="27" applyFont="1" applyFill="1" applyBorder="1" applyAlignment="1" applyProtection="1">
      <alignment horizontal="left" wrapText="1"/>
    </xf>
    <xf numFmtId="43" fontId="2" fillId="0" borderId="0" xfId="1" applyFont="1"/>
    <xf numFmtId="0" fontId="0" fillId="0" borderId="0" xfId="0" applyNumberFormat="1"/>
    <xf numFmtId="0" fontId="5" fillId="0" borderId="17" xfId="4" applyFont="1" applyBorder="1" applyAlignment="1">
      <alignment horizontal="left" wrapText="1"/>
    </xf>
    <xf numFmtId="0" fontId="7" fillId="2" borderId="16" xfId="0" applyFont="1" applyFill="1" applyBorder="1" applyAlignment="1">
      <alignment horizontal="center" wrapText="1"/>
    </xf>
    <xf numFmtId="0" fontId="5" fillId="0" borderId="19" xfId="4" applyFont="1" applyBorder="1" applyAlignment="1">
      <alignment horizontal="left" wrapText="1"/>
    </xf>
    <xf numFmtId="0" fontId="7" fillId="2" borderId="2" xfId="0" applyFont="1" applyFill="1" applyBorder="1" applyAlignment="1">
      <alignment horizontal="center"/>
    </xf>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5" fillId="0" borderId="17" xfId="4" applyFont="1" applyBorder="1" applyAlignment="1">
      <alignment horizontal="left" wrapText="1"/>
    </xf>
    <xf numFmtId="0" fontId="5" fillId="0" borderId="18" xfId="4" applyFont="1" applyBorder="1" applyAlignment="1">
      <alignment horizontal="left" wrapText="1"/>
    </xf>
    <xf numFmtId="0" fontId="5" fillId="0" borderId="19" xfId="4" applyFont="1" applyBorder="1" applyAlignment="1">
      <alignment horizontal="left" wrapText="1"/>
    </xf>
    <xf numFmtId="0" fontId="5" fillId="0" borderId="20" xfId="4"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2" fillId="0" borderId="0" xfId="0" quotePrefix="1" applyFont="1" applyAlignment="1">
      <alignment horizontal="left" vertical="top" wrapText="1"/>
    </xf>
    <xf numFmtId="0" fontId="5" fillId="0" borderId="7" xfId="4" applyFont="1" applyBorder="1" applyAlignment="1">
      <alignment horizontal="left"/>
    </xf>
    <xf numFmtId="0" fontId="5" fillId="0" borderId="8" xfId="4" applyFont="1" applyBorder="1" applyAlignment="1">
      <alignment horizontal="left"/>
    </xf>
    <xf numFmtId="0" fontId="5" fillId="0" borderId="9" xfId="4" applyFont="1" applyBorder="1" applyAlignment="1">
      <alignment horizontal="left"/>
    </xf>
    <xf numFmtId="0" fontId="2" fillId="0" borderId="25" xfId="0" applyFont="1" applyBorder="1" applyAlignment="1">
      <alignment horizontal="left"/>
    </xf>
    <xf numFmtId="0" fontId="2" fillId="0" borderId="35" xfId="0" applyFont="1" applyBorder="1" applyAlignment="1">
      <alignment horizontal="left"/>
    </xf>
    <xf numFmtId="0" fontId="2" fillId="0" borderId="36" xfId="0" applyFont="1" applyBorder="1" applyAlignment="1">
      <alignment horizontal="left"/>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4" applyFont="1" applyBorder="1" applyAlignment="1">
      <alignment horizontal="left"/>
    </xf>
    <xf numFmtId="0" fontId="5" fillId="0" borderId="1" xfId="4" applyFont="1" applyBorder="1" applyAlignment="1">
      <alignment horizontal="left"/>
    </xf>
    <xf numFmtId="0" fontId="5" fillId="0" borderId="6" xfId="4" applyFont="1" applyBorder="1" applyAlignment="1">
      <alignment horizontal="left"/>
    </xf>
    <xf numFmtId="0" fontId="7" fillId="2" borderId="39" xfId="0" applyFont="1" applyFill="1" applyBorder="1" applyAlignment="1">
      <alignment horizontal="center" wrapText="1"/>
    </xf>
    <xf numFmtId="0" fontId="7" fillId="2" borderId="40" xfId="0" applyFont="1" applyFill="1" applyBorder="1" applyAlignment="1">
      <alignment horizontal="center" wrapText="1"/>
    </xf>
    <xf numFmtId="0" fontId="7" fillId="2" borderId="38" xfId="0" applyFont="1" applyFill="1" applyBorder="1" applyAlignment="1">
      <alignment horizontal="center" wrapText="1"/>
    </xf>
    <xf numFmtId="0" fontId="5" fillId="0" borderId="0" xfId="38" applyFont="1" applyFill="1" applyBorder="1" applyAlignment="1">
      <alignment horizontal="left" vertical="top" wrapText="1"/>
    </xf>
    <xf numFmtId="0" fontId="7" fillId="2" borderId="3" xfId="1" applyNumberFormat="1" applyFont="1" applyFill="1" applyBorder="1" applyAlignment="1">
      <alignment horizontal="center" wrapText="1"/>
    </xf>
    <xf numFmtId="0" fontId="7" fillId="2" borderId="39" xfId="1" applyNumberFormat="1" applyFont="1" applyFill="1" applyBorder="1" applyAlignment="1">
      <alignment horizontal="center" wrapText="1"/>
    </xf>
    <xf numFmtId="0" fontId="7" fillId="2" borderId="2" xfId="1" applyNumberFormat="1" applyFont="1" applyFill="1" applyBorder="1" applyAlignment="1">
      <alignment horizontal="center" wrapText="1"/>
    </xf>
    <xf numFmtId="0" fontId="7" fillId="2" borderId="13" xfId="1" applyNumberFormat="1" applyFont="1" applyFill="1" applyBorder="1" applyAlignment="1">
      <alignment horizontal="center" wrapText="1"/>
    </xf>
    <xf numFmtId="44" fontId="2" fillId="0" borderId="36" xfId="2" applyNumberFormat="1" applyFont="1" applyBorder="1"/>
    <xf numFmtId="166" fontId="2" fillId="0" borderId="5" xfId="3" applyNumberFormat="1" applyFont="1" applyBorder="1"/>
    <xf numFmtId="166" fontId="2" fillId="0" borderId="18" xfId="3" applyNumberFormat="1" applyFont="1" applyBorder="1"/>
    <xf numFmtId="166" fontId="2" fillId="0" borderId="36" xfId="3" applyNumberFormat="1" applyFont="1" applyBorder="1"/>
    <xf numFmtId="43" fontId="2" fillId="0" borderId="36" xfId="2" applyNumberFormat="1" applyFont="1" applyBorder="1"/>
    <xf numFmtId="43" fontId="2" fillId="0" borderId="41" xfId="2" applyNumberFormat="1" applyFont="1" applyBorder="1"/>
    <xf numFmtId="166" fontId="2" fillId="0" borderId="7" xfId="3" applyNumberFormat="1" applyFont="1" applyBorder="1"/>
    <xf numFmtId="166" fontId="2" fillId="0" borderId="20" xfId="3" applyNumberFormat="1" applyFont="1" applyBorder="1"/>
    <xf numFmtId="166" fontId="2" fillId="0" borderId="41" xfId="3" applyNumberFormat="1" applyFont="1" applyBorder="1"/>
    <xf numFmtId="164" fontId="5" fillId="0" borderId="1" xfId="1" applyNumberFormat="1" applyFont="1" applyFill="1" applyBorder="1" applyAlignment="1">
      <alignment horizontal="right" indent="1"/>
    </xf>
  </cellXfs>
  <cellStyles count="290">
    <cellStyle name="Comma" xfId="1" builtinId="3"/>
    <cellStyle name="Comma 10" xfId="108"/>
    <cellStyle name="Comma 11" xfId="109"/>
    <cellStyle name="Comma 12" xfId="110"/>
    <cellStyle name="Comma 13" xfId="111"/>
    <cellStyle name="Comma 14" xfId="112"/>
    <cellStyle name="Comma 15" xfId="113"/>
    <cellStyle name="Comma 16" xfId="114"/>
    <cellStyle name="Comma 17" xfId="115"/>
    <cellStyle name="Comma 18" xfId="116"/>
    <cellStyle name="Comma 19" xfId="117"/>
    <cellStyle name="Comma 2" xfId="5"/>
    <cellStyle name="Comma 2 10" xfId="118"/>
    <cellStyle name="Comma 2 11" xfId="119"/>
    <cellStyle name="Comma 2 12" xfId="120"/>
    <cellStyle name="Comma 2 13" xfId="121"/>
    <cellStyle name="Comma 2 14" xfId="122"/>
    <cellStyle name="Comma 2 15" xfId="123"/>
    <cellStyle name="Comma 2 16" xfId="124"/>
    <cellStyle name="Comma 2 17" xfId="125"/>
    <cellStyle name="Comma 2 18" xfId="126"/>
    <cellStyle name="Comma 2 19" xfId="127"/>
    <cellStyle name="Comma 2 2" xfId="9"/>
    <cellStyle name="Comma 2 2 2" xfId="32"/>
    <cellStyle name="Comma 2 2 3" xfId="77"/>
    <cellStyle name="Comma 2 20" xfId="128"/>
    <cellStyle name="Comma 2 21" xfId="129"/>
    <cellStyle name="Comma 2 22" xfId="130"/>
    <cellStyle name="Comma 2 23" xfId="131"/>
    <cellStyle name="Comma 2 24" xfId="132"/>
    <cellStyle name="Comma 2 25" xfId="67"/>
    <cellStyle name="Comma 2 26" xfId="282"/>
    <cellStyle name="Comma 2 27" xfId="283"/>
    <cellStyle name="Comma 2 28" xfId="284"/>
    <cellStyle name="Comma 2 29" xfId="285"/>
    <cellStyle name="Comma 2 3" xfId="75"/>
    <cellStyle name="Comma 2 4" xfId="89"/>
    <cellStyle name="Comma 2 5" xfId="95"/>
    <cellStyle name="Comma 2 6" xfId="94"/>
    <cellStyle name="Comma 2 7" xfId="99"/>
    <cellStyle name="Comma 2 8" xfId="133"/>
    <cellStyle name="Comma 2 9" xfId="134"/>
    <cellStyle name="Comma 20" xfId="135"/>
    <cellStyle name="Comma 3" xfId="12"/>
    <cellStyle name="Comma 3 2" xfId="33"/>
    <cellStyle name="Comma 3 3" xfId="28"/>
    <cellStyle name="Comma 3 4" xfId="90"/>
    <cellStyle name="Comma 3 5" xfId="96"/>
    <cellStyle name="Comma 3 6" xfId="97"/>
    <cellStyle name="Comma 3 7" xfId="93"/>
    <cellStyle name="Comma 4" xfId="15"/>
    <cellStyle name="Comma 4 2" xfId="136"/>
    <cellStyle name="Comma 5" xfId="16"/>
    <cellStyle name="Comma 5 2" xfId="65"/>
    <cellStyle name="Comma 5 3" xfId="137"/>
    <cellStyle name="Comma 6" xfId="14"/>
    <cellStyle name="Comma 6 2" xfId="138"/>
    <cellStyle name="Comma 9" xfId="139"/>
    <cellStyle name="Comma0" xfId="31"/>
    <cellStyle name="Comma0 2" xfId="34"/>
    <cellStyle name="Comma0 3" xfId="68"/>
    <cellStyle name="Currency" xfId="2" builtinId="4"/>
    <cellStyle name="Currency 10" xfId="140"/>
    <cellStyle name="Currency 11" xfId="141"/>
    <cellStyle name="Currency 12" xfId="142"/>
    <cellStyle name="Currency 13" xfId="143"/>
    <cellStyle name="Currency 14" xfId="144"/>
    <cellStyle name="Currency 15" xfId="145"/>
    <cellStyle name="Currency 16" xfId="146"/>
    <cellStyle name="Currency 17" xfId="147"/>
    <cellStyle name="Currency 18" xfId="148"/>
    <cellStyle name="Currency 19" xfId="149"/>
    <cellStyle name="Currency 2" xfId="30"/>
    <cellStyle name="Currency 2 10" xfId="150"/>
    <cellStyle name="Currency 2 11" xfId="151"/>
    <cellStyle name="Currency 2 12" xfId="152"/>
    <cellStyle name="Currency 2 13" xfId="153"/>
    <cellStyle name="Currency 2 14" xfId="154"/>
    <cellStyle name="Currency 2 15" xfId="155"/>
    <cellStyle name="Currency 2 16" xfId="156"/>
    <cellStyle name="Currency 2 17" xfId="157"/>
    <cellStyle name="Currency 2 18" xfId="158"/>
    <cellStyle name="Currency 2 19" xfId="159"/>
    <cellStyle name="Currency 2 2" xfId="35"/>
    <cellStyle name="Currency 2 20" xfId="160"/>
    <cellStyle name="Currency 2 21" xfId="161"/>
    <cellStyle name="Currency 2 22" xfId="162"/>
    <cellStyle name="Currency 2 23" xfId="163"/>
    <cellStyle name="Currency 2 24" xfId="164"/>
    <cellStyle name="Currency 2 3" xfId="85"/>
    <cellStyle name="Currency 2 4" xfId="86"/>
    <cellStyle name="Currency 2 5" xfId="98"/>
    <cellStyle name="Currency 2 6" xfId="102"/>
    <cellStyle name="Currency 2 7" xfId="105"/>
    <cellStyle name="Currency 2 8" xfId="165"/>
    <cellStyle name="Currency 2 9" xfId="166"/>
    <cellStyle name="Currency 3" xfId="58"/>
    <cellStyle name="Currency 3 2" xfId="36"/>
    <cellStyle name="Currency 4" xfId="63"/>
    <cellStyle name="Currency 4 2" xfId="167"/>
    <cellStyle name="Currency 5" xfId="23"/>
    <cellStyle name="Currency 7" xfId="168"/>
    <cellStyle name="Currency 8" xfId="169"/>
    <cellStyle name="Currency 9" xfId="170"/>
    <cellStyle name="Currency0" xfId="69"/>
    <cellStyle name="Date" xfId="70"/>
    <cellStyle name="Fixed" xfId="71"/>
    <cellStyle name="Heading 1 10" xfId="171"/>
    <cellStyle name="Heading 1 11" xfId="172"/>
    <cellStyle name="Heading 1 12" xfId="173"/>
    <cellStyle name="Heading 1 13" xfId="174"/>
    <cellStyle name="Heading 1 14" xfId="175"/>
    <cellStyle name="Heading 1 15" xfId="176"/>
    <cellStyle name="Heading 1 16" xfId="177"/>
    <cellStyle name="Heading 1 17" xfId="178"/>
    <cellStyle name="Heading 1 18" xfId="179"/>
    <cellStyle name="Heading 1 19" xfId="180"/>
    <cellStyle name="Heading 1 2" xfId="181"/>
    <cellStyle name="Heading 1 20" xfId="72"/>
    <cellStyle name="Heading 1 3" xfId="182"/>
    <cellStyle name="Heading 1 4" xfId="183"/>
    <cellStyle name="Heading 1 5" xfId="184"/>
    <cellStyle name="Heading 1 6" xfId="185"/>
    <cellStyle name="Heading 1 7" xfId="186"/>
    <cellStyle name="Heading 1 8" xfId="187"/>
    <cellStyle name="Heading 1 9" xfId="188"/>
    <cellStyle name="Heading 2 10" xfId="189"/>
    <cellStyle name="Heading 2 11" xfId="190"/>
    <cellStyle name="Heading 2 12" xfId="191"/>
    <cellStyle name="Heading 2 13" xfId="192"/>
    <cellStyle name="Heading 2 14" xfId="193"/>
    <cellStyle name="Heading 2 15" xfId="194"/>
    <cellStyle name="Heading 2 16" xfId="195"/>
    <cellStyle name="Heading 2 17" xfId="196"/>
    <cellStyle name="Heading 2 18" xfId="197"/>
    <cellStyle name="Heading 2 19" xfId="198"/>
    <cellStyle name="Heading 2 2" xfId="199"/>
    <cellStyle name="Heading 2 20" xfId="73"/>
    <cellStyle name="Heading 2 3" xfId="200"/>
    <cellStyle name="Heading 2 4" xfId="201"/>
    <cellStyle name="Heading 2 5" xfId="202"/>
    <cellStyle name="Heading 2 6" xfId="203"/>
    <cellStyle name="Heading 2 7" xfId="204"/>
    <cellStyle name="Heading 2 8" xfId="205"/>
    <cellStyle name="Heading 2 9" xfId="206"/>
    <cellStyle name="Normal" xfId="0" builtinId="0"/>
    <cellStyle name="Normal 10" xfId="60"/>
    <cellStyle name="Normal 10 2" xfId="61"/>
    <cellStyle name="Normal 11" xfId="62"/>
    <cellStyle name="Normal 11 2" xfId="207"/>
    <cellStyle name="Normal 12" xfId="66"/>
    <cellStyle name="Normal 12 2" xfId="208"/>
    <cellStyle name="Normal 13" xfId="209"/>
    <cellStyle name="Normal 14" xfId="210"/>
    <cellStyle name="Normal 15" xfId="211"/>
    <cellStyle name="Normal 16" xfId="212"/>
    <cellStyle name="Normal 17" xfId="213"/>
    <cellStyle name="Normal 18" xfId="214"/>
    <cellStyle name="Normal 19" xfId="215"/>
    <cellStyle name="Normal 2" xfId="4"/>
    <cellStyle name="Normal 2 10" xfId="38"/>
    <cellStyle name="Normal 2 11" xfId="39"/>
    <cellStyle name="Normal 2 12" xfId="40"/>
    <cellStyle name="Normal 2 13" xfId="41"/>
    <cellStyle name="Normal 2 14" xfId="24"/>
    <cellStyle name="Normal 2 15" xfId="216"/>
    <cellStyle name="Normal 2 16" xfId="217"/>
    <cellStyle name="Normal 2 17" xfId="218"/>
    <cellStyle name="Normal 2 18" xfId="219"/>
    <cellStyle name="Normal 2 19" xfId="220"/>
    <cellStyle name="Normal 2 2" xfId="11"/>
    <cellStyle name="Normal 2 2 2" xfId="37"/>
    <cellStyle name="Normal 2 2 2 2" xfId="79"/>
    <cellStyle name="Normal 2 2 3" xfId="88"/>
    <cellStyle name="Normal 2 2 4" xfId="92"/>
    <cellStyle name="Normal 2 20" xfId="221"/>
    <cellStyle name="Normal 2 21" xfId="222"/>
    <cellStyle name="Normal 2 22" xfId="223"/>
    <cellStyle name="Normal 2 23" xfId="224"/>
    <cellStyle name="Normal 2 24" xfId="225"/>
    <cellStyle name="Normal 2 25" xfId="226"/>
    <cellStyle name="Normal 2 26" xfId="227"/>
    <cellStyle name="Normal 2 27" xfId="286"/>
    <cellStyle name="Normal 2 28" xfId="287"/>
    <cellStyle name="Normal 2 29" xfId="288"/>
    <cellStyle name="Normal 2 3" xfId="7"/>
    <cellStyle name="Normal 2 3 2" xfId="42"/>
    <cellStyle name="Normal 2 3 3" xfId="81"/>
    <cellStyle name="Normal 2 30" xfId="289"/>
    <cellStyle name="Normal 2 4" xfId="43"/>
    <cellStyle name="Normal 2 4 2" xfId="83"/>
    <cellStyle name="Normal 2 5" xfId="44"/>
    <cellStyle name="Normal 2 6" xfId="45"/>
    <cellStyle name="Normal 2 7" xfId="46"/>
    <cellStyle name="Normal 2 8" xfId="47"/>
    <cellStyle name="Normal 2 9" xfId="48"/>
    <cellStyle name="Normal 20" xfId="228"/>
    <cellStyle name="Normal 3" xfId="17"/>
    <cellStyle name="Normal 3 2" xfId="49"/>
    <cellStyle name="Normal 3 2 2" xfId="80"/>
    <cellStyle name="Normal 3 3" xfId="59"/>
    <cellStyle name="Normal 3 3 2" xfId="82"/>
    <cellStyle name="Normal 3 4" xfId="25"/>
    <cellStyle name="Normal 3 4 2" xfId="84"/>
    <cellStyle name="Normal 4" xfId="18"/>
    <cellStyle name="Normal 4 2" xfId="50"/>
    <cellStyle name="Normal 4 3" xfId="26"/>
    <cellStyle name="Normal 4 4" xfId="78"/>
    <cellStyle name="Normal 5" xfId="19"/>
    <cellStyle name="Normal 5 2" xfId="27"/>
    <cellStyle name="Normal 5 3" xfId="229"/>
    <cellStyle name="Normal 6" xfId="20"/>
    <cellStyle name="Normal 6 2" xfId="51"/>
    <cellStyle name="Normal 6 3" xfId="230"/>
    <cellStyle name="Normal 7" xfId="13"/>
    <cellStyle name="Normal 7 2" xfId="52"/>
    <cellStyle name="Normal 8" xfId="22"/>
    <cellStyle name="Normal 8 2" xfId="53"/>
    <cellStyle name="Normal 9" xfId="54"/>
    <cellStyle name="Normal 9 2" xfId="231"/>
    <cellStyle name="Percent" xfId="3" builtinId="5"/>
    <cellStyle name="Percent 10" xfId="232"/>
    <cellStyle name="Percent 11" xfId="233"/>
    <cellStyle name="Percent 12" xfId="234"/>
    <cellStyle name="Percent 13" xfId="235"/>
    <cellStyle name="Percent 14" xfId="236"/>
    <cellStyle name="Percent 15" xfId="237"/>
    <cellStyle name="Percent 16" xfId="238"/>
    <cellStyle name="Percent 17" xfId="239"/>
    <cellStyle name="Percent 18" xfId="240"/>
    <cellStyle name="Percent 19" xfId="241"/>
    <cellStyle name="Percent 2" xfId="6"/>
    <cellStyle name="Percent 2 10" xfId="242"/>
    <cellStyle name="Percent 2 11" xfId="243"/>
    <cellStyle name="Percent 2 12" xfId="244"/>
    <cellStyle name="Percent 2 13" xfId="245"/>
    <cellStyle name="Percent 2 14" xfId="246"/>
    <cellStyle name="Percent 2 15" xfId="247"/>
    <cellStyle name="Percent 2 16" xfId="248"/>
    <cellStyle name="Percent 2 17" xfId="249"/>
    <cellStyle name="Percent 2 18" xfId="250"/>
    <cellStyle name="Percent 2 19" xfId="251"/>
    <cellStyle name="Percent 2 2" xfId="8"/>
    <cellStyle name="Percent 2 2 2" xfId="55"/>
    <cellStyle name="Percent 2 20" xfId="252"/>
    <cellStyle name="Percent 2 21" xfId="253"/>
    <cellStyle name="Percent 2 22" xfId="254"/>
    <cellStyle name="Percent 2 23" xfId="255"/>
    <cellStyle name="Percent 2 24" xfId="256"/>
    <cellStyle name="Percent 2 3" xfId="87"/>
    <cellStyle name="Percent 2 4" xfId="76"/>
    <cellStyle name="Percent 2 5" xfId="100"/>
    <cellStyle name="Percent 2 6" xfId="103"/>
    <cellStyle name="Percent 2 7" xfId="106"/>
    <cellStyle name="Percent 2 8" xfId="257"/>
    <cellStyle name="Percent 2 9" xfId="258"/>
    <cellStyle name="Percent 20" xfId="259"/>
    <cellStyle name="Percent 3" xfId="10"/>
    <cellStyle name="Percent 3 2" xfId="56"/>
    <cellStyle name="Percent 3 3" xfId="29"/>
    <cellStyle name="Percent 3 4" xfId="91"/>
    <cellStyle name="Percent 3 5" xfId="101"/>
    <cellStyle name="Percent 3 6" xfId="104"/>
    <cellStyle name="Percent 3 7" xfId="107"/>
    <cellStyle name="Percent 4" xfId="21"/>
    <cellStyle name="Percent 4 2" xfId="57"/>
    <cellStyle name="Percent 5" xfId="64"/>
    <cellStyle name="Percent 5 2" xfId="260"/>
    <cellStyle name="Percent 6" xfId="261"/>
    <cellStyle name="Percent 8" xfId="262"/>
    <cellStyle name="Percent 9" xfId="263"/>
    <cellStyle name="Total 10" xfId="264"/>
    <cellStyle name="Total 11" xfId="265"/>
    <cellStyle name="Total 12" xfId="266"/>
    <cellStyle name="Total 13" xfId="267"/>
    <cellStyle name="Total 14" xfId="268"/>
    <cellStyle name="Total 15" xfId="269"/>
    <cellStyle name="Total 16" xfId="270"/>
    <cellStyle name="Total 17" xfId="271"/>
    <cellStyle name="Total 18" xfId="272"/>
    <cellStyle name="Total 19" xfId="273"/>
    <cellStyle name="Total 2" xfId="274"/>
    <cellStyle name="Total 20" xfId="74"/>
    <cellStyle name="Total 3" xfId="275"/>
    <cellStyle name="Total 4" xfId="276"/>
    <cellStyle name="Total 5" xfId="277"/>
    <cellStyle name="Total 6" xfId="278"/>
    <cellStyle name="Total 7" xfId="279"/>
    <cellStyle name="Total 8" xfId="280"/>
    <cellStyle name="Total 9" xfId="281"/>
  </cellStyles>
  <dxfs count="2">
    <dxf>
      <font>
        <b/>
        <i val="0"/>
        <strike val="0"/>
        <u val="none"/>
        <color theme="0"/>
      </font>
      <fill>
        <patternFill>
          <bgColor rgb="FFFF0000"/>
        </patternFill>
      </fill>
    </dxf>
    <dxf>
      <numFmt numFmtId="27" formatCode="m/d/yyyy\ h:mm"/>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sel="29"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1" tableType="queryTable" totalsRowShown="0">
  <autoFilter ref="A4:LB61"/>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1"/>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tabSelected="1" zoomScale="70" zoomScaleNormal="70" workbookViewId="0"/>
  </sheetViews>
  <sheetFormatPr defaultRowHeight="14.25" x14ac:dyDescent="0.2"/>
  <cols>
    <col min="1" max="1" width="9.42578125" style="11" customWidth="1"/>
    <col min="2" max="2" width="42.42578125" style="11" customWidth="1"/>
    <col min="3" max="3" width="17.85546875" style="11" customWidth="1"/>
    <col min="4" max="4" width="15.85546875" style="11" customWidth="1"/>
    <col min="5" max="5" width="18.28515625" style="11" bestFit="1" customWidth="1"/>
    <col min="6" max="6" width="17.7109375" style="11" bestFit="1" customWidth="1"/>
    <col min="7" max="7" width="2.85546875" style="11" customWidth="1"/>
    <col min="8" max="8" width="13.140625" style="11" bestFit="1" customWidth="1"/>
    <col min="9" max="9" width="16.5703125" style="11" bestFit="1" customWidth="1"/>
    <col min="10" max="10" width="15" style="11" bestFit="1" customWidth="1"/>
    <col min="11" max="11" width="16.140625" style="11" bestFit="1" customWidth="1"/>
    <col min="12" max="12" width="17.7109375" style="11" bestFit="1" customWidth="1"/>
    <col min="13" max="13" width="16.85546875" style="11" bestFit="1" customWidth="1"/>
    <col min="14" max="14" width="17.7109375" style="11" bestFit="1" customWidth="1"/>
    <col min="15" max="15" width="9.140625" style="11"/>
    <col min="16" max="16" width="20.5703125" style="11" bestFit="1" customWidth="1"/>
    <col min="17" max="17" width="18.140625" style="11" bestFit="1" customWidth="1"/>
    <col min="18" max="18" width="19.5703125" style="11" bestFit="1" customWidth="1"/>
    <col min="19" max="19" width="11" style="11" bestFit="1" customWidth="1"/>
    <col min="20" max="20" width="18.28515625" style="11" bestFit="1" customWidth="1"/>
    <col min="21" max="21" width="13.42578125" style="11" bestFit="1" customWidth="1"/>
    <col min="22" max="22" width="15.28515625" style="11" bestFit="1" customWidth="1"/>
    <col min="23" max="23" width="16.42578125" style="11" bestFit="1" customWidth="1"/>
    <col min="24" max="24" width="14.85546875" style="11" bestFit="1" customWidth="1"/>
    <col min="25" max="25" width="16.42578125" style="11" bestFit="1" customWidth="1"/>
    <col min="26" max="26" width="9.140625" style="11"/>
    <col min="27" max="27" width="13.140625" style="11" bestFit="1" customWidth="1"/>
    <col min="28" max="28" width="11.140625" style="11" bestFit="1" customWidth="1"/>
    <col min="29" max="29" width="13.140625" style="11" bestFit="1" customWidth="1"/>
    <col min="30" max="30" width="10" style="11" bestFit="1" customWidth="1"/>
    <col min="31" max="33" width="11.140625" style="11" bestFit="1" customWidth="1"/>
    <col min="34" max="34" width="13.140625" style="11" bestFit="1" customWidth="1"/>
    <col min="35" max="35" width="9.140625" style="11"/>
    <col min="36" max="36" width="17.85546875" style="11" bestFit="1" customWidth="1"/>
    <col min="37" max="37" width="9.140625" style="11"/>
    <col min="38" max="38" width="14.5703125" style="11" bestFit="1" customWidth="1"/>
    <col min="39" max="16384" width="9.140625" style="11"/>
  </cols>
  <sheetData>
    <row r="1" spans="1:9" x14ac:dyDescent="0.2">
      <c r="A1" s="39" t="s">
        <v>1086</v>
      </c>
      <c r="B1" s="39"/>
      <c r="C1" s="39"/>
      <c r="D1" s="39"/>
      <c r="E1" s="39"/>
      <c r="F1" s="39"/>
    </row>
    <row r="2" spans="1:9" x14ac:dyDescent="0.2">
      <c r="A2" s="6" t="s">
        <v>1030</v>
      </c>
      <c r="B2" s="12"/>
      <c r="C2" s="12"/>
    </row>
    <row r="3" spans="1:9" ht="15" thickBot="1" x14ac:dyDescent="0.25">
      <c r="A3" s="6" t="s">
        <v>1087</v>
      </c>
    </row>
    <row r="4" spans="1:9" ht="29.25" customHeight="1" x14ac:dyDescent="0.2">
      <c r="A4" s="27" t="s">
        <v>26</v>
      </c>
      <c r="B4" s="194" t="s">
        <v>470</v>
      </c>
      <c r="C4" s="195"/>
      <c r="D4" s="29" t="s">
        <v>27</v>
      </c>
      <c r="E4" s="29" t="s">
        <v>467</v>
      </c>
      <c r="F4" s="30" t="s">
        <v>468</v>
      </c>
    </row>
    <row r="5" spans="1:9" x14ac:dyDescent="0.2">
      <c r="A5" s="20">
        <v>1</v>
      </c>
      <c r="B5" s="184" t="s">
        <v>0</v>
      </c>
      <c r="C5" s="185"/>
      <c r="D5" s="15">
        <f>D36</f>
        <v>1551137</v>
      </c>
      <c r="E5" s="17">
        <f>E36+E67+IFERROR($E$105/$D$105*D5,0)</f>
        <v>13876459.799016993</v>
      </c>
      <c r="F5" s="21">
        <f>IFERROR(E5/D5,"")</f>
        <v>8.9459923907540038</v>
      </c>
      <c r="H5" s="65"/>
      <c r="I5" s="65"/>
    </row>
    <row r="6" spans="1:9" x14ac:dyDescent="0.2">
      <c r="A6" s="20">
        <v>2</v>
      </c>
      <c r="B6" s="184" t="s">
        <v>1</v>
      </c>
      <c r="C6" s="185"/>
      <c r="D6" s="15">
        <f t="shared" ref="D6:D32" si="0">D37</f>
        <v>3763085</v>
      </c>
      <c r="E6" s="18">
        <f t="shared" ref="E6:E32" si="1">E37+E68+IFERROR($E$105/$D$105*D6,0)</f>
        <v>37235884.475626498</v>
      </c>
      <c r="F6" s="22">
        <f t="shared" ref="F6:F33" si="2">IFERROR(E6/D6,"")</f>
        <v>9.8950420932895486</v>
      </c>
      <c r="H6" s="65"/>
      <c r="I6" s="65"/>
    </row>
    <row r="7" spans="1:9" x14ac:dyDescent="0.2">
      <c r="A7" s="20">
        <v>3</v>
      </c>
      <c r="B7" s="184" t="s">
        <v>2</v>
      </c>
      <c r="C7" s="185"/>
      <c r="D7" s="15">
        <f t="shared" si="0"/>
        <v>31074434</v>
      </c>
      <c r="E7" s="18">
        <f t="shared" si="1"/>
        <v>241975365.12237784</v>
      </c>
      <c r="F7" s="22">
        <f t="shared" si="2"/>
        <v>7.7869596956256011</v>
      </c>
      <c r="H7" s="65"/>
      <c r="I7" s="65"/>
    </row>
    <row r="8" spans="1:9" x14ac:dyDescent="0.2">
      <c r="A8" s="20">
        <v>4</v>
      </c>
      <c r="B8" s="184" t="s">
        <v>3</v>
      </c>
      <c r="C8" s="185"/>
      <c r="D8" s="15">
        <f t="shared" si="0"/>
        <v>18277419</v>
      </c>
      <c r="E8" s="18">
        <f t="shared" si="1"/>
        <v>145331960.83181584</v>
      </c>
      <c r="F8" s="22">
        <f t="shared" si="2"/>
        <v>7.9514487703004368</v>
      </c>
      <c r="H8" s="65"/>
      <c r="I8" s="65"/>
    </row>
    <row r="9" spans="1:9" x14ac:dyDescent="0.2">
      <c r="A9" s="20">
        <v>5</v>
      </c>
      <c r="B9" s="184" t="s">
        <v>4</v>
      </c>
      <c r="C9" s="185"/>
      <c r="D9" s="15">
        <f t="shared" si="0"/>
        <v>146309</v>
      </c>
      <c r="E9" s="18">
        <f t="shared" si="1"/>
        <v>5130181.0702873934</v>
      </c>
      <c r="F9" s="22">
        <f t="shared" si="2"/>
        <v>35.064015681109112</v>
      </c>
      <c r="H9" s="65"/>
      <c r="I9" s="65"/>
    </row>
    <row r="10" spans="1:9" x14ac:dyDescent="0.2">
      <c r="A10" s="20">
        <v>6</v>
      </c>
      <c r="B10" s="184" t="s">
        <v>5</v>
      </c>
      <c r="C10" s="185"/>
      <c r="D10" s="15">
        <f t="shared" si="0"/>
        <v>4054192</v>
      </c>
      <c r="E10" s="18">
        <f t="shared" si="1"/>
        <v>36137263.345751725</v>
      </c>
      <c r="F10" s="22">
        <f t="shared" si="2"/>
        <v>8.9135549933875176</v>
      </c>
      <c r="H10" s="65"/>
      <c r="I10" s="65"/>
    </row>
    <row r="11" spans="1:9" x14ac:dyDescent="0.2">
      <c r="A11" s="20">
        <v>7</v>
      </c>
      <c r="B11" s="184" t="s">
        <v>6</v>
      </c>
      <c r="C11" s="185"/>
      <c r="D11" s="15">
        <f t="shared" si="0"/>
        <v>11481191</v>
      </c>
      <c r="E11" s="18">
        <f t="shared" si="1"/>
        <v>113404074.08935878</v>
      </c>
      <c r="F11" s="22">
        <f t="shared" si="2"/>
        <v>9.8773789312762741</v>
      </c>
      <c r="H11" s="65"/>
      <c r="I11" s="65"/>
    </row>
    <row r="12" spans="1:9" x14ac:dyDescent="0.2">
      <c r="A12" s="20">
        <v>8</v>
      </c>
      <c r="B12" s="184" t="s">
        <v>7</v>
      </c>
      <c r="C12" s="185"/>
      <c r="D12" s="15">
        <f t="shared" si="0"/>
        <v>1612212</v>
      </c>
      <c r="E12" s="18">
        <f t="shared" si="1"/>
        <v>17208435.495712362</v>
      </c>
      <c r="F12" s="22">
        <f t="shared" si="2"/>
        <v>10.673804372943733</v>
      </c>
      <c r="H12" s="65"/>
      <c r="I12" s="65"/>
    </row>
    <row r="13" spans="1:9" x14ac:dyDescent="0.2">
      <c r="A13" s="20">
        <v>9</v>
      </c>
      <c r="B13" s="184" t="s">
        <v>8</v>
      </c>
      <c r="C13" s="185"/>
      <c r="D13" s="15">
        <f t="shared" si="0"/>
        <v>9431343</v>
      </c>
      <c r="E13" s="18">
        <f t="shared" si="1"/>
        <v>73362250.002341062</v>
      </c>
      <c r="F13" s="22">
        <f t="shared" si="2"/>
        <v>7.7785581546913374</v>
      </c>
      <c r="H13" s="65"/>
      <c r="I13" s="65"/>
    </row>
    <row r="14" spans="1:9" x14ac:dyDescent="0.2">
      <c r="A14" s="20">
        <v>10</v>
      </c>
      <c r="B14" s="184" t="s">
        <v>9</v>
      </c>
      <c r="C14" s="185"/>
      <c r="D14" s="15">
        <f t="shared" si="0"/>
        <v>294975</v>
      </c>
      <c r="E14" s="18">
        <f t="shared" si="1"/>
        <v>3326493.7140027201</v>
      </c>
      <c r="F14" s="22">
        <f t="shared" si="2"/>
        <v>11.277205573362895</v>
      </c>
      <c r="H14" s="65"/>
      <c r="I14" s="65"/>
    </row>
    <row r="15" spans="1:9" x14ac:dyDescent="0.2">
      <c r="A15" s="20">
        <v>11</v>
      </c>
      <c r="B15" s="184" t="s">
        <v>10</v>
      </c>
      <c r="C15" s="185"/>
      <c r="D15" s="15">
        <f t="shared" si="0"/>
        <v>7217480</v>
      </c>
      <c r="E15" s="18">
        <f t="shared" si="1"/>
        <v>60817643.660006285</v>
      </c>
      <c r="F15" s="22">
        <f t="shared" si="2"/>
        <v>8.4264374352275713</v>
      </c>
      <c r="H15" s="65"/>
      <c r="I15" s="65"/>
    </row>
    <row r="16" spans="1:9" x14ac:dyDescent="0.2">
      <c r="A16" s="20">
        <v>12</v>
      </c>
      <c r="B16" s="184" t="s">
        <v>11</v>
      </c>
      <c r="C16" s="185"/>
      <c r="D16" s="15">
        <f t="shared" si="0"/>
        <v>41737869</v>
      </c>
      <c r="E16" s="18">
        <f t="shared" si="1"/>
        <v>344729033.99615222</v>
      </c>
      <c r="F16" s="22">
        <f t="shared" si="2"/>
        <v>8.2593827201899597</v>
      </c>
      <c r="H16" s="65"/>
      <c r="I16" s="65"/>
    </row>
    <row r="17" spans="1:9" x14ac:dyDescent="0.2">
      <c r="A17" s="20">
        <v>13</v>
      </c>
      <c r="B17" s="184" t="s">
        <v>12</v>
      </c>
      <c r="C17" s="185"/>
      <c r="D17" s="15">
        <f t="shared" si="0"/>
        <v>6273530</v>
      </c>
      <c r="E17" s="18">
        <f t="shared" si="1"/>
        <v>47230542.886439472</v>
      </c>
      <c r="F17" s="22">
        <f t="shared" si="2"/>
        <v>7.5285434016318522</v>
      </c>
      <c r="H17" s="65"/>
      <c r="I17" s="65"/>
    </row>
    <row r="18" spans="1:9" x14ac:dyDescent="0.2">
      <c r="A18" s="20">
        <v>14</v>
      </c>
      <c r="B18" s="184" t="s">
        <v>469</v>
      </c>
      <c r="C18" s="185"/>
      <c r="D18" s="15">
        <f t="shared" si="0"/>
        <v>7872304</v>
      </c>
      <c r="E18" s="18">
        <f t="shared" si="1"/>
        <v>96156244.224440947</v>
      </c>
      <c r="F18" s="22">
        <f t="shared" si="2"/>
        <v>12.214498350729462</v>
      </c>
      <c r="H18" s="65"/>
      <c r="I18" s="65"/>
    </row>
    <row r="19" spans="1:9" x14ac:dyDescent="0.2">
      <c r="A19" s="20">
        <v>15</v>
      </c>
      <c r="B19" s="184" t="s">
        <v>13</v>
      </c>
      <c r="C19" s="185"/>
      <c r="D19" s="15">
        <f t="shared" si="0"/>
        <v>480943</v>
      </c>
      <c r="E19" s="18">
        <f t="shared" si="1"/>
        <v>8533834.3195376229</v>
      </c>
      <c r="F19" s="22">
        <f t="shared" si="2"/>
        <v>17.743962007010442</v>
      </c>
      <c r="H19" s="65"/>
      <c r="I19" s="65"/>
    </row>
    <row r="20" spans="1:9" x14ac:dyDescent="0.2">
      <c r="A20" s="20">
        <v>16</v>
      </c>
      <c r="B20" s="184" t="s">
        <v>14</v>
      </c>
      <c r="C20" s="185"/>
      <c r="D20" s="15">
        <f t="shared" si="0"/>
        <v>11012371</v>
      </c>
      <c r="E20" s="18">
        <f t="shared" si="1"/>
        <v>109608994.03696872</v>
      </c>
      <c r="F20" s="22">
        <f t="shared" si="2"/>
        <v>9.9532602049975178</v>
      </c>
      <c r="H20" s="65"/>
      <c r="I20" s="65"/>
    </row>
    <row r="21" spans="1:9" x14ac:dyDescent="0.2">
      <c r="A21" s="20">
        <v>17</v>
      </c>
      <c r="B21" s="184" t="s">
        <v>15</v>
      </c>
      <c r="C21" s="185"/>
      <c r="D21" s="15">
        <f t="shared" si="0"/>
        <v>888794</v>
      </c>
      <c r="E21" s="18">
        <f t="shared" si="1"/>
        <v>11108714.788844254</v>
      </c>
      <c r="F21" s="22">
        <f t="shared" si="2"/>
        <v>12.498638367095474</v>
      </c>
      <c r="H21" s="65"/>
      <c r="I21" s="65"/>
    </row>
    <row r="22" spans="1:9" x14ac:dyDescent="0.2">
      <c r="A22" s="20">
        <v>18</v>
      </c>
      <c r="B22" s="184" t="s">
        <v>16</v>
      </c>
      <c r="C22" s="185"/>
      <c r="D22" s="15">
        <f t="shared" si="0"/>
        <v>5007315</v>
      </c>
      <c r="E22" s="18">
        <f t="shared" si="1"/>
        <v>48480633.658586428</v>
      </c>
      <c r="F22" s="22">
        <f t="shared" si="2"/>
        <v>9.6819620212801532</v>
      </c>
      <c r="H22" s="65"/>
      <c r="I22" s="65"/>
    </row>
    <row r="23" spans="1:9" x14ac:dyDescent="0.2">
      <c r="A23" s="20">
        <v>19</v>
      </c>
      <c r="B23" s="184" t="s">
        <v>17</v>
      </c>
      <c r="C23" s="185"/>
      <c r="D23" s="15">
        <f t="shared" si="0"/>
        <v>29177596</v>
      </c>
      <c r="E23" s="18">
        <f t="shared" si="1"/>
        <v>221655249.73124811</v>
      </c>
      <c r="F23" s="22">
        <f t="shared" si="2"/>
        <v>7.5967619035937064</v>
      </c>
      <c r="H23" s="65"/>
      <c r="I23" s="65"/>
    </row>
    <row r="24" spans="1:9" x14ac:dyDescent="0.2">
      <c r="A24" s="20">
        <v>20</v>
      </c>
      <c r="B24" s="184" t="s">
        <v>18</v>
      </c>
      <c r="C24" s="185"/>
      <c r="D24" s="15">
        <f t="shared" si="0"/>
        <v>3129190</v>
      </c>
      <c r="E24" s="18">
        <f t="shared" si="1"/>
        <v>31531540.03179989</v>
      </c>
      <c r="F24" s="22">
        <f t="shared" si="2"/>
        <v>10.076582128857593</v>
      </c>
      <c r="H24" s="65"/>
      <c r="I24" s="65"/>
    </row>
    <row r="25" spans="1:9" x14ac:dyDescent="0.2">
      <c r="A25" s="20">
        <v>21</v>
      </c>
      <c r="B25" s="184" t="s">
        <v>466</v>
      </c>
      <c r="C25" s="185"/>
      <c r="D25" s="15">
        <f t="shared" si="0"/>
        <v>2190639</v>
      </c>
      <c r="E25" s="18">
        <f t="shared" si="1"/>
        <v>22392019.431732196</v>
      </c>
      <c r="F25" s="22">
        <f t="shared" si="2"/>
        <v>10.221683915849301</v>
      </c>
      <c r="H25" s="65"/>
      <c r="I25" s="65"/>
    </row>
    <row r="26" spans="1:9" x14ac:dyDescent="0.2">
      <c r="A26" s="20">
        <v>22</v>
      </c>
      <c r="B26" s="184" t="s">
        <v>19</v>
      </c>
      <c r="C26" s="185"/>
      <c r="D26" s="15">
        <f t="shared" si="0"/>
        <v>1184901</v>
      </c>
      <c r="E26" s="18">
        <f t="shared" si="1"/>
        <v>11038140.451985888</v>
      </c>
      <c r="F26" s="22">
        <f t="shared" si="2"/>
        <v>9.3156647280961771</v>
      </c>
      <c r="H26" s="65"/>
      <c r="I26" s="65"/>
    </row>
    <row r="27" spans="1:9" x14ac:dyDescent="0.2">
      <c r="A27" s="20">
        <v>23</v>
      </c>
      <c r="B27" s="184" t="s">
        <v>20</v>
      </c>
      <c r="C27" s="185"/>
      <c r="D27" s="15">
        <f t="shared" si="0"/>
        <v>6032718</v>
      </c>
      <c r="E27" s="18">
        <f t="shared" si="1"/>
        <v>56386037.819266245</v>
      </c>
      <c r="F27" s="22">
        <f t="shared" si="2"/>
        <v>9.3467053854110613</v>
      </c>
      <c r="H27" s="65"/>
      <c r="I27" s="65"/>
    </row>
    <row r="28" spans="1:9" x14ac:dyDescent="0.2">
      <c r="A28" s="20">
        <v>24</v>
      </c>
      <c r="B28" s="184" t="s">
        <v>21</v>
      </c>
      <c r="C28" s="185"/>
      <c r="D28" s="15">
        <f t="shared" si="0"/>
        <v>7721120</v>
      </c>
      <c r="E28" s="18">
        <f t="shared" si="1"/>
        <v>66354138.73096256</v>
      </c>
      <c r="F28" s="22">
        <f t="shared" si="2"/>
        <v>8.5938489145308665</v>
      </c>
      <c r="H28" s="65"/>
      <c r="I28" s="65"/>
    </row>
    <row r="29" spans="1:9" x14ac:dyDescent="0.2">
      <c r="A29" s="20">
        <v>25</v>
      </c>
      <c r="B29" s="184" t="s">
        <v>22</v>
      </c>
      <c r="C29" s="185"/>
      <c r="D29" s="15">
        <f t="shared" si="0"/>
        <v>44500548</v>
      </c>
      <c r="E29" s="18">
        <f t="shared" si="1"/>
        <v>314809355.8673051</v>
      </c>
      <c r="F29" s="22">
        <f t="shared" si="2"/>
        <v>7.0742804305984075</v>
      </c>
      <c r="H29" s="65"/>
      <c r="I29" s="65"/>
    </row>
    <row r="30" spans="1:9" x14ac:dyDescent="0.2">
      <c r="A30" s="20">
        <v>26</v>
      </c>
      <c r="B30" s="184" t="s">
        <v>23</v>
      </c>
      <c r="C30" s="185"/>
      <c r="D30" s="15">
        <f t="shared" si="0"/>
        <v>13836400</v>
      </c>
      <c r="E30" s="18">
        <f t="shared" si="1"/>
        <v>134187932.41843288</v>
      </c>
      <c r="F30" s="22">
        <f t="shared" si="2"/>
        <v>9.6981825054517703</v>
      </c>
      <c r="H30" s="65"/>
      <c r="I30" s="65"/>
    </row>
    <row r="31" spans="1:9" x14ac:dyDescent="0.2">
      <c r="A31" s="20">
        <v>28</v>
      </c>
      <c r="B31" s="184" t="s">
        <v>24</v>
      </c>
      <c r="C31" s="185"/>
      <c r="D31" s="15">
        <f t="shared" si="0"/>
        <v>0</v>
      </c>
      <c r="E31" s="18">
        <f t="shared" si="1"/>
        <v>0</v>
      </c>
      <c r="F31" s="22">
        <f>IFERROR(E31/D31,0)</f>
        <v>0</v>
      </c>
      <c r="I31" s="146"/>
    </row>
    <row r="32" spans="1:9" ht="15.75" customHeight="1" thickBot="1" x14ac:dyDescent="0.25">
      <c r="A32" s="23">
        <v>29</v>
      </c>
      <c r="B32" s="186" t="s">
        <v>25</v>
      </c>
      <c r="C32" s="187"/>
      <c r="D32" s="24">
        <f t="shared" si="0"/>
        <v>0</v>
      </c>
      <c r="E32" s="25">
        <f t="shared" si="1"/>
        <v>0</v>
      </c>
      <c r="F32" s="26">
        <f>IFERROR(E32/D32,0)</f>
        <v>0</v>
      </c>
    </row>
    <row r="33" spans="1:14" x14ac:dyDescent="0.2">
      <c r="B33" s="14" t="s">
        <v>35</v>
      </c>
      <c r="C33" s="14"/>
      <c r="D33" s="64">
        <f>SUM(D5:D32)</f>
        <v>269950015</v>
      </c>
      <c r="E33" s="5">
        <f>SUM(E5:E32)</f>
        <v>2272008424</v>
      </c>
      <c r="F33" s="9">
        <f t="shared" si="2"/>
        <v>8.4164041405961765</v>
      </c>
    </row>
    <row r="34" spans="1:14" ht="15" thickBot="1" x14ac:dyDescent="0.25">
      <c r="H34" s="71"/>
      <c r="I34" s="71"/>
      <c r="J34" s="71"/>
      <c r="K34" s="71"/>
      <c r="L34" s="71"/>
      <c r="M34" s="71"/>
      <c r="N34" s="71"/>
    </row>
    <row r="35" spans="1:14" ht="29.25" customHeight="1" x14ac:dyDescent="0.2">
      <c r="A35" s="27" t="s">
        <v>26</v>
      </c>
      <c r="B35" s="194" t="s">
        <v>471</v>
      </c>
      <c r="C35" s="195"/>
      <c r="D35" s="29" t="s">
        <v>27</v>
      </c>
      <c r="E35" s="29" t="s">
        <v>467</v>
      </c>
      <c r="F35" s="30" t="s">
        <v>468</v>
      </c>
    </row>
    <row r="36" spans="1:14" x14ac:dyDescent="0.2">
      <c r="A36" s="20">
        <v>1</v>
      </c>
      <c r="B36" s="184" t="s">
        <v>0</v>
      </c>
      <c r="C36" s="185"/>
      <c r="D36" s="15">
        <f>SUM('1:57'!D36)</f>
        <v>1551137</v>
      </c>
      <c r="E36" s="16">
        <f>SUM('1:57'!E36)</f>
        <v>2967127</v>
      </c>
      <c r="F36" s="21">
        <f t="shared" ref="F36:F64" si="3">IFERROR(E36/D36,"")</f>
        <v>1.9128722994809615</v>
      </c>
    </row>
    <row r="37" spans="1:14" x14ac:dyDescent="0.2">
      <c r="A37" s="20">
        <v>2</v>
      </c>
      <c r="B37" s="184" t="s">
        <v>1</v>
      </c>
      <c r="C37" s="185"/>
      <c r="D37" s="15">
        <f>SUM('1:57'!D37)</f>
        <v>3763085</v>
      </c>
      <c r="E37" s="18">
        <f>SUM('1:57'!E37)</f>
        <v>7682498</v>
      </c>
      <c r="F37" s="22">
        <f t="shared" si="3"/>
        <v>2.0415425109982901</v>
      </c>
    </row>
    <row r="38" spans="1:14" x14ac:dyDescent="0.2">
      <c r="A38" s="20">
        <v>3</v>
      </c>
      <c r="B38" s="184" t="s">
        <v>2</v>
      </c>
      <c r="C38" s="185"/>
      <c r="D38" s="15">
        <f>SUM('1:57'!D38)</f>
        <v>31074434</v>
      </c>
      <c r="E38" s="18">
        <f>SUM('1:57'!E38)</f>
        <v>32810791</v>
      </c>
      <c r="F38" s="22">
        <f t="shared" si="3"/>
        <v>1.0558773492061031</v>
      </c>
    </row>
    <row r="39" spans="1:14" x14ac:dyDescent="0.2">
      <c r="A39" s="20">
        <v>4</v>
      </c>
      <c r="B39" s="184" t="s">
        <v>3</v>
      </c>
      <c r="C39" s="185"/>
      <c r="D39" s="15">
        <f>SUM('1:57'!D39)</f>
        <v>18277419</v>
      </c>
      <c r="E39" s="18">
        <f>SUM('1:57'!E39)</f>
        <v>20195638</v>
      </c>
      <c r="F39" s="22">
        <f t="shared" si="3"/>
        <v>1.1049502120622172</v>
      </c>
    </row>
    <row r="40" spans="1:14" x14ac:dyDescent="0.2">
      <c r="A40" s="20">
        <v>5</v>
      </c>
      <c r="B40" s="184" t="s">
        <v>4</v>
      </c>
      <c r="C40" s="185"/>
      <c r="D40" s="15">
        <f>SUM('1:57'!D40)</f>
        <v>146309</v>
      </c>
      <c r="E40" s="18">
        <f>SUM('1:57'!E40)</f>
        <v>3242038</v>
      </c>
      <c r="F40" s="22">
        <f t="shared" si="3"/>
        <v>22.158841903095503</v>
      </c>
    </row>
    <row r="41" spans="1:14" x14ac:dyDescent="0.2">
      <c r="A41" s="20">
        <v>6</v>
      </c>
      <c r="B41" s="184" t="s">
        <v>5</v>
      </c>
      <c r="C41" s="185"/>
      <c r="D41" s="15">
        <f>SUM('1:57'!D41)</f>
        <v>4054192</v>
      </c>
      <c r="E41" s="18">
        <f>SUM('1:57'!E41)</f>
        <v>10290344</v>
      </c>
      <c r="F41" s="22">
        <f t="shared" si="3"/>
        <v>2.5381984868994856</v>
      </c>
    </row>
    <row r="42" spans="1:14" x14ac:dyDescent="0.2">
      <c r="A42" s="20">
        <v>7</v>
      </c>
      <c r="B42" s="184" t="s">
        <v>6</v>
      </c>
      <c r="C42" s="185"/>
      <c r="D42" s="15">
        <f>SUM('1:57'!D42)</f>
        <v>11481191</v>
      </c>
      <c r="E42" s="18">
        <f>SUM('1:57'!E42)</f>
        <v>23283792</v>
      </c>
      <c r="F42" s="22">
        <f t="shared" si="3"/>
        <v>2.0279944824539546</v>
      </c>
    </row>
    <row r="43" spans="1:14" x14ac:dyDescent="0.2">
      <c r="A43" s="20">
        <v>8</v>
      </c>
      <c r="B43" s="184" t="s">
        <v>7</v>
      </c>
      <c r="C43" s="185"/>
      <c r="D43" s="15">
        <f>SUM('1:57'!D43)</f>
        <v>1612212</v>
      </c>
      <c r="E43" s="18">
        <f>SUM('1:57'!E43)</f>
        <v>4576316</v>
      </c>
      <c r="F43" s="22">
        <f t="shared" si="3"/>
        <v>2.8385324014459639</v>
      </c>
    </row>
    <row r="44" spans="1:14" x14ac:dyDescent="0.2">
      <c r="A44" s="20">
        <v>9</v>
      </c>
      <c r="B44" s="184" t="s">
        <v>8</v>
      </c>
      <c r="C44" s="185"/>
      <c r="D44" s="15">
        <f>SUM('1:57'!D44)</f>
        <v>9431343</v>
      </c>
      <c r="E44" s="18">
        <f>SUM('1:57'!E44)</f>
        <v>12400648</v>
      </c>
      <c r="F44" s="22">
        <f t="shared" si="3"/>
        <v>1.3148337410695381</v>
      </c>
    </row>
    <row r="45" spans="1:14" x14ac:dyDescent="0.2">
      <c r="A45" s="20">
        <v>10</v>
      </c>
      <c r="B45" s="184" t="s">
        <v>9</v>
      </c>
      <c r="C45" s="185"/>
      <c r="D45" s="15">
        <f>SUM('1:57'!D45)</f>
        <v>294975</v>
      </c>
      <c r="E45" s="18">
        <f>SUM('1:57'!E45)</f>
        <v>679278</v>
      </c>
      <c r="F45" s="22">
        <f t="shared" si="3"/>
        <v>2.302832443427409</v>
      </c>
    </row>
    <row r="46" spans="1:14" x14ac:dyDescent="0.2">
      <c r="A46" s="20">
        <v>11</v>
      </c>
      <c r="B46" s="184" t="s">
        <v>10</v>
      </c>
      <c r="C46" s="185"/>
      <c r="D46" s="15">
        <f>SUM('1:57'!D46)</f>
        <v>7217480</v>
      </c>
      <c r="E46" s="18">
        <f>SUM('1:57'!E46)</f>
        <v>11803661</v>
      </c>
      <c r="F46" s="22">
        <f t="shared" si="3"/>
        <v>1.6354269080066728</v>
      </c>
    </row>
    <row r="47" spans="1:14" x14ac:dyDescent="0.2">
      <c r="A47" s="20">
        <v>12</v>
      </c>
      <c r="B47" s="184" t="s">
        <v>11</v>
      </c>
      <c r="C47" s="185"/>
      <c r="D47" s="15">
        <f>SUM('1:57'!D47)</f>
        <v>41737869</v>
      </c>
      <c r="E47" s="18">
        <f>SUM('1:57'!E47)</f>
        <v>37124038</v>
      </c>
      <c r="F47" s="22">
        <f t="shared" si="3"/>
        <v>0.88945695814034009</v>
      </c>
    </row>
    <row r="48" spans="1:14" x14ac:dyDescent="0.2">
      <c r="A48" s="20">
        <v>13</v>
      </c>
      <c r="B48" s="184" t="s">
        <v>12</v>
      </c>
      <c r="C48" s="185"/>
      <c r="D48" s="15">
        <f>SUM('1:57'!D48)</f>
        <v>6273530</v>
      </c>
      <c r="E48" s="18">
        <f>SUM('1:57'!E48)</f>
        <v>4302113</v>
      </c>
      <c r="F48" s="22">
        <f t="shared" si="3"/>
        <v>0.685756344514173</v>
      </c>
    </row>
    <row r="49" spans="1:6" x14ac:dyDescent="0.2">
      <c r="A49" s="20">
        <v>14</v>
      </c>
      <c r="B49" s="184" t="s">
        <v>469</v>
      </c>
      <c r="C49" s="185"/>
      <c r="D49" s="15">
        <f>SUM('1:57'!D49)</f>
        <v>7872304</v>
      </c>
      <c r="E49" s="18">
        <f>SUM('1:57'!E49)</f>
        <v>16201514</v>
      </c>
      <c r="F49" s="22">
        <f t="shared" si="3"/>
        <v>2.058039679361976</v>
      </c>
    </row>
    <row r="50" spans="1:6" x14ac:dyDescent="0.2">
      <c r="A50" s="20">
        <v>15</v>
      </c>
      <c r="B50" s="184" t="s">
        <v>13</v>
      </c>
      <c r="C50" s="185"/>
      <c r="D50" s="15">
        <f>SUM('1:57'!D50)</f>
        <v>480943</v>
      </c>
      <c r="E50" s="18">
        <f>SUM('1:57'!E50)</f>
        <v>2043464</v>
      </c>
      <c r="F50" s="22">
        <f t="shared" si="3"/>
        <v>4.2488694086409406</v>
      </c>
    </row>
    <row r="51" spans="1:6" x14ac:dyDescent="0.2">
      <c r="A51" s="20">
        <v>16</v>
      </c>
      <c r="B51" s="184" t="s">
        <v>14</v>
      </c>
      <c r="C51" s="185"/>
      <c r="D51" s="15">
        <f>SUM('1:57'!D51)</f>
        <v>11012371</v>
      </c>
      <c r="E51" s="18">
        <f>SUM('1:57'!E51)</f>
        <v>20841789</v>
      </c>
      <c r="F51" s="22">
        <f t="shared" si="3"/>
        <v>1.892579627039445</v>
      </c>
    </row>
    <row r="52" spans="1:6" x14ac:dyDescent="0.2">
      <c r="A52" s="20">
        <v>17</v>
      </c>
      <c r="B52" s="184" t="s">
        <v>15</v>
      </c>
      <c r="C52" s="185"/>
      <c r="D52" s="15">
        <f>SUM('1:57'!D52)</f>
        <v>888794</v>
      </c>
      <c r="E52" s="18">
        <f>SUM('1:57'!E52)</f>
        <v>1554355</v>
      </c>
      <c r="F52" s="22">
        <f t="shared" si="3"/>
        <v>1.7488360632497519</v>
      </c>
    </row>
    <row r="53" spans="1:6" x14ac:dyDescent="0.2">
      <c r="A53" s="20">
        <v>18</v>
      </c>
      <c r="B53" s="184" t="s">
        <v>16</v>
      </c>
      <c r="C53" s="185"/>
      <c r="D53" s="15">
        <f>SUM('1:57'!D53)</f>
        <v>5007315</v>
      </c>
      <c r="E53" s="18">
        <f>SUM('1:57'!E53)</f>
        <v>5788042</v>
      </c>
      <c r="F53" s="22">
        <f t="shared" si="3"/>
        <v>1.1559172930003405</v>
      </c>
    </row>
    <row r="54" spans="1:6" x14ac:dyDescent="0.2">
      <c r="A54" s="20">
        <v>19</v>
      </c>
      <c r="B54" s="184" t="s">
        <v>17</v>
      </c>
      <c r="C54" s="185"/>
      <c r="D54" s="15">
        <f>SUM('1:57'!D54)</f>
        <v>29177596</v>
      </c>
      <c r="E54" s="18">
        <f>SUM('1:57'!E54)</f>
        <v>20689226</v>
      </c>
      <c r="F54" s="22">
        <f t="shared" si="3"/>
        <v>0.70907918527626468</v>
      </c>
    </row>
    <row r="55" spans="1:6" x14ac:dyDescent="0.2">
      <c r="A55" s="20">
        <v>20</v>
      </c>
      <c r="B55" s="184" t="s">
        <v>18</v>
      </c>
      <c r="C55" s="185"/>
      <c r="D55" s="15">
        <f>SUM('1:57'!D55)</f>
        <v>3129190</v>
      </c>
      <c r="E55" s="18">
        <f>SUM('1:57'!E55)</f>
        <v>5758790</v>
      </c>
      <c r="F55" s="22">
        <f t="shared" si="3"/>
        <v>1.8403452650685961</v>
      </c>
    </row>
    <row r="56" spans="1:6" ht="14.25" customHeight="1" x14ac:dyDescent="0.2">
      <c r="A56" s="20">
        <v>21</v>
      </c>
      <c r="B56" s="184" t="s">
        <v>466</v>
      </c>
      <c r="C56" s="185"/>
      <c r="D56" s="15">
        <f>SUM('1:57'!D56)</f>
        <v>2190639</v>
      </c>
      <c r="E56" s="18">
        <f>SUM('1:57'!E56)</f>
        <v>5980869</v>
      </c>
      <c r="F56" s="22">
        <f t="shared" si="3"/>
        <v>2.7301937927700548</v>
      </c>
    </row>
    <row r="57" spans="1:6" x14ac:dyDescent="0.2">
      <c r="A57" s="20">
        <v>22</v>
      </c>
      <c r="B57" s="184" t="s">
        <v>19</v>
      </c>
      <c r="C57" s="185"/>
      <c r="D57" s="15">
        <f>SUM('1:57'!D57)</f>
        <v>1184901</v>
      </c>
      <c r="E57" s="18">
        <f>SUM('1:57'!E57)</f>
        <v>1805102</v>
      </c>
      <c r="F57" s="22">
        <f t="shared" si="3"/>
        <v>1.5234201000758714</v>
      </c>
    </row>
    <row r="58" spans="1:6" x14ac:dyDescent="0.2">
      <c r="A58" s="20">
        <v>23</v>
      </c>
      <c r="B58" s="184" t="s">
        <v>20</v>
      </c>
      <c r="C58" s="185"/>
      <c r="D58" s="15">
        <f>SUM('1:57'!D58)</f>
        <v>6032718</v>
      </c>
      <c r="E58" s="18">
        <f>SUM('1:57'!E58)</f>
        <v>7846197</v>
      </c>
      <c r="F58" s="22">
        <f t="shared" si="3"/>
        <v>1.3006072884560491</v>
      </c>
    </row>
    <row r="59" spans="1:6" x14ac:dyDescent="0.2">
      <c r="A59" s="20">
        <v>24</v>
      </c>
      <c r="B59" s="184" t="s">
        <v>21</v>
      </c>
      <c r="C59" s="185"/>
      <c r="D59" s="15">
        <f>SUM('1:57'!D59)</f>
        <v>7721120</v>
      </c>
      <c r="E59" s="18">
        <f>SUM('1:57'!E59)</f>
        <v>15979031</v>
      </c>
      <c r="F59" s="22">
        <f t="shared" si="3"/>
        <v>2.0695224267981849</v>
      </c>
    </row>
    <row r="60" spans="1:6" x14ac:dyDescent="0.2">
      <c r="A60" s="20">
        <v>25</v>
      </c>
      <c r="B60" s="184" t="s">
        <v>22</v>
      </c>
      <c r="C60" s="185"/>
      <c r="D60" s="15">
        <f>SUM('1:57'!D60)</f>
        <v>44500548</v>
      </c>
      <c r="E60" s="18">
        <f>SUM('1:57'!E60)</f>
        <v>22582143</v>
      </c>
      <c r="F60" s="22">
        <f t="shared" si="3"/>
        <v>0.50745763849919334</v>
      </c>
    </row>
    <row r="61" spans="1:6" x14ac:dyDescent="0.2">
      <c r="A61" s="20">
        <v>26</v>
      </c>
      <c r="B61" s="184" t="s">
        <v>23</v>
      </c>
      <c r="C61" s="185"/>
      <c r="D61" s="15">
        <f>SUM('1:57'!D61)</f>
        <v>13836400</v>
      </c>
      <c r="E61" s="18">
        <f>SUM('1:57'!E61)</f>
        <v>21509687</v>
      </c>
      <c r="F61" s="22">
        <f t="shared" si="3"/>
        <v>1.5545725044086611</v>
      </c>
    </row>
    <row r="62" spans="1:6" x14ac:dyDescent="0.2">
      <c r="A62" s="20">
        <v>28</v>
      </c>
      <c r="B62" s="184" t="s">
        <v>24</v>
      </c>
      <c r="C62" s="185"/>
      <c r="D62" s="15">
        <f>SUM('1:57'!D62)</f>
        <v>0</v>
      </c>
      <c r="E62" s="18">
        <f>SUM('1:57'!E62)</f>
        <v>0</v>
      </c>
      <c r="F62" s="22" t="str">
        <f t="shared" si="3"/>
        <v/>
      </c>
    </row>
    <row r="63" spans="1:6" ht="15.75" customHeight="1" thickBot="1" x14ac:dyDescent="0.25">
      <c r="A63" s="23">
        <v>29</v>
      </c>
      <c r="B63" s="186" t="s">
        <v>25</v>
      </c>
      <c r="C63" s="187"/>
      <c r="D63" s="24">
        <f>SUM('1:57'!D63)</f>
        <v>0</v>
      </c>
      <c r="E63" s="25">
        <f>SUM('1:57'!E63)</f>
        <v>0</v>
      </c>
      <c r="F63" s="26" t="str">
        <f t="shared" si="3"/>
        <v/>
      </c>
    </row>
    <row r="64" spans="1:6" x14ac:dyDescent="0.2">
      <c r="C64" s="14" t="s">
        <v>35</v>
      </c>
      <c r="D64" s="64">
        <f>SUM(D36:D63)</f>
        <v>269950015</v>
      </c>
      <c r="E64" s="5">
        <f>SUM(E36:E63)</f>
        <v>319938491</v>
      </c>
      <c r="F64" s="9">
        <f t="shared" si="3"/>
        <v>1.1851767854134032</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1551137</v>
      </c>
      <c r="E67" s="16">
        <f>SUM('1:57'!E67)</f>
        <v>5010423</v>
      </c>
      <c r="F67" s="21">
        <f>IFERROR(E67/D67,"")</f>
        <v>3.2301614879923566</v>
      </c>
    </row>
    <row r="68" spans="1:6" x14ac:dyDescent="0.2">
      <c r="A68" s="20">
        <v>2</v>
      </c>
      <c r="B68" s="184" t="s">
        <v>1</v>
      </c>
      <c r="C68" s="185"/>
      <c r="D68" s="15">
        <f t="shared" ref="D68:D94" si="4">D37</f>
        <v>3763085</v>
      </c>
      <c r="E68" s="18">
        <f>SUM('1:57'!E68)</f>
        <v>15242530</v>
      </c>
      <c r="F68" s="22">
        <f t="shared" ref="F68:F95" si="5">IFERROR(E68/D68,"")</f>
        <v>4.0505409790105729</v>
      </c>
    </row>
    <row r="69" spans="1:6" x14ac:dyDescent="0.2">
      <c r="A69" s="20">
        <v>3</v>
      </c>
      <c r="B69" s="184" t="s">
        <v>2</v>
      </c>
      <c r="C69" s="185"/>
      <c r="D69" s="15">
        <f t="shared" si="4"/>
        <v>31074434</v>
      </c>
      <c r="E69" s="18">
        <f>SUM('1:57'!E69)</f>
        <v>90989788</v>
      </c>
      <c r="F69" s="22">
        <f t="shared" si="5"/>
        <v>2.928123743138813</v>
      </c>
    </row>
    <row r="70" spans="1:6" x14ac:dyDescent="0.2">
      <c r="A70" s="20">
        <v>4</v>
      </c>
      <c r="B70" s="184" t="s">
        <v>3</v>
      </c>
      <c r="C70" s="185"/>
      <c r="D70" s="15">
        <f t="shared" si="4"/>
        <v>18277419</v>
      </c>
      <c r="E70" s="18">
        <f>SUM('1:57'!E70)</f>
        <v>55628055</v>
      </c>
      <c r="F70" s="22">
        <f t="shared" si="5"/>
        <v>3.0435399549575353</v>
      </c>
    </row>
    <row r="71" spans="1:6" x14ac:dyDescent="0.2">
      <c r="A71" s="20">
        <v>5</v>
      </c>
      <c r="B71" s="184" t="s">
        <v>4</v>
      </c>
      <c r="C71" s="185"/>
      <c r="D71" s="15">
        <f t="shared" si="4"/>
        <v>146309</v>
      </c>
      <c r="E71" s="18">
        <f>SUM('1:57'!E71)</f>
        <v>1331736</v>
      </c>
      <c r="F71" s="22">
        <f t="shared" si="5"/>
        <v>9.1022151747329278</v>
      </c>
    </row>
    <row r="72" spans="1:6" x14ac:dyDescent="0.2">
      <c r="A72" s="20">
        <v>6</v>
      </c>
      <c r="B72" s="184" t="s">
        <v>5</v>
      </c>
      <c r="C72" s="185"/>
      <c r="D72" s="15">
        <f t="shared" si="4"/>
        <v>4054192</v>
      </c>
      <c r="E72" s="18">
        <f>SUM('1:57'!E72)</f>
        <v>10428995</v>
      </c>
      <c r="F72" s="22">
        <f t="shared" si="5"/>
        <v>2.5723979032073467</v>
      </c>
    </row>
    <row r="73" spans="1:6" x14ac:dyDescent="0.2">
      <c r="A73" s="20">
        <v>7</v>
      </c>
      <c r="B73" s="184" t="s">
        <v>6</v>
      </c>
      <c r="C73" s="185"/>
      <c r="D73" s="15">
        <f t="shared" si="4"/>
        <v>11481191</v>
      </c>
      <c r="E73" s="18">
        <f>SUM('1:57'!E73)</f>
        <v>46457788</v>
      </c>
      <c r="F73" s="22">
        <f t="shared" si="5"/>
        <v>4.0464258455416342</v>
      </c>
    </row>
    <row r="74" spans="1:6" x14ac:dyDescent="0.2">
      <c r="A74" s="20">
        <v>8</v>
      </c>
      <c r="B74" s="184" t="s">
        <v>7</v>
      </c>
      <c r="C74" s="185"/>
      <c r="D74" s="15">
        <f t="shared" si="4"/>
        <v>1612212</v>
      </c>
      <c r="E74" s="18">
        <f>SUM('1:57'!E74)</f>
        <v>6500944</v>
      </c>
      <c r="F74" s="22">
        <f t="shared" si="5"/>
        <v>4.0323133682170829</v>
      </c>
    </row>
    <row r="75" spans="1:6" x14ac:dyDescent="0.2">
      <c r="A75" s="20">
        <v>9</v>
      </c>
      <c r="B75" s="184" t="s">
        <v>8</v>
      </c>
      <c r="C75" s="185"/>
      <c r="D75" s="15">
        <f t="shared" si="4"/>
        <v>9431343</v>
      </c>
      <c r="E75" s="18">
        <f>SUM('1:57'!E75)</f>
        <v>25094595</v>
      </c>
      <c r="F75" s="22">
        <f t="shared" si="5"/>
        <v>2.6607658103411147</v>
      </c>
    </row>
    <row r="76" spans="1:6" x14ac:dyDescent="0.2">
      <c r="A76" s="20">
        <v>10</v>
      </c>
      <c r="B76" s="184" t="s">
        <v>9</v>
      </c>
      <c r="C76" s="185"/>
      <c r="D76" s="15">
        <f t="shared" si="4"/>
        <v>294975</v>
      </c>
      <c r="E76" s="18">
        <f>SUM('1:57'!E76)</f>
        <v>1525438</v>
      </c>
      <c r="F76" s="22">
        <f t="shared" si="5"/>
        <v>5.1714145266548011</v>
      </c>
    </row>
    <row r="77" spans="1:6" x14ac:dyDescent="0.2">
      <c r="A77" s="20">
        <v>11</v>
      </c>
      <c r="B77" s="184" t="s">
        <v>10</v>
      </c>
      <c r="C77" s="185"/>
      <c r="D77" s="15">
        <f t="shared" si="4"/>
        <v>7217480</v>
      </c>
      <c r="E77" s="18">
        <f>SUM('1:57'!E77)</f>
        <v>21566205</v>
      </c>
      <c r="F77" s="22">
        <f t="shared" si="5"/>
        <v>2.9880519239402119</v>
      </c>
    </row>
    <row r="78" spans="1:6" x14ac:dyDescent="0.2">
      <c r="A78" s="20">
        <v>12</v>
      </c>
      <c r="B78" s="184" t="s">
        <v>11</v>
      </c>
      <c r="C78" s="185"/>
      <c r="D78" s="15">
        <f t="shared" si="4"/>
        <v>41737869</v>
      </c>
      <c r="E78" s="18">
        <f>SUM('1:57'!E78)</f>
        <v>148877608</v>
      </c>
      <c r="F78" s="22">
        <f t="shared" si="5"/>
        <v>3.5669671587689349</v>
      </c>
    </row>
    <row r="79" spans="1:6" x14ac:dyDescent="0.2">
      <c r="A79" s="20">
        <v>13</v>
      </c>
      <c r="B79" s="184" t="s">
        <v>12</v>
      </c>
      <c r="C79" s="185"/>
      <c r="D79" s="15">
        <f t="shared" si="4"/>
        <v>6273530</v>
      </c>
      <c r="E79" s="18">
        <f>SUM('1:57'!E79)</f>
        <v>19070455</v>
      </c>
      <c r="F79" s="22">
        <f t="shared" si="5"/>
        <v>3.0398284538369946</v>
      </c>
    </row>
    <row r="80" spans="1:6" x14ac:dyDescent="0.2">
      <c r="A80" s="20">
        <v>14</v>
      </c>
      <c r="B80" s="184" t="s">
        <v>469</v>
      </c>
      <c r="C80" s="185"/>
      <c r="D80" s="15">
        <f t="shared" si="4"/>
        <v>7872304</v>
      </c>
      <c r="E80" s="18">
        <f>SUM('1:57'!E80)</f>
        <v>50016684</v>
      </c>
      <c r="F80" s="22">
        <f t="shared" si="5"/>
        <v>6.3535000680868015</v>
      </c>
    </row>
    <row r="81" spans="1:6" x14ac:dyDescent="0.2">
      <c r="A81" s="20">
        <v>15</v>
      </c>
      <c r="B81" s="184" t="s">
        <v>13</v>
      </c>
      <c r="C81" s="185"/>
      <c r="D81" s="15">
        <f t="shared" si="4"/>
        <v>480943</v>
      </c>
      <c r="E81" s="18">
        <f>SUM('1:57'!E81)</f>
        <v>4661364</v>
      </c>
      <c r="F81" s="22">
        <f t="shared" si="5"/>
        <v>9.692133995088815</v>
      </c>
    </row>
    <row r="82" spans="1:6" x14ac:dyDescent="0.2">
      <c r="A82" s="20">
        <v>16</v>
      </c>
      <c r="B82" s="184" t="s">
        <v>14</v>
      </c>
      <c r="C82" s="185"/>
      <c r="D82" s="15">
        <f t="shared" si="4"/>
        <v>11012371</v>
      </c>
      <c r="E82" s="18">
        <f>SUM('1:57'!E82)</f>
        <v>46887614</v>
      </c>
      <c r="F82" s="22">
        <f t="shared" si="5"/>
        <v>4.2577219746773878</v>
      </c>
    </row>
    <row r="83" spans="1:6" x14ac:dyDescent="0.2">
      <c r="A83" s="20">
        <v>17</v>
      </c>
      <c r="B83" s="184" t="s">
        <v>15</v>
      </c>
      <c r="C83" s="185"/>
      <c r="D83" s="15">
        <f t="shared" si="4"/>
        <v>888794</v>
      </c>
      <c r="E83" s="18">
        <f>SUM('1:57'!E83)</f>
        <v>6174313</v>
      </c>
      <c r="F83" s="22">
        <f t="shared" si="5"/>
        <v>6.9468437005650356</v>
      </c>
    </row>
    <row r="84" spans="1:6" x14ac:dyDescent="0.2">
      <c r="A84" s="20">
        <v>18</v>
      </c>
      <c r="B84" s="184" t="s">
        <v>16</v>
      </c>
      <c r="C84" s="185"/>
      <c r="D84" s="15">
        <f t="shared" si="4"/>
        <v>5007315</v>
      </c>
      <c r="E84" s="18">
        <f>SUM('1:57'!E84)</f>
        <v>23649980</v>
      </c>
      <c r="F84" s="22">
        <f t="shared" si="5"/>
        <v>4.7230861249991261</v>
      </c>
    </row>
    <row r="85" spans="1:6" x14ac:dyDescent="0.2">
      <c r="A85" s="20">
        <v>19</v>
      </c>
      <c r="B85" s="184" t="s">
        <v>17</v>
      </c>
      <c r="C85" s="185"/>
      <c r="D85" s="15">
        <f t="shared" si="4"/>
        <v>29177596</v>
      </c>
      <c r="E85" s="18">
        <f>SUM('1:57'!E85)</f>
        <v>90004834</v>
      </c>
      <c r="F85" s="22">
        <f t="shared" si="5"/>
        <v>3.0847241150367561</v>
      </c>
    </row>
    <row r="86" spans="1:6" x14ac:dyDescent="0.2">
      <c r="A86" s="20">
        <v>20</v>
      </c>
      <c r="B86" s="184" t="s">
        <v>18</v>
      </c>
      <c r="C86" s="185"/>
      <c r="D86" s="15">
        <f t="shared" si="4"/>
        <v>3129190</v>
      </c>
      <c r="E86" s="18">
        <f>SUM('1:57'!E86)</f>
        <v>13872570</v>
      </c>
      <c r="F86" s="22">
        <f t="shared" si="5"/>
        <v>4.4332782605083105</v>
      </c>
    </row>
    <row r="87" spans="1:6" x14ac:dyDescent="0.2">
      <c r="A87" s="20">
        <v>21</v>
      </c>
      <c r="B87" s="184" t="s">
        <v>466</v>
      </c>
      <c r="C87" s="185"/>
      <c r="D87" s="15">
        <f t="shared" si="4"/>
        <v>2190639</v>
      </c>
      <c r="E87" s="18">
        <f>SUM('1:57'!E87)</f>
        <v>8080241</v>
      </c>
      <c r="F87" s="22">
        <f t="shared" si="5"/>
        <v>3.6885315197985609</v>
      </c>
    </row>
    <row r="88" spans="1:6" x14ac:dyDescent="0.2">
      <c r="A88" s="20">
        <v>22</v>
      </c>
      <c r="B88" s="184" t="s">
        <v>19</v>
      </c>
      <c r="C88" s="185"/>
      <c r="D88" s="15">
        <f t="shared" si="4"/>
        <v>1184901</v>
      </c>
      <c r="E88" s="18">
        <f>SUM('1:57'!E88)</f>
        <v>4726909</v>
      </c>
      <c r="F88" s="22">
        <f t="shared" si="5"/>
        <v>3.9892860247396196</v>
      </c>
    </row>
    <row r="89" spans="1:6" x14ac:dyDescent="0.2">
      <c r="A89" s="20">
        <v>23</v>
      </c>
      <c r="B89" s="184" t="s">
        <v>20</v>
      </c>
      <c r="C89" s="185"/>
      <c r="D89" s="15">
        <f t="shared" si="4"/>
        <v>6032718</v>
      </c>
      <c r="E89" s="18">
        <f>SUM('1:57'!E89)</f>
        <v>25597664</v>
      </c>
      <c r="F89" s="22">
        <f t="shared" si="5"/>
        <v>4.2431394936743274</v>
      </c>
    </row>
    <row r="90" spans="1:6" x14ac:dyDescent="0.2">
      <c r="A90" s="20">
        <v>24</v>
      </c>
      <c r="B90" s="184" t="s">
        <v>21</v>
      </c>
      <c r="C90" s="185"/>
      <c r="D90" s="15">
        <f t="shared" si="4"/>
        <v>7721120</v>
      </c>
      <c r="E90" s="18">
        <f>SUM('1:57'!E90)</f>
        <v>21012008</v>
      </c>
      <c r="F90" s="22">
        <f t="shared" si="5"/>
        <v>2.7213678844519964</v>
      </c>
    </row>
    <row r="91" spans="1:6" x14ac:dyDescent="0.2">
      <c r="A91" s="20">
        <v>25</v>
      </c>
      <c r="B91" s="184" t="s">
        <v>22</v>
      </c>
      <c r="C91" s="185"/>
      <c r="D91" s="15">
        <f t="shared" si="4"/>
        <v>44500548</v>
      </c>
      <c r="E91" s="18">
        <f>SUM('1:57'!E91)</f>
        <v>122993471</v>
      </c>
      <c r="F91" s="22">
        <f t="shared" si="5"/>
        <v>2.7638641888185287</v>
      </c>
    </row>
    <row r="92" spans="1:6" x14ac:dyDescent="0.2">
      <c r="A92" s="20">
        <v>26</v>
      </c>
      <c r="B92" s="184" t="s">
        <v>23</v>
      </c>
      <c r="C92" s="185"/>
      <c r="D92" s="15">
        <f t="shared" si="4"/>
        <v>13836400</v>
      </c>
      <c r="E92" s="18">
        <f>SUM('1:57'!E92)</f>
        <v>60058989</v>
      </c>
      <c r="F92" s="22">
        <f t="shared" si="5"/>
        <v>4.3406513977624241</v>
      </c>
    </row>
    <row r="93" spans="1:6" x14ac:dyDescent="0.2">
      <c r="A93" s="20">
        <v>28</v>
      </c>
      <c r="B93" s="184" t="s">
        <v>24</v>
      </c>
      <c r="C93" s="185"/>
      <c r="D93" s="15">
        <f t="shared" si="4"/>
        <v>0</v>
      </c>
      <c r="E93" s="18">
        <f>SUM('1:57'!E93)</f>
        <v>0</v>
      </c>
      <c r="F93" s="22" t="str">
        <f t="shared" si="5"/>
        <v/>
      </c>
    </row>
    <row r="94" spans="1:6" ht="15.75" customHeight="1" thickBot="1" x14ac:dyDescent="0.25">
      <c r="A94" s="23">
        <v>29</v>
      </c>
      <c r="B94" s="186" t="s">
        <v>25</v>
      </c>
      <c r="C94" s="187"/>
      <c r="D94" s="24">
        <f t="shared" si="4"/>
        <v>0</v>
      </c>
      <c r="E94" s="25">
        <f>SUM('1:57'!E94)</f>
        <v>0</v>
      </c>
      <c r="F94" s="26" t="str">
        <f t="shared" si="5"/>
        <v/>
      </c>
    </row>
    <row r="95" spans="1:6" x14ac:dyDescent="0.2">
      <c r="C95" s="14" t="s">
        <v>35</v>
      </c>
      <c r="D95" s="64">
        <f>SUM(D67:D94)</f>
        <v>269950015</v>
      </c>
      <c r="E95" s="5">
        <f>SUM(E67:E94)</f>
        <v>925461201</v>
      </c>
      <c r="F95" s="9">
        <f t="shared" si="5"/>
        <v>3.4282687519020882</v>
      </c>
    </row>
    <row r="96" spans="1:6" ht="15" thickBot="1" x14ac:dyDescent="0.25"/>
    <row r="97" spans="2:8" ht="29.25" customHeight="1" x14ac:dyDescent="0.2">
      <c r="B97" s="188" t="s">
        <v>473</v>
      </c>
      <c r="C97" s="189"/>
      <c r="D97" s="29" t="s">
        <v>27</v>
      </c>
      <c r="E97" s="34" t="s">
        <v>467</v>
      </c>
      <c r="F97" s="30" t="s">
        <v>468</v>
      </c>
    </row>
    <row r="98" spans="2:8" x14ac:dyDescent="0.2">
      <c r="B98" s="190" t="s">
        <v>30</v>
      </c>
      <c r="C98" s="191"/>
      <c r="D98" s="36"/>
      <c r="E98" s="16">
        <f>SUM('1:57'!E98)</f>
        <v>428520273</v>
      </c>
      <c r="F98" s="21">
        <f t="shared" ref="F98:F105" si="6">IFERROR(E98/$D$95,"")</f>
        <v>1.5874059981067237</v>
      </c>
      <c r="H98" s="176"/>
    </row>
    <row r="99" spans="2:8" x14ac:dyDescent="0.2">
      <c r="B99" s="190" t="s">
        <v>31</v>
      </c>
      <c r="C99" s="191"/>
      <c r="D99" s="37"/>
      <c r="E99" s="18">
        <f>SUM('1:57'!E99)</f>
        <v>230697408</v>
      </c>
      <c r="F99" s="22">
        <f t="shared" si="6"/>
        <v>0.85459305494018956</v>
      </c>
      <c r="H99" s="176"/>
    </row>
    <row r="100" spans="2:8" x14ac:dyDescent="0.2">
      <c r="B100" s="190" t="s">
        <v>32</v>
      </c>
      <c r="C100" s="191"/>
      <c r="D100" s="37"/>
      <c r="E100" s="18">
        <f>SUM('1:57'!E100)</f>
        <v>238198071</v>
      </c>
      <c r="F100" s="22">
        <f t="shared" si="6"/>
        <v>0.88237843217011858</v>
      </c>
      <c r="H100" s="176"/>
    </row>
    <row r="101" spans="2:8" x14ac:dyDescent="0.2">
      <c r="B101" s="190" t="s">
        <v>28</v>
      </c>
      <c r="C101" s="191"/>
      <c r="D101" s="37"/>
      <c r="E101" s="18">
        <f>SUM('1:57'!E101)</f>
        <v>824232</v>
      </c>
      <c r="F101" s="22">
        <f t="shared" si="6"/>
        <v>3.0532763630333566E-3</v>
      </c>
      <c r="H101" s="176"/>
    </row>
    <row r="102" spans="2:8" x14ac:dyDescent="0.2">
      <c r="B102" s="190" t="s">
        <v>33</v>
      </c>
      <c r="C102" s="191"/>
      <c r="D102" s="37"/>
      <c r="E102" s="18">
        <f>SUM('1:57'!E102)</f>
        <v>24519546</v>
      </c>
      <c r="F102" s="22">
        <f t="shared" si="6"/>
        <v>9.0829948648085829E-2</v>
      </c>
      <c r="H102" s="176"/>
    </row>
    <row r="103" spans="2:8" x14ac:dyDescent="0.2">
      <c r="B103" s="192" t="s">
        <v>34</v>
      </c>
      <c r="C103" s="193"/>
      <c r="D103" s="37"/>
      <c r="E103" s="18">
        <f>SUM('1:57'!E103)</f>
        <v>43583803</v>
      </c>
      <c r="F103" s="22">
        <f t="shared" si="6"/>
        <v>0.16145138202715048</v>
      </c>
      <c r="H103" s="176"/>
    </row>
    <row r="104" spans="2:8" ht="15.75" customHeight="1" thickBot="1" x14ac:dyDescent="0.25">
      <c r="B104" s="182" t="s">
        <v>29</v>
      </c>
      <c r="C104" s="183"/>
      <c r="D104" s="38"/>
      <c r="E104" s="25">
        <f>SUM('1:57'!E104)</f>
        <v>60265399</v>
      </c>
      <c r="F104" s="26">
        <f t="shared" si="6"/>
        <v>0.22324651102538373</v>
      </c>
      <c r="H104" s="176"/>
    </row>
    <row r="105" spans="2:8" x14ac:dyDescent="0.2">
      <c r="C105" s="14" t="s">
        <v>35</v>
      </c>
      <c r="D105" s="13">
        <f>D95</f>
        <v>269950015</v>
      </c>
      <c r="E105" s="5">
        <f>SUM(E98:E104)</f>
        <v>1026608732</v>
      </c>
      <c r="F105" s="9">
        <f t="shared" si="6"/>
        <v>3.8029586032806852</v>
      </c>
      <c r="H105" s="176"/>
    </row>
    <row r="107" spans="2:8" ht="15" thickBot="1" x14ac:dyDescent="0.25">
      <c r="B107" s="12" t="s">
        <v>940</v>
      </c>
    </row>
    <row r="108" spans="2:8" ht="28.5" x14ac:dyDescent="0.2">
      <c r="B108" s="46" t="s">
        <v>934</v>
      </c>
      <c r="C108" s="28" t="s">
        <v>938</v>
      </c>
      <c r="D108" s="28" t="s">
        <v>29</v>
      </c>
      <c r="E108" s="28" t="s">
        <v>939</v>
      </c>
      <c r="F108" s="47" t="s">
        <v>35</v>
      </c>
    </row>
    <row r="109" spans="2:8" x14ac:dyDescent="0.2">
      <c r="B109" s="43" t="s">
        <v>935</v>
      </c>
      <c r="C109" s="16">
        <f>SUM('1:57'!C109)</f>
        <v>925461201</v>
      </c>
      <c r="D109" s="16">
        <f>SUM('1:57'!D109)</f>
        <v>0</v>
      </c>
      <c r="E109" s="16">
        <f>SUM('1:57'!E109)</f>
        <v>0</v>
      </c>
      <c r="F109" s="48">
        <f>SUM('1:57'!F109)</f>
        <v>925461201</v>
      </c>
    </row>
    <row r="110" spans="2:8" x14ac:dyDescent="0.2">
      <c r="B110" s="43" t="s">
        <v>28</v>
      </c>
      <c r="C110" s="51">
        <f>SUM('1:57'!C110)</f>
        <v>0</v>
      </c>
      <c r="D110" s="52">
        <f>SUM('1:57'!D110)</f>
        <v>0</v>
      </c>
      <c r="E110" s="51">
        <f>SUM('1:57'!E110)</f>
        <v>0</v>
      </c>
      <c r="F110" s="49">
        <f>SUM('1:57'!F110)</f>
        <v>0</v>
      </c>
    </row>
    <row r="111" spans="2:8" x14ac:dyDescent="0.2">
      <c r="B111" s="43" t="s">
        <v>936</v>
      </c>
      <c r="C111" s="51">
        <f>SUM('1:57'!C111)</f>
        <v>0</v>
      </c>
      <c r="D111" s="52">
        <f>SUM('1:57'!D111)</f>
        <v>0</v>
      </c>
      <c r="E111" s="51">
        <f>SUM('1:57'!E111)</f>
        <v>0</v>
      </c>
      <c r="F111" s="49">
        <f>SUM('1:57'!F111)</f>
        <v>0</v>
      </c>
    </row>
    <row r="112" spans="2:8" x14ac:dyDescent="0.2">
      <c r="B112" s="43" t="s">
        <v>32</v>
      </c>
      <c r="C112" s="51">
        <f>SUM('1:57'!C112)</f>
        <v>0</v>
      </c>
      <c r="D112" s="52">
        <f>SUM('1:57'!D112)</f>
        <v>0</v>
      </c>
      <c r="E112" s="51">
        <f>SUM('1:57'!E112)</f>
        <v>0</v>
      </c>
      <c r="F112" s="49">
        <f>SUM('1:57'!F112)</f>
        <v>0</v>
      </c>
    </row>
    <row r="113" spans="1:6" x14ac:dyDescent="0.2">
      <c r="B113" s="43" t="s">
        <v>31</v>
      </c>
      <c r="C113" s="51">
        <f>SUM('1:57'!C113)</f>
        <v>0</v>
      </c>
      <c r="D113" s="52">
        <f>SUM('1:57'!D113)</f>
        <v>0</v>
      </c>
      <c r="E113" s="51">
        <f>SUM('1:57'!E113)</f>
        <v>0</v>
      </c>
      <c r="F113" s="49">
        <f>SUM('1:57'!F113)</f>
        <v>0</v>
      </c>
    </row>
    <row r="114" spans="1:6" x14ac:dyDescent="0.2">
      <c r="B114" s="43" t="s">
        <v>1021</v>
      </c>
      <c r="C114" s="51">
        <f>SUM('1:57'!C114)</f>
        <v>0</v>
      </c>
      <c r="D114" s="52">
        <f>SUM('1:57'!D114)</f>
        <v>0</v>
      </c>
      <c r="E114" s="51">
        <f>SUM('1:57'!E114)</f>
        <v>0</v>
      </c>
      <c r="F114" s="49">
        <f>SUM('1:57'!F114)</f>
        <v>0</v>
      </c>
    </row>
    <row r="115" spans="1:6" x14ac:dyDescent="0.2">
      <c r="B115" s="43" t="s">
        <v>937</v>
      </c>
      <c r="C115" s="51">
        <f>SUM('1:57'!C115)</f>
        <v>0</v>
      </c>
      <c r="D115" s="51">
        <f>SUM('1:57'!D115)</f>
        <v>0</v>
      </c>
      <c r="E115" s="51">
        <f>SUM('1:57'!E115)</f>
        <v>0</v>
      </c>
      <c r="F115" s="49">
        <f>SUM('1:57'!F115)</f>
        <v>0</v>
      </c>
    </row>
    <row r="116" spans="1:6" x14ac:dyDescent="0.2">
      <c r="B116" s="43" t="s">
        <v>33</v>
      </c>
      <c r="C116" s="51">
        <f>SUM('1:57'!C116)</f>
        <v>0</v>
      </c>
      <c r="D116" s="51">
        <f>SUM('1:57'!D116)</f>
        <v>0</v>
      </c>
      <c r="E116" s="51">
        <f>SUM('1:57'!E116)</f>
        <v>24519546</v>
      </c>
      <c r="F116" s="49">
        <f>SUM('1:57'!F116)</f>
        <v>24519546</v>
      </c>
    </row>
    <row r="117" spans="1:6" ht="15" thickBot="1" x14ac:dyDescent="0.25">
      <c r="B117" s="44" t="s">
        <v>941</v>
      </c>
      <c r="C117" s="53">
        <f>SUM('1:57'!C117)</f>
        <v>0</v>
      </c>
      <c r="D117" s="53">
        <f>SUM('1:57'!D117)</f>
        <v>60265399</v>
      </c>
      <c r="E117" s="53">
        <f>SUM('1:57'!E117)</f>
        <v>0</v>
      </c>
      <c r="F117" s="50">
        <f>SUM('1:57'!F117)</f>
        <v>60265399</v>
      </c>
    </row>
    <row r="118" spans="1:6" x14ac:dyDescent="0.2">
      <c r="B118" s="14" t="s">
        <v>35</v>
      </c>
      <c r="C118" s="5">
        <f>SUM(C109:C116)</f>
        <v>925461201</v>
      </c>
      <c r="D118" s="5">
        <f>SUM(D109:D116)</f>
        <v>0</v>
      </c>
      <c r="E118" s="5">
        <f>SUM(E109:E116)</f>
        <v>24519546</v>
      </c>
      <c r="F118" s="5">
        <f>SUM(F109:F116)</f>
        <v>949980747</v>
      </c>
    </row>
    <row r="119" spans="1:6" ht="15" thickBot="1" x14ac:dyDescent="0.25"/>
    <row r="120" spans="1:6" ht="15" thickBot="1" x14ac:dyDescent="0.25">
      <c r="B120" s="57" t="s">
        <v>942</v>
      </c>
      <c r="C120" s="55">
        <f>SUM('1:57'!C120)</f>
        <v>0</v>
      </c>
      <c r="D120" s="55">
        <f>SUM('1:57'!D120)</f>
        <v>0</v>
      </c>
      <c r="E120" s="55">
        <f>SUM('1:57'!E120)</f>
        <v>43583803</v>
      </c>
      <c r="F120" s="56">
        <f>SUM('1:57'!F120)</f>
        <v>43583803</v>
      </c>
    </row>
    <row r="122" spans="1:6" s="59" customFormat="1" ht="113.25" customHeight="1" x14ac:dyDescent="0.2">
      <c r="A122" s="196" t="s">
        <v>943</v>
      </c>
      <c r="B122" s="196"/>
      <c r="C122" s="196"/>
      <c r="D122" s="196"/>
      <c r="E122" s="196"/>
      <c r="F122" s="196"/>
    </row>
  </sheetData>
  <mergeCells count="96">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78:C78"/>
    <mergeCell ref="B67:C67"/>
    <mergeCell ref="B68:C68"/>
    <mergeCell ref="B69:C69"/>
    <mergeCell ref="B70:C70"/>
    <mergeCell ref="B71:C71"/>
    <mergeCell ref="B72:C72"/>
    <mergeCell ref="B73:C73"/>
    <mergeCell ref="B74:C74"/>
    <mergeCell ref="B75:C75"/>
    <mergeCell ref="B76:C76"/>
    <mergeCell ref="B77:C77"/>
    <mergeCell ref="B90:C90"/>
    <mergeCell ref="B79:C79"/>
    <mergeCell ref="B80:C80"/>
    <mergeCell ref="B81:C81"/>
    <mergeCell ref="B82:C82"/>
    <mergeCell ref="B83:C83"/>
    <mergeCell ref="B84:C84"/>
    <mergeCell ref="B85:C85"/>
    <mergeCell ref="B86:C86"/>
    <mergeCell ref="B87:C87"/>
    <mergeCell ref="B88:C88"/>
    <mergeCell ref="B89:C89"/>
    <mergeCell ref="B104:C104"/>
    <mergeCell ref="B91:C91"/>
    <mergeCell ref="B92:C92"/>
    <mergeCell ref="B93:C93"/>
    <mergeCell ref="B94:C94"/>
    <mergeCell ref="B97:C97"/>
    <mergeCell ref="B98:C98"/>
    <mergeCell ref="B99:C99"/>
    <mergeCell ref="B100:C100"/>
    <mergeCell ref="B101:C101"/>
    <mergeCell ref="B102:C102"/>
    <mergeCell ref="B103:C103"/>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
  <sheetViews>
    <sheetView showGridLines="0" zoomScale="70" zoomScaleNormal="70" workbookViewId="0"/>
  </sheetViews>
  <sheetFormatPr defaultRowHeight="14.25" x14ac:dyDescent="0.2"/>
  <cols>
    <col min="1" max="1" width="6.5703125" style="70" customWidth="1"/>
    <col min="2" max="2" width="43.5703125" style="70" customWidth="1"/>
    <col min="3" max="3" width="9.140625" style="70" bestFit="1" customWidth="1"/>
    <col min="4" max="13" width="8.140625" style="70" customWidth="1"/>
    <col min="14" max="14" width="2.85546875" style="70" customWidth="1"/>
    <col min="15" max="24" width="9.42578125" style="70" customWidth="1"/>
    <col min="25" max="38" width="9.140625" style="70"/>
    <col min="39" max="39" width="17.85546875" style="70" bestFit="1" customWidth="1"/>
    <col min="40" max="42" width="9.140625" style="70"/>
    <col min="43" max="43" width="17.85546875" style="70" bestFit="1" customWidth="1"/>
    <col min="44" max="16384" width="9.140625" style="70"/>
  </cols>
  <sheetData>
    <row r="1" spans="1:24" x14ac:dyDescent="0.2">
      <c r="A1" s="39" t="str">
        <f>Summary!A1</f>
        <v>Community and Technical Colleges, Report of Fundable Operating Expenses, Fiscal Year (FY) 2009</v>
      </c>
      <c r="B1" s="39"/>
      <c r="C1" s="39"/>
      <c r="D1" s="39"/>
      <c r="E1" s="39"/>
      <c r="F1" s="39"/>
      <c r="G1" s="39"/>
      <c r="H1" s="39"/>
      <c r="I1" s="39"/>
      <c r="J1" s="39"/>
      <c r="K1" s="39"/>
      <c r="L1" s="39"/>
      <c r="M1" s="39"/>
    </row>
    <row r="2" spans="1:24" ht="15" thickBot="1" x14ac:dyDescent="0.25">
      <c r="A2" s="6" t="s">
        <v>944</v>
      </c>
      <c r="O2" s="72" t="s">
        <v>1089</v>
      </c>
      <c r="P2" s="72"/>
      <c r="Q2" s="72"/>
      <c r="R2" s="72"/>
      <c r="S2" s="72"/>
      <c r="T2" s="72"/>
      <c r="U2" s="72"/>
      <c r="V2" s="72"/>
      <c r="W2" s="72"/>
      <c r="X2" s="72"/>
    </row>
    <row r="3" spans="1:24" ht="29.25" customHeight="1" x14ac:dyDescent="0.2">
      <c r="A3" s="181" t="s">
        <v>26</v>
      </c>
      <c r="B3" s="179" t="s">
        <v>945</v>
      </c>
      <c r="C3" s="213">
        <v>2009</v>
      </c>
      <c r="D3" s="213">
        <v>2008</v>
      </c>
      <c r="E3" s="213">
        <v>2007</v>
      </c>
      <c r="F3" s="213">
        <v>2006</v>
      </c>
      <c r="G3" s="213">
        <v>2005</v>
      </c>
      <c r="H3" s="213">
        <v>2004</v>
      </c>
      <c r="I3" s="213">
        <v>2003</v>
      </c>
      <c r="J3" s="213">
        <v>2002</v>
      </c>
      <c r="K3" s="213">
        <v>2001</v>
      </c>
      <c r="L3" s="213">
        <v>2000</v>
      </c>
      <c r="M3" s="214">
        <v>1999</v>
      </c>
      <c r="O3" s="215">
        <v>2009</v>
      </c>
      <c r="P3" s="216">
        <v>2008</v>
      </c>
      <c r="Q3" s="216">
        <v>2007</v>
      </c>
      <c r="R3" s="216">
        <v>2006</v>
      </c>
      <c r="S3" s="216">
        <v>2005</v>
      </c>
      <c r="T3" s="216">
        <v>2004</v>
      </c>
      <c r="U3" s="216">
        <v>2003</v>
      </c>
      <c r="V3" s="216">
        <v>2002</v>
      </c>
      <c r="W3" s="216">
        <v>2001</v>
      </c>
      <c r="X3" s="214">
        <v>2000</v>
      </c>
    </row>
    <row r="4" spans="1:24" x14ac:dyDescent="0.2">
      <c r="A4" s="20">
        <v>1</v>
      </c>
      <c r="B4" s="178" t="s">
        <v>0</v>
      </c>
      <c r="C4" s="17">
        <f>Summary!F5</f>
        <v>8.9459923907540038</v>
      </c>
      <c r="D4" s="17">
        <v>7.6999999999999993</v>
      </c>
      <c r="E4" s="17">
        <v>7.3699999999999992</v>
      </c>
      <c r="F4" s="17"/>
      <c r="G4" s="17">
        <v>7.25</v>
      </c>
      <c r="H4" s="17">
        <v>9.82</v>
      </c>
      <c r="I4" s="17">
        <v>7.1800000000000006</v>
      </c>
      <c r="J4" s="17">
        <v>7.58</v>
      </c>
      <c r="K4" s="17">
        <v>7</v>
      </c>
      <c r="L4" s="17">
        <v>6.669999999999999</v>
      </c>
      <c r="M4" s="217">
        <v>6.8100000000000005</v>
      </c>
      <c r="O4" s="218">
        <f>IFERROR(C4/D4-1,"")</f>
        <v>0.16181719360441615</v>
      </c>
      <c r="P4" s="219">
        <f>IFERROR(D4/E4-1,"")</f>
        <v>4.4776119402984982E-2</v>
      </c>
      <c r="Q4" s="219" t="str">
        <f>IFERROR(E4/F4-1,"")</f>
        <v/>
      </c>
      <c r="R4" s="219">
        <f>IFERROR(F4/G4-1,"")</f>
        <v>-1</v>
      </c>
      <c r="S4" s="219">
        <f>IFERROR(G4/H4-1,"")</f>
        <v>-0.26171079429735233</v>
      </c>
      <c r="T4" s="219">
        <f>IFERROR(H4/I4-1,"")</f>
        <v>0.36768802228412256</v>
      </c>
      <c r="U4" s="219">
        <f>IFERROR(I4/J4-1,"")</f>
        <v>-5.2770448548812632E-2</v>
      </c>
      <c r="V4" s="219">
        <f>IFERROR(J4/K4-1,"")</f>
        <v>8.2857142857142962E-2</v>
      </c>
      <c r="W4" s="219">
        <f>IFERROR(K4/L4-1,"")</f>
        <v>4.947526236881572E-2</v>
      </c>
      <c r="X4" s="220">
        <f>IFERROR(L4/M4-1,"")</f>
        <v>-2.0558002936857722E-2</v>
      </c>
    </row>
    <row r="5" spans="1:24" ht="28.5" x14ac:dyDescent="0.2">
      <c r="A5" s="20">
        <v>2</v>
      </c>
      <c r="B5" s="178" t="s">
        <v>1</v>
      </c>
      <c r="C5" s="19">
        <f>Summary!F6</f>
        <v>9.8950420932895486</v>
      </c>
      <c r="D5" s="19">
        <v>8.879999999999999</v>
      </c>
      <c r="E5" s="19">
        <v>10.29</v>
      </c>
      <c r="F5" s="19"/>
      <c r="G5" s="19">
        <v>8.82</v>
      </c>
      <c r="H5" s="19">
        <v>11.31</v>
      </c>
      <c r="I5" s="19">
        <v>7.3100000000000005</v>
      </c>
      <c r="J5" s="19">
        <v>7.27</v>
      </c>
      <c r="K5" s="19">
        <v>7.5600000000000005</v>
      </c>
      <c r="L5" s="19">
        <v>6.8299999999999992</v>
      </c>
      <c r="M5" s="221">
        <v>6.6400000000000006</v>
      </c>
      <c r="O5" s="218">
        <f>IFERROR(C5/D5-1,"")</f>
        <v>0.11430654203711144</v>
      </c>
      <c r="P5" s="219">
        <f>IFERROR(D5/E5-1,"")</f>
        <v>-0.13702623906705547</v>
      </c>
      <c r="Q5" s="219" t="str">
        <f>IFERROR(E5/F5-1,"")</f>
        <v/>
      </c>
      <c r="R5" s="219">
        <f>IFERROR(F5/G5-1,"")</f>
        <v>-1</v>
      </c>
      <c r="S5" s="219">
        <f>IFERROR(G5/H5-1,"")</f>
        <v>-0.22015915119363394</v>
      </c>
      <c r="T5" s="219">
        <f>IFERROR(H5/I5-1,"")</f>
        <v>0.54719562243502051</v>
      </c>
      <c r="U5" s="219">
        <f>IFERROR(I5/J5-1,"")</f>
        <v>5.5020632737277086E-3</v>
      </c>
      <c r="V5" s="219">
        <f>IFERROR(J5/K5-1,"")</f>
        <v>-3.8359788359788483E-2</v>
      </c>
      <c r="W5" s="219">
        <f>IFERROR(K5/L5-1,"")</f>
        <v>0.10688140556368975</v>
      </c>
      <c r="X5" s="220">
        <f>IFERROR(L5/M5-1,"")</f>
        <v>2.8614457831324991E-2</v>
      </c>
    </row>
    <row r="6" spans="1:24" ht="28.5" x14ac:dyDescent="0.2">
      <c r="A6" s="20">
        <v>3</v>
      </c>
      <c r="B6" s="178" t="s">
        <v>2</v>
      </c>
      <c r="C6" s="19">
        <f>Summary!F7</f>
        <v>7.7869596956256011</v>
      </c>
      <c r="D6" s="19">
        <v>6.85</v>
      </c>
      <c r="E6" s="19">
        <v>6.65</v>
      </c>
      <c r="F6" s="19"/>
      <c r="G6" s="19">
        <v>6.1899999999999995</v>
      </c>
      <c r="H6" s="19">
        <v>7.98</v>
      </c>
      <c r="I6" s="19">
        <v>5.86</v>
      </c>
      <c r="J6" s="19">
        <v>6.0399999999999991</v>
      </c>
      <c r="K6" s="19">
        <v>5.9</v>
      </c>
      <c r="L6" s="19">
        <v>5.6899999999999995</v>
      </c>
      <c r="M6" s="221">
        <v>5.51</v>
      </c>
      <c r="O6" s="218">
        <f>IFERROR(C6/D6-1,"")</f>
        <v>0.13678243731760609</v>
      </c>
      <c r="P6" s="219">
        <f>IFERROR(D6/E6-1,"")</f>
        <v>3.007518796992481E-2</v>
      </c>
      <c r="Q6" s="219" t="str">
        <f>IFERROR(E6/F6-1,"")</f>
        <v/>
      </c>
      <c r="R6" s="219">
        <f>IFERROR(F6/G6-1,"")</f>
        <v>-1</v>
      </c>
      <c r="S6" s="219">
        <f>IFERROR(G6/H6-1,"")</f>
        <v>-0.22431077694235602</v>
      </c>
      <c r="T6" s="219">
        <f>IFERROR(H6/I6-1,"")</f>
        <v>0.36177474402730381</v>
      </c>
      <c r="U6" s="219">
        <f>IFERROR(I6/J6-1,"")</f>
        <v>-2.9801324503311077E-2</v>
      </c>
      <c r="V6" s="219">
        <f>IFERROR(J6/K6-1,"")</f>
        <v>2.3728813559321882E-2</v>
      </c>
      <c r="W6" s="219">
        <f>IFERROR(K6/L6-1,"")</f>
        <v>3.6906854130052791E-2</v>
      </c>
      <c r="X6" s="220">
        <f>IFERROR(L6/M6-1,"")</f>
        <v>3.2667876588021727E-2</v>
      </c>
    </row>
    <row r="7" spans="1:24" ht="28.5" x14ac:dyDescent="0.2">
      <c r="A7" s="20">
        <v>4</v>
      </c>
      <c r="B7" s="178" t="s">
        <v>3</v>
      </c>
      <c r="C7" s="19">
        <f>Summary!F8</f>
        <v>7.9514487703004368</v>
      </c>
      <c r="D7" s="19">
        <v>7.1099999999999994</v>
      </c>
      <c r="E7" s="19">
        <v>6.9700000000000006</v>
      </c>
      <c r="F7" s="19"/>
      <c r="G7" s="19">
        <v>6.58</v>
      </c>
      <c r="H7" s="19">
        <v>8.86</v>
      </c>
      <c r="I7" s="19">
        <v>6.69</v>
      </c>
      <c r="J7" s="19">
        <v>6.4599999999999991</v>
      </c>
      <c r="K7" s="19">
        <v>6.07</v>
      </c>
      <c r="L7" s="19">
        <v>6.129999999999999</v>
      </c>
      <c r="M7" s="221">
        <v>6.22</v>
      </c>
      <c r="O7" s="218">
        <f>IFERROR(C7/D7-1,"")</f>
        <v>0.11834722507741735</v>
      </c>
      <c r="P7" s="219">
        <f>IFERROR(D7/E7-1,"")</f>
        <v>2.0086083213773032E-2</v>
      </c>
      <c r="Q7" s="219" t="str">
        <f>IFERROR(E7/F7-1,"")</f>
        <v/>
      </c>
      <c r="R7" s="219">
        <f>IFERROR(F7/G7-1,"")</f>
        <v>-1</v>
      </c>
      <c r="S7" s="219">
        <f>IFERROR(G7/H7-1,"")</f>
        <v>-0.2573363431151241</v>
      </c>
      <c r="T7" s="219">
        <f>IFERROR(H7/I7-1,"")</f>
        <v>0.32436472346786238</v>
      </c>
      <c r="U7" s="219">
        <f>IFERROR(I7/J7-1,"")</f>
        <v>3.5603715170278827E-2</v>
      </c>
      <c r="V7" s="219">
        <f>IFERROR(J7/K7-1,"")</f>
        <v>6.4250411861614287E-2</v>
      </c>
      <c r="W7" s="219">
        <f>IFERROR(K7/L7-1,"")</f>
        <v>-9.7879282218594765E-3</v>
      </c>
      <c r="X7" s="220">
        <f>IFERROR(L7/M7-1,"")</f>
        <v>-1.4469453376205865E-2</v>
      </c>
    </row>
    <row r="8" spans="1:24" x14ac:dyDescent="0.2">
      <c r="A8" s="20">
        <v>5</v>
      </c>
      <c r="B8" s="178" t="s">
        <v>4</v>
      </c>
      <c r="C8" s="19">
        <f>Summary!F9</f>
        <v>35.064015681109112</v>
      </c>
      <c r="D8" s="19">
        <v>33.869999999999997</v>
      </c>
      <c r="E8" s="19">
        <v>30.76</v>
      </c>
      <c r="F8" s="19"/>
      <c r="G8" s="19">
        <v>23.45</v>
      </c>
      <c r="H8" s="19">
        <v>25.28</v>
      </c>
      <c r="I8" s="19">
        <v>13.77</v>
      </c>
      <c r="J8" s="19">
        <v>11.03</v>
      </c>
      <c r="K8" s="19">
        <v>16.04</v>
      </c>
      <c r="L8" s="19">
        <v>19.419999999999998</v>
      </c>
      <c r="M8" s="221">
        <v>18.690000000000001</v>
      </c>
      <c r="O8" s="218">
        <f>IFERROR(C8/D8-1,"")</f>
        <v>3.5252898763186158E-2</v>
      </c>
      <c r="P8" s="219">
        <f>IFERROR(D8/E8-1,"")</f>
        <v>0.10110533159947965</v>
      </c>
      <c r="Q8" s="219" t="str">
        <f>IFERROR(E8/F8-1,"")</f>
        <v/>
      </c>
      <c r="R8" s="219">
        <f>IFERROR(F8/G8-1,"")</f>
        <v>-1</v>
      </c>
      <c r="S8" s="219">
        <f>IFERROR(G8/H8-1,"")</f>
        <v>-7.2389240506329222E-2</v>
      </c>
      <c r="T8" s="219">
        <f>IFERROR(H8/I8-1,"")</f>
        <v>0.8358750907770518</v>
      </c>
      <c r="U8" s="219">
        <f>IFERROR(I8/J8-1,"")</f>
        <v>0.24841341795104266</v>
      </c>
      <c r="V8" s="219">
        <f>IFERROR(J8/K8-1,"")</f>
        <v>-0.31234413965087282</v>
      </c>
      <c r="W8" s="219">
        <f>IFERROR(K8/L8-1,"")</f>
        <v>-0.17404737384140057</v>
      </c>
      <c r="X8" s="220">
        <f>IFERROR(L8/M8-1,"")</f>
        <v>3.9058319957196108E-2</v>
      </c>
    </row>
    <row r="9" spans="1:24" x14ac:dyDescent="0.2">
      <c r="A9" s="20">
        <v>6</v>
      </c>
      <c r="B9" s="178" t="s">
        <v>5</v>
      </c>
      <c r="C9" s="19">
        <f>Summary!F10</f>
        <v>8.9135549933875176</v>
      </c>
      <c r="D9" s="19">
        <v>7.65</v>
      </c>
      <c r="E9" s="19">
        <v>7.3000000000000007</v>
      </c>
      <c r="F9" s="19"/>
      <c r="G9" s="19">
        <v>7.3</v>
      </c>
      <c r="H9" s="19">
        <v>10.010000000000002</v>
      </c>
      <c r="I9" s="19">
        <v>7.2100000000000009</v>
      </c>
      <c r="J9" s="19">
        <v>7.26</v>
      </c>
      <c r="K9" s="19">
        <v>6.99</v>
      </c>
      <c r="L9" s="19">
        <v>9.2100000000000009</v>
      </c>
      <c r="M9" s="221">
        <v>8.2100000000000009</v>
      </c>
      <c r="O9" s="218">
        <f>IFERROR(C9/D9-1,"")</f>
        <v>0.16517058737091728</v>
      </c>
      <c r="P9" s="219">
        <f>IFERROR(D9/E9-1,"")</f>
        <v>4.7945205479452024E-2</v>
      </c>
      <c r="Q9" s="219" t="str">
        <f>IFERROR(E9/F9-1,"")</f>
        <v/>
      </c>
      <c r="R9" s="219">
        <f>IFERROR(F9/G9-1,"")</f>
        <v>-1</v>
      </c>
      <c r="S9" s="219">
        <f>IFERROR(G9/H9-1,"")</f>
        <v>-0.27072927072927089</v>
      </c>
      <c r="T9" s="219">
        <f>IFERROR(H9/I9-1,"")</f>
        <v>0.38834951456310685</v>
      </c>
      <c r="U9" s="219">
        <f>IFERROR(I9/J9-1,"")</f>
        <v>-6.8870523415976992E-3</v>
      </c>
      <c r="V9" s="219">
        <f>IFERROR(J9/K9-1,"")</f>
        <v>3.8626609442059978E-2</v>
      </c>
      <c r="W9" s="219">
        <f>IFERROR(K9/L9-1,"")</f>
        <v>-0.24104234527687296</v>
      </c>
      <c r="X9" s="220">
        <f>IFERROR(L9/M9-1,"")</f>
        <v>0.12180267965895242</v>
      </c>
    </row>
    <row r="10" spans="1:24" x14ac:dyDescent="0.2">
      <c r="A10" s="20">
        <v>7</v>
      </c>
      <c r="B10" s="178" t="s">
        <v>6</v>
      </c>
      <c r="C10" s="19">
        <f>Summary!F11</f>
        <v>9.8773789312762741</v>
      </c>
      <c r="D10" s="19">
        <v>8.52</v>
      </c>
      <c r="E10" s="19">
        <v>8.44</v>
      </c>
      <c r="F10" s="19"/>
      <c r="G10" s="19">
        <v>7.57</v>
      </c>
      <c r="H10" s="19">
        <v>9.93</v>
      </c>
      <c r="I10" s="19">
        <v>6.94</v>
      </c>
      <c r="J10" s="19">
        <v>6.92</v>
      </c>
      <c r="K10" s="19">
        <v>6.6899999999999995</v>
      </c>
      <c r="L10" s="19">
        <v>6.3199999999999994</v>
      </c>
      <c r="M10" s="221">
        <v>5.4399999999999995</v>
      </c>
      <c r="O10" s="218">
        <f>IFERROR(C10/D10-1,"")</f>
        <v>0.15931677597139382</v>
      </c>
      <c r="P10" s="219">
        <f>IFERROR(D10/E10-1,"")</f>
        <v>9.4786729857820884E-3</v>
      </c>
      <c r="Q10" s="219" t="str">
        <f>IFERROR(E10/F10-1,"")</f>
        <v/>
      </c>
      <c r="R10" s="219">
        <f>IFERROR(F10/G10-1,"")</f>
        <v>-1</v>
      </c>
      <c r="S10" s="219">
        <f>IFERROR(G10/H10-1,"")</f>
        <v>-0.2376636455186304</v>
      </c>
      <c r="T10" s="219">
        <f>IFERROR(H10/I10-1,"")</f>
        <v>0.4308357348703169</v>
      </c>
      <c r="U10" s="219">
        <f>IFERROR(I10/J10-1,"")</f>
        <v>2.8901734104047616E-3</v>
      </c>
      <c r="V10" s="219">
        <f>IFERROR(J10/K10-1,"")</f>
        <v>3.4379671150971625E-2</v>
      </c>
      <c r="W10" s="219">
        <f>IFERROR(K10/L10-1,"")</f>
        <v>5.8544303797468444E-2</v>
      </c>
      <c r="X10" s="220">
        <f>IFERROR(L10/M10-1,"")</f>
        <v>0.16176470588235303</v>
      </c>
    </row>
    <row r="11" spans="1:24" x14ac:dyDescent="0.2">
      <c r="A11" s="20">
        <v>8</v>
      </c>
      <c r="B11" s="178" t="s">
        <v>7</v>
      </c>
      <c r="C11" s="19">
        <f>Summary!F12</f>
        <v>10.673804372943733</v>
      </c>
      <c r="D11" s="19">
        <v>8.0299999999999994</v>
      </c>
      <c r="E11" s="19">
        <v>7.77</v>
      </c>
      <c r="F11" s="19"/>
      <c r="G11" s="19">
        <v>8.1999999999999993</v>
      </c>
      <c r="H11" s="19">
        <v>10.92</v>
      </c>
      <c r="I11" s="19">
        <v>7.36</v>
      </c>
      <c r="J11" s="19">
        <v>6.75</v>
      </c>
      <c r="K11" s="19">
        <v>6.1199999999999992</v>
      </c>
      <c r="L11" s="19">
        <v>6.42</v>
      </c>
      <c r="M11" s="221">
        <v>5.99</v>
      </c>
      <c r="O11" s="218">
        <f>IFERROR(C11/D11-1,"")</f>
        <v>0.32924089326821093</v>
      </c>
      <c r="P11" s="219">
        <f>IFERROR(D11/E11-1,"")</f>
        <v>3.3462033462033469E-2</v>
      </c>
      <c r="Q11" s="219" t="str">
        <f>IFERROR(E11/F11-1,"")</f>
        <v/>
      </c>
      <c r="R11" s="219">
        <f>IFERROR(F11/G11-1,"")</f>
        <v>-1</v>
      </c>
      <c r="S11" s="219">
        <f>IFERROR(G11/H11-1,"")</f>
        <v>-0.2490842490842492</v>
      </c>
      <c r="T11" s="219">
        <f>IFERROR(H11/I11-1,"")</f>
        <v>0.48369565217391286</v>
      </c>
      <c r="U11" s="219">
        <f>IFERROR(I11/J11-1,"")</f>
        <v>9.0370370370370434E-2</v>
      </c>
      <c r="V11" s="219">
        <f>IFERROR(J11/K11-1,"")</f>
        <v>0.10294117647058831</v>
      </c>
      <c r="W11" s="219">
        <f>IFERROR(K11/L11-1,"")</f>
        <v>-4.6728971962616939E-2</v>
      </c>
      <c r="X11" s="220">
        <f>IFERROR(L11/M11-1,"")</f>
        <v>7.178631051752915E-2</v>
      </c>
    </row>
    <row r="12" spans="1:24" x14ac:dyDescent="0.2">
      <c r="A12" s="20">
        <v>9</v>
      </c>
      <c r="B12" s="178" t="s">
        <v>8</v>
      </c>
      <c r="C12" s="19">
        <f>Summary!F13</f>
        <v>7.7785581546913374</v>
      </c>
      <c r="D12" s="19">
        <v>6.75</v>
      </c>
      <c r="E12" s="19">
        <v>6.49</v>
      </c>
      <c r="F12" s="19"/>
      <c r="G12" s="19">
        <v>6.14</v>
      </c>
      <c r="H12" s="19">
        <v>8.0800000000000018</v>
      </c>
      <c r="I12" s="19">
        <v>5.49</v>
      </c>
      <c r="J12" s="19">
        <v>5.51</v>
      </c>
      <c r="K12" s="19">
        <v>5.52</v>
      </c>
      <c r="L12" s="19">
        <v>5.1399999999999988</v>
      </c>
      <c r="M12" s="221">
        <v>5.35</v>
      </c>
      <c r="O12" s="218">
        <f>IFERROR(C12/D12-1,"")</f>
        <v>0.15237898588019805</v>
      </c>
      <c r="P12" s="219">
        <f>IFERROR(D12/E12-1,"")</f>
        <v>4.006163328197232E-2</v>
      </c>
      <c r="Q12" s="219" t="str">
        <f>IFERROR(E12/F12-1,"")</f>
        <v/>
      </c>
      <c r="R12" s="219">
        <f>IFERROR(F12/G12-1,"")</f>
        <v>-1</v>
      </c>
      <c r="S12" s="219">
        <f>IFERROR(G12/H12-1,"")</f>
        <v>-0.24009900990099031</v>
      </c>
      <c r="T12" s="219">
        <f>IFERROR(H12/I12-1,"")</f>
        <v>0.47176684881602937</v>
      </c>
      <c r="U12" s="219">
        <f>IFERROR(I12/J12-1,"")</f>
        <v>-3.6297640653356611E-3</v>
      </c>
      <c r="V12" s="219">
        <f>IFERROR(J12/K12-1,"")</f>
        <v>-1.8115942028985588E-3</v>
      </c>
      <c r="W12" s="219">
        <f>IFERROR(K12/L12-1,"")</f>
        <v>7.3929961089494345E-2</v>
      </c>
      <c r="X12" s="220">
        <f>IFERROR(L12/M12-1,"")</f>
        <v>-3.9252336448598268E-2</v>
      </c>
    </row>
    <row r="13" spans="1:24" x14ac:dyDescent="0.2">
      <c r="A13" s="20">
        <v>10</v>
      </c>
      <c r="B13" s="178" t="s">
        <v>9</v>
      </c>
      <c r="C13" s="19">
        <f>Summary!F14</f>
        <v>11.277205573362895</v>
      </c>
      <c r="D13" s="19">
        <v>7.8599999999999994</v>
      </c>
      <c r="E13" s="19">
        <v>7.5299999999999994</v>
      </c>
      <c r="F13" s="19"/>
      <c r="G13" s="19">
        <v>10.3</v>
      </c>
      <c r="H13" s="19">
        <v>11.38</v>
      </c>
      <c r="I13" s="19">
        <v>8.9200000000000017</v>
      </c>
      <c r="J13" s="19">
        <v>8.5399999999999991</v>
      </c>
      <c r="K13" s="19">
        <v>11.49</v>
      </c>
      <c r="L13" s="19">
        <v>9.8299999999999983</v>
      </c>
      <c r="M13" s="221">
        <v>7.6400000000000006</v>
      </c>
      <c r="O13" s="218">
        <f>IFERROR(C13/D13-1,"")</f>
        <v>0.43475897879935066</v>
      </c>
      <c r="P13" s="219">
        <f>IFERROR(D13/E13-1,"")</f>
        <v>4.3824701195219085E-2</v>
      </c>
      <c r="Q13" s="219" t="str">
        <f>IFERROR(E13/F13-1,"")</f>
        <v/>
      </c>
      <c r="R13" s="219">
        <f>IFERROR(F13/G13-1,"")</f>
        <v>-1</v>
      </c>
      <c r="S13" s="219">
        <f>IFERROR(G13/H13-1,"")</f>
        <v>-9.4903339191564129E-2</v>
      </c>
      <c r="T13" s="219">
        <f>IFERROR(H13/I13-1,"")</f>
        <v>0.2757847533632285</v>
      </c>
      <c r="U13" s="219">
        <f>IFERROR(I13/J13-1,"")</f>
        <v>4.4496487119438211E-2</v>
      </c>
      <c r="V13" s="219">
        <f>IFERROR(J13/K13-1,"")</f>
        <v>-0.25674499564839004</v>
      </c>
      <c r="W13" s="219">
        <f>IFERROR(K13/L13-1,"")</f>
        <v>0.1688708036622586</v>
      </c>
      <c r="X13" s="220">
        <f>IFERROR(L13/M13-1,"")</f>
        <v>0.28664921465968551</v>
      </c>
    </row>
    <row r="14" spans="1:24" x14ac:dyDescent="0.2">
      <c r="A14" s="20">
        <v>11</v>
      </c>
      <c r="B14" s="178" t="s">
        <v>10</v>
      </c>
      <c r="C14" s="19">
        <f>Summary!F15</f>
        <v>8.4264374352275713</v>
      </c>
      <c r="D14" s="19">
        <v>7.41</v>
      </c>
      <c r="E14" s="19">
        <v>7.09</v>
      </c>
      <c r="F14" s="19"/>
      <c r="G14" s="19">
        <v>6.82</v>
      </c>
      <c r="H14" s="19">
        <v>9.52</v>
      </c>
      <c r="I14" s="19">
        <v>7.23</v>
      </c>
      <c r="J14" s="19">
        <v>6.8899999999999988</v>
      </c>
      <c r="K14" s="19">
        <v>6.58</v>
      </c>
      <c r="L14" s="19">
        <v>6.71</v>
      </c>
      <c r="M14" s="221">
        <v>6.42</v>
      </c>
      <c r="O14" s="218">
        <f>IFERROR(C14/D14-1,"")</f>
        <v>0.13717104389036039</v>
      </c>
      <c r="P14" s="219">
        <f>IFERROR(D14/E14-1,"")</f>
        <v>4.5133991537376739E-2</v>
      </c>
      <c r="Q14" s="219" t="str">
        <f>IFERROR(E14/F14-1,"")</f>
        <v/>
      </c>
      <c r="R14" s="219">
        <f>IFERROR(F14/G14-1,"")</f>
        <v>-1</v>
      </c>
      <c r="S14" s="219">
        <f>IFERROR(G14/H14-1,"")</f>
        <v>-0.28361344537815125</v>
      </c>
      <c r="T14" s="219">
        <f>IFERROR(H14/I14-1,"")</f>
        <v>0.31673582295988911</v>
      </c>
      <c r="U14" s="219">
        <f>IFERROR(I14/J14-1,"")</f>
        <v>4.9346879535558941E-2</v>
      </c>
      <c r="V14" s="219">
        <f>IFERROR(J14/K14-1,"")</f>
        <v>4.711246200607877E-2</v>
      </c>
      <c r="W14" s="219">
        <f>IFERROR(K14/L14-1,"")</f>
        <v>-1.9374068554396384E-2</v>
      </c>
      <c r="X14" s="220">
        <f>IFERROR(L14/M14-1,"")</f>
        <v>4.5171339563862878E-2</v>
      </c>
    </row>
    <row r="15" spans="1:24" ht="28.5" x14ac:dyDescent="0.2">
      <c r="A15" s="20">
        <v>12</v>
      </c>
      <c r="B15" s="178" t="s">
        <v>11</v>
      </c>
      <c r="C15" s="19">
        <f>Summary!F16</f>
        <v>8.2593827201899597</v>
      </c>
      <c r="D15" s="19">
        <v>7.3099999999999987</v>
      </c>
      <c r="E15" s="19">
        <v>7.08</v>
      </c>
      <c r="F15" s="19"/>
      <c r="G15" s="19">
        <v>6.48</v>
      </c>
      <c r="H15" s="19">
        <v>8.33</v>
      </c>
      <c r="I15" s="19">
        <v>5.83</v>
      </c>
      <c r="J15" s="19">
        <v>5.9399999999999995</v>
      </c>
      <c r="K15" s="19">
        <v>5.75</v>
      </c>
      <c r="L15" s="19">
        <v>5.68</v>
      </c>
      <c r="M15" s="221">
        <v>5.26</v>
      </c>
      <c r="O15" s="218">
        <f>IFERROR(C15/D15-1,"")</f>
        <v>0.12987451712584974</v>
      </c>
      <c r="P15" s="219">
        <f>IFERROR(D15/E15-1,"")</f>
        <v>3.2485875706214529E-2</v>
      </c>
      <c r="Q15" s="219" t="str">
        <f>IFERROR(E15/F15-1,"")</f>
        <v/>
      </c>
      <c r="R15" s="219">
        <f>IFERROR(F15/G15-1,"")</f>
        <v>-1</v>
      </c>
      <c r="S15" s="219">
        <f>IFERROR(G15/H15-1,"")</f>
        <v>-0.22208883553421366</v>
      </c>
      <c r="T15" s="219">
        <f>IFERROR(H15/I15-1,"")</f>
        <v>0.42881646655231553</v>
      </c>
      <c r="U15" s="219">
        <f>IFERROR(I15/J15-1,"")</f>
        <v>-1.8518518518518379E-2</v>
      </c>
      <c r="V15" s="219">
        <f>IFERROR(J15/K15-1,"")</f>
        <v>3.3043478260869508E-2</v>
      </c>
      <c r="W15" s="219">
        <f>IFERROR(K15/L15-1,"")</f>
        <v>1.2323943661971981E-2</v>
      </c>
      <c r="X15" s="220">
        <f>IFERROR(L15/M15-1,"")</f>
        <v>7.9847908745247054E-2</v>
      </c>
    </row>
    <row r="16" spans="1:24" x14ac:dyDescent="0.2">
      <c r="A16" s="20">
        <v>13</v>
      </c>
      <c r="B16" s="178" t="s">
        <v>12</v>
      </c>
      <c r="C16" s="19">
        <f>Summary!F17</f>
        <v>7.5285434016318522</v>
      </c>
      <c r="D16" s="19">
        <v>6.8699999999999992</v>
      </c>
      <c r="E16" s="19">
        <v>6.68</v>
      </c>
      <c r="F16" s="19"/>
      <c r="G16" s="19">
        <v>5.97</v>
      </c>
      <c r="H16" s="19">
        <v>7.870000000000001</v>
      </c>
      <c r="I16" s="19">
        <v>6.1400000000000006</v>
      </c>
      <c r="J16" s="19">
        <v>6.06</v>
      </c>
      <c r="K16" s="19">
        <v>5.93</v>
      </c>
      <c r="L16" s="19">
        <v>5.81</v>
      </c>
      <c r="M16" s="221">
        <v>5.6999999999999993</v>
      </c>
      <c r="O16" s="218">
        <f>IFERROR(C16/D16-1,"")</f>
        <v>9.5857845943501108E-2</v>
      </c>
      <c r="P16" s="219">
        <f>IFERROR(D16/E16-1,"")</f>
        <v>2.8443113772455009E-2</v>
      </c>
      <c r="Q16" s="219" t="str">
        <f>IFERROR(E16/F16-1,"")</f>
        <v/>
      </c>
      <c r="R16" s="219">
        <f>IFERROR(F16/G16-1,"")</f>
        <v>-1</v>
      </c>
      <c r="S16" s="219">
        <f>IFERROR(G16/H16-1,"")</f>
        <v>-0.24142312579415515</v>
      </c>
      <c r="T16" s="219">
        <f>IFERROR(H16/I16-1,"")</f>
        <v>0.28175895765472325</v>
      </c>
      <c r="U16" s="219">
        <f>IFERROR(I16/J16-1,"")</f>
        <v>1.3201320132013361E-2</v>
      </c>
      <c r="V16" s="219">
        <f>IFERROR(J16/K16-1,"")</f>
        <v>2.1922428330522825E-2</v>
      </c>
      <c r="W16" s="219">
        <f>IFERROR(K16/L16-1,"")</f>
        <v>2.0654044750430423E-2</v>
      </c>
      <c r="X16" s="220">
        <f>IFERROR(L16/M16-1,"")</f>
        <v>1.9298245614035148E-2</v>
      </c>
    </row>
    <row r="17" spans="1:24" ht="28.5" x14ac:dyDescent="0.2">
      <c r="A17" s="20">
        <v>14</v>
      </c>
      <c r="B17" s="178" t="s">
        <v>469</v>
      </c>
      <c r="C17" s="19">
        <f>Summary!F18</f>
        <v>12.214498350729462</v>
      </c>
      <c r="D17" s="19">
        <v>10.549999999999999</v>
      </c>
      <c r="E17" s="19">
        <v>10.75</v>
      </c>
      <c r="F17" s="19"/>
      <c r="G17" s="19">
        <v>9.9600000000000009</v>
      </c>
      <c r="H17" s="19">
        <v>11.930000000000001</v>
      </c>
      <c r="I17" s="19">
        <v>8.9</v>
      </c>
      <c r="J17" s="19">
        <v>9.8099999999999987</v>
      </c>
      <c r="K17" s="19">
        <v>9.73</v>
      </c>
      <c r="L17" s="19">
        <v>8.92</v>
      </c>
      <c r="M17" s="221">
        <v>9.0399999999999991</v>
      </c>
      <c r="O17" s="218">
        <f>IFERROR(C17/D17-1,"")</f>
        <v>0.1577723555193804</v>
      </c>
      <c r="P17" s="219">
        <f>IFERROR(D17/E17-1,"")</f>
        <v>-1.8604651162790753E-2</v>
      </c>
      <c r="Q17" s="219" t="str">
        <f>IFERROR(E17/F17-1,"")</f>
        <v/>
      </c>
      <c r="R17" s="219">
        <f>IFERROR(F17/G17-1,"")</f>
        <v>-1</v>
      </c>
      <c r="S17" s="219">
        <f>IFERROR(G17/H17-1,"")</f>
        <v>-0.16512992455993303</v>
      </c>
      <c r="T17" s="219">
        <f>IFERROR(H17/I17-1,"")</f>
        <v>0.34044943820224738</v>
      </c>
      <c r="U17" s="219">
        <f>IFERROR(I17/J17-1,"")</f>
        <v>-9.2762487257899928E-2</v>
      </c>
      <c r="V17" s="219">
        <f>IFERROR(J17/K17-1,"")</f>
        <v>8.2219938335044152E-3</v>
      </c>
      <c r="W17" s="219">
        <f>IFERROR(K17/L17-1,"")</f>
        <v>9.0807174887892472E-2</v>
      </c>
      <c r="X17" s="220">
        <f>IFERROR(L17/M17-1,"")</f>
        <v>-1.327433628318575E-2</v>
      </c>
    </row>
    <row r="18" spans="1:24" x14ac:dyDescent="0.2">
      <c r="A18" s="20">
        <v>15</v>
      </c>
      <c r="B18" s="178" t="s">
        <v>13</v>
      </c>
      <c r="C18" s="19">
        <f>Summary!F19</f>
        <v>17.743962007010442</v>
      </c>
      <c r="D18" s="19">
        <v>16.87</v>
      </c>
      <c r="E18" s="19">
        <v>16.05</v>
      </c>
      <c r="F18" s="19"/>
      <c r="G18" s="19">
        <v>14.870000000000001</v>
      </c>
      <c r="H18" s="19">
        <v>17.009999999999998</v>
      </c>
      <c r="I18" s="19">
        <v>12.530000000000001</v>
      </c>
      <c r="J18" s="19">
        <v>12.22</v>
      </c>
      <c r="K18" s="19">
        <v>11.790000000000001</v>
      </c>
      <c r="L18" s="19">
        <v>12.639999999999997</v>
      </c>
      <c r="M18" s="221">
        <v>11.21</v>
      </c>
      <c r="O18" s="218">
        <f>IFERROR(C18/D18-1,"")</f>
        <v>5.1805690990541775E-2</v>
      </c>
      <c r="P18" s="219">
        <f>IFERROR(D18/E18-1,"")</f>
        <v>5.109034267912782E-2</v>
      </c>
      <c r="Q18" s="219" t="str">
        <f>IFERROR(E18/F18-1,"")</f>
        <v/>
      </c>
      <c r="R18" s="219">
        <f>IFERROR(F18/G18-1,"")</f>
        <v>-1</v>
      </c>
      <c r="S18" s="219">
        <f>IFERROR(G18/H18-1,"")</f>
        <v>-0.12580834803057006</v>
      </c>
      <c r="T18" s="219">
        <f>IFERROR(H18/I18-1,"")</f>
        <v>0.35754189944134041</v>
      </c>
      <c r="U18" s="219">
        <f>IFERROR(I18/J18-1,"")</f>
        <v>2.5368248772504209E-2</v>
      </c>
      <c r="V18" s="219">
        <f>IFERROR(J18/K18-1,"")</f>
        <v>3.6471586089906749E-2</v>
      </c>
      <c r="W18" s="219">
        <f>IFERROR(K18/L18-1,"")</f>
        <v>-6.7246835443037667E-2</v>
      </c>
      <c r="X18" s="220">
        <f>IFERROR(L18/M18-1,"")</f>
        <v>0.12756467439785868</v>
      </c>
    </row>
    <row r="19" spans="1:24" x14ac:dyDescent="0.2">
      <c r="A19" s="20">
        <v>16</v>
      </c>
      <c r="B19" s="178" t="s">
        <v>14</v>
      </c>
      <c r="C19" s="19">
        <f>Summary!F20</f>
        <v>9.9532602049975178</v>
      </c>
      <c r="D19" s="19">
        <v>8.34</v>
      </c>
      <c r="E19" s="19">
        <v>8.09</v>
      </c>
      <c r="F19" s="19"/>
      <c r="G19" s="19">
        <v>7.39</v>
      </c>
      <c r="H19" s="19">
        <v>9.24</v>
      </c>
      <c r="I19" s="19">
        <v>6.78</v>
      </c>
      <c r="J19" s="19">
        <v>6.5499999999999989</v>
      </c>
      <c r="K19" s="19">
        <v>6.6899999999999995</v>
      </c>
      <c r="L19" s="19">
        <v>6.26</v>
      </c>
      <c r="M19" s="221">
        <v>6.51</v>
      </c>
      <c r="O19" s="218">
        <f>IFERROR(C19/D19-1,"")</f>
        <v>0.1934364754193667</v>
      </c>
      <c r="P19" s="219">
        <f>IFERROR(D19/E19-1,"")</f>
        <v>3.0902348578492056E-2</v>
      </c>
      <c r="Q19" s="219" t="str">
        <f>IFERROR(E19/F19-1,"")</f>
        <v/>
      </c>
      <c r="R19" s="219">
        <f>IFERROR(F19/G19-1,"")</f>
        <v>-1</v>
      </c>
      <c r="S19" s="219">
        <f>IFERROR(G19/H19-1,"")</f>
        <v>-0.20021645021645029</v>
      </c>
      <c r="T19" s="219">
        <f>IFERROR(H19/I19-1,"")</f>
        <v>0.36283185840707954</v>
      </c>
      <c r="U19" s="219">
        <f>IFERROR(I19/J19-1,"")</f>
        <v>3.5114503816794151E-2</v>
      </c>
      <c r="V19" s="219">
        <f>IFERROR(J19/K19-1,"")</f>
        <v>-2.0926756352765419E-2</v>
      </c>
      <c r="W19" s="219">
        <f>IFERROR(K19/L19-1,"")</f>
        <v>6.8690095846645427E-2</v>
      </c>
      <c r="X19" s="220">
        <f>IFERROR(L19/M19-1,"")</f>
        <v>-3.8402457757296449E-2</v>
      </c>
    </row>
    <row r="20" spans="1:24" x14ac:dyDescent="0.2">
      <c r="A20" s="20">
        <v>17</v>
      </c>
      <c r="B20" s="178" t="s">
        <v>15</v>
      </c>
      <c r="C20" s="19">
        <f>Summary!F21</f>
        <v>12.498638367095474</v>
      </c>
      <c r="D20" s="19">
        <v>11.1</v>
      </c>
      <c r="E20" s="19">
        <v>11.56</v>
      </c>
      <c r="F20" s="19"/>
      <c r="G20" s="19">
        <v>9.26</v>
      </c>
      <c r="H20" s="19">
        <v>12.15</v>
      </c>
      <c r="I20" s="19">
        <v>10.030000000000001</v>
      </c>
      <c r="J20" s="19">
        <v>11.94</v>
      </c>
      <c r="K20" s="19">
        <v>10.23</v>
      </c>
      <c r="L20" s="19">
        <v>8.7399999999999984</v>
      </c>
      <c r="M20" s="221">
        <v>8.64</v>
      </c>
      <c r="O20" s="218">
        <f>IFERROR(C20/D20-1,"")</f>
        <v>0.12600345649508782</v>
      </c>
      <c r="P20" s="219">
        <f>IFERROR(D20/E20-1,"")</f>
        <v>-3.979238754325265E-2</v>
      </c>
      <c r="Q20" s="219" t="str">
        <f>IFERROR(E20/F20-1,"")</f>
        <v/>
      </c>
      <c r="R20" s="219">
        <f>IFERROR(F20/G20-1,"")</f>
        <v>-1</v>
      </c>
      <c r="S20" s="219">
        <f>IFERROR(G20/H20-1,"")</f>
        <v>-0.23786008230452682</v>
      </c>
      <c r="T20" s="219">
        <f>IFERROR(H20/I20-1,"")</f>
        <v>0.21136590229312047</v>
      </c>
      <c r="U20" s="219">
        <f>IFERROR(I20/J20-1,"")</f>
        <v>-0.15996649916247896</v>
      </c>
      <c r="V20" s="219">
        <f>IFERROR(J20/K20-1,"")</f>
        <v>0.1671554252199412</v>
      </c>
      <c r="W20" s="219">
        <f>IFERROR(K20/L20-1,"")</f>
        <v>0.17048054919908484</v>
      </c>
      <c r="X20" s="220">
        <f>IFERROR(L20/M20-1,"")</f>
        <v>1.1574074074073737E-2</v>
      </c>
    </row>
    <row r="21" spans="1:24" x14ac:dyDescent="0.2">
      <c r="A21" s="20">
        <v>18</v>
      </c>
      <c r="B21" s="178" t="s">
        <v>16</v>
      </c>
      <c r="C21" s="19">
        <f>Summary!F22</f>
        <v>9.6819620212801532</v>
      </c>
      <c r="D21" s="19">
        <v>8.42</v>
      </c>
      <c r="E21" s="19">
        <v>8.24</v>
      </c>
      <c r="F21" s="19"/>
      <c r="G21" s="19">
        <v>6.89</v>
      </c>
      <c r="H21" s="19">
        <v>9.32</v>
      </c>
      <c r="I21" s="19">
        <v>6.5400000000000009</v>
      </c>
      <c r="J21" s="19">
        <v>6.66</v>
      </c>
      <c r="K21" s="19">
        <v>6.59</v>
      </c>
      <c r="L21" s="19">
        <v>6.9999999999999991</v>
      </c>
      <c r="M21" s="221">
        <v>5.76</v>
      </c>
      <c r="O21" s="218">
        <f>IFERROR(C21/D21-1,"")</f>
        <v>0.14987672461759538</v>
      </c>
      <c r="P21" s="219">
        <f>IFERROR(D21/E21-1,"")</f>
        <v>2.1844660194174637E-2</v>
      </c>
      <c r="Q21" s="219" t="str">
        <f>IFERROR(E21/F21-1,"")</f>
        <v/>
      </c>
      <c r="R21" s="219">
        <f>IFERROR(F21/G21-1,"")</f>
        <v>-1</v>
      </c>
      <c r="S21" s="219">
        <f>IFERROR(G21/H21-1,"")</f>
        <v>-0.26072961373390569</v>
      </c>
      <c r="T21" s="219">
        <f>IFERROR(H21/I21-1,"")</f>
        <v>0.4250764525993882</v>
      </c>
      <c r="U21" s="219">
        <f>IFERROR(I21/J21-1,"")</f>
        <v>-1.8018018018017945E-2</v>
      </c>
      <c r="V21" s="219">
        <f>IFERROR(J21/K21-1,"")</f>
        <v>1.0622154779969639E-2</v>
      </c>
      <c r="W21" s="219">
        <f>IFERROR(K21/L21-1,"")</f>
        <v>-5.8571428571428497E-2</v>
      </c>
      <c r="X21" s="220">
        <f>IFERROR(L21/M21-1,"")</f>
        <v>0.21527777777777768</v>
      </c>
    </row>
    <row r="22" spans="1:24" x14ac:dyDescent="0.2">
      <c r="A22" s="20">
        <v>19</v>
      </c>
      <c r="B22" s="178" t="s">
        <v>17</v>
      </c>
      <c r="C22" s="19">
        <f>Summary!F23</f>
        <v>7.5967619035937064</v>
      </c>
      <c r="D22" s="19">
        <v>6.9799999999999995</v>
      </c>
      <c r="E22" s="19">
        <v>6.84</v>
      </c>
      <c r="F22" s="19"/>
      <c r="G22" s="19">
        <v>6.1099999999999994</v>
      </c>
      <c r="H22" s="19">
        <v>8.0300000000000011</v>
      </c>
      <c r="I22" s="19">
        <v>5.5600000000000005</v>
      </c>
      <c r="J22" s="19">
        <v>5.5499999999999989</v>
      </c>
      <c r="K22" s="19">
        <v>5.3900000000000006</v>
      </c>
      <c r="L22" s="19">
        <v>5.26</v>
      </c>
      <c r="M22" s="221">
        <v>4.96</v>
      </c>
      <c r="O22" s="218">
        <f>IFERROR(C22/D22-1,"")</f>
        <v>8.8361304239786165E-2</v>
      </c>
      <c r="P22" s="219">
        <f>IFERROR(D22/E22-1,"")</f>
        <v>2.0467836257309857E-2</v>
      </c>
      <c r="Q22" s="219" t="str">
        <f>IFERROR(E22/F22-1,"")</f>
        <v/>
      </c>
      <c r="R22" s="219">
        <f>IFERROR(F22/G22-1,"")</f>
        <v>-1</v>
      </c>
      <c r="S22" s="219">
        <f>IFERROR(G22/H22-1,"")</f>
        <v>-0.2391033623910338</v>
      </c>
      <c r="T22" s="219">
        <f>IFERROR(H22/I22-1,"")</f>
        <v>0.44424460431654689</v>
      </c>
      <c r="U22" s="219">
        <f>IFERROR(I22/J22-1,"")</f>
        <v>1.8018018018020054E-3</v>
      </c>
      <c r="V22" s="219">
        <f>IFERROR(J22/K22-1,"")</f>
        <v>2.9684601113172171E-2</v>
      </c>
      <c r="W22" s="219">
        <f>IFERROR(K22/L22-1,"")</f>
        <v>2.4714828897338448E-2</v>
      </c>
      <c r="X22" s="220">
        <f>IFERROR(L22/M22-1,"")</f>
        <v>6.0483870967741993E-2</v>
      </c>
    </row>
    <row r="23" spans="1:24" x14ac:dyDescent="0.2">
      <c r="A23" s="20">
        <v>20</v>
      </c>
      <c r="B23" s="178" t="s">
        <v>18</v>
      </c>
      <c r="C23" s="19">
        <f>Summary!F24</f>
        <v>10.076582128857593</v>
      </c>
      <c r="D23" s="19">
        <v>8.57</v>
      </c>
      <c r="E23" s="19">
        <v>8.5299999999999994</v>
      </c>
      <c r="F23" s="19"/>
      <c r="G23" s="19">
        <v>7.6000000000000005</v>
      </c>
      <c r="H23" s="19">
        <v>9.5400000000000009</v>
      </c>
      <c r="I23" s="19">
        <v>7.0500000000000007</v>
      </c>
      <c r="J23" s="19">
        <v>7.6199999999999992</v>
      </c>
      <c r="K23" s="19">
        <v>7.74</v>
      </c>
      <c r="L23" s="19">
        <v>7.669999999999999</v>
      </c>
      <c r="M23" s="221">
        <v>6.49</v>
      </c>
      <c r="O23" s="218">
        <f>IFERROR(C23/D23-1,"")</f>
        <v>0.17579721456914732</v>
      </c>
      <c r="P23" s="219">
        <f>IFERROR(D23/E23-1,"")</f>
        <v>4.6893317702227932E-3</v>
      </c>
      <c r="Q23" s="219" t="str">
        <f>IFERROR(E23/F23-1,"")</f>
        <v/>
      </c>
      <c r="R23" s="219">
        <f>IFERROR(F23/G23-1,"")</f>
        <v>-1</v>
      </c>
      <c r="S23" s="219">
        <f>IFERROR(G23/H23-1,"")</f>
        <v>-0.20335429769392033</v>
      </c>
      <c r="T23" s="219">
        <f>IFERROR(H23/I23-1,"")</f>
        <v>0.35319148936170208</v>
      </c>
      <c r="U23" s="219">
        <f>IFERROR(I23/J23-1,"")</f>
        <v>-7.480314960629908E-2</v>
      </c>
      <c r="V23" s="219">
        <f>IFERROR(J23/K23-1,"")</f>
        <v>-1.5503875968992387E-2</v>
      </c>
      <c r="W23" s="219">
        <f>IFERROR(K23/L23-1,"")</f>
        <v>9.1264667535855271E-3</v>
      </c>
      <c r="X23" s="220">
        <f>IFERROR(L23/M23-1,"")</f>
        <v>0.18181818181818166</v>
      </c>
    </row>
    <row r="24" spans="1:24" ht="28.5" x14ac:dyDescent="0.2">
      <c r="A24" s="20">
        <v>21</v>
      </c>
      <c r="B24" s="178" t="s">
        <v>466</v>
      </c>
      <c r="C24" s="19">
        <f>Summary!F25</f>
        <v>10.221683915849301</v>
      </c>
      <c r="D24" s="19">
        <v>9.33</v>
      </c>
      <c r="E24" s="19">
        <v>8.879999999999999</v>
      </c>
      <c r="F24" s="19"/>
      <c r="G24" s="19">
        <v>9.3099999999999987</v>
      </c>
      <c r="H24" s="19">
        <v>10.89</v>
      </c>
      <c r="I24" s="19">
        <v>8.3000000000000007</v>
      </c>
      <c r="J24" s="19">
        <v>8.76</v>
      </c>
      <c r="K24" s="19">
        <v>7.41</v>
      </c>
      <c r="L24" s="19">
        <v>7.8199999999999994</v>
      </c>
      <c r="M24" s="221">
        <v>7.32</v>
      </c>
      <c r="O24" s="218">
        <f>IFERROR(C24/D24-1,"")</f>
        <v>9.5571695160696857E-2</v>
      </c>
      <c r="P24" s="219">
        <f>IFERROR(D24/E24-1,"")</f>
        <v>5.067567567567588E-2</v>
      </c>
      <c r="Q24" s="219" t="str">
        <f>IFERROR(E24/F24-1,"")</f>
        <v/>
      </c>
      <c r="R24" s="219">
        <f>IFERROR(F24/G24-1,"")</f>
        <v>-1</v>
      </c>
      <c r="S24" s="219">
        <f>IFERROR(G24/H24-1,"")</f>
        <v>-0.14508723599632711</v>
      </c>
      <c r="T24" s="219">
        <f>IFERROR(H24/I24-1,"")</f>
        <v>0.31204819277108431</v>
      </c>
      <c r="U24" s="219">
        <f>IFERROR(I24/J24-1,"")</f>
        <v>-5.2511415525114069E-2</v>
      </c>
      <c r="V24" s="219">
        <f>IFERROR(J24/K24-1,"")</f>
        <v>0.18218623481781382</v>
      </c>
      <c r="W24" s="219">
        <f>IFERROR(K24/L24-1,"")</f>
        <v>-5.2429667519181544E-2</v>
      </c>
      <c r="X24" s="220">
        <f>IFERROR(L24/M24-1,"")</f>
        <v>6.8306010928961713E-2</v>
      </c>
    </row>
    <row r="25" spans="1:24" x14ac:dyDescent="0.2">
      <c r="A25" s="20">
        <v>22</v>
      </c>
      <c r="B25" s="178" t="s">
        <v>19</v>
      </c>
      <c r="C25" s="19">
        <f>Summary!F26</f>
        <v>9.3156647280961771</v>
      </c>
      <c r="D25" s="19">
        <v>7.2200000000000006</v>
      </c>
      <c r="E25" s="19">
        <v>7.52</v>
      </c>
      <c r="F25" s="19"/>
      <c r="G25" s="19">
        <v>8.52</v>
      </c>
      <c r="H25" s="19">
        <v>10.200000000000001</v>
      </c>
      <c r="I25" s="19">
        <v>7.1400000000000006</v>
      </c>
      <c r="J25" s="19">
        <v>8.36</v>
      </c>
      <c r="K25" s="19">
        <v>7.41</v>
      </c>
      <c r="L25" s="19">
        <v>7.3299999999999992</v>
      </c>
      <c r="M25" s="221">
        <v>6.4700000000000006</v>
      </c>
      <c r="O25" s="218">
        <f>IFERROR(C25/D25-1,"")</f>
        <v>0.29025827258949799</v>
      </c>
      <c r="P25" s="219">
        <f>IFERROR(D25/E25-1,"")</f>
        <v>-3.9893617021276473E-2</v>
      </c>
      <c r="Q25" s="219" t="str">
        <f>IFERROR(E25/F25-1,"")</f>
        <v/>
      </c>
      <c r="R25" s="219">
        <f>IFERROR(F25/G25-1,"")</f>
        <v>-1</v>
      </c>
      <c r="S25" s="219">
        <f>IFERROR(G25/H25-1,"")</f>
        <v>-0.16470588235294126</v>
      </c>
      <c r="T25" s="219">
        <f>IFERROR(H25/I25-1,"")</f>
        <v>0.4285714285714286</v>
      </c>
      <c r="U25" s="219">
        <f>IFERROR(I25/J25-1,"")</f>
        <v>-0.14593301435406691</v>
      </c>
      <c r="V25" s="219">
        <f>IFERROR(J25/K25-1,"")</f>
        <v>0.12820512820512819</v>
      </c>
      <c r="W25" s="219">
        <f>IFERROR(K25/L25-1,"")</f>
        <v>1.0914051841746319E-2</v>
      </c>
      <c r="X25" s="220">
        <f>IFERROR(L25/M25-1,"")</f>
        <v>0.13292117465224096</v>
      </c>
    </row>
    <row r="26" spans="1:24" x14ac:dyDescent="0.2">
      <c r="A26" s="20">
        <v>23</v>
      </c>
      <c r="B26" s="178" t="s">
        <v>20</v>
      </c>
      <c r="C26" s="19">
        <f>Summary!F27</f>
        <v>9.3467053854110613</v>
      </c>
      <c r="D26" s="19">
        <v>8.3199999999999985</v>
      </c>
      <c r="E26" s="19">
        <v>8.02</v>
      </c>
      <c r="F26" s="19"/>
      <c r="G26" s="19">
        <v>7.42</v>
      </c>
      <c r="H26" s="19">
        <v>9.6900000000000013</v>
      </c>
      <c r="I26" s="19">
        <v>6.8800000000000008</v>
      </c>
      <c r="J26" s="19">
        <v>7.32</v>
      </c>
      <c r="K26" s="19">
        <v>6.98</v>
      </c>
      <c r="L26" s="19">
        <v>6.879999999999999</v>
      </c>
      <c r="M26" s="221">
        <v>6.21</v>
      </c>
      <c r="O26" s="218">
        <f>IFERROR(C26/D26-1,"")</f>
        <v>0.12340208959267573</v>
      </c>
      <c r="P26" s="219">
        <f>IFERROR(D26/E26-1,"")</f>
        <v>3.740648379052347E-2</v>
      </c>
      <c r="Q26" s="219" t="str">
        <f>IFERROR(E26/F26-1,"")</f>
        <v/>
      </c>
      <c r="R26" s="219">
        <f>IFERROR(F26/G26-1,"")</f>
        <v>-1</v>
      </c>
      <c r="S26" s="219">
        <f>IFERROR(G26/H26-1,"")</f>
        <v>-0.23426212590299289</v>
      </c>
      <c r="T26" s="219">
        <f>IFERROR(H26/I26-1,"")</f>
        <v>0.40843023255813948</v>
      </c>
      <c r="U26" s="219">
        <f>IFERROR(I26/J26-1,"")</f>
        <v>-6.0109289617486295E-2</v>
      </c>
      <c r="V26" s="219">
        <f>IFERROR(J26/K26-1,"")</f>
        <v>4.871060171919761E-2</v>
      </c>
      <c r="W26" s="219">
        <f>IFERROR(K26/L26-1,"")</f>
        <v>1.453488372093048E-2</v>
      </c>
      <c r="X26" s="220">
        <f>IFERROR(L26/M26-1,"")</f>
        <v>0.10789049919484683</v>
      </c>
    </row>
    <row r="27" spans="1:24" x14ac:dyDescent="0.2">
      <c r="A27" s="20">
        <v>24</v>
      </c>
      <c r="B27" s="178" t="s">
        <v>21</v>
      </c>
      <c r="C27" s="19">
        <f>Summary!F28</f>
        <v>8.5938489145308665</v>
      </c>
      <c r="D27" s="19">
        <v>7.58</v>
      </c>
      <c r="E27" s="19">
        <v>7.4399999999999995</v>
      </c>
      <c r="F27" s="19"/>
      <c r="G27" s="19">
        <v>6.81</v>
      </c>
      <c r="H27" s="19">
        <v>8.5500000000000007</v>
      </c>
      <c r="I27" s="19">
        <v>6.2200000000000006</v>
      </c>
      <c r="J27" s="19">
        <v>6.34</v>
      </c>
      <c r="K27" s="19">
        <v>5.9</v>
      </c>
      <c r="L27" s="19">
        <v>5.5799999999999992</v>
      </c>
      <c r="M27" s="221">
        <v>4.9399999999999995</v>
      </c>
      <c r="O27" s="218">
        <f>IFERROR(C27/D27-1,"")</f>
        <v>0.13375315495130158</v>
      </c>
      <c r="P27" s="219">
        <f>IFERROR(D27/E27-1,"")</f>
        <v>1.8817204301075252E-2</v>
      </c>
      <c r="Q27" s="219" t="str">
        <f>IFERROR(E27/F27-1,"")</f>
        <v/>
      </c>
      <c r="R27" s="219">
        <f>IFERROR(F27/G27-1,"")</f>
        <v>-1</v>
      </c>
      <c r="S27" s="219">
        <f>IFERROR(G27/H27-1,"")</f>
        <v>-0.20350877192982464</v>
      </c>
      <c r="T27" s="219">
        <f>IFERROR(H27/I27-1,"")</f>
        <v>0.37459807073954976</v>
      </c>
      <c r="U27" s="219">
        <f>IFERROR(I27/J27-1,"")</f>
        <v>-1.8927444794952564E-2</v>
      </c>
      <c r="V27" s="219">
        <f>IFERROR(J27/K27-1,"")</f>
        <v>7.4576271186440612E-2</v>
      </c>
      <c r="W27" s="219">
        <f>IFERROR(K27/L27-1,"")</f>
        <v>5.7347670250896376E-2</v>
      </c>
      <c r="X27" s="220">
        <f>IFERROR(L27/M27-1,"")</f>
        <v>0.12955465587044523</v>
      </c>
    </row>
    <row r="28" spans="1:24" x14ac:dyDescent="0.2">
      <c r="A28" s="20">
        <v>25</v>
      </c>
      <c r="B28" s="178" t="s">
        <v>22</v>
      </c>
      <c r="C28" s="19">
        <f>Summary!F29</f>
        <v>7.0742804305984075</v>
      </c>
      <c r="D28" s="19">
        <v>6.3100000000000005</v>
      </c>
      <c r="E28" s="19">
        <v>6.2</v>
      </c>
      <c r="F28" s="19"/>
      <c r="G28" s="19">
        <v>5.63</v>
      </c>
      <c r="H28" s="19">
        <v>7.4200000000000008</v>
      </c>
      <c r="I28" s="19">
        <v>5.36</v>
      </c>
      <c r="J28" s="19">
        <v>5.3199999999999994</v>
      </c>
      <c r="K28" s="19">
        <v>5.27</v>
      </c>
      <c r="L28" s="19">
        <v>5.17</v>
      </c>
      <c r="M28" s="221">
        <v>4.97</v>
      </c>
      <c r="O28" s="218">
        <f>IFERROR(C28/D28-1,"")</f>
        <v>0.12112209676678409</v>
      </c>
      <c r="P28" s="219">
        <f>IFERROR(D28/E28-1,"")</f>
        <v>1.7741935483871041E-2</v>
      </c>
      <c r="Q28" s="219" t="str">
        <f>IFERROR(E28/F28-1,"")</f>
        <v/>
      </c>
      <c r="R28" s="219">
        <f>IFERROR(F28/G28-1,"")</f>
        <v>-1</v>
      </c>
      <c r="S28" s="219">
        <f>IFERROR(G28/H28-1,"")</f>
        <v>-0.24123989218328856</v>
      </c>
      <c r="T28" s="219">
        <f>IFERROR(H28/I28-1,"")</f>
        <v>0.38432835820895539</v>
      </c>
      <c r="U28" s="219">
        <f>IFERROR(I28/J28-1,"")</f>
        <v>7.5187969924814801E-3</v>
      </c>
      <c r="V28" s="219">
        <f>IFERROR(J28/K28-1,"")</f>
        <v>9.4876660341556285E-3</v>
      </c>
      <c r="W28" s="219">
        <f>IFERROR(K28/L28-1,"")</f>
        <v>1.934235976789167E-2</v>
      </c>
      <c r="X28" s="220">
        <f>IFERROR(L28/M28-1,"")</f>
        <v>4.0241448692152959E-2</v>
      </c>
    </row>
    <row r="29" spans="1:24" x14ac:dyDescent="0.2">
      <c r="A29" s="20">
        <v>26</v>
      </c>
      <c r="B29" s="178" t="s">
        <v>23</v>
      </c>
      <c r="C29" s="19">
        <f>Summary!F30</f>
        <v>9.6981825054517703</v>
      </c>
      <c r="D29" s="19">
        <v>8.36</v>
      </c>
      <c r="E29" s="19">
        <v>8.44</v>
      </c>
      <c r="F29" s="19"/>
      <c r="G29" s="19">
        <v>7.54</v>
      </c>
      <c r="H29" s="19">
        <v>9.81</v>
      </c>
      <c r="I29" s="19">
        <v>7.1800000000000006</v>
      </c>
      <c r="J29" s="19">
        <v>7.5</v>
      </c>
      <c r="K29" s="19">
        <v>7.5299999999999994</v>
      </c>
      <c r="L29" s="19">
        <v>7.35</v>
      </c>
      <c r="M29" s="221">
        <v>7.33</v>
      </c>
      <c r="O29" s="218">
        <f>IFERROR(C29/D29-1,"")</f>
        <v>0.16006967768561853</v>
      </c>
      <c r="P29" s="219">
        <f>IFERROR(D29/E29-1,"")</f>
        <v>-9.4786729857819774E-3</v>
      </c>
      <c r="Q29" s="219" t="str">
        <f>IFERROR(E29/F29-1,"")</f>
        <v/>
      </c>
      <c r="R29" s="219">
        <f>IFERROR(F29/G29-1,"")</f>
        <v>-1</v>
      </c>
      <c r="S29" s="219">
        <f>IFERROR(G29/H29-1,"")</f>
        <v>-0.23139653414882777</v>
      </c>
      <c r="T29" s="219">
        <f>IFERROR(H29/I29-1,"")</f>
        <v>0.36629526462395545</v>
      </c>
      <c r="U29" s="219">
        <f>IFERROR(I29/J29-1,"")</f>
        <v>-4.2666666666666631E-2</v>
      </c>
      <c r="V29" s="219">
        <f>IFERROR(J29/K29-1,"")</f>
        <v>-3.9840637450198058E-3</v>
      </c>
      <c r="W29" s="219">
        <f>IFERROR(K29/L29-1,"")</f>
        <v>2.4489795918367419E-2</v>
      </c>
      <c r="X29" s="220">
        <f>IFERROR(L29/M29-1,"")</f>
        <v>2.7285129604364133E-3</v>
      </c>
    </row>
    <row r="30" spans="1:24" x14ac:dyDescent="0.2">
      <c r="A30" s="20">
        <v>28</v>
      </c>
      <c r="B30" s="178" t="s">
        <v>24</v>
      </c>
      <c r="C30" s="19">
        <f>Summary!F31</f>
        <v>0</v>
      </c>
      <c r="D30" s="19">
        <v>0</v>
      </c>
      <c r="E30" s="19">
        <v>0</v>
      </c>
      <c r="F30" s="19"/>
      <c r="G30" s="19">
        <v>0</v>
      </c>
      <c r="H30" s="19">
        <v>0</v>
      </c>
      <c r="I30" s="19">
        <v>0</v>
      </c>
      <c r="J30" s="19">
        <v>0</v>
      </c>
      <c r="K30" s="19">
        <v>0</v>
      </c>
      <c r="L30" s="19">
        <v>0</v>
      </c>
      <c r="M30" s="221">
        <v>0</v>
      </c>
      <c r="O30" s="218" t="str">
        <f>IFERROR(C30/D30-1,"")</f>
        <v/>
      </c>
      <c r="P30" s="219" t="str">
        <f>IFERROR(D30/E30-1,"")</f>
        <v/>
      </c>
      <c r="Q30" s="219" t="str">
        <f>IFERROR(E30/F30-1,"")</f>
        <v/>
      </c>
      <c r="R30" s="219" t="str">
        <f>IFERROR(F30/G30-1,"")</f>
        <v/>
      </c>
      <c r="S30" s="219" t="str">
        <f>IFERROR(G30/H30-1,"")</f>
        <v/>
      </c>
      <c r="T30" s="219" t="str">
        <f>IFERROR(H30/I30-1,"")</f>
        <v/>
      </c>
      <c r="U30" s="219" t="str">
        <f>IFERROR(I30/J30-1,"")</f>
        <v/>
      </c>
      <c r="V30" s="219" t="str">
        <f>IFERROR(J30/K30-1,"")</f>
        <v/>
      </c>
      <c r="W30" s="219" t="str">
        <f>IFERROR(K30/L30-1,"")</f>
        <v/>
      </c>
      <c r="X30" s="220" t="str">
        <f>IFERROR(L30/M30-1,"")</f>
        <v/>
      </c>
    </row>
    <row r="31" spans="1:24" ht="15" thickBot="1" x14ac:dyDescent="0.25">
      <c r="A31" s="23">
        <v>29</v>
      </c>
      <c r="B31" s="180" t="s">
        <v>25</v>
      </c>
      <c r="C31" s="68">
        <f>Summary!F32</f>
        <v>0</v>
      </c>
      <c r="D31" s="68">
        <v>0</v>
      </c>
      <c r="E31" s="68">
        <v>0</v>
      </c>
      <c r="F31" s="68"/>
      <c r="G31" s="68">
        <v>0</v>
      </c>
      <c r="H31" s="68">
        <v>0</v>
      </c>
      <c r="I31" s="68">
        <v>0</v>
      </c>
      <c r="J31" s="68">
        <v>0</v>
      </c>
      <c r="K31" s="68">
        <v>0</v>
      </c>
      <c r="L31" s="68">
        <v>0</v>
      </c>
      <c r="M31" s="222">
        <v>0</v>
      </c>
      <c r="O31" s="223" t="str">
        <f>IFERROR(C31/D31-1,"")</f>
        <v/>
      </c>
      <c r="P31" s="224" t="str">
        <f>IFERROR(D31/E31-1,"")</f>
        <v/>
      </c>
      <c r="Q31" s="224" t="str">
        <f>IFERROR(E31/F31-1,"")</f>
        <v/>
      </c>
      <c r="R31" s="224" t="str">
        <f>IFERROR(F31/G31-1,"")</f>
        <v/>
      </c>
      <c r="S31" s="224" t="str">
        <f>IFERROR(G31/H31-1,"")</f>
        <v/>
      </c>
      <c r="T31" s="224" t="str">
        <f>IFERROR(H31/I31-1,"")</f>
        <v/>
      </c>
      <c r="U31" s="224" t="str">
        <f>IFERROR(I31/J31-1,"")</f>
        <v/>
      </c>
      <c r="V31" s="224" t="str">
        <f>IFERROR(J31/K31-1,"")</f>
        <v/>
      </c>
      <c r="W31" s="224" t="str">
        <f>IFERROR(K31/L31-1,"")</f>
        <v/>
      </c>
      <c r="X31" s="225" t="str">
        <f>IFERROR(L31/M31-1,"")</f>
        <v/>
      </c>
    </row>
    <row r="32" spans="1:24" x14ac:dyDescent="0.2">
      <c r="B32" s="14" t="s">
        <v>957</v>
      </c>
      <c r="C32" s="65">
        <f>AVERAGE(C4:C31)</f>
        <v>9.8712269670461357</v>
      </c>
      <c r="D32" s="65">
        <f>AVERAGE(D4:D31)</f>
        <v>8.67</v>
      </c>
      <c r="E32" s="65">
        <f>AVERAGE(E4:E31)</f>
        <v>8.463571428571429</v>
      </c>
      <c r="F32" s="65"/>
      <c r="G32" s="65">
        <f>AVERAGE(G4:G31)</f>
        <v>7.7992857142857117</v>
      </c>
      <c r="H32" s="65">
        <f>AVERAGE(H4:H31)</f>
        <v>9.7524999999999995</v>
      </c>
      <c r="I32" s="65">
        <f>AVERAGE(I4:I31)</f>
        <v>6.9428571428571448</v>
      </c>
      <c r="J32" s="65">
        <f>AVERAGE(J4:J31)</f>
        <v>7.007142857142858</v>
      </c>
      <c r="K32" s="65">
        <f>AVERAGE(K4:K31)</f>
        <v>7.0107142857142861</v>
      </c>
      <c r="L32" s="65">
        <f>AVERAGE(L4:L31)</f>
        <v>7.017142857142856</v>
      </c>
      <c r="M32" s="65">
        <f>AVERAGE(M4:M31)</f>
        <v>6.5617857142857163</v>
      </c>
      <c r="O32" s="145">
        <f t="shared" ref="O32:R34" si="0">IFERROR(C32/D32-1,"")</f>
        <v>0.13854982318871234</v>
      </c>
      <c r="P32" s="145">
        <f t="shared" si="0"/>
        <v>2.4390243902439046E-2</v>
      </c>
      <c r="Q32" s="145" t="str">
        <f t="shared" si="0"/>
        <v/>
      </c>
      <c r="R32" s="145">
        <f t="shared" si="0"/>
        <v>-1</v>
      </c>
      <c r="S32" s="145">
        <f>IFERROR(G32/H32-1,"")</f>
        <v>-0.20027831691507691</v>
      </c>
      <c r="T32" s="145">
        <f>IFERROR(H32/I32-1,"")</f>
        <v>0.40468106995884723</v>
      </c>
      <c r="U32" s="145">
        <f>IFERROR(I32/J32-1,"")</f>
        <v>-9.1743119266053386E-3</v>
      </c>
      <c r="V32" s="145">
        <f>IFERROR(J32/K32-1,"")</f>
        <v>-5.0942435048384471E-4</v>
      </c>
      <c r="W32" s="145">
        <f>IFERROR(K32/L32-1,"")</f>
        <v>-9.1612377850136539E-4</v>
      </c>
      <c r="X32" s="145">
        <f>IFERROR(L32/M32-1,"")</f>
        <v>6.9395308332879324E-2</v>
      </c>
    </row>
    <row r="33" spans="2:24" x14ac:dyDescent="0.2">
      <c r="B33" s="14" t="s">
        <v>958</v>
      </c>
      <c r="C33" s="146">
        <f>MEDIAN(C4:C31)</f>
        <v>9.3311850567536183</v>
      </c>
      <c r="D33" s="146">
        <f>MEDIAN(D4:D31)</f>
        <v>7.7799999999999994</v>
      </c>
      <c r="E33" s="146">
        <f>MEDIAN(E4:E31)</f>
        <v>7.5249999999999995</v>
      </c>
      <c r="F33" s="146"/>
      <c r="G33" s="146">
        <f>MEDIAN(G4:G31)</f>
        <v>7.3449999999999998</v>
      </c>
      <c r="H33" s="146">
        <f>MEDIAN(H4:H31)</f>
        <v>9.615000000000002</v>
      </c>
      <c r="I33" s="146">
        <f>MEDIAN(I4:I31)</f>
        <v>6.995000000000001</v>
      </c>
      <c r="J33" s="146">
        <f>MEDIAN(J4:J31)</f>
        <v>6.9049999999999994</v>
      </c>
      <c r="K33" s="146">
        <f>MEDIAN(K4:K31)</f>
        <v>6.6899999999999995</v>
      </c>
      <c r="L33" s="146">
        <f>MEDIAN(L4:L31)</f>
        <v>6.6899999999999995</v>
      </c>
      <c r="M33" s="146">
        <f>MEDIAN(M4:M31)</f>
        <v>6.32</v>
      </c>
      <c r="O33" s="145">
        <f t="shared" si="0"/>
        <v>0.19938111269326719</v>
      </c>
      <c r="P33" s="145">
        <f t="shared" si="0"/>
        <v>3.3887043189368748E-2</v>
      </c>
      <c r="Q33" s="145" t="str">
        <f t="shared" si="0"/>
        <v/>
      </c>
      <c r="R33" s="145">
        <f t="shared" si="0"/>
        <v>-1</v>
      </c>
      <c r="S33" s="145">
        <f>IFERROR(G33/H33-1,"")</f>
        <v>-0.23608944357774331</v>
      </c>
      <c r="T33" s="145">
        <f>IFERROR(H33/I33-1,"")</f>
        <v>0.37455325232308812</v>
      </c>
      <c r="U33" s="145">
        <f>IFERROR(I33/J33-1,"")</f>
        <v>1.3034033309196502E-2</v>
      </c>
      <c r="V33" s="145">
        <f>IFERROR(J33/K33-1,"")</f>
        <v>3.2137518684603794E-2</v>
      </c>
      <c r="W33" s="145">
        <f>IFERROR(K33/L33-1,"")</f>
        <v>0</v>
      </c>
      <c r="X33" s="145">
        <f>IFERROR(L33/M33-1,"")</f>
        <v>5.8544303797468222E-2</v>
      </c>
    </row>
    <row r="34" spans="2:24" x14ac:dyDescent="0.2">
      <c r="B34" s="14" t="s">
        <v>1029</v>
      </c>
      <c r="C34" s="65">
        <f>STDEV(C4:C31)</f>
        <v>5.9203333911590876</v>
      </c>
      <c r="D34" s="65">
        <f>STDEV(D4:D31)</f>
        <v>5.7536854533678099</v>
      </c>
      <c r="E34" s="65">
        <f>STDEV(E4:E31)</f>
        <v>5.2587227109122772</v>
      </c>
      <c r="F34" s="65"/>
      <c r="G34" s="65">
        <f>STDEV(G4:G31)</f>
        <v>4.1137528406386368</v>
      </c>
      <c r="H34" s="65">
        <f>STDEV(H4:H31)</f>
        <v>4.4105652824905679</v>
      </c>
      <c r="I34" s="65">
        <f>STDEV(I4:I31)</f>
        <v>2.7509807774855881</v>
      </c>
      <c r="J34" s="65">
        <f>STDEV(J4:J31)</f>
        <v>2.6772025990973756</v>
      </c>
      <c r="K34" s="65">
        <f>STDEV(K4:K31)</f>
        <v>3.0868057666898725</v>
      </c>
      <c r="L34" s="65">
        <f>STDEV(L4:L31)</f>
        <v>3.4645515525558972</v>
      </c>
      <c r="M34" s="65">
        <f>STDEV(M4:M31)</f>
        <v>3.252536393250347</v>
      </c>
      <c r="O34" s="145">
        <f t="shared" si="0"/>
        <v>2.8963685822229523E-2</v>
      </c>
      <c r="P34" s="145">
        <f t="shared" si="0"/>
        <v>9.4122236456477326E-2</v>
      </c>
      <c r="Q34" s="145" t="str">
        <f t="shared" si="0"/>
        <v/>
      </c>
      <c r="R34" s="145">
        <f t="shared" si="0"/>
        <v>-1</v>
      </c>
      <c r="S34" s="145">
        <f>IFERROR(G34/H34-1,"")</f>
        <v>-6.7295782477189925E-2</v>
      </c>
      <c r="T34" s="145">
        <f>IFERROR(H34/I34-1,"")</f>
        <v>0.60327012045567585</v>
      </c>
      <c r="U34" s="145">
        <f>IFERROR(I34/J34-1,"")</f>
        <v>2.7557936187977417E-2</v>
      </c>
      <c r="V34" s="145">
        <f>IFERROR(J34/K34-1,"")</f>
        <v>-0.13269483036884877</v>
      </c>
      <c r="W34" s="145">
        <f>IFERROR(K34/L34-1,"")</f>
        <v>-0.10903165391992831</v>
      </c>
      <c r="X34" s="145">
        <f>IFERROR(L34/M34-1,"")</f>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activeCell="B1" sqref="B1"/>
      <selection pane="bottomLeft" activeCell="A5" sqref="A5"/>
      <selection pane="bottomRight" activeCell="B4" sqref="B4"/>
    </sheetView>
  </sheetViews>
  <sheetFormatPr defaultRowHeight="15" x14ac:dyDescent="0.25"/>
  <cols>
    <col min="1" max="1" width="37.5703125" customWidth="1"/>
    <col min="2" max="2" width="22.7109375" style="69" customWidth="1"/>
    <col min="3" max="3" width="12.5703125" bestFit="1" customWidth="1"/>
    <col min="4" max="4" width="19.28515625" customWidth="1"/>
    <col min="5" max="5" width="25.5703125" customWidth="1"/>
  </cols>
  <sheetData>
    <row r="1" spans="1:5" x14ac:dyDescent="0.25">
      <c r="A1" s="133" t="str">
        <f>Summary!A1</f>
        <v>Community and Technical Colleges, Report of Fundable Operating Expenses, Fiscal Year (FY) 2009</v>
      </c>
      <c r="B1" s="133"/>
      <c r="C1" s="132"/>
      <c r="D1" s="131"/>
      <c r="E1" s="131"/>
    </row>
    <row r="2" spans="1:5" ht="15.75" thickBot="1" x14ac:dyDescent="0.3">
      <c r="A2" s="134" t="s">
        <v>1031</v>
      </c>
      <c r="B2" s="134"/>
      <c r="C2" s="131"/>
      <c r="D2" s="131"/>
      <c r="E2" s="131"/>
    </row>
    <row r="3" spans="1:5" ht="44.25" thickBot="1" x14ac:dyDescent="0.3">
      <c r="A3" s="127" t="s">
        <v>954</v>
      </c>
      <c r="B3" s="130" t="s">
        <v>1035</v>
      </c>
      <c r="C3" s="130" t="s">
        <v>1025</v>
      </c>
      <c r="D3" s="130" t="s">
        <v>1026</v>
      </c>
      <c r="E3" s="129" t="s">
        <v>1027</v>
      </c>
    </row>
    <row r="4" spans="1:5" x14ac:dyDescent="0.25">
      <c r="A4" s="128" t="s">
        <v>1082</v>
      </c>
      <c r="B4" s="108">
        <v>1058786</v>
      </c>
      <c r="C4" s="135">
        <f>B4/30</f>
        <v>35292.866666666669</v>
      </c>
      <c r="D4" s="136">
        <f>'1'!$E$33</f>
        <v>208664470.00000006</v>
      </c>
      <c r="E4" s="137">
        <f>IFERROR(D4/C4,"")</f>
        <v>5912.3695439871717</v>
      </c>
    </row>
    <row r="5" spans="1:5" x14ac:dyDescent="0.25">
      <c r="A5" s="97" t="s">
        <v>1036</v>
      </c>
      <c r="B5" s="107">
        <v>95665</v>
      </c>
      <c r="C5" s="138">
        <f t="shared" ref="C5:C60" si="0">B5/30</f>
        <v>3188.8333333333335</v>
      </c>
      <c r="D5" s="138">
        <f>'2'!$E$33</f>
        <v>21650677.000000004</v>
      </c>
      <c r="E5" s="139">
        <f t="shared" ref="E5:E61" si="1">IFERROR(D5/C5,"")</f>
        <v>6789.529190404015</v>
      </c>
    </row>
    <row r="6" spans="1:5" x14ac:dyDescent="0.25">
      <c r="A6" s="97" t="s">
        <v>1046</v>
      </c>
      <c r="B6" s="107">
        <v>182539</v>
      </c>
      <c r="C6" s="138">
        <f t="shared" si="0"/>
        <v>6084.6333333333332</v>
      </c>
      <c r="D6" s="138">
        <f>'3'!$E$33</f>
        <v>37778402.000000007</v>
      </c>
      <c r="E6" s="139">
        <f t="shared" si="1"/>
        <v>6208.8214573324067</v>
      </c>
    </row>
    <row r="7" spans="1:5" x14ac:dyDescent="0.25">
      <c r="A7" s="97" t="s">
        <v>1047</v>
      </c>
      <c r="B7" s="107">
        <v>95200</v>
      </c>
      <c r="C7" s="138">
        <f t="shared" si="0"/>
        <v>3173.3333333333335</v>
      </c>
      <c r="D7" s="138">
        <f>'4'!$E$33</f>
        <v>14259156.999999998</v>
      </c>
      <c r="E7" s="139">
        <f t="shared" si="1"/>
        <v>4493.4318277310913</v>
      </c>
    </row>
    <row r="8" spans="1:5" x14ac:dyDescent="0.25">
      <c r="A8" s="97" t="s">
        <v>1037</v>
      </c>
      <c r="B8" s="107">
        <v>697698</v>
      </c>
      <c r="C8" s="138">
        <f t="shared" si="0"/>
        <v>23256.6</v>
      </c>
      <c r="D8" s="138">
        <f>'5'!$E$33</f>
        <v>151769770.99999997</v>
      </c>
      <c r="E8" s="139">
        <f t="shared" si="1"/>
        <v>6525.8795782702537</v>
      </c>
    </row>
    <row r="9" spans="1:5" x14ac:dyDescent="0.25">
      <c r="A9" s="97" t="s">
        <v>1048</v>
      </c>
      <c r="B9" s="107">
        <v>355946</v>
      </c>
      <c r="C9" s="138">
        <f t="shared" si="0"/>
        <v>11864.866666666667</v>
      </c>
      <c r="D9" s="140">
        <f>'6'!$E$33</f>
        <v>42057631.999999993</v>
      </c>
      <c r="E9" s="141">
        <f t="shared" si="1"/>
        <v>3544.7201541806899</v>
      </c>
    </row>
    <row r="10" spans="1:5" x14ac:dyDescent="0.25">
      <c r="A10" s="97" t="s">
        <v>1049</v>
      </c>
      <c r="B10" s="107">
        <v>68879</v>
      </c>
      <c r="C10" s="138">
        <f t="shared" si="0"/>
        <v>2295.9666666666667</v>
      </c>
      <c r="D10" s="140">
        <f>'7'!$E$33</f>
        <v>15048156</v>
      </c>
      <c r="E10" s="141">
        <f t="shared" si="1"/>
        <v>6554.1700663482334</v>
      </c>
    </row>
    <row r="11" spans="1:5" x14ac:dyDescent="0.25">
      <c r="A11" s="97" t="s">
        <v>1083</v>
      </c>
      <c r="B11" s="107">
        <v>260038</v>
      </c>
      <c r="C11" s="138">
        <f t="shared" si="0"/>
        <v>8667.9333333333325</v>
      </c>
      <c r="D11" s="138">
        <f>'8'!$E$33</f>
        <v>47596056.999999993</v>
      </c>
      <c r="E11" s="139">
        <f t="shared" si="1"/>
        <v>5491.0501926641491</v>
      </c>
    </row>
    <row r="12" spans="1:5" x14ac:dyDescent="0.25">
      <c r="A12" s="97" t="s">
        <v>1040</v>
      </c>
      <c r="B12" s="107">
        <v>77412</v>
      </c>
      <c r="C12" s="138">
        <f t="shared" si="0"/>
        <v>2580.4</v>
      </c>
      <c r="D12" s="140">
        <f>'9'!$E$33</f>
        <v>9521537</v>
      </c>
      <c r="E12" s="141">
        <f t="shared" si="1"/>
        <v>3689.9461323825763</v>
      </c>
    </row>
    <row r="13" spans="1:5" x14ac:dyDescent="0.25">
      <c r="A13" s="97" t="s">
        <v>1050</v>
      </c>
      <c r="B13" s="107">
        <v>29191</v>
      </c>
      <c r="C13" s="138">
        <f t="shared" si="0"/>
        <v>973.0333333333333</v>
      </c>
      <c r="D13" s="138">
        <f>'10'!$E$33</f>
        <v>3900789</v>
      </c>
      <c r="E13" s="139">
        <f t="shared" si="1"/>
        <v>4008.8955499982872</v>
      </c>
    </row>
    <row r="14" spans="1:5" x14ac:dyDescent="0.25">
      <c r="A14" s="97" t="s">
        <v>1051</v>
      </c>
      <c r="B14" s="107">
        <v>72230</v>
      </c>
      <c r="C14" s="138">
        <f t="shared" si="0"/>
        <v>2407.6666666666665</v>
      </c>
      <c r="D14" s="138">
        <f>'11'!$E$33</f>
        <v>14139348</v>
      </c>
      <c r="E14" s="139">
        <f t="shared" si="1"/>
        <v>5872.6351931330473</v>
      </c>
    </row>
    <row r="15" spans="1:5" x14ac:dyDescent="0.25">
      <c r="A15" s="97" t="s">
        <v>946</v>
      </c>
      <c r="B15" s="106">
        <v>74308</v>
      </c>
      <c r="C15" s="138">
        <f t="shared" si="0"/>
        <v>2476.9333333333334</v>
      </c>
      <c r="D15" s="140">
        <f>'12'!$E$33</f>
        <v>0</v>
      </c>
      <c r="E15" s="141">
        <f t="shared" si="1"/>
        <v>0</v>
      </c>
    </row>
    <row r="16" spans="1:5" x14ac:dyDescent="0.25">
      <c r="A16" s="97" t="s">
        <v>1074</v>
      </c>
      <c r="B16" s="106">
        <v>442157</v>
      </c>
      <c r="C16" s="138">
        <f t="shared" si="0"/>
        <v>14738.566666666668</v>
      </c>
      <c r="D16" s="140">
        <f>'13'!$E$33</f>
        <v>80287869.000000015</v>
      </c>
      <c r="E16" s="141">
        <f t="shared" si="1"/>
        <v>5447.4679129811366</v>
      </c>
    </row>
    <row r="17" spans="1:5" x14ac:dyDescent="0.25">
      <c r="A17" s="97" t="s">
        <v>1075</v>
      </c>
      <c r="B17" s="107">
        <v>1240673</v>
      </c>
      <c r="C17" s="138">
        <f t="shared" si="0"/>
        <v>41355.76666666667</v>
      </c>
      <c r="D17" s="140">
        <f>'14'!$E$33</f>
        <v>233857119</v>
      </c>
      <c r="E17" s="141">
        <f t="shared" si="1"/>
        <v>5654.7644463932074</v>
      </c>
    </row>
    <row r="18" spans="1:5" x14ac:dyDescent="0.25">
      <c r="A18" s="97" t="s">
        <v>1052</v>
      </c>
      <c r="B18" s="107">
        <v>211926</v>
      </c>
      <c r="C18" s="138">
        <f t="shared" si="0"/>
        <v>7064.2</v>
      </c>
      <c r="D18" s="138">
        <f>'15'!$E$33</f>
        <v>53827021.000000007</v>
      </c>
      <c r="E18" s="139">
        <f t="shared" si="1"/>
        <v>7619.6909770391567</v>
      </c>
    </row>
    <row r="19" spans="1:5" x14ac:dyDescent="0.25">
      <c r="A19" s="96" t="s">
        <v>1076</v>
      </c>
      <c r="B19" s="107">
        <v>492251</v>
      </c>
      <c r="C19" s="138">
        <f t="shared" si="0"/>
        <v>16408.366666666665</v>
      </c>
      <c r="D19" s="138">
        <f>'16'!$E$33</f>
        <v>82584382.999999985</v>
      </c>
      <c r="E19" s="139">
        <f t="shared" si="1"/>
        <v>5033.0654280031931</v>
      </c>
    </row>
    <row r="20" spans="1:5" x14ac:dyDescent="0.25">
      <c r="A20" s="97" t="s">
        <v>1053</v>
      </c>
      <c r="B20" s="107">
        <v>24842</v>
      </c>
      <c r="C20" s="138">
        <f t="shared" si="0"/>
        <v>828.06666666666672</v>
      </c>
      <c r="D20" s="138">
        <f>'17'!$E$33</f>
        <v>6035988</v>
      </c>
      <c r="E20" s="139">
        <f t="shared" si="1"/>
        <v>7289.2536832783189</v>
      </c>
    </row>
    <row r="21" spans="1:5" x14ac:dyDescent="0.25">
      <c r="A21" s="97" t="s">
        <v>1054</v>
      </c>
      <c r="B21" s="107">
        <v>39172</v>
      </c>
      <c r="C21" s="138">
        <f t="shared" si="0"/>
        <v>1305.7333333333333</v>
      </c>
      <c r="D21" s="138">
        <f>'18'!$E$33</f>
        <v>12047577</v>
      </c>
      <c r="E21" s="139">
        <f t="shared" si="1"/>
        <v>9226.6749208618403</v>
      </c>
    </row>
    <row r="22" spans="1:5" x14ac:dyDescent="0.25">
      <c r="A22" s="97" t="s">
        <v>1084</v>
      </c>
      <c r="B22" s="107">
        <v>92493</v>
      </c>
      <c r="C22" s="138">
        <f t="shared" si="0"/>
        <v>3083.1</v>
      </c>
      <c r="D22" s="138">
        <f>'19'!$E$33</f>
        <v>14481729.999999998</v>
      </c>
      <c r="E22" s="139">
        <f t="shared" si="1"/>
        <v>4697.1327559923448</v>
      </c>
    </row>
    <row r="23" spans="1:5" x14ac:dyDescent="0.25">
      <c r="A23" s="97" t="s">
        <v>1055</v>
      </c>
      <c r="B23" s="107">
        <v>80072</v>
      </c>
      <c r="C23" s="138">
        <f t="shared" si="0"/>
        <v>2669.0666666666666</v>
      </c>
      <c r="D23" s="138">
        <f>'20'!$E$33</f>
        <v>11551061.000000002</v>
      </c>
      <c r="E23" s="139">
        <f t="shared" si="1"/>
        <v>4327.7528973923481</v>
      </c>
    </row>
    <row r="24" spans="1:5" x14ac:dyDescent="0.25">
      <c r="A24" s="97" t="s">
        <v>1077</v>
      </c>
      <c r="B24" s="107">
        <v>951017</v>
      </c>
      <c r="C24" s="138">
        <f t="shared" si="0"/>
        <v>31700.566666666666</v>
      </c>
      <c r="D24" s="138">
        <f>'21'!$E$33</f>
        <v>180970906</v>
      </c>
      <c r="E24" s="139">
        <f t="shared" si="1"/>
        <v>5708.7593386869003</v>
      </c>
    </row>
    <row r="25" spans="1:5" x14ac:dyDescent="0.25">
      <c r="A25" s="97" t="s">
        <v>1056</v>
      </c>
      <c r="B25" s="107">
        <v>65104</v>
      </c>
      <c r="C25" s="138">
        <f t="shared" si="0"/>
        <v>2170.1333333333332</v>
      </c>
      <c r="D25" s="140">
        <f>'22'!$E$33</f>
        <v>16020108.000000002</v>
      </c>
      <c r="E25" s="141">
        <f t="shared" si="1"/>
        <v>7382.0846645367428</v>
      </c>
    </row>
    <row r="26" spans="1:5" x14ac:dyDescent="0.25">
      <c r="A26" s="97" t="s">
        <v>1057</v>
      </c>
      <c r="B26" s="107">
        <v>122178</v>
      </c>
      <c r="C26" s="138">
        <f t="shared" si="0"/>
        <v>4072.6</v>
      </c>
      <c r="D26" s="140">
        <f>'23'!$E$33</f>
        <v>21474142</v>
      </c>
      <c r="E26" s="141">
        <f t="shared" si="1"/>
        <v>5272.8335706919415</v>
      </c>
    </row>
    <row r="27" spans="1:5" x14ac:dyDescent="0.25">
      <c r="A27" s="97" t="s">
        <v>1041</v>
      </c>
      <c r="B27" s="107">
        <v>165170</v>
      </c>
      <c r="C27" s="138">
        <f t="shared" si="0"/>
        <v>5505.666666666667</v>
      </c>
      <c r="D27" s="138">
        <f>'24'!$E$33</f>
        <v>35259656.000000007</v>
      </c>
      <c r="E27" s="139">
        <f t="shared" si="1"/>
        <v>6404.2482290972948</v>
      </c>
    </row>
    <row r="28" spans="1:5" x14ac:dyDescent="0.25">
      <c r="A28" s="97" t="s">
        <v>1058</v>
      </c>
      <c r="B28" s="107">
        <v>126763</v>
      </c>
      <c r="C28" s="138">
        <f t="shared" si="0"/>
        <v>4225.4333333333334</v>
      </c>
      <c r="D28" s="140">
        <f>'25'!$E$33</f>
        <v>28444801</v>
      </c>
      <c r="E28" s="141">
        <f t="shared" si="1"/>
        <v>6731.8068363797011</v>
      </c>
    </row>
    <row r="29" spans="1:5" x14ac:dyDescent="0.25">
      <c r="A29" s="96" t="s">
        <v>1059</v>
      </c>
      <c r="B29" s="106">
        <v>869997</v>
      </c>
      <c r="C29" s="138">
        <f t="shared" si="0"/>
        <v>28999.9</v>
      </c>
      <c r="D29" s="140">
        <f>'26'!$E$33</f>
        <v>166864847</v>
      </c>
      <c r="E29" s="141">
        <f t="shared" si="1"/>
        <v>5753.98008268994</v>
      </c>
    </row>
    <row r="30" spans="1:5" x14ac:dyDescent="0.25">
      <c r="A30" s="97" t="s">
        <v>1038</v>
      </c>
      <c r="B30" s="107">
        <v>176902</v>
      </c>
      <c r="C30" s="138">
        <f t="shared" si="0"/>
        <v>5896.7333333333336</v>
      </c>
      <c r="D30" s="140">
        <f>'27'!$E$33</f>
        <v>36014716.999999993</v>
      </c>
      <c r="E30" s="141">
        <f t="shared" si="1"/>
        <v>6107.5709149698687</v>
      </c>
    </row>
    <row r="31" spans="1:5" x14ac:dyDescent="0.25">
      <c r="A31" s="97" t="s">
        <v>1060</v>
      </c>
      <c r="B31" s="107">
        <v>112925</v>
      </c>
      <c r="C31" s="138">
        <f t="shared" si="0"/>
        <v>3764.1666666666665</v>
      </c>
      <c r="D31" s="140">
        <f>'28'!$E$33</f>
        <v>27584805</v>
      </c>
      <c r="E31" s="141">
        <f t="shared" si="1"/>
        <v>7328.2634491919416</v>
      </c>
    </row>
    <row r="32" spans="1:5" x14ac:dyDescent="0.25">
      <c r="A32" s="97" t="s">
        <v>1061</v>
      </c>
      <c r="B32" s="107">
        <v>186501</v>
      </c>
      <c r="C32" s="138">
        <f t="shared" si="0"/>
        <v>6216.7</v>
      </c>
      <c r="D32" s="140">
        <f>'29'!$E$33</f>
        <v>21320555</v>
      </c>
      <c r="E32" s="141">
        <f t="shared" si="1"/>
        <v>3429.5615036916693</v>
      </c>
    </row>
    <row r="33" spans="1:5" x14ac:dyDescent="0.25">
      <c r="A33" s="97" t="s">
        <v>1062</v>
      </c>
      <c r="B33" s="107">
        <v>159586</v>
      </c>
      <c r="C33" s="138">
        <f t="shared" si="0"/>
        <v>5319.5333333333338</v>
      </c>
      <c r="D33" s="138">
        <f>'30'!$E$33</f>
        <v>18359956</v>
      </c>
      <c r="E33" s="139">
        <f t="shared" si="1"/>
        <v>3451.4223052147427</v>
      </c>
    </row>
    <row r="34" spans="1:5" x14ac:dyDescent="0.25">
      <c r="A34" s="97" t="s">
        <v>1039</v>
      </c>
      <c r="B34" s="107">
        <v>54306</v>
      </c>
      <c r="C34" s="138">
        <f t="shared" si="0"/>
        <v>1810.2</v>
      </c>
      <c r="D34" s="138">
        <f>'31'!$E$33</f>
        <v>9366376</v>
      </c>
      <c r="E34" s="139">
        <f t="shared" si="1"/>
        <v>5174.2216329687326</v>
      </c>
    </row>
    <row r="35" spans="1:5" x14ac:dyDescent="0.25">
      <c r="A35" s="97" t="s">
        <v>1063</v>
      </c>
      <c r="B35" s="106">
        <v>87447</v>
      </c>
      <c r="C35" s="138">
        <f t="shared" si="0"/>
        <v>2914.9</v>
      </c>
      <c r="D35" s="138">
        <f>'32'!$E$33</f>
        <v>21099064</v>
      </c>
      <c r="E35" s="139">
        <f t="shared" si="1"/>
        <v>7238.3491714981647</v>
      </c>
    </row>
    <row r="36" spans="1:5" x14ac:dyDescent="0.25">
      <c r="A36" s="97" t="s">
        <v>1064</v>
      </c>
      <c r="B36" s="107">
        <v>42511</v>
      </c>
      <c r="C36" s="138">
        <f t="shared" si="0"/>
        <v>1417.0333333333333</v>
      </c>
      <c r="D36" s="138">
        <f>'33'!$E$33</f>
        <v>9725576</v>
      </c>
      <c r="E36" s="139">
        <f t="shared" si="1"/>
        <v>6863.336077721061</v>
      </c>
    </row>
    <row r="37" spans="1:5" x14ac:dyDescent="0.25">
      <c r="A37" s="97" t="s">
        <v>1042</v>
      </c>
      <c r="B37" s="106">
        <v>99580</v>
      </c>
      <c r="C37" s="138">
        <f t="shared" si="0"/>
        <v>3319.3333333333335</v>
      </c>
      <c r="D37" s="138">
        <f>'34'!$E$33</f>
        <v>13129915</v>
      </c>
      <c r="E37" s="139">
        <f t="shared" si="1"/>
        <v>3955.5879694717814</v>
      </c>
    </row>
    <row r="38" spans="1:5" x14ac:dyDescent="0.25">
      <c r="A38" s="97" t="s">
        <v>1065</v>
      </c>
      <c r="B38" s="106">
        <v>18370</v>
      </c>
      <c r="C38" s="138">
        <f t="shared" si="0"/>
        <v>612.33333333333337</v>
      </c>
      <c r="D38" s="138">
        <f>'35'!$E$33</f>
        <v>2777146.0000000005</v>
      </c>
      <c r="E38" s="139">
        <f t="shared" si="1"/>
        <v>4535.350027218291</v>
      </c>
    </row>
    <row r="39" spans="1:5" x14ac:dyDescent="0.25">
      <c r="A39" s="97" t="s">
        <v>1078</v>
      </c>
      <c r="B39" s="107">
        <v>502458</v>
      </c>
      <c r="C39" s="138">
        <f t="shared" si="0"/>
        <v>16748.599999999999</v>
      </c>
      <c r="D39" s="138">
        <f>'36'!$E$33</f>
        <v>91502267.999999985</v>
      </c>
      <c r="E39" s="139">
        <f t="shared" si="1"/>
        <v>5463.2786023906474</v>
      </c>
    </row>
    <row r="40" spans="1:5" x14ac:dyDescent="0.25">
      <c r="A40" s="97" t="s">
        <v>1066</v>
      </c>
      <c r="B40" s="106">
        <v>196135</v>
      </c>
      <c r="C40" s="138">
        <f t="shared" si="0"/>
        <v>6537.833333333333</v>
      </c>
      <c r="D40" s="140">
        <f>'37'!$E$33</f>
        <v>28369104.999999996</v>
      </c>
      <c r="E40" s="141">
        <f t="shared" si="1"/>
        <v>4339.2211996838905</v>
      </c>
    </row>
    <row r="41" spans="1:5" x14ac:dyDescent="0.25">
      <c r="A41" s="97" t="s">
        <v>1067</v>
      </c>
      <c r="B41" s="106">
        <v>416063</v>
      </c>
      <c r="C41" s="138">
        <f t="shared" si="0"/>
        <v>13868.766666666666</v>
      </c>
      <c r="D41" s="140">
        <f>'38'!$E$33</f>
        <v>74791503</v>
      </c>
      <c r="E41" s="141">
        <f t="shared" si="1"/>
        <v>5392.8013065329051</v>
      </c>
    </row>
    <row r="42" spans="1:5" x14ac:dyDescent="0.25">
      <c r="A42" s="97" t="s">
        <v>1043</v>
      </c>
      <c r="B42" s="106">
        <v>98820</v>
      </c>
      <c r="C42" s="138">
        <f t="shared" si="0"/>
        <v>3294</v>
      </c>
      <c r="D42" s="140">
        <f>'39'!$E$33</f>
        <v>15709600.000000002</v>
      </c>
      <c r="E42" s="141">
        <f t="shared" si="1"/>
        <v>4769.1560412871895</v>
      </c>
    </row>
    <row r="43" spans="1:5" x14ac:dyDescent="0.25">
      <c r="A43" s="97" t="s">
        <v>1079</v>
      </c>
      <c r="B43" s="106">
        <v>790444</v>
      </c>
      <c r="C43" s="138">
        <f t="shared" si="0"/>
        <v>26348.133333333335</v>
      </c>
      <c r="D43" s="140">
        <f>'40'!$E$33</f>
        <v>127688204</v>
      </c>
      <c r="E43" s="141">
        <f t="shared" si="1"/>
        <v>4846.1954547064688</v>
      </c>
    </row>
    <row r="44" spans="1:5" x14ac:dyDescent="0.25">
      <c r="A44" s="97" t="s">
        <v>1044</v>
      </c>
      <c r="B44" s="106">
        <v>104954</v>
      </c>
      <c r="C44" s="138">
        <f t="shared" si="0"/>
        <v>3498.4666666666667</v>
      </c>
      <c r="D44" s="140">
        <f>'41'!$E$33</f>
        <v>17853380</v>
      </c>
      <c r="E44" s="141">
        <f t="shared" si="1"/>
        <v>5103.2014025191993</v>
      </c>
    </row>
    <row r="45" spans="1:5" x14ac:dyDescent="0.25">
      <c r="A45" s="97" t="s">
        <v>1068</v>
      </c>
      <c r="B45" s="106">
        <v>92157</v>
      </c>
      <c r="C45" s="138">
        <f t="shared" si="0"/>
        <v>3071.9</v>
      </c>
      <c r="D45" s="140">
        <f>'42'!$E$33</f>
        <v>0</v>
      </c>
      <c r="E45" s="141">
        <f t="shared" si="1"/>
        <v>0</v>
      </c>
    </row>
    <row r="46" spans="1:5" x14ac:dyDescent="0.25">
      <c r="A46" s="97" t="s">
        <v>1069</v>
      </c>
      <c r="B46" s="106">
        <v>178331</v>
      </c>
      <c r="C46" s="138">
        <f t="shared" si="0"/>
        <v>5944.3666666666668</v>
      </c>
      <c r="D46" s="140">
        <f>'43'!$E$33</f>
        <v>0</v>
      </c>
      <c r="E46" s="141">
        <f t="shared" si="1"/>
        <v>0</v>
      </c>
    </row>
    <row r="47" spans="1:5" x14ac:dyDescent="0.25">
      <c r="A47" s="97" t="s">
        <v>1080</v>
      </c>
      <c r="B47" s="106">
        <v>136276</v>
      </c>
      <c r="C47" s="138">
        <f t="shared" si="0"/>
        <v>4542.5333333333338</v>
      </c>
      <c r="D47" s="140">
        <f>'44'!$E$33</f>
        <v>19472846.000000004</v>
      </c>
      <c r="E47" s="141">
        <f t="shared" si="1"/>
        <v>4286.781091314685</v>
      </c>
    </row>
    <row r="48" spans="1:5" x14ac:dyDescent="0.25">
      <c r="A48" s="97" t="s">
        <v>1045</v>
      </c>
      <c r="B48" s="106">
        <v>223562</v>
      </c>
      <c r="C48" s="138">
        <f t="shared" si="0"/>
        <v>7452.0666666666666</v>
      </c>
      <c r="D48" s="140">
        <f>'45'!$E$33</f>
        <v>37809202</v>
      </c>
      <c r="E48" s="141">
        <f t="shared" si="1"/>
        <v>5073.6532147681628</v>
      </c>
    </row>
    <row r="49" spans="1:5" x14ac:dyDescent="0.25">
      <c r="A49" s="97" t="s">
        <v>1070</v>
      </c>
      <c r="B49" s="106">
        <v>61116</v>
      </c>
      <c r="C49" s="138">
        <f t="shared" si="0"/>
        <v>2037.2</v>
      </c>
      <c r="D49" s="140">
        <f>'46'!$E$33</f>
        <v>9948124.9999999981</v>
      </c>
      <c r="E49" s="141">
        <f t="shared" si="1"/>
        <v>4883.2343412526989</v>
      </c>
    </row>
    <row r="50" spans="1:5" x14ac:dyDescent="0.25">
      <c r="A50" s="97" t="s">
        <v>1071</v>
      </c>
      <c r="B50" s="106">
        <v>74378</v>
      </c>
      <c r="C50" s="138">
        <f t="shared" si="0"/>
        <v>2479.2666666666669</v>
      </c>
      <c r="D50" s="140">
        <f>'47'!$E$33</f>
        <v>17235576</v>
      </c>
      <c r="E50" s="141">
        <f t="shared" si="1"/>
        <v>6951.8846970878476</v>
      </c>
    </row>
    <row r="51" spans="1:5" x14ac:dyDescent="0.25">
      <c r="A51" s="97" t="s">
        <v>1072</v>
      </c>
      <c r="B51" s="106">
        <v>98994</v>
      </c>
      <c r="C51" s="138">
        <f t="shared" si="0"/>
        <v>3299.8</v>
      </c>
      <c r="D51" s="140">
        <f>'48'!$E$33</f>
        <v>18428239</v>
      </c>
      <c r="E51" s="141">
        <f t="shared" si="1"/>
        <v>5584.6533123219588</v>
      </c>
    </row>
    <row r="52" spans="1:5" x14ac:dyDescent="0.25">
      <c r="A52" s="97" t="s">
        <v>1073</v>
      </c>
      <c r="B52" s="106">
        <v>42061</v>
      </c>
      <c r="C52" s="138">
        <f t="shared" si="0"/>
        <v>1402.0333333333333</v>
      </c>
      <c r="D52" s="140">
        <f>'49'!$E$33</f>
        <v>6840250.0000000009</v>
      </c>
      <c r="E52" s="141">
        <f t="shared" si="1"/>
        <v>4878.8069708280836</v>
      </c>
    </row>
    <row r="53" spans="1:5" x14ac:dyDescent="0.25">
      <c r="A53" s="97" t="s">
        <v>1081</v>
      </c>
      <c r="B53" s="106">
        <v>125427</v>
      </c>
      <c r="C53" s="138">
        <f t="shared" si="0"/>
        <v>4180.8999999999996</v>
      </c>
      <c r="D53" s="140">
        <f>'50'!$E$33</f>
        <v>22124259.000000004</v>
      </c>
      <c r="E53" s="141">
        <f t="shared" si="1"/>
        <v>5291.7455571766859</v>
      </c>
    </row>
    <row r="54" spans="1:5" x14ac:dyDescent="0.25">
      <c r="A54" s="95" t="s">
        <v>947</v>
      </c>
      <c r="B54" s="106">
        <v>119385</v>
      </c>
      <c r="C54" s="138">
        <f t="shared" si="0"/>
        <v>3979.5</v>
      </c>
      <c r="D54" s="140">
        <f>'51'!$E$33</f>
        <v>21620131.999999996</v>
      </c>
      <c r="E54" s="141">
        <f t="shared" si="1"/>
        <v>5432.8764920216099</v>
      </c>
    </row>
    <row r="55" spans="1:5" x14ac:dyDescent="0.25">
      <c r="A55" s="95" t="s">
        <v>948</v>
      </c>
      <c r="B55" s="106">
        <v>44160</v>
      </c>
      <c r="C55" s="138">
        <f t="shared" si="0"/>
        <v>1472</v>
      </c>
      <c r="D55" s="140">
        <f>'52'!$E$33</f>
        <v>13225930.999999998</v>
      </c>
      <c r="E55" s="141">
        <f t="shared" si="1"/>
        <v>8985.0074728260861</v>
      </c>
    </row>
    <row r="56" spans="1:5" x14ac:dyDescent="0.25">
      <c r="A56" s="95" t="s">
        <v>949</v>
      </c>
      <c r="B56" s="106">
        <v>19832</v>
      </c>
      <c r="C56" s="138">
        <f t="shared" si="0"/>
        <v>661.06666666666672</v>
      </c>
      <c r="D56" s="140">
        <f>'53'!$E$33</f>
        <v>5306505</v>
      </c>
      <c r="E56" s="141">
        <f t="shared" si="1"/>
        <v>8027.1858612343676</v>
      </c>
    </row>
    <row r="57" spans="1:5" x14ac:dyDescent="0.25">
      <c r="A57" s="95" t="s">
        <v>950</v>
      </c>
      <c r="B57" s="106">
        <v>133227</v>
      </c>
      <c r="C57" s="138">
        <f t="shared" si="0"/>
        <v>4440.8999999999996</v>
      </c>
      <c r="D57" s="140">
        <f>'54'!$E$33</f>
        <v>32764479</v>
      </c>
      <c r="E57" s="141">
        <f t="shared" si="1"/>
        <v>7377.89164358576</v>
      </c>
    </row>
    <row r="58" spans="1:5" x14ac:dyDescent="0.25">
      <c r="A58" s="95" t="s">
        <v>951</v>
      </c>
      <c r="B58" s="106">
        <v>64187</v>
      </c>
      <c r="C58" s="138">
        <f t="shared" si="0"/>
        <v>2139.5666666666666</v>
      </c>
      <c r="D58" s="140">
        <f>'55'!$E$33</f>
        <v>21554948</v>
      </c>
      <c r="E58" s="141">
        <f t="shared" si="1"/>
        <v>10074.445604250082</v>
      </c>
    </row>
    <row r="59" spans="1:5" x14ac:dyDescent="0.25">
      <c r="A59" s="95" t="s">
        <v>952</v>
      </c>
      <c r="B59" s="106">
        <v>43271</v>
      </c>
      <c r="C59" s="138">
        <f t="shared" si="0"/>
        <v>1442.3666666666666</v>
      </c>
      <c r="D59" s="140">
        <f>'56'!$E$33</f>
        <v>0</v>
      </c>
      <c r="E59" s="141">
        <f t="shared" si="1"/>
        <v>0</v>
      </c>
    </row>
    <row r="60" spans="1:5" x14ac:dyDescent="0.25">
      <c r="A60" s="76" t="s">
        <v>953</v>
      </c>
      <c r="B60" s="106">
        <v>41210</v>
      </c>
      <c r="C60" s="138">
        <f t="shared" si="0"/>
        <v>1373.6666666666667</v>
      </c>
      <c r="D60" s="140">
        <f>'57'!$E$33</f>
        <v>20292558.000000004</v>
      </c>
      <c r="E60" s="141">
        <f t="shared" si="1"/>
        <v>14772.548895899055</v>
      </c>
    </row>
    <row r="61" spans="1:5" ht="30" thickBot="1" x14ac:dyDescent="0.3">
      <c r="A61" s="85" t="s">
        <v>1028</v>
      </c>
      <c r="B61" s="142">
        <f>SUMIF(D4:D60,"&gt;0",B4:B60)</f>
        <v>12148216</v>
      </c>
      <c r="C61" s="142">
        <f>B61/30</f>
        <v>404940.53333333333</v>
      </c>
      <c r="D61" s="143">
        <f>SUM(D4:D60)</f>
        <v>2272008424</v>
      </c>
      <c r="E61" s="144">
        <f t="shared" si="1"/>
        <v>5610.7211725573534</v>
      </c>
    </row>
    <row r="63" spans="1:5" x14ac:dyDescent="0.25">
      <c r="D63" s="126"/>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activeCell="A49" sqref="A49"/>
      <selection pane="topRight" activeCell="A49" sqref="A49"/>
      <selection pane="bottomLeft" activeCell="A49" sqref="A49"/>
      <selection pane="bottomRight" activeCell="B4" sqref="B4"/>
    </sheetView>
  </sheetViews>
  <sheetFormatPr defaultRowHeight="14.25" x14ac:dyDescent="0.2"/>
  <cols>
    <col min="1" max="1" width="31.5703125" style="63" customWidth="1"/>
    <col min="2" max="2" width="8.140625" style="63" bestFit="1" customWidth="1"/>
    <col min="3" max="3" width="9.140625" style="63" bestFit="1" customWidth="1"/>
    <col min="4" max="5" width="8.140625" style="63" bestFit="1" customWidth="1"/>
    <col min="6" max="6" width="12.5703125" style="63" bestFit="1" customWidth="1"/>
    <col min="7" max="8" width="10" style="63" bestFit="1" customWidth="1"/>
    <col min="9" max="9" width="9.7109375" style="63" bestFit="1" customWidth="1"/>
    <col min="10" max="10" width="8.140625" style="63" bestFit="1" customWidth="1"/>
    <col min="11" max="11" width="11.140625" style="63" bestFit="1" customWidth="1"/>
    <col min="12" max="12" width="9.140625" style="63" bestFit="1" customWidth="1"/>
    <col min="13" max="14" width="8.140625" style="63" bestFit="1" customWidth="1"/>
    <col min="15" max="19" width="9.140625" style="63" bestFit="1" customWidth="1"/>
    <col min="20" max="20" width="8.28515625" style="63" bestFit="1" customWidth="1"/>
    <col min="21" max="21" width="9.140625" style="63" bestFit="1" customWidth="1"/>
    <col min="22" max="22" width="9.7109375" style="63" bestFit="1" customWidth="1"/>
    <col min="23" max="24" width="9.140625" style="63" bestFit="1" customWidth="1"/>
    <col min="25" max="26" width="8.140625" style="63" bestFit="1" customWidth="1"/>
    <col min="27" max="27" width="9.140625" style="63" bestFit="1" customWidth="1"/>
    <col min="28" max="28" width="6.7109375" style="63" bestFit="1" customWidth="1"/>
    <col min="29" max="29" width="6.42578125" style="63" bestFit="1" customWidth="1"/>
    <col min="30" max="31" width="8.140625" style="63" bestFit="1" customWidth="1"/>
    <col min="32" max="37" width="9.140625" style="63"/>
    <col min="38" max="38" width="17.85546875" style="63" bestFit="1" customWidth="1"/>
    <col min="39" max="41" width="9.140625" style="63"/>
    <col min="42" max="42" width="17.85546875" style="63" bestFit="1" customWidth="1"/>
    <col min="43" max="16384" width="9.140625" style="63"/>
  </cols>
  <sheetData>
    <row r="1" spans="1:30" x14ac:dyDescent="0.2">
      <c r="A1" s="39" t="str">
        <f>Summary!A1</f>
        <v>Community and Technical Colleges, Report of Fundable Operating Expenses, Fiscal Year (FY) 2009</v>
      </c>
      <c r="B1" s="39"/>
      <c r="C1" s="39"/>
      <c r="E1" s="39"/>
      <c r="F1" s="39"/>
      <c r="G1" s="39"/>
      <c r="H1" s="39"/>
      <c r="J1" s="39"/>
      <c r="K1" s="40"/>
      <c r="L1" s="39"/>
    </row>
    <row r="2" spans="1:30" ht="15" thickBot="1" x14ac:dyDescent="0.25">
      <c r="A2" s="66" t="s">
        <v>963</v>
      </c>
    </row>
    <row r="3" spans="1:30" s="70" customFormat="1" x14ac:dyDescent="0.2">
      <c r="A3" s="27" t="s">
        <v>954</v>
      </c>
      <c r="B3" s="34" t="s">
        <v>964</v>
      </c>
      <c r="C3" s="34" t="s">
        <v>965</v>
      </c>
      <c r="D3" s="34" t="s">
        <v>994</v>
      </c>
      <c r="E3" s="34" t="s">
        <v>995</v>
      </c>
      <c r="F3" s="34" t="s">
        <v>996</v>
      </c>
      <c r="G3" s="34" t="s">
        <v>997</v>
      </c>
      <c r="H3" s="34" t="s">
        <v>998</v>
      </c>
      <c r="I3" s="34" t="s">
        <v>999</v>
      </c>
      <c r="J3" s="34" t="s">
        <v>1000</v>
      </c>
      <c r="K3" s="34" t="s">
        <v>1001</v>
      </c>
      <c r="L3" s="34" t="s">
        <v>1003</v>
      </c>
      <c r="M3" s="34" t="s">
        <v>1004</v>
      </c>
      <c r="N3" s="34" t="s">
        <v>1005</v>
      </c>
      <c r="O3" s="34" t="s">
        <v>1006</v>
      </c>
      <c r="P3" s="34" t="s">
        <v>1007</v>
      </c>
      <c r="Q3" s="34" t="s">
        <v>1008</v>
      </c>
      <c r="R3" s="34" t="s">
        <v>1009</v>
      </c>
      <c r="S3" s="34" t="s">
        <v>1010</v>
      </c>
      <c r="T3" s="34" t="s">
        <v>1011</v>
      </c>
      <c r="U3" s="34" t="s">
        <v>1012</v>
      </c>
      <c r="V3" s="34" t="s">
        <v>1013</v>
      </c>
      <c r="W3" s="34" t="s">
        <v>1014</v>
      </c>
      <c r="X3" s="34" t="s">
        <v>1015</v>
      </c>
      <c r="Y3" s="34" t="s">
        <v>1016</v>
      </c>
      <c r="Z3" s="34" t="s">
        <v>1017</v>
      </c>
      <c r="AA3" s="34" t="s">
        <v>1018</v>
      </c>
      <c r="AB3" s="34" t="s">
        <v>1019</v>
      </c>
      <c r="AC3" s="34" t="s">
        <v>1020</v>
      </c>
      <c r="AD3" s="45" t="s">
        <v>35</v>
      </c>
    </row>
    <row r="4" spans="1:30" x14ac:dyDescent="0.2">
      <c r="A4" s="97" t="s">
        <v>1082</v>
      </c>
      <c r="B4" s="78">
        <f>'1'!$F$5</f>
        <v>7.6031280018036709</v>
      </c>
      <c r="C4" s="78">
        <f>'1'!$F$6</f>
        <v>12.101788167602974</v>
      </c>
      <c r="D4" s="78">
        <f>'1'!$F$7</f>
        <v>9.3650964751983654</v>
      </c>
      <c r="E4" s="78">
        <f>'1'!$F$8</f>
        <v>9.8422925775928913</v>
      </c>
      <c r="F4" s="78">
        <f>'1'!$F$9</f>
        <v>106.94003399011892</v>
      </c>
      <c r="G4" s="78">
        <f>'1'!$F$10</f>
        <v>11.115511384649846</v>
      </c>
      <c r="H4" s="78">
        <f>'1'!$F$11</f>
        <v>10.972126190000445</v>
      </c>
      <c r="I4" s="78">
        <f>'1'!$F$12</f>
        <v>10.720533091213159</v>
      </c>
      <c r="J4" s="78">
        <f>'1'!$F$13</f>
        <v>9.8017383532318316</v>
      </c>
      <c r="K4" s="78">
        <f>'1'!$F$14</f>
        <v>18.137073471092126</v>
      </c>
      <c r="L4" s="78">
        <f>'1'!$F$15</f>
        <v>13.197995693084128</v>
      </c>
      <c r="M4" s="78">
        <f>'1'!$F$16</f>
        <v>9.1869355849497616</v>
      </c>
      <c r="N4" s="78">
        <f>'1'!$F$17</f>
        <v>7.9550010401496278</v>
      </c>
      <c r="O4" s="78">
        <f>'1'!$F$18</f>
        <v>18.027763872277934</v>
      </c>
      <c r="P4" s="78" t="str">
        <f>'1'!$F$19</f>
        <v/>
      </c>
      <c r="Q4" s="78">
        <f>'1'!$F$20</f>
        <v>11.011956052961992</v>
      </c>
      <c r="R4" s="78">
        <f>'1'!$F$21</f>
        <v>17.684687818768371</v>
      </c>
      <c r="S4" s="78">
        <f>'1'!$F$22</f>
        <v>12.723883413448906</v>
      </c>
      <c r="T4" s="78">
        <f>'1'!$F$23</f>
        <v>8.8079039884135355</v>
      </c>
      <c r="U4" s="78">
        <f>'1'!$F$24</f>
        <v>10.611408498311535</v>
      </c>
      <c r="V4" s="78">
        <f>'1'!$F$25</f>
        <v>12.076935635809914</v>
      </c>
      <c r="W4" s="78">
        <f>'1'!$F$26</f>
        <v>5.3409289061856731</v>
      </c>
      <c r="X4" s="78">
        <f>'1'!$F$27</f>
        <v>10.129854244977606</v>
      </c>
      <c r="Y4" s="78">
        <f>'1'!$F$28</f>
        <v>9.1611829457695908</v>
      </c>
      <c r="Z4" s="78">
        <f>'1'!$F$29</f>
        <v>8.432765941332466</v>
      </c>
      <c r="AA4" s="78">
        <f>'1'!$F$30</f>
        <v>11.060968223353886</v>
      </c>
      <c r="AB4" s="78" t="str">
        <f>'1'!$F$31</f>
        <v/>
      </c>
      <c r="AC4" s="78" t="str">
        <f>'1'!$F$32</f>
        <v/>
      </c>
      <c r="AD4" s="99">
        <f>'1'!$F$33</f>
        <v>9.716278725409488</v>
      </c>
    </row>
    <row r="5" spans="1:30" x14ac:dyDescent="0.2">
      <c r="A5" s="97" t="s">
        <v>1036</v>
      </c>
      <c r="B5" s="77">
        <f>'2'!$F$5</f>
        <v>8.687365131499817</v>
      </c>
      <c r="C5" s="77">
        <f>'2'!$F$6</f>
        <v>8.3352263490991341</v>
      </c>
      <c r="D5" s="77">
        <f>'2'!$F$7</f>
        <v>6.1853423245389161</v>
      </c>
      <c r="E5" s="77">
        <f>'2'!$F$8</f>
        <v>12.184761579591436</v>
      </c>
      <c r="F5" s="77" t="str">
        <f>'2'!$F$9</f>
        <v/>
      </c>
      <c r="G5" s="77">
        <f>'2'!$F$10</f>
        <v>9.9408002781250566</v>
      </c>
      <c r="H5" s="77">
        <f>'2'!$F$11</f>
        <v>11.672517362250197</v>
      </c>
      <c r="I5" s="77">
        <f>'2'!$F$12</f>
        <v>8.7301207023047951</v>
      </c>
      <c r="J5" s="77">
        <f>'2'!$F$13</f>
        <v>8.9508497360899923</v>
      </c>
      <c r="K5" s="77" t="str">
        <f>'2'!$F$14</f>
        <v/>
      </c>
      <c r="L5" s="77">
        <f>'2'!$F$15</f>
        <v>10.821926882925357</v>
      </c>
      <c r="M5" s="77">
        <f>'2'!$F$16</f>
        <v>8.5379999633805372</v>
      </c>
      <c r="N5" s="77">
        <f>'2'!$F$17</f>
        <v>6.5555528634445723</v>
      </c>
      <c r="O5" s="77">
        <f>'2'!$F$18</f>
        <v>11.376602194879961</v>
      </c>
      <c r="P5" s="77" t="str">
        <f>'2'!$F$19</f>
        <v/>
      </c>
      <c r="Q5" s="77">
        <f>'2'!$F$20</f>
        <v>12.572930975683322</v>
      </c>
      <c r="R5" s="77">
        <f>'2'!$F$21</f>
        <v>13.039660441439118</v>
      </c>
      <c r="S5" s="77">
        <f>'2'!$F$22</f>
        <v>9.3284250328010287</v>
      </c>
      <c r="T5" s="77">
        <f>'2'!$F$23</f>
        <v>7.6104371205234704</v>
      </c>
      <c r="U5" s="77">
        <f>'2'!$F$24</f>
        <v>9.7415277776911431</v>
      </c>
      <c r="V5" s="77">
        <f>'2'!$F$25</f>
        <v>4.1168106458634819</v>
      </c>
      <c r="W5" s="77">
        <f>'2'!$F$26</f>
        <v>6.1233896928910285</v>
      </c>
      <c r="X5" s="77">
        <f>'2'!$F$27</f>
        <v>11.653482568170531</v>
      </c>
      <c r="Y5" s="77">
        <f>'2'!$F$28</f>
        <v>8.6467055215928674</v>
      </c>
      <c r="Z5" s="77">
        <f>'2'!$F$29</f>
        <v>7.5431496858282516</v>
      </c>
      <c r="AA5" s="77">
        <f>'2'!$F$30</f>
        <v>15.171572534366938</v>
      </c>
      <c r="AB5" s="77" t="str">
        <f>'2'!$F$31</f>
        <v/>
      </c>
      <c r="AC5" s="77" t="str">
        <f>'2'!$F$32</f>
        <v/>
      </c>
      <c r="AD5" s="98">
        <f>'2'!$F$33</f>
        <v>9.5229469454288438</v>
      </c>
    </row>
    <row r="6" spans="1:30" x14ac:dyDescent="0.2">
      <c r="A6" s="97" t="s">
        <v>1046</v>
      </c>
      <c r="B6" s="77">
        <f>'3'!$F$5</f>
        <v>8.0869201267007043</v>
      </c>
      <c r="C6" s="77">
        <f>'3'!$F$6</f>
        <v>9.3206261360800085</v>
      </c>
      <c r="D6" s="77">
        <f>'3'!$F$7</f>
        <v>7.6568164672292456</v>
      </c>
      <c r="E6" s="77">
        <f>'3'!$F$8</f>
        <v>8.5507750227331538</v>
      </c>
      <c r="F6" s="77">
        <f>'3'!$F$9</f>
        <v>9.3720289836511963</v>
      </c>
      <c r="G6" s="77">
        <f>'3'!$F$10</f>
        <v>8.6788066080920458</v>
      </c>
      <c r="H6" s="77">
        <f>'3'!$F$11</f>
        <v>8.4152714795414418</v>
      </c>
      <c r="I6" s="77">
        <f>'3'!$F$12</f>
        <v>9.3683924656525566</v>
      </c>
      <c r="J6" s="77">
        <f>'3'!$F$13</f>
        <v>7.255227490711893</v>
      </c>
      <c r="K6" s="77">
        <f>'3'!$F$14</f>
        <v>7.6237402931750058</v>
      </c>
      <c r="L6" s="77">
        <f>'3'!$F$15</f>
        <v>8.4617076280004095</v>
      </c>
      <c r="M6" s="77">
        <f>'3'!$F$16</f>
        <v>9.030799331554535</v>
      </c>
      <c r="N6" s="77">
        <f>'3'!$F$17</f>
        <v>8.0342084935315015</v>
      </c>
      <c r="O6" s="77">
        <f>'3'!$F$18</f>
        <v>9.5572207108462859</v>
      </c>
      <c r="P6" s="77">
        <f>'3'!$F$19</f>
        <v>8.7007773748995891</v>
      </c>
      <c r="Q6" s="77">
        <f>'3'!$F$20</f>
        <v>8.5852933296232017</v>
      </c>
      <c r="R6" s="77">
        <f>'3'!$F$21</f>
        <v>8.7756292704848331</v>
      </c>
      <c r="S6" s="77">
        <f>'3'!$F$22</f>
        <v>9.9102305057589053</v>
      </c>
      <c r="T6" s="77">
        <f>'3'!$F$23</f>
        <v>7.8894405365597908</v>
      </c>
      <c r="U6" s="77">
        <f>'3'!$F$24</f>
        <v>9.3684072056903958</v>
      </c>
      <c r="V6" s="77">
        <f>'3'!$F$25</f>
        <v>9.3647827970568223</v>
      </c>
      <c r="W6" s="77">
        <f>'3'!$F$26</f>
        <v>8.8138505160432246</v>
      </c>
      <c r="X6" s="77">
        <f>'3'!$F$27</f>
        <v>5.9301318759709165</v>
      </c>
      <c r="Y6" s="77">
        <f>'3'!$F$28</f>
        <v>8.3706665433511116</v>
      </c>
      <c r="Z6" s="77">
        <f>'3'!$F$29</f>
        <v>6.1359837346398365</v>
      </c>
      <c r="AA6" s="77">
        <f>'3'!$F$30</f>
        <v>8.0141502036766958</v>
      </c>
      <c r="AB6" s="77" t="str">
        <f>'3'!$F$31</f>
        <v/>
      </c>
      <c r="AC6" s="77" t="str">
        <f>'3'!$F$32</f>
        <v/>
      </c>
      <c r="AD6" s="98">
        <f>'3'!$F$33</f>
        <v>8.160786389185315</v>
      </c>
    </row>
    <row r="7" spans="1:30" x14ac:dyDescent="0.2">
      <c r="A7" s="97" t="s">
        <v>1047</v>
      </c>
      <c r="B7" s="77">
        <f>'4'!$F$5</f>
        <v>4.639161510563552</v>
      </c>
      <c r="C7" s="77">
        <f>'4'!$F$6</f>
        <v>9.3478805756414616</v>
      </c>
      <c r="D7" s="77">
        <f>'4'!$F$7</f>
        <v>5.525056212876164</v>
      </c>
      <c r="E7" s="77">
        <f>'4'!$F$8</f>
        <v>6.2645132208659975</v>
      </c>
      <c r="F7" s="77" t="str">
        <f>'4'!$F$9</f>
        <v/>
      </c>
      <c r="G7" s="77">
        <f>'4'!$F$10</f>
        <v>10.795873921064745</v>
      </c>
      <c r="H7" s="77">
        <f>'4'!$F$11</f>
        <v>11.0109488841948</v>
      </c>
      <c r="I7" s="77">
        <f>'4'!$F$12</f>
        <v>6.9055094158458834</v>
      </c>
      <c r="J7" s="77">
        <f>'4'!$F$13</f>
        <v>6.2990452716606535</v>
      </c>
      <c r="K7" s="77">
        <f>'4'!$F$14</f>
        <v>14.970979692381734</v>
      </c>
      <c r="L7" s="77">
        <f>'4'!$F$15</f>
        <v>6.7748571727032569</v>
      </c>
      <c r="M7" s="77">
        <f>'4'!$F$16</f>
        <v>5.4044948557122474</v>
      </c>
      <c r="N7" s="77">
        <f>'4'!$F$17</f>
        <v>5.257277452592537</v>
      </c>
      <c r="O7" s="77">
        <f>'4'!$F$18</f>
        <v>10.626403647350768</v>
      </c>
      <c r="P7" s="77" t="str">
        <f>'4'!$F$19</f>
        <v/>
      </c>
      <c r="Q7" s="77">
        <f>'4'!$F$20</f>
        <v>6.3219565322303852</v>
      </c>
      <c r="R7" s="77">
        <f>'4'!$F$21</f>
        <v>9.4369867939543841</v>
      </c>
      <c r="S7" s="77">
        <f>'4'!$F$22</f>
        <v>5.9932116807739426</v>
      </c>
      <c r="T7" s="77">
        <f>'4'!$F$23</f>
        <v>6.6025367674324151</v>
      </c>
      <c r="U7" s="77">
        <f>'4'!$F$24</f>
        <v>9.5240128825147714</v>
      </c>
      <c r="V7" s="77">
        <f>'4'!$F$25</f>
        <v>8.2259821627374663</v>
      </c>
      <c r="W7" s="77">
        <f>'4'!$F$26</f>
        <v>6.7741875522302175</v>
      </c>
      <c r="X7" s="77">
        <f>'4'!$F$27</f>
        <v>7.0417084486555108</v>
      </c>
      <c r="Y7" s="77">
        <f>'4'!$F$28</f>
        <v>5.7587598688162629</v>
      </c>
      <c r="Z7" s="77">
        <f>'4'!$F$29</f>
        <v>5.3035951817843534</v>
      </c>
      <c r="AA7" s="77">
        <f>'4'!$F$30</f>
        <v>7.950937401695402</v>
      </c>
      <c r="AB7" s="77" t="str">
        <f>'4'!$F$31</f>
        <v/>
      </c>
      <c r="AC7" s="77" t="str">
        <f>'4'!$F$32</f>
        <v/>
      </c>
      <c r="AD7" s="98">
        <f>'4'!$F$33</f>
        <v>6.4829172306213643</v>
      </c>
    </row>
    <row r="8" spans="1:30" x14ac:dyDescent="0.2">
      <c r="A8" s="97" t="s">
        <v>1037</v>
      </c>
      <c r="B8" s="77">
        <f>'5'!$F$5</f>
        <v>7.268888446117626</v>
      </c>
      <c r="C8" s="77">
        <f>'5'!$F$6</f>
        <v>16.158142738252476</v>
      </c>
      <c r="D8" s="77">
        <f>'5'!$F$7</f>
        <v>11.141000299781982</v>
      </c>
      <c r="E8" s="77">
        <f>'5'!$F$8</f>
        <v>9.7895707430608905</v>
      </c>
      <c r="F8" s="77" t="str">
        <f>'5'!$F$9</f>
        <v/>
      </c>
      <c r="G8" s="77">
        <f>'5'!$F$10</f>
        <v>8.644518261627157</v>
      </c>
      <c r="H8" s="77">
        <f>'5'!$F$11</f>
        <v>15.967604358033817</v>
      </c>
      <c r="I8" s="77">
        <f>'5'!$F$12</f>
        <v>6.0490050204598589</v>
      </c>
      <c r="J8" s="77">
        <f>'5'!$F$13</f>
        <v>14.841007163102683</v>
      </c>
      <c r="K8" s="77">
        <f>'5'!$F$14</f>
        <v>16.617903033392089</v>
      </c>
      <c r="L8" s="77">
        <f>'5'!$F$15</f>
        <v>12.704747144666268</v>
      </c>
      <c r="M8" s="77">
        <f>'5'!$F$16</f>
        <v>10.011882574158008</v>
      </c>
      <c r="N8" s="77">
        <f>'5'!$F$17</f>
        <v>9.7165446660958406</v>
      </c>
      <c r="O8" s="77">
        <f>'5'!$F$18</f>
        <v>15.532566446763813</v>
      </c>
      <c r="P8" s="77">
        <f>'5'!$F$19</f>
        <v>31.583077669746842</v>
      </c>
      <c r="Q8" s="77">
        <f>'5'!$F$20</f>
        <v>15.016358921091911</v>
      </c>
      <c r="R8" s="77" t="str">
        <f>'5'!$F$21</f>
        <v/>
      </c>
      <c r="S8" s="77">
        <f>'5'!$F$22</f>
        <v>18.609713832541701</v>
      </c>
      <c r="T8" s="77">
        <f>'5'!$F$23</f>
        <v>9.0883159207056927</v>
      </c>
      <c r="U8" s="77">
        <f>'5'!$F$24</f>
        <v>15.092924551030347</v>
      </c>
      <c r="V8" s="77">
        <f>'5'!$F$25</f>
        <v>49.15235418518148</v>
      </c>
      <c r="W8" s="77">
        <f>'5'!$F$26</f>
        <v>31.112665049691117</v>
      </c>
      <c r="X8" s="77">
        <f>'5'!$F$27</f>
        <v>9.8652915039530011</v>
      </c>
      <c r="Y8" s="77">
        <f>'5'!$F$28</f>
        <v>10.288538576561791</v>
      </c>
      <c r="Z8" s="77">
        <f>'5'!$F$29</f>
        <v>8.4617570356189873</v>
      </c>
      <c r="AA8" s="77">
        <f>'5'!$F$30</f>
        <v>14.663625840454268</v>
      </c>
      <c r="AB8" s="77" t="str">
        <f>'5'!$F$31</f>
        <v/>
      </c>
      <c r="AC8" s="77" t="str">
        <f>'5'!$F$32</f>
        <v/>
      </c>
      <c r="AD8" s="98">
        <f>'5'!$F$33</f>
        <v>10.858161730549053</v>
      </c>
    </row>
    <row r="9" spans="1:30" x14ac:dyDescent="0.2">
      <c r="A9" s="97" t="s">
        <v>1048</v>
      </c>
      <c r="B9" s="77">
        <f>'6'!$F$5</f>
        <v>7.1581930487500376</v>
      </c>
      <c r="C9" s="77">
        <f>'6'!$F$6</f>
        <v>11.250510173480645</v>
      </c>
      <c r="D9" s="77">
        <f>'6'!$F$7</f>
        <v>4.7774170726701204</v>
      </c>
      <c r="E9" s="77">
        <f>'6'!$F$8</f>
        <v>7.3522631533003295</v>
      </c>
      <c r="F9" s="77" t="str">
        <f>'6'!$F$9</f>
        <v/>
      </c>
      <c r="G9" s="77">
        <f>'6'!$F$10</f>
        <v>4.0733694440508907</v>
      </c>
      <c r="H9" s="77">
        <f>'6'!$F$11</f>
        <v>15.342065744812121</v>
      </c>
      <c r="I9" s="77">
        <f>'6'!$F$12</f>
        <v>11.25048952325464</v>
      </c>
      <c r="J9" s="77">
        <f>'6'!$F$13</f>
        <v>3.6226235732072376</v>
      </c>
      <c r="K9" s="77" t="str">
        <f>'6'!$F$14</f>
        <v/>
      </c>
      <c r="L9" s="77">
        <f>'6'!$F$15</f>
        <v>25.121387917079058</v>
      </c>
      <c r="M9" s="77">
        <f>'6'!$F$16</f>
        <v>6.5980676511335705</v>
      </c>
      <c r="N9" s="77">
        <f>'6'!$F$17</f>
        <v>5.9577048870888651</v>
      </c>
      <c r="O9" s="77">
        <f>'6'!$F$18</f>
        <v>14.039926429062209</v>
      </c>
      <c r="P9" s="77">
        <f>'6'!$F$19</f>
        <v>25.203667020777992</v>
      </c>
      <c r="Q9" s="77">
        <f>'6'!$F$20</f>
        <v>7.4140944286404213</v>
      </c>
      <c r="R9" s="77" t="str">
        <f>'6'!$F$21</f>
        <v/>
      </c>
      <c r="S9" s="77">
        <f>'6'!$F$22</f>
        <v>7.7429699515522472</v>
      </c>
      <c r="T9" s="77">
        <f>'6'!$F$23</f>
        <v>5.6779825429553528</v>
      </c>
      <c r="U9" s="77">
        <f>'6'!$F$24</f>
        <v>11.250380938303765</v>
      </c>
      <c r="V9" s="77">
        <f>'6'!$F$25</f>
        <v>11.250567341812536</v>
      </c>
      <c r="W9" s="77">
        <f>'6'!$F$26</f>
        <v>11.250704620036345</v>
      </c>
      <c r="X9" s="77">
        <f>'6'!$F$27</f>
        <v>6.9991740238519373</v>
      </c>
      <c r="Y9" s="77">
        <f>'6'!$F$28</f>
        <v>5.8783649091348043</v>
      </c>
      <c r="Z9" s="77">
        <f>'6'!$F$29</f>
        <v>4.7355482269965101</v>
      </c>
      <c r="AA9" s="77">
        <f>'6'!$F$30</f>
        <v>6.6259243470622993</v>
      </c>
      <c r="AB9" s="77" t="str">
        <f>'6'!$F$31</f>
        <v/>
      </c>
      <c r="AC9" s="77" t="str">
        <f>'6'!$F$32</f>
        <v/>
      </c>
      <c r="AD9" s="98">
        <f>'6'!$F$33</f>
        <v>6.0424602272098697</v>
      </c>
    </row>
    <row r="10" spans="1:30" x14ac:dyDescent="0.2">
      <c r="A10" s="97" t="s">
        <v>1049</v>
      </c>
      <c r="B10" s="77" t="str">
        <f>'7'!$F$5</f>
        <v/>
      </c>
      <c r="C10" s="77">
        <f>'7'!$F$6</f>
        <v>11.082239156161462</v>
      </c>
      <c r="D10" s="77">
        <f>'7'!$F$7</f>
        <v>10.834323860934578</v>
      </c>
      <c r="E10" s="77">
        <f>'7'!$F$8</f>
        <v>11.521906381013149</v>
      </c>
      <c r="F10" s="77" t="str">
        <f>'7'!$F$9</f>
        <v/>
      </c>
      <c r="G10" s="77" t="str">
        <f>'7'!$F$10</f>
        <v/>
      </c>
      <c r="H10" s="77">
        <f>'7'!$F$11</f>
        <v>11.140116078918208</v>
      </c>
      <c r="I10" s="77">
        <f>'7'!$F$12</f>
        <v>11.185809900247969</v>
      </c>
      <c r="J10" s="77">
        <f>'7'!$F$13</f>
        <v>7.8099524418117285</v>
      </c>
      <c r="K10" s="77" t="str">
        <f>'7'!$F$14</f>
        <v/>
      </c>
      <c r="L10" s="77">
        <f>'7'!$F$15</f>
        <v>6.2738347059392146</v>
      </c>
      <c r="M10" s="77">
        <f>'7'!$F$16</f>
        <v>9.240870023453823</v>
      </c>
      <c r="N10" s="77">
        <f>'7'!$F$17</f>
        <v>9.5126537346914706</v>
      </c>
      <c r="O10" s="77">
        <f>'7'!$F$18</f>
        <v>22.819282626055532</v>
      </c>
      <c r="P10" s="77" t="str">
        <f>'7'!$F$19</f>
        <v/>
      </c>
      <c r="Q10" s="77">
        <f>'7'!$F$20</f>
        <v>18.302608776580186</v>
      </c>
      <c r="R10" s="77" t="str">
        <f>'7'!$F$21</f>
        <v/>
      </c>
      <c r="S10" s="77">
        <f>'7'!$F$22</f>
        <v>14.667404431517593</v>
      </c>
      <c r="T10" s="77">
        <f>'7'!$F$23</f>
        <v>8.81034843926391</v>
      </c>
      <c r="U10" s="77">
        <f>'7'!$F$24</f>
        <v>10.574498500799924</v>
      </c>
      <c r="V10" s="77">
        <f>'7'!$F$25</f>
        <v>30.516600311903513</v>
      </c>
      <c r="W10" s="77">
        <f>'7'!$F$26</f>
        <v>12.528931986376582</v>
      </c>
      <c r="X10" s="77">
        <f>'7'!$F$27</f>
        <v>11.329424987228188</v>
      </c>
      <c r="Y10" s="77">
        <f>'7'!$F$28</f>
        <v>9.4245572757872793</v>
      </c>
      <c r="Z10" s="77">
        <f>'7'!$F$29</f>
        <v>8.4508675871755781</v>
      </c>
      <c r="AA10" s="77">
        <f>'7'!$F$30</f>
        <v>13.5313774336671</v>
      </c>
      <c r="AB10" s="77" t="str">
        <f>'7'!$F$31</f>
        <v/>
      </c>
      <c r="AC10" s="77" t="str">
        <f>'7'!$F$32</f>
        <v/>
      </c>
      <c r="AD10" s="98">
        <f>'7'!$F$33</f>
        <v>10.086422748642356</v>
      </c>
    </row>
    <row r="11" spans="1:30" x14ac:dyDescent="0.2">
      <c r="A11" s="97" t="s">
        <v>1083</v>
      </c>
      <c r="B11" s="77">
        <f>'8'!$F$5</f>
        <v>5.25486301309647</v>
      </c>
      <c r="C11" s="77">
        <f>'8'!$F$6</f>
        <v>13.701736340046979</v>
      </c>
      <c r="D11" s="77">
        <f>'8'!$F$7</f>
        <v>7.512189181830883</v>
      </c>
      <c r="E11" s="77">
        <f>'8'!$F$8</f>
        <v>7.1024758667419938</v>
      </c>
      <c r="F11" s="77">
        <f>'8'!$F$9</f>
        <v>57.08127432987979</v>
      </c>
      <c r="G11" s="77">
        <f>'8'!$F$10</f>
        <v>7.3751734623444714</v>
      </c>
      <c r="H11" s="77">
        <f>'8'!$F$11</f>
        <v>17.923498922322736</v>
      </c>
      <c r="I11" s="77">
        <f>'8'!$F$12</f>
        <v>9.1514464667025273</v>
      </c>
      <c r="J11" s="77">
        <f>'8'!$F$13</f>
        <v>5.7736249042230741</v>
      </c>
      <c r="K11" s="77">
        <f>'8'!$F$14</f>
        <v>158.11850140411559</v>
      </c>
      <c r="L11" s="77">
        <f>'8'!$F$15</f>
        <v>4.9243556201670744</v>
      </c>
      <c r="M11" s="77">
        <f>'8'!$F$16</f>
        <v>7.1963464055927959</v>
      </c>
      <c r="N11" s="77">
        <f>'8'!$F$17</f>
        <v>7.4144033368285571</v>
      </c>
      <c r="O11" s="77">
        <f>'8'!$F$18</f>
        <v>13.664616589420742</v>
      </c>
      <c r="P11" s="77" t="str">
        <f>'8'!$F$19</f>
        <v/>
      </c>
      <c r="Q11" s="77">
        <f>'8'!$F$20</f>
        <v>10.801458241328982</v>
      </c>
      <c r="R11" s="77" t="str">
        <f>'8'!$F$21</f>
        <v/>
      </c>
      <c r="S11" s="77">
        <f>'8'!$F$22</f>
        <v>9.3515086040015429</v>
      </c>
      <c r="T11" s="77">
        <f>'8'!$F$23</f>
        <v>6.5494019485053929</v>
      </c>
      <c r="U11" s="77">
        <f>'8'!$F$24</f>
        <v>8.8400672371424491</v>
      </c>
      <c r="V11" s="77">
        <f>'8'!$F$25</f>
        <v>7.0389380150033087</v>
      </c>
      <c r="W11" s="77">
        <f>'8'!$F$26</f>
        <v>28.225190266101073</v>
      </c>
      <c r="X11" s="77">
        <f>'8'!$F$27</f>
        <v>8.6165652380744824</v>
      </c>
      <c r="Y11" s="77">
        <f>'8'!$F$28</f>
        <v>9.0450087423567762</v>
      </c>
      <c r="Z11" s="77">
        <f>'8'!$F$29</f>
        <v>6.0041751548773314</v>
      </c>
      <c r="AA11" s="77">
        <f>'8'!$F$30</f>
        <v>6.9630225747797283</v>
      </c>
      <c r="AB11" s="77" t="str">
        <f>'8'!$F$31</f>
        <v/>
      </c>
      <c r="AC11" s="77" t="str">
        <f>'8'!$F$32</f>
        <v/>
      </c>
      <c r="AD11" s="98">
        <f>'8'!$F$33</f>
        <v>8.3298474584072526</v>
      </c>
    </row>
    <row r="12" spans="1:30" x14ac:dyDescent="0.2">
      <c r="A12" s="97" t="s">
        <v>1040</v>
      </c>
      <c r="B12" s="77">
        <f>'9'!$F$5</f>
        <v>9.5496278738049192</v>
      </c>
      <c r="C12" s="77">
        <f>'9'!$F$6</f>
        <v>5.831037046466788</v>
      </c>
      <c r="D12" s="77">
        <f>'9'!$F$7</f>
        <v>4.9283259552343264</v>
      </c>
      <c r="E12" s="77">
        <f>'9'!$F$8</f>
        <v>4.3696829223834817</v>
      </c>
      <c r="F12" s="77" t="str">
        <f>'9'!$F$9</f>
        <v/>
      </c>
      <c r="G12" s="77" t="str">
        <f>'9'!$F$10</f>
        <v/>
      </c>
      <c r="H12" s="77">
        <f>'9'!$F$11</f>
        <v>19.330404856749539</v>
      </c>
      <c r="I12" s="77">
        <f>'9'!$F$12</f>
        <v>6.1648408367678815</v>
      </c>
      <c r="J12" s="77">
        <f>'9'!$F$13</f>
        <v>5.3224352922588176</v>
      </c>
      <c r="K12" s="77" t="str">
        <f>'9'!$F$14</f>
        <v/>
      </c>
      <c r="L12" s="77">
        <f>'9'!$F$15</f>
        <v>5.7743062592215848</v>
      </c>
      <c r="M12" s="77">
        <f>'9'!$F$16</f>
        <v>5.8127800345480516</v>
      </c>
      <c r="N12" s="77">
        <f>'9'!$F$17</f>
        <v>5.633310899835287</v>
      </c>
      <c r="O12" s="77">
        <f>'9'!$F$18</f>
        <v>7.7161364770437846</v>
      </c>
      <c r="P12" s="77" t="str">
        <f>'9'!$F$19</f>
        <v/>
      </c>
      <c r="Q12" s="77">
        <f>'9'!$F$20</f>
        <v>4.4878607576223457</v>
      </c>
      <c r="R12" s="77">
        <f>'9'!$F$21</f>
        <v>9.0668699911263957</v>
      </c>
      <c r="S12" s="77">
        <f>'9'!$F$22</f>
        <v>6.0331278738049168</v>
      </c>
      <c r="T12" s="77">
        <f>'9'!$F$23</f>
        <v>5.7901658895970733</v>
      </c>
      <c r="U12" s="77">
        <f>'9'!$F$24</f>
        <v>10.174169540471585</v>
      </c>
      <c r="V12" s="77" t="str">
        <f>'9'!$F$25</f>
        <v/>
      </c>
      <c r="W12" s="77">
        <f>'9'!$F$26</f>
        <v>6.0870680911962225</v>
      </c>
      <c r="X12" s="77">
        <f>'9'!$F$27</f>
        <v>11.011650061533187</v>
      </c>
      <c r="Y12" s="77">
        <f>'9'!$F$28</f>
        <v>6.4448930546834706</v>
      </c>
      <c r="Z12" s="77">
        <f>'9'!$F$29</f>
        <v>5.2359232527091679</v>
      </c>
      <c r="AA12" s="77">
        <f>'9'!$F$30</f>
        <v>6.3329308557644231</v>
      </c>
      <c r="AB12" s="77" t="str">
        <f>'9'!$F$31</f>
        <v/>
      </c>
      <c r="AC12" s="77" t="str">
        <f>'9'!$F$32</f>
        <v/>
      </c>
      <c r="AD12" s="98">
        <f>'9'!$F$33</f>
        <v>5.9323663641772821</v>
      </c>
    </row>
    <row r="13" spans="1:30" x14ac:dyDescent="0.2">
      <c r="A13" s="97" t="s">
        <v>1050</v>
      </c>
      <c r="B13" s="77">
        <f>'10'!$F$5</f>
        <v>8.6128712501796141</v>
      </c>
      <c r="C13" s="77">
        <f>'10'!$F$6</f>
        <v>6.4237601290693025</v>
      </c>
      <c r="D13" s="77">
        <f>'10'!$F$7</f>
        <v>5.4478401640398957</v>
      </c>
      <c r="E13" s="77">
        <f>'10'!$F$8</f>
        <v>5.7112874332523997</v>
      </c>
      <c r="F13" s="77" t="str">
        <f>'10'!$F$9</f>
        <v/>
      </c>
      <c r="G13" s="77">
        <f>'10'!$F$10</f>
        <v>4.4995703142544876</v>
      </c>
      <c r="H13" s="77">
        <f>'10'!$F$11</f>
        <v>8.0778073026663026</v>
      </c>
      <c r="I13" s="77" t="str">
        <f>'10'!$F$12</f>
        <v/>
      </c>
      <c r="J13" s="77">
        <f>'10'!$F$13</f>
        <v>4.2064094535987504</v>
      </c>
      <c r="K13" s="77" t="str">
        <f>'10'!$F$14</f>
        <v/>
      </c>
      <c r="L13" s="77">
        <f>'10'!$F$15</f>
        <v>6.8884954665608413</v>
      </c>
      <c r="M13" s="77">
        <f>'10'!$F$16</f>
        <v>5.705558915941797</v>
      </c>
      <c r="N13" s="77">
        <f>'10'!$F$17</f>
        <v>5.8404328873539022</v>
      </c>
      <c r="O13" s="77" t="str">
        <f>'10'!$F$18</f>
        <v/>
      </c>
      <c r="P13" s="77" t="str">
        <f>'10'!$F$19</f>
        <v/>
      </c>
      <c r="Q13" s="77">
        <f>'10'!$F$20</f>
        <v>3.7289019974228044</v>
      </c>
      <c r="R13" s="77" t="str">
        <f>'10'!$F$21</f>
        <v/>
      </c>
      <c r="S13" s="77">
        <f>'10'!$F$22</f>
        <v>6.1526648900542105</v>
      </c>
      <c r="T13" s="77">
        <f>'10'!$F$23</f>
        <v>5.6137571654655609</v>
      </c>
      <c r="U13" s="77" t="str">
        <f>'10'!$F$24</f>
        <v/>
      </c>
      <c r="V13" s="77" t="str">
        <f>'10'!$F$25</f>
        <v/>
      </c>
      <c r="W13" s="77">
        <f>'10'!$F$26</f>
        <v>9.6252647586989326</v>
      </c>
      <c r="X13" s="77">
        <f>'10'!$F$27</f>
        <v>7.1579445589674791</v>
      </c>
      <c r="Y13" s="77">
        <f>'10'!$F$28</f>
        <v>3.2897348027628248</v>
      </c>
      <c r="Z13" s="77">
        <f>'10'!$F$29</f>
        <v>5.221639149352824</v>
      </c>
      <c r="AA13" s="77">
        <f>'10'!$F$30</f>
        <v>4.6881987864767094</v>
      </c>
      <c r="AB13" s="77" t="str">
        <f>'10'!$F$31</f>
        <v/>
      </c>
      <c r="AC13" s="77" t="str">
        <f>'10'!$F$32</f>
        <v/>
      </c>
      <c r="AD13" s="98">
        <f>'10'!$F$33</f>
        <v>5.8401164792717797</v>
      </c>
    </row>
    <row r="14" spans="1:30" x14ac:dyDescent="0.2">
      <c r="A14" s="97" t="s">
        <v>1051</v>
      </c>
      <c r="B14" s="77">
        <f>'11'!$F$5</f>
        <v>6.1299472454310928</v>
      </c>
      <c r="C14" s="77">
        <f>'11'!$F$6</f>
        <v>7.7305295653257744</v>
      </c>
      <c r="D14" s="77">
        <f>'11'!$F$7</f>
        <v>7.3293319525367977</v>
      </c>
      <c r="E14" s="77">
        <f>'11'!$F$8</f>
        <v>9.6776960338499709</v>
      </c>
      <c r="F14" s="77" t="str">
        <f>'11'!$F$9</f>
        <v/>
      </c>
      <c r="G14" s="77">
        <f>'11'!$F$10</f>
        <v>8.2196618400424253</v>
      </c>
      <c r="H14" s="77">
        <f>'11'!$F$11</f>
        <v>7.3042058845974429</v>
      </c>
      <c r="I14" s="77">
        <f>'11'!$F$12</f>
        <v>8.1937359116584272</v>
      </c>
      <c r="J14" s="77">
        <f>'11'!$F$13</f>
        <v>7.7345146925636836</v>
      </c>
      <c r="K14" s="77">
        <f>'11'!$F$14</f>
        <v>5.8566514785262003</v>
      </c>
      <c r="L14" s="77">
        <f>'11'!$F$15</f>
        <v>7.2800602599331219</v>
      </c>
      <c r="M14" s="77">
        <f>'11'!$F$16</f>
        <v>7.9696088340030151</v>
      </c>
      <c r="N14" s="77">
        <f>'11'!$F$17</f>
        <v>11.615175322362177</v>
      </c>
      <c r="O14" s="77">
        <f>'11'!$F$18</f>
        <v>20.290563062528747</v>
      </c>
      <c r="P14" s="77">
        <f>'11'!$F$19</f>
        <v>15.271302655540444</v>
      </c>
      <c r="Q14" s="77">
        <f>'11'!$F$20</f>
        <v>7.9136272241527914</v>
      </c>
      <c r="R14" s="77" t="str">
        <f>'11'!$F$21</f>
        <v/>
      </c>
      <c r="S14" s="77">
        <f>'11'!$F$22</f>
        <v>9.3939954544826119</v>
      </c>
      <c r="T14" s="77">
        <f>'11'!$F$23</f>
        <v>8.282660647375927</v>
      </c>
      <c r="U14" s="77">
        <f>'11'!$F$24</f>
        <v>8.0015760213770477</v>
      </c>
      <c r="V14" s="77">
        <f>'11'!$F$25</f>
        <v>12.109986227405772</v>
      </c>
      <c r="W14" s="77">
        <f>'11'!$F$26</f>
        <v>7.7689705728305887</v>
      </c>
      <c r="X14" s="77">
        <f>'11'!$F$27</f>
        <v>7.4397659150992057</v>
      </c>
      <c r="Y14" s="77">
        <f>'11'!$F$28</f>
        <v>9.292929034320732</v>
      </c>
      <c r="Z14" s="77">
        <f>'11'!$F$29</f>
        <v>4.1869452202892932</v>
      </c>
      <c r="AA14" s="77">
        <f>'11'!$F$30</f>
        <v>5.9344476050024735</v>
      </c>
      <c r="AB14" s="77" t="str">
        <f>'11'!$F$31</f>
        <v/>
      </c>
      <c r="AC14" s="77" t="str">
        <f>'11'!$F$32</f>
        <v/>
      </c>
      <c r="AD14" s="98">
        <f>'11'!$F$33</f>
        <v>7.7665212345053778</v>
      </c>
    </row>
    <row r="15" spans="1:30" x14ac:dyDescent="0.2">
      <c r="A15" s="97" t="s">
        <v>946</v>
      </c>
      <c r="B15" s="77" t="str">
        <f>'12'!$F$5</f>
        <v/>
      </c>
      <c r="C15" s="77" t="str">
        <f>'12'!$F$6</f>
        <v/>
      </c>
      <c r="D15" s="77" t="str">
        <f>'12'!$F$7</f>
        <v/>
      </c>
      <c r="E15" s="77" t="str">
        <f>'12'!$F$8</f>
        <v/>
      </c>
      <c r="F15" s="77" t="str">
        <f>'12'!$F$9</f>
        <v/>
      </c>
      <c r="G15" s="77" t="str">
        <f>'12'!$F$10</f>
        <v/>
      </c>
      <c r="H15" s="77" t="str">
        <f>'12'!$F$11</f>
        <v/>
      </c>
      <c r="I15" s="77" t="str">
        <f>'12'!$F$12</f>
        <v/>
      </c>
      <c r="J15" s="77" t="str">
        <f>'12'!$F$13</f>
        <v/>
      </c>
      <c r="K15" s="77" t="str">
        <f>'12'!$F$14</f>
        <v/>
      </c>
      <c r="L15" s="77" t="str">
        <f>'12'!$F$15</f>
        <v/>
      </c>
      <c r="M15" s="77" t="str">
        <f>'12'!$F$16</f>
        <v/>
      </c>
      <c r="N15" s="77" t="str">
        <f>'12'!$F$17</f>
        <v/>
      </c>
      <c r="O15" s="77" t="str">
        <f>'12'!$F$18</f>
        <v/>
      </c>
      <c r="P15" s="77" t="str">
        <f>'12'!$F$19</f>
        <v/>
      </c>
      <c r="Q15" s="77" t="str">
        <f>'12'!$F$20</f>
        <v/>
      </c>
      <c r="R15" s="77" t="str">
        <f>'12'!$F$21</f>
        <v/>
      </c>
      <c r="S15" s="77" t="str">
        <f>'12'!$F$22</f>
        <v/>
      </c>
      <c r="T15" s="77" t="str">
        <f>'12'!$F$23</f>
        <v/>
      </c>
      <c r="U15" s="77" t="str">
        <f>'12'!$F$24</f>
        <v/>
      </c>
      <c r="V15" s="77" t="str">
        <f>'12'!$F$25</f>
        <v/>
      </c>
      <c r="W15" s="77" t="str">
        <f>'12'!$F$26</f>
        <v/>
      </c>
      <c r="X15" s="77" t="str">
        <f>'12'!$F$27</f>
        <v/>
      </c>
      <c r="Y15" s="77" t="str">
        <f>'12'!$F$28</f>
        <v/>
      </c>
      <c r="Z15" s="77" t="str">
        <f>'12'!$F$29</f>
        <v/>
      </c>
      <c r="AA15" s="77" t="str">
        <f>'12'!$F$30</f>
        <v/>
      </c>
      <c r="AB15" s="77" t="str">
        <f>'12'!$F$31</f>
        <v/>
      </c>
      <c r="AC15" s="77" t="str">
        <f>'12'!$F$32</f>
        <v/>
      </c>
      <c r="AD15" s="98" t="str">
        <f>'12'!$F$33</f>
        <v/>
      </c>
    </row>
    <row r="16" spans="1:30" x14ac:dyDescent="0.2">
      <c r="A16" s="97" t="s">
        <v>1074</v>
      </c>
      <c r="B16" s="77">
        <f>'13'!$F$5</f>
        <v>4.7648643962381065</v>
      </c>
      <c r="C16" s="77">
        <f>'13'!$F$6</f>
        <v>4.7651411040074434</v>
      </c>
      <c r="D16" s="77">
        <f>'13'!$F$7</f>
        <v>9.4830793503918418</v>
      </c>
      <c r="E16" s="77">
        <f>'13'!$F$8</f>
        <v>6.1766290998571547</v>
      </c>
      <c r="F16" s="77">
        <f>'13'!$F$9</f>
        <v>4.7655607682760293</v>
      </c>
      <c r="G16" s="77">
        <f>'13'!$F$10</f>
        <v>5.0266319953502752</v>
      </c>
      <c r="H16" s="77">
        <f>'13'!$F$11</f>
        <v>9.6260009518195044</v>
      </c>
      <c r="I16" s="77">
        <f>'13'!$F$12</f>
        <v>4.7651823581328561</v>
      </c>
      <c r="J16" s="77">
        <f>'13'!$F$13</f>
        <v>10.133978038575487</v>
      </c>
      <c r="K16" s="77">
        <f>'13'!$F$14</f>
        <v>38.176575941100175</v>
      </c>
      <c r="L16" s="77">
        <f>'13'!$F$15</f>
        <v>10.602595482421195</v>
      </c>
      <c r="M16" s="77">
        <f>'13'!$F$16</f>
        <v>8.2870208723119205</v>
      </c>
      <c r="N16" s="77">
        <f>'13'!$F$17</f>
        <v>6.6600234952860324</v>
      </c>
      <c r="O16" s="77">
        <f>'13'!$F$18</f>
        <v>21.253024349251156</v>
      </c>
      <c r="P16" s="77">
        <f>'13'!$F$19</f>
        <v>25.351457391886232</v>
      </c>
      <c r="Q16" s="77">
        <f>'13'!$F$20</f>
        <v>8.5724336410833235</v>
      </c>
      <c r="R16" s="77">
        <f>'13'!$F$21</f>
        <v>15.697638608997464</v>
      </c>
      <c r="S16" s="77" t="str">
        <f>'13'!$F$22</f>
        <v/>
      </c>
      <c r="T16" s="77">
        <f>'13'!$F$23</f>
        <v>7.7443332273953578</v>
      </c>
      <c r="U16" s="77" t="str">
        <f>'13'!$F$24</f>
        <v/>
      </c>
      <c r="V16" s="77">
        <f>'13'!$F$25</f>
        <v>4.7484744373407768</v>
      </c>
      <c r="W16" s="77">
        <f>'13'!$F$26</f>
        <v>4.7649132394241107</v>
      </c>
      <c r="X16" s="77">
        <f>'13'!$F$27</f>
        <v>9.3597280706532349</v>
      </c>
      <c r="Y16" s="77">
        <f>'13'!$F$28</f>
        <v>10.71582730158827</v>
      </c>
      <c r="Z16" s="77">
        <f>'13'!$F$29</f>
        <v>7.5481908138984277</v>
      </c>
      <c r="AA16" s="77">
        <f>'13'!$F$30</f>
        <v>10.485568303102294</v>
      </c>
      <c r="AB16" s="77" t="str">
        <f>'13'!$F$31</f>
        <v/>
      </c>
      <c r="AC16" s="77" t="str">
        <f>'13'!$F$32</f>
        <v/>
      </c>
      <c r="AD16" s="98">
        <f>'13'!$F$33</f>
        <v>8.5502294853475078</v>
      </c>
    </row>
    <row r="17" spans="1:30" x14ac:dyDescent="0.2">
      <c r="A17" s="97" t="s">
        <v>1075</v>
      </c>
      <c r="B17" s="77">
        <f>'14'!$F$5</f>
        <v>18.048833400026378</v>
      </c>
      <c r="C17" s="77">
        <f>'14'!$F$6</f>
        <v>10.543373793236132</v>
      </c>
      <c r="D17" s="77">
        <f>'14'!$F$7</f>
        <v>7.7864140409699072</v>
      </c>
      <c r="E17" s="77">
        <f>'14'!$F$8</f>
        <v>8.0099741764778187</v>
      </c>
      <c r="F17" s="77">
        <f>'14'!$F$9</f>
        <v>14.985355208626336</v>
      </c>
      <c r="G17" s="77">
        <f>'14'!$F$10</f>
        <v>9.2199116065103848</v>
      </c>
      <c r="H17" s="77">
        <f>'14'!$F$11</f>
        <v>8.3429283400505643</v>
      </c>
      <c r="I17" s="77">
        <f>'14'!$F$12</f>
        <v>17.586012496304217</v>
      </c>
      <c r="J17" s="77">
        <f>'14'!$F$13</f>
        <v>7.2534746409691415</v>
      </c>
      <c r="K17" s="77">
        <f>'14'!$F$14</f>
        <v>13.549484377915197</v>
      </c>
      <c r="L17" s="77">
        <f>'14'!$F$15</f>
        <v>5.6978975266147378</v>
      </c>
      <c r="M17" s="77">
        <f>'14'!$F$16</f>
        <v>8.3289394043322851</v>
      </c>
      <c r="N17" s="77">
        <f>'14'!$F$17</f>
        <v>7.4357531311641516</v>
      </c>
      <c r="O17" s="77">
        <f>'14'!$F$18</f>
        <v>11.721522411721413</v>
      </c>
      <c r="P17" s="77" t="str">
        <f>'14'!$F$19</f>
        <v/>
      </c>
      <c r="Q17" s="77">
        <f>'14'!$F$20</f>
        <v>7.9472451593810272</v>
      </c>
      <c r="R17" s="77">
        <f>'14'!$F$21</f>
        <v>18.233515433937207</v>
      </c>
      <c r="S17" s="77">
        <f>'14'!$F$22</f>
        <v>13.271347342693259</v>
      </c>
      <c r="T17" s="77">
        <f>'14'!$F$23</f>
        <v>7.4227706657849311</v>
      </c>
      <c r="U17" s="77">
        <f>'14'!$F$24</f>
        <v>10.269879729255834</v>
      </c>
      <c r="V17" s="77">
        <f>'14'!$F$25</f>
        <v>5.6035129799832122</v>
      </c>
      <c r="W17" s="77">
        <f>'14'!$F$26</f>
        <v>7.1305620075139391</v>
      </c>
      <c r="X17" s="77">
        <f>'14'!$F$27</f>
        <v>9.1314020106834661</v>
      </c>
      <c r="Y17" s="77">
        <f>'14'!$F$28</f>
        <v>7.3195167174310942</v>
      </c>
      <c r="Z17" s="77">
        <f>'14'!$F$29</f>
        <v>6.9661325293310359</v>
      </c>
      <c r="AA17" s="77">
        <f>'14'!$F$30</f>
        <v>8.9691655232667156</v>
      </c>
      <c r="AB17" s="77" t="str">
        <f>'14'!$F$31</f>
        <v/>
      </c>
      <c r="AC17" s="77" t="str">
        <f>'14'!$F$32</f>
        <v/>
      </c>
      <c r="AD17" s="98">
        <f>'14'!$F$33</f>
        <v>8.0469197356492703</v>
      </c>
    </row>
    <row r="18" spans="1:30" x14ac:dyDescent="0.2">
      <c r="A18" s="97" t="s">
        <v>1052</v>
      </c>
      <c r="B18" s="77">
        <f>'15'!$F$5</f>
        <v>10.756891304033857</v>
      </c>
      <c r="C18" s="77">
        <f>'15'!$F$6</f>
        <v>10.927840237939687</v>
      </c>
      <c r="D18" s="77">
        <f>'15'!$F$7</f>
        <v>8.8862028543353322</v>
      </c>
      <c r="E18" s="77">
        <f>'15'!$F$8</f>
        <v>11.396527363166269</v>
      </c>
      <c r="F18" s="77" t="str">
        <f>'15'!$F$9</f>
        <v/>
      </c>
      <c r="G18" s="77">
        <f>'15'!$F$10</f>
        <v>13.081412784778887</v>
      </c>
      <c r="H18" s="77">
        <f>'15'!$F$11</f>
        <v>10.547526064333429</v>
      </c>
      <c r="I18" s="77">
        <f>'15'!$F$12</f>
        <v>9.6666715787519255</v>
      </c>
      <c r="J18" s="77">
        <f>'15'!$F$13</f>
        <v>10.455213282921632</v>
      </c>
      <c r="K18" s="77">
        <f>'15'!$F$14</f>
        <v>11.504869381527367</v>
      </c>
      <c r="L18" s="77">
        <f>'15'!$F$15</f>
        <v>9.5010015623102433</v>
      </c>
      <c r="M18" s="77">
        <f>'15'!$F$16</f>
        <v>10.539651528909763</v>
      </c>
      <c r="N18" s="77">
        <f>'15'!$F$17</f>
        <v>10.410124203287694</v>
      </c>
      <c r="O18" s="77">
        <f>'15'!$F$18</f>
        <v>12.935011636753604</v>
      </c>
      <c r="P18" s="77">
        <f>'15'!$F$19</f>
        <v>17.961473791163691</v>
      </c>
      <c r="Q18" s="77">
        <f>'15'!$F$20</f>
        <v>10.623308565121512</v>
      </c>
      <c r="R18" s="77">
        <f>'15'!$F$21</f>
        <v>12.432344048798996</v>
      </c>
      <c r="S18" s="77">
        <f>'15'!$F$22</f>
        <v>41.315896680377939</v>
      </c>
      <c r="T18" s="77">
        <f>'15'!$F$23</f>
        <v>11.522114564824614</v>
      </c>
      <c r="U18" s="77">
        <f>'15'!$F$24</f>
        <v>11.302936188866376</v>
      </c>
      <c r="V18" s="77">
        <f>'15'!$F$25</f>
        <v>8.0622706678734808</v>
      </c>
      <c r="W18" s="77">
        <f>'15'!$F$26</f>
        <v>11.951462872747335</v>
      </c>
      <c r="X18" s="77">
        <f>'15'!$F$27</f>
        <v>9.1569600712256545</v>
      </c>
      <c r="Y18" s="77">
        <f>'15'!$F$28</f>
        <v>11.180261711204388</v>
      </c>
      <c r="Z18" s="77">
        <f>'15'!$F$29</f>
        <v>9.0633488118891119</v>
      </c>
      <c r="AA18" s="77">
        <f>'15'!$F$30</f>
        <v>13.553434430957356</v>
      </c>
      <c r="AB18" s="77" t="str">
        <f>'15'!$F$31</f>
        <v/>
      </c>
      <c r="AC18" s="77" t="str">
        <f>'15'!$F$32</f>
        <v/>
      </c>
      <c r="AD18" s="98">
        <f>'15'!$F$33</f>
        <v>10.650911165337094</v>
      </c>
    </row>
    <row r="19" spans="1:30" x14ac:dyDescent="0.2">
      <c r="A19" s="96" t="s">
        <v>1076</v>
      </c>
      <c r="B19" s="77">
        <f>'16'!$F$5</f>
        <v>6.2512499010490581</v>
      </c>
      <c r="C19" s="77">
        <f>'16'!$F$6</f>
        <v>10.244707686158405</v>
      </c>
      <c r="D19" s="77">
        <f>'16'!$F$7</f>
        <v>7.0825258930409474</v>
      </c>
      <c r="E19" s="77">
        <f>'16'!$F$8</f>
        <v>10.151684831751965</v>
      </c>
      <c r="F19" s="77" t="str">
        <f>'16'!$F$9</f>
        <v/>
      </c>
      <c r="G19" s="77">
        <f>'16'!$F$10</f>
        <v>14.204121780709299</v>
      </c>
      <c r="H19" s="77">
        <f>'16'!$F$11</f>
        <v>8.3471899245296566</v>
      </c>
      <c r="I19" s="77">
        <f>'16'!$F$12</f>
        <v>11.967180376496607</v>
      </c>
      <c r="J19" s="77">
        <f>'16'!$F$13</f>
        <v>8.580381636191289</v>
      </c>
      <c r="K19" s="77">
        <f>'16'!$F$14</f>
        <v>7.5569079567971302</v>
      </c>
      <c r="L19" s="77">
        <f>'16'!$F$15</f>
        <v>7.032679279584773</v>
      </c>
      <c r="M19" s="77">
        <f>'16'!$F$16</f>
        <v>8.1031954986734025</v>
      </c>
      <c r="N19" s="77">
        <f>'16'!$F$17</f>
        <v>8.0218946901979375</v>
      </c>
      <c r="O19" s="77">
        <f>'16'!$F$18</f>
        <v>12.992936944947669</v>
      </c>
      <c r="P19" s="77">
        <f>'16'!$F$19</f>
        <v>19.612233094326371</v>
      </c>
      <c r="Q19" s="77">
        <f>'16'!$F$20</f>
        <v>12.170391490193662</v>
      </c>
      <c r="R19" s="77">
        <f>'16'!$F$21</f>
        <v>18.373765086898679</v>
      </c>
      <c r="S19" s="77">
        <f>'16'!$F$22</f>
        <v>10.396209111747805</v>
      </c>
      <c r="T19" s="77">
        <f>'16'!$F$23</f>
        <v>6.8789526775120784</v>
      </c>
      <c r="U19" s="77">
        <f>'16'!$F$24</f>
        <v>9.1257703768124561</v>
      </c>
      <c r="V19" s="77">
        <f>'16'!$F$25</f>
        <v>13.856147955689854</v>
      </c>
      <c r="W19" s="77">
        <f>'16'!$F$26</f>
        <v>12.795458282647886</v>
      </c>
      <c r="X19" s="77">
        <f>'16'!$F$27</f>
        <v>16.580552134763053</v>
      </c>
      <c r="Y19" s="77">
        <f>'16'!$F$28</f>
        <v>8.9353050697407035</v>
      </c>
      <c r="Z19" s="77">
        <f>'16'!$F$29</f>
        <v>6.7972596274756123</v>
      </c>
      <c r="AA19" s="77">
        <f>'16'!$F$30</f>
        <v>8.6718181393020615</v>
      </c>
      <c r="AB19" s="77" t="str">
        <f>'16'!$F$31</f>
        <v/>
      </c>
      <c r="AC19" s="77" t="str">
        <f>'16'!$F$32</f>
        <v/>
      </c>
      <c r="AD19" s="98">
        <f>'16'!$F$33</f>
        <v>8.2256320118471482</v>
      </c>
    </row>
    <row r="20" spans="1:30" x14ac:dyDescent="0.2">
      <c r="A20" s="97" t="s">
        <v>1053</v>
      </c>
      <c r="B20" s="77">
        <f>'17'!$F$5</f>
        <v>15.366507450329411</v>
      </c>
      <c r="C20" s="77">
        <f>'17'!$F$6</f>
        <v>9.8666786570526899</v>
      </c>
      <c r="D20" s="77">
        <f>'17'!$F$7</f>
        <v>8.0573842648349743</v>
      </c>
      <c r="E20" s="77">
        <f>'17'!$F$8</f>
        <v>8.4728840616479548</v>
      </c>
      <c r="F20" s="77" t="str">
        <f>'17'!$F$9</f>
        <v/>
      </c>
      <c r="G20" s="77" t="str">
        <f>'17'!$F$10</f>
        <v/>
      </c>
      <c r="H20" s="77">
        <f>'17'!$F$11</f>
        <v>18.791831791228049</v>
      </c>
      <c r="I20" s="77">
        <f>'17'!$F$12</f>
        <v>8.6581370973687886</v>
      </c>
      <c r="J20" s="77">
        <f>'17'!$F$13</f>
        <v>10.036665620044809</v>
      </c>
      <c r="K20" s="77" t="str">
        <f>'17'!$F$14</f>
        <v/>
      </c>
      <c r="L20" s="77">
        <f>'17'!$F$15</f>
        <v>9.284339548451495</v>
      </c>
      <c r="M20" s="77">
        <f>'17'!$F$16</f>
        <v>7.400388157099953</v>
      </c>
      <c r="N20" s="77">
        <f>'17'!$F$17</f>
        <v>4.7219606923417414</v>
      </c>
      <c r="O20" s="77">
        <f>'17'!$F$18</f>
        <v>6.4453713900700675</v>
      </c>
      <c r="P20" s="77" t="str">
        <f>'17'!$F$19</f>
        <v/>
      </c>
      <c r="Q20" s="77">
        <f>'17'!$F$20</f>
        <v>10.305719375418054</v>
      </c>
      <c r="R20" s="77" t="str">
        <f>'17'!$F$21</f>
        <v/>
      </c>
      <c r="S20" s="77">
        <f>'17'!$F$22</f>
        <v>8.2057690472958864</v>
      </c>
      <c r="T20" s="77">
        <f>'17'!$F$23</f>
        <v>8.5514496466791901</v>
      </c>
      <c r="U20" s="77" t="str">
        <f>'17'!$F$24</f>
        <v/>
      </c>
      <c r="V20" s="77">
        <f>'17'!$F$25</f>
        <v>7.2632471939285894</v>
      </c>
      <c r="W20" s="77">
        <f>'17'!$F$26</f>
        <v>5.5073505567367347</v>
      </c>
      <c r="X20" s="77">
        <f>'17'!$F$27</f>
        <v>10.055101198145788</v>
      </c>
      <c r="Y20" s="77">
        <f>'17'!$F$28</f>
        <v>5.633606593140895</v>
      </c>
      <c r="Z20" s="77">
        <f>'17'!$F$29</f>
        <v>8.2165908008564781</v>
      </c>
      <c r="AA20" s="77">
        <f>'17'!$F$30</f>
        <v>6.9306177248425094</v>
      </c>
      <c r="AB20" s="77" t="str">
        <f>'17'!$F$31</f>
        <v/>
      </c>
      <c r="AC20" s="77" t="str">
        <f>'17'!$F$32</f>
        <v/>
      </c>
      <c r="AD20" s="98">
        <f>'17'!$F$33</f>
        <v>9.3197150347868778</v>
      </c>
    </row>
    <row r="21" spans="1:30" x14ac:dyDescent="0.2">
      <c r="A21" s="97" t="s">
        <v>1054</v>
      </c>
      <c r="B21" s="77">
        <f>'18'!$F$5</f>
        <v>9.6351591708133988</v>
      </c>
      <c r="C21" s="77">
        <f>'18'!$F$6</f>
        <v>20.76308010775336</v>
      </c>
      <c r="D21" s="77">
        <f>'18'!$F$7</f>
        <v>12.720033208242297</v>
      </c>
      <c r="E21" s="77">
        <f>'18'!$F$8</f>
        <v>13.653291132852292</v>
      </c>
      <c r="F21" s="77" t="str">
        <f>'18'!$F$9</f>
        <v/>
      </c>
      <c r="G21" s="77">
        <f>'18'!$F$10</f>
        <v>20.38870734789673</v>
      </c>
      <c r="H21" s="77">
        <f>'18'!$F$11</f>
        <v>11.258888792607449</v>
      </c>
      <c r="I21" s="77" t="str">
        <f>'18'!$F$12</f>
        <v/>
      </c>
      <c r="J21" s="77">
        <f>'18'!$F$13</f>
        <v>12.027525346553549</v>
      </c>
      <c r="K21" s="77" t="str">
        <f>'18'!$F$14</f>
        <v/>
      </c>
      <c r="L21" s="77" t="str">
        <f>'18'!$F$15</f>
        <v/>
      </c>
      <c r="M21" s="77">
        <f>'18'!$F$16</f>
        <v>11.286049584084216</v>
      </c>
      <c r="N21" s="77">
        <f>'18'!$F$17</f>
        <v>12.664099223844818</v>
      </c>
      <c r="O21" s="77">
        <f>'18'!$F$18</f>
        <v>20.788873410698663</v>
      </c>
      <c r="P21" s="77" t="str">
        <f>'18'!$F$19</f>
        <v/>
      </c>
      <c r="Q21" s="77">
        <f>'18'!$F$20</f>
        <v>10.249884600645338</v>
      </c>
      <c r="R21" s="77" t="str">
        <f>'18'!$F$21</f>
        <v/>
      </c>
      <c r="S21" s="77">
        <f>'18'!$F$22</f>
        <v>15.439726092803006</v>
      </c>
      <c r="T21" s="77">
        <f>'18'!$F$23</f>
        <v>10.709090472278124</v>
      </c>
      <c r="U21" s="77" t="str">
        <f>'18'!$F$24</f>
        <v/>
      </c>
      <c r="V21" s="77" t="str">
        <f>'18'!$F$25</f>
        <v/>
      </c>
      <c r="W21" s="77">
        <f>'18'!$F$26</f>
        <v>17.213707347896733</v>
      </c>
      <c r="X21" s="77">
        <f>'18'!$F$27</f>
        <v>23.458568459007846</v>
      </c>
      <c r="Y21" s="77">
        <f>'18'!$F$28</f>
        <v>15.319519545964365</v>
      </c>
      <c r="Z21" s="77">
        <f>'18'!$F$29</f>
        <v>11.230751582022117</v>
      </c>
      <c r="AA21" s="77">
        <f>'18'!$F$30</f>
        <v>13.524825070342724</v>
      </c>
      <c r="AB21" s="77" t="str">
        <f>'18'!$F$31</f>
        <v/>
      </c>
      <c r="AC21" s="77" t="str">
        <f>'18'!$F$32</f>
        <v/>
      </c>
      <c r="AD21" s="98">
        <f>'18'!$F$33</f>
        <v>12.946699378433445</v>
      </c>
    </row>
    <row r="22" spans="1:30" x14ac:dyDescent="0.2">
      <c r="A22" s="97" t="s">
        <v>1084</v>
      </c>
      <c r="B22" s="77">
        <f>'19'!$F$5</f>
        <v>6.4183173540084368</v>
      </c>
      <c r="C22" s="77">
        <f>'19'!$F$6</f>
        <v>10.378644515327931</v>
      </c>
      <c r="D22" s="77">
        <f>'19'!$F$7</f>
        <v>6.7963108324716019</v>
      </c>
      <c r="E22" s="77">
        <f>'19'!$F$8</f>
        <v>6.8963200743729853</v>
      </c>
      <c r="F22" s="77" t="str">
        <f>'19'!$F$9</f>
        <v/>
      </c>
      <c r="G22" s="77" t="str">
        <f>'19'!$F$10</f>
        <v/>
      </c>
      <c r="H22" s="77">
        <f>'19'!$F$11</f>
        <v>7.2488839729127417</v>
      </c>
      <c r="I22" s="77" t="str">
        <f>'19'!$F$12</f>
        <v/>
      </c>
      <c r="J22" s="77">
        <f>'19'!$F$13</f>
        <v>4.908802761611617</v>
      </c>
      <c r="K22" s="77">
        <f>'19'!$F$14</f>
        <v>5.0417793433192113</v>
      </c>
      <c r="L22" s="77">
        <f>'19'!$F$15</f>
        <v>6.8491772380773197</v>
      </c>
      <c r="M22" s="77">
        <f>'19'!$F$16</f>
        <v>5.907275504358477</v>
      </c>
      <c r="N22" s="77">
        <f>'19'!$F$17</f>
        <v>6.6074189069212128</v>
      </c>
      <c r="O22" s="77">
        <f>'19'!$F$18</f>
        <v>9.9278488172320642</v>
      </c>
      <c r="P22" s="77" t="str">
        <f>'19'!$F$19</f>
        <v/>
      </c>
      <c r="Q22" s="77">
        <f>'19'!$F$20</f>
        <v>6.3357300477245468</v>
      </c>
      <c r="R22" s="77" t="str">
        <f>'19'!$F$21</f>
        <v/>
      </c>
      <c r="S22" s="77">
        <f>'19'!$F$22</f>
        <v>7.237915772028626</v>
      </c>
      <c r="T22" s="77">
        <f>'19'!$F$23</f>
        <v>5.4382687615620782</v>
      </c>
      <c r="U22" s="77">
        <f>'19'!$F$24</f>
        <v>6.9617465633360522</v>
      </c>
      <c r="V22" s="77">
        <f>'19'!$F$25</f>
        <v>2.830995029593721</v>
      </c>
      <c r="W22" s="77">
        <f>'19'!$F$26</f>
        <v>5.097758349637215</v>
      </c>
      <c r="X22" s="77">
        <f>'19'!$F$27</f>
        <v>19.163740756089449</v>
      </c>
      <c r="Y22" s="77">
        <f>'19'!$F$28</f>
        <v>8.6608099798961877</v>
      </c>
      <c r="Z22" s="77">
        <f>'19'!$F$29</f>
        <v>5.6372613678201438</v>
      </c>
      <c r="AA22" s="77">
        <f>'19'!$F$30</f>
        <v>7.2970460821217547</v>
      </c>
      <c r="AB22" s="77" t="str">
        <f>'19'!$F$31</f>
        <v/>
      </c>
      <c r="AC22" s="77" t="str">
        <f>'19'!$F$32</f>
        <v/>
      </c>
      <c r="AD22" s="98">
        <f>'19'!$F$33</f>
        <v>6.732143820091002</v>
      </c>
    </row>
    <row r="23" spans="1:30" x14ac:dyDescent="0.2">
      <c r="A23" s="97" t="s">
        <v>1055</v>
      </c>
      <c r="B23" s="77">
        <f>'20'!$F$5</f>
        <v>10.636467521015641</v>
      </c>
      <c r="C23" s="77">
        <f>'20'!$F$6</f>
        <v>6.1529470239375117</v>
      </c>
      <c r="D23" s="77">
        <f>'20'!$F$7</f>
        <v>5.057198347560095</v>
      </c>
      <c r="E23" s="77">
        <f>'20'!$F$8</f>
        <v>3.6519746893871958</v>
      </c>
      <c r="F23" s="77" t="str">
        <f>'20'!$F$9</f>
        <v/>
      </c>
      <c r="G23" s="77">
        <f>'20'!$F$10</f>
        <v>3.145252008261866</v>
      </c>
      <c r="H23" s="77">
        <f>'20'!$F$11</f>
        <v>6.1628085857019235</v>
      </c>
      <c r="I23" s="77">
        <f>'20'!$F$12</f>
        <v>44.185693184732457</v>
      </c>
      <c r="J23" s="77">
        <f>'20'!$F$13</f>
        <v>5.2040746917151255</v>
      </c>
      <c r="K23" s="77" t="str">
        <f>'20'!$F$14</f>
        <v/>
      </c>
      <c r="L23" s="77">
        <f>'20'!$F$15</f>
        <v>3.9803210232522184</v>
      </c>
      <c r="M23" s="77">
        <f>'20'!$F$16</f>
        <v>4.9163667249412413</v>
      </c>
      <c r="N23" s="77">
        <f>'20'!$F$17</f>
        <v>3.5153806847324542</v>
      </c>
      <c r="O23" s="77">
        <f>'20'!$F$18</f>
        <v>13.113798447890348</v>
      </c>
      <c r="P23" s="77" t="str">
        <f>'20'!$F$19</f>
        <v/>
      </c>
      <c r="Q23" s="77">
        <f>'20'!$F$20</f>
        <v>4.8538919781826113</v>
      </c>
      <c r="R23" s="77" t="str">
        <f>'20'!$F$21</f>
        <v/>
      </c>
      <c r="S23" s="77">
        <f>'20'!$F$22</f>
        <v>8.882079440656625</v>
      </c>
      <c r="T23" s="77">
        <f>'20'!$F$23</f>
        <v>5.4189640413284019</v>
      </c>
      <c r="U23" s="77">
        <f>'20'!$F$24</f>
        <v>6.4814210328337198</v>
      </c>
      <c r="V23" s="77">
        <f>'20'!$F$25</f>
        <v>3.2209312799705492</v>
      </c>
      <c r="W23" s="77">
        <f>'20'!$F$26</f>
        <v>3.9877765180657878</v>
      </c>
      <c r="X23" s="77">
        <f>'20'!$F$27</f>
        <v>10.102399036352098</v>
      </c>
      <c r="Y23" s="77">
        <f>'20'!$F$28</f>
        <v>4.8454473109873462</v>
      </c>
      <c r="Z23" s="77">
        <f>'20'!$F$29</f>
        <v>4.8376801078582075</v>
      </c>
      <c r="AA23" s="77">
        <f>'20'!$F$30</f>
        <v>5.9413095693075721</v>
      </c>
      <c r="AB23" s="77" t="str">
        <f>'20'!$F$31</f>
        <v/>
      </c>
      <c r="AC23" s="77" t="str">
        <f>'20'!$F$32</f>
        <v/>
      </c>
      <c r="AD23" s="98">
        <f>'20'!$F$33</f>
        <v>5.6533170911240802</v>
      </c>
    </row>
    <row r="24" spans="1:30" x14ac:dyDescent="0.2">
      <c r="A24" s="97" t="s">
        <v>1077</v>
      </c>
      <c r="B24" s="77">
        <f>'21'!$F$5</f>
        <v>7.5717862314391375</v>
      </c>
      <c r="C24" s="77">
        <f>'21'!$F$6</f>
        <v>10.493809636567459</v>
      </c>
      <c r="D24" s="77">
        <f>'21'!$F$7</f>
        <v>7.7594326694297342</v>
      </c>
      <c r="E24" s="77">
        <f>'21'!$F$8</f>
        <v>7.9271069688621516</v>
      </c>
      <c r="F24" s="77" t="str">
        <f>'21'!$F$9</f>
        <v/>
      </c>
      <c r="G24" s="77">
        <f>'21'!$F$10</f>
        <v>7.1007529625759256</v>
      </c>
      <c r="H24" s="77">
        <f>'21'!$F$11</f>
        <v>17.885655064202556</v>
      </c>
      <c r="I24" s="77">
        <f>'21'!$F$12</f>
        <v>8.6766305522687475</v>
      </c>
      <c r="J24" s="77">
        <f>'21'!$F$13</f>
        <v>7.58967043118591</v>
      </c>
      <c r="K24" s="77">
        <f>'21'!$F$14</f>
        <v>7.0589285873042051</v>
      </c>
      <c r="L24" s="77">
        <f>'21'!$F$15</f>
        <v>7.0593779380764046</v>
      </c>
      <c r="M24" s="77">
        <f>'21'!$F$16</f>
        <v>8.8513602805874143</v>
      </c>
      <c r="N24" s="77">
        <f>'21'!$F$17</f>
        <v>8.0463044629249314</v>
      </c>
      <c r="O24" s="77">
        <f>'21'!$F$18</f>
        <v>11.09043290109441</v>
      </c>
      <c r="P24" s="77" t="str">
        <f>'21'!$F$19</f>
        <v/>
      </c>
      <c r="Q24" s="77">
        <f>'21'!$F$20</f>
        <v>11.210674620269231</v>
      </c>
      <c r="R24" s="77">
        <f>'21'!$F$21</f>
        <v>14.386803825592031</v>
      </c>
      <c r="S24" s="77">
        <f>'21'!$F$22</f>
        <v>17.44986850702039</v>
      </c>
      <c r="T24" s="77">
        <f>'21'!$F$23</f>
        <v>7.5386878685302543</v>
      </c>
      <c r="U24" s="77">
        <f>'21'!$F$24</f>
        <v>10.191141029489808</v>
      </c>
      <c r="V24" s="77">
        <f>'21'!$F$25</f>
        <v>11.277380599317855</v>
      </c>
      <c r="W24" s="77">
        <f>'21'!$F$26</f>
        <v>10.044887255189497</v>
      </c>
      <c r="X24" s="77">
        <f>'21'!$F$27</f>
        <v>10.224511615005266</v>
      </c>
      <c r="Y24" s="77">
        <f>'21'!$F$28</f>
        <v>10.886829635524165</v>
      </c>
      <c r="Z24" s="77">
        <f>'21'!$F$29</f>
        <v>7.3306278177385567</v>
      </c>
      <c r="AA24" s="77">
        <f>'21'!$F$30</f>
        <v>9.219306055053023</v>
      </c>
      <c r="AB24" s="77" t="str">
        <f>'21'!$F$31</f>
        <v/>
      </c>
      <c r="AC24" s="77" t="str">
        <f>'21'!$F$32</f>
        <v/>
      </c>
      <c r="AD24" s="98">
        <f>'21'!$F$33</f>
        <v>8.4703173893523811</v>
      </c>
    </row>
    <row r="25" spans="1:30" x14ac:dyDescent="0.2">
      <c r="A25" s="97" t="s">
        <v>1056</v>
      </c>
      <c r="B25" s="77">
        <f>'22'!$F$5</f>
        <v>6.7855839035827845</v>
      </c>
      <c r="C25" s="77">
        <f>'22'!$F$6</f>
        <v>8.8223869156110624</v>
      </c>
      <c r="D25" s="77">
        <f>'22'!$F$7</f>
        <v>6.4189867179816389</v>
      </c>
      <c r="E25" s="77">
        <f>'22'!$F$8</f>
        <v>5.5783163870219168</v>
      </c>
      <c r="F25" s="77">
        <f>'22'!$F$9</f>
        <v>18.833436316150415</v>
      </c>
      <c r="G25" s="77">
        <f>'22'!$F$10</f>
        <v>5.2008484409821367</v>
      </c>
      <c r="H25" s="77">
        <f>'22'!$F$11</f>
        <v>6.6003835744516541</v>
      </c>
      <c r="I25" s="77">
        <f>'22'!$F$12</f>
        <v>5.748707791057952</v>
      </c>
      <c r="J25" s="77">
        <f>'22'!$F$13</f>
        <v>4.7556051322678519</v>
      </c>
      <c r="K25" s="77" t="str">
        <f>'22'!$F$14</f>
        <v/>
      </c>
      <c r="L25" s="77">
        <f>'22'!$F$15</f>
        <v>4.8615433229111877</v>
      </c>
      <c r="M25" s="77">
        <f>'22'!$F$16</f>
        <v>9.1752903275728102</v>
      </c>
      <c r="N25" s="77">
        <f>'22'!$F$17</f>
        <v>7.5582872400731524</v>
      </c>
      <c r="O25" s="77">
        <f>'22'!$F$18</f>
        <v>14.28645522354635</v>
      </c>
      <c r="P25" s="77">
        <f>'22'!$F$19</f>
        <v>18.641512794639834</v>
      </c>
      <c r="Q25" s="77">
        <f>'22'!$F$20</f>
        <v>10.551426823879233</v>
      </c>
      <c r="R25" s="77">
        <f>'22'!$F$21</f>
        <v>10.255869804448412</v>
      </c>
      <c r="S25" s="77">
        <f>'22'!$F$22</f>
        <v>8.6249717251858264</v>
      </c>
      <c r="T25" s="77">
        <f>'22'!$F$23</f>
        <v>7.088862388981263</v>
      </c>
      <c r="U25" s="77">
        <f>'22'!$F$24</f>
        <v>11.585187282512782</v>
      </c>
      <c r="V25" s="77">
        <f>'22'!$F$25</f>
        <v>8.5030693265092339</v>
      </c>
      <c r="W25" s="77">
        <f>'22'!$F$26</f>
        <v>4.9901168663386315</v>
      </c>
      <c r="X25" s="77">
        <f>'22'!$F$27</f>
        <v>21.119922390825142</v>
      </c>
      <c r="Y25" s="77">
        <f>'22'!$F$28</f>
        <v>6.5588598311780446</v>
      </c>
      <c r="Z25" s="77">
        <f>'22'!$F$29</f>
        <v>5.9845288683218572</v>
      </c>
      <c r="AA25" s="77">
        <f>'22'!$F$30</f>
        <v>7.0994930712408415</v>
      </c>
      <c r="AB25" s="77" t="str">
        <f>'22'!$F$31</f>
        <v/>
      </c>
      <c r="AC25" s="77" t="str">
        <f>'22'!$F$32</f>
        <v/>
      </c>
      <c r="AD25" s="98">
        <f>'22'!$F$33</f>
        <v>6.9639623896401988</v>
      </c>
    </row>
    <row r="26" spans="1:30" x14ac:dyDescent="0.2">
      <c r="A26" s="97" t="s">
        <v>1057</v>
      </c>
      <c r="B26" s="77">
        <f>'23'!$F$5</f>
        <v>10.889132607913044</v>
      </c>
      <c r="C26" s="77">
        <f>'23'!$F$6</f>
        <v>7.5294358366392782</v>
      </c>
      <c r="D26" s="77">
        <f>'23'!$F$7</f>
        <v>6.5107156527334826</v>
      </c>
      <c r="E26" s="77">
        <f>'23'!$F$8</f>
        <v>5.8715034890759856</v>
      </c>
      <c r="F26" s="77" t="str">
        <f>'23'!$F$9</f>
        <v/>
      </c>
      <c r="G26" s="77">
        <f>'23'!$F$10</f>
        <v>9.73778631440989</v>
      </c>
      <c r="H26" s="77">
        <f>'23'!$F$11</f>
        <v>5.6669196506714847</v>
      </c>
      <c r="I26" s="77">
        <f>'23'!$F$12</f>
        <v>31.500801149758114</v>
      </c>
      <c r="J26" s="77">
        <f>'23'!$F$13</f>
        <v>5.466196108270803</v>
      </c>
      <c r="K26" s="77">
        <f>'23'!$F$14</f>
        <v>9.6287154619886515</v>
      </c>
      <c r="L26" s="77">
        <f>'23'!$F$15</f>
        <v>6.5452358850714543</v>
      </c>
      <c r="M26" s="77">
        <f>'23'!$F$16</f>
        <v>5.6715125236817574</v>
      </c>
      <c r="N26" s="77">
        <f>'23'!$F$17</f>
        <v>10.738251967320894</v>
      </c>
      <c r="O26" s="77">
        <f>'23'!$F$18</f>
        <v>8.2291732155008699</v>
      </c>
      <c r="P26" s="77" t="str">
        <f>'23'!$F$19</f>
        <v/>
      </c>
      <c r="Q26" s="77">
        <f>'23'!$F$20</f>
        <v>6.4821209447092913</v>
      </c>
      <c r="R26" s="77" t="str">
        <f>'23'!$F$21</f>
        <v/>
      </c>
      <c r="S26" s="77">
        <f>'23'!$F$22</f>
        <v>6.0619576216465294</v>
      </c>
      <c r="T26" s="77">
        <f>'23'!$F$23</f>
        <v>5.5736412196568041</v>
      </c>
      <c r="U26" s="77">
        <f>'23'!$F$24</f>
        <v>8.0798114836759822</v>
      </c>
      <c r="V26" s="77">
        <f>'23'!$F$25</f>
        <v>5.2982564605740547</v>
      </c>
      <c r="W26" s="77">
        <f>'23'!$F$26</f>
        <v>2.6091502445973487</v>
      </c>
      <c r="X26" s="77">
        <f>'23'!$F$27</f>
        <v>7.5815141621909774</v>
      </c>
      <c r="Y26" s="77">
        <f>'23'!$F$28</f>
        <v>7.1914131365210059</v>
      </c>
      <c r="Z26" s="77">
        <f>'23'!$F$29</f>
        <v>4.818222331930305</v>
      </c>
      <c r="AA26" s="77">
        <f>'23'!$F$30</f>
        <v>7.0699400752761417</v>
      </c>
      <c r="AB26" s="77" t="str">
        <f>'23'!$F$31</f>
        <v/>
      </c>
      <c r="AC26" s="77" t="str">
        <f>'23'!$F$32</f>
        <v/>
      </c>
      <c r="AD26" s="98">
        <f>'23'!$F$33</f>
        <v>6.3100891411001125</v>
      </c>
    </row>
    <row r="27" spans="1:30" x14ac:dyDescent="0.2">
      <c r="A27" s="97" t="s">
        <v>1041</v>
      </c>
      <c r="B27" s="77" t="str">
        <f>'24'!$F$5</f>
        <v/>
      </c>
      <c r="C27" s="77">
        <f>'24'!$F$6</f>
        <v>4.8604268832584117</v>
      </c>
      <c r="D27" s="77">
        <f>'24'!$F$7</f>
        <v>9.0317849229178577</v>
      </c>
      <c r="E27" s="77">
        <f>'24'!$F$8</f>
        <v>11.590371605685135</v>
      </c>
      <c r="F27" s="77" t="str">
        <f>'24'!$F$9</f>
        <v/>
      </c>
      <c r="G27" s="77">
        <f>'24'!$F$10</f>
        <v>46.621407546241841</v>
      </c>
      <c r="H27" s="77">
        <f>'24'!$F$11</f>
        <v>12.264061041964588</v>
      </c>
      <c r="I27" s="77">
        <f>'24'!$F$12</f>
        <v>32.941637409574199</v>
      </c>
      <c r="J27" s="77">
        <f>'24'!$F$13</f>
        <v>4.8604268832584117</v>
      </c>
      <c r="K27" s="77" t="str">
        <f>'24'!$F$14</f>
        <v/>
      </c>
      <c r="L27" s="77">
        <f>'24'!$F$15</f>
        <v>4.8604268832584117</v>
      </c>
      <c r="M27" s="77">
        <f>'24'!$F$16</f>
        <v>9.9950894560455552</v>
      </c>
      <c r="N27" s="77">
        <f>'24'!$F$17</f>
        <v>37.064593549925078</v>
      </c>
      <c r="O27" s="77">
        <f>'24'!$F$18</f>
        <v>15.747451587265697</v>
      </c>
      <c r="P27" s="77" t="str">
        <f>'24'!$F$19</f>
        <v/>
      </c>
      <c r="Q27" s="77">
        <f>'24'!$F$20</f>
        <v>10.976809044650494</v>
      </c>
      <c r="R27" s="77" t="str">
        <f>'24'!$F$21</f>
        <v/>
      </c>
      <c r="S27" s="77">
        <f>'24'!$F$22</f>
        <v>13.978552119911196</v>
      </c>
      <c r="T27" s="77">
        <f>'24'!$F$23</f>
        <v>8.5425702361575944</v>
      </c>
      <c r="U27" s="77">
        <f>'24'!$F$24</f>
        <v>17.820155077361605</v>
      </c>
      <c r="V27" s="77">
        <f>'24'!$F$25</f>
        <v>4.8604268832584117</v>
      </c>
      <c r="W27" s="77">
        <f>'24'!$F$26</f>
        <v>16.945556903008246</v>
      </c>
      <c r="X27" s="77">
        <f>'24'!$F$27</f>
        <v>9.7791978351954114</v>
      </c>
      <c r="Y27" s="77">
        <f>'24'!$F$28</f>
        <v>8.5681104245252069</v>
      </c>
      <c r="Z27" s="77">
        <f>'24'!$F$29</f>
        <v>7.3194093904308692</v>
      </c>
      <c r="AA27" s="77">
        <f>'24'!$F$30</f>
        <v>12.008795883713045</v>
      </c>
      <c r="AB27" s="77" t="str">
        <f>'24'!$F$31</f>
        <v/>
      </c>
      <c r="AC27" s="77" t="str">
        <f>'24'!$F$32</f>
        <v/>
      </c>
      <c r="AD27" s="98">
        <f>'24'!$F$33</f>
        <v>10.006486400581213</v>
      </c>
    </row>
    <row r="28" spans="1:30" x14ac:dyDescent="0.2">
      <c r="A28" s="97" t="s">
        <v>1058</v>
      </c>
      <c r="B28" s="77">
        <f>'25'!$F$5</f>
        <v>6.5150614769959416</v>
      </c>
      <c r="C28" s="77">
        <f>'25'!$F$6</f>
        <v>13.296722230732701</v>
      </c>
      <c r="D28" s="77">
        <f>'25'!$F$7</f>
        <v>8.5895473788036334</v>
      </c>
      <c r="E28" s="77">
        <f>'25'!$F$8</f>
        <v>8.3021555411432946</v>
      </c>
      <c r="F28" s="77">
        <f>'25'!$F$9</f>
        <v>13.122998929254685</v>
      </c>
      <c r="G28" s="77">
        <f>'25'!$F$10</f>
        <v>10.827347563730072</v>
      </c>
      <c r="H28" s="77">
        <f>'25'!$F$11</f>
        <v>11.809820857017453</v>
      </c>
      <c r="I28" s="77">
        <f>'25'!$F$12</f>
        <v>13.154390996550392</v>
      </c>
      <c r="J28" s="77">
        <f>'25'!$F$13</f>
        <v>7.6909453031205457</v>
      </c>
      <c r="K28" s="77" t="str">
        <f>'25'!$F$14</f>
        <v/>
      </c>
      <c r="L28" s="77">
        <f>'25'!$F$15</f>
        <v>7.5861245639641632</v>
      </c>
      <c r="M28" s="77">
        <f>'25'!$F$16</f>
        <v>11.660685655582734</v>
      </c>
      <c r="N28" s="77">
        <f>'25'!$F$17</f>
        <v>8.5471707237010666</v>
      </c>
      <c r="O28" s="77">
        <f>'25'!$F$18</f>
        <v>11.974480803686484</v>
      </c>
      <c r="P28" s="77" t="str">
        <f>'25'!$F$19</f>
        <v/>
      </c>
      <c r="Q28" s="77">
        <f>'25'!$F$20</f>
        <v>21.588572543523227</v>
      </c>
      <c r="R28" s="77" t="str">
        <f>'25'!$F$21</f>
        <v/>
      </c>
      <c r="S28" s="77">
        <f>'25'!$F$22</f>
        <v>13.159051468669562</v>
      </c>
      <c r="T28" s="77">
        <f>'25'!$F$23</f>
        <v>9.8617939355764186</v>
      </c>
      <c r="U28" s="77">
        <f>'25'!$F$24</f>
        <v>5.3690543935529718</v>
      </c>
      <c r="V28" s="77">
        <f>'25'!$F$25</f>
        <v>5.0794045042553959</v>
      </c>
      <c r="W28" s="77">
        <f>'25'!$F$26</f>
        <v>8.8564963198075457</v>
      </c>
      <c r="X28" s="77">
        <f>'25'!$F$27</f>
        <v>17.06584982761381</v>
      </c>
      <c r="Y28" s="77">
        <f>'25'!$F$28</f>
        <v>6.9136482024393553</v>
      </c>
      <c r="Z28" s="77">
        <f>'25'!$F$29</f>
        <v>8.4198522594372811</v>
      </c>
      <c r="AA28" s="77">
        <f>'25'!$F$30</f>
        <v>10.893074981974131</v>
      </c>
      <c r="AB28" s="77" t="str">
        <f>'25'!$F$31</f>
        <v/>
      </c>
      <c r="AC28" s="77" t="str">
        <f>'25'!$F$32</f>
        <v/>
      </c>
      <c r="AD28" s="98">
        <f>'25'!$F$33</f>
        <v>9.8215469916575824</v>
      </c>
    </row>
    <row r="29" spans="1:30" x14ac:dyDescent="0.2">
      <c r="A29" s="96" t="s">
        <v>1059</v>
      </c>
      <c r="B29" s="77">
        <f>'26'!$F$5</f>
        <v>7.7134446563276819</v>
      </c>
      <c r="C29" s="77">
        <f>'26'!$F$6</f>
        <v>9.9564979211756484</v>
      </c>
      <c r="D29" s="77">
        <f>'26'!$F$7</f>
        <v>8.5145242527602178</v>
      </c>
      <c r="E29" s="77">
        <f>'26'!$F$8</f>
        <v>8.8563078973119076</v>
      </c>
      <c r="F29" s="77" t="str">
        <f>'26'!$F$9</f>
        <v/>
      </c>
      <c r="G29" s="77">
        <f>'26'!$F$10</f>
        <v>6.2883745464686003</v>
      </c>
      <c r="H29" s="77">
        <f>'26'!$F$11</f>
        <v>8.9180766018972921</v>
      </c>
      <c r="I29" s="77">
        <f>'26'!$F$12</f>
        <v>9.5928888648103658</v>
      </c>
      <c r="J29" s="77">
        <f>'26'!$F$13</f>
        <v>7.7949435528325131</v>
      </c>
      <c r="K29" s="77">
        <f>'26'!$F$14</f>
        <v>11.179744481691044</v>
      </c>
      <c r="L29" s="77">
        <f>'26'!$F$15</f>
        <v>10.280071857023353</v>
      </c>
      <c r="M29" s="77">
        <f>'26'!$F$16</f>
        <v>9.2692435394228401</v>
      </c>
      <c r="N29" s="77">
        <f>'26'!$F$17</f>
        <v>8.2476344167726641</v>
      </c>
      <c r="O29" s="77">
        <f>'26'!$F$18</f>
        <v>13.399958163669423</v>
      </c>
      <c r="P29" s="77">
        <f>'26'!$F$19</f>
        <v>24.630547024105844</v>
      </c>
      <c r="Q29" s="77">
        <f>'26'!$F$20</f>
        <v>11.436342439598331</v>
      </c>
      <c r="R29" s="77">
        <f>'26'!$F$21</f>
        <v>13.665917548741675</v>
      </c>
      <c r="S29" s="77">
        <f>'26'!$F$22</f>
        <v>10.448399922075003</v>
      </c>
      <c r="T29" s="77">
        <f>'26'!$F$23</f>
        <v>8.1846371976905292</v>
      </c>
      <c r="U29" s="77">
        <f>'26'!$F$24</f>
        <v>10.76587070998251</v>
      </c>
      <c r="V29" s="77">
        <f>'26'!$F$25</f>
        <v>20.076786534725912</v>
      </c>
      <c r="W29" s="77">
        <f>'26'!$F$26</f>
        <v>9.6555887503660873</v>
      </c>
      <c r="X29" s="77">
        <f>'26'!$F$27</f>
        <v>9.8459951079280721</v>
      </c>
      <c r="Y29" s="77">
        <f>'26'!$F$28</f>
        <v>8.3704630391804162</v>
      </c>
      <c r="Z29" s="77">
        <f>'26'!$F$29</f>
        <v>8.0508206164038967</v>
      </c>
      <c r="AA29" s="77">
        <f>'26'!$F$30</f>
        <v>11.265284955958453</v>
      </c>
      <c r="AB29" s="77" t="str">
        <f>'26'!$F$31</f>
        <v/>
      </c>
      <c r="AC29" s="77" t="str">
        <f>'26'!$F$32</f>
        <v/>
      </c>
      <c r="AD29" s="98">
        <f>'26'!$F$33</f>
        <v>9.0428653290594756</v>
      </c>
    </row>
    <row r="30" spans="1:30" x14ac:dyDescent="0.2">
      <c r="A30" s="97" t="s">
        <v>1038</v>
      </c>
      <c r="B30" s="77">
        <f>'27'!$F$5</f>
        <v>19.570650275100377</v>
      </c>
      <c r="C30" s="77" t="str">
        <f>'27'!$F$6</f>
        <v/>
      </c>
      <c r="D30" s="77">
        <f>'27'!$F$7</f>
        <v>7.195845559055825</v>
      </c>
      <c r="E30" s="77">
        <f>'27'!$F$8</f>
        <v>8.688983656123046</v>
      </c>
      <c r="F30" s="77" t="str">
        <f>'27'!$F$9</f>
        <v/>
      </c>
      <c r="G30" s="77">
        <f>'27'!$F$10</f>
        <v>4.4804665699037418</v>
      </c>
      <c r="H30" s="77">
        <f>'27'!$F$11</f>
        <v>14.144782045073127</v>
      </c>
      <c r="I30" s="77" t="str">
        <f>'27'!$F$12</f>
        <v/>
      </c>
      <c r="J30" s="77">
        <f>'27'!$F$13</f>
        <v>11.933381053519408</v>
      </c>
      <c r="K30" s="77">
        <f>'27'!$F$14</f>
        <v>4.1343300243737442</v>
      </c>
      <c r="L30" s="77">
        <f>'27'!$F$15</f>
        <v>5.1270182149814785</v>
      </c>
      <c r="M30" s="77">
        <f>'27'!$F$16</f>
        <v>9.2591569577341399</v>
      </c>
      <c r="N30" s="77">
        <f>'27'!$F$17</f>
        <v>7.4724000782383619</v>
      </c>
      <c r="O30" s="77">
        <f>'27'!$F$18</f>
        <v>14.077367423151841</v>
      </c>
      <c r="P30" s="77" t="str">
        <f>'27'!$F$19</f>
        <v/>
      </c>
      <c r="Q30" s="77">
        <f>'27'!$F$20</f>
        <v>9.4475850943709041</v>
      </c>
      <c r="R30" s="77">
        <f>'27'!$F$21</f>
        <v>10.660118975633328</v>
      </c>
      <c r="S30" s="77">
        <f>'27'!$F$22</f>
        <v>9.708588742126258</v>
      </c>
      <c r="T30" s="77">
        <f>'27'!$F$23</f>
        <v>8.0724651566346282</v>
      </c>
      <c r="U30" s="77" t="str">
        <f>'27'!$F$24</f>
        <v/>
      </c>
      <c r="V30" s="77">
        <f>'27'!$F$25</f>
        <v>4.8658262108481747</v>
      </c>
      <c r="W30" s="77">
        <f>'27'!$F$26</f>
        <v>4.1339903504607003</v>
      </c>
      <c r="X30" s="77">
        <f>'27'!$F$27</f>
        <v>11.360024296662576</v>
      </c>
      <c r="Y30" s="77">
        <f>'27'!$F$28</f>
        <v>8.0652050930532209</v>
      </c>
      <c r="Z30" s="77">
        <f>'27'!$F$29</f>
        <v>7.0317389193580695</v>
      </c>
      <c r="AA30" s="77">
        <f>'27'!$F$30</f>
        <v>11.432697775337628</v>
      </c>
      <c r="AB30" s="77" t="str">
        <f>'27'!$F$31</f>
        <v/>
      </c>
      <c r="AC30" s="77" t="str">
        <f>'27'!$F$32</f>
        <v/>
      </c>
      <c r="AD30" s="98">
        <f>'27'!$F$33</f>
        <v>9.1835903772862242</v>
      </c>
    </row>
    <row r="31" spans="1:30" x14ac:dyDescent="0.2">
      <c r="A31" s="97" t="s">
        <v>1060</v>
      </c>
      <c r="B31" s="77">
        <f>'28'!$F$5</f>
        <v>11.751038703933551</v>
      </c>
      <c r="C31" s="77">
        <f>'28'!$F$6</f>
        <v>10.447105236019928</v>
      </c>
      <c r="D31" s="77">
        <f>'28'!$F$7</f>
        <v>8.5459247007676051</v>
      </c>
      <c r="E31" s="77">
        <f>'28'!$F$8</f>
        <v>9.5097996846357091</v>
      </c>
      <c r="F31" s="77">
        <f>'28'!$F$9</f>
        <v>56.354168874807812</v>
      </c>
      <c r="G31" s="77">
        <f>'28'!$F$10</f>
        <v>15.708816630938887</v>
      </c>
      <c r="H31" s="77">
        <f>'28'!$F$11</f>
        <v>18.604414231359712</v>
      </c>
      <c r="I31" s="77">
        <f>'28'!$F$12</f>
        <v>12.224131559772001</v>
      </c>
      <c r="J31" s="77">
        <f>'28'!$F$13</f>
        <v>8.2570613023556589</v>
      </c>
      <c r="K31" s="77">
        <f>'28'!$F$14</f>
        <v>12.22431504441081</v>
      </c>
      <c r="L31" s="77">
        <f>'28'!$F$15</f>
        <v>22.970867590779388</v>
      </c>
      <c r="M31" s="77">
        <f>'28'!$F$16</f>
        <v>10.057296439120284</v>
      </c>
      <c r="N31" s="77">
        <f>'28'!$F$17</f>
        <v>6.1555478704958588</v>
      </c>
      <c r="O31" s="77">
        <f>'28'!$F$18</f>
        <v>11.369432284635071</v>
      </c>
      <c r="P31" s="77" t="str">
        <f>'28'!$F$19</f>
        <v/>
      </c>
      <c r="Q31" s="77">
        <f>'28'!$F$20</f>
        <v>10.998095792780509</v>
      </c>
      <c r="R31" s="77">
        <f>'28'!$F$21</f>
        <v>11.136653680744342</v>
      </c>
      <c r="S31" s="77">
        <f>'28'!$F$22</f>
        <v>10.567138244525486</v>
      </c>
      <c r="T31" s="77">
        <f>'28'!$F$23</f>
        <v>9.4004353147940414</v>
      </c>
      <c r="U31" s="77">
        <f>'28'!$F$24</f>
        <v>12.622043991143101</v>
      </c>
      <c r="V31" s="77">
        <f>'28'!$F$25</f>
        <v>20.46767295570907</v>
      </c>
      <c r="W31" s="77">
        <f>'28'!$F$26</f>
        <v>16.787768846801267</v>
      </c>
      <c r="X31" s="77">
        <f>'28'!$F$27</f>
        <v>11.086923924434432</v>
      </c>
      <c r="Y31" s="77">
        <f>'28'!$F$28</f>
        <v>11.624163374549571</v>
      </c>
      <c r="Z31" s="77">
        <f>'28'!$F$29</f>
        <v>8.4185209264394221</v>
      </c>
      <c r="AA31" s="77">
        <f>'28'!$F$30</f>
        <v>10.499585956780518</v>
      </c>
      <c r="AB31" s="77" t="str">
        <f>'28'!$F$31</f>
        <v/>
      </c>
      <c r="AC31" s="77" t="str">
        <f>'28'!$F$32</f>
        <v/>
      </c>
      <c r="AD31" s="98">
        <f>'28'!$F$33</f>
        <v>10.259887369184117</v>
      </c>
    </row>
    <row r="32" spans="1:30" x14ac:dyDescent="0.2">
      <c r="A32" s="97" t="s">
        <v>1061</v>
      </c>
      <c r="B32" s="77">
        <f>'29'!$F$5</f>
        <v>4.4052561971311981</v>
      </c>
      <c r="C32" s="77">
        <f>'29'!$F$6</f>
        <v>3.635518197059902</v>
      </c>
      <c r="D32" s="77">
        <f>'29'!$F$7</f>
        <v>4.8736892828251426</v>
      </c>
      <c r="E32" s="77">
        <f>'29'!$F$8</f>
        <v>5.0977139418248241</v>
      </c>
      <c r="F32" s="77" t="str">
        <f>'29'!$F$9</f>
        <v/>
      </c>
      <c r="G32" s="77">
        <f>'29'!$F$10</f>
        <v>9.0342118400925475</v>
      </c>
      <c r="H32" s="77">
        <f>'29'!$F$11</f>
        <v>3.9061386792833939</v>
      </c>
      <c r="I32" s="77">
        <f>'29'!$F$12</f>
        <v>3.0909938607767167</v>
      </c>
      <c r="J32" s="77">
        <f>'29'!$F$13</f>
        <v>3.0239476662930258</v>
      </c>
      <c r="K32" s="77">
        <f>'29'!$F$14</f>
        <v>27.880766588049443</v>
      </c>
      <c r="L32" s="77">
        <f>'29'!$F$15</f>
        <v>4.2812889068819979</v>
      </c>
      <c r="M32" s="77">
        <f>'29'!$F$16</f>
        <v>4.8428438167147192</v>
      </c>
      <c r="N32" s="77">
        <f>'29'!$F$17</f>
        <v>3.942674908084066</v>
      </c>
      <c r="O32" s="77">
        <f>'29'!$F$18</f>
        <v>9.2492198465218287</v>
      </c>
      <c r="P32" s="77" t="str">
        <f>'29'!$F$19</f>
        <v/>
      </c>
      <c r="Q32" s="77">
        <f>'29'!$F$20</f>
        <v>4.7134092766021745</v>
      </c>
      <c r="R32" s="77" t="str">
        <f>'29'!$F$21</f>
        <v/>
      </c>
      <c r="S32" s="77">
        <f>'29'!$F$22</f>
        <v>7.0437020131529415</v>
      </c>
      <c r="T32" s="77">
        <f>'29'!$F$23</f>
        <v>4.8481750536106416</v>
      </c>
      <c r="U32" s="77" t="str">
        <f>'29'!$F$24</f>
        <v/>
      </c>
      <c r="V32" s="77">
        <f>'29'!$F$25</f>
        <v>7.6898541184575899</v>
      </c>
      <c r="W32" s="77">
        <f>'29'!$F$26</f>
        <v>2.5907997613978346</v>
      </c>
      <c r="X32" s="77">
        <f>'29'!$F$27</f>
        <v>5.4138394555557143</v>
      </c>
      <c r="Y32" s="77">
        <f>'29'!$F$28</f>
        <v>4.6277458023424991</v>
      </c>
      <c r="Z32" s="77">
        <f>'29'!$F$29</f>
        <v>4.8070763003570676</v>
      </c>
      <c r="AA32" s="77">
        <f>'29'!$F$30</f>
        <v>5.8691714729088336</v>
      </c>
      <c r="AB32" s="77" t="str">
        <f>'29'!$F$31</f>
        <v/>
      </c>
      <c r="AC32" s="77" t="str">
        <f>'29'!$F$32</f>
        <v/>
      </c>
      <c r="AD32" s="98">
        <f>'29'!$F$33</f>
        <v>4.8550314418863083</v>
      </c>
    </row>
    <row r="33" spans="1:30" x14ac:dyDescent="0.2">
      <c r="A33" s="97" t="s">
        <v>1062</v>
      </c>
      <c r="B33" s="77">
        <f>'30'!$F$5</f>
        <v>9.4428955594788793</v>
      </c>
      <c r="C33" s="77">
        <f>'30'!$F$6</f>
        <v>15.918096225806979</v>
      </c>
      <c r="D33" s="77">
        <f>'30'!$F$7</f>
        <v>5.3461660642114142</v>
      </c>
      <c r="E33" s="77">
        <f>'30'!$F$8</f>
        <v>4.0754412386416128</v>
      </c>
      <c r="F33" s="77" t="str">
        <f>'30'!$F$9</f>
        <v/>
      </c>
      <c r="G33" s="77">
        <f>'30'!$F$10</f>
        <v>2.7103646995577013</v>
      </c>
      <c r="H33" s="77">
        <f>'30'!$F$11</f>
        <v>45.815291963121403</v>
      </c>
      <c r="I33" s="77" t="str">
        <f>'30'!$F$12</f>
        <v/>
      </c>
      <c r="J33" s="77">
        <f>'30'!$F$13</f>
        <v>6.0421246638079049</v>
      </c>
      <c r="K33" s="77" t="str">
        <f>'30'!$F$14</f>
        <v/>
      </c>
      <c r="L33" s="77">
        <f>'30'!$F$15</f>
        <v>3.5047304335659519</v>
      </c>
      <c r="M33" s="77">
        <f>'30'!$F$16</f>
        <v>5.8303439263673296</v>
      </c>
      <c r="N33" s="77">
        <f>'30'!$F$17</f>
        <v>4.2004657219085901</v>
      </c>
      <c r="O33" s="77">
        <f>'30'!$F$18</f>
        <v>8.284273421528205</v>
      </c>
      <c r="P33" s="77" t="str">
        <f>'30'!$F$19</f>
        <v/>
      </c>
      <c r="Q33" s="77">
        <f>'30'!$F$20</f>
        <v>7.2686051575952764</v>
      </c>
      <c r="R33" s="77" t="str">
        <f>'30'!$F$21</f>
        <v/>
      </c>
      <c r="S33" s="77">
        <f>'30'!$F$22</f>
        <v>5.851911287513281</v>
      </c>
      <c r="T33" s="77">
        <f>'30'!$F$23</f>
        <v>4.887410194779064</v>
      </c>
      <c r="U33" s="77" t="str">
        <f>'30'!$F$24</f>
        <v/>
      </c>
      <c r="V33" s="77">
        <f>'30'!$F$25</f>
        <v>18.157333844469132</v>
      </c>
      <c r="W33" s="77">
        <f>'30'!$F$26</f>
        <v>18.688032920509912</v>
      </c>
      <c r="X33" s="77">
        <f>'30'!$F$27</f>
        <v>6.5441834022995584</v>
      </c>
      <c r="Y33" s="77">
        <f>'30'!$F$28</f>
        <v>6.5783239725869764</v>
      </c>
      <c r="Z33" s="77">
        <f>'30'!$F$29</f>
        <v>4.633449986642705</v>
      </c>
      <c r="AA33" s="77">
        <f>'30'!$F$30</f>
        <v>6.5850481950248696</v>
      </c>
      <c r="AB33" s="77" t="str">
        <f>'30'!$F$31</f>
        <v/>
      </c>
      <c r="AC33" s="77" t="str">
        <f>'30'!$F$32</f>
        <v/>
      </c>
      <c r="AD33" s="98">
        <f>'30'!$F$33</f>
        <v>5.8965891233363212</v>
      </c>
    </row>
    <row r="34" spans="1:30" x14ac:dyDescent="0.2">
      <c r="A34" s="97" t="s">
        <v>1039</v>
      </c>
      <c r="B34" s="77">
        <f>'31'!$F$5</f>
        <v>20.385866034206863</v>
      </c>
      <c r="C34" s="77">
        <f>'31'!$F$6</f>
        <v>6.2137341170476867</v>
      </c>
      <c r="D34" s="77">
        <f>'31'!$F$7</f>
        <v>7.5843059363850651</v>
      </c>
      <c r="E34" s="77">
        <f>'31'!$F$8</f>
        <v>6.830179763629082</v>
      </c>
      <c r="F34" s="77" t="str">
        <f>'31'!$F$9</f>
        <v/>
      </c>
      <c r="G34" s="77">
        <f>'31'!$F$10</f>
        <v>7.8591084956374386</v>
      </c>
      <c r="H34" s="77">
        <f>'31'!$F$11</f>
        <v>16.737141475278893</v>
      </c>
      <c r="I34" s="77">
        <f>'31'!$F$12</f>
        <v>3.9162287074559745</v>
      </c>
      <c r="J34" s="77">
        <f>'31'!$F$13</f>
        <v>6.1142146662667551</v>
      </c>
      <c r="K34" s="77" t="str">
        <f>'31'!$F$14</f>
        <v/>
      </c>
      <c r="L34" s="77">
        <f>'31'!$F$15</f>
        <v>3.2432249051746056</v>
      </c>
      <c r="M34" s="77">
        <f>'31'!$F$16</f>
        <v>6.0978208921594206</v>
      </c>
      <c r="N34" s="77">
        <f>'31'!$F$17</f>
        <v>12.892973227322257</v>
      </c>
      <c r="O34" s="77">
        <f>'31'!$F$18</f>
        <v>12.441143853695964</v>
      </c>
      <c r="P34" s="77">
        <f>'31'!$F$19</f>
        <v>16.178455616218478</v>
      </c>
      <c r="Q34" s="77">
        <f>'31'!$F$20</f>
        <v>9.1426199309420273</v>
      </c>
      <c r="R34" s="77" t="str">
        <f>'31'!$F$21</f>
        <v/>
      </c>
      <c r="S34" s="77">
        <f>'31'!$F$22</f>
        <v>10.093202794325549</v>
      </c>
      <c r="T34" s="77">
        <f>'31'!$F$23</f>
        <v>7.4010593747101829</v>
      </c>
      <c r="U34" s="77">
        <f>'31'!$F$24</f>
        <v>18.799433422873722</v>
      </c>
      <c r="V34" s="77">
        <f>'31'!$F$25</f>
        <v>28.282113794063495</v>
      </c>
      <c r="W34" s="77">
        <f>'31'!$F$26</f>
        <v>3.2432249051746056</v>
      </c>
      <c r="X34" s="77">
        <f>'31'!$F$27</f>
        <v>6.5276186739433744</v>
      </c>
      <c r="Y34" s="77">
        <f>'31'!$F$28</f>
        <v>8.9216550846695846</v>
      </c>
      <c r="Z34" s="77">
        <f>'31'!$F$29</f>
        <v>6.2182425752228339</v>
      </c>
      <c r="AA34" s="77">
        <f>'31'!$F$30</f>
        <v>10.51268006428743</v>
      </c>
      <c r="AB34" s="77" t="str">
        <f>'31'!$F$31</f>
        <v/>
      </c>
      <c r="AC34" s="77" t="str">
        <f>'31'!$F$32</f>
        <v/>
      </c>
      <c r="AD34" s="98">
        <f>'31'!$F$33</f>
        <v>7.9638672946129994</v>
      </c>
    </row>
    <row r="35" spans="1:30" x14ac:dyDescent="0.2">
      <c r="A35" s="97" t="s">
        <v>1063</v>
      </c>
      <c r="B35" s="77">
        <f>'32'!$F$5</f>
        <v>12.498637605123122</v>
      </c>
      <c r="C35" s="77">
        <f>'32'!$F$6</f>
        <v>7.5442875871204196</v>
      </c>
      <c r="D35" s="77">
        <f>'32'!$F$7</f>
        <v>8.7714861949000298</v>
      </c>
      <c r="E35" s="77">
        <f>'32'!$F$8</f>
        <v>10.283214680223594</v>
      </c>
      <c r="F35" s="77" t="str">
        <f>'32'!$F$9</f>
        <v/>
      </c>
      <c r="G35" s="77">
        <f>'32'!$F$10</f>
        <v>5.7581791723834908</v>
      </c>
      <c r="H35" s="77">
        <f>'32'!$F$11</f>
        <v>11.208809660424071</v>
      </c>
      <c r="I35" s="77">
        <f>'32'!$F$12</f>
        <v>5.4369893801463212</v>
      </c>
      <c r="J35" s="77">
        <f>'32'!$F$13</f>
        <v>9.5969756612003287</v>
      </c>
      <c r="K35" s="77" t="str">
        <f>'32'!$F$14</f>
        <v/>
      </c>
      <c r="L35" s="77">
        <f>'32'!$F$15</f>
        <v>8.8056514896827949</v>
      </c>
      <c r="M35" s="77">
        <f>'32'!$F$16</f>
        <v>9.5506449968780451</v>
      </c>
      <c r="N35" s="77">
        <f>'32'!$F$17</f>
        <v>10.228937013935601</v>
      </c>
      <c r="O35" s="77">
        <f>'32'!$F$18</f>
        <v>11.593646560820817</v>
      </c>
      <c r="P35" s="77" t="str">
        <f>'32'!$F$19</f>
        <v/>
      </c>
      <c r="Q35" s="77">
        <f>'32'!$F$20</f>
        <v>12.163210727949485</v>
      </c>
      <c r="R35" s="77" t="str">
        <f>'32'!$F$21</f>
        <v/>
      </c>
      <c r="S35" s="77">
        <f>'32'!$F$22</f>
        <v>10.556768630581733</v>
      </c>
      <c r="T35" s="77">
        <f>'32'!$F$23</f>
        <v>9.3234961305410948</v>
      </c>
      <c r="U35" s="77">
        <f>'32'!$F$24</f>
        <v>10.144410444255653</v>
      </c>
      <c r="V35" s="77">
        <f>'32'!$F$25</f>
        <v>15.067997539402178</v>
      </c>
      <c r="W35" s="77">
        <f>'32'!$F$26</f>
        <v>9.9823518867054464</v>
      </c>
      <c r="X35" s="77">
        <f>'32'!$F$27</f>
        <v>10.75944626858313</v>
      </c>
      <c r="Y35" s="77">
        <f>'32'!$F$28</f>
        <v>11.043071169807243</v>
      </c>
      <c r="Z35" s="77">
        <f>'32'!$F$29</f>
        <v>8.7108221463338822</v>
      </c>
      <c r="AA35" s="77">
        <f>'32'!$F$30</f>
        <v>11.287245647114798</v>
      </c>
      <c r="AB35" s="77" t="str">
        <f>'32'!$F$31</f>
        <v/>
      </c>
      <c r="AC35" s="77" t="str">
        <f>'32'!$F$32</f>
        <v/>
      </c>
      <c r="AD35" s="98">
        <f>'32'!$F$33</f>
        <v>9.8768910287168126</v>
      </c>
    </row>
    <row r="36" spans="1:30" x14ac:dyDescent="0.2">
      <c r="A36" s="97" t="s">
        <v>1064</v>
      </c>
      <c r="B36" s="77">
        <f>'33'!$F$5</f>
        <v>6.8482310587229893</v>
      </c>
      <c r="C36" s="77">
        <f>'33'!$F$6</f>
        <v>10.66741232387124</v>
      </c>
      <c r="D36" s="77">
        <f>'33'!$F$7</f>
        <v>8.6049741468055245</v>
      </c>
      <c r="E36" s="77">
        <f>'33'!$F$8</f>
        <v>8.5226667551336082</v>
      </c>
      <c r="F36" s="77" t="str">
        <f>'33'!$F$9</f>
        <v/>
      </c>
      <c r="G36" s="77">
        <f>'33'!$F$10</f>
        <v>14.115340105002563</v>
      </c>
      <c r="H36" s="77">
        <f>'33'!$F$11</f>
        <v>16.257304910913277</v>
      </c>
      <c r="I36" s="77">
        <f>'33'!$F$12</f>
        <v>30.563152548055132</v>
      </c>
      <c r="J36" s="77">
        <f>'33'!$F$13</f>
        <v>7.6300122655532441</v>
      </c>
      <c r="K36" s="77" t="str">
        <f>'33'!$F$14</f>
        <v/>
      </c>
      <c r="L36" s="77">
        <f>'33'!$F$15</f>
        <v>11.466413205744431</v>
      </c>
      <c r="M36" s="77">
        <f>'33'!$F$16</f>
        <v>8.4808512551188713</v>
      </c>
      <c r="N36" s="77">
        <f>'33'!$F$17</f>
        <v>11.806109717618181</v>
      </c>
      <c r="O36" s="77">
        <f>'33'!$F$18</f>
        <v>11.106545650361724</v>
      </c>
      <c r="P36" s="77" t="str">
        <f>'33'!$F$19</f>
        <v/>
      </c>
      <c r="Q36" s="77">
        <f>'33'!$F$20</f>
        <v>9.8587208458768423</v>
      </c>
      <c r="R36" s="77" t="str">
        <f>'33'!$F$21</f>
        <v/>
      </c>
      <c r="S36" s="77">
        <f>'33'!$F$22</f>
        <v>8.4386789808570981</v>
      </c>
      <c r="T36" s="77">
        <f>'33'!$F$23</f>
        <v>11.055966645092399</v>
      </c>
      <c r="U36" s="77" t="str">
        <f>'33'!$F$24</f>
        <v/>
      </c>
      <c r="V36" s="77">
        <f>'33'!$F$25</f>
        <v>13.123720698926594</v>
      </c>
      <c r="W36" s="77">
        <f>'33'!$F$26</f>
        <v>13.125797223981058</v>
      </c>
      <c r="X36" s="77">
        <f>'33'!$F$27</f>
        <v>10.016526984715247</v>
      </c>
      <c r="Y36" s="77">
        <f>'33'!$F$28</f>
        <v>8.1624002332403194</v>
      </c>
      <c r="Z36" s="77">
        <f>'33'!$F$29</f>
        <v>7.532261680883801</v>
      </c>
      <c r="AA36" s="77">
        <f>'33'!$F$30</f>
        <v>10.265721782661908</v>
      </c>
      <c r="AB36" s="77" t="str">
        <f>'33'!$F$31</f>
        <v/>
      </c>
      <c r="AC36" s="77" t="str">
        <f>'33'!$F$32</f>
        <v/>
      </c>
      <c r="AD36" s="98">
        <f>'33'!$F$33</f>
        <v>9.5473742594474142</v>
      </c>
    </row>
    <row r="37" spans="1:30" x14ac:dyDescent="0.2">
      <c r="A37" s="97" t="s">
        <v>1042</v>
      </c>
      <c r="B37" s="77">
        <f>'34'!$F$5</f>
        <v>11.807779922653602</v>
      </c>
      <c r="C37" s="77">
        <f>'34'!$F$6</f>
        <v>6.4165051634052164</v>
      </c>
      <c r="D37" s="77">
        <f>'34'!$F$7</f>
        <v>4.1966373797640637</v>
      </c>
      <c r="E37" s="77">
        <f>'34'!$F$8</f>
        <v>4.9259639841945591</v>
      </c>
      <c r="F37" s="77" t="str">
        <f>'34'!$F$9</f>
        <v/>
      </c>
      <c r="G37" s="77">
        <f>'34'!$F$10</f>
        <v>6.5579111499870635</v>
      </c>
      <c r="H37" s="77">
        <f>'34'!$F$11</f>
        <v>5.2139374314321865</v>
      </c>
      <c r="I37" s="77">
        <f>'34'!$F$12</f>
        <v>4.9842828552049214</v>
      </c>
      <c r="J37" s="77">
        <f>'34'!$F$13</f>
        <v>4.2062521265361008</v>
      </c>
      <c r="K37" s="77" t="str">
        <f>'34'!$F$14</f>
        <v/>
      </c>
      <c r="L37" s="77">
        <f>'34'!$F$15</f>
        <v>4.7571779147457196</v>
      </c>
      <c r="M37" s="77">
        <f>'34'!$F$16</f>
        <v>4.8829156164652838</v>
      </c>
      <c r="N37" s="77">
        <f>'34'!$F$17</f>
        <v>4.9155923112242164</v>
      </c>
      <c r="O37" s="77">
        <f>'34'!$F$18</f>
        <v>10.322750874964518</v>
      </c>
      <c r="P37" s="77" t="str">
        <f>'34'!$F$19</f>
        <v/>
      </c>
      <c r="Q37" s="77">
        <f>'34'!$F$20</f>
        <v>7.1936335152185809</v>
      </c>
      <c r="R37" s="77" t="str">
        <f>'34'!$F$21</f>
        <v/>
      </c>
      <c r="S37" s="77">
        <f>'34'!$F$22</f>
        <v>8.1668482977183068</v>
      </c>
      <c r="T37" s="77">
        <f>'34'!$F$23</f>
        <v>4.0650701250585728</v>
      </c>
      <c r="U37" s="77" t="str">
        <f>'34'!$F$24</f>
        <v/>
      </c>
      <c r="V37" s="77">
        <f>'34'!$F$25</f>
        <v>6.9154212301043589</v>
      </c>
      <c r="W37" s="77">
        <f>'34'!$F$26</f>
        <v>6.719865724716362</v>
      </c>
      <c r="X37" s="77">
        <f>'34'!$F$27</f>
        <v>5.8543478270047613</v>
      </c>
      <c r="Y37" s="77">
        <f>'34'!$F$28</f>
        <v>4.7662597186885316</v>
      </c>
      <c r="Z37" s="77">
        <f>'34'!$F$29</f>
        <v>4.7796826668782026</v>
      </c>
      <c r="AA37" s="77">
        <f>'34'!$F$30</f>
        <v>6.2983893216551392</v>
      </c>
      <c r="AB37" s="77" t="str">
        <f>'34'!$F$31</f>
        <v/>
      </c>
      <c r="AC37" s="77" t="str">
        <f>'34'!$F$32</f>
        <v/>
      </c>
      <c r="AD37" s="98">
        <f>'34'!$F$33</f>
        <v>5.2325052664131562</v>
      </c>
    </row>
    <row r="38" spans="1:30" x14ac:dyDescent="0.2">
      <c r="A38" s="97" t="s">
        <v>1065</v>
      </c>
      <c r="B38" s="77">
        <f>'35'!$F$5</f>
        <v>9.5295717793951074</v>
      </c>
      <c r="C38" s="77">
        <f>'35'!$F$6</f>
        <v>5.598815557350024</v>
      </c>
      <c r="D38" s="77">
        <f>'35'!$F$7</f>
        <v>5.4565997093255127</v>
      </c>
      <c r="E38" s="77">
        <f>'35'!$F$8</f>
        <v>8.5030206915940187</v>
      </c>
      <c r="F38" s="77" t="str">
        <f>'35'!$F$9</f>
        <v/>
      </c>
      <c r="G38" s="77" t="str">
        <f>'35'!$F$10</f>
        <v/>
      </c>
      <c r="H38" s="77">
        <f>'35'!$F$11</f>
        <v>5.757326745960536</v>
      </c>
      <c r="I38" s="77" t="str">
        <f>'35'!$F$12</f>
        <v/>
      </c>
      <c r="J38" s="77">
        <f>'35'!$F$13</f>
        <v>5.61043622295385</v>
      </c>
      <c r="K38" s="77" t="str">
        <f>'35'!$F$14</f>
        <v/>
      </c>
      <c r="L38" s="77" t="str">
        <f>'35'!$F$15</f>
        <v/>
      </c>
      <c r="M38" s="77">
        <f>'35'!$F$16</f>
        <v>6.3586301828210932</v>
      </c>
      <c r="N38" s="77" t="str">
        <f>'35'!$F$17</f>
        <v/>
      </c>
      <c r="O38" s="77" t="str">
        <f>'35'!$F$18</f>
        <v/>
      </c>
      <c r="P38" s="77" t="str">
        <f>'35'!$F$19</f>
        <v/>
      </c>
      <c r="Q38" s="77">
        <f>'35'!$F$20</f>
        <v>6.2541672813541069</v>
      </c>
      <c r="R38" s="77" t="str">
        <f>'35'!$F$21</f>
        <v/>
      </c>
      <c r="S38" s="77">
        <f>'35'!$F$22</f>
        <v>5.6678691764425029</v>
      </c>
      <c r="T38" s="77">
        <f>'35'!$F$23</f>
        <v>6.6380515503748772</v>
      </c>
      <c r="U38" s="77" t="str">
        <f>'35'!$F$24</f>
        <v/>
      </c>
      <c r="V38" s="77" t="str">
        <f>'35'!$F$25</f>
        <v/>
      </c>
      <c r="W38" s="77">
        <f>'35'!$F$26</f>
        <v>15.279838873412199</v>
      </c>
      <c r="X38" s="77">
        <f>'35'!$F$27</f>
        <v>16.339343230710675</v>
      </c>
      <c r="Y38" s="77" t="str">
        <f>'35'!$F$28</f>
        <v/>
      </c>
      <c r="Z38" s="77">
        <f>'35'!$F$29</f>
        <v>5.1335303938800365</v>
      </c>
      <c r="AA38" s="77">
        <f>'35'!$F$30</f>
        <v>8.6227989839967183</v>
      </c>
      <c r="AB38" s="77" t="str">
        <f>'35'!$F$31</f>
        <v/>
      </c>
      <c r="AC38" s="77" t="str">
        <f>'35'!$F$32</f>
        <v/>
      </c>
      <c r="AD38" s="98">
        <f>'35'!$F$33</f>
        <v>6.6925470104419462</v>
      </c>
    </row>
    <row r="39" spans="1:30" x14ac:dyDescent="0.2">
      <c r="A39" s="97" t="s">
        <v>1078</v>
      </c>
      <c r="B39" s="77">
        <f>'36'!$F$5</f>
        <v>6.2234127380568474</v>
      </c>
      <c r="C39" s="77">
        <f>'36'!$F$6</f>
        <v>7.1857919255319311</v>
      </c>
      <c r="D39" s="77">
        <f>'36'!$F$7</f>
        <v>6.9344729225447743</v>
      </c>
      <c r="E39" s="77">
        <f>'36'!$F$8</f>
        <v>7.1827576122958012</v>
      </c>
      <c r="F39" s="77">
        <f>'36'!$F$9</f>
        <v>27.828344588762615</v>
      </c>
      <c r="G39" s="77">
        <f>'36'!$F$10</f>
        <v>6.6998456707692453</v>
      </c>
      <c r="H39" s="77">
        <f>'36'!$F$11</f>
        <v>10.988778525333768</v>
      </c>
      <c r="I39" s="77">
        <f>'36'!$F$12</f>
        <v>13.586630655365381</v>
      </c>
      <c r="J39" s="77">
        <f>'36'!$F$13</f>
        <v>7.9443030661067651</v>
      </c>
      <c r="K39" s="77">
        <f>'36'!$F$14</f>
        <v>10.113148869980478</v>
      </c>
      <c r="L39" s="77">
        <f>'36'!$F$15</f>
        <v>10.677431495449872</v>
      </c>
      <c r="M39" s="77">
        <f>'36'!$F$16</f>
        <v>7.1640733413065485</v>
      </c>
      <c r="N39" s="77">
        <f>'36'!$F$17</f>
        <v>7.7477581644036668</v>
      </c>
      <c r="O39" s="77">
        <f>'36'!$F$18</f>
        <v>10.773093552129625</v>
      </c>
      <c r="P39" s="77" t="str">
        <f>'36'!$F$19</f>
        <v/>
      </c>
      <c r="Q39" s="77">
        <f>'36'!$F$20</f>
        <v>10.692493822362831</v>
      </c>
      <c r="R39" s="77">
        <f>'36'!$F$21</f>
        <v>10.420676461643691</v>
      </c>
      <c r="S39" s="77">
        <f>'36'!$F$22</f>
        <v>11.306878144925063</v>
      </c>
      <c r="T39" s="77">
        <f>'36'!$F$23</f>
        <v>7.421201190902825</v>
      </c>
      <c r="U39" s="77">
        <f>'36'!$F$24</f>
        <v>10.181732852054338</v>
      </c>
      <c r="V39" s="77">
        <f>'36'!$F$25</f>
        <v>13.534282290525333</v>
      </c>
      <c r="W39" s="77">
        <f>'36'!$F$26</f>
        <v>8.6333934746739907</v>
      </c>
      <c r="X39" s="77">
        <f>'36'!$F$27</f>
        <v>8.3777157627300092</v>
      </c>
      <c r="Y39" s="77">
        <f>'36'!$F$28</f>
        <v>10.210569260338167</v>
      </c>
      <c r="Z39" s="77">
        <f>'36'!$F$29</f>
        <v>7.1759506814102405</v>
      </c>
      <c r="AA39" s="77">
        <f>'36'!$F$30</f>
        <v>9.5083221591532165</v>
      </c>
      <c r="AB39" s="77" t="str">
        <f>'36'!$F$31</f>
        <v/>
      </c>
      <c r="AC39" s="77" t="str">
        <f>'36'!$F$32</f>
        <v/>
      </c>
      <c r="AD39" s="98">
        <f>'36'!$F$33</f>
        <v>8.211262378059045</v>
      </c>
    </row>
    <row r="40" spans="1:30" x14ac:dyDescent="0.2">
      <c r="A40" s="97" t="s">
        <v>1066</v>
      </c>
      <c r="B40" s="77">
        <f>'37'!$F$5</f>
        <v>14.089904867458991</v>
      </c>
      <c r="C40" s="77">
        <f>'37'!$F$6</f>
        <v>6.3468567310475423</v>
      </c>
      <c r="D40" s="77">
        <f>'37'!$F$7</f>
        <v>5.7317683160321957</v>
      </c>
      <c r="E40" s="77">
        <f>'37'!$F$8</f>
        <v>6.3595983134381155</v>
      </c>
      <c r="F40" s="77">
        <f>'37'!$F$9</f>
        <v>4.9855255828147111</v>
      </c>
      <c r="G40" s="77">
        <f>'37'!$F$10</f>
        <v>5.4908554089306687</v>
      </c>
      <c r="H40" s="77">
        <f>'37'!$F$11</f>
        <v>6.8326312904510269</v>
      </c>
      <c r="I40" s="77">
        <f>'37'!$F$12</f>
        <v>10.177973470861016</v>
      </c>
      <c r="J40" s="77">
        <f>'37'!$F$13</f>
        <v>5.7200797081229862</v>
      </c>
      <c r="K40" s="77">
        <f>'37'!$F$14</f>
        <v>45.788235845160393</v>
      </c>
      <c r="L40" s="77">
        <f>'37'!$F$15</f>
        <v>7.3147536281242482</v>
      </c>
      <c r="M40" s="77">
        <f>'37'!$F$16</f>
        <v>6.5008245388228181</v>
      </c>
      <c r="N40" s="77">
        <f>'37'!$F$17</f>
        <v>5.6155452545010505</v>
      </c>
      <c r="O40" s="77">
        <f>'37'!$F$18</f>
        <v>6.5513721652344223</v>
      </c>
      <c r="P40" s="77" t="str">
        <f>'37'!$F$19</f>
        <v/>
      </c>
      <c r="Q40" s="77">
        <f>'37'!$F$20</f>
        <v>8.9761027904403541</v>
      </c>
      <c r="R40" s="77">
        <f>'37'!$F$21</f>
        <v>8.4954440236812676</v>
      </c>
      <c r="S40" s="77">
        <f>'37'!$F$22</f>
        <v>6.2515867607654858</v>
      </c>
      <c r="T40" s="77">
        <f>'37'!$F$23</f>
        <v>5.335809150766825</v>
      </c>
      <c r="U40" s="77">
        <f>'37'!$F$24</f>
        <v>6.4732699973930359</v>
      </c>
      <c r="V40" s="77">
        <f>'37'!$F$25</f>
        <v>6.0163192604730753</v>
      </c>
      <c r="W40" s="77">
        <f>'37'!$F$26</f>
        <v>19.4425209607871</v>
      </c>
      <c r="X40" s="77">
        <f>'37'!$F$27</f>
        <v>11.043950961260414</v>
      </c>
      <c r="Y40" s="77">
        <f>'37'!$F$28</f>
        <v>3.8530066372644458</v>
      </c>
      <c r="Z40" s="77">
        <f>'37'!$F$29</f>
        <v>5.4109881174249921</v>
      </c>
      <c r="AA40" s="77">
        <f>'37'!$F$30</f>
        <v>10.489287601312549</v>
      </c>
      <c r="AB40" s="77" t="str">
        <f>'37'!$F$31</f>
        <v/>
      </c>
      <c r="AC40" s="77" t="str">
        <f>'37'!$F$32</f>
        <v/>
      </c>
      <c r="AD40" s="98">
        <f>'37'!$F$33</f>
        <v>6.4250798913794309</v>
      </c>
    </row>
    <row r="41" spans="1:30" x14ac:dyDescent="0.2">
      <c r="A41" s="97" t="s">
        <v>1067</v>
      </c>
      <c r="B41" s="77">
        <f>'38'!$F$5</f>
        <v>7.0880895803407196</v>
      </c>
      <c r="C41" s="77">
        <f>'38'!$F$6</f>
        <v>15.717450486408726</v>
      </c>
      <c r="D41" s="77">
        <f>'38'!$F$7</f>
        <v>7.0880919293022666</v>
      </c>
      <c r="E41" s="77">
        <f>'38'!$F$8</f>
        <v>6.2473879055928245</v>
      </c>
      <c r="F41" s="77" t="str">
        <f>'38'!$F$9</f>
        <v/>
      </c>
      <c r="G41" s="77">
        <f>'38'!$F$10</f>
        <v>10.255234383937262</v>
      </c>
      <c r="H41" s="77">
        <f>'38'!$F$11</f>
        <v>7.2816248372069232</v>
      </c>
      <c r="I41" s="77">
        <f>'38'!$F$12</f>
        <v>18.912900668990574</v>
      </c>
      <c r="J41" s="77">
        <f>'38'!$F$13</f>
        <v>9.3563590747993324</v>
      </c>
      <c r="K41" s="77">
        <f>'38'!$F$14</f>
        <v>6.5156226655173217</v>
      </c>
      <c r="L41" s="77">
        <f>'38'!$F$15</f>
        <v>6.703919415335279</v>
      </c>
      <c r="M41" s="77">
        <f>'38'!$F$16</f>
        <v>9.4295542468067453</v>
      </c>
      <c r="N41" s="77">
        <f>'38'!$F$17</f>
        <v>7.0655019422658167</v>
      </c>
      <c r="O41" s="77">
        <f>'38'!$F$18</f>
        <v>11.050585160825612</v>
      </c>
      <c r="P41" s="77" t="str">
        <f>'38'!$F$19</f>
        <v/>
      </c>
      <c r="Q41" s="77">
        <f>'38'!$F$20</f>
        <v>13.452525388760252</v>
      </c>
      <c r="R41" s="77">
        <f>'38'!$F$21</f>
        <v>12.935407064988848</v>
      </c>
      <c r="S41" s="77">
        <f>'38'!$F$22</f>
        <v>11.562404263705091</v>
      </c>
      <c r="T41" s="77">
        <f>'38'!$F$23</f>
        <v>7.0928549338865263</v>
      </c>
      <c r="U41" s="77">
        <f>'38'!$F$24</f>
        <v>10.215521052134472</v>
      </c>
      <c r="V41" s="77">
        <f>'38'!$F$25</f>
        <v>7.1569101526220713</v>
      </c>
      <c r="W41" s="77">
        <f>'38'!$F$26</f>
        <v>9.5535522186911397</v>
      </c>
      <c r="X41" s="77">
        <f>'38'!$F$27</f>
        <v>9.9476600091470662</v>
      </c>
      <c r="Y41" s="77">
        <f>'38'!$F$28</f>
        <v>9.0378882282939035</v>
      </c>
      <c r="Z41" s="77">
        <f>'38'!$F$29</f>
        <v>7.6237884038182049</v>
      </c>
      <c r="AA41" s="77">
        <f>'38'!$F$30</f>
        <v>7.6329138722712919</v>
      </c>
      <c r="AB41" s="77" t="str">
        <f>'38'!$F$31</f>
        <v/>
      </c>
      <c r="AC41" s="77" t="str">
        <f>'38'!$F$32</f>
        <v/>
      </c>
      <c r="AD41" s="98">
        <f>'38'!$F$33</f>
        <v>8.377206995180094</v>
      </c>
    </row>
    <row r="42" spans="1:30" x14ac:dyDescent="0.2">
      <c r="A42" s="97" t="s">
        <v>1043</v>
      </c>
      <c r="B42" s="77">
        <f>'39'!$F$5</f>
        <v>7.5368614474854345</v>
      </c>
      <c r="C42" s="77">
        <f>'39'!$F$6</f>
        <v>9.4719670400949614</v>
      </c>
      <c r="D42" s="77">
        <f>'39'!$F$7</f>
        <v>6.8076165977902079</v>
      </c>
      <c r="E42" s="77">
        <f>'39'!$F$8</f>
        <v>8.7949964994049754</v>
      </c>
      <c r="F42" s="77" t="str">
        <f>'39'!$F$9</f>
        <v/>
      </c>
      <c r="G42" s="77">
        <f>'39'!$F$10</f>
        <v>9.6332769902249407</v>
      </c>
      <c r="H42" s="77">
        <f>'39'!$F$11</f>
        <v>5.3022916760172905</v>
      </c>
      <c r="I42" s="77">
        <f>'39'!$F$12</f>
        <v>6.3385546968506237</v>
      </c>
      <c r="J42" s="77">
        <f>'39'!$F$13</f>
        <v>6.7267140407935901</v>
      </c>
      <c r="K42" s="77">
        <f>'39'!$F$14</f>
        <v>9.2092519032900171</v>
      </c>
      <c r="L42" s="77">
        <f>'39'!$F$15</f>
        <v>11.015074648458235</v>
      </c>
      <c r="M42" s="77">
        <f>'39'!$F$16</f>
        <v>6.8415711716405543</v>
      </c>
      <c r="N42" s="77">
        <f>'39'!$F$17</f>
        <v>4.1328367643748791</v>
      </c>
      <c r="O42" s="77">
        <f>'39'!$F$18</f>
        <v>11.090187509350624</v>
      </c>
      <c r="P42" s="77" t="str">
        <f>'39'!$F$19</f>
        <v/>
      </c>
      <c r="Q42" s="77">
        <f>'39'!$F$20</f>
        <v>7.3976563348733055</v>
      </c>
      <c r="R42" s="77" t="str">
        <f>'39'!$F$21</f>
        <v/>
      </c>
      <c r="S42" s="77">
        <f>'39'!$F$22</f>
        <v>9.5543534940219672</v>
      </c>
      <c r="T42" s="77">
        <f>'39'!$F$23</f>
        <v>7.6088903611219392</v>
      </c>
      <c r="U42" s="77">
        <f>'39'!$F$24</f>
        <v>9.6895209693303599</v>
      </c>
      <c r="V42" s="77">
        <f>'39'!$F$25</f>
        <v>17.500323122122865</v>
      </c>
      <c r="W42" s="77">
        <f>'39'!$F$26</f>
        <v>9.3964136998268142</v>
      </c>
      <c r="X42" s="77">
        <f>'39'!$F$27</f>
        <v>8.3075130956152812</v>
      </c>
      <c r="Y42" s="77">
        <f>'39'!$F$28</f>
        <v>6.2340537029784553</v>
      </c>
      <c r="Z42" s="77">
        <f>'39'!$F$29</f>
        <v>6.3048089593122985</v>
      </c>
      <c r="AA42" s="77">
        <f>'39'!$F$30</f>
        <v>6.2880694316083448</v>
      </c>
      <c r="AB42" s="77" t="str">
        <f>'39'!$F$31</f>
        <v/>
      </c>
      <c r="AC42" s="77" t="str">
        <f>'39'!$F$32</f>
        <v/>
      </c>
      <c r="AD42" s="98">
        <f>'39'!$F$33</f>
        <v>7.2317320462271821</v>
      </c>
    </row>
    <row r="43" spans="1:30" x14ac:dyDescent="0.2">
      <c r="A43" s="97" t="s">
        <v>1079</v>
      </c>
      <c r="B43" s="77">
        <f>'40'!$F$5</f>
        <v>8.4730088898089768</v>
      </c>
      <c r="C43" s="77">
        <f>'40'!$F$6</f>
        <v>15.334980660524089</v>
      </c>
      <c r="D43" s="77">
        <f>'40'!$F$7</f>
        <v>7.3414033318368235</v>
      </c>
      <c r="E43" s="77">
        <f>'40'!$F$8</f>
        <v>7.1597392654341734</v>
      </c>
      <c r="F43" s="77" t="str">
        <f>'40'!$F$9</f>
        <v/>
      </c>
      <c r="G43" s="77">
        <f>'40'!$F$10</f>
        <v>9.4477071330379747</v>
      </c>
      <c r="H43" s="77">
        <f>'40'!$F$11</f>
        <v>9.1349657906102717</v>
      </c>
      <c r="I43" s="77">
        <f>'40'!$F$12</f>
        <v>9.7110506845025064</v>
      </c>
      <c r="J43" s="77">
        <f>'40'!$F$13</f>
        <v>8.113023148522732</v>
      </c>
      <c r="K43" s="77">
        <f>'40'!$F$14</f>
        <v>10.635015817542037</v>
      </c>
      <c r="L43" s="77">
        <f>'40'!$F$15</f>
        <v>10.551272685181562</v>
      </c>
      <c r="M43" s="77">
        <f>'40'!$F$16</f>
        <v>7.4737980488566178</v>
      </c>
      <c r="N43" s="77">
        <f>'40'!$F$17</f>
        <v>6.9707731803635697</v>
      </c>
      <c r="O43" s="77">
        <f>'40'!$F$18</f>
        <v>13.038769525354429</v>
      </c>
      <c r="P43" s="77">
        <f>'40'!$F$19</f>
        <v>17.972949656652258</v>
      </c>
      <c r="Q43" s="77">
        <f>'40'!$F$20</f>
        <v>12.41179528592925</v>
      </c>
      <c r="R43" s="77">
        <f>'40'!$F$21</f>
        <v>14.963339847503198</v>
      </c>
      <c r="S43" s="77" t="str">
        <f>'40'!$F$22</f>
        <v/>
      </c>
      <c r="T43" s="77">
        <f>'40'!$F$23</f>
        <v>7.5317029792211621</v>
      </c>
      <c r="U43" s="77">
        <f>'40'!$F$24</f>
        <v>10.191469345792346</v>
      </c>
      <c r="V43" s="77">
        <f>'40'!$F$25</f>
        <v>11.160880854595689</v>
      </c>
      <c r="W43" s="77">
        <f>'40'!$F$26</f>
        <v>4.3854934852506773</v>
      </c>
      <c r="X43" s="77">
        <f>'40'!$F$27</f>
        <v>7.9565557705660694</v>
      </c>
      <c r="Y43" s="77">
        <f>'40'!$F$28</f>
        <v>13.80704696719488</v>
      </c>
      <c r="Z43" s="77">
        <f>'40'!$F$29</f>
        <v>6.5877420713178685</v>
      </c>
      <c r="AA43" s="77">
        <f>'40'!$F$30</f>
        <v>8.8492736833895904</v>
      </c>
      <c r="AB43" s="77" t="str">
        <f>'40'!$F$31</f>
        <v/>
      </c>
      <c r="AC43" s="77" t="str">
        <f>'40'!$F$32</f>
        <v/>
      </c>
      <c r="AD43" s="98">
        <f>'40'!$F$33</f>
        <v>8.005164654553699</v>
      </c>
    </row>
    <row r="44" spans="1:30" x14ac:dyDescent="0.2">
      <c r="A44" s="97" t="s">
        <v>1044</v>
      </c>
      <c r="B44" s="77">
        <f>'41'!$F$5</f>
        <v>7.6572383901889305</v>
      </c>
      <c r="C44" s="77">
        <f>'41'!$F$6</f>
        <v>7.868463228961649</v>
      </c>
      <c r="D44" s="77">
        <f>'41'!$F$7</f>
        <v>7.3585778186119422</v>
      </c>
      <c r="E44" s="77">
        <f>'41'!$F$8</f>
        <v>6.0844084761332713</v>
      </c>
      <c r="F44" s="77" t="str">
        <f>'41'!$F$9</f>
        <v/>
      </c>
      <c r="G44" s="77">
        <f>'41'!$F$10</f>
        <v>9.9562398074829659</v>
      </c>
      <c r="H44" s="77">
        <f>'41'!$F$11</f>
        <v>7.7573210356337334</v>
      </c>
      <c r="I44" s="77">
        <f>'41'!$F$12</f>
        <v>6.9139565875954254</v>
      </c>
      <c r="J44" s="77">
        <f>'41'!$F$13</f>
        <v>7.3000323631522663</v>
      </c>
      <c r="K44" s="77" t="str">
        <f>'41'!$F$14</f>
        <v/>
      </c>
      <c r="L44" s="77">
        <f>'41'!$F$15</f>
        <v>6.3095719777032766</v>
      </c>
      <c r="M44" s="77">
        <f>'41'!$F$16</f>
        <v>6.7707941139317604</v>
      </c>
      <c r="N44" s="77">
        <f>'41'!$F$17</f>
        <v>8.1791123161827439</v>
      </c>
      <c r="O44" s="77">
        <f>'41'!$F$18</f>
        <v>9.6146588871983933</v>
      </c>
      <c r="P44" s="77">
        <f>'41'!$F$19</f>
        <v>23.732601244717667</v>
      </c>
      <c r="Q44" s="77">
        <f>'41'!$F$20</f>
        <v>9.0753562448822489</v>
      </c>
      <c r="R44" s="77">
        <f>'41'!$F$21</f>
        <v>10.261820503183513</v>
      </c>
      <c r="S44" s="77">
        <f>'41'!$F$22</f>
        <v>8.9447005311114243</v>
      </c>
      <c r="T44" s="77">
        <f>'41'!$F$23</f>
        <v>7.1924022086059498</v>
      </c>
      <c r="U44" s="77" t="str">
        <f>'41'!$F$24</f>
        <v/>
      </c>
      <c r="V44" s="77" t="str">
        <f>'41'!$F$25</f>
        <v/>
      </c>
      <c r="W44" s="77">
        <f>'41'!$F$26</f>
        <v>7.8820045206313161</v>
      </c>
      <c r="X44" s="77">
        <f>'41'!$F$27</f>
        <v>6.8701226220006326</v>
      </c>
      <c r="Y44" s="77">
        <f>'41'!$F$28</f>
        <v>8.2279889029160014</v>
      </c>
      <c r="Z44" s="77">
        <f>'41'!$F$29</f>
        <v>6.3743189483309664</v>
      </c>
      <c r="AA44" s="77">
        <f>'41'!$F$30</f>
        <v>9.6509910415423157</v>
      </c>
      <c r="AB44" s="77" t="str">
        <f>'41'!$F$31</f>
        <v/>
      </c>
      <c r="AC44" s="77" t="str">
        <f>'41'!$F$32</f>
        <v/>
      </c>
      <c r="AD44" s="98">
        <f>'41'!$F$33</f>
        <v>7.6495580377992294</v>
      </c>
    </row>
    <row r="45" spans="1:30" x14ac:dyDescent="0.2">
      <c r="A45" s="97" t="s">
        <v>1068</v>
      </c>
      <c r="B45" s="77" t="str">
        <f>'42'!$F$5</f>
        <v/>
      </c>
      <c r="C45" s="77" t="str">
        <f>'42'!$F$6</f>
        <v/>
      </c>
      <c r="D45" s="77" t="str">
        <f>'42'!$F$7</f>
        <v/>
      </c>
      <c r="E45" s="77" t="str">
        <f>'42'!$F$8</f>
        <v/>
      </c>
      <c r="F45" s="77" t="str">
        <f>'42'!$F$9</f>
        <v/>
      </c>
      <c r="G45" s="77" t="str">
        <f>'42'!$F$10</f>
        <v/>
      </c>
      <c r="H45" s="77" t="str">
        <f>'42'!$F$11</f>
        <v/>
      </c>
      <c r="I45" s="77" t="str">
        <f>'42'!$F$12</f>
        <v/>
      </c>
      <c r="J45" s="77" t="str">
        <f>'42'!$F$13</f>
        <v/>
      </c>
      <c r="K45" s="77" t="str">
        <f>'42'!$F$14</f>
        <v/>
      </c>
      <c r="L45" s="77" t="str">
        <f>'42'!$F$15</f>
        <v/>
      </c>
      <c r="M45" s="77" t="str">
        <f>'42'!$F$16</f>
        <v/>
      </c>
      <c r="N45" s="77" t="str">
        <f>'42'!$F$17</f>
        <v/>
      </c>
      <c r="O45" s="77" t="str">
        <f>'42'!$F$18</f>
        <v/>
      </c>
      <c r="P45" s="77" t="str">
        <f>'42'!$F$19</f>
        <v/>
      </c>
      <c r="Q45" s="77" t="str">
        <f>'42'!$F$20</f>
        <v/>
      </c>
      <c r="R45" s="77" t="str">
        <f>'42'!$F$21</f>
        <v/>
      </c>
      <c r="S45" s="77" t="str">
        <f>'42'!$F$22</f>
        <v/>
      </c>
      <c r="T45" s="77" t="str">
        <f>'42'!$F$23</f>
        <v/>
      </c>
      <c r="U45" s="77" t="str">
        <f>'42'!$F$24</f>
        <v/>
      </c>
      <c r="V45" s="77" t="str">
        <f>'42'!$F$25</f>
        <v/>
      </c>
      <c r="W45" s="77" t="str">
        <f>'42'!$F$26</f>
        <v/>
      </c>
      <c r="X45" s="77" t="str">
        <f>'42'!$F$27</f>
        <v/>
      </c>
      <c r="Y45" s="77" t="str">
        <f>'42'!$F$28</f>
        <v/>
      </c>
      <c r="Z45" s="77" t="str">
        <f>'42'!$F$29</f>
        <v/>
      </c>
      <c r="AA45" s="77" t="str">
        <f>'42'!$F$30</f>
        <v/>
      </c>
      <c r="AB45" s="77" t="str">
        <f>'42'!$F$31</f>
        <v/>
      </c>
      <c r="AC45" s="77" t="str">
        <f>'42'!$F$32</f>
        <v/>
      </c>
      <c r="AD45" s="98" t="str">
        <f>'42'!$F$33</f>
        <v/>
      </c>
    </row>
    <row r="46" spans="1:30" x14ac:dyDescent="0.2">
      <c r="A46" s="97" t="s">
        <v>1069</v>
      </c>
      <c r="B46" s="77" t="str">
        <f>'43'!$F$5</f>
        <v/>
      </c>
      <c r="C46" s="77" t="str">
        <f>'43'!$F$6</f>
        <v/>
      </c>
      <c r="D46" s="77" t="str">
        <f>'43'!$F$7</f>
        <v/>
      </c>
      <c r="E46" s="77" t="str">
        <f>'43'!$F$8</f>
        <v/>
      </c>
      <c r="F46" s="77" t="str">
        <f>'43'!$F$9</f>
        <v/>
      </c>
      <c r="G46" s="77" t="str">
        <f>'43'!$F$10</f>
        <v/>
      </c>
      <c r="H46" s="77" t="str">
        <f>'43'!$F$11</f>
        <v/>
      </c>
      <c r="I46" s="77" t="str">
        <f>'43'!$F$12</f>
        <v/>
      </c>
      <c r="J46" s="77" t="str">
        <f>'43'!$F$13</f>
        <v/>
      </c>
      <c r="K46" s="77" t="str">
        <f>'43'!$F$14</f>
        <v/>
      </c>
      <c r="L46" s="77" t="str">
        <f>'43'!$F$15</f>
        <v/>
      </c>
      <c r="M46" s="77" t="str">
        <f>'43'!$F$16</f>
        <v/>
      </c>
      <c r="N46" s="77" t="str">
        <f>'43'!$F$17</f>
        <v/>
      </c>
      <c r="O46" s="77" t="str">
        <f>'43'!$F$18</f>
        <v/>
      </c>
      <c r="P46" s="77" t="str">
        <f>'43'!$F$19</f>
        <v/>
      </c>
      <c r="Q46" s="77" t="str">
        <f>'43'!$F$20</f>
        <v/>
      </c>
      <c r="R46" s="77" t="str">
        <f>'43'!$F$21</f>
        <v/>
      </c>
      <c r="S46" s="77" t="str">
        <f>'43'!$F$22</f>
        <v/>
      </c>
      <c r="T46" s="77" t="str">
        <f>'43'!$F$23</f>
        <v/>
      </c>
      <c r="U46" s="77" t="str">
        <f>'43'!$F$24</f>
        <v/>
      </c>
      <c r="V46" s="77" t="str">
        <f>'43'!$F$25</f>
        <v/>
      </c>
      <c r="W46" s="77" t="str">
        <f>'43'!$F$26</f>
        <v/>
      </c>
      <c r="X46" s="77" t="str">
        <f>'43'!$F$27</f>
        <v/>
      </c>
      <c r="Y46" s="77" t="str">
        <f>'43'!$F$28</f>
        <v/>
      </c>
      <c r="Z46" s="77" t="str">
        <f>'43'!$F$29</f>
        <v/>
      </c>
      <c r="AA46" s="77" t="str">
        <f>'43'!$F$30</f>
        <v/>
      </c>
      <c r="AB46" s="77" t="str">
        <f>'43'!$F$31</f>
        <v/>
      </c>
      <c r="AC46" s="77" t="str">
        <f>'43'!$F$32</f>
        <v/>
      </c>
      <c r="AD46" s="98" t="str">
        <f>'43'!$F$33</f>
        <v/>
      </c>
    </row>
    <row r="47" spans="1:30" x14ac:dyDescent="0.2">
      <c r="A47" s="97" t="s">
        <v>1080</v>
      </c>
      <c r="B47" s="77">
        <f>'44'!$F$5</f>
        <v>6.4555868322204155</v>
      </c>
      <c r="C47" s="77">
        <f>'44'!$F$6</f>
        <v>4.8985608258768574</v>
      </c>
      <c r="D47" s="77">
        <f>'44'!$F$7</f>
        <v>5.7942352731444204</v>
      </c>
      <c r="E47" s="77">
        <f>'44'!$F$8</f>
        <v>8.0861636058531783</v>
      </c>
      <c r="F47" s="77" t="str">
        <f>'44'!$F$9</f>
        <v/>
      </c>
      <c r="G47" s="77">
        <f>'44'!$F$10</f>
        <v>4.4480814283324692</v>
      </c>
      <c r="H47" s="77">
        <f>'44'!$F$11</f>
        <v>4.4879839452911963</v>
      </c>
      <c r="I47" s="77">
        <f>'44'!$F$12</f>
        <v>6.1248589752606106</v>
      </c>
      <c r="J47" s="77">
        <f>'44'!$F$13</f>
        <v>5.4787709009841583</v>
      </c>
      <c r="K47" s="77" t="str">
        <f>'44'!$F$14</f>
        <v/>
      </c>
      <c r="L47" s="77">
        <f>'44'!$F$15</f>
        <v>5.3435188050183342</v>
      </c>
      <c r="M47" s="77">
        <f>'44'!$F$16</f>
        <v>6.0520136188030627</v>
      </c>
      <c r="N47" s="77">
        <f>'44'!$F$17</f>
        <v>5.2628770549841706</v>
      </c>
      <c r="O47" s="77">
        <f>'44'!$F$18</f>
        <v>7.759984771659135</v>
      </c>
      <c r="P47" s="77" t="str">
        <f>'44'!$F$19</f>
        <v/>
      </c>
      <c r="Q47" s="77">
        <f>'44'!$F$20</f>
        <v>5.4235214529265505</v>
      </c>
      <c r="R47" s="77" t="str">
        <f>'44'!$F$21</f>
        <v/>
      </c>
      <c r="S47" s="77">
        <f>'44'!$F$22</f>
        <v>6.2683784253103436</v>
      </c>
      <c r="T47" s="77">
        <f>'44'!$F$23</f>
        <v>5.9588892510444582</v>
      </c>
      <c r="U47" s="77">
        <f>'44'!$F$24</f>
        <v>6.3234810324516335</v>
      </c>
      <c r="V47" s="77" t="str">
        <f>'44'!$F$25</f>
        <v/>
      </c>
      <c r="W47" s="77">
        <f>'44'!$F$26</f>
        <v>4.9782571270889102</v>
      </c>
      <c r="X47" s="77">
        <f>'44'!$F$27</f>
        <v>8.5859819199239578</v>
      </c>
      <c r="Y47" s="77">
        <f>'44'!$F$28</f>
        <v>5.6845862996558374</v>
      </c>
      <c r="Z47" s="77">
        <f>'44'!$F$29</f>
        <v>5.4912116903169332</v>
      </c>
      <c r="AA47" s="77">
        <f>'44'!$F$30</f>
        <v>7.3374111047291812</v>
      </c>
      <c r="AB47" s="77" t="str">
        <f>'44'!$F$31</f>
        <v/>
      </c>
      <c r="AC47" s="77" t="str">
        <f>'44'!$F$32</f>
        <v/>
      </c>
      <c r="AD47" s="98">
        <f>'44'!$F$33</f>
        <v>5.9830863481745666</v>
      </c>
    </row>
    <row r="48" spans="1:30" x14ac:dyDescent="0.2">
      <c r="A48" s="97" t="s">
        <v>1045</v>
      </c>
      <c r="B48" s="77">
        <f>'45'!$F$5</f>
        <v>5.3221997147419176</v>
      </c>
      <c r="C48" s="77">
        <f>'45'!$F$6</f>
        <v>9.0328870865589828</v>
      </c>
      <c r="D48" s="77">
        <f>'45'!$F$7</f>
        <v>6.6843955564535413</v>
      </c>
      <c r="E48" s="77">
        <f>'45'!$F$8</f>
        <v>5.2601200253926459</v>
      </c>
      <c r="F48" s="77" t="str">
        <f>'45'!$F$9</f>
        <v/>
      </c>
      <c r="G48" s="77">
        <f>'45'!$F$10</f>
        <v>17.167448707241626</v>
      </c>
      <c r="H48" s="77">
        <f>'45'!$F$11</f>
        <v>21.347091349949967</v>
      </c>
      <c r="I48" s="77">
        <f>'45'!$F$12</f>
        <v>3.7815018438786914</v>
      </c>
      <c r="J48" s="77">
        <f>'45'!$F$13</f>
        <v>7.2284743194598935</v>
      </c>
      <c r="K48" s="77">
        <f>'45'!$F$14</f>
        <v>3.7814816126648187</v>
      </c>
      <c r="L48" s="77">
        <f>'45'!$F$15</f>
        <v>7.0717303835309684</v>
      </c>
      <c r="M48" s="77">
        <f>'45'!$F$16</f>
        <v>6.8110168002261933</v>
      </c>
      <c r="N48" s="77">
        <f>'45'!$F$17</f>
        <v>5.848365253309999</v>
      </c>
      <c r="O48" s="77">
        <f>'45'!$F$18</f>
        <v>11.016808066915013</v>
      </c>
      <c r="P48" s="77">
        <f>'45'!$F$19</f>
        <v>16.591658781922725</v>
      </c>
      <c r="Q48" s="77">
        <f>'45'!$F$20</f>
        <v>8.109886278835555</v>
      </c>
      <c r="R48" s="77">
        <f>'45'!$F$21</f>
        <v>10.585331445901501</v>
      </c>
      <c r="S48" s="77">
        <f>'45'!$F$22</f>
        <v>7.292308623198748</v>
      </c>
      <c r="T48" s="77">
        <f>'45'!$F$23</f>
        <v>6.7396111222768535</v>
      </c>
      <c r="U48" s="77">
        <f>'45'!$F$24</f>
        <v>11.641296537540198</v>
      </c>
      <c r="V48" s="77">
        <f>'45'!$F$25</f>
        <v>3.7815361651082551</v>
      </c>
      <c r="W48" s="77">
        <f>'45'!$F$26</f>
        <v>3.7815345054981226</v>
      </c>
      <c r="X48" s="77">
        <f>'45'!$F$27</f>
        <v>12.383194234454741</v>
      </c>
      <c r="Y48" s="77">
        <f>'45'!$F$28</f>
        <v>6.7509547444937299</v>
      </c>
      <c r="Z48" s="77">
        <f>'45'!$F$29</f>
        <v>6.3255316814925733</v>
      </c>
      <c r="AA48" s="77">
        <f>'45'!$F$30</f>
        <v>7.5670765871958929</v>
      </c>
      <c r="AB48" s="77" t="str">
        <f>'45'!$F$31</f>
        <v/>
      </c>
      <c r="AC48" s="77" t="str">
        <f>'45'!$F$32</f>
        <v/>
      </c>
      <c r="AD48" s="98">
        <f>'45'!$F$33</f>
        <v>7.3796530026023532</v>
      </c>
    </row>
    <row r="49" spans="1:30" x14ac:dyDescent="0.2">
      <c r="A49" s="97" t="s">
        <v>1070</v>
      </c>
      <c r="B49" s="77">
        <f>'46'!$F$5</f>
        <v>12.581900197669832</v>
      </c>
      <c r="C49" s="77">
        <f>'46'!$F$6</f>
        <v>6.2948763482507095</v>
      </c>
      <c r="D49" s="77">
        <f>'46'!$F$7</f>
        <v>6.3024911538569262</v>
      </c>
      <c r="E49" s="77">
        <f>'46'!$F$8</f>
        <v>6.5220012824824556</v>
      </c>
      <c r="F49" s="77" t="str">
        <f>'46'!$F$9</f>
        <v/>
      </c>
      <c r="G49" s="77" t="str">
        <f>'46'!$F$10</f>
        <v/>
      </c>
      <c r="H49" s="77">
        <f>'46'!$F$11</f>
        <v>5.8116676266832012</v>
      </c>
      <c r="I49" s="77">
        <f>'46'!$F$12</f>
        <v>4.8696891271102221</v>
      </c>
      <c r="J49" s="77">
        <f>'46'!$F$13</f>
        <v>6.7780411833788836</v>
      </c>
      <c r="K49" s="77" t="str">
        <f>'46'!$F$14</f>
        <v/>
      </c>
      <c r="L49" s="77">
        <f>'46'!$F$15</f>
        <v>4.8696829161590731</v>
      </c>
      <c r="M49" s="77">
        <f>'46'!$F$16</f>
        <v>6.6243817034434223</v>
      </c>
      <c r="N49" s="77">
        <f>'46'!$F$17</f>
        <v>6.1538322431812107</v>
      </c>
      <c r="O49" s="77">
        <f>'46'!$F$18</f>
        <v>7.2155615327900602</v>
      </c>
      <c r="P49" s="77" t="str">
        <f>'46'!$F$19</f>
        <v/>
      </c>
      <c r="Q49" s="77">
        <f>'46'!$F$20</f>
        <v>5.9318949728199284</v>
      </c>
      <c r="R49" s="77" t="str">
        <f>'46'!$F$21</f>
        <v/>
      </c>
      <c r="S49" s="77">
        <f>'46'!$F$22</f>
        <v>6.5868173718318159</v>
      </c>
      <c r="T49" s="77">
        <f>'46'!$F$23</f>
        <v>6.8589877892215281</v>
      </c>
      <c r="U49" s="77">
        <f>'46'!$F$24</f>
        <v>7.9450479567734753</v>
      </c>
      <c r="V49" s="77" t="str">
        <f>'46'!$F$25</f>
        <v/>
      </c>
      <c r="W49" s="77">
        <f>'46'!$F$26</f>
        <v>13.565325895535185</v>
      </c>
      <c r="X49" s="77">
        <f>'46'!$F$27</f>
        <v>6.5607780473309552</v>
      </c>
      <c r="Y49" s="77">
        <f>'46'!$F$28</f>
        <v>5.4338493215665959</v>
      </c>
      <c r="Z49" s="77">
        <f>'46'!$F$29</f>
        <v>5.7716691978960259</v>
      </c>
      <c r="AA49" s="77">
        <f>'46'!$F$30</f>
        <v>6.9742335310031667</v>
      </c>
      <c r="AB49" s="77" t="str">
        <f>'46'!$F$31</f>
        <v/>
      </c>
      <c r="AC49" s="77" t="str">
        <f>'46'!$F$32</f>
        <v/>
      </c>
      <c r="AD49" s="98">
        <f>'46'!$F$33</f>
        <v>6.3755891321540208</v>
      </c>
    </row>
    <row r="50" spans="1:30" x14ac:dyDescent="0.2">
      <c r="A50" s="97" t="s">
        <v>1071</v>
      </c>
      <c r="B50" s="77">
        <f>'47'!$F$5</f>
        <v>21.203447804957477</v>
      </c>
      <c r="C50" s="77">
        <f>'47'!$F$6</f>
        <v>7.9650139917236693</v>
      </c>
      <c r="D50" s="77">
        <f>'47'!$F$7</f>
        <v>8.9874040450320756</v>
      </c>
      <c r="E50" s="77">
        <f>'47'!$F$8</f>
        <v>7.6852480071717473</v>
      </c>
      <c r="F50" s="77" t="str">
        <f>'47'!$F$9</f>
        <v/>
      </c>
      <c r="G50" s="77">
        <f>'47'!$F$10</f>
        <v>8.5704578384989976</v>
      </c>
      <c r="H50" s="77">
        <f>'47'!$F$11</f>
        <v>10.445328319722556</v>
      </c>
      <c r="I50" s="77">
        <f>'47'!$F$12</f>
        <v>30.915148811428757</v>
      </c>
      <c r="J50" s="77">
        <f>'47'!$F$13</f>
        <v>6.0017028135711694</v>
      </c>
      <c r="K50" s="77" t="str">
        <f>'47'!$F$14</f>
        <v/>
      </c>
      <c r="L50" s="77">
        <f>'47'!$F$15</f>
        <v>11.980259208412233</v>
      </c>
      <c r="M50" s="77">
        <f>'47'!$F$16</f>
        <v>8.301800783353416</v>
      </c>
      <c r="N50" s="77">
        <f>'47'!$F$17</f>
        <v>10.95513077851545</v>
      </c>
      <c r="O50" s="77">
        <f>'47'!$F$18</f>
        <v>14.431788457396852</v>
      </c>
      <c r="P50" s="77" t="str">
        <f>'47'!$F$19</f>
        <v/>
      </c>
      <c r="Q50" s="77">
        <f>'47'!$F$20</f>
        <v>7.7001687566386323</v>
      </c>
      <c r="R50" s="77">
        <f>'47'!$F$21</f>
        <v>11.646693813702646</v>
      </c>
      <c r="S50" s="77">
        <f>'47'!$F$22</f>
        <v>9.2105500776847471</v>
      </c>
      <c r="T50" s="77">
        <f>'47'!$F$23</f>
        <v>9.543021969620364</v>
      </c>
      <c r="U50" s="77" t="str">
        <f>'47'!$F$24</f>
        <v/>
      </c>
      <c r="V50" s="77">
        <f>'47'!$F$25</f>
        <v>12.346561982446653</v>
      </c>
      <c r="W50" s="77">
        <f>'47'!$F$26</f>
        <v>5.2397167443514148</v>
      </c>
      <c r="X50" s="77">
        <f>'47'!$F$27</f>
        <v>8.2221606089940469</v>
      </c>
      <c r="Y50" s="77">
        <f>'47'!$F$28</f>
        <v>12.426716783569942</v>
      </c>
      <c r="Z50" s="77">
        <f>'47'!$F$29</f>
        <v>7.748083554266711</v>
      </c>
      <c r="AA50" s="77">
        <f>'47'!$F$30</f>
        <v>11.982096130316327</v>
      </c>
      <c r="AB50" s="77" t="str">
        <f>'47'!$F$31</f>
        <v/>
      </c>
      <c r="AC50" s="77" t="str">
        <f>'47'!$F$32</f>
        <v/>
      </c>
      <c r="AD50" s="98">
        <f>'47'!$F$33</f>
        <v>9.4982836428323836</v>
      </c>
    </row>
    <row r="51" spans="1:30" x14ac:dyDescent="0.2">
      <c r="A51" s="97" t="s">
        <v>1072</v>
      </c>
      <c r="B51" s="77">
        <f>'48'!$F$5</f>
        <v>10.019134567775241</v>
      </c>
      <c r="C51" s="77">
        <f>'48'!$F$6</f>
        <v>13.117534512736841</v>
      </c>
      <c r="D51" s="77">
        <f>'48'!$F$7</f>
        <v>6.9197624082767586</v>
      </c>
      <c r="E51" s="77">
        <f>'48'!$F$8</f>
        <v>8.0711205877704568</v>
      </c>
      <c r="F51" s="77" t="str">
        <f>'48'!$F$9</f>
        <v/>
      </c>
      <c r="G51" s="77">
        <f>'48'!$F$10</f>
        <v>14.268673963127155</v>
      </c>
      <c r="H51" s="77">
        <f>'48'!$F$11</f>
        <v>7.4628303291972991</v>
      </c>
      <c r="I51" s="77">
        <f>'48'!$F$12</f>
        <v>13.703358698638979</v>
      </c>
      <c r="J51" s="77">
        <f>'48'!$F$13</f>
        <v>7.747335929275625</v>
      </c>
      <c r="K51" s="77" t="str">
        <f>'48'!$F$14</f>
        <v/>
      </c>
      <c r="L51" s="77">
        <f>'48'!$F$15</f>
        <v>13.493615138998566</v>
      </c>
      <c r="M51" s="77">
        <f>'48'!$F$16</f>
        <v>8.1163481722924704</v>
      </c>
      <c r="N51" s="77">
        <f>'48'!$F$17</f>
        <v>8.0578041261721935</v>
      </c>
      <c r="O51" s="77">
        <f>'48'!$F$18</f>
        <v>10.886617806647827</v>
      </c>
      <c r="P51" s="77" t="str">
        <f>'48'!$F$19</f>
        <v/>
      </c>
      <c r="Q51" s="77">
        <f>'48'!$F$20</f>
        <v>10.379993326138411</v>
      </c>
      <c r="R51" s="77">
        <f>'48'!$F$21</f>
        <v>9.5532371769433677</v>
      </c>
      <c r="S51" s="77">
        <f>'48'!$F$22</f>
        <v>7.9402292687133373</v>
      </c>
      <c r="T51" s="77">
        <f>'48'!$F$23</f>
        <v>8.4196397836511139</v>
      </c>
      <c r="U51" s="77">
        <f>'48'!$F$24</f>
        <v>13.144207816333653</v>
      </c>
      <c r="V51" s="77">
        <f>'48'!$F$25</f>
        <v>16.045204929667701</v>
      </c>
      <c r="W51" s="77">
        <f>'48'!$F$26</f>
        <v>7.415251331867819</v>
      </c>
      <c r="X51" s="77">
        <f>'48'!$F$27</f>
        <v>7.0717415987156738</v>
      </c>
      <c r="Y51" s="77">
        <f>'48'!$F$28</f>
        <v>8.3402981762025412</v>
      </c>
      <c r="Z51" s="77">
        <f>'48'!$F$29</f>
        <v>6.6146535103963844</v>
      </c>
      <c r="AA51" s="77">
        <f>'48'!$F$30</f>
        <v>10.297558013060394</v>
      </c>
      <c r="AB51" s="77" t="str">
        <f>'48'!$F$31</f>
        <v/>
      </c>
      <c r="AC51" s="77" t="str">
        <f>'48'!$F$32</f>
        <v/>
      </c>
      <c r="AD51" s="98">
        <f>'48'!$F$33</f>
        <v>8.2168121429603325</v>
      </c>
    </row>
    <row r="52" spans="1:30" x14ac:dyDescent="0.2">
      <c r="A52" s="97" t="s">
        <v>1073</v>
      </c>
      <c r="B52" s="77">
        <f>'49'!$F$5</f>
        <v>6.685628165809459</v>
      </c>
      <c r="C52" s="77">
        <f>'49'!$F$6</f>
        <v>6.9525299729013179</v>
      </c>
      <c r="D52" s="77">
        <f>'49'!$F$7</f>
        <v>5.2986888773871454</v>
      </c>
      <c r="E52" s="77">
        <f>'49'!$F$8</f>
        <v>3.526467696821225</v>
      </c>
      <c r="F52" s="77" t="str">
        <f>'49'!$F$9</f>
        <v/>
      </c>
      <c r="G52" s="77">
        <f>'49'!$F$10</f>
        <v>39.308572395147699</v>
      </c>
      <c r="H52" s="77">
        <f>'49'!$F$11</f>
        <v>4.2092680212285671</v>
      </c>
      <c r="I52" s="77">
        <f>'49'!$F$12</f>
        <v>3.0756696595853921</v>
      </c>
      <c r="J52" s="77">
        <f>'49'!$F$13</f>
        <v>6.3063441628039758</v>
      </c>
      <c r="K52" s="77" t="str">
        <f>'49'!$F$14</f>
        <v/>
      </c>
      <c r="L52" s="77">
        <f>'49'!$F$15</f>
        <v>12.367878732563696</v>
      </c>
      <c r="M52" s="77">
        <f>'49'!$F$16</f>
        <v>5.9159136422238241</v>
      </c>
      <c r="N52" s="77">
        <f>'49'!$F$17</f>
        <v>5.2853527581769413</v>
      </c>
      <c r="O52" s="77" t="str">
        <f>'49'!$F$18</f>
        <v/>
      </c>
      <c r="P52" s="77" t="str">
        <f>'49'!$F$19</f>
        <v/>
      </c>
      <c r="Q52" s="77">
        <f>'49'!$F$20</f>
        <v>4.5895383787256767</v>
      </c>
      <c r="R52" s="77" t="str">
        <f>'49'!$F$21</f>
        <v/>
      </c>
      <c r="S52" s="77">
        <f>'49'!$F$22</f>
        <v>7.1716171776825997</v>
      </c>
      <c r="T52" s="77">
        <f>'49'!$F$23</f>
        <v>4.8287207499075473</v>
      </c>
      <c r="U52" s="77" t="str">
        <f>'49'!$F$24</f>
        <v/>
      </c>
      <c r="V52" s="77">
        <f>'49'!$F$25</f>
        <v>5.7944196595853921</v>
      </c>
      <c r="W52" s="77">
        <f>'49'!$F$26</f>
        <v>8.299779691947851</v>
      </c>
      <c r="X52" s="77">
        <f>'49'!$F$27</f>
        <v>7.485095179215878</v>
      </c>
      <c r="Y52" s="77">
        <f>'49'!$F$28</f>
        <v>4.0757517492601529</v>
      </c>
      <c r="Z52" s="77">
        <f>'49'!$F$29</f>
        <v>6.2890966400966546</v>
      </c>
      <c r="AA52" s="77">
        <f>'49'!$F$30</f>
        <v>7.7946570672240645</v>
      </c>
      <c r="AB52" s="77" t="str">
        <f>'49'!$F$31</f>
        <v/>
      </c>
      <c r="AC52" s="77" t="str">
        <f>'49'!$F$32</f>
        <v/>
      </c>
      <c r="AD52" s="98">
        <f>'49'!$F$33</f>
        <v>5.4534662527286271</v>
      </c>
    </row>
    <row r="53" spans="1:30" x14ac:dyDescent="0.2">
      <c r="A53" s="97" t="s">
        <v>1081</v>
      </c>
      <c r="B53" s="77">
        <f>'50'!$F$5</f>
        <v>12.870422876505211</v>
      </c>
      <c r="C53" s="77">
        <f>'50'!$F$6</f>
        <v>10.742860293891155</v>
      </c>
      <c r="D53" s="77">
        <f>'50'!$F$7</f>
        <v>8.4388341501940047</v>
      </c>
      <c r="E53" s="77">
        <f>'50'!$F$8</f>
        <v>7.0416929422999601</v>
      </c>
      <c r="F53" s="77" t="str">
        <f>'50'!$F$9</f>
        <v/>
      </c>
      <c r="G53" s="77">
        <f>'50'!$F$10</f>
        <v>4.3676584044302018</v>
      </c>
      <c r="H53" s="77">
        <f>'50'!$F$11</f>
        <v>11.784395990863905</v>
      </c>
      <c r="I53" s="77">
        <f>'50'!$F$12</f>
        <v>51.836441058557682</v>
      </c>
      <c r="J53" s="77">
        <f>'50'!$F$13</f>
        <v>9.4543594881786639</v>
      </c>
      <c r="K53" s="77" t="str">
        <f>'50'!$F$14</f>
        <v/>
      </c>
      <c r="L53" s="77">
        <f>'50'!$F$15</f>
        <v>7.5874022749408496</v>
      </c>
      <c r="M53" s="77">
        <f>'50'!$F$16</f>
        <v>8.0963189005737917</v>
      </c>
      <c r="N53" s="77">
        <f>'50'!$F$17</f>
        <v>9.5786332848129785</v>
      </c>
      <c r="O53" s="77">
        <f>'50'!$F$18</f>
        <v>15.148962743396675</v>
      </c>
      <c r="P53" s="77">
        <f>'50'!$F$19</f>
        <v>18.586533358697658</v>
      </c>
      <c r="Q53" s="77">
        <f>'50'!$F$20</f>
        <v>9.9133978675593184</v>
      </c>
      <c r="R53" s="77" t="str">
        <f>'50'!$F$21</f>
        <v/>
      </c>
      <c r="S53" s="77">
        <f>'50'!$F$22</f>
        <v>10.33223559330367</v>
      </c>
      <c r="T53" s="77">
        <f>'50'!$F$23</f>
        <v>7.9781861693093177</v>
      </c>
      <c r="U53" s="77">
        <f>'50'!$F$24</f>
        <v>13.841078224953026</v>
      </c>
      <c r="V53" s="77" t="str">
        <f>'50'!$F$25</f>
        <v/>
      </c>
      <c r="W53" s="77">
        <f>'50'!$F$26</f>
        <v>4.3677735764203733</v>
      </c>
      <c r="X53" s="77">
        <f>'50'!$F$27</f>
        <v>9.7093196835231002</v>
      </c>
      <c r="Y53" s="77">
        <f>'50'!$F$28</f>
        <v>13.203832853328992</v>
      </c>
      <c r="Z53" s="77">
        <f>'50'!$F$29</f>
        <v>7.2639790671982336</v>
      </c>
      <c r="AA53" s="77">
        <f>'50'!$F$30</f>
        <v>9.3036541463088795</v>
      </c>
      <c r="AB53" s="77" t="str">
        <f>'50'!$F$31</f>
        <v/>
      </c>
      <c r="AC53" s="77" t="str">
        <f>'50'!$F$32</f>
        <v/>
      </c>
      <c r="AD53" s="98">
        <f>'50'!$F$33</f>
        <v>8.8624584502015313</v>
      </c>
    </row>
    <row r="54" spans="1:30" x14ac:dyDescent="0.2">
      <c r="A54" s="95" t="s">
        <v>947</v>
      </c>
      <c r="B54" s="77">
        <f>'51'!$F$5</f>
        <v>10.73717511706135</v>
      </c>
      <c r="C54" s="77">
        <f>'51'!$F$6</f>
        <v>11.62077096135514</v>
      </c>
      <c r="D54" s="77">
        <f>'51'!$F$7</f>
        <v>6.2748315753253632</v>
      </c>
      <c r="E54" s="77">
        <f>'51'!$F$8</f>
        <v>5.2265726982362093</v>
      </c>
      <c r="F54" s="77" t="str">
        <f>'51'!$F$9</f>
        <v/>
      </c>
      <c r="G54" s="77">
        <f>'51'!$F$10</f>
        <v>15.56309875469109</v>
      </c>
      <c r="H54" s="77">
        <f>'51'!$F$11</f>
        <v>11.156228192429449</v>
      </c>
      <c r="I54" s="77">
        <f>'51'!$F$12</f>
        <v>21.304819424054504</v>
      </c>
      <c r="J54" s="77">
        <f>'51'!$F$13</f>
        <v>7.3052462619672269</v>
      </c>
      <c r="K54" s="77">
        <f>'51'!$F$14</f>
        <v>3.6344743617443163</v>
      </c>
      <c r="L54" s="77">
        <f>'51'!$F$15</f>
        <v>6.037075176584346</v>
      </c>
      <c r="M54" s="77">
        <f>'51'!$F$16</f>
        <v>6.7604416992925014</v>
      </c>
      <c r="N54" s="77">
        <f>'51'!$F$17</f>
        <v>6.206771891193366</v>
      </c>
      <c r="O54" s="77">
        <f>'51'!$F$18</f>
        <v>7.1124383328607204</v>
      </c>
      <c r="P54" s="77">
        <f>'51'!$F$19</f>
        <v>13.167154526267545</v>
      </c>
      <c r="Q54" s="77">
        <f>'51'!$F$20</f>
        <v>10.14244037360649</v>
      </c>
      <c r="R54" s="77" t="str">
        <f>'51'!$F$21</f>
        <v/>
      </c>
      <c r="S54" s="77">
        <f>'51'!$F$22</f>
        <v>13.173775338545292</v>
      </c>
      <c r="T54" s="77">
        <f>'51'!$F$23</f>
        <v>7.1651680733537546</v>
      </c>
      <c r="U54" s="77">
        <f>'51'!$F$24</f>
        <v>7.4264710807049825</v>
      </c>
      <c r="V54" s="77">
        <f>'51'!$F$25</f>
        <v>7.9265788223231883</v>
      </c>
      <c r="W54" s="77">
        <f>'51'!$F$26</f>
        <v>5.3434757715434715</v>
      </c>
      <c r="X54" s="77">
        <f>'51'!$F$27</f>
        <v>3.6375664136502364</v>
      </c>
      <c r="Y54" s="77">
        <f>'51'!$F$28</f>
        <v>4.4211888941150139</v>
      </c>
      <c r="Z54" s="77">
        <f>'51'!$F$29</f>
        <v>5.4903907289770499</v>
      </c>
      <c r="AA54" s="77">
        <f>'51'!$F$30</f>
        <v>4.5062712797754614</v>
      </c>
      <c r="AB54" s="77" t="str">
        <f>'51'!$F$31</f>
        <v/>
      </c>
      <c r="AC54" s="77" t="str">
        <f>'51'!$F$32</f>
        <v/>
      </c>
      <c r="AD54" s="98">
        <f>'51'!$F$33</f>
        <v>7.2571307923684438</v>
      </c>
    </row>
    <row r="55" spans="1:30" x14ac:dyDescent="0.2">
      <c r="A55" s="95" t="s">
        <v>948</v>
      </c>
      <c r="B55" s="77">
        <f>'52'!$F$5</f>
        <v>11.627136086417428</v>
      </c>
      <c r="C55" s="77">
        <f>'52'!$F$6</f>
        <v>11.627447312352174</v>
      </c>
      <c r="D55" s="77">
        <f>'52'!$F$7</f>
        <v>9.9964409174715172</v>
      </c>
      <c r="E55" s="77">
        <f>'52'!$F$8</f>
        <v>9.0524519445569691</v>
      </c>
      <c r="F55" s="77" t="str">
        <f>'52'!$F$9</f>
        <v/>
      </c>
      <c r="G55" s="77">
        <f>'52'!$F$10</f>
        <v>11.627449018925773</v>
      </c>
      <c r="H55" s="77">
        <f>'52'!$F$11</f>
        <v>9.0524482921829286</v>
      </c>
      <c r="I55" s="77">
        <f>'52'!$F$12</f>
        <v>11.627443470931926</v>
      </c>
      <c r="J55" s="77">
        <f>'52'!$F$13</f>
        <v>11.627414187635875</v>
      </c>
      <c r="K55" s="77" t="str">
        <f>'52'!$F$14</f>
        <v/>
      </c>
      <c r="L55" s="77">
        <f>'52'!$F$15</f>
        <v>13.625094579735526</v>
      </c>
      <c r="M55" s="77">
        <f>'52'!$F$16</f>
        <v>9.9968003580888247</v>
      </c>
      <c r="N55" s="77">
        <f>'52'!$F$17</f>
        <v>9.9968027676809292</v>
      </c>
      <c r="O55" s="77">
        <f>'52'!$F$18</f>
        <v>11.832396202024364</v>
      </c>
      <c r="P55" s="77" t="str">
        <f>'52'!$F$19</f>
        <v/>
      </c>
      <c r="Q55" s="77">
        <f>'52'!$F$20</f>
        <v>11.832396133600573</v>
      </c>
      <c r="R55" s="77" t="str">
        <f>'52'!$F$21</f>
        <v/>
      </c>
      <c r="S55" s="77">
        <f>'52'!$F$22</f>
        <v>11.832388649154273</v>
      </c>
      <c r="T55" s="77">
        <f>'52'!$F$23</f>
        <v>9.9967840974851629</v>
      </c>
      <c r="U55" s="77">
        <f>'52'!$F$24</f>
        <v>14.311314471255134</v>
      </c>
      <c r="V55" s="77">
        <f>'52'!$F$25</f>
        <v>14.31128022159224</v>
      </c>
      <c r="W55" s="77">
        <f>'52'!$F$26</f>
        <v>11.629441656569821</v>
      </c>
      <c r="X55" s="77" t="str">
        <f>'52'!$F$27</f>
        <v/>
      </c>
      <c r="Y55" s="77">
        <f>'52'!$F$28</f>
        <v>9.0524009854649634</v>
      </c>
      <c r="Z55" s="77">
        <f>'52'!$F$29</f>
        <v>9.9968095455826465</v>
      </c>
      <c r="AA55" s="77">
        <f>'52'!$F$30</f>
        <v>9.0524920581805919</v>
      </c>
      <c r="AB55" s="77" t="str">
        <f>'52'!$F$31</f>
        <v/>
      </c>
      <c r="AC55" s="77" t="str">
        <f>'52'!$F$32</f>
        <v/>
      </c>
      <c r="AD55" s="98">
        <f>'52'!$F$33</f>
        <v>10.729385413768178</v>
      </c>
    </row>
    <row r="56" spans="1:30" x14ac:dyDescent="0.2">
      <c r="A56" s="95" t="s">
        <v>949</v>
      </c>
      <c r="B56" s="77">
        <f>'53'!$F$5</f>
        <v>8.8701101116993613</v>
      </c>
      <c r="C56" s="77">
        <f>'53'!$F$6</f>
        <v>14.041925388568746</v>
      </c>
      <c r="D56" s="77">
        <f>'53'!$F$7</f>
        <v>8.162432201834056</v>
      </c>
      <c r="E56" s="77">
        <f>'53'!$F$8</f>
        <v>8.4251531576432193</v>
      </c>
      <c r="F56" s="77" t="str">
        <f>'53'!$F$9</f>
        <v/>
      </c>
      <c r="G56" s="77">
        <f>'53'!$F$10</f>
        <v>8.8696662938213322</v>
      </c>
      <c r="H56" s="77">
        <f>'53'!$F$11</f>
        <v>8.4251530687948595</v>
      </c>
      <c r="I56" s="77">
        <f>'53'!$F$12</f>
        <v>8.8698377112686089</v>
      </c>
      <c r="J56" s="77" t="str">
        <f>'53'!$F$13</f>
        <v/>
      </c>
      <c r="K56" s="77" t="str">
        <f>'53'!$F$14</f>
        <v/>
      </c>
      <c r="L56" s="77">
        <f>'53'!$F$15</f>
        <v>10.110438760647957</v>
      </c>
      <c r="M56" s="77">
        <f>'53'!$F$16</f>
        <v>9.5433820565701151</v>
      </c>
      <c r="N56" s="77" t="str">
        <f>'53'!$F$17</f>
        <v/>
      </c>
      <c r="O56" s="77" t="str">
        <f>'53'!$F$18</f>
        <v/>
      </c>
      <c r="P56" s="77" t="str">
        <f>'53'!$F$19</f>
        <v/>
      </c>
      <c r="Q56" s="77">
        <f>'53'!$F$20</f>
        <v>8.8706583573133972</v>
      </c>
      <c r="R56" s="77" t="str">
        <f>'53'!$F$21</f>
        <v/>
      </c>
      <c r="S56" s="77" t="str">
        <f>'53'!$F$22</f>
        <v/>
      </c>
      <c r="T56" s="77">
        <f>'53'!$F$23</f>
        <v>9.3869803362266158</v>
      </c>
      <c r="U56" s="77">
        <f>'53'!$F$24</f>
        <v>9.5332489370235418</v>
      </c>
      <c r="V56" s="77">
        <f>'53'!$F$25</f>
        <v>9.5333115858144186</v>
      </c>
      <c r="W56" s="77">
        <f>'53'!$F$26</f>
        <v>8.8696779651565336</v>
      </c>
      <c r="X56" s="77" t="str">
        <f>'53'!$F$27</f>
        <v/>
      </c>
      <c r="Y56" s="77" t="str">
        <f>'53'!$F$28</f>
        <v/>
      </c>
      <c r="Z56" s="77">
        <f>'53'!$F$29</f>
        <v>6.4146586278761673</v>
      </c>
      <c r="AA56" s="77">
        <f>'53'!$F$30</f>
        <v>8.4250565054615461</v>
      </c>
      <c r="AB56" s="77" t="str">
        <f>'53'!$F$31</f>
        <v/>
      </c>
      <c r="AC56" s="77" t="str">
        <f>'53'!$F$32</f>
        <v/>
      </c>
      <c r="AD56" s="98">
        <f>'53'!$F$33</f>
        <v>9.5140429041424994</v>
      </c>
    </row>
    <row r="57" spans="1:30" x14ac:dyDescent="0.2">
      <c r="A57" s="95" t="s">
        <v>950</v>
      </c>
      <c r="B57" s="77">
        <f>'54'!$F$5</f>
        <v>9.0116755636136183</v>
      </c>
      <c r="C57" s="77">
        <f>'54'!$F$6</f>
        <v>7.3650278082083984</v>
      </c>
      <c r="D57" s="77">
        <f>'54'!$F$7</f>
        <v>9.0825815240177388</v>
      </c>
      <c r="E57" s="77">
        <f>'54'!$F$8</f>
        <v>6.4036683932802516</v>
      </c>
      <c r="F57" s="77">
        <f>'54'!$F$9</f>
        <v>35.139144968609308</v>
      </c>
      <c r="G57" s="77">
        <f>'54'!$F$10</f>
        <v>6.5553096911805815</v>
      </c>
      <c r="H57" s="77">
        <f>'54'!$F$11</f>
        <v>7.2113492894595677</v>
      </c>
      <c r="I57" s="77">
        <f>'54'!$F$12</f>
        <v>8.0677470287909721</v>
      </c>
      <c r="J57" s="77">
        <f>'54'!$F$13</f>
        <v>9.2153263109016663</v>
      </c>
      <c r="K57" s="77">
        <f>'54'!$F$14</f>
        <v>7.5018386288579206</v>
      </c>
      <c r="L57" s="77">
        <f>'54'!$F$15</f>
        <v>8.0012711134846111</v>
      </c>
      <c r="M57" s="77">
        <f>'54'!$F$16</f>
        <v>6.3116566276546067</v>
      </c>
      <c r="N57" s="77">
        <f>'54'!$F$17</f>
        <v>6.3774111500063171</v>
      </c>
      <c r="O57" s="77">
        <f>'54'!$F$18</f>
        <v>6.7317085487391957</v>
      </c>
      <c r="P57" s="77" t="str">
        <f>'54'!$F$19</f>
        <v/>
      </c>
      <c r="Q57" s="77">
        <f>'54'!$F$20</f>
        <v>6.8719982749096467</v>
      </c>
      <c r="R57" s="77" t="str">
        <f>'54'!$F$21</f>
        <v/>
      </c>
      <c r="S57" s="77" t="str">
        <f>'54'!$F$22</f>
        <v/>
      </c>
      <c r="T57" s="77">
        <f>'54'!$F$23</f>
        <v>7.0665310221465871</v>
      </c>
      <c r="U57" s="77">
        <f>'54'!$F$24</f>
        <v>7.896678798505679</v>
      </c>
      <c r="V57" s="77">
        <f>'54'!$F$25</f>
        <v>9.7689251991282138</v>
      </c>
      <c r="W57" s="77">
        <f>'54'!$F$26</f>
        <v>8.7623380480015385</v>
      </c>
      <c r="X57" s="77" t="str">
        <f>'54'!$F$27</f>
        <v/>
      </c>
      <c r="Y57" s="77">
        <f>'54'!$F$28</f>
        <v>6.779025805355106</v>
      </c>
      <c r="Z57" s="77">
        <f>'54'!$F$29</f>
        <v>6.2872384193459059</v>
      </c>
      <c r="AA57" s="77">
        <f>'54'!$F$30</f>
        <v>7.2340083199812693</v>
      </c>
      <c r="AB57" s="77" t="str">
        <f>'54'!$F$31</f>
        <v/>
      </c>
      <c r="AC57" s="77" t="str">
        <f>'54'!$F$32</f>
        <v/>
      </c>
      <c r="AD57" s="98">
        <f>'54'!$F$33</f>
        <v>7.8840061735168252</v>
      </c>
    </row>
    <row r="58" spans="1:30" x14ac:dyDescent="0.2">
      <c r="A58" s="95" t="s">
        <v>951</v>
      </c>
      <c r="B58" s="77" t="str">
        <f>'55'!$F$5</f>
        <v/>
      </c>
      <c r="C58" s="77">
        <f>'55'!$F$6</f>
        <v>12.896253230831555</v>
      </c>
      <c r="D58" s="77">
        <f>'55'!$F$7</f>
        <v>12.896258546698524</v>
      </c>
      <c r="E58" s="77">
        <f>'55'!$F$8</f>
        <v>12.896267862910268</v>
      </c>
      <c r="F58" s="77" t="str">
        <f>'55'!$F$9</f>
        <v/>
      </c>
      <c r="G58" s="77" t="str">
        <f>'55'!$F$10</f>
        <v/>
      </c>
      <c r="H58" s="77">
        <f>'55'!$F$11</f>
        <v>12.896246899982291</v>
      </c>
      <c r="I58" s="77">
        <f>'55'!$F$12</f>
        <v>12.896282785185344</v>
      </c>
      <c r="J58" s="77">
        <f>'55'!$F$13</f>
        <v>12.896253313933022</v>
      </c>
      <c r="K58" s="77" t="str">
        <f>'55'!$F$14</f>
        <v/>
      </c>
      <c r="L58" s="77">
        <f>'55'!$F$15</f>
        <v>12.896260976533783</v>
      </c>
      <c r="M58" s="77">
        <f>'55'!$F$16</f>
        <v>12.907142351659115</v>
      </c>
      <c r="N58" s="77">
        <f>'55'!$F$17</f>
        <v>5.840308577602995</v>
      </c>
      <c r="O58" s="77" t="str">
        <f>'55'!$F$18</f>
        <v/>
      </c>
      <c r="P58" s="77">
        <f>'55'!$F$19</f>
        <v>12.896231224744357</v>
      </c>
      <c r="Q58" s="77">
        <f>'55'!$F$20</f>
        <v>12.896260687355698</v>
      </c>
      <c r="R58" s="77">
        <f>'55'!$F$21</f>
        <v>12.896241229224996</v>
      </c>
      <c r="S58" s="77" t="str">
        <f>'55'!$F$22</f>
        <v/>
      </c>
      <c r="T58" s="77">
        <f>'55'!$F$23</f>
        <v>12.896242739885794</v>
      </c>
      <c r="U58" s="77">
        <f>'55'!$F$24</f>
        <v>12.895864133158549</v>
      </c>
      <c r="V58" s="77">
        <f>'55'!$F$25</f>
        <v>12.896275061857409</v>
      </c>
      <c r="W58" s="77">
        <f>'55'!$F$26</f>
        <v>12.896274031732483</v>
      </c>
      <c r="X58" s="77" t="str">
        <f>'55'!$F$27</f>
        <v/>
      </c>
      <c r="Y58" s="77">
        <f>'55'!$F$28</f>
        <v>12.896255533254507</v>
      </c>
      <c r="Z58" s="77">
        <f>'55'!$F$29</f>
        <v>12.896269648162606</v>
      </c>
      <c r="AA58" s="77">
        <f>'55'!$F$30</f>
        <v>12.896271707776059</v>
      </c>
      <c r="AB58" s="77" t="str">
        <f>'55'!$F$31</f>
        <v/>
      </c>
      <c r="AC58" s="77" t="str">
        <f>'55'!$F$32</f>
        <v/>
      </c>
      <c r="AD58" s="98">
        <f>'55'!$F$33</f>
        <v>12.896258311091646</v>
      </c>
    </row>
    <row r="59" spans="1:30" x14ac:dyDescent="0.2">
      <c r="A59" s="95" t="s">
        <v>952</v>
      </c>
      <c r="B59" s="77" t="str">
        <f>'56'!$F$5</f>
        <v/>
      </c>
      <c r="C59" s="77" t="str">
        <f>'56'!$F$6</f>
        <v/>
      </c>
      <c r="D59" s="77" t="str">
        <f>'56'!$F$7</f>
        <v/>
      </c>
      <c r="E59" s="77" t="str">
        <f>'56'!$F$8</f>
        <v/>
      </c>
      <c r="F59" s="77" t="str">
        <f>'56'!$F$9</f>
        <v/>
      </c>
      <c r="G59" s="77" t="str">
        <f>'56'!$F$10</f>
        <v/>
      </c>
      <c r="H59" s="77" t="str">
        <f>'56'!$F$11</f>
        <v/>
      </c>
      <c r="I59" s="77" t="str">
        <f>'56'!$F$12</f>
        <v/>
      </c>
      <c r="J59" s="77" t="str">
        <f>'56'!$F$13</f>
        <v/>
      </c>
      <c r="K59" s="77" t="str">
        <f>'56'!$F$14</f>
        <v/>
      </c>
      <c r="L59" s="77" t="str">
        <f>'56'!$F$15</f>
        <v/>
      </c>
      <c r="M59" s="77" t="str">
        <f>'56'!$F$16</f>
        <v/>
      </c>
      <c r="N59" s="77" t="str">
        <f>'56'!$F$17</f>
        <v/>
      </c>
      <c r="O59" s="77" t="str">
        <f>'56'!$F$18</f>
        <v/>
      </c>
      <c r="P59" s="77" t="str">
        <f>'56'!$F$19</f>
        <v/>
      </c>
      <c r="Q59" s="77" t="str">
        <f>'56'!$F$20</f>
        <v/>
      </c>
      <c r="R59" s="77" t="str">
        <f>'56'!$F$21</f>
        <v/>
      </c>
      <c r="S59" s="77" t="str">
        <f>'56'!$F$22</f>
        <v/>
      </c>
      <c r="T59" s="77" t="str">
        <f>'56'!$F$23</f>
        <v/>
      </c>
      <c r="U59" s="77" t="str">
        <f>'56'!$F$24</f>
        <v/>
      </c>
      <c r="V59" s="77" t="str">
        <f>'56'!$F$25</f>
        <v/>
      </c>
      <c r="W59" s="77" t="str">
        <f>'56'!$F$26</f>
        <v/>
      </c>
      <c r="X59" s="77" t="str">
        <f>'56'!$F$27</f>
        <v/>
      </c>
      <c r="Y59" s="77" t="str">
        <f>'56'!$F$28</f>
        <v/>
      </c>
      <c r="Z59" s="77" t="str">
        <f>'56'!$F$29</f>
        <v/>
      </c>
      <c r="AA59" s="77" t="str">
        <f>'56'!$F$30</f>
        <v/>
      </c>
      <c r="AB59" s="77" t="str">
        <f>'56'!$F$31</f>
        <v/>
      </c>
      <c r="AC59" s="77" t="str">
        <f>'56'!$F$32</f>
        <v/>
      </c>
      <c r="AD59" s="98" t="str">
        <f>'56'!$F$33</f>
        <v/>
      </c>
    </row>
    <row r="60" spans="1:30" ht="15" thickBot="1" x14ac:dyDescent="0.25">
      <c r="A60" s="76" t="s">
        <v>953</v>
      </c>
      <c r="B60" s="73" t="str">
        <f>'57'!$F$5</f>
        <v/>
      </c>
      <c r="C60" s="73" t="str">
        <f>'57'!$F$6</f>
        <v/>
      </c>
      <c r="D60" s="73">
        <f>'57'!$F$7</f>
        <v>16.664597731663772</v>
      </c>
      <c r="E60" s="73">
        <f>'57'!$F$8</f>
        <v>16.664588195381153</v>
      </c>
      <c r="F60" s="73" t="str">
        <f>'57'!$F$9</f>
        <v/>
      </c>
      <c r="G60" s="73">
        <f>'57'!$F$10</f>
        <v>16.6645975726918</v>
      </c>
      <c r="H60" s="73">
        <f>'57'!$F$11</f>
        <v>16.664595476934306</v>
      </c>
      <c r="I60" s="73">
        <f>'57'!$F$12</f>
        <v>16.664583110689208</v>
      </c>
      <c r="J60" s="73">
        <f>'57'!$F$13</f>
        <v>16.664603363215573</v>
      </c>
      <c r="K60" s="73" t="str">
        <f>'57'!$F$14</f>
        <v/>
      </c>
      <c r="L60" s="73">
        <f>'57'!$F$15</f>
        <v>16.66459599680973</v>
      </c>
      <c r="M60" s="73">
        <f>'57'!$F$16</f>
        <v>16.664603691424016</v>
      </c>
      <c r="N60" s="73">
        <f>'57'!$F$17</f>
        <v>16.664722362844593</v>
      </c>
      <c r="O60" s="73">
        <f>'57'!$F$18</f>
        <v>16.664577626308724</v>
      </c>
      <c r="P60" s="73" t="str">
        <f>'57'!$F$19</f>
        <v/>
      </c>
      <c r="Q60" s="73">
        <f>'57'!$F$20</f>
        <v>16.664598160336237</v>
      </c>
      <c r="R60" s="73" t="str">
        <f>'57'!$F$21</f>
        <v/>
      </c>
      <c r="S60" s="73">
        <f>'57'!$F$22</f>
        <v>16.664595098562373</v>
      </c>
      <c r="T60" s="73">
        <f>'57'!$F$23</f>
        <v>16.664596595380484</v>
      </c>
      <c r="U60" s="73">
        <f>'57'!$F$24</f>
        <v>16.664571283408062</v>
      </c>
      <c r="V60" s="73">
        <f>'57'!$F$25</f>
        <v>16.66458416808463</v>
      </c>
      <c r="W60" s="73">
        <f>'57'!$F$26</f>
        <v>16.664569377443765</v>
      </c>
      <c r="X60" s="73">
        <f>'57'!$F$27</f>
        <v>16.664571051677971</v>
      </c>
      <c r="Y60" s="73">
        <f>'57'!$F$28</f>
        <v>16.664690360796456</v>
      </c>
      <c r="Z60" s="73">
        <f>'57'!$F$29</f>
        <v>16.664584529579749</v>
      </c>
      <c r="AA60" s="73">
        <f>'57'!$F$30</f>
        <v>16.664565675220953</v>
      </c>
      <c r="AB60" s="73" t="str">
        <f>'57'!$F$31</f>
        <v/>
      </c>
      <c r="AC60" s="73" t="str">
        <f>'57'!$F$32</f>
        <v/>
      </c>
      <c r="AD60" s="75">
        <f>'57'!$F$33</f>
        <v>16.664592820100108</v>
      </c>
    </row>
    <row r="61" spans="1:30" s="70" customFormat="1" x14ac:dyDescent="0.2">
      <c r="A61" s="93" t="s">
        <v>35</v>
      </c>
      <c r="B61" s="148">
        <f>Summary!$F$5</f>
        <v>8.9459923907540038</v>
      </c>
      <c r="C61" s="148">
        <f>Summary!$F$6</f>
        <v>9.8950420932895486</v>
      </c>
      <c r="D61" s="148">
        <f>Summary!$F$7</f>
        <v>7.7869596956256011</v>
      </c>
      <c r="E61" s="148">
        <f>Summary!$F$8</f>
        <v>7.9514487703004368</v>
      </c>
      <c r="F61" s="148">
        <f>Summary!$F$9</f>
        <v>35.064015681109112</v>
      </c>
      <c r="G61" s="148">
        <f>Summary!$F$10</f>
        <v>8.9135549933875176</v>
      </c>
      <c r="H61" s="148">
        <f>Summary!$F$11</f>
        <v>9.8773789312762741</v>
      </c>
      <c r="I61" s="148">
        <f>Summary!$F$12</f>
        <v>10.673804372943733</v>
      </c>
      <c r="J61" s="148">
        <f>Summary!$F$13</f>
        <v>7.7785581546913374</v>
      </c>
      <c r="K61" s="148">
        <f>Summary!$F$14</f>
        <v>11.277205573362895</v>
      </c>
      <c r="L61" s="148">
        <f>Summary!$F$15</f>
        <v>8.4264374352275713</v>
      </c>
      <c r="M61" s="148">
        <f>Summary!$F$16</f>
        <v>8.2593827201899597</v>
      </c>
      <c r="N61" s="148">
        <f>Summary!$F$17</f>
        <v>7.5285434016318522</v>
      </c>
      <c r="O61" s="148">
        <f>Summary!$F$18</f>
        <v>12.214498350729462</v>
      </c>
      <c r="P61" s="148">
        <f>Summary!$F$19</f>
        <v>17.743962007010442</v>
      </c>
      <c r="Q61" s="148">
        <f>Summary!$F$20</f>
        <v>9.9532602049975178</v>
      </c>
      <c r="R61" s="148">
        <f>Summary!$F$21</f>
        <v>12.498638367095474</v>
      </c>
      <c r="S61" s="148">
        <f>Summary!$F$22</f>
        <v>9.6819620212801532</v>
      </c>
      <c r="T61" s="148">
        <f>Summary!$F$23</f>
        <v>7.5967619035937064</v>
      </c>
      <c r="U61" s="148">
        <f>Summary!$F$24</f>
        <v>10.076582128857593</v>
      </c>
      <c r="V61" s="148">
        <f>Summary!$F$25</f>
        <v>10.221683915849301</v>
      </c>
      <c r="W61" s="148">
        <f>Summary!$F$26</f>
        <v>9.3156647280961771</v>
      </c>
      <c r="X61" s="148">
        <f>Summary!$F$27</f>
        <v>9.3467053854110613</v>
      </c>
      <c r="Y61" s="148">
        <f>Summary!$F$28</f>
        <v>8.5938489145308665</v>
      </c>
      <c r="Z61" s="148">
        <f>Summary!$F$29</f>
        <v>7.0742804305984075</v>
      </c>
      <c r="AA61" s="148">
        <f>Summary!$F$30</f>
        <v>9.6981825054517703</v>
      </c>
      <c r="AB61" s="148"/>
      <c r="AC61" s="148"/>
      <c r="AD61" s="149">
        <f>Summary!$F$33</f>
        <v>8.4164041405961765</v>
      </c>
    </row>
    <row r="62" spans="1:30" s="70" customFormat="1" x14ac:dyDescent="0.2">
      <c r="A62" s="100" t="s">
        <v>959</v>
      </c>
      <c r="B62" s="19">
        <f>AVERAGE(B$4:B$60)</f>
        <v>9.5313699001893326</v>
      </c>
      <c r="C62" s="19">
        <f t="shared" ref="C62:AD62" si="0">AVERAGE(C$4:C$60)</f>
        <v>9.7021145321594222</v>
      </c>
      <c r="D62" s="19">
        <f t="shared" si="0"/>
        <v>7.6742904566954531</v>
      </c>
      <c r="E62" s="19">
        <f t="shared" si="0"/>
        <v>7.9628237947377132</v>
      </c>
      <c r="F62" s="19">
        <f t="shared" si="0"/>
        <v>31.764352049177436</v>
      </c>
      <c r="G62" s="19">
        <f t="shared" si="0"/>
        <v>10.637052446481352</v>
      </c>
      <c r="H62" s="19">
        <f t="shared" si="0"/>
        <v>11.255186592043307</v>
      </c>
      <c r="I62" s="19">
        <f t="shared" si="0"/>
        <v>12.888469033422801</v>
      </c>
      <c r="J62" s="19">
        <f t="shared" si="0"/>
        <v>7.7433484820628573</v>
      </c>
      <c r="K62" s="19">
        <f t="shared" si="0"/>
        <v>18.657613450636678</v>
      </c>
      <c r="L62" s="19">
        <f t="shared" si="0"/>
        <v>8.8066997536573712</v>
      </c>
      <c r="M62" s="19">
        <f t="shared" si="0"/>
        <v>8.032648173252495</v>
      </c>
      <c r="N62" s="19">
        <f t="shared" si="0"/>
        <v>8.2604981116052567</v>
      </c>
      <c r="O62" s="19">
        <f t="shared" si="0"/>
        <v>12.227527336751452</v>
      </c>
      <c r="P62" s="19">
        <f t="shared" si="0"/>
        <v>19.130102076644221</v>
      </c>
      <c r="Q62" s="19">
        <f t="shared" si="0"/>
        <v>9.5817797928758974</v>
      </c>
      <c r="R62" s="19">
        <f t="shared" si="0"/>
        <v>12.374115343319053</v>
      </c>
      <c r="S62" s="19">
        <f t="shared" si="0"/>
        <v>10.511800156429347</v>
      </c>
      <c r="T62" s="19">
        <f t="shared" si="0"/>
        <v>7.7844799611389828</v>
      </c>
      <c r="U62" s="19">
        <f t="shared" si="0"/>
        <v>10.526815234202452</v>
      </c>
      <c r="V62" s="19">
        <f t="shared" si="0"/>
        <v>11.634248778749404</v>
      </c>
      <c r="W62" s="19">
        <f t="shared" si="0"/>
        <v>9.7520830585365257</v>
      </c>
      <c r="X62" s="19">
        <f t="shared" si="0"/>
        <v>10.133196267854625</v>
      </c>
      <c r="Y62" s="19">
        <f t="shared" si="0"/>
        <v>8.3841154790087575</v>
      </c>
      <c r="Z62" s="19">
        <f t="shared" si="0"/>
        <v>7.0175495606569216</v>
      </c>
      <c r="AA62" s="19">
        <f t="shared" si="0"/>
        <v>9.2017808450573124</v>
      </c>
      <c r="AB62" s="19"/>
      <c r="AC62" s="19"/>
      <c r="AD62" s="22">
        <f t="shared" si="0"/>
        <v>8.3321266690298277</v>
      </c>
    </row>
    <row r="63" spans="1:30" s="70" customFormat="1" x14ac:dyDescent="0.2">
      <c r="A63" s="100" t="s">
        <v>960</v>
      </c>
      <c r="B63" s="19">
        <f>MAX(B$4:B$60)</f>
        <v>21.203447804957477</v>
      </c>
      <c r="C63" s="19">
        <f t="shared" ref="C63:AD63" si="1">MAX(C$4:C$60)</f>
        <v>20.76308010775336</v>
      </c>
      <c r="D63" s="19">
        <f t="shared" si="1"/>
        <v>16.664597731663772</v>
      </c>
      <c r="E63" s="19">
        <f t="shared" si="1"/>
        <v>16.664588195381153</v>
      </c>
      <c r="F63" s="19">
        <f t="shared" si="1"/>
        <v>106.94003399011892</v>
      </c>
      <c r="G63" s="19">
        <f t="shared" si="1"/>
        <v>46.621407546241841</v>
      </c>
      <c r="H63" s="19">
        <f t="shared" si="1"/>
        <v>45.815291963121403</v>
      </c>
      <c r="I63" s="19">
        <f t="shared" si="1"/>
        <v>51.836441058557682</v>
      </c>
      <c r="J63" s="19">
        <f t="shared" si="1"/>
        <v>16.664603363215573</v>
      </c>
      <c r="K63" s="19">
        <f t="shared" si="1"/>
        <v>158.11850140411559</v>
      </c>
      <c r="L63" s="19">
        <f t="shared" si="1"/>
        <v>25.121387917079058</v>
      </c>
      <c r="M63" s="19">
        <f t="shared" si="1"/>
        <v>16.664603691424016</v>
      </c>
      <c r="N63" s="19">
        <f t="shared" si="1"/>
        <v>37.064593549925078</v>
      </c>
      <c r="O63" s="19">
        <f t="shared" si="1"/>
        <v>22.819282626055532</v>
      </c>
      <c r="P63" s="19">
        <f t="shared" si="1"/>
        <v>31.583077669746842</v>
      </c>
      <c r="Q63" s="19">
        <f t="shared" si="1"/>
        <v>21.588572543523227</v>
      </c>
      <c r="R63" s="19">
        <f t="shared" si="1"/>
        <v>18.373765086898679</v>
      </c>
      <c r="S63" s="19">
        <f t="shared" si="1"/>
        <v>41.315896680377939</v>
      </c>
      <c r="T63" s="19">
        <f t="shared" si="1"/>
        <v>16.664596595380484</v>
      </c>
      <c r="U63" s="19">
        <f t="shared" si="1"/>
        <v>18.799433422873722</v>
      </c>
      <c r="V63" s="19">
        <f t="shared" si="1"/>
        <v>49.15235418518148</v>
      </c>
      <c r="W63" s="19">
        <f t="shared" si="1"/>
        <v>31.112665049691117</v>
      </c>
      <c r="X63" s="19">
        <f t="shared" si="1"/>
        <v>23.458568459007846</v>
      </c>
      <c r="Y63" s="19">
        <f t="shared" si="1"/>
        <v>16.664690360796456</v>
      </c>
      <c r="Z63" s="19">
        <f t="shared" si="1"/>
        <v>16.664584529579749</v>
      </c>
      <c r="AA63" s="19">
        <f t="shared" si="1"/>
        <v>16.664565675220953</v>
      </c>
      <c r="AB63" s="19"/>
      <c r="AC63" s="19"/>
      <c r="AD63" s="22">
        <f t="shared" si="1"/>
        <v>16.664592820100108</v>
      </c>
    </row>
    <row r="64" spans="1:30" s="70" customFormat="1" x14ac:dyDescent="0.2">
      <c r="A64" s="100" t="s">
        <v>961</v>
      </c>
      <c r="B64" s="19">
        <f>MIN(B$4:B$60)</f>
        <v>4.4052561971311981</v>
      </c>
      <c r="C64" s="19">
        <f t="shared" ref="C64:AD64" si="2">MIN(C$4:C$60)</f>
        <v>3.635518197059902</v>
      </c>
      <c r="D64" s="19">
        <f t="shared" si="2"/>
        <v>4.1966373797640637</v>
      </c>
      <c r="E64" s="19">
        <f t="shared" si="2"/>
        <v>3.526467696821225</v>
      </c>
      <c r="F64" s="19">
        <f t="shared" si="2"/>
        <v>4.7655607682760293</v>
      </c>
      <c r="G64" s="19">
        <f t="shared" si="2"/>
        <v>2.7103646995577013</v>
      </c>
      <c r="H64" s="19">
        <f t="shared" si="2"/>
        <v>3.9061386792833939</v>
      </c>
      <c r="I64" s="19">
        <f t="shared" si="2"/>
        <v>3.0756696595853921</v>
      </c>
      <c r="J64" s="19">
        <f t="shared" si="2"/>
        <v>3.0239476662930258</v>
      </c>
      <c r="K64" s="19">
        <f t="shared" si="2"/>
        <v>3.6344743617443163</v>
      </c>
      <c r="L64" s="19">
        <f t="shared" si="2"/>
        <v>3.2432249051746056</v>
      </c>
      <c r="M64" s="19">
        <f t="shared" si="2"/>
        <v>4.8428438167147192</v>
      </c>
      <c r="N64" s="19">
        <f t="shared" si="2"/>
        <v>3.5153806847324542</v>
      </c>
      <c r="O64" s="19">
        <f t="shared" si="2"/>
        <v>6.4453713900700675</v>
      </c>
      <c r="P64" s="19">
        <f t="shared" si="2"/>
        <v>8.7007773748995891</v>
      </c>
      <c r="Q64" s="19">
        <f t="shared" si="2"/>
        <v>3.7289019974228044</v>
      </c>
      <c r="R64" s="19">
        <f t="shared" si="2"/>
        <v>8.4954440236812676</v>
      </c>
      <c r="S64" s="19">
        <f t="shared" si="2"/>
        <v>5.6678691764425029</v>
      </c>
      <c r="T64" s="19">
        <f t="shared" si="2"/>
        <v>4.0650701250585728</v>
      </c>
      <c r="U64" s="19">
        <f t="shared" si="2"/>
        <v>5.3690543935529718</v>
      </c>
      <c r="V64" s="19">
        <f t="shared" si="2"/>
        <v>2.830995029593721</v>
      </c>
      <c r="W64" s="19">
        <f t="shared" si="2"/>
        <v>2.5907997613978346</v>
      </c>
      <c r="X64" s="19">
        <f t="shared" si="2"/>
        <v>3.6375664136502364</v>
      </c>
      <c r="Y64" s="19">
        <f t="shared" si="2"/>
        <v>3.2897348027628248</v>
      </c>
      <c r="Z64" s="19">
        <f t="shared" si="2"/>
        <v>4.1869452202892932</v>
      </c>
      <c r="AA64" s="19">
        <f t="shared" si="2"/>
        <v>4.5062712797754614</v>
      </c>
      <c r="AB64" s="19"/>
      <c r="AC64" s="19"/>
      <c r="AD64" s="22">
        <f t="shared" si="2"/>
        <v>4.8550314418863083</v>
      </c>
    </row>
    <row r="65" spans="1:30" s="70" customFormat="1" ht="15" thickBot="1" x14ac:dyDescent="0.25">
      <c r="A65" s="94" t="s">
        <v>962</v>
      </c>
      <c r="B65" s="68">
        <f>MEDIAN(B$4:B$60)</f>
        <v>8.6128712501796141</v>
      </c>
      <c r="C65" s="68">
        <f t="shared" ref="C65:AD65" si="3">MEDIAN(C$4:C$60)</f>
        <v>9.4719670400949614</v>
      </c>
      <c r="D65" s="68">
        <f t="shared" si="3"/>
        <v>7.3414033318368235</v>
      </c>
      <c r="E65" s="68">
        <f t="shared" si="3"/>
        <v>7.9271069688621516</v>
      </c>
      <c r="F65" s="68">
        <f t="shared" si="3"/>
        <v>18.833436316150415</v>
      </c>
      <c r="G65" s="68">
        <f t="shared" si="3"/>
        <v>8.951939066956939</v>
      </c>
      <c r="H65" s="68">
        <f t="shared" si="3"/>
        <v>10.445328319722556</v>
      </c>
      <c r="I65" s="68">
        <f t="shared" si="3"/>
        <v>9.5928888648103658</v>
      </c>
      <c r="J65" s="68">
        <f t="shared" si="3"/>
        <v>7.4474583465765685</v>
      </c>
      <c r="K65" s="68">
        <f t="shared" si="3"/>
        <v>10.113148869980478</v>
      </c>
      <c r="L65" s="68">
        <f t="shared" si="3"/>
        <v>7.3147536281242482</v>
      </c>
      <c r="M65" s="68">
        <f t="shared" si="3"/>
        <v>8.0963189005737917</v>
      </c>
      <c r="N65" s="68">
        <f t="shared" si="3"/>
        <v>7.4357531311641516</v>
      </c>
      <c r="O65" s="68">
        <f t="shared" si="3"/>
        <v>11.48512437785039</v>
      </c>
      <c r="P65" s="68">
        <f t="shared" si="3"/>
        <v>18.279741507674956</v>
      </c>
      <c r="Q65" s="68">
        <f t="shared" si="3"/>
        <v>9.4475850943709041</v>
      </c>
      <c r="R65" s="68">
        <f t="shared" si="3"/>
        <v>11.646693813702646</v>
      </c>
      <c r="S65" s="68">
        <f t="shared" si="3"/>
        <v>9.3727520292420774</v>
      </c>
      <c r="T65" s="68">
        <f t="shared" si="3"/>
        <v>7.5317029792211621</v>
      </c>
      <c r="U65" s="68">
        <f t="shared" si="3"/>
        <v>10.186436940772072</v>
      </c>
      <c r="V65" s="68">
        <f t="shared" si="3"/>
        <v>9.5333115858144186</v>
      </c>
      <c r="W65" s="68">
        <f t="shared" si="3"/>
        <v>8.7623380480015385</v>
      </c>
      <c r="X65" s="68">
        <f t="shared" si="3"/>
        <v>9.7093196835231002</v>
      </c>
      <c r="Y65" s="68">
        <f t="shared" si="3"/>
        <v>8.3704630391804162</v>
      </c>
      <c r="Z65" s="68">
        <f t="shared" si="3"/>
        <v>6.5877420713178685</v>
      </c>
      <c r="AA65" s="68">
        <f t="shared" si="3"/>
        <v>8.8492736833895904</v>
      </c>
      <c r="AB65" s="68"/>
      <c r="AC65" s="68"/>
      <c r="AD65" s="26">
        <f t="shared" si="3"/>
        <v>8.211262378059045</v>
      </c>
    </row>
    <row r="66" spans="1:30" ht="15" thickBot="1" x14ac:dyDescent="0.2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5" customHeight="1" x14ac:dyDescent="0.2">
      <c r="B67" s="203" t="s">
        <v>955</v>
      </c>
      <c r="C67" s="204"/>
      <c r="D67" s="204"/>
      <c r="E67" s="204"/>
      <c r="F67" s="204"/>
      <c r="G67" s="204"/>
      <c r="H67" s="204"/>
      <c r="I67" s="204"/>
      <c r="J67" s="204"/>
      <c r="K67" s="205"/>
      <c r="L67" s="203" t="s">
        <v>955</v>
      </c>
      <c r="M67" s="204"/>
      <c r="N67" s="204"/>
      <c r="O67" s="204"/>
      <c r="P67" s="204"/>
      <c r="Q67" s="204"/>
      <c r="R67" s="204"/>
      <c r="S67" s="204"/>
      <c r="T67" s="204"/>
      <c r="U67" s="205"/>
      <c r="V67" s="203" t="s">
        <v>955</v>
      </c>
      <c r="W67" s="204"/>
      <c r="X67" s="204"/>
      <c r="Y67" s="204"/>
      <c r="Z67" s="204"/>
      <c r="AA67" s="204"/>
      <c r="AB67" s="204"/>
      <c r="AC67" s="204"/>
      <c r="AD67" s="205"/>
    </row>
    <row r="68" spans="1:30" x14ac:dyDescent="0.2">
      <c r="B68" s="206" t="s">
        <v>966</v>
      </c>
      <c r="C68" s="207"/>
      <c r="D68" s="207"/>
      <c r="E68" s="207"/>
      <c r="F68" s="207"/>
      <c r="G68" s="207"/>
      <c r="H68" s="207"/>
      <c r="I68" s="207"/>
      <c r="J68" s="207"/>
      <c r="K68" s="208"/>
      <c r="L68" s="206" t="s">
        <v>1002</v>
      </c>
      <c r="M68" s="207"/>
      <c r="N68" s="207"/>
      <c r="O68" s="207"/>
      <c r="P68" s="207"/>
      <c r="Q68" s="207"/>
      <c r="R68" s="207"/>
      <c r="S68" s="207"/>
      <c r="T68" s="207"/>
      <c r="U68" s="208"/>
      <c r="V68" s="206" t="s">
        <v>985</v>
      </c>
      <c r="W68" s="207"/>
      <c r="X68" s="207"/>
      <c r="Y68" s="207"/>
      <c r="Z68" s="207"/>
      <c r="AA68" s="207"/>
      <c r="AB68" s="207"/>
      <c r="AC68" s="207"/>
      <c r="AD68" s="208"/>
    </row>
    <row r="69" spans="1:30" x14ac:dyDescent="0.2">
      <c r="B69" s="206" t="s">
        <v>967</v>
      </c>
      <c r="C69" s="207"/>
      <c r="D69" s="207"/>
      <c r="E69" s="207"/>
      <c r="F69" s="207"/>
      <c r="G69" s="207"/>
      <c r="H69" s="207"/>
      <c r="I69" s="207"/>
      <c r="J69" s="207"/>
      <c r="K69" s="208"/>
      <c r="L69" s="206" t="s">
        <v>976</v>
      </c>
      <c r="M69" s="207"/>
      <c r="N69" s="207"/>
      <c r="O69" s="207"/>
      <c r="P69" s="207"/>
      <c r="Q69" s="207"/>
      <c r="R69" s="207"/>
      <c r="S69" s="207"/>
      <c r="T69" s="207"/>
      <c r="U69" s="208"/>
      <c r="V69" s="206" t="s">
        <v>986</v>
      </c>
      <c r="W69" s="207"/>
      <c r="X69" s="207"/>
      <c r="Y69" s="207"/>
      <c r="Z69" s="207"/>
      <c r="AA69" s="207"/>
      <c r="AB69" s="207"/>
      <c r="AC69" s="207"/>
      <c r="AD69" s="208"/>
    </row>
    <row r="70" spans="1:30" x14ac:dyDescent="0.2">
      <c r="B70" s="206" t="s">
        <v>969</v>
      </c>
      <c r="C70" s="207"/>
      <c r="D70" s="207"/>
      <c r="E70" s="207"/>
      <c r="F70" s="207"/>
      <c r="G70" s="207"/>
      <c r="H70" s="207"/>
      <c r="I70" s="207"/>
      <c r="J70" s="207"/>
      <c r="K70" s="208"/>
      <c r="L70" s="206" t="s">
        <v>977</v>
      </c>
      <c r="M70" s="207"/>
      <c r="N70" s="207"/>
      <c r="O70" s="207"/>
      <c r="P70" s="207"/>
      <c r="Q70" s="207"/>
      <c r="R70" s="207"/>
      <c r="S70" s="207"/>
      <c r="T70" s="207"/>
      <c r="U70" s="208"/>
      <c r="V70" s="206" t="s">
        <v>987</v>
      </c>
      <c r="W70" s="207"/>
      <c r="X70" s="207"/>
      <c r="Y70" s="207"/>
      <c r="Z70" s="207"/>
      <c r="AA70" s="207"/>
      <c r="AB70" s="207"/>
      <c r="AC70" s="207"/>
      <c r="AD70" s="208"/>
    </row>
    <row r="71" spans="1:30" x14ac:dyDescent="0.2">
      <c r="B71" s="206" t="s">
        <v>968</v>
      </c>
      <c r="C71" s="207"/>
      <c r="D71" s="207"/>
      <c r="E71" s="207"/>
      <c r="F71" s="207"/>
      <c r="G71" s="207"/>
      <c r="H71" s="207"/>
      <c r="I71" s="207"/>
      <c r="J71" s="207"/>
      <c r="K71" s="208"/>
      <c r="L71" s="206" t="s">
        <v>978</v>
      </c>
      <c r="M71" s="207"/>
      <c r="N71" s="207"/>
      <c r="O71" s="207"/>
      <c r="P71" s="207"/>
      <c r="Q71" s="207"/>
      <c r="R71" s="207"/>
      <c r="S71" s="207"/>
      <c r="T71" s="207"/>
      <c r="U71" s="208"/>
      <c r="V71" s="206" t="s">
        <v>988</v>
      </c>
      <c r="W71" s="207"/>
      <c r="X71" s="207"/>
      <c r="Y71" s="207"/>
      <c r="Z71" s="207"/>
      <c r="AA71" s="207"/>
      <c r="AB71" s="207"/>
      <c r="AC71" s="207"/>
      <c r="AD71" s="208"/>
    </row>
    <row r="72" spans="1:30" x14ac:dyDescent="0.2">
      <c r="B72" s="206" t="s">
        <v>970</v>
      </c>
      <c r="C72" s="207"/>
      <c r="D72" s="207"/>
      <c r="E72" s="207"/>
      <c r="F72" s="207"/>
      <c r="G72" s="207"/>
      <c r="H72" s="207"/>
      <c r="I72" s="207"/>
      <c r="J72" s="207"/>
      <c r="K72" s="208"/>
      <c r="L72" s="206" t="s">
        <v>979</v>
      </c>
      <c r="M72" s="207"/>
      <c r="N72" s="207"/>
      <c r="O72" s="207"/>
      <c r="P72" s="207"/>
      <c r="Q72" s="207"/>
      <c r="R72" s="207"/>
      <c r="S72" s="207"/>
      <c r="T72" s="207"/>
      <c r="U72" s="208"/>
      <c r="V72" s="206" t="s">
        <v>989</v>
      </c>
      <c r="W72" s="207"/>
      <c r="X72" s="207"/>
      <c r="Y72" s="207"/>
      <c r="Z72" s="207"/>
      <c r="AA72" s="207"/>
      <c r="AB72" s="207"/>
      <c r="AC72" s="207"/>
      <c r="AD72" s="208"/>
    </row>
    <row r="73" spans="1:30" x14ac:dyDescent="0.2">
      <c r="B73" s="206" t="s">
        <v>971</v>
      </c>
      <c r="C73" s="207"/>
      <c r="D73" s="207"/>
      <c r="E73" s="207"/>
      <c r="F73" s="207"/>
      <c r="G73" s="207"/>
      <c r="H73" s="207"/>
      <c r="I73" s="207"/>
      <c r="J73" s="207"/>
      <c r="K73" s="208"/>
      <c r="L73" s="206" t="s">
        <v>980</v>
      </c>
      <c r="M73" s="207"/>
      <c r="N73" s="207"/>
      <c r="O73" s="207"/>
      <c r="P73" s="207"/>
      <c r="Q73" s="207"/>
      <c r="R73" s="207"/>
      <c r="S73" s="207"/>
      <c r="T73" s="207"/>
      <c r="U73" s="208"/>
      <c r="V73" s="206" t="s">
        <v>990</v>
      </c>
      <c r="W73" s="207"/>
      <c r="X73" s="207"/>
      <c r="Y73" s="207"/>
      <c r="Z73" s="207"/>
      <c r="AA73" s="207"/>
      <c r="AB73" s="207"/>
      <c r="AC73" s="207"/>
      <c r="AD73" s="208"/>
    </row>
    <row r="74" spans="1:30" x14ac:dyDescent="0.2">
      <c r="B74" s="206" t="s">
        <v>972</v>
      </c>
      <c r="C74" s="207"/>
      <c r="D74" s="207"/>
      <c r="E74" s="207"/>
      <c r="F74" s="207"/>
      <c r="G74" s="207"/>
      <c r="H74" s="207"/>
      <c r="I74" s="207"/>
      <c r="J74" s="207"/>
      <c r="K74" s="208"/>
      <c r="L74" s="206" t="s">
        <v>981</v>
      </c>
      <c r="M74" s="207"/>
      <c r="N74" s="207"/>
      <c r="O74" s="207"/>
      <c r="P74" s="207"/>
      <c r="Q74" s="207"/>
      <c r="R74" s="207"/>
      <c r="S74" s="207"/>
      <c r="T74" s="207"/>
      <c r="U74" s="208"/>
      <c r="V74" s="200"/>
      <c r="W74" s="201"/>
      <c r="X74" s="201"/>
      <c r="Y74" s="201"/>
      <c r="Z74" s="201"/>
      <c r="AA74" s="201"/>
      <c r="AB74" s="201"/>
      <c r="AC74" s="201"/>
      <c r="AD74" s="202"/>
    </row>
    <row r="75" spans="1:30" x14ac:dyDescent="0.2">
      <c r="B75" s="206" t="s">
        <v>973</v>
      </c>
      <c r="C75" s="207"/>
      <c r="D75" s="207"/>
      <c r="E75" s="207"/>
      <c r="F75" s="207"/>
      <c r="G75" s="207"/>
      <c r="H75" s="207"/>
      <c r="I75" s="207"/>
      <c r="J75" s="207"/>
      <c r="K75" s="208"/>
      <c r="L75" s="206" t="s">
        <v>982</v>
      </c>
      <c r="M75" s="207"/>
      <c r="N75" s="207"/>
      <c r="O75" s="207"/>
      <c r="P75" s="207"/>
      <c r="Q75" s="207"/>
      <c r="R75" s="207"/>
      <c r="S75" s="207"/>
      <c r="T75" s="207"/>
      <c r="U75" s="208"/>
      <c r="V75" s="206" t="s">
        <v>991</v>
      </c>
      <c r="W75" s="207"/>
      <c r="X75" s="207"/>
      <c r="Y75" s="207"/>
      <c r="Z75" s="207"/>
      <c r="AA75" s="207"/>
      <c r="AB75" s="207"/>
      <c r="AC75" s="207"/>
      <c r="AD75" s="208"/>
    </row>
    <row r="76" spans="1:30" x14ac:dyDescent="0.2">
      <c r="B76" s="206" t="s">
        <v>974</v>
      </c>
      <c r="C76" s="207"/>
      <c r="D76" s="207"/>
      <c r="E76" s="207"/>
      <c r="F76" s="207"/>
      <c r="G76" s="207"/>
      <c r="H76" s="207"/>
      <c r="I76" s="207"/>
      <c r="J76" s="207"/>
      <c r="K76" s="208"/>
      <c r="L76" s="206" t="s">
        <v>983</v>
      </c>
      <c r="M76" s="207"/>
      <c r="N76" s="207"/>
      <c r="O76" s="207"/>
      <c r="P76" s="207"/>
      <c r="Q76" s="207"/>
      <c r="R76" s="207"/>
      <c r="S76" s="207"/>
      <c r="T76" s="207"/>
      <c r="U76" s="208"/>
      <c r="V76" s="206" t="s">
        <v>992</v>
      </c>
      <c r="W76" s="207"/>
      <c r="X76" s="207"/>
      <c r="Y76" s="207"/>
      <c r="Z76" s="207"/>
      <c r="AA76" s="207"/>
      <c r="AB76" s="207"/>
      <c r="AC76" s="207"/>
      <c r="AD76" s="208"/>
    </row>
    <row r="77" spans="1:30" ht="15" thickBot="1" x14ac:dyDescent="0.25">
      <c r="B77" s="197" t="s">
        <v>975</v>
      </c>
      <c r="C77" s="198"/>
      <c r="D77" s="198"/>
      <c r="E77" s="198"/>
      <c r="F77" s="198"/>
      <c r="G77" s="198"/>
      <c r="H77" s="198"/>
      <c r="I77" s="198"/>
      <c r="J77" s="198"/>
      <c r="K77" s="199"/>
      <c r="L77" s="197" t="s">
        <v>984</v>
      </c>
      <c r="M77" s="198"/>
      <c r="N77" s="198"/>
      <c r="O77" s="198"/>
      <c r="P77" s="198"/>
      <c r="Q77" s="198"/>
      <c r="R77" s="198"/>
      <c r="S77" s="198"/>
      <c r="T77" s="198"/>
      <c r="U77" s="199"/>
      <c r="V77" s="197" t="s">
        <v>993</v>
      </c>
      <c r="W77" s="198"/>
      <c r="X77" s="198"/>
      <c r="Y77" s="198"/>
      <c r="Z77" s="198"/>
      <c r="AA77" s="198"/>
      <c r="AB77" s="198"/>
      <c r="AC77" s="198"/>
      <c r="AD77" s="199"/>
    </row>
    <row r="95" s="70" customFormat="1" x14ac:dyDescent="0.2"/>
    <row r="96" s="70" customFormat="1" x14ac:dyDescent="0.2"/>
  </sheetData>
  <mergeCells count="33">
    <mergeCell ref="B67:K67"/>
    <mergeCell ref="B73:K73"/>
    <mergeCell ref="B74:K74"/>
    <mergeCell ref="B75:K75"/>
    <mergeCell ref="B76:K76"/>
    <mergeCell ref="B77:K77"/>
    <mergeCell ref="B68:K68"/>
    <mergeCell ref="B69:K69"/>
    <mergeCell ref="B70:K70"/>
    <mergeCell ref="B71:K71"/>
    <mergeCell ref="B72:K72"/>
    <mergeCell ref="V73:AD73"/>
    <mergeCell ref="V75:AD75"/>
    <mergeCell ref="V76:AD76"/>
    <mergeCell ref="V68:AD68"/>
    <mergeCell ref="V69:AD69"/>
    <mergeCell ref="V70:AD70"/>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s>
  <conditionalFormatting sqref="B4:AC60">
    <cfRule type="top10" dxfId="0"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22"/>
  <sheetViews>
    <sheetView showGridLines="0" zoomScale="70" zoomScaleNormal="70"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27.140625" style="70" customWidth="1"/>
    <col min="2" max="2" width="14.5703125" style="70" bestFit="1" customWidth="1"/>
    <col min="3" max="3" width="17.7109375" style="70" bestFit="1" customWidth="1"/>
    <col min="4" max="4" width="11.42578125" style="70" bestFit="1" customWidth="1"/>
    <col min="5" max="5" width="15.7109375" style="70" bestFit="1" customWidth="1"/>
    <col min="6" max="6" width="11.42578125" style="70" bestFit="1" customWidth="1"/>
    <col min="7" max="7" width="15.7109375" style="70" bestFit="1" customWidth="1"/>
    <col min="8" max="8" width="11.42578125" style="70" bestFit="1" customWidth="1"/>
    <col min="9" max="9" width="16.28515625" style="70" bestFit="1" customWidth="1"/>
    <col min="10" max="10" width="16.42578125" style="70" bestFit="1" customWidth="1"/>
    <col min="11" max="11" width="15.7109375" style="70" bestFit="1" customWidth="1"/>
    <col min="12" max="12" width="11.42578125" style="70" bestFit="1" customWidth="1"/>
    <col min="13" max="13" width="16.28515625" style="70" bestFit="1" customWidth="1"/>
    <col min="14" max="16" width="11.42578125" style="70" bestFit="1" customWidth="1"/>
    <col min="17" max="17" width="14.5703125" style="70" bestFit="1" customWidth="1"/>
    <col min="18" max="18" width="11.42578125" style="70" bestFit="1" customWidth="1"/>
    <col min="19" max="19" width="14.5703125" style="70" bestFit="1" customWidth="1"/>
    <col min="20" max="20" width="11.42578125" style="70" bestFit="1" customWidth="1"/>
    <col min="21" max="21" width="14.85546875" style="70" bestFit="1" customWidth="1"/>
    <col min="22" max="22" width="11.42578125" style="70" bestFit="1" customWidth="1"/>
    <col min="23" max="27" width="13.140625" style="70" customWidth="1"/>
    <col min="28" max="29" width="9.140625" style="70"/>
    <col min="30" max="30" width="17.85546875" style="70" bestFit="1" customWidth="1"/>
    <col min="31" max="33" width="9.140625" style="70"/>
    <col min="34" max="34" width="17.85546875" style="70" bestFit="1" customWidth="1"/>
    <col min="35" max="16384" width="9.140625" style="70"/>
  </cols>
  <sheetData>
    <row r="1" spans="1:24" x14ac:dyDescent="0.2">
      <c r="A1" s="39" t="str">
        <f>Summary!A1</f>
        <v>Community and Technical Colleges, Report of Fundable Operating Expenses, Fiscal Year (FY) 2009</v>
      </c>
      <c r="B1" s="39"/>
      <c r="D1" s="39"/>
      <c r="E1" s="39"/>
      <c r="F1" s="39"/>
      <c r="G1" s="39"/>
      <c r="I1" s="39"/>
      <c r="J1" s="40"/>
      <c r="K1" s="39"/>
    </row>
    <row r="2" spans="1:24" x14ac:dyDescent="0.2">
      <c r="A2" s="72" t="s">
        <v>1032</v>
      </c>
      <c r="B2" s="72"/>
      <c r="X2" s="92" t="s">
        <v>955</v>
      </c>
    </row>
    <row r="3" spans="1:24" x14ac:dyDescent="0.2">
      <c r="A3" s="4">
        <v>29</v>
      </c>
      <c r="X3" s="79" t="s">
        <v>0</v>
      </c>
    </row>
    <row r="4" spans="1:24" ht="15" thickBot="1" x14ac:dyDescent="0.25">
      <c r="X4" s="79" t="s">
        <v>1</v>
      </c>
    </row>
    <row r="5" spans="1:24" s="87" customFormat="1" ht="56.25" customHeight="1" x14ac:dyDescent="0.2">
      <c r="A5" s="46" t="s">
        <v>954</v>
      </c>
      <c r="B5" s="210" t="s">
        <v>27</v>
      </c>
      <c r="C5" s="194" t="s">
        <v>35</v>
      </c>
      <c r="D5" s="195"/>
      <c r="E5" s="194" t="s">
        <v>464</v>
      </c>
      <c r="F5" s="195"/>
      <c r="G5" s="194" t="s">
        <v>32</v>
      </c>
      <c r="H5" s="195"/>
      <c r="I5" s="194" t="s">
        <v>30</v>
      </c>
      <c r="J5" s="195"/>
      <c r="K5" s="194" t="s">
        <v>31</v>
      </c>
      <c r="L5" s="195"/>
      <c r="M5" s="194" t="s">
        <v>465</v>
      </c>
      <c r="N5" s="195"/>
      <c r="O5" s="194" t="s">
        <v>28</v>
      </c>
      <c r="P5" s="195"/>
      <c r="Q5" s="194" t="s">
        <v>33</v>
      </c>
      <c r="R5" s="195"/>
      <c r="S5" s="194" t="s">
        <v>34</v>
      </c>
      <c r="T5" s="195"/>
      <c r="U5" s="194" t="s">
        <v>29</v>
      </c>
      <c r="V5" s="209"/>
      <c r="X5" s="79" t="s">
        <v>2</v>
      </c>
    </row>
    <row r="6" spans="1:24" s="87" customFormat="1" x14ac:dyDescent="0.2">
      <c r="A6" s="151"/>
      <c r="B6" s="211"/>
      <c r="C6" s="152" t="s">
        <v>467</v>
      </c>
      <c r="D6" s="152" t="s">
        <v>1085</v>
      </c>
      <c r="E6" s="152" t="s">
        <v>467</v>
      </c>
      <c r="F6" s="152" t="s">
        <v>1085</v>
      </c>
      <c r="G6" s="152" t="s">
        <v>467</v>
      </c>
      <c r="H6" s="152" t="s">
        <v>1085</v>
      </c>
      <c r="I6" s="152" t="s">
        <v>467</v>
      </c>
      <c r="J6" s="152" t="s">
        <v>1085</v>
      </c>
      <c r="K6" s="152" t="s">
        <v>467</v>
      </c>
      <c r="L6" s="152" t="s">
        <v>1085</v>
      </c>
      <c r="M6" s="152" t="s">
        <v>467</v>
      </c>
      <c r="N6" s="152" t="s">
        <v>1085</v>
      </c>
      <c r="O6" s="152" t="s">
        <v>467</v>
      </c>
      <c r="P6" s="152" t="s">
        <v>1085</v>
      </c>
      <c r="Q6" s="152" t="s">
        <v>467</v>
      </c>
      <c r="R6" s="152" t="s">
        <v>1085</v>
      </c>
      <c r="S6" s="152" t="s">
        <v>467</v>
      </c>
      <c r="T6" s="152" t="s">
        <v>1085</v>
      </c>
      <c r="U6" s="152" t="s">
        <v>467</v>
      </c>
      <c r="V6" s="156" t="s">
        <v>1085</v>
      </c>
      <c r="X6" s="79" t="s">
        <v>3</v>
      </c>
    </row>
    <row r="7" spans="1:24" x14ac:dyDescent="0.2">
      <c r="A7" s="97" t="s">
        <v>1082</v>
      </c>
      <c r="B7" s="88">
        <f ca="1">OFFSET('1'!$D$4,$A$3,0)</f>
        <v>21475760</v>
      </c>
      <c r="C7" s="86">
        <f ca="1">OFFSET('1'!$E$4,$A$3,0)</f>
        <v>208664470.00000006</v>
      </c>
      <c r="D7" s="154">
        <f ca="1">IFERROR(C7/$B7,"")</f>
        <v>9.716278725409488</v>
      </c>
      <c r="E7" s="86">
        <f ca="1">OFFSET('1'!$E$66,$A$3,0)</f>
        <v>77393596</v>
      </c>
      <c r="F7" s="154">
        <f ca="1">IFERROR(E7/$B7,"")</f>
        <v>3.6037651752487454</v>
      </c>
      <c r="G7" s="86">
        <f ca="1">'1'!$F$100*B7</f>
        <v>20629575</v>
      </c>
      <c r="H7" s="154">
        <f ca="1">IFERROR(G7/$B7,"")</f>
        <v>0.9605981348273589</v>
      </c>
      <c r="I7" s="86">
        <f ca="1">'1'!$F$98*'Discipline Analysis'!B7</f>
        <v>41105949</v>
      </c>
      <c r="J7" s="154">
        <f ca="1">IFERROR(I7/$B7,"")</f>
        <v>1.9140625989487683</v>
      </c>
      <c r="K7" s="86">
        <f ca="1">'1'!$F$99*'Discipline Analysis'!B7</f>
        <v>22112733</v>
      </c>
      <c r="L7" s="154">
        <f ca="1">IFERROR(K7/$B7,"")</f>
        <v>1.0296600911911848</v>
      </c>
      <c r="M7" s="86">
        <f ca="1">OFFSET('1'!$E$35,$A$3,0)</f>
        <v>34855466</v>
      </c>
      <c r="N7" s="154">
        <f ca="1">IFERROR(M7/$B7,"")</f>
        <v>1.623014319400105</v>
      </c>
      <c r="O7" s="86">
        <f ca="1">'1'!$F$101*'Discipline Analysis'!B7</f>
        <v>0</v>
      </c>
      <c r="P7" s="154">
        <f ca="1">IFERROR(O7/$B7,"")</f>
        <v>0</v>
      </c>
      <c r="Q7" s="86">
        <f ca="1">'1'!$F$102*'Discipline Analysis'!B7</f>
        <v>509819.99999999994</v>
      </c>
      <c r="R7" s="154">
        <f ca="1">IFERROR(Q7/$B7,"")</f>
        <v>2.373932284585039E-2</v>
      </c>
      <c r="S7" s="86">
        <f ca="1">'1'!$F$103*'Discipline Analysis'!B7</f>
        <v>3850832</v>
      </c>
      <c r="T7" s="154">
        <f ca="1">IFERROR(S7/$B7,"")</f>
        <v>0.17931062742366277</v>
      </c>
      <c r="U7" s="84">
        <f ca="1">'1'!$F$104*'Discipline Analysis'!B7</f>
        <v>8206499.0000000009</v>
      </c>
      <c r="V7" s="157">
        <f ca="1">IFERROR(U7/$B7,"")</f>
        <v>0.3821284555238092</v>
      </c>
      <c r="X7" s="79" t="s">
        <v>4</v>
      </c>
    </row>
    <row r="8" spans="1:24" x14ac:dyDescent="0.2">
      <c r="A8" s="97" t="s">
        <v>1036</v>
      </c>
      <c r="B8" s="88">
        <f ca="1">OFFSET('2'!$D$4,$A$3,0)</f>
        <v>2273527</v>
      </c>
      <c r="C8" s="80">
        <f ca="1">OFFSET('2'!$E$4,$A$3,0)</f>
        <v>21650677.000000004</v>
      </c>
      <c r="D8" s="153">
        <f t="shared" ref="D8:F64" ca="1" si="0">IFERROR(C8/$B8,"")</f>
        <v>9.5229469454288438</v>
      </c>
      <c r="E8" s="80">
        <f ca="1">OFFSET('2'!$E$66,$A$3,0)</f>
        <v>10862327</v>
      </c>
      <c r="F8" s="153">
        <f t="shared" ca="1" si="0"/>
        <v>4.7777426879029807</v>
      </c>
      <c r="G8" s="80">
        <f ca="1">'2'!$F$100*B8</f>
        <v>2612791</v>
      </c>
      <c r="H8" s="153">
        <f t="shared" ref="H8" ca="1" si="1">IFERROR(G8/$B8,"")</f>
        <v>1.1492236511816223</v>
      </c>
      <c r="I8" s="80">
        <f ca="1">'2'!$F$98*'Discipline Analysis'!B8</f>
        <v>3176221</v>
      </c>
      <c r="J8" s="153">
        <f t="shared" ref="J8" ca="1" si="2">IFERROR(I8/$B8,"")</f>
        <v>1.3970456475775304</v>
      </c>
      <c r="K8" s="80">
        <f ca="1">'2'!$F$99*'Discipline Analysis'!B8</f>
        <v>1824302</v>
      </c>
      <c r="L8" s="153">
        <f t="shared" ref="L8" ca="1" si="3">IFERROR(K8/$B8,"")</f>
        <v>0.80241052778348354</v>
      </c>
      <c r="M8" s="80">
        <f ca="1">OFFSET('2'!$E$35,$A$3,0)</f>
        <v>2537931</v>
      </c>
      <c r="N8" s="153">
        <f t="shared" ref="N8" ca="1" si="4">IFERROR(M8/$B8,"")</f>
        <v>1.1162968374688316</v>
      </c>
      <c r="O8" s="80">
        <f ca="1">'2'!$F$101*'Discipline Analysis'!B8</f>
        <v>0</v>
      </c>
      <c r="P8" s="153">
        <f t="shared" ref="P8" ca="1" si="5">IFERROR(O8/$B8,"")</f>
        <v>0</v>
      </c>
      <c r="Q8" s="80">
        <f ca="1">'2'!$F$102*'Discipline Analysis'!B8</f>
        <v>0</v>
      </c>
      <c r="R8" s="153">
        <f t="shared" ref="R8" ca="1" si="6">IFERROR(Q8/$B8,"")</f>
        <v>0</v>
      </c>
      <c r="S8" s="80">
        <f ca="1">'2'!$F$103*'Discipline Analysis'!B8</f>
        <v>350670</v>
      </c>
      <c r="T8" s="153">
        <f t="shared" ref="T8" ca="1" si="7">IFERROR(S8/$B8,"")</f>
        <v>0.1542405258437661</v>
      </c>
      <c r="U8" s="80">
        <f ca="1">'2'!$F$104*'Discipline Analysis'!B8</f>
        <v>286435</v>
      </c>
      <c r="V8" s="158">
        <f t="shared" ref="V8" ca="1" si="8">IFERROR(U8/$B8,"")</f>
        <v>0.12598706767062806</v>
      </c>
      <c r="X8" s="79" t="s">
        <v>5</v>
      </c>
    </row>
    <row r="9" spans="1:24" x14ac:dyDescent="0.2">
      <c r="A9" s="97" t="s">
        <v>1046</v>
      </c>
      <c r="B9" s="88">
        <f ca="1">OFFSET('3'!$D$4,$A$3,0)</f>
        <v>4629260</v>
      </c>
      <c r="C9" s="80">
        <f ca="1">OFFSET('3'!$E$4,$A$3,0)</f>
        <v>37778402.000000007</v>
      </c>
      <c r="D9" s="153">
        <f t="shared" ca="1" si="0"/>
        <v>8.160786389185315</v>
      </c>
      <c r="E9" s="80">
        <f ca="1">OFFSET('3'!$E$66,$A$3,0)</f>
        <v>14157756</v>
      </c>
      <c r="F9" s="153">
        <f t="shared" ca="1" si="0"/>
        <v>3.0583194722266627</v>
      </c>
      <c r="G9" s="80">
        <f ca="1">'3'!$F$100*B9</f>
        <v>2743581</v>
      </c>
      <c r="H9" s="153">
        <f t="shared" ref="H9" ca="1" si="9">IFERROR(G9/$B9,"")</f>
        <v>0.59266081403939286</v>
      </c>
      <c r="I9" s="80">
        <f ca="1">'3'!$F$98*'Discipline Analysis'!B9</f>
        <v>8889447</v>
      </c>
      <c r="J9" s="153">
        <f t="shared" ref="J9" ca="1" si="10">IFERROR(I9/$B9,"")</f>
        <v>1.9202738666655146</v>
      </c>
      <c r="K9" s="80">
        <f ca="1">'3'!$F$99*'Discipline Analysis'!B9</f>
        <v>2938366.0000000005</v>
      </c>
      <c r="L9" s="153">
        <f t="shared" ref="L9" ca="1" si="11">IFERROR(K9/$B9,"")</f>
        <v>0.63473773346063955</v>
      </c>
      <c r="M9" s="80">
        <f ca="1">OFFSET('3'!$E$35,$A$3,0)</f>
        <v>6481338</v>
      </c>
      <c r="N9" s="153">
        <f t="shared" ref="N9" ca="1" si="12">IFERROR(M9/$B9,"")</f>
        <v>1.4000807904503096</v>
      </c>
      <c r="O9" s="80">
        <f ca="1">'3'!$F$101*'Discipline Analysis'!B9</f>
        <v>0</v>
      </c>
      <c r="P9" s="153">
        <f t="shared" ref="P9" ca="1" si="13">IFERROR(O9/$B9,"")</f>
        <v>0</v>
      </c>
      <c r="Q9" s="80">
        <f ca="1">'3'!$F$102*'Discipline Analysis'!B9</f>
        <v>0</v>
      </c>
      <c r="R9" s="153">
        <f t="shared" ref="R9" ca="1" si="14">IFERROR(Q9/$B9,"")</f>
        <v>0</v>
      </c>
      <c r="S9" s="80">
        <f ca="1">'3'!$F$103*'Discipline Analysis'!B9</f>
        <v>875149</v>
      </c>
      <c r="T9" s="153">
        <f t="shared" ref="T9" ca="1" si="15">IFERROR(S9/$B9,"")</f>
        <v>0.18904727753463837</v>
      </c>
      <c r="U9" s="80">
        <f ca="1">'3'!$F$104*'Discipline Analysis'!B9</f>
        <v>1692765</v>
      </c>
      <c r="V9" s="158">
        <f t="shared" ref="V9" ca="1" si="16">IFERROR(U9/$B9,"")</f>
        <v>0.36566643480815508</v>
      </c>
      <c r="X9" s="79" t="s">
        <v>6</v>
      </c>
    </row>
    <row r="10" spans="1:24" x14ac:dyDescent="0.2">
      <c r="A10" s="97" t="s">
        <v>1047</v>
      </c>
      <c r="B10" s="88">
        <f ca="1">OFFSET('4'!$D$4,$A$3,0)</f>
        <v>2199497</v>
      </c>
      <c r="C10" s="80">
        <f ca="1">OFFSET('4'!$E$4,$A$3,0)</f>
        <v>14259156.999999998</v>
      </c>
      <c r="D10" s="153">
        <f t="shared" ca="1" si="0"/>
        <v>6.4829172306213643</v>
      </c>
      <c r="E10" s="80">
        <f ca="1">OFFSET('4'!$E$66,$A$3,0)</f>
        <v>7703398</v>
      </c>
      <c r="F10" s="153">
        <f t="shared" ca="1" si="0"/>
        <v>3.5023453089501828</v>
      </c>
      <c r="G10" s="80">
        <f ca="1">'4'!$F$100*B10</f>
        <v>1819097</v>
      </c>
      <c r="H10" s="153">
        <f t="shared" ref="H10" ca="1" si="17">IFERROR(G10/$B10,"")</f>
        <v>0.82705136674430568</v>
      </c>
      <c r="I10" s="80">
        <f ca="1">'4'!$F$98*'Discipline Analysis'!B10</f>
        <v>2051976</v>
      </c>
      <c r="J10" s="153">
        <f t="shared" ref="J10" ca="1" si="18">IFERROR(I10/$B10,"")</f>
        <v>0.93292966528256238</v>
      </c>
      <c r="K10" s="80">
        <f ca="1">'4'!$F$99*'Discipline Analysis'!B10</f>
        <v>981246</v>
      </c>
      <c r="L10" s="153">
        <f t="shared" ref="L10" ca="1" si="19">IFERROR(K10/$B10,"")</f>
        <v>0.44612290901056012</v>
      </c>
      <c r="M10" s="80">
        <f ca="1">OFFSET('4'!$E$35,$A$3,0)</f>
        <v>1245818</v>
      </c>
      <c r="N10" s="153">
        <f t="shared" ref="N10" ca="1" si="20">IFERROR(M10/$B10,"")</f>
        <v>0.56641041110763046</v>
      </c>
      <c r="O10" s="80">
        <f ca="1">'4'!$F$101*'Discipline Analysis'!B10</f>
        <v>0</v>
      </c>
      <c r="P10" s="153">
        <f t="shared" ref="P10" ca="1" si="21">IFERROR(O10/$B10,"")</f>
        <v>0</v>
      </c>
      <c r="Q10" s="80">
        <f ca="1">'4'!$F$102*'Discipline Analysis'!B10</f>
        <v>0</v>
      </c>
      <c r="R10" s="153">
        <f t="shared" ref="R10" ca="1" si="22">IFERROR(Q10/$B10,"")</f>
        <v>0</v>
      </c>
      <c r="S10" s="80">
        <f ca="1">'4'!$F$103*'Discipline Analysis'!B10</f>
        <v>301027</v>
      </c>
      <c r="T10" s="153">
        <f t="shared" ref="T10" ca="1" si="23">IFERROR(S10/$B10,"")</f>
        <v>0.13686174611740776</v>
      </c>
      <c r="U10" s="80">
        <f ca="1">'4'!$F$104*'Discipline Analysis'!B10</f>
        <v>156595</v>
      </c>
      <c r="V10" s="158">
        <f t="shared" ref="V10" ca="1" si="24">IFERROR(U10/$B10,"")</f>
        <v>7.1195823408715719E-2</v>
      </c>
      <c r="X10" s="79" t="s">
        <v>7</v>
      </c>
    </row>
    <row r="11" spans="1:24" x14ac:dyDescent="0.2">
      <c r="A11" s="97" t="s">
        <v>1037</v>
      </c>
      <c r="B11" s="88">
        <f ca="1">OFFSET('5'!$D$4,$A$3,0)</f>
        <v>13977483</v>
      </c>
      <c r="C11" s="80">
        <f ca="1">OFFSET('5'!$E$4,$A$3,0)</f>
        <v>151769770.99999997</v>
      </c>
      <c r="D11" s="153">
        <f t="shared" ca="1" si="0"/>
        <v>10.858161730549053</v>
      </c>
      <c r="E11" s="80">
        <f ca="1">OFFSET('5'!$E$66,$A$3,0)</f>
        <v>66503577</v>
      </c>
      <c r="F11" s="153">
        <f t="shared" ca="1" si="0"/>
        <v>4.7579079151804367</v>
      </c>
      <c r="G11" s="80">
        <f ca="1">'5'!$F$100*B11</f>
        <v>18485769</v>
      </c>
      <c r="H11" s="153">
        <f t="shared" ref="H11" ca="1" si="25">IFERROR(G11/$B11,"")</f>
        <v>1.3225391867763316</v>
      </c>
      <c r="I11" s="80">
        <f ca="1">'5'!$F$98*'Discipline Analysis'!B11</f>
        <v>26906537</v>
      </c>
      <c r="J11" s="153">
        <f t="shared" ref="J11" ca="1" si="26">IFERROR(I11/$B11,"")</f>
        <v>1.9249915739478989</v>
      </c>
      <c r="K11" s="80">
        <f ca="1">'5'!$F$99*'Discipline Analysis'!B11</f>
        <v>17053869</v>
      </c>
      <c r="L11" s="153">
        <f t="shared" ref="L11" ca="1" si="27">IFERROR(K11/$B11,"")</f>
        <v>1.2200958498751171</v>
      </c>
      <c r="M11" s="80">
        <f ca="1">OFFSET('5'!$E$35,$A$3,0)</f>
        <v>16825020</v>
      </c>
      <c r="N11" s="153">
        <f t="shared" ref="N11" ca="1" si="28">IFERROR(M11/$B11,"")</f>
        <v>1.2037231595989064</v>
      </c>
      <c r="O11" s="80">
        <f ca="1">'5'!$F$101*'Discipline Analysis'!B11</f>
        <v>0</v>
      </c>
      <c r="P11" s="153">
        <f t="shared" ref="P11" ca="1" si="29">IFERROR(O11/$B11,"")</f>
        <v>0</v>
      </c>
      <c r="Q11" s="80">
        <f ca="1">'5'!$F$102*'Discipline Analysis'!B11</f>
        <v>0</v>
      </c>
      <c r="R11" s="153">
        <f t="shared" ref="R11" ca="1" si="30">IFERROR(Q11/$B11,"")</f>
        <v>0</v>
      </c>
      <c r="S11" s="80">
        <f ca="1">'5'!$F$103*'Discipline Analysis'!B11</f>
        <v>2282609</v>
      </c>
      <c r="T11" s="153">
        <f t="shared" ref="T11" ca="1" si="31">IFERROR(S11/$B11,"")</f>
        <v>0.16330615462025602</v>
      </c>
      <c r="U11" s="80">
        <f ca="1">'5'!$F$104*'Discipline Analysis'!B11</f>
        <v>3712390</v>
      </c>
      <c r="V11" s="158">
        <f t="shared" ref="V11" ca="1" si="32">IFERROR(U11/$B11,"")</f>
        <v>0.26559789055010835</v>
      </c>
      <c r="X11" s="79" t="s">
        <v>8</v>
      </c>
    </row>
    <row r="12" spans="1:24" x14ac:dyDescent="0.2">
      <c r="A12" s="97" t="s">
        <v>1048</v>
      </c>
      <c r="B12" s="88">
        <f ca="1">OFFSET('6'!$D$4,$A$3,0)</f>
        <v>6960349</v>
      </c>
      <c r="C12" s="80">
        <f ca="1">OFFSET('6'!$E$4,$A$3,0)</f>
        <v>42057631.999999993</v>
      </c>
      <c r="D12" s="153">
        <f t="shared" ca="1" si="0"/>
        <v>6.0424602272098697</v>
      </c>
      <c r="E12" s="80">
        <f ca="1">OFFSET('6'!$E$66,$A$3,0)</f>
        <v>20715696</v>
      </c>
      <c r="F12" s="153">
        <f t="shared" ca="1" si="0"/>
        <v>2.9762438636338495</v>
      </c>
      <c r="G12" s="80">
        <f ca="1">'6'!$F$100*B12</f>
        <v>3129156</v>
      </c>
      <c r="H12" s="153">
        <f t="shared" ref="H12" ca="1" si="33">IFERROR(G12/$B12,"")</f>
        <v>0.44956883627530747</v>
      </c>
      <c r="I12" s="80">
        <f ca="1">'6'!$F$98*'Discipline Analysis'!B12</f>
        <v>6088267</v>
      </c>
      <c r="J12" s="153">
        <f t="shared" ref="J12" ca="1" si="34">IFERROR(I12/$B12,"")</f>
        <v>0.87470714471357691</v>
      </c>
      <c r="K12" s="80">
        <f ca="1">'6'!$F$99*'Discipline Analysis'!B12</f>
        <v>3887200</v>
      </c>
      <c r="L12" s="153">
        <f t="shared" ref="L12" ca="1" si="35">IFERROR(K12/$B12,"")</f>
        <v>0.55847774299823183</v>
      </c>
      <c r="M12" s="80">
        <f ca="1">OFFSET('6'!$E$35,$A$3,0)</f>
        <v>6729802</v>
      </c>
      <c r="N12" s="153">
        <f t="shared" ref="N12" ca="1" si="36">IFERROR(M12/$B12,"")</f>
        <v>0.96687709193892435</v>
      </c>
      <c r="O12" s="80">
        <f ca="1">'6'!$F$101*'Discipline Analysis'!B12</f>
        <v>0</v>
      </c>
      <c r="P12" s="153">
        <f t="shared" ref="P12" ca="1" si="37">IFERROR(O12/$B12,"")</f>
        <v>0</v>
      </c>
      <c r="Q12" s="80">
        <f ca="1">'6'!$F$102*'Discipline Analysis'!B12</f>
        <v>510820</v>
      </c>
      <c r="R12" s="153">
        <f t="shared" ref="R12" ca="1" si="38">IFERROR(Q12/$B12,"")</f>
        <v>7.3389998116473759E-2</v>
      </c>
      <c r="S12" s="80">
        <f ca="1">'6'!$F$103*'Discipline Analysis'!B12</f>
        <v>325793</v>
      </c>
      <c r="T12" s="153">
        <f t="shared" ref="T12" ca="1" si="39">IFERROR(S12/$B12,"")</f>
        <v>4.6806992005716953E-2</v>
      </c>
      <c r="U12" s="80">
        <f ca="1">'6'!$F$104*'Discipline Analysis'!B12</f>
        <v>670898</v>
      </c>
      <c r="V12" s="158">
        <f t="shared" ref="V12" ca="1" si="40">IFERROR(U12/$B12,"")</f>
        <v>9.638855752779063E-2</v>
      </c>
      <c r="X12" s="79" t="s">
        <v>9</v>
      </c>
    </row>
    <row r="13" spans="1:24" x14ac:dyDescent="0.2">
      <c r="A13" s="97" t="s">
        <v>1049</v>
      </c>
      <c r="B13" s="88">
        <f ca="1">OFFSET('7'!$D$4,$A$3,0)</f>
        <v>1491922</v>
      </c>
      <c r="C13" s="80">
        <f ca="1">OFFSET('7'!$E$4,$A$3,0)</f>
        <v>15048156</v>
      </c>
      <c r="D13" s="153">
        <f t="shared" ca="1" si="0"/>
        <v>10.086422748642356</v>
      </c>
      <c r="E13" s="80">
        <f ca="1">OFFSET('7'!$E$66,$A$3,0)</f>
        <v>6051972</v>
      </c>
      <c r="F13" s="153">
        <f t="shared" ca="1" si="0"/>
        <v>4.0564935700391844</v>
      </c>
      <c r="G13" s="80">
        <f ca="1">'7'!$F$100*B13</f>
        <v>1517183</v>
      </c>
      <c r="H13" s="153">
        <f t="shared" ref="H13" ca="1" si="41">IFERROR(G13/$B13,"")</f>
        <v>1.0169318503246148</v>
      </c>
      <c r="I13" s="80">
        <f ca="1">'7'!$F$98*'Discipline Analysis'!B13</f>
        <v>3646021</v>
      </c>
      <c r="J13" s="153">
        <f t="shared" ref="J13" ca="1" si="42">IFERROR(I13/$B13,"")</f>
        <v>2.4438415681248751</v>
      </c>
      <c r="K13" s="80">
        <f ca="1">'7'!$F$99*'Discipline Analysis'!B13</f>
        <v>1766792.9999999998</v>
      </c>
      <c r="L13" s="153">
        <f t="shared" ref="L13" ca="1" si="43">IFERROR(K13/$B13,"")</f>
        <v>1.1842395245864059</v>
      </c>
      <c r="M13" s="80">
        <f ca="1">OFFSET('7'!$E$35,$A$3,0)</f>
        <v>1282025</v>
      </c>
      <c r="N13" s="153">
        <f t="shared" ref="N13" ca="1" si="44">IFERROR(M13/$B13,"")</f>
        <v>0.85931100955679984</v>
      </c>
      <c r="O13" s="80">
        <f ca="1">'7'!$F$101*'Discipline Analysis'!B13</f>
        <v>0</v>
      </c>
      <c r="P13" s="153">
        <f t="shared" ref="P13" ca="1" si="45">IFERROR(O13/$B13,"")</f>
        <v>0</v>
      </c>
      <c r="Q13" s="80">
        <f ca="1">'7'!$F$102*'Discipline Analysis'!B13</f>
        <v>268621</v>
      </c>
      <c r="R13" s="153">
        <f t="shared" ref="R13" ca="1" si="46">IFERROR(Q13/$B13,"")</f>
        <v>0.18005029753566204</v>
      </c>
      <c r="S13" s="80">
        <f ca="1">'7'!$F$103*'Discipline Analysis'!B13</f>
        <v>316443</v>
      </c>
      <c r="T13" s="153">
        <f t="shared" ref="T13" ca="1" si="47">IFERROR(S13/$B13,"")</f>
        <v>0.21210425209897033</v>
      </c>
      <c r="U13" s="80">
        <f ca="1">'7'!$F$104*'Discipline Analysis'!B13</f>
        <v>199098</v>
      </c>
      <c r="V13" s="158">
        <f t="shared" ref="V13" ca="1" si="48">IFERROR(U13/$B13,"")</f>
        <v>0.13345067637584271</v>
      </c>
      <c r="X13" s="79" t="s">
        <v>10</v>
      </c>
    </row>
    <row r="14" spans="1:24" x14ac:dyDescent="0.2">
      <c r="A14" s="97" t="s">
        <v>1083</v>
      </c>
      <c r="B14" s="88">
        <f ca="1">OFFSET('8'!$D$4,$A$3,0)</f>
        <v>5713917</v>
      </c>
      <c r="C14" s="80">
        <f ca="1">OFFSET('8'!$E$4,$A$3,0)</f>
        <v>47596056.999999993</v>
      </c>
      <c r="D14" s="153">
        <f t="shared" ca="1" si="0"/>
        <v>8.3298474584072526</v>
      </c>
      <c r="E14" s="80">
        <f ca="1">OFFSET('8'!$E$66,$A$3,0)</f>
        <v>18193181</v>
      </c>
      <c r="F14" s="153">
        <f t="shared" ca="1" si="0"/>
        <v>3.1840121233822614</v>
      </c>
      <c r="G14" s="80">
        <f ca="1">'8'!$F$100*B14</f>
        <v>2614480</v>
      </c>
      <c r="H14" s="153">
        <f t="shared" ref="H14" ca="1" si="49">IFERROR(G14/$B14,"")</f>
        <v>0.45756352428640457</v>
      </c>
      <c r="I14" s="80">
        <f ca="1">'8'!$F$98*'Discipline Analysis'!B14</f>
        <v>8804560</v>
      </c>
      <c r="J14" s="153">
        <f t="shared" ref="J14" ca="1" si="50">IFERROR(I14/$B14,"")</f>
        <v>1.5408974264064388</v>
      </c>
      <c r="K14" s="80">
        <f ca="1">'8'!$F$99*'Discipline Analysis'!B14</f>
        <v>4194267</v>
      </c>
      <c r="L14" s="153">
        <f t="shared" ref="L14" ca="1" si="51">IFERROR(K14/$B14,"")</f>
        <v>0.73404408919485531</v>
      </c>
      <c r="M14" s="80">
        <f ca="1">OFFSET('8'!$E$35,$A$3,0)</f>
        <v>11226898</v>
      </c>
      <c r="N14" s="153">
        <f t="shared" ref="N14" ca="1" si="52">IFERROR(M14/$B14,"")</f>
        <v>1.9648339309093918</v>
      </c>
      <c r="O14" s="80">
        <f ca="1">'8'!$F$101*'Discipline Analysis'!B14</f>
        <v>0</v>
      </c>
      <c r="P14" s="153">
        <f t="shared" ref="P14" ca="1" si="53">IFERROR(O14/$B14,"")</f>
        <v>0</v>
      </c>
      <c r="Q14" s="80">
        <f ca="1">'8'!$F$102*'Discipline Analysis'!B14</f>
        <v>0</v>
      </c>
      <c r="R14" s="153">
        <f t="shared" ref="R14" ca="1" si="54">IFERROR(Q14/$B14,"")</f>
        <v>0</v>
      </c>
      <c r="S14" s="80">
        <f ca="1">'8'!$F$103*'Discipline Analysis'!B14</f>
        <v>706092</v>
      </c>
      <c r="T14" s="153">
        <f t="shared" ref="T14" ca="1" si="55">IFERROR(S14/$B14,"")</f>
        <v>0.12357407361710014</v>
      </c>
      <c r="U14" s="80">
        <f ca="1">'8'!$F$104*'Discipline Analysis'!B14</f>
        <v>1856579.0000000002</v>
      </c>
      <c r="V14" s="158">
        <f t="shared" ref="V14" ca="1" si="56">IFERROR(U14/$B14,"")</f>
        <v>0.32492229061080169</v>
      </c>
      <c r="X14" s="79" t="s">
        <v>11</v>
      </c>
    </row>
    <row r="15" spans="1:24" x14ac:dyDescent="0.2">
      <c r="A15" s="97" t="s">
        <v>1040</v>
      </c>
      <c r="B15" s="88">
        <f ca="1">OFFSET('9'!$D$4,$A$3,0)</f>
        <v>1605015</v>
      </c>
      <c r="C15" s="80">
        <f ca="1">OFFSET('9'!$E$4,$A$3,0)</f>
        <v>9521537</v>
      </c>
      <c r="D15" s="153">
        <f t="shared" ca="1" si="0"/>
        <v>5.9323663641772821</v>
      </c>
      <c r="E15" s="80">
        <f ca="1">OFFSET('9'!$E$66,$A$3,0)</f>
        <v>4565768</v>
      </c>
      <c r="F15" s="153">
        <f t="shared" ca="1" si="0"/>
        <v>2.8446886789220041</v>
      </c>
      <c r="G15" s="80">
        <f ca="1">'9'!$F$100*B15</f>
        <v>722845</v>
      </c>
      <c r="H15" s="153">
        <f t="shared" ref="H15" ca="1" si="57">IFERROR(G15/$B15,"")</f>
        <v>0.45036650747812323</v>
      </c>
      <c r="I15" s="80">
        <f ca="1">'9'!$F$98*'Discipline Analysis'!B15</f>
        <v>1954294</v>
      </c>
      <c r="J15" s="153">
        <f t="shared" ref="J15" ca="1" si="58">IFERROR(I15/$B15,"")</f>
        <v>1.2176172808353816</v>
      </c>
      <c r="K15" s="80">
        <f ca="1">'9'!$F$99*'Discipline Analysis'!B15</f>
        <v>991093.00000000012</v>
      </c>
      <c r="L15" s="153">
        <f t="shared" ref="L15" ca="1" si="59">IFERROR(K15/$B15,"")</f>
        <v>0.61749765578514848</v>
      </c>
      <c r="M15" s="80">
        <f ca="1">OFFSET('9'!$E$35,$A$3,0)</f>
        <v>794763</v>
      </c>
      <c r="N15" s="153">
        <f t="shared" ref="N15" ca="1" si="60">IFERROR(M15/$B15,"")</f>
        <v>0.4951748114503603</v>
      </c>
      <c r="O15" s="80">
        <f ca="1">'9'!$F$101*'Discipline Analysis'!B15</f>
        <v>0</v>
      </c>
      <c r="P15" s="153">
        <f t="shared" ref="P15" ca="1" si="61">IFERROR(O15/$B15,"")</f>
        <v>0</v>
      </c>
      <c r="Q15" s="80">
        <f ca="1">'9'!$F$102*'Discipline Analysis'!B15</f>
        <v>0</v>
      </c>
      <c r="R15" s="153">
        <f t="shared" ref="R15" ca="1" si="62">IFERROR(Q15/$B15,"")</f>
        <v>0</v>
      </c>
      <c r="S15" s="80">
        <f ca="1">'9'!$F$103*'Discipline Analysis'!B15</f>
        <v>301503</v>
      </c>
      <c r="T15" s="153">
        <f t="shared" ref="T15" ca="1" si="63">IFERROR(S15/$B15,"")</f>
        <v>0.18785058083569312</v>
      </c>
      <c r="U15" s="80">
        <f ca="1">'9'!$F$104*'Discipline Analysis'!B15</f>
        <v>191271</v>
      </c>
      <c r="V15" s="158">
        <f t="shared" ref="V15" ca="1" si="64">IFERROR(U15/$B15,"")</f>
        <v>0.11917084887057131</v>
      </c>
      <c r="X15" s="79" t="s">
        <v>12</v>
      </c>
    </row>
    <row r="16" spans="1:24" x14ac:dyDescent="0.2">
      <c r="A16" s="97" t="s">
        <v>1050</v>
      </c>
      <c r="B16" s="88">
        <f ca="1">OFFSET('10'!$D$4,$A$3,0)</f>
        <v>667930</v>
      </c>
      <c r="C16" s="80">
        <f ca="1">OFFSET('10'!$E$4,$A$3,0)</f>
        <v>3900789</v>
      </c>
      <c r="D16" s="153">
        <f t="shared" ca="1" si="0"/>
        <v>5.8401164792717797</v>
      </c>
      <c r="E16" s="80">
        <f ca="1">OFFSET('10'!$E$66,$A$3,0)</f>
        <v>1793119</v>
      </c>
      <c r="F16" s="153">
        <f t="shared" ca="1" si="0"/>
        <v>2.6845911996766127</v>
      </c>
      <c r="G16" s="80">
        <f ca="1">'10'!$F$100*B16</f>
        <v>422070.00000000006</v>
      </c>
      <c r="H16" s="153">
        <f t="shared" ref="H16" ca="1" si="65">IFERROR(G16/$B16,"")</f>
        <v>0.63190753522075671</v>
      </c>
      <c r="I16" s="80">
        <f ca="1">'10'!$F$98*'Discipline Analysis'!B16</f>
        <v>846408</v>
      </c>
      <c r="J16" s="153">
        <f t="shared" ref="J16" ca="1" si="66">IFERROR(I16/$B16,"")</f>
        <v>1.2672106358450737</v>
      </c>
      <c r="K16" s="80">
        <f ca="1">'10'!$F$99*'Discipline Analysis'!B16</f>
        <v>410958</v>
      </c>
      <c r="L16" s="153">
        <f t="shared" ref="L16" ca="1" si="67">IFERROR(K16/$B16,"")</f>
        <v>0.61527106133876308</v>
      </c>
      <c r="M16" s="80">
        <f ca="1">OFFSET('10'!$E$35,$A$3,0)</f>
        <v>104167</v>
      </c>
      <c r="N16" s="153">
        <f t="shared" ref="N16" ca="1" si="68">IFERROR(M16/$B16,"")</f>
        <v>0.1559549653406794</v>
      </c>
      <c r="O16" s="80">
        <f ca="1">'10'!$F$101*'Discipline Analysis'!B16</f>
        <v>0</v>
      </c>
      <c r="P16" s="153">
        <f t="shared" ref="P16" ca="1" si="69">IFERROR(O16/$B16,"")</f>
        <v>0</v>
      </c>
      <c r="Q16" s="80">
        <f ca="1">'10'!$F$102*'Discipline Analysis'!B16</f>
        <v>0</v>
      </c>
      <c r="R16" s="153">
        <f t="shared" ref="R16" ca="1" si="70">IFERROR(Q16/$B16,"")</f>
        <v>0</v>
      </c>
      <c r="S16" s="80">
        <f ca="1">'10'!$F$103*'Discipline Analysis'!B16</f>
        <v>263222</v>
      </c>
      <c r="T16" s="153">
        <f t="shared" ref="T16" ca="1" si="71">IFERROR(S16/$B16,"")</f>
        <v>0.3940862066384202</v>
      </c>
      <c r="U16" s="80">
        <f ca="1">'10'!$F$104*'Discipline Analysis'!B16</f>
        <v>60845</v>
      </c>
      <c r="V16" s="158">
        <f t="shared" ref="V16" ca="1" si="72">IFERROR(U16/$B16,"")</f>
        <v>9.109487521147426E-2</v>
      </c>
      <c r="X16" s="79" t="s">
        <v>469</v>
      </c>
    </row>
    <row r="17" spans="1:24" x14ac:dyDescent="0.2">
      <c r="A17" s="97" t="s">
        <v>1051</v>
      </c>
      <c r="B17" s="88">
        <f ca="1">OFFSET('11'!$D$4,$A$3,0)</f>
        <v>1820551</v>
      </c>
      <c r="C17" s="80">
        <f ca="1">OFFSET('11'!$E$4,$A$3,0)</f>
        <v>14139348</v>
      </c>
      <c r="D17" s="153">
        <f t="shared" ca="1" si="0"/>
        <v>7.7665212345053778</v>
      </c>
      <c r="E17" s="80">
        <f ca="1">OFFSET('11'!$E$66,$A$3,0)</f>
        <v>5982423</v>
      </c>
      <c r="F17" s="153">
        <f t="shared" ca="1" si="0"/>
        <v>3.2860507615551557</v>
      </c>
      <c r="G17" s="80">
        <f ca="1">'11'!$F$100*B17</f>
        <v>795200</v>
      </c>
      <c r="H17" s="153">
        <f t="shared" ref="H17" ca="1" si="73">IFERROR(G17/$B17,"")</f>
        <v>0.4367908396963337</v>
      </c>
      <c r="I17" s="80">
        <f ca="1">'11'!$F$98*'Discipline Analysis'!B17</f>
        <v>4158506.0000000005</v>
      </c>
      <c r="J17" s="153">
        <f t="shared" ref="J17" ca="1" si="74">IFERROR(I17/$B17,"")</f>
        <v>2.2842018707523164</v>
      </c>
      <c r="K17" s="80">
        <f ca="1">'11'!$F$99*'Discipline Analysis'!B17</f>
        <v>1123151</v>
      </c>
      <c r="L17" s="153">
        <f t="shared" ref="L17" ca="1" si="75">IFERROR(K17/$B17,"")</f>
        <v>0.61692916045746593</v>
      </c>
      <c r="M17" s="80">
        <f ca="1">OFFSET('11'!$E$35,$A$3,0)</f>
        <v>1456968</v>
      </c>
      <c r="N17" s="153">
        <f t="shared" ref="N17" ca="1" si="76">IFERROR(M17/$B17,"")</f>
        <v>0.80028958265931582</v>
      </c>
      <c r="O17" s="80">
        <f ca="1">'11'!$F$101*'Discipline Analysis'!B17</f>
        <v>0</v>
      </c>
      <c r="P17" s="153">
        <f t="shared" ref="P17" ca="1" si="77">IFERROR(O17/$B17,"")</f>
        <v>0</v>
      </c>
      <c r="Q17" s="80">
        <f ca="1">'11'!$F$102*'Discipline Analysis'!B17</f>
        <v>0</v>
      </c>
      <c r="R17" s="153">
        <f t="shared" ref="R17" ca="1" si="78">IFERROR(Q17/$B17,"")</f>
        <v>0</v>
      </c>
      <c r="S17" s="80">
        <f ca="1">'11'!$F$103*'Discipline Analysis'!B17</f>
        <v>256965.99999999997</v>
      </c>
      <c r="T17" s="153">
        <f t="shared" ref="T17" ca="1" si="79">IFERROR(S17/$B17,"")</f>
        <v>0.14114737790921539</v>
      </c>
      <c r="U17" s="80">
        <f ca="1">'11'!$F$104*'Discipline Analysis'!B17</f>
        <v>366134</v>
      </c>
      <c r="V17" s="158">
        <f t="shared" ref="V17" ca="1" si="80">IFERROR(U17/$B17,"")</f>
        <v>0.20111164147557525</v>
      </c>
      <c r="X17" s="79" t="s">
        <v>13</v>
      </c>
    </row>
    <row r="18" spans="1:24" x14ac:dyDescent="0.2">
      <c r="A18" s="97" t="s">
        <v>946</v>
      </c>
      <c r="B18" s="88">
        <f ca="1">OFFSET('12'!$D$4,$A$3,0)</f>
        <v>0</v>
      </c>
      <c r="C18" s="80">
        <f ca="1">OFFSET('12'!$E$4,$A$3,0)</f>
        <v>0</v>
      </c>
      <c r="D18" s="153" t="str">
        <f t="shared" ca="1" si="0"/>
        <v/>
      </c>
      <c r="E18" s="80">
        <f ca="1">OFFSET('12'!$E$66,$A$3,0)</f>
        <v>0</v>
      </c>
      <c r="F18" s="153" t="str">
        <f t="shared" ca="1" si="0"/>
        <v/>
      </c>
      <c r="G18" s="80">
        <f ca="1">'12'!$F$100*B18</f>
        <v>0</v>
      </c>
      <c r="H18" s="153" t="str">
        <f t="shared" ref="H18" ca="1" si="81">IFERROR(G18/$B18,"")</f>
        <v/>
      </c>
      <c r="I18" s="80">
        <f ca="1">'12'!$F$98*'Discipline Analysis'!B18</f>
        <v>0</v>
      </c>
      <c r="J18" s="153" t="str">
        <f t="shared" ref="J18" ca="1" si="82">IFERROR(I18/$B18,"")</f>
        <v/>
      </c>
      <c r="K18" s="80">
        <f ca="1">'12'!$F$99*'Discipline Analysis'!B18</f>
        <v>0</v>
      </c>
      <c r="L18" s="153" t="str">
        <f t="shared" ref="L18" ca="1" si="83">IFERROR(K18/$B18,"")</f>
        <v/>
      </c>
      <c r="M18" s="80">
        <f ca="1">OFFSET('12'!$E$35,$A$3,0)</f>
        <v>0</v>
      </c>
      <c r="N18" s="153" t="str">
        <f t="shared" ref="N18" ca="1" si="84">IFERROR(M18/$B18,"")</f>
        <v/>
      </c>
      <c r="O18" s="80">
        <f ca="1">'12'!$F$101*'Discipline Analysis'!B18</f>
        <v>0</v>
      </c>
      <c r="P18" s="153" t="str">
        <f t="shared" ref="P18" ca="1" si="85">IFERROR(O18/$B18,"")</f>
        <v/>
      </c>
      <c r="Q18" s="80">
        <f ca="1">'12'!$F$102*'Discipline Analysis'!B18</f>
        <v>0</v>
      </c>
      <c r="R18" s="153" t="str">
        <f t="shared" ref="R18" ca="1" si="86">IFERROR(Q18/$B18,"")</f>
        <v/>
      </c>
      <c r="S18" s="80">
        <f ca="1">'12'!$F$103*'Discipline Analysis'!B18</f>
        <v>0</v>
      </c>
      <c r="T18" s="153" t="str">
        <f t="shared" ref="T18" ca="1" si="87">IFERROR(S18/$B18,"")</f>
        <v/>
      </c>
      <c r="U18" s="80">
        <f ca="1">'12'!$F$104*'Discipline Analysis'!B18</f>
        <v>0</v>
      </c>
      <c r="V18" s="158" t="str">
        <f t="shared" ref="V18" ca="1" si="88">IFERROR(U18/$B18,"")</f>
        <v/>
      </c>
      <c r="X18" s="79" t="s">
        <v>14</v>
      </c>
    </row>
    <row r="19" spans="1:24" x14ac:dyDescent="0.2">
      <c r="A19" s="97" t="s">
        <v>1074</v>
      </c>
      <c r="B19" s="88">
        <f ca="1">OFFSET('13'!$D$4,$A$3,0)</f>
        <v>9390142</v>
      </c>
      <c r="C19" s="80">
        <f ca="1">OFFSET('13'!$E$4,$A$3,0)</f>
        <v>80287869.000000015</v>
      </c>
      <c r="D19" s="153">
        <f t="shared" ca="1" si="0"/>
        <v>8.5502294853475078</v>
      </c>
      <c r="E19" s="80">
        <f ca="1">OFFSET('13'!$E$66,$A$3,0)</f>
        <v>28579323</v>
      </c>
      <c r="F19" s="153">
        <f t="shared" ca="1" si="0"/>
        <v>3.0435453478765284</v>
      </c>
      <c r="G19" s="80">
        <f ca="1">'13'!$F$100*B19</f>
        <v>9493586</v>
      </c>
      <c r="H19" s="153">
        <f t="shared" ref="H19" ca="1" si="89">IFERROR(G19/$B19,"")</f>
        <v>1.0110162338333115</v>
      </c>
      <c r="I19" s="80">
        <f ca="1">'13'!$F$98*'Discipline Analysis'!B19</f>
        <v>10354147</v>
      </c>
      <c r="J19" s="153">
        <f t="shared" ref="J19" ca="1" si="90">IFERROR(I19/$B19,"")</f>
        <v>1.1026613868033093</v>
      </c>
      <c r="K19" s="80">
        <f ca="1">'13'!$F$99*'Discipline Analysis'!B19</f>
        <v>6650847</v>
      </c>
      <c r="L19" s="153">
        <f t="shared" ref="L19" ca="1" si="91">IFERROR(K19/$B19,"")</f>
        <v>0.70827970439637655</v>
      </c>
      <c r="M19" s="80">
        <f ca="1">OFFSET('13'!$E$35,$A$3,0)</f>
        <v>15336071</v>
      </c>
      <c r="N19" s="153">
        <f t="shared" ref="N19" ca="1" si="92">IFERROR(M19/$B19,"")</f>
        <v>1.6332097001302004</v>
      </c>
      <c r="O19" s="80">
        <f ca="1">'13'!$F$101*'Discipline Analysis'!B19</f>
        <v>0</v>
      </c>
      <c r="P19" s="153">
        <f t="shared" ref="P19" ca="1" si="93">IFERROR(O19/$B19,"")</f>
        <v>0</v>
      </c>
      <c r="Q19" s="80">
        <f ca="1">'13'!$F$102*'Discipline Analysis'!B19</f>
        <v>6839746</v>
      </c>
      <c r="R19" s="153">
        <f t="shared" ref="R19" ca="1" si="94">IFERROR(Q19/$B19,"")</f>
        <v>0.72839643958525868</v>
      </c>
      <c r="S19" s="80">
        <f ca="1">'13'!$F$103*'Discipline Analysis'!B19</f>
        <v>2345569</v>
      </c>
      <c r="T19" s="153">
        <f t="shared" ref="T19" ca="1" si="95">IFERROR(S19/$B19,"")</f>
        <v>0.24979057824684653</v>
      </c>
      <c r="U19" s="80">
        <f ca="1">'13'!$F$104*'Discipline Analysis'!B19</f>
        <v>688580</v>
      </c>
      <c r="V19" s="158">
        <f t="shared" ref="V19" ca="1" si="96">IFERROR(U19/$B19,"")</f>
        <v>7.3330094475674595E-2</v>
      </c>
      <c r="X19" s="79" t="s">
        <v>15</v>
      </c>
    </row>
    <row r="20" spans="1:24" x14ac:dyDescent="0.2">
      <c r="A20" s="97" t="s">
        <v>1075</v>
      </c>
      <c r="B20" s="88">
        <f ca="1">OFFSET('14'!$D$4,$A$3,0)</f>
        <v>29061694</v>
      </c>
      <c r="C20" s="80">
        <f ca="1">OFFSET('14'!$E$4,$A$3,0)</f>
        <v>233857119</v>
      </c>
      <c r="D20" s="153">
        <f t="shared" ca="1" si="0"/>
        <v>8.0469197356492703</v>
      </c>
      <c r="E20" s="80">
        <f ca="1">OFFSET('14'!$E$66,$A$3,0)</f>
        <v>84092694</v>
      </c>
      <c r="F20" s="153">
        <f t="shared" ca="1" si="0"/>
        <v>2.8935923005727058</v>
      </c>
      <c r="G20" s="80">
        <f ca="1">'14'!$F$100*B20</f>
        <v>16440735</v>
      </c>
      <c r="H20" s="153">
        <f t="shared" ref="H20" ca="1" si="97">IFERROR(G20/$B20,"")</f>
        <v>0.56571839893434983</v>
      </c>
      <c r="I20" s="80">
        <f ca="1">'14'!$F$98*'Discipline Analysis'!B20</f>
        <v>52220010</v>
      </c>
      <c r="J20" s="153">
        <f t="shared" ref="J20" ca="1" si="98">IFERROR(I20/$B20,"")</f>
        <v>1.796867381509144</v>
      </c>
      <c r="K20" s="80">
        <f ca="1">'14'!$F$99*'Discipline Analysis'!B20</f>
        <v>26204338</v>
      </c>
      <c r="L20" s="153">
        <f t="shared" ref="L20" ca="1" si="99">IFERROR(K20/$B20,"")</f>
        <v>0.90167964744243745</v>
      </c>
      <c r="M20" s="80">
        <f ca="1">OFFSET('14'!$E$35,$A$3,0)</f>
        <v>47143834</v>
      </c>
      <c r="N20" s="153">
        <f t="shared" ref="N20" ca="1" si="100">IFERROR(M20/$B20,"")</f>
        <v>1.6221984169264188</v>
      </c>
      <c r="O20" s="80">
        <f ca="1">'14'!$F$101*'Discipline Analysis'!B20</f>
        <v>0</v>
      </c>
      <c r="P20" s="153">
        <f t="shared" ref="P20" ca="1" si="101">IFERROR(O20/$B20,"")</f>
        <v>0</v>
      </c>
      <c r="Q20" s="80">
        <f ca="1">'14'!$F$102*'Discipline Analysis'!B20</f>
        <v>0</v>
      </c>
      <c r="R20" s="153">
        <f t="shared" ref="R20" ca="1" si="102">IFERROR(Q20/$B20,"")</f>
        <v>0</v>
      </c>
      <c r="S20" s="80">
        <f ca="1">'14'!$F$103*'Discipline Analysis'!B20</f>
        <v>2983540</v>
      </c>
      <c r="T20" s="153">
        <f t="shared" ref="T20" ca="1" si="103">IFERROR(S20/$B20,"")</f>
        <v>0.10266228802766969</v>
      </c>
      <c r="U20" s="80">
        <f ca="1">'14'!$F$104*'Discipline Analysis'!B20</f>
        <v>4771968</v>
      </c>
      <c r="V20" s="158">
        <f t="shared" ref="V20" ca="1" si="104">IFERROR(U20/$B20,"")</f>
        <v>0.16420130223654547</v>
      </c>
      <c r="X20" s="79" t="s">
        <v>16</v>
      </c>
    </row>
    <row r="21" spans="1:24" x14ac:dyDescent="0.2">
      <c r="A21" s="97" t="s">
        <v>1052</v>
      </c>
      <c r="B21" s="88">
        <f ca="1">OFFSET('15'!$D$4,$A$3,0)</f>
        <v>5053748</v>
      </c>
      <c r="C21" s="80">
        <f ca="1">OFFSET('15'!$E$4,$A$3,0)</f>
        <v>53827021.000000007</v>
      </c>
      <c r="D21" s="153">
        <f t="shared" ca="1" si="0"/>
        <v>10.650911165337094</v>
      </c>
      <c r="E21" s="80">
        <f ca="1">OFFSET('15'!$E$66,$A$3,0)</f>
        <v>25044445</v>
      </c>
      <c r="F21" s="153">
        <f t="shared" ca="1" si="0"/>
        <v>4.9556180878033489</v>
      </c>
      <c r="G21" s="80">
        <f ca="1">'15'!$F$100*B21</f>
        <v>4836229</v>
      </c>
      <c r="H21" s="153">
        <f t="shared" ref="H21" ca="1" si="105">IFERROR(G21/$B21,"")</f>
        <v>0.95695887487860498</v>
      </c>
      <c r="I21" s="80">
        <f ca="1">'15'!$F$98*'Discipline Analysis'!B21</f>
        <v>12158320</v>
      </c>
      <c r="J21" s="153">
        <f t="shared" ref="J21" ca="1" si="106">IFERROR(I21/$B21,"")</f>
        <v>2.4058025845372581</v>
      </c>
      <c r="K21" s="80">
        <f ca="1">'15'!$F$99*'Discipline Analysis'!B21</f>
        <v>4855666</v>
      </c>
      <c r="L21" s="153">
        <f t="shared" ref="L21" ca="1" si="107">IFERROR(K21/$B21,"")</f>
        <v>0.96080493131038591</v>
      </c>
      <c r="M21" s="80">
        <f ca="1">OFFSET('15'!$E$35,$A$3,0)</f>
        <v>5054909</v>
      </c>
      <c r="N21" s="153">
        <f t="shared" ref="N21" ca="1" si="108">IFERROR(M21/$B21,"")</f>
        <v>1.0002297304891341</v>
      </c>
      <c r="O21" s="80">
        <f ca="1">'15'!$F$101*'Discipline Analysis'!B21</f>
        <v>0</v>
      </c>
      <c r="P21" s="153">
        <f t="shared" ref="P21" ca="1" si="109">IFERROR(O21/$B21,"")</f>
        <v>0</v>
      </c>
      <c r="Q21" s="80">
        <f ca="1">'15'!$F$102*'Discipline Analysis'!B21</f>
        <v>0</v>
      </c>
      <c r="R21" s="153">
        <f t="shared" ref="R21" ca="1" si="110">IFERROR(Q21/$B21,"")</f>
        <v>0</v>
      </c>
      <c r="S21" s="80">
        <f ca="1">'15'!$F$103*'Discipline Analysis'!B21</f>
        <v>0</v>
      </c>
      <c r="T21" s="153">
        <f t="shared" ref="T21" ca="1" si="111">IFERROR(S21/$B21,"")</f>
        <v>0</v>
      </c>
      <c r="U21" s="80">
        <f ca="1">'15'!$F$104*'Discipline Analysis'!B21</f>
        <v>1877452</v>
      </c>
      <c r="V21" s="158">
        <f t="shared" ref="V21" ca="1" si="112">IFERROR(U21/$B21,"")</f>
        <v>0.37149695631836016</v>
      </c>
      <c r="X21" s="79" t="s">
        <v>17</v>
      </c>
    </row>
    <row r="22" spans="1:24" x14ac:dyDescent="0.2">
      <c r="A22" s="96" t="s">
        <v>1076</v>
      </c>
      <c r="B22" s="88">
        <f ca="1">OFFSET('16'!$D$4,$A$3,0)</f>
        <v>10039883</v>
      </c>
      <c r="C22" s="80">
        <f ca="1">OFFSET('16'!$E$4,$A$3,0)</f>
        <v>82584382.999999985</v>
      </c>
      <c r="D22" s="153">
        <f t="shared" ca="1" si="0"/>
        <v>8.2256320118471482</v>
      </c>
      <c r="E22" s="80">
        <f ca="1">OFFSET('16'!$E$66,$A$3,0)</f>
        <v>32823293</v>
      </c>
      <c r="F22" s="153">
        <f t="shared" ca="1" si="0"/>
        <v>3.269290389140989</v>
      </c>
      <c r="G22" s="80">
        <f ca="1">'16'!$F$100*B22</f>
        <v>13702548</v>
      </c>
      <c r="H22" s="153">
        <f t="shared" ref="H22" ca="1" si="113">IFERROR(G22/$B22,"")</f>
        <v>1.3648115222059858</v>
      </c>
      <c r="I22" s="80">
        <f ca="1">'16'!$F$98*'Discipline Analysis'!B22</f>
        <v>16890228</v>
      </c>
      <c r="J22" s="153">
        <f t="shared" ref="J22" ca="1" si="114">IFERROR(I22/$B22,"")</f>
        <v>1.6823132301442159</v>
      </c>
      <c r="K22" s="80">
        <f ca="1">'16'!$F$99*'Discipline Analysis'!B22</f>
        <v>7804386</v>
      </c>
      <c r="L22" s="153">
        <f t="shared" ref="L22" ca="1" si="115">IFERROR(K22/$B22,"")</f>
        <v>0.77733834149262493</v>
      </c>
      <c r="M22" s="80">
        <f ca="1">OFFSET('16'!$E$35,$A$3,0)</f>
        <v>6815386</v>
      </c>
      <c r="N22" s="153">
        <f t="shared" ref="N22" ca="1" si="116">IFERROR(M22/$B22,"")</f>
        <v>0.67883121745542252</v>
      </c>
      <c r="O22" s="80">
        <f ca="1">'16'!$F$101*'Discipline Analysis'!B22</f>
        <v>45822.000000000007</v>
      </c>
      <c r="P22" s="153">
        <f t="shared" ref="P22" ca="1" si="117">IFERROR(O22/$B22,"")</f>
        <v>4.5639974091331546E-3</v>
      </c>
      <c r="Q22" s="80">
        <f ca="1">'16'!$F$102*'Discipline Analysis'!B22</f>
        <v>1526952</v>
      </c>
      <c r="R22" s="153">
        <f t="shared" ref="R22" ca="1" si="118">IFERROR(Q22/$B22,"")</f>
        <v>0.1520886249371631</v>
      </c>
      <c r="S22" s="80">
        <f ca="1">'16'!$F$103*'Discipline Analysis'!B22</f>
        <v>1349105</v>
      </c>
      <c r="T22" s="153">
        <f t="shared" ref="T22" ca="1" si="119">IFERROR(S22/$B22,"")</f>
        <v>0.13437457388696661</v>
      </c>
      <c r="U22" s="80">
        <f ca="1">'16'!$F$104*'Discipline Analysis'!B22</f>
        <v>1626663</v>
      </c>
      <c r="V22" s="158">
        <f t="shared" ref="V22" ca="1" si="120">IFERROR(U22/$B22,"")</f>
        <v>0.16202011517464895</v>
      </c>
      <c r="X22" s="79" t="s">
        <v>18</v>
      </c>
    </row>
    <row r="23" spans="1:24" x14ac:dyDescent="0.2">
      <c r="A23" s="97" t="s">
        <v>1053</v>
      </c>
      <c r="B23" s="88">
        <f ca="1">OFFSET('17'!$D$4,$A$3,0)</f>
        <v>647658</v>
      </c>
      <c r="C23" s="80">
        <f ca="1">OFFSET('17'!$E$4,$A$3,0)</f>
        <v>6035988</v>
      </c>
      <c r="D23" s="153">
        <f t="shared" ca="1" si="0"/>
        <v>9.3197150347868778</v>
      </c>
      <c r="E23" s="80">
        <f ca="1">OFFSET('17'!$E$66,$A$3,0)</f>
        <v>2016183</v>
      </c>
      <c r="F23" s="153">
        <f t="shared" ca="1" si="0"/>
        <v>3.1130365100099127</v>
      </c>
      <c r="G23" s="80">
        <f ca="1">'17'!$F$100*B23</f>
        <v>175713</v>
      </c>
      <c r="H23" s="153">
        <f t="shared" ref="H23" ca="1" si="121">IFERROR(G23/$B23,"")</f>
        <v>0.27130522590626532</v>
      </c>
      <c r="I23" s="80">
        <f ca="1">'17'!$F$98*'Discipline Analysis'!B23</f>
        <v>1567009</v>
      </c>
      <c r="J23" s="153">
        <f t="shared" ref="J23" ca="1" si="122">IFERROR(I23/$B23,"")</f>
        <v>2.4195007241476212</v>
      </c>
      <c r="K23" s="80">
        <f ca="1">'17'!$F$99*'Discipline Analysis'!B23</f>
        <v>644820</v>
      </c>
      <c r="L23" s="153">
        <f t="shared" ref="L23" ca="1" si="123">IFERROR(K23/$B23,"")</f>
        <v>0.99561805767858957</v>
      </c>
      <c r="M23" s="80">
        <f ca="1">OFFSET('17'!$E$35,$A$3,0)</f>
        <v>1022662</v>
      </c>
      <c r="N23" s="153">
        <f t="shared" ref="N23" ca="1" si="124">IFERROR(M23/$B23,"")</f>
        <v>1.5790154680402311</v>
      </c>
      <c r="O23" s="80">
        <f ca="1">'17'!$F$101*'Discipline Analysis'!B23</f>
        <v>0</v>
      </c>
      <c r="P23" s="153">
        <f t="shared" ref="P23" ca="1" si="125">IFERROR(O23/$B23,"")</f>
        <v>0</v>
      </c>
      <c r="Q23" s="80">
        <f ca="1">'17'!$F$102*'Discipline Analysis'!B23</f>
        <v>119114</v>
      </c>
      <c r="R23" s="153">
        <f t="shared" ref="R23" ca="1" si="126">IFERROR(Q23/$B23,"")</f>
        <v>0.18391496746739791</v>
      </c>
      <c r="S23" s="80">
        <f ca="1">'17'!$F$103*'Discipline Analysis'!B23</f>
        <v>369629</v>
      </c>
      <c r="T23" s="153">
        <f t="shared" ref="T23" ca="1" si="127">IFERROR(S23/$B23,"")</f>
        <v>0.5707163348557418</v>
      </c>
      <c r="U23" s="80">
        <f ca="1">'17'!$F$104*'Discipline Analysis'!B23</f>
        <v>120858</v>
      </c>
      <c r="V23" s="158">
        <f t="shared" ref="V23" ca="1" si="128">IFERROR(U23/$B23,"")</f>
        <v>0.18660774668111874</v>
      </c>
      <c r="X23" s="79" t="s">
        <v>466</v>
      </c>
    </row>
    <row r="24" spans="1:24" x14ac:dyDescent="0.2">
      <c r="A24" s="97" t="s">
        <v>1054</v>
      </c>
      <c r="B24" s="88">
        <f ca="1">OFFSET('18'!$D$4,$A$3,0)</f>
        <v>930552</v>
      </c>
      <c r="C24" s="80">
        <f ca="1">OFFSET('18'!$E$4,$A$3,0)</f>
        <v>12047577</v>
      </c>
      <c r="D24" s="153">
        <f t="shared" ca="1" si="0"/>
        <v>12.946699378433445</v>
      </c>
      <c r="E24" s="80">
        <f ca="1">OFFSET('18'!$E$66,$A$3,0)</f>
        <v>3975337</v>
      </c>
      <c r="F24" s="153">
        <f t="shared" ca="1" si="0"/>
        <v>4.2720202632416031</v>
      </c>
      <c r="G24" s="80">
        <f ca="1">'18'!$F$100*B24</f>
        <v>1430723</v>
      </c>
      <c r="H24" s="153">
        <f t="shared" ref="H24" ca="1" si="129">IFERROR(G24/$B24,"")</f>
        <v>1.5374992477583198</v>
      </c>
      <c r="I24" s="80">
        <f ca="1">'18'!$F$98*'Discipline Analysis'!B24</f>
        <v>3856364</v>
      </c>
      <c r="J24" s="153">
        <f t="shared" ref="J24" ca="1" si="130">IFERROR(I24/$B24,"")</f>
        <v>4.1441681926426464</v>
      </c>
      <c r="K24" s="80">
        <f ca="1">'18'!$F$99*'Discipline Analysis'!B24</f>
        <v>1303551</v>
      </c>
      <c r="L24" s="153">
        <f t="shared" ref="L24" ca="1" si="131">IFERROR(K24/$B24,"")</f>
        <v>1.4008362778221959</v>
      </c>
      <c r="M24" s="80">
        <f ca="1">OFFSET('18'!$E$35,$A$3,0)</f>
        <v>917498</v>
      </c>
      <c r="N24" s="153">
        <f t="shared" ref="N24" ca="1" si="132">IFERROR(M24/$B24,"")</f>
        <v>0.98597176729511082</v>
      </c>
      <c r="O24" s="80">
        <f ca="1">'18'!$F$101*'Discipline Analysis'!B24</f>
        <v>0</v>
      </c>
      <c r="P24" s="153">
        <f t="shared" ref="P24" ca="1" si="133">IFERROR(O24/$B24,"")</f>
        <v>0</v>
      </c>
      <c r="Q24" s="80">
        <f ca="1">'18'!$F$102*'Discipline Analysis'!B24</f>
        <v>0</v>
      </c>
      <c r="R24" s="153">
        <f t="shared" ref="R24" ca="1" si="134">IFERROR(Q24/$B24,"")</f>
        <v>0</v>
      </c>
      <c r="S24" s="80">
        <f ca="1">'18'!$F$103*'Discipline Analysis'!B24</f>
        <v>146544</v>
      </c>
      <c r="T24" s="153">
        <f t="shared" ref="T24" ca="1" si="135">IFERROR(S24/$B24,"")</f>
        <v>0.15748072112036726</v>
      </c>
      <c r="U24" s="80">
        <f ca="1">'18'!$F$104*'Discipline Analysis'!B24</f>
        <v>417560</v>
      </c>
      <c r="V24" s="158">
        <f t="shared" ref="V24" ca="1" si="136">IFERROR(U24/$B24,"")</f>
        <v>0.44872290855320285</v>
      </c>
      <c r="X24" s="79" t="s">
        <v>19</v>
      </c>
    </row>
    <row r="25" spans="1:24" x14ac:dyDescent="0.2">
      <c r="A25" s="97" t="s">
        <v>1084</v>
      </c>
      <c r="B25" s="88">
        <f ca="1">OFFSET('19'!$D$4,$A$3,0)</f>
        <v>2151132</v>
      </c>
      <c r="C25" s="80">
        <f ca="1">OFFSET('19'!$E$4,$A$3,0)</f>
        <v>14481729.999999998</v>
      </c>
      <c r="D25" s="153">
        <f t="shared" ca="1" si="0"/>
        <v>6.732143820091002</v>
      </c>
      <c r="E25" s="80">
        <f ca="1">OFFSET('19'!$E$66,$A$3,0)</f>
        <v>6524000</v>
      </c>
      <c r="F25" s="153">
        <f t="shared" ca="1" si="0"/>
        <v>3.0328217887140352</v>
      </c>
      <c r="G25" s="80">
        <f ca="1">'19'!$F$100*B25</f>
        <v>1310128</v>
      </c>
      <c r="H25" s="153">
        <f t="shared" ref="H25" ca="1" si="137">IFERROR(G25/$B25,"")</f>
        <v>0.60904119319502481</v>
      </c>
      <c r="I25" s="80">
        <f ca="1">'19'!$F$98*'Discipline Analysis'!B25</f>
        <v>2747734</v>
      </c>
      <c r="J25" s="153">
        <f t="shared" ref="J25" ca="1" si="138">IFERROR(I25/$B25,"")</f>
        <v>1.2773432778648637</v>
      </c>
      <c r="K25" s="80">
        <f ca="1">'19'!$F$99*'Discipline Analysis'!B25</f>
        <v>1416808</v>
      </c>
      <c r="L25" s="153">
        <f t="shared" ref="L25" ca="1" si="139">IFERROR(K25/$B25,"")</f>
        <v>0.65863368682163626</v>
      </c>
      <c r="M25" s="80">
        <f ca="1">OFFSET('19'!$E$35,$A$3,0)</f>
        <v>1867886</v>
      </c>
      <c r="N25" s="153">
        <f t="shared" ref="N25" ca="1" si="140">IFERROR(M25/$B25,"")</f>
        <v>0.86832700178324718</v>
      </c>
      <c r="O25" s="80">
        <f ca="1">'19'!$F$101*'Discipline Analysis'!B25</f>
        <v>0</v>
      </c>
      <c r="P25" s="153">
        <f t="shared" ref="P25" ca="1" si="141">IFERROR(O25/$B25,"")</f>
        <v>0</v>
      </c>
      <c r="Q25" s="80">
        <f ca="1">'19'!$F$102*'Discipline Analysis'!B25</f>
        <v>0</v>
      </c>
      <c r="R25" s="153">
        <f t="shared" ref="R25" ca="1" si="142">IFERROR(Q25/$B25,"")</f>
        <v>0</v>
      </c>
      <c r="S25" s="80">
        <f ca="1">'19'!$F$103*'Discipline Analysis'!B25</f>
        <v>238705</v>
      </c>
      <c r="T25" s="153">
        <f t="shared" ref="T25" ca="1" si="143">IFERROR(S25/$B25,"")</f>
        <v>0.11096715589745307</v>
      </c>
      <c r="U25" s="80">
        <f ca="1">'19'!$F$104*'Discipline Analysis'!B25</f>
        <v>376469</v>
      </c>
      <c r="V25" s="158">
        <f t="shared" ref="V25" ca="1" si="144">IFERROR(U25/$B25,"")</f>
        <v>0.17500971581474312</v>
      </c>
      <c r="X25" s="79" t="s">
        <v>20</v>
      </c>
    </row>
    <row r="26" spans="1:24" x14ac:dyDescent="0.2">
      <c r="A26" s="97" t="s">
        <v>1055</v>
      </c>
      <c r="B26" s="88">
        <f ca="1">OFFSET('20'!$D$4,$A$3,0)</f>
        <v>2043236</v>
      </c>
      <c r="C26" s="80">
        <f ca="1">OFFSET('20'!$E$4,$A$3,0)</f>
        <v>11551061.000000002</v>
      </c>
      <c r="D26" s="153">
        <f t="shared" ca="1" si="0"/>
        <v>5.6533170911240802</v>
      </c>
      <c r="E26" s="80">
        <f ca="1">OFFSET('20'!$E$66,$A$3,0)</f>
        <v>5645745</v>
      </c>
      <c r="F26" s="153">
        <f t="shared" ca="1" si="0"/>
        <v>2.7631389619211877</v>
      </c>
      <c r="G26" s="80">
        <f ca="1">'20'!$F$100*B26</f>
        <v>850202</v>
      </c>
      <c r="H26" s="153">
        <f t="shared" ref="H26" ca="1" si="145">IFERROR(G26/$B26,"")</f>
        <v>0.41610562852259847</v>
      </c>
      <c r="I26" s="80">
        <f ca="1">'20'!$F$98*'Discipline Analysis'!B26</f>
        <v>2597462</v>
      </c>
      <c r="J26" s="153">
        <f t="shared" ref="J26" ca="1" si="146">IFERROR(I26/$B26,"")</f>
        <v>1.2712491361741864</v>
      </c>
      <c r="K26" s="80">
        <f ca="1">'20'!$F$99*'Discipline Analysis'!B26</f>
        <v>1504988</v>
      </c>
      <c r="L26" s="153">
        <f t="shared" ref="L26" ca="1" si="147">IFERROR(K26/$B26,"")</f>
        <v>0.73657081218224429</v>
      </c>
      <c r="M26" s="80">
        <f ca="1">OFFSET('20'!$E$35,$A$3,0)</f>
        <v>417811</v>
      </c>
      <c r="N26" s="153">
        <f t="shared" ref="N26" ca="1" si="148">IFERROR(M26/$B26,"")</f>
        <v>0.20448494447043808</v>
      </c>
      <c r="O26" s="80">
        <f ca="1">'20'!$F$101*'Discipline Analysis'!B26</f>
        <v>0</v>
      </c>
      <c r="P26" s="153">
        <f t="shared" ref="P26" ca="1" si="149">IFERROR(O26/$B26,"")</f>
        <v>0</v>
      </c>
      <c r="Q26" s="80">
        <f ca="1">'20'!$F$102*'Discipline Analysis'!B26</f>
        <v>0</v>
      </c>
      <c r="R26" s="153">
        <f t="shared" ref="R26" ca="1" si="150">IFERROR(Q26/$B26,"")</f>
        <v>0</v>
      </c>
      <c r="S26" s="80">
        <f ca="1">'20'!$F$103*'Discipline Analysis'!B26</f>
        <v>194748</v>
      </c>
      <c r="T26" s="153">
        <f t="shared" ref="T26" ca="1" si="151">IFERROR(S26/$B26,"")</f>
        <v>9.5313512487054844E-2</v>
      </c>
      <c r="U26" s="80">
        <f ca="1">'20'!$F$104*'Discipline Analysis'!B26</f>
        <v>340105</v>
      </c>
      <c r="V26" s="158">
        <f t="shared" ref="V26" ca="1" si="152">IFERROR(U26/$B26,"")</f>
        <v>0.16645409536636982</v>
      </c>
      <c r="X26" s="79" t="s">
        <v>21</v>
      </c>
    </row>
    <row r="27" spans="1:24" x14ac:dyDescent="0.2">
      <c r="A27" s="97" t="s">
        <v>1077</v>
      </c>
      <c r="B27" s="88">
        <f ca="1">OFFSET('21'!$D$4,$A$3,0)</f>
        <v>21365304</v>
      </c>
      <c r="C27" s="80">
        <f ca="1">OFFSET('21'!$E$4,$A$3,0)</f>
        <v>180970906</v>
      </c>
      <c r="D27" s="153">
        <f t="shared" ca="1" si="0"/>
        <v>8.4703173893523811</v>
      </c>
      <c r="E27" s="80">
        <f ca="1">OFFSET('21'!$E$66,$A$3,0)</f>
        <v>76295558</v>
      </c>
      <c r="F27" s="153">
        <f t="shared" ca="1" si="0"/>
        <v>3.5710026873476735</v>
      </c>
      <c r="G27" s="80">
        <f ca="1">'21'!$F$100*B27</f>
        <v>17630830</v>
      </c>
      <c r="H27" s="153">
        <f t="shared" ref="H27" ca="1" si="153">IFERROR(G27/$B27,"")</f>
        <v>0.82520847819436594</v>
      </c>
      <c r="I27" s="80">
        <f ca="1">'21'!$F$98*'Discipline Analysis'!B27</f>
        <v>43684052.000000007</v>
      </c>
      <c r="J27" s="153">
        <f t="shared" ref="J27" ca="1" si="154">IFERROR(I27/$B27,"")</f>
        <v>2.0446258101452712</v>
      </c>
      <c r="K27" s="80">
        <f ca="1">'21'!$F$99*'Discipline Analysis'!B27</f>
        <v>21894339</v>
      </c>
      <c r="L27" s="153">
        <f t="shared" ref="L27" ca="1" si="155">IFERROR(K27/$B27,"")</f>
        <v>1.0247614075605944</v>
      </c>
      <c r="M27" s="80">
        <f ca="1">OFFSET('21'!$E$35,$A$3,0)</f>
        <v>16336723</v>
      </c>
      <c r="N27" s="153">
        <f t="shared" ref="N27" ca="1" si="156">IFERROR(M27/$B27,"")</f>
        <v>0.76463798502469238</v>
      </c>
      <c r="O27" s="80">
        <f ca="1">'21'!$F$101*'Discipline Analysis'!B27</f>
        <v>0</v>
      </c>
      <c r="P27" s="153">
        <f t="shared" ref="P27" ca="1" si="157">IFERROR(O27/$B27,"")</f>
        <v>0</v>
      </c>
      <c r="Q27" s="80">
        <f ca="1">'21'!$F$102*'Discipline Analysis'!B27</f>
        <v>0</v>
      </c>
      <c r="R27" s="153">
        <f t="shared" ref="R27" ca="1" si="158">IFERROR(Q27/$B27,"")</f>
        <v>0</v>
      </c>
      <c r="S27" s="80">
        <f ca="1">'21'!$F$103*'Discipline Analysis'!B27</f>
        <v>2952896</v>
      </c>
      <c r="T27" s="153">
        <f t="shared" ref="T27" ca="1" si="159">IFERROR(S27/$B27,"")</f>
        <v>0.13820987522573983</v>
      </c>
      <c r="U27" s="80">
        <f ca="1">'21'!$F$104*'Discipline Analysis'!B27</f>
        <v>2176508</v>
      </c>
      <c r="V27" s="158">
        <f t="shared" ref="V27" ca="1" si="160">IFERROR(U27/$B27,"")</f>
        <v>0.10187114585404448</v>
      </c>
      <c r="X27" s="79" t="s">
        <v>22</v>
      </c>
    </row>
    <row r="28" spans="1:24" x14ac:dyDescent="0.2">
      <c r="A28" s="97" t="s">
        <v>1056</v>
      </c>
      <c r="B28" s="88">
        <f ca="1">OFFSET('22'!$D$4,$A$3,0)</f>
        <v>2300430</v>
      </c>
      <c r="C28" s="80">
        <f ca="1">OFFSET('22'!$E$4,$A$3,0)</f>
        <v>16020108.000000002</v>
      </c>
      <c r="D28" s="153">
        <f t="shared" ca="1" si="0"/>
        <v>6.9639623896401988</v>
      </c>
      <c r="E28" s="80">
        <f ca="1">OFFSET('22'!$E$66,$A$3,0)</f>
        <v>6948577</v>
      </c>
      <c r="F28" s="153">
        <f t="shared" ca="1" si="0"/>
        <v>3.0205557221910686</v>
      </c>
      <c r="G28" s="80">
        <f ca="1">'22'!$F$100*B28</f>
        <v>1227942</v>
      </c>
      <c r="H28" s="153">
        <f t="shared" ref="H28" ca="1" si="161">IFERROR(G28/$B28,"")</f>
        <v>0.53378803093334726</v>
      </c>
      <c r="I28" s="80">
        <f ca="1">'22'!$F$98*'Discipline Analysis'!B28</f>
        <v>3271612</v>
      </c>
      <c r="J28" s="153">
        <f t="shared" ref="J28" ca="1" si="162">IFERROR(I28/$B28,"")</f>
        <v>1.422174115274101</v>
      </c>
      <c r="K28" s="80">
        <f ca="1">'22'!$F$99*'Discipline Analysis'!B28</f>
        <v>1623120</v>
      </c>
      <c r="L28" s="153">
        <f t="shared" ref="L28" ca="1" si="163">IFERROR(K28/$B28,"")</f>
        <v>0.70557243645753187</v>
      </c>
      <c r="M28" s="80">
        <f ca="1">OFFSET('22'!$E$35,$A$3,0)</f>
        <v>2261291</v>
      </c>
      <c r="N28" s="153">
        <f t="shared" ref="N28" ca="1" si="164">IFERROR(M28/$B28,"")</f>
        <v>0.98298622431458471</v>
      </c>
      <c r="O28" s="80">
        <f ca="1">'22'!$F$101*'Discipline Analysis'!B28</f>
        <v>0</v>
      </c>
      <c r="P28" s="153">
        <f t="shared" ref="P28" ca="1" si="165">IFERROR(O28/$B28,"")</f>
        <v>0</v>
      </c>
      <c r="Q28" s="80">
        <f ca="1">'22'!$F$102*'Discipline Analysis'!B28</f>
        <v>0</v>
      </c>
      <c r="R28" s="153">
        <f t="shared" ref="R28" ca="1" si="166">IFERROR(Q28/$B28,"")</f>
        <v>0</v>
      </c>
      <c r="S28" s="80">
        <f ca="1">'22'!$F$103*'Discipline Analysis'!B28</f>
        <v>383078</v>
      </c>
      <c r="T28" s="153">
        <f t="shared" ref="T28" ca="1" si="167">IFERROR(S28/$B28,"")</f>
        <v>0.16652451932899501</v>
      </c>
      <c r="U28" s="80">
        <f ca="1">'22'!$F$104*'Discipline Analysis'!B28</f>
        <v>304488</v>
      </c>
      <c r="V28" s="158">
        <f t="shared" ref="V28" ca="1" si="168">IFERROR(U28/$B28,"")</f>
        <v>0.13236134114056938</v>
      </c>
      <c r="X28" s="79" t="s">
        <v>23</v>
      </c>
    </row>
    <row r="29" spans="1:24" x14ac:dyDescent="0.2">
      <c r="A29" s="97" t="s">
        <v>1057</v>
      </c>
      <c r="B29" s="88">
        <f ca="1">OFFSET('23'!$D$4,$A$3,0)</f>
        <v>3403144</v>
      </c>
      <c r="C29" s="80">
        <f ca="1">OFFSET('23'!$E$4,$A$3,0)</f>
        <v>21474142</v>
      </c>
      <c r="D29" s="153">
        <f t="shared" ca="1" si="0"/>
        <v>6.3100891411001125</v>
      </c>
      <c r="E29" s="80">
        <f ca="1">OFFSET('23'!$E$66,$A$3,0)</f>
        <v>9918393</v>
      </c>
      <c r="F29" s="153">
        <f t="shared" ca="1" si="0"/>
        <v>2.9144793755421459</v>
      </c>
      <c r="G29" s="80">
        <f ca="1">'23'!$F$100*B29</f>
        <v>2442780</v>
      </c>
      <c r="H29" s="153">
        <f t="shared" ref="H29" ca="1" si="169">IFERROR(G29/$B29,"")</f>
        <v>0.71780095112049325</v>
      </c>
      <c r="I29" s="80">
        <f ca="1">'23'!$F$98*'Discipline Analysis'!B29</f>
        <v>3806281</v>
      </c>
      <c r="J29" s="153">
        <f t="shared" ref="J29" ca="1" si="170">IFERROR(I29/$B29,"")</f>
        <v>1.1184601650708874</v>
      </c>
      <c r="K29" s="80">
        <f ca="1">'23'!$F$99*'Discipline Analysis'!B29</f>
        <v>1375544</v>
      </c>
      <c r="L29" s="153">
        <f t="shared" ref="L29" ca="1" si="171">IFERROR(K29/$B29,"")</f>
        <v>0.40419800043724274</v>
      </c>
      <c r="M29" s="80">
        <f ca="1">OFFSET('23'!$E$35,$A$3,0)</f>
        <v>2676435</v>
      </c>
      <c r="N29" s="153">
        <f t="shared" ref="N29" ca="1" si="172">IFERROR(M29/$B29,"")</f>
        <v>0.78645952096061755</v>
      </c>
      <c r="O29" s="80">
        <f ca="1">'23'!$F$101*'Discipline Analysis'!B29</f>
        <v>0</v>
      </c>
      <c r="P29" s="153">
        <f t="shared" ref="P29" ca="1" si="173">IFERROR(O29/$B29,"")</f>
        <v>0</v>
      </c>
      <c r="Q29" s="80">
        <f ca="1">'23'!$F$102*'Discipline Analysis'!B29</f>
        <v>90326</v>
      </c>
      <c r="R29" s="153">
        <f t="shared" ref="R29" ca="1" si="174">IFERROR(Q29/$B29,"")</f>
        <v>2.6541927112105748E-2</v>
      </c>
      <c r="S29" s="80">
        <f ca="1">'23'!$F$103*'Discipline Analysis'!B29</f>
        <v>274653</v>
      </c>
      <c r="T29" s="153">
        <f t="shared" ref="T29" ca="1" si="175">IFERROR(S29/$B29,"")</f>
        <v>8.0705665114376587E-2</v>
      </c>
      <c r="U29" s="80">
        <f ca="1">'23'!$F$104*'Discipline Analysis'!B29</f>
        <v>889730</v>
      </c>
      <c r="V29" s="158">
        <f t="shared" ref="V29" ca="1" si="176">IFERROR(U29/$B29,"")</f>
        <v>0.26144353574224305</v>
      </c>
      <c r="X29" s="79" t="s">
        <v>24</v>
      </c>
    </row>
    <row r="30" spans="1:24" x14ac:dyDescent="0.2">
      <c r="A30" s="97" t="s">
        <v>1041</v>
      </c>
      <c r="B30" s="88">
        <f ca="1">OFFSET('24'!$D$4,$A$3,0)</f>
        <v>3523680</v>
      </c>
      <c r="C30" s="80">
        <f ca="1">OFFSET('24'!$E$4,$A$3,0)</f>
        <v>35259656.000000007</v>
      </c>
      <c r="D30" s="153">
        <f t="shared" ca="1" si="0"/>
        <v>10.006486400581213</v>
      </c>
      <c r="E30" s="80">
        <f ca="1">OFFSET('24'!$E$66,$A$3,0)</f>
        <v>13642771</v>
      </c>
      <c r="F30" s="153">
        <f t="shared" ca="1" si="0"/>
        <v>3.8717394882622713</v>
      </c>
      <c r="G30" s="80">
        <f ca="1">'24'!$F$100*B30</f>
        <v>2845997</v>
      </c>
      <c r="H30" s="153">
        <f t="shared" ref="H30" ca="1" si="177">IFERROR(G30/$B30,"")</f>
        <v>0.80767748490214775</v>
      </c>
      <c r="I30" s="80">
        <f ca="1">'24'!$F$98*'Discipline Analysis'!B30</f>
        <v>7334513.9999999991</v>
      </c>
      <c r="J30" s="153">
        <f t="shared" ref="J30" ca="1" si="178">IFERROR(I30/$B30,"")</f>
        <v>2.0814926440539434</v>
      </c>
      <c r="K30" s="80">
        <f ca="1">'24'!$F$99*'Discipline Analysis'!B30</f>
        <v>4136221</v>
      </c>
      <c r="L30" s="153">
        <f t="shared" ref="L30" ca="1" si="179">IFERROR(K30/$B30,"")</f>
        <v>1.1738355923352859</v>
      </c>
      <c r="M30" s="80">
        <f ca="1">OFFSET('24'!$E$35,$A$3,0)</f>
        <v>4490296</v>
      </c>
      <c r="N30" s="153">
        <f t="shared" ref="N30" ca="1" si="180">IFERROR(M30/$B30,"")</f>
        <v>1.2743200290605277</v>
      </c>
      <c r="O30" s="80">
        <f ca="1">'24'!$F$101*'Discipline Analysis'!B30</f>
        <v>0</v>
      </c>
      <c r="P30" s="153">
        <f t="shared" ref="P30" ca="1" si="181">IFERROR(O30/$B30,"")</f>
        <v>0</v>
      </c>
      <c r="Q30" s="80">
        <f ca="1">'24'!$F$102*'Discipline Analysis'!B30</f>
        <v>287299</v>
      </c>
      <c r="R30" s="153">
        <f t="shared" ref="R30" ca="1" si="182">IFERROR(Q30/$B30,"")</f>
        <v>8.1533794215138719E-2</v>
      </c>
      <c r="S30" s="80">
        <f ca="1">'24'!$F$103*'Discipline Analysis'!B30</f>
        <v>942848.00000000012</v>
      </c>
      <c r="T30" s="153">
        <f t="shared" ref="T30" ca="1" si="183">IFERROR(S30/$B30,"")</f>
        <v>0.26757480815511059</v>
      </c>
      <c r="U30" s="80">
        <f ca="1">'24'!$F$104*'Discipline Analysis'!B30</f>
        <v>1579710</v>
      </c>
      <c r="V30" s="158">
        <f t="shared" ref="V30" ca="1" si="184">IFERROR(U30/$B30,"")</f>
        <v>0.44831255959678518</v>
      </c>
      <c r="X30" s="79" t="s">
        <v>25</v>
      </c>
    </row>
    <row r="31" spans="1:24" x14ac:dyDescent="0.2">
      <c r="A31" s="97" t="s">
        <v>1058</v>
      </c>
      <c r="B31" s="88">
        <f ca="1">OFFSET('25'!$D$4,$A$3,0)</f>
        <v>2896163</v>
      </c>
      <c r="C31" s="80">
        <f ca="1">OFFSET('25'!$E$4,$A$3,0)</f>
        <v>28444801</v>
      </c>
      <c r="D31" s="153">
        <f t="shared" ca="1" si="0"/>
        <v>9.8215469916575824</v>
      </c>
      <c r="E31" s="80">
        <f ca="1">OFFSET('25'!$E$66,$A$3,0)</f>
        <v>12325828</v>
      </c>
      <c r="F31" s="153">
        <f t="shared" ca="1" si="0"/>
        <v>4.2559165350845243</v>
      </c>
      <c r="G31" s="80">
        <f ca="1">'25'!$F$100*B31</f>
        <v>2162751</v>
      </c>
      <c r="H31" s="153">
        <f t="shared" ref="H31" ca="1" si="185">IFERROR(G31/$B31,"")</f>
        <v>0.74676425325508267</v>
      </c>
      <c r="I31" s="80">
        <f ca="1">'25'!$F$98*'Discipline Analysis'!B31</f>
        <v>6919340</v>
      </c>
      <c r="J31" s="153">
        <f t="shared" ref="J31" ca="1" si="186">IFERROR(I31/$B31,"")</f>
        <v>2.3891403902335608</v>
      </c>
      <c r="K31" s="80">
        <f ca="1">'25'!$F$99*'Discipline Analysis'!B31</f>
        <v>1906865</v>
      </c>
      <c r="L31" s="153">
        <f t="shared" ref="L31" ca="1" si="187">IFERROR(K31/$B31,"")</f>
        <v>0.65841080077329905</v>
      </c>
      <c r="M31" s="80">
        <f ca="1">OFFSET('25'!$E$35,$A$3,0)</f>
        <v>3473933</v>
      </c>
      <c r="N31" s="153">
        <f t="shared" ref="N31" ca="1" si="188">IFERROR(M31/$B31,"")</f>
        <v>1.1994949869879561</v>
      </c>
      <c r="O31" s="80">
        <f ca="1">'25'!$F$101*'Discipline Analysis'!B31</f>
        <v>0</v>
      </c>
      <c r="P31" s="153">
        <f t="shared" ref="P31" ca="1" si="189">IFERROR(O31/$B31,"")</f>
        <v>0</v>
      </c>
      <c r="Q31" s="80">
        <f ca="1">'25'!$F$102*'Discipline Analysis'!B31</f>
        <v>0</v>
      </c>
      <c r="R31" s="153">
        <f t="shared" ref="R31" ca="1" si="190">IFERROR(Q31/$B31,"")</f>
        <v>0</v>
      </c>
      <c r="S31" s="80">
        <f ca="1">'25'!$F$103*'Discipline Analysis'!B31</f>
        <v>679023</v>
      </c>
      <c r="T31" s="153">
        <f t="shared" ref="T31" ca="1" si="191">IFERROR(S31/$B31,"")</f>
        <v>0.23445607170590882</v>
      </c>
      <c r="U31" s="80">
        <f ca="1">'25'!$F$104*'Discipline Analysis'!B31</f>
        <v>977061</v>
      </c>
      <c r="V31" s="158">
        <f t="shared" ref="V31" ca="1" si="192">IFERROR(U31/$B31,"")</f>
        <v>0.33736395361725152</v>
      </c>
      <c r="X31" s="79" t="s">
        <v>956</v>
      </c>
    </row>
    <row r="32" spans="1:24" x14ac:dyDescent="0.2">
      <c r="A32" s="96" t="s">
        <v>1059</v>
      </c>
      <c r="B32" s="88">
        <f ca="1">OFFSET('26'!$D$4,$A$3,0)</f>
        <v>18452652</v>
      </c>
      <c r="C32" s="80">
        <f ca="1">OFFSET('26'!$E$4,$A$3,0)</f>
        <v>166864847</v>
      </c>
      <c r="D32" s="153">
        <f t="shared" ca="1" si="0"/>
        <v>9.0428653290594756</v>
      </c>
      <c r="E32" s="80">
        <f ca="1">OFFSET('26'!$E$66,$A$3,0)</f>
        <v>65205085</v>
      </c>
      <c r="F32" s="153">
        <f t="shared" ca="1" si="0"/>
        <v>3.5336430232359013</v>
      </c>
      <c r="G32" s="80">
        <f ca="1">'26'!$F$100*B32</f>
        <v>38225105</v>
      </c>
      <c r="H32" s="153">
        <f t="shared" ref="H32" ca="1" si="193">IFERROR(G32/$B32,"")</f>
        <v>2.0715236487416551</v>
      </c>
      <c r="I32" s="80">
        <f ca="1">'26'!$F$98*'Discipline Analysis'!B32</f>
        <v>22152412</v>
      </c>
      <c r="J32" s="153">
        <f t="shared" ref="J32" ca="1" si="194">IFERROR(I32/$B32,"")</f>
        <v>1.2005001774270712</v>
      </c>
      <c r="K32" s="80">
        <f ca="1">'26'!$F$99*'Discipline Analysis'!B32</f>
        <v>19409964</v>
      </c>
      <c r="L32" s="153">
        <f t="shared" ref="L32" ca="1" si="195">IFERROR(K32/$B32,"")</f>
        <v>1.0518793721357775</v>
      </c>
      <c r="M32" s="80">
        <f ca="1">OFFSET('26'!$E$35,$A$3,0)</f>
        <v>14670920</v>
      </c>
      <c r="N32" s="153">
        <f t="shared" ref="N32" ca="1" si="196">IFERROR(M32/$B32,"")</f>
        <v>0.79505753427745773</v>
      </c>
      <c r="O32" s="80">
        <f ca="1">'26'!$F$101*'Discipline Analysis'!B32</f>
        <v>0</v>
      </c>
      <c r="P32" s="153">
        <f t="shared" ref="P32" ca="1" si="197">IFERROR(O32/$B32,"")</f>
        <v>0</v>
      </c>
      <c r="Q32" s="80">
        <f ca="1">'26'!$F$102*'Discipline Analysis'!B32</f>
        <v>0</v>
      </c>
      <c r="R32" s="153">
        <f t="shared" ref="R32" ca="1" si="198">IFERROR(Q32/$B32,"")</f>
        <v>0</v>
      </c>
      <c r="S32" s="80">
        <f ca="1">'26'!$F$103*'Discipline Analysis'!B32</f>
        <v>2478963</v>
      </c>
      <c r="T32" s="153">
        <f t="shared" ref="T32" ca="1" si="199">IFERROR(S32/$B32,"")</f>
        <v>0.13434182793887839</v>
      </c>
      <c r="U32" s="80">
        <f ca="1">'26'!$F$104*'Discipline Analysis'!B32</f>
        <v>4722398</v>
      </c>
      <c r="V32" s="158">
        <f t="shared" ref="V32" ca="1" si="200">IFERROR(U32/$B32,"")</f>
        <v>0.25591974530273481</v>
      </c>
    </row>
    <row r="33" spans="1:22" x14ac:dyDescent="0.2">
      <c r="A33" s="97" t="s">
        <v>1038</v>
      </c>
      <c r="B33" s="88">
        <f ca="1">OFFSET('27'!$D$4,$A$3,0)</f>
        <v>3921638</v>
      </c>
      <c r="C33" s="80">
        <f ca="1">OFFSET('27'!$E$4,$A$3,0)</f>
        <v>36014716.999999993</v>
      </c>
      <c r="D33" s="153">
        <f t="shared" ca="1" si="0"/>
        <v>9.1835903772862242</v>
      </c>
      <c r="E33" s="80">
        <f ca="1">OFFSET('27'!$E$66,$A$3,0)</f>
        <v>15880510</v>
      </c>
      <c r="F33" s="153">
        <f t="shared" ca="1" si="0"/>
        <v>4.049458415080637</v>
      </c>
      <c r="G33" s="80">
        <f ca="1">'27'!$F$100*B33</f>
        <v>1692239</v>
      </c>
      <c r="H33" s="153">
        <f t="shared" ref="H33" ca="1" si="201">IFERROR(G33/$B33,"")</f>
        <v>0.43151331152951905</v>
      </c>
      <c r="I33" s="80">
        <f ca="1">'27'!$F$98*'Discipline Analysis'!B33</f>
        <v>7420171</v>
      </c>
      <c r="J33" s="153">
        <f t="shared" ref="J33" ca="1" si="202">IFERROR(I33/$B33,"")</f>
        <v>1.8921101335717372</v>
      </c>
      <c r="K33" s="80">
        <f ca="1">'27'!$F$99*'Discipline Analysis'!B33</f>
        <v>2115731</v>
      </c>
      <c r="L33" s="153">
        <f t="shared" ref="L33" ca="1" si="203">IFERROR(K33/$B33,"")</f>
        <v>0.53950186121207511</v>
      </c>
      <c r="M33" s="80">
        <f ca="1">OFFSET('27'!$E$35,$A$3,0)</f>
        <v>7762841</v>
      </c>
      <c r="N33" s="153">
        <f t="shared" ref="N33" ca="1" si="204">IFERROR(M33/$B33,"")</f>
        <v>1.9794894378318448</v>
      </c>
      <c r="O33" s="80">
        <f ca="1">'27'!$F$101*'Discipline Analysis'!B33</f>
        <v>0</v>
      </c>
      <c r="P33" s="153">
        <f t="shared" ref="P33" ca="1" si="205">IFERROR(O33/$B33,"")</f>
        <v>0</v>
      </c>
      <c r="Q33" s="80">
        <f ca="1">'27'!$F$102*'Discipline Analysis'!B33</f>
        <v>852915</v>
      </c>
      <c r="R33" s="153">
        <f t="shared" ref="R33" ca="1" si="206">IFERROR(Q33/$B33,"")</f>
        <v>0.21748947761114107</v>
      </c>
      <c r="S33" s="80">
        <f ca="1">'27'!$F$103*'Discipline Analysis'!B33</f>
        <v>0</v>
      </c>
      <c r="T33" s="153">
        <f t="shared" ref="T33" ca="1" si="207">IFERROR(S33/$B33,"")</f>
        <v>0</v>
      </c>
      <c r="U33" s="80">
        <f ca="1">'27'!$F$104*'Discipline Analysis'!B33</f>
        <v>290310</v>
      </c>
      <c r="V33" s="158">
        <f t="shared" ref="V33" ca="1" si="208">IFERROR(U33/$B33,"")</f>
        <v>7.4027740449271448E-2</v>
      </c>
    </row>
    <row r="34" spans="1:22" x14ac:dyDescent="0.2">
      <c r="A34" s="97" t="s">
        <v>1060</v>
      </c>
      <c r="B34" s="88">
        <f ca="1">OFFSET('28'!$D$4,$A$3,0)</f>
        <v>2688607</v>
      </c>
      <c r="C34" s="80">
        <f ca="1">OFFSET('28'!$E$4,$A$3,0)</f>
        <v>27584805</v>
      </c>
      <c r="D34" s="153">
        <f t="shared" ca="1" si="0"/>
        <v>10.259887369184117</v>
      </c>
      <c r="E34" s="80">
        <f ca="1">OFFSET('28'!$E$66,$A$3,0)</f>
        <v>10962380</v>
      </c>
      <c r="F34" s="153">
        <f t="shared" ca="1" si="0"/>
        <v>4.0773456291678185</v>
      </c>
      <c r="G34" s="80">
        <f ca="1">'28'!$F$100*B34</f>
        <v>4284806</v>
      </c>
      <c r="H34" s="153">
        <f t="shared" ref="H34" ca="1" si="209">IFERROR(G34/$B34,"")</f>
        <v>1.5936899665886461</v>
      </c>
      <c r="I34" s="80">
        <f ca="1">'28'!$F$98*'Discipline Analysis'!B34</f>
        <v>4190664.9999999995</v>
      </c>
      <c r="J34" s="153">
        <f t="shared" ref="J34" ca="1" si="210">IFERROR(I34/$B34,"")</f>
        <v>1.5586751801211556</v>
      </c>
      <c r="K34" s="80">
        <f ca="1">'28'!$F$99*'Discipline Analysis'!B34</f>
        <v>2032962</v>
      </c>
      <c r="L34" s="153">
        <f t="shared" ref="L34" ca="1" si="211">IFERROR(K34/$B34,"")</f>
        <v>0.756139517601494</v>
      </c>
      <c r="M34" s="80">
        <f ca="1">OFFSET('28'!$E$35,$A$3,0)</f>
        <v>4458507</v>
      </c>
      <c r="N34" s="153">
        <f t="shared" ref="N34" ca="1" si="212">IFERROR(M34/$B34,"")</f>
        <v>1.6582962850278973</v>
      </c>
      <c r="O34" s="80">
        <f ca="1">'28'!$F$101*'Discipline Analysis'!B34</f>
        <v>0</v>
      </c>
      <c r="P34" s="153">
        <f t="shared" ref="P34" ca="1" si="213">IFERROR(O34/$B34,"")</f>
        <v>0</v>
      </c>
      <c r="Q34" s="80">
        <f ca="1">'28'!$F$102*'Discipline Analysis'!B34</f>
        <v>21696.000000000004</v>
      </c>
      <c r="R34" s="153">
        <f t="shared" ref="R34" ca="1" si="214">IFERROR(Q34/$B34,"")</f>
        <v>8.0696063054213583E-3</v>
      </c>
      <c r="S34" s="80">
        <f ca="1">'28'!$F$103*'Discipline Analysis'!B34</f>
        <v>568701</v>
      </c>
      <c r="T34" s="153">
        <f t="shared" ref="T34" ca="1" si="215">IFERROR(S34/$B34,"")</f>
        <v>0.21152254680583663</v>
      </c>
      <c r="U34" s="80">
        <f ca="1">'28'!$F$104*'Discipline Analysis'!B34</f>
        <v>1065088</v>
      </c>
      <c r="V34" s="158">
        <f t="shared" ref="V34" ca="1" si="216">IFERROR(U34/$B34,"")</f>
        <v>0.39614863756584728</v>
      </c>
    </row>
    <row r="35" spans="1:22" x14ac:dyDescent="0.2">
      <c r="A35" s="97" t="s">
        <v>1061</v>
      </c>
      <c r="B35" s="88">
        <f ca="1">OFFSET('29'!$D$4,$A$3,0)</f>
        <v>4391435</v>
      </c>
      <c r="C35" s="80">
        <f ca="1">OFFSET('29'!$E$4,$A$3,0)</f>
        <v>21320555</v>
      </c>
      <c r="D35" s="153">
        <f t="shared" ca="1" si="0"/>
        <v>4.8550314418863083</v>
      </c>
      <c r="E35" s="80">
        <f ca="1">OFFSET('29'!$E$66,$A$3,0)</f>
        <v>10603186</v>
      </c>
      <c r="F35" s="153">
        <f t="shared" ca="1" si="0"/>
        <v>2.4145150730911422</v>
      </c>
      <c r="G35" s="80">
        <f ca="1">'29'!$F$100*B35</f>
        <v>2516684</v>
      </c>
      <c r="H35" s="153">
        <f t="shared" ref="H35" ca="1" si="217">IFERROR(G35/$B35,"")</f>
        <v>0.57308920660330853</v>
      </c>
      <c r="I35" s="80">
        <f ca="1">'29'!$F$98*'Discipline Analysis'!B35</f>
        <v>3816959</v>
      </c>
      <c r="J35" s="153">
        <f t="shared" ref="J35" ca="1" si="218">IFERROR(I35/$B35,"")</f>
        <v>0.86918262481398445</v>
      </c>
      <c r="K35" s="80">
        <f ca="1">'29'!$F$99*'Discipline Analysis'!B35</f>
        <v>2291059</v>
      </c>
      <c r="L35" s="153">
        <f t="shared" ref="L35" ca="1" si="219">IFERROR(K35/$B35,"")</f>
        <v>0.52171078474348365</v>
      </c>
      <c r="M35" s="80">
        <f ca="1">OFFSET('29'!$E$35,$A$3,0)</f>
        <v>985976</v>
      </c>
      <c r="N35" s="153">
        <f t="shared" ref="N35" ca="1" si="220">IFERROR(M35/$B35,"")</f>
        <v>0.22452250801844956</v>
      </c>
      <c r="O35" s="80">
        <f ca="1">'29'!$F$101*'Discipline Analysis'!B35</f>
        <v>0</v>
      </c>
      <c r="P35" s="153">
        <f t="shared" ref="P35" ca="1" si="221">IFERROR(O35/$B35,"")</f>
        <v>0</v>
      </c>
      <c r="Q35" s="80">
        <f ca="1">'29'!$F$102*'Discipline Analysis'!B35</f>
        <v>0</v>
      </c>
      <c r="R35" s="153">
        <f t="shared" ref="R35" ca="1" si="222">IFERROR(Q35/$B35,"")</f>
        <v>0</v>
      </c>
      <c r="S35" s="80">
        <f ca="1">'29'!$F$103*'Discipline Analysis'!B35</f>
        <v>388557</v>
      </c>
      <c r="T35" s="153">
        <f t="shared" ref="T35" ca="1" si="223">IFERROR(S35/$B35,"")</f>
        <v>8.8480644709531167E-2</v>
      </c>
      <c r="U35" s="80">
        <f ca="1">'29'!$F$104*'Discipline Analysis'!B35</f>
        <v>718134</v>
      </c>
      <c r="V35" s="158">
        <f t="shared" ref="V35" ca="1" si="224">IFERROR(U35/$B35,"")</f>
        <v>0.16353059990640872</v>
      </c>
    </row>
    <row r="36" spans="1:22" x14ac:dyDescent="0.2">
      <c r="A36" s="97" t="s">
        <v>1062</v>
      </c>
      <c r="B36" s="88">
        <f ca="1">OFFSET('30'!$D$4,$A$3,0)</f>
        <v>3113657</v>
      </c>
      <c r="C36" s="80">
        <f ca="1">OFFSET('30'!$E$4,$A$3,0)</f>
        <v>18359956</v>
      </c>
      <c r="D36" s="153">
        <f t="shared" ca="1" si="0"/>
        <v>5.8965891233363212</v>
      </c>
      <c r="E36" s="80">
        <f ca="1">OFFSET('30'!$E$66,$A$3,0)</f>
        <v>8602149</v>
      </c>
      <c r="F36" s="153">
        <f t="shared" ca="1" si="0"/>
        <v>2.7627156748479362</v>
      </c>
      <c r="G36" s="80">
        <f ca="1">'30'!$F$100*B36</f>
        <v>2054453</v>
      </c>
      <c r="H36" s="153">
        <f t="shared" ref="H36" ca="1" si="225">IFERROR(G36/$B36,"")</f>
        <v>0.65981994805465083</v>
      </c>
      <c r="I36" s="80">
        <f ca="1">'30'!$F$98*'Discipline Analysis'!B36</f>
        <v>2954319</v>
      </c>
      <c r="J36" s="153">
        <f t="shared" ref="J36" ca="1" si="226">IFERROR(I36/$B36,"")</f>
        <v>0.94882609099203929</v>
      </c>
      <c r="K36" s="80">
        <f ca="1">'30'!$F$99*'Discipline Analysis'!B36</f>
        <v>1330436</v>
      </c>
      <c r="L36" s="153">
        <f t="shared" ref="L36" ca="1" si="227">IFERROR(K36/$B36,"")</f>
        <v>0.4272904818995798</v>
      </c>
      <c r="M36" s="80">
        <f ca="1">OFFSET('30'!$E$35,$A$3,0)</f>
        <v>2633215</v>
      </c>
      <c r="N36" s="153">
        <f t="shared" ref="N36" ca="1" si="228">IFERROR(M36/$B36,"")</f>
        <v>0.8456984825239261</v>
      </c>
      <c r="O36" s="80">
        <f ca="1">'30'!$F$101*'Discipline Analysis'!B36</f>
        <v>85056</v>
      </c>
      <c r="P36" s="153">
        <f t="shared" ref="P36" ca="1" si="229">IFERROR(O36/$B36,"")</f>
        <v>2.7317074424061481E-2</v>
      </c>
      <c r="Q36" s="80">
        <f ca="1">'30'!$F$102*'Discipline Analysis'!B36</f>
        <v>0</v>
      </c>
      <c r="R36" s="153">
        <f t="shared" ref="R36" ca="1" si="230">IFERROR(Q36/$B36,"")</f>
        <v>0</v>
      </c>
      <c r="S36" s="80">
        <f ca="1">'30'!$F$103*'Discipline Analysis'!B36</f>
        <v>464026</v>
      </c>
      <c r="T36" s="153">
        <f t="shared" ref="T36" ca="1" si="231">IFERROR(S36/$B36,"")</f>
        <v>0.1490292604484052</v>
      </c>
      <c r="U36" s="80">
        <f ca="1">'30'!$F$104*'Discipline Analysis'!B36</f>
        <v>236302.00000000003</v>
      </c>
      <c r="V36" s="158">
        <f t="shared" ref="V36" ca="1" si="232">IFERROR(U36/$B36,"")</f>
        <v>7.5892110145722544E-2</v>
      </c>
    </row>
    <row r="37" spans="1:22" x14ac:dyDescent="0.2">
      <c r="A37" s="97" t="s">
        <v>1039</v>
      </c>
      <c r="B37" s="88">
        <f ca="1">OFFSET('31'!$D$4,$A$3,0)</f>
        <v>1176109</v>
      </c>
      <c r="C37" s="80">
        <f ca="1">OFFSET('31'!$E$4,$A$3,0)</f>
        <v>9366376</v>
      </c>
      <c r="D37" s="153">
        <f t="shared" ca="1" si="0"/>
        <v>7.9638672946129994</v>
      </c>
      <c r="E37" s="80">
        <f ca="1">OFFSET('31'!$E$66,$A$3,0)</f>
        <v>4756446</v>
      </c>
      <c r="F37" s="153">
        <f t="shared" ca="1" si="0"/>
        <v>4.0442220916598712</v>
      </c>
      <c r="G37" s="80">
        <f ca="1">'31'!$F$100*B37</f>
        <v>830127</v>
      </c>
      <c r="H37" s="153">
        <f t="shared" ref="H37" ca="1" si="233">IFERROR(G37/$B37,"")</f>
        <v>0.7058248852784903</v>
      </c>
      <c r="I37" s="80">
        <f ca="1">'31'!$F$98*'Discipline Analysis'!B37</f>
        <v>2115251</v>
      </c>
      <c r="J37" s="153">
        <f t="shared" ref="J37" ca="1" si="234">IFERROR(I37/$B37,"")</f>
        <v>1.7985161239306902</v>
      </c>
      <c r="K37" s="80">
        <f ca="1">'31'!$F$99*'Discipline Analysis'!B37</f>
        <v>722639</v>
      </c>
      <c r="L37" s="153">
        <f t="shared" ref="L37" ca="1" si="235">IFERROR(K37/$B37,"")</f>
        <v>0.61443199567387041</v>
      </c>
      <c r="M37" s="80">
        <f ca="1">OFFSET('31'!$E$35,$A$3,0)</f>
        <v>795544</v>
      </c>
      <c r="N37" s="153">
        <f t="shared" ref="N37" ca="1" si="236">IFERROR(M37/$B37,"")</f>
        <v>0.67642029777852219</v>
      </c>
      <c r="O37" s="80">
        <f ca="1">'31'!$F$101*'Discipline Analysis'!B37</f>
        <v>0</v>
      </c>
      <c r="P37" s="153">
        <f t="shared" ref="P37" ca="1" si="237">IFERROR(O37/$B37,"")</f>
        <v>0</v>
      </c>
      <c r="Q37" s="80">
        <f ca="1">'31'!$F$102*'Discipline Analysis'!B37</f>
        <v>0</v>
      </c>
      <c r="R37" s="153">
        <f t="shared" ref="R37" ca="1" si="238">IFERROR(Q37/$B37,"")</f>
        <v>0</v>
      </c>
      <c r="S37" s="80">
        <f ca="1">'31'!$F$103*'Discipline Analysis'!B37</f>
        <v>0</v>
      </c>
      <c r="T37" s="153">
        <f t="shared" ref="T37" ca="1" si="239">IFERROR(S37/$B37,"")</f>
        <v>0</v>
      </c>
      <c r="U37" s="80">
        <f ca="1">'31'!$F$104*'Discipline Analysis'!B37</f>
        <v>146369</v>
      </c>
      <c r="V37" s="158">
        <f t="shared" ref="V37" ca="1" si="240">IFERROR(U37/$B37,"")</f>
        <v>0.1244519002915546</v>
      </c>
    </row>
    <row r="38" spans="1:22" x14ac:dyDescent="0.2">
      <c r="A38" s="97" t="s">
        <v>1063</v>
      </c>
      <c r="B38" s="88">
        <f ca="1">OFFSET('32'!$D$4,$A$3,0)</f>
        <v>2136205</v>
      </c>
      <c r="C38" s="80">
        <f ca="1">OFFSET('32'!$E$4,$A$3,0)</f>
        <v>21099064</v>
      </c>
      <c r="D38" s="153">
        <f t="shared" ca="1" si="0"/>
        <v>9.8768910287168126</v>
      </c>
      <c r="E38" s="80">
        <f ca="1">OFFSET('32'!$E$66,$A$3,0)</f>
        <v>8007508</v>
      </c>
      <c r="F38" s="153">
        <f t="shared" ca="1" si="0"/>
        <v>3.7484735781444196</v>
      </c>
      <c r="G38" s="80">
        <f ca="1">'32'!$F$100*B38</f>
        <v>2650347</v>
      </c>
      <c r="H38" s="153">
        <f t="shared" ref="H38" ca="1" si="241">IFERROR(G38/$B38,"")</f>
        <v>1.2406800845424479</v>
      </c>
      <c r="I38" s="80">
        <f ca="1">'32'!$F$98*'Discipline Analysis'!B38</f>
        <v>3878845</v>
      </c>
      <c r="J38" s="153">
        <f t="shared" ref="J38" ca="1" si="242">IFERROR(I38/$B38,"")</f>
        <v>1.8157644046334505</v>
      </c>
      <c r="K38" s="80">
        <f ca="1">'32'!$F$99*'Discipline Analysis'!B38</f>
        <v>2220556</v>
      </c>
      <c r="L38" s="153">
        <f t="shared" ref="L38" ca="1" si="243">IFERROR(K38/$B38,"")</f>
        <v>1.0394863788821767</v>
      </c>
      <c r="M38" s="80">
        <f ca="1">OFFSET('32'!$E$35,$A$3,0)</f>
        <v>2127314</v>
      </c>
      <c r="N38" s="153">
        <f t="shared" ref="N38" ca="1" si="244">IFERROR(M38/$B38,"")</f>
        <v>0.99583794626452049</v>
      </c>
      <c r="O38" s="80">
        <f ca="1">'32'!$F$101*'Discipline Analysis'!B38</f>
        <v>0</v>
      </c>
      <c r="P38" s="153">
        <f t="shared" ref="P38" ca="1" si="245">IFERROR(O38/$B38,"")</f>
        <v>0</v>
      </c>
      <c r="Q38" s="80">
        <f ca="1">'32'!$F$102*'Discipline Analysis'!B38</f>
        <v>595276</v>
      </c>
      <c r="R38" s="153">
        <f t="shared" ref="R38" ca="1" si="246">IFERROR(Q38/$B38,"")</f>
        <v>0.27866052181321549</v>
      </c>
      <c r="S38" s="80">
        <f ca="1">'32'!$F$103*'Discipline Analysis'!B38</f>
        <v>534319</v>
      </c>
      <c r="T38" s="153">
        <f t="shared" ref="T38" ca="1" si="247">IFERROR(S38/$B38,"")</f>
        <v>0.25012533909432849</v>
      </c>
      <c r="U38" s="80">
        <f ca="1">'32'!$F$104*'Discipline Analysis'!B38</f>
        <v>1084899</v>
      </c>
      <c r="V38" s="158">
        <f t="shared" ref="V38" ca="1" si="248">IFERROR(U38/$B38,"")</f>
        <v>0.5078627753422541</v>
      </c>
    </row>
    <row r="39" spans="1:22" x14ac:dyDescent="0.2">
      <c r="A39" s="97" t="s">
        <v>1064</v>
      </c>
      <c r="B39" s="88">
        <f ca="1">OFFSET('33'!$D$4,$A$3,0)</f>
        <v>1018665</v>
      </c>
      <c r="C39" s="80">
        <f ca="1">OFFSET('33'!$E$4,$A$3,0)</f>
        <v>9725576</v>
      </c>
      <c r="D39" s="153">
        <f t="shared" ca="1" si="0"/>
        <v>9.5473742594474142</v>
      </c>
      <c r="E39" s="80">
        <f ca="1">OFFSET('33'!$E$66,$A$3,0)</f>
        <v>3927404</v>
      </c>
      <c r="F39" s="153">
        <f t="shared" ca="1" si="0"/>
        <v>3.8554421718621921</v>
      </c>
      <c r="G39" s="80">
        <f ca="1">'33'!$F$100*B39</f>
        <v>1925992</v>
      </c>
      <c r="H39" s="153">
        <f t="shared" ref="H39" ca="1" si="249">IFERROR(G39/$B39,"")</f>
        <v>1.890702046305704</v>
      </c>
      <c r="I39" s="80">
        <f ca="1">'33'!$F$98*'Discipline Analysis'!B39</f>
        <v>1523029</v>
      </c>
      <c r="J39" s="153">
        <f t="shared" ref="J39" ca="1" si="250">IFERROR(I39/$B39,"")</f>
        <v>1.4951225378313773</v>
      </c>
      <c r="K39" s="80">
        <f ca="1">'33'!$F$99*'Discipline Analysis'!B39</f>
        <v>798404</v>
      </c>
      <c r="L39" s="153">
        <f t="shared" ref="L39" ca="1" si="251">IFERROR(K39/$B39,"")</f>
        <v>0.78377484256355134</v>
      </c>
      <c r="M39" s="80">
        <f ca="1">OFFSET('33'!$E$35,$A$3,0)</f>
        <v>1055380</v>
      </c>
      <c r="N39" s="153">
        <f t="shared" ref="N39" ca="1" si="252">IFERROR(M39/$B39,"")</f>
        <v>1.0360422710115691</v>
      </c>
      <c r="O39" s="80">
        <f ca="1">'33'!$F$101*'Discipline Analysis'!B39</f>
        <v>0</v>
      </c>
      <c r="P39" s="153">
        <f t="shared" ref="P39" ca="1" si="253">IFERROR(O39/$B39,"")</f>
        <v>0</v>
      </c>
      <c r="Q39" s="80">
        <f ca="1">'33'!$F$102*'Discipline Analysis'!B39</f>
        <v>0</v>
      </c>
      <c r="R39" s="153">
        <f t="shared" ref="R39" ca="1" si="254">IFERROR(Q39/$B39,"")</f>
        <v>0</v>
      </c>
      <c r="S39" s="80">
        <f ca="1">'33'!$F$103*'Discipline Analysis'!B39</f>
        <v>195125</v>
      </c>
      <c r="T39" s="153">
        <f t="shared" ref="T39" ca="1" si="255">IFERROR(S39/$B39,"")</f>
        <v>0.19154972439418258</v>
      </c>
      <c r="U39" s="80">
        <f ca="1">'33'!$F$104*'Discipline Analysis'!B39</f>
        <v>300242</v>
      </c>
      <c r="V39" s="158">
        <f t="shared" ref="V39" ca="1" si="256">IFERROR(U39/$B39,"")</f>
        <v>0.29474066547883748</v>
      </c>
    </row>
    <row r="40" spans="1:22" x14ac:dyDescent="0.2">
      <c r="A40" s="97" t="s">
        <v>1042</v>
      </c>
      <c r="B40" s="88">
        <f ca="1">OFFSET('34'!$D$4,$A$3,0)</f>
        <v>2509298</v>
      </c>
      <c r="C40" s="80">
        <f ca="1">OFFSET('34'!$E$4,$A$3,0)</f>
        <v>13129915</v>
      </c>
      <c r="D40" s="153">
        <f t="shared" ca="1" si="0"/>
        <v>5.2325052664131562</v>
      </c>
      <c r="E40" s="80">
        <f ca="1">OFFSET('34'!$E$66,$A$3,0)</f>
        <v>6716456</v>
      </c>
      <c r="F40" s="153">
        <f t="shared" ca="1" si="0"/>
        <v>2.6766274870501632</v>
      </c>
      <c r="G40" s="80">
        <f ca="1">'34'!$F$100*B40</f>
        <v>972202.99999999988</v>
      </c>
      <c r="H40" s="153">
        <f t="shared" ref="H40" ca="1" si="257">IFERROR(G40/$B40,"")</f>
        <v>0.38744023228807417</v>
      </c>
      <c r="I40" s="80">
        <f ca="1">'34'!$F$98*'Discipline Analysis'!B40</f>
        <v>2265242</v>
      </c>
      <c r="J40" s="153">
        <f t="shared" ref="J40" ca="1" si="258">IFERROR(I40/$B40,"")</f>
        <v>0.90273933187688349</v>
      </c>
      <c r="K40" s="80">
        <f ca="1">'34'!$F$99*'Discipline Analysis'!B40</f>
        <v>1275833</v>
      </c>
      <c r="L40" s="153">
        <f t="shared" ref="L40" ca="1" si="259">IFERROR(K40/$B40,"")</f>
        <v>0.50844220176320232</v>
      </c>
      <c r="M40" s="80">
        <f ca="1">OFFSET('34'!$E$35,$A$3,0)</f>
        <v>1548361</v>
      </c>
      <c r="N40" s="153">
        <f t="shared" ref="N40" ca="1" si="260">IFERROR(M40/$B40,"")</f>
        <v>0.61704946961261675</v>
      </c>
      <c r="O40" s="80">
        <f ca="1">'34'!$F$101*'Discipline Analysis'!B40</f>
        <v>0</v>
      </c>
      <c r="P40" s="153">
        <f t="shared" ref="P40" ca="1" si="261">IFERROR(O40/$B40,"")</f>
        <v>0</v>
      </c>
      <c r="Q40" s="80">
        <f ca="1">'34'!$F$102*'Discipline Analysis'!B40</f>
        <v>0</v>
      </c>
      <c r="R40" s="153">
        <f t="shared" ref="R40" ca="1" si="262">IFERROR(Q40/$B40,"")</f>
        <v>0</v>
      </c>
      <c r="S40" s="80">
        <f ca="1">'34'!$F$103*'Discipline Analysis'!B40</f>
        <v>0</v>
      </c>
      <c r="T40" s="153">
        <f t="shared" ref="T40" ca="1" si="263">IFERROR(S40/$B40,"")</f>
        <v>0</v>
      </c>
      <c r="U40" s="80">
        <f ca="1">'34'!$F$104*'Discipline Analysis'!B40</f>
        <v>351820</v>
      </c>
      <c r="V40" s="158">
        <f t="shared" ref="V40" ca="1" si="264">IFERROR(U40/$B40,"")</f>
        <v>0.14020654382221642</v>
      </c>
    </row>
    <row r="41" spans="1:22" x14ac:dyDescent="0.2">
      <c r="A41" s="97" t="s">
        <v>1065</v>
      </c>
      <c r="B41" s="88">
        <f ca="1">OFFSET('35'!$D$4,$A$3,0)</f>
        <v>414961</v>
      </c>
      <c r="C41" s="80">
        <f ca="1">OFFSET('35'!$E$4,$A$3,0)</f>
        <v>2777146.0000000005</v>
      </c>
      <c r="D41" s="153">
        <f t="shared" ca="1" si="0"/>
        <v>6.6925470104419462</v>
      </c>
      <c r="E41" s="80">
        <f ca="1">OFFSET('35'!$E$66,$A$3,0)</f>
        <v>1212088</v>
      </c>
      <c r="F41" s="153">
        <f t="shared" ca="1" si="0"/>
        <v>2.9209684765556281</v>
      </c>
      <c r="G41" s="80">
        <f ca="1">'35'!$F$100*B41</f>
        <v>235087</v>
      </c>
      <c r="H41" s="153">
        <f t="shared" ref="H41" ca="1" si="265">IFERROR(G41/$B41,"")</f>
        <v>0.56652793877014951</v>
      </c>
      <c r="I41" s="80">
        <f ca="1">'35'!$F$98*'Discipline Analysis'!B41</f>
        <v>648793</v>
      </c>
      <c r="J41" s="153">
        <f t="shared" ref="J41" ca="1" si="266">IFERROR(I41/$B41,"")</f>
        <v>1.5635035581657071</v>
      </c>
      <c r="K41" s="80">
        <f ca="1">'35'!$F$99*'Discipline Analysis'!B41</f>
        <v>223346</v>
      </c>
      <c r="L41" s="153">
        <f t="shared" ref="L41" ca="1" si="267">IFERROR(K41/$B41,"")</f>
        <v>0.53823371352970517</v>
      </c>
      <c r="M41" s="80">
        <f ca="1">OFFSET('35'!$E$35,$A$3,0)</f>
        <v>87345</v>
      </c>
      <c r="N41" s="153">
        <f t="shared" ref="N41" ca="1" si="268">IFERROR(M41/$B41,"")</f>
        <v>0.21048966047411685</v>
      </c>
      <c r="O41" s="80">
        <f ca="1">'35'!$F$101*'Discipline Analysis'!B41</f>
        <v>0</v>
      </c>
      <c r="P41" s="153">
        <f t="shared" ref="P41" ca="1" si="269">IFERROR(O41/$B41,"")</f>
        <v>0</v>
      </c>
      <c r="Q41" s="80">
        <f ca="1">'35'!$F$102*'Discipline Analysis'!B41</f>
        <v>127776</v>
      </c>
      <c r="R41" s="153">
        <f t="shared" ref="R41" ca="1" si="270">IFERROR(Q41/$B41,"")</f>
        <v>0.30792291323762955</v>
      </c>
      <c r="S41" s="80">
        <f ca="1">'35'!$F$103*'Discipline Analysis'!B41</f>
        <v>214890</v>
      </c>
      <c r="T41" s="153">
        <f t="shared" ref="T41" ca="1" si="271">IFERROR(S41/$B41,"")</f>
        <v>0.51785589489132711</v>
      </c>
      <c r="U41" s="80">
        <f ca="1">'35'!$F$104*'Discipline Analysis'!B41</f>
        <v>27821</v>
      </c>
      <c r="V41" s="158">
        <f t="shared" ref="V41" ca="1" si="272">IFERROR(U41/$B41,"")</f>
        <v>6.7044854817681659E-2</v>
      </c>
    </row>
    <row r="42" spans="1:22" x14ac:dyDescent="0.2">
      <c r="A42" s="97" t="s">
        <v>1078</v>
      </c>
      <c r="B42" s="88">
        <f ca="1">OFFSET('36'!$D$4,$A$3,0)</f>
        <v>11143508</v>
      </c>
      <c r="C42" s="80">
        <f ca="1">OFFSET('36'!$E$4,$A$3,0)</f>
        <v>91502267.999999985</v>
      </c>
      <c r="D42" s="153">
        <f t="shared" ca="1" si="0"/>
        <v>8.211262378059045</v>
      </c>
      <c r="E42" s="80">
        <f ca="1">OFFSET('36'!$E$66,$A$3,0)</f>
        <v>39431481</v>
      </c>
      <c r="F42" s="153">
        <f t="shared" ca="1" si="0"/>
        <v>3.5385159682211382</v>
      </c>
      <c r="G42" s="80">
        <f ca="1">'36'!$F$100*B42</f>
        <v>8895786</v>
      </c>
      <c r="H42" s="153">
        <f t="shared" ref="H42" ca="1" si="273">IFERROR(G42/$B42,"")</f>
        <v>0.79829314072372903</v>
      </c>
      <c r="I42" s="80">
        <f ca="1">'36'!$F$98*'Discipline Analysis'!B42</f>
        <v>16241788</v>
      </c>
      <c r="J42" s="153">
        <f t="shared" ref="J42" ca="1" si="274">IFERROR(I42/$B42,"")</f>
        <v>1.4575112253699642</v>
      </c>
      <c r="K42" s="80">
        <f ca="1">'36'!$F$99*'Discipline Analysis'!B42</f>
        <v>9698284</v>
      </c>
      <c r="L42" s="153">
        <f t="shared" ref="L42" ca="1" si="275">IFERROR(K42/$B42,"")</f>
        <v>0.87030798560022571</v>
      </c>
      <c r="M42" s="80">
        <f ca="1">OFFSET('36'!$E$35,$A$3,0)</f>
        <v>12485404</v>
      </c>
      <c r="N42" s="153">
        <f t="shared" ref="N42" ca="1" si="276">IFERROR(M42/$B42,"")</f>
        <v>1.1204195303669187</v>
      </c>
      <c r="O42" s="80">
        <f ca="1">'36'!$F$101*'Discipline Analysis'!B42</f>
        <v>0</v>
      </c>
      <c r="P42" s="153">
        <f t="shared" ref="P42" ca="1" si="277">IFERROR(O42/$B42,"")</f>
        <v>0</v>
      </c>
      <c r="Q42" s="80">
        <f ca="1">'36'!$F$102*'Discipline Analysis'!B42</f>
        <v>0</v>
      </c>
      <c r="R42" s="153">
        <f t="shared" ref="R42" ca="1" si="278">IFERROR(Q42/$B42,"")</f>
        <v>0</v>
      </c>
      <c r="S42" s="80">
        <f ca="1">'36'!$F$103*'Discipline Analysis'!B42</f>
        <v>2681931</v>
      </c>
      <c r="T42" s="153">
        <f t="shared" ref="T42" ca="1" si="279">IFERROR(S42/$B42,"")</f>
        <v>0.24067205766801622</v>
      </c>
      <c r="U42" s="80">
        <f ca="1">'36'!$F$104*'Discipline Analysis'!B42</f>
        <v>2067594.0000000002</v>
      </c>
      <c r="V42" s="158">
        <f t="shared" ref="V42" ca="1" si="280">IFERROR(U42/$B42,"")</f>
        <v>0.18554247010905364</v>
      </c>
    </row>
    <row r="43" spans="1:22" x14ac:dyDescent="0.2">
      <c r="A43" s="97" t="s">
        <v>1066</v>
      </c>
      <c r="B43" s="88">
        <f ca="1">OFFSET('37'!$D$4,$A$3,0)</f>
        <v>4415370</v>
      </c>
      <c r="C43" s="80">
        <f ca="1">OFFSET('37'!$E$4,$A$3,0)</f>
        <v>28369104.999999996</v>
      </c>
      <c r="D43" s="153">
        <f t="shared" ca="1" si="0"/>
        <v>6.4250798913794309</v>
      </c>
      <c r="E43" s="80">
        <f ca="1">OFFSET('37'!$E$66,$A$3,0)</f>
        <v>15912997</v>
      </c>
      <c r="F43" s="153">
        <f t="shared" ca="1" si="0"/>
        <v>3.6040007972151824</v>
      </c>
      <c r="G43" s="80">
        <f ca="1">'37'!$F$100*B43</f>
        <v>1818219</v>
      </c>
      <c r="H43" s="153">
        <f t="shared" ref="H43" ca="1" si="281">IFERROR(G43/$B43,"")</f>
        <v>0.4117931226601621</v>
      </c>
      <c r="I43" s="80">
        <f ca="1">'37'!$F$98*'Discipline Analysis'!B43</f>
        <v>3378691.0000000005</v>
      </c>
      <c r="J43" s="153">
        <f t="shared" ref="J43" ca="1" si="282">IFERROR(I43/$B43,"")</f>
        <v>0.76521129599557913</v>
      </c>
      <c r="K43" s="80">
        <f ca="1">'37'!$F$99*'Discipline Analysis'!B43</f>
        <v>3618245</v>
      </c>
      <c r="L43" s="153">
        <f t="shared" ref="L43" ca="1" si="283">IFERROR(K43/$B43,"")</f>
        <v>0.81946586582777892</v>
      </c>
      <c r="M43" s="80">
        <f ca="1">OFFSET('37'!$E$35,$A$3,0)</f>
        <v>1304433</v>
      </c>
      <c r="N43" s="153">
        <f t="shared" ref="N43" ca="1" si="284">IFERROR(M43/$B43,"")</f>
        <v>0.29543005455941407</v>
      </c>
      <c r="O43" s="80">
        <f ca="1">'37'!$F$101*'Discipline Analysis'!B43</f>
        <v>0</v>
      </c>
      <c r="P43" s="153">
        <f t="shared" ref="P43" ca="1" si="285">IFERROR(O43/$B43,"")</f>
        <v>0</v>
      </c>
      <c r="Q43" s="80">
        <f ca="1">'37'!$F$102*'Discipline Analysis'!B43</f>
        <v>87489</v>
      </c>
      <c r="R43" s="153">
        <f t="shared" ref="R43" ca="1" si="286">IFERROR(Q43/$B43,"")</f>
        <v>1.9814647470087446E-2</v>
      </c>
      <c r="S43" s="80">
        <f ca="1">'37'!$F$103*'Discipline Analysis'!B43</f>
        <v>837464</v>
      </c>
      <c r="T43" s="153">
        <f t="shared" ref="T43" ca="1" si="287">IFERROR(S43/$B43,"")</f>
        <v>0.18967017486643248</v>
      </c>
      <c r="U43" s="80">
        <f ca="1">'37'!$F$104*'Discipline Analysis'!B43</f>
        <v>1411567</v>
      </c>
      <c r="V43" s="158">
        <f t="shared" ref="V43" ca="1" si="288">IFERROR(U43/$B43,"")</f>
        <v>0.31969393278479491</v>
      </c>
    </row>
    <row r="44" spans="1:22" x14ac:dyDescent="0.2">
      <c r="A44" s="97" t="s">
        <v>1067</v>
      </c>
      <c r="B44" s="88">
        <f ca="1">OFFSET('38'!$D$4,$A$3,0)</f>
        <v>8927976</v>
      </c>
      <c r="C44" s="80">
        <f ca="1">OFFSET('38'!$E$4,$A$3,0)</f>
        <v>74791503</v>
      </c>
      <c r="D44" s="153">
        <f t="shared" ca="1" si="0"/>
        <v>8.377206995180094</v>
      </c>
      <c r="E44" s="80">
        <f ca="1">OFFSET('38'!$E$66,$A$3,0)</f>
        <v>31617963</v>
      </c>
      <c r="F44" s="153">
        <f t="shared" ca="1" si="0"/>
        <v>3.5414480280860969</v>
      </c>
      <c r="G44" s="80">
        <f ca="1">'38'!$F$100*B44</f>
        <v>5669832</v>
      </c>
      <c r="H44" s="153">
        <f t="shared" ref="H44" ca="1" si="289">IFERROR(G44/$B44,"")</f>
        <v>0.63506353511702984</v>
      </c>
      <c r="I44" s="80">
        <f ca="1">'38'!$F$98*'Discipline Analysis'!B44</f>
        <v>14643946</v>
      </c>
      <c r="J44" s="153">
        <f t="shared" ref="J44" ca="1" si="290">IFERROR(I44/$B44,"")</f>
        <v>1.6402313357473184</v>
      </c>
      <c r="K44" s="80">
        <f ca="1">'38'!$F$99*'Discipline Analysis'!B44</f>
        <v>6858009</v>
      </c>
      <c r="L44" s="153">
        <f t="shared" ref="L44" ca="1" si="291">IFERROR(K44/$B44,"")</f>
        <v>0.76814823426944701</v>
      </c>
      <c r="M44" s="80">
        <f ca="1">OFFSET('38'!$E$35,$A$3,0)</f>
        <v>11337943</v>
      </c>
      <c r="N44" s="153">
        <f t="shared" ref="N44" ca="1" si="292">IFERROR(M44/$B44,"")</f>
        <v>1.2699343053789571</v>
      </c>
      <c r="O44" s="80">
        <f ca="1">'38'!$F$101*'Discipline Analysis'!B44</f>
        <v>0</v>
      </c>
      <c r="P44" s="153">
        <f t="shared" ref="P44" ca="1" si="293">IFERROR(O44/$B44,"")</f>
        <v>0</v>
      </c>
      <c r="Q44" s="80">
        <f ca="1">'38'!$F$102*'Discipline Analysis'!B44</f>
        <v>0</v>
      </c>
      <c r="R44" s="153">
        <f t="shared" ref="R44" ca="1" si="294">IFERROR(Q44/$B44,"")</f>
        <v>0</v>
      </c>
      <c r="S44" s="80">
        <f ca="1">'38'!$F$103*'Discipline Analysis'!B44</f>
        <v>2328106</v>
      </c>
      <c r="T44" s="153">
        <f t="shared" ref="T44" ca="1" si="295">IFERROR(S44/$B44,"")</f>
        <v>0.26076526191378652</v>
      </c>
      <c r="U44" s="80">
        <f ca="1">'38'!$F$104*'Discipline Analysis'!B44</f>
        <v>2335704</v>
      </c>
      <c r="V44" s="158">
        <f t="shared" ref="V44" ca="1" si="296">IFERROR(U44/$B44,"")</f>
        <v>0.26161629466745878</v>
      </c>
    </row>
    <row r="45" spans="1:22" x14ac:dyDescent="0.2">
      <c r="A45" s="97" t="s">
        <v>1043</v>
      </c>
      <c r="B45" s="88">
        <f ca="1">OFFSET('39'!$D$4,$A$3,0)</f>
        <v>2172315</v>
      </c>
      <c r="C45" s="80">
        <f ca="1">OFFSET('39'!$E$4,$A$3,0)</f>
        <v>15709600.000000002</v>
      </c>
      <c r="D45" s="153">
        <f t="shared" ca="1" si="0"/>
        <v>7.2317320462271821</v>
      </c>
      <c r="E45" s="80">
        <f ca="1">OFFSET('39'!$E$66,$A$3,0)</f>
        <v>6875597</v>
      </c>
      <c r="F45" s="153">
        <f t="shared" ca="1" si="0"/>
        <v>3.1651012859553056</v>
      </c>
      <c r="G45" s="80">
        <f ca="1">'39'!$F$100*B45</f>
        <v>1851305</v>
      </c>
      <c r="H45" s="153">
        <f t="shared" ref="H45" ca="1" si="297">IFERROR(G45/$B45,"")</f>
        <v>0.85222677190002372</v>
      </c>
      <c r="I45" s="80">
        <f ca="1">'39'!$F$98*'Discipline Analysis'!B45</f>
        <v>3161648</v>
      </c>
      <c r="J45" s="153">
        <f t="shared" ref="J45" ca="1" si="298">IFERROR(I45/$B45,"")</f>
        <v>1.4554279650971429</v>
      </c>
      <c r="K45" s="80">
        <f ca="1">'39'!$F$99*'Discipline Analysis'!B45</f>
        <v>1408929</v>
      </c>
      <c r="L45" s="153">
        <f t="shared" ref="L45" ca="1" si="299">IFERROR(K45/$B45,"")</f>
        <v>0.64858411418233541</v>
      </c>
      <c r="M45" s="80">
        <f ca="1">OFFSET('39'!$E$35,$A$3,0)</f>
        <v>1881011</v>
      </c>
      <c r="N45" s="153">
        <f t="shared" ref="N45" ca="1" si="300">IFERROR(M45/$B45,"")</f>
        <v>0.86590158425458552</v>
      </c>
      <c r="O45" s="80">
        <f ca="1">'39'!$F$101*'Discipline Analysis'!B45</f>
        <v>0</v>
      </c>
      <c r="P45" s="153">
        <f t="shared" ref="P45" ca="1" si="301">IFERROR(O45/$B45,"")</f>
        <v>0</v>
      </c>
      <c r="Q45" s="80">
        <f ca="1">'39'!$F$102*'Discipline Analysis'!B45</f>
        <v>0</v>
      </c>
      <c r="R45" s="153">
        <f t="shared" ref="R45" ca="1" si="302">IFERROR(Q45/$B45,"")</f>
        <v>0</v>
      </c>
      <c r="S45" s="80">
        <f ca="1">'39'!$F$103*'Discipline Analysis'!B45</f>
        <v>246260</v>
      </c>
      <c r="T45" s="153">
        <f t="shared" ref="T45" ca="1" si="303">IFERROR(S45/$B45,"")</f>
        <v>0.11336293309211601</v>
      </c>
      <c r="U45" s="80">
        <f ca="1">'39'!$F$104*'Discipline Analysis'!B45</f>
        <v>284850</v>
      </c>
      <c r="V45" s="158">
        <f t="shared" ref="V45" ca="1" si="304">IFERROR(U45/$B45,"")</f>
        <v>0.13112739174567226</v>
      </c>
    </row>
    <row r="46" spans="1:22" x14ac:dyDescent="0.2">
      <c r="A46" s="97" t="s">
        <v>1079</v>
      </c>
      <c r="B46" s="88">
        <f ca="1">OFFSET('40'!$D$4,$A$3,0)</f>
        <v>15950728</v>
      </c>
      <c r="C46" s="80">
        <f ca="1">OFFSET('40'!$E$4,$A$3,0)</f>
        <v>127688204</v>
      </c>
      <c r="D46" s="153">
        <f t="shared" ca="1" si="0"/>
        <v>8.005164654553699</v>
      </c>
      <c r="E46" s="80">
        <f ca="1">OFFSET('40'!$E$66,$A$3,0)</f>
        <v>51589681</v>
      </c>
      <c r="F46" s="153">
        <f t="shared" ca="1" si="0"/>
        <v>3.2343151359611926</v>
      </c>
      <c r="G46" s="80">
        <f ca="1">'40'!$F$100*B46</f>
        <v>11644335</v>
      </c>
      <c r="H46" s="153">
        <f t="shared" ref="H46" ca="1" si="305">IFERROR(G46/$B46,"")</f>
        <v>0.73001903110629185</v>
      </c>
      <c r="I46" s="80">
        <f ca="1">'40'!$F$98*'Discipline Analysis'!B46</f>
        <v>19358103</v>
      </c>
      <c r="J46" s="153">
        <f t="shared" ref="J46" ca="1" si="306">IFERROR(I46/$B46,"")</f>
        <v>1.2136187765223003</v>
      </c>
      <c r="K46" s="80">
        <f ca="1">'40'!$F$99*'Discipline Analysis'!B46</f>
        <v>13164664</v>
      </c>
      <c r="L46" s="153">
        <f t="shared" ref="L46" ca="1" si="307">IFERROR(K46/$B46,"")</f>
        <v>0.82533311332247661</v>
      </c>
      <c r="M46" s="80">
        <f ca="1">OFFSET('40'!$E$35,$A$3,0)</f>
        <v>23535105</v>
      </c>
      <c r="N46" s="153">
        <f t="shared" ref="N46" ca="1" si="308">IFERROR(M46/$B46,"")</f>
        <v>1.4754878272640597</v>
      </c>
      <c r="O46" s="80">
        <f ca="1">'40'!$F$101*'Discipline Analysis'!B46</f>
        <v>0</v>
      </c>
      <c r="P46" s="153">
        <f t="shared" ref="P46" ca="1" si="309">IFERROR(O46/$B46,"")</f>
        <v>0</v>
      </c>
      <c r="Q46" s="80">
        <f ca="1">'40'!$F$102*'Discipline Analysis'!B46</f>
        <v>578017</v>
      </c>
      <c r="R46" s="153">
        <f t="shared" ref="R46" ca="1" si="310">IFERROR(Q46/$B46,"")</f>
        <v>3.6237656362769148E-2</v>
      </c>
      <c r="S46" s="80">
        <f ca="1">'40'!$F$103*'Discipline Analysis'!B46</f>
        <v>2938375</v>
      </c>
      <c r="T46" s="153">
        <f t="shared" ref="T46" ca="1" si="311">IFERROR(S46/$B46,"")</f>
        <v>0.18421572984004242</v>
      </c>
      <c r="U46" s="80">
        <f ca="1">'40'!$F$104*'Discipline Analysis'!B46</f>
        <v>4879924</v>
      </c>
      <c r="V46" s="158">
        <f t="shared" ref="V46" ca="1" si="312">IFERROR(U46/$B46,"")</f>
        <v>0.30593738417456556</v>
      </c>
    </row>
    <row r="47" spans="1:22" x14ac:dyDescent="0.2">
      <c r="A47" s="97" t="s">
        <v>1044</v>
      </c>
      <c r="B47" s="88">
        <f ca="1">OFFSET('41'!$D$4,$A$3,0)</f>
        <v>2333910</v>
      </c>
      <c r="C47" s="80">
        <f ca="1">OFFSET('41'!$E$4,$A$3,0)</f>
        <v>17853380</v>
      </c>
      <c r="D47" s="153">
        <f t="shared" ca="1" si="0"/>
        <v>7.6495580377992294</v>
      </c>
      <c r="E47" s="80">
        <f ca="1">OFFSET('41'!$E$66,$A$3,0)</f>
        <v>7611330</v>
      </c>
      <c r="F47" s="153">
        <f t="shared" ca="1" si="0"/>
        <v>3.2611925909739452</v>
      </c>
      <c r="G47" s="80">
        <f ca="1">'41'!$F$100*B47</f>
        <v>1605144</v>
      </c>
      <c r="H47" s="153">
        <f t="shared" ref="H47" ca="1" si="313">IFERROR(G47/$B47,"")</f>
        <v>0.68774888491844155</v>
      </c>
      <c r="I47" s="80">
        <f ca="1">'41'!$F$98*'Discipline Analysis'!B47</f>
        <v>4090396</v>
      </c>
      <c r="J47" s="153">
        <f t="shared" ref="J47" ca="1" si="314">IFERROR(I47/$B47,"")</f>
        <v>1.7525937161244436</v>
      </c>
      <c r="K47" s="80">
        <f ca="1">'41'!$F$99*'Discipline Analysis'!B47</f>
        <v>1248411</v>
      </c>
      <c r="L47" s="153">
        <f t="shared" ref="L47" ca="1" si="315">IFERROR(K47/$B47,"")</f>
        <v>0.5349010887309279</v>
      </c>
      <c r="M47" s="80">
        <f ca="1">OFFSET('41'!$E$35,$A$3,0)</f>
        <v>2349470</v>
      </c>
      <c r="N47" s="153">
        <f t="shared" ref="N47" ca="1" si="316">IFERROR(M47/$B47,"")</f>
        <v>1.0066669237459884</v>
      </c>
      <c r="O47" s="80">
        <f ca="1">'41'!$F$101*'Discipline Analysis'!B47</f>
        <v>0</v>
      </c>
      <c r="P47" s="153">
        <f t="shared" ref="P47" ca="1" si="317">IFERROR(O47/$B47,"")</f>
        <v>0</v>
      </c>
      <c r="Q47" s="80">
        <f ca="1">'41'!$F$102*'Discipline Analysis'!B47</f>
        <v>0</v>
      </c>
      <c r="R47" s="153">
        <f t="shared" ref="R47" ca="1" si="318">IFERROR(Q47/$B47,"")</f>
        <v>0</v>
      </c>
      <c r="S47" s="80">
        <f ca="1">'41'!$F$103*'Discipline Analysis'!B47</f>
        <v>261028</v>
      </c>
      <c r="T47" s="153">
        <f t="shared" ref="T47" ca="1" si="319">IFERROR(S47/$B47,"")</f>
        <v>0.11184150202878432</v>
      </c>
      <c r="U47" s="80">
        <f ca="1">'41'!$F$104*'Discipline Analysis'!B47</f>
        <v>687601</v>
      </c>
      <c r="V47" s="158">
        <f t="shared" ref="V47" ca="1" si="320">IFERROR(U47/$B47,"")</f>
        <v>0.29461333127669875</v>
      </c>
    </row>
    <row r="48" spans="1:22" x14ac:dyDescent="0.2">
      <c r="A48" s="97" t="s">
        <v>1068</v>
      </c>
      <c r="B48" s="88">
        <f ca="1">OFFSET('42'!$D$4,$A$3,0)</f>
        <v>0</v>
      </c>
      <c r="C48" s="80">
        <f ca="1">OFFSET('42'!$E$4,$A$3,0)</f>
        <v>0</v>
      </c>
      <c r="D48" s="153" t="str">
        <f t="shared" ca="1" si="0"/>
        <v/>
      </c>
      <c r="E48" s="80">
        <f ca="1">OFFSET('42'!$E$66,$A$3,0)</f>
        <v>0</v>
      </c>
      <c r="F48" s="153" t="str">
        <f t="shared" ca="1" si="0"/>
        <v/>
      </c>
      <c r="G48" s="80">
        <f ca="1">'42'!$F$100*B48</f>
        <v>0</v>
      </c>
      <c r="H48" s="153" t="str">
        <f t="shared" ref="H48" ca="1" si="321">IFERROR(G48/$B48,"")</f>
        <v/>
      </c>
      <c r="I48" s="80">
        <f ca="1">'42'!$F$98*'Discipline Analysis'!B48</f>
        <v>0</v>
      </c>
      <c r="J48" s="153" t="str">
        <f t="shared" ref="J48" ca="1" si="322">IFERROR(I48/$B48,"")</f>
        <v/>
      </c>
      <c r="K48" s="80">
        <f ca="1">'42'!$F$99*'Discipline Analysis'!B48</f>
        <v>0</v>
      </c>
      <c r="L48" s="153" t="str">
        <f t="shared" ref="L48" ca="1" si="323">IFERROR(K48/$B48,"")</f>
        <v/>
      </c>
      <c r="M48" s="80">
        <f ca="1">OFFSET('42'!$E$35,$A$3,0)</f>
        <v>0</v>
      </c>
      <c r="N48" s="153" t="str">
        <f t="shared" ref="N48" ca="1" si="324">IFERROR(M48/$B48,"")</f>
        <v/>
      </c>
      <c r="O48" s="80">
        <f ca="1">'42'!$F$101*'Discipline Analysis'!B48</f>
        <v>0</v>
      </c>
      <c r="P48" s="153" t="str">
        <f t="shared" ref="P48" ca="1" si="325">IFERROR(O48/$B48,"")</f>
        <v/>
      </c>
      <c r="Q48" s="80">
        <f ca="1">'42'!$F$102*'Discipline Analysis'!B48</f>
        <v>0</v>
      </c>
      <c r="R48" s="153" t="str">
        <f t="shared" ref="R48" ca="1" si="326">IFERROR(Q48/$B48,"")</f>
        <v/>
      </c>
      <c r="S48" s="80">
        <f ca="1">'42'!$F$103*'Discipline Analysis'!B48</f>
        <v>0</v>
      </c>
      <c r="T48" s="153" t="str">
        <f t="shared" ref="T48" ca="1" si="327">IFERROR(S48/$B48,"")</f>
        <v/>
      </c>
      <c r="U48" s="80">
        <f ca="1">'42'!$F$104*'Discipline Analysis'!B48</f>
        <v>0</v>
      </c>
      <c r="V48" s="158" t="str">
        <f t="shared" ref="V48" ca="1" si="328">IFERROR(U48/$B48,"")</f>
        <v/>
      </c>
    </row>
    <row r="49" spans="1:22" x14ac:dyDescent="0.2">
      <c r="A49" s="97" t="s">
        <v>1069</v>
      </c>
      <c r="B49" s="88">
        <f ca="1">OFFSET('43'!$D$4,$A$3,0)</f>
        <v>0</v>
      </c>
      <c r="C49" s="80">
        <f ca="1">OFFSET('43'!$E$4,$A$3,0)</f>
        <v>0</v>
      </c>
      <c r="D49" s="153" t="str">
        <f t="shared" ca="1" si="0"/>
        <v/>
      </c>
      <c r="E49" s="80">
        <f ca="1">OFFSET('43'!$E$66,$A$3,0)</f>
        <v>0</v>
      </c>
      <c r="F49" s="153" t="str">
        <f t="shared" ca="1" si="0"/>
        <v/>
      </c>
      <c r="G49" s="80">
        <f ca="1">'43'!$F$100*B49</f>
        <v>0</v>
      </c>
      <c r="H49" s="153" t="str">
        <f t="shared" ref="H49" ca="1" si="329">IFERROR(G49/$B49,"")</f>
        <v/>
      </c>
      <c r="I49" s="80">
        <f ca="1">'43'!$F$98*'Discipline Analysis'!B49</f>
        <v>0</v>
      </c>
      <c r="J49" s="153" t="str">
        <f t="shared" ref="J49" ca="1" si="330">IFERROR(I49/$B49,"")</f>
        <v/>
      </c>
      <c r="K49" s="80">
        <f ca="1">'43'!$F$99*'Discipline Analysis'!B49</f>
        <v>0</v>
      </c>
      <c r="L49" s="153" t="str">
        <f t="shared" ref="L49" ca="1" si="331">IFERROR(K49/$B49,"")</f>
        <v/>
      </c>
      <c r="M49" s="80">
        <f ca="1">OFFSET('43'!$E$35,$A$3,0)</f>
        <v>0</v>
      </c>
      <c r="N49" s="153" t="str">
        <f t="shared" ref="N49" ca="1" si="332">IFERROR(M49/$B49,"")</f>
        <v/>
      </c>
      <c r="O49" s="80">
        <f ca="1">'43'!$F$101*'Discipline Analysis'!B49</f>
        <v>0</v>
      </c>
      <c r="P49" s="153" t="str">
        <f t="shared" ref="P49" ca="1" si="333">IFERROR(O49/$B49,"")</f>
        <v/>
      </c>
      <c r="Q49" s="80">
        <f ca="1">'43'!$F$102*'Discipline Analysis'!B49</f>
        <v>0</v>
      </c>
      <c r="R49" s="153" t="str">
        <f t="shared" ref="R49" ca="1" si="334">IFERROR(Q49/$B49,"")</f>
        <v/>
      </c>
      <c r="S49" s="80">
        <f ca="1">'43'!$F$103*'Discipline Analysis'!B49</f>
        <v>0</v>
      </c>
      <c r="T49" s="153" t="str">
        <f t="shared" ref="T49" ca="1" si="335">IFERROR(S49/$B49,"")</f>
        <v/>
      </c>
      <c r="U49" s="80">
        <f ca="1">'43'!$F$104*'Discipline Analysis'!B49</f>
        <v>0</v>
      </c>
      <c r="V49" s="158" t="str">
        <f t="shared" ref="V49" ca="1" si="336">IFERROR(U49/$B49,"")</f>
        <v/>
      </c>
    </row>
    <row r="50" spans="1:22" x14ac:dyDescent="0.2">
      <c r="A50" s="97" t="s">
        <v>1080</v>
      </c>
      <c r="B50" s="88">
        <f ca="1">OFFSET('44'!$D$4,$A$3,0)</f>
        <v>3254649</v>
      </c>
      <c r="C50" s="80">
        <f ca="1">OFFSET('44'!$E$4,$A$3,0)</f>
        <v>19472846.000000004</v>
      </c>
      <c r="D50" s="153">
        <f t="shared" ca="1" si="0"/>
        <v>5.9830863481745666</v>
      </c>
      <c r="E50" s="80">
        <f ca="1">OFFSET('44'!$E$66,$A$3,0)</f>
        <v>9325461</v>
      </c>
      <c r="F50" s="153">
        <f t="shared" ca="1" si="0"/>
        <v>2.8652739512002676</v>
      </c>
      <c r="G50" s="80">
        <f ca="1">'44'!$F$100*B50</f>
        <v>2701938</v>
      </c>
      <c r="H50" s="153">
        <f t="shared" ref="H50" ca="1" si="337">IFERROR(G50/$B50,"")</f>
        <v>0.83017800076137238</v>
      </c>
      <c r="I50" s="80">
        <f ca="1">'44'!$F$98*'Discipline Analysis'!B50</f>
        <v>2404908</v>
      </c>
      <c r="J50" s="153">
        <f t="shared" ref="J50" ca="1" si="338">IFERROR(I50/$B50,"")</f>
        <v>0.73891470324449737</v>
      </c>
      <c r="K50" s="80">
        <f ca="1">'44'!$F$99*'Discipline Analysis'!B50</f>
        <v>1741394</v>
      </c>
      <c r="L50" s="153">
        <f t="shared" ref="L50" ca="1" si="339">IFERROR(K50/$B50,"")</f>
        <v>0.53504817262936799</v>
      </c>
      <c r="M50" s="80">
        <f ca="1">OFFSET('44'!$E$35,$A$3,0)</f>
        <v>2107952</v>
      </c>
      <c r="N50" s="153">
        <f t="shared" ref="N50" ca="1" si="340">IFERROR(M50/$B50,"")</f>
        <v>0.64767414243440691</v>
      </c>
      <c r="O50" s="80">
        <f ca="1">'44'!$F$101*'Discipline Analysis'!B50</f>
        <v>0</v>
      </c>
      <c r="P50" s="153">
        <f t="shared" ref="P50" ca="1" si="341">IFERROR(O50/$B50,"")</f>
        <v>0</v>
      </c>
      <c r="Q50" s="80">
        <f ca="1">'44'!$F$102*'Discipline Analysis'!B50</f>
        <v>363</v>
      </c>
      <c r="R50" s="153">
        <f t="shared" ref="R50" ca="1" si="342">IFERROR(Q50/$B50,"")</f>
        <v>1.1153276436260869E-4</v>
      </c>
      <c r="S50" s="80">
        <f ca="1">'44'!$F$103*'Discipline Analysis'!B50</f>
        <v>410239</v>
      </c>
      <c r="T50" s="153">
        <f t="shared" ref="T50" ca="1" si="343">IFERROR(S50/$B50,"")</f>
        <v>0.12604707911667279</v>
      </c>
      <c r="U50" s="80">
        <f ca="1">'44'!$F$104*'Discipline Analysis'!B50</f>
        <v>780591</v>
      </c>
      <c r="V50" s="158">
        <f t="shared" ref="V50" ca="1" si="344">IFERROR(U50/$B50,"")</f>
        <v>0.23983876602361728</v>
      </c>
    </row>
    <row r="51" spans="1:22" x14ac:dyDescent="0.2">
      <c r="A51" s="97" t="s">
        <v>1045</v>
      </c>
      <c r="B51" s="88">
        <f ca="1">OFFSET('45'!$D$4,$A$3,0)</f>
        <v>5123439</v>
      </c>
      <c r="C51" s="80">
        <f ca="1">OFFSET('45'!$E$4,$A$3,0)</f>
        <v>37809202</v>
      </c>
      <c r="D51" s="153">
        <f t="shared" ca="1" si="0"/>
        <v>7.3796530026023532</v>
      </c>
      <c r="E51" s="80">
        <f ca="1">OFFSET('45'!$E$66,$A$3,0)</f>
        <v>15791200</v>
      </c>
      <c r="F51" s="153">
        <f t="shared" ca="1" si="0"/>
        <v>3.0821485334362331</v>
      </c>
      <c r="G51" s="80">
        <f ca="1">'45'!$F$100*B51</f>
        <v>1843441</v>
      </c>
      <c r="H51" s="153">
        <f t="shared" ref="H51" ca="1" si="345">IFERROR(G51/$B51,"")</f>
        <v>0.35980539633632802</v>
      </c>
      <c r="I51" s="80">
        <f ca="1">'45'!$F$98*'Discipline Analysis'!B51</f>
        <v>7115771</v>
      </c>
      <c r="J51" s="153">
        <f t="shared" ref="J51" ca="1" si="346">IFERROR(I51/$B51,"")</f>
        <v>1.3888661502557169</v>
      </c>
      <c r="K51" s="80">
        <f ca="1">'45'!$F$99*'Discipline Analysis'!B51</f>
        <v>5431335</v>
      </c>
      <c r="L51" s="153">
        <f t="shared" ref="L51" ca="1" si="347">IFERROR(K51/$B51,"")</f>
        <v>1.0600955725246266</v>
      </c>
      <c r="M51" s="80">
        <f ca="1">OFFSET('45'!$E$35,$A$3,0)</f>
        <v>4972311</v>
      </c>
      <c r="N51" s="153">
        <f t="shared" ref="N51" ca="1" si="348">IFERROR(M51/$B51,"")</f>
        <v>0.97050262528742903</v>
      </c>
      <c r="O51" s="80">
        <f ca="1">'45'!$F$101*'Discipline Analysis'!B51</f>
        <v>0</v>
      </c>
      <c r="P51" s="153">
        <f t="shared" ref="P51" ca="1" si="349">IFERROR(O51/$B51,"")</f>
        <v>0</v>
      </c>
      <c r="Q51" s="80">
        <f ca="1">'45'!$F$102*'Discipline Analysis'!B51</f>
        <v>767791.99999999988</v>
      </c>
      <c r="R51" s="153">
        <f t="shared" ref="R51" ca="1" si="350">IFERROR(Q51/$B51,"")</f>
        <v>0.14985871794316277</v>
      </c>
      <c r="S51" s="80">
        <f ca="1">'45'!$F$103*'Discipline Analysis'!B51</f>
        <v>711180</v>
      </c>
      <c r="T51" s="153">
        <f t="shared" ref="T51" ca="1" si="351">IFERROR(S51/$B51,"")</f>
        <v>0.13880910849138636</v>
      </c>
      <c r="U51" s="80">
        <f ca="1">'45'!$F$104*'Discipline Analysis'!B51</f>
        <v>1176172</v>
      </c>
      <c r="V51" s="158">
        <f t="shared" ref="V51" ca="1" si="352">IFERROR(U51/$B51,"")</f>
        <v>0.22956689832747107</v>
      </c>
    </row>
    <row r="52" spans="1:22" x14ac:dyDescent="0.2">
      <c r="A52" s="97" t="s">
        <v>1070</v>
      </c>
      <c r="B52" s="88">
        <f ca="1">OFFSET('46'!$D$4,$A$3,0)</f>
        <v>1560346</v>
      </c>
      <c r="C52" s="80">
        <f ca="1">OFFSET('46'!$E$4,$A$3,0)</f>
        <v>9948124.9999999981</v>
      </c>
      <c r="D52" s="153">
        <f t="shared" ca="1" si="0"/>
        <v>6.3755891321540208</v>
      </c>
      <c r="E52" s="80">
        <f ca="1">OFFSET('46'!$E$66,$A$3,0)</f>
        <v>4292319</v>
      </c>
      <c r="F52" s="153">
        <f t="shared" ca="1" si="0"/>
        <v>2.7508764081812624</v>
      </c>
      <c r="G52" s="80">
        <f ca="1">'46'!$F$100*B52</f>
        <v>1819355</v>
      </c>
      <c r="H52" s="153">
        <f t="shared" ref="H52" ca="1" si="353">IFERROR(G52/$B52,"")</f>
        <v>1.1659945935068248</v>
      </c>
      <c r="I52" s="80">
        <f ca="1">'46'!$F$98*'Discipline Analysis'!B52</f>
        <v>2052394</v>
      </c>
      <c r="J52" s="153">
        <f t="shared" ref="J52" ca="1" si="354">IFERROR(I52/$B52,"")</f>
        <v>1.3153454426133691</v>
      </c>
      <c r="K52" s="80">
        <f ca="1">'46'!$F$99*'Discipline Analysis'!B52</f>
        <v>1163208</v>
      </c>
      <c r="L52" s="153">
        <f t="shared" ref="L52" ca="1" si="355">IFERROR(K52/$B52,"")</f>
        <v>0.74548081002546873</v>
      </c>
      <c r="M52" s="80">
        <f ca="1">OFFSET('46'!$E$35,$A$3,0)</f>
        <v>245592</v>
      </c>
      <c r="N52" s="153">
        <f t="shared" ref="N52" ca="1" si="356">IFERROR(M52/$B52,"")</f>
        <v>0.15739585963626015</v>
      </c>
      <c r="O52" s="80">
        <f ca="1">'46'!$F$101*'Discipline Analysis'!B52</f>
        <v>0</v>
      </c>
      <c r="P52" s="153">
        <f t="shared" ref="P52" ca="1" si="357">IFERROR(O52/$B52,"")</f>
        <v>0</v>
      </c>
      <c r="Q52" s="80">
        <f ca="1">'46'!$F$102*'Discipline Analysis'!B52</f>
        <v>0</v>
      </c>
      <c r="R52" s="153">
        <f t="shared" ref="R52" ca="1" si="358">IFERROR(Q52/$B52,"")</f>
        <v>0</v>
      </c>
      <c r="S52" s="80">
        <f ca="1">'46'!$F$103*'Discipline Analysis'!B52</f>
        <v>159285</v>
      </c>
      <c r="T52" s="153">
        <f t="shared" ref="T52" ca="1" si="359">IFERROR(S52/$B52,"")</f>
        <v>0.10208312771654492</v>
      </c>
      <c r="U52" s="80">
        <f ca="1">'46'!$F$104*'Discipline Analysis'!B52</f>
        <v>215971.99999999997</v>
      </c>
      <c r="V52" s="158">
        <f t="shared" ref="V52" ca="1" si="360">IFERROR(U52/$B52,"")</f>
        <v>0.13841289047429223</v>
      </c>
    </row>
    <row r="53" spans="1:22" x14ac:dyDescent="0.2">
      <c r="A53" s="97" t="s">
        <v>1071</v>
      </c>
      <c r="B53" s="88">
        <f ca="1">OFFSET('47'!$D$4,$A$3,0)</f>
        <v>1814599</v>
      </c>
      <c r="C53" s="80">
        <f ca="1">OFFSET('47'!$E$4,$A$3,0)</f>
        <v>17235576</v>
      </c>
      <c r="D53" s="153">
        <f t="shared" ca="1" si="0"/>
        <v>9.4982836428323836</v>
      </c>
      <c r="E53" s="80">
        <f ca="1">OFFSET('47'!$E$66,$A$3,0)</f>
        <v>7196893</v>
      </c>
      <c r="F53" s="153">
        <f t="shared" ca="1" si="0"/>
        <v>3.9661065612843389</v>
      </c>
      <c r="G53" s="80">
        <f ca="1">'47'!$F$100*B53</f>
        <v>1456103</v>
      </c>
      <c r="H53" s="153">
        <f t="shared" ref="H53" ca="1" si="361">IFERROR(G53/$B53,"")</f>
        <v>0.80243789399200594</v>
      </c>
      <c r="I53" s="80">
        <f ca="1">'47'!$F$98*'Discipline Analysis'!B53</f>
        <v>2661091</v>
      </c>
      <c r="J53" s="153">
        <f t="shared" ref="J53" ca="1" si="362">IFERROR(I53/$B53,"")</f>
        <v>1.4664898415572807</v>
      </c>
      <c r="K53" s="80">
        <f ca="1">'47'!$F$99*'Discipline Analysis'!B53</f>
        <v>1546662</v>
      </c>
      <c r="L53" s="153">
        <f t="shared" ref="L53" ca="1" si="363">IFERROR(K53/$B53,"")</f>
        <v>0.85234368585015197</v>
      </c>
      <c r="M53" s="80">
        <f ca="1">OFFSET('47'!$E$35,$A$3,0)</f>
        <v>3528567</v>
      </c>
      <c r="N53" s="153">
        <f t="shared" ref="N53" ca="1" si="364">IFERROR(M53/$B53,"")</f>
        <v>1.9445436705299628</v>
      </c>
      <c r="O53" s="80">
        <f ca="1">'47'!$F$101*'Discipline Analysis'!B53</f>
        <v>0</v>
      </c>
      <c r="P53" s="153">
        <f t="shared" ref="P53" ca="1" si="365">IFERROR(O53/$B53,"")</f>
        <v>0</v>
      </c>
      <c r="Q53" s="80">
        <f ca="1">'47'!$F$102*'Discipline Analysis'!B53</f>
        <v>111543</v>
      </c>
      <c r="R53" s="153">
        <f t="shared" ref="R53" ca="1" si="366">IFERROR(Q53/$B53,"")</f>
        <v>6.1469779273547492E-2</v>
      </c>
      <c r="S53" s="80">
        <f ca="1">'47'!$F$103*'Discipline Analysis'!B53</f>
        <v>249527</v>
      </c>
      <c r="T53" s="153">
        <f t="shared" ref="T53" ca="1" si="367">IFERROR(S53/$B53,"")</f>
        <v>0.13751082195019396</v>
      </c>
      <c r="U53" s="80">
        <f ca="1">'47'!$F$104*'Discipline Analysis'!B53</f>
        <v>485189.99999999994</v>
      </c>
      <c r="V53" s="158">
        <f t="shared" ref="V53" ca="1" si="368">IFERROR(U53/$B53,"")</f>
        <v>0.26738138839490155</v>
      </c>
    </row>
    <row r="54" spans="1:22" x14ac:dyDescent="0.2">
      <c r="A54" s="97" t="s">
        <v>1072</v>
      </c>
      <c r="B54" s="88">
        <f ca="1">OFFSET('48'!$D$4,$A$3,0)</f>
        <v>2242748</v>
      </c>
      <c r="C54" s="80">
        <f ca="1">OFFSET('48'!$E$4,$A$3,0)</f>
        <v>18428239</v>
      </c>
      <c r="D54" s="153">
        <f t="shared" ca="1" si="0"/>
        <v>8.2168121429603325</v>
      </c>
      <c r="E54" s="80">
        <f ca="1">OFFSET('48'!$E$66,$A$3,0)</f>
        <v>7604690</v>
      </c>
      <c r="F54" s="153">
        <f t="shared" ca="1" si="0"/>
        <v>3.3907911187525306</v>
      </c>
      <c r="G54" s="80">
        <f ca="1">'48'!$F$100*B54</f>
        <v>1152110</v>
      </c>
      <c r="H54" s="153">
        <f t="shared" ref="H54" ca="1" si="369">IFERROR(G54/$B54,"")</f>
        <v>0.51370461594436823</v>
      </c>
      <c r="I54" s="80">
        <f ca="1">'48'!$F$98*'Discipline Analysis'!B54</f>
        <v>5084425</v>
      </c>
      <c r="J54" s="153">
        <f t="shared" ref="J54" ca="1" si="370">IFERROR(I54/$B54,"")</f>
        <v>2.267051403010949</v>
      </c>
      <c r="K54" s="80">
        <f ca="1">'48'!$F$99*'Discipline Analysis'!B54</f>
        <v>1510657</v>
      </c>
      <c r="L54" s="153">
        <f t="shared" ref="L54" ca="1" si="371">IFERROR(K54/$B54,"")</f>
        <v>0.67357411532637634</v>
      </c>
      <c r="M54" s="80">
        <f ca="1">OFFSET('48'!$E$35,$A$3,0)</f>
        <v>2554100</v>
      </c>
      <c r="N54" s="153">
        <f t="shared" ref="N54" ca="1" si="372">IFERROR(M54/$B54,"")</f>
        <v>1.1388261186722717</v>
      </c>
      <c r="O54" s="80">
        <f ca="1">'48'!$F$101*'Discipline Analysis'!B54</f>
        <v>0</v>
      </c>
      <c r="P54" s="153">
        <f t="shared" ref="P54" ca="1" si="373">IFERROR(O54/$B54,"")</f>
        <v>0</v>
      </c>
      <c r="Q54" s="80">
        <f ca="1">'48'!$F$102*'Discipline Analysis'!B54</f>
        <v>0</v>
      </c>
      <c r="R54" s="153">
        <f t="shared" ref="R54" ca="1" si="374">IFERROR(Q54/$B54,"")</f>
        <v>0</v>
      </c>
      <c r="S54" s="80">
        <f ca="1">'48'!$F$103*'Discipline Analysis'!B54</f>
        <v>330617</v>
      </c>
      <c r="T54" s="153">
        <f t="shared" ref="T54" ca="1" si="375">IFERROR(S54/$B54,"")</f>
        <v>0.14741602712386767</v>
      </c>
      <c r="U54" s="80">
        <f ca="1">'48'!$F$104*'Discipline Analysis'!B54</f>
        <v>191640</v>
      </c>
      <c r="V54" s="158">
        <f t="shared" ref="V54" ca="1" si="376">IFERROR(U54/$B54,"")</f>
        <v>8.5448744129969126E-2</v>
      </c>
    </row>
    <row r="55" spans="1:22" x14ac:dyDescent="0.2">
      <c r="A55" s="97" t="s">
        <v>1073</v>
      </c>
      <c r="B55" s="88">
        <f ca="1">OFFSET('49'!$D$4,$A$3,0)</f>
        <v>1254294</v>
      </c>
      <c r="C55" s="80">
        <f ca="1">OFFSET('49'!$E$4,$A$3,0)</f>
        <v>6840250.0000000009</v>
      </c>
      <c r="D55" s="153">
        <f t="shared" ca="1" si="0"/>
        <v>5.4534662527286271</v>
      </c>
      <c r="E55" s="80">
        <f ca="1">OFFSET('49'!$E$66,$A$3,0)</f>
        <v>2644459</v>
      </c>
      <c r="F55" s="153">
        <f t="shared" ca="1" si="0"/>
        <v>2.1083246830487909</v>
      </c>
      <c r="G55" s="80">
        <f ca="1">'49'!$F$100*B55</f>
        <v>668377</v>
      </c>
      <c r="H55" s="153">
        <f t="shared" ref="H55" ca="1" si="377">IFERROR(G55/$B55,"")</f>
        <v>0.53287108126164995</v>
      </c>
      <c r="I55" s="80">
        <f ca="1">'49'!$F$98*'Discipline Analysis'!B55</f>
        <v>2140554</v>
      </c>
      <c r="J55" s="153">
        <f t="shared" ref="J55" ca="1" si="378">IFERROR(I55/$B55,"")</f>
        <v>1.706580753794565</v>
      </c>
      <c r="K55" s="80">
        <f ca="1">'49'!$F$99*'Discipline Analysis'!B55</f>
        <v>401906</v>
      </c>
      <c r="L55" s="153">
        <f t="shared" ref="L55" ca="1" si="379">IFERROR(K55/$B55,"")</f>
        <v>0.32042407920312144</v>
      </c>
      <c r="M55" s="80">
        <f ca="1">OFFSET('49'!$E$35,$A$3,0)</f>
        <v>337997</v>
      </c>
      <c r="N55" s="153">
        <f t="shared" ref="N55" ca="1" si="380">IFERROR(M55/$B55,"")</f>
        <v>0.26947191009444355</v>
      </c>
      <c r="O55" s="80">
        <f ca="1">'49'!$F$101*'Discipline Analysis'!B55</f>
        <v>0</v>
      </c>
      <c r="P55" s="153">
        <f t="shared" ref="P55" ca="1" si="381">IFERROR(O55/$B55,"")</f>
        <v>0</v>
      </c>
      <c r="Q55" s="80">
        <f ca="1">'49'!$F$102*'Discipline Analysis'!B55</f>
        <v>366978</v>
      </c>
      <c r="R55" s="153">
        <f t="shared" ref="R55" ca="1" si="382">IFERROR(Q55/$B55,"")</f>
        <v>0.29257733832737781</v>
      </c>
      <c r="S55" s="80">
        <f ca="1">'49'!$F$103*'Discipline Analysis'!B55</f>
        <v>205107</v>
      </c>
      <c r="T55" s="153">
        <f t="shared" ref="T55" ca="1" si="383">IFERROR(S55/$B55,"")</f>
        <v>0.16352386282641868</v>
      </c>
      <c r="U55" s="80">
        <f ca="1">'49'!$F$104*'Discipline Analysis'!B55</f>
        <v>74872</v>
      </c>
      <c r="V55" s="158">
        <f t="shared" ref="V55" ca="1" si="384">IFERROR(U55/$B55,"")</f>
        <v>5.9692544172259457E-2</v>
      </c>
    </row>
    <row r="56" spans="1:22" x14ac:dyDescent="0.2">
      <c r="A56" s="97" t="s">
        <v>1081</v>
      </c>
      <c r="B56" s="88">
        <f ca="1">OFFSET('50'!$D$4,$A$3,0)</f>
        <v>2496402</v>
      </c>
      <c r="C56" s="80">
        <f ca="1">OFFSET('50'!$E$4,$A$3,0)</f>
        <v>22124259.000000004</v>
      </c>
      <c r="D56" s="153">
        <f t="shared" ca="1" si="0"/>
        <v>8.8624584502015313</v>
      </c>
      <c r="E56" s="80">
        <f ca="1">OFFSET('50'!$E$66,$A$3,0)</f>
        <v>9391065</v>
      </c>
      <c r="F56" s="153">
        <f t="shared" ca="1" si="0"/>
        <v>3.7618400401858354</v>
      </c>
      <c r="G56" s="80">
        <f ca="1">'50'!$F$100*B56</f>
        <v>2381023</v>
      </c>
      <c r="H56" s="153">
        <f t="shared" ref="H56" ca="1" si="385">IFERROR(G56/$B56,"")</f>
        <v>0.95378188288584931</v>
      </c>
      <c r="I56" s="80">
        <f ca="1">'50'!$F$98*'Discipline Analysis'!B56</f>
        <v>4886266</v>
      </c>
      <c r="J56" s="153">
        <f t="shared" ref="J56" ca="1" si="386">IFERROR(I56/$B56,"")</f>
        <v>1.9573233798082199</v>
      </c>
      <c r="K56" s="80">
        <f ca="1">'50'!$F$99*'Discipline Analysis'!B56</f>
        <v>1628557</v>
      </c>
      <c r="L56" s="153">
        <f t="shared" ref="L56" ca="1" si="387">IFERROR(K56/$B56,"")</f>
        <v>0.65236167892831365</v>
      </c>
      <c r="M56" s="80">
        <f ca="1">OFFSET('50'!$E$35,$A$3,0)</f>
        <v>1992880</v>
      </c>
      <c r="N56" s="153">
        <f t="shared" ref="N56" ca="1" si="388">IFERROR(M56/$B56,"")</f>
        <v>0.7983009146764023</v>
      </c>
      <c r="O56" s="80">
        <f ca="1">'50'!$F$101*'Discipline Analysis'!B56</f>
        <v>0</v>
      </c>
      <c r="P56" s="153">
        <f t="shared" ref="P56" ca="1" si="389">IFERROR(O56/$B56,"")</f>
        <v>0</v>
      </c>
      <c r="Q56" s="80">
        <f ca="1">'50'!$F$102*'Discipline Analysis'!B56</f>
        <v>601920</v>
      </c>
      <c r="R56" s="153">
        <f t="shared" ref="R56" ca="1" si="390">IFERROR(Q56/$B56,"")</f>
        <v>0.24111501272631572</v>
      </c>
      <c r="S56" s="80">
        <f ca="1">'50'!$F$103*'Discipline Analysis'!B56</f>
        <v>539061</v>
      </c>
      <c r="T56" s="153">
        <f t="shared" ref="T56" ca="1" si="391">IFERROR(S56/$B56,"")</f>
        <v>0.21593517390228018</v>
      </c>
      <c r="U56" s="80">
        <f ca="1">'50'!$F$104*'Discipline Analysis'!B56</f>
        <v>703487</v>
      </c>
      <c r="V56" s="158">
        <f t="shared" ref="V56" ca="1" si="392">IFERROR(U56/$B56,"")</f>
        <v>0.28180036708831352</v>
      </c>
    </row>
    <row r="57" spans="1:22" x14ac:dyDescent="0.2">
      <c r="A57" s="95" t="s">
        <v>947</v>
      </c>
      <c r="B57" s="88">
        <f ca="1">OFFSET('51'!$D$4,$A$3,0)</f>
        <v>2979157</v>
      </c>
      <c r="C57" s="80">
        <f ca="1">OFFSET('51'!$E$4,$A$3,0)</f>
        <v>21620131.999999996</v>
      </c>
      <c r="D57" s="153">
        <f t="shared" ca="1" si="0"/>
        <v>7.2571307923684438</v>
      </c>
      <c r="E57" s="80">
        <f ca="1">OFFSET('51'!$E$66,$A$3,0)</f>
        <v>7795169</v>
      </c>
      <c r="F57" s="153">
        <f t="shared" ca="1" si="0"/>
        <v>2.6165687139012817</v>
      </c>
      <c r="G57" s="80">
        <f ca="1">'51'!$F$100*B57</f>
        <v>1265817</v>
      </c>
      <c r="H57" s="153">
        <f t="shared" ref="H57" ca="1" si="393">IFERROR(G57/$B57,"")</f>
        <v>0.42489100104492644</v>
      </c>
      <c r="I57" s="80">
        <f ca="1">'51'!$F$98*'Discipline Analysis'!B57</f>
        <v>2917595</v>
      </c>
      <c r="J57" s="153">
        <f t="shared" ref="J57" ca="1" si="394">IFERROR(I57/$B57,"")</f>
        <v>0.97933576511744769</v>
      </c>
      <c r="K57" s="80">
        <f ca="1">'51'!$F$99*'Discipline Analysis'!B57</f>
        <v>2325335</v>
      </c>
      <c r="L57" s="153">
        <f t="shared" ref="L57" ca="1" si="395">IFERROR(K57/$B57,"")</f>
        <v>0.7805345606156372</v>
      </c>
      <c r="M57" s="80">
        <f ca="1">OFFSET('51'!$E$35,$A$3,0)</f>
        <v>5686810</v>
      </c>
      <c r="N57" s="153">
        <f t="shared" ref="N57" ca="1" si="396">IFERROR(M57/$B57,"")</f>
        <v>1.9088654945006256</v>
      </c>
      <c r="O57" s="80">
        <f ca="1">'51'!$F$101*'Discipline Analysis'!B57</f>
        <v>288457</v>
      </c>
      <c r="P57" s="153">
        <f t="shared" ref="P57" ca="1" si="397">IFERROR(O57/$B57,"")</f>
        <v>9.6825041446288326E-2</v>
      </c>
      <c r="Q57" s="80">
        <f ca="1">'51'!$F$102*'Discipline Analysis'!B57</f>
        <v>579774</v>
      </c>
      <c r="R57" s="153">
        <f t="shared" ref="R57" ca="1" si="398">IFERROR(Q57/$B57,"")</f>
        <v>0.19461008600755181</v>
      </c>
      <c r="S57" s="80">
        <f ca="1">'51'!$F$103*'Discipline Analysis'!B57</f>
        <v>583508</v>
      </c>
      <c r="T57" s="153">
        <f t="shared" ref="T57" ca="1" si="399">IFERROR(S57/$B57,"")</f>
        <v>0.19586346070381655</v>
      </c>
      <c r="U57" s="80">
        <f ca="1">'51'!$F$104*'Discipline Analysis'!B57</f>
        <v>177667</v>
      </c>
      <c r="V57" s="158">
        <f t="shared" ref="V57" ca="1" si="400">IFERROR(U57/$B57,"")</f>
        <v>5.9636669030870143E-2</v>
      </c>
    </row>
    <row r="58" spans="1:22" x14ac:dyDescent="0.2">
      <c r="A58" s="95" t="s">
        <v>948</v>
      </c>
      <c r="B58" s="88">
        <f ca="1">OFFSET('52'!$D$4,$A$3,0)</f>
        <v>1232683</v>
      </c>
      <c r="C58" s="80">
        <f ca="1">OFFSET('52'!$E$4,$A$3,0)</f>
        <v>13225930.999999998</v>
      </c>
      <c r="D58" s="153">
        <f t="shared" ca="1" si="0"/>
        <v>10.729385413768178</v>
      </c>
      <c r="E58" s="80">
        <f ca="1">OFFSET('52'!$E$66,$A$3,0)</f>
        <v>4300013</v>
      </c>
      <c r="F58" s="153">
        <f t="shared" ca="1" si="0"/>
        <v>3.4883364173919817</v>
      </c>
      <c r="G58" s="80">
        <f ca="1">'52'!$F$100*B58</f>
        <v>2334754</v>
      </c>
      <c r="H58" s="153">
        <f t="shared" ref="H58" ca="1" si="401">IFERROR(G58/$B58,"")</f>
        <v>1.8940425072788381</v>
      </c>
      <c r="I58" s="80">
        <f ca="1">'52'!$F$98*'Discipline Analysis'!B58</f>
        <v>1769270</v>
      </c>
      <c r="J58" s="153">
        <f t="shared" ref="J58" ca="1" si="402">IFERROR(I58/$B58,"")</f>
        <v>1.4353000730925956</v>
      </c>
      <c r="K58" s="80">
        <f ca="1">'52'!$F$99*'Discipline Analysis'!B58</f>
        <v>2043214</v>
      </c>
      <c r="L58" s="153">
        <f t="shared" ref="L58" ca="1" si="403">IFERROR(K58/$B58,"")</f>
        <v>1.6575340132053415</v>
      </c>
      <c r="M58" s="80">
        <f ca="1">OFFSET('52'!$E$35,$A$3,0)</f>
        <v>1961387</v>
      </c>
      <c r="N58" s="153">
        <f t="shared" ref="N58" ca="1" si="404">IFERROR(M58/$B58,"")</f>
        <v>1.5911527943518327</v>
      </c>
      <c r="O58" s="80">
        <f ca="1">'52'!$F$101*'Discipline Analysis'!B58</f>
        <v>489</v>
      </c>
      <c r="P58" s="153">
        <f t="shared" ref="P58" ca="1" si="405">IFERROR(O58/$B58,"")</f>
        <v>3.9669566303745569E-4</v>
      </c>
      <c r="Q58" s="80">
        <f ca="1">'52'!$F$102*'Discipline Analysis'!B58</f>
        <v>474622.99999999994</v>
      </c>
      <c r="R58" s="153">
        <f t="shared" ref="R58" ca="1" si="406">IFERROR(Q58/$B58,"")</f>
        <v>0.38503248604872459</v>
      </c>
      <c r="S58" s="80">
        <f ca="1">'52'!$F$103*'Discipline Analysis'!B58</f>
        <v>201778.00000000003</v>
      </c>
      <c r="T58" s="153">
        <f t="shared" ref="T58" ca="1" si="407">IFERROR(S58/$B58,"")</f>
        <v>0.16369009712959456</v>
      </c>
      <c r="U58" s="80">
        <f ca="1">'52'!$F$104*'Discipline Analysis'!B58</f>
        <v>140403</v>
      </c>
      <c r="V58" s="158">
        <f t="shared" ref="V58" ca="1" si="408">IFERROR(U58/$B58,"")</f>
        <v>0.11390032960623291</v>
      </c>
    </row>
    <row r="59" spans="1:22" x14ac:dyDescent="0.2">
      <c r="A59" s="95" t="s">
        <v>949</v>
      </c>
      <c r="B59" s="88">
        <f ca="1">OFFSET('53'!$D$4,$A$3,0)</f>
        <v>557755</v>
      </c>
      <c r="C59" s="80">
        <f ca="1">OFFSET('53'!$E$4,$A$3,0)</f>
        <v>5306505</v>
      </c>
      <c r="D59" s="153">
        <f t="shared" ca="1" si="0"/>
        <v>9.5140429041424994</v>
      </c>
      <c r="E59" s="80">
        <f ca="1">OFFSET('53'!$E$66,$A$3,0)</f>
        <v>1834938</v>
      </c>
      <c r="F59" s="153">
        <f t="shared" ca="1" si="0"/>
        <v>3.2898638291005908</v>
      </c>
      <c r="G59" s="80">
        <f ca="1">'53'!$F$100*B59</f>
        <v>580913</v>
      </c>
      <c r="H59" s="153">
        <f t="shared" ref="H59" ca="1" si="409">IFERROR(G59/$B59,"")</f>
        <v>1.0415200222319836</v>
      </c>
      <c r="I59" s="80">
        <f ca="1">'53'!$F$98*'Discipline Analysis'!B59</f>
        <v>697618</v>
      </c>
      <c r="J59" s="153">
        <f t="shared" ref="J59" ca="1" si="410">IFERROR(I59/$B59,"")</f>
        <v>1.2507606386316572</v>
      </c>
      <c r="K59" s="80">
        <f ca="1">'53'!$F$99*'Discipline Analysis'!B59</f>
        <v>812831</v>
      </c>
      <c r="L59" s="153">
        <f t="shared" ref="L59" ca="1" si="411">IFERROR(K59/$B59,"")</f>
        <v>1.4573262453944833</v>
      </c>
      <c r="M59" s="80">
        <f ca="1">OFFSET('53'!$E$35,$A$3,0)</f>
        <v>749123</v>
      </c>
      <c r="N59" s="153">
        <f t="shared" ref="N59" ca="1" si="412">IFERROR(M59/$B59,"")</f>
        <v>1.3431040510618462</v>
      </c>
      <c r="O59" s="80">
        <f ca="1">'53'!$F$101*'Discipline Analysis'!B59</f>
        <v>165057</v>
      </c>
      <c r="P59" s="153">
        <f t="shared" ref="P59" ca="1" si="413">IFERROR(O59/$B59,"")</f>
        <v>0.29593100913483517</v>
      </c>
      <c r="Q59" s="80">
        <f ca="1">'53'!$F$102*'Discipline Analysis'!B59</f>
        <v>256075</v>
      </c>
      <c r="R59" s="153">
        <f t="shared" ref="R59" ca="1" si="414">IFERROR(Q59/$B59,"")</f>
        <v>0.45911735439395435</v>
      </c>
      <c r="S59" s="80">
        <f ca="1">'53'!$F$103*'Discipline Analysis'!B59</f>
        <v>127431</v>
      </c>
      <c r="T59" s="153">
        <f t="shared" ref="T59" ca="1" si="415">IFERROR(S59/$B59,"")</f>
        <v>0.22847128219379476</v>
      </c>
      <c r="U59" s="80">
        <f ca="1">'53'!$F$104*'Discipline Analysis'!B59</f>
        <v>82518.999999999985</v>
      </c>
      <c r="V59" s="158">
        <f t="shared" ref="V59" ca="1" si="416">IFERROR(U59/$B59,"")</f>
        <v>0.14794847199935454</v>
      </c>
    </row>
    <row r="60" spans="1:22" x14ac:dyDescent="0.2">
      <c r="A60" s="95" t="s">
        <v>950</v>
      </c>
      <c r="B60" s="88">
        <f ca="1">OFFSET('54'!$D$4,$A$3,0)</f>
        <v>4155816</v>
      </c>
      <c r="C60" s="80">
        <f ca="1">OFFSET('54'!$E$4,$A$3,0)</f>
        <v>32764479</v>
      </c>
      <c r="D60" s="153">
        <f t="shared" ca="1" si="0"/>
        <v>7.8840061735168252</v>
      </c>
      <c r="E60" s="80">
        <f ca="1">OFFSET('54'!$E$66,$A$3,0)</f>
        <v>13605816</v>
      </c>
      <c r="F60" s="153">
        <f t="shared" ca="1" si="0"/>
        <v>3.2739216558192181</v>
      </c>
      <c r="G60" s="80">
        <f ca="1">'54'!$F$100*B60</f>
        <v>3717296</v>
      </c>
      <c r="H60" s="153">
        <f t="shared" ref="H60" ca="1" si="417">IFERROR(G60/$B60,"")</f>
        <v>0.89448041010477841</v>
      </c>
      <c r="I60" s="80">
        <f ca="1">'54'!$F$98*'Discipline Analysis'!B60</f>
        <v>3629141</v>
      </c>
      <c r="J60" s="153">
        <f t="shared" ref="J60" ca="1" si="418">IFERROR(I60/$B60,"")</f>
        <v>0.87326796951549346</v>
      </c>
      <c r="K60" s="80">
        <f ca="1">'54'!$F$99*'Discipline Analysis'!B60</f>
        <v>2444025</v>
      </c>
      <c r="L60" s="153">
        <f t="shared" ref="L60" ca="1" si="419">IFERROR(K60/$B60,"")</f>
        <v>0.58809749998556238</v>
      </c>
      <c r="M60" s="80">
        <f ca="1">OFFSET('54'!$E$35,$A$3,0)</f>
        <v>5951279</v>
      </c>
      <c r="N60" s="153">
        <f t="shared" ref="N60" ca="1" si="420">IFERROR(M60/$B60,"")</f>
        <v>1.4320362114203324</v>
      </c>
      <c r="O60" s="80">
        <f ca="1">'54'!$F$101*'Discipline Analysis'!B60</f>
        <v>239351</v>
      </c>
      <c r="P60" s="153">
        <f t="shared" ref="P60" ca="1" si="421">IFERROR(O60/$B60,"")</f>
        <v>5.7594224575871503E-2</v>
      </c>
      <c r="Q60" s="80">
        <f ca="1">'54'!$F$102*'Discipline Analysis'!B60</f>
        <v>1879961</v>
      </c>
      <c r="R60" s="153">
        <f t="shared" ref="R60" ca="1" si="422">IFERROR(Q60/$B60,"")</f>
        <v>0.45236868042280987</v>
      </c>
      <c r="S60" s="80">
        <f ca="1">'54'!$F$103*'Discipline Analysis'!B60</f>
        <v>1005312</v>
      </c>
      <c r="T60" s="153">
        <f t="shared" ref="T60" ca="1" si="423">IFERROR(S60/$B60,"")</f>
        <v>0.24190483890528358</v>
      </c>
      <c r="U60" s="80">
        <f ca="1">'54'!$F$104*'Discipline Analysis'!B60</f>
        <v>292298</v>
      </c>
      <c r="V60" s="158">
        <f t="shared" ref="V60" ca="1" si="424">IFERROR(U60/$B60,"")</f>
        <v>7.0334682767475745E-2</v>
      </c>
    </row>
    <row r="61" spans="1:22" x14ac:dyDescent="0.2">
      <c r="A61" s="95" t="s">
        <v>951</v>
      </c>
      <c r="B61" s="88">
        <f ca="1">OFFSET('55'!$D$4,$A$3,0)</f>
        <v>1671411</v>
      </c>
      <c r="C61" s="80">
        <f ca="1">OFFSET('55'!$E$4,$A$3,0)</f>
        <v>21554948</v>
      </c>
      <c r="D61" s="153">
        <f t="shared" ca="1" si="0"/>
        <v>12.896258311091646</v>
      </c>
      <c r="E61" s="80">
        <f ca="1">OFFSET('55'!$E$66,$A$3,0)</f>
        <v>5600986</v>
      </c>
      <c r="F61" s="153">
        <f t="shared" ca="1" si="0"/>
        <v>3.3510524939706632</v>
      </c>
      <c r="G61" s="80">
        <f ca="1">'55'!$F$100*B61</f>
        <v>421825</v>
      </c>
      <c r="H61" s="153">
        <f t="shared" ref="H61" ca="1" si="425">IFERROR(G61/$B61,"")</f>
        <v>0.25237658481366942</v>
      </c>
      <c r="I61" s="80">
        <f ca="1">'55'!$F$98*'Discipline Analysis'!B61</f>
        <v>3128620</v>
      </c>
      <c r="J61" s="153">
        <f t="shared" ref="J61" ca="1" si="426">IFERROR(I61/$B61,"")</f>
        <v>1.8718436099798315</v>
      </c>
      <c r="K61" s="80">
        <f ca="1">'55'!$F$99*'Discipline Analysis'!B61</f>
        <v>1740832</v>
      </c>
      <c r="L61" s="153">
        <f t="shared" ref="L61" ca="1" si="427">IFERROR(K61/$B61,"")</f>
        <v>1.0415343682672904</v>
      </c>
      <c r="M61" s="80">
        <f ca="1">OFFSET('55'!$E$35,$A$3,0)</f>
        <v>6192406</v>
      </c>
      <c r="N61" s="153">
        <f t="shared" ref="N61" ca="1" si="428">IFERROR(M61/$B61,"")</f>
        <v>3.704897239517988</v>
      </c>
      <c r="O61" s="80">
        <f ca="1">'55'!$F$101*'Discipline Analysis'!B61</f>
        <v>0</v>
      </c>
      <c r="P61" s="153">
        <f t="shared" ref="P61" ca="1" si="429">IFERROR(O61/$B61,"")</f>
        <v>0</v>
      </c>
      <c r="Q61" s="80">
        <f ca="1">'55'!$F$102*'Discipline Analysis'!B61</f>
        <v>3072708</v>
      </c>
      <c r="R61" s="153">
        <f t="shared" ref="R61" ca="1" si="430">IFERROR(Q61/$B61,"")</f>
        <v>1.8383916343735922</v>
      </c>
      <c r="S61" s="80">
        <f ca="1">'55'!$F$103*'Discipline Analysis'!B61</f>
        <v>940422</v>
      </c>
      <c r="T61" s="153">
        <f t="shared" ref="T61" ca="1" si="431">IFERROR(S61/$B61,"")</f>
        <v>0.56265155608046136</v>
      </c>
      <c r="U61" s="80">
        <f ca="1">'55'!$F$104*'Discipline Analysis'!B61</f>
        <v>457149.00000000006</v>
      </c>
      <c r="V61" s="158">
        <f t="shared" ref="V61" ca="1" si="432">IFERROR(U61/$B61,"")</f>
        <v>0.27351082408815069</v>
      </c>
    </row>
    <row r="62" spans="1:22" x14ac:dyDescent="0.2">
      <c r="A62" s="95" t="s">
        <v>952</v>
      </c>
      <c r="B62" s="88">
        <f ca="1">OFFSET('56'!$D$4,$A$3,0)</f>
        <v>0</v>
      </c>
      <c r="C62" s="80">
        <f ca="1">OFFSET('56'!$E$4,$A$3,0)</f>
        <v>0</v>
      </c>
      <c r="D62" s="153" t="str">
        <f t="shared" ca="1" si="0"/>
        <v/>
      </c>
      <c r="E62" s="80">
        <f ca="1">OFFSET('56'!$E$66,$A$3,0)</f>
        <v>0</v>
      </c>
      <c r="F62" s="153" t="str">
        <f t="shared" ca="1" si="0"/>
        <v/>
      </c>
      <c r="G62" s="80">
        <f ca="1">'56'!$F$100*B62</f>
        <v>0</v>
      </c>
      <c r="H62" s="153" t="str">
        <f t="shared" ref="H62" ca="1" si="433">IFERROR(G62/$B62,"")</f>
        <v/>
      </c>
      <c r="I62" s="80">
        <f ca="1">'56'!$F$98*'Discipline Analysis'!B62</f>
        <v>0</v>
      </c>
      <c r="J62" s="153" t="str">
        <f t="shared" ref="J62" ca="1" si="434">IFERROR(I62/$B62,"")</f>
        <v/>
      </c>
      <c r="K62" s="80">
        <f ca="1">'56'!$F$99*'Discipline Analysis'!B62</f>
        <v>0</v>
      </c>
      <c r="L62" s="153" t="str">
        <f t="shared" ref="L62" ca="1" si="435">IFERROR(K62/$B62,"")</f>
        <v/>
      </c>
      <c r="M62" s="80">
        <f ca="1">OFFSET('56'!$E$35,$A$3,0)</f>
        <v>0</v>
      </c>
      <c r="N62" s="153" t="str">
        <f t="shared" ref="N62" ca="1" si="436">IFERROR(M62/$B62,"")</f>
        <v/>
      </c>
      <c r="O62" s="80">
        <f ca="1">'56'!$F$101*'Discipline Analysis'!B62</f>
        <v>0</v>
      </c>
      <c r="P62" s="153" t="str">
        <f t="shared" ref="P62" ca="1" si="437">IFERROR(O62/$B62,"")</f>
        <v/>
      </c>
      <c r="Q62" s="80">
        <f ca="1">'56'!$F$102*'Discipline Analysis'!B62</f>
        <v>0</v>
      </c>
      <c r="R62" s="153" t="str">
        <f t="shared" ref="R62" ca="1" si="438">IFERROR(Q62/$B62,"")</f>
        <v/>
      </c>
      <c r="S62" s="80">
        <f ca="1">'56'!$F$103*'Discipline Analysis'!B62</f>
        <v>0</v>
      </c>
      <c r="T62" s="153" t="str">
        <f t="shared" ref="T62" ca="1" si="439">IFERROR(S62/$B62,"")</f>
        <v/>
      </c>
      <c r="U62" s="80">
        <f ca="1">'56'!$F$104*'Discipline Analysis'!B62</f>
        <v>0</v>
      </c>
      <c r="V62" s="158" t="str">
        <f t="shared" ref="V62" ca="1" si="440">IFERROR(U62/$B62,"")</f>
        <v/>
      </c>
    </row>
    <row r="63" spans="1:22" x14ac:dyDescent="0.2">
      <c r="A63" s="76" t="s">
        <v>953</v>
      </c>
      <c r="B63" s="88">
        <f ca="1">OFFSET('57'!$D$4,$A$3,0)</f>
        <v>1217705</v>
      </c>
      <c r="C63" s="80">
        <f ca="1">OFFSET('57'!$E$4,$A$3,0)</f>
        <v>20292558.000000004</v>
      </c>
      <c r="D63" s="153">
        <f t="shared" ca="1" si="0"/>
        <v>16.664592820100108</v>
      </c>
      <c r="E63" s="80">
        <f ca="1">OFFSET('57'!$E$66,$A$3,0)</f>
        <v>5410971</v>
      </c>
      <c r="F63" s="153">
        <f t="shared" ca="1" si="0"/>
        <v>4.443581162925339</v>
      </c>
      <c r="G63" s="80">
        <f ca="1">'57'!$F$100*B63</f>
        <v>941544</v>
      </c>
      <c r="H63" s="153">
        <f t="shared" ref="H63" ca="1" si="441">IFERROR(G63/$B63,"")</f>
        <v>0.77321190271863871</v>
      </c>
      <c r="I63" s="80">
        <f ca="1">'57'!$F$98*'Discipline Analysis'!B63</f>
        <v>3157103</v>
      </c>
      <c r="J63" s="153">
        <f t="shared" ref="J63" ca="1" si="442">IFERROR(I63/$B63,"")</f>
        <v>2.592666532534563</v>
      </c>
      <c r="K63" s="80">
        <f ca="1">'57'!$F$99*'Discipline Analysis'!B63</f>
        <v>884509</v>
      </c>
      <c r="L63" s="153">
        <f t="shared" ref="L63" ca="1" si="443">IFERROR(K63/$B63,"")</f>
        <v>0.72637379332432728</v>
      </c>
      <c r="M63" s="80">
        <f ca="1">OFFSET('57'!$E$35,$A$3,0)</f>
        <v>3284387</v>
      </c>
      <c r="N63" s="153">
        <f t="shared" ref="N63" ca="1" si="444">IFERROR(M63/$B63,"")</f>
        <v>2.6971943122513253</v>
      </c>
      <c r="O63" s="80">
        <f ca="1">'57'!$F$101*'Discipline Analysis'!B63</f>
        <v>0</v>
      </c>
      <c r="P63" s="153">
        <f t="shared" ref="P63" ca="1" si="445">IFERROR(O63/$B63,"")</f>
        <v>0</v>
      </c>
      <c r="Q63" s="80">
        <f ca="1">'57'!$F$102*'Discipline Analysis'!B63</f>
        <v>3991942</v>
      </c>
      <c r="R63" s="153">
        <f t="shared" ref="R63" ca="1" si="446">IFERROR(Q63/$B63,"")</f>
        <v>3.278250479385401</v>
      </c>
      <c r="S63" s="80">
        <f ca="1">'57'!$F$103*'Discipline Analysis'!B63</f>
        <v>1291947</v>
      </c>
      <c r="T63" s="153">
        <f t="shared" ref="T63" ca="1" si="447">IFERROR(S63/$B63,"")</f>
        <v>1.0609687896493813</v>
      </c>
      <c r="U63" s="80">
        <f ca="1">'57'!$F$104*'Discipline Analysis'!B63</f>
        <v>1330155</v>
      </c>
      <c r="V63" s="158">
        <f t="shared" ref="V63" ca="1" si="448">IFERROR(U63/$B63,"")</f>
        <v>1.0923458473111303</v>
      </c>
    </row>
    <row r="64" spans="1:22" ht="15" thickBot="1" x14ac:dyDescent="0.25">
      <c r="A64" s="85" t="s">
        <v>35</v>
      </c>
      <c r="B64" s="83">
        <f ca="1">OFFSET(Summary!$D$4,$A$3,0)</f>
        <v>269950015</v>
      </c>
      <c r="C64" s="82">
        <f ca="1">OFFSET(Summary!$E$4,$A$3,0)</f>
        <v>2272008424</v>
      </c>
      <c r="D64" s="155">
        <f t="shared" ca="1" si="0"/>
        <v>8.4164041405961765</v>
      </c>
      <c r="E64" s="82">
        <f ca="1">OFFSET(Summary!$E$66,$A$3,0)</f>
        <v>925461201</v>
      </c>
      <c r="F64" s="155">
        <f t="shared" ca="1" si="0"/>
        <v>3.4282687519020882</v>
      </c>
      <c r="G64" s="82">
        <f ca="1">Summary!$F$100*B64</f>
        <v>238198071</v>
      </c>
      <c r="H64" s="155">
        <f t="shared" ref="H64" ca="1" si="449">IFERROR(G64/$B64,"")</f>
        <v>0.88237843217011858</v>
      </c>
      <c r="I64" s="82">
        <f ca="1">Summary!$F$98*'Discipline Analysis'!B64</f>
        <v>428520273</v>
      </c>
      <c r="J64" s="155">
        <f t="shared" ref="J64" ca="1" si="450">IFERROR(I64/$B64,"")</f>
        <v>1.5874059981067237</v>
      </c>
      <c r="K64" s="82">
        <f ca="1">Summary!$F$99*'Discipline Analysis'!B64</f>
        <v>230697408</v>
      </c>
      <c r="L64" s="155">
        <f t="shared" ref="L64" ca="1" si="451">IFERROR(K64/$B64,"")</f>
        <v>0.85459305494018956</v>
      </c>
      <c r="M64" s="82">
        <f ca="1">OFFSET(Summary!$E$35,$A$3,0)</f>
        <v>319938491</v>
      </c>
      <c r="N64" s="155">
        <f t="shared" ref="N64" ca="1" si="452">IFERROR(M64/$B64,"")</f>
        <v>1.1851767854134032</v>
      </c>
      <c r="O64" s="82">
        <f ca="1">Summary!$F$101*'Discipline Analysis'!B64</f>
        <v>824232</v>
      </c>
      <c r="P64" s="155">
        <f t="shared" ref="P64" ca="1" si="453">IFERROR(O64/$B64,"")</f>
        <v>3.0532763630333566E-3</v>
      </c>
      <c r="Q64" s="82">
        <f ca="1">Summary!$F$102*'Discipline Analysis'!B64</f>
        <v>24519546</v>
      </c>
      <c r="R64" s="155">
        <f t="shared" ref="R64" ca="1" si="454">IFERROR(Q64/$B64,"")</f>
        <v>9.0829948648085829E-2</v>
      </c>
      <c r="S64" s="82">
        <f ca="1">Summary!$F$103*'Discipline Analysis'!B64</f>
        <v>43583803</v>
      </c>
      <c r="T64" s="155">
        <f t="shared" ref="T64" ca="1" si="455">IFERROR(S64/$B64,"")</f>
        <v>0.16145138202715048</v>
      </c>
      <c r="U64" s="81">
        <f ca="1">Summary!$F$104*'Discipline Analysis'!B64</f>
        <v>60265399</v>
      </c>
      <c r="V64" s="159">
        <f t="shared" ref="V64" ca="1" si="456">IFERROR(U64/$B64,"")</f>
        <v>0.22324651102538373</v>
      </c>
    </row>
    <row r="65" spans="2:22" x14ac:dyDescent="0.2">
      <c r="C65" s="3"/>
      <c r="D65" s="3"/>
      <c r="E65" s="3"/>
      <c r="F65" s="3"/>
      <c r="G65" s="3"/>
      <c r="H65" s="3"/>
      <c r="I65" s="3"/>
      <c r="J65" s="3"/>
      <c r="K65" s="3"/>
      <c r="L65" s="3"/>
      <c r="M65" s="3"/>
      <c r="N65" s="3"/>
      <c r="O65" s="3"/>
      <c r="P65" s="3"/>
      <c r="Q65" s="3"/>
      <c r="R65" s="3"/>
      <c r="S65" s="3"/>
      <c r="T65" s="3"/>
      <c r="U65" s="3"/>
      <c r="V65" s="3"/>
    </row>
    <row r="66" spans="2:22" ht="15" customHeight="1" x14ac:dyDescent="0.2">
      <c r="C66" s="67"/>
      <c r="G66" s="67"/>
      <c r="I66" s="67"/>
      <c r="J66" s="67"/>
      <c r="K66" s="67"/>
      <c r="M66" s="67"/>
      <c r="O66" s="67"/>
      <c r="Q66" s="67"/>
      <c r="S66" s="67"/>
      <c r="U66" s="67"/>
    </row>
    <row r="67" spans="2:22" x14ac:dyDescent="0.2">
      <c r="J67" s="67"/>
    </row>
    <row r="68" spans="2:22" x14ac:dyDescent="0.2">
      <c r="J68" s="67"/>
    </row>
    <row r="69" spans="2:22" x14ac:dyDescent="0.2">
      <c r="J69" s="67"/>
    </row>
    <row r="70" spans="2:22" x14ac:dyDescent="0.2">
      <c r="J70" s="67"/>
    </row>
    <row r="71" spans="2:22" x14ac:dyDescent="0.2">
      <c r="J71" s="67"/>
    </row>
    <row r="72" spans="2:22" x14ac:dyDescent="0.2">
      <c r="J72" s="67"/>
    </row>
    <row r="73" spans="2:22" x14ac:dyDescent="0.2">
      <c r="J73" s="67"/>
    </row>
    <row r="74" spans="2:22" x14ac:dyDescent="0.2">
      <c r="J74" s="67"/>
    </row>
    <row r="75" spans="2:22" x14ac:dyDescent="0.2">
      <c r="J75" s="67"/>
    </row>
    <row r="76" spans="2:22" x14ac:dyDescent="0.2">
      <c r="J76" s="67"/>
    </row>
    <row r="77" spans="2:22" x14ac:dyDescent="0.2">
      <c r="J77" s="67"/>
    </row>
    <row r="78" spans="2:22" x14ac:dyDescent="0.2">
      <c r="J78" s="67"/>
    </row>
    <row r="79" spans="2:22" x14ac:dyDescent="0.2">
      <c r="J79" s="67"/>
    </row>
    <row r="80" spans="2:22" x14ac:dyDescent="0.2">
      <c r="B80" s="90"/>
      <c r="C80" s="90"/>
      <c r="D80" s="90"/>
      <c r="E80" s="90"/>
      <c r="F80" s="90"/>
      <c r="G80" s="90"/>
      <c r="H80" s="90"/>
      <c r="I80" s="90"/>
      <c r="J80" s="67"/>
      <c r="K80" s="90"/>
      <c r="L80" s="90"/>
      <c r="M80" s="90"/>
      <c r="N80" s="90"/>
      <c r="O80" s="90"/>
      <c r="P80" s="90"/>
      <c r="Q80" s="90"/>
      <c r="R80" s="90"/>
      <c r="S80" s="90"/>
      <c r="T80" s="90"/>
      <c r="U80" s="90"/>
      <c r="V80" s="90"/>
    </row>
    <row r="81" spans="2:21" x14ac:dyDescent="0.2">
      <c r="B81" s="91"/>
      <c r="C81" s="91"/>
      <c r="D81" s="91"/>
      <c r="E81" s="91"/>
      <c r="F81" s="91"/>
      <c r="G81" s="91"/>
      <c r="H81" s="91"/>
      <c r="I81" s="91"/>
      <c r="J81" s="67"/>
      <c r="K81" s="91"/>
      <c r="L81" s="91"/>
      <c r="M81" s="91"/>
      <c r="N81" s="91"/>
      <c r="O81" s="91"/>
      <c r="P81" s="91"/>
      <c r="Q81" s="91"/>
      <c r="R81" s="91"/>
      <c r="S81" s="91"/>
      <c r="U81" s="91"/>
    </row>
    <row r="82" spans="2:21" x14ac:dyDescent="0.2">
      <c r="B82" s="91"/>
      <c r="C82" s="91"/>
      <c r="D82" s="91"/>
      <c r="E82" s="91"/>
      <c r="F82" s="91"/>
      <c r="G82" s="91"/>
      <c r="H82" s="91"/>
      <c r="I82" s="91"/>
      <c r="J82" s="67"/>
      <c r="K82" s="91"/>
      <c r="L82" s="91"/>
      <c r="M82" s="91"/>
      <c r="N82" s="91"/>
      <c r="O82" s="91"/>
      <c r="P82" s="91"/>
      <c r="Q82" s="91"/>
      <c r="R82" s="91"/>
      <c r="S82" s="91"/>
      <c r="U82" s="91"/>
    </row>
    <row r="83" spans="2:21" x14ac:dyDescent="0.2">
      <c r="B83" s="91"/>
      <c r="C83" s="91"/>
      <c r="D83" s="91"/>
      <c r="E83" s="91"/>
      <c r="F83" s="91"/>
      <c r="G83" s="91"/>
      <c r="H83" s="91"/>
      <c r="I83" s="91"/>
      <c r="J83" s="67"/>
      <c r="K83" s="91"/>
      <c r="L83" s="91"/>
      <c r="M83" s="91"/>
      <c r="N83" s="91"/>
      <c r="O83" s="91"/>
      <c r="P83" s="91"/>
      <c r="Q83" s="91"/>
      <c r="R83" s="91"/>
      <c r="S83" s="91"/>
      <c r="U83" s="91"/>
    </row>
    <row r="84" spans="2:21" x14ac:dyDescent="0.2">
      <c r="B84" s="91"/>
      <c r="C84" s="91"/>
      <c r="D84" s="91"/>
      <c r="E84" s="91"/>
      <c r="F84" s="91"/>
      <c r="G84" s="91"/>
      <c r="H84" s="91"/>
      <c r="I84" s="91"/>
      <c r="J84" s="67"/>
      <c r="K84" s="91"/>
      <c r="L84" s="91"/>
      <c r="M84" s="91"/>
      <c r="N84" s="91"/>
      <c r="O84" s="91"/>
      <c r="P84" s="91"/>
      <c r="Q84" s="91"/>
      <c r="R84" s="91"/>
      <c r="S84" s="91"/>
      <c r="U84" s="91"/>
    </row>
    <row r="85" spans="2:21" x14ac:dyDescent="0.2">
      <c r="B85" s="91"/>
      <c r="C85" s="91"/>
      <c r="D85" s="91"/>
      <c r="E85" s="91"/>
      <c r="F85" s="91"/>
      <c r="G85" s="91"/>
      <c r="H85" s="91"/>
      <c r="I85" s="91"/>
      <c r="J85" s="67"/>
      <c r="K85" s="91"/>
      <c r="L85" s="91"/>
      <c r="M85" s="91"/>
      <c r="N85" s="91"/>
      <c r="O85" s="91"/>
      <c r="P85" s="91"/>
      <c r="Q85" s="91"/>
      <c r="R85" s="91"/>
      <c r="S85" s="91"/>
      <c r="U85" s="91"/>
    </row>
    <row r="86" spans="2:21" x14ac:dyDescent="0.2">
      <c r="B86" s="91"/>
      <c r="C86" s="91"/>
      <c r="D86" s="91"/>
      <c r="E86" s="91"/>
      <c r="F86" s="91"/>
      <c r="G86" s="91"/>
      <c r="H86" s="91"/>
      <c r="I86" s="91"/>
      <c r="J86" s="67"/>
      <c r="K86" s="91"/>
      <c r="L86" s="91"/>
      <c r="M86" s="91"/>
      <c r="N86" s="91"/>
      <c r="O86" s="91"/>
      <c r="P86" s="91"/>
      <c r="Q86" s="91"/>
      <c r="R86" s="91"/>
      <c r="S86" s="91"/>
      <c r="U86" s="91"/>
    </row>
    <row r="87" spans="2:21" x14ac:dyDescent="0.2">
      <c r="B87" s="91"/>
      <c r="C87" s="91"/>
      <c r="D87" s="91"/>
      <c r="E87" s="91"/>
      <c r="F87" s="91"/>
      <c r="G87" s="91"/>
      <c r="H87" s="91"/>
      <c r="I87" s="91"/>
      <c r="J87" s="67"/>
      <c r="K87" s="91"/>
      <c r="L87" s="91"/>
      <c r="M87" s="91"/>
      <c r="N87" s="91"/>
      <c r="O87" s="91"/>
      <c r="P87" s="91"/>
      <c r="Q87" s="91"/>
      <c r="R87" s="91"/>
      <c r="S87" s="91"/>
      <c r="U87" s="89"/>
    </row>
    <row r="88" spans="2:21" x14ac:dyDescent="0.2">
      <c r="B88" s="91"/>
      <c r="C88" s="91"/>
      <c r="D88" s="91"/>
      <c r="E88" s="91"/>
      <c r="F88" s="91"/>
      <c r="G88" s="91"/>
      <c r="H88" s="91"/>
      <c r="I88" s="91"/>
      <c r="J88" s="67"/>
      <c r="K88" s="91"/>
      <c r="L88" s="91"/>
      <c r="M88" s="91"/>
      <c r="N88" s="91"/>
      <c r="O88" s="91"/>
      <c r="P88" s="91"/>
      <c r="Q88" s="91"/>
      <c r="R88" s="91"/>
      <c r="S88" s="91"/>
      <c r="U88" s="91"/>
    </row>
    <row r="89" spans="2:21" x14ac:dyDescent="0.2">
      <c r="B89" s="91"/>
      <c r="C89" s="91"/>
      <c r="D89" s="91"/>
      <c r="E89" s="91"/>
      <c r="F89" s="91"/>
      <c r="G89" s="91"/>
      <c r="H89" s="91"/>
      <c r="I89" s="91"/>
      <c r="J89" s="67"/>
      <c r="K89" s="91"/>
      <c r="L89" s="91"/>
      <c r="M89" s="91"/>
      <c r="N89" s="91"/>
      <c r="O89" s="91"/>
      <c r="P89" s="91"/>
      <c r="Q89" s="91"/>
      <c r="R89" s="91"/>
      <c r="S89" s="91"/>
      <c r="U89" s="91"/>
    </row>
    <row r="90" spans="2:21" x14ac:dyDescent="0.2">
      <c r="B90" s="91"/>
      <c r="C90" s="91"/>
      <c r="D90" s="91"/>
      <c r="E90" s="91"/>
      <c r="F90" s="91"/>
      <c r="G90" s="91"/>
      <c r="H90" s="91"/>
      <c r="I90" s="91"/>
      <c r="J90" s="67"/>
      <c r="K90" s="91"/>
      <c r="L90" s="91"/>
      <c r="M90" s="91"/>
      <c r="N90" s="91"/>
      <c r="O90" s="91"/>
      <c r="P90" s="91"/>
      <c r="Q90" s="91"/>
      <c r="R90" s="91"/>
      <c r="S90" s="91"/>
      <c r="U90" s="91"/>
    </row>
    <row r="91" spans="2:21" x14ac:dyDescent="0.2">
      <c r="J91" s="67"/>
    </row>
    <row r="92" spans="2:21" x14ac:dyDescent="0.2">
      <c r="J92" s="67"/>
    </row>
    <row r="93" spans="2:21" x14ac:dyDescent="0.2">
      <c r="J93" s="67"/>
    </row>
    <row r="94" spans="2:21" x14ac:dyDescent="0.2">
      <c r="J94" s="67"/>
    </row>
    <row r="95" spans="2:21" x14ac:dyDescent="0.2">
      <c r="J95" s="67"/>
    </row>
    <row r="96" spans="2:21" x14ac:dyDescent="0.2">
      <c r="J96" s="67"/>
    </row>
    <row r="97" spans="10:10" x14ac:dyDescent="0.2">
      <c r="J97" s="67"/>
    </row>
    <row r="98" spans="10:10" x14ac:dyDescent="0.2">
      <c r="J98" s="67"/>
    </row>
    <row r="99" spans="10:10" x14ac:dyDescent="0.2">
      <c r="J99" s="67"/>
    </row>
    <row r="100" spans="10:10" x14ac:dyDescent="0.2">
      <c r="J100" s="67"/>
    </row>
    <row r="101" spans="10:10" x14ac:dyDescent="0.2">
      <c r="J101" s="67"/>
    </row>
    <row r="102" spans="10:10" x14ac:dyDescent="0.2">
      <c r="J102" s="67"/>
    </row>
    <row r="103" spans="10:10" x14ac:dyDescent="0.2">
      <c r="J103" s="67"/>
    </row>
    <row r="104" spans="10:10" x14ac:dyDescent="0.2">
      <c r="J104" s="67"/>
    </row>
    <row r="105" spans="10:10" x14ac:dyDescent="0.2">
      <c r="J105" s="67"/>
    </row>
    <row r="106" spans="10:10" x14ac:dyDescent="0.2">
      <c r="J106" s="67"/>
    </row>
    <row r="107" spans="10:10" x14ac:dyDescent="0.2">
      <c r="J107" s="67"/>
    </row>
    <row r="108" spans="10:10" x14ac:dyDescent="0.2">
      <c r="J108" s="67"/>
    </row>
    <row r="109" spans="10:10" x14ac:dyDescent="0.2">
      <c r="J109" s="67"/>
    </row>
    <row r="110" spans="10:10" x14ac:dyDescent="0.2">
      <c r="J110" s="67"/>
    </row>
    <row r="111" spans="10:10" x14ac:dyDescent="0.2">
      <c r="J111" s="67"/>
    </row>
    <row r="112" spans="10:10" x14ac:dyDescent="0.2">
      <c r="J112" s="67"/>
    </row>
    <row r="113" spans="10:10" x14ac:dyDescent="0.2">
      <c r="J113" s="67"/>
    </row>
    <row r="114" spans="10:10" x14ac:dyDescent="0.2">
      <c r="J114" s="67"/>
    </row>
    <row r="115" spans="10:10" x14ac:dyDescent="0.2">
      <c r="J115" s="67"/>
    </row>
    <row r="116" spans="10:10" x14ac:dyDescent="0.2">
      <c r="J116" s="67"/>
    </row>
    <row r="117" spans="10:10" x14ac:dyDescent="0.2">
      <c r="J117" s="67"/>
    </row>
    <row r="118" spans="10:10" x14ac:dyDescent="0.2">
      <c r="J118" s="67"/>
    </row>
    <row r="119" spans="10:10" x14ac:dyDescent="0.2">
      <c r="J119" s="67"/>
    </row>
    <row r="120" spans="10:10" x14ac:dyDescent="0.2">
      <c r="J120" s="67"/>
    </row>
    <row r="121" spans="10:10" x14ac:dyDescent="0.2">
      <c r="J121" s="67"/>
    </row>
    <row r="122" spans="10:10" x14ac:dyDescent="0.2">
      <c r="J122" s="67"/>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37.5703125" customWidth="1"/>
    <col min="2" max="2" width="23.5703125" customWidth="1"/>
    <col min="3" max="3" width="28.7109375" customWidth="1"/>
    <col min="4" max="4" width="18" style="69" customWidth="1"/>
    <col min="5" max="5" width="18" customWidth="1"/>
    <col min="7" max="7" width="17.28515625" bestFit="1" customWidth="1"/>
    <col min="8" max="8" width="18.140625" bestFit="1" customWidth="1"/>
  </cols>
  <sheetData>
    <row r="1" spans="1:8" x14ac:dyDescent="0.25">
      <c r="A1" s="120" t="str">
        <f>Summary!A1</f>
        <v>Community and Technical Colleges, Report of Fundable Operating Expenses, Fiscal Year (FY) 2009</v>
      </c>
      <c r="B1" s="119"/>
      <c r="C1" s="119"/>
      <c r="D1" s="124"/>
      <c r="E1" s="119"/>
      <c r="F1" s="119"/>
    </row>
    <row r="2" spans="1:8" x14ac:dyDescent="0.25">
      <c r="A2" s="122" t="s">
        <v>1033</v>
      </c>
      <c r="B2" s="121"/>
      <c r="C2" s="121"/>
      <c r="D2" s="125"/>
      <c r="E2" s="121"/>
      <c r="F2" s="121"/>
    </row>
    <row r="3" spans="1:8" ht="47.25" customHeight="1" thickBot="1" x14ac:dyDescent="0.3">
      <c r="A3" s="212" t="s">
        <v>1023</v>
      </c>
      <c r="B3" s="212"/>
      <c r="C3" s="212"/>
      <c r="D3" s="212"/>
      <c r="E3" s="212"/>
      <c r="F3" s="118"/>
    </row>
    <row r="4" spans="1:8" ht="60" customHeight="1" thickBot="1" x14ac:dyDescent="0.3">
      <c r="A4" s="116" t="s">
        <v>954</v>
      </c>
      <c r="B4" s="115" t="str">
        <f>"FY 2010 - 2011 Rates @ "&amp;TEXT(B5,"0.00%")&amp;" (Using FY 2009 CH)"</f>
        <v>FY 2010 - 2011 Rates @ 49.46% (Using FY 2009 CH)</v>
      </c>
      <c r="C4" s="114" t="str">
        <f>"Annual Budget Neutral Percent Funded "&amp;TEXT(C5,"0.00%")&amp;" (Using FY 2009 CH)"</f>
        <v>Annual Budget Neutral Percent Funded 43.59% (Using FY 2009 CH)</v>
      </c>
      <c r="D4" s="114" t="s">
        <v>51</v>
      </c>
      <c r="E4" s="110" t="s">
        <v>1024</v>
      </c>
    </row>
    <row r="5" spans="1:8" x14ac:dyDescent="0.25">
      <c r="A5" s="147" t="s">
        <v>1034</v>
      </c>
      <c r="B5" s="113">
        <v>0.49463092287860094</v>
      </c>
      <c r="C5" s="113">
        <v>0.43590688288750801</v>
      </c>
      <c r="D5" s="123">
        <f>C5-B5</f>
        <v>-5.8724039991092936E-2</v>
      </c>
      <c r="E5" s="109"/>
    </row>
    <row r="6" spans="1:8" x14ac:dyDescent="0.25">
      <c r="A6" s="97" t="s">
        <v>395</v>
      </c>
      <c r="B6" s="111">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77726767.694418862</v>
      </c>
      <c r="C6" s="226">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77520714.767717093</v>
      </c>
      <c r="D6" s="112">
        <f>C6-B6</f>
        <v>-206052.92670176923</v>
      </c>
      <c r="E6" s="104">
        <f>IFERROR(D6/B6,"")</f>
        <v>-2.6509905507953444E-3</v>
      </c>
      <c r="G6" s="164"/>
      <c r="H6" s="165"/>
    </row>
    <row r="7" spans="1:8" x14ac:dyDescent="0.25">
      <c r="A7" s="97" t="s">
        <v>351</v>
      </c>
      <c r="B7" s="117">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8524384.4017066583</v>
      </c>
      <c r="C7" s="117">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8546308.6450305991</v>
      </c>
      <c r="D7" s="102">
        <f t="shared" ref="D7:D63" si="0">C7-B7</f>
        <v>21924.243323940784</v>
      </c>
      <c r="E7" s="104">
        <f t="shared" ref="E7:E63" si="1">IFERROR(D7/B7,"")</f>
        <v>2.5719444702131632E-3</v>
      </c>
      <c r="G7" s="164"/>
      <c r="H7" s="164"/>
    </row>
    <row r="8" spans="1:8" x14ac:dyDescent="0.25">
      <c r="A8" s="97" t="s">
        <v>353</v>
      </c>
      <c r="B8" s="117">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17627944.363449361</v>
      </c>
      <c r="C8" s="117">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17608236.409307905</v>
      </c>
      <c r="D8" s="102">
        <f t="shared" si="0"/>
        <v>-19707.954141456634</v>
      </c>
      <c r="E8" s="104">
        <f t="shared" si="1"/>
        <v>-1.1179950273907187E-3</v>
      </c>
      <c r="G8" s="164"/>
      <c r="H8" s="164"/>
    </row>
    <row r="9" spans="1:8" x14ac:dyDescent="0.25">
      <c r="A9" s="97" t="s">
        <v>423</v>
      </c>
      <c r="B9" s="117">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8261427.9586469335</v>
      </c>
      <c r="C9" s="117">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8284038.2945546163</v>
      </c>
      <c r="D9" s="102">
        <f t="shared" si="0"/>
        <v>22610.335907682776</v>
      </c>
      <c r="E9" s="104">
        <f t="shared" si="1"/>
        <v>2.7368556647664483E-3</v>
      </c>
      <c r="G9" s="69"/>
      <c r="H9" s="164"/>
    </row>
    <row r="10" spans="1:8" x14ac:dyDescent="0.25">
      <c r="A10" s="97" t="s">
        <v>447</v>
      </c>
      <c r="B10" s="117">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50373547.417963922</v>
      </c>
      <c r="C10" s="117">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50183593.590583764</v>
      </c>
      <c r="D10" s="102">
        <f t="shared" si="0"/>
        <v>-189953.82738015801</v>
      </c>
      <c r="E10" s="104">
        <f t="shared" si="1"/>
        <v>-3.7709043161891311E-3</v>
      </c>
      <c r="G10" s="69"/>
      <c r="H10" s="177"/>
    </row>
    <row r="11" spans="1:8" x14ac:dyDescent="0.25">
      <c r="A11" s="97" t="s">
        <v>357</v>
      </c>
      <c r="B11" s="117">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24597044.110018279</v>
      </c>
      <c r="C11" s="117">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24472512.896256972</v>
      </c>
      <c r="D11" s="102">
        <f t="shared" si="0"/>
        <v>-124531.2137613073</v>
      </c>
      <c r="E11" s="104">
        <f t="shared" si="1"/>
        <v>-5.0628528047638958E-3</v>
      </c>
      <c r="G11" s="69"/>
    </row>
    <row r="12" spans="1:8" x14ac:dyDescent="0.25">
      <c r="A12" s="97" t="s">
        <v>429</v>
      </c>
      <c r="B12" s="117">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5384342.0973477904</v>
      </c>
      <c r="C12" s="117">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5402802.2327245511</v>
      </c>
      <c r="D12" s="102">
        <f t="shared" si="0"/>
        <v>18460.135376760736</v>
      </c>
      <c r="E12" s="104">
        <f t="shared" si="1"/>
        <v>3.4284848627753046E-3</v>
      </c>
      <c r="G12" s="69"/>
    </row>
    <row r="13" spans="1:8" x14ac:dyDescent="0.25">
      <c r="A13" s="97" t="s">
        <v>421</v>
      </c>
      <c r="B13" s="117">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21052382.868434884</v>
      </c>
      <c r="C13" s="117">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20992718.737821359</v>
      </c>
      <c r="D13" s="102">
        <f t="shared" si="0"/>
        <v>-59664.130613524467</v>
      </c>
      <c r="E13" s="104">
        <f t="shared" si="1"/>
        <v>-2.834079685249432E-3</v>
      </c>
      <c r="G13" s="69"/>
    </row>
    <row r="14" spans="1:8" x14ac:dyDescent="0.25">
      <c r="A14" s="97" t="s">
        <v>359</v>
      </c>
      <c r="B14" s="117">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5896656.7583099781</v>
      </c>
      <c r="C14" s="117">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5891791.5469273487</v>
      </c>
      <c r="D14" s="102">
        <f t="shared" si="0"/>
        <v>-4865.2113826293498</v>
      </c>
      <c r="E14" s="104">
        <f t="shared" si="1"/>
        <v>-8.2507963105923649E-4</v>
      </c>
      <c r="G14" s="69"/>
    </row>
    <row r="15" spans="1:8" x14ac:dyDescent="0.25">
      <c r="A15" s="97" t="s">
        <v>361</v>
      </c>
      <c r="B15" s="117">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2425795.6029101224</v>
      </c>
      <c r="C15" s="117">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2426096.1963048764</v>
      </c>
      <c r="D15" s="102">
        <f t="shared" si="0"/>
        <v>300.59339475398883</v>
      </c>
      <c r="E15" s="104">
        <f t="shared" si="1"/>
        <v>1.2391538445917697E-4</v>
      </c>
      <c r="G15" s="69"/>
    </row>
    <row r="16" spans="1:8" x14ac:dyDescent="0.25">
      <c r="A16" s="97" t="s">
        <v>355</v>
      </c>
      <c r="B16" s="117">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6904178.1914711772</v>
      </c>
      <c r="C16" s="117">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6906099.1830367101</v>
      </c>
      <c r="D16" s="102">
        <f t="shared" si="0"/>
        <v>1920.9915655329823</v>
      </c>
      <c r="E16" s="104">
        <f t="shared" si="1"/>
        <v>2.7823609302349826E-4</v>
      </c>
      <c r="G16" s="69"/>
    </row>
    <row r="17" spans="1:7" x14ac:dyDescent="0.25">
      <c r="A17" s="97" t="s">
        <v>427</v>
      </c>
      <c r="B17" s="117">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0</v>
      </c>
      <c r="C17" s="117">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0</v>
      </c>
      <c r="D17" s="102">
        <f t="shared" si="0"/>
        <v>0</v>
      </c>
      <c r="E17" s="104" t="str">
        <f t="shared" si="1"/>
        <v/>
      </c>
      <c r="G17" s="69"/>
    </row>
    <row r="18" spans="1:7" x14ac:dyDescent="0.25">
      <c r="A18" s="97" t="s">
        <v>455</v>
      </c>
      <c r="B18" s="117">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33695716.692860343</v>
      </c>
      <c r="C18" s="117">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33527278.35413881</v>
      </c>
      <c r="D18" s="102">
        <f t="shared" si="0"/>
        <v>-168438.33872153237</v>
      </c>
      <c r="E18" s="104">
        <f t="shared" si="1"/>
        <v>-4.9988056421789101E-3</v>
      </c>
      <c r="G18" s="69"/>
    </row>
    <row r="19" spans="1:7" x14ac:dyDescent="0.25">
      <c r="A19" s="97" t="s">
        <v>457</v>
      </c>
      <c r="B19" s="117">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105826738.49265432</v>
      </c>
      <c r="C19" s="117">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105932357.89421354</v>
      </c>
      <c r="D19" s="102">
        <f t="shared" si="0"/>
        <v>105619.40155921876</v>
      </c>
      <c r="E19" s="104">
        <f t="shared" si="1"/>
        <v>9.9804078877995515E-4</v>
      </c>
      <c r="G19" s="69"/>
    </row>
    <row r="20" spans="1:7" x14ac:dyDescent="0.25">
      <c r="A20" s="97" t="s">
        <v>365</v>
      </c>
      <c r="B20" s="117">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19314077.208925251</v>
      </c>
      <c r="C20" s="117">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19366289.195448831</v>
      </c>
      <c r="D20" s="102">
        <f t="shared" si="0"/>
        <v>52211.986523579806</v>
      </c>
      <c r="E20" s="104">
        <f t="shared" si="1"/>
        <v>2.7033125092537202E-3</v>
      </c>
      <c r="G20" s="69"/>
    </row>
    <row r="21" spans="1:7" x14ac:dyDescent="0.25">
      <c r="A21" s="96" t="s">
        <v>441</v>
      </c>
      <c r="B21" s="117">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36086153.040369235</v>
      </c>
      <c r="C21" s="117">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36020871.467248537</v>
      </c>
      <c r="D21" s="102">
        <f t="shared" si="0"/>
        <v>-65281.573120698333</v>
      </c>
      <c r="E21" s="104">
        <f t="shared" si="1"/>
        <v>-1.8090477266354344E-3</v>
      </c>
      <c r="G21" s="69"/>
    </row>
    <row r="22" spans="1:7" x14ac:dyDescent="0.25">
      <c r="A22" s="97" t="s">
        <v>367</v>
      </c>
      <c r="B22" s="117">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2411332.3869801648</v>
      </c>
      <c r="C22" s="117">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2404800.1615005075</v>
      </c>
      <c r="D22" s="102">
        <f t="shared" si="0"/>
        <v>-6532.2254796572961</v>
      </c>
      <c r="E22" s="104">
        <f t="shared" si="1"/>
        <v>-2.7089693295406433E-3</v>
      </c>
      <c r="G22" s="69"/>
    </row>
    <row r="23" spans="1:7" x14ac:dyDescent="0.25">
      <c r="A23" s="97" t="s">
        <v>425</v>
      </c>
      <c r="B23" s="117">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3558390.6577003319</v>
      </c>
      <c r="C23" s="117">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3589369.9200069546</v>
      </c>
      <c r="D23" s="102">
        <f t="shared" si="0"/>
        <v>30979.262306622695</v>
      </c>
      <c r="E23" s="104">
        <f t="shared" si="1"/>
        <v>8.7059756183834949E-3</v>
      </c>
      <c r="G23" s="69"/>
    </row>
    <row r="24" spans="1:7" x14ac:dyDescent="0.25">
      <c r="A24" s="97" t="s">
        <v>369</v>
      </c>
      <c r="B24" s="117">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8081603.5560772372</v>
      </c>
      <c r="C24" s="117">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8117391.6117137764</v>
      </c>
      <c r="D24" s="102">
        <f t="shared" si="0"/>
        <v>35788.055636539124</v>
      </c>
      <c r="E24" s="104">
        <f t="shared" si="1"/>
        <v>4.4283359593439934E-3</v>
      </c>
      <c r="G24" s="69"/>
    </row>
    <row r="25" spans="1:7" x14ac:dyDescent="0.25">
      <c r="A25" s="97" t="s">
        <v>373</v>
      </c>
      <c r="B25" s="117">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7499798.6221424323</v>
      </c>
      <c r="C25" s="117">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7512008.0279694097</v>
      </c>
      <c r="D25" s="102">
        <f t="shared" si="0"/>
        <v>12209.405826977454</v>
      </c>
      <c r="E25" s="104">
        <f t="shared" si="1"/>
        <v>1.6279644883971098E-3</v>
      </c>
      <c r="G25" s="69"/>
    </row>
    <row r="26" spans="1:7" x14ac:dyDescent="0.25">
      <c r="A26" s="97" t="s">
        <v>443</v>
      </c>
      <c r="B26" s="117">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76684287.85475634</v>
      </c>
      <c r="C26" s="117">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76777804.528385147</v>
      </c>
      <c r="D26" s="102">
        <f t="shared" si="0"/>
        <v>93516.673628807068</v>
      </c>
      <c r="E26" s="104">
        <f t="shared" si="1"/>
        <v>1.2195024071415003E-3</v>
      </c>
      <c r="G26" s="69"/>
    </row>
    <row r="27" spans="1:7" x14ac:dyDescent="0.25">
      <c r="A27" s="97" t="s">
        <v>375</v>
      </c>
      <c r="B27" s="117">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8572680.8179293443</v>
      </c>
      <c r="C27" s="117">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8708356.6883385666</v>
      </c>
      <c r="D27" s="102">
        <f t="shared" si="0"/>
        <v>135675.87040922232</v>
      </c>
      <c r="E27" s="104">
        <f t="shared" si="1"/>
        <v>1.5826539362746698E-2</v>
      </c>
      <c r="G27" s="69"/>
    </row>
    <row r="28" spans="1:7" x14ac:dyDescent="0.25">
      <c r="A28" s="97" t="s">
        <v>377</v>
      </c>
      <c r="B28" s="117">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12745917.898655739</v>
      </c>
      <c r="C28" s="117">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12787488.206297504</v>
      </c>
      <c r="D28" s="102">
        <f t="shared" si="0"/>
        <v>41570.307641765103</v>
      </c>
      <c r="E28" s="104">
        <f t="shared" si="1"/>
        <v>3.2614604905111901E-3</v>
      </c>
      <c r="G28" s="69"/>
    </row>
    <row r="29" spans="1:7" x14ac:dyDescent="0.25">
      <c r="A29" s="97" t="s">
        <v>379</v>
      </c>
      <c r="B29" s="117">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12930847.728275804</v>
      </c>
      <c r="C29" s="117">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12947198.946713079</v>
      </c>
      <c r="D29" s="102">
        <f t="shared" si="0"/>
        <v>16351.218437274918</v>
      </c>
      <c r="E29" s="104">
        <f t="shared" si="1"/>
        <v>1.2645124883436537E-3</v>
      </c>
      <c r="G29" s="69"/>
    </row>
    <row r="30" spans="1:7" x14ac:dyDescent="0.25">
      <c r="A30" s="97" t="s">
        <v>381</v>
      </c>
      <c r="B30" s="117">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11011121.882966774</v>
      </c>
      <c r="C30" s="117">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11050949.359273152</v>
      </c>
      <c r="D30" s="102">
        <f t="shared" si="0"/>
        <v>39827.476306378841</v>
      </c>
      <c r="E30" s="104">
        <f t="shared" si="1"/>
        <v>3.6170225640666468E-3</v>
      </c>
      <c r="G30" s="69"/>
    </row>
    <row r="31" spans="1:7" x14ac:dyDescent="0.25">
      <c r="A31" s="96" t="s">
        <v>445</v>
      </c>
      <c r="B31" s="117">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66825994.789869443</v>
      </c>
      <c r="C31" s="117">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66565075.106127866</v>
      </c>
      <c r="D31" s="102">
        <f t="shared" si="0"/>
        <v>-260919.68374157697</v>
      </c>
      <c r="E31" s="104">
        <f t="shared" si="1"/>
        <v>-3.904463892561931E-3</v>
      </c>
      <c r="G31" s="69"/>
    </row>
    <row r="32" spans="1:7" x14ac:dyDescent="0.25">
      <c r="A32" s="97" t="s">
        <v>383</v>
      </c>
      <c r="B32" s="117">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14622750.581963737</v>
      </c>
      <c r="C32" s="117">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14651783.578252779</v>
      </c>
      <c r="D32" s="102">
        <f t="shared" si="0"/>
        <v>29032.996289042756</v>
      </c>
      <c r="E32" s="104">
        <f t="shared" si="1"/>
        <v>1.9854675169562949E-3</v>
      </c>
      <c r="G32" s="69"/>
    </row>
    <row r="33" spans="1:7" x14ac:dyDescent="0.25">
      <c r="A33" s="97" t="s">
        <v>435</v>
      </c>
      <c r="B33" s="117">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10203897.547132269</v>
      </c>
      <c r="C33" s="117">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10166147.450910576</v>
      </c>
      <c r="D33" s="102">
        <f t="shared" si="0"/>
        <v>-37750.09622169286</v>
      </c>
      <c r="E33" s="104">
        <f t="shared" si="1"/>
        <v>-3.6995761714897117E-3</v>
      </c>
      <c r="G33" s="69"/>
    </row>
    <row r="34" spans="1:7" x14ac:dyDescent="0.25">
      <c r="A34" s="97" t="s">
        <v>385</v>
      </c>
      <c r="B34" s="117">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16114867.781752922</v>
      </c>
      <c r="C34" s="117">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16131278.636973714</v>
      </c>
      <c r="D34" s="102">
        <f t="shared" si="0"/>
        <v>16410.855220792815</v>
      </c>
      <c r="E34" s="104">
        <f t="shared" si="1"/>
        <v>1.0183673513831149E-3</v>
      </c>
      <c r="G34" s="69"/>
    </row>
    <row r="35" spans="1:7" x14ac:dyDescent="0.25">
      <c r="A35" s="97" t="s">
        <v>363</v>
      </c>
      <c r="B35" s="117">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11198467.969806172</v>
      </c>
      <c r="C35" s="117">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11167715.718777513</v>
      </c>
      <c r="D35" s="102">
        <f t="shared" si="0"/>
        <v>-30752.251028658822</v>
      </c>
      <c r="E35" s="104">
        <f t="shared" si="1"/>
        <v>-2.7461123353278737E-3</v>
      </c>
      <c r="G35" s="69"/>
    </row>
    <row r="36" spans="1:7" x14ac:dyDescent="0.25">
      <c r="A36" s="97" t="s">
        <v>449</v>
      </c>
      <c r="B36" s="117">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4407281.5499880807</v>
      </c>
      <c r="C36" s="117">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4398922.7484509479</v>
      </c>
      <c r="D36" s="102">
        <f t="shared" si="0"/>
        <v>-8358.801537132822</v>
      </c>
      <c r="E36" s="104">
        <f t="shared" si="1"/>
        <v>-1.8965889613191216E-3</v>
      </c>
      <c r="G36" s="69"/>
    </row>
    <row r="37" spans="1:7" x14ac:dyDescent="0.25">
      <c r="A37" s="97" t="s">
        <v>387</v>
      </c>
      <c r="B37" s="117">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8037967.6661750274</v>
      </c>
      <c r="C37" s="117">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8062760.5577176483</v>
      </c>
      <c r="D37" s="102">
        <f t="shared" si="0"/>
        <v>24792.891542620957</v>
      </c>
      <c r="E37" s="104">
        <f t="shared" si="1"/>
        <v>3.084472664272234E-3</v>
      </c>
      <c r="G37" s="69"/>
    </row>
    <row r="38" spans="1:7" x14ac:dyDescent="0.25">
      <c r="A38" s="97" t="s">
        <v>389</v>
      </c>
      <c r="B38" s="117">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3911350.1583259744</v>
      </c>
      <c r="C38" s="117">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3942908.8877664907</v>
      </c>
      <c r="D38" s="102">
        <f t="shared" si="0"/>
        <v>31558.729440516327</v>
      </c>
      <c r="E38" s="104">
        <f t="shared" si="1"/>
        <v>8.0685001759144993E-3</v>
      </c>
      <c r="G38" s="69"/>
    </row>
    <row r="39" spans="1:7" x14ac:dyDescent="0.25">
      <c r="A39" s="97" t="s">
        <v>391</v>
      </c>
      <c r="B39" s="117">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9251918.343958836</v>
      </c>
      <c r="C39" s="117">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9216634.4392527137</v>
      </c>
      <c r="D39" s="102">
        <f t="shared" si="0"/>
        <v>-35283.904706122354</v>
      </c>
      <c r="E39" s="104">
        <f t="shared" si="1"/>
        <v>-3.813685269840438E-3</v>
      </c>
      <c r="G39" s="69"/>
    </row>
    <row r="40" spans="1:7" x14ac:dyDescent="0.25">
      <c r="A40" s="97" t="s">
        <v>393</v>
      </c>
      <c r="B40" s="117">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1550066.7589081288</v>
      </c>
      <c r="C40" s="117">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1552227.4249042366</v>
      </c>
      <c r="D40" s="102">
        <f t="shared" si="0"/>
        <v>2160.6659961077385</v>
      </c>
      <c r="E40" s="104">
        <f t="shared" si="1"/>
        <v>1.3939180255885994E-3</v>
      </c>
    </row>
    <row r="41" spans="1:7" x14ac:dyDescent="0.25">
      <c r="A41" s="97" t="s">
        <v>397</v>
      </c>
      <c r="B41" s="117">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41391646.413059376</v>
      </c>
      <c r="C41" s="117">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41517865.547747105</v>
      </c>
      <c r="D41" s="102">
        <f t="shared" si="0"/>
        <v>126219.13468772918</v>
      </c>
      <c r="E41" s="104">
        <f t="shared" si="1"/>
        <v>3.049386666772117E-3</v>
      </c>
    </row>
    <row r="42" spans="1:7" x14ac:dyDescent="0.25">
      <c r="A42" s="97" t="s">
        <v>399</v>
      </c>
      <c r="B42" s="117">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16230659.372174487</v>
      </c>
      <c r="C42" s="117">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16230228.252429925</v>
      </c>
      <c r="D42" s="102">
        <f t="shared" si="0"/>
        <v>-431.11974456161261</v>
      </c>
      <c r="E42" s="104">
        <f t="shared" si="1"/>
        <v>-2.656205978302493E-5</v>
      </c>
      <c r="G42" s="69"/>
    </row>
    <row r="43" spans="1:7" x14ac:dyDescent="0.25">
      <c r="A43" s="97" t="s">
        <v>459</v>
      </c>
      <c r="B43" s="117">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32832630.798260562</v>
      </c>
      <c r="C43" s="117">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32866160.646609385</v>
      </c>
      <c r="D43" s="102">
        <f t="shared" si="0"/>
        <v>33529.848348822445</v>
      </c>
      <c r="E43" s="104">
        <f t="shared" si="1"/>
        <v>1.0212355066776685E-3</v>
      </c>
      <c r="G43" s="69"/>
    </row>
    <row r="44" spans="1:7" x14ac:dyDescent="0.25">
      <c r="A44" s="97" t="s">
        <v>401</v>
      </c>
      <c r="B44" s="117">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7855631.3447655095</v>
      </c>
      <c r="C44" s="117">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7845683.8582081972</v>
      </c>
      <c r="D44" s="102">
        <f t="shared" si="0"/>
        <v>-9947.4865573123097</v>
      </c>
      <c r="E44" s="104">
        <f t="shared" si="1"/>
        <v>-1.266287344802742E-3</v>
      </c>
      <c r="G44" s="69"/>
    </row>
    <row r="45" spans="1:7" x14ac:dyDescent="0.25">
      <c r="A45" s="97" t="s">
        <v>403</v>
      </c>
      <c r="B45" s="117">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57560525.542093754</v>
      </c>
      <c r="C45" s="117">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57390323.273295082</v>
      </c>
      <c r="D45" s="102">
        <f t="shared" si="0"/>
        <v>-170202.26879867166</v>
      </c>
      <c r="E45" s="104">
        <f t="shared" si="1"/>
        <v>-2.9569269424790695E-3</v>
      </c>
      <c r="G45" s="69"/>
    </row>
    <row r="46" spans="1:7" x14ac:dyDescent="0.25">
      <c r="A46" s="97" t="s">
        <v>405</v>
      </c>
      <c r="B46" s="117">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8792827.6817213818</v>
      </c>
      <c r="C46" s="117">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8800602.8107218556</v>
      </c>
      <c r="D46" s="102">
        <f t="shared" si="0"/>
        <v>7775.1290004737675</v>
      </c>
      <c r="E46" s="104">
        <f t="shared" si="1"/>
        <v>8.8425808874166654E-4</v>
      </c>
      <c r="G46" s="69"/>
    </row>
    <row r="47" spans="1:7" x14ac:dyDescent="0.25">
      <c r="A47" s="97" t="s">
        <v>407</v>
      </c>
      <c r="B47" s="117">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0</v>
      </c>
      <c r="C47" s="117">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0</v>
      </c>
      <c r="D47" s="102">
        <f t="shared" si="0"/>
        <v>0</v>
      </c>
      <c r="E47" s="104" t="str">
        <f t="shared" si="1"/>
        <v/>
      </c>
      <c r="G47" s="69"/>
    </row>
    <row r="48" spans="1:7" x14ac:dyDescent="0.25">
      <c r="A48" s="97" t="s">
        <v>411</v>
      </c>
      <c r="B48" s="117">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0</v>
      </c>
      <c r="C48" s="117">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0</v>
      </c>
      <c r="D48" s="102">
        <f t="shared" si="0"/>
        <v>0</v>
      </c>
      <c r="E48" s="104" t="str">
        <f t="shared" si="1"/>
        <v/>
      </c>
      <c r="G48" s="69"/>
    </row>
    <row r="49" spans="1:7" x14ac:dyDescent="0.25">
      <c r="A49" s="97" t="s">
        <v>371</v>
      </c>
      <c r="B49" s="117">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12194692.294843214</v>
      </c>
      <c r="C49" s="117">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12280912.147260567</v>
      </c>
      <c r="D49" s="102">
        <f t="shared" si="0"/>
        <v>86219.852417353541</v>
      </c>
      <c r="E49" s="104">
        <f t="shared" si="1"/>
        <v>7.0702769969696938E-3</v>
      </c>
      <c r="G49" s="69"/>
    </row>
    <row r="50" spans="1:7" x14ac:dyDescent="0.25">
      <c r="A50" s="97" t="s">
        <v>413</v>
      </c>
      <c r="B50" s="117">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19000479.299491171</v>
      </c>
      <c r="C50" s="117">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19005193.986106236</v>
      </c>
      <c r="D50" s="102">
        <f t="shared" si="0"/>
        <v>4714.6866150647402</v>
      </c>
      <c r="E50" s="104">
        <f t="shared" si="1"/>
        <v>2.4813514126409425E-4</v>
      </c>
      <c r="G50" s="69"/>
    </row>
    <row r="51" spans="1:7" x14ac:dyDescent="0.25">
      <c r="A51" s="97" t="s">
        <v>439</v>
      </c>
      <c r="B51" s="117">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6004365.5403040005</v>
      </c>
      <c r="C51" s="117">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6049380.1336290315</v>
      </c>
      <c r="D51" s="102">
        <f t="shared" si="0"/>
        <v>45014.59332503099</v>
      </c>
      <c r="E51" s="104">
        <f t="shared" si="1"/>
        <v>7.4969774946033524E-3</v>
      </c>
      <c r="G51" s="69"/>
    </row>
    <row r="52" spans="1:7" x14ac:dyDescent="0.25">
      <c r="A52" s="97" t="s">
        <v>415</v>
      </c>
      <c r="B52" s="117">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6932928.7671990814</v>
      </c>
      <c r="C52" s="117">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6963032.2267371323</v>
      </c>
      <c r="D52" s="102">
        <f t="shared" si="0"/>
        <v>30103.459538050927</v>
      </c>
      <c r="E52" s="104">
        <f t="shared" si="1"/>
        <v>4.3420984909690328E-3</v>
      </c>
      <c r="G52" s="69"/>
    </row>
    <row r="53" spans="1:7" x14ac:dyDescent="0.25">
      <c r="A53" s="97" t="s">
        <v>417</v>
      </c>
      <c r="B53" s="117">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8381632.779712772</v>
      </c>
      <c r="C53" s="117">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8388947.2386656497</v>
      </c>
      <c r="D53" s="102">
        <f t="shared" si="0"/>
        <v>7314.4589528776705</v>
      </c>
      <c r="E53" s="104">
        <f t="shared" si="1"/>
        <v>8.726770958734758E-4</v>
      </c>
      <c r="G53" s="69"/>
    </row>
    <row r="54" spans="1:7" x14ac:dyDescent="0.25">
      <c r="A54" s="97" t="s">
        <v>433</v>
      </c>
      <c r="B54" s="117">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4530997.0140290484</v>
      </c>
      <c r="C54" s="117">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4501890.0274602771</v>
      </c>
      <c r="D54" s="102">
        <f t="shared" si="0"/>
        <v>-29106.986568771303</v>
      </c>
      <c r="E54" s="104">
        <f t="shared" si="1"/>
        <v>-6.423969488094811E-3</v>
      </c>
      <c r="G54" s="69"/>
    </row>
    <row r="55" spans="1:7" x14ac:dyDescent="0.25">
      <c r="A55" s="97" t="s">
        <v>419</v>
      </c>
      <c r="B55" s="117">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9099283.6746157333</v>
      </c>
      <c r="C55" s="117">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9077800.0634055007</v>
      </c>
      <c r="D55" s="102">
        <f t="shared" si="0"/>
        <v>-21483.611210232601</v>
      </c>
      <c r="E55" s="104">
        <f t="shared" si="1"/>
        <v>-2.3610222494948058E-3</v>
      </c>
      <c r="G55" s="69"/>
    </row>
    <row r="56" spans="1:7" x14ac:dyDescent="0.25">
      <c r="A56" s="150" t="s">
        <v>461</v>
      </c>
      <c r="B56" s="117">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2155856.0989778563</v>
      </c>
      <c r="C56" s="117">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2177440.9972872431</v>
      </c>
      <c r="D56" s="102">
        <f t="shared" si="0"/>
        <v>21584.898309386801</v>
      </c>
      <c r="E56" s="104">
        <f t="shared" si="1"/>
        <v>1.0012216640814165E-2</v>
      </c>
    </row>
    <row r="57" spans="1:7" x14ac:dyDescent="0.25">
      <c r="A57" s="150" t="s">
        <v>431</v>
      </c>
      <c r="B57" s="117">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11201328.98925874</v>
      </c>
      <c r="C57" s="117">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11249150.11550425</v>
      </c>
      <c r="D57" s="102">
        <f t="shared" si="0"/>
        <v>47821.126245509833</v>
      </c>
      <c r="E57" s="104">
        <f t="shared" si="1"/>
        <v>4.2692368281805502E-3</v>
      </c>
    </row>
    <row r="58" spans="1:7" x14ac:dyDescent="0.25">
      <c r="A58" s="150" t="s">
        <v>409</v>
      </c>
      <c r="B58" s="117">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17014638.102405716</v>
      </c>
      <c r="C58" s="117">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17215902.586488113</v>
      </c>
      <c r="D58" s="102">
        <f t="shared" si="0"/>
        <v>201264.48408239707</v>
      </c>
      <c r="E58" s="104">
        <f t="shared" si="1"/>
        <v>1.1828901847400451E-2</v>
      </c>
    </row>
    <row r="59" spans="1:7" x14ac:dyDescent="0.25">
      <c r="A59" s="150" t="s">
        <v>437</v>
      </c>
      <c r="B59" s="117">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4776167.439222957</v>
      </c>
      <c r="C59" s="117">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4808469.6382601028</v>
      </c>
      <c r="D59" s="102">
        <f t="shared" si="0"/>
        <v>32302.199037145823</v>
      </c>
      <c r="E59" s="104">
        <f t="shared" si="1"/>
        <v>6.7632049018786335E-3</v>
      </c>
    </row>
    <row r="60" spans="1:7" x14ac:dyDescent="0.25">
      <c r="A60" s="95" t="s">
        <v>463</v>
      </c>
      <c r="B60" s="117">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6491803.9310605312</v>
      </c>
      <c r="C60" s="117">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6513364.3245106963</v>
      </c>
      <c r="D60" s="102">
        <f t="shared" si="0"/>
        <v>21560.393450165167</v>
      </c>
      <c r="E60" s="104">
        <f t="shared" si="1"/>
        <v>3.3211713845835394E-3</v>
      </c>
    </row>
    <row r="61" spans="1:7" x14ac:dyDescent="0.25">
      <c r="A61" s="95" t="s">
        <v>453</v>
      </c>
      <c r="B61" s="117">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0</v>
      </c>
      <c r="C61" s="117">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0</v>
      </c>
      <c r="D61" s="102">
        <f t="shared" si="0"/>
        <v>0</v>
      </c>
      <c r="E61" s="104" t="str">
        <f t="shared" si="1"/>
        <v/>
      </c>
    </row>
    <row r="62" spans="1:7" x14ac:dyDescent="0.25">
      <c r="A62" s="76" t="s">
        <v>451</v>
      </c>
      <c r="B62" s="117">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4618312.9693211904</v>
      </c>
      <c r="C62" s="117">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4669230.7150252014</v>
      </c>
      <c r="D62" s="102">
        <f t="shared" si="0"/>
        <v>50917.74570401106</v>
      </c>
      <c r="E62" s="104">
        <f t="shared" si="1"/>
        <v>1.1025183014284772E-2</v>
      </c>
    </row>
    <row r="63" spans="1:7" ht="15.75" thickBot="1" x14ac:dyDescent="0.3">
      <c r="A63" s="85" t="s">
        <v>35</v>
      </c>
      <c r="B63" s="101">
        <f>SUM(B5:B62)</f>
        <v>990384109.99999976</v>
      </c>
      <c r="C63" s="101">
        <f>SUM(C6:C62)</f>
        <v>990384110.00000024</v>
      </c>
      <c r="D63" s="105">
        <f t="shared" si="0"/>
        <v>0</v>
      </c>
      <c r="E63" s="103">
        <f t="shared" si="1"/>
        <v>0</v>
      </c>
    </row>
    <row r="65" spans="2:2" x14ac:dyDescent="0.25">
      <c r="B65" s="162"/>
    </row>
    <row r="66" spans="2:2" x14ac:dyDescent="0.25">
      <c r="B66" s="163"/>
    </row>
  </sheetData>
  <sortState ref="H6:H60">
    <sortCondition ref="H6"/>
  </sortState>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1" customWidth="1"/>
    <col min="2" max="2" width="46.5703125" style="11" customWidth="1"/>
    <col min="3" max="3" width="18.28515625" style="11" customWidth="1"/>
    <col min="4" max="4" width="18.7109375" style="11" bestFit="1" customWidth="1"/>
    <col min="5" max="5" width="18.42578125" style="11" customWidth="1"/>
    <col min="6" max="6" width="17.28515625" style="11" customWidth="1"/>
    <col min="7" max="7" width="2.85546875" style="11" customWidth="1"/>
    <col min="8" max="8" width="11" style="11" bestFit="1" customWidth="1"/>
    <col min="9" max="9" width="16.42578125" style="11" bestFit="1" customWidth="1"/>
    <col min="10" max="10" width="13.42578125" style="11" bestFit="1" customWidth="1"/>
    <col min="11" max="11" width="12.42578125" style="11" bestFit="1" customWidth="1"/>
    <col min="12" max="12" width="14.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394</v>
      </c>
      <c r="B2" s="12" t="str">
        <f>VLOOKUP(A2,Data!A:G,7,0)</f>
        <v>Alamo Community College District</v>
      </c>
      <c r="C2" s="12"/>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68847</v>
      </c>
      <c r="E5" s="16">
        <f>E36+E67+IFERROR($E$105/$D$105*D5,0)</f>
        <v>523452.55354017735</v>
      </c>
      <c r="F5" s="21">
        <f>IFERROR(E5/D5,"")</f>
        <v>7.6031280018036709</v>
      </c>
    </row>
    <row r="6" spans="1:6" x14ac:dyDescent="0.2">
      <c r="A6" s="20">
        <v>2</v>
      </c>
      <c r="B6" s="184" t="s">
        <v>1</v>
      </c>
      <c r="C6" s="185"/>
      <c r="D6" s="15">
        <f t="shared" ref="D6:D32" si="0">D37</f>
        <v>179804</v>
      </c>
      <c r="E6" s="18">
        <f t="shared" ref="E6:E32" si="1">E37+E68+IFERROR($E$105/$D$105*D6,0)</f>
        <v>2175949.9196876851</v>
      </c>
      <c r="F6" s="22">
        <f t="shared" ref="F6:F33" si="2">IFERROR(E6/D6,"")</f>
        <v>12.101788167602974</v>
      </c>
    </row>
    <row r="7" spans="1:6" x14ac:dyDescent="0.2">
      <c r="A7" s="20">
        <v>3</v>
      </c>
      <c r="B7" s="184" t="s">
        <v>2</v>
      </c>
      <c r="C7" s="185"/>
      <c r="D7" s="15">
        <f t="shared" si="0"/>
        <v>2330704</v>
      </c>
      <c r="E7" s="18">
        <f t="shared" si="1"/>
        <v>21827267.815130733</v>
      </c>
      <c r="F7" s="22">
        <f t="shared" si="2"/>
        <v>9.3650964751983654</v>
      </c>
    </row>
    <row r="8" spans="1:6" x14ac:dyDescent="0.2">
      <c r="A8" s="20">
        <v>4</v>
      </c>
      <c r="B8" s="184" t="s">
        <v>3</v>
      </c>
      <c r="C8" s="185"/>
      <c r="D8" s="15">
        <f t="shared" si="0"/>
        <v>1128485</v>
      </c>
      <c r="E8" s="18">
        <f t="shared" si="1"/>
        <v>11106879.539424915</v>
      </c>
      <c r="F8" s="22">
        <f t="shared" si="2"/>
        <v>9.8422925775928913</v>
      </c>
    </row>
    <row r="9" spans="1:6" x14ac:dyDescent="0.2">
      <c r="A9" s="20">
        <v>5</v>
      </c>
      <c r="B9" s="184" t="s">
        <v>4</v>
      </c>
      <c r="C9" s="185"/>
      <c r="D9" s="15">
        <f t="shared" si="0"/>
        <v>2992</v>
      </c>
      <c r="E9" s="18">
        <f t="shared" si="1"/>
        <v>319964.58169843582</v>
      </c>
      <c r="F9" s="22">
        <f t="shared" si="2"/>
        <v>106.94003399011892</v>
      </c>
    </row>
    <row r="10" spans="1:6" x14ac:dyDescent="0.2">
      <c r="A10" s="20">
        <v>6</v>
      </c>
      <c r="B10" s="184" t="s">
        <v>5</v>
      </c>
      <c r="C10" s="185"/>
      <c r="D10" s="15">
        <f t="shared" si="0"/>
        <v>310847</v>
      </c>
      <c r="E10" s="18">
        <f t="shared" si="1"/>
        <v>3455223.3673842507</v>
      </c>
      <c r="F10" s="22">
        <f t="shared" si="2"/>
        <v>11.115511384649846</v>
      </c>
    </row>
    <row r="11" spans="1:6" x14ac:dyDescent="0.2">
      <c r="A11" s="20">
        <v>7</v>
      </c>
      <c r="B11" s="184" t="s">
        <v>6</v>
      </c>
      <c r="C11" s="185"/>
      <c r="D11" s="15">
        <f t="shared" si="0"/>
        <v>800119</v>
      </c>
      <c r="E11" s="18">
        <f t="shared" si="1"/>
        <v>8779006.6350169666</v>
      </c>
      <c r="F11" s="22">
        <f t="shared" si="2"/>
        <v>10.972126190000445</v>
      </c>
    </row>
    <row r="12" spans="1:6" x14ac:dyDescent="0.2">
      <c r="A12" s="20">
        <v>8</v>
      </c>
      <c r="B12" s="184" t="s">
        <v>7</v>
      </c>
      <c r="C12" s="185"/>
      <c r="D12" s="15">
        <f t="shared" si="0"/>
        <v>88658</v>
      </c>
      <c r="E12" s="18">
        <f t="shared" si="1"/>
        <v>950461.02280077629</v>
      </c>
      <c r="F12" s="22">
        <f t="shared" si="2"/>
        <v>10.720533091213159</v>
      </c>
    </row>
    <row r="13" spans="1:6" x14ac:dyDescent="0.2">
      <c r="A13" s="20">
        <v>9</v>
      </c>
      <c r="B13" s="184" t="s">
        <v>8</v>
      </c>
      <c r="C13" s="185"/>
      <c r="D13" s="15">
        <f t="shared" si="0"/>
        <v>775268</v>
      </c>
      <c r="E13" s="18">
        <f t="shared" si="1"/>
        <v>7598974.0896333354</v>
      </c>
      <c r="F13" s="22">
        <f t="shared" si="2"/>
        <v>9.8017383532318316</v>
      </c>
    </row>
    <row r="14" spans="1:6" x14ac:dyDescent="0.2">
      <c r="A14" s="20">
        <v>10</v>
      </c>
      <c r="B14" s="184" t="s">
        <v>9</v>
      </c>
      <c r="C14" s="185"/>
      <c r="D14" s="15">
        <f t="shared" si="0"/>
        <v>23168</v>
      </c>
      <c r="E14" s="18">
        <f t="shared" si="1"/>
        <v>420199.71817826235</v>
      </c>
      <c r="F14" s="22">
        <f t="shared" si="2"/>
        <v>18.137073471092126</v>
      </c>
    </row>
    <row r="15" spans="1:6" x14ac:dyDescent="0.2">
      <c r="A15" s="20">
        <v>11</v>
      </c>
      <c r="B15" s="184" t="s">
        <v>10</v>
      </c>
      <c r="C15" s="185"/>
      <c r="D15" s="15">
        <f t="shared" si="0"/>
        <v>397436</v>
      </c>
      <c r="E15" s="18">
        <f t="shared" si="1"/>
        <v>5245358.6162765836</v>
      </c>
      <c r="F15" s="22">
        <f t="shared" si="2"/>
        <v>13.197995693084128</v>
      </c>
    </row>
    <row r="16" spans="1:6" x14ac:dyDescent="0.2">
      <c r="A16" s="20">
        <v>12</v>
      </c>
      <c r="B16" s="184" t="s">
        <v>11</v>
      </c>
      <c r="C16" s="185"/>
      <c r="D16" s="15">
        <f t="shared" si="0"/>
        <v>4053134</v>
      </c>
      <c r="E16" s="18">
        <f t="shared" si="1"/>
        <v>37235880.97516977</v>
      </c>
      <c r="F16" s="22">
        <f t="shared" si="2"/>
        <v>9.1869355849497616</v>
      </c>
    </row>
    <row r="17" spans="1:6" x14ac:dyDescent="0.2">
      <c r="A17" s="20">
        <v>13</v>
      </c>
      <c r="B17" s="184" t="s">
        <v>12</v>
      </c>
      <c r="C17" s="185"/>
      <c r="D17" s="15">
        <f t="shared" si="0"/>
        <v>726212</v>
      </c>
      <c r="E17" s="18">
        <f t="shared" si="1"/>
        <v>5777017.2153691417</v>
      </c>
      <c r="F17" s="22">
        <f t="shared" si="2"/>
        <v>7.9550010401496278</v>
      </c>
    </row>
    <row r="18" spans="1:6" x14ac:dyDescent="0.2">
      <c r="A18" s="20">
        <v>14</v>
      </c>
      <c r="B18" s="184" t="s">
        <v>469</v>
      </c>
      <c r="C18" s="185"/>
      <c r="D18" s="15">
        <f t="shared" si="0"/>
        <v>460608</v>
      </c>
      <c r="E18" s="18">
        <f t="shared" si="1"/>
        <v>8303732.2616821937</v>
      </c>
      <c r="F18" s="22">
        <f t="shared" si="2"/>
        <v>18.027763872277934</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686985</v>
      </c>
      <c r="E20" s="18">
        <f t="shared" si="1"/>
        <v>7565048.6290440941</v>
      </c>
      <c r="F20" s="22">
        <f t="shared" si="2"/>
        <v>11.011956052961992</v>
      </c>
    </row>
    <row r="21" spans="1:6" x14ac:dyDescent="0.2">
      <c r="A21" s="20">
        <v>17</v>
      </c>
      <c r="B21" s="184" t="s">
        <v>15</v>
      </c>
      <c r="C21" s="185"/>
      <c r="D21" s="15">
        <f t="shared" si="0"/>
        <v>41360</v>
      </c>
      <c r="E21" s="18">
        <f t="shared" si="1"/>
        <v>731438.68818425981</v>
      </c>
      <c r="F21" s="22">
        <f t="shared" si="2"/>
        <v>17.684687818768371</v>
      </c>
    </row>
    <row r="22" spans="1:6" x14ac:dyDescent="0.2">
      <c r="A22" s="20">
        <v>18</v>
      </c>
      <c r="B22" s="184" t="s">
        <v>16</v>
      </c>
      <c r="C22" s="185"/>
      <c r="D22" s="15">
        <f t="shared" si="0"/>
        <v>190576</v>
      </c>
      <c r="E22" s="18">
        <f t="shared" si="1"/>
        <v>2424866.8054014388</v>
      </c>
      <c r="F22" s="22">
        <f t="shared" si="2"/>
        <v>12.723883413448906</v>
      </c>
    </row>
    <row r="23" spans="1:6" x14ac:dyDescent="0.2">
      <c r="A23" s="20">
        <v>19</v>
      </c>
      <c r="B23" s="184" t="s">
        <v>17</v>
      </c>
      <c r="C23" s="185"/>
      <c r="D23" s="15">
        <f t="shared" si="0"/>
        <v>2889492</v>
      </c>
      <c r="E23" s="18">
        <f t="shared" si="1"/>
        <v>25450368.111289006</v>
      </c>
      <c r="F23" s="22">
        <f t="shared" si="2"/>
        <v>8.8079039884135355</v>
      </c>
    </row>
    <row r="24" spans="1:6" x14ac:dyDescent="0.2">
      <c r="A24" s="20">
        <v>20</v>
      </c>
      <c r="B24" s="184" t="s">
        <v>18</v>
      </c>
      <c r="C24" s="185"/>
      <c r="D24" s="15">
        <f t="shared" si="0"/>
        <v>295925</v>
      </c>
      <c r="E24" s="18">
        <f t="shared" si="1"/>
        <v>3140181.0598628409</v>
      </c>
      <c r="F24" s="22">
        <f t="shared" si="2"/>
        <v>10.611408498311535</v>
      </c>
    </row>
    <row r="25" spans="1:6" x14ac:dyDescent="0.2">
      <c r="A25" s="20">
        <v>21</v>
      </c>
      <c r="B25" s="184" t="s">
        <v>466</v>
      </c>
      <c r="C25" s="185"/>
      <c r="D25" s="15">
        <f t="shared" si="0"/>
        <v>187908</v>
      </c>
      <c r="E25" s="18">
        <f t="shared" si="1"/>
        <v>2269352.8214537692</v>
      </c>
      <c r="F25" s="22">
        <f t="shared" si="2"/>
        <v>12.076935635809914</v>
      </c>
    </row>
    <row r="26" spans="1:6" x14ac:dyDescent="0.2">
      <c r="A26" s="20">
        <v>22</v>
      </c>
      <c r="B26" s="184" t="s">
        <v>19</v>
      </c>
      <c r="C26" s="185"/>
      <c r="D26" s="15">
        <f t="shared" si="0"/>
        <v>25880</v>
      </c>
      <c r="E26" s="18">
        <f t="shared" si="1"/>
        <v>138223.24009208521</v>
      </c>
      <c r="F26" s="22">
        <f t="shared" si="2"/>
        <v>5.3409289061856731</v>
      </c>
    </row>
    <row r="27" spans="1:6" x14ac:dyDescent="0.2">
      <c r="A27" s="20">
        <v>23</v>
      </c>
      <c r="B27" s="184" t="s">
        <v>20</v>
      </c>
      <c r="C27" s="185"/>
      <c r="D27" s="15">
        <f t="shared" si="0"/>
        <v>585216</v>
      </c>
      <c r="E27" s="18">
        <f t="shared" si="1"/>
        <v>5928152.7818288151</v>
      </c>
      <c r="F27" s="22">
        <f t="shared" si="2"/>
        <v>10.129854244977606</v>
      </c>
    </row>
    <row r="28" spans="1:6" x14ac:dyDescent="0.2">
      <c r="A28" s="20">
        <v>24</v>
      </c>
      <c r="B28" s="184" t="s">
        <v>21</v>
      </c>
      <c r="C28" s="185"/>
      <c r="D28" s="15">
        <f t="shared" si="0"/>
        <v>540424</v>
      </c>
      <c r="E28" s="18">
        <f t="shared" si="1"/>
        <v>4950923.1322845854</v>
      </c>
      <c r="F28" s="22">
        <f t="shared" si="2"/>
        <v>9.1611829457695908</v>
      </c>
    </row>
    <row r="29" spans="1:6" x14ac:dyDescent="0.2">
      <c r="A29" s="20">
        <v>25</v>
      </c>
      <c r="B29" s="184" t="s">
        <v>22</v>
      </c>
      <c r="C29" s="185"/>
      <c r="D29" s="15">
        <f t="shared" si="0"/>
        <v>3607776</v>
      </c>
      <c r="E29" s="18">
        <f t="shared" si="1"/>
        <v>30423530.576756679</v>
      </c>
      <c r="F29" s="22">
        <f t="shared" si="2"/>
        <v>8.432765941332466</v>
      </c>
    </row>
    <row r="30" spans="1:6" x14ac:dyDescent="0.2">
      <c r="A30" s="20">
        <v>26</v>
      </c>
      <c r="B30" s="184" t="s">
        <v>23</v>
      </c>
      <c r="C30" s="185"/>
      <c r="D30" s="15">
        <f t="shared" si="0"/>
        <v>1077936</v>
      </c>
      <c r="E30" s="18">
        <f t="shared" si="1"/>
        <v>11923015.842809195</v>
      </c>
      <c r="F30" s="22">
        <f t="shared" si="2"/>
        <v>11.060968223353886</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C33" s="14" t="s">
        <v>35</v>
      </c>
      <c r="D33" s="64">
        <f>SUM(D5:D32)</f>
        <v>21475760</v>
      </c>
      <c r="E33" s="5">
        <f>SUM(E5:E32)</f>
        <v>208664470.00000006</v>
      </c>
      <c r="F33" s="9">
        <f t="shared" si="2"/>
        <v>9.716278725409488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IF(F3="1",SUMIF(Data!A:A,$A$2,Data!CU:CU),0)</f>
        <v>68847</v>
      </c>
      <c r="E36" s="16">
        <f>IF(F3="1",SUMIF(Data!$A:$A,$A$2,Data!IO:IO),0)</f>
        <v>108188</v>
      </c>
      <c r="F36" s="21">
        <f t="shared" ref="F36:F64" si="3">IFERROR(E36/D36,"")</f>
        <v>1.571426496434122</v>
      </c>
    </row>
    <row r="37" spans="1:6" x14ac:dyDescent="0.2">
      <c r="A37" s="20">
        <v>2</v>
      </c>
      <c r="B37" s="184" t="s">
        <v>1</v>
      </c>
      <c r="C37" s="185"/>
      <c r="D37" s="15">
        <f>IF(F3="1",SUMIF(Data!A:A,$A$2,Data!CV:CV),0)</f>
        <v>179804</v>
      </c>
      <c r="E37" s="18">
        <f>IF(F3="1",SUMIF(Data!$A:$A,$A$2,Data!IP:IP),0)</f>
        <v>479594</v>
      </c>
      <c r="F37" s="22">
        <f t="shared" si="3"/>
        <v>2.6673155213454649</v>
      </c>
    </row>
    <row r="38" spans="1:6" x14ac:dyDescent="0.2">
      <c r="A38" s="20">
        <v>3</v>
      </c>
      <c r="B38" s="184" t="s">
        <v>2</v>
      </c>
      <c r="C38" s="185"/>
      <c r="D38" s="15">
        <f>IF(F3="1",SUMIF(Data!A:A,$A$2,Data!CW:CW),0)</f>
        <v>2330704</v>
      </c>
      <c r="E38" s="18">
        <f>IF(F3="1",SUMIF(Data!$A:$A,$A$2,Data!IQ:IQ),0)</f>
        <v>3103606</v>
      </c>
      <c r="F38" s="22">
        <f t="shared" si="3"/>
        <v>1.3316173997212859</v>
      </c>
    </row>
    <row r="39" spans="1:6" x14ac:dyDescent="0.2">
      <c r="A39" s="20">
        <v>4</v>
      </c>
      <c r="B39" s="184" t="s">
        <v>3</v>
      </c>
      <c r="C39" s="185"/>
      <c r="D39" s="15">
        <f>IF(F3="1",SUMIF(Data!A:A,$A$2,Data!CX:CX),0)</f>
        <v>1128485</v>
      </c>
      <c r="E39" s="18">
        <f>IF(F3="1",SUMIF(Data!$A:$A,$A$2,Data!IR:IR),0)</f>
        <v>1963966</v>
      </c>
      <c r="F39" s="22">
        <f t="shared" si="3"/>
        <v>1.7403563184269175</v>
      </c>
    </row>
    <row r="40" spans="1:6" x14ac:dyDescent="0.2">
      <c r="A40" s="20">
        <v>5</v>
      </c>
      <c r="B40" s="184" t="s">
        <v>4</v>
      </c>
      <c r="C40" s="185"/>
      <c r="D40" s="15">
        <f>IF(F3="1",SUMIF(Data!A:A,$A$2,Data!CY:CY),0)</f>
        <v>2992</v>
      </c>
      <c r="E40" s="18">
        <f>IF(F3="1",SUMIF(Data!$A:$A,$A$2,Data!IS:IS),0)</f>
        <v>260728</v>
      </c>
      <c r="F40" s="22">
        <f t="shared" si="3"/>
        <v>87.141711229946523</v>
      </c>
    </row>
    <row r="41" spans="1:6" x14ac:dyDescent="0.2">
      <c r="A41" s="20">
        <v>6</v>
      </c>
      <c r="B41" s="184" t="s">
        <v>5</v>
      </c>
      <c r="C41" s="185"/>
      <c r="D41" s="15">
        <f>IF(F3="1",SUMIF(Data!A:A,$A$2,Data!CZ:CZ),0)</f>
        <v>310847</v>
      </c>
      <c r="E41" s="18">
        <f>IF(F3="1",SUMIF(Data!$A:$A,$A$2,Data!IT:IT),0)</f>
        <v>1303777</v>
      </c>
      <c r="F41" s="22">
        <f t="shared" si="3"/>
        <v>4.1942724234108741</v>
      </c>
    </row>
    <row r="42" spans="1:6" x14ac:dyDescent="0.2">
      <c r="A42" s="20">
        <v>7</v>
      </c>
      <c r="B42" s="184" t="s">
        <v>6</v>
      </c>
      <c r="C42" s="185"/>
      <c r="D42" s="15">
        <f>IF(F3="1",SUMIF(Data!A:A,$A$2,Data!DA:DA),0)</f>
        <v>800119</v>
      </c>
      <c r="E42" s="18">
        <f>IF(F3="1",SUMIF(Data!$A:$A,$A$2,Data!IU:IU),0)</f>
        <v>1907518</v>
      </c>
      <c r="F42" s="22">
        <f t="shared" si="3"/>
        <v>2.3840428736225485</v>
      </c>
    </row>
    <row r="43" spans="1:6" x14ac:dyDescent="0.2">
      <c r="A43" s="20">
        <v>8</v>
      </c>
      <c r="B43" s="184" t="s">
        <v>7</v>
      </c>
      <c r="C43" s="185"/>
      <c r="D43" s="15">
        <f>IF(F3="1",SUMIF(Data!A:A,$A$2,Data!DB:DB),0)</f>
        <v>88658</v>
      </c>
      <c r="E43" s="18">
        <f>IF(F3="1",SUMIF(Data!$A:$A,$A$2,Data!IV:IV),0)</f>
        <v>196901</v>
      </c>
      <c r="F43" s="22">
        <f t="shared" si="3"/>
        <v>2.220905050869634</v>
      </c>
    </row>
    <row r="44" spans="1:6" x14ac:dyDescent="0.2">
      <c r="A44" s="20">
        <v>9</v>
      </c>
      <c r="B44" s="184" t="s">
        <v>8</v>
      </c>
      <c r="C44" s="185"/>
      <c r="D44" s="15">
        <f>IF(F3="1",SUMIF(Data!A:A,$A$2,Data!DC:DC),0)</f>
        <v>775268</v>
      </c>
      <c r="E44" s="18">
        <f>IF(F3="1",SUMIF(Data!$A:$A,$A$2,Data!IW:IW),0)</f>
        <v>2144377</v>
      </c>
      <c r="F44" s="22">
        <f t="shared" si="3"/>
        <v>2.7659815702440964</v>
      </c>
    </row>
    <row r="45" spans="1:6" x14ac:dyDescent="0.2">
      <c r="A45" s="20">
        <v>10</v>
      </c>
      <c r="B45" s="184" t="s">
        <v>9</v>
      </c>
      <c r="C45" s="185"/>
      <c r="D45" s="15">
        <f>IF(F3="1",SUMIF(Data!A:A,$A$2,Data!DD:DD),0)</f>
        <v>23168</v>
      </c>
      <c r="E45" s="18">
        <f>IF(F3="1",SUMIF(Data!$A:$A,$A$2,Data!IX:IX),0)</f>
        <v>111278</v>
      </c>
      <c r="F45" s="22">
        <f t="shared" si="3"/>
        <v>4.8030904696132595</v>
      </c>
    </row>
    <row r="46" spans="1:6" x14ac:dyDescent="0.2">
      <c r="A46" s="20">
        <v>11</v>
      </c>
      <c r="B46" s="184" t="s">
        <v>10</v>
      </c>
      <c r="C46" s="185"/>
      <c r="D46" s="15">
        <f>IF(F3="1",SUMIF(Data!A:A,$A$2,Data!DE:DE),0)</f>
        <v>397436</v>
      </c>
      <c r="E46" s="18">
        <f>IF(F3="1",SUMIF(Data!$A:$A,$A$2,Data!IY:IY),0)</f>
        <v>1681784</v>
      </c>
      <c r="F46" s="22">
        <f t="shared" si="3"/>
        <v>4.2315844563653018</v>
      </c>
    </row>
    <row r="47" spans="1:6" x14ac:dyDescent="0.2">
      <c r="A47" s="20">
        <v>12</v>
      </c>
      <c r="B47" s="184" t="s">
        <v>11</v>
      </c>
      <c r="C47" s="185"/>
      <c r="D47" s="15">
        <f>IF(F3="1",SUMIF(Data!A:A,$A$2,Data!DF:DF),0)</f>
        <v>4053134</v>
      </c>
      <c r="E47" s="18">
        <f>IF(F3="1",SUMIF(Data!$A:$A,$A$2,Data!IZ:IZ),0)</f>
        <v>4673136</v>
      </c>
      <c r="F47" s="22">
        <f t="shared" si="3"/>
        <v>1.1529685423674618</v>
      </c>
    </row>
    <row r="48" spans="1:6" x14ac:dyDescent="0.2">
      <c r="A48" s="20">
        <v>13</v>
      </c>
      <c r="B48" s="184" t="s">
        <v>12</v>
      </c>
      <c r="C48" s="185"/>
      <c r="D48" s="15">
        <f>IF(F3="1",SUMIF(Data!A:A,$A$2,Data!DG:DG),0)</f>
        <v>726212</v>
      </c>
      <c r="E48" s="18">
        <f>IF(F3="1",SUMIF(Data!$A:$A,$A$2,Data!JA:JA),0)</f>
        <v>779757</v>
      </c>
      <c r="F48" s="22">
        <f t="shared" si="3"/>
        <v>1.0737319129951033</v>
      </c>
    </row>
    <row r="49" spans="1:7" x14ac:dyDescent="0.2">
      <c r="A49" s="20">
        <v>14</v>
      </c>
      <c r="B49" s="184" t="s">
        <v>469</v>
      </c>
      <c r="C49" s="185"/>
      <c r="D49" s="15">
        <f>IF(F3="1",SUMIF(Data!A:A,$A$2,Data!DH:DH),0)</f>
        <v>460608</v>
      </c>
      <c r="E49" s="18">
        <f>IF(F3="1",SUMIF(Data!$A:$A,$A$2,Data!JB:JB),0)</f>
        <v>2799995</v>
      </c>
      <c r="F49" s="22">
        <f t="shared" si="3"/>
        <v>6.0789109177435039</v>
      </c>
    </row>
    <row r="50" spans="1:7" x14ac:dyDescent="0.2">
      <c r="A50" s="20">
        <v>15</v>
      </c>
      <c r="B50" s="184" t="s">
        <v>13</v>
      </c>
      <c r="C50" s="185"/>
      <c r="D50" s="15">
        <f>IF(F3="1",SUMIF(Data!A:A,$A$2,Data!DI:DI),0)</f>
        <v>0</v>
      </c>
      <c r="E50" s="18">
        <f>IF(F3="1",SUMIF(Data!$A:$A,$A$2,Data!JC:JC),0)</f>
        <v>0</v>
      </c>
      <c r="F50" s="22" t="str">
        <f t="shared" si="3"/>
        <v/>
      </c>
    </row>
    <row r="51" spans="1:7" x14ac:dyDescent="0.2">
      <c r="A51" s="20">
        <v>16</v>
      </c>
      <c r="B51" s="184" t="s">
        <v>14</v>
      </c>
      <c r="C51" s="185"/>
      <c r="D51" s="15">
        <f>IF(F3="1",SUMIF(Data!A:A,$A$2,Data!DJ:DJ),0)</f>
        <v>686985</v>
      </c>
      <c r="E51" s="18">
        <f>IF(F3="1",SUMIF(Data!$A:$A,$A$2,Data!JD:JD),0)</f>
        <v>1925570</v>
      </c>
      <c r="F51" s="22">
        <f t="shared" si="3"/>
        <v>2.8029287393465649</v>
      </c>
    </row>
    <row r="52" spans="1:7" x14ac:dyDescent="0.2">
      <c r="A52" s="20">
        <v>17</v>
      </c>
      <c r="B52" s="184" t="s">
        <v>15</v>
      </c>
      <c r="C52" s="185"/>
      <c r="D52" s="15">
        <f>IF(F3="1",SUMIF(Data!A:A,$A$2,Data!DK:DK),0)</f>
        <v>41360</v>
      </c>
      <c r="E52" s="18">
        <f>IF(F3="1",SUMIF(Data!$A:$A,$A$2,Data!JE:JE),0)</f>
        <v>85935</v>
      </c>
      <c r="F52" s="22">
        <f t="shared" si="3"/>
        <v>2.0777321083172149</v>
      </c>
    </row>
    <row r="53" spans="1:7" x14ac:dyDescent="0.2">
      <c r="A53" s="20">
        <v>18</v>
      </c>
      <c r="B53" s="184" t="s">
        <v>16</v>
      </c>
      <c r="C53" s="185"/>
      <c r="D53" s="15">
        <f>IF(F3="1",SUMIF(Data!A:A,$A$2,Data!DL:DL),0)</f>
        <v>190576</v>
      </c>
      <c r="E53" s="18">
        <f>IF(F3="1",SUMIF(Data!$A:$A,$A$2,Data!JF:JF),0)</f>
        <v>388038</v>
      </c>
      <c r="F53" s="22">
        <f t="shared" si="3"/>
        <v>2.0361325665351355</v>
      </c>
    </row>
    <row r="54" spans="1:7" x14ac:dyDescent="0.2">
      <c r="A54" s="20">
        <v>19</v>
      </c>
      <c r="B54" s="184" t="s">
        <v>17</v>
      </c>
      <c r="C54" s="185"/>
      <c r="D54" s="15">
        <f>IF(F3="1",SUMIF(Data!A:A,$A$2,Data!DM:DM),0)</f>
        <v>2889492</v>
      </c>
      <c r="E54" s="18">
        <f>IF(F3="1",SUMIF(Data!$A:$A,$A$2,Data!JG:JG),0)</f>
        <v>2863669</v>
      </c>
      <c r="F54" s="22">
        <f t="shared" si="3"/>
        <v>0.99106313497320642</v>
      </c>
    </row>
    <row r="55" spans="1:7" x14ac:dyDescent="0.2">
      <c r="A55" s="20">
        <v>20</v>
      </c>
      <c r="B55" s="184" t="s">
        <v>18</v>
      </c>
      <c r="C55" s="185"/>
      <c r="D55" s="15">
        <f>IF(F3="1",SUMIF(Data!A:A,$A$2,Data!DN:DN),0)</f>
        <v>295925</v>
      </c>
      <c r="E55" s="18">
        <f>IF(F3="1",SUMIF(Data!$A:$A,$A$2,Data!JH:JH),0)</f>
        <v>706020</v>
      </c>
      <c r="F55" s="22">
        <f t="shared" si="3"/>
        <v>2.3858072146658782</v>
      </c>
    </row>
    <row r="56" spans="1:7" ht="14.25" customHeight="1" x14ac:dyDescent="0.2">
      <c r="A56" s="20">
        <v>21</v>
      </c>
      <c r="B56" s="184" t="s">
        <v>466</v>
      </c>
      <c r="C56" s="185"/>
      <c r="D56" s="15">
        <f>IF(F3="1",SUMIF(Data!A:A,$A$2,Data!DO:DO),0)</f>
        <v>187908</v>
      </c>
      <c r="E56" s="18">
        <f>IF(F3="1",SUMIF(Data!$A:$A,$A$2,Data!JI:JI),0)</f>
        <v>531577</v>
      </c>
      <c r="F56" s="22">
        <f t="shared" si="3"/>
        <v>2.8289215999318817</v>
      </c>
    </row>
    <row r="57" spans="1:7" x14ac:dyDescent="0.2">
      <c r="A57" s="20">
        <v>22</v>
      </c>
      <c r="B57" s="184" t="s">
        <v>19</v>
      </c>
      <c r="C57" s="185"/>
      <c r="D57" s="15">
        <f>IF(F3="1",SUMIF(Data!A:A,$A$2,Data!DP:DP),0)</f>
        <v>25880</v>
      </c>
      <c r="E57" s="18">
        <f>IF(F3="1",SUMIF(Data!$A:$A,$A$2,Data!JJ:JJ),0)</f>
        <v>14318</v>
      </c>
      <c r="F57" s="22">
        <f t="shared" si="3"/>
        <v>0.55324574961360129</v>
      </c>
    </row>
    <row r="58" spans="1:7" x14ac:dyDescent="0.2">
      <c r="A58" s="20">
        <v>23</v>
      </c>
      <c r="B58" s="184" t="s">
        <v>20</v>
      </c>
      <c r="C58" s="185"/>
      <c r="D58" s="15">
        <f>IF(F3="1",SUMIF(Data!A:A,$A$2,Data!DQ:DQ),0)</f>
        <v>585216</v>
      </c>
      <c r="E58" s="18">
        <f>IF(F3="1",SUMIF(Data!$A:$A,$A$2,Data!JK:JK),0)</f>
        <v>844503</v>
      </c>
      <c r="F58" s="22">
        <f t="shared" si="3"/>
        <v>1.4430620488845145</v>
      </c>
    </row>
    <row r="59" spans="1:7" x14ac:dyDescent="0.2">
      <c r="A59" s="20">
        <v>24</v>
      </c>
      <c r="B59" s="184" t="s">
        <v>21</v>
      </c>
      <c r="C59" s="185"/>
      <c r="D59" s="15">
        <f>IF(F3="1",SUMIF(Data!A:A,$A$2,Data!DR:DR),0)</f>
        <v>540424</v>
      </c>
      <c r="E59" s="18">
        <f>IF(F3="1",SUMIF(Data!$A:$A,$A$2,Data!JL:JL),0)</f>
        <v>1173018</v>
      </c>
      <c r="F59" s="22">
        <f t="shared" si="3"/>
        <v>2.1705512708539962</v>
      </c>
    </row>
    <row r="60" spans="1:7" x14ac:dyDescent="0.2">
      <c r="A60" s="20">
        <v>25</v>
      </c>
      <c r="B60" s="184" t="s">
        <v>22</v>
      </c>
      <c r="C60" s="185"/>
      <c r="D60" s="15">
        <f>IF(F3="1",SUMIF(Data!A:A,$A$2,Data!DS:DS),0)</f>
        <v>3607776</v>
      </c>
      <c r="E60" s="18">
        <f>IF(F3="1",SUMIF(Data!$A:$A,$A$2,Data!JM:JM),0)</f>
        <v>2232871</v>
      </c>
      <c r="F60" s="22">
        <f t="shared" si="3"/>
        <v>0.61890510940812293</v>
      </c>
    </row>
    <row r="61" spans="1:7" x14ac:dyDescent="0.2">
      <c r="A61" s="20">
        <v>26</v>
      </c>
      <c r="B61" s="184" t="s">
        <v>23</v>
      </c>
      <c r="C61" s="185"/>
      <c r="D61" s="15">
        <f>IF(F3="1",SUMIF(Data!A:A,$A$2,Data!DT:DT),0)</f>
        <v>1077936</v>
      </c>
      <c r="E61" s="18">
        <f>IF(F3="1",SUMIF(Data!$A:$A,$A$2,Data!JN:JN),0)</f>
        <v>2575342</v>
      </c>
      <c r="F61" s="22">
        <f t="shared" si="3"/>
        <v>2.3891418414451322</v>
      </c>
    </row>
    <row r="62" spans="1:7" x14ac:dyDescent="0.2">
      <c r="A62" s="20">
        <v>28</v>
      </c>
      <c r="B62" s="184" t="s">
        <v>24</v>
      </c>
      <c r="C62" s="185"/>
      <c r="D62" s="15">
        <f>IF(F3="1",SUMIF(Data!A:A,$A$2,Data!DV:DV),0)</f>
        <v>0</v>
      </c>
      <c r="E62" s="18">
        <f>IF(F3="1",SUMIF(Data!$A:$A,$A$2,Data!JP:JP),0)</f>
        <v>0</v>
      </c>
      <c r="F62" s="22" t="str">
        <f t="shared" si="3"/>
        <v/>
      </c>
    </row>
    <row r="63" spans="1:7" ht="15.75" customHeight="1" thickBot="1" x14ac:dyDescent="0.25">
      <c r="A63" s="23">
        <v>29</v>
      </c>
      <c r="B63" s="186" t="s">
        <v>25</v>
      </c>
      <c r="C63" s="187"/>
      <c r="D63" s="24">
        <f>IF(F3="1",SUMIF(Data!A:A,$A$2,Data!DW:DW),0)</f>
        <v>0</v>
      </c>
      <c r="E63" s="25">
        <f>IF(F3="1",SUMIF(Data!$A:$A,$A$2,Data!JQ:JQ),0)</f>
        <v>0</v>
      </c>
      <c r="F63" s="26" t="str">
        <f t="shared" si="3"/>
        <v/>
      </c>
    </row>
    <row r="64" spans="1:7" x14ac:dyDescent="0.2">
      <c r="C64" s="14" t="s">
        <v>35</v>
      </c>
      <c r="D64" s="64">
        <f>SUM(D36:D63)</f>
        <v>21475760</v>
      </c>
      <c r="E64" s="5">
        <f>SUM(E36:E63)</f>
        <v>34855466</v>
      </c>
      <c r="F64" s="9">
        <f t="shared" si="3"/>
        <v>1.623014319400105</v>
      </c>
      <c r="G64" s="63"/>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68847</v>
      </c>
      <c r="E67" s="16">
        <f>IF(F3="1",SUMIF(Data!A:A,$A$2,Data!DY:DY),0)</f>
        <v>106176</v>
      </c>
      <c r="F67" s="21">
        <f>IFERROR(E67/D67,"")</f>
        <v>1.5422022746089155</v>
      </c>
    </row>
    <row r="68" spans="1:6" x14ac:dyDescent="0.2">
      <c r="A68" s="20">
        <v>2</v>
      </c>
      <c r="B68" s="184" t="s">
        <v>1</v>
      </c>
      <c r="C68" s="185"/>
      <c r="D68" s="15">
        <f t="shared" ref="D68:D94" si="4">D37</f>
        <v>179804</v>
      </c>
      <c r="E68" s="18">
        <f>IF(F3="1",SUMIF(Data!A:A,$A$2,Data!DZ:DZ),0)</f>
        <v>889126</v>
      </c>
      <c r="F68" s="22">
        <f t="shared" ref="F68:F95" si="5">IFERROR(E68/D68,"")</f>
        <v>4.9449734154968743</v>
      </c>
    </row>
    <row r="69" spans="1:6" x14ac:dyDescent="0.2">
      <c r="A69" s="20">
        <v>3</v>
      </c>
      <c r="B69" s="184" t="s">
        <v>2</v>
      </c>
      <c r="C69" s="185"/>
      <c r="D69" s="15">
        <f t="shared" si="4"/>
        <v>2330704</v>
      </c>
      <c r="E69" s="18">
        <f>IF(F3="1",SUMIF(Data!A:A,$A$2,Data!EA:EA),0)</f>
        <v>8259968</v>
      </c>
      <c r="F69" s="22">
        <f t="shared" si="5"/>
        <v>3.5439798447164463</v>
      </c>
    </row>
    <row r="70" spans="1:6" x14ac:dyDescent="0.2">
      <c r="A70" s="20">
        <v>4</v>
      </c>
      <c r="B70" s="184" t="s">
        <v>3</v>
      </c>
      <c r="C70" s="185"/>
      <c r="D70" s="15">
        <f t="shared" si="4"/>
        <v>1128485</v>
      </c>
      <c r="E70" s="18">
        <f>IF(F3="1",SUMIF(Data!A:A,$A$2,Data!EB:EB),0)</f>
        <v>4076581</v>
      </c>
      <c r="F70" s="22">
        <f t="shared" si="5"/>
        <v>3.6124370284053398</v>
      </c>
    </row>
    <row r="71" spans="1:6" x14ac:dyDescent="0.2">
      <c r="A71" s="20">
        <v>5</v>
      </c>
      <c r="B71" s="184" t="s">
        <v>4</v>
      </c>
      <c r="C71" s="185"/>
      <c r="D71" s="15">
        <f t="shared" si="4"/>
        <v>2992</v>
      </c>
      <c r="E71" s="18">
        <f>IF(F3="1",SUMIF(Data!A:A,$A$2,Data!EC:EC),0)</f>
        <v>45804</v>
      </c>
      <c r="F71" s="22">
        <f t="shared" si="5"/>
        <v>15.308823529411764</v>
      </c>
    </row>
    <row r="72" spans="1:6" x14ac:dyDescent="0.2">
      <c r="A72" s="20">
        <v>6</v>
      </c>
      <c r="B72" s="184" t="s">
        <v>5</v>
      </c>
      <c r="C72" s="185"/>
      <c r="D72" s="15">
        <f t="shared" si="4"/>
        <v>310847</v>
      </c>
      <c r="E72" s="18">
        <f>IF(F3="1",SUMIF(Data!A:A,$A$2,Data!ED:ED),0)</f>
        <v>755899</v>
      </c>
      <c r="F72" s="22">
        <f t="shared" si="5"/>
        <v>2.4317397304783381</v>
      </c>
    </row>
    <row r="73" spans="1:6" x14ac:dyDescent="0.2">
      <c r="A73" s="20">
        <v>7</v>
      </c>
      <c r="B73" s="184" t="s">
        <v>6</v>
      </c>
      <c r="C73" s="185"/>
      <c r="D73" s="15">
        <f t="shared" si="4"/>
        <v>800119</v>
      </c>
      <c r="E73" s="18">
        <f>IF(F3="1",SUMIF(Data!A:A,$A$2,Data!EE:EE),0)</f>
        <v>3279355</v>
      </c>
      <c r="F73" s="22">
        <f t="shared" si="5"/>
        <v>4.0985840856172642</v>
      </c>
    </row>
    <row r="74" spans="1:6" x14ac:dyDescent="0.2">
      <c r="A74" s="20">
        <v>8</v>
      </c>
      <c r="B74" s="184" t="s">
        <v>7</v>
      </c>
      <c r="C74" s="185"/>
      <c r="D74" s="15">
        <f t="shared" si="4"/>
        <v>88658</v>
      </c>
      <c r="E74" s="18">
        <f>IF(F3="1",SUMIF(Data!A:A,$A$2,Data!EF:EF),0)</f>
        <v>355530</v>
      </c>
      <c r="F74" s="22">
        <f t="shared" si="5"/>
        <v>4.0101288095828913</v>
      </c>
    </row>
    <row r="75" spans="1:6" x14ac:dyDescent="0.2">
      <c r="A75" s="20">
        <v>9</v>
      </c>
      <c r="B75" s="184" t="s">
        <v>8</v>
      </c>
      <c r="C75" s="185"/>
      <c r="D75" s="15">
        <f t="shared" si="4"/>
        <v>775268</v>
      </c>
      <c r="E75" s="18">
        <f>IF(F3="1",SUMIF(Data!A:A,$A$2,Data!EG:EG),0)</f>
        <v>1974032</v>
      </c>
      <c r="F75" s="22">
        <f t="shared" si="5"/>
        <v>2.5462575522271007</v>
      </c>
    </row>
    <row r="76" spans="1:6" x14ac:dyDescent="0.2">
      <c r="A76" s="20">
        <v>10</v>
      </c>
      <c r="B76" s="184" t="s">
        <v>9</v>
      </c>
      <c r="C76" s="185"/>
      <c r="D76" s="15">
        <f t="shared" si="4"/>
        <v>23168</v>
      </c>
      <c r="E76" s="18">
        <f>IF(F3="1",SUMIF(Data!A:A,$A$2,Data!EH:EH),0)</f>
        <v>204909</v>
      </c>
      <c r="F76" s="22">
        <f t="shared" si="5"/>
        <v>8.8444837707182327</v>
      </c>
    </row>
    <row r="77" spans="1:6" x14ac:dyDescent="0.2">
      <c r="A77" s="20">
        <v>11</v>
      </c>
      <c r="B77" s="184" t="s">
        <v>10</v>
      </c>
      <c r="C77" s="185"/>
      <c r="D77" s="15">
        <f t="shared" si="4"/>
        <v>397436</v>
      </c>
      <c r="E77" s="18">
        <f>IF(F3="1",SUMIF(Data!A:A,$A$2,Data!EI:EI),0)</f>
        <v>1779286</v>
      </c>
      <c r="F77" s="22">
        <f t="shared" si="5"/>
        <v>4.4769120059581917</v>
      </c>
    </row>
    <row r="78" spans="1:6" x14ac:dyDescent="0.2">
      <c r="A78" s="20">
        <v>12</v>
      </c>
      <c r="B78" s="184" t="s">
        <v>11</v>
      </c>
      <c r="C78" s="185"/>
      <c r="D78" s="15">
        <f t="shared" si="4"/>
        <v>4053134</v>
      </c>
      <c r="E78" s="18">
        <f>IF(F3="1",SUMIF(Data!A:A,$A$2,Data!EJ:EJ),0)</f>
        <v>14366203</v>
      </c>
      <c r="F78" s="22">
        <f t="shared" si="5"/>
        <v>3.5444678118216668</v>
      </c>
    </row>
    <row r="79" spans="1:6" x14ac:dyDescent="0.2">
      <c r="A79" s="20">
        <v>13</v>
      </c>
      <c r="B79" s="184" t="s">
        <v>12</v>
      </c>
      <c r="C79" s="185"/>
      <c r="D79" s="15">
        <f t="shared" si="4"/>
        <v>726212</v>
      </c>
      <c r="E79" s="18">
        <f>IF(F3="1",SUMIF(Data!A:A,$A$2,Data!EK:EK),0)</f>
        <v>1736932</v>
      </c>
      <c r="F79" s="22">
        <f t="shared" si="5"/>
        <v>2.3917698963938907</v>
      </c>
    </row>
    <row r="80" spans="1:6" x14ac:dyDescent="0.2">
      <c r="A80" s="20">
        <v>14</v>
      </c>
      <c r="B80" s="184" t="s">
        <v>469</v>
      </c>
      <c r="C80" s="185"/>
      <c r="D80" s="15">
        <f t="shared" si="4"/>
        <v>460608</v>
      </c>
      <c r="E80" s="18">
        <f>IF(F3="1",SUMIF(Data!A:A,$A$2,Data!EL:EL),0)</f>
        <v>3435838</v>
      </c>
      <c r="F80" s="22">
        <f t="shared" si="5"/>
        <v>7.4593537237737948</v>
      </c>
    </row>
    <row r="81" spans="1:6" x14ac:dyDescent="0.2">
      <c r="A81" s="20">
        <v>15</v>
      </c>
      <c r="B81" s="184" t="s">
        <v>13</v>
      </c>
      <c r="C81" s="185"/>
      <c r="D81" s="15">
        <f t="shared" si="4"/>
        <v>0</v>
      </c>
      <c r="E81" s="18">
        <f>IF(F3="1",SUMIF(Data!A:A,$A$2,Data!EM:EM),0)</f>
        <v>0</v>
      </c>
      <c r="F81" s="22" t="str">
        <f t="shared" si="5"/>
        <v/>
      </c>
    </row>
    <row r="82" spans="1:6" x14ac:dyDescent="0.2">
      <c r="A82" s="20">
        <v>16</v>
      </c>
      <c r="B82" s="184" t="s">
        <v>14</v>
      </c>
      <c r="C82" s="185"/>
      <c r="D82" s="15">
        <f t="shared" si="4"/>
        <v>686985</v>
      </c>
      <c r="E82" s="18">
        <f>IF(F3="1",SUMIF(Data!A:A,$A$2,Data!EN:EN),0)</f>
        <v>2555260</v>
      </c>
      <c r="F82" s="22">
        <f t="shared" si="5"/>
        <v>3.7195280828547932</v>
      </c>
    </row>
    <row r="83" spans="1:6" x14ac:dyDescent="0.2">
      <c r="A83" s="20">
        <v>17</v>
      </c>
      <c r="B83" s="184" t="s">
        <v>15</v>
      </c>
      <c r="C83" s="185"/>
      <c r="D83" s="15">
        <f t="shared" si="4"/>
        <v>41360</v>
      </c>
      <c r="E83" s="18">
        <f>IF(F3="1",SUMIF(Data!A:A,$A$2,Data!EO:EO),0)</f>
        <v>459818</v>
      </c>
      <c r="F83" s="22">
        <f t="shared" si="5"/>
        <v>11.117456479690523</v>
      </c>
    </row>
    <row r="84" spans="1:6" x14ac:dyDescent="0.2">
      <c r="A84" s="20">
        <v>18</v>
      </c>
      <c r="B84" s="184" t="s">
        <v>16</v>
      </c>
      <c r="C84" s="185"/>
      <c r="D84" s="15">
        <f t="shared" si="4"/>
        <v>190576</v>
      </c>
      <c r="E84" s="18">
        <f>IF(F3="1",SUMIF(Data!A:A,$A$2,Data!EP:EP),0)</f>
        <v>1181238</v>
      </c>
      <c r="F84" s="22">
        <f t="shared" si="5"/>
        <v>6.1982516161531356</v>
      </c>
    </row>
    <row r="85" spans="1:6" x14ac:dyDescent="0.2">
      <c r="A85" s="20">
        <v>19</v>
      </c>
      <c r="B85" s="184" t="s">
        <v>17</v>
      </c>
      <c r="C85" s="185"/>
      <c r="D85" s="15">
        <f t="shared" si="4"/>
        <v>2889492</v>
      </c>
      <c r="E85" s="18">
        <f>IF(F3="1",SUMIF(Data!A:A,$A$2,Data!EQ:EQ),0)</f>
        <v>9614327</v>
      </c>
      <c r="F85" s="22">
        <f t="shared" si="5"/>
        <v>3.3273416226796959</v>
      </c>
    </row>
    <row r="86" spans="1:6" x14ac:dyDescent="0.2">
      <c r="A86" s="20">
        <v>20</v>
      </c>
      <c r="B86" s="184" t="s">
        <v>18</v>
      </c>
      <c r="C86" s="185"/>
      <c r="D86" s="15">
        <f t="shared" si="4"/>
        <v>295925</v>
      </c>
      <c r="E86" s="18">
        <f>IF(F3="1",SUMIF(Data!A:A,$A$2,Data!ER:ER),0)</f>
        <v>1105606</v>
      </c>
      <c r="F86" s="22">
        <f t="shared" si="5"/>
        <v>3.7361020528850215</v>
      </c>
    </row>
    <row r="87" spans="1:6" x14ac:dyDescent="0.2">
      <c r="A87" s="20">
        <v>21</v>
      </c>
      <c r="B87" s="184" t="s">
        <v>466</v>
      </c>
      <c r="C87" s="185"/>
      <c r="D87" s="15">
        <f t="shared" si="4"/>
        <v>187908</v>
      </c>
      <c r="E87" s="18">
        <f>IF(F3="1",SUMIF(Data!A:A,$A$2,Data!ES:ES),0)</f>
        <v>894163</v>
      </c>
      <c r="F87" s="22">
        <f t="shared" si="5"/>
        <v>4.7585148051173976</v>
      </c>
    </row>
    <row r="88" spans="1:6" x14ac:dyDescent="0.2">
      <c r="A88" s="20">
        <v>22</v>
      </c>
      <c r="B88" s="184" t="s">
        <v>19</v>
      </c>
      <c r="C88" s="185"/>
      <c r="D88" s="15">
        <f t="shared" si="4"/>
        <v>25880</v>
      </c>
      <c r="E88" s="18">
        <f>IF(F3="1",SUMIF(Data!A:A,$A$2,Data!ET:ET),0)</f>
        <v>7717</v>
      </c>
      <c r="F88" s="22">
        <f t="shared" si="5"/>
        <v>0.29818392581143738</v>
      </c>
    </row>
    <row r="89" spans="1:6" x14ac:dyDescent="0.2">
      <c r="A89" s="20">
        <v>23</v>
      </c>
      <c r="B89" s="184" t="s">
        <v>20</v>
      </c>
      <c r="C89" s="185"/>
      <c r="D89" s="15">
        <f t="shared" si="4"/>
        <v>585216</v>
      </c>
      <c r="E89" s="18">
        <f>IF(F3="1",SUMIF(Data!A:A,$A$2,Data!EU:EU),0)</f>
        <v>2456323</v>
      </c>
      <c r="F89" s="22">
        <f t="shared" si="5"/>
        <v>4.1972929653324584</v>
      </c>
    </row>
    <row r="90" spans="1:6" x14ac:dyDescent="0.2">
      <c r="A90" s="20">
        <v>24</v>
      </c>
      <c r="B90" s="184" t="s">
        <v>21</v>
      </c>
      <c r="C90" s="185"/>
      <c r="D90" s="15">
        <f t="shared" si="4"/>
        <v>540424</v>
      </c>
      <c r="E90" s="18">
        <f>IF(F3="1",SUMIF(Data!A:A,$A$2,Data!EV:EV),0)</f>
        <v>1351672</v>
      </c>
      <c r="F90" s="22">
        <f t="shared" si="5"/>
        <v>2.5011324441549596</v>
      </c>
    </row>
    <row r="91" spans="1:6" x14ac:dyDescent="0.2">
      <c r="A91" s="20">
        <v>25</v>
      </c>
      <c r="B91" s="184" t="s">
        <v>22</v>
      </c>
      <c r="C91" s="185"/>
      <c r="D91" s="15">
        <f t="shared" si="4"/>
        <v>3607776</v>
      </c>
      <c r="E91" s="18">
        <f>IF(F3="1",SUMIF(Data!A:A,$A$2,Data!EW:EW),0)</f>
        <v>11993552</v>
      </c>
      <c r="F91" s="22">
        <f t="shared" si="5"/>
        <v>3.3243616011637087</v>
      </c>
    </row>
    <row r="92" spans="1:6" x14ac:dyDescent="0.2">
      <c r="A92" s="20">
        <v>26</v>
      </c>
      <c r="B92" s="184" t="s">
        <v>23</v>
      </c>
      <c r="C92" s="185"/>
      <c r="D92" s="15">
        <f t="shared" si="4"/>
        <v>1077936</v>
      </c>
      <c r="E92" s="18">
        <f>IF(F3="1",SUMIF(Data!A:A,$A$2,Data!EX:EX),0)</f>
        <v>4508281</v>
      </c>
      <c r="F92" s="22">
        <f t="shared" si="5"/>
        <v>4.1823271511481197</v>
      </c>
    </row>
    <row r="93" spans="1:6" x14ac:dyDescent="0.2">
      <c r="A93" s="20">
        <v>28</v>
      </c>
      <c r="B93" s="184" t="s">
        <v>24</v>
      </c>
      <c r="C93" s="185"/>
      <c r="D93" s="15">
        <f t="shared" si="4"/>
        <v>0</v>
      </c>
      <c r="E93" s="18">
        <f>IF(F3="1",SUMIF(Data!A:A,$A$2,Data!EZ:EZ),0)</f>
        <v>0</v>
      </c>
      <c r="F93" s="22" t="str">
        <f t="shared" si="5"/>
        <v/>
      </c>
    </row>
    <row r="94" spans="1:6" ht="15.75" customHeight="1" thickBot="1" x14ac:dyDescent="0.25">
      <c r="A94" s="23">
        <v>29</v>
      </c>
      <c r="B94" s="186" t="s">
        <v>25</v>
      </c>
      <c r="C94" s="187"/>
      <c r="D94" s="24">
        <f t="shared" si="4"/>
        <v>0</v>
      </c>
      <c r="E94" s="25">
        <f>IF(F3="1",SUMIF(Data!A:A,$A$2,Data!FA:FA),0)</f>
        <v>0</v>
      </c>
      <c r="F94" s="26" t="str">
        <f t="shared" si="5"/>
        <v/>
      </c>
    </row>
    <row r="95" spans="1:6" x14ac:dyDescent="0.2">
      <c r="C95" s="14" t="s">
        <v>35</v>
      </c>
      <c r="D95" s="64">
        <f>SUM(D67:D94)</f>
        <v>21475760</v>
      </c>
      <c r="E95" s="5">
        <f>SUM(E67:E94)</f>
        <v>77393596</v>
      </c>
      <c r="F95" s="9">
        <f t="shared" si="5"/>
        <v>3.6037651752487454</v>
      </c>
    </row>
    <row r="96" spans="1:6" ht="15" thickBot="1" x14ac:dyDescent="0.25"/>
    <row r="97" spans="2:14" ht="29.25" customHeight="1" x14ac:dyDescent="0.2">
      <c r="B97" s="188" t="s">
        <v>473</v>
      </c>
      <c r="C97" s="189"/>
      <c r="D97" s="29" t="s">
        <v>27</v>
      </c>
      <c r="E97" s="34" t="s">
        <v>467</v>
      </c>
      <c r="F97" s="30" t="s">
        <v>468</v>
      </c>
      <c r="H97" s="74"/>
      <c r="I97" s="54"/>
      <c r="J97" s="74"/>
      <c r="K97" s="54"/>
      <c r="L97" s="74"/>
      <c r="M97" s="54"/>
      <c r="N97" s="74"/>
    </row>
    <row r="98" spans="2:14" x14ac:dyDescent="0.2">
      <c r="B98" s="190" t="s">
        <v>30</v>
      </c>
      <c r="C98" s="191"/>
      <c r="D98" s="36"/>
      <c r="E98" s="16">
        <f>IF(F3="1",SUMIF(Data!A:A,$A$2,Data!AH:AH),0)</f>
        <v>41105949</v>
      </c>
      <c r="F98" s="21">
        <f t="shared" ref="F98:F105" si="6">IFERROR(E98/$D$95,0)</f>
        <v>1.9140625989487683</v>
      </c>
      <c r="H98" s="74"/>
      <c r="I98" s="74"/>
      <c r="J98" s="74"/>
      <c r="K98" s="74"/>
      <c r="L98" s="54"/>
      <c r="M98" s="54"/>
      <c r="N98" s="54"/>
    </row>
    <row r="99" spans="2:14" x14ac:dyDescent="0.2">
      <c r="B99" s="190" t="s">
        <v>31</v>
      </c>
      <c r="C99" s="191"/>
      <c r="D99" s="37"/>
      <c r="E99" s="18">
        <f>IF(F3="1",SUMIF(Data!A:A,$A$2,Data!AI:AI),0)</f>
        <v>22112733</v>
      </c>
      <c r="F99" s="22">
        <f t="shared" si="6"/>
        <v>1.0296600911911848</v>
      </c>
    </row>
    <row r="100" spans="2:14" x14ac:dyDescent="0.2">
      <c r="B100" s="190" t="s">
        <v>32</v>
      </c>
      <c r="C100" s="191"/>
      <c r="D100" s="37"/>
      <c r="E100" s="18">
        <f>IF(F3="1",SUMIF(Data!A:A,$A$2,Data!AJ:AJ),0)</f>
        <v>20629575</v>
      </c>
      <c r="F100" s="22">
        <f t="shared" si="6"/>
        <v>0.9605981348273589</v>
      </c>
    </row>
    <row r="101" spans="2:14" x14ac:dyDescent="0.2">
      <c r="B101" s="190" t="s">
        <v>28</v>
      </c>
      <c r="C101" s="191"/>
      <c r="D101" s="37"/>
      <c r="E101" s="18">
        <f>IF(F3="1",SUMIF(Data!A:A,$A$2,Data!AK:AK),0)</f>
        <v>0</v>
      </c>
      <c r="F101" s="22">
        <f t="shared" si="6"/>
        <v>0</v>
      </c>
    </row>
    <row r="102" spans="2:14" x14ac:dyDescent="0.2">
      <c r="B102" s="190" t="s">
        <v>33</v>
      </c>
      <c r="C102" s="191"/>
      <c r="D102" s="37"/>
      <c r="E102" s="18">
        <f>IF(F3="1",SUMIF(Data!A:A,$A$2,Data!AL:AL),0)</f>
        <v>509820</v>
      </c>
      <c r="F102" s="22">
        <f t="shared" si="6"/>
        <v>2.373932284585039E-2</v>
      </c>
    </row>
    <row r="103" spans="2:14" x14ac:dyDescent="0.2">
      <c r="B103" s="192" t="s">
        <v>34</v>
      </c>
      <c r="C103" s="193"/>
      <c r="D103" s="37"/>
      <c r="E103" s="18">
        <f>IF(F3="1",SUMIF(Data!A:A,$A$2,Data!AM:AM),0)</f>
        <v>3850832</v>
      </c>
      <c r="F103" s="22">
        <f t="shared" si="6"/>
        <v>0.17931062742366277</v>
      </c>
    </row>
    <row r="104" spans="2:14" ht="15.75" customHeight="1" thickBot="1" x14ac:dyDescent="0.25">
      <c r="B104" s="182" t="s">
        <v>29</v>
      </c>
      <c r="C104" s="183"/>
      <c r="D104" s="38"/>
      <c r="E104" s="25">
        <f>IF(F3="1",SUMIF(Data!A:A,$A$2,Data!Q:Q),0)</f>
        <v>8206499</v>
      </c>
      <c r="F104" s="26">
        <f t="shared" si="6"/>
        <v>0.3821284555238092</v>
      </c>
    </row>
    <row r="105" spans="2:14" x14ac:dyDescent="0.2">
      <c r="C105" s="14" t="s">
        <v>35</v>
      </c>
      <c r="D105" s="13">
        <f>D95</f>
        <v>21475760</v>
      </c>
      <c r="E105" s="5">
        <f>SUM(E98:E104)</f>
        <v>96415408</v>
      </c>
      <c r="F105" s="9">
        <f t="shared" si="6"/>
        <v>4.4894992307606341</v>
      </c>
    </row>
    <row r="107" spans="2:14" ht="15" thickBot="1" x14ac:dyDescent="0.25">
      <c r="B107" s="12" t="s">
        <v>940</v>
      </c>
    </row>
    <row r="108" spans="2:14" ht="28.5" x14ac:dyDescent="0.2">
      <c r="B108" s="46" t="s">
        <v>934</v>
      </c>
      <c r="C108" s="28" t="s">
        <v>938</v>
      </c>
      <c r="D108" s="28" t="s">
        <v>29</v>
      </c>
      <c r="E108" s="28" t="s">
        <v>939</v>
      </c>
      <c r="F108" s="47" t="s">
        <v>35</v>
      </c>
    </row>
    <row r="109" spans="2:14" x14ac:dyDescent="0.2">
      <c r="B109" s="43" t="s">
        <v>935</v>
      </c>
      <c r="C109" s="16">
        <f>E95+IF(F3="1",SUMIF(Data!$A:$A,$A$2,Data!GF:GF),0)</f>
        <v>77393596</v>
      </c>
      <c r="D109" s="16">
        <f>IF(F3="1",SUMIF(Data!$A:$A,$A$2,Data!HJ:HJ),0)</f>
        <v>0</v>
      </c>
      <c r="E109" s="16">
        <f>IF(F3="1",SUMIF(Data!$A:$A,$A$2,Data!IN:IN),0)</f>
        <v>0</v>
      </c>
      <c r="F109" s="48">
        <f>SUM(C109:E109)</f>
        <v>77393596</v>
      </c>
    </row>
    <row r="110" spans="2:14" x14ac:dyDescent="0.2">
      <c r="B110" s="43" t="s">
        <v>28</v>
      </c>
      <c r="C110" s="51">
        <f>IF(F3="1",SUMIF(Data!A:A,$A$2,Data!W:W),0)</f>
        <v>0</v>
      </c>
      <c r="D110" s="52"/>
      <c r="E110" s="51">
        <f>IF(F3="1",SUMIF(Data!A:A,$A$2,Data!W:W),0)</f>
        <v>0</v>
      </c>
      <c r="F110" s="49">
        <f t="shared" ref="F110:F116" si="7">SUM(C110:E110)</f>
        <v>0</v>
      </c>
    </row>
    <row r="111" spans="2:14" x14ac:dyDescent="0.2">
      <c r="B111" s="43" t="s">
        <v>936</v>
      </c>
      <c r="C111" s="51">
        <f>IF(F3="1",SUMIF(Data!A:A,$A$2,Data!AS:AS),0)</f>
        <v>0</v>
      </c>
      <c r="D111" s="52"/>
      <c r="E111" s="51">
        <f>IF(F3="1",SUMIF(Data!A:A,$A$2,Data!AX:AX),0)</f>
        <v>0</v>
      </c>
      <c r="F111" s="49">
        <f t="shared" si="7"/>
        <v>0</v>
      </c>
    </row>
    <row r="112" spans="2:14"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509820</v>
      </c>
      <c r="F116" s="49">
        <f t="shared" si="7"/>
        <v>509820</v>
      </c>
    </row>
    <row r="117" spans="1:6" ht="15" thickBot="1" x14ac:dyDescent="0.25">
      <c r="B117" s="44" t="s">
        <v>941</v>
      </c>
      <c r="C117" s="53"/>
      <c r="D117" s="53">
        <f>IF(F3="1",SUMIF(Data!A:A,$A$2,Data!Q:Q),0)</f>
        <v>8206499</v>
      </c>
      <c r="E117" s="53"/>
      <c r="F117" s="50">
        <f>SUM(C117:E117)</f>
        <v>8206499</v>
      </c>
    </row>
    <row r="118" spans="1:6" x14ac:dyDescent="0.2">
      <c r="B118" s="14" t="s">
        <v>35</v>
      </c>
      <c r="C118" s="5">
        <f>SUM(C109:C116)</f>
        <v>77393596</v>
      </c>
      <c r="D118" s="5">
        <f>SUM(D109:D116)</f>
        <v>0</v>
      </c>
      <c r="E118" s="5">
        <f>SUM(E109:E116)</f>
        <v>509820</v>
      </c>
      <c r="F118" s="5">
        <f>SUM(F109:F116)</f>
        <v>77903416</v>
      </c>
    </row>
    <row r="119" spans="1:6" ht="15" thickBot="1" x14ac:dyDescent="0.25"/>
    <row r="120" spans="1:6" ht="15" thickBot="1" x14ac:dyDescent="0.25">
      <c r="B120" s="57" t="s">
        <v>942</v>
      </c>
      <c r="C120" s="55"/>
      <c r="D120" s="55"/>
      <c r="E120" s="55">
        <f>IF(F3="1",SUMIF(Data!A:A,$A$2,Data!AM:AM),0)</f>
        <v>3850832</v>
      </c>
      <c r="F120" s="56">
        <f>SUM(C120:E120)</f>
        <v>3850832</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350</v>
      </c>
      <c r="B2" s="60" t="str">
        <f>VLOOKUP(A2,Data!A:G,7,0)</f>
        <v>Alvin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19296</v>
      </c>
      <c r="E5" s="16">
        <f>E36+E67+IFERROR($E$105/$D$105*D5,0)</f>
        <v>167631.39757742046</v>
      </c>
      <c r="F5" s="21">
        <f>IFERROR(E5/D5,"")</f>
        <v>8.687365131499817</v>
      </c>
    </row>
    <row r="6" spans="1:6" x14ac:dyDescent="0.2">
      <c r="A6" s="20">
        <v>2</v>
      </c>
      <c r="B6" s="184" t="s">
        <v>1</v>
      </c>
      <c r="C6" s="185"/>
      <c r="D6" s="15">
        <f t="shared" ref="D6:D32" si="0">D37</f>
        <v>28834</v>
      </c>
      <c r="E6" s="18">
        <f t="shared" ref="E6:E32" si="1">E37+E68+IFERROR($E$105/$D$105*D6,0)</f>
        <v>240337.91654992441</v>
      </c>
      <c r="F6" s="22">
        <f t="shared" ref="F6:F33" si="2">IFERROR(E6/D6,"")</f>
        <v>8.3352263490991341</v>
      </c>
    </row>
    <row r="7" spans="1:6" ht="14.25" customHeight="1" x14ac:dyDescent="0.2">
      <c r="A7" s="20">
        <v>3</v>
      </c>
      <c r="B7" s="184" t="s">
        <v>2</v>
      </c>
      <c r="C7" s="185"/>
      <c r="D7" s="15">
        <f t="shared" si="0"/>
        <v>262568</v>
      </c>
      <c r="E7" s="18">
        <f t="shared" si="1"/>
        <v>1624072.9634695342</v>
      </c>
      <c r="F7" s="22">
        <f t="shared" si="2"/>
        <v>6.1853423245389161</v>
      </c>
    </row>
    <row r="8" spans="1:6" ht="14.25" customHeight="1" x14ac:dyDescent="0.2">
      <c r="A8" s="20">
        <v>4</v>
      </c>
      <c r="B8" s="184" t="s">
        <v>3</v>
      </c>
      <c r="C8" s="185"/>
      <c r="D8" s="15">
        <f t="shared" si="0"/>
        <v>233680</v>
      </c>
      <c r="E8" s="18">
        <f t="shared" si="1"/>
        <v>2847335.0859189266</v>
      </c>
      <c r="F8" s="22">
        <f t="shared" si="2"/>
        <v>12.184761579591436</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38603</v>
      </c>
      <c r="E10" s="18">
        <f t="shared" si="1"/>
        <v>383744.71313646156</v>
      </c>
      <c r="F10" s="22">
        <f t="shared" si="2"/>
        <v>9.9408002781250566</v>
      </c>
    </row>
    <row r="11" spans="1:6" x14ac:dyDescent="0.2">
      <c r="A11" s="20">
        <v>7</v>
      </c>
      <c r="B11" s="184" t="s">
        <v>6</v>
      </c>
      <c r="C11" s="185"/>
      <c r="D11" s="15">
        <f t="shared" si="0"/>
        <v>137354</v>
      </c>
      <c r="E11" s="18">
        <f t="shared" si="1"/>
        <v>1603266.9497745135</v>
      </c>
      <c r="F11" s="22">
        <f t="shared" si="2"/>
        <v>11.672517362250197</v>
      </c>
    </row>
    <row r="12" spans="1:6" x14ac:dyDescent="0.2">
      <c r="A12" s="20">
        <v>8</v>
      </c>
      <c r="B12" s="184" t="s">
        <v>7</v>
      </c>
      <c r="C12" s="185"/>
      <c r="D12" s="15">
        <f t="shared" si="0"/>
        <v>6264</v>
      </c>
      <c r="E12" s="18">
        <f t="shared" si="1"/>
        <v>54685.47607923724</v>
      </c>
      <c r="F12" s="22">
        <f t="shared" si="2"/>
        <v>8.7301207023047951</v>
      </c>
    </row>
    <row r="13" spans="1:6" x14ac:dyDescent="0.2">
      <c r="A13" s="20">
        <v>9</v>
      </c>
      <c r="B13" s="184" t="s">
        <v>8</v>
      </c>
      <c r="C13" s="185"/>
      <c r="D13" s="15">
        <f t="shared" si="0"/>
        <v>55336</v>
      </c>
      <c r="E13" s="18">
        <f t="shared" si="1"/>
        <v>495304.22099627584</v>
      </c>
      <c r="F13" s="22">
        <f t="shared" si="2"/>
        <v>8.9508497360899923</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91970</v>
      </c>
      <c r="E15" s="18">
        <f t="shared" si="1"/>
        <v>995292.61542264512</v>
      </c>
      <c r="F15" s="22">
        <f t="shared" si="2"/>
        <v>10.821926882925357</v>
      </c>
    </row>
    <row r="16" spans="1:6" ht="14.25" customHeight="1" x14ac:dyDescent="0.2">
      <c r="A16" s="20">
        <v>12</v>
      </c>
      <c r="B16" s="184" t="s">
        <v>11</v>
      </c>
      <c r="C16" s="185"/>
      <c r="D16" s="15">
        <f t="shared" si="0"/>
        <v>222512</v>
      </c>
      <c r="E16" s="18">
        <f t="shared" si="1"/>
        <v>1899807.44785173</v>
      </c>
      <c r="F16" s="22">
        <f t="shared" si="2"/>
        <v>8.5379999633805372</v>
      </c>
    </row>
    <row r="17" spans="1:6" x14ac:dyDescent="0.2">
      <c r="A17" s="20">
        <v>13</v>
      </c>
      <c r="B17" s="184" t="s">
        <v>12</v>
      </c>
      <c r="C17" s="185"/>
      <c r="D17" s="15">
        <f t="shared" si="0"/>
        <v>52144</v>
      </c>
      <c r="E17" s="18">
        <f t="shared" si="1"/>
        <v>341832.7485114538</v>
      </c>
      <c r="F17" s="22">
        <f t="shared" si="2"/>
        <v>6.5555528634445723</v>
      </c>
    </row>
    <row r="18" spans="1:6" ht="14.25" customHeight="1" x14ac:dyDescent="0.2">
      <c r="A18" s="20">
        <v>14</v>
      </c>
      <c r="B18" s="184" t="s">
        <v>469</v>
      </c>
      <c r="C18" s="185"/>
      <c r="D18" s="15">
        <f t="shared" si="0"/>
        <v>104762</v>
      </c>
      <c r="E18" s="18">
        <f t="shared" si="1"/>
        <v>1191835.5991400145</v>
      </c>
      <c r="F18" s="22">
        <f t="shared" si="2"/>
        <v>11.376602194879961</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125660</v>
      </c>
      <c r="E20" s="18">
        <f t="shared" si="1"/>
        <v>1579914.5064043663</v>
      </c>
      <c r="F20" s="22">
        <f t="shared" si="2"/>
        <v>12.572930975683322</v>
      </c>
    </row>
    <row r="21" spans="1:6" x14ac:dyDescent="0.2">
      <c r="A21" s="20">
        <v>17</v>
      </c>
      <c r="B21" s="184" t="s">
        <v>15</v>
      </c>
      <c r="C21" s="185"/>
      <c r="D21" s="15">
        <f t="shared" si="0"/>
        <v>51632</v>
      </c>
      <c r="E21" s="18">
        <f t="shared" si="1"/>
        <v>673263.74791238457</v>
      </c>
      <c r="F21" s="22">
        <f t="shared" si="2"/>
        <v>13.039660441439118</v>
      </c>
    </row>
    <row r="22" spans="1:6" x14ac:dyDescent="0.2">
      <c r="A22" s="20">
        <v>18</v>
      </c>
      <c r="B22" s="184" t="s">
        <v>16</v>
      </c>
      <c r="C22" s="185"/>
      <c r="D22" s="15">
        <f t="shared" si="0"/>
        <v>71312</v>
      </c>
      <c r="E22" s="18">
        <f t="shared" si="1"/>
        <v>665228.64593910694</v>
      </c>
      <c r="F22" s="22">
        <f t="shared" si="2"/>
        <v>9.3284250328010287</v>
      </c>
    </row>
    <row r="23" spans="1:6" x14ac:dyDescent="0.2">
      <c r="A23" s="20">
        <v>19</v>
      </c>
      <c r="B23" s="184" t="s">
        <v>17</v>
      </c>
      <c r="C23" s="185"/>
      <c r="D23" s="15">
        <f t="shared" si="0"/>
        <v>213532</v>
      </c>
      <c r="E23" s="18">
        <f t="shared" si="1"/>
        <v>1625071.8592196177</v>
      </c>
      <c r="F23" s="22">
        <f t="shared" si="2"/>
        <v>7.6104371205234704</v>
      </c>
    </row>
    <row r="24" spans="1:6" x14ac:dyDescent="0.2">
      <c r="A24" s="20">
        <v>20</v>
      </c>
      <c r="B24" s="184" t="s">
        <v>18</v>
      </c>
      <c r="C24" s="185"/>
      <c r="D24" s="15">
        <f t="shared" si="0"/>
        <v>29080</v>
      </c>
      <c r="E24" s="18">
        <f t="shared" si="1"/>
        <v>283283.62777525844</v>
      </c>
      <c r="F24" s="22">
        <f t="shared" si="2"/>
        <v>9.7415277776911431</v>
      </c>
    </row>
    <row r="25" spans="1:6" ht="14.25" customHeight="1" x14ac:dyDescent="0.2">
      <c r="A25" s="20">
        <v>21</v>
      </c>
      <c r="B25" s="184" t="s">
        <v>466</v>
      </c>
      <c r="C25" s="185"/>
      <c r="D25" s="15">
        <f t="shared" si="0"/>
        <v>496</v>
      </c>
      <c r="E25" s="18">
        <f t="shared" si="1"/>
        <v>2041.938080348287</v>
      </c>
      <c r="F25" s="22">
        <f t="shared" si="2"/>
        <v>4.1168106458634819</v>
      </c>
    </row>
    <row r="26" spans="1:6" x14ac:dyDescent="0.2">
      <c r="A26" s="20">
        <v>22</v>
      </c>
      <c r="B26" s="184" t="s">
        <v>19</v>
      </c>
      <c r="C26" s="185"/>
      <c r="D26" s="15">
        <f t="shared" si="0"/>
        <v>17036</v>
      </c>
      <c r="E26" s="18">
        <f t="shared" si="1"/>
        <v>104318.06680809156</v>
      </c>
      <c r="F26" s="22">
        <f t="shared" si="2"/>
        <v>6.1233896928910285</v>
      </c>
    </row>
    <row r="27" spans="1:6" x14ac:dyDescent="0.2">
      <c r="A27" s="20">
        <v>23</v>
      </c>
      <c r="B27" s="184" t="s">
        <v>20</v>
      </c>
      <c r="C27" s="185"/>
      <c r="D27" s="15">
        <f t="shared" si="0"/>
        <v>51312</v>
      </c>
      <c r="E27" s="18">
        <f t="shared" si="1"/>
        <v>597963.49753796635</v>
      </c>
      <c r="F27" s="22">
        <f t="shared" si="2"/>
        <v>11.653482568170531</v>
      </c>
    </row>
    <row r="28" spans="1:6" x14ac:dyDescent="0.2">
      <c r="A28" s="20">
        <v>24</v>
      </c>
      <c r="B28" s="184" t="s">
        <v>21</v>
      </c>
      <c r="C28" s="185"/>
      <c r="D28" s="15">
        <f t="shared" si="0"/>
        <v>75008</v>
      </c>
      <c r="E28" s="18">
        <f t="shared" si="1"/>
        <v>648572.08776363777</v>
      </c>
      <c r="F28" s="22">
        <f t="shared" si="2"/>
        <v>8.6467055215928674</v>
      </c>
    </row>
    <row r="29" spans="1:6" x14ac:dyDescent="0.2">
      <c r="A29" s="20">
        <v>25</v>
      </c>
      <c r="B29" s="184" t="s">
        <v>22</v>
      </c>
      <c r="C29" s="185"/>
      <c r="D29" s="15">
        <f t="shared" si="0"/>
        <v>290656</v>
      </c>
      <c r="E29" s="18">
        <f t="shared" si="1"/>
        <v>2192461.7150840964</v>
      </c>
      <c r="F29" s="22">
        <f t="shared" si="2"/>
        <v>7.5431496858282516</v>
      </c>
    </row>
    <row r="30" spans="1:6" x14ac:dyDescent="0.2">
      <c r="A30" s="20">
        <v>26</v>
      </c>
      <c r="B30" s="184" t="s">
        <v>23</v>
      </c>
      <c r="C30" s="185"/>
      <c r="D30" s="15">
        <f t="shared" si="0"/>
        <v>94480</v>
      </c>
      <c r="E30" s="18">
        <f t="shared" si="1"/>
        <v>1433410.1730469882</v>
      </c>
      <c r="F30" s="22">
        <f t="shared" si="2"/>
        <v>15.171572534366938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2273527</v>
      </c>
      <c r="E33" s="32">
        <f>SUM(E5:E32)</f>
        <v>21650677.000000004</v>
      </c>
      <c r="F33" s="33">
        <f t="shared" si="2"/>
        <v>9.5229469454288438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IF(F3="1",SUMIF(Data!A:A,'2'!$A$2,Data!CU:CU),0)</f>
        <v>19296</v>
      </c>
      <c r="E36" s="16">
        <f>IF(F3="1",SUMIF(Data!$A:$A,'2'!$A$2,Data!IO:IO),0)</f>
        <v>24188</v>
      </c>
      <c r="F36" s="21">
        <f t="shared" ref="F36:F64" si="3">IFERROR(E36/D36,"")</f>
        <v>1.2535240464344941</v>
      </c>
    </row>
    <row r="37" spans="1:6" x14ac:dyDescent="0.2">
      <c r="A37" s="20">
        <v>2</v>
      </c>
      <c r="B37" s="184" t="s">
        <v>1</v>
      </c>
      <c r="C37" s="185"/>
      <c r="D37" s="15">
        <f>IF(F3="1",SUMIF(Data!A:A,'2'!$A$2,Data!CV:CV),0)</f>
        <v>28834</v>
      </c>
      <c r="E37" s="18">
        <f>IF(F3="1",SUMIF(Data!$A:$A,'2'!$A$2,Data!IP:IP),0)</f>
        <v>51145</v>
      </c>
      <c r="F37" s="22">
        <f t="shared" si="3"/>
        <v>1.773774016785739</v>
      </c>
    </row>
    <row r="38" spans="1:6" ht="14.25" customHeight="1" x14ac:dyDescent="0.2">
      <c r="A38" s="20">
        <v>3</v>
      </c>
      <c r="B38" s="184" t="s">
        <v>2</v>
      </c>
      <c r="C38" s="185"/>
      <c r="D38" s="15">
        <f>IF(F3="1",SUMIF(Data!A:A,'2'!$A$2,Data!CW:CW),0)</f>
        <v>262568</v>
      </c>
      <c r="E38" s="18">
        <f>IF(F3="1",SUMIF(Data!$A:$A,'2'!$A$2,Data!IQ:IQ),0)</f>
        <v>59406</v>
      </c>
      <c r="F38" s="22">
        <f t="shared" si="3"/>
        <v>0.22624996191462782</v>
      </c>
    </row>
    <row r="39" spans="1:6" ht="14.25" customHeight="1" x14ac:dyDescent="0.2">
      <c r="A39" s="20">
        <v>4</v>
      </c>
      <c r="B39" s="184" t="s">
        <v>3</v>
      </c>
      <c r="C39" s="185"/>
      <c r="D39" s="15">
        <f>IF(F3="1",SUMIF(Data!A:A,'2'!$A$2,Data!CX:CX),0)</f>
        <v>233680</v>
      </c>
      <c r="E39" s="18">
        <f>IF(F3="1",SUMIF(Data!$A:$A,'2'!$A$2,Data!IR:IR),0)</f>
        <v>530511</v>
      </c>
      <c r="F39" s="22">
        <f t="shared" si="3"/>
        <v>2.2702456350564875</v>
      </c>
    </row>
    <row r="40" spans="1:6" x14ac:dyDescent="0.2">
      <c r="A40" s="20">
        <v>5</v>
      </c>
      <c r="B40" s="184" t="s">
        <v>4</v>
      </c>
      <c r="C40" s="185"/>
      <c r="D40" s="15">
        <f>IF(F3="1",SUMIF(Data!A:A,'2'!$A$2,Data!CY:CY),0)</f>
        <v>0</v>
      </c>
      <c r="E40" s="18">
        <f>IF(F3="1",SUMIF(Data!$A:$A,'2'!$A$2,Data!IS:IS),0)</f>
        <v>0</v>
      </c>
      <c r="F40" s="22" t="str">
        <f t="shared" si="3"/>
        <v/>
      </c>
    </row>
    <row r="41" spans="1:6" x14ac:dyDescent="0.2">
      <c r="A41" s="20">
        <v>6</v>
      </c>
      <c r="B41" s="184" t="s">
        <v>5</v>
      </c>
      <c r="C41" s="185"/>
      <c r="D41" s="15">
        <f>IF(F3="1",SUMIF(Data!A:A,'2'!$A$2,Data!CZ:CZ),0)</f>
        <v>38603</v>
      </c>
      <c r="E41" s="18">
        <f>IF(F3="1",SUMIF(Data!$A:$A,'2'!$A$2,Data!IT:IT),0)</f>
        <v>58022</v>
      </c>
      <c r="F41" s="22">
        <f t="shared" si="3"/>
        <v>1.5030438048856307</v>
      </c>
    </row>
    <row r="42" spans="1:6" x14ac:dyDescent="0.2">
      <c r="A42" s="20">
        <v>7</v>
      </c>
      <c r="B42" s="184" t="s">
        <v>6</v>
      </c>
      <c r="C42" s="185"/>
      <c r="D42" s="15">
        <f>IF(F3="1",SUMIF(Data!A:A,'2'!$A$2,Data!DA:DA),0)</f>
        <v>137354</v>
      </c>
      <c r="E42" s="18">
        <f>IF(F3="1",SUMIF(Data!$A:$A,'2'!$A$2,Data!IU:IU),0)</f>
        <v>307087</v>
      </c>
      <c r="F42" s="22">
        <f t="shared" si="3"/>
        <v>2.2357339429503327</v>
      </c>
    </row>
    <row r="43" spans="1:6" x14ac:dyDescent="0.2">
      <c r="A43" s="20">
        <v>8</v>
      </c>
      <c r="B43" s="184" t="s">
        <v>7</v>
      </c>
      <c r="C43" s="185"/>
      <c r="D43" s="15">
        <f>IF(F3="1",SUMIF(Data!A:A,'2'!$A$2,Data!DB:DB),0)</f>
        <v>6264</v>
      </c>
      <c r="E43" s="18">
        <f>IF(F3="1",SUMIF(Data!$A:$A,'2'!$A$2,Data!IV:IV),0)</f>
        <v>22566</v>
      </c>
      <c r="F43" s="22">
        <f t="shared" si="3"/>
        <v>3.6024904214559386</v>
      </c>
    </row>
    <row r="44" spans="1:6" x14ac:dyDescent="0.2">
      <c r="A44" s="20">
        <v>9</v>
      </c>
      <c r="B44" s="184" t="s">
        <v>8</v>
      </c>
      <c r="C44" s="185"/>
      <c r="D44" s="15">
        <f>IF(F3="1",SUMIF(Data!A:A,'2'!$A$2,Data!DC:DC),0)</f>
        <v>55336</v>
      </c>
      <c r="E44" s="18">
        <f>IF(F3="1",SUMIF(Data!$A:$A,'2'!$A$2,Data!IW:IW),0)</f>
        <v>33120</v>
      </c>
      <c r="F44" s="22">
        <f t="shared" si="3"/>
        <v>0.59852537227121583</v>
      </c>
    </row>
    <row r="45" spans="1:6" x14ac:dyDescent="0.2">
      <c r="A45" s="20">
        <v>10</v>
      </c>
      <c r="B45" s="184" t="s">
        <v>9</v>
      </c>
      <c r="C45" s="185"/>
      <c r="D45" s="15">
        <f>IF(F3="1",SUMIF(Data!A:A,'2'!$A$2,Data!DD:DD),0)</f>
        <v>0</v>
      </c>
      <c r="E45" s="18">
        <f>IF(F3="1",SUMIF(Data!$A:$A,'2'!$A$2,Data!IX:IX),0)</f>
        <v>0</v>
      </c>
      <c r="F45" s="22" t="str">
        <f t="shared" si="3"/>
        <v/>
      </c>
    </row>
    <row r="46" spans="1:6" x14ac:dyDescent="0.2">
      <c r="A46" s="20">
        <v>11</v>
      </c>
      <c r="B46" s="184" t="s">
        <v>10</v>
      </c>
      <c r="C46" s="185"/>
      <c r="D46" s="15">
        <f>IF(F3="1",SUMIF(Data!A:A,'2'!$A$2,Data!DE:DE),0)</f>
        <v>91970</v>
      </c>
      <c r="E46" s="18">
        <f>IF(F3="1",SUMIF(Data!$A:$A,'2'!$A$2,Data!IY:IY),0)</f>
        <v>249234</v>
      </c>
      <c r="F46" s="22">
        <f t="shared" si="3"/>
        <v>2.7099488963792542</v>
      </c>
    </row>
    <row r="47" spans="1:6" ht="14.25" customHeight="1" x14ac:dyDescent="0.2">
      <c r="A47" s="20">
        <v>12</v>
      </c>
      <c r="B47" s="184" t="s">
        <v>11</v>
      </c>
      <c r="C47" s="185"/>
      <c r="D47" s="15">
        <f>IF(F3="1",SUMIF(Data!A:A,'2'!$A$2,Data!DF:DF),0)</f>
        <v>222512</v>
      </c>
      <c r="E47" s="18">
        <f>IF(F3="1",SUMIF(Data!$A:$A,'2'!$A$2,Data!IZ:IZ),0)</f>
        <v>110128</v>
      </c>
      <c r="F47" s="22">
        <f t="shared" si="3"/>
        <v>0.49493061048392895</v>
      </c>
    </row>
    <row r="48" spans="1:6" x14ac:dyDescent="0.2">
      <c r="A48" s="20">
        <v>13</v>
      </c>
      <c r="B48" s="184" t="s">
        <v>12</v>
      </c>
      <c r="C48" s="185"/>
      <c r="D48" s="15">
        <f>IF(F3="1",SUMIF(Data!A:A,'2'!$A$2,Data!DG:DG),0)</f>
        <v>52144</v>
      </c>
      <c r="E48" s="18">
        <f>IF(F3="1",SUMIF(Data!$A:$A,'2'!$A$2,Data!JA:JA),0)</f>
        <v>14482</v>
      </c>
      <c r="F48" s="22">
        <f t="shared" si="3"/>
        <v>0.27773089904878795</v>
      </c>
    </row>
    <row r="49" spans="1:6" ht="14.25" customHeight="1" x14ac:dyDescent="0.2">
      <c r="A49" s="20">
        <v>14</v>
      </c>
      <c r="B49" s="184" t="s">
        <v>469</v>
      </c>
      <c r="C49" s="185"/>
      <c r="D49" s="15">
        <f>IF(F3="1",SUMIF(Data!A:A,'2'!$A$2,Data!DH:DH),0)</f>
        <v>104762</v>
      </c>
      <c r="E49" s="18">
        <f>IF(F3="1",SUMIF(Data!$A:$A,'2'!$A$2,Data!JB:JB),0)</f>
        <v>65707</v>
      </c>
      <c r="F49" s="22">
        <f t="shared" si="3"/>
        <v>0.62720261163398938</v>
      </c>
    </row>
    <row r="50" spans="1:6" x14ac:dyDescent="0.2">
      <c r="A50" s="20">
        <v>15</v>
      </c>
      <c r="B50" s="184" t="s">
        <v>13</v>
      </c>
      <c r="C50" s="185"/>
      <c r="D50" s="15">
        <f>IF(F3="1",SUMIF(Data!A:A,'2'!$A$2,Data!DI:DI),0)</f>
        <v>0</v>
      </c>
      <c r="E50" s="18">
        <f>IF(F3="1",SUMIF(Data!$A:$A,'2'!$A$2,Data!JC:JC),0)</f>
        <v>0</v>
      </c>
      <c r="F50" s="22" t="str">
        <f t="shared" si="3"/>
        <v/>
      </c>
    </row>
    <row r="51" spans="1:6" x14ac:dyDescent="0.2">
      <c r="A51" s="20">
        <v>16</v>
      </c>
      <c r="B51" s="184" t="s">
        <v>14</v>
      </c>
      <c r="C51" s="185"/>
      <c r="D51" s="15">
        <f>IF(F3="1",SUMIF(Data!A:A,'2'!$A$2,Data!DJ:DJ),0)</f>
        <v>125660</v>
      </c>
      <c r="E51" s="18">
        <f>IF(F3="1",SUMIF(Data!$A:$A,'2'!$A$2,Data!JD:JD),0)</f>
        <v>303747</v>
      </c>
      <c r="F51" s="22">
        <f t="shared" si="3"/>
        <v>2.4172131147540985</v>
      </c>
    </row>
    <row r="52" spans="1:6" x14ac:dyDescent="0.2">
      <c r="A52" s="20">
        <v>17</v>
      </c>
      <c r="B52" s="184" t="s">
        <v>15</v>
      </c>
      <c r="C52" s="185"/>
      <c r="D52" s="15">
        <f>IF(F3="1",SUMIF(Data!A:A,'2'!$A$2,Data!DK:DK),0)</f>
        <v>51632</v>
      </c>
      <c r="E52" s="18">
        <f>IF(F3="1",SUMIF(Data!$A:$A,'2'!$A$2,Data!JE:JE),0)</f>
        <v>51091</v>
      </c>
      <c r="F52" s="22">
        <f t="shared" si="3"/>
        <v>0.98952200185931205</v>
      </c>
    </row>
    <row r="53" spans="1:6" x14ac:dyDescent="0.2">
      <c r="A53" s="20">
        <v>18</v>
      </c>
      <c r="B53" s="184" t="s">
        <v>16</v>
      </c>
      <c r="C53" s="185"/>
      <c r="D53" s="15">
        <f>IF(F3="1",SUMIF(Data!A:A,'2'!$A$2,Data!DL:DL),0)</f>
        <v>71312</v>
      </c>
      <c r="E53" s="18">
        <f>IF(F3="1",SUMIF(Data!$A:$A,'2'!$A$2,Data!JF:JF),0)</f>
        <v>35125</v>
      </c>
      <c r="F53" s="22">
        <f t="shared" si="3"/>
        <v>0.49255384787973971</v>
      </c>
    </row>
    <row r="54" spans="1:6" x14ac:dyDescent="0.2">
      <c r="A54" s="20">
        <v>19</v>
      </c>
      <c r="B54" s="184" t="s">
        <v>17</v>
      </c>
      <c r="C54" s="185"/>
      <c r="D54" s="15">
        <f>IF(F3="1",SUMIF(Data!A:A,'2'!$A$2,Data!DM:DM),0)</f>
        <v>213532</v>
      </c>
      <c r="E54" s="18">
        <f>IF(F3="1",SUMIF(Data!$A:$A,'2'!$A$2,Data!JG:JG),0)</f>
        <v>83497</v>
      </c>
      <c r="F54" s="22">
        <f t="shared" si="3"/>
        <v>0.39102804263529589</v>
      </c>
    </row>
    <row r="55" spans="1:6" x14ac:dyDescent="0.2">
      <c r="A55" s="20">
        <v>20</v>
      </c>
      <c r="B55" s="184" t="s">
        <v>18</v>
      </c>
      <c r="C55" s="185"/>
      <c r="D55" s="15">
        <f>IF(F3="1",SUMIF(Data!A:A,'2'!$A$2,Data!DN:DN),0)</f>
        <v>29080</v>
      </c>
      <c r="E55" s="18">
        <f>IF(F3="1",SUMIF(Data!$A:$A,'2'!$A$2,Data!JH:JH),0)</f>
        <v>115009</v>
      </c>
      <c r="F55" s="22">
        <f t="shared" si="3"/>
        <v>3.9549174690508941</v>
      </c>
    </row>
    <row r="56" spans="1:6" ht="14.25" customHeight="1" x14ac:dyDescent="0.2">
      <c r="A56" s="20">
        <v>21</v>
      </c>
      <c r="B56" s="184" t="s">
        <v>466</v>
      </c>
      <c r="C56" s="185"/>
      <c r="D56" s="15">
        <f>IF(F3="1",SUMIF(Data!A:A,'2'!$A$2,Data!DO:DO),0)</f>
        <v>496</v>
      </c>
      <c r="E56" s="18">
        <f>IF(F3="1",SUMIF(Data!$A:$A,'2'!$A$2,Data!JI:JI),0)</f>
        <v>17</v>
      </c>
      <c r="F56" s="22">
        <f t="shared" si="3"/>
        <v>3.4274193548387094E-2</v>
      </c>
    </row>
    <row r="57" spans="1:6" x14ac:dyDescent="0.2">
      <c r="A57" s="20">
        <v>22</v>
      </c>
      <c r="B57" s="184" t="s">
        <v>19</v>
      </c>
      <c r="C57" s="185"/>
      <c r="D57" s="15">
        <f>IF(F3="1",SUMIF(Data!A:A,'2'!$A$2,Data!DP:DP),0)</f>
        <v>17036</v>
      </c>
      <c r="E57" s="18">
        <f>IF(F3="1",SUMIF(Data!$A:$A,'2'!$A$2,Data!JJ:JJ),0)</f>
        <v>27708</v>
      </c>
      <c r="F57" s="22">
        <f t="shared" si="3"/>
        <v>1.6264381310166707</v>
      </c>
    </row>
    <row r="58" spans="1:6" x14ac:dyDescent="0.2">
      <c r="A58" s="20">
        <v>23</v>
      </c>
      <c r="B58" s="184" t="s">
        <v>20</v>
      </c>
      <c r="C58" s="185"/>
      <c r="D58" s="15">
        <f>IF(F3="1",SUMIF(Data!A:A,'2'!$A$2,Data!DQ:DQ),0)</f>
        <v>51312</v>
      </c>
      <c r="E58" s="18">
        <f>IF(F3="1",SUMIF(Data!$A:$A,'2'!$A$2,Data!JK:JK),0)</f>
        <v>33462</v>
      </c>
      <c r="F58" s="22">
        <f t="shared" si="3"/>
        <v>0.65212815715622074</v>
      </c>
    </row>
    <row r="59" spans="1:6" x14ac:dyDescent="0.2">
      <c r="A59" s="20">
        <v>24</v>
      </c>
      <c r="B59" s="184" t="s">
        <v>21</v>
      </c>
      <c r="C59" s="185"/>
      <c r="D59" s="15">
        <f>IF(F3="1",SUMIF(Data!A:A,'2'!$A$2,Data!DR:DR),0)</f>
        <v>75008</v>
      </c>
      <c r="E59" s="18">
        <f>IF(F3="1",SUMIF(Data!$A:$A,'2'!$A$2,Data!JL:JL),0)</f>
        <v>89285</v>
      </c>
      <c r="F59" s="22">
        <f t="shared" si="3"/>
        <v>1.1903396970989761</v>
      </c>
    </row>
    <row r="60" spans="1:6" x14ac:dyDescent="0.2">
      <c r="A60" s="20">
        <v>25</v>
      </c>
      <c r="B60" s="184" t="s">
        <v>22</v>
      </c>
      <c r="C60" s="185"/>
      <c r="D60" s="15">
        <f>IF(F3="1",SUMIF(Data!A:A,'2'!$A$2,Data!DS:DS),0)</f>
        <v>290656</v>
      </c>
      <c r="E60" s="18">
        <f>IF(F3="1",SUMIF(Data!$A:$A,'2'!$A$2,Data!JM:JM),0)</f>
        <v>107997</v>
      </c>
      <c r="F60" s="22">
        <f t="shared" si="3"/>
        <v>0.37156294726411976</v>
      </c>
    </row>
    <row r="61" spans="1:6" x14ac:dyDescent="0.2">
      <c r="A61" s="20">
        <v>26</v>
      </c>
      <c r="B61" s="184" t="s">
        <v>23</v>
      </c>
      <c r="C61" s="185"/>
      <c r="D61" s="15">
        <f>IF(F3="1",SUMIF(Data!A:A,'2'!$A$2,Data!DT:DT),0)</f>
        <v>94480</v>
      </c>
      <c r="E61" s="18">
        <f>IF(F3="1",SUMIF(Data!$A:$A,'2'!$A$2,Data!JN:JN),0)</f>
        <v>165397</v>
      </c>
      <c r="F61" s="22">
        <f t="shared" si="3"/>
        <v>1.7506033022861982</v>
      </c>
    </row>
    <row r="62" spans="1:6" x14ac:dyDescent="0.2">
      <c r="A62" s="20">
        <v>28</v>
      </c>
      <c r="B62" s="184" t="s">
        <v>24</v>
      </c>
      <c r="C62" s="185"/>
      <c r="D62" s="15">
        <f>IF(F3="1",SUMIF(Data!A:A,'2'!$A$2,Data!DV:DV),0)</f>
        <v>0</v>
      </c>
      <c r="E62" s="18">
        <f>IF(F3="1",SUMIF(Data!$A:$A,'2'!$A$2,Data!JP:JP),0)</f>
        <v>0</v>
      </c>
      <c r="F62" s="22" t="str">
        <f t="shared" si="3"/>
        <v/>
      </c>
    </row>
    <row r="63" spans="1:6" ht="15.75" customHeight="1" thickBot="1" x14ac:dyDescent="0.25">
      <c r="A63" s="23">
        <v>29</v>
      </c>
      <c r="B63" s="186" t="s">
        <v>25</v>
      </c>
      <c r="C63" s="187"/>
      <c r="D63" s="24">
        <f>IF(F3="1",SUMIF(Data!A:A,'2'!$A$2,Data!DW:DW),0)</f>
        <v>0</v>
      </c>
      <c r="E63" s="25">
        <f>IF(F3="1",SUMIF(Data!$A:$A,'2'!$A$2,Data!JQ:JQ),0)</f>
        <v>0</v>
      </c>
      <c r="F63" s="26" t="str">
        <f t="shared" si="3"/>
        <v/>
      </c>
    </row>
    <row r="64" spans="1:6" x14ac:dyDescent="0.2">
      <c r="B64" s="31" t="s">
        <v>35</v>
      </c>
      <c r="C64" s="31"/>
      <c r="D64" s="61">
        <f>SUM(D36:D63)</f>
        <v>2273527</v>
      </c>
      <c r="E64" s="32">
        <f>SUM(E36:E63)</f>
        <v>2537931</v>
      </c>
      <c r="F64" s="33">
        <f t="shared" si="3"/>
        <v>1.1162968374688316</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19296</v>
      </c>
      <c r="E67" s="16">
        <f>IF(F3="1",SUMIF(Data!A:A,'2'!$A$2,Data!DY:DY),0)</f>
        <v>73420</v>
      </c>
      <c r="F67" s="21">
        <f>IFERROR(E67/D67,"")</f>
        <v>3.8049336650082917</v>
      </c>
    </row>
    <row r="68" spans="1:6" x14ac:dyDescent="0.2">
      <c r="A68" s="20">
        <v>2</v>
      </c>
      <c r="B68" s="184" t="s">
        <v>1</v>
      </c>
      <c r="C68" s="185"/>
      <c r="D68" s="15">
        <f t="shared" ref="D68:D94" si="4">D37</f>
        <v>28834</v>
      </c>
      <c r="E68" s="18">
        <f>IF(F3="1",SUMIF(Data!A:A,'2'!$A$2,Data!DZ:DZ),0)</f>
        <v>84557</v>
      </c>
      <c r="F68" s="22">
        <f t="shared" ref="F68:F95" si="5">IFERROR(E68/D68,"")</f>
        <v>2.9325449122563638</v>
      </c>
    </row>
    <row r="69" spans="1:6" ht="14.25" customHeight="1" x14ac:dyDescent="0.2">
      <c r="A69" s="20">
        <v>3</v>
      </c>
      <c r="B69" s="184" t="s">
        <v>2</v>
      </c>
      <c r="C69" s="185"/>
      <c r="D69" s="15">
        <f t="shared" si="4"/>
        <v>262568</v>
      </c>
      <c r="E69" s="18">
        <f>IF(F3="1",SUMIF(Data!A:A,'2'!$A$2,Data!EA:EA),0)</f>
        <v>611832</v>
      </c>
      <c r="F69" s="22">
        <f t="shared" si="5"/>
        <v>2.3301849425672589</v>
      </c>
    </row>
    <row r="70" spans="1:6" ht="14.25" customHeight="1" x14ac:dyDescent="0.2">
      <c r="A70" s="20">
        <v>4</v>
      </c>
      <c r="B70" s="184" t="s">
        <v>3</v>
      </c>
      <c r="C70" s="185"/>
      <c r="D70" s="15">
        <f t="shared" si="4"/>
        <v>233680</v>
      </c>
      <c r="E70" s="18">
        <f>IF(F3="1",SUMIF(Data!A:A,'2'!$A$2,Data!EB:EB),0)</f>
        <v>1468821</v>
      </c>
      <c r="F70" s="22">
        <f t="shared" si="5"/>
        <v>6.2856085244779187</v>
      </c>
    </row>
    <row r="71" spans="1:6" x14ac:dyDescent="0.2">
      <c r="A71" s="20">
        <v>5</v>
      </c>
      <c r="B71" s="184" t="s">
        <v>4</v>
      </c>
      <c r="C71" s="185"/>
      <c r="D71" s="15">
        <f t="shared" si="4"/>
        <v>0</v>
      </c>
      <c r="E71" s="18">
        <f>IF(F3="1",SUMIF(Data!A:A,'2'!$A$2,Data!EC:EC),0)</f>
        <v>0</v>
      </c>
      <c r="F71" s="22" t="str">
        <f t="shared" si="5"/>
        <v/>
      </c>
    </row>
    <row r="72" spans="1:6" x14ac:dyDescent="0.2">
      <c r="A72" s="20">
        <v>6</v>
      </c>
      <c r="B72" s="184" t="s">
        <v>5</v>
      </c>
      <c r="C72" s="185"/>
      <c r="D72" s="15">
        <f t="shared" si="4"/>
        <v>38603</v>
      </c>
      <c r="E72" s="18">
        <f>IF(F3="1",SUMIF(Data!A:A,'2'!$A$2,Data!ED:ED),0)</f>
        <v>185636</v>
      </c>
      <c r="F72" s="22">
        <f t="shared" si="5"/>
        <v>4.8088490531823949</v>
      </c>
    </row>
    <row r="73" spans="1:6" x14ac:dyDescent="0.2">
      <c r="A73" s="20">
        <v>7</v>
      </c>
      <c r="B73" s="184" t="s">
        <v>6</v>
      </c>
      <c r="C73" s="185"/>
      <c r="D73" s="15">
        <f t="shared" si="4"/>
        <v>137354</v>
      </c>
      <c r="E73" s="18">
        <f>IF(F3="1",SUMIF(Data!A:A,'2'!$A$2,Data!EE:EE),0)</f>
        <v>797735</v>
      </c>
      <c r="F73" s="22">
        <f t="shared" si="5"/>
        <v>5.8078759992428326</v>
      </c>
    </row>
    <row r="74" spans="1:6" x14ac:dyDescent="0.2">
      <c r="A74" s="20">
        <v>8</v>
      </c>
      <c r="B74" s="184" t="s">
        <v>7</v>
      </c>
      <c r="C74" s="185"/>
      <c r="D74" s="15">
        <f t="shared" si="4"/>
        <v>6264</v>
      </c>
      <c r="E74" s="18">
        <f>IF(F3="1",SUMIF(Data!A:A,'2'!$A$2,Data!EF:EF),0)</f>
        <v>9388</v>
      </c>
      <c r="F74" s="22">
        <f t="shared" si="5"/>
        <v>1.4987228607918264</v>
      </c>
    </row>
    <row r="75" spans="1:6" x14ac:dyDescent="0.2">
      <c r="A75" s="20">
        <v>9</v>
      </c>
      <c r="B75" s="184" t="s">
        <v>8</v>
      </c>
      <c r="C75" s="185"/>
      <c r="D75" s="15">
        <f t="shared" si="4"/>
        <v>55336</v>
      </c>
      <c r="E75" s="18">
        <f>IF(F3="1",SUMIF(Data!A:A,'2'!$A$2,Data!EG:EG),0)</f>
        <v>261375</v>
      </c>
      <c r="F75" s="22">
        <f t="shared" si="5"/>
        <v>4.7234169437617464</v>
      </c>
    </row>
    <row r="76" spans="1:6" x14ac:dyDescent="0.2">
      <c r="A76" s="20">
        <v>10</v>
      </c>
      <c r="B76" s="184" t="s">
        <v>9</v>
      </c>
      <c r="C76" s="185"/>
      <c r="D76" s="15">
        <f t="shared" si="4"/>
        <v>0</v>
      </c>
      <c r="E76" s="18">
        <f>IF(F3="1",SUMIF(Data!A:A,'2'!$A$2,Data!EH:EH),0)</f>
        <v>0</v>
      </c>
      <c r="F76" s="22" t="str">
        <f t="shared" si="5"/>
        <v/>
      </c>
    </row>
    <row r="77" spans="1:6" x14ac:dyDescent="0.2">
      <c r="A77" s="20">
        <v>11</v>
      </c>
      <c r="B77" s="184" t="s">
        <v>10</v>
      </c>
      <c r="C77" s="185"/>
      <c r="D77" s="15">
        <f t="shared" si="4"/>
        <v>91970</v>
      </c>
      <c r="E77" s="18">
        <f>IF(F3="1",SUMIF(Data!A:A,'2'!$A$2,Data!EI:EI),0)</f>
        <v>412308</v>
      </c>
      <c r="F77" s="22">
        <f t="shared" si="5"/>
        <v>4.4830705664890722</v>
      </c>
    </row>
    <row r="78" spans="1:6" ht="14.25" customHeight="1" x14ac:dyDescent="0.2">
      <c r="A78" s="20">
        <v>12</v>
      </c>
      <c r="B78" s="184" t="s">
        <v>11</v>
      </c>
      <c r="C78" s="185"/>
      <c r="D78" s="15">
        <f t="shared" si="4"/>
        <v>222512</v>
      </c>
      <c r="E78" s="18">
        <f>IF(F3="1",SUMIF(Data!A:A,'2'!$A$2,Data!EJ:EJ),0)</f>
        <v>982204</v>
      </c>
      <c r="F78" s="22">
        <f t="shared" si="5"/>
        <v>4.4141619328395771</v>
      </c>
    </row>
    <row r="79" spans="1:6" x14ac:dyDescent="0.2">
      <c r="A79" s="20">
        <v>13</v>
      </c>
      <c r="B79" s="184" t="s">
        <v>12</v>
      </c>
      <c r="C79" s="185"/>
      <c r="D79" s="15">
        <f t="shared" si="4"/>
        <v>52144</v>
      </c>
      <c r="E79" s="18">
        <f>IF(F3="1",SUMIF(Data!A:A,'2'!$A$2,Data!EK:EK),0)</f>
        <v>138125</v>
      </c>
      <c r="F79" s="22">
        <f t="shared" si="5"/>
        <v>2.6489145443387541</v>
      </c>
    </row>
    <row r="80" spans="1:6" ht="14.25" customHeight="1" x14ac:dyDescent="0.2">
      <c r="A80" s="20">
        <v>14</v>
      </c>
      <c r="B80" s="184" t="s">
        <v>469</v>
      </c>
      <c r="C80" s="185"/>
      <c r="D80" s="15">
        <f t="shared" si="4"/>
        <v>104762</v>
      </c>
      <c r="E80" s="18">
        <f>IF(F3="1",SUMIF(Data!A:A,'2'!$A$2,Data!EL:EL),0)</f>
        <v>745957</v>
      </c>
      <c r="F80" s="22">
        <f t="shared" si="5"/>
        <v>7.1204921631889428</v>
      </c>
    </row>
    <row r="81" spans="1:6" x14ac:dyDescent="0.2">
      <c r="A81" s="20">
        <v>15</v>
      </c>
      <c r="B81" s="184" t="s">
        <v>13</v>
      </c>
      <c r="C81" s="185"/>
      <c r="D81" s="15">
        <f t="shared" si="4"/>
        <v>0</v>
      </c>
      <c r="E81" s="18">
        <f>IF(F3="1",SUMIF(Data!A:A,'2'!$A$2,Data!EM:EM),0)</f>
        <v>0</v>
      </c>
      <c r="F81" s="22" t="str">
        <f t="shared" si="5"/>
        <v/>
      </c>
    </row>
    <row r="82" spans="1:6" x14ac:dyDescent="0.2">
      <c r="A82" s="20">
        <v>16</v>
      </c>
      <c r="B82" s="184" t="s">
        <v>14</v>
      </c>
      <c r="C82" s="185"/>
      <c r="D82" s="15">
        <f t="shared" si="4"/>
        <v>125660</v>
      </c>
      <c r="E82" s="18">
        <f>IF(F3="1",SUMIF(Data!A:A,'2'!$A$2,Data!EN:EN),0)</f>
        <v>820159</v>
      </c>
      <c r="F82" s="22">
        <f t="shared" si="5"/>
        <v>6.526810440872195</v>
      </c>
    </row>
    <row r="83" spans="1:6" x14ac:dyDescent="0.2">
      <c r="A83" s="20">
        <v>17</v>
      </c>
      <c r="B83" s="184" t="s">
        <v>15</v>
      </c>
      <c r="C83" s="185"/>
      <c r="D83" s="15">
        <f t="shared" si="4"/>
        <v>51632</v>
      </c>
      <c r="E83" s="18">
        <f>IF(F3="1",SUMIF(Data!A:A,'2'!$A$2,Data!EO:EO),0)</f>
        <v>434805</v>
      </c>
      <c r="F83" s="22">
        <f t="shared" si="5"/>
        <v>8.4212310195227769</v>
      </c>
    </row>
    <row r="84" spans="1:6" x14ac:dyDescent="0.2">
      <c r="A84" s="20">
        <v>18</v>
      </c>
      <c r="B84" s="184" t="s">
        <v>16</v>
      </c>
      <c r="C84" s="185"/>
      <c r="D84" s="15">
        <f t="shared" si="4"/>
        <v>71312</v>
      </c>
      <c r="E84" s="18">
        <f>IF(F3="1",SUMIF(Data!A:A,'2'!$A$2,Data!EP:EP),0)</f>
        <v>371319</v>
      </c>
      <c r="F84" s="22">
        <f t="shared" si="5"/>
        <v>5.2069637648642582</v>
      </c>
    </row>
    <row r="85" spans="1:6" x14ac:dyDescent="0.2">
      <c r="A85" s="20">
        <v>19</v>
      </c>
      <c r="B85" s="184" t="s">
        <v>17</v>
      </c>
      <c r="C85" s="185"/>
      <c r="D85" s="15">
        <f t="shared" si="4"/>
        <v>213532</v>
      </c>
      <c r="E85" s="18">
        <f>IF(F3="1",SUMIF(Data!A:A,'2'!$A$2,Data!EQ:EQ),0)</f>
        <v>766687</v>
      </c>
      <c r="F85" s="22">
        <f t="shared" si="5"/>
        <v>3.5905016578311448</v>
      </c>
    </row>
    <row r="86" spans="1:6" x14ac:dyDescent="0.2">
      <c r="A86" s="20">
        <v>20</v>
      </c>
      <c r="B86" s="184" t="s">
        <v>18</v>
      </c>
      <c r="C86" s="185"/>
      <c r="D86" s="15">
        <f t="shared" si="4"/>
        <v>29080</v>
      </c>
      <c r="E86" s="18">
        <f>IF(F3="1",SUMIF(Data!A:A,'2'!$A$2,Data!ER:ER),0)</f>
        <v>62746</v>
      </c>
      <c r="F86" s="22">
        <f t="shared" si="5"/>
        <v>2.1577028885832186</v>
      </c>
    </row>
    <row r="87" spans="1:6" ht="14.25" customHeight="1" x14ac:dyDescent="0.2">
      <c r="A87" s="20">
        <v>21</v>
      </c>
      <c r="B87" s="184" t="s">
        <v>466</v>
      </c>
      <c r="C87" s="185"/>
      <c r="D87" s="15">
        <f t="shared" si="4"/>
        <v>496</v>
      </c>
      <c r="E87" s="18">
        <f>IF(F3="1",SUMIF(Data!A:A,'2'!$A$2,Data!ES:ES),0)</f>
        <v>225</v>
      </c>
      <c r="F87" s="22">
        <f t="shared" si="5"/>
        <v>0.4536290322580645</v>
      </c>
    </row>
    <row r="88" spans="1:6" x14ac:dyDescent="0.2">
      <c r="A88" s="20">
        <v>22</v>
      </c>
      <c r="B88" s="184" t="s">
        <v>19</v>
      </c>
      <c r="C88" s="185"/>
      <c r="D88" s="15">
        <f t="shared" si="4"/>
        <v>17036</v>
      </c>
      <c r="E88" s="18">
        <f>IF(F3="1",SUMIF(Data!A:A,'2'!$A$2,Data!ET:ET),0)</f>
        <v>14788</v>
      </c>
      <c r="F88" s="22">
        <f t="shared" si="5"/>
        <v>0.86804414181732803</v>
      </c>
    </row>
    <row r="89" spans="1:6" x14ac:dyDescent="0.2">
      <c r="A89" s="20">
        <v>23</v>
      </c>
      <c r="B89" s="184" t="s">
        <v>20</v>
      </c>
      <c r="C89" s="185"/>
      <c r="D89" s="15">
        <f t="shared" si="4"/>
        <v>51312</v>
      </c>
      <c r="E89" s="18">
        <f>IF(F3="1",SUMIF(Data!A:A,'2'!$A$2,Data!EU:EU),0)</f>
        <v>378295</v>
      </c>
      <c r="F89" s="22">
        <f t="shared" si="5"/>
        <v>7.3724469909572807</v>
      </c>
    </row>
    <row r="90" spans="1:6" x14ac:dyDescent="0.2">
      <c r="A90" s="20">
        <v>24</v>
      </c>
      <c r="B90" s="184" t="s">
        <v>21</v>
      </c>
      <c r="C90" s="185"/>
      <c r="D90" s="15">
        <f t="shared" si="4"/>
        <v>75008</v>
      </c>
      <c r="E90" s="18">
        <f>IF(F3="1",SUMIF(Data!A:A,'2'!$A$2,Data!EV:EV),0)</f>
        <v>287090</v>
      </c>
      <c r="F90" s="22">
        <f t="shared" si="5"/>
        <v>3.82745840443686</v>
      </c>
    </row>
    <row r="91" spans="1:6" x14ac:dyDescent="0.2">
      <c r="A91" s="20">
        <v>25</v>
      </c>
      <c r="B91" s="184" t="s">
        <v>22</v>
      </c>
      <c r="C91" s="185"/>
      <c r="D91" s="15">
        <f t="shared" si="4"/>
        <v>290656</v>
      </c>
      <c r="E91" s="18">
        <f>IF(F3="1",SUMIF(Data!A:A,'2'!$A$2,Data!EW:EW),0)</f>
        <v>1029701</v>
      </c>
      <c r="F91" s="22">
        <f t="shared" si="5"/>
        <v>3.5426793185071013</v>
      </c>
    </row>
    <row r="92" spans="1:6" x14ac:dyDescent="0.2">
      <c r="A92" s="20">
        <v>26</v>
      </c>
      <c r="B92" s="184" t="s">
        <v>23</v>
      </c>
      <c r="C92" s="185"/>
      <c r="D92" s="15">
        <f t="shared" si="4"/>
        <v>94480</v>
      </c>
      <c r="E92" s="18">
        <f>IF(F3="1",SUMIF(Data!A:A,'2'!$A$2,Data!EX:EX),0)</f>
        <v>925154</v>
      </c>
      <c r="F92" s="22">
        <f t="shared" si="5"/>
        <v>9.7920618120237091</v>
      </c>
    </row>
    <row r="93" spans="1:6" x14ac:dyDescent="0.2">
      <c r="A93" s="20">
        <v>28</v>
      </c>
      <c r="B93" s="184" t="s">
        <v>24</v>
      </c>
      <c r="C93" s="185"/>
      <c r="D93" s="15">
        <f t="shared" si="4"/>
        <v>0</v>
      </c>
      <c r="E93" s="18">
        <f>IF(F3="1",SUMIF(Data!A:A,'2'!$A$2,Data!EZ:EZ),0)</f>
        <v>0</v>
      </c>
      <c r="F93" s="22" t="str">
        <f t="shared" si="5"/>
        <v/>
      </c>
    </row>
    <row r="94" spans="1:6" ht="15.75" customHeight="1" thickBot="1" x14ac:dyDescent="0.25">
      <c r="A94" s="23">
        <v>29</v>
      </c>
      <c r="B94" s="186" t="s">
        <v>25</v>
      </c>
      <c r="C94" s="187"/>
      <c r="D94" s="24">
        <f t="shared" si="4"/>
        <v>0</v>
      </c>
      <c r="E94" s="25">
        <f>IF(F3="1",SUMIF(Data!A:A,'2'!$A$2,Data!FA:FA),0)</f>
        <v>0</v>
      </c>
      <c r="F94" s="26" t="str">
        <f t="shared" si="5"/>
        <v/>
      </c>
    </row>
    <row r="95" spans="1:6" x14ac:dyDescent="0.2">
      <c r="B95" s="31" t="s">
        <v>35</v>
      </c>
      <c r="C95" s="31"/>
      <c r="D95" s="61">
        <f>SUM(D67:D94)</f>
        <v>2273527</v>
      </c>
      <c r="E95" s="32">
        <f>SUM(E67:E94)</f>
        <v>10862327</v>
      </c>
      <c r="F95" s="33">
        <f t="shared" si="5"/>
        <v>4.7777426879029807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IF(F3="1",SUMIF(Data!A:A,'2'!$A$2,Data!AH:AH),0)</f>
        <v>3176221</v>
      </c>
      <c r="F98" s="21">
        <f t="shared" ref="F98:F105" si="6">IFERROR(E98/$D$95,0)</f>
        <v>1.3970456475775304</v>
      </c>
    </row>
    <row r="99" spans="2:6" x14ac:dyDescent="0.2">
      <c r="B99" s="190" t="s">
        <v>31</v>
      </c>
      <c r="C99" s="191"/>
      <c r="D99" s="37"/>
      <c r="E99" s="18">
        <f>IF(F3="1",SUMIF(Data!A:A,'2'!$A$2,Data!AI:AI),0)</f>
        <v>1824302</v>
      </c>
      <c r="F99" s="22">
        <f t="shared" si="6"/>
        <v>0.80241052778348354</v>
      </c>
    </row>
    <row r="100" spans="2:6" x14ac:dyDescent="0.2">
      <c r="B100" s="190" t="s">
        <v>32</v>
      </c>
      <c r="C100" s="191"/>
      <c r="D100" s="37"/>
      <c r="E100" s="18">
        <f>IF(F3="1",SUMIF(Data!A:A,'2'!$A$2,Data!AJ:AJ),0)</f>
        <v>2612791</v>
      </c>
      <c r="F100" s="22">
        <f t="shared" si="6"/>
        <v>1.1492236511816223</v>
      </c>
    </row>
    <row r="101" spans="2:6" x14ac:dyDescent="0.2">
      <c r="B101" s="190" t="s">
        <v>28</v>
      </c>
      <c r="C101" s="191"/>
      <c r="D101" s="37"/>
      <c r="E101" s="18">
        <f>IF(F3="1",SUMIF(Data!A:A,'2'!$A$2,Data!AK:AK),0)</f>
        <v>0</v>
      </c>
      <c r="F101" s="22">
        <f t="shared" si="6"/>
        <v>0</v>
      </c>
    </row>
    <row r="102" spans="2:6" x14ac:dyDescent="0.2">
      <c r="B102" s="190" t="s">
        <v>33</v>
      </c>
      <c r="C102" s="191"/>
      <c r="D102" s="37"/>
      <c r="E102" s="18">
        <f>IF(F3="1",SUMIF(Data!A:A,'2'!$A$2,Data!AL:AL),0)</f>
        <v>0</v>
      </c>
      <c r="F102" s="22">
        <f t="shared" si="6"/>
        <v>0</v>
      </c>
    </row>
    <row r="103" spans="2:6" x14ac:dyDescent="0.2">
      <c r="B103" s="192" t="s">
        <v>34</v>
      </c>
      <c r="C103" s="193"/>
      <c r="D103" s="37"/>
      <c r="E103" s="18">
        <f>IF(F3="1",SUMIF(Data!A:A,'2'!$A$2,Data!AM:AM),0)</f>
        <v>350670</v>
      </c>
      <c r="F103" s="22">
        <f t="shared" si="6"/>
        <v>0.1542405258437661</v>
      </c>
    </row>
    <row r="104" spans="2:6" ht="15.75" customHeight="1" thickBot="1" x14ac:dyDescent="0.25">
      <c r="B104" s="182" t="s">
        <v>29</v>
      </c>
      <c r="C104" s="183"/>
      <c r="D104" s="38"/>
      <c r="E104" s="25">
        <f>IF(F3="1",SUMIF(Data!A:A,'2'!$A$2,Data!Q:Q),0)</f>
        <v>286435</v>
      </c>
      <c r="F104" s="26">
        <f t="shared" si="6"/>
        <v>0.12598706767062806</v>
      </c>
    </row>
    <row r="105" spans="2:6" x14ac:dyDescent="0.2">
      <c r="B105" s="31" t="s">
        <v>35</v>
      </c>
      <c r="C105" s="31"/>
      <c r="D105" s="35">
        <f>D95</f>
        <v>2273527</v>
      </c>
      <c r="E105" s="32">
        <f>SUM(E98:E104)</f>
        <v>8250419</v>
      </c>
      <c r="F105" s="33">
        <f t="shared" si="6"/>
        <v>3.6289074200570304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10862327</v>
      </c>
      <c r="D109" s="16">
        <f>IF(F3="1",SUMIF(Data!$A:$A,$A$2,Data!HJ:HJ),0)</f>
        <v>0</v>
      </c>
      <c r="E109" s="16">
        <f>IF(F3="1",SUMIF(Data!$A:$A,$A$2,Data!IN:IN),0)</f>
        <v>0</v>
      </c>
      <c r="F109" s="48">
        <f>SUM(C109:E109)</f>
        <v>10862327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286435</v>
      </c>
      <c r="E117" s="53"/>
      <c r="F117" s="50">
        <f>SUM(C117:E117)</f>
        <v>286435</v>
      </c>
    </row>
    <row r="118" spans="1:6" x14ac:dyDescent="0.2">
      <c r="B118" s="14" t="s">
        <v>35</v>
      </c>
      <c r="C118" s="5">
        <f>SUM(C109:C116)</f>
        <v>10862327</v>
      </c>
      <c r="D118" s="5">
        <f>SUM(D109:D116)</f>
        <v>0</v>
      </c>
      <c r="E118" s="5">
        <f>SUM(E109:E116)</f>
        <v>0</v>
      </c>
      <c r="F118" s="5">
        <f>SUM(F109:F116)</f>
        <v>10862327</v>
      </c>
    </row>
    <row r="119" spans="1:6" ht="15" thickBot="1" x14ac:dyDescent="0.25"/>
    <row r="120" spans="1:6" ht="15" thickBot="1" x14ac:dyDescent="0.25">
      <c r="B120" s="57" t="s">
        <v>942</v>
      </c>
      <c r="C120" s="55"/>
      <c r="D120" s="55"/>
      <c r="E120" s="55">
        <f>IF(F3="1",SUMIF(Data!A:A,'2'!$A$2,Data!AM:AM),0)</f>
        <v>350670</v>
      </c>
      <c r="F120" s="56">
        <f>SUM(C120:E120)</f>
        <v>350670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15" width="16.42578125" style="11" bestFit="1" customWidth="1"/>
    <col min="16"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352</v>
      </c>
      <c r="B2" s="60" t="str">
        <f>VLOOKUP(A2,Data!A:G,7,0)</f>
        <v>Amarillo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10397</v>
      </c>
      <c r="E5" s="16">
        <f>E36+E67+IFERROR($E$105/$D$105*D5,0)</f>
        <v>84079.708557307225</v>
      </c>
      <c r="F5" s="21">
        <f>IFERROR(E5/D5,"")</f>
        <v>8.0869201267007043</v>
      </c>
    </row>
    <row r="6" spans="1:6" x14ac:dyDescent="0.2">
      <c r="A6" s="20">
        <v>2</v>
      </c>
      <c r="B6" s="184" t="s">
        <v>1</v>
      </c>
      <c r="C6" s="185"/>
      <c r="D6" s="15">
        <f t="shared" ref="D6:D32" si="0">D37</f>
        <v>33432</v>
      </c>
      <c r="E6" s="18">
        <f t="shared" ref="E6:E32" si="1">E37+E68+IFERROR($E$105/$D$105*D6,0)</f>
        <v>311607.17298142682</v>
      </c>
      <c r="F6" s="22">
        <f t="shared" ref="F6:F33" si="2">IFERROR(E6/D6,"")</f>
        <v>9.3206261360800085</v>
      </c>
    </row>
    <row r="7" spans="1:6" ht="14.25" customHeight="1" x14ac:dyDescent="0.2">
      <c r="A7" s="20">
        <v>3</v>
      </c>
      <c r="B7" s="184" t="s">
        <v>2</v>
      </c>
      <c r="C7" s="185"/>
      <c r="D7" s="15">
        <f t="shared" si="0"/>
        <v>454096</v>
      </c>
      <c r="E7" s="18">
        <f t="shared" si="1"/>
        <v>3476929.7305029314</v>
      </c>
      <c r="F7" s="22">
        <f t="shared" si="2"/>
        <v>7.6568164672292456</v>
      </c>
    </row>
    <row r="8" spans="1:6" ht="14.25" customHeight="1" x14ac:dyDescent="0.2">
      <c r="A8" s="20">
        <v>4</v>
      </c>
      <c r="B8" s="184" t="s">
        <v>3</v>
      </c>
      <c r="C8" s="185"/>
      <c r="D8" s="15">
        <f t="shared" si="0"/>
        <v>371081</v>
      </c>
      <c r="E8" s="18">
        <f t="shared" si="1"/>
        <v>3173030.1462108414</v>
      </c>
      <c r="F8" s="22">
        <f t="shared" si="2"/>
        <v>8.5507750227331538</v>
      </c>
    </row>
    <row r="9" spans="1:6" x14ac:dyDescent="0.2">
      <c r="A9" s="20">
        <v>5</v>
      </c>
      <c r="B9" s="184" t="s">
        <v>4</v>
      </c>
      <c r="C9" s="185"/>
      <c r="D9" s="15">
        <f t="shared" si="0"/>
        <v>448</v>
      </c>
      <c r="E9" s="18">
        <f t="shared" si="1"/>
        <v>4198.6689846757363</v>
      </c>
      <c r="F9" s="22">
        <f t="shared" si="2"/>
        <v>9.3720289836511963</v>
      </c>
    </row>
    <row r="10" spans="1:6" x14ac:dyDescent="0.2">
      <c r="A10" s="20">
        <v>6</v>
      </c>
      <c r="B10" s="184" t="s">
        <v>5</v>
      </c>
      <c r="C10" s="185"/>
      <c r="D10" s="15">
        <f t="shared" si="0"/>
        <v>42028</v>
      </c>
      <c r="E10" s="18">
        <f t="shared" si="1"/>
        <v>364752.88412489253</v>
      </c>
      <c r="F10" s="22">
        <f t="shared" si="2"/>
        <v>8.6788066080920458</v>
      </c>
    </row>
    <row r="11" spans="1:6" x14ac:dyDescent="0.2">
      <c r="A11" s="20">
        <v>7</v>
      </c>
      <c r="B11" s="184" t="s">
        <v>6</v>
      </c>
      <c r="C11" s="185"/>
      <c r="D11" s="15">
        <f t="shared" si="0"/>
        <v>70390</v>
      </c>
      <c r="E11" s="18">
        <f t="shared" si="1"/>
        <v>592350.95944492205</v>
      </c>
      <c r="F11" s="22">
        <f t="shared" si="2"/>
        <v>8.4152714795414418</v>
      </c>
    </row>
    <row r="12" spans="1:6" x14ac:dyDescent="0.2">
      <c r="A12" s="20">
        <v>8</v>
      </c>
      <c r="B12" s="184" t="s">
        <v>7</v>
      </c>
      <c r="C12" s="185"/>
      <c r="D12" s="15">
        <f t="shared" si="0"/>
        <v>12620</v>
      </c>
      <c r="E12" s="18">
        <f t="shared" si="1"/>
        <v>118229.11291653526</v>
      </c>
      <c r="F12" s="22">
        <f t="shared" si="2"/>
        <v>9.3683924656525566</v>
      </c>
    </row>
    <row r="13" spans="1:6" x14ac:dyDescent="0.2">
      <c r="A13" s="20">
        <v>9</v>
      </c>
      <c r="B13" s="184" t="s">
        <v>8</v>
      </c>
      <c r="C13" s="185"/>
      <c r="D13" s="15">
        <f t="shared" si="0"/>
        <v>183521</v>
      </c>
      <c r="E13" s="18">
        <f t="shared" si="1"/>
        <v>1331486.6043229373</v>
      </c>
      <c r="F13" s="22">
        <f t="shared" si="2"/>
        <v>7.255227490711893</v>
      </c>
    </row>
    <row r="14" spans="1:6" x14ac:dyDescent="0.2">
      <c r="A14" s="20">
        <v>10</v>
      </c>
      <c r="B14" s="184" t="s">
        <v>9</v>
      </c>
      <c r="C14" s="185"/>
      <c r="D14" s="15">
        <f t="shared" si="0"/>
        <v>5760</v>
      </c>
      <c r="E14" s="18">
        <f t="shared" si="1"/>
        <v>43912.744088688036</v>
      </c>
      <c r="F14" s="22">
        <f t="shared" si="2"/>
        <v>7.6237402931750058</v>
      </c>
    </row>
    <row r="15" spans="1:6" x14ac:dyDescent="0.2">
      <c r="A15" s="20">
        <v>11</v>
      </c>
      <c r="B15" s="184" t="s">
        <v>10</v>
      </c>
      <c r="C15" s="185"/>
      <c r="D15" s="15">
        <f t="shared" si="0"/>
        <v>127340</v>
      </c>
      <c r="E15" s="18">
        <f t="shared" si="1"/>
        <v>1077513.8493495721</v>
      </c>
      <c r="F15" s="22">
        <f t="shared" si="2"/>
        <v>8.4617076280004095</v>
      </c>
    </row>
    <row r="16" spans="1:6" ht="14.25" customHeight="1" x14ac:dyDescent="0.2">
      <c r="A16" s="20">
        <v>12</v>
      </c>
      <c r="B16" s="184" t="s">
        <v>11</v>
      </c>
      <c r="C16" s="185"/>
      <c r="D16" s="15">
        <f t="shared" si="0"/>
        <v>606556</v>
      </c>
      <c r="E16" s="18">
        <f t="shared" si="1"/>
        <v>5477685.5193503927</v>
      </c>
      <c r="F16" s="22">
        <f t="shared" si="2"/>
        <v>9.030799331554535</v>
      </c>
    </row>
    <row r="17" spans="1:6" x14ac:dyDescent="0.2">
      <c r="A17" s="20">
        <v>13</v>
      </c>
      <c r="B17" s="184" t="s">
        <v>12</v>
      </c>
      <c r="C17" s="185"/>
      <c r="D17" s="15">
        <f t="shared" si="0"/>
        <v>56476</v>
      </c>
      <c r="E17" s="18">
        <f t="shared" si="1"/>
        <v>453739.95888068504</v>
      </c>
      <c r="F17" s="22">
        <f t="shared" si="2"/>
        <v>8.0342084935315015</v>
      </c>
    </row>
    <row r="18" spans="1:6" ht="14.25" customHeight="1" x14ac:dyDescent="0.2">
      <c r="A18" s="20">
        <v>14</v>
      </c>
      <c r="B18" s="184" t="s">
        <v>469</v>
      </c>
      <c r="C18" s="185"/>
      <c r="D18" s="15">
        <f t="shared" si="0"/>
        <v>293231</v>
      </c>
      <c r="E18" s="18">
        <f t="shared" si="1"/>
        <v>2802473.3862621672</v>
      </c>
      <c r="F18" s="22">
        <f t="shared" si="2"/>
        <v>9.5572207108462859</v>
      </c>
    </row>
    <row r="19" spans="1:6" x14ac:dyDescent="0.2">
      <c r="A19" s="20">
        <v>15</v>
      </c>
      <c r="B19" s="184" t="s">
        <v>13</v>
      </c>
      <c r="C19" s="185"/>
      <c r="D19" s="15">
        <f t="shared" si="0"/>
        <v>49728</v>
      </c>
      <c r="E19" s="18">
        <f t="shared" si="1"/>
        <v>432672.25729900674</v>
      </c>
      <c r="F19" s="22">
        <f t="shared" si="2"/>
        <v>8.7007773748995891</v>
      </c>
    </row>
    <row r="20" spans="1:6" x14ac:dyDescent="0.2">
      <c r="A20" s="20">
        <v>16</v>
      </c>
      <c r="B20" s="184" t="s">
        <v>14</v>
      </c>
      <c r="C20" s="185"/>
      <c r="D20" s="15">
        <f t="shared" si="0"/>
        <v>308200</v>
      </c>
      <c r="E20" s="18">
        <f t="shared" si="1"/>
        <v>2645987.4041898707</v>
      </c>
      <c r="F20" s="22">
        <f t="shared" si="2"/>
        <v>8.5852933296232017</v>
      </c>
    </row>
    <row r="21" spans="1:6" x14ac:dyDescent="0.2">
      <c r="A21" s="20">
        <v>17</v>
      </c>
      <c r="B21" s="184" t="s">
        <v>15</v>
      </c>
      <c r="C21" s="185"/>
      <c r="D21" s="15">
        <f t="shared" si="0"/>
        <v>32672</v>
      </c>
      <c r="E21" s="18">
        <f t="shared" si="1"/>
        <v>286717.35952528048</v>
      </c>
      <c r="F21" s="22">
        <f t="shared" si="2"/>
        <v>8.7756292704848331</v>
      </c>
    </row>
    <row r="22" spans="1:6" x14ac:dyDescent="0.2">
      <c r="A22" s="20">
        <v>18</v>
      </c>
      <c r="B22" s="184" t="s">
        <v>16</v>
      </c>
      <c r="C22" s="185"/>
      <c r="D22" s="15">
        <f t="shared" si="0"/>
        <v>119984</v>
      </c>
      <c r="E22" s="18">
        <f t="shared" si="1"/>
        <v>1189069.0970029766</v>
      </c>
      <c r="F22" s="22">
        <f t="shared" si="2"/>
        <v>9.9102305057589053</v>
      </c>
    </row>
    <row r="23" spans="1:6" x14ac:dyDescent="0.2">
      <c r="A23" s="20">
        <v>19</v>
      </c>
      <c r="B23" s="184" t="s">
        <v>17</v>
      </c>
      <c r="C23" s="185"/>
      <c r="D23" s="15">
        <f t="shared" si="0"/>
        <v>538191</v>
      </c>
      <c r="E23" s="18">
        <f t="shared" si="1"/>
        <v>4246025.8918116502</v>
      </c>
      <c r="F23" s="22">
        <f t="shared" si="2"/>
        <v>7.8894405365597908</v>
      </c>
    </row>
    <row r="24" spans="1:6" x14ac:dyDescent="0.2">
      <c r="A24" s="20">
        <v>20</v>
      </c>
      <c r="B24" s="184" t="s">
        <v>18</v>
      </c>
      <c r="C24" s="185"/>
      <c r="D24" s="15">
        <f t="shared" si="0"/>
        <v>44404</v>
      </c>
      <c r="E24" s="18">
        <f t="shared" si="1"/>
        <v>415994.75356147636</v>
      </c>
      <c r="F24" s="22">
        <f t="shared" si="2"/>
        <v>9.3684072056903958</v>
      </c>
    </row>
    <row r="25" spans="1:6" ht="14.25" customHeight="1" x14ac:dyDescent="0.2">
      <c r="A25" s="20">
        <v>21</v>
      </c>
      <c r="B25" s="184" t="s">
        <v>466</v>
      </c>
      <c r="C25" s="185"/>
      <c r="D25" s="15">
        <f t="shared" si="0"/>
        <v>157143</v>
      </c>
      <c r="E25" s="18">
        <f t="shared" si="1"/>
        <v>1471610.0630779001</v>
      </c>
      <c r="F25" s="22">
        <f t="shared" si="2"/>
        <v>9.3647827970568223</v>
      </c>
    </row>
    <row r="26" spans="1:6" x14ac:dyDescent="0.2">
      <c r="A26" s="20">
        <v>22</v>
      </c>
      <c r="B26" s="184" t="s">
        <v>19</v>
      </c>
      <c r="C26" s="185"/>
      <c r="D26" s="15">
        <f t="shared" si="0"/>
        <v>11008</v>
      </c>
      <c r="E26" s="18">
        <f t="shared" si="1"/>
        <v>97022.866480603814</v>
      </c>
      <c r="F26" s="22">
        <f t="shared" si="2"/>
        <v>8.8138505160432246</v>
      </c>
    </row>
    <row r="27" spans="1:6" x14ac:dyDescent="0.2">
      <c r="A27" s="20">
        <v>23</v>
      </c>
      <c r="B27" s="184" t="s">
        <v>20</v>
      </c>
      <c r="C27" s="185"/>
      <c r="D27" s="15">
        <f t="shared" si="0"/>
        <v>81872</v>
      </c>
      <c r="E27" s="18">
        <f t="shared" si="1"/>
        <v>485511.75694949087</v>
      </c>
      <c r="F27" s="22">
        <f t="shared" si="2"/>
        <v>5.9301318759709165</v>
      </c>
    </row>
    <row r="28" spans="1:6" x14ac:dyDescent="0.2">
      <c r="A28" s="20">
        <v>24</v>
      </c>
      <c r="B28" s="184" t="s">
        <v>21</v>
      </c>
      <c r="C28" s="185"/>
      <c r="D28" s="15">
        <f t="shared" si="0"/>
        <v>234237</v>
      </c>
      <c r="E28" s="18">
        <f t="shared" si="1"/>
        <v>1960719.8191149342</v>
      </c>
      <c r="F28" s="22">
        <f t="shared" si="2"/>
        <v>8.3706665433511116</v>
      </c>
    </row>
    <row r="29" spans="1:6" x14ac:dyDescent="0.2">
      <c r="A29" s="20">
        <v>25</v>
      </c>
      <c r="B29" s="184" t="s">
        <v>22</v>
      </c>
      <c r="C29" s="185"/>
      <c r="D29" s="15">
        <f t="shared" si="0"/>
        <v>559897</v>
      </c>
      <c r="E29" s="18">
        <f t="shared" si="1"/>
        <v>3435518.8850736404</v>
      </c>
      <c r="F29" s="22">
        <f t="shared" si="2"/>
        <v>6.1359837346398365</v>
      </c>
    </row>
    <row r="30" spans="1:6" x14ac:dyDescent="0.2">
      <c r="A30" s="20">
        <v>26</v>
      </c>
      <c r="B30" s="184" t="s">
        <v>23</v>
      </c>
      <c r="C30" s="185"/>
      <c r="D30" s="15">
        <f t="shared" si="0"/>
        <v>224548</v>
      </c>
      <c r="E30" s="18">
        <f t="shared" si="1"/>
        <v>1799561.3999351948</v>
      </c>
      <c r="F30" s="22">
        <f t="shared" si="2"/>
        <v>8.0141502036766958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4629260</v>
      </c>
      <c r="E33" s="32">
        <f>SUM(E5:E32)</f>
        <v>37778402.000000007</v>
      </c>
      <c r="F33" s="33">
        <f t="shared" si="2"/>
        <v>8.160786389185315</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IF(F3="1",SUMIF(Data!A:A,'3'!$A$2,Data!CU:CU),0)</f>
        <v>10397</v>
      </c>
      <c r="E36" s="16">
        <f>IF(F3="1",SUMIF(Data!$A:$A,'3'!$A$2,Data!IO:IO),0)</f>
        <v>14822</v>
      </c>
      <c r="F36" s="21">
        <f t="shared" ref="F36:F64" si="3">IFERROR(E36/D36,"")</f>
        <v>1.425603539482543</v>
      </c>
    </row>
    <row r="37" spans="1:6" x14ac:dyDescent="0.2">
      <c r="A37" s="20">
        <v>2</v>
      </c>
      <c r="B37" s="184" t="s">
        <v>1</v>
      </c>
      <c r="C37" s="185"/>
      <c r="D37" s="15">
        <f>IF(F3="1",SUMIF(Data!A:A,'3'!$A$2,Data!CV:CV),0)</f>
        <v>33432</v>
      </c>
      <c r="E37" s="18">
        <f>IF(F3="1",SUMIF(Data!$A:$A,'3'!$A$2,Data!IP:IP),0)</f>
        <v>63331</v>
      </c>
      <c r="F37" s="22">
        <f t="shared" si="3"/>
        <v>1.894322804498684</v>
      </c>
    </row>
    <row r="38" spans="1:6" ht="14.25" customHeight="1" x14ac:dyDescent="0.2">
      <c r="A38" s="20">
        <v>3</v>
      </c>
      <c r="B38" s="184" t="s">
        <v>2</v>
      </c>
      <c r="C38" s="185"/>
      <c r="D38" s="15">
        <f>IF(F3="1",SUMIF(Data!A:A,'3'!$A$2,Data!CW:CW),0)</f>
        <v>454096</v>
      </c>
      <c r="E38" s="18">
        <f>IF(F3="1",SUMIF(Data!$A:$A,'3'!$A$2,Data!IQ:IQ),0)</f>
        <v>478385</v>
      </c>
      <c r="F38" s="22">
        <f t="shared" si="3"/>
        <v>1.0534886896162925</v>
      </c>
    </row>
    <row r="39" spans="1:6" ht="14.25" customHeight="1" x14ac:dyDescent="0.2">
      <c r="A39" s="20">
        <v>4</v>
      </c>
      <c r="B39" s="184" t="s">
        <v>3</v>
      </c>
      <c r="C39" s="185"/>
      <c r="D39" s="15">
        <f>IF(F3="1",SUMIF(Data!A:A,'3'!$A$2,Data!CX:CX),0)</f>
        <v>371081</v>
      </c>
      <c r="E39" s="18">
        <f>IF(F3="1",SUMIF(Data!$A:$A,'3'!$A$2,Data!IR:IR),0)</f>
        <v>536890</v>
      </c>
      <c r="F39" s="22">
        <f t="shared" si="3"/>
        <v>1.4468269730867385</v>
      </c>
    </row>
    <row r="40" spans="1:6" x14ac:dyDescent="0.2">
      <c r="A40" s="20">
        <v>5</v>
      </c>
      <c r="B40" s="184" t="s">
        <v>4</v>
      </c>
      <c r="C40" s="185"/>
      <c r="D40" s="15">
        <f>IF(F3="1",SUMIF(Data!A:A,'3'!$A$2,Data!CY:CY),0)</f>
        <v>448</v>
      </c>
      <c r="E40" s="18">
        <f>IF(F3="1",SUMIF(Data!$A:$A,'3'!$A$2,Data!IS:IS),0)</f>
        <v>820</v>
      </c>
      <c r="F40" s="22">
        <f t="shared" si="3"/>
        <v>1.8303571428571428</v>
      </c>
    </row>
    <row r="41" spans="1:6" x14ac:dyDescent="0.2">
      <c r="A41" s="20">
        <v>6</v>
      </c>
      <c r="B41" s="184" t="s">
        <v>5</v>
      </c>
      <c r="C41" s="185"/>
      <c r="D41" s="15">
        <f>IF(F3="1",SUMIF(Data!A:A,'3'!$A$2,Data!CZ:CZ),0)</f>
        <v>42028</v>
      </c>
      <c r="E41" s="18">
        <f>IF(F3="1",SUMIF(Data!$A:$A,'3'!$A$2,Data!IT:IT),0)</f>
        <v>71877</v>
      </c>
      <c r="F41" s="22">
        <f t="shared" si="3"/>
        <v>1.7102169981916817</v>
      </c>
    </row>
    <row r="42" spans="1:6" x14ac:dyDescent="0.2">
      <c r="A42" s="20">
        <v>7</v>
      </c>
      <c r="B42" s="184" t="s">
        <v>6</v>
      </c>
      <c r="C42" s="185"/>
      <c r="D42" s="15">
        <f>IF(F3="1",SUMIF(Data!A:A,'3'!$A$2,Data!DA:DA),0)</f>
        <v>70390</v>
      </c>
      <c r="E42" s="18">
        <f>IF(F3="1",SUMIF(Data!$A:$A,'3'!$A$2,Data!IU:IU),0)</f>
        <v>83719</v>
      </c>
      <c r="F42" s="22">
        <f t="shared" si="3"/>
        <v>1.1893592839892031</v>
      </c>
    </row>
    <row r="43" spans="1:6" x14ac:dyDescent="0.2">
      <c r="A43" s="20">
        <v>8</v>
      </c>
      <c r="B43" s="184" t="s">
        <v>7</v>
      </c>
      <c r="C43" s="185"/>
      <c r="D43" s="15">
        <f>IF(F3="1",SUMIF(Data!A:A,'3'!$A$2,Data!DB:DB),0)</f>
        <v>12620</v>
      </c>
      <c r="E43" s="18">
        <f>IF(F3="1",SUMIF(Data!$A:$A,'3'!$A$2,Data!IV:IV),0)</f>
        <v>23067</v>
      </c>
      <c r="F43" s="22">
        <f t="shared" si="3"/>
        <v>1.8278129952456419</v>
      </c>
    </row>
    <row r="44" spans="1:6" x14ac:dyDescent="0.2">
      <c r="A44" s="20">
        <v>9</v>
      </c>
      <c r="B44" s="184" t="s">
        <v>8</v>
      </c>
      <c r="C44" s="185"/>
      <c r="D44" s="15">
        <f>IF(F3="1",SUMIF(Data!A:A,'3'!$A$2,Data!DC:DC),0)</f>
        <v>183521</v>
      </c>
      <c r="E44" s="18">
        <f>IF(F3="1",SUMIF(Data!$A:$A,'3'!$A$2,Data!IW:IW),0)</f>
        <v>189397</v>
      </c>
      <c r="F44" s="22">
        <f t="shared" si="3"/>
        <v>1.0320181341644825</v>
      </c>
    </row>
    <row r="45" spans="1:6" x14ac:dyDescent="0.2">
      <c r="A45" s="20">
        <v>10</v>
      </c>
      <c r="B45" s="184" t="s">
        <v>9</v>
      </c>
      <c r="C45" s="185"/>
      <c r="D45" s="15">
        <f>IF(F3="1",SUMIF(Data!A:A,'3'!$A$2,Data!DD:DD),0)</f>
        <v>5760</v>
      </c>
      <c r="E45" s="18">
        <f>IF(F3="1",SUMIF(Data!$A:$A,'3'!$A$2,Data!IX:IX),0)</f>
        <v>5837</v>
      </c>
      <c r="F45" s="22">
        <f t="shared" si="3"/>
        <v>1.0133680555555555</v>
      </c>
    </row>
    <row r="46" spans="1:6" x14ac:dyDescent="0.2">
      <c r="A46" s="20">
        <v>11</v>
      </c>
      <c r="B46" s="184" t="s">
        <v>10</v>
      </c>
      <c r="C46" s="185"/>
      <c r="D46" s="15">
        <f>IF(F3="1",SUMIF(Data!A:A,'3'!$A$2,Data!DE:DE),0)</f>
        <v>127340</v>
      </c>
      <c r="E46" s="18">
        <f>IF(F3="1",SUMIF(Data!$A:$A,'3'!$A$2,Data!IY:IY),0)</f>
        <v>200686</v>
      </c>
      <c r="F46" s="22">
        <f t="shared" si="3"/>
        <v>1.5759855504947384</v>
      </c>
    </row>
    <row r="47" spans="1:6" ht="14.25" customHeight="1" x14ac:dyDescent="0.2">
      <c r="A47" s="20">
        <v>12</v>
      </c>
      <c r="B47" s="184" t="s">
        <v>11</v>
      </c>
      <c r="C47" s="185"/>
      <c r="D47" s="15">
        <f>IF(F3="1",SUMIF(Data!A:A,'3'!$A$2,Data!DF:DF),0)</f>
        <v>606556</v>
      </c>
      <c r="E47" s="18">
        <f>IF(F3="1",SUMIF(Data!$A:$A,'3'!$A$2,Data!IZ:IZ),0)</f>
        <v>1220950</v>
      </c>
      <c r="F47" s="22">
        <f t="shared" si="3"/>
        <v>2.0129221374448525</v>
      </c>
    </row>
    <row r="48" spans="1:6" x14ac:dyDescent="0.2">
      <c r="A48" s="20">
        <v>13</v>
      </c>
      <c r="B48" s="184" t="s">
        <v>12</v>
      </c>
      <c r="C48" s="185"/>
      <c r="D48" s="15">
        <f>IF(F3="1",SUMIF(Data!A:A,'3'!$A$2,Data!DG:DG),0)</f>
        <v>56476</v>
      </c>
      <c r="E48" s="18">
        <f>IF(F3="1",SUMIF(Data!$A:$A,'3'!$A$2,Data!JA:JA),0)</f>
        <v>73098</v>
      </c>
      <c r="F48" s="22">
        <f t="shared" si="3"/>
        <v>1.2943197110276932</v>
      </c>
    </row>
    <row r="49" spans="1:6" ht="14.25" customHeight="1" x14ac:dyDescent="0.2">
      <c r="A49" s="20">
        <v>14</v>
      </c>
      <c r="B49" s="184" t="s">
        <v>469</v>
      </c>
      <c r="C49" s="185"/>
      <c r="D49" s="15">
        <f>IF(F3="1",SUMIF(Data!A:A,'3'!$A$2,Data!DH:DH),0)</f>
        <v>293231</v>
      </c>
      <c r="E49" s="18">
        <f>IF(F3="1",SUMIF(Data!$A:$A,'3'!$A$2,Data!JB:JB),0)</f>
        <v>432929</v>
      </c>
      <c r="F49" s="22">
        <f t="shared" si="3"/>
        <v>1.4764093837281871</v>
      </c>
    </row>
    <row r="50" spans="1:6" x14ac:dyDescent="0.2">
      <c r="A50" s="20">
        <v>15</v>
      </c>
      <c r="B50" s="184" t="s">
        <v>13</v>
      </c>
      <c r="C50" s="185"/>
      <c r="D50" s="15">
        <f>IF(F3="1",SUMIF(Data!A:A,'3'!$A$2,Data!DI:DI),0)</f>
        <v>49728</v>
      </c>
      <c r="E50" s="18">
        <f>IF(F3="1",SUMIF(Data!$A:$A,'3'!$A$2,Data!JC:JC),0)</f>
        <v>70539</v>
      </c>
      <c r="F50" s="22">
        <f t="shared" si="3"/>
        <v>1.4184966216216217</v>
      </c>
    </row>
    <row r="51" spans="1:6" x14ac:dyDescent="0.2">
      <c r="A51" s="20">
        <v>16</v>
      </c>
      <c r="B51" s="184" t="s">
        <v>14</v>
      </c>
      <c r="C51" s="185"/>
      <c r="D51" s="15">
        <f>IF(F3="1",SUMIF(Data!A:A,'3'!$A$2,Data!DJ:DJ),0)</f>
        <v>308200</v>
      </c>
      <c r="E51" s="18">
        <f>IF(F3="1",SUMIF(Data!$A:$A,'3'!$A$2,Data!JD:JD),0)</f>
        <v>473990</v>
      </c>
      <c r="F51" s="22">
        <f t="shared" si="3"/>
        <v>1.5379299156391952</v>
      </c>
    </row>
    <row r="52" spans="1:6" x14ac:dyDescent="0.2">
      <c r="A52" s="20">
        <v>17</v>
      </c>
      <c r="B52" s="184" t="s">
        <v>15</v>
      </c>
      <c r="C52" s="185"/>
      <c r="D52" s="15">
        <f>IF(F3="1",SUMIF(Data!A:A,'3'!$A$2,Data!DK:DK),0)</f>
        <v>32672</v>
      </c>
      <c r="E52" s="18">
        <f>IF(F3="1",SUMIF(Data!$A:$A,'3'!$A$2,Data!JE:JE),0)</f>
        <v>40252</v>
      </c>
      <c r="F52" s="22">
        <f t="shared" si="3"/>
        <v>1.2320029382957884</v>
      </c>
    </row>
    <row r="53" spans="1:6" x14ac:dyDescent="0.2">
      <c r="A53" s="20">
        <v>18</v>
      </c>
      <c r="B53" s="184" t="s">
        <v>16</v>
      </c>
      <c r="C53" s="185"/>
      <c r="D53" s="15">
        <f>IF(F3="1",SUMIF(Data!A:A,'3'!$A$2,Data!DL:DL),0)</f>
        <v>119984</v>
      </c>
      <c r="E53" s="18">
        <f>IF(F3="1",SUMIF(Data!$A:$A,'3'!$A$2,Data!JF:JF),0)</f>
        <v>144666</v>
      </c>
      <c r="F53" s="22">
        <f t="shared" si="3"/>
        <v>1.2057107614348579</v>
      </c>
    </row>
    <row r="54" spans="1:6" x14ac:dyDescent="0.2">
      <c r="A54" s="20">
        <v>19</v>
      </c>
      <c r="B54" s="184" t="s">
        <v>17</v>
      </c>
      <c r="C54" s="185"/>
      <c r="D54" s="15">
        <f>IF(F3="1",SUMIF(Data!A:A,'3'!$A$2,Data!DM:DM),0)</f>
        <v>538191</v>
      </c>
      <c r="E54" s="18">
        <f>IF(F3="1",SUMIF(Data!$A:$A,'3'!$A$2,Data!JG:JG),0)</f>
        <v>658202</v>
      </c>
      <c r="F54" s="22">
        <f t="shared" si="3"/>
        <v>1.2229896077786511</v>
      </c>
    </row>
    <row r="55" spans="1:6" x14ac:dyDescent="0.2">
      <c r="A55" s="20">
        <v>20</v>
      </c>
      <c r="B55" s="184" t="s">
        <v>18</v>
      </c>
      <c r="C55" s="185"/>
      <c r="D55" s="15">
        <f>IF(F3="1",SUMIF(Data!A:A,'3'!$A$2,Data!DN:DN),0)</f>
        <v>44404</v>
      </c>
      <c r="E55" s="18">
        <f>IF(F3="1",SUMIF(Data!$A:$A,'3'!$A$2,Data!JH:JH),0)</f>
        <v>81162</v>
      </c>
      <c r="F55" s="22">
        <f t="shared" si="3"/>
        <v>1.8278083055580578</v>
      </c>
    </row>
    <row r="56" spans="1:6" ht="14.25" customHeight="1" x14ac:dyDescent="0.2">
      <c r="A56" s="20">
        <v>21</v>
      </c>
      <c r="B56" s="184" t="s">
        <v>466</v>
      </c>
      <c r="C56" s="185"/>
      <c r="D56" s="15">
        <f>IF(F3="1",SUMIF(Data!A:A,'3'!$A$2,Data!DO:DO),0)</f>
        <v>157143</v>
      </c>
      <c r="E56" s="18">
        <f>IF(F3="1",SUMIF(Data!$A:$A,'3'!$A$2,Data!JI:JI),0)</f>
        <v>288194</v>
      </c>
      <c r="F56" s="22">
        <f t="shared" si="3"/>
        <v>1.8339601509453174</v>
      </c>
    </row>
    <row r="57" spans="1:6" x14ac:dyDescent="0.2">
      <c r="A57" s="20">
        <v>22</v>
      </c>
      <c r="B57" s="184" t="s">
        <v>19</v>
      </c>
      <c r="C57" s="185"/>
      <c r="D57" s="15">
        <f>IF(F3="1",SUMIF(Data!A:A,'3'!$A$2,Data!DP:DP),0)</f>
        <v>11008</v>
      </c>
      <c r="E57" s="18">
        <f>IF(F3="1",SUMIF(Data!$A:$A,'3'!$A$2,Data!JJ:JJ),0)</f>
        <v>16827</v>
      </c>
      <c r="F57" s="22">
        <f t="shared" si="3"/>
        <v>1.5286155523255813</v>
      </c>
    </row>
    <row r="58" spans="1:6" x14ac:dyDescent="0.2">
      <c r="A58" s="20">
        <v>23</v>
      </c>
      <c r="B58" s="184" t="s">
        <v>20</v>
      </c>
      <c r="C58" s="185"/>
      <c r="D58" s="15">
        <f>IF(F3="1",SUMIF(Data!A:A,'3'!$A$2,Data!DQ:DQ),0)</f>
        <v>81872</v>
      </c>
      <c r="E58" s="18">
        <f>IF(F3="1",SUMIF(Data!$A:$A,'3'!$A$2,Data!JK:JK),0)</f>
        <v>33595</v>
      </c>
      <c r="F58" s="22">
        <f t="shared" si="3"/>
        <v>0.41033564588626148</v>
      </c>
    </row>
    <row r="59" spans="1:6" x14ac:dyDescent="0.2">
      <c r="A59" s="20">
        <v>24</v>
      </c>
      <c r="B59" s="184" t="s">
        <v>21</v>
      </c>
      <c r="C59" s="185"/>
      <c r="D59" s="15">
        <f>IF(F3="1",SUMIF(Data!A:A,'3'!$A$2,Data!DR:DR),0)</f>
        <v>234237</v>
      </c>
      <c r="E59" s="18">
        <f>IF(F3="1",SUMIF(Data!$A:$A,'3'!$A$2,Data!JL:JL),0)</f>
        <v>743282</v>
      </c>
      <c r="F59" s="22">
        <f t="shared" si="3"/>
        <v>3.1732049163881029</v>
      </c>
    </row>
    <row r="60" spans="1:6" x14ac:dyDescent="0.2">
      <c r="A60" s="20">
        <v>25</v>
      </c>
      <c r="B60" s="184" t="s">
        <v>22</v>
      </c>
      <c r="C60" s="185"/>
      <c r="D60" s="15">
        <f>IF(F3="1",SUMIF(Data!A:A,'3'!$A$2,Data!DS:DS),0)</f>
        <v>559897</v>
      </c>
      <c r="E60" s="18">
        <f>IF(F3="1",SUMIF(Data!$A:$A,'3'!$A$2,Data!JM:JM),0)</f>
        <v>274106</v>
      </c>
      <c r="F60" s="22">
        <f t="shared" si="3"/>
        <v>0.48956504499934811</v>
      </c>
    </row>
    <row r="61" spans="1:6" x14ac:dyDescent="0.2">
      <c r="A61" s="20">
        <v>26</v>
      </c>
      <c r="B61" s="184" t="s">
        <v>23</v>
      </c>
      <c r="C61" s="185"/>
      <c r="D61" s="15">
        <f>IF(F3="1",SUMIF(Data!A:A,'3'!$A$2,Data!DT:DT),0)</f>
        <v>224548</v>
      </c>
      <c r="E61" s="18">
        <f>IF(F3="1",SUMIF(Data!$A:$A,'3'!$A$2,Data!JN:JN),0)</f>
        <v>260715</v>
      </c>
      <c r="F61" s="22">
        <f t="shared" si="3"/>
        <v>1.1610657854890714</v>
      </c>
    </row>
    <row r="62" spans="1:6" x14ac:dyDescent="0.2">
      <c r="A62" s="20">
        <v>28</v>
      </c>
      <c r="B62" s="184" t="s">
        <v>24</v>
      </c>
      <c r="C62" s="185"/>
      <c r="D62" s="15">
        <f>IF(F3="1",SUMIF(Data!A:A,'3'!$A$2,Data!DV:DV),0)</f>
        <v>0</v>
      </c>
      <c r="E62" s="18">
        <f>IF(F3="1",SUMIF(Data!$A:$A,'3'!$A$2,Data!JP:JP),0)</f>
        <v>0</v>
      </c>
      <c r="F62" s="22" t="str">
        <f t="shared" si="3"/>
        <v/>
      </c>
    </row>
    <row r="63" spans="1:6" ht="15.75" customHeight="1" thickBot="1" x14ac:dyDescent="0.25">
      <c r="A63" s="23">
        <v>29</v>
      </c>
      <c r="B63" s="186" t="s">
        <v>25</v>
      </c>
      <c r="C63" s="187"/>
      <c r="D63" s="24">
        <f>IF(F3="1",SUMIF(Data!A:A,'3'!$A$2,Data!DW:DW),0)</f>
        <v>0</v>
      </c>
      <c r="E63" s="25">
        <f>IF(F3="1",SUMIF(Data!$A:$A,'3'!$A$2,Data!JQ:JQ),0)</f>
        <v>0</v>
      </c>
      <c r="F63" s="26" t="str">
        <f t="shared" si="3"/>
        <v/>
      </c>
    </row>
    <row r="64" spans="1:6" x14ac:dyDescent="0.2">
      <c r="B64" s="31" t="s">
        <v>35</v>
      </c>
      <c r="C64" s="31"/>
      <c r="D64" s="61">
        <f>SUM(D36:D63)</f>
        <v>4629260</v>
      </c>
      <c r="E64" s="32">
        <f>SUM(E36:E63)</f>
        <v>6481338</v>
      </c>
      <c r="F64" s="33">
        <f t="shared" si="3"/>
        <v>1.4000807904503096</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10397</v>
      </c>
      <c r="E67" s="16">
        <f>IF(F3="1",SUMIF(Data!A:A,'3'!$A$2,Data!DY:DY),0)</f>
        <v>30764</v>
      </c>
      <c r="F67" s="21">
        <f>IFERROR(E67/D67,"")</f>
        <v>2.9589304607098201</v>
      </c>
    </row>
    <row r="68" spans="1:6" x14ac:dyDescent="0.2">
      <c r="A68" s="20">
        <v>2</v>
      </c>
      <c r="B68" s="184" t="s">
        <v>1</v>
      </c>
      <c r="C68" s="185"/>
      <c r="D68" s="15">
        <f t="shared" ref="D68:D94" si="4">D37</f>
        <v>33432</v>
      </c>
      <c r="E68" s="18">
        <f>IF(F3="1",SUMIF(Data!A:A,'3'!$A$2,Data!DZ:DZ),0)</f>
        <v>124498</v>
      </c>
      <c r="F68" s="22">
        <f t="shared" ref="F68:F95" si="5">IFERROR(E68/D68,"")</f>
        <v>3.7239172050729841</v>
      </c>
    </row>
    <row r="69" spans="1:6" ht="14.25" customHeight="1" x14ac:dyDescent="0.2">
      <c r="A69" s="20">
        <v>3</v>
      </c>
      <c r="B69" s="184" t="s">
        <v>2</v>
      </c>
      <c r="C69" s="185"/>
      <c r="D69" s="15">
        <f t="shared" si="4"/>
        <v>454096</v>
      </c>
      <c r="E69" s="18">
        <f>IF(F3="1",SUMIF(Data!A:A,'3'!$A$2,Data!EA:EA),0)</f>
        <v>1317306</v>
      </c>
      <c r="F69" s="22">
        <f t="shared" si="5"/>
        <v>2.9009416511046124</v>
      </c>
    </row>
    <row r="70" spans="1:6" ht="14.25" customHeight="1" x14ac:dyDescent="0.2">
      <c r="A70" s="20">
        <v>4</v>
      </c>
      <c r="B70" s="184" t="s">
        <v>3</v>
      </c>
      <c r="C70" s="185"/>
      <c r="D70" s="15">
        <f t="shared" si="4"/>
        <v>371081</v>
      </c>
      <c r="E70" s="18">
        <f>IF(F3="1",SUMIF(Data!A:A,'3'!$A$2,Data!EB:EB),0)</f>
        <v>1262255</v>
      </c>
      <c r="F70" s="22">
        <f t="shared" si="5"/>
        <v>3.4015619231380749</v>
      </c>
    </row>
    <row r="71" spans="1:6" x14ac:dyDescent="0.2">
      <c r="A71" s="20">
        <v>5</v>
      </c>
      <c r="B71" s="184" t="s">
        <v>4</v>
      </c>
      <c r="C71" s="185"/>
      <c r="D71" s="15">
        <f t="shared" si="4"/>
        <v>448</v>
      </c>
      <c r="E71" s="18">
        <f>IF(F3="1",SUMIF(Data!A:A,'3'!$A$2,Data!EC:EC),0)</f>
        <v>1720</v>
      </c>
      <c r="F71" s="22">
        <f t="shared" si="5"/>
        <v>3.8392857142857144</v>
      </c>
    </row>
    <row r="72" spans="1:6" x14ac:dyDescent="0.2">
      <c r="A72" s="20">
        <v>6</v>
      </c>
      <c r="B72" s="184" t="s">
        <v>5</v>
      </c>
      <c r="C72" s="185"/>
      <c r="D72" s="15">
        <f t="shared" si="4"/>
        <v>42028</v>
      </c>
      <c r="E72" s="18">
        <f>IF(F3="1",SUMIF(Data!A:A,'3'!$A$2,Data!ED:ED),0)</f>
        <v>137272</v>
      </c>
      <c r="F72" s="22">
        <f t="shared" si="5"/>
        <v>3.2662034833920242</v>
      </c>
    </row>
    <row r="73" spans="1:6" x14ac:dyDescent="0.2">
      <c r="A73" s="20">
        <v>7</v>
      </c>
      <c r="B73" s="184" t="s">
        <v>6</v>
      </c>
      <c r="C73" s="185"/>
      <c r="D73" s="15">
        <f t="shared" si="4"/>
        <v>70390</v>
      </c>
      <c r="E73" s="18">
        <f>IF(F3="1",SUMIF(Data!A:A,'3'!$A$2,Data!EE:EE),0)</f>
        <v>248021</v>
      </c>
      <c r="F73" s="22">
        <f t="shared" si="5"/>
        <v>3.5235260690438981</v>
      </c>
    </row>
    <row r="74" spans="1:6" x14ac:dyDescent="0.2">
      <c r="A74" s="20">
        <v>8</v>
      </c>
      <c r="B74" s="184" t="s">
        <v>7</v>
      </c>
      <c r="C74" s="185"/>
      <c r="D74" s="15">
        <f t="shared" si="4"/>
        <v>12620</v>
      </c>
      <c r="E74" s="18">
        <f>IF(F3="1",SUMIF(Data!A:A,'3'!$A$2,Data!EF:EF),0)</f>
        <v>48438</v>
      </c>
      <c r="F74" s="22">
        <f t="shared" si="5"/>
        <v>3.8381933438985736</v>
      </c>
    </row>
    <row r="75" spans="1:6" x14ac:dyDescent="0.2">
      <c r="A75" s="20">
        <v>9</v>
      </c>
      <c r="B75" s="184" t="s">
        <v>8</v>
      </c>
      <c r="C75" s="185"/>
      <c r="D75" s="15">
        <f t="shared" si="4"/>
        <v>183521</v>
      </c>
      <c r="E75" s="18">
        <f>IF(F3="1",SUMIF(Data!A:A,'3'!$A$2,Data!EG:EG),0)</f>
        <v>462624</v>
      </c>
      <c r="F75" s="22">
        <f t="shared" si="5"/>
        <v>2.5208232300390692</v>
      </c>
    </row>
    <row r="76" spans="1:6" x14ac:dyDescent="0.2">
      <c r="A76" s="20">
        <v>10</v>
      </c>
      <c r="B76" s="184" t="s">
        <v>9</v>
      </c>
      <c r="C76" s="185"/>
      <c r="D76" s="15">
        <f t="shared" si="4"/>
        <v>5760</v>
      </c>
      <c r="E76" s="18">
        <f>IF(F3="1",SUMIF(Data!A:A,'3'!$A$2,Data!EH:EH),0)</f>
        <v>16750</v>
      </c>
      <c r="F76" s="22">
        <f t="shared" si="5"/>
        <v>2.9079861111111112</v>
      </c>
    </row>
    <row r="77" spans="1:6" x14ac:dyDescent="0.2">
      <c r="A77" s="20">
        <v>11</v>
      </c>
      <c r="B77" s="184" t="s">
        <v>10</v>
      </c>
      <c r="C77" s="185"/>
      <c r="D77" s="15">
        <f t="shared" si="4"/>
        <v>127340</v>
      </c>
      <c r="E77" s="18">
        <f>IF(F3="1",SUMIF(Data!A:A,'3'!$A$2,Data!EI:EI),0)</f>
        <v>405366</v>
      </c>
      <c r="F77" s="22">
        <f t="shared" si="5"/>
        <v>3.1833359509973298</v>
      </c>
    </row>
    <row r="78" spans="1:6" ht="14.25" customHeight="1" x14ac:dyDescent="0.2">
      <c r="A78" s="20">
        <v>12</v>
      </c>
      <c r="B78" s="184" t="s">
        <v>11</v>
      </c>
      <c r="C78" s="185"/>
      <c r="D78" s="15">
        <f t="shared" si="4"/>
        <v>606556</v>
      </c>
      <c r="E78" s="18">
        <f>IF(F3="1",SUMIF(Data!A:A,'3'!$A$2,Data!EJ:EJ),0)</f>
        <v>2011031</v>
      </c>
      <c r="F78" s="22">
        <f t="shared" si="5"/>
        <v>3.3154910676013425</v>
      </c>
    </row>
    <row r="79" spans="1:6" x14ac:dyDescent="0.2">
      <c r="A79" s="20">
        <v>13</v>
      </c>
      <c r="B79" s="184" t="s">
        <v>12</v>
      </c>
      <c r="C79" s="185"/>
      <c r="D79" s="15">
        <f t="shared" si="4"/>
        <v>56476</v>
      </c>
      <c r="E79" s="18">
        <f>IF(F3="1",SUMIF(Data!A:A,'3'!$A$2,Data!EK:EK),0)</f>
        <v>171546</v>
      </c>
      <c r="F79" s="22">
        <f t="shared" si="5"/>
        <v>3.0375026559954672</v>
      </c>
    </row>
    <row r="80" spans="1:6" ht="14.25" customHeight="1" x14ac:dyDescent="0.2">
      <c r="A80" s="20">
        <v>14</v>
      </c>
      <c r="B80" s="184" t="s">
        <v>469</v>
      </c>
      <c r="C80" s="185"/>
      <c r="D80" s="15">
        <f t="shared" si="4"/>
        <v>293231</v>
      </c>
      <c r="E80" s="18">
        <f>IF(F3="1",SUMIF(Data!A:A,'3'!$A$2,Data!EL:EL),0)</f>
        <v>1283890</v>
      </c>
      <c r="F80" s="22">
        <f t="shared" si="5"/>
        <v>4.3784252006097581</v>
      </c>
    </row>
    <row r="81" spans="1:6" x14ac:dyDescent="0.2">
      <c r="A81" s="20">
        <v>15</v>
      </c>
      <c r="B81" s="184" t="s">
        <v>13</v>
      </c>
      <c r="C81" s="185"/>
      <c r="D81" s="15">
        <f t="shared" si="4"/>
        <v>49728</v>
      </c>
      <c r="E81" s="18">
        <f>IF(F3="1",SUMIF(Data!A:A,'3'!$A$2,Data!EM:EM),0)</f>
        <v>178021</v>
      </c>
      <c r="F81" s="22">
        <f t="shared" si="5"/>
        <v>3.5798946267696268</v>
      </c>
    </row>
    <row r="82" spans="1:6" x14ac:dyDescent="0.2">
      <c r="A82" s="20">
        <v>16</v>
      </c>
      <c r="B82" s="184" t="s">
        <v>14</v>
      </c>
      <c r="C82" s="185"/>
      <c r="D82" s="15">
        <f t="shared" si="4"/>
        <v>308200</v>
      </c>
      <c r="E82" s="18">
        <f>IF(F3="1",SUMIF(Data!A:A,'3'!$A$2,Data!EN:EN),0)</f>
        <v>1030922</v>
      </c>
      <c r="F82" s="22">
        <f t="shared" si="5"/>
        <v>3.3449772874756651</v>
      </c>
    </row>
    <row r="83" spans="1:6" x14ac:dyDescent="0.2">
      <c r="A83" s="20">
        <v>17</v>
      </c>
      <c r="B83" s="184" t="s">
        <v>15</v>
      </c>
      <c r="C83" s="185"/>
      <c r="D83" s="15">
        <f t="shared" si="4"/>
        <v>32672</v>
      </c>
      <c r="E83" s="18">
        <f>IF(F3="1",SUMIF(Data!A:A,'3'!$A$2,Data!EO:EO),0)</f>
        <v>125501</v>
      </c>
      <c r="F83" s="22">
        <f t="shared" si="5"/>
        <v>3.8412402056807053</v>
      </c>
    </row>
    <row r="84" spans="1:6" x14ac:dyDescent="0.2">
      <c r="A84" s="20">
        <v>18</v>
      </c>
      <c r="B84" s="184" t="s">
        <v>16</v>
      </c>
      <c r="C84" s="185"/>
      <c r="D84" s="15">
        <f t="shared" si="4"/>
        <v>119984</v>
      </c>
      <c r="E84" s="18">
        <f>IF(F3="1",SUMIF(Data!A:A,'3'!$A$2,Data!EP:EP),0)</f>
        <v>600176</v>
      </c>
      <c r="F84" s="22">
        <f t="shared" si="5"/>
        <v>5.0021336178157085</v>
      </c>
    </row>
    <row r="85" spans="1:6" x14ac:dyDescent="0.2">
      <c r="A85" s="20">
        <v>19</v>
      </c>
      <c r="B85" s="184" t="s">
        <v>17</v>
      </c>
      <c r="C85" s="185"/>
      <c r="D85" s="15">
        <f t="shared" si="4"/>
        <v>538191</v>
      </c>
      <c r="E85" s="18">
        <f>IF(F3="1",SUMIF(Data!A:A,'3'!$A$2,Data!EQ:EQ),0)</f>
        <v>1595233</v>
      </c>
      <c r="F85" s="22">
        <f t="shared" si="5"/>
        <v>2.9640648022727989</v>
      </c>
    </row>
    <row r="86" spans="1:6" x14ac:dyDescent="0.2">
      <c r="A86" s="20">
        <v>20</v>
      </c>
      <c r="B86" s="184" t="s">
        <v>18</v>
      </c>
      <c r="C86" s="185"/>
      <c r="D86" s="15">
        <f t="shared" si="4"/>
        <v>44404</v>
      </c>
      <c r="E86" s="18">
        <f>IF(F3="1",SUMIF(Data!A:A,'3'!$A$2,Data!ER:ER),0)</f>
        <v>170432</v>
      </c>
      <c r="F86" s="22">
        <f t="shared" si="5"/>
        <v>3.8382127736239977</v>
      </c>
    </row>
    <row r="87" spans="1:6" ht="14.25" customHeight="1" x14ac:dyDescent="0.2">
      <c r="A87" s="20">
        <v>21</v>
      </c>
      <c r="B87" s="184" t="s">
        <v>466</v>
      </c>
      <c r="C87" s="185"/>
      <c r="D87" s="15">
        <f t="shared" si="4"/>
        <v>157143</v>
      </c>
      <c r="E87" s="18">
        <f>IF(F3="1",SUMIF(Data!A:A,'3'!$A$2,Data!ES:ES),0)</f>
        <v>601612</v>
      </c>
      <c r="F87" s="22">
        <f t="shared" si="5"/>
        <v>3.828436519603164</v>
      </c>
    </row>
    <row r="88" spans="1:6" x14ac:dyDescent="0.2">
      <c r="A88" s="20">
        <v>22</v>
      </c>
      <c r="B88" s="184" t="s">
        <v>19</v>
      </c>
      <c r="C88" s="185"/>
      <c r="D88" s="15">
        <f t="shared" si="4"/>
        <v>11008</v>
      </c>
      <c r="E88" s="18">
        <f>IF(F3="1",SUMIF(Data!A:A,'3'!$A$2,Data!ET:ET),0)</f>
        <v>39440</v>
      </c>
      <c r="F88" s="22">
        <f t="shared" si="5"/>
        <v>3.5828488372093021</v>
      </c>
    </row>
    <row r="89" spans="1:6" x14ac:dyDescent="0.2">
      <c r="A89" s="20">
        <v>23</v>
      </c>
      <c r="B89" s="184" t="s">
        <v>20</v>
      </c>
      <c r="C89" s="185"/>
      <c r="D89" s="15">
        <f t="shared" si="4"/>
        <v>81872</v>
      </c>
      <c r="E89" s="18">
        <f>IF(F3="1",SUMIF(Data!A:A,'3'!$A$2,Data!EU:EU),0)</f>
        <v>148795</v>
      </c>
      <c r="F89" s="22">
        <f t="shared" si="5"/>
        <v>1.8174101035763142</v>
      </c>
    </row>
    <row r="90" spans="1:6" x14ac:dyDescent="0.2">
      <c r="A90" s="20">
        <v>24</v>
      </c>
      <c r="B90" s="184" t="s">
        <v>21</v>
      </c>
      <c r="C90" s="185"/>
      <c r="D90" s="15">
        <f t="shared" si="4"/>
        <v>234237</v>
      </c>
      <c r="E90" s="18">
        <f>IF(F3="1",SUMIF(Data!A:A,'3'!$A$2,Data!EV:EV),0)</f>
        <v>350202</v>
      </c>
      <c r="F90" s="22">
        <f t="shared" si="5"/>
        <v>1.4950755004546676</v>
      </c>
    </row>
    <row r="91" spans="1:6" x14ac:dyDescent="0.2">
      <c r="A91" s="20">
        <v>25</v>
      </c>
      <c r="B91" s="184" t="s">
        <v>22</v>
      </c>
      <c r="C91" s="185"/>
      <c r="D91" s="15">
        <f t="shared" si="4"/>
        <v>559897</v>
      </c>
      <c r="E91" s="18">
        <f>IF(F3="1",SUMIF(Data!A:A,'3'!$A$2,Data!EW:EW),0)</f>
        <v>1088458</v>
      </c>
      <c r="F91" s="22">
        <f t="shared" si="5"/>
        <v>1.9440325631321476</v>
      </c>
    </row>
    <row r="92" spans="1:6" x14ac:dyDescent="0.2">
      <c r="A92" s="20">
        <v>26</v>
      </c>
      <c r="B92" s="184" t="s">
        <v>23</v>
      </c>
      <c r="C92" s="185"/>
      <c r="D92" s="15">
        <f t="shared" si="4"/>
        <v>224548</v>
      </c>
      <c r="E92" s="18">
        <f>IF(F3="1",SUMIF(Data!A:A,'3'!$A$2,Data!EX:EX),0)</f>
        <v>707483</v>
      </c>
      <c r="F92" s="22">
        <f t="shared" si="5"/>
        <v>3.1506982916792845</v>
      </c>
    </row>
    <row r="93" spans="1:6" x14ac:dyDescent="0.2">
      <c r="A93" s="20">
        <v>28</v>
      </c>
      <c r="B93" s="184" t="s">
        <v>24</v>
      </c>
      <c r="C93" s="185"/>
      <c r="D93" s="15">
        <f t="shared" si="4"/>
        <v>0</v>
      </c>
      <c r="E93" s="18">
        <f>IF(F3="1",SUMIF(Data!A:A,'3'!$A$2,Data!EZ:EZ),0)</f>
        <v>0</v>
      </c>
      <c r="F93" s="22" t="str">
        <f t="shared" si="5"/>
        <v/>
      </c>
    </row>
    <row r="94" spans="1:6" ht="15.75" customHeight="1" thickBot="1" x14ac:dyDescent="0.25">
      <c r="A94" s="23">
        <v>29</v>
      </c>
      <c r="B94" s="186" t="s">
        <v>25</v>
      </c>
      <c r="C94" s="187"/>
      <c r="D94" s="24">
        <f t="shared" si="4"/>
        <v>0</v>
      </c>
      <c r="E94" s="25">
        <f>IF(F3="1",SUMIF(Data!A:A,'3'!$A$2,Data!FA:FA),0)</f>
        <v>0</v>
      </c>
      <c r="F94" s="26" t="str">
        <f t="shared" si="5"/>
        <v/>
      </c>
    </row>
    <row r="95" spans="1:6" x14ac:dyDescent="0.2">
      <c r="B95" s="31" t="s">
        <v>35</v>
      </c>
      <c r="C95" s="31"/>
      <c r="D95" s="61">
        <f>SUM(D67:D94)</f>
        <v>4629260</v>
      </c>
      <c r="E95" s="32">
        <f>SUM(E67:E94)</f>
        <v>14157756</v>
      </c>
      <c r="F95" s="33">
        <f t="shared" si="5"/>
        <v>3.0583194722266627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IF(F3="1",SUMIF(Data!A:A,'3'!$A$2,Data!AH:AH),0)</f>
        <v>8889447</v>
      </c>
      <c r="F98" s="21">
        <f t="shared" ref="F98:F105" si="6">IFERROR(E98/$D$95,0)</f>
        <v>1.9202738666655146</v>
      </c>
    </row>
    <row r="99" spans="2:6" x14ac:dyDescent="0.2">
      <c r="B99" s="190" t="s">
        <v>31</v>
      </c>
      <c r="C99" s="191"/>
      <c r="D99" s="37"/>
      <c r="E99" s="18">
        <f>IF(F3="1",SUMIF(Data!A:A,'3'!$A$2,Data!AI:AI),0)</f>
        <v>2938366</v>
      </c>
      <c r="F99" s="22">
        <f t="shared" si="6"/>
        <v>0.63473773346063955</v>
      </c>
    </row>
    <row r="100" spans="2:6" x14ac:dyDescent="0.2">
      <c r="B100" s="190" t="s">
        <v>32</v>
      </c>
      <c r="C100" s="191"/>
      <c r="D100" s="37"/>
      <c r="E100" s="18">
        <f>IF(F3="1",SUMIF(Data!A:A,'3'!$A$2,Data!AJ:AJ),0)</f>
        <v>2743581</v>
      </c>
      <c r="F100" s="22">
        <f t="shared" si="6"/>
        <v>0.59266081403939286</v>
      </c>
    </row>
    <row r="101" spans="2:6" x14ac:dyDescent="0.2">
      <c r="B101" s="190" t="s">
        <v>28</v>
      </c>
      <c r="C101" s="191"/>
      <c r="D101" s="37"/>
      <c r="E101" s="18">
        <f>IF(F3="1",SUMIF(Data!A:A,'3'!$A$2,Data!AK:AK),0)</f>
        <v>0</v>
      </c>
      <c r="F101" s="22">
        <f t="shared" si="6"/>
        <v>0</v>
      </c>
    </row>
    <row r="102" spans="2:6" x14ac:dyDescent="0.2">
      <c r="B102" s="190" t="s">
        <v>33</v>
      </c>
      <c r="C102" s="191"/>
      <c r="D102" s="37"/>
      <c r="E102" s="18">
        <f>IF(F3="1",SUMIF(Data!A:A,'3'!$A$2,Data!AL:AL),0)</f>
        <v>0</v>
      </c>
      <c r="F102" s="22">
        <f t="shared" si="6"/>
        <v>0</v>
      </c>
    </row>
    <row r="103" spans="2:6" x14ac:dyDescent="0.2">
      <c r="B103" s="192" t="s">
        <v>34</v>
      </c>
      <c r="C103" s="193"/>
      <c r="D103" s="37"/>
      <c r="E103" s="18">
        <f>IF(F3="1",SUMIF(Data!A:A,'3'!$A$2,Data!AM:AM),0)</f>
        <v>875149</v>
      </c>
      <c r="F103" s="22">
        <f t="shared" si="6"/>
        <v>0.18904727753463837</v>
      </c>
    </row>
    <row r="104" spans="2:6" ht="15.75" customHeight="1" thickBot="1" x14ac:dyDescent="0.25">
      <c r="B104" s="182" t="s">
        <v>29</v>
      </c>
      <c r="C104" s="183"/>
      <c r="D104" s="38"/>
      <c r="E104" s="25">
        <f>IF(F3="1",SUMIF(Data!A:A,'3'!$A$2,Data!Q:Q),0)</f>
        <v>1692765</v>
      </c>
      <c r="F104" s="26">
        <f t="shared" si="6"/>
        <v>0.36566643480815508</v>
      </c>
    </row>
    <row r="105" spans="2:6" x14ac:dyDescent="0.2">
      <c r="B105" s="31" t="s">
        <v>35</v>
      </c>
      <c r="C105" s="31"/>
      <c r="D105" s="35">
        <f>D95</f>
        <v>4629260</v>
      </c>
      <c r="E105" s="32">
        <f>SUM(E98:E104)</f>
        <v>17139308</v>
      </c>
      <c r="F105" s="33">
        <f t="shared" si="6"/>
        <v>3.7023861265083404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14157756</v>
      </c>
      <c r="D109" s="16">
        <f>IF(F3="1",SUMIF(Data!$A:$A,$A$2,Data!HJ:HJ),0)</f>
        <v>0</v>
      </c>
      <c r="E109" s="16">
        <f>IF(F3="1",SUMIF(Data!$A:$A,$A$2,Data!IN:IN),0)</f>
        <v>0</v>
      </c>
      <c r="F109" s="48">
        <f>SUM(C109:E109)</f>
        <v>14157756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1692765</v>
      </c>
      <c r="E117" s="53"/>
      <c r="F117" s="50">
        <f>SUM(C117:E117)</f>
        <v>1692765</v>
      </c>
    </row>
    <row r="118" spans="1:6" x14ac:dyDescent="0.2">
      <c r="B118" s="14" t="s">
        <v>35</v>
      </c>
      <c r="C118" s="5">
        <f>SUM(C109:C116)</f>
        <v>14157756</v>
      </c>
      <c r="D118" s="5">
        <f>SUM(D109:D116)</f>
        <v>0</v>
      </c>
      <c r="E118" s="5">
        <f>SUM(E109:E116)</f>
        <v>0</v>
      </c>
      <c r="F118" s="5">
        <f>SUM(F109:F116)</f>
        <v>14157756</v>
      </c>
    </row>
    <row r="119" spans="1:6" ht="15" thickBot="1" x14ac:dyDescent="0.25"/>
    <row r="120" spans="1:6" ht="15" thickBot="1" x14ac:dyDescent="0.25">
      <c r="B120" s="57" t="s">
        <v>942</v>
      </c>
      <c r="C120" s="55"/>
      <c r="D120" s="55"/>
      <c r="E120" s="55">
        <f>IF(F3="1",SUMIF(Data!A:A,'3'!$A$2,Data!AM:AM),0)</f>
        <v>875149</v>
      </c>
      <c r="F120" s="56">
        <f>SUM(C120:E120)</f>
        <v>875149</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422</v>
      </c>
      <c r="B2" s="60" t="str">
        <f>VLOOKUP(A2,Data!A:G,7,0)</f>
        <v>Angelina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80</v>
      </c>
      <c r="E5" s="16">
        <f>E36+E67+IFERROR($E$105/$D$105*D5,0)</f>
        <v>371.13292084508413</v>
      </c>
      <c r="F5" s="21">
        <f>IFERROR(E5/D5,"")</f>
        <v>4.639161510563552</v>
      </c>
    </row>
    <row r="6" spans="1:6" x14ac:dyDescent="0.2">
      <c r="A6" s="20">
        <v>2</v>
      </c>
      <c r="B6" s="184" t="s">
        <v>1</v>
      </c>
      <c r="C6" s="185"/>
      <c r="D6" s="15">
        <f t="shared" ref="D6:D32" si="0">D37</f>
        <v>34912</v>
      </c>
      <c r="E6" s="18">
        <f t="shared" ref="E6:E32" si="1">E37+E68+IFERROR($E$105/$D$105*D6,0)</f>
        <v>326353.2066567947</v>
      </c>
      <c r="F6" s="22">
        <f t="shared" ref="F6:F33" si="2">IFERROR(E6/D6,"")</f>
        <v>9.3478805756414616</v>
      </c>
    </row>
    <row r="7" spans="1:6" ht="14.25" customHeight="1" x14ac:dyDescent="0.2">
      <c r="A7" s="20">
        <v>3</v>
      </c>
      <c r="B7" s="184" t="s">
        <v>2</v>
      </c>
      <c r="C7" s="185"/>
      <c r="D7" s="15">
        <f t="shared" si="0"/>
        <v>195104</v>
      </c>
      <c r="E7" s="18">
        <f t="shared" si="1"/>
        <v>1077960.5673569911</v>
      </c>
      <c r="F7" s="22">
        <f t="shared" si="2"/>
        <v>5.525056212876164</v>
      </c>
    </row>
    <row r="8" spans="1:6" ht="14.25" customHeight="1" x14ac:dyDescent="0.2">
      <c r="A8" s="20">
        <v>4</v>
      </c>
      <c r="B8" s="184" t="s">
        <v>3</v>
      </c>
      <c r="C8" s="185"/>
      <c r="D8" s="15">
        <f t="shared" si="0"/>
        <v>118137</v>
      </c>
      <c r="E8" s="18">
        <f t="shared" si="1"/>
        <v>740070.79837344633</v>
      </c>
      <c r="F8" s="22">
        <f t="shared" si="2"/>
        <v>6.2645132208659975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6704</v>
      </c>
      <c r="E10" s="18">
        <f t="shared" si="1"/>
        <v>72375.538766818048</v>
      </c>
      <c r="F10" s="22">
        <f t="shared" si="2"/>
        <v>10.795873921064745</v>
      </c>
    </row>
    <row r="11" spans="1:6" x14ac:dyDescent="0.2">
      <c r="A11" s="20">
        <v>7</v>
      </c>
      <c r="B11" s="184" t="s">
        <v>6</v>
      </c>
      <c r="C11" s="185"/>
      <c r="D11" s="15">
        <f t="shared" si="0"/>
        <v>42831</v>
      </c>
      <c r="E11" s="18">
        <f t="shared" si="1"/>
        <v>471609.95165894745</v>
      </c>
      <c r="F11" s="22">
        <f t="shared" si="2"/>
        <v>11.0109488841948</v>
      </c>
    </row>
    <row r="12" spans="1:6" x14ac:dyDescent="0.2">
      <c r="A12" s="20">
        <v>8</v>
      </c>
      <c r="B12" s="184" t="s">
        <v>7</v>
      </c>
      <c r="C12" s="185"/>
      <c r="D12" s="15">
        <f t="shared" si="0"/>
        <v>8784</v>
      </c>
      <c r="E12" s="18">
        <f t="shared" si="1"/>
        <v>60657.99470879024</v>
      </c>
      <c r="F12" s="22">
        <f t="shared" si="2"/>
        <v>6.9055094158458834</v>
      </c>
    </row>
    <row r="13" spans="1:6" x14ac:dyDescent="0.2">
      <c r="A13" s="20">
        <v>9</v>
      </c>
      <c r="B13" s="184" t="s">
        <v>8</v>
      </c>
      <c r="C13" s="185"/>
      <c r="D13" s="15">
        <f t="shared" si="0"/>
        <v>57898</v>
      </c>
      <c r="E13" s="18">
        <f t="shared" si="1"/>
        <v>364702.12313860853</v>
      </c>
      <c r="F13" s="22">
        <f t="shared" si="2"/>
        <v>6.2990452716606535</v>
      </c>
    </row>
    <row r="14" spans="1:6" x14ac:dyDescent="0.2">
      <c r="A14" s="20">
        <v>10</v>
      </c>
      <c r="B14" s="184" t="s">
        <v>9</v>
      </c>
      <c r="C14" s="185"/>
      <c r="D14" s="15">
        <f t="shared" si="0"/>
        <v>880</v>
      </c>
      <c r="E14" s="18">
        <f t="shared" si="1"/>
        <v>13174.462129295925</v>
      </c>
      <c r="F14" s="22">
        <f t="shared" si="2"/>
        <v>14.970979692381734</v>
      </c>
    </row>
    <row r="15" spans="1:6" x14ac:dyDescent="0.2">
      <c r="A15" s="20">
        <v>11</v>
      </c>
      <c r="B15" s="184" t="s">
        <v>10</v>
      </c>
      <c r="C15" s="185"/>
      <c r="D15" s="15">
        <f t="shared" si="0"/>
        <v>34902</v>
      </c>
      <c r="E15" s="18">
        <f t="shared" si="1"/>
        <v>236456.06504168909</v>
      </c>
      <c r="F15" s="22">
        <f t="shared" si="2"/>
        <v>6.7748571727032569</v>
      </c>
    </row>
    <row r="16" spans="1:6" ht="14.25" customHeight="1" x14ac:dyDescent="0.2">
      <c r="A16" s="20">
        <v>12</v>
      </c>
      <c r="B16" s="184" t="s">
        <v>11</v>
      </c>
      <c r="C16" s="185"/>
      <c r="D16" s="15">
        <f t="shared" si="0"/>
        <v>394966</v>
      </c>
      <c r="E16" s="18">
        <f t="shared" si="1"/>
        <v>2134591.7151812436</v>
      </c>
      <c r="F16" s="22">
        <f t="shared" si="2"/>
        <v>5.4044948557122474</v>
      </c>
    </row>
    <row r="17" spans="1:6" x14ac:dyDescent="0.2">
      <c r="A17" s="20">
        <v>13</v>
      </c>
      <c r="B17" s="184" t="s">
        <v>12</v>
      </c>
      <c r="C17" s="185"/>
      <c r="D17" s="15">
        <f t="shared" si="0"/>
        <v>24840</v>
      </c>
      <c r="E17" s="18">
        <f t="shared" si="1"/>
        <v>130590.77192239862</v>
      </c>
      <c r="F17" s="22">
        <f t="shared" si="2"/>
        <v>5.257277452592537</v>
      </c>
    </row>
    <row r="18" spans="1:6" ht="14.25" customHeight="1" x14ac:dyDescent="0.2">
      <c r="A18" s="20">
        <v>14</v>
      </c>
      <c r="B18" s="184" t="s">
        <v>469</v>
      </c>
      <c r="C18" s="185"/>
      <c r="D18" s="15">
        <f t="shared" si="0"/>
        <v>131562</v>
      </c>
      <c r="E18" s="18">
        <f t="shared" si="1"/>
        <v>1398030.9166527619</v>
      </c>
      <c r="F18" s="22">
        <f t="shared" si="2"/>
        <v>10.626403647350768</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198460</v>
      </c>
      <c r="E20" s="18">
        <f t="shared" si="1"/>
        <v>1254655.4933864423</v>
      </c>
      <c r="F20" s="22">
        <f t="shared" si="2"/>
        <v>6.3219565322303852</v>
      </c>
    </row>
    <row r="21" spans="1:6" x14ac:dyDescent="0.2">
      <c r="A21" s="20">
        <v>17</v>
      </c>
      <c r="B21" s="184" t="s">
        <v>15</v>
      </c>
      <c r="C21" s="185"/>
      <c r="D21" s="15">
        <f t="shared" si="0"/>
        <v>32464</v>
      </c>
      <c r="E21" s="18">
        <f t="shared" si="1"/>
        <v>306362.33927893511</v>
      </c>
      <c r="F21" s="22">
        <f t="shared" si="2"/>
        <v>9.4369867939543841</v>
      </c>
    </row>
    <row r="22" spans="1:6" x14ac:dyDescent="0.2">
      <c r="A22" s="20">
        <v>18</v>
      </c>
      <c r="B22" s="184" t="s">
        <v>16</v>
      </c>
      <c r="C22" s="185"/>
      <c r="D22" s="15">
        <f t="shared" si="0"/>
        <v>71676</v>
      </c>
      <c r="E22" s="18">
        <f t="shared" si="1"/>
        <v>429569.44043115311</v>
      </c>
      <c r="F22" s="22">
        <f t="shared" si="2"/>
        <v>5.9932116807739426</v>
      </c>
    </row>
    <row r="23" spans="1:6" x14ac:dyDescent="0.2">
      <c r="A23" s="20">
        <v>19</v>
      </c>
      <c r="B23" s="184" t="s">
        <v>17</v>
      </c>
      <c r="C23" s="185"/>
      <c r="D23" s="15">
        <f t="shared" si="0"/>
        <v>210224</v>
      </c>
      <c r="E23" s="18">
        <f t="shared" si="1"/>
        <v>1388011.689396712</v>
      </c>
      <c r="F23" s="22">
        <f t="shared" si="2"/>
        <v>6.6025367674324151</v>
      </c>
    </row>
    <row r="24" spans="1:6" x14ac:dyDescent="0.2">
      <c r="A24" s="20">
        <v>20</v>
      </c>
      <c r="B24" s="184" t="s">
        <v>18</v>
      </c>
      <c r="C24" s="185"/>
      <c r="D24" s="15">
        <f t="shared" si="0"/>
        <v>10496</v>
      </c>
      <c r="E24" s="18">
        <f t="shared" si="1"/>
        <v>99964.03921487504</v>
      </c>
      <c r="F24" s="22">
        <f t="shared" si="2"/>
        <v>9.5240128825147714</v>
      </c>
    </row>
    <row r="25" spans="1:6" ht="14.25" customHeight="1" x14ac:dyDescent="0.2">
      <c r="A25" s="20">
        <v>21</v>
      </c>
      <c r="B25" s="184" t="s">
        <v>466</v>
      </c>
      <c r="C25" s="185"/>
      <c r="D25" s="15">
        <f t="shared" si="0"/>
        <v>8832</v>
      </c>
      <c r="E25" s="18">
        <f t="shared" si="1"/>
        <v>72651.874461297295</v>
      </c>
      <c r="F25" s="22">
        <f t="shared" si="2"/>
        <v>8.2259821627374663</v>
      </c>
    </row>
    <row r="26" spans="1:6" x14ac:dyDescent="0.2">
      <c r="A26" s="20">
        <v>22</v>
      </c>
      <c r="B26" s="184" t="s">
        <v>19</v>
      </c>
      <c r="C26" s="185"/>
      <c r="D26" s="15">
        <f t="shared" si="0"/>
        <v>1536</v>
      </c>
      <c r="E26" s="18">
        <f t="shared" si="1"/>
        <v>10405.152080225615</v>
      </c>
      <c r="F26" s="22">
        <f t="shared" si="2"/>
        <v>6.7741875522302175</v>
      </c>
    </row>
    <row r="27" spans="1:6" x14ac:dyDescent="0.2">
      <c r="A27" s="20">
        <v>23</v>
      </c>
      <c r="B27" s="184" t="s">
        <v>20</v>
      </c>
      <c r="C27" s="185"/>
      <c r="D27" s="15">
        <f t="shared" si="0"/>
        <v>53741</v>
      </c>
      <c r="E27" s="18">
        <f t="shared" si="1"/>
        <v>378428.45373919583</v>
      </c>
      <c r="F27" s="22">
        <f t="shared" si="2"/>
        <v>7.0417084486555108</v>
      </c>
    </row>
    <row r="28" spans="1:6" x14ac:dyDescent="0.2">
      <c r="A28" s="20">
        <v>24</v>
      </c>
      <c r="B28" s="184" t="s">
        <v>21</v>
      </c>
      <c r="C28" s="185"/>
      <c r="D28" s="15">
        <f t="shared" si="0"/>
        <v>136440</v>
      </c>
      <c r="E28" s="18">
        <f t="shared" si="1"/>
        <v>785725.19650129089</v>
      </c>
      <c r="F28" s="22">
        <f t="shared" si="2"/>
        <v>5.7587598688162629</v>
      </c>
    </row>
    <row r="29" spans="1:6" x14ac:dyDescent="0.2">
      <c r="A29" s="20">
        <v>25</v>
      </c>
      <c r="B29" s="184" t="s">
        <v>22</v>
      </c>
      <c r="C29" s="185"/>
      <c r="D29" s="15">
        <f t="shared" si="0"/>
        <v>326736</v>
      </c>
      <c r="E29" s="18">
        <f t="shared" si="1"/>
        <v>1732875.4753154926</v>
      </c>
      <c r="F29" s="22">
        <f t="shared" si="2"/>
        <v>5.3035951817843534</v>
      </c>
    </row>
    <row r="30" spans="1:6" x14ac:dyDescent="0.2">
      <c r="A30" s="20">
        <v>26</v>
      </c>
      <c r="B30" s="184" t="s">
        <v>23</v>
      </c>
      <c r="C30" s="185"/>
      <c r="D30" s="15">
        <f t="shared" si="0"/>
        <v>97292</v>
      </c>
      <c r="E30" s="18">
        <f t="shared" si="1"/>
        <v>773562.60168574902</v>
      </c>
      <c r="F30" s="22">
        <f t="shared" si="2"/>
        <v>7.950937401695402</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2199497</v>
      </c>
      <c r="E33" s="32">
        <f>SUM(E5:E32)</f>
        <v>14259156.999999998</v>
      </c>
      <c r="F33" s="33">
        <f t="shared" si="2"/>
        <v>6.4829172306213643</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IF(F3="1",SUMIF(Data!A:A,'4'!$A$2,Data!CU:CU),0)</f>
        <v>80</v>
      </c>
      <c r="E36" s="16">
        <f>IF(F3="1",SUMIF(Data!$A:$A,'4'!$A$2,Data!IO:IO),0)</f>
        <v>29</v>
      </c>
      <c r="F36" s="21">
        <f t="shared" ref="F36:F64" si="3">IFERROR(E36/D36,"")</f>
        <v>0.36249999999999999</v>
      </c>
    </row>
    <row r="37" spans="1:6" x14ac:dyDescent="0.2">
      <c r="A37" s="20">
        <v>2</v>
      </c>
      <c r="B37" s="184" t="s">
        <v>1</v>
      </c>
      <c r="C37" s="185"/>
      <c r="D37" s="15">
        <f>IF(F3="1",SUMIF(Data!A:A,'4'!$A$2,Data!CV:CV),0)</f>
        <v>34912</v>
      </c>
      <c r="E37" s="18">
        <f>IF(F3="1",SUMIF(Data!$A:$A,'4'!$A$2,Data!IP:IP),0)</f>
        <v>58255</v>
      </c>
      <c r="F37" s="22">
        <f t="shared" si="3"/>
        <v>1.6686239688359303</v>
      </c>
    </row>
    <row r="38" spans="1:6" ht="14.25" customHeight="1" x14ac:dyDescent="0.2">
      <c r="A38" s="20">
        <v>3</v>
      </c>
      <c r="B38" s="184" t="s">
        <v>2</v>
      </c>
      <c r="C38" s="185"/>
      <c r="D38" s="15">
        <f>IF(F3="1",SUMIF(Data!A:A,'4'!$A$2,Data!CW:CW),0)</f>
        <v>195104</v>
      </c>
      <c r="E38" s="18">
        <f>IF(F3="1",SUMIF(Data!$A:$A,'4'!$A$2,Data!IQ:IQ),0)</f>
        <v>89810</v>
      </c>
      <c r="F38" s="22">
        <f t="shared" si="3"/>
        <v>0.46031859931113661</v>
      </c>
    </row>
    <row r="39" spans="1:6" ht="14.25" customHeight="1" x14ac:dyDescent="0.2">
      <c r="A39" s="20">
        <v>4</v>
      </c>
      <c r="B39" s="184" t="s">
        <v>3</v>
      </c>
      <c r="C39" s="185"/>
      <c r="D39" s="15">
        <f>IF(F3="1",SUMIF(Data!A:A,'4'!$A$2,Data!CX:CX),0)</f>
        <v>118137</v>
      </c>
      <c r="E39" s="18">
        <f>IF(F3="1",SUMIF(Data!$A:$A,'4'!$A$2,Data!IR:IR),0)</f>
        <v>45442</v>
      </c>
      <c r="F39" s="22">
        <f t="shared" si="3"/>
        <v>0.38465510382014101</v>
      </c>
    </row>
    <row r="40" spans="1:6" x14ac:dyDescent="0.2">
      <c r="A40" s="20">
        <v>5</v>
      </c>
      <c r="B40" s="184" t="s">
        <v>4</v>
      </c>
      <c r="C40" s="185"/>
      <c r="D40" s="15">
        <f>IF(F3="1",SUMIF(Data!A:A,'4'!$A$2,Data!CY:CY),0)</f>
        <v>0</v>
      </c>
      <c r="E40" s="18">
        <f>IF(F3="1",SUMIF(Data!$A:$A,'4'!$A$2,Data!IS:IS),0)</f>
        <v>0</v>
      </c>
      <c r="F40" s="22" t="str">
        <f t="shared" si="3"/>
        <v/>
      </c>
    </row>
    <row r="41" spans="1:6" x14ac:dyDescent="0.2">
      <c r="A41" s="20">
        <v>6</v>
      </c>
      <c r="B41" s="184" t="s">
        <v>5</v>
      </c>
      <c r="C41" s="185"/>
      <c r="D41" s="15">
        <f>IF(F3="1",SUMIF(Data!A:A,'4'!$A$2,Data!CZ:CZ),0)</f>
        <v>6704</v>
      </c>
      <c r="E41" s="18">
        <f>IF(F3="1",SUMIF(Data!$A:$A,'4'!$A$2,Data!IT:IT),0)</f>
        <v>6622</v>
      </c>
      <c r="F41" s="22">
        <f t="shared" si="3"/>
        <v>0.98776849642004771</v>
      </c>
    </row>
    <row r="42" spans="1:6" x14ac:dyDescent="0.2">
      <c r="A42" s="20">
        <v>7</v>
      </c>
      <c r="B42" s="184" t="s">
        <v>6</v>
      </c>
      <c r="C42" s="185"/>
      <c r="D42" s="15">
        <f>IF(F3="1",SUMIF(Data!A:A,'4'!$A$2,Data!DA:DA),0)</f>
        <v>42831</v>
      </c>
      <c r="E42" s="18">
        <f>IF(F3="1",SUMIF(Data!$A:$A,'4'!$A$2,Data!IU:IU),0)</f>
        <v>33984</v>
      </c>
      <c r="F42" s="22">
        <f t="shared" si="3"/>
        <v>0.7934440008405127</v>
      </c>
    </row>
    <row r="43" spans="1:6" x14ac:dyDescent="0.2">
      <c r="A43" s="20">
        <v>8</v>
      </c>
      <c r="B43" s="184" t="s">
        <v>7</v>
      </c>
      <c r="C43" s="185"/>
      <c r="D43" s="15">
        <f>IF(F3="1",SUMIF(Data!A:A,'4'!$A$2,Data!DB:DB),0)</f>
        <v>8784</v>
      </c>
      <c r="E43" s="18">
        <f>IF(F3="1",SUMIF(Data!$A:$A,'4'!$A$2,Data!IV:IV),0)</f>
        <v>4121</v>
      </c>
      <c r="F43" s="22">
        <f t="shared" si="3"/>
        <v>0.46914845173041897</v>
      </c>
    </row>
    <row r="44" spans="1:6" x14ac:dyDescent="0.2">
      <c r="A44" s="20">
        <v>9</v>
      </c>
      <c r="B44" s="184" t="s">
        <v>8</v>
      </c>
      <c r="C44" s="185"/>
      <c r="D44" s="15">
        <f>IF(F3="1",SUMIF(Data!A:A,'4'!$A$2,Data!DC:DC),0)</f>
        <v>57898</v>
      </c>
      <c r="E44" s="18">
        <f>IF(F3="1",SUMIF(Data!$A:$A,'4'!$A$2,Data!IW:IW),0)</f>
        <v>75740</v>
      </c>
      <c r="F44" s="22">
        <f t="shared" si="3"/>
        <v>1.3081626308335348</v>
      </c>
    </row>
    <row r="45" spans="1:6" x14ac:dyDescent="0.2">
      <c r="A45" s="20">
        <v>10</v>
      </c>
      <c r="B45" s="184" t="s">
        <v>9</v>
      </c>
      <c r="C45" s="185"/>
      <c r="D45" s="15">
        <f>IF(F3="1",SUMIF(Data!A:A,'4'!$A$2,Data!DD:DD),0)</f>
        <v>880</v>
      </c>
      <c r="E45" s="18">
        <f>IF(F3="1",SUMIF(Data!$A:$A,'4'!$A$2,Data!IX:IX),0)</f>
        <v>3595</v>
      </c>
      <c r="F45" s="22">
        <f t="shared" si="3"/>
        <v>4.0852272727272725</v>
      </c>
    </row>
    <row r="46" spans="1:6" x14ac:dyDescent="0.2">
      <c r="A46" s="20">
        <v>11</v>
      </c>
      <c r="B46" s="184" t="s">
        <v>10</v>
      </c>
      <c r="C46" s="185"/>
      <c r="D46" s="15">
        <f>IF(F3="1",SUMIF(Data!A:A,'4'!$A$2,Data!DE:DE),0)</f>
        <v>34902</v>
      </c>
      <c r="E46" s="18">
        <f>IF(F3="1",SUMIF(Data!$A:$A,'4'!$A$2,Data!IY:IY),0)</f>
        <v>13473</v>
      </c>
      <c r="F46" s="22">
        <f t="shared" si="3"/>
        <v>0.3860237235688499</v>
      </c>
    </row>
    <row r="47" spans="1:6" ht="14.25" customHeight="1" x14ac:dyDescent="0.2">
      <c r="A47" s="20">
        <v>12</v>
      </c>
      <c r="B47" s="184" t="s">
        <v>11</v>
      </c>
      <c r="C47" s="185"/>
      <c r="D47" s="15">
        <f>IF(F3="1",SUMIF(Data!A:A,'4'!$A$2,Data!DF:DF),0)</f>
        <v>394966</v>
      </c>
      <c r="E47" s="18">
        <f>IF(F3="1",SUMIF(Data!$A:$A,'4'!$A$2,Data!IZ:IZ),0)</f>
        <v>105832</v>
      </c>
      <c r="F47" s="22">
        <f t="shared" si="3"/>
        <v>0.26795217816217093</v>
      </c>
    </row>
    <row r="48" spans="1:6" x14ac:dyDescent="0.2">
      <c r="A48" s="20">
        <v>13</v>
      </c>
      <c r="B48" s="184" t="s">
        <v>12</v>
      </c>
      <c r="C48" s="185"/>
      <c r="D48" s="15">
        <f>IF(F3="1",SUMIF(Data!A:A,'4'!$A$2,Data!DG:DG),0)</f>
        <v>24840</v>
      </c>
      <c r="E48" s="18">
        <f>IF(F3="1",SUMIF(Data!$A:$A,'4'!$A$2,Data!JA:JA),0)</f>
        <v>5355</v>
      </c>
      <c r="F48" s="22">
        <f t="shared" si="3"/>
        <v>0.21557971014492755</v>
      </c>
    </row>
    <row r="49" spans="1:6" ht="14.25" customHeight="1" x14ac:dyDescent="0.2">
      <c r="A49" s="20">
        <v>14</v>
      </c>
      <c r="B49" s="184" t="s">
        <v>469</v>
      </c>
      <c r="C49" s="185"/>
      <c r="D49" s="15">
        <f>IF(F3="1",SUMIF(Data!A:A,'4'!$A$2,Data!DH:DH),0)</f>
        <v>131562</v>
      </c>
      <c r="E49" s="18">
        <f>IF(F3="1",SUMIF(Data!$A:$A,'4'!$A$2,Data!JB:JB),0)</f>
        <v>160664</v>
      </c>
      <c r="F49" s="22">
        <f t="shared" si="3"/>
        <v>1.2212036910354054</v>
      </c>
    </row>
    <row r="50" spans="1:6" x14ac:dyDescent="0.2">
      <c r="A50" s="20">
        <v>15</v>
      </c>
      <c r="B50" s="184" t="s">
        <v>13</v>
      </c>
      <c r="C50" s="185"/>
      <c r="D50" s="15">
        <f>IF(F3="1",SUMIF(Data!A:A,'4'!$A$2,Data!DI:DI),0)</f>
        <v>0</v>
      </c>
      <c r="E50" s="18">
        <f>IF(F3="1",SUMIF(Data!$A:$A,'4'!$A$2,Data!JC:JC),0)</f>
        <v>0</v>
      </c>
      <c r="F50" s="22" t="str">
        <f t="shared" si="3"/>
        <v/>
      </c>
    </row>
    <row r="51" spans="1:6" x14ac:dyDescent="0.2">
      <c r="A51" s="20">
        <v>16</v>
      </c>
      <c r="B51" s="184" t="s">
        <v>14</v>
      </c>
      <c r="C51" s="185"/>
      <c r="D51" s="15">
        <f>IF(F3="1",SUMIF(Data!A:A,'4'!$A$2,Data!DJ:DJ),0)</f>
        <v>198460</v>
      </c>
      <c r="E51" s="18">
        <f>IF(F3="1",SUMIF(Data!$A:$A,'4'!$A$2,Data!JD:JD),0)</f>
        <v>94901</v>
      </c>
      <c r="F51" s="22">
        <f t="shared" si="3"/>
        <v>0.478187040209614</v>
      </c>
    </row>
    <row r="52" spans="1:6" x14ac:dyDescent="0.2">
      <c r="A52" s="20">
        <v>17</v>
      </c>
      <c r="B52" s="184" t="s">
        <v>15</v>
      </c>
      <c r="C52" s="185"/>
      <c r="D52" s="15">
        <f>IF(F3="1",SUMIF(Data!A:A,'4'!$A$2,Data!DK:DK),0)</f>
        <v>32464</v>
      </c>
      <c r="E52" s="18">
        <f>IF(F3="1",SUMIF(Data!$A:$A,'4'!$A$2,Data!JE:JE),0)</f>
        <v>21706</v>
      </c>
      <c r="F52" s="22">
        <f t="shared" si="3"/>
        <v>0.66861754558896003</v>
      </c>
    </row>
    <row r="53" spans="1:6" x14ac:dyDescent="0.2">
      <c r="A53" s="20">
        <v>18</v>
      </c>
      <c r="B53" s="184" t="s">
        <v>16</v>
      </c>
      <c r="C53" s="185"/>
      <c r="D53" s="15">
        <f>IF(F3="1",SUMIF(Data!A:A,'4'!$A$2,Data!DL:DL),0)</f>
        <v>71676</v>
      </c>
      <c r="E53" s="18">
        <f>IF(F3="1",SUMIF(Data!$A:$A,'4'!$A$2,Data!JF:JF),0)</f>
        <v>27316</v>
      </c>
      <c r="F53" s="22">
        <f t="shared" si="3"/>
        <v>0.38110385624197779</v>
      </c>
    </row>
    <row r="54" spans="1:6" x14ac:dyDescent="0.2">
      <c r="A54" s="20">
        <v>19</v>
      </c>
      <c r="B54" s="184" t="s">
        <v>17</v>
      </c>
      <c r="C54" s="185"/>
      <c r="D54" s="15">
        <f>IF(F3="1",SUMIF(Data!A:A,'4'!$A$2,Data!DM:DM),0)</f>
        <v>210224</v>
      </c>
      <c r="E54" s="18">
        <f>IF(F3="1",SUMIF(Data!$A:$A,'4'!$A$2,Data!JG:JG),0)</f>
        <v>83690</v>
      </c>
      <c r="F54" s="22">
        <f t="shared" si="3"/>
        <v>0.3980991704087069</v>
      </c>
    </row>
    <row r="55" spans="1:6" x14ac:dyDescent="0.2">
      <c r="A55" s="20">
        <v>20</v>
      </c>
      <c r="B55" s="184" t="s">
        <v>18</v>
      </c>
      <c r="C55" s="185"/>
      <c r="D55" s="15">
        <f>IF(F3="1",SUMIF(Data!A:A,'4'!$A$2,Data!DN:DN),0)</f>
        <v>10496</v>
      </c>
      <c r="E55" s="18">
        <f>IF(F3="1",SUMIF(Data!$A:$A,'4'!$A$2,Data!JH:JH),0)</f>
        <v>11241</v>
      </c>
      <c r="F55" s="22">
        <f t="shared" si="3"/>
        <v>1.0709794207317074</v>
      </c>
    </row>
    <row r="56" spans="1:6" ht="14.25" customHeight="1" x14ac:dyDescent="0.2">
      <c r="A56" s="20">
        <v>21</v>
      </c>
      <c r="B56" s="184" t="s">
        <v>466</v>
      </c>
      <c r="C56" s="185"/>
      <c r="D56" s="15">
        <f>IF(F3="1",SUMIF(Data!A:A,'4'!$A$2,Data!DO:DO),0)</f>
        <v>8832</v>
      </c>
      <c r="E56" s="18">
        <f>IF(F3="1",SUMIF(Data!$A:$A,'4'!$A$2,Data!JI:JI),0)</f>
        <v>9267</v>
      </c>
      <c r="F56" s="22">
        <f t="shared" si="3"/>
        <v>1.0492527173913044</v>
      </c>
    </row>
    <row r="57" spans="1:6" x14ac:dyDescent="0.2">
      <c r="A57" s="20">
        <v>22</v>
      </c>
      <c r="B57" s="184" t="s">
        <v>19</v>
      </c>
      <c r="C57" s="185"/>
      <c r="D57" s="15">
        <f>IF(F3="1",SUMIF(Data!A:A,'4'!$A$2,Data!DP:DP),0)</f>
        <v>1536</v>
      </c>
      <c r="E57" s="18">
        <f>IF(F3="1",SUMIF(Data!$A:$A,'4'!$A$2,Data!JJ:JJ),0)</f>
        <v>592</v>
      </c>
      <c r="F57" s="22">
        <f t="shared" si="3"/>
        <v>0.38541666666666669</v>
      </c>
    </row>
    <row r="58" spans="1:6" x14ac:dyDescent="0.2">
      <c r="A58" s="20">
        <v>23</v>
      </c>
      <c r="B58" s="184" t="s">
        <v>20</v>
      </c>
      <c r="C58" s="185"/>
      <c r="D58" s="15">
        <f>IF(F3="1",SUMIF(Data!A:A,'4'!$A$2,Data!DQ:DQ),0)</f>
        <v>53741</v>
      </c>
      <c r="E58" s="18">
        <f>IF(F3="1",SUMIF(Data!$A:$A,'4'!$A$2,Data!JK:JK),0)</f>
        <v>37284</v>
      </c>
      <c r="F58" s="22">
        <f t="shared" si="3"/>
        <v>0.69377198042462929</v>
      </c>
    </row>
    <row r="59" spans="1:6" x14ac:dyDescent="0.2">
      <c r="A59" s="20">
        <v>24</v>
      </c>
      <c r="B59" s="184" t="s">
        <v>21</v>
      </c>
      <c r="C59" s="185"/>
      <c r="D59" s="15">
        <f>IF(F3="1",SUMIF(Data!A:A,'4'!$A$2,Data!DR:DR),0)</f>
        <v>136440</v>
      </c>
      <c r="E59" s="18">
        <f>IF(F3="1",SUMIF(Data!$A:$A,'4'!$A$2,Data!JL:JL),0)</f>
        <v>175361</v>
      </c>
      <c r="F59" s="22">
        <f t="shared" si="3"/>
        <v>1.285260920551158</v>
      </c>
    </row>
    <row r="60" spans="1:6" x14ac:dyDescent="0.2">
      <c r="A60" s="20">
        <v>25</v>
      </c>
      <c r="B60" s="184" t="s">
        <v>22</v>
      </c>
      <c r="C60" s="185"/>
      <c r="D60" s="15">
        <f>IF(F3="1",SUMIF(Data!A:A,'4'!$A$2,Data!DS:DS),0)</f>
        <v>326736</v>
      </c>
      <c r="E60" s="18">
        <f>IF(F3="1",SUMIF(Data!$A:$A,'4'!$A$2,Data!JM:JM),0)</f>
        <v>78258</v>
      </c>
      <c r="F60" s="22">
        <f t="shared" si="3"/>
        <v>0.23951447039811957</v>
      </c>
    </row>
    <row r="61" spans="1:6" x14ac:dyDescent="0.2">
      <c r="A61" s="20">
        <v>26</v>
      </c>
      <c r="B61" s="184" t="s">
        <v>23</v>
      </c>
      <c r="C61" s="185"/>
      <c r="D61" s="15">
        <f>IF(F3="1",SUMIF(Data!A:A,'4'!$A$2,Data!DT:DT),0)</f>
        <v>97292</v>
      </c>
      <c r="E61" s="18">
        <f>IF(F3="1",SUMIF(Data!$A:$A,'4'!$A$2,Data!JN:JN),0)</f>
        <v>103280</v>
      </c>
      <c r="F61" s="22">
        <f t="shared" si="3"/>
        <v>1.0615466842083625</v>
      </c>
    </row>
    <row r="62" spans="1:6" x14ac:dyDescent="0.2">
      <c r="A62" s="20">
        <v>28</v>
      </c>
      <c r="B62" s="184" t="s">
        <v>24</v>
      </c>
      <c r="C62" s="185"/>
      <c r="D62" s="15">
        <f>IF(F3="1",SUMIF(Data!A:A,'4'!$A$2,Data!DV:DV),0)</f>
        <v>0</v>
      </c>
      <c r="E62" s="18">
        <f>IF(F3="1",SUMIF(Data!$A:$A,'4'!$A$2,Data!JP:JP),0)</f>
        <v>0</v>
      </c>
      <c r="F62" s="22" t="str">
        <f t="shared" si="3"/>
        <v/>
      </c>
    </row>
    <row r="63" spans="1:6" ht="15.75" customHeight="1" thickBot="1" x14ac:dyDescent="0.25">
      <c r="A63" s="23">
        <v>29</v>
      </c>
      <c r="B63" s="186" t="s">
        <v>25</v>
      </c>
      <c r="C63" s="187"/>
      <c r="D63" s="24">
        <f>IF(F3="1",SUMIF(Data!A:A,'4'!$A$2,Data!DW:DW),0)</f>
        <v>0</v>
      </c>
      <c r="E63" s="25">
        <f>IF(F3="1",SUMIF(Data!$A:$A,'4'!$A$2,Data!JQ:JQ),0)</f>
        <v>0</v>
      </c>
      <c r="F63" s="26" t="str">
        <f t="shared" si="3"/>
        <v/>
      </c>
    </row>
    <row r="64" spans="1:6" x14ac:dyDescent="0.2">
      <c r="B64" s="31" t="s">
        <v>35</v>
      </c>
      <c r="C64" s="31"/>
      <c r="D64" s="61">
        <f>SUM(D36:D63)</f>
        <v>2199497</v>
      </c>
      <c r="E64" s="32">
        <f>SUM(E36:E63)</f>
        <v>1245818</v>
      </c>
      <c r="F64" s="33">
        <f t="shared" si="3"/>
        <v>0.56641041110763046</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80</v>
      </c>
      <c r="E67" s="16">
        <f>IF(F3="1",SUMIF(Data!A:A,'4'!$A$2,Data!DY:DY),0)</f>
        <v>149</v>
      </c>
      <c r="F67" s="21">
        <f>IFERROR(E67/D67,"")</f>
        <v>1.8625</v>
      </c>
    </row>
    <row r="68" spans="1:6" x14ac:dyDescent="0.2">
      <c r="A68" s="20">
        <v>2</v>
      </c>
      <c r="B68" s="184" t="s">
        <v>1</v>
      </c>
      <c r="C68" s="185"/>
      <c r="D68" s="15">
        <f t="shared" ref="D68:D94" si="4">D37</f>
        <v>34912</v>
      </c>
      <c r="E68" s="18">
        <f>IF(F3="1",SUMIF(Data!A:A,'4'!$A$2,Data!DZ:DZ),0)</f>
        <v>183815</v>
      </c>
      <c r="F68" s="22">
        <f t="shared" ref="F68:F95" si="5">IFERROR(E68/D68,"")</f>
        <v>5.2650950962419802</v>
      </c>
    </row>
    <row r="69" spans="1:6" ht="14.25" customHeight="1" x14ac:dyDescent="0.2">
      <c r="A69" s="20">
        <v>3</v>
      </c>
      <c r="B69" s="184" t="s">
        <v>2</v>
      </c>
      <c r="C69" s="185"/>
      <c r="D69" s="15">
        <f t="shared" si="4"/>
        <v>195104</v>
      </c>
      <c r="E69" s="18">
        <f>IF(F3="1",SUMIF(Data!A:A,'4'!$A$2,Data!EA:EA),0)</f>
        <v>517138</v>
      </c>
      <c r="F69" s="22">
        <f t="shared" si="5"/>
        <v>2.6505761030014763</v>
      </c>
    </row>
    <row r="70" spans="1:6" ht="14.25" customHeight="1" x14ac:dyDescent="0.2">
      <c r="A70" s="20">
        <v>4</v>
      </c>
      <c r="B70" s="184" t="s">
        <v>3</v>
      </c>
      <c r="C70" s="185"/>
      <c r="D70" s="15">
        <f t="shared" si="4"/>
        <v>118137</v>
      </c>
      <c r="E70" s="18">
        <f>IF(F3="1",SUMIF(Data!A:A,'4'!$A$2,Data!EB:EB),0)</f>
        <v>409427</v>
      </c>
      <c r="F70" s="22">
        <f t="shared" si="5"/>
        <v>3.4656966064823043</v>
      </c>
    </row>
    <row r="71" spans="1:6" x14ac:dyDescent="0.2">
      <c r="A71" s="20">
        <v>5</v>
      </c>
      <c r="B71" s="184" t="s">
        <v>4</v>
      </c>
      <c r="C71" s="185"/>
      <c r="D71" s="15">
        <f t="shared" si="4"/>
        <v>0</v>
      </c>
      <c r="E71" s="18">
        <f>IF(F3="1",SUMIF(Data!A:A,'4'!$A$2,Data!EC:EC),0)</f>
        <v>0</v>
      </c>
      <c r="F71" s="22" t="str">
        <f t="shared" si="5"/>
        <v/>
      </c>
    </row>
    <row r="72" spans="1:6" x14ac:dyDescent="0.2">
      <c r="A72" s="20">
        <v>6</v>
      </c>
      <c r="B72" s="184" t="s">
        <v>5</v>
      </c>
      <c r="C72" s="185"/>
      <c r="D72" s="15">
        <f t="shared" si="4"/>
        <v>6704</v>
      </c>
      <c r="E72" s="18">
        <f>IF(F3="1",SUMIF(Data!A:A,'4'!$A$2,Data!ED:ED),0)</f>
        <v>49569</v>
      </c>
      <c r="F72" s="22">
        <f t="shared" si="5"/>
        <v>7.3939439140811452</v>
      </c>
    </row>
    <row r="73" spans="1:6" x14ac:dyDescent="0.2">
      <c r="A73" s="20">
        <v>7</v>
      </c>
      <c r="B73" s="184" t="s">
        <v>6</v>
      </c>
      <c r="C73" s="185"/>
      <c r="D73" s="15">
        <f t="shared" si="4"/>
        <v>42831</v>
      </c>
      <c r="E73" s="18">
        <f>IF(F3="1",SUMIF(Data!A:A,'4'!$A$2,Data!EE:EE),0)</f>
        <v>334225</v>
      </c>
      <c r="F73" s="22">
        <f t="shared" si="5"/>
        <v>7.803343372790736</v>
      </c>
    </row>
    <row r="74" spans="1:6" x14ac:dyDescent="0.2">
      <c r="A74" s="20">
        <v>8</v>
      </c>
      <c r="B74" s="184" t="s">
        <v>7</v>
      </c>
      <c r="C74" s="185"/>
      <c r="D74" s="15">
        <f t="shared" si="4"/>
        <v>8784</v>
      </c>
      <c r="E74" s="18">
        <f>IF(F3="1",SUMIF(Data!A:A,'4'!$A$2,Data!EF:EF),0)</f>
        <v>35331</v>
      </c>
      <c r="F74" s="22">
        <f t="shared" si="5"/>
        <v>4.022199453551913</v>
      </c>
    </row>
    <row r="75" spans="1:6" x14ac:dyDescent="0.2">
      <c r="A75" s="20">
        <v>9</v>
      </c>
      <c r="B75" s="184" t="s">
        <v>8</v>
      </c>
      <c r="C75" s="185"/>
      <c r="D75" s="15">
        <f t="shared" si="4"/>
        <v>57898</v>
      </c>
      <c r="E75" s="18">
        <f>IF(F3="1",SUMIF(Data!A:A,'4'!$A$2,Data!EG:EG),0)</f>
        <v>149187</v>
      </c>
      <c r="F75" s="22">
        <f t="shared" si="5"/>
        <v>2.5767211302635671</v>
      </c>
    </row>
    <row r="76" spans="1:6" x14ac:dyDescent="0.2">
      <c r="A76" s="20">
        <v>10</v>
      </c>
      <c r="B76" s="184" t="s">
        <v>9</v>
      </c>
      <c r="C76" s="185"/>
      <c r="D76" s="15">
        <f t="shared" si="4"/>
        <v>880</v>
      </c>
      <c r="E76" s="18">
        <f>IF(F3="1",SUMIF(Data!A:A,'4'!$A$2,Data!EH:EH),0)</f>
        <v>7455</v>
      </c>
      <c r="F76" s="22">
        <f t="shared" si="5"/>
        <v>8.4715909090909083</v>
      </c>
    </row>
    <row r="77" spans="1:6" x14ac:dyDescent="0.2">
      <c r="A77" s="20">
        <v>11</v>
      </c>
      <c r="B77" s="184" t="s">
        <v>10</v>
      </c>
      <c r="C77" s="185"/>
      <c r="D77" s="15">
        <f t="shared" si="4"/>
        <v>34902</v>
      </c>
      <c r="E77" s="18">
        <f>IF(F3="1",SUMIF(Data!A:A,'4'!$A$2,Data!EI:EI),0)</f>
        <v>138724</v>
      </c>
      <c r="F77" s="22">
        <f t="shared" si="5"/>
        <v>3.9746719385708555</v>
      </c>
    </row>
    <row r="78" spans="1:6" ht="14.25" customHeight="1" x14ac:dyDescent="0.2">
      <c r="A78" s="20">
        <v>12</v>
      </c>
      <c r="B78" s="184" t="s">
        <v>11</v>
      </c>
      <c r="C78" s="185"/>
      <c r="D78" s="15">
        <f t="shared" si="4"/>
        <v>394966</v>
      </c>
      <c r="E78" s="18">
        <f>IF(F3="1",SUMIF(Data!A:A,'4'!$A$2,Data!EJ:EJ),0)</f>
        <v>1075248</v>
      </c>
      <c r="F78" s="22">
        <f t="shared" si="5"/>
        <v>2.7223811669865254</v>
      </c>
    </row>
    <row r="79" spans="1:6" x14ac:dyDescent="0.2">
      <c r="A79" s="20">
        <v>13</v>
      </c>
      <c r="B79" s="184" t="s">
        <v>12</v>
      </c>
      <c r="C79" s="185"/>
      <c r="D79" s="15">
        <f t="shared" si="4"/>
        <v>24840</v>
      </c>
      <c r="E79" s="18">
        <f>IF(F3="1",SUMIF(Data!A:A,'4'!$A$2,Data!EK:EK),0)</f>
        <v>65268</v>
      </c>
      <c r="F79" s="22">
        <f t="shared" si="5"/>
        <v>2.6275362318840578</v>
      </c>
    </row>
    <row r="80" spans="1:6" ht="14.25" customHeight="1" x14ac:dyDescent="0.2">
      <c r="A80" s="20">
        <v>14</v>
      </c>
      <c r="B80" s="184" t="s">
        <v>469</v>
      </c>
      <c r="C80" s="185"/>
      <c r="D80" s="15">
        <f t="shared" si="4"/>
        <v>131562</v>
      </c>
      <c r="E80" s="18">
        <f>IF(F3="1",SUMIF(Data!A:A,'4'!$A$2,Data!EL:EL),0)</f>
        <v>919755</v>
      </c>
      <c r="F80" s="22">
        <f t="shared" si="5"/>
        <v>6.9910384457518129</v>
      </c>
    </row>
    <row r="81" spans="1:6" x14ac:dyDescent="0.2">
      <c r="A81" s="20">
        <v>15</v>
      </c>
      <c r="B81" s="184" t="s">
        <v>13</v>
      </c>
      <c r="C81" s="185"/>
      <c r="D81" s="15">
        <f t="shared" si="4"/>
        <v>0</v>
      </c>
      <c r="E81" s="18">
        <f>IF(F3="1",SUMIF(Data!A:A,'4'!$A$2,Data!EM:EM),0)</f>
        <v>0</v>
      </c>
      <c r="F81" s="22" t="str">
        <f t="shared" si="5"/>
        <v/>
      </c>
    </row>
    <row r="82" spans="1:6" x14ac:dyDescent="0.2">
      <c r="A82" s="20">
        <v>16</v>
      </c>
      <c r="B82" s="184" t="s">
        <v>14</v>
      </c>
      <c r="C82" s="185"/>
      <c r="D82" s="15">
        <f t="shared" si="4"/>
        <v>198460</v>
      </c>
      <c r="E82" s="18">
        <f>IF(F3="1",SUMIF(Data!A:A,'4'!$A$2,Data!EN:EN),0)</f>
        <v>680640</v>
      </c>
      <c r="F82" s="22">
        <f t="shared" si="5"/>
        <v>3.4296079814572207</v>
      </c>
    </row>
    <row r="83" spans="1:6" x14ac:dyDescent="0.2">
      <c r="A83" s="20">
        <v>17</v>
      </c>
      <c r="B83" s="184" t="s">
        <v>15</v>
      </c>
      <c r="C83" s="185"/>
      <c r="D83" s="15">
        <f t="shared" si="4"/>
        <v>32464</v>
      </c>
      <c r="E83" s="18">
        <f>IF(F3="1",SUMIF(Data!A:A,'4'!$A$2,Data!EO:EO),0)</f>
        <v>206283</v>
      </c>
      <c r="F83" s="22">
        <f t="shared" si="5"/>
        <v>6.3542077378018726</v>
      </c>
    </row>
    <row r="84" spans="1:6" x14ac:dyDescent="0.2">
      <c r="A84" s="20">
        <v>18</v>
      </c>
      <c r="B84" s="184" t="s">
        <v>16</v>
      </c>
      <c r="C84" s="185"/>
      <c r="D84" s="15">
        <f t="shared" si="4"/>
        <v>71676</v>
      </c>
      <c r="E84" s="18">
        <f>IF(F3="1",SUMIF(Data!A:A,'4'!$A$2,Data!EP:EP),0)</f>
        <v>229216</v>
      </c>
      <c r="F84" s="22">
        <f t="shared" si="5"/>
        <v>3.1979463139684134</v>
      </c>
    </row>
    <row r="85" spans="1:6" x14ac:dyDescent="0.2">
      <c r="A85" s="20">
        <v>19</v>
      </c>
      <c r="B85" s="184" t="s">
        <v>17</v>
      </c>
      <c r="C85" s="185"/>
      <c r="D85" s="15">
        <f t="shared" si="4"/>
        <v>210224</v>
      </c>
      <c r="E85" s="18">
        <f>IF(F3="1",SUMIF(Data!A:A,'4'!$A$2,Data!EQ:EQ),0)</f>
        <v>796807</v>
      </c>
      <c r="F85" s="22">
        <f t="shared" si="5"/>
        <v>3.7902760864601568</v>
      </c>
    </row>
    <row r="86" spans="1:6" x14ac:dyDescent="0.2">
      <c r="A86" s="20">
        <v>20</v>
      </c>
      <c r="B86" s="184" t="s">
        <v>18</v>
      </c>
      <c r="C86" s="185"/>
      <c r="D86" s="15">
        <f t="shared" si="4"/>
        <v>10496</v>
      </c>
      <c r="E86" s="18">
        <f>IF(F3="1",SUMIF(Data!A:A,'4'!$A$2,Data!ER:ER),0)</f>
        <v>63384</v>
      </c>
      <c r="F86" s="22">
        <f t="shared" si="5"/>
        <v>6.0388719512195124</v>
      </c>
    </row>
    <row r="87" spans="1:6" ht="14.25" customHeight="1" x14ac:dyDescent="0.2">
      <c r="A87" s="20">
        <v>21</v>
      </c>
      <c r="B87" s="184" t="s">
        <v>466</v>
      </c>
      <c r="C87" s="185"/>
      <c r="D87" s="15">
        <f t="shared" si="4"/>
        <v>8832</v>
      </c>
      <c r="E87" s="18">
        <f>IF(F3="1",SUMIF(Data!A:A,'4'!$A$2,Data!ES:ES),0)</f>
        <v>42063</v>
      </c>
      <c r="F87" s="22">
        <f t="shared" si="5"/>
        <v>4.7625679347826084</v>
      </c>
    </row>
    <row r="88" spans="1:6" x14ac:dyDescent="0.2">
      <c r="A88" s="20">
        <v>22</v>
      </c>
      <c r="B88" s="184" t="s">
        <v>19</v>
      </c>
      <c r="C88" s="185"/>
      <c r="D88" s="15">
        <f t="shared" si="4"/>
        <v>1536</v>
      </c>
      <c r="E88" s="18">
        <f>IF(F3="1",SUMIF(Data!A:A,'4'!$A$2,Data!ET:ET),0)</f>
        <v>6105</v>
      </c>
      <c r="F88" s="22">
        <f t="shared" si="5"/>
        <v>3.974609375</v>
      </c>
    </row>
    <row r="89" spans="1:6" x14ac:dyDescent="0.2">
      <c r="A89" s="20">
        <v>23</v>
      </c>
      <c r="B89" s="184" t="s">
        <v>20</v>
      </c>
      <c r="C89" s="185"/>
      <c r="D89" s="15">
        <f t="shared" si="4"/>
        <v>53741</v>
      </c>
      <c r="E89" s="18">
        <f>IF(F3="1",SUMIF(Data!A:A,'4'!$A$2,Data!EU:EU),0)</f>
        <v>211405</v>
      </c>
      <c r="F89" s="22">
        <f t="shared" si="5"/>
        <v>3.9337749576673304</v>
      </c>
    </row>
    <row r="90" spans="1:6" x14ac:dyDescent="0.2">
      <c r="A90" s="20">
        <v>24</v>
      </c>
      <c r="B90" s="184" t="s">
        <v>21</v>
      </c>
      <c r="C90" s="185"/>
      <c r="D90" s="15">
        <f t="shared" si="4"/>
        <v>136440</v>
      </c>
      <c r="E90" s="18">
        <f>IF(F3="1",SUMIF(Data!A:A,'4'!$A$2,Data!EV:EV),0)</f>
        <v>280976</v>
      </c>
      <c r="F90" s="22">
        <f t="shared" si="5"/>
        <v>2.0593374377015539</v>
      </c>
    </row>
    <row r="91" spans="1:6" x14ac:dyDescent="0.2">
      <c r="A91" s="20">
        <v>25</v>
      </c>
      <c r="B91" s="184" t="s">
        <v>22</v>
      </c>
      <c r="C91" s="185"/>
      <c r="D91" s="15">
        <f t="shared" si="4"/>
        <v>326736</v>
      </c>
      <c r="E91" s="18">
        <f>IF(F3="1",SUMIF(Data!A:A,'4'!$A$2,Data!EW:EW),0)</f>
        <v>865824</v>
      </c>
      <c r="F91" s="22">
        <f t="shared" si="5"/>
        <v>2.6499192008226826</v>
      </c>
    </row>
    <row r="92" spans="1:6" x14ac:dyDescent="0.2">
      <c r="A92" s="20">
        <v>26</v>
      </c>
      <c r="B92" s="184" t="s">
        <v>23</v>
      </c>
      <c r="C92" s="185"/>
      <c r="D92" s="15">
        <f t="shared" si="4"/>
        <v>97292</v>
      </c>
      <c r="E92" s="18">
        <f>IF(F3="1",SUMIF(Data!A:A,'4'!$A$2,Data!EX:EX),0)</f>
        <v>435404</v>
      </c>
      <c r="F92" s="22">
        <f t="shared" si="5"/>
        <v>4.4752292069234878</v>
      </c>
    </row>
    <row r="93" spans="1:6" x14ac:dyDescent="0.2">
      <c r="A93" s="20">
        <v>28</v>
      </c>
      <c r="B93" s="184" t="s">
        <v>24</v>
      </c>
      <c r="C93" s="185"/>
      <c r="D93" s="15">
        <f t="shared" si="4"/>
        <v>0</v>
      </c>
      <c r="E93" s="18">
        <f>IF(F3="1",SUMIF(Data!A:A,'4'!$A$2,Data!EZ:EZ),0)</f>
        <v>0</v>
      </c>
      <c r="F93" s="22" t="str">
        <f t="shared" si="5"/>
        <v/>
      </c>
    </row>
    <row r="94" spans="1:6" ht="15.75" customHeight="1" thickBot="1" x14ac:dyDescent="0.25">
      <c r="A94" s="23">
        <v>29</v>
      </c>
      <c r="B94" s="186" t="s">
        <v>25</v>
      </c>
      <c r="C94" s="187"/>
      <c r="D94" s="24">
        <f t="shared" si="4"/>
        <v>0</v>
      </c>
      <c r="E94" s="25">
        <f>IF(F3="1",SUMIF(Data!A:A,'4'!$A$2,Data!FA:FA),0)</f>
        <v>0</v>
      </c>
      <c r="F94" s="26" t="str">
        <f t="shared" si="5"/>
        <v/>
      </c>
    </row>
    <row r="95" spans="1:6" x14ac:dyDescent="0.2">
      <c r="B95" s="31" t="s">
        <v>35</v>
      </c>
      <c r="C95" s="31"/>
      <c r="D95" s="61">
        <f>SUM(D67:D94)</f>
        <v>2199497</v>
      </c>
      <c r="E95" s="32">
        <f>SUM(E67:E94)</f>
        <v>7703398</v>
      </c>
      <c r="F95" s="33">
        <f t="shared" si="5"/>
        <v>3.5023453089501828</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IF(F3="1",SUMIF(Data!A:A,'4'!$A$2,Data!AH:AH),0)</f>
        <v>2051976</v>
      </c>
      <c r="F98" s="21">
        <f t="shared" ref="F98:F105" si="6">IFERROR(E98/$D$95,0)</f>
        <v>0.93292966528256238</v>
      </c>
    </row>
    <row r="99" spans="2:6" x14ac:dyDescent="0.2">
      <c r="B99" s="190" t="s">
        <v>31</v>
      </c>
      <c r="C99" s="191"/>
      <c r="D99" s="37"/>
      <c r="E99" s="18">
        <f>IF(F3="1",SUMIF(Data!A:A,'4'!$A$2,Data!AI:AI),0)</f>
        <v>981246</v>
      </c>
      <c r="F99" s="22">
        <f t="shared" si="6"/>
        <v>0.44612290901056012</v>
      </c>
    </row>
    <row r="100" spans="2:6" x14ac:dyDescent="0.2">
      <c r="B100" s="190" t="s">
        <v>32</v>
      </c>
      <c r="C100" s="191"/>
      <c r="D100" s="37"/>
      <c r="E100" s="18">
        <f>IF(F3="1",SUMIF(Data!A:A,'4'!$A$2,Data!AJ:AJ),0)</f>
        <v>1819097</v>
      </c>
      <c r="F100" s="22">
        <f t="shared" si="6"/>
        <v>0.82705136674430568</v>
      </c>
    </row>
    <row r="101" spans="2:6" x14ac:dyDescent="0.2">
      <c r="B101" s="190" t="s">
        <v>28</v>
      </c>
      <c r="C101" s="191"/>
      <c r="D101" s="37"/>
      <c r="E101" s="18">
        <f>IF(F3="1",SUMIF(Data!A:A,'4'!$A$2,Data!AK:AK),0)</f>
        <v>0</v>
      </c>
      <c r="F101" s="22">
        <f t="shared" si="6"/>
        <v>0</v>
      </c>
    </row>
    <row r="102" spans="2:6" x14ac:dyDescent="0.2">
      <c r="B102" s="190" t="s">
        <v>33</v>
      </c>
      <c r="C102" s="191"/>
      <c r="D102" s="37"/>
      <c r="E102" s="18">
        <f>IF(F3="1",SUMIF(Data!A:A,'4'!$A$2,Data!AL:AL),0)</f>
        <v>0</v>
      </c>
      <c r="F102" s="22">
        <f t="shared" si="6"/>
        <v>0</v>
      </c>
    </row>
    <row r="103" spans="2:6" x14ac:dyDescent="0.2">
      <c r="B103" s="192" t="s">
        <v>34</v>
      </c>
      <c r="C103" s="193"/>
      <c r="D103" s="37"/>
      <c r="E103" s="18">
        <f>IF(F3="1",SUMIF(Data!A:A,'4'!$A$2,Data!AM:AM),0)</f>
        <v>301027</v>
      </c>
      <c r="F103" s="22">
        <f t="shared" si="6"/>
        <v>0.13686174611740776</v>
      </c>
    </row>
    <row r="104" spans="2:6" ht="15.75" customHeight="1" thickBot="1" x14ac:dyDescent="0.25">
      <c r="B104" s="182" t="s">
        <v>29</v>
      </c>
      <c r="C104" s="183"/>
      <c r="D104" s="38"/>
      <c r="E104" s="25">
        <f>IF(F3="1",SUMIF(Data!A:A,'4'!$A$2,Data!Q:Q),0)</f>
        <v>156595</v>
      </c>
      <c r="F104" s="26">
        <f t="shared" si="6"/>
        <v>7.1195823408715719E-2</v>
      </c>
    </row>
    <row r="105" spans="2:6" x14ac:dyDescent="0.2">
      <c r="B105" s="31" t="s">
        <v>35</v>
      </c>
      <c r="C105" s="31"/>
      <c r="D105" s="35">
        <f>D95</f>
        <v>2199497</v>
      </c>
      <c r="E105" s="32">
        <f>SUM(E98:E104)</f>
        <v>5309941</v>
      </c>
      <c r="F105" s="33">
        <f t="shared" si="6"/>
        <v>2.4141615105635514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7703398</v>
      </c>
      <c r="D109" s="16">
        <f>IF(F3="1",SUMIF(Data!$A:$A,$A$2,Data!HJ:HJ),0)</f>
        <v>0</v>
      </c>
      <c r="E109" s="16">
        <f>IF(F3="1",SUMIF(Data!$A:$A,$A$2,Data!IN:IN),0)</f>
        <v>0</v>
      </c>
      <c r="F109" s="48">
        <f>SUM(C109:E109)</f>
        <v>7703398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156595</v>
      </c>
      <c r="E117" s="53"/>
      <c r="F117" s="50">
        <f>SUM(C117:E117)</f>
        <v>156595</v>
      </c>
    </row>
    <row r="118" spans="1:6" x14ac:dyDescent="0.2">
      <c r="B118" s="14" t="s">
        <v>35</v>
      </c>
      <c r="C118" s="5">
        <f>SUM(C109:C116)</f>
        <v>7703398</v>
      </c>
      <c r="D118" s="5">
        <f>SUM(D109:D116)</f>
        <v>0</v>
      </c>
      <c r="E118" s="5">
        <f>SUM(E109:E116)</f>
        <v>0</v>
      </c>
      <c r="F118" s="5">
        <f>SUM(F109:F116)</f>
        <v>7703398</v>
      </c>
    </row>
    <row r="119" spans="1:6" ht="15" thickBot="1" x14ac:dyDescent="0.25"/>
    <row r="120" spans="1:6" ht="15" thickBot="1" x14ac:dyDescent="0.25">
      <c r="B120" s="57" t="s">
        <v>942</v>
      </c>
      <c r="C120" s="55"/>
      <c r="D120" s="55"/>
      <c r="E120" s="55">
        <f>IF(F3="1",SUMIF(Data!A:A,'4'!$A$2,Data!AM:AM),0)</f>
        <v>301027</v>
      </c>
      <c r="F120" s="56">
        <f>SUM(C120:E120)</f>
        <v>301027</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42578125" style="11" bestFit="1" customWidth="1"/>
    <col min="13"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446</v>
      </c>
      <c r="B2" s="60" t="str">
        <f>VLOOKUP(A2,Data!A:G,7,0)</f>
        <v>Austin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97409</v>
      </c>
      <c r="E5" s="16">
        <f>E36+E67+IFERROR($E$105/$D$105*D5,0)</f>
        <v>708055.15464787185</v>
      </c>
      <c r="F5" s="21">
        <f>IFERROR(E5/D5,"")</f>
        <v>7.268888446117626</v>
      </c>
    </row>
    <row r="6" spans="1:6" x14ac:dyDescent="0.2">
      <c r="A6" s="20">
        <v>2</v>
      </c>
      <c r="B6" s="184" t="s">
        <v>1</v>
      </c>
      <c r="C6" s="185"/>
      <c r="D6" s="15">
        <f t="shared" ref="D6:D32" si="0">D37</f>
        <v>135204</v>
      </c>
      <c r="E6" s="18">
        <f t="shared" ref="E6:E32" si="1">E37+E68+IFERROR($E$105/$D$105*D6,0)</f>
        <v>2184645.5307826879</v>
      </c>
      <c r="F6" s="22">
        <f t="shared" ref="F6:F33" si="2">IFERROR(E6/D6,"")</f>
        <v>16.158142738252476</v>
      </c>
    </row>
    <row r="7" spans="1:6" ht="14.25" customHeight="1" x14ac:dyDescent="0.2">
      <c r="A7" s="20">
        <v>3</v>
      </c>
      <c r="B7" s="184" t="s">
        <v>2</v>
      </c>
      <c r="C7" s="185"/>
      <c r="D7" s="15">
        <f t="shared" si="0"/>
        <v>1533536</v>
      </c>
      <c r="E7" s="18">
        <f t="shared" si="1"/>
        <v>17085125.035726462</v>
      </c>
      <c r="F7" s="22">
        <f t="shared" si="2"/>
        <v>11.141000299781982</v>
      </c>
    </row>
    <row r="8" spans="1:6" ht="14.25" customHeight="1" x14ac:dyDescent="0.2">
      <c r="A8" s="20">
        <v>4</v>
      </c>
      <c r="B8" s="184" t="s">
        <v>3</v>
      </c>
      <c r="C8" s="185"/>
      <c r="D8" s="15">
        <f t="shared" si="0"/>
        <v>744176</v>
      </c>
      <c r="E8" s="18">
        <f t="shared" si="1"/>
        <v>7285163.5972880814</v>
      </c>
      <c r="F8" s="22">
        <f t="shared" si="2"/>
        <v>9.7895707430608905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181376</v>
      </c>
      <c r="E10" s="18">
        <f t="shared" si="1"/>
        <v>1567908.1442208872</v>
      </c>
      <c r="F10" s="22">
        <f t="shared" si="2"/>
        <v>8.644518261627157</v>
      </c>
    </row>
    <row r="11" spans="1:6" x14ac:dyDescent="0.2">
      <c r="A11" s="20">
        <v>7</v>
      </c>
      <c r="B11" s="184" t="s">
        <v>6</v>
      </c>
      <c r="C11" s="185"/>
      <c r="D11" s="15">
        <f t="shared" si="0"/>
        <v>429132</v>
      </c>
      <c r="E11" s="18">
        <f t="shared" si="1"/>
        <v>6852209.9933717679</v>
      </c>
      <c r="F11" s="22">
        <f t="shared" si="2"/>
        <v>15.967604358033817</v>
      </c>
    </row>
    <row r="12" spans="1:6" x14ac:dyDescent="0.2">
      <c r="A12" s="20">
        <v>8</v>
      </c>
      <c r="B12" s="184" t="s">
        <v>7</v>
      </c>
      <c r="C12" s="185"/>
      <c r="D12" s="15">
        <f t="shared" si="0"/>
        <v>17944</v>
      </c>
      <c r="E12" s="18">
        <f t="shared" si="1"/>
        <v>108543.34608713171</v>
      </c>
      <c r="F12" s="22">
        <f t="shared" si="2"/>
        <v>6.0490050204598589</v>
      </c>
    </row>
    <row r="13" spans="1:6" x14ac:dyDescent="0.2">
      <c r="A13" s="20">
        <v>9</v>
      </c>
      <c r="B13" s="184" t="s">
        <v>8</v>
      </c>
      <c r="C13" s="185"/>
      <c r="D13" s="15">
        <f t="shared" si="0"/>
        <v>176736</v>
      </c>
      <c r="E13" s="18">
        <f t="shared" si="1"/>
        <v>2622940.2419781159</v>
      </c>
      <c r="F13" s="22">
        <f t="shared" si="2"/>
        <v>14.841007163102683</v>
      </c>
    </row>
    <row r="14" spans="1:6" x14ac:dyDescent="0.2">
      <c r="A14" s="20">
        <v>10</v>
      </c>
      <c r="B14" s="184" t="s">
        <v>9</v>
      </c>
      <c r="C14" s="185"/>
      <c r="D14" s="15">
        <f t="shared" si="0"/>
        <v>9152</v>
      </c>
      <c r="E14" s="18">
        <f t="shared" si="1"/>
        <v>152087.0485616044</v>
      </c>
      <c r="F14" s="22">
        <f t="shared" si="2"/>
        <v>16.617903033392089</v>
      </c>
    </row>
    <row r="15" spans="1:6" x14ac:dyDescent="0.2">
      <c r="A15" s="20">
        <v>11</v>
      </c>
      <c r="B15" s="184" t="s">
        <v>10</v>
      </c>
      <c r="C15" s="185"/>
      <c r="D15" s="15">
        <f t="shared" si="0"/>
        <v>336202</v>
      </c>
      <c r="E15" s="18">
        <f t="shared" si="1"/>
        <v>4271361.3995310888</v>
      </c>
      <c r="F15" s="22">
        <f t="shared" si="2"/>
        <v>12.704747144666268</v>
      </c>
    </row>
    <row r="16" spans="1:6" ht="14.25" customHeight="1" x14ac:dyDescent="0.2">
      <c r="A16" s="20">
        <v>12</v>
      </c>
      <c r="B16" s="184" t="s">
        <v>11</v>
      </c>
      <c r="C16" s="185"/>
      <c r="D16" s="15">
        <f t="shared" si="0"/>
        <v>2119696</v>
      </c>
      <c r="E16" s="18">
        <f t="shared" si="1"/>
        <v>21222147.444912434</v>
      </c>
      <c r="F16" s="22">
        <f t="shared" si="2"/>
        <v>10.011882574158008</v>
      </c>
    </row>
    <row r="17" spans="1:6" x14ac:dyDescent="0.2">
      <c r="A17" s="20">
        <v>13</v>
      </c>
      <c r="B17" s="184" t="s">
        <v>12</v>
      </c>
      <c r="C17" s="185"/>
      <c r="D17" s="15">
        <f t="shared" si="0"/>
        <v>770860</v>
      </c>
      <c r="E17" s="18">
        <f t="shared" si="1"/>
        <v>7490095.6213066401</v>
      </c>
      <c r="F17" s="22">
        <f t="shared" si="2"/>
        <v>9.7165446660958406</v>
      </c>
    </row>
    <row r="18" spans="1:6" ht="14.25" customHeight="1" x14ac:dyDescent="0.2">
      <c r="A18" s="20">
        <v>14</v>
      </c>
      <c r="B18" s="184" t="s">
        <v>469</v>
      </c>
      <c r="C18" s="185"/>
      <c r="D18" s="15">
        <f t="shared" si="0"/>
        <v>426476</v>
      </c>
      <c r="E18" s="18">
        <f t="shared" si="1"/>
        <v>6624266.8079500441</v>
      </c>
      <c r="F18" s="22">
        <f t="shared" si="2"/>
        <v>15.532566446763813</v>
      </c>
    </row>
    <row r="19" spans="1:6" x14ac:dyDescent="0.2">
      <c r="A19" s="20">
        <v>15</v>
      </c>
      <c r="B19" s="184" t="s">
        <v>13</v>
      </c>
      <c r="C19" s="185"/>
      <c r="D19" s="15">
        <f t="shared" si="0"/>
        <v>25184</v>
      </c>
      <c r="E19" s="18">
        <f t="shared" si="1"/>
        <v>795388.22803490446</v>
      </c>
      <c r="F19" s="22">
        <f t="shared" si="2"/>
        <v>31.583077669746842</v>
      </c>
    </row>
    <row r="20" spans="1:6" x14ac:dyDescent="0.2">
      <c r="A20" s="20">
        <v>16</v>
      </c>
      <c r="B20" s="184" t="s">
        <v>14</v>
      </c>
      <c r="C20" s="185"/>
      <c r="D20" s="15">
        <f t="shared" si="0"/>
        <v>507760</v>
      </c>
      <c r="E20" s="18">
        <f t="shared" si="1"/>
        <v>7624706.4057736285</v>
      </c>
      <c r="F20" s="22">
        <f t="shared" si="2"/>
        <v>15.016358921091911</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93680</v>
      </c>
      <c r="E22" s="18">
        <f t="shared" si="1"/>
        <v>1743357.9918325066</v>
      </c>
      <c r="F22" s="22">
        <f t="shared" si="2"/>
        <v>18.609713832541701</v>
      </c>
    </row>
    <row r="23" spans="1:6" x14ac:dyDescent="0.2">
      <c r="A23" s="20">
        <v>19</v>
      </c>
      <c r="B23" s="184" t="s">
        <v>17</v>
      </c>
      <c r="C23" s="185"/>
      <c r="D23" s="15">
        <f t="shared" si="0"/>
        <v>1837576</v>
      </c>
      <c r="E23" s="18">
        <f t="shared" si="1"/>
        <v>16700471.216306685</v>
      </c>
      <c r="F23" s="22">
        <f t="shared" si="2"/>
        <v>9.0883159207056927</v>
      </c>
    </row>
    <row r="24" spans="1:6" x14ac:dyDescent="0.2">
      <c r="A24" s="20">
        <v>20</v>
      </c>
      <c r="B24" s="184" t="s">
        <v>18</v>
      </c>
      <c r="C24" s="185"/>
      <c r="D24" s="15">
        <f t="shared" si="0"/>
        <v>131832</v>
      </c>
      <c r="E24" s="18">
        <f t="shared" si="1"/>
        <v>1989730.4294114327</v>
      </c>
      <c r="F24" s="22">
        <f t="shared" si="2"/>
        <v>15.092924551030347</v>
      </c>
    </row>
    <row r="25" spans="1:6" ht="14.25" customHeight="1" x14ac:dyDescent="0.2">
      <c r="A25" s="20">
        <v>21</v>
      </c>
      <c r="B25" s="184" t="s">
        <v>466</v>
      </c>
      <c r="C25" s="185"/>
      <c r="D25" s="15">
        <f t="shared" si="0"/>
        <v>17000</v>
      </c>
      <c r="E25" s="18">
        <f t="shared" si="1"/>
        <v>835590.02114808513</v>
      </c>
      <c r="F25" s="22">
        <f t="shared" si="2"/>
        <v>49.15235418518148</v>
      </c>
    </row>
    <row r="26" spans="1:6" x14ac:dyDescent="0.2">
      <c r="A26" s="20">
        <v>22</v>
      </c>
      <c r="B26" s="184" t="s">
        <v>19</v>
      </c>
      <c r="C26" s="185"/>
      <c r="D26" s="15">
        <f t="shared" si="0"/>
        <v>33692</v>
      </c>
      <c r="E26" s="18">
        <f t="shared" si="1"/>
        <v>1048247.9108541931</v>
      </c>
      <c r="F26" s="22">
        <f t="shared" si="2"/>
        <v>31.112665049691117</v>
      </c>
    </row>
    <row r="27" spans="1:6" x14ac:dyDescent="0.2">
      <c r="A27" s="20">
        <v>23</v>
      </c>
      <c r="B27" s="184" t="s">
        <v>20</v>
      </c>
      <c r="C27" s="185"/>
      <c r="D27" s="15">
        <f t="shared" si="0"/>
        <v>276544</v>
      </c>
      <c r="E27" s="18">
        <f t="shared" si="1"/>
        <v>2728187.173669179</v>
      </c>
      <c r="F27" s="22">
        <f t="shared" si="2"/>
        <v>9.8652915039530011</v>
      </c>
    </row>
    <row r="28" spans="1:6" x14ac:dyDescent="0.2">
      <c r="A28" s="20">
        <v>24</v>
      </c>
      <c r="B28" s="184" t="s">
        <v>21</v>
      </c>
      <c r="C28" s="185"/>
      <c r="D28" s="15">
        <f t="shared" si="0"/>
        <v>252500</v>
      </c>
      <c r="E28" s="18">
        <f t="shared" si="1"/>
        <v>2597855.9905818524</v>
      </c>
      <c r="F28" s="22">
        <f t="shared" si="2"/>
        <v>10.288538576561791</v>
      </c>
    </row>
    <row r="29" spans="1:6" x14ac:dyDescent="0.2">
      <c r="A29" s="20">
        <v>25</v>
      </c>
      <c r="B29" s="184" t="s">
        <v>22</v>
      </c>
      <c r="C29" s="185"/>
      <c r="D29" s="15">
        <f t="shared" si="0"/>
        <v>2989312</v>
      </c>
      <c r="E29" s="18">
        <f t="shared" si="1"/>
        <v>25294831.847660266</v>
      </c>
      <c r="F29" s="22">
        <f t="shared" si="2"/>
        <v>8.4617570356189873</v>
      </c>
    </row>
    <row r="30" spans="1:6" x14ac:dyDescent="0.2">
      <c r="A30" s="20">
        <v>26</v>
      </c>
      <c r="B30" s="184" t="s">
        <v>23</v>
      </c>
      <c r="C30" s="185"/>
      <c r="D30" s="15">
        <f t="shared" si="0"/>
        <v>834504</v>
      </c>
      <c r="E30" s="18">
        <f t="shared" si="1"/>
        <v>12236854.418362448</v>
      </c>
      <c r="F30" s="22">
        <f t="shared" si="2"/>
        <v>14.663625840454268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13977483</v>
      </c>
      <c r="E33" s="32">
        <f>SUM(E5:E32)</f>
        <v>151769770.99999997</v>
      </c>
      <c r="F33" s="33">
        <f t="shared" si="2"/>
        <v>10.858161730549053</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IF(F3="1",SUMIF(Data!A:A,'5'!$A$2,Data!CU:CU),0)</f>
        <v>97409</v>
      </c>
      <c r="E36" s="16">
        <f>IF(F3="1",SUMIF(Data!$A:$A,'5'!$A$2,Data!IO:IO),0)</f>
        <v>29023</v>
      </c>
      <c r="F36" s="21">
        <f t="shared" ref="F36:F64" si="3">IFERROR(E36/D36,"")</f>
        <v>0.29794988142779416</v>
      </c>
    </row>
    <row r="37" spans="1:6" x14ac:dyDescent="0.2">
      <c r="A37" s="20">
        <v>2</v>
      </c>
      <c r="B37" s="184" t="s">
        <v>1</v>
      </c>
      <c r="C37" s="185"/>
      <c r="D37" s="15">
        <f>IF(F3="1",SUMIF(Data!A:A,'5'!$A$2,Data!CV:CV),0)</f>
        <v>135204</v>
      </c>
      <c r="E37" s="18">
        <f>IF(F3="1",SUMIF(Data!$A:$A,'5'!$A$2,Data!IP:IP),0)</f>
        <v>489406</v>
      </c>
      <c r="F37" s="22">
        <f t="shared" si="3"/>
        <v>3.6197597704209934</v>
      </c>
    </row>
    <row r="38" spans="1:6" ht="14.25" customHeight="1" x14ac:dyDescent="0.2">
      <c r="A38" s="20">
        <v>3</v>
      </c>
      <c r="B38" s="184" t="s">
        <v>2</v>
      </c>
      <c r="C38" s="185"/>
      <c r="D38" s="15">
        <f>IF(F3="1",SUMIF(Data!A:A,'5'!$A$2,Data!CW:CW),0)</f>
        <v>1533536</v>
      </c>
      <c r="E38" s="18">
        <f>IF(F3="1",SUMIF(Data!$A:$A,'5'!$A$2,Data!IQ:IQ),0)</f>
        <v>2869083</v>
      </c>
      <c r="F38" s="22">
        <f t="shared" si="3"/>
        <v>1.8708938036016109</v>
      </c>
    </row>
    <row r="39" spans="1:6" ht="14.25" customHeight="1" x14ac:dyDescent="0.2">
      <c r="A39" s="20">
        <v>4</v>
      </c>
      <c r="B39" s="184" t="s">
        <v>3</v>
      </c>
      <c r="C39" s="185"/>
      <c r="D39" s="15">
        <f>IF(F3="1",SUMIF(Data!A:A,'5'!$A$2,Data!CX:CX),0)</f>
        <v>744176</v>
      </c>
      <c r="E39" s="18">
        <f>IF(F3="1",SUMIF(Data!$A:$A,'5'!$A$2,Data!IR:IR),0)</f>
        <v>532812</v>
      </c>
      <c r="F39" s="22">
        <f t="shared" si="3"/>
        <v>0.71597579067317407</v>
      </c>
    </row>
    <row r="40" spans="1:6" x14ac:dyDescent="0.2">
      <c r="A40" s="20">
        <v>5</v>
      </c>
      <c r="B40" s="184" t="s">
        <v>4</v>
      </c>
      <c r="C40" s="185"/>
      <c r="D40" s="15">
        <f>IF(F3="1",SUMIF(Data!A:A,'5'!$A$2,Data!CY:CY),0)</f>
        <v>0</v>
      </c>
      <c r="E40" s="18">
        <f>IF(F3="1",SUMIF(Data!$A:$A,'5'!$A$2,Data!IS:IS),0)</f>
        <v>0</v>
      </c>
      <c r="F40" s="22" t="str">
        <f t="shared" si="3"/>
        <v/>
      </c>
    </row>
    <row r="41" spans="1:6" x14ac:dyDescent="0.2">
      <c r="A41" s="20">
        <v>6</v>
      </c>
      <c r="B41" s="184" t="s">
        <v>5</v>
      </c>
      <c r="C41" s="185"/>
      <c r="D41" s="15">
        <f>IF(F3="1",SUMIF(Data!A:A,'5'!$A$2,Data!CZ:CZ),0)</f>
        <v>181376</v>
      </c>
      <c r="E41" s="18">
        <f>IF(F3="1",SUMIF(Data!$A:$A,'5'!$A$2,Data!IT:IT),0)</f>
        <v>231072</v>
      </c>
      <c r="F41" s="22">
        <f t="shared" si="3"/>
        <v>1.2739943542695835</v>
      </c>
    </row>
    <row r="42" spans="1:6" x14ac:dyDescent="0.2">
      <c r="A42" s="20">
        <v>7</v>
      </c>
      <c r="B42" s="184" t="s">
        <v>6</v>
      </c>
      <c r="C42" s="185"/>
      <c r="D42" s="15">
        <f>IF(F3="1",SUMIF(Data!A:A,'5'!$A$2,Data!DA:DA),0)</f>
        <v>429132</v>
      </c>
      <c r="E42" s="18">
        <f>IF(F3="1",SUMIF(Data!$A:$A,'5'!$A$2,Data!IU:IU),0)</f>
        <v>1872061</v>
      </c>
      <c r="F42" s="22">
        <f t="shared" si="3"/>
        <v>4.362436266696494</v>
      </c>
    </row>
    <row r="43" spans="1:6" x14ac:dyDescent="0.2">
      <c r="A43" s="20">
        <v>8</v>
      </c>
      <c r="B43" s="184" t="s">
        <v>7</v>
      </c>
      <c r="C43" s="185"/>
      <c r="D43" s="15">
        <f>IF(F3="1",SUMIF(Data!A:A,'5'!$A$2,Data!DB:DB),0)</f>
        <v>17944</v>
      </c>
      <c r="E43" s="18">
        <f>IF(F3="1",SUMIF(Data!$A:$A,'5'!$A$2,Data!IV:IV),0)</f>
        <v>20680</v>
      </c>
      <c r="F43" s="22">
        <f t="shared" si="3"/>
        <v>1.1524743646901472</v>
      </c>
    </row>
    <row r="44" spans="1:6" x14ac:dyDescent="0.2">
      <c r="A44" s="20">
        <v>9</v>
      </c>
      <c r="B44" s="184" t="s">
        <v>8</v>
      </c>
      <c r="C44" s="185"/>
      <c r="D44" s="15">
        <f>IF(F3="1",SUMIF(Data!A:A,'5'!$A$2,Data!DC:DC),0)</f>
        <v>176736</v>
      </c>
      <c r="E44" s="18">
        <f>IF(F3="1",SUMIF(Data!$A:$A,'5'!$A$2,Data!IW:IW),0)</f>
        <v>922058</v>
      </c>
      <c r="F44" s="22">
        <f t="shared" si="3"/>
        <v>5.2171487416259277</v>
      </c>
    </row>
    <row r="45" spans="1:6" x14ac:dyDescent="0.2">
      <c r="A45" s="20">
        <v>10</v>
      </c>
      <c r="B45" s="184" t="s">
        <v>9</v>
      </c>
      <c r="C45" s="185"/>
      <c r="D45" s="15">
        <f>IF(F3="1",SUMIF(Data!A:A,'5'!$A$2,Data!DD:DD),0)</f>
        <v>9152</v>
      </c>
      <c r="E45" s="18">
        <f>IF(F3="1",SUMIF(Data!$A:$A,'5'!$A$2,Data!IX:IX),0)</f>
        <v>10123</v>
      </c>
      <c r="F45" s="22">
        <f t="shared" si="3"/>
        <v>1.1060970279720279</v>
      </c>
    </row>
    <row r="46" spans="1:6" x14ac:dyDescent="0.2">
      <c r="A46" s="20">
        <v>11</v>
      </c>
      <c r="B46" s="184" t="s">
        <v>10</v>
      </c>
      <c r="C46" s="185"/>
      <c r="D46" s="15">
        <f>IF(F3="1",SUMIF(Data!A:A,'5'!$A$2,Data!DE:DE),0)</f>
        <v>336202</v>
      </c>
      <c r="E46" s="18">
        <f>IF(F3="1",SUMIF(Data!$A:$A,'5'!$A$2,Data!IY:IY),0)</f>
        <v>718939</v>
      </c>
      <c r="F46" s="22">
        <f t="shared" si="3"/>
        <v>2.1384138107447308</v>
      </c>
    </row>
    <row r="47" spans="1:6" ht="14.25" customHeight="1" x14ac:dyDescent="0.2">
      <c r="A47" s="20">
        <v>12</v>
      </c>
      <c r="B47" s="184" t="s">
        <v>11</v>
      </c>
      <c r="C47" s="185"/>
      <c r="D47" s="15">
        <f>IF(F3="1",SUMIF(Data!A:A,'5'!$A$2,Data!DF:DF),0)</f>
        <v>2119696</v>
      </c>
      <c r="E47" s="18">
        <f>IF(F3="1",SUMIF(Data!$A:$A,'5'!$A$2,Data!IZ:IZ),0)</f>
        <v>868312</v>
      </c>
      <c r="F47" s="22">
        <f t="shared" si="3"/>
        <v>0.40963987288743292</v>
      </c>
    </row>
    <row r="48" spans="1:6" x14ac:dyDescent="0.2">
      <c r="A48" s="20">
        <v>13</v>
      </c>
      <c r="B48" s="184" t="s">
        <v>12</v>
      </c>
      <c r="C48" s="185"/>
      <c r="D48" s="15">
        <f>IF(F3="1",SUMIF(Data!A:A,'5'!$A$2,Data!DG:DG),0)</f>
        <v>770860</v>
      </c>
      <c r="E48" s="18">
        <f>IF(F3="1",SUMIF(Data!$A:$A,'5'!$A$2,Data!JA:JA),0)</f>
        <v>393305</v>
      </c>
      <c r="F48" s="22">
        <f t="shared" si="3"/>
        <v>0.51021586280258413</v>
      </c>
    </row>
    <row r="49" spans="1:6" ht="14.25" customHeight="1" x14ac:dyDescent="0.2">
      <c r="A49" s="20">
        <v>14</v>
      </c>
      <c r="B49" s="184" t="s">
        <v>469</v>
      </c>
      <c r="C49" s="185"/>
      <c r="D49" s="15">
        <f>IF(F3="1",SUMIF(Data!A:A,'5'!$A$2,Data!DH:DH),0)</f>
        <v>426476</v>
      </c>
      <c r="E49" s="18">
        <f>IF(F3="1",SUMIF(Data!$A:$A,'5'!$A$2,Data!JB:JB),0)</f>
        <v>853736</v>
      </c>
      <c r="F49" s="22">
        <f t="shared" si="3"/>
        <v>2.0018383214999202</v>
      </c>
    </row>
    <row r="50" spans="1:6" x14ac:dyDescent="0.2">
      <c r="A50" s="20">
        <v>15</v>
      </c>
      <c r="B50" s="184" t="s">
        <v>13</v>
      </c>
      <c r="C50" s="185"/>
      <c r="D50" s="15">
        <f>IF(F3="1",SUMIF(Data!A:A,'5'!$A$2,Data!DI:DI),0)</f>
        <v>25184</v>
      </c>
      <c r="E50" s="18">
        <f>IF(F3="1",SUMIF(Data!$A:$A,'5'!$A$2,Data!JC:JC),0)</f>
        <v>247574</v>
      </c>
      <c r="F50" s="22">
        <f t="shared" si="3"/>
        <v>9.8306067344345625</v>
      </c>
    </row>
    <row r="51" spans="1:6" x14ac:dyDescent="0.2">
      <c r="A51" s="20">
        <v>16</v>
      </c>
      <c r="B51" s="184" t="s">
        <v>14</v>
      </c>
      <c r="C51" s="185"/>
      <c r="D51" s="15">
        <f>IF(F3="1",SUMIF(Data!A:A,'5'!$A$2,Data!DJ:DJ),0)</f>
        <v>507760</v>
      </c>
      <c r="E51" s="18">
        <f>IF(F3="1",SUMIF(Data!$A:$A,'5'!$A$2,Data!JD:JD),0)</f>
        <v>1110524</v>
      </c>
      <c r="F51" s="22">
        <f t="shared" si="3"/>
        <v>2.1871041436899321</v>
      </c>
    </row>
    <row r="52" spans="1:6" x14ac:dyDescent="0.2">
      <c r="A52" s="20">
        <v>17</v>
      </c>
      <c r="B52" s="184" t="s">
        <v>15</v>
      </c>
      <c r="C52" s="185"/>
      <c r="D52" s="15">
        <f>IF(F3="1",SUMIF(Data!A:A,'5'!$A$2,Data!DK:DK),0)</f>
        <v>0</v>
      </c>
      <c r="E52" s="18">
        <f>IF(F3="1",SUMIF(Data!$A:$A,'5'!$A$2,Data!JE:JE),0)</f>
        <v>0</v>
      </c>
      <c r="F52" s="22" t="str">
        <f t="shared" si="3"/>
        <v/>
      </c>
    </row>
    <row r="53" spans="1:6" x14ac:dyDescent="0.2">
      <c r="A53" s="20">
        <v>18</v>
      </c>
      <c r="B53" s="184" t="s">
        <v>16</v>
      </c>
      <c r="C53" s="185"/>
      <c r="D53" s="15">
        <f>IF(F3="1",SUMIF(Data!A:A,'5'!$A$2,Data!DL:DL),0)</f>
        <v>93680</v>
      </c>
      <c r="E53" s="18">
        <f>IF(F3="1",SUMIF(Data!$A:$A,'5'!$A$2,Data!JF:JF),0)</f>
        <v>181192</v>
      </c>
      <c r="F53" s="22">
        <f t="shared" si="3"/>
        <v>1.9341588385994877</v>
      </c>
    </row>
    <row r="54" spans="1:6" x14ac:dyDescent="0.2">
      <c r="A54" s="20">
        <v>19</v>
      </c>
      <c r="B54" s="184" t="s">
        <v>17</v>
      </c>
      <c r="C54" s="185"/>
      <c r="D54" s="15">
        <f>IF(F3="1",SUMIF(Data!A:A,'5'!$A$2,Data!DM:DM),0)</f>
        <v>1837576</v>
      </c>
      <c r="E54" s="18">
        <f>IF(F3="1",SUMIF(Data!$A:$A,'5'!$A$2,Data!JG:JG),0)</f>
        <v>566403</v>
      </c>
      <c r="F54" s="22">
        <f t="shared" si="3"/>
        <v>0.30823378189527945</v>
      </c>
    </row>
    <row r="55" spans="1:6" x14ac:dyDescent="0.2">
      <c r="A55" s="20">
        <v>20</v>
      </c>
      <c r="B55" s="184" t="s">
        <v>18</v>
      </c>
      <c r="C55" s="185"/>
      <c r="D55" s="15">
        <f>IF(F3="1",SUMIF(Data!A:A,'5'!$A$2,Data!DN:DN),0)</f>
        <v>131832</v>
      </c>
      <c r="E55" s="18">
        <f>IF(F3="1",SUMIF(Data!$A:$A,'5'!$A$2,Data!JH:JH),0)</f>
        <v>422704</v>
      </c>
      <c r="F55" s="22">
        <f t="shared" si="3"/>
        <v>3.2063838825171431</v>
      </c>
    </row>
    <row r="56" spans="1:6" ht="14.25" customHeight="1" x14ac:dyDescent="0.2">
      <c r="A56" s="20">
        <v>21</v>
      </c>
      <c r="B56" s="184" t="s">
        <v>466</v>
      </c>
      <c r="C56" s="185"/>
      <c r="D56" s="15">
        <f>IF(F3="1",SUMIF(Data!A:A,'5'!$A$2,Data!DO:DO),0)</f>
        <v>17000</v>
      </c>
      <c r="E56" s="18">
        <f>IF(F3="1",SUMIF(Data!$A:$A,'5'!$A$2,Data!JI:JI),0)</f>
        <v>502638</v>
      </c>
      <c r="F56" s="22">
        <f t="shared" si="3"/>
        <v>29.566941176470589</v>
      </c>
    </row>
    <row r="57" spans="1:6" x14ac:dyDescent="0.2">
      <c r="A57" s="20">
        <v>22</v>
      </c>
      <c r="B57" s="184" t="s">
        <v>19</v>
      </c>
      <c r="C57" s="185"/>
      <c r="D57" s="15">
        <f>IF(F3="1",SUMIF(Data!A:A,'5'!$A$2,Data!DP:DP),0)</f>
        <v>33692</v>
      </c>
      <c r="E57" s="18">
        <f>IF(F3="1",SUMIF(Data!$A:$A,'5'!$A$2,Data!JJ:JJ),0)</f>
        <v>252979</v>
      </c>
      <c r="F57" s="22">
        <f t="shared" si="3"/>
        <v>7.5085777039059716</v>
      </c>
    </row>
    <row r="58" spans="1:6" x14ac:dyDescent="0.2">
      <c r="A58" s="20">
        <v>23</v>
      </c>
      <c r="B58" s="184" t="s">
        <v>20</v>
      </c>
      <c r="C58" s="185"/>
      <c r="D58" s="15">
        <f>IF(F3="1",SUMIF(Data!A:A,'5'!$A$2,Data!DQ:DQ),0)</f>
        <v>276544</v>
      </c>
      <c r="E58" s="18">
        <f>IF(F3="1",SUMIF(Data!$A:$A,'5'!$A$2,Data!JK:JK),0)</f>
        <v>264573</v>
      </c>
      <c r="F58" s="22">
        <f t="shared" si="3"/>
        <v>0.95671213260819254</v>
      </c>
    </row>
    <row r="59" spans="1:6" x14ac:dyDescent="0.2">
      <c r="A59" s="20">
        <v>24</v>
      </c>
      <c r="B59" s="184" t="s">
        <v>21</v>
      </c>
      <c r="C59" s="185"/>
      <c r="D59" s="15">
        <f>IF(F3="1",SUMIF(Data!A:A,'5'!$A$2,Data!DR:DR),0)</f>
        <v>252500</v>
      </c>
      <c r="E59" s="18">
        <f>IF(F3="1",SUMIF(Data!$A:$A,'5'!$A$2,Data!JL:JL),0)</f>
        <v>412782</v>
      </c>
      <c r="F59" s="22">
        <f t="shared" si="3"/>
        <v>1.634780198019802</v>
      </c>
    </row>
    <row r="60" spans="1:6" x14ac:dyDescent="0.2">
      <c r="A60" s="20">
        <v>25</v>
      </c>
      <c r="B60" s="184" t="s">
        <v>22</v>
      </c>
      <c r="C60" s="185"/>
      <c r="D60" s="15">
        <f>IF(F3="1",SUMIF(Data!A:A,'5'!$A$2,Data!DS:DS),0)</f>
        <v>2989312</v>
      </c>
      <c r="E60" s="18">
        <f>IF(F3="1",SUMIF(Data!$A:$A,'5'!$A$2,Data!JM:JM),0)</f>
        <v>954175</v>
      </c>
      <c r="F60" s="22">
        <f t="shared" si="3"/>
        <v>0.31919552057463391</v>
      </c>
    </row>
    <row r="61" spans="1:6" x14ac:dyDescent="0.2">
      <c r="A61" s="20">
        <v>26</v>
      </c>
      <c r="B61" s="184" t="s">
        <v>23</v>
      </c>
      <c r="C61" s="185"/>
      <c r="D61" s="15">
        <f>IF(F3="1",SUMIF(Data!A:A,'5'!$A$2,Data!DT:DT),0)</f>
        <v>834504</v>
      </c>
      <c r="E61" s="18">
        <f>IF(F3="1",SUMIF(Data!$A:$A,'5'!$A$2,Data!JN:JN),0)</f>
        <v>2098866</v>
      </c>
      <c r="F61" s="22">
        <f t="shared" si="3"/>
        <v>2.5151059791205315</v>
      </c>
    </row>
    <row r="62" spans="1:6" x14ac:dyDescent="0.2">
      <c r="A62" s="20">
        <v>28</v>
      </c>
      <c r="B62" s="184" t="s">
        <v>24</v>
      </c>
      <c r="C62" s="185"/>
      <c r="D62" s="15">
        <f>IF(F3="1",SUMIF(Data!A:A,'5'!$A$2,Data!DV:DV),0)</f>
        <v>0</v>
      </c>
      <c r="E62" s="18">
        <f>IF(F3="1",SUMIF(Data!$A:$A,'5'!$A$2,Data!JP:JP),0)</f>
        <v>0</v>
      </c>
      <c r="F62" s="22" t="str">
        <f t="shared" si="3"/>
        <v/>
      </c>
    </row>
    <row r="63" spans="1:6" ht="15.75" customHeight="1" thickBot="1" x14ac:dyDescent="0.25">
      <c r="A63" s="23">
        <v>29</v>
      </c>
      <c r="B63" s="186" t="s">
        <v>25</v>
      </c>
      <c r="C63" s="187"/>
      <c r="D63" s="24">
        <f>IF(F3="1",SUMIF(Data!A:A,'5'!$A$2,Data!DW:DW),0)</f>
        <v>0</v>
      </c>
      <c r="E63" s="25">
        <f>IF(F3="1",SUMIF(Data!$A:$A,'5'!$A$2,Data!JQ:JQ),0)</f>
        <v>0</v>
      </c>
      <c r="F63" s="26" t="str">
        <f t="shared" si="3"/>
        <v/>
      </c>
    </row>
    <row r="64" spans="1:6" x14ac:dyDescent="0.2">
      <c r="B64" s="31" t="s">
        <v>35</v>
      </c>
      <c r="C64" s="31"/>
      <c r="D64" s="61">
        <f>SUM(D36:D63)</f>
        <v>13977483</v>
      </c>
      <c r="E64" s="32">
        <f>SUM(E36:E63)</f>
        <v>16825020</v>
      </c>
      <c r="F64" s="33">
        <f t="shared" si="3"/>
        <v>1.2037231595989064</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97409</v>
      </c>
      <c r="E67" s="16">
        <f>IF(F3="1",SUMIF(Data!A:A,'5'!$A$2,Data!DY:DY),0)</f>
        <v>202066</v>
      </c>
      <c r="F67" s="21">
        <f>IFERROR(E67/D67,"")</f>
        <v>2.0744079089201204</v>
      </c>
    </row>
    <row r="68" spans="1:6" x14ac:dyDescent="0.2">
      <c r="A68" s="20">
        <v>2</v>
      </c>
      <c r="B68" s="184" t="s">
        <v>1</v>
      </c>
      <c r="C68" s="185"/>
      <c r="D68" s="15">
        <f t="shared" ref="D68:D94" si="4">D37</f>
        <v>135204</v>
      </c>
      <c r="E68" s="18">
        <f>IF(F3="1",SUMIF(Data!A:A,'5'!$A$2,Data!DZ:DZ),0)</f>
        <v>1033209</v>
      </c>
      <c r="F68" s="22">
        <f t="shared" ref="F68:F95" si="5">IFERROR(E68/D68,"")</f>
        <v>7.641852312061773</v>
      </c>
    </row>
    <row r="69" spans="1:6" ht="14.25" customHeight="1" x14ac:dyDescent="0.2">
      <c r="A69" s="20">
        <v>3</v>
      </c>
      <c r="B69" s="184" t="s">
        <v>2</v>
      </c>
      <c r="C69" s="185"/>
      <c r="D69" s="15">
        <f t="shared" si="4"/>
        <v>1533536</v>
      </c>
      <c r="E69" s="18">
        <f>IF(F3="1",SUMIF(Data!A:A,'5'!$A$2,Data!EA:EA),0)</f>
        <v>6707036</v>
      </c>
      <c r="F69" s="22">
        <f t="shared" si="5"/>
        <v>4.3735758404106591</v>
      </c>
    </row>
    <row r="70" spans="1:6" ht="14.25" customHeight="1" x14ac:dyDescent="0.2">
      <c r="A70" s="20">
        <v>4</v>
      </c>
      <c r="B70" s="184" t="s">
        <v>3</v>
      </c>
      <c r="C70" s="185"/>
      <c r="D70" s="15">
        <f t="shared" si="4"/>
        <v>744176</v>
      </c>
      <c r="E70" s="18">
        <f>IF(F3="1",SUMIF(Data!A:A,'5'!$A$2,Data!EB:EB),0)</f>
        <v>3108471</v>
      </c>
      <c r="F70" s="22">
        <f t="shared" si="5"/>
        <v>4.1770642966180045</v>
      </c>
    </row>
    <row r="71" spans="1:6" x14ac:dyDescent="0.2">
      <c r="A71" s="20">
        <v>5</v>
      </c>
      <c r="B71" s="184" t="s">
        <v>4</v>
      </c>
      <c r="C71" s="185"/>
      <c r="D71" s="15">
        <f t="shared" si="4"/>
        <v>0</v>
      </c>
      <c r="E71" s="18">
        <f>IF(F3="1",SUMIF(Data!A:A,'5'!$A$2,Data!EC:EC),0)</f>
        <v>0</v>
      </c>
      <c r="F71" s="22" t="str">
        <f t="shared" si="5"/>
        <v/>
      </c>
    </row>
    <row r="72" spans="1:6" x14ac:dyDescent="0.2">
      <c r="A72" s="20">
        <v>6</v>
      </c>
      <c r="B72" s="184" t="s">
        <v>5</v>
      </c>
      <c r="C72" s="185"/>
      <c r="D72" s="15">
        <f t="shared" si="4"/>
        <v>181376</v>
      </c>
      <c r="E72" s="18">
        <f>IF(F3="1",SUMIF(Data!A:A,'5'!$A$2,Data!ED:ED),0)</f>
        <v>448723</v>
      </c>
      <c r="F72" s="22">
        <f t="shared" si="5"/>
        <v>2.4739932515878618</v>
      </c>
    </row>
    <row r="73" spans="1:6" x14ac:dyDescent="0.2">
      <c r="A73" s="20">
        <v>7</v>
      </c>
      <c r="B73" s="184" t="s">
        <v>6</v>
      </c>
      <c r="C73" s="185"/>
      <c r="D73" s="15">
        <f t="shared" si="4"/>
        <v>429132</v>
      </c>
      <c r="E73" s="18">
        <f>IF(F3="1",SUMIF(Data!A:A,'5'!$A$2,Data!EE:EE),0)</f>
        <v>2878891</v>
      </c>
      <c r="F73" s="22">
        <f t="shared" si="5"/>
        <v>6.7086374355676108</v>
      </c>
    </row>
    <row r="74" spans="1:6" x14ac:dyDescent="0.2">
      <c r="A74" s="20">
        <v>8</v>
      </c>
      <c r="B74" s="184" t="s">
        <v>7</v>
      </c>
      <c r="C74" s="185"/>
      <c r="D74" s="15">
        <f t="shared" si="4"/>
        <v>17944</v>
      </c>
      <c r="E74" s="18">
        <f>IF(F3="1",SUMIF(Data!A:A,'5'!$A$2,Data!EF:EF),0)</f>
        <v>0</v>
      </c>
      <c r="F74" s="22">
        <f t="shared" si="5"/>
        <v>0</v>
      </c>
    </row>
    <row r="75" spans="1:6" x14ac:dyDescent="0.2">
      <c r="A75" s="20">
        <v>9</v>
      </c>
      <c r="B75" s="184" t="s">
        <v>8</v>
      </c>
      <c r="C75" s="185"/>
      <c r="D75" s="15">
        <f t="shared" si="4"/>
        <v>176736</v>
      </c>
      <c r="E75" s="18">
        <f>IF(F3="1",SUMIF(Data!A:A,'5'!$A$2,Data!EG:EG),0)</f>
        <v>835489</v>
      </c>
      <c r="F75" s="22">
        <f t="shared" si="5"/>
        <v>4.7273277657070434</v>
      </c>
    </row>
    <row r="76" spans="1:6" x14ac:dyDescent="0.2">
      <c r="A76" s="20">
        <v>10</v>
      </c>
      <c r="B76" s="184" t="s">
        <v>9</v>
      </c>
      <c r="C76" s="185"/>
      <c r="D76" s="15">
        <f t="shared" si="4"/>
        <v>9152</v>
      </c>
      <c r="E76" s="18">
        <f>IF(F3="1",SUMIF(Data!A:A,'5'!$A$2,Data!EH:EH),0)</f>
        <v>97151</v>
      </c>
      <c r="F76" s="22">
        <f t="shared" si="5"/>
        <v>10.61527534965035</v>
      </c>
    </row>
    <row r="77" spans="1:6" x14ac:dyDescent="0.2">
      <c r="A77" s="20">
        <v>11</v>
      </c>
      <c r="B77" s="184" t="s">
        <v>10</v>
      </c>
      <c r="C77" s="185"/>
      <c r="D77" s="15">
        <f t="shared" si="4"/>
        <v>336202</v>
      </c>
      <c r="E77" s="18">
        <f>IF(F3="1",SUMIF(Data!A:A,'5'!$A$2,Data!EI:EI),0)</f>
        <v>1906199</v>
      </c>
      <c r="F77" s="22">
        <f t="shared" si="5"/>
        <v>5.6698026781518251</v>
      </c>
    </row>
    <row r="78" spans="1:6" ht="14.25" customHeight="1" x14ac:dyDescent="0.2">
      <c r="A78" s="20">
        <v>12</v>
      </c>
      <c r="B78" s="184" t="s">
        <v>11</v>
      </c>
      <c r="C78" s="185"/>
      <c r="D78" s="15">
        <f t="shared" si="4"/>
        <v>2119696</v>
      </c>
      <c r="E78" s="18">
        <f>IF(F3="1",SUMIF(Data!A:A,'5'!$A$2,Data!EJ:EJ),0)</f>
        <v>9974679</v>
      </c>
      <c r="F78" s="22">
        <f t="shared" si="5"/>
        <v>4.7057120455008645</v>
      </c>
    </row>
    <row r="79" spans="1:6" x14ac:dyDescent="0.2">
      <c r="A79" s="20">
        <v>13</v>
      </c>
      <c r="B79" s="184" t="s">
        <v>12</v>
      </c>
      <c r="C79" s="185"/>
      <c r="D79" s="15">
        <f t="shared" si="4"/>
        <v>770860</v>
      </c>
      <c r="E79" s="18">
        <f>IF(F3="1",SUMIF(Data!A:A,'5'!$A$2,Data!EK:EK),0)</f>
        <v>3322251</v>
      </c>
      <c r="F79" s="22">
        <f t="shared" si="5"/>
        <v>4.3097981475235452</v>
      </c>
    </row>
    <row r="80" spans="1:6" ht="14.25" customHeight="1" x14ac:dyDescent="0.2">
      <c r="A80" s="20">
        <v>14</v>
      </c>
      <c r="B80" s="184" t="s">
        <v>469</v>
      </c>
      <c r="C80" s="185"/>
      <c r="D80" s="15">
        <f t="shared" si="4"/>
        <v>426476</v>
      </c>
      <c r="E80" s="18">
        <f>IF(F3="1",SUMIF(Data!A:A,'5'!$A$2,Data!EL:EL),0)</f>
        <v>3682278</v>
      </c>
      <c r="F80" s="22">
        <f t="shared" si="5"/>
        <v>8.6341974694941808</v>
      </c>
    </row>
    <row r="81" spans="1:6" x14ac:dyDescent="0.2">
      <c r="A81" s="20">
        <v>15</v>
      </c>
      <c r="B81" s="184" t="s">
        <v>13</v>
      </c>
      <c r="C81" s="185"/>
      <c r="D81" s="15">
        <f t="shared" si="4"/>
        <v>25184</v>
      </c>
      <c r="E81" s="18">
        <f>IF(F3="1",SUMIF(Data!A:A,'5'!$A$2,Data!EM:EM),0)</f>
        <v>424500</v>
      </c>
      <c r="F81" s="22">
        <f t="shared" si="5"/>
        <v>16.855940279542565</v>
      </c>
    </row>
    <row r="82" spans="1:6" x14ac:dyDescent="0.2">
      <c r="A82" s="20">
        <v>16</v>
      </c>
      <c r="B82" s="184" t="s">
        <v>14</v>
      </c>
      <c r="C82" s="185"/>
      <c r="D82" s="15">
        <f t="shared" si="4"/>
        <v>507760</v>
      </c>
      <c r="E82" s="18">
        <f>IF(F3="1",SUMIF(Data!A:A,'5'!$A$2,Data!EN:EN),0)</f>
        <v>4027920</v>
      </c>
      <c r="F82" s="22">
        <f t="shared" si="5"/>
        <v>7.9327241216322673</v>
      </c>
    </row>
    <row r="83" spans="1:6" x14ac:dyDescent="0.2">
      <c r="A83" s="20">
        <v>17</v>
      </c>
      <c r="B83" s="184" t="s">
        <v>15</v>
      </c>
      <c r="C83" s="185"/>
      <c r="D83" s="15">
        <f t="shared" si="4"/>
        <v>0</v>
      </c>
      <c r="E83" s="18">
        <f>IF(F3="1",SUMIF(Data!A:A,'5'!$A$2,Data!EO:EO),0)</f>
        <v>0</v>
      </c>
      <c r="F83" s="22" t="str">
        <f t="shared" si="5"/>
        <v/>
      </c>
    </row>
    <row r="84" spans="1:6" x14ac:dyDescent="0.2">
      <c r="A84" s="20">
        <v>18</v>
      </c>
      <c r="B84" s="184" t="s">
        <v>16</v>
      </c>
      <c r="C84" s="185"/>
      <c r="D84" s="15">
        <f t="shared" si="4"/>
        <v>93680</v>
      </c>
      <c r="E84" s="18">
        <f>IF(F3="1",SUMIF(Data!A:A,'5'!$A$2,Data!EP:EP),0)</f>
        <v>1103459</v>
      </c>
      <c r="F84" s="22">
        <f t="shared" si="5"/>
        <v>11.779024338172501</v>
      </c>
    </row>
    <row r="85" spans="1:6" x14ac:dyDescent="0.2">
      <c r="A85" s="20">
        <v>19</v>
      </c>
      <c r="B85" s="184" t="s">
        <v>17</v>
      </c>
      <c r="C85" s="185"/>
      <c r="D85" s="15">
        <f t="shared" si="4"/>
        <v>1837576</v>
      </c>
      <c r="E85" s="18">
        <f>IF(F3="1",SUMIF(Data!A:A,'5'!$A$2,Data!EQ:EQ),0)</f>
        <v>7136321</v>
      </c>
      <c r="F85" s="22">
        <f t="shared" si="5"/>
        <v>3.8835514830407014</v>
      </c>
    </row>
    <row r="86" spans="1:6" x14ac:dyDescent="0.2">
      <c r="A86" s="20">
        <v>20</v>
      </c>
      <c r="B86" s="184" t="s">
        <v>18</v>
      </c>
      <c r="C86" s="185"/>
      <c r="D86" s="15">
        <f t="shared" si="4"/>
        <v>131832</v>
      </c>
      <c r="E86" s="18">
        <f>IF(F3="1",SUMIF(Data!A:A,'5'!$A$2,Data!ER:ER),0)</f>
        <v>921507</v>
      </c>
      <c r="F86" s="22">
        <f t="shared" si="5"/>
        <v>6.9900100127434914</v>
      </c>
    </row>
    <row r="87" spans="1:6" ht="14.25" customHeight="1" x14ac:dyDescent="0.2">
      <c r="A87" s="20">
        <v>21</v>
      </c>
      <c r="B87" s="184" t="s">
        <v>466</v>
      </c>
      <c r="C87" s="185"/>
      <c r="D87" s="15">
        <f t="shared" si="4"/>
        <v>17000</v>
      </c>
      <c r="E87" s="18">
        <f>IF(F3="1",SUMIF(Data!A:A,'5'!$A$2,Data!ES:ES),0)</f>
        <v>249711</v>
      </c>
      <c r="F87" s="22">
        <f t="shared" si="5"/>
        <v>14.688882352941176</v>
      </c>
    </row>
    <row r="88" spans="1:6" x14ac:dyDescent="0.2">
      <c r="A88" s="20">
        <v>22</v>
      </c>
      <c r="B88" s="184" t="s">
        <v>19</v>
      </c>
      <c r="C88" s="185"/>
      <c r="D88" s="15">
        <f t="shared" si="4"/>
        <v>33692</v>
      </c>
      <c r="E88" s="18">
        <f>IF(F3="1",SUMIF(Data!A:A,'5'!$A$2,Data!ET:ET),0)</f>
        <v>630295</v>
      </c>
      <c r="F88" s="22">
        <f t="shared" si="5"/>
        <v>18.707556690015434</v>
      </c>
    </row>
    <row r="89" spans="1:6" x14ac:dyDescent="0.2">
      <c r="A89" s="20">
        <v>23</v>
      </c>
      <c r="B89" s="184" t="s">
        <v>20</v>
      </c>
      <c r="C89" s="185"/>
      <c r="D89" s="15">
        <f t="shared" si="4"/>
        <v>276544</v>
      </c>
      <c r="E89" s="18">
        <f>IF(F3="1",SUMIF(Data!A:A,'5'!$A$2,Data!EU:EU),0)</f>
        <v>1109508</v>
      </c>
      <c r="F89" s="22">
        <f t="shared" si="5"/>
        <v>4.0120487155750988</v>
      </c>
    </row>
    <row r="90" spans="1:6" x14ac:dyDescent="0.2">
      <c r="A90" s="20">
        <v>24</v>
      </c>
      <c r="B90" s="184" t="s">
        <v>21</v>
      </c>
      <c r="C90" s="185"/>
      <c r="D90" s="15">
        <f t="shared" si="4"/>
        <v>252500</v>
      </c>
      <c r="E90" s="18">
        <f>IF(F3="1",SUMIF(Data!A:A,'5'!$A$2,Data!EV:EV),0)</f>
        <v>948700</v>
      </c>
      <c r="F90" s="22">
        <f t="shared" si="5"/>
        <v>3.757227722772277</v>
      </c>
    </row>
    <row r="91" spans="1:6" x14ac:dyDescent="0.2">
      <c r="A91" s="20">
        <v>25</v>
      </c>
      <c r="B91" s="184" t="s">
        <v>22</v>
      </c>
      <c r="C91" s="185"/>
      <c r="D91" s="15">
        <f t="shared" si="4"/>
        <v>2989312</v>
      </c>
      <c r="E91" s="18">
        <f>IF(F3="1",SUMIF(Data!A:A,'5'!$A$2,Data!EW:EW),0)</f>
        <v>9703399</v>
      </c>
      <c r="F91" s="22">
        <f t="shared" si="5"/>
        <v>3.2460308592746423</v>
      </c>
    </row>
    <row r="92" spans="1:6" x14ac:dyDescent="0.2">
      <c r="A92" s="20">
        <v>26</v>
      </c>
      <c r="B92" s="184" t="s">
        <v>23</v>
      </c>
      <c r="C92" s="185"/>
      <c r="D92" s="15">
        <f t="shared" si="4"/>
        <v>834504</v>
      </c>
      <c r="E92" s="18">
        <f>IF(F3="1",SUMIF(Data!A:A,'5'!$A$2,Data!EX:EX),0)</f>
        <v>6051814</v>
      </c>
      <c r="F92" s="22">
        <f t="shared" si="5"/>
        <v>7.2519892055640236</v>
      </c>
    </row>
    <row r="93" spans="1:6" x14ac:dyDescent="0.2">
      <c r="A93" s="20">
        <v>28</v>
      </c>
      <c r="B93" s="184" t="s">
        <v>24</v>
      </c>
      <c r="C93" s="185"/>
      <c r="D93" s="15">
        <f t="shared" si="4"/>
        <v>0</v>
      </c>
      <c r="E93" s="18">
        <f>IF(F3="1",SUMIF(Data!A:A,'5'!$A$2,Data!EZ:EZ),0)</f>
        <v>0</v>
      </c>
      <c r="F93" s="22" t="str">
        <f t="shared" si="5"/>
        <v/>
      </c>
    </row>
    <row r="94" spans="1:6" ht="15.75" customHeight="1" thickBot="1" x14ac:dyDescent="0.25">
      <c r="A94" s="23">
        <v>29</v>
      </c>
      <c r="B94" s="186" t="s">
        <v>25</v>
      </c>
      <c r="C94" s="187"/>
      <c r="D94" s="24">
        <f t="shared" si="4"/>
        <v>0</v>
      </c>
      <c r="E94" s="25">
        <f>IF(F3="1",SUMIF(Data!A:A,'5'!$A$2,Data!FA:FA),0)</f>
        <v>0</v>
      </c>
      <c r="F94" s="26" t="str">
        <f t="shared" si="5"/>
        <v/>
      </c>
    </row>
    <row r="95" spans="1:6" x14ac:dyDescent="0.2">
      <c r="B95" s="31" t="s">
        <v>35</v>
      </c>
      <c r="C95" s="31"/>
      <c r="D95" s="61">
        <f>SUM(D67:D94)</f>
        <v>13977483</v>
      </c>
      <c r="E95" s="32">
        <f>SUM(E67:E94)</f>
        <v>66503577</v>
      </c>
      <c r="F95" s="33">
        <f t="shared" si="5"/>
        <v>4.7579079151804367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IF(F3="1",SUMIF(Data!A:A,'5'!$A$2,Data!AH:AH),0)</f>
        <v>26906537</v>
      </c>
      <c r="F98" s="21">
        <f t="shared" ref="F98:F105" si="6">IFERROR(E98/$D$95,0)</f>
        <v>1.9249915739478989</v>
      </c>
    </row>
    <row r="99" spans="2:6" x14ac:dyDescent="0.2">
      <c r="B99" s="190" t="s">
        <v>31</v>
      </c>
      <c r="C99" s="191"/>
      <c r="D99" s="37"/>
      <c r="E99" s="18">
        <f>IF(F3="1",SUMIF(Data!A:A,'5'!$A$2,Data!AI:AI),0)</f>
        <v>17053869</v>
      </c>
      <c r="F99" s="22">
        <f t="shared" si="6"/>
        <v>1.2200958498751171</v>
      </c>
    </row>
    <row r="100" spans="2:6" x14ac:dyDescent="0.2">
      <c r="B100" s="190" t="s">
        <v>32</v>
      </c>
      <c r="C100" s="191"/>
      <c r="D100" s="37"/>
      <c r="E100" s="18">
        <f>IF(F3="1",SUMIF(Data!A:A,'5'!$A$2,Data!AJ:AJ),0)</f>
        <v>18485769</v>
      </c>
      <c r="F100" s="22">
        <f t="shared" si="6"/>
        <v>1.3225391867763316</v>
      </c>
    </row>
    <row r="101" spans="2:6" x14ac:dyDescent="0.2">
      <c r="B101" s="190" t="s">
        <v>28</v>
      </c>
      <c r="C101" s="191"/>
      <c r="D101" s="37"/>
      <c r="E101" s="18">
        <f>IF(F3="1",SUMIF(Data!A:A,'5'!$A$2,Data!AK:AK),0)</f>
        <v>0</v>
      </c>
      <c r="F101" s="22">
        <f t="shared" si="6"/>
        <v>0</v>
      </c>
    </row>
    <row r="102" spans="2:6" x14ac:dyDescent="0.2">
      <c r="B102" s="190" t="s">
        <v>33</v>
      </c>
      <c r="C102" s="191"/>
      <c r="D102" s="37"/>
      <c r="E102" s="18">
        <f>IF(F3="1",SUMIF(Data!A:A,'5'!$A$2,Data!AL:AL),0)</f>
        <v>0</v>
      </c>
      <c r="F102" s="22">
        <f t="shared" si="6"/>
        <v>0</v>
      </c>
    </row>
    <row r="103" spans="2:6" x14ac:dyDescent="0.2">
      <c r="B103" s="192" t="s">
        <v>34</v>
      </c>
      <c r="C103" s="193"/>
      <c r="D103" s="37"/>
      <c r="E103" s="18">
        <f>IF(F3="1",SUMIF(Data!A:A,'5'!$A$2,Data!AM:AM),0)</f>
        <v>2282609</v>
      </c>
      <c r="F103" s="22">
        <f t="shared" si="6"/>
        <v>0.16330615462025602</v>
      </c>
    </row>
    <row r="104" spans="2:6" ht="15.75" customHeight="1" thickBot="1" x14ac:dyDescent="0.25">
      <c r="B104" s="182" t="s">
        <v>29</v>
      </c>
      <c r="C104" s="183"/>
      <c r="D104" s="38"/>
      <c r="E104" s="25">
        <f>IF(F3="1",SUMIF(Data!A:A,'5'!$A$2,Data!Q:Q),0)</f>
        <v>3712390</v>
      </c>
      <c r="F104" s="26">
        <f t="shared" si="6"/>
        <v>0.26559789055010835</v>
      </c>
    </row>
    <row r="105" spans="2:6" x14ac:dyDescent="0.2">
      <c r="B105" s="31" t="s">
        <v>35</v>
      </c>
      <c r="C105" s="31"/>
      <c r="D105" s="35">
        <f>D95</f>
        <v>13977483</v>
      </c>
      <c r="E105" s="32">
        <f>SUM(E98:E104)</f>
        <v>68441174</v>
      </c>
      <c r="F105" s="33">
        <f t="shared" si="6"/>
        <v>4.8965306557697117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66503577</v>
      </c>
      <c r="D109" s="16">
        <f>IF(F3="1",SUMIF(Data!$A:$A,$A$2,Data!HJ:HJ),0)</f>
        <v>0</v>
      </c>
      <c r="E109" s="16">
        <f>IF(F3="1",SUMIF(Data!$A:$A,$A$2,Data!IN:IN),0)</f>
        <v>0</v>
      </c>
      <c r="F109" s="48">
        <f>SUM(C109:E109)</f>
        <v>66503577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3712390</v>
      </c>
      <c r="E117" s="53"/>
      <c r="F117" s="50">
        <f>SUM(C117:E117)</f>
        <v>3712390</v>
      </c>
    </row>
    <row r="118" spans="1:6" x14ac:dyDescent="0.2">
      <c r="B118" s="14" t="s">
        <v>35</v>
      </c>
      <c r="C118" s="5">
        <f>SUM(C109:C116)</f>
        <v>66503577</v>
      </c>
      <c r="D118" s="5">
        <f>SUM(D109:D116)</f>
        <v>0</v>
      </c>
      <c r="E118" s="5">
        <f>SUM(E109:E116)</f>
        <v>0</v>
      </c>
      <c r="F118" s="5">
        <f>SUM(F109:F116)</f>
        <v>66503577</v>
      </c>
    </row>
    <row r="119" spans="1:6" ht="15" thickBot="1" x14ac:dyDescent="0.25"/>
    <row r="120" spans="1:6" ht="15" thickBot="1" x14ac:dyDescent="0.25">
      <c r="B120" s="57" t="s">
        <v>942</v>
      </c>
      <c r="C120" s="55"/>
      <c r="D120" s="55"/>
      <c r="E120" s="55">
        <f>IF(F3="1",SUMIF(Data!A:A,'5'!$A$2,Data!AM:AM),0)</f>
        <v>2282609</v>
      </c>
      <c r="F120" s="56">
        <f>SUM(C120:E120)</f>
        <v>2282609</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356</v>
      </c>
      <c r="B2" s="60" t="str">
        <f>VLOOKUP(A2,Data!A:G,7,0)</f>
        <v>Blinn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64176</v>
      </c>
      <c r="E5" s="16">
        <f>E36+E67+IFERROR($E$105/$D$105*D5,0)</f>
        <v>459384.19709658239</v>
      </c>
      <c r="F5" s="21">
        <f>IFERROR(E5/D5,"")</f>
        <v>7.1581930487500376</v>
      </c>
    </row>
    <row r="6" spans="1:6" x14ac:dyDescent="0.2">
      <c r="A6" s="20">
        <v>2</v>
      </c>
      <c r="B6" s="184" t="s">
        <v>1</v>
      </c>
      <c r="C6" s="185"/>
      <c r="D6" s="15">
        <f t="shared" ref="D6:D32" si="0">D37</f>
        <v>20070</v>
      </c>
      <c r="E6" s="18">
        <f t="shared" ref="E6:E32" si="1">E37+E68+IFERROR($E$105/$D$105*D6,0)</f>
        <v>225797.73918175654</v>
      </c>
      <c r="F6" s="22">
        <f t="shared" ref="F6:F33" si="2">IFERROR(E6/D6,"")</f>
        <v>11.250510173480645</v>
      </c>
    </row>
    <row r="7" spans="1:6" ht="14.25" customHeight="1" x14ac:dyDescent="0.2">
      <c r="A7" s="20">
        <v>3</v>
      </c>
      <c r="B7" s="184" t="s">
        <v>2</v>
      </c>
      <c r="C7" s="185"/>
      <c r="D7" s="15">
        <f t="shared" si="0"/>
        <v>1307232</v>
      </c>
      <c r="E7" s="18">
        <f t="shared" si="1"/>
        <v>6245192.4747407064</v>
      </c>
      <c r="F7" s="22">
        <f t="shared" si="2"/>
        <v>4.7774170726701204</v>
      </c>
    </row>
    <row r="8" spans="1:6" ht="14.25" customHeight="1" x14ac:dyDescent="0.2">
      <c r="A8" s="20">
        <v>4</v>
      </c>
      <c r="B8" s="184" t="s">
        <v>3</v>
      </c>
      <c r="C8" s="185"/>
      <c r="D8" s="15">
        <f t="shared" si="0"/>
        <v>338762</v>
      </c>
      <c r="E8" s="18">
        <f t="shared" si="1"/>
        <v>2490667.3703383263</v>
      </c>
      <c r="F8" s="22">
        <f t="shared" si="2"/>
        <v>7.3522631533003295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9280</v>
      </c>
      <c r="E10" s="18">
        <f t="shared" si="1"/>
        <v>37800.868440792263</v>
      </c>
      <c r="F10" s="22">
        <f t="shared" si="2"/>
        <v>4.0733694440508907</v>
      </c>
    </row>
    <row r="11" spans="1:6" x14ac:dyDescent="0.2">
      <c r="A11" s="20">
        <v>7</v>
      </c>
      <c r="B11" s="184" t="s">
        <v>6</v>
      </c>
      <c r="C11" s="185"/>
      <c r="D11" s="15">
        <f t="shared" si="0"/>
        <v>113700</v>
      </c>
      <c r="E11" s="18">
        <f t="shared" si="1"/>
        <v>1744392.8751851381</v>
      </c>
      <c r="F11" s="22">
        <f t="shared" si="2"/>
        <v>15.342065744812121</v>
      </c>
    </row>
    <row r="12" spans="1:6" x14ac:dyDescent="0.2">
      <c r="A12" s="20">
        <v>8</v>
      </c>
      <c r="B12" s="184" t="s">
        <v>7</v>
      </c>
      <c r="C12" s="185"/>
      <c r="D12" s="15">
        <f t="shared" si="0"/>
        <v>5564</v>
      </c>
      <c r="E12" s="18">
        <f t="shared" si="1"/>
        <v>62597.72370738881</v>
      </c>
      <c r="F12" s="22">
        <f t="shared" si="2"/>
        <v>11.25048952325464</v>
      </c>
    </row>
    <row r="13" spans="1:6" x14ac:dyDescent="0.2">
      <c r="A13" s="20">
        <v>9</v>
      </c>
      <c r="B13" s="184" t="s">
        <v>8</v>
      </c>
      <c r="C13" s="185"/>
      <c r="D13" s="15">
        <f t="shared" si="0"/>
        <v>100819</v>
      </c>
      <c r="E13" s="18">
        <f t="shared" si="1"/>
        <v>365229.2860271805</v>
      </c>
      <c r="F13" s="22">
        <f t="shared" si="2"/>
        <v>3.6226235732072376</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10114</v>
      </c>
      <c r="E15" s="18">
        <f t="shared" si="1"/>
        <v>254077.7173933376</v>
      </c>
      <c r="F15" s="22">
        <f t="shared" si="2"/>
        <v>25.121387917079058</v>
      </c>
    </row>
    <row r="16" spans="1:6" ht="14.25" customHeight="1" x14ac:dyDescent="0.2">
      <c r="A16" s="20">
        <v>12</v>
      </c>
      <c r="B16" s="184" t="s">
        <v>11</v>
      </c>
      <c r="C16" s="185"/>
      <c r="D16" s="15">
        <f t="shared" si="0"/>
        <v>1015240</v>
      </c>
      <c r="E16" s="18">
        <f t="shared" si="1"/>
        <v>6698622.2021368463</v>
      </c>
      <c r="F16" s="22">
        <f t="shared" si="2"/>
        <v>6.5980676511335705</v>
      </c>
    </row>
    <row r="17" spans="1:6" x14ac:dyDescent="0.2">
      <c r="A17" s="20">
        <v>13</v>
      </c>
      <c r="B17" s="184" t="s">
        <v>12</v>
      </c>
      <c r="C17" s="185"/>
      <c r="D17" s="15">
        <f t="shared" si="0"/>
        <v>146624</v>
      </c>
      <c r="E17" s="18">
        <f t="shared" si="1"/>
        <v>873542.52136451774</v>
      </c>
      <c r="F17" s="22">
        <f t="shared" si="2"/>
        <v>5.9577048870888651</v>
      </c>
    </row>
    <row r="18" spans="1:6" ht="14.25" customHeight="1" x14ac:dyDescent="0.2">
      <c r="A18" s="20">
        <v>14</v>
      </c>
      <c r="B18" s="184" t="s">
        <v>469</v>
      </c>
      <c r="C18" s="185"/>
      <c r="D18" s="15">
        <f t="shared" si="0"/>
        <v>100416</v>
      </c>
      <c r="E18" s="18">
        <f t="shared" si="1"/>
        <v>1409833.2523007109</v>
      </c>
      <c r="F18" s="22">
        <f t="shared" si="2"/>
        <v>14.039926429062209</v>
      </c>
    </row>
    <row r="19" spans="1:6" x14ac:dyDescent="0.2">
      <c r="A19" s="20">
        <v>15</v>
      </c>
      <c r="B19" s="184" t="s">
        <v>13</v>
      </c>
      <c r="C19" s="185"/>
      <c r="D19" s="15">
        <f t="shared" si="0"/>
        <v>18624</v>
      </c>
      <c r="E19" s="18">
        <f t="shared" si="1"/>
        <v>469393.0945949693</v>
      </c>
      <c r="F19" s="22">
        <f t="shared" si="2"/>
        <v>25.203667020777992</v>
      </c>
    </row>
    <row r="20" spans="1:6" x14ac:dyDescent="0.2">
      <c r="A20" s="20">
        <v>16</v>
      </c>
      <c r="B20" s="184" t="s">
        <v>14</v>
      </c>
      <c r="C20" s="185"/>
      <c r="D20" s="15">
        <f t="shared" si="0"/>
        <v>272542</v>
      </c>
      <c r="E20" s="18">
        <f t="shared" si="1"/>
        <v>2020652.1237705178</v>
      </c>
      <c r="F20" s="22">
        <f t="shared" si="2"/>
        <v>7.4140944286404213</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71656</v>
      </c>
      <c r="E22" s="18">
        <f t="shared" si="1"/>
        <v>554830.25484842784</v>
      </c>
      <c r="F22" s="22">
        <f t="shared" si="2"/>
        <v>7.7429699515522472</v>
      </c>
    </row>
    <row r="23" spans="1:6" x14ac:dyDescent="0.2">
      <c r="A23" s="20">
        <v>19</v>
      </c>
      <c r="B23" s="184" t="s">
        <v>17</v>
      </c>
      <c r="C23" s="185"/>
      <c r="D23" s="15">
        <f t="shared" si="0"/>
        <v>873336</v>
      </c>
      <c r="E23" s="18">
        <f t="shared" si="1"/>
        <v>4958786.5621344559</v>
      </c>
      <c r="F23" s="22">
        <f t="shared" si="2"/>
        <v>5.6779825429553528</v>
      </c>
    </row>
    <row r="24" spans="1:6" x14ac:dyDescent="0.2">
      <c r="A24" s="20">
        <v>20</v>
      </c>
      <c r="B24" s="184" t="s">
        <v>18</v>
      </c>
      <c r="C24" s="185"/>
      <c r="D24" s="15">
        <f t="shared" si="0"/>
        <v>576</v>
      </c>
      <c r="E24" s="18">
        <f t="shared" si="1"/>
        <v>6480.2194204629686</v>
      </c>
      <c r="F24" s="22">
        <f t="shared" si="2"/>
        <v>11.250380938303765</v>
      </c>
    </row>
    <row r="25" spans="1:6" ht="14.25" customHeight="1" x14ac:dyDescent="0.2">
      <c r="A25" s="20">
        <v>21</v>
      </c>
      <c r="B25" s="184" t="s">
        <v>466</v>
      </c>
      <c r="C25" s="185"/>
      <c r="D25" s="15">
        <f t="shared" si="0"/>
        <v>5700</v>
      </c>
      <c r="E25" s="18">
        <f t="shared" si="1"/>
        <v>64128.233848331452</v>
      </c>
      <c r="F25" s="22">
        <f t="shared" si="2"/>
        <v>11.250567341812536</v>
      </c>
    </row>
    <row r="26" spans="1:6" x14ac:dyDescent="0.2">
      <c r="A26" s="20">
        <v>22</v>
      </c>
      <c r="B26" s="184" t="s">
        <v>19</v>
      </c>
      <c r="C26" s="185"/>
      <c r="D26" s="15">
        <f t="shared" si="0"/>
        <v>4248</v>
      </c>
      <c r="E26" s="18">
        <f t="shared" si="1"/>
        <v>47792.99322591439</v>
      </c>
      <c r="F26" s="22">
        <f t="shared" si="2"/>
        <v>11.250704620036345</v>
      </c>
    </row>
    <row r="27" spans="1:6" x14ac:dyDescent="0.2">
      <c r="A27" s="20">
        <v>23</v>
      </c>
      <c r="B27" s="184" t="s">
        <v>20</v>
      </c>
      <c r="C27" s="185"/>
      <c r="D27" s="15">
        <f t="shared" si="0"/>
        <v>231168</v>
      </c>
      <c r="E27" s="18">
        <f t="shared" si="1"/>
        <v>1617985.0607458046</v>
      </c>
      <c r="F27" s="22">
        <f t="shared" si="2"/>
        <v>6.9991740238519373</v>
      </c>
    </row>
    <row r="28" spans="1:6" x14ac:dyDescent="0.2">
      <c r="A28" s="20">
        <v>24</v>
      </c>
      <c r="B28" s="184" t="s">
        <v>21</v>
      </c>
      <c r="C28" s="185"/>
      <c r="D28" s="15">
        <f t="shared" si="0"/>
        <v>174432</v>
      </c>
      <c r="E28" s="18">
        <f t="shared" si="1"/>
        <v>1025374.9478302022</v>
      </c>
      <c r="F28" s="22">
        <f t="shared" si="2"/>
        <v>5.8783649091348043</v>
      </c>
    </row>
    <row r="29" spans="1:6" x14ac:dyDescent="0.2">
      <c r="A29" s="20">
        <v>25</v>
      </c>
      <c r="B29" s="184" t="s">
        <v>22</v>
      </c>
      <c r="C29" s="185"/>
      <c r="D29" s="15">
        <f t="shared" si="0"/>
        <v>1761984</v>
      </c>
      <c r="E29" s="18">
        <f t="shared" si="1"/>
        <v>8343960.2071962189</v>
      </c>
      <c r="F29" s="22">
        <f t="shared" si="2"/>
        <v>4.7355482269965101</v>
      </c>
    </row>
    <row r="30" spans="1:6" x14ac:dyDescent="0.2">
      <c r="A30" s="20">
        <v>26</v>
      </c>
      <c r="B30" s="184" t="s">
        <v>23</v>
      </c>
      <c r="C30" s="185"/>
      <c r="D30" s="15">
        <f t="shared" si="0"/>
        <v>314086</v>
      </c>
      <c r="E30" s="18">
        <f t="shared" si="1"/>
        <v>2081110.0744714094</v>
      </c>
      <c r="F30" s="22">
        <f t="shared" si="2"/>
        <v>6.6259243470622993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6960349</v>
      </c>
      <c r="E33" s="32">
        <f>SUM(E5:E32)</f>
        <v>42057631.999999993</v>
      </c>
      <c r="F33" s="33">
        <f t="shared" si="2"/>
        <v>6.0424602272098697</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IF(F3="1",SUMIF(Data!A:A,'6'!$A$2,Data!CU:CU),0)</f>
        <v>64176</v>
      </c>
      <c r="E36" s="16">
        <f>IF(F3="1",SUMIF(Data!$A:$A,'6'!$A$2,Data!IO:IO),0)</f>
        <v>57683</v>
      </c>
      <c r="F36" s="21">
        <f t="shared" ref="F36:F64" si="3">IFERROR(E36/D36,"")</f>
        <v>0.89882510595861376</v>
      </c>
    </row>
    <row r="37" spans="1:6" x14ac:dyDescent="0.2">
      <c r="A37" s="20">
        <v>2</v>
      </c>
      <c r="B37" s="184" t="s">
        <v>1</v>
      </c>
      <c r="C37" s="185"/>
      <c r="D37" s="15">
        <f>IF(F3="1",SUMIF(Data!A:A,'6'!$A$2,Data!CV:CV),0)</f>
        <v>20070</v>
      </c>
      <c r="E37" s="18">
        <f>IF(F3="1",SUMIF(Data!$A:$A,'6'!$A$2,Data!IP:IP),0)</f>
        <v>181816</v>
      </c>
      <c r="F37" s="22">
        <f t="shared" si="3"/>
        <v>9.0590931738913802</v>
      </c>
    </row>
    <row r="38" spans="1:6" ht="14.25" customHeight="1" x14ac:dyDescent="0.2">
      <c r="A38" s="20">
        <v>3</v>
      </c>
      <c r="B38" s="184" t="s">
        <v>2</v>
      </c>
      <c r="C38" s="185"/>
      <c r="D38" s="15">
        <f>IF(F3="1",SUMIF(Data!A:A,'6'!$A$2,Data!CW:CW),0)</f>
        <v>1307232</v>
      </c>
      <c r="E38" s="18">
        <f>IF(F3="1",SUMIF(Data!$A:$A,'6'!$A$2,Data!IQ:IQ),0)</f>
        <v>602577</v>
      </c>
      <c r="F38" s="22">
        <f t="shared" si="3"/>
        <v>0.46095643313505175</v>
      </c>
    </row>
    <row r="39" spans="1:6" ht="14.25" customHeight="1" x14ac:dyDescent="0.2">
      <c r="A39" s="20">
        <v>4</v>
      </c>
      <c r="B39" s="184" t="s">
        <v>3</v>
      </c>
      <c r="C39" s="185"/>
      <c r="D39" s="15">
        <f>IF(F3="1",SUMIF(Data!A:A,'6'!$A$2,Data!CX:CX),0)</f>
        <v>338762</v>
      </c>
      <c r="E39" s="18">
        <f>IF(F3="1",SUMIF(Data!$A:$A,'6'!$A$2,Data!IR:IR),0)</f>
        <v>274173</v>
      </c>
      <c r="F39" s="22">
        <f t="shared" si="3"/>
        <v>0.80933811938765265</v>
      </c>
    </row>
    <row r="40" spans="1:6" x14ac:dyDescent="0.2">
      <c r="A40" s="20">
        <v>5</v>
      </c>
      <c r="B40" s="184" t="s">
        <v>4</v>
      </c>
      <c r="C40" s="185"/>
      <c r="D40" s="15">
        <f>IF(F3="1",SUMIF(Data!A:A,'6'!$A$2,Data!CY:CY),0)</f>
        <v>0</v>
      </c>
      <c r="E40" s="18">
        <f>IF(F3="1",SUMIF(Data!$A:$A,'6'!$A$2,Data!IS:IS),0)</f>
        <v>0</v>
      </c>
      <c r="F40" s="22" t="str">
        <f t="shared" si="3"/>
        <v/>
      </c>
    </row>
    <row r="41" spans="1:6" x14ac:dyDescent="0.2">
      <c r="A41" s="20">
        <v>6</v>
      </c>
      <c r="B41" s="184" t="s">
        <v>5</v>
      </c>
      <c r="C41" s="185"/>
      <c r="D41" s="15">
        <f>IF(F3="1",SUMIF(Data!A:A,'6'!$A$2,Data!CZ:CZ),0)</f>
        <v>9280</v>
      </c>
      <c r="E41" s="18">
        <f>IF(F3="1",SUMIF(Data!$A:$A,'6'!$A$2,Data!IT:IT),0)</f>
        <v>2919</v>
      </c>
      <c r="F41" s="22">
        <f t="shared" si="3"/>
        <v>0.31454741379310347</v>
      </c>
    </row>
    <row r="42" spans="1:6" x14ac:dyDescent="0.2">
      <c r="A42" s="20">
        <v>7</v>
      </c>
      <c r="B42" s="184" t="s">
        <v>6</v>
      </c>
      <c r="C42" s="185"/>
      <c r="D42" s="15">
        <f>IF(F3="1",SUMIF(Data!A:A,'6'!$A$2,Data!DA:DA),0)</f>
        <v>113700</v>
      </c>
      <c r="E42" s="18">
        <f>IF(F3="1",SUMIF(Data!$A:$A,'6'!$A$2,Data!IU:IU),0)</f>
        <v>1187814</v>
      </c>
      <c r="F42" s="22">
        <f t="shared" si="3"/>
        <v>10.446912928759895</v>
      </c>
    </row>
    <row r="43" spans="1:6" x14ac:dyDescent="0.2">
      <c r="A43" s="20">
        <v>8</v>
      </c>
      <c r="B43" s="184" t="s">
        <v>7</v>
      </c>
      <c r="C43" s="185"/>
      <c r="D43" s="15">
        <f>IF(F3="1",SUMIF(Data!A:A,'6'!$A$2,Data!DB:DB),0)</f>
        <v>5564</v>
      </c>
      <c r="E43" s="18">
        <f>IF(F3="1",SUMIF(Data!$A:$A,'6'!$A$2,Data!IV:IV),0)</f>
        <v>50405</v>
      </c>
      <c r="F43" s="22">
        <f t="shared" si="3"/>
        <v>9.0591301222142349</v>
      </c>
    </row>
    <row r="44" spans="1:6" x14ac:dyDescent="0.2">
      <c r="A44" s="20">
        <v>9</v>
      </c>
      <c r="B44" s="184" t="s">
        <v>8</v>
      </c>
      <c r="C44" s="185"/>
      <c r="D44" s="15">
        <f>IF(F3="1",SUMIF(Data!A:A,'6'!$A$2,Data!DC:DC),0)</f>
        <v>100819</v>
      </c>
      <c r="E44" s="18">
        <f>IF(F3="1",SUMIF(Data!$A:$A,'6'!$A$2,Data!IW:IW),0)</f>
        <v>36155</v>
      </c>
      <c r="F44" s="22">
        <f t="shared" si="3"/>
        <v>0.3586129598587568</v>
      </c>
    </row>
    <row r="45" spans="1:6" x14ac:dyDescent="0.2">
      <c r="A45" s="20">
        <v>10</v>
      </c>
      <c r="B45" s="184" t="s">
        <v>9</v>
      </c>
      <c r="C45" s="185"/>
      <c r="D45" s="15">
        <f>IF(F3="1",SUMIF(Data!A:A,'6'!$A$2,Data!DD:DD),0)</f>
        <v>0</v>
      </c>
      <c r="E45" s="18">
        <f>IF(F3="1",SUMIF(Data!$A:$A,'6'!$A$2,Data!IX:IX),0)</f>
        <v>0</v>
      </c>
      <c r="F45" s="22" t="str">
        <f t="shared" si="3"/>
        <v/>
      </c>
    </row>
    <row r="46" spans="1:6" x14ac:dyDescent="0.2">
      <c r="A46" s="20">
        <v>11</v>
      </c>
      <c r="B46" s="184" t="s">
        <v>10</v>
      </c>
      <c r="C46" s="185"/>
      <c r="D46" s="15">
        <f>IF(F3="1",SUMIF(Data!A:A,'6'!$A$2,Data!DE:DE),0)</f>
        <v>10114</v>
      </c>
      <c r="E46" s="18">
        <f>IF(F3="1",SUMIF(Data!$A:$A,'6'!$A$2,Data!IY:IY),0)</f>
        <v>145418</v>
      </c>
      <c r="F46" s="22">
        <f t="shared" si="3"/>
        <v>14.377892030848329</v>
      </c>
    </row>
    <row r="47" spans="1:6" ht="14.25" customHeight="1" x14ac:dyDescent="0.2">
      <c r="A47" s="20">
        <v>12</v>
      </c>
      <c r="B47" s="184" t="s">
        <v>11</v>
      </c>
      <c r="C47" s="185"/>
      <c r="D47" s="15">
        <f>IF(F3="1",SUMIF(Data!A:A,'6'!$A$2,Data!DF:DF),0)</f>
        <v>1015240</v>
      </c>
      <c r="E47" s="18">
        <f>IF(F3="1",SUMIF(Data!$A:$A,'6'!$A$2,Data!IZ:IZ),0)</f>
        <v>1020593</v>
      </c>
      <c r="F47" s="22">
        <f t="shared" si="3"/>
        <v>1.0052726448918483</v>
      </c>
    </row>
    <row r="48" spans="1:6" x14ac:dyDescent="0.2">
      <c r="A48" s="20">
        <v>13</v>
      </c>
      <c r="B48" s="184" t="s">
        <v>12</v>
      </c>
      <c r="C48" s="185"/>
      <c r="D48" s="15">
        <f>IF(F3="1",SUMIF(Data!A:A,'6'!$A$2,Data!DG:DG),0)</f>
        <v>146624</v>
      </c>
      <c r="E48" s="18">
        <f>IF(F3="1",SUMIF(Data!$A:$A,'6'!$A$2,Data!JA:JA),0)</f>
        <v>63267</v>
      </c>
      <c r="F48" s="22">
        <f t="shared" si="3"/>
        <v>0.43149143387167177</v>
      </c>
    </row>
    <row r="49" spans="1:6" ht="14.25" customHeight="1" x14ac:dyDescent="0.2">
      <c r="A49" s="20">
        <v>14</v>
      </c>
      <c r="B49" s="184" t="s">
        <v>469</v>
      </c>
      <c r="C49" s="185"/>
      <c r="D49" s="15">
        <f>IF(F3="1",SUMIF(Data!A:A,'6'!$A$2,Data!DH:DH),0)</f>
        <v>100416</v>
      </c>
      <c r="E49" s="18">
        <f>IF(F3="1",SUMIF(Data!$A:$A,'6'!$A$2,Data!JB:JB),0)</f>
        <v>260680</v>
      </c>
      <c r="F49" s="22">
        <f t="shared" si="3"/>
        <v>2.5960006373486295</v>
      </c>
    </row>
    <row r="50" spans="1:6" x14ac:dyDescent="0.2">
      <c r="A50" s="20">
        <v>15</v>
      </c>
      <c r="B50" s="184" t="s">
        <v>13</v>
      </c>
      <c r="C50" s="185"/>
      <c r="D50" s="15">
        <f>IF(F3="1",SUMIF(Data!A:A,'6'!$A$2,Data!DI:DI),0)</f>
        <v>18624</v>
      </c>
      <c r="E50" s="18">
        <f>IF(F3="1",SUMIF(Data!$A:$A,'6'!$A$2,Data!JC:JC),0)</f>
        <v>144877</v>
      </c>
      <c r="F50" s="22">
        <f t="shared" si="3"/>
        <v>7.7790485395189002</v>
      </c>
    </row>
    <row r="51" spans="1:6" x14ac:dyDescent="0.2">
      <c r="A51" s="20">
        <v>16</v>
      </c>
      <c r="B51" s="184" t="s">
        <v>14</v>
      </c>
      <c r="C51" s="185"/>
      <c r="D51" s="15">
        <f>IF(F3="1",SUMIF(Data!A:A,'6'!$A$2,Data!DJ:DJ),0)</f>
        <v>272542</v>
      </c>
      <c r="E51" s="18">
        <f>IF(F3="1",SUMIF(Data!$A:$A,'6'!$A$2,Data!JD:JD),0)</f>
        <v>704463</v>
      </c>
      <c r="F51" s="22">
        <f t="shared" si="3"/>
        <v>2.5847869319224195</v>
      </c>
    </row>
    <row r="52" spans="1:6" x14ac:dyDescent="0.2">
      <c r="A52" s="20">
        <v>17</v>
      </c>
      <c r="B52" s="184" t="s">
        <v>15</v>
      </c>
      <c r="C52" s="185"/>
      <c r="D52" s="15">
        <f>IF(F3="1",SUMIF(Data!A:A,'6'!$A$2,Data!DK:DK),0)</f>
        <v>0</v>
      </c>
      <c r="E52" s="18">
        <f>IF(F3="1",SUMIF(Data!$A:$A,'6'!$A$2,Data!JE:JE),0)</f>
        <v>0</v>
      </c>
      <c r="F52" s="22" t="str">
        <f t="shared" si="3"/>
        <v/>
      </c>
    </row>
    <row r="53" spans="1:6" x14ac:dyDescent="0.2">
      <c r="A53" s="20">
        <v>18</v>
      </c>
      <c r="B53" s="184" t="s">
        <v>16</v>
      </c>
      <c r="C53" s="185"/>
      <c r="D53" s="15">
        <f>IF(F3="1",SUMIF(Data!A:A,'6'!$A$2,Data!DL:DL),0)</f>
        <v>71656</v>
      </c>
      <c r="E53" s="18">
        <f>IF(F3="1",SUMIF(Data!$A:$A,'6'!$A$2,Data!JF:JF),0)</f>
        <v>117665</v>
      </c>
      <c r="F53" s="22">
        <f t="shared" si="3"/>
        <v>1.6420816121469242</v>
      </c>
    </row>
    <row r="54" spans="1:6" x14ac:dyDescent="0.2">
      <c r="A54" s="20">
        <v>19</v>
      </c>
      <c r="B54" s="184" t="s">
        <v>17</v>
      </c>
      <c r="C54" s="185"/>
      <c r="D54" s="15">
        <f>IF(F3="1",SUMIF(Data!A:A,'6'!$A$2,Data!DM:DM),0)</f>
        <v>873336</v>
      </c>
      <c r="E54" s="18">
        <f>IF(F3="1",SUMIF(Data!$A:$A,'6'!$A$2,Data!JG:JG),0)</f>
        <v>332006</v>
      </c>
      <c r="F54" s="22">
        <f t="shared" si="3"/>
        <v>0.3801583811957826</v>
      </c>
    </row>
    <row r="55" spans="1:6" x14ac:dyDescent="0.2">
      <c r="A55" s="20">
        <v>20</v>
      </c>
      <c r="B55" s="184" t="s">
        <v>18</v>
      </c>
      <c r="C55" s="185"/>
      <c r="D55" s="15">
        <f>IF(F3="1",SUMIF(Data!A:A,'6'!$A$2,Data!DN:DN),0)</f>
        <v>576</v>
      </c>
      <c r="E55" s="18">
        <f>IF(F3="1",SUMIF(Data!$A:$A,'6'!$A$2,Data!JH:JH),0)</f>
        <v>5218</v>
      </c>
      <c r="F55" s="22">
        <f t="shared" si="3"/>
        <v>9.0590277777777786</v>
      </c>
    </row>
    <row r="56" spans="1:6" ht="14.25" customHeight="1" x14ac:dyDescent="0.2">
      <c r="A56" s="20">
        <v>21</v>
      </c>
      <c r="B56" s="184" t="s">
        <v>466</v>
      </c>
      <c r="C56" s="185"/>
      <c r="D56" s="15">
        <f>IF(F3="1",SUMIF(Data!A:A,'6'!$A$2,Data!DO:DO),0)</f>
        <v>5700</v>
      </c>
      <c r="E56" s="18">
        <f>IF(F3="1",SUMIF(Data!$A:$A,'6'!$A$2,Data!JI:JI),0)</f>
        <v>51637</v>
      </c>
      <c r="F56" s="22">
        <f t="shared" si="3"/>
        <v>9.0591228070175447</v>
      </c>
    </row>
    <row r="57" spans="1:6" x14ac:dyDescent="0.2">
      <c r="A57" s="20">
        <v>22</v>
      </c>
      <c r="B57" s="184" t="s">
        <v>19</v>
      </c>
      <c r="C57" s="185"/>
      <c r="D57" s="15">
        <f>IF(F3="1",SUMIF(Data!A:A,'6'!$A$2,Data!DP:DP),0)</f>
        <v>4248</v>
      </c>
      <c r="E57" s="18">
        <f>IF(F3="1",SUMIF(Data!$A:$A,'6'!$A$2,Data!JJ:JJ),0)</f>
        <v>38484</v>
      </c>
      <c r="F57" s="22">
        <f t="shared" si="3"/>
        <v>9.0593220338983045</v>
      </c>
    </row>
    <row r="58" spans="1:6" x14ac:dyDescent="0.2">
      <c r="A58" s="20">
        <v>23</v>
      </c>
      <c r="B58" s="184" t="s">
        <v>20</v>
      </c>
      <c r="C58" s="185"/>
      <c r="D58" s="15">
        <f>IF(F3="1",SUMIF(Data!A:A,'6'!$A$2,Data!DQ:DQ),0)</f>
        <v>231168</v>
      </c>
      <c r="E58" s="18">
        <f>IF(F3="1",SUMIF(Data!$A:$A,'6'!$A$2,Data!JK:JK),0)</f>
        <v>228450</v>
      </c>
      <c r="F58" s="22">
        <f t="shared" si="3"/>
        <v>0.98824231727574752</v>
      </c>
    </row>
    <row r="59" spans="1:6" x14ac:dyDescent="0.2">
      <c r="A59" s="20">
        <v>24</v>
      </c>
      <c r="B59" s="184" t="s">
        <v>21</v>
      </c>
      <c r="C59" s="185"/>
      <c r="D59" s="15">
        <f>IF(F3="1",SUMIF(Data!A:A,'6'!$A$2,Data!DR:DR),0)</f>
        <v>174432</v>
      </c>
      <c r="E59" s="18">
        <f>IF(F3="1",SUMIF(Data!$A:$A,'6'!$A$2,Data!JL:JL),0)</f>
        <v>379274</v>
      </c>
      <c r="F59" s="22">
        <f t="shared" si="3"/>
        <v>2.1743372775637497</v>
      </c>
    </row>
    <row r="60" spans="1:6" x14ac:dyDescent="0.2">
      <c r="A60" s="20">
        <v>25</v>
      </c>
      <c r="B60" s="184" t="s">
        <v>22</v>
      </c>
      <c r="C60" s="185"/>
      <c r="D60" s="15">
        <f>IF(F3="1",SUMIF(Data!A:A,'6'!$A$2,Data!DS:DS),0)</f>
        <v>1761984</v>
      </c>
      <c r="E60" s="18">
        <f>IF(F3="1",SUMIF(Data!$A:$A,'6'!$A$2,Data!JM:JM),0)</f>
        <v>474683</v>
      </c>
      <c r="F60" s="22">
        <f t="shared" si="3"/>
        <v>0.26940255984163308</v>
      </c>
    </row>
    <row r="61" spans="1:6" x14ac:dyDescent="0.2">
      <c r="A61" s="20">
        <v>26</v>
      </c>
      <c r="B61" s="184" t="s">
        <v>23</v>
      </c>
      <c r="C61" s="185"/>
      <c r="D61" s="15">
        <f>IF(F3="1",SUMIF(Data!A:A,'6'!$A$2,Data!DT:DT),0)</f>
        <v>314086</v>
      </c>
      <c r="E61" s="18">
        <f>IF(F3="1",SUMIF(Data!$A:$A,'6'!$A$2,Data!JN:JN),0)</f>
        <v>369545</v>
      </c>
      <c r="F61" s="22">
        <f t="shared" si="3"/>
        <v>1.1765726584438656</v>
      </c>
    </row>
    <row r="62" spans="1:6" x14ac:dyDescent="0.2">
      <c r="A62" s="20">
        <v>28</v>
      </c>
      <c r="B62" s="184" t="s">
        <v>24</v>
      </c>
      <c r="C62" s="185"/>
      <c r="D62" s="15">
        <f>IF(F3="1",SUMIF(Data!A:A,'6'!$A$2,Data!DV:DV),0)</f>
        <v>0</v>
      </c>
      <c r="E62" s="18">
        <f>IF(F3="1",SUMIF(Data!$A:$A,'6'!$A$2,Data!JP:JP),0)</f>
        <v>0</v>
      </c>
      <c r="F62" s="22" t="str">
        <f t="shared" si="3"/>
        <v/>
      </c>
    </row>
    <row r="63" spans="1:6" ht="15.75" customHeight="1" thickBot="1" x14ac:dyDescent="0.25">
      <c r="A63" s="23">
        <v>29</v>
      </c>
      <c r="B63" s="186" t="s">
        <v>25</v>
      </c>
      <c r="C63" s="187"/>
      <c r="D63" s="24">
        <f>IF(F3="1",SUMIF(Data!A:A,'6'!$A$2,Data!DW:DW),0)</f>
        <v>0</v>
      </c>
      <c r="E63" s="25">
        <f>IF(F3="1",SUMIF(Data!$A:$A,'6'!$A$2,Data!JQ:JQ),0)</f>
        <v>0</v>
      </c>
      <c r="F63" s="26" t="str">
        <f t="shared" si="3"/>
        <v/>
      </c>
    </row>
    <row r="64" spans="1:6" x14ac:dyDescent="0.2">
      <c r="B64" s="31" t="s">
        <v>35</v>
      </c>
      <c r="C64" s="31"/>
      <c r="D64" s="61">
        <f>SUM(D36:D63)</f>
        <v>6960349</v>
      </c>
      <c r="E64" s="32">
        <f>SUM(E36:E63)</f>
        <v>6729802</v>
      </c>
      <c r="F64" s="33">
        <f t="shared" si="3"/>
        <v>0.96687709193892435</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64176</v>
      </c>
      <c r="E67" s="16">
        <f>IF(F3="1",SUMIF(Data!A:A,'6'!$A$2,Data!DY:DY),0)</f>
        <v>266974</v>
      </c>
      <c r="F67" s="21">
        <f>IFERROR(E67/D67,"")</f>
        <v>4.1600286711543255</v>
      </c>
    </row>
    <row r="68" spans="1:6" x14ac:dyDescent="0.2">
      <c r="A68" s="20">
        <v>2</v>
      </c>
      <c r="B68" s="184" t="s">
        <v>1</v>
      </c>
      <c r="C68" s="185"/>
      <c r="D68" s="15">
        <f t="shared" ref="D68:D94" si="4">D37</f>
        <v>20070</v>
      </c>
      <c r="E68" s="18">
        <f>IF(F3="1",SUMIF(Data!A:A,'6'!$A$2,Data!DZ:DZ),0)</f>
        <v>1848</v>
      </c>
      <c r="F68" s="22">
        <f t="shared" ref="F68:F95" si="5">IFERROR(E68/D68,"")</f>
        <v>9.2077727952167412E-2</v>
      </c>
    </row>
    <row r="69" spans="1:6" ht="14.25" customHeight="1" x14ac:dyDescent="0.2">
      <c r="A69" s="20">
        <v>3</v>
      </c>
      <c r="B69" s="184" t="s">
        <v>2</v>
      </c>
      <c r="C69" s="185"/>
      <c r="D69" s="15">
        <f t="shared" si="4"/>
        <v>1307232</v>
      </c>
      <c r="E69" s="18">
        <f>IF(F3="1",SUMIF(Data!A:A,'6'!$A$2,Data!EA:EA),0)</f>
        <v>2898292</v>
      </c>
      <c r="F69" s="22">
        <f t="shared" si="5"/>
        <v>2.2171213678979709</v>
      </c>
    </row>
    <row r="70" spans="1:6" ht="14.25" customHeight="1" x14ac:dyDescent="0.2">
      <c r="A70" s="20">
        <v>4</v>
      </c>
      <c r="B70" s="184" t="s">
        <v>3</v>
      </c>
      <c r="C70" s="185"/>
      <c r="D70" s="15">
        <f t="shared" si="4"/>
        <v>338762</v>
      </c>
      <c r="E70" s="18">
        <f>IF(F3="1",SUMIF(Data!A:A,'6'!$A$2,Data!EB:EB),0)</f>
        <v>1505318</v>
      </c>
      <c r="F70" s="22">
        <f t="shared" si="5"/>
        <v>4.4435857622755801</v>
      </c>
    </row>
    <row r="71" spans="1:6" x14ac:dyDescent="0.2">
      <c r="A71" s="20">
        <v>5</v>
      </c>
      <c r="B71" s="184" t="s">
        <v>4</v>
      </c>
      <c r="C71" s="185"/>
      <c r="D71" s="15">
        <f t="shared" si="4"/>
        <v>0</v>
      </c>
      <c r="E71" s="18">
        <f>IF(F3="1",SUMIF(Data!A:A,'6'!$A$2,Data!EC:EC),0)</f>
        <v>0</v>
      </c>
      <c r="F71" s="22" t="str">
        <f t="shared" si="5"/>
        <v/>
      </c>
    </row>
    <row r="72" spans="1:6" x14ac:dyDescent="0.2">
      <c r="A72" s="20">
        <v>6</v>
      </c>
      <c r="B72" s="184" t="s">
        <v>5</v>
      </c>
      <c r="C72" s="185"/>
      <c r="D72" s="15">
        <f t="shared" si="4"/>
        <v>9280</v>
      </c>
      <c r="E72" s="18">
        <f>IF(F3="1",SUMIF(Data!A:A,'6'!$A$2,Data!ED:ED),0)</f>
        <v>15400</v>
      </c>
      <c r="F72" s="22">
        <f t="shared" si="5"/>
        <v>1.6594827586206897</v>
      </c>
    </row>
    <row r="73" spans="1:6" x14ac:dyDescent="0.2">
      <c r="A73" s="20">
        <v>7</v>
      </c>
      <c r="B73" s="184" t="s">
        <v>6</v>
      </c>
      <c r="C73" s="185"/>
      <c r="D73" s="15">
        <f t="shared" si="4"/>
        <v>113700</v>
      </c>
      <c r="E73" s="18">
        <f>IF(F3="1",SUMIF(Data!A:A,'6'!$A$2,Data!EE:EE),0)</f>
        <v>317884</v>
      </c>
      <c r="F73" s="22">
        <f t="shared" si="5"/>
        <v>2.7958135444151275</v>
      </c>
    </row>
    <row r="74" spans="1:6" x14ac:dyDescent="0.2">
      <c r="A74" s="20">
        <v>8</v>
      </c>
      <c r="B74" s="184" t="s">
        <v>7</v>
      </c>
      <c r="C74" s="185"/>
      <c r="D74" s="15">
        <f t="shared" si="4"/>
        <v>5564</v>
      </c>
      <c r="E74" s="18">
        <f>IF(F3="1",SUMIF(Data!A:A,'6'!$A$2,Data!EF:EF),0)</f>
        <v>512</v>
      </c>
      <c r="F74" s="22">
        <f t="shared" si="5"/>
        <v>9.2020129403306977E-2</v>
      </c>
    </row>
    <row r="75" spans="1:6" x14ac:dyDescent="0.2">
      <c r="A75" s="20">
        <v>9</v>
      </c>
      <c r="B75" s="184" t="s">
        <v>8</v>
      </c>
      <c r="C75" s="185"/>
      <c r="D75" s="15">
        <f t="shared" si="4"/>
        <v>100819</v>
      </c>
      <c r="E75" s="18">
        <f>IF(F3="1",SUMIF(Data!A:A,'6'!$A$2,Data!EG:EG),0)</f>
        <v>117421</v>
      </c>
      <c r="F75" s="22">
        <f t="shared" si="5"/>
        <v>1.1646713417113839</v>
      </c>
    </row>
    <row r="76" spans="1:6" x14ac:dyDescent="0.2">
      <c r="A76" s="20">
        <v>10</v>
      </c>
      <c r="B76" s="184" t="s">
        <v>9</v>
      </c>
      <c r="C76" s="185"/>
      <c r="D76" s="15">
        <f t="shared" si="4"/>
        <v>0</v>
      </c>
      <c r="E76" s="18">
        <f>IF(F3="1",SUMIF(Data!A:A,'6'!$A$2,Data!EH:EH),0)</f>
        <v>0</v>
      </c>
      <c r="F76" s="22" t="str">
        <f t="shared" si="5"/>
        <v/>
      </c>
    </row>
    <row r="77" spans="1:6" x14ac:dyDescent="0.2">
      <c r="A77" s="20">
        <v>11</v>
      </c>
      <c r="B77" s="184" t="s">
        <v>10</v>
      </c>
      <c r="C77" s="185"/>
      <c r="D77" s="15">
        <f t="shared" si="4"/>
        <v>10114</v>
      </c>
      <c r="E77" s="18">
        <f>IF(F3="1",SUMIF(Data!A:A,'6'!$A$2,Data!EI:EI),0)</f>
        <v>87427</v>
      </c>
      <c r="F77" s="22">
        <f t="shared" si="5"/>
        <v>8.6441566145936317</v>
      </c>
    </row>
    <row r="78" spans="1:6" ht="14.25" customHeight="1" x14ac:dyDescent="0.2">
      <c r="A78" s="20">
        <v>12</v>
      </c>
      <c r="B78" s="184" t="s">
        <v>11</v>
      </c>
      <c r="C78" s="185"/>
      <c r="D78" s="15">
        <f t="shared" si="4"/>
        <v>1015240</v>
      </c>
      <c r="E78" s="18">
        <f>IF(F3="1",SUMIF(Data!A:A,'6'!$A$2,Data!EJ:EJ),0)</f>
        <v>3546696</v>
      </c>
      <c r="F78" s="22">
        <f t="shared" si="5"/>
        <v>3.4934557346046256</v>
      </c>
    </row>
    <row r="79" spans="1:6" x14ac:dyDescent="0.2">
      <c r="A79" s="20">
        <v>13</v>
      </c>
      <c r="B79" s="184" t="s">
        <v>12</v>
      </c>
      <c r="C79" s="185"/>
      <c r="D79" s="15">
        <f t="shared" si="4"/>
        <v>146624</v>
      </c>
      <c r="E79" s="18">
        <f>IF(F3="1",SUMIF(Data!A:A,'6'!$A$2,Data!EK:EK),0)</f>
        <v>502462</v>
      </c>
      <c r="F79" s="22">
        <f t="shared" si="5"/>
        <v>3.426874181580096</v>
      </c>
    </row>
    <row r="80" spans="1:6" ht="14.25" customHeight="1" x14ac:dyDescent="0.2">
      <c r="A80" s="20">
        <v>14</v>
      </c>
      <c r="B80" s="184" t="s">
        <v>469</v>
      </c>
      <c r="C80" s="185"/>
      <c r="D80" s="15">
        <f t="shared" si="4"/>
        <v>100416</v>
      </c>
      <c r="E80" s="18">
        <f>IF(F3="1",SUMIF(Data!A:A,'6'!$A$2,Data!EL:EL),0)</f>
        <v>938346</v>
      </c>
      <c r="F80" s="22">
        <f t="shared" si="5"/>
        <v>9.3445865200764811</v>
      </c>
    </row>
    <row r="81" spans="1:6" x14ac:dyDescent="0.2">
      <c r="A81" s="20">
        <v>15</v>
      </c>
      <c r="B81" s="184" t="s">
        <v>13</v>
      </c>
      <c r="C81" s="185"/>
      <c r="D81" s="15">
        <f t="shared" si="4"/>
        <v>18624</v>
      </c>
      <c r="E81" s="18">
        <f>IF(F3="1",SUMIF(Data!A:A,'6'!$A$2,Data!EM:EM),0)</f>
        <v>285418</v>
      </c>
      <c r="F81" s="22">
        <f t="shared" si="5"/>
        <v>15.325279209621993</v>
      </c>
    </row>
    <row r="82" spans="1:6" x14ac:dyDescent="0.2">
      <c r="A82" s="20">
        <v>16</v>
      </c>
      <c r="B82" s="184" t="s">
        <v>14</v>
      </c>
      <c r="C82" s="185"/>
      <c r="D82" s="15">
        <f t="shared" si="4"/>
        <v>272542</v>
      </c>
      <c r="E82" s="18">
        <f>IF(F3="1",SUMIF(Data!A:A,'6'!$A$2,Data!EN:EN),0)</f>
        <v>744031</v>
      </c>
      <c r="F82" s="22">
        <f t="shared" si="5"/>
        <v>2.729968225080905</v>
      </c>
    </row>
    <row r="83" spans="1:6" x14ac:dyDescent="0.2">
      <c r="A83" s="20">
        <v>17</v>
      </c>
      <c r="B83" s="184" t="s">
        <v>15</v>
      </c>
      <c r="C83" s="185"/>
      <c r="D83" s="15">
        <f t="shared" si="4"/>
        <v>0</v>
      </c>
      <c r="E83" s="18">
        <f>IF(F3="1",SUMIF(Data!A:A,'6'!$A$2,Data!EO:EO),0)</f>
        <v>0</v>
      </c>
      <c r="F83" s="22" t="str">
        <f t="shared" si="5"/>
        <v/>
      </c>
    </row>
    <row r="84" spans="1:6" x14ac:dyDescent="0.2">
      <c r="A84" s="20">
        <v>18</v>
      </c>
      <c r="B84" s="184" t="s">
        <v>16</v>
      </c>
      <c r="C84" s="185"/>
      <c r="D84" s="15">
        <f t="shared" si="4"/>
        <v>71656</v>
      </c>
      <c r="E84" s="18">
        <f>IF(F3="1",SUMIF(Data!A:A,'6'!$A$2,Data!EP:EP),0)</f>
        <v>286735</v>
      </c>
      <c r="F84" s="22">
        <f t="shared" si="5"/>
        <v>4.0015490677682264</v>
      </c>
    </row>
    <row r="85" spans="1:6" x14ac:dyDescent="0.2">
      <c r="A85" s="20">
        <v>19</v>
      </c>
      <c r="B85" s="184" t="s">
        <v>17</v>
      </c>
      <c r="C85" s="185"/>
      <c r="D85" s="15">
        <f t="shared" si="4"/>
        <v>873336</v>
      </c>
      <c r="E85" s="18">
        <f>IF(F3="1",SUMIF(Data!A:A,'6'!$A$2,Data!EQ:EQ),0)</f>
        <v>2793352</v>
      </c>
      <c r="F85" s="22">
        <f t="shared" si="5"/>
        <v>3.1984848901224727</v>
      </c>
    </row>
    <row r="86" spans="1:6" x14ac:dyDescent="0.2">
      <c r="A86" s="20">
        <v>20</v>
      </c>
      <c r="B86" s="184" t="s">
        <v>18</v>
      </c>
      <c r="C86" s="185"/>
      <c r="D86" s="15">
        <f t="shared" si="4"/>
        <v>576</v>
      </c>
      <c r="E86" s="18">
        <f>IF(F3="1",SUMIF(Data!A:A,'6'!$A$2,Data!ER:ER),0)</f>
        <v>53</v>
      </c>
      <c r="F86" s="22">
        <f t="shared" si="5"/>
        <v>9.2013888888888895E-2</v>
      </c>
    </row>
    <row r="87" spans="1:6" ht="14.25" customHeight="1" x14ac:dyDescent="0.2">
      <c r="A87" s="20">
        <v>21</v>
      </c>
      <c r="B87" s="184" t="s">
        <v>466</v>
      </c>
      <c r="C87" s="185"/>
      <c r="D87" s="15">
        <f t="shared" si="4"/>
        <v>5700</v>
      </c>
      <c r="E87" s="18">
        <f>IF(F3="1",SUMIF(Data!A:A,'6'!$A$2,Data!ES:ES),0)</f>
        <v>525</v>
      </c>
      <c r="F87" s="22">
        <f t="shared" si="5"/>
        <v>9.2105263157894732E-2</v>
      </c>
    </row>
    <row r="88" spans="1:6" x14ac:dyDescent="0.2">
      <c r="A88" s="20">
        <v>22</v>
      </c>
      <c r="B88" s="184" t="s">
        <v>19</v>
      </c>
      <c r="C88" s="185"/>
      <c r="D88" s="15">
        <f t="shared" si="4"/>
        <v>4248</v>
      </c>
      <c r="E88" s="18">
        <f>IF(F3="1",SUMIF(Data!A:A,'6'!$A$2,Data!ET:ET),0)</f>
        <v>391</v>
      </c>
      <c r="F88" s="22">
        <f t="shared" si="5"/>
        <v>9.2043314500941623E-2</v>
      </c>
    </row>
    <row r="89" spans="1:6" x14ac:dyDescent="0.2">
      <c r="A89" s="20">
        <v>23</v>
      </c>
      <c r="B89" s="184" t="s">
        <v>20</v>
      </c>
      <c r="C89" s="185"/>
      <c r="D89" s="15">
        <f t="shared" si="4"/>
        <v>231168</v>
      </c>
      <c r="E89" s="18">
        <f>IF(F3="1",SUMIF(Data!A:A,'6'!$A$2,Data!EU:EU),0)</f>
        <v>904235</v>
      </c>
      <c r="F89" s="22">
        <f t="shared" si="5"/>
        <v>3.911592434939092</v>
      </c>
    </row>
    <row r="90" spans="1:6" x14ac:dyDescent="0.2">
      <c r="A90" s="20">
        <v>24</v>
      </c>
      <c r="B90" s="184" t="s">
        <v>21</v>
      </c>
      <c r="C90" s="185"/>
      <c r="D90" s="15">
        <f t="shared" si="4"/>
        <v>174432</v>
      </c>
      <c r="E90" s="18">
        <f>IF(F3="1",SUMIF(Data!A:A,'6'!$A$2,Data!EV:EV),0)</f>
        <v>279909</v>
      </c>
      <c r="F90" s="22">
        <f t="shared" si="5"/>
        <v>1.604688359933957</v>
      </c>
    </row>
    <row r="91" spans="1:6" x14ac:dyDescent="0.2">
      <c r="A91" s="20">
        <v>25</v>
      </c>
      <c r="B91" s="184" t="s">
        <v>22</v>
      </c>
      <c r="C91" s="185"/>
      <c r="D91" s="15">
        <f t="shared" si="4"/>
        <v>1761984</v>
      </c>
      <c r="E91" s="18">
        <f>IF(F3="1",SUMIF(Data!A:A,'6'!$A$2,Data!EW:EW),0)</f>
        <v>4170275</v>
      </c>
      <c r="F91" s="22">
        <f t="shared" si="5"/>
        <v>2.3668063955177798</v>
      </c>
    </row>
    <row r="92" spans="1:6" x14ac:dyDescent="0.2">
      <c r="A92" s="20">
        <v>26</v>
      </c>
      <c r="B92" s="184" t="s">
        <v>23</v>
      </c>
      <c r="C92" s="185"/>
      <c r="D92" s="15">
        <f t="shared" si="4"/>
        <v>314086</v>
      </c>
      <c r="E92" s="18">
        <f>IF(F3="1",SUMIF(Data!A:A,'6'!$A$2,Data!EX:EX),0)</f>
        <v>1052192</v>
      </c>
      <c r="F92" s="22">
        <f t="shared" si="5"/>
        <v>3.3500124169813361</v>
      </c>
    </row>
    <row r="93" spans="1:6" x14ac:dyDescent="0.2">
      <c r="A93" s="20">
        <v>28</v>
      </c>
      <c r="B93" s="184" t="s">
        <v>24</v>
      </c>
      <c r="C93" s="185"/>
      <c r="D93" s="15">
        <f t="shared" si="4"/>
        <v>0</v>
      </c>
      <c r="E93" s="18">
        <f>IF(F3="1",SUMIF(Data!A:A,'6'!$A$2,Data!EZ:EZ),0)</f>
        <v>0</v>
      </c>
      <c r="F93" s="22" t="str">
        <f t="shared" si="5"/>
        <v/>
      </c>
    </row>
    <row r="94" spans="1:6" ht="15.75" customHeight="1" thickBot="1" x14ac:dyDescent="0.25">
      <c r="A94" s="23">
        <v>29</v>
      </c>
      <c r="B94" s="186" t="s">
        <v>25</v>
      </c>
      <c r="C94" s="187"/>
      <c r="D94" s="24">
        <f t="shared" si="4"/>
        <v>0</v>
      </c>
      <c r="E94" s="25">
        <f>IF(F3="1",SUMIF(Data!A:A,'6'!$A$2,Data!FA:FA),0)</f>
        <v>0</v>
      </c>
      <c r="F94" s="26" t="str">
        <f t="shared" si="5"/>
        <v/>
      </c>
    </row>
    <row r="95" spans="1:6" x14ac:dyDescent="0.2">
      <c r="B95" s="31" t="s">
        <v>35</v>
      </c>
      <c r="C95" s="31"/>
      <c r="D95" s="61">
        <f>SUM(D67:D94)</f>
        <v>6960349</v>
      </c>
      <c r="E95" s="32">
        <f>SUM(E67:E94)</f>
        <v>20715696</v>
      </c>
      <c r="F95" s="33">
        <f t="shared" si="5"/>
        <v>2.9762438636338495</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IF(F3="1",SUMIF(Data!A:A,'6'!$A$2,Data!AH:AH),0)</f>
        <v>6088267</v>
      </c>
      <c r="F98" s="21">
        <f t="shared" ref="F98:F105" si="6">IFERROR(E98/$D$95,0)</f>
        <v>0.87470714471357691</v>
      </c>
    </row>
    <row r="99" spans="2:6" x14ac:dyDescent="0.2">
      <c r="B99" s="190" t="s">
        <v>31</v>
      </c>
      <c r="C99" s="191"/>
      <c r="D99" s="37"/>
      <c r="E99" s="18">
        <f>IF(F3="1",SUMIF(Data!A:A,'6'!$A$2,Data!AI:AI),0)</f>
        <v>3887200</v>
      </c>
      <c r="F99" s="22">
        <f t="shared" si="6"/>
        <v>0.55847774299823183</v>
      </c>
    </row>
    <row r="100" spans="2:6" x14ac:dyDescent="0.2">
      <c r="B100" s="190" t="s">
        <v>32</v>
      </c>
      <c r="C100" s="191"/>
      <c r="D100" s="37"/>
      <c r="E100" s="18">
        <f>IF(F3="1",SUMIF(Data!A:A,'6'!$A$2,Data!AJ:AJ),0)</f>
        <v>3129156</v>
      </c>
      <c r="F100" s="22">
        <f t="shared" si="6"/>
        <v>0.44956883627530747</v>
      </c>
    </row>
    <row r="101" spans="2:6" x14ac:dyDescent="0.2">
      <c r="B101" s="190" t="s">
        <v>28</v>
      </c>
      <c r="C101" s="191"/>
      <c r="D101" s="37"/>
      <c r="E101" s="18">
        <f>IF(F3="1",SUMIF(Data!A:A,'6'!$A$2,Data!AK:AK),0)</f>
        <v>0</v>
      </c>
      <c r="F101" s="22">
        <f t="shared" si="6"/>
        <v>0</v>
      </c>
    </row>
    <row r="102" spans="2:6" x14ac:dyDescent="0.2">
      <c r="B102" s="190" t="s">
        <v>33</v>
      </c>
      <c r="C102" s="191"/>
      <c r="D102" s="37"/>
      <c r="E102" s="18">
        <f>IF(F3="1",SUMIF(Data!A:A,'6'!$A$2,Data!AL:AL),0)</f>
        <v>510820</v>
      </c>
      <c r="F102" s="22">
        <f t="shared" si="6"/>
        <v>7.3389998116473759E-2</v>
      </c>
    </row>
    <row r="103" spans="2:6" x14ac:dyDescent="0.2">
      <c r="B103" s="192" t="s">
        <v>34</v>
      </c>
      <c r="C103" s="193"/>
      <c r="D103" s="37"/>
      <c r="E103" s="18">
        <f>IF(F3="1",SUMIF(Data!A:A,'6'!$A$2,Data!AM:AM),0)</f>
        <v>325793</v>
      </c>
      <c r="F103" s="22">
        <f t="shared" si="6"/>
        <v>4.6806992005716953E-2</v>
      </c>
    </row>
    <row r="104" spans="2:6" ht="15.75" customHeight="1" thickBot="1" x14ac:dyDescent="0.25">
      <c r="B104" s="182" t="s">
        <v>29</v>
      </c>
      <c r="C104" s="183"/>
      <c r="D104" s="38"/>
      <c r="E104" s="25">
        <f>IF(F3="1",SUMIF(Data!A:A,'6'!$A$2,Data!Q:Q),0)</f>
        <v>670898</v>
      </c>
      <c r="F104" s="26">
        <f t="shared" si="6"/>
        <v>9.638855752779063E-2</v>
      </c>
    </row>
    <row r="105" spans="2:6" x14ac:dyDescent="0.2">
      <c r="B105" s="31" t="s">
        <v>35</v>
      </c>
      <c r="C105" s="31"/>
      <c r="D105" s="35">
        <f>D95</f>
        <v>6960349</v>
      </c>
      <c r="E105" s="32">
        <f>SUM(E98:E104)</f>
        <v>14612134</v>
      </c>
      <c r="F105" s="33">
        <f t="shared" si="6"/>
        <v>2.0993392716370973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20715696</v>
      </c>
      <c r="D109" s="16">
        <f>IF(F3="1",SUMIF(Data!$A:$A,$A$2,Data!HJ:HJ),0)</f>
        <v>0</v>
      </c>
      <c r="E109" s="16">
        <f>IF(F3="1",SUMIF(Data!$A:$A,$A$2,Data!IN:IN),0)</f>
        <v>0</v>
      </c>
      <c r="F109" s="48">
        <f>SUM(C109:E109)</f>
        <v>20715696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510820</v>
      </c>
      <c r="F116" s="49">
        <f t="shared" si="7"/>
        <v>510820</v>
      </c>
    </row>
    <row r="117" spans="1:6" ht="15" thickBot="1" x14ac:dyDescent="0.25">
      <c r="B117" s="44" t="s">
        <v>941</v>
      </c>
      <c r="C117" s="53"/>
      <c r="D117" s="53">
        <f>IF(F3="1",SUMIF(Data!A:A,$A$2,Data!Q:Q),0)</f>
        <v>670898</v>
      </c>
      <c r="E117" s="53"/>
      <c r="F117" s="50">
        <f>SUM(C117:E117)</f>
        <v>670898</v>
      </c>
    </row>
    <row r="118" spans="1:6" x14ac:dyDescent="0.2">
      <c r="B118" s="14" t="s">
        <v>35</v>
      </c>
      <c r="C118" s="5">
        <f>SUM(C109:C116)</f>
        <v>20715696</v>
      </c>
      <c r="D118" s="5">
        <f>SUM(D109:D116)</f>
        <v>0</v>
      </c>
      <c r="E118" s="5">
        <f>SUM(E109:E116)</f>
        <v>510820</v>
      </c>
      <c r="F118" s="5">
        <f>SUM(F109:F116)</f>
        <v>21226516</v>
      </c>
    </row>
    <row r="119" spans="1:6" ht="15" thickBot="1" x14ac:dyDescent="0.25"/>
    <row r="120" spans="1:6" ht="15" thickBot="1" x14ac:dyDescent="0.25">
      <c r="B120" s="57" t="s">
        <v>942</v>
      </c>
      <c r="C120" s="55"/>
      <c r="D120" s="55"/>
      <c r="E120" s="55">
        <f>IF(F3="1",SUMIF(Data!A:A,'6'!$A$2,Data!AM:AM),0)</f>
        <v>325793</v>
      </c>
      <c r="F120" s="56">
        <f>SUM(C120:E120)</f>
        <v>325793</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42578125" style="11" bestFit="1" customWidth="1"/>
    <col min="13"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428</v>
      </c>
      <c r="B2" s="60" t="str">
        <f>VLOOKUP(A2,Data!A:G,7,0)</f>
        <v>Brazosport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73264</v>
      </c>
      <c r="E6" s="18">
        <f t="shared" ref="E6:E32" si="1">E37+E68+IFERROR($E$105/$D$105*D6,0)</f>
        <v>811929.1695370134</v>
      </c>
      <c r="F6" s="22">
        <f t="shared" ref="F6:F33" si="2">IFERROR(E6/D6,"")</f>
        <v>11.082239156161462</v>
      </c>
    </row>
    <row r="7" spans="1:6" ht="14.25" customHeight="1" x14ac:dyDescent="0.2">
      <c r="A7" s="20">
        <v>3</v>
      </c>
      <c r="B7" s="184" t="s">
        <v>2</v>
      </c>
      <c r="C7" s="185"/>
      <c r="D7" s="15">
        <f t="shared" si="0"/>
        <v>234720</v>
      </c>
      <c r="E7" s="18">
        <f t="shared" si="1"/>
        <v>2543032.4966385644</v>
      </c>
      <c r="F7" s="22">
        <f t="shared" si="2"/>
        <v>10.834323860934578</v>
      </c>
    </row>
    <row r="8" spans="1:6" ht="14.25" customHeight="1" x14ac:dyDescent="0.2">
      <c r="A8" s="20">
        <v>4</v>
      </c>
      <c r="B8" s="184" t="s">
        <v>3</v>
      </c>
      <c r="C8" s="185"/>
      <c r="D8" s="15">
        <f t="shared" si="0"/>
        <v>120283</v>
      </c>
      <c r="E8" s="18">
        <f t="shared" si="1"/>
        <v>1385889.4652274046</v>
      </c>
      <c r="F8" s="22">
        <f t="shared" si="2"/>
        <v>11.521906381013149</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21769</v>
      </c>
      <c r="E11" s="18">
        <f t="shared" si="1"/>
        <v>242509.18692197045</v>
      </c>
      <c r="F11" s="22">
        <f t="shared" si="2"/>
        <v>11.140116078918208</v>
      </c>
    </row>
    <row r="12" spans="1:6" x14ac:dyDescent="0.2">
      <c r="A12" s="20">
        <v>8</v>
      </c>
      <c r="B12" s="184" t="s">
        <v>7</v>
      </c>
      <c r="C12" s="185"/>
      <c r="D12" s="15">
        <f t="shared" si="0"/>
        <v>64048</v>
      </c>
      <c r="E12" s="18">
        <f t="shared" si="1"/>
        <v>716428.75249108195</v>
      </c>
      <c r="F12" s="22">
        <f t="shared" si="2"/>
        <v>11.185809900247969</v>
      </c>
    </row>
    <row r="13" spans="1:6" x14ac:dyDescent="0.2">
      <c r="A13" s="20">
        <v>9</v>
      </c>
      <c r="B13" s="184" t="s">
        <v>8</v>
      </c>
      <c r="C13" s="185"/>
      <c r="D13" s="15">
        <f t="shared" si="0"/>
        <v>26257</v>
      </c>
      <c r="E13" s="18">
        <f t="shared" si="1"/>
        <v>205065.92126465056</v>
      </c>
      <c r="F13" s="22">
        <f t="shared" si="2"/>
        <v>7.8099524418117285</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129456</v>
      </c>
      <c r="E15" s="18">
        <f t="shared" si="1"/>
        <v>812185.54569206701</v>
      </c>
      <c r="F15" s="22">
        <f t="shared" si="2"/>
        <v>6.2738347059392146</v>
      </c>
    </row>
    <row r="16" spans="1:6" ht="14.25" customHeight="1" x14ac:dyDescent="0.2">
      <c r="A16" s="20">
        <v>12</v>
      </c>
      <c r="B16" s="184" t="s">
        <v>11</v>
      </c>
      <c r="C16" s="185"/>
      <c r="D16" s="15">
        <f t="shared" si="0"/>
        <v>185504</v>
      </c>
      <c r="E16" s="18">
        <f t="shared" si="1"/>
        <v>1714218.3528307779</v>
      </c>
      <c r="F16" s="22">
        <f t="shared" si="2"/>
        <v>9.240870023453823</v>
      </c>
    </row>
    <row r="17" spans="1:6" x14ac:dyDescent="0.2">
      <c r="A17" s="20">
        <v>13</v>
      </c>
      <c r="B17" s="184" t="s">
        <v>12</v>
      </c>
      <c r="C17" s="185"/>
      <c r="D17" s="15">
        <f t="shared" si="0"/>
        <v>10572</v>
      </c>
      <c r="E17" s="18">
        <f t="shared" si="1"/>
        <v>100567.77528315823</v>
      </c>
      <c r="F17" s="22">
        <f t="shared" si="2"/>
        <v>9.5126537346914706</v>
      </c>
    </row>
    <row r="18" spans="1:6" ht="14.25" customHeight="1" x14ac:dyDescent="0.2">
      <c r="A18" s="20">
        <v>14</v>
      </c>
      <c r="B18" s="184" t="s">
        <v>469</v>
      </c>
      <c r="C18" s="185"/>
      <c r="D18" s="15">
        <f t="shared" si="0"/>
        <v>20516</v>
      </c>
      <c r="E18" s="18">
        <f t="shared" si="1"/>
        <v>468160.40235615533</v>
      </c>
      <c r="F18" s="22">
        <f t="shared" si="2"/>
        <v>22.819282626055532</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30237</v>
      </c>
      <c r="E20" s="18">
        <f t="shared" si="1"/>
        <v>553415.98157745507</v>
      </c>
      <c r="F20" s="22">
        <f t="shared" si="2"/>
        <v>18.302608776580186</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20848</v>
      </c>
      <c r="E22" s="18">
        <f t="shared" si="1"/>
        <v>305786.04758827877</v>
      </c>
      <c r="F22" s="22">
        <f t="shared" si="2"/>
        <v>14.667404431517593</v>
      </c>
    </row>
    <row r="23" spans="1:6" x14ac:dyDescent="0.2">
      <c r="A23" s="20">
        <v>19</v>
      </c>
      <c r="B23" s="184" t="s">
        <v>17</v>
      </c>
      <c r="C23" s="185"/>
      <c r="D23" s="15">
        <f t="shared" si="0"/>
        <v>164016</v>
      </c>
      <c r="E23" s="18">
        <f t="shared" si="1"/>
        <v>1445038.1096143094</v>
      </c>
      <c r="F23" s="22">
        <f t="shared" si="2"/>
        <v>8.81034843926391</v>
      </c>
    </row>
    <row r="24" spans="1:6" x14ac:dyDescent="0.2">
      <c r="A24" s="20">
        <v>20</v>
      </c>
      <c r="B24" s="184" t="s">
        <v>18</v>
      </c>
      <c r="C24" s="185"/>
      <c r="D24" s="15">
        <f t="shared" si="0"/>
        <v>20256</v>
      </c>
      <c r="E24" s="18">
        <f t="shared" si="1"/>
        <v>214197.04163220327</v>
      </c>
      <c r="F24" s="22">
        <f t="shared" si="2"/>
        <v>10.574498500799924</v>
      </c>
    </row>
    <row r="25" spans="1:6" ht="14.25" customHeight="1" x14ac:dyDescent="0.2">
      <c r="A25" s="20">
        <v>21</v>
      </c>
      <c r="B25" s="184" t="s">
        <v>466</v>
      </c>
      <c r="C25" s="185"/>
      <c r="D25" s="15">
        <f t="shared" si="0"/>
        <v>448</v>
      </c>
      <c r="E25" s="18">
        <f t="shared" si="1"/>
        <v>13671.436939732774</v>
      </c>
      <c r="F25" s="22">
        <f t="shared" si="2"/>
        <v>30.516600311903513</v>
      </c>
    </row>
    <row r="26" spans="1:6" x14ac:dyDescent="0.2">
      <c r="A26" s="20">
        <v>22</v>
      </c>
      <c r="B26" s="184" t="s">
        <v>19</v>
      </c>
      <c r="C26" s="185"/>
      <c r="D26" s="15">
        <f t="shared" si="0"/>
        <v>1708</v>
      </c>
      <c r="E26" s="18">
        <f t="shared" si="1"/>
        <v>21399.415832731203</v>
      </c>
      <c r="F26" s="22">
        <f t="shared" si="2"/>
        <v>12.528931986376582</v>
      </c>
    </row>
    <row r="27" spans="1:6" x14ac:dyDescent="0.2">
      <c r="A27" s="20">
        <v>23</v>
      </c>
      <c r="B27" s="184" t="s">
        <v>20</v>
      </c>
      <c r="C27" s="185"/>
      <c r="D27" s="15">
        <f t="shared" si="0"/>
        <v>24640</v>
      </c>
      <c r="E27" s="18">
        <f t="shared" si="1"/>
        <v>279157.03168530256</v>
      </c>
      <c r="F27" s="22">
        <f t="shared" si="2"/>
        <v>11.329424987228188</v>
      </c>
    </row>
    <row r="28" spans="1:6" x14ac:dyDescent="0.2">
      <c r="A28" s="20">
        <v>24</v>
      </c>
      <c r="B28" s="184" t="s">
        <v>21</v>
      </c>
      <c r="C28" s="185"/>
      <c r="D28" s="15">
        <f t="shared" si="0"/>
        <v>33764</v>
      </c>
      <c r="E28" s="18">
        <f t="shared" si="1"/>
        <v>318210.75185968168</v>
      </c>
      <c r="F28" s="22">
        <f t="shared" si="2"/>
        <v>9.4245572757872793</v>
      </c>
    </row>
    <row r="29" spans="1:6" x14ac:dyDescent="0.2">
      <c r="A29" s="20">
        <v>25</v>
      </c>
      <c r="B29" s="184" t="s">
        <v>22</v>
      </c>
      <c r="C29" s="185"/>
      <c r="D29" s="15">
        <f t="shared" si="0"/>
        <v>254352</v>
      </c>
      <c r="E29" s="18">
        <f t="shared" si="1"/>
        <v>2149495.0725332825</v>
      </c>
      <c r="F29" s="22">
        <f t="shared" si="2"/>
        <v>8.4508675871755781</v>
      </c>
    </row>
    <row r="30" spans="1:6" x14ac:dyDescent="0.2">
      <c r="A30" s="20">
        <v>26</v>
      </c>
      <c r="B30" s="184" t="s">
        <v>23</v>
      </c>
      <c r="C30" s="185"/>
      <c r="D30" s="15">
        <f t="shared" si="0"/>
        <v>55264</v>
      </c>
      <c r="E30" s="18">
        <f t="shared" si="1"/>
        <v>747798.04249417863</v>
      </c>
      <c r="F30" s="22">
        <f t="shared" si="2"/>
        <v>13.5313774336671</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1491922</v>
      </c>
      <c r="E33" s="32">
        <f>SUM(E5:E32)</f>
        <v>15048156</v>
      </c>
      <c r="F33" s="33">
        <f t="shared" si="2"/>
        <v>10.086422748642356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IF(F3="1",SUMIF(Data!A:A,'7'!$A$2,Data!CU:CU),0)</f>
        <v>0</v>
      </c>
      <c r="E36" s="16">
        <f>IF(F3="1",SUMIF(Data!$A:$A,'7'!$A$2,Data!IO:IO),0)</f>
        <v>0</v>
      </c>
      <c r="F36" s="21" t="str">
        <f t="shared" ref="F36:F64" si="3">IFERROR(E36/D36,"")</f>
        <v/>
      </c>
    </row>
    <row r="37" spans="1:6" x14ac:dyDescent="0.2">
      <c r="A37" s="20">
        <v>2</v>
      </c>
      <c r="B37" s="184" t="s">
        <v>1</v>
      </c>
      <c r="C37" s="185"/>
      <c r="D37" s="15">
        <f>IF(F3="1",SUMIF(Data!A:A,'7'!$A$2,Data!CV:CV),0)</f>
        <v>73264</v>
      </c>
      <c r="E37" s="18">
        <f>IF(F3="1",SUMIF(Data!$A:$A,'7'!$A$2,Data!IP:IP),0)</f>
        <v>126758</v>
      </c>
      <c r="F37" s="22">
        <f t="shared" si="3"/>
        <v>1.7301539637475432</v>
      </c>
    </row>
    <row r="38" spans="1:6" ht="14.25" customHeight="1" x14ac:dyDescent="0.2">
      <c r="A38" s="20">
        <v>3</v>
      </c>
      <c r="B38" s="184" t="s">
        <v>2</v>
      </c>
      <c r="C38" s="185"/>
      <c r="D38" s="15">
        <f>IF(F3="1",SUMIF(Data!A:A,'7'!$A$2,Data!CW:CW),0)</f>
        <v>234720</v>
      </c>
      <c r="E38" s="18">
        <f>IF(F3="1",SUMIF(Data!$A:$A,'7'!$A$2,Data!IQ:IQ),0)</f>
        <v>438830</v>
      </c>
      <c r="F38" s="22">
        <f t="shared" si="3"/>
        <v>1.8695892978868438</v>
      </c>
    </row>
    <row r="39" spans="1:6" ht="14.25" customHeight="1" x14ac:dyDescent="0.2">
      <c r="A39" s="20">
        <v>4</v>
      </c>
      <c r="B39" s="184" t="s">
        <v>3</v>
      </c>
      <c r="C39" s="185"/>
      <c r="D39" s="15">
        <f>IF(F3="1",SUMIF(Data!A:A,'7'!$A$2,Data!CX:CX),0)</f>
        <v>120283</v>
      </c>
      <c r="E39" s="18">
        <f>IF(F3="1",SUMIF(Data!$A:$A,'7'!$A$2,Data!IR:IR),0)</f>
        <v>45961</v>
      </c>
      <c r="F39" s="22">
        <f t="shared" si="3"/>
        <v>0.38210719719328584</v>
      </c>
    </row>
    <row r="40" spans="1:6" x14ac:dyDescent="0.2">
      <c r="A40" s="20">
        <v>5</v>
      </c>
      <c r="B40" s="184" t="s">
        <v>4</v>
      </c>
      <c r="C40" s="185"/>
      <c r="D40" s="15">
        <f>IF(F3="1",SUMIF(Data!A:A,'7'!$A$2,Data!CY:CY),0)</f>
        <v>0</v>
      </c>
      <c r="E40" s="18">
        <f>IF(F3="1",SUMIF(Data!$A:$A,'7'!$A$2,Data!IS:IS),0)</f>
        <v>0</v>
      </c>
      <c r="F40" s="22" t="str">
        <f t="shared" si="3"/>
        <v/>
      </c>
    </row>
    <row r="41" spans="1:6" x14ac:dyDescent="0.2">
      <c r="A41" s="20">
        <v>6</v>
      </c>
      <c r="B41" s="184" t="s">
        <v>5</v>
      </c>
      <c r="C41" s="185"/>
      <c r="D41" s="15">
        <f>IF(F3="1",SUMIF(Data!A:A,'7'!$A$2,Data!CZ:CZ),0)</f>
        <v>0</v>
      </c>
      <c r="E41" s="18">
        <f>IF(F3="1",SUMIF(Data!$A:$A,'7'!$A$2,Data!IT:IT),0)</f>
        <v>0</v>
      </c>
      <c r="F41" s="22" t="str">
        <f t="shared" si="3"/>
        <v/>
      </c>
    </row>
    <row r="42" spans="1:6" x14ac:dyDescent="0.2">
      <c r="A42" s="20">
        <v>7</v>
      </c>
      <c r="B42" s="184" t="s">
        <v>6</v>
      </c>
      <c r="C42" s="185"/>
      <c r="D42" s="15">
        <f>IF(F3="1",SUMIF(Data!A:A,'7'!$A$2,Data!DA:DA),0)</f>
        <v>21769</v>
      </c>
      <c r="E42" s="18">
        <f>IF(F3="1",SUMIF(Data!$A:$A,'7'!$A$2,Data!IU:IU),0)</f>
        <v>7524</v>
      </c>
      <c r="F42" s="22">
        <f t="shared" si="3"/>
        <v>0.34562910560889337</v>
      </c>
    </row>
    <row r="43" spans="1:6" x14ac:dyDescent="0.2">
      <c r="A43" s="20">
        <v>8</v>
      </c>
      <c r="B43" s="184" t="s">
        <v>7</v>
      </c>
      <c r="C43" s="185"/>
      <c r="D43" s="15">
        <f>IF(F3="1",SUMIF(Data!A:A,'7'!$A$2,Data!DB:DB),0)</f>
        <v>64048</v>
      </c>
      <c r="E43" s="18">
        <f>IF(F3="1",SUMIF(Data!$A:$A,'7'!$A$2,Data!IV:IV),0)</f>
        <v>89514</v>
      </c>
      <c r="F43" s="22">
        <f t="shared" si="3"/>
        <v>1.3976080439670246</v>
      </c>
    </row>
    <row r="44" spans="1:6" x14ac:dyDescent="0.2">
      <c r="A44" s="20">
        <v>9</v>
      </c>
      <c r="B44" s="184" t="s">
        <v>8</v>
      </c>
      <c r="C44" s="185"/>
      <c r="D44" s="15">
        <f>IF(F3="1",SUMIF(Data!A:A,'7'!$A$2,Data!DC:DC),0)</f>
        <v>26257</v>
      </c>
      <c r="E44" s="18">
        <f>IF(F3="1",SUMIF(Data!$A:$A,'7'!$A$2,Data!IW:IW),0)</f>
        <v>6107</v>
      </c>
      <c r="F44" s="22">
        <f t="shared" si="3"/>
        <v>0.23258559622195984</v>
      </c>
    </row>
    <row r="45" spans="1:6" x14ac:dyDescent="0.2">
      <c r="A45" s="20">
        <v>10</v>
      </c>
      <c r="B45" s="184" t="s">
        <v>9</v>
      </c>
      <c r="C45" s="185"/>
      <c r="D45" s="15">
        <f>IF(F3="1",SUMIF(Data!A:A,'7'!$A$2,Data!DD:DD),0)</f>
        <v>0</v>
      </c>
      <c r="E45" s="18">
        <f>IF(F3="1",SUMIF(Data!$A:$A,'7'!$A$2,Data!IX:IX),0)</f>
        <v>0</v>
      </c>
      <c r="F45" s="22" t="str">
        <f t="shared" si="3"/>
        <v/>
      </c>
    </row>
    <row r="46" spans="1:6" x14ac:dyDescent="0.2">
      <c r="A46" s="20">
        <v>11</v>
      </c>
      <c r="B46" s="184" t="s">
        <v>10</v>
      </c>
      <c r="C46" s="185"/>
      <c r="D46" s="15">
        <f>IF(F3="1",SUMIF(Data!A:A,'7'!$A$2,Data!DE:DE),0)</f>
        <v>129456</v>
      </c>
      <c r="E46" s="18">
        <f>IF(F3="1",SUMIF(Data!$A:$A,'7'!$A$2,Data!IY:IY),0)</f>
        <v>17847</v>
      </c>
      <c r="F46" s="22">
        <f t="shared" si="3"/>
        <v>0.1378615127919911</v>
      </c>
    </row>
    <row r="47" spans="1:6" ht="14.25" customHeight="1" x14ac:dyDescent="0.2">
      <c r="A47" s="20">
        <v>12</v>
      </c>
      <c r="B47" s="184" t="s">
        <v>11</v>
      </c>
      <c r="C47" s="185"/>
      <c r="D47" s="15">
        <f>IF(F3="1",SUMIF(Data!A:A,'7'!$A$2,Data!DF:DF),0)</f>
        <v>185504</v>
      </c>
      <c r="E47" s="18">
        <f>IF(F3="1",SUMIF(Data!$A:$A,'7'!$A$2,Data!IZ:IZ),0)</f>
        <v>60611</v>
      </c>
      <c r="F47" s="22">
        <f t="shared" si="3"/>
        <v>0.32673688977057097</v>
      </c>
    </row>
    <row r="48" spans="1:6" x14ac:dyDescent="0.2">
      <c r="A48" s="20">
        <v>13</v>
      </c>
      <c r="B48" s="184" t="s">
        <v>12</v>
      </c>
      <c r="C48" s="185"/>
      <c r="D48" s="15">
        <f>IF(F3="1",SUMIF(Data!A:A,'7'!$A$2,Data!DG:DG),0)</f>
        <v>10572</v>
      </c>
      <c r="E48" s="18">
        <f>IF(F3="1",SUMIF(Data!$A:$A,'7'!$A$2,Data!JA:JA),0)</f>
        <v>2274</v>
      </c>
      <c r="F48" s="22">
        <f t="shared" si="3"/>
        <v>0.21509648127128264</v>
      </c>
    </row>
    <row r="49" spans="1:6" ht="14.25" customHeight="1" x14ac:dyDescent="0.2">
      <c r="A49" s="20">
        <v>14</v>
      </c>
      <c r="B49" s="184" t="s">
        <v>469</v>
      </c>
      <c r="C49" s="185"/>
      <c r="D49" s="15">
        <f>IF(F3="1",SUMIF(Data!A:A,'7'!$A$2,Data!DH:DH),0)</f>
        <v>20516</v>
      </c>
      <c r="E49" s="18">
        <f>IF(F3="1",SUMIF(Data!$A:$A,'7'!$A$2,Data!JB:JB),0)</f>
        <v>78018</v>
      </c>
      <c r="F49" s="22">
        <f t="shared" si="3"/>
        <v>3.8027880678494834</v>
      </c>
    </row>
    <row r="50" spans="1:6" x14ac:dyDescent="0.2">
      <c r="A50" s="20">
        <v>15</v>
      </c>
      <c r="B50" s="184" t="s">
        <v>13</v>
      </c>
      <c r="C50" s="185"/>
      <c r="D50" s="15">
        <f>IF(F3="1",SUMIF(Data!A:A,'7'!$A$2,Data!DI:DI),0)</f>
        <v>0</v>
      </c>
      <c r="E50" s="18">
        <f>IF(F3="1",SUMIF(Data!$A:$A,'7'!$A$2,Data!JC:JC),0)</f>
        <v>0</v>
      </c>
      <c r="F50" s="22" t="str">
        <f t="shared" si="3"/>
        <v/>
      </c>
    </row>
    <row r="51" spans="1:6" x14ac:dyDescent="0.2">
      <c r="A51" s="20">
        <v>16</v>
      </c>
      <c r="B51" s="184" t="s">
        <v>14</v>
      </c>
      <c r="C51" s="185"/>
      <c r="D51" s="15">
        <f>IF(F3="1",SUMIF(Data!A:A,'7'!$A$2,Data!DJ:DJ),0)</f>
        <v>30237</v>
      </c>
      <c r="E51" s="18">
        <f>IF(F3="1",SUMIF(Data!$A:$A,'7'!$A$2,Data!JD:JD),0)</f>
        <v>170891</v>
      </c>
      <c r="F51" s="22">
        <f t="shared" si="3"/>
        <v>5.6517180937262292</v>
      </c>
    </row>
    <row r="52" spans="1:6" x14ac:dyDescent="0.2">
      <c r="A52" s="20">
        <v>17</v>
      </c>
      <c r="B52" s="184" t="s">
        <v>15</v>
      </c>
      <c r="C52" s="185"/>
      <c r="D52" s="15">
        <f>IF(F3="1",SUMIF(Data!A:A,'7'!$A$2,Data!DK:DK),0)</f>
        <v>0</v>
      </c>
      <c r="E52" s="18">
        <f>IF(F3="1",SUMIF(Data!$A:$A,'7'!$A$2,Data!JE:JE),0)</f>
        <v>0</v>
      </c>
      <c r="F52" s="22" t="str">
        <f t="shared" si="3"/>
        <v/>
      </c>
    </row>
    <row r="53" spans="1:6" x14ac:dyDescent="0.2">
      <c r="A53" s="20">
        <v>18</v>
      </c>
      <c r="B53" s="184" t="s">
        <v>16</v>
      </c>
      <c r="C53" s="185"/>
      <c r="D53" s="15">
        <f>IF(F3="1",SUMIF(Data!A:A,'7'!$A$2,Data!DL:DL),0)</f>
        <v>20848</v>
      </c>
      <c r="E53" s="18">
        <f>IF(F3="1",SUMIF(Data!$A:$A,'7'!$A$2,Data!JF:JF),0)</f>
        <v>27819</v>
      </c>
      <c r="F53" s="22">
        <f t="shared" si="3"/>
        <v>1.3343726016884114</v>
      </c>
    </row>
    <row r="54" spans="1:6" x14ac:dyDescent="0.2">
      <c r="A54" s="20">
        <v>19</v>
      </c>
      <c r="B54" s="184" t="s">
        <v>17</v>
      </c>
      <c r="C54" s="185"/>
      <c r="D54" s="15">
        <f>IF(F3="1",SUMIF(Data!A:A,'7'!$A$2,Data!DM:DM),0)</f>
        <v>164016</v>
      </c>
      <c r="E54" s="18">
        <f>IF(F3="1",SUMIF(Data!$A:$A,'7'!$A$2,Data!JG:JG),0)</f>
        <v>29414</v>
      </c>
      <c r="F54" s="22">
        <f t="shared" si="3"/>
        <v>0.17933616232562677</v>
      </c>
    </row>
    <row r="55" spans="1:6" x14ac:dyDescent="0.2">
      <c r="A55" s="20">
        <v>20</v>
      </c>
      <c r="B55" s="184" t="s">
        <v>18</v>
      </c>
      <c r="C55" s="185"/>
      <c r="D55" s="15">
        <f>IF(F3="1",SUMIF(Data!A:A,'7'!$A$2,Data!DN:DN),0)</f>
        <v>20256</v>
      </c>
      <c r="E55" s="18">
        <f>IF(F3="1",SUMIF(Data!$A:$A,'7'!$A$2,Data!JH:JH),0)</f>
        <v>16551</v>
      </c>
      <c r="F55" s="22">
        <f t="shared" si="3"/>
        <v>0.81709123222748814</v>
      </c>
    </row>
    <row r="56" spans="1:6" ht="14.25" customHeight="1" x14ac:dyDescent="0.2">
      <c r="A56" s="20">
        <v>21</v>
      </c>
      <c r="B56" s="184" t="s">
        <v>466</v>
      </c>
      <c r="C56" s="185"/>
      <c r="D56" s="15">
        <f>IF(F3="1",SUMIF(Data!A:A,'7'!$A$2,Data!DO:DO),0)</f>
        <v>448</v>
      </c>
      <c r="E56" s="18">
        <f>IF(F3="1",SUMIF(Data!$A:$A,'7'!$A$2,Data!JI:JI),0)</f>
        <v>2512</v>
      </c>
      <c r="F56" s="22">
        <f t="shared" si="3"/>
        <v>5.6071428571428568</v>
      </c>
    </row>
    <row r="57" spans="1:6" x14ac:dyDescent="0.2">
      <c r="A57" s="20">
        <v>22</v>
      </c>
      <c r="B57" s="184" t="s">
        <v>19</v>
      </c>
      <c r="C57" s="185"/>
      <c r="D57" s="15">
        <f>IF(F3="1",SUMIF(Data!A:A,'7'!$A$2,Data!DP:DP),0)</f>
        <v>1708</v>
      </c>
      <c r="E57" s="18">
        <f>IF(F3="1",SUMIF(Data!$A:$A,'7'!$A$2,Data!JJ:JJ),0)</f>
        <v>473</v>
      </c>
      <c r="F57" s="22">
        <f t="shared" si="3"/>
        <v>0.27693208430913346</v>
      </c>
    </row>
    <row r="58" spans="1:6" x14ac:dyDescent="0.2">
      <c r="A58" s="20">
        <v>23</v>
      </c>
      <c r="B58" s="184" t="s">
        <v>20</v>
      </c>
      <c r="C58" s="185"/>
      <c r="D58" s="15">
        <f>IF(F3="1",SUMIF(Data!A:A,'7'!$A$2,Data!DQ:DQ),0)</f>
        <v>24640</v>
      </c>
      <c r="E58" s="18">
        <f>IF(F3="1",SUMIF(Data!$A:$A,'7'!$A$2,Data!JK:JK),0)</f>
        <v>10058</v>
      </c>
      <c r="F58" s="22">
        <f t="shared" si="3"/>
        <v>0.40819805194805192</v>
      </c>
    </row>
    <row r="59" spans="1:6" x14ac:dyDescent="0.2">
      <c r="A59" s="20">
        <v>24</v>
      </c>
      <c r="B59" s="184" t="s">
        <v>21</v>
      </c>
      <c r="C59" s="185"/>
      <c r="D59" s="15">
        <f>IF(F3="1",SUMIF(Data!A:A,'7'!$A$2,Data!DR:DR),0)</f>
        <v>33764</v>
      </c>
      <c r="E59" s="18">
        <f>IF(F3="1",SUMIF(Data!$A:$A,'7'!$A$2,Data!JL:JL),0)</f>
        <v>10824</v>
      </c>
      <c r="F59" s="22">
        <f t="shared" si="3"/>
        <v>0.32057813055325196</v>
      </c>
    </row>
    <row r="60" spans="1:6" x14ac:dyDescent="0.2">
      <c r="A60" s="20">
        <v>25</v>
      </c>
      <c r="B60" s="184" t="s">
        <v>22</v>
      </c>
      <c r="C60" s="185"/>
      <c r="D60" s="15">
        <f>IF(F3="1",SUMIF(Data!A:A,'7'!$A$2,Data!DS:DS),0)</f>
        <v>254352</v>
      </c>
      <c r="E60" s="18">
        <f>IF(F3="1",SUMIF(Data!$A:$A,'7'!$A$2,Data!JM:JM),0)</f>
        <v>34539</v>
      </c>
      <c r="F60" s="22">
        <f t="shared" si="3"/>
        <v>0.13579213059067749</v>
      </c>
    </row>
    <row r="61" spans="1:6" x14ac:dyDescent="0.2">
      <c r="A61" s="20">
        <v>26</v>
      </c>
      <c r="B61" s="184" t="s">
        <v>23</v>
      </c>
      <c r="C61" s="185"/>
      <c r="D61" s="15">
        <f>IF(F3="1",SUMIF(Data!A:A,'7'!$A$2,Data!DT:DT),0)</f>
        <v>55264</v>
      </c>
      <c r="E61" s="18">
        <f>IF(F3="1",SUMIF(Data!$A:$A,'7'!$A$2,Data!JN:JN),0)</f>
        <v>105500</v>
      </c>
      <c r="F61" s="22">
        <f t="shared" si="3"/>
        <v>1.9090185292414592</v>
      </c>
    </row>
    <row r="62" spans="1:6" x14ac:dyDescent="0.2">
      <c r="A62" s="20">
        <v>28</v>
      </c>
      <c r="B62" s="184" t="s">
        <v>24</v>
      </c>
      <c r="C62" s="185"/>
      <c r="D62" s="15">
        <f>IF(F3="1",SUMIF(Data!A:A,'7'!$A$2,Data!DV:DV),0)</f>
        <v>0</v>
      </c>
      <c r="E62" s="18">
        <f>IF(F3="1",SUMIF(Data!$A:$A,'7'!$A$2,Data!JP:JP),0)</f>
        <v>0</v>
      </c>
      <c r="F62" s="22" t="str">
        <f t="shared" si="3"/>
        <v/>
      </c>
    </row>
    <row r="63" spans="1:6" ht="15.75" customHeight="1" thickBot="1" x14ac:dyDescent="0.25">
      <c r="A63" s="23">
        <v>29</v>
      </c>
      <c r="B63" s="186" t="s">
        <v>25</v>
      </c>
      <c r="C63" s="187"/>
      <c r="D63" s="24">
        <f>IF(F3="1",SUMIF(Data!A:A,'7'!$A$2,Data!DW:DW),0)</f>
        <v>0</v>
      </c>
      <c r="E63" s="25">
        <f>IF(F3="1",SUMIF(Data!$A:$A,'7'!$A$2,Data!JQ:JQ),0)</f>
        <v>0</v>
      </c>
      <c r="F63" s="26" t="str">
        <f t="shared" si="3"/>
        <v/>
      </c>
    </row>
    <row r="64" spans="1:6" x14ac:dyDescent="0.2">
      <c r="B64" s="31" t="s">
        <v>35</v>
      </c>
      <c r="C64" s="31"/>
      <c r="D64" s="61">
        <f>SUM(D36:D63)</f>
        <v>1491922</v>
      </c>
      <c r="E64" s="32">
        <f>SUM(E36:E63)</f>
        <v>1282025</v>
      </c>
      <c r="F64" s="33">
        <f t="shared" si="3"/>
        <v>0.85931100955679984</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IF(F3="1",SUMIF(Data!A:A,'7'!$A$2,Data!DY:DY),0)</f>
        <v>0</v>
      </c>
      <c r="F67" s="21" t="str">
        <f>IFERROR(E67/D67,"")</f>
        <v/>
      </c>
    </row>
    <row r="68" spans="1:6" x14ac:dyDescent="0.2">
      <c r="A68" s="20">
        <v>2</v>
      </c>
      <c r="B68" s="184" t="s">
        <v>1</v>
      </c>
      <c r="C68" s="185"/>
      <c r="D68" s="15">
        <f t="shared" ref="D68:D94" si="4">D37</f>
        <v>73264</v>
      </c>
      <c r="E68" s="18">
        <f>IF(F3="1",SUMIF(Data!A:A,'7'!$A$2,Data!DZ:DZ),0)</f>
        <v>306351</v>
      </c>
      <c r="F68" s="22">
        <f t="shared" ref="F68:F95" si="5">IFERROR(E68/D68,"")</f>
        <v>4.1814670233675475</v>
      </c>
    </row>
    <row r="69" spans="1:6" ht="14.25" customHeight="1" x14ac:dyDescent="0.2">
      <c r="A69" s="20">
        <v>3</v>
      </c>
      <c r="B69" s="184" t="s">
        <v>2</v>
      </c>
      <c r="C69" s="185"/>
      <c r="D69" s="15">
        <f t="shared" si="4"/>
        <v>234720</v>
      </c>
      <c r="E69" s="18">
        <f>IF(F3="1",SUMIF(Data!A:A,'7'!$A$2,Data!EA:EA),0)</f>
        <v>890555</v>
      </c>
      <c r="F69" s="22">
        <f t="shared" si="5"/>
        <v>3.7941163940013634</v>
      </c>
    </row>
    <row r="70" spans="1:6" ht="14.25" customHeight="1" x14ac:dyDescent="0.2">
      <c r="A70" s="20">
        <v>4</v>
      </c>
      <c r="B70" s="184" t="s">
        <v>3</v>
      </c>
      <c r="C70" s="185"/>
      <c r="D70" s="15">
        <f t="shared" si="4"/>
        <v>120283</v>
      </c>
      <c r="E70" s="18">
        <f>IF(F3="1",SUMIF(Data!A:A,'7'!$A$2,Data!EB:EB),0)</f>
        <v>717991</v>
      </c>
      <c r="F70" s="22">
        <f t="shared" si="5"/>
        <v>5.9691810147734925</v>
      </c>
    </row>
    <row r="71" spans="1:6" x14ac:dyDescent="0.2">
      <c r="A71" s="20">
        <v>5</v>
      </c>
      <c r="B71" s="184" t="s">
        <v>4</v>
      </c>
      <c r="C71" s="185"/>
      <c r="D71" s="15">
        <f t="shared" si="4"/>
        <v>0</v>
      </c>
      <c r="E71" s="18">
        <f>IF(F3="1",SUMIF(Data!A:A,'7'!$A$2,Data!EC:EC),0)</f>
        <v>0</v>
      </c>
      <c r="F71" s="22" t="str">
        <f t="shared" si="5"/>
        <v/>
      </c>
    </row>
    <row r="72" spans="1:6" x14ac:dyDescent="0.2">
      <c r="A72" s="20">
        <v>6</v>
      </c>
      <c r="B72" s="184" t="s">
        <v>5</v>
      </c>
      <c r="C72" s="185"/>
      <c r="D72" s="15">
        <f t="shared" si="4"/>
        <v>0</v>
      </c>
      <c r="E72" s="18">
        <f>IF(F3="1",SUMIF(Data!A:A,'7'!$A$2,Data!ED:ED),0)</f>
        <v>0</v>
      </c>
      <c r="F72" s="22" t="str">
        <f t="shared" si="5"/>
        <v/>
      </c>
    </row>
    <row r="73" spans="1:6" x14ac:dyDescent="0.2">
      <c r="A73" s="20">
        <v>7</v>
      </c>
      <c r="B73" s="184" t="s">
        <v>6</v>
      </c>
      <c r="C73" s="185"/>
      <c r="D73" s="15">
        <f t="shared" si="4"/>
        <v>21769</v>
      </c>
      <c r="E73" s="18">
        <f>IF(F3="1",SUMIF(Data!A:A,'7'!$A$2,Data!EE:EE),0)</f>
        <v>122426</v>
      </c>
      <c r="F73" s="22">
        <f t="shared" si="5"/>
        <v>5.6238688042629423</v>
      </c>
    </row>
    <row r="74" spans="1:6" x14ac:dyDescent="0.2">
      <c r="A74" s="20">
        <v>8</v>
      </c>
      <c r="B74" s="184" t="s">
        <v>7</v>
      </c>
      <c r="C74" s="185"/>
      <c r="D74" s="15">
        <f t="shared" si="4"/>
        <v>64048</v>
      </c>
      <c r="E74" s="18">
        <f>IF(F3="1",SUMIF(Data!A:A,'7'!$A$2,Data!EF:EF),0)</f>
        <v>295747</v>
      </c>
      <c r="F74" s="22">
        <f t="shared" si="5"/>
        <v>4.6175836872345739</v>
      </c>
    </row>
    <row r="75" spans="1:6" x14ac:dyDescent="0.2">
      <c r="A75" s="20">
        <v>9</v>
      </c>
      <c r="B75" s="184" t="s">
        <v>8</v>
      </c>
      <c r="C75" s="185"/>
      <c r="D75" s="15">
        <f t="shared" si="4"/>
        <v>26257</v>
      </c>
      <c r="E75" s="18">
        <f>IF(F3="1",SUMIF(Data!A:A,'7'!$A$2,Data!EG:EG),0)</f>
        <v>63194</v>
      </c>
      <c r="F75" s="22">
        <f t="shared" si="5"/>
        <v>2.4067486765433981</v>
      </c>
    </row>
    <row r="76" spans="1:6" x14ac:dyDescent="0.2">
      <c r="A76" s="20">
        <v>10</v>
      </c>
      <c r="B76" s="184" t="s">
        <v>9</v>
      </c>
      <c r="C76" s="185"/>
      <c r="D76" s="15">
        <f t="shared" si="4"/>
        <v>0</v>
      </c>
      <c r="E76" s="18">
        <f>IF(F3="1",SUMIF(Data!A:A,'7'!$A$2,Data!EH:EH),0)</f>
        <v>0</v>
      </c>
      <c r="F76" s="22" t="str">
        <f t="shared" si="5"/>
        <v/>
      </c>
    </row>
    <row r="77" spans="1:6" x14ac:dyDescent="0.2">
      <c r="A77" s="20">
        <v>11</v>
      </c>
      <c r="B77" s="184" t="s">
        <v>10</v>
      </c>
      <c r="C77" s="185"/>
      <c r="D77" s="15">
        <f t="shared" si="4"/>
        <v>129456</v>
      </c>
      <c r="E77" s="18">
        <f>IF(F3="1",SUMIF(Data!A:A,'7'!$A$2,Data!EI:EI),0)</f>
        <v>124971</v>
      </c>
      <c r="F77" s="22">
        <f t="shared" si="5"/>
        <v>0.96535502410085283</v>
      </c>
    </row>
    <row r="78" spans="1:6" ht="14.25" customHeight="1" x14ac:dyDescent="0.2">
      <c r="A78" s="20">
        <v>12</v>
      </c>
      <c r="B78" s="184" t="s">
        <v>11</v>
      </c>
      <c r="C78" s="185"/>
      <c r="D78" s="15">
        <f t="shared" si="4"/>
        <v>185504</v>
      </c>
      <c r="E78" s="18">
        <f>IF(F3="1",SUMIF(Data!A:A,'7'!$A$2,Data!EJ:EJ),0)</f>
        <v>694437</v>
      </c>
      <c r="F78" s="22">
        <f t="shared" si="5"/>
        <v>3.7435149646368813</v>
      </c>
    </row>
    <row r="79" spans="1:6" x14ac:dyDescent="0.2">
      <c r="A79" s="20">
        <v>13</v>
      </c>
      <c r="B79" s="184" t="s">
        <v>12</v>
      </c>
      <c r="C79" s="185"/>
      <c r="D79" s="15">
        <f t="shared" si="4"/>
        <v>10572</v>
      </c>
      <c r="E79" s="18">
        <f>IF(F3="1",SUMIF(Data!A:A,'7'!$A$2,Data!EK:EK),0)</f>
        <v>43630</v>
      </c>
      <c r="F79" s="22">
        <f t="shared" si="5"/>
        <v>4.1269390843738174</v>
      </c>
    </row>
    <row r="80" spans="1:6" ht="14.25" customHeight="1" x14ac:dyDescent="0.2">
      <c r="A80" s="20">
        <v>14</v>
      </c>
      <c r="B80" s="184" t="s">
        <v>469</v>
      </c>
      <c r="C80" s="185"/>
      <c r="D80" s="15">
        <f t="shared" si="4"/>
        <v>20516</v>
      </c>
      <c r="E80" s="18">
        <f>IF(F3="1",SUMIF(Data!A:A,'7'!$A$2,Data!EL:EL),0)</f>
        <v>284062</v>
      </c>
      <c r="F80" s="22">
        <f t="shared" si="5"/>
        <v>13.845876389159681</v>
      </c>
    </row>
    <row r="81" spans="1:6" x14ac:dyDescent="0.2">
      <c r="A81" s="20">
        <v>15</v>
      </c>
      <c r="B81" s="184" t="s">
        <v>13</v>
      </c>
      <c r="C81" s="185"/>
      <c r="D81" s="15">
        <f t="shared" si="4"/>
        <v>0</v>
      </c>
      <c r="E81" s="18">
        <f>IF(F3="1",SUMIF(Data!A:A,'7'!$A$2,Data!EM:EM),0)</f>
        <v>0</v>
      </c>
      <c r="F81" s="22" t="str">
        <f t="shared" si="5"/>
        <v/>
      </c>
    </row>
    <row r="82" spans="1:6" x14ac:dyDescent="0.2">
      <c r="A82" s="20">
        <v>16</v>
      </c>
      <c r="B82" s="184" t="s">
        <v>14</v>
      </c>
      <c r="C82" s="185"/>
      <c r="D82" s="15">
        <f t="shared" si="4"/>
        <v>30237</v>
      </c>
      <c r="E82" s="18">
        <f>IF(F3="1",SUMIF(Data!A:A,'7'!$A$2,Data!EN:EN),0)</f>
        <v>226181</v>
      </c>
      <c r="F82" s="22">
        <f t="shared" si="5"/>
        <v>7.480272513807587</v>
      </c>
    </row>
    <row r="83" spans="1:6" x14ac:dyDescent="0.2">
      <c r="A83" s="20">
        <v>17</v>
      </c>
      <c r="B83" s="184" t="s">
        <v>15</v>
      </c>
      <c r="C83" s="185"/>
      <c r="D83" s="15">
        <f t="shared" si="4"/>
        <v>0</v>
      </c>
      <c r="E83" s="18">
        <f>IF(F3="1",SUMIF(Data!A:A,'7'!$A$2,Data!EO:EO),0)</f>
        <v>0</v>
      </c>
      <c r="F83" s="22" t="str">
        <f t="shared" si="5"/>
        <v/>
      </c>
    </row>
    <row r="84" spans="1:6" x14ac:dyDescent="0.2">
      <c r="A84" s="20">
        <v>18</v>
      </c>
      <c r="B84" s="184" t="s">
        <v>16</v>
      </c>
      <c r="C84" s="185"/>
      <c r="D84" s="15">
        <f t="shared" si="4"/>
        <v>20848</v>
      </c>
      <c r="E84" s="18">
        <f>IF(F3="1",SUMIF(Data!A:A,'7'!$A$2,Data!EP:EP),0)</f>
        <v>170170</v>
      </c>
      <c r="F84" s="22">
        <f t="shared" si="5"/>
        <v>8.1624136607828088</v>
      </c>
    </row>
    <row r="85" spans="1:6" x14ac:dyDescent="0.2">
      <c r="A85" s="20">
        <v>19</v>
      </c>
      <c r="B85" s="184" t="s">
        <v>17</v>
      </c>
      <c r="C85" s="185"/>
      <c r="D85" s="15">
        <f t="shared" si="4"/>
        <v>164016</v>
      </c>
      <c r="E85" s="18">
        <f>IF(F3="1",SUMIF(Data!A:A,'7'!$A$2,Data!EQ:EQ),0)</f>
        <v>567560</v>
      </c>
      <c r="F85" s="22">
        <f t="shared" si="5"/>
        <v>3.4603941078919132</v>
      </c>
    </row>
    <row r="86" spans="1:6" x14ac:dyDescent="0.2">
      <c r="A86" s="20">
        <v>20</v>
      </c>
      <c r="B86" s="184" t="s">
        <v>18</v>
      </c>
      <c r="C86" s="185"/>
      <c r="D86" s="15">
        <f t="shared" si="4"/>
        <v>20256</v>
      </c>
      <c r="E86" s="18">
        <f>IF(F3="1",SUMIF(Data!A:A,'7'!$A$2,Data!ER:ER),0)</f>
        <v>92910</v>
      </c>
      <c r="F86" s="22">
        <f t="shared" si="5"/>
        <v>4.5867890995260661</v>
      </c>
    </row>
    <row r="87" spans="1:6" ht="14.25" customHeight="1" x14ac:dyDescent="0.2">
      <c r="A87" s="20">
        <v>21</v>
      </c>
      <c r="B87" s="184" t="s">
        <v>466</v>
      </c>
      <c r="C87" s="185"/>
      <c r="D87" s="15">
        <f t="shared" si="4"/>
        <v>448</v>
      </c>
      <c r="E87" s="18">
        <f>IF(F3="1",SUMIF(Data!A:A,'7'!$A$2,Data!ES:ES),0)</f>
        <v>8843</v>
      </c>
      <c r="F87" s="22">
        <f t="shared" si="5"/>
        <v>19.738839285714285</v>
      </c>
    </row>
    <row r="88" spans="1:6" x14ac:dyDescent="0.2">
      <c r="A88" s="20">
        <v>22</v>
      </c>
      <c r="B88" s="184" t="s">
        <v>19</v>
      </c>
      <c r="C88" s="185"/>
      <c r="D88" s="15">
        <f t="shared" si="4"/>
        <v>1708</v>
      </c>
      <c r="E88" s="18">
        <f>IF(F3="1",SUMIF(Data!A:A,'7'!$A$2,Data!ET:ET),0)</f>
        <v>12095</v>
      </c>
      <c r="F88" s="22">
        <f t="shared" si="5"/>
        <v>7.0813817330210771</v>
      </c>
    </row>
    <row r="89" spans="1:6" x14ac:dyDescent="0.2">
      <c r="A89" s="20">
        <v>23</v>
      </c>
      <c r="B89" s="184" t="s">
        <v>20</v>
      </c>
      <c r="C89" s="185"/>
      <c r="D89" s="15">
        <f t="shared" si="4"/>
        <v>24640</v>
      </c>
      <c r="E89" s="18">
        <f>IF(F3="1",SUMIF(Data!A:A,'7'!$A$2,Data!EU:EU),0)</f>
        <v>141695</v>
      </c>
      <c r="F89" s="22">
        <f t="shared" si="5"/>
        <v>5.7506087662337659</v>
      </c>
    </row>
    <row r="90" spans="1:6" x14ac:dyDescent="0.2">
      <c r="A90" s="20">
        <v>24</v>
      </c>
      <c r="B90" s="184" t="s">
        <v>21</v>
      </c>
      <c r="C90" s="185"/>
      <c r="D90" s="15">
        <f t="shared" si="4"/>
        <v>33764</v>
      </c>
      <c r="E90" s="18">
        <f>IF(F3="1",SUMIF(Data!A:A,'7'!$A$2,Data!EV:EV),0)</f>
        <v>132806</v>
      </c>
      <c r="F90" s="22">
        <f t="shared" si="5"/>
        <v>3.9333609761876556</v>
      </c>
    </row>
    <row r="91" spans="1:6" x14ac:dyDescent="0.2">
      <c r="A91" s="20">
        <v>25</v>
      </c>
      <c r="B91" s="184" t="s">
        <v>22</v>
      </c>
      <c r="C91" s="185"/>
      <c r="D91" s="15">
        <f t="shared" si="4"/>
        <v>254352</v>
      </c>
      <c r="E91" s="18">
        <f>IF(F3="1",SUMIF(Data!A:A,'7'!$A$2,Data!EW:EW),0)</f>
        <v>799799</v>
      </c>
      <c r="F91" s="22">
        <f t="shared" si="5"/>
        <v>3.1444572875385295</v>
      </c>
    </row>
    <row r="92" spans="1:6" x14ac:dyDescent="0.2">
      <c r="A92" s="20">
        <v>26</v>
      </c>
      <c r="B92" s="184" t="s">
        <v>23</v>
      </c>
      <c r="C92" s="185"/>
      <c r="D92" s="15">
        <f t="shared" si="4"/>
        <v>55264</v>
      </c>
      <c r="E92" s="18">
        <f>IF(F3="1",SUMIF(Data!A:A,'7'!$A$2,Data!EX:EX),0)</f>
        <v>356549</v>
      </c>
      <c r="F92" s="22">
        <f t="shared" si="5"/>
        <v>6.4517407353792704</v>
      </c>
    </row>
    <row r="93" spans="1:6" x14ac:dyDescent="0.2">
      <c r="A93" s="20">
        <v>28</v>
      </c>
      <c r="B93" s="184" t="s">
        <v>24</v>
      </c>
      <c r="C93" s="185"/>
      <c r="D93" s="15">
        <f t="shared" si="4"/>
        <v>0</v>
      </c>
      <c r="E93" s="18">
        <f>IF(F3="1",SUMIF(Data!A:A,'7'!$A$2,Data!EZ:EZ),0)</f>
        <v>0</v>
      </c>
      <c r="F93" s="22" t="str">
        <f t="shared" si="5"/>
        <v/>
      </c>
    </row>
    <row r="94" spans="1:6" ht="15.75" customHeight="1" thickBot="1" x14ac:dyDescent="0.25">
      <c r="A94" s="23">
        <v>29</v>
      </c>
      <c r="B94" s="186" t="s">
        <v>25</v>
      </c>
      <c r="C94" s="187"/>
      <c r="D94" s="24">
        <f t="shared" si="4"/>
        <v>0</v>
      </c>
      <c r="E94" s="25">
        <f>IF(F3="1",SUMIF(Data!A:A,'7'!$A$2,Data!FA:FA),0)</f>
        <v>0</v>
      </c>
      <c r="F94" s="26" t="str">
        <f t="shared" si="5"/>
        <v/>
      </c>
    </row>
    <row r="95" spans="1:6" x14ac:dyDescent="0.2">
      <c r="B95" s="31" t="s">
        <v>35</v>
      </c>
      <c r="C95" s="31"/>
      <c r="D95" s="61">
        <f>SUM(D67:D94)</f>
        <v>1491922</v>
      </c>
      <c r="E95" s="32">
        <f>SUM(E67:E94)</f>
        <v>6051972</v>
      </c>
      <c r="F95" s="33">
        <f t="shared" si="5"/>
        <v>4.0564935700391844</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IF(F3="1",SUMIF(Data!A:A,'7'!$A$2,Data!AH:AH),0)</f>
        <v>3646021</v>
      </c>
      <c r="F98" s="21">
        <f t="shared" ref="F98:F105" si="6">IFERROR(E98/$D$95,0)</f>
        <v>2.4438415681248751</v>
      </c>
    </row>
    <row r="99" spans="2:6" x14ac:dyDescent="0.2">
      <c r="B99" s="190" t="s">
        <v>31</v>
      </c>
      <c r="C99" s="191"/>
      <c r="D99" s="37"/>
      <c r="E99" s="18">
        <f>IF(F3="1",SUMIF(Data!A:A,'7'!$A$2,Data!AI:AI),0)</f>
        <v>1766793</v>
      </c>
      <c r="F99" s="22">
        <f t="shared" si="6"/>
        <v>1.1842395245864059</v>
      </c>
    </row>
    <row r="100" spans="2:6" x14ac:dyDescent="0.2">
      <c r="B100" s="190" t="s">
        <v>32</v>
      </c>
      <c r="C100" s="191"/>
      <c r="D100" s="37"/>
      <c r="E100" s="18">
        <f>IF(F3="1",SUMIF(Data!A:A,'7'!$A$2,Data!AJ:AJ),0)</f>
        <v>1517183</v>
      </c>
      <c r="F100" s="22">
        <f t="shared" si="6"/>
        <v>1.0169318503246148</v>
      </c>
    </row>
    <row r="101" spans="2:6" x14ac:dyDescent="0.2">
      <c r="B101" s="190" t="s">
        <v>28</v>
      </c>
      <c r="C101" s="191"/>
      <c r="D101" s="37"/>
      <c r="E101" s="18">
        <f>IF(F3="1",SUMIF(Data!A:A,'7'!$A$2,Data!AK:AK),0)</f>
        <v>0</v>
      </c>
      <c r="F101" s="22">
        <f t="shared" si="6"/>
        <v>0</v>
      </c>
    </row>
    <row r="102" spans="2:6" x14ac:dyDescent="0.2">
      <c r="B102" s="190" t="s">
        <v>33</v>
      </c>
      <c r="C102" s="191"/>
      <c r="D102" s="37"/>
      <c r="E102" s="18">
        <f>IF(F3="1",SUMIF(Data!A:A,'7'!$A$2,Data!AL:AL),0)</f>
        <v>268621</v>
      </c>
      <c r="F102" s="22">
        <f t="shared" si="6"/>
        <v>0.18005029753566204</v>
      </c>
    </row>
    <row r="103" spans="2:6" x14ac:dyDescent="0.2">
      <c r="B103" s="192" t="s">
        <v>34</v>
      </c>
      <c r="C103" s="193"/>
      <c r="D103" s="37"/>
      <c r="E103" s="18">
        <f>IF(F3="1",SUMIF(Data!A:A,'7'!$A$2,Data!AM:AM),0)</f>
        <v>316443</v>
      </c>
      <c r="F103" s="22">
        <f t="shared" si="6"/>
        <v>0.21210425209897033</v>
      </c>
    </row>
    <row r="104" spans="2:6" ht="15.75" customHeight="1" thickBot="1" x14ac:dyDescent="0.25">
      <c r="B104" s="182" t="s">
        <v>29</v>
      </c>
      <c r="C104" s="183"/>
      <c r="D104" s="38"/>
      <c r="E104" s="25">
        <f>IF(F3="1",SUMIF(Data!A:A,'7'!$A$2,Data!Q:Q),0)</f>
        <v>199098</v>
      </c>
      <c r="F104" s="26">
        <f t="shared" si="6"/>
        <v>0.13345067637584271</v>
      </c>
    </row>
    <row r="105" spans="2:6" x14ac:dyDescent="0.2">
      <c r="B105" s="31" t="s">
        <v>35</v>
      </c>
      <c r="C105" s="31"/>
      <c r="D105" s="35">
        <f>D95</f>
        <v>1491922</v>
      </c>
      <c r="E105" s="32">
        <f>SUM(E98:E104)</f>
        <v>7714159</v>
      </c>
      <c r="F105" s="33">
        <f t="shared" si="6"/>
        <v>5.1706181690463708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6051972</v>
      </c>
      <c r="D109" s="16">
        <f>IF(F3="1",SUMIF(Data!$A:$A,$A$2,Data!HJ:HJ),0)</f>
        <v>0</v>
      </c>
      <c r="E109" s="16">
        <f>IF(F3="1",SUMIF(Data!$A:$A,$A$2,Data!IN:IN),0)</f>
        <v>0</v>
      </c>
      <c r="F109" s="48">
        <f>SUM(C109:E109)</f>
        <v>6051972</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268621</v>
      </c>
      <c r="F116" s="49">
        <f t="shared" si="7"/>
        <v>268621</v>
      </c>
    </row>
    <row r="117" spans="1:6" ht="15" thickBot="1" x14ac:dyDescent="0.25">
      <c r="B117" s="44" t="s">
        <v>941</v>
      </c>
      <c r="C117" s="53"/>
      <c r="D117" s="53">
        <f>IF(F3="1",SUMIF(Data!A:A,$A$2,Data!Q:Q),0)</f>
        <v>199098</v>
      </c>
      <c r="E117" s="53"/>
      <c r="F117" s="50">
        <f>SUM(C117:E117)</f>
        <v>199098</v>
      </c>
    </row>
    <row r="118" spans="1:6" x14ac:dyDescent="0.2">
      <c r="B118" s="14" t="s">
        <v>35</v>
      </c>
      <c r="C118" s="5">
        <f>SUM(C109:C116)</f>
        <v>6051972</v>
      </c>
      <c r="D118" s="5">
        <f>SUM(D109:D116)</f>
        <v>0</v>
      </c>
      <c r="E118" s="5">
        <f>SUM(E109:E116)</f>
        <v>268621</v>
      </c>
      <c r="F118" s="5">
        <f>SUM(F109:F116)</f>
        <v>6320593</v>
      </c>
    </row>
    <row r="119" spans="1:6" ht="15" thickBot="1" x14ac:dyDescent="0.25"/>
    <row r="120" spans="1:6" ht="15" thickBot="1" x14ac:dyDescent="0.25">
      <c r="B120" s="57" t="s">
        <v>942</v>
      </c>
      <c r="C120" s="55"/>
      <c r="D120" s="55"/>
      <c r="E120" s="55">
        <f>IF(F3="1",SUMIF(Data!A:A,'7'!$A$2,Data!AM:AM),0)</f>
        <v>316443</v>
      </c>
      <c r="F120" s="56">
        <f>SUM(C120:E120)</f>
        <v>316443</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420</v>
      </c>
      <c r="B2" s="60" t="str">
        <f>VLOOKUP(A2,Data!A:G,7,0)</f>
        <v>Central Texas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72866</v>
      </c>
      <c r="E5" s="16">
        <f>E36+E67+IFERROR($E$105/$D$105*D5,0)</f>
        <v>382900.84831228736</v>
      </c>
      <c r="F5" s="21">
        <f>IFERROR(E5/D5,"")</f>
        <v>5.25486301309647</v>
      </c>
    </row>
    <row r="6" spans="1:6" x14ac:dyDescent="0.2">
      <c r="A6" s="20">
        <v>2</v>
      </c>
      <c r="B6" s="184" t="s">
        <v>1</v>
      </c>
      <c r="C6" s="185"/>
      <c r="D6" s="15">
        <f t="shared" ref="D6:D32" si="0">D37</f>
        <v>94430</v>
      </c>
      <c r="E6" s="18">
        <f t="shared" ref="E6:E32" si="1">E37+E68+IFERROR($E$105/$D$105*D6,0)</f>
        <v>1293854.9625906362</v>
      </c>
      <c r="F6" s="22">
        <f t="shared" ref="F6:F33" si="2">IFERROR(E6/D6,"")</f>
        <v>13.701736340046979</v>
      </c>
    </row>
    <row r="7" spans="1:6" ht="14.25" customHeight="1" x14ac:dyDescent="0.2">
      <c r="A7" s="20">
        <v>3</v>
      </c>
      <c r="B7" s="184" t="s">
        <v>2</v>
      </c>
      <c r="C7" s="185"/>
      <c r="D7" s="15">
        <f t="shared" si="0"/>
        <v>284464</v>
      </c>
      <c r="E7" s="18">
        <f t="shared" si="1"/>
        <v>2136947.3834203403</v>
      </c>
      <c r="F7" s="22">
        <f t="shared" si="2"/>
        <v>7.512189181830883</v>
      </c>
    </row>
    <row r="8" spans="1:6" ht="14.25" customHeight="1" x14ac:dyDescent="0.2">
      <c r="A8" s="20">
        <v>4</v>
      </c>
      <c r="B8" s="184" t="s">
        <v>3</v>
      </c>
      <c r="C8" s="185"/>
      <c r="D8" s="15">
        <f t="shared" si="0"/>
        <v>742128</v>
      </c>
      <c r="E8" s="18">
        <f t="shared" si="1"/>
        <v>5270946.2100335024</v>
      </c>
      <c r="F8" s="22">
        <f t="shared" si="2"/>
        <v>7.1024758667419938</v>
      </c>
    </row>
    <row r="9" spans="1:6" x14ac:dyDescent="0.2">
      <c r="A9" s="20">
        <v>5</v>
      </c>
      <c r="B9" s="184" t="s">
        <v>4</v>
      </c>
      <c r="C9" s="185"/>
      <c r="D9" s="15">
        <f t="shared" si="0"/>
        <v>18320</v>
      </c>
      <c r="E9" s="18">
        <f t="shared" si="1"/>
        <v>1045728.9457233978</v>
      </c>
      <c r="F9" s="22">
        <f t="shared" si="2"/>
        <v>57.08127432987979</v>
      </c>
    </row>
    <row r="10" spans="1:6" x14ac:dyDescent="0.2">
      <c r="A10" s="20">
        <v>6</v>
      </c>
      <c r="B10" s="184" t="s">
        <v>5</v>
      </c>
      <c r="C10" s="185"/>
      <c r="D10" s="15">
        <f t="shared" si="0"/>
        <v>39568</v>
      </c>
      <c r="E10" s="18">
        <f t="shared" si="1"/>
        <v>291820.86355804605</v>
      </c>
      <c r="F10" s="22">
        <f t="shared" si="2"/>
        <v>7.3751734623444714</v>
      </c>
    </row>
    <row r="11" spans="1:6" x14ac:dyDescent="0.2">
      <c r="A11" s="20">
        <v>7</v>
      </c>
      <c r="B11" s="184" t="s">
        <v>6</v>
      </c>
      <c r="C11" s="185"/>
      <c r="D11" s="15">
        <f t="shared" si="0"/>
        <v>455316</v>
      </c>
      <c r="E11" s="18">
        <f t="shared" si="1"/>
        <v>8160855.8353162985</v>
      </c>
      <c r="F11" s="22">
        <f t="shared" si="2"/>
        <v>17.923498922322736</v>
      </c>
    </row>
    <row r="12" spans="1:6" x14ac:dyDescent="0.2">
      <c r="A12" s="20">
        <v>8</v>
      </c>
      <c r="B12" s="184" t="s">
        <v>7</v>
      </c>
      <c r="C12" s="185"/>
      <c r="D12" s="15">
        <f t="shared" si="0"/>
        <v>17256</v>
      </c>
      <c r="E12" s="18">
        <f t="shared" si="1"/>
        <v>157917.36022941882</v>
      </c>
      <c r="F12" s="22">
        <f t="shared" si="2"/>
        <v>9.1514464667025273</v>
      </c>
    </row>
    <row r="13" spans="1:6" x14ac:dyDescent="0.2">
      <c r="A13" s="20">
        <v>9</v>
      </c>
      <c r="B13" s="184" t="s">
        <v>8</v>
      </c>
      <c r="C13" s="185"/>
      <c r="D13" s="15">
        <f t="shared" si="0"/>
        <v>316356</v>
      </c>
      <c r="E13" s="18">
        <f t="shared" si="1"/>
        <v>1826520.8802003949</v>
      </c>
      <c r="F13" s="22">
        <f t="shared" si="2"/>
        <v>5.7736249042230741</v>
      </c>
    </row>
    <row r="14" spans="1:6" x14ac:dyDescent="0.2">
      <c r="A14" s="20">
        <v>10</v>
      </c>
      <c r="B14" s="184" t="s">
        <v>9</v>
      </c>
      <c r="C14" s="185"/>
      <c r="D14" s="15">
        <f t="shared" si="0"/>
        <v>256</v>
      </c>
      <c r="E14" s="18">
        <f t="shared" si="1"/>
        <v>40478.336359453591</v>
      </c>
      <c r="F14" s="22">
        <f t="shared" si="2"/>
        <v>158.11850140411559</v>
      </c>
    </row>
    <row r="15" spans="1:6" x14ac:dyDescent="0.2">
      <c r="A15" s="20">
        <v>11</v>
      </c>
      <c r="B15" s="184" t="s">
        <v>10</v>
      </c>
      <c r="C15" s="185"/>
      <c r="D15" s="15">
        <f t="shared" si="0"/>
        <v>118120</v>
      </c>
      <c r="E15" s="18">
        <f t="shared" si="1"/>
        <v>581664.8858541348</v>
      </c>
      <c r="F15" s="22">
        <f t="shared" si="2"/>
        <v>4.9243556201670744</v>
      </c>
    </row>
    <row r="16" spans="1:6" ht="14.25" customHeight="1" x14ac:dyDescent="0.2">
      <c r="A16" s="20">
        <v>12</v>
      </c>
      <c r="B16" s="184" t="s">
        <v>11</v>
      </c>
      <c r="C16" s="185"/>
      <c r="D16" s="15">
        <f t="shared" si="0"/>
        <v>785272</v>
      </c>
      <c r="E16" s="18">
        <f t="shared" si="1"/>
        <v>5651089.3346126657</v>
      </c>
      <c r="F16" s="22">
        <f t="shared" si="2"/>
        <v>7.1963464055927959</v>
      </c>
    </row>
    <row r="17" spans="1:6" x14ac:dyDescent="0.2">
      <c r="A17" s="20">
        <v>13</v>
      </c>
      <c r="B17" s="184" t="s">
        <v>12</v>
      </c>
      <c r="C17" s="185"/>
      <c r="D17" s="15">
        <f t="shared" si="0"/>
        <v>67056</v>
      </c>
      <c r="E17" s="18">
        <f t="shared" si="1"/>
        <v>497180.23015437572</v>
      </c>
      <c r="F17" s="22">
        <f t="shared" si="2"/>
        <v>7.4144033368285571</v>
      </c>
    </row>
    <row r="18" spans="1:6" ht="14.25" customHeight="1" x14ac:dyDescent="0.2">
      <c r="A18" s="20">
        <v>14</v>
      </c>
      <c r="B18" s="184" t="s">
        <v>469</v>
      </c>
      <c r="C18" s="185"/>
      <c r="D18" s="15">
        <f t="shared" si="0"/>
        <v>172904</v>
      </c>
      <c r="E18" s="18">
        <f t="shared" si="1"/>
        <v>2362666.866777204</v>
      </c>
      <c r="F18" s="22">
        <f t="shared" si="2"/>
        <v>13.664616589420742</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136854</v>
      </c>
      <c r="E20" s="18">
        <f t="shared" si="1"/>
        <v>1478222.7661588364</v>
      </c>
      <c r="F20" s="22">
        <f t="shared" si="2"/>
        <v>10.801458241328982</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112224</v>
      </c>
      <c r="E22" s="18">
        <f t="shared" si="1"/>
        <v>1049463.7015754692</v>
      </c>
      <c r="F22" s="22">
        <f t="shared" si="2"/>
        <v>9.3515086040015429</v>
      </c>
    </row>
    <row r="23" spans="1:6" x14ac:dyDescent="0.2">
      <c r="A23" s="20">
        <v>19</v>
      </c>
      <c r="B23" s="184" t="s">
        <v>17</v>
      </c>
      <c r="C23" s="185"/>
      <c r="D23" s="15">
        <f t="shared" si="0"/>
        <v>531237</v>
      </c>
      <c r="E23" s="18">
        <f t="shared" si="1"/>
        <v>3479284.6429181593</v>
      </c>
      <c r="F23" s="22">
        <f t="shared" si="2"/>
        <v>6.5494019485053929</v>
      </c>
    </row>
    <row r="24" spans="1:6" x14ac:dyDescent="0.2">
      <c r="A24" s="20">
        <v>20</v>
      </c>
      <c r="B24" s="184" t="s">
        <v>18</v>
      </c>
      <c r="C24" s="185"/>
      <c r="D24" s="15">
        <f t="shared" si="0"/>
        <v>43504</v>
      </c>
      <c r="E24" s="18">
        <f t="shared" si="1"/>
        <v>384578.28508464509</v>
      </c>
      <c r="F24" s="22">
        <f t="shared" si="2"/>
        <v>8.8400672371424491</v>
      </c>
    </row>
    <row r="25" spans="1:6" ht="14.25" customHeight="1" x14ac:dyDescent="0.2">
      <c r="A25" s="20">
        <v>21</v>
      </c>
      <c r="B25" s="184" t="s">
        <v>466</v>
      </c>
      <c r="C25" s="185"/>
      <c r="D25" s="15">
        <f t="shared" si="0"/>
        <v>46254</v>
      </c>
      <c r="E25" s="18">
        <f t="shared" si="1"/>
        <v>325579.03894596302</v>
      </c>
      <c r="F25" s="22">
        <f t="shared" si="2"/>
        <v>7.0389380150033087</v>
      </c>
    </row>
    <row r="26" spans="1:6" x14ac:dyDescent="0.2">
      <c r="A26" s="20">
        <v>22</v>
      </c>
      <c r="B26" s="184" t="s">
        <v>19</v>
      </c>
      <c r="C26" s="185"/>
      <c r="D26" s="15">
        <f t="shared" si="0"/>
        <v>6608</v>
      </c>
      <c r="E26" s="18">
        <f t="shared" si="1"/>
        <v>186512.05727839589</v>
      </c>
      <c r="F26" s="22">
        <f t="shared" si="2"/>
        <v>28.225190266101073</v>
      </c>
    </row>
    <row r="27" spans="1:6" x14ac:dyDescent="0.2">
      <c r="A27" s="20">
        <v>23</v>
      </c>
      <c r="B27" s="184" t="s">
        <v>20</v>
      </c>
      <c r="C27" s="185"/>
      <c r="D27" s="15">
        <f t="shared" si="0"/>
        <v>142808</v>
      </c>
      <c r="E27" s="18">
        <f t="shared" si="1"/>
        <v>1230514.4485189407</v>
      </c>
      <c r="F27" s="22">
        <f t="shared" si="2"/>
        <v>8.6165652380744824</v>
      </c>
    </row>
    <row r="28" spans="1:6" x14ac:dyDescent="0.2">
      <c r="A28" s="20">
        <v>24</v>
      </c>
      <c r="B28" s="184" t="s">
        <v>21</v>
      </c>
      <c r="C28" s="185"/>
      <c r="D28" s="15">
        <f t="shared" si="0"/>
        <v>170068</v>
      </c>
      <c r="E28" s="18">
        <f t="shared" si="1"/>
        <v>1538266.5467951321</v>
      </c>
      <c r="F28" s="22">
        <f t="shared" si="2"/>
        <v>9.0450087423567762</v>
      </c>
    </row>
    <row r="29" spans="1:6" x14ac:dyDescent="0.2">
      <c r="A29" s="20">
        <v>25</v>
      </c>
      <c r="B29" s="184" t="s">
        <v>22</v>
      </c>
      <c r="C29" s="185"/>
      <c r="D29" s="15">
        <f t="shared" si="0"/>
        <v>1155264</v>
      </c>
      <c r="E29" s="18">
        <f t="shared" si="1"/>
        <v>6936407.4061242053</v>
      </c>
      <c r="F29" s="22">
        <f t="shared" si="2"/>
        <v>6.0041751548773314</v>
      </c>
    </row>
    <row r="30" spans="1:6" x14ac:dyDescent="0.2">
      <c r="A30" s="20">
        <v>26</v>
      </c>
      <c r="B30" s="184" t="s">
        <v>23</v>
      </c>
      <c r="C30" s="185"/>
      <c r="D30" s="15">
        <f t="shared" si="0"/>
        <v>184784</v>
      </c>
      <c r="E30" s="18">
        <f t="shared" si="1"/>
        <v>1286655.1634580973</v>
      </c>
      <c r="F30" s="22">
        <f t="shared" si="2"/>
        <v>6.9630225747797283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5713917</v>
      </c>
      <c r="E33" s="32">
        <f>SUM(E5:E32)</f>
        <v>47596056.999999993</v>
      </c>
      <c r="F33" s="33">
        <f t="shared" si="2"/>
        <v>8.3298474584072526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IF(F3="1",SUMIF(Data!A:A,'8'!$A$2,Data!CU:CU),0)</f>
        <v>72866</v>
      </c>
      <c r="E36" s="16">
        <f>IF(F3="1",SUMIF(Data!$A:$A,'8'!$A$2,Data!IO:IO),0)</f>
        <v>57965</v>
      </c>
      <c r="F36" s="21">
        <f t="shared" ref="F36:F64" si="3">IFERROR(E36/D36,"")</f>
        <v>0.79550133121071553</v>
      </c>
    </row>
    <row r="37" spans="1:6" x14ac:dyDescent="0.2">
      <c r="A37" s="20">
        <v>2</v>
      </c>
      <c r="B37" s="184" t="s">
        <v>1</v>
      </c>
      <c r="C37" s="185"/>
      <c r="D37" s="15">
        <f>IF(F3="1",SUMIF(Data!A:A,'8'!$A$2,Data!CV:CV),0)</f>
        <v>94430</v>
      </c>
      <c r="E37" s="18">
        <f>IF(F3="1",SUMIF(Data!$A:$A,'8'!$A$2,Data!IP:IP),0)</f>
        <v>571078</v>
      </c>
      <c r="F37" s="22">
        <f t="shared" si="3"/>
        <v>6.0476331674256061</v>
      </c>
    </row>
    <row r="38" spans="1:6" ht="14.25" customHeight="1" x14ac:dyDescent="0.2">
      <c r="A38" s="20">
        <v>3</v>
      </c>
      <c r="B38" s="184" t="s">
        <v>2</v>
      </c>
      <c r="C38" s="185"/>
      <c r="D38" s="15">
        <f>IF(F3="1",SUMIF(Data!A:A,'8'!$A$2,Data!CW:CW),0)</f>
        <v>284464</v>
      </c>
      <c r="E38" s="18">
        <f>IF(F3="1",SUMIF(Data!$A:$A,'8'!$A$2,Data!IQ:IQ),0)</f>
        <v>278300</v>
      </c>
      <c r="F38" s="22">
        <f t="shared" si="3"/>
        <v>0.97833117723156537</v>
      </c>
    </row>
    <row r="39" spans="1:6" ht="14.25" customHeight="1" x14ac:dyDescent="0.2">
      <c r="A39" s="20">
        <v>4</v>
      </c>
      <c r="B39" s="184" t="s">
        <v>3</v>
      </c>
      <c r="C39" s="185"/>
      <c r="D39" s="15">
        <f>IF(F3="1",SUMIF(Data!A:A,'8'!$A$2,Data!CX:CX),0)</f>
        <v>742128</v>
      </c>
      <c r="E39" s="18">
        <f>IF(F3="1",SUMIF(Data!$A:$A,'8'!$A$2,Data!IR:IR),0)</f>
        <v>751479</v>
      </c>
      <c r="F39" s="22">
        <f t="shared" si="3"/>
        <v>1.0126002522475908</v>
      </c>
    </row>
    <row r="40" spans="1:6" x14ac:dyDescent="0.2">
      <c r="A40" s="20">
        <v>5</v>
      </c>
      <c r="B40" s="184" t="s">
        <v>4</v>
      </c>
      <c r="C40" s="185"/>
      <c r="D40" s="15">
        <f>IF(F3="1",SUMIF(Data!A:A,'8'!$A$2,Data!CY:CY),0)</f>
        <v>18320</v>
      </c>
      <c r="E40" s="18">
        <f>IF(F3="1",SUMIF(Data!$A:$A,'8'!$A$2,Data!IS:IS),0)</f>
        <v>775878</v>
      </c>
      <c r="F40" s="22">
        <f t="shared" si="3"/>
        <v>42.351419213973799</v>
      </c>
    </row>
    <row r="41" spans="1:6" x14ac:dyDescent="0.2">
      <c r="A41" s="20">
        <v>6</v>
      </c>
      <c r="B41" s="184" t="s">
        <v>5</v>
      </c>
      <c r="C41" s="185"/>
      <c r="D41" s="15">
        <f>IF(F3="1",SUMIF(Data!A:A,'8'!$A$2,Data!CZ:CZ),0)</f>
        <v>39568</v>
      </c>
      <c r="E41" s="18">
        <f>IF(F3="1",SUMIF(Data!$A:$A,'8'!$A$2,Data!IT:IT),0)</f>
        <v>20627</v>
      </c>
      <c r="F41" s="22">
        <f t="shared" si="3"/>
        <v>0.52130509502628386</v>
      </c>
    </row>
    <row r="42" spans="1:6" x14ac:dyDescent="0.2">
      <c r="A42" s="20">
        <v>7</v>
      </c>
      <c r="B42" s="184" t="s">
        <v>6</v>
      </c>
      <c r="C42" s="185"/>
      <c r="D42" s="15">
        <f>IF(F3="1",SUMIF(Data!A:A,'8'!$A$2,Data!DA:DA),0)</f>
        <v>455316</v>
      </c>
      <c r="E42" s="18">
        <f>IF(F3="1",SUMIF(Data!$A:$A,'8'!$A$2,Data!IU:IU),0)</f>
        <v>5072161</v>
      </c>
      <c r="F42" s="22">
        <f t="shared" si="3"/>
        <v>11.139869892558135</v>
      </c>
    </row>
    <row r="43" spans="1:6" x14ac:dyDescent="0.2">
      <c r="A43" s="20">
        <v>8</v>
      </c>
      <c r="B43" s="184" t="s">
        <v>7</v>
      </c>
      <c r="C43" s="185"/>
      <c r="D43" s="15">
        <f>IF(F3="1",SUMIF(Data!A:A,'8'!$A$2,Data!DB:DB),0)</f>
        <v>17256</v>
      </c>
      <c r="E43" s="18">
        <f>IF(F3="1",SUMIF(Data!$A:$A,'8'!$A$2,Data!IV:IV),0)</f>
        <v>39732</v>
      </c>
      <c r="F43" s="22">
        <f t="shared" si="3"/>
        <v>2.3025034770514603</v>
      </c>
    </row>
    <row r="44" spans="1:6" x14ac:dyDescent="0.2">
      <c r="A44" s="20">
        <v>9</v>
      </c>
      <c r="B44" s="184" t="s">
        <v>8</v>
      </c>
      <c r="C44" s="185"/>
      <c r="D44" s="15">
        <f>IF(F3="1",SUMIF(Data!A:A,'8'!$A$2,Data!DC:DC),0)</f>
        <v>316356</v>
      </c>
      <c r="E44" s="18">
        <f>IF(F3="1",SUMIF(Data!$A:$A,'8'!$A$2,Data!IW:IW),0)</f>
        <v>505383</v>
      </c>
      <c r="F44" s="22">
        <f t="shared" si="3"/>
        <v>1.5975135606721542</v>
      </c>
    </row>
    <row r="45" spans="1:6" x14ac:dyDescent="0.2">
      <c r="A45" s="20">
        <v>10</v>
      </c>
      <c r="B45" s="184" t="s">
        <v>9</v>
      </c>
      <c r="C45" s="185"/>
      <c r="D45" s="15">
        <f>IF(F3="1",SUMIF(Data!A:A,'8'!$A$2,Data!DD:DD),0)</f>
        <v>256</v>
      </c>
      <c r="E45" s="18">
        <f>IF(F3="1",SUMIF(Data!$A:$A,'8'!$A$2,Data!IX:IX),0)</f>
        <v>4575</v>
      </c>
      <c r="F45" s="22">
        <f t="shared" si="3"/>
        <v>17.87109375</v>
      </c>
    </row>
    <row r="46" spans="1:6" x14ac:dyDescent="0.2">
      <c r="A46" s="20">
        <v>11</v>
      </c>
      <c r="B46" s="184" t="s">
        <v>10</v>
      </c>
      <c r="C46" s="185"/>
      <c r="D46" s="15">
        <f>IF(F3="1",SUMIF(Data!A:A,'8'!$A$2,Data!DE:DE),0)</f>
        <v>118120</v>
      </c>
      <c r="E46" s="18">
        <f>IF(F3="1",SUMIF(Data!$A:$A,'8'!$A$2,Data!IY:IY),0)</f>
        <v>169358</v>
      </c>
      <c r="F46" s="22">
        <f t="shared" si="3"/>
        <v>1.4337792075855063</v>
      </c>
    </row>
    <row r="47" spans="1:6" ht="14.25" customHeight="1" x14ac:dyDescent="0.2">
      <c r="A47" s="20">
        <v>12</v>
      </c>
      <c r="B47" s="184" t="s">
        <v>11</v>
      </c>
      <c r="C47" s="185"/>
      <c r="D47" s="15">
        <f>IF(F3="1",SUMIF(Data!A:A,'8'!$A$2,Data!DF:DF),0)</f>
        <v>785272</v>
      </c>
      <c r="E47" s="18">
        <f>IF(F3="1",SUMIF(Data!$A:$A,'8'!$A$2,Data!IZ:IZ),0)</f>
        <v>391906</v>
      </c>
      <c r="F47" s="22">
        <f t="shared" si="3"/>
        <v>0.49907038580262636</v>
      </c>
    </row>
    <row r="48" spans="1:6" x14ac:dyDescent="0.2">
      <c r="A48" s="20">
        <v>13</v>
      </c>
      <c r="B48" s="184" t="s">
        <v>12</v>
      </c>
      <c r="C48" s="185"/>
      <c r="D48" s="15">
        <f>IF(F3="1",SUMIF(Data!A:A,'8'!$A$2,Data!DG:DG),0)</f>
        <v>67056</v>
      </c>
      <c r="E48" s="18">
        <f>IF(F3="1",SUMIF(Data!$A:$A,'8'!$A$2,Data!JA:JA),0)</f>
        <v>27164</v>
      </c>
      <c r="F48" s="22">
        <f t="shared" si="3"/>
        <v>0.40509424958243856</v>
      </c>
    </row>
    <row r="49" spans="1:6" ht="14.25" customHeight="1" x14ac:dyDescent="0.2">
      <c r="A49" s="20">
        <v>14</v>
      </c>
      <c r="B49" s="184" t="s">
        <v>469</v>
      </c>
      <c r="C49" s="185"/>
      <c r="D49" s="15">
        <f>IF(F3="1",SUMIF(Data!A:A,'8'!$A$2,Data!DH:DH),0)</f>
        <v>172904</v>
      </c>
      <c r="E49" s="18">
        <f>IF(F3="1",SUMIF(Data!$A:$A,'8'!$A$2,Data!JB:JB),0)</f>
        <v>391774</v>
      </c>
      <c r="F49" s="22">
        <f t="shared" si="3"/>
        <v>2.2658469439689077</v>
      </c>
    </row>
    <row r="50" spans="1:6" x14ac:dyDescent="0.2">
      <c r="A50" s="20">
        <v>15</v>
      </c>
      <c r="B50" s="184" t="s">
        <v>13</v>
      </c>
      <c r="C50" s="185"/>
      <c r="D50" s="15">
        <f>IF(F3="1",SUMIF(Data!A:A,'8'!$A$2,Data!DI:DI),0)</f>
        <v>0</v>
      </c>
      <c r="E50" s="18">
        <f>IF(F3="1",SUMIF(Data!$A:$A,'8'!$A$2,Data!JC:JC),0)</f>
        <v>0</v>
      </c>
      <c r="F50" s="22" t="str">
        <f t="shared" si="3"/>
        <v/>
      </c>
    </row>
    <row r="51" spans="1:6" x14ac:dyDescent="0.2">
      <c r="A51" s="20">
        <v>16</v>
      </c>
      <c r="B51" s="184" t="s">
        <v>14</v>
      </c>
      <c r="C51" s="185"/>
      <c r="D51" s="15">
        <f>IF(F3="1",SUMIF(Data!A:A,'8'!$A$2,Data!DJ:DJ),0)</f>
        <v>136854</v>
      </c>
      <c r="E51" s="18">
        <f>IF(F3="1",SUMIF(Data!$A:$A,'8'!$A$2,Data!JD:JD),0)</f>
        <v>429115</v>
      </c>
      <c r="F51" s="22">
        <f t="shared" si="3"/>
        <v>3.1355678314115774</v>
      </c>
    </row>
    <row r="52" spans="1:6" x14ac:dyDescent="0.2">
      <c r="A52" s="20">
        <v>17</v>
      </c>
      <c r="B52" s="184" t="s">
        <v>15</v>
      </c>
      <c r="C52" s="185"/>
      <c r="D52" s="15">
        <f>IF(F3="1",SUMIF(Data!A:A,'8'!$A$2,Data!DK:DK),0)</f>
        <v>0</v>
      </c>
      <c r="E52" s="18">
        <f>IF(F3="1",SUMIF(Data!$A:$A,'8'!$A$2,Data!JE:JE),0)</f>
        <v>0</v>
      </c>
      <c r="F52" s="22" t="str">
        <f t="shared" si="3"/>
        <v/>
      </c>
    </row>
    <row r="53" spans="1:6" x14ac:dyDescent="0.2">
      <c r="A53" s="20">
        <v>18</v>
      </c>
      <c r="B53" s="184" t="s">
        <v>16</v>
      </c>
      <c r="C53" s="185"/>
      <c r="D53" s="15">
        <f>IF(F3="1",SUMIF(Data!A:A,'8'!$A$2,Data!DL:DL),0)</f>
        <v>112224</v>
      </c>
      <c r="E53" s="18">
        <f>IF(F3="1",SUMIF(Data!$A:$A,'8'!$A$2,Data!JF:JF),0)</f>
        <v>160664</v>
      </c>
      <c r="F53" s="22">
        <f t="shared" si="3"/>
        <v>1.4316367265469061</v>
      </c>
    </row>
    <row r="54" spans="1:6" x14ac:dyDescent="0.2">
      <c r="A54" s="20">
        <v>19</v>
      </c>
      <c r="B54" s="184" t="s">
        <v>17</v>
      </c>
      <c r="C54" s="185"/>
      <c r="D54" s="15">
        <f>IF(F3="1",SUMIF(Data!A:A,'8'!$A$2,Data!DM:DM),0)</f>
        <v>531237</v>
      </c>
      <c r="E54" s="18">
        <f>IF(F3="1",SUMIF(Data!$A:$A,'8'!$A$2,Data!JG:JG),0)</f>
        <v>310050</v>
      </c>
      <c r="F54" s="22">
        <f t="shared" si="3"/>
        <v>0.5836378113723254</v>
      </c>
    </row>
    <row r="55" spans="1:6" x14ac:dyDescent="0.2">
      <c r="A55" s="20">
        <v>20</v>
      </c>
      <c r="B55" s="184" t="s">
        <v>18</v>
      </c>
      <c r="C55" s="185"/>
      <c r="D55" s="15">
        <f>IF(F3="1",SUMIF(Data!A:A,'8'!$A$2,Data!DN:DN),0)</f>
        <v>43504</v>
      </c>
      <c r="E55" s="18">
        <f>IF(F3="1",SUMIF(Data!$A:$A,'8'!$A$2,Data!JH:JH),0)</f>
        <v>141166</v>
      </c>
      <c r="F55" s="22">
        <f t="shared" si="3"/>
        <v>3.2448970209635895</v>
      </c>
    </row>
    <row r="56" spans="1:6" ht="14.25" customHeight="1" x14ac:dyDescent="0.2">
      <c r="A56" s="20">
        <v>21</v>
      </c>
      <c r="B56" s="184" t="s">
        <v>466</v>
      </c>
      <c r="C56" s="185"/>
      <c r="D56" s="15">
        <f>IF(F3="1",SUMIF(Data!A:A,'8'!$A$2,Data!DO:DO),0)</f>
        <v>46254</v>
      </c>
      <c r="E56" s="18">
        <f>IF(F3="1",SUMIF(Data!$A:$A,'8'!$A$2,Data!JI:JI),0)</f>
        <v>68308</v>
      </c>
      <c r="F56" s="22">
        <f t="shared" si="3"/>
        <v>1.4768020063129674</v>
      </c>
    </row>
    <row r="57" spans="1:6" x14ac:dyDescent="0.2">
      <c r="A57" s="20">
        <v>22</v>
      </c>
      <c r="B57" s="184" t="s">
        <v>19</v>
      </c>
      <c r="C57" s="185"/>
      <c r="D57" s="15">
        <f>IF(F3="1",SUMIF(Data!A:A,'8'!$A$2,Data!DP:DP),0)</f>
        <v>6608</v>
      </c>
      <c r="E57" s="18">
        <f>IF(F3="1",SUMIF(Data!$A:$A,'8'!$A$2,Data!JJ:JJ),0)</f>
        <v>67150</v>
      </c>
      <c r="F57" s="22">
        <f t="shared" si="3"/>
        <v>10.161924939467312</v>
      </c>
    </row>
    <row r="58" spans="1:6" x14ac:dyDescent="0.2">
      <c r="A58" s="20">
        <v>23</v>
      </c>
      <c r="B58" s="184" t="s">
        <v>20</v>
      </c>
      <c r="C58" s="185"/>
      <c r="D58" s="15">
        <f>IF(F3="1",SUMIF(Data!A:A,'8'!$A$2,Data!DQ:DQ),0)</f>
        <v>142808</v>
      </c>
      <c r="E58" s="18">
        <f>IF(F3="1",SUMIF(Data!$A:$A,'8'!$A$2,Data!JK:JK),0)</f>
        <v>296575</v>
      </c>
      <c r="F58" s="22">
        <f t="shared" si="3"/>
        <v>2.0767393983530336</v>
      </c>
    </row>
    <row r="59" spans="1:6" x14ac:dyDescent="0.2">
      <c r="A59" s="20">
        <v>24</v>
      </c>
      <c r="B59" s="184" t="s">
        <v>21</v>
      </c>
      <c r="C59" s="185"/>
      <c r="D59" s="15">
        <f>IF(F3="1",SUMIF(Data!A:A,'8'!$A$2,Data!DR:DR),0)</f>
        <v>170068</v>
      </c>
      <c r="E59" s="18">
        <f>IF(F3="1",SUMIF(Data!$A:$A,'8'!$A$2,Data!JL:JL),0)</f>
        <v>225573</v>
      </c>
      <c r="F59" s="22">
        <f t="shared" si="3"/>
        <v>1.3263694522191123</v>
      </c>
    </row>
    <row r="60" spans="1:6" x14ac:dyDescent="0.2">
      <c r="A60" s="20">
        <v>25</v>
      </c>
      <c r="B60" s="184" t="s">
        <v>22</v>
      </c>
      <c r="C60" s="185"/>
      <c r="D60" s="15">
        <f>IF(F3="1",SUMIF(Data!A:A,'8'!$A$2,Data!DS:DS),0)</f>
        <v>1155264</v>
      </c>
      <c r="E60" s="18">
        <f>IF(F3="1",SUMIF(Data!$A:$A,'8'!$A$2,Data!JM:JM),0)</f>
        <v>341644</v>
      </c>
      <c r="F60" s="22">
        <f t="shared" si="3"/>
        <v>0.2957280760068694</v>
      </c>
    </row>
    <row r="61" spans="1:6" x14ac:dyDescent="0.2">
      <c r="A61" s="20">
        <v>26</v>
      </c>
      <c r="B61" s="184" t="s">
        <v>23</v>
      </c>
      <c r="C61" s="185"/>
      <c r="D61" s="15">
        <f>IF(F3="1",SUMIF(Data!A:A,'8'!$A$2,Data!DT:DT),0)</f>
        <v>184784</v>
      </c>
      <c r="E61" s="18">
        <f>IF(F3="1",SUMIF(Data!$A:$A,'8'!$A$2,Data!JN:JN),0)</f>
        <v>129273</v>
      </c>
      <c r="F61" s="22">
        <f t="shared" si="3"/>
        <v>0.69958979132392418</v>
      </c>
    </row>
    <row r="62" spans="1:6" x14ac:dyDescent="0.2">
      <c r="A62" s="20">
        <v>28</v>
      </c>
      <c r="B62" s="184" t="s">
        <v>24</v>
      </c>
      <c r="C62" s="185"/>
      <c r="D62" s="15">
        <f>IF(F3="1",SUMIF(Data!A:A,'8'!$A$2,Data!DV:DV),0)</f>
        <v>0</v>
      </c>
      <c r="E62" s="18">
        <f>IF(F3="1",SUMIF(Data!$A:$A,'8'!$A$2,Data!JP:JP),0)</f>
        <v>0</v>
      </c>
      <c r="F62" s="22" t="str">
        <f t="shared" si="3"/>
        <v/>
      </c>
    </row>
    <row r="63" spans="1:6" ht="15.75" customHeight="1" thickBot="1" x14ac:dyDescent="0.25">
      <c r="A63" s="23">
        <v>29</v>
      </c>
      <c r="B63" s="186" t="s">
        <v>25</v>
      </c>
      <c r="C63" s="187"/>
      <c r="D63" s="24">
        <f>IF(F3="1",SUMIF(Data!A:A,'8'!$A$2,Data!DW:DW),0)</f>
        <v>0</v>
      </c>
      <c r="E63" s="25">
        <f>IF(F3="1",SUMIF(Data!$A:$A,'8'!$A$2,Data!JQ:JQ),0)</f>
        <v>0</v>
      </c>
      <c r="F63" s="26" t="str">
        <f t="shared" si="3"/>
        <v/>
      </c>
    </row>
    <row r="64" spans="1:6" x14ac:dyDescent="0.2">
      <c r="B64" s="31" t="s">
        <v>35</v>
      </c>
      <c r="C64" s="31"/>
      <c r="D64" s="61">
        <f>SUM(D36:D63)</f>
        <v>5713917</v>
      </c>
      <c r="E64" s="32">
        <f>SUM(E36:E63)</f>
        <v>11226898</v>
      </c>
      <c r="F64" s="33">
        <f t="shared" si="3"/>
        <v>1.9648339309093918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72866</v>
      </c>
      <c r="E67" s="16">
        <f>IF(F3="1",SUMIF(Data!A:A,'8'!$A$2,Data!DY:DY),0)</f>
        <v>93149</v>
      </c>
      <c r="F67" s="21">
        <f>IFERROR(E67/D67,"")</f>
        <v>1.2783602777701535</v>
      </c>
    </row>
    <row r="68" spans="1:6" x14ac:dyDescent="0.2">
      <c r="A68" s="20">
        <v>2</v>
      </c>
      <c r="B68" s="184" t="s">
        <v>1</v>
      </c>
      <c r="C68" s="185"/>
      <c r="D68" s="15">
        <f t="shared" ref="D68:D94" si="4">D37</f>
        <v>94430</v>
      </c>
      <c r="E68" s="18">
        <f>IF(F3="1",SUMIF(Data!A:A,'8'!$A$2,Data!DZ:DZ),0)</f>
        <v>422395</v>
      </c>
      <c r="F68" s="22">
        <f t="shared" ref="F68:F95" si="5">IFERROR(E68/D68,"")</f>
        <v>4.4731017685057717</v>
      </c>
    </row>
    <row r="69" spans="1:6" ht="14.25" customHeight="1" x14ac:dyDescent="0.2">
      <c r="A69" s="20">
        <v>3</v>
      </c>
      <c r="B69" s="184" t="s">
        <v>2</v>
      </c>
      <c r="C69" s="185"/>
      <c r="D69" s="15">
        <f t="shared" si="4"/>
        <v>284464</v>
      </c>
      <c r="E69" s="18">
        <f>IF(F3="1",SUMIF(Data!A:A,'8'!$A$2,Data!EA:EA),0)</f>
        <v>953767</v>
      </c>
      <c r="F69" s="22">
        <f t="shared" si="5"/>
        <v>3.3528566004837166</v>
      </c>
    </row>
    <row r="70" spans="1:6" ht="14.25" customHeight="1" x14ac:dyDescent="0.2">
      <c r="A70" s="20">
        <v>4</v>
      </c>
      <c r="B70" s="184" t="s">
        <v>3</v>
      </c>
      <c r="C70" s="185"/>
      <c r="D70" s="15">
        <f t="shared" si="4"/>
        <v>742128</v>
      </c>
      <c r="E70" s="18">
        <f>IF(F3="1",SUMIF(Data!A:A,'8'!$A$2,Data!EB:EB),0)</f>
        <v>2158757</v>
      </c>
      <c r="F70" s="22">
        <f t="shared" si="5"/>
        <v>2.9088742103788028</v>
      </c>
    </row>
    <row r="71" spans="1:6" x14ac:dyDescent="0.2">
      <c r="A71" s="20">
        <v>5</v>
      </c>
      <c r="B71" s="184" t="s">
        <v>4</v>
      </c>
      <c r="C71" s="185"/>
      <c r="D71" s="15">
        <f t="shared" si="4"/>
        <v>18320</v>
      </c>
      <c r="E71" s="18">
        <f>IF(F3="1",SUMIF(Data!A:A,'8'!$A$2,Data!EC:EC),0)</f>
        <v>211575</v>
      </c>
      <c r="F71" s="22">
        <f t="shared" si="5"/>
        <v>11.548853711790393</v>
      </c>
    </row>
    <row r="72" spans="1:6" x14ac:dyDescent="0.2">
      <c r="A72" s="20">
        <v>6</v>
      </c>
      <c r="B72" s="184" t="s">
        <v>5</v>
      </c>
      <c r="C72" s="185"/>
      <c r="D72" s="15">
        <f t="shared" si="4"/>
        <v>39568</v>
      </c>
      <c r="E72" s="18">
        <f>IF(F3="1",SUMIF(Data!A:A,'8'!$A$2,Data!ED:ED),0)</f>
        <v>145328</v>
      </c>
      <c r="F72" s="22">
        <f t="shared" si="5"/>
        <v>3.6728669632025879</v>
      </c>
    </row>
    <row r="73" spans="1:6" x14ac:dyDescent="0.2">
      <c r="A73" s="20">
        <v>7</v>
      </c>
      <c r="B73" s="184" t="s">
        <v>6</v>
      </c>
      <c r="C73" s="185"/>
      <c r="D73" s="15">
        <f t="shared" si="4"/>
        <v>455316</v>
      </c>
      <c r="E73" s="18">
        <f>IF(F3="1",SUMIF(Data!A:A,'8'!$A$2,Data!EE:EE),0)</f>
        <v>1640334</v>
      </c>
      <c r="F73" s="22">
        <f t="shared" si="5"/>
        <v>3.6026276256489997</v>
      </c>
    </row>
    <row r="74" spans="1:6" x14ac:dyDescent="0.2">
      <c r="A74" s="20">
        <v>8</v>
      </c>
      <c r="B74" s="184" t="s">
        <v>7</v>
      </c>
      <c r="C74" s="185"/>
      <c r="D74" s="15">
        <f t="shared" si="4"/>
        <v>17256</v>
      </c>
      <c r="E74" s="18">
        <f>IF(F3="1",SUMIF(Data!A:A,'8'!$A$2,Data!EF:EF),0)</f>
        <v>63294</v>
      </c>
      <c r="F74" s="22">
        <f t="shared" si="5"/>
        <v>3.6679415855354658</v>
      </c>
    </row>
    <row r="75" spans="1:6" x14ac:dyDescent="0.2">
      <c r="A75" s="20">
        <v>9</v>
      </c>
      <c r="B75" s="184" t="s">
        <v>8</v>
      </c>
      <c r="C75" s="185"/>
      <c r="D75" s="15">
        <f t="shared" si="4"/>
        <v>316356</v>
      </c>
      <c r="E75" s="18">
        <f>IF(F3="1",SUMIF(Data!A:A,'8'!$A$2,Data!EG:EG),0)</f>
        <v>314809</v>
      </c>
      <c r="F75" s="22">
        <f t="shared" si="5"/>
        <v>0.99510993943531967</v>
      </c>
    </row>
    <row r="76" spans="1:6" x14ac:dyDescent="0.2">
      <c r="A76" s="20">
        <v>10</v>
      </c>
      <c r="B76" s="184" t="s">
        <v>9</v>
      </c>
      <c r="C76" s="185"/>
      <c r="D76" s="15">
        <f t="shared" si="4"/>
        <v>256</v>
      </c>
      <c r="E76" s="18">
        <f>IF(F3="1",SUMIF(Data!A:A,'8'!$A$2,Data!EH:EH),0)</f>
        <v>35089</v>
      </c>
      <c r="F76" s="22">
        <f t="shared" si="5"/>
        <v>137.06640625</v>
      </c>
    </row>
    <row r="77" spans="1:6" x14ac:dyDescent="0.2">
      <c r="A77" s="20">
        <v>11</v>
      </c>
      <c r="B77" s="184" t="s">
        <v>10</v>
      </c>
      <c r="C77" s="185"/>
      <c r="D77" s="15">
        <f t="shared" si="4"/>
        <v>118120</v>
      </c>
      <c r="E77" s="18">
        <f>IF(F3="1",SUMIF(Data!A:A,'8'!$A$2,Data!EI:EI),0)</f>
        <v>36567</v>
      </c>
      <c r="F77" s="22">
        <f t="shared" si="5"/>
        <v>0.30957500846596681</v>
      </c>
    </row>
    <row r="78" spans="1:6" ht="14.25" customHeight="1" x14ac:dyDescent="0.2">
      <c r="A78" s="20">
        <v>12</v>
      </c>
      <c r="B78" s="184" t="s">
        <v>11</v>
      </c>
      <c r="C78" s="185"/>
      <c r="D78" s="15">
        <f t="shared" si="4"/>
        <v>785272</v>
      </c>
      <c r="E78" s="18">
        <f>IF(F3="1",SUMIF(Data!A:A,'8'!$A$2,Data!EJ:EJ),0)</f>
        <v>2761232</v>
      </c>
      <c r="F78" s="22">
        <f t="shared" si="5"/>
        <v>3.5162746156745688</v>
      </c>
    </row>
    <row r="79" spans="1:6" x14ac:dyDescent="0.2">
      <c r="A79" s="20">
        <v>13</v>
      </c>
      <c r="B79" s="184" t="s">
        <v>12</v>
      </c>
      <c r="C79" s="185"/>
      <c r="D79" s="15">
        <f t="shared" si="4"/>
        <v>67056</v>
      </c>
      <c r="E79" s="18">
        <f>IF(F3="1",SUMIF(Data!A:A,'8'!$A$2,Data!EK:EK),0)</f>
        <v>256711</v>
      </c>
      <c r="F79" s="22">
        <f t="shared" si="5"/>
        <v>3.8283076831305176</v>
      </c>
    </row>
    <row r="80" spans="1:6" ht="14.25" customHeight="1" x14ac:dyDescent="0.2">
      <c r="A80" s="20">
        <v>14</v>
      </c>
      <c r="B80" s="184" t="s">
        <v>469</v>
      </c>
      <c r="C80" s="185"/>
      <c r="D80" s="15">
        <f t="shared" si="4"/>
        <v>172904</v>
      </c>
      <c r="E80" s="18">
        <f>IF(F3="1",SUMIF(Data!A:A,'8'!$A$2,Data!EL:EL),0)</f>
        <v>1420885</v>
      </c>
      <c r="F80" s="22">
        <f t="shared" si="5"/>
        <v>8.2177682413362323</v>
      </c>
    </row>
    <row r="81" spans="1:6" x14ac:dyDescent="0.2">
      <c r="A81" s="20">
        <v>15</v>
      </c>
      <c r="B81" s="184" t="s">
        <v>13</v>
      </c>
      <c r="C81" s="185"/>
      <c r="D81" s="15">
        <f t="shared" si="4"/>
        <v>0</v>
      </c>
      <c r="E81" s="18">
        <f>IF(F3="1",SUMIF(Data!A:A,'8'!$A$2,Data!EM:EM),0)</f>
        <v>0</v>
      </c>
      <c r="F81" s="22" t="str">
        <f t="shared" si="5"/>
        <v/>
      </c>
    </row>
    <row r="82" spans="1:6" x14ac:dyDescent="0.2">
      <c r="A82" s="20">
        <v>16</v>
      </c>
      <c r="B82" s="184" t="s">
        <v>14</v>
      </c>
      <c r="C82" s="185"/>
      <c r="D82" s="15">
        <f t="shared" si="4"/>
        <v>136854</v>
      </c>
      <c r="E82" s="18">
        <f>IF(F3="1",SUMIF(Data!A:A,'8'!$A$2,Data!EN:EN),0)</f>
        <v>613775</v>
      </c>
      <c r="F82" s="22">
        <f t="shared" si="5"/>
        <v>4.4848890058018034</v>
      </c>
    </row>
    <row r="83" spans="1:6" x14ac:dyDescent="0.2">
      <c r="A83" s="20">
        <v>17</v>
      </c>
      <c r="B83" s="184" t="s">
        <v>15</v>
      </c>
      <c r="C83" s="185"/>
      <c r="D83" s="15">
        <f t="shared" si="4"/>
        <v>0</v>
      </c>
      <c r="E83" s="18">
        <f>IF(F3="1",SUMIF(Data!A:A,'8'!$A$2,Data!EO:EO),0)</f>
        <v>0</v>
      </c>
      <c r="F83" s="22" t="str">
        <f t="shared" si="5"/>
        <v/>
      </c>
    </row>
    <row r="84" spans="1:6" x14ac:dyDescent="0.2">
      <c r="A84" s="20">
        <v>18</v>
      </c>
      <c r="B84" s="184" t="s">
        <v>16</v>
      </c>
      <c r="C84" s="185"/>
      <c r="D84" s="15">
        <f t="shared" si="4"/>
        <v>112224</v>
      </c>
      <c r="E84" s="18">
        <f>IF(F3="1",SUMIF(Data!A:A,'8'!$A$2,Data!EP:EP),0)</f>
        <v>531815</v>
      </c>
      <c r="F84" s="22">
        <f t="shared" si="5"/>
        <v>4.7388704733390359</v>
      </c>
    </row>
    <row r="85" spans="1:6" x14ac:dyDescent="0.2">
      <c r="A85" s="20">
        <v>19</v>
      </c>
      <c r="B85" s="184" t="s">
        <v>17</v>
      </c>
      <c r="C85" s="185"/>
      <c r="D85" s="15">
        <f t="shared" si="4"/>
        <v>531237</v>
      </c>
      <c r="E85" s="18">
        <f>IF(F3="1",SUMIF(Data!A:A,'8'!$A$2,Data!EQ:EQ),0)</f>
        <v>1479369</v>
      </c>
      <c r="F85" s="22">
        <f t="shared" si="5"/>
        <v>2.7847627330174669</v>
      </c>
    </row>
    <row r="86" spans="1:6" x14ac:dyDescent="0.2">
      <c r="A86" s="20">
        <v>20</v>
      </c>
      <c r="B86" s="184" t="s">
        <v>18</v>
      </c>
      <c r="C86" s="185"/>
      <c r="D86" s="15">
        <f t="shared" si="4"/>
        <v>43504</v>
      </c>
      <c r="E86" s="18">
        <f>IF(F3="1",SUMIF(Data!A:A,'8'!$A$2,Data!ER:ER),0)</f>
        <v>105026</v>
      </c>
      <c r="F86" s="22">
        <f t="shared" si="5"/>
        <v>2.4141688120632585</v>
      </c>
    </row>
    <row r="87" spans="1:6" ht="14.25" customHeight="1" x14ac:dyDescent="0.2">
      <c r="A87" s="20">
        <v>21</v>
      </c>
      <c r="B87" s="184" t="s">
        <v>466</v>
      </c>
      <c r="C87" s="185"/>
      <c r="D87" s="15">
        <f t="shared" si="4"/>
        <v>46254</v>
      </c>
      <c r="E87" s="18">
        <f>IF(F3="1",SUMIF(Data!A:A,'8'!$A$2,Data!ES:ES),0)</f>
        <v>110137</v>
      </c>
      <c r="F87" s="22">
        <f t="shared" si="5"/>
        <v>2.3811346045747395</v>
      </c>
    </row>
    <row r="88" spans="1:6" x14ac:dyDescent="0.2">
      <c r="A88" s="20">
        <v>22</v>
      </c>
      <c r="B88" s="184" t="s">
        <v>19</v>
      </c>
      <c r="C88" s="185"/>
      <c r="D88" s="15">
        <f t="shared" si="4"/>
        <v>6608</v>
      </c>
      <c r="E88" s="18">
        <f>IF(F3="1",SUMIF(Data!A:A,'8'!$A$2,Data!ET:ET),0)</f>
        <v>98342</v>
      </c>
      <c r="F88" s="22">
        <f t="shared" si="5"/>
        <v>14.88226392251816</v>
      </c>
    </row>
    <row r="89" spans="1:6" x14ac:dyDescent="0.2">
      <c r="A89" s="20">
        <v>23</v>
      </c>
      <c r="B89" s="184" t="s">
        <v>20</v>
      </c>
      <c r="C89" s="185"/>
      <c r="D89" s="15">
        <f t="shared" si="4"/>
        <v>142808</v>
      </c>
      <c r="E89" s="18">
        <f>IF(F3="1",SUMIF(Data!A:A,'8'!$A$2,Data!EU:EU),0)</f>
        <v>479667</v>
      </c>
      <c r="F89" s="22">
        <f t="shared" si="5"/>
        <v>3.3588244356058485</v>
      </c>
    </row>
    <row r="90" spans="1:6" x14ac:dyDescent="0.2">
      <c r="A90" s="20">
        <v>24</v>
      </c>
      <c r="B90" s="184" t="s">
        <v>21</v>
      </c>
      <c r="C90" s="185"/>
      <c r="D90" s="15">
        <f t="shared" si="4"/>
        <v>170068</v>
      </c>
      <c r="E90" s="18">
        <f>IF(F3="1",SUMIF(Data!A:A,'8'!$A$2,Data!EV:EV),0)</f>
        <v>771707</v>
      </c>
      <c r="F90" s="22">
        <f t="shared" si="5"/>
        <v>4.5376378860220621</v>
      </c>
    </row>
    <row r="91" spans="1:6" x14ac:dyDescent="0.2">
      <c r="A91" s="20">
        <v>25</v>
      </c>
      <c r="B91" s="184" t="s">
        <v>22</v>
      </c>
      <c r="C91" s="185"/>
      <c r="D91" s="15">
        <f t="shared" si="4"/>
        <v>1155264</v>
      </c>
      <c r="E91" s="18">
        <f>IF(F3="1",SUMIF(Data!A:A,'8'!$A$2,Data!EW:EW),0)</f>
        <v>2919867</v>
      </c>
      <c r="F91" s="22">
        <f t="shared" si="5"/>
        <v>2.527445674754861</v>
      </c>
    </row>
    <row r="92" spans="1:6" x14ac:dyDescent="0.2">
      <c r="A92" s="20">
        <v>26</v>
      </c>
      <c r="B92" s="184" t="s">
        <v>23</v>
      </c>
      <c r="C92" s="185"/>
      <c r="D92" s="15">
        <f t="shared" si="4"/>
        <v>184784</v>
      </c>
      <c r="E92" s="18">
        <f>IF(F3="1",SUMIF(Data!A:A,'8'!$A$2,Data!EX:EX),0)</f>
        <v>569584</v>
      </c>
      <c r="F92" s="22">
        <f t="shared" si="5"/>
        <v>3.0824313793402025</v>
      </c>
    </row>
    <row r="93" spans="1:6" x14ac:dyDescent="0.2">
      <c r="A93" s="20">
        <v>28</v>
      </c>
      <c r="B93" s="184" t="s">
        <v>24</v>
      </c>
      <c r="C93" s="185"/>
      <c r="D93" s="15">
        <f t="shared" si="4"/>
        <v>0</v>
      </c>
      <c r="E93" s="18">
        <f>IF(F3="1",SUMIF(Data!A:A,'8'!$A$2,Data!EZ:EZ),0)</f>
        <v>0</v>
      </c>
      <c r="F93" s="22" t="str">
        <f t="shared" si="5"/>
        <v/>
      </c>
    </row>
    <row r="94" spans="1:6" ht="15.75" customHeight="1" thickBot="1" x14ac:dyDescent="0.25">
      <c r="A94" s="23">
        <v>29</v>
      </c>
      <c r="B94" s="186" t="s">
        <v>25</v>
      </c>
      <c r="C94" s="187"/>
      <c r="D94" s="24">
        <f t="shared" si="4"/>
        <v>0</v>
      </c>
      <c r="E94" s="25">
        <f>IF(F3="1",SUMIF(Data!A:A,'8'!$A$2,Data!FA:FA),0)</f>
        <v>0</v>
      </c>
      <c r="F94" s="26" t="str">
        <f t="shared" si="5"/>
        <v/>
      </c>
    </row>
    <row r="95" spans="1:6" x14ac:dyDescent="0.2">
      <c r="B95" s="31" t="s">
        <v>35</v>
      </c>
      <c r="C95" s="31"/>
      <c r="D95" s="61">
        <f>SUM(D67:D94)</f>
        <v>5713917</v>
      </c>
      <c r="E95" s="32">
        <f>SUM(E67:E94)</f>
        <v>18193181</v>
      </c>
      <c r="F95" s="33">
        <f t="shared" si="5"/>
        <v>3.1840121233822614</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IF(F3="1",SUMIF(Data!A:A,'8'!$A$2,Data!AH:AH),0)</f>
        <v>8804560</v>
      </c>
      <c r="F98" s="21">
        <f t="shared" ref="F98:F105" si="6">IFERROR(E98/$D$95,0)</f>
        <v>1.5408974264064388</v>
      </c>
    </row>
    <row r="99" spans="2:6" x14ac:dyDescent="0.2">
      <c r="B99" s="190" t="s">
        <v>31</v>
      </c>
      <c r="C99" s="191"/>
      <c r="D99" s="37"/>
      <c r="E99" s="18">
        <f>IF(F3="1",SUMIF(Data!A:A,'8'!$A$2,Data!AI:AI),0)</f>
        <v>4194267</v>
      </c>
      <c r="F99" s="22">
        <f t="shared" si="6"/>
        <v>0.73404408919485531</v>
      </c>
    </row>
    <row r="100" spans="2:6" x14ac:dyDescent="0.2">
      <c r="B100" s="190" t="s">
        <v>32</v>
      </c>
      <c r="C100" s="191"/>
      <c r="D100" s="37"/>
      <c r="E100" s="18">
        <f>IF(F3="1",SUMIF(Data!A:A,'8'!$A$2,Data!AJ:AJ),0)</f>
        <v>2614480</v>
      </c>
      <c r="F100" s="22">
        <f t="shared" si="6"/>
        <v>0.45756352428640457</v>
      </c>
    </row>
    <row r="101" spans="2:6" x14ac:dyDescent="0.2">
      <c r="B101" s="190" t="s">
        <v>28</v>
      </c>
      <c r="C101" s="191"/>
      <c r="D101" s="37"/>
      <c r="E101" s="18">
        <f>IF(F3="1",SUMIF(Data!A:A,'8'!$A$2,Data!AK:AK),0)</f>
        <v>0</v>
      </c>
      <c r="F101" s="22">
        <f t="shared" si="6"/>
        <v>0</v>
      </c>
    </row>
    <row r="102" spans="2:6" x14ac:dyDescent="0.2">
      <c r="B102" s="190" t="s">
        <v>33</v>
      </c>
      <c r="C102" s="191"/>
      <c r="D102" s="37"/>
      <c r="E102" s="18">
        <f>IF(F3="1",SUMIF(Data!A:A,'8'!$A$2,Data!AL:AL),0)</f>
        <v>0</v>
      </c>
      <c r="F102" s="22">
        <f t="shared" si="6"/>
        <v>0</v>
      </c>
    </row>
    <row r="103" spans="2:6" x14ac:dyDescent="0.2">
      <c r="B103" s="192" t="s">
        <v>34</v>
      </c>
      <c r="C103" s="193"/>
      <c r="D103" s="37"/>
      <c r="E103" s="18">
        <f>IF(F3="1",SUMIF(Data!A:A,'8'!$A$2,Data!AM:AM),0)</f>
        <v>706092</v>
      </c>
      <c r="F103" s="22">
        <f t="shared" si="6"/>
        <v>0.12357407361710014</v>
      </c>
    </row>
    <row r="104" spans="2:6" ht="15.75" customHeight="1" thickBot="1" x14ac:dyDescent="0.25">
      <c r="B104" s="182" t="s">
        <v>29</v>
      </c>
      <c r="C104" s="183"/>
      <c r="D104" s="38"/>
      <c r="E104" s="25">
        <f>IF(F3="1",SUMIF(Data!A:A,'8'!$A$2,Data!Q:Q),0)</f>
        <v>1856579</v>
      </c>
      <c r="F104" s="26">
        <f t="shared" si="6"/>
        <v>0.32492229061080169</v>
      </c>
    </row>
    <row r="105" spans="2:6" x14ac:dyDescent="0.2">
      <c r="B105" s="31" t="s">
        <v>35</v>
      </c>
      <c r="C105" s="31"/>
      <c r="D105" s="35">
        <f>D95</f>
        <v>5713917</v>
      </c>
      <c r="E105" s="32">
        <f>SUM(E98:E104)</f>
        <v>18175978</v>
      </c>
      <c r="F105" s="33">
        <f t="shared" si="6"/>
        <v>3.1810014041156007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18193181</v>
      </c>
      <c r="D109" s="16">
        <f>IF(F3="1",SUMIF(Data!$A:$A,$A$2,Data!HJ:HJ),0)</f>
        <v>0</v>
      </c>
      <c r="E109" s="16">
        <f>IF(F3="1",SUMIF(Data!$A:$A,$A$2,Data!IN:IN),0)</f>
        <v>0</v>
      </c>
      <c r="F109" s="48">
        <f>SUM(C109:E109)</f>
        <v>18193181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1856579</v>
      </c>
      <c r="E117" s="53"/>
      <c r="F117" s="50">
        <f>SUM(C117:E117)</f>
        <v>1856579</v>
      </c>
    </row>
    <row r="118" spans="1:6" x14ac:dyDescent="0.2">
      <c r="B118" s="14" t="s">
        <v>35</v>
      </c>
      <c r="C118" s="5">
        <f>SUM(C109:C116)</f>
        <v>18193181</v>
      </c>
      <c r="D118" s="5">
        <f>SUM(D109:D116)</f>
        <v>0</v>
      </c>
      <c r="E118" s="5">
        <f>SUM(E109:E116)</f>
        <v>0</v>
      </c>
      <c r="F118" s="5">
        <f>SUM(F109:F116)</f>
        <v>18193181</v>
      </c>
    </row>
    <row r="119" spans="1:6" ht="15" thickBot="1" x14ac:dyDescent="0.25"/>
    <row r="120" spans="1:6" ht="15" thickBot="1" x14ac:dyDescent="0.25">
      <c r="B120" s="57" t="s">
        <v>942</v>
      </c>
      <c r="C120" s="55"/>
      <c r="D120" s="55"/>
      <c r="E120" s="55">
        <f>IF(F3="1",SUMIF(Data!A:A,'8'!$A$2,Data!AM:AM),0)</f>
        <v>706092</v>
      </c>
      <c r="F120" s="56">
        <f>SUM(C120:E120)</f>
        <v>706092</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1406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358</v>
      </c>
      <c r="B2" s="60" t="str">
        <f>VLOOKUP(A2,Data!A:G,7,0)</f>
        <v>Cisco Junior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8000</v>
      </c>
      <c r="E5" s="16">
        <f>E36+E67+IFERROR($E$105/$D$105*D5,0)</f>
        <v>76397.022990439349</v>
      </c>
      <c r="F5" s="21">
        <f>IFERROR(E5/D5,"")</f>
        <v>9.5496278738049192</v>
      </c>
    </row>
    <row r="6" spans="1:6" x14ac:dyDescent="0.2">
      <c r="A6" s="20">
        <v>2</v>
      </c>
      <c r="B6" s="184" t="s">
        <v>1</v>
      </c>
      <c r="C6" s="185"/>
      <c r="D6" s="15">
        <f t="shared" ref="D6:D32" si="0">D37</f>
        <v>22240</v>
      </c>
      <c r="E6" s="18">
        <f t="shared" ref="E6:E32" si="1">E37+E68+IFERROR($E$105/$D$105*D6,0)</f>
        <v>129682.26391342137</v>
      </c>
      <c r="F6" s="22">
        <f t="shared" ref="F6:F33" si="2">IFERROR(E6/D6,"")</f>
        <v>5.831037046466788</v>
      </c>
    </row>
    <row r="7" spans="1:6" ht="14.25" customHeight="1" x14ac:dyDescent="0.2">
      <c r="A7" s="20">
        <v>3</v>
      </c>
      <c r="B7" s="184" t="s">
        <v>2</v>
      </c>
      <c r="C7" s="185"/>
      <c r="D7" s="15">
        <f t="shared" si="0"/>
        <v>191184</v>
      </c>
      <c r="E7" s="18">
        <f t="shared" si="1"/>
        <v>942217.06942551944</v>
      </c>
      <c r="F7" s="22">
        <f t="shared" si="2"/>
        <v>4.9283259552343264</v>
      </c>
    </row>
    <row r="8" spans="1:6" ht="14.25" customHeight="1" x14ac:dyDescent="0.2">
      <c r="A8" s="20">
        <v>4</v>
      </c>
      <c r="B8" s="184" t="s">
        <v>3</v>
      </c>
      <c r="C8" s="185"/>
      <c r="D8" s="15">
        <f t="shared" si="0"/>
        <v>116924</v>
      </c>
      <c r="E8" s="18">
        <f t="shared" si="1"/>
        <v>510920.80601676623</v>
      </c>
      <c r="F8" s="22">
        <f t="shared" si="2"/>
        <v>4.3696829223834817</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9733</v>
      </c>
      <c r="E11" s="18">
        <f t="shared" si="1"/>
        <v>188142.83047074327</v>
      </c>
      <c r="F11" s="22">
        <f t="shared" si="2"/>
        <v>19.330404856749539</v>
      </c>
    </row>
    <row r="12" spans="1:6" x14ac:dyDescent="0.2">
      <c r="A12" s="20">
        <v>8</v>
      </c>
      <c r="B12" s="184" t="s">
        <v>7</v>
      </c>
      <c r="C12" s="185"/>
      <c r="D12" s="15">
        <f t="shared" si="0"/>
        <v>1728</v>
      </c>
      <c r="E12" s="18">
        <f t="shared" si="1"/>
        <v>10652.844965934899</v>
      </c>
      <c r="F12" s="22">
        <f t="shared" si="2"/>
        <v>6.1648408367678815</v>
      </c>
    </row>
    <row r="13" spans="1:6" x14ac:dyDescent="0.2">
      <c r="A13" s="20">
        <v>9</v>
      </c>
      <c r="B13" s="184" t="s">
        <v>8</v>
      </c>
      <c r="C13" s="185"/>
      <c r="D13" s="15">
        <f t="shared" si="0"/>
        <v>58004</v>
      </c>
      <c r="E13" s="18">
        <f t="shared" si="1"/>
        <v>308722.53669218044</v>
      </c>
      <c r="F13" s="22">
        <f t="shared" si="2"/>
        <v>5.3224352922588176</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6144</v>
      </c>
      <c r="E15" s="18">
        <f t="shared" si="1"/>
        <v>35477.337656657415</v>
      </c>
      <c r="F15" s="22">
        <f t="shared" si="2"/>
        <v>5.7743062592215848</v>
      </c>
    </row>
    <row r="16" spans="1:6" ht="14.25" customHeight="1" x14ac:dyDescent="0.2">
      <c r="A16" s="20">
        <v>12</v>
      </c>
      <c r="B16" s="184" t="s">
        <v>11</v>
      </c>
      <c r="C16" s="185"/>
      <c r="D16" s="15">
        <f t="shared" si="0"/>
        <v>237696</v>
      </c>
      <c r="E16" s="18">
        <f t="shared" si="1"/>
        <v>1381674.5630919337</v>
      </c>
      <c r="F16" s="22">
        <f t="shared" si="2"/>
        <v>5.8127800345480516</v>
      </c>
    </row>
    <row r="17" spans="1:6" x14ac:dyDescent="0.2">
      <c r="A17" s="20">
        <v>13</v>
      </c>
      <c r="B17" s="184" t="s">
        <v>12</v>
      </c>
      <c r="C17" s="185"/>
      <c r="D17" s="15">
        <f t="shared" si="0"/>
        <v>22128</v>
      </c>
      <c r="E17" s="18">
        <f t="shared" si="1"/>
        <v>124653.90359155522</v>
      </c>
      <c r="F17" s="22">
        <f t="shared" si="2"/>
        <v>5.633310899835287</v>
      </c>
    </row>
    <row r="18" spans="1:6" ht="14.25" customHeight="1" x14ac:dyDescent="0.2">
      <c r="A18" s="20">
        <v>14</v>
      </c>
      <c r="B18" s="184" t="s">
        <v>469</v>
      </c>
      <c r="C18" s="185"/>
      <c r="D18" s="15">
        <f t="shared" si="0"/>
        <v>59280</v>
      </c>
      <c r="E18" s="18">
        <f t="shared" si="1"/>
        <v>457412.57035915554</v>
      </c>
      <c r="F18" s="22">
        <f t="shared" si="2"/>
        <v>7.7161364770437846</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77120</v>
      </c>
      <c r="E20" s="18">
        <f t="shared" si="1"/>
        <v>346103.82162783528</v>
      </c>
      <c r="F20" s="22">
        <f t="shared" si="2"/>
        <v>4.4878607576223457</v>
      </c>
    </row>
    <row r="21" spans="1:6" x14ac:dyDescent="0.2">
      <c r="A21" s="20">
        <v>17</v>
      </c>
      <c r="B21" s="184" t="s">
        <v>15</v>
      </c>
      <c r="C21" s="185"/>
      <c r="D21" s="15">
        <f t="shared" si="0"/>
        <v>22042</v>
      </c>
      <c r="E21" s="18">
        <f t="shared" si="1"/>
        <v>199851.94834440801</v>
      </c>
      <c r="F21" s="22">
        <f t="shared" si="2"/>
        <v>9.0668699911263957</v>
      </c>
    </row>
    <row r="22" spans="1:6" x14ac:dyDescent="0.2">
      <c r="A22" s="20">
        <v>18</v>
      </c>
      <c r="B22" s="184" t="s">
        <v>16</v>
      </c>
      <c r="C22" s="185"/>
      <c r="D22" s="15">
        <f t="shared" si="0"/>
        <v>104960</v>
      </c>
      <c r="E22" s="18">
        <f t="shared" si="1"/>
        <v>633237.10163456411</v>
      </c>
      <c r="F22" s="22">
        <f t="shared" si="2"/>
        <v>6.0331278738049168</v>
      </c>
    </row>
    <row r="23" spans="1:6" x14ac:dyDescent="0.2">
      <c r="A23" s="20">
        <v>19</v>
      </c>
      <c r="B23" s="184" t="s">
        <v>17</v>
      </c>
      <c r="C23" s="185"/>
      <c r="D23" s="15">
        <f t="shared" si="0"/>
        <v>157040</v>
      </c>
      <c r="E23" s="18">
        <f t="shared" si="1"/>
        <v>909287.65130232438</v>
      </c>
      <c r="F23" s="22">
        <f t="shared" si="2"/>
        <v>5.7901658895970733</v>
      </c>
    </row>
    <row r="24" spans="1:6" x14ac:dyDescent="0.2">
      <c r="A24" s="20">
        <v>20</v>
      </c>
      <c r="B24" s="184" t="s">
        <v>18</v>
      </c>
      <c r="C24" s="185"/>
      <c r="D24" s="15">
        <f t="shared" si="0"/>
        <v>16800</v>
      </c>
      <c r="E24" s="18">
        <f t="shared" si="1"/>
        <v>170926.04827992263</v>
      </c>
      <c r="F24" s="22">
        <f t="shared" si="2"/>
        <v>10.174169540471585</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1472</v>
      </c>
      <c r="E26" s="18">
        <f t="shared" si="1"/>
        <v>8960.16423024084</v>
      </c>
      <c r="F26" s="22">
        <f t="shared" si="2"/>
        <v>6.0870680911962225</v>
      </c>
    </row>
    <row r="27" spans="1:6" x14ac:dyDescent="0.2">
      <c r="A27" s="20">
        <v>23</v>
      </c>
      <c r="B27" s="184" t="s">
        <v>20</v>
      </c>
      <c r="C27" s="185"/>
      <c r="D27" s="15">
        <f t="shared" si="0"/>
        <v>65712</v>
      </c>
      <c r="E27" s="18">
        <f t="shared" si="1"/>
        <v>723597.54884346877</v>
      </c>
      <c r="F27" s="22">
        <f t="shared" si="2"/>
        <v>11.011650061533187</v>
      </c>
    </row>
    <row r="28" spans="1:6" x14ac:dyDescent="0.2">
      <c r="A28" s="20">
        <v>24</v>
      </c>
      <c r="B28" s="184" t="s">
        <v>21</v>
      </c>
      <c r="C28" s="185"/>
      <c r="D28" s="15">
        <f t="shared" si="0"/>
        <v>30960</v>
      </c>
      <c r="E28" s="18">
        <f t="shared" si="1"/>
        <v>199533.88897300026</v>
      </c>
      <c r="F28" s="22">
        <f t="shared" si="2"/>
        <v>6.4448930546834706</v>
      </c>
    </row>
    <row r="29" spans="1:6" x14ac:dyDescent="0.2">
      <c r="A29" s="20">
        <v>25</v>
      </c>
      <c r="B29" s="184" t="s">
        <v>22</v>
      </c>
      <c r="C29" s="185"/>
      <c r="D29" s="15">
        <f t="shared" si="0"/>
        <v>312480</v>
      </c>
      <c r="E29" s="18">
        <f t="shared" si="1"/>
        <v>1636121.2980065607</v>
      </c>
      <c r="F29" s="22">
        <f t="shared" si="2"/>
        <v>5.2359232527091679</v>
      </c>
    </row>
    <row r="30" spans="1:6" x14ac:dyDescent="0.2">
      <c r="A30" s="20">
        <v>26</v>
      </c>
      <c r="B30" s="184" t="s">
        <v>23</v>
      </c>
      <c r="C30" s="185"/>
      <c r="D30" s="15">
        <f t="shared" si="0"/>
        <v>83368</v>
      </c>
      <c r="E30" s="18">
        <f t="shared" si="1"/>
        <v>527963.77958336845</v>
      </c>
      <c r="F30" s="22">
        <f t="shared" si="2"/>
        <v>6.3329308557644231</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1605015</v>
      </c>
      <c r="E33" s="32">
        <f>SUM(E5:E32)</f>
        <v>9521537</v>
      </c>
      <c r="F33" s="33">
        <f t="shared" si="2"/>
        <v>5.9323663641772821</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IF(F3="1",SUMIF(Data!A:A,'9'!$A$2,Data!CU:CU),0)</f>
        <v>8000</v>
      </c>
      <c r="E36" s="16">
        <f>IF(F3="1",SUMIF(Data!$A:$A,'9'!$A$2,Data!IO:IO),0)</f>
        <v>8291</v>
      </c>
      <c r="F36" s="21">
        <f t="shared" ref="F36:F64" si="3">IFERROR(E36/D36,"")</f>
        <v>1.036375</v>
      </c>
    </row>
    <row r="37" spans="1:6" x14ac:dyDescent="0.2">
      <c r="A37" s="20">
        <v>2</v>
      </c>
      <c r="B37" s="184" t="s">
        <v>1</v>
      </c>
      <c r="C37" s="185"/>
      <c r="D37" s="15">
        <f>IF(F3="1",SUMIF(Data!A:A,'9'!$A$2,Data!CV:CV),0)</f>
        <v>22240</v>
      </c>
      <c r="E37" s="18">
        <f>IF(F3="1",SUMIF(Data!$A:$A,'9'!$A$2,Data!IP:IP),0)</f>
        <v>16666</v>
      </c>
      <c r="F37" s="22">
        <f t="shared" si="3"/>
        <v>0.74937050359712232</v>
      </c>
    </row>
    <row r="38" spans="1:6" ht="14.25" customHeight="1" x14ac:dyDescent="0.2">
      <c r="A38" s="20">
        <v>3</v>
      </c>
      <c r="B38" s="184" t="s">
        <v>2</v>
      </c>
      <c r="C38" s="185"/>
      <c r="D38" s="15">
        <f>IF(F3="1",SUMIF(Data!A:A,'9'!$A$2,Data!CW:CW),0)</f>
        <v>191184</v>
      </c>
      <c r="E38" s="18">
        <f>IF(F3="1",SUMIF(Data!$A:$A,'9'!$A$2,Data!IQ:IQ),0)</f>
        <v>76312</v>
      </c>
      <c r="F38" s="22">
        <f t="shared" si="3"/>
        <v>0.39915474098250897</v>
      </c>
    </row>
    <row r="39" spans="1:6" ht="14.25" customHeight="1" x14ac:dyDescent="0.2">
      <c r="A39" s="20">
        <v>4</v>
      </c>
      <c r="B39" s="184" t="s">
        <v>3</v>
      </c>
      <c r="C39" s="185"/>
      <c r="D39" s="15">
        <f>IF(F3="1",SUMIF(Data!A:A,'9'!$A$2,Data!CX:CX),0)</f>
        <v>116924</v>
      </c>
      <c r="E39" s="18">
        <f>IF(F3="1",SUMIF(Data!$A:$A,'9'!$A$2,Data!IR:IR),0)</f>
        <v>21048</v>
      </c>
      <c r="F39" s="22">
        <f t="shared" si="3"/>
        <v>0.18001436830761863</v>
      </c>
    </row>
    <row r="40" spans="1:6" x14ac:dyDescent="0.2">
      <c r="A40" s="20">
        <v>5</v>
      </c>
      <c r="B40" s="184" t="s">
        <v>4</v>
      </c>
      <c r="C40" s="185"/>
      <c r="D40" s="15">
        <f>IF(F3="1",SUMIF(Data!A:A,'9'!$A$2,Data!CY:CY),0)</f>
        <v>0</v>
      </c>
      <c r="E40" s="18">
        <f>IF(F3="1",SUMIF(Data!$A:$A,'9'!$A$2,Data!IS:IS),0)</f>
        <v>0</v>
      </c>
      <c r="F40" s="22" t="str">
        <f t="shared" si="3"/>
        <v/>
      </c>
    </row>
    <row r="41" spans="1:6" x14ac:dyDescent="0.2">
      <c r="A41" s="20">
        <v>6</v>
      </c>
      <c r="B41" s="184" t="s">
        <v>5</v>
      </c>
      <c r="C41" s="185"/>
      <c r="D41" s="15">
        <f>IF(F3="1",SUMIF(Data!A:A,'9'!$A$2,Data!CZ:CZ),0)</f>
        <v>0</v>
      </c>
      <c r="E41" s="18">
        <f>IF(F3="1",SUMIF(Data!$A:$A,'9'!$A$2,Data!IT:IT),0)</f>
        <v>0</v>
      </c>
      <c r="F41" s="22" t="str">
        <f t="shared" si="3"/>
        <v/>
      </c>
    </row>
    <row r="42" spans="1:6" x14ac:dyDescent="0.2">
      <c r="A42" s="20">
        <v>7</v>
      </c>
      <c r="B42" s="184" t="s">
        <v>6</v>
      </c>
      <c r="C42" s="185"/>
      <c r="D42" s="15">
        <f>IF(F3="1",SUMIF(Data!A:A,'9'!$A$2,Data!DA:DA),0)</f>
        <v>9733</v>
      </c>
      <c r="E42" s="18">
        <f>IF(F3="1",SUMIF(Data!$A:$A,'9'!$A$2,Data!IU:IU),0)</f>
        <v>14719</v>
      </c>
      <c r="F42" s="22">
        <f t="shared" si="3"/>
        <v>1.5122778177334841</v>
      </c>
    </row>
    <row r="43" spans="1:6" x14ac:dyDescent="0.2">
      <c r="A43" s="20">
        <v>8</v>
      </c>
      <c r="B43" s="184" t="s">
        <v>7</v>
      </c>
      <c r="C43" s="185"/>
      <c r="D43" s="15">
        <f>IF(F3="1",SUMIF(Data!A:A,'9'!$A$2,Data!DB:DB),0)</f>
        <v>1728</v>
      </c>
      <c r="E43" s="18">
        <f>IF(F3="1",SUMIF(Data!$A:$A,'9'!$A$2,Data!IV:IV),0)</f>
        <v>1428</v>
      </c>
      <c r="F43" s="22">
        <f t="shared" si="3"/>
        <v>0.82638888888888884</v>
      </c>
    </row>
    <row r="44" spans="1:6" x14ac:dyDescent="0.2">
      <c r="A44" s="20">
        <v>9</v>
      </c>
      <c r="B44" s="184" t="s">
        <v>8</v>
      </c>
      <c r="C44" s="185"/>
      <c r="D44" s="15">
        <f>IF(F3="1",SUMIF(Data!A:A,'9'!$A$2,Data!DC:DC),0)</f>
        <v>58004</v>
      </c>
      <c r="E44" s="18">
        <f>IF(F3="1",SUMIF(Data!$A:$A,'9'!$A$2,Data!IW:IW),0)</f>
        <v>27358</v>
      </c>
      <c r="F44" s="22">
        <f t="shared" si="3"/>
        <v>0.4716571270946831</v>
      </c>
    </row>
    <row r="45" spans="1:6" x14ac:dyDescent="0.2">
      <c r="A45" s="20">
        <v>10</v>
      </c>
      <c r="B45" s="184" t="s">
        <v>9</v>
      </c>
      <c r="C45" s="185"/>
      <c r="D45" s="15">
        <f>IF(F3="1",SUMIF(Data!A:A,'9'!$A$2,Data!DD:DD),0)</f>
        <v>0</v>
      </c>
      <c r="E45" s="18">
        <f>IF(F3="1",SUMIF(Data!$A:$A,'9'!$A$2,Data!IX:IX),0)</f>
        <v>0</v>
      </c>
      <c r="F45" s="22" t="str">
        <f t="shared" si="3"/>
        <v/>
      </c>
    </row>
    <row r="46" spans="1:6" x14ac:dyDescent="0.2">
      <c r="A46" s="20">
        <v>11</v>
      </c>
      <c r="B46" s="184" t="s">
        <v>10</v>
      </c>
      <c r="C46" s="185"/>
      <c r="D46" s="15">
        <f>IF(F3="1",SUMIF(Data!A:A,'9'!$A$2,Data!DE:DE),0)</f>
        <v>6144</v>
      </c>
      <c r="E46" s="18">
        <f>IF(F3="1",SUMIF(Data!$A:$A,'9'!$A$2,Data!IY:IY),0)</f>
        <v>4523</v>
      </c>
      <c r="F46" s="22">
        <f t="shared" si="3"/>
        <v>0.73616536458333337</v>
      </c>
    </row>
    <row r="47" spans="1:6" ht="14.25" customHeight="1" x14ac:dyDescent="0.2">
      <c r="A47" s="20">
        <v>12</v>
      </c>
      <c r="B47" s="184" t="s">
        <v>11</v>
      </c>
      <c r="C47" s="185"/>
      <c r="D47" s="15">
        <f>IF(F3="1",SUMIF(Data!A:A,'9'!$A$2,Data!DF:DF),0)</f>
        <v>237696</v>
      </c>
      <c r="E47" s="18">
        <f>IF(F3="1",SUMIF(Data!$A:$A,'9'!$A$2,Data!IZ:IZ),0)</f>
        <v>85159</v>
      </c>
      <c r="F47" s="22">
        <f t="shared" si="3"/>
        <v>0.35826854469574582</v>
      </c>
    </row>
    <row r="48" spans="1:6" x14ac:dyDescent="0.2">
      <c r="A48" s="20">
        <v>13</v>
      </c>
      <c r="B48" s="184" t="s">
        <v>12</v>
      </c>
      <c r="C48" s="185"/>
      <c r="D48" s="15">
        <f>IF(F3="1",SUMIF(Data!A:A,'9'!$A$2,Data!DG:DG),0)</f>
        <v>22128</v>
      </c>
      <c r="E48" s="18">
        <f>IF(F3="1",SUMIF(Data!$A:$A,'9'!$A$2,Data!JA:JA),0)</f>
        <v>7232</v>
      </c>
      <c r="F48" s="22">
        <f t="shared" si="3"/>
        <v>0.32682574114244395</v>
      </c>
    </row>
    <row r="49" spans="1:6" ht="14.25" customHeight="1" x14ac:dyDescent="0.2">
      <c r="A49" s="20">
        <v>14</v>
      </c>
      <c r="B49" s="184" t="s">
        <v>469</v>
      </c>
      <c r="C49" s="185"/>
      <c r="D49" s="15">
        <f>IF(F3="1",SUMIF(Data!A:A,'9'!$A$2,Data!DH:DH),0)</f>
        <v>59280</v>
      </c>
      <c r="E49" s="18">
        <f>IF(F3="1",SUMIF(Data!$A:$A,'9'!$A$2,Data!JB:JB),0)</f>
        <v>77247</v>
      </c>
      <c r="F49" s="22">
        <f t="shared" si="3"/>
        <v>1.3030870445344129</v>
      </c>
    </row>
    <row r="50" spans="1:6" x14ac:dyDescent="0.2">
      <c r="A50" s="20">
        <v>15</v>
      </c>
      <c r="B50" s="184" t="s">
        <v>13</v>
      </c>
      <c r="C50" s="185"/>
      <c r="D50" s="15">
        <f>IF(F3="1",SUMIF(Data!A:A,'9'!$A$2,Data!DI:DI),0)</f>
        <v>0</v>
      </c>
      <c r="E50" s="18">
        <f>IF(F3="1",SUMIF(Data!$A:$A,'9'!$A$2,Data!JC:JC),0)</f>
        <v>0</v>
      </c>
      <c r="F50" s="22" t="str">
        <f t="shared" si="3"/>
        <v/>
      </c>
    </row>
    <row r="51" spans="1:6" x14ac:dyDescent="0.2">
      <c r="A51" s="20">
        <v>16</v>
      </c>
      <c r="B51" s="184" t="s">
        <v>14</v>
      </c>
      <c r="C51" s="185"/>
      <c r="D51" s="15">
        <f>IF(F3="1",SUMIF(Data!A:A,'9'!$A$2,Data!DJ:DJ),0)</f>
        <v>77120</v>
      </c>
      <c r="E51" s="18">
        <f>IF(F3="1",SUMIF(Data!$A:$A,'9'!$A$2,Data!JD:JD),0)</f>
        <v>24764</v>
      </c>
      <c r="F51" s="22">
        <f t="shared" si="3"/>
        <v>0.32110995850622409</v>
      </c>
    </row>
    <row r="52" spans="1:6" x14ac:dyDescent="0.2">
      <c r="A52" s="20">
        <v>17</v>
      </c>
      <c r="B52" s="184" t="s">
        <v>15</v>
      </c>
      <c r="C52" s="185"/>
      <c r="D52" s="15">
        <f>IF(F3="1",SUMIF(Data!A:A,'9'!$A$2,Data!DK:DK),0)</f>
        <v>22042</v>
      </c>
      <c r="E52" s="18">
        <f>IF(F3="1",SUMIF(Data!$A:$A,'9'!$A$2,Data!JE:JE),0)</f>
        <v>12062</v>
      </c>
      <c r="F52" s="22">
        <f t="shared" si="3"/>
        <v>0.54722801923600395</v>
      </c>
    </row>
    <row r="53" spans="1:6" x14ac:dyDescent="0.2">
      <c r="A53" s="20">
        <v>18</v>
      </c>
      <c r="B53" s="184" t="s">
        <v>16</v>
      </c>
      <c r="C53" s="185"/>
      <c r="D53" s="15">
        <f>IF(F3="1",SUMIF(Data!A:A,'9'!$A$2,Data!DL:DL),0)</f>
        <v>104960</v>
      </c>
      <c r="E53" s="18">
        <f>IF(F3="1",SUMIF(Data!$A:$A,'9'!$A$2,Data!JF:JF),0)</f>
        <v>40403</v>
      </c>
      <c r="F53" s="22">
        <f t="shared" si="3"/>
        <v>0.38493711890243903</v>
      </c>
    </row>
    <row r="54" spans="1:6" x14ac:dyDescent="0.2">
      <c r="A54" s="20">
        <v>19</v>
      </c>
      <c r="B54" s="184" t="s">
        <v>17</v>
      </c>
      <c r="C54" s="185"/>
      <c r="D54" s="15">
        <f>IF(F3="1",SUMIF(Data!A:A,'9'!$A$2,Data!DM:DM),0)</f>
        <v>157040</v>
      </c>
      <c r="E54" s="18">
        <f>IF(F3="1",SUMIF(Data!$A:$A,'9'!$A$2,Data!JG:JG),0)</f>
        <v>55457</v>
      </c>
      <c r="F54" s="22">
        <f t="shared" si="3"/>
        <v>0.35313932755985739</v>
      </c>
    </row>
    <row r="55" spans="1:6" x14ac:dyDescent="0.2">
      <c r="A55" s="20">
        <v>20</v>
      </c>
      <c r="B55" s="184" t="s">
        <v>18</v>
      </c>
      <c r="C55" s="185"/>
      <c r="D55" s="15">
        <f>IF(F3="1",SUMIF(Data!A:A,'9'!$A$2,Data!DN:DN),0)</f>
        <v>16800</v>
      </c>
      <c r="E55" s="18">
        <f>IF(F3="1",SUMIF(Data!$A:$A,'9'!$A$2,Data!JH:JH),0)</f>
        <v>24054</v>
      </c>
      <c r="F55" s="22">
        <f t="shared" si="3"/>
        <v>1.4317857142857142</v>
      </c>
    </row>
    <row r="56" spans="1:6" ht="14.25" customHeight="1" x14ac:dyDescent="0.2">
      <c r="A56" s="20">
        <v>21</v>
      </c>
      <c r="B56" s="184" t="s">
        <v>466</v>
      </c>
      <c r="C56" s="185"/>
      <c r="D56" s="15">
        <f>IF(F3="1",SUMIF(Data!A:A,'9'!$A$2,Data!DO:DO),0)</f>
        <v>0</v>
      </c>
      <c r="E56" s="18">
        <f>IF(F3="1",SUMIF(Data!$A:$A,'9'!$A$2,Data!JI:JI),0)</f>
        <v>0</v>
      </c>
      <c r="F56" s="22" t="str">
        <f t="shared" si="3"/>
        <v/>
      </c>
    </row>
    <row r="57" spans="1:6" x14ac:dyDescent="0.2">
      <c r="A57" s="20">
        <v>22</v>
      </c>
      <c r="B57" s="184" t="s">
        <v>19</v>
      </c>
      <c r="C57" s="185"/>
      <c r="D57" s="15">
        <f>IF(F3="1",SUMIF(Data!A:A,'9'!$A$2,Data!DP:DP),0)</f>
        <v>1472</v>
      </c>
      <c r="E57" s="18">
        <f>IF(F3="1",SUMIF(Data!$A:$A,'9'!$A$2,Data!JJ:JJ),0)</f>
        <v>1190</v>
      </c>
      <c r="F57" s="22">
        <f t="shared" si="3"/>
        <v>0.80842391304347827</v>
      </c>
    </row>
    <row r="58" spans="1:6" x14ac:dyDescent="0.2">
      <c r="A58" s="20">
        <v>23</v>
      </c>
      <c r="B58" s="184" t="s">
        <v>20</v>
      </c>
      <c r="C58" s="185"/>
      <c r="D58" s="15">
        <f>IF(F3="1",SUMIF(Data!A:A,'9'!$A$2,Data!DQ:DQ),0)</f>
        <v>65712</v>
      </c>
      <c r="E58" s="18">
        <f>IF(F3="1",SUMIF(Data!$A:$A,'9'!$A$2,Data!JK:JK),0)</f>
        <v>85031</v>
      </c>
      <c r="F58" s="22">
        <f t="shared" si="3"/>
        <v>1.2939950085220355</v>
      </c>
    </row>
    <row r="59" spans="1:6" x14ac:dyDescent="0.2">
      <c r="A59" s="20">
        <v>24</v>
      </c>
      <c r="B59" s="184" t="s">
        <v>21</v>
      </c>
      <c r="C59" s="185"/>
      <c r="D59" s="15">
        <f>IF(F3="1",SUMIF(Data!A:A,'9'!$A$2,Data!DR:DR),0)</f>
        <v>30960</v>
      </c>
      <c r="E59" s="18">
        <f>IF(F3="1",SUMIF(Data!$A:$A,'9'!$A$2,Data!JL:JL),0)</f>
        <v>12284</v>
      </c>
      <c r="F59" s="22">
        <f t="shared" si="3"/>
        <v>0.39677002583979326</v>
      </c>
    </row>
    <row r="60" spans="1:6" x14ac:dyDescent="0.2">
      <c r="A60" s="20">
        <v>25</v>
      </c>
      <c r="B60" s="184" t="s">
        <v>22</v>
      </c>
      <c r="C60" s="185"/>
      <c r="D60" s="15">
        <f>IF(F3="1",SUMIF(Data!A:A,'9'!$A$2,Data!DS:DS),0)</f>
        <v>312480</v>
      </c>
      <c r="E60" s="18">
        <f>IF(F3="1",SUMIF(Data!$A:$A,'9'!$A$2,Data!JM:JM),0)</f>
        <v>94812</v>
      </c>
      <c r="F60" s="22">
        <f t="shared" si="3"/>
        <v>0.30341781874039936</v>
      </c>
    </row>
    <row r="61" spans="1:6" x14ac:dyDescent="0.2">
      <c r="A61" s="20">
        <v>26</v>
      </c>
      <c r="B61" s="184" t="s">
        <v>23</v>
      </c>
      <c r="C61" s="185"/>
      <c r="D61" s="15">
        <f>IF(F3="1",SUMIF(Data!A:A,'9'!$A$2,Data!DT:DT),0)</f>
        <v>83368</v>
      </c>
      <c r="E61" s="18">
        <f>IF(F3="1",SUMIF(Data!$A:$A,'9'!$A$2,Data!JN:JN),0)</f>
        <v>104723</v>
      </c>
      <c r="F61" s="22">
        <f t="shared" si="3"/>
        <v>1.2561534401688896</v>
      </c>
    </row>
    <row r="62" spans="1:6" x14ac:dyDescent="0.2">
      <c r="A62" s="20">
        <v>28</v>
      </c>
      <c r="B62" s="184" t="s">
        <v>24</v>
      </c>
      <c r="C62" s="185"/>
      <c r="D62" s="15">
        <f>IF(F3="1",SUMIF(Data!A:A,'9'!$A$2,Data!DV:DV),0)</f>
        <v>0</v>
      </c>
      <c r="E62" s="18">
        <f>IF(F3="1",SUMIF(Data!$A:$A,'9'!$A$2,Data!JP:JP),0)</f>
        <v>0</v>
      </c>
      <c r="F62" s="22" t="str">
        <f t="shared" si="3"/>
        <v/>
      </c>
    </row>
    <row r="63" spans="1:6" ht="15.75" customHeight="1" thickBot="1" x14ac:dyDescent="0.25">
      <c r="A63" s="23">
        <v>29</v>
      </c>
      <c r="B63" s="186" t="s">
        <v>25</v>
      </c>
      <c r="C63" s="187"/>
      <c r="D63" s="24">
        <f>IF(F3="1",SUMIF(Data!A:A,'9'!$A$2,Data!DW:DW),0)</f>
        <v>0</v>
      </c>
      <c r="E63" s="25">
        <f>IF(F3="1",SUMIF(Data!$A:$A,'9'!$A$2,Data!JQ:JQ),0)</f>
        <v>0</v>
      </c>
      <c r="F63" s="26" t="str">
        <f t="shared" si="3"/>
        <v/>
      </c>
    </row>
    <row r="64" spans="1:6" x14ac:dyDescent="0.2">
      <c r="B64" s="31" t="s">
        <v>35</v>
      </c>
      <c r="C64" s="31"/>
      <c r="D64" s="61">
        <f>SUM(D36:D63)</f>
        <v>1605015</v>
      </c>
      <c r="E64" s="32">
        <f>SUM(E36:E63)</f>
        <v>794763</v>
      </c>
      <c r="F64" s="33">
        <f t="shared" si="3"/>
        <v>0.4951748114503603</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8000</v>
      </c>
      <c r="E67" s="16">
        <f>IF(F3="1",SUMIF(Data!A:A,'9'!$A$2,Data!DY:DY),0)</f>
        <v>47366</v>
      </c>
      <c r="F67" s="21">
        <f>IFERROR(E67/D67,"")</f>
        <v>5.92075</v>
      </c>
    </row>
    <row r="68" spans="1:6" x14ac:dyDescent="0.2">
      <c r="A68" s="20">
        <v>2</v>
      </c>
      <c r="B68" s="184" t="s">
        <v>1</v>
      </c>
      <c r="C68" s="185"/>
      <c r="D68" s="15">
        <f t="shared" ref="D68:D94" si="4">D37</f>
        <v>22240</v>
      </c>
      <c r="E68" s="18">
        <f>IF(F3="1",SUMIF(Data!A:A,'9'!$A$2,Data!DZ:DZ),0)</f>
        <v>55359</v>
      </c>
      <c r="F68" s="22">
        <f t="shared" ref="F68:F95" si="5">IFERROR(E68/D68,"")</f>
        <v>2.4891636690647481</v>
      </c>
    </row>
    <row r="69" spans="1:6" ht="14.25" customHeight="1" x14ac:dyDescent="0.2">
      <c r="A69" s="20">
        <v>3</v>
      </c>
      <c r="B69" s="184" t="s">
        <v>2</v>
      </c>
      <c r="C69" s="185"/>
      <c r="D69" s="15">
        <f t="shared" si="4"/>
        <v>191184</v>
      </c>
      <c r="E69" s="18">
        <f>IF(F3="1",SUMIF(Data!A:A,'9'!$A$2,Data!EA:EA),0)</f>
        <v>370260</v>
      </c>
      <c r="F69" s="22">
        <f t="shared" si="5"/>
        <v>1.9366683404468994</v>
      </c>
    </row>
    <row r="70" spans="1:6" ht="14.25" customHeight="1" x14ac:dyDescent="0.2">
      <c r="A70" s="20">
        <v>4</v>
      </c>
      <c r="B70" s="184" t="s">
        <v>3</v>
      </c>
      <c r="C70" s="185"/>
      <c r="D70" s="15">
        <f t="shared" si="4"/>
        <v>116924</v>
      </c>
      <c r="E70" s="18">
        <f>IF(F3="1",SUMIF(Data!A:A,'9'!$A$2,Data!EB:EB),0)</f>
        <v>186747</v>
      </c>
      <c r="F70" s="22">
        <f t="shared" si="5"/>
        <v>1.5971656802709453</v>
      </c>
    </row>
    <row r="71" spans="1:6" x14ac:dyDescent="0.2">
      <c r="A71" s="20">
        <v>5</v>
      </c>
      <c r="B71" s="184" t="s">
        <v>4</v>
      </c>
      <c r="C71" s="185"/>
      <c r="D71" s="15">
        <f t="shared" si="4"/>
        <v>0</v>
      </c>
      <c r="E71" s="18">
        <f>IF(F3="1",SUMIF(Data!A:A,'9'!$A$2,Data!EC:EC),0)</f>
        <v>0</v>
      </c>
      <c r="F71" s="22" t="str">
        <f t="shared" si="5"/>
        <v/>
      </c>
    </row>
    <row r="72" spans="1:6" x14ac:dyDescent="0.2">
      <c r="A72" s="20">
        <v>6</v>
      </c>
      <c r="B72" s="184" t="s">
        <v>5</v>
      </c>
      <c r="C72" s="185"/>
      <c r="D72" s="15">
        <f t="shared" si="4"/>
        <v>0</v>
      </c>
      <c r="E72" s="18">
        <f>IF(F3="1",SUMIF(Data!A:A,'9'!$A$2,Data!ED:ED),0)</f>
        <v>0</v>
      </c>
      <c r="F72" s="22" t="str">
        <f t="shared" si="5"/>
        <v/>
      </c>
    </row>
    <row r="73" spans="1:6" x14ac:dyDescent="0.2">
      <c r="A73" s="20">
        <v>7</v>
      </c>
      <c r="B73" s="184" t="s">
        <v>6</v>
      </c>
      <c r="C73" s="185"/>
      <c r="D73" s="15">
        <f t="shared" si="4"/>
        <v>9733</v>
      </c>
      <c r="E73" s="18">
        <f>IF(F3="1",SUMIF(Data!A:A,'9'!$A$2,Data!EE:EE),0)</f>
        <v>148191</v>
      </c>
      <c r="F73" s="22">
        <f t="shared" si="5"/>
        <v>15.225624165211137</v>
      </c>
    </row>
    <row r="74" spans="1:6" x14ac:dyDescent="0.2">
      <c r="A74" s="20">
        <v>8</v>
      </c>
      <c r="B74" s="184" t="s">
        <v>7</v>
      </c>
      <c r="C74" s="185"/>
      <c r="D74" s="15">
        <f t="shared" si="4"/>
        <v>1728</v>
      </c>
      <c r="E74" s="18">
        <f>IF(F3="1",SUMIF(Data!A:A,'9'!$A$2,Data!EF:EF),0)</f>
        <v>4745</v>
      </c>
      <c r="F74" s="22">
        <f t="shared" si="5"/>
        <v>2.745949074074074</v>
      </c>
    </row>
    <row r="75" spans="1:6" x14ac:dyDescent="0.2">
      <c r="A75" s="20">
        <v>9</v>
      </c>
      <c r="B75" s="184" t="s">
        <v>8</v>
      </c>
      <c r="C75" s="185"/>
      <c r="D75" s="15">
        <f t="shared" si="4"/>
        <v>58004</v>
      </c>
      <c r="E75" s="18">
        <f>IF(F3="1",SUMIF(Data!A:A,'9'!$A$2,Data!EG:EG),0)</f>
        <v>130989</v>
      </c>
      <c r="F75" s="22">
        <f t="shared" si="5"/>
        <v>2.2582752913592166</v>
      </c>
    </row>
    <row r="76" spans="1:6" x14ac:dyDescent="0.2">
      <c r="A76" s="20">
        <v>10</v>
      </c>
      <c r="B76" s="184" t="s">
        <v>9</v>
      </c>
      <c r="C76" s="185"/>
      <c r="D76" s="15">
        <f t="shared" si="4"/>
        <v>0</v>
      </c>
      <c r="E76" s="18">
        <f>IF(F3="1",SUMIF(Data!A:A,'9'!$A$2,Data!EH:EH),0)</f>
        <v>0</v>
      </c>
      <c r="F76" s="22" t="str">
        <f t="shared" si="5"/>
        <v/>
      </c>
    </row>
    <row r="77" spans="1:6" x14ac:dyDescent="0.2">
      <c r="A77" s="20">
        <v>11</v>
      </c>
      <c r="B77" s="184" t="s">
        <v>10</v>
      </c>
      <c r="C77" s="185"/>
      <c r="D77" s="15">
        <f t="shared" si="4"/>
        <v>6144</v>
      </c>
      <c r="E77" s="18">
        <f>IF(F3="1",SUMIF(Data!A:A,'9'!$A$2,Data!EI:EI),0)</f>
        <v>15026</v>
      </c>
      <c r="F77" s="22">
        <f t="shared" si="5"/>
        <v>2.4456380208333335</v>
      </c>
    </row>
    <row r="78" spans="1:6" ht="14.25" customHeight="1" x14ac:dyDescent="0.2">
      <c r="A78" s="20">
        <v>12</v>
      </c>
      <c r="B78" s="184" t="s">
        <v>11</v>
      </c>
      <c r="C78" s="185"/>
      <c r="D78" s="15">
        <f t="shared" si="4"/>
        <v>237696</v>
      </c>
      <c r="E78" s="18">
        <f>IF(F3="1",SUMIF(Data!A:A,'9'!$A$2,Data!EJ:EJ),0)</f>
        <v>680288</v>
      </c>
      <c r="F78" s="22">
        <f t="shared" si="5"/>
        <v>2.8620086160473881</v>
      </c>
    </row>
    <row r="79" spans="1:6" x14ac:dyDescent="0.2">
      <c r="A79" s="20">
        <v>13</v>
      </c>
      <c r="B79" s="184" t="s">
        <v>12</v>
      </c>
      <c r="C79" s="185"/>
      <c r="D79" s="15">
        <f t="shared" si="4"/>
        <v>22128</v>
      </c>
      <c r="E79" s="18">
        <f>IF(F3="1",SUMIF(Data!A:A,'9'!$A$2,Data!EK:EK),0)</f>
        <v>60055</v>
      </c>
      <c r="F79" s="22">
        <f t="shared" si="5"/>
        <v>2.7139822848879249</v>
      </c>
    </row>
    <row r="80" spans="1:6" ht="14.25" customHeight="1" x14ac:dyDescent="0.2">
      <c r="A80" s="20">
        <v>14</v>
      </c>
      <c r="B80" s="184" t="s">
        <v>469</v>
      </c>
      <c r="C80" s="185"/>
      <c r="D80" s="15">
        <f t="shared" si="4"/>
        <v>59280</v>
      </c>
      <c r="E80" s="18">
        <f>IF(F3="1",SUMIF(Data!A:A,'9'!$A$2,Data!EL:EL),0)</f>
        <v>226482</v>
      </c>
      <c r="F80" s="22">
        <f t="shared" si="5"/>
        <v>3.8205465587044536</v>
      </c>
    </row>
    <row r="81" spans="1:6" x14ac:dyDescent="0.2">
      <c r="A81" s="20">
        <v>15</v>
      </c>
      <c r="B81" s="184" t="s">
        <v>13</v>
      </c>
      <c r="C81" s="185"/>
      <c r="D81" s="15">
        <f t="shared" si="4"/>
        <v>0</v>
      </c>
      <c r="E81" s="18">
        <f>IF(F3="1",SUMIF(Data!A:A,'9'!$A$2,Data!EM:EM),0)</f>
        <v>0</v>
      </c>
      <c r="F81" s="22" t="str">
        <f t="shared" si="5"/>
        <v/>
      </c>
    </row>
    <row r="82" spans="1:6" x14ac:dyDescent="0.2">
      <c r="A82" s="20">
        <v>16</v>
      </c>
      <c r="B82" s="184" t="s">
        <v>14</v>
      </c>
      <c r="C82" s="185"/>
      <c r="D82" s="15">
        <f t="shared" si="4"/>
        <v>77120</v>
      </c>
      <c r="E82" s="18">
        <f>IF(F3="1",SUMIF(Data!A:A,'9'!$A$2,Data!EN:EN),0)</f>
        <v>121406</v>
      </c>
      <c r="F82" s="22">
        <f t="shared" si="5"/>
        <v>1.5742479253112034</v>
      </c>
    </row>
    <row r="83" spans="1:6" x14ac:dyDescent="0.2">
      <c r="A83" s="20">
        <v>17</v>
      </c>
      <c r="B83" s="184" t="s">
        <v>15</v>
      </c>
      <c r="C83" s="185"/>
      <c r="D83" s="15">
        <f t="shared" si="4"/>
        <v>22042</v>
      </c>
      <c r="E83" s="18">
        <f>IF(F3="1",SUMIF(Data!A:A,'9'!$A$2,Data!EO:EO),0)</f>
        <v>130646</v>
      </c>
      <c r="F83" s="22">
        <f t="shared" si="5"/>
        <v>5.9271390980854735</v>
      </c>
    </row>
    <row r="84" spans="1:6" x14ac:dyDescent="0.2">
      <c r="A84" s="20">
        <v>18</v>
      </c>
      <c r="B84" s="184" t="s">
        <v>16</v>
      </c>
      <c r="C84" s="185"/>
      <c r="D84" s="15">
        <f t="shared" si="4"/>
        <v>104960</v>
      </c>
      <c r="E84" s="18">
        <f>IF(F3="1",SUMIF(Data!A:A,'9'!$A$2,Data!EP:EP),0)</f>
        <v>320725</v>
      </c>
      <c r="F84" s="22">
        <f t="shared" si="5"/>
        <v>3.055687881097561</v>
      </c>
    </row>
    <row r="85" spans="1:6" x14ac:dyDescent="0.2">
      <c r="A85" s="20">
        <v>19</v>
      </c>
      <c r="B85" s="184" t="s">
        <v>17</v>
      </c>
      <c r="C85" s="185"/>
      <c r="D85" s="15">
        <f t="shared" si="4"/>
        <v>157040</v>
      </c>
      <c r="E85" s="18">
        <f>IF(F3="1",SUMIF(Data!A:A,'9'!$A$2,Data!EQ:EQ),0)</f>
        <v>446704</v>
      </c>
      <c r="F85" s="22">
        <f t="shared" si="5"/>
        <v>2.8445236882322975</v>
      </c>
    </row>
    <row r="86" spans="1:6" x14ac:dyDescent="0.2">
      <c r="A86" s="20">
        <v>20</v>
      </c>
      <c r="B86" s="184" t="s">
        <v>18</v>
      </c>
      <c r="C86" s="185"/>
      <c r="D86" s="15">
        <f t="shared" si="4"/>
        <v>16800</v>
      </c>
      <c r="E86" s="18">
        <f>IF(F3="1",SUMIF(Data!A:A,'9'!$A$2,Data!ER:ER),0)</f>
        <v>103318</v>
      </c>
      <c r="F86" s="22">
        <f t="shared" si="5"/>
        <v>6.1498809523809523</v>
      </c>
    </row>
    <row r="87" spans="1:6" ht="14.25" customHeight="1" x14ac:dyDescent="0.2">
      <c r="A87" s="20">
        <v>21</v>
      </c>
      <c r="B87" s="184" t="s">
        <v>466</v>
      </c>
      <c r="C87" s="185"/>
      <c r="D87" s="15">
        <f t="shared" si="4"/>
        <v>0</v>
      </c>
      <c r="E87" s="18">
        <f>IF(F3="1",SUMIF(Data!A:A,'9'!$A$2,Data!ES:ES),0)</f>
        <v>0</v>
      </c>
      <c r="F87" s="22" t="str">
        <f t="shared" si="5"/>
        <v/>
      </c>
    </row>
    <row r="88" spans="1:6" x14ac:dyDescent="0.2">
      <c r="A88" s="20">
        <v>22</v>
      </c>
      <c r="B88" s="184" t="s">
        <v>19</v>
      </c>
      <c r="C88" s="185"/>
      <c r="D88" s="15">
        <f t="shared" si="4"/>
        <v>1472</v>
      </c>
      <c r="E88" s="18">
        <f>IF(F3="1",SUMIF(Data!A:A,'9'!$A$2,Data!ET:ET),0)</f>
        <v>3954</v>
      </c>
      <c r="F88" s="22">
        <f t="shared" si="5"/>
        <v>2.6861413043478262</v>
      </c>
    </row>
    <row r="89" spans="1:6" x14ac:dyDescent="0.2">
      <c r="A89" s="20">
        <v>23</v>
      </c>
      <c r="B89" s="184" t="s">
        <v>20</v>
      </c>
      <c r="C89" s="185"/>
      <c r="D89" s="15">
        <f t="shared" si="4"/>
        <v>65712</v>
      </c>
      <c r="E89" s="18">
        <f>IF(F3="1",SUMIF(Data!A:A,'9'!$A$2,Data!EU:EU),0)</f>
        <v>468208</v>
      </c>
      <c r="F89" s="22">
        <f t="shared" si="5"/>
        <v>7.1251521792062329</v>
      </c>
    </row>
    <row r="90" spans="1:6" x14ac:dyDescent="0.2">
      <c r="A90" s="20">
        <v>24</v>
      </c>
      <c r="B90" s="184" t="s">
        <v>21</v>
      </c>
      <c r="C90" s="185"/>
      <c r="D90" s="15">
        <f t="shared" si="4"/>
        <v>30960</v>
      </c>
      <c r="E90" s="18">
        <f>IF(F3="1",SUMIF(Data!A:A,'9'!$A$2,Data!EV:EV),0)</f>
        <v>106986</v>
      </c>
      <c r="F90" s="22">
        <f t="shared" si="5"/>
        <v>3.4556201550387597</v>
      </c>
    </row>
    <row r="91" spans="1:6" x14ac:dyDescent="0.2">
      <c r="A91" s="20">
        <v>25</v>
      </c>
      <c r="B91" s="184" t="s">
        <v>22</v>
      </c>
      <c r="C91" s="185"/>
      <c r="D91" s="15">
        <f t="shared" si="4"/>
        <v>312480</v>
      </c>
      <c r="E91" s="18">
        <f>IF(F3="1",SUMIF(Data!A:A,'9'!$A$2,Data!EW:EW),0)</f>
        <v>731204</v>
      </c>
      <c r="F91" s="22">
        <f t="shared" si="5"/>
        <v>2.3400025601638506</v>
      </c>
    </row>
    <row r="92" spans="1:6" x14ac:dyDescent="0.2">
      <c r="A92" s="20">
        <v>26</v>
      </c>
      <c r="B92" s="184" t="s">
        <v>23</v>
      </c>
      <c r="C92" s="185"/>
      <c r="D92" s="15">
        <f t="shared" si="4"/>
        <v>83368</v>
      </c>
      <c r="E92" s="18">
        <f>IF(F3="1",SUMIF(Data!A:A,'9'!$A$2,Data!EX:EX),0)</f>
        <v>207109</v>
      </c>
      <c r="F92" s="22">
        <f t="shared" si="5"/>
        <v>2.4842745417906151</v>
      </c>
    </row>
    <row r="93" spans="1:6" x14ac:dyDescent="0.2">
      <c r="A93" s="20">
        <v>28</v>
      </c>
      <c r="B93" s="184" t="s">
        <v>24</v>
      </c>
      <c r="C93" s="185"/>
      <c r="D93" s="15">
        <f t="shared" si="4"/>
        <v>0</v>
      </c>
      <c r="E93" s="18">
        <f>IF(F3="1",SUMIF(Data!A:A,'9'!$A$2,Data!EZ:EZ),0)</f>
        <v>0</v>
      </c>
      <c r="F93" s="22" t="str">
        <f t="shared" si="5"/>
        <v/>
      </c>
    </row>
    <row r="94" spans="1:6" ht="15.75" customHeight="1" thickBot="1" x14ac:dyDescent="0.25">
      <c r="A94" s="23">
        <v>29</v>
      </c>
      <c r="B94" s="186" t="s">
        <v>25</v>
      </c>
      <c r="C94" s="187"/>
      <c r="D94" s="24">
        <f t="shared" si="4"/>
        <v>0</v>
      </c>
      <c r="E94" s="25">
        <f>IF(F3="1",SUMIF(Data!A:A,'9'!$A$2,Data!FA:FA),0)</f>
        <v>0</v>
      </c>
      <c r="F94" s="26" t="str">
        <f t="shared" si="5"/>
        <v/>
      </c>
    </row>
    <row r="95" spans="1:6" x14ac:dyDescent="0.2">
      <c r="B95" s="31" t="s">
        <v>35</v>
      </c>
      <c r="C95" s="31"/>
      <c r="D95" s="61">
        <f>SUM(D67:D94)</f>
        <v>1605015</v>
      </c>
      <c r="E95" s="32">
        <f>SUM(E67:E94)</f>
        <v>4565768</v>
      </c>
      <c r="F95" s="33">
        <f t="shared" si="5"/>
        <v>2.8446886789220041</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IF(F3="1",SUMIF(Data!A:A,'9'!$A$2,Data!AH:AH),0)</f>
        <v>1954294</v>
      </c>
      <c r="F98" s="21">
        <f t="shared" ref="F98:F105" si="6">IFERROR(E98/$D$95,0)</f>
        <v>1.2176172808353816</v>
      </c>
    </row>
    <row r="99" spans="2:6" x14ac:dyDescent="0.2">
      <c r="B99" s="190" t="s">
        <v>31</v>
      </c>
      <c r="C99" s="191"/>
      <c r="D99" s="37"/>
      <c r="E99" s="18">
        <f>IF(F3="1",SUMIF(Data!A:A,'9'!$A$2,Data!AI:AI),0)</f>
        <v>991093</v>
      </c>
      <c r="F99" s="22">
        <f t="shared" si="6"/>
        <v>0.61749765578514848</v>
      </c>
    </row>
    <row r="100" spans="2:6" x14ac:dyDescent="0.2">
      <c r="B100" s="190" t="s">
        <v>32</v>
      </c>
      <c r="C100" s="191"/>
      <c r="D100" s="37"/>
      <c r="E100" s="18">
        <f>IF(F3="1",SUMIF(Data!A:A,'9'!$A$2,Data!AJ:AJ),0)</f>
        <v>722845</v>
      </c>
      <c r="F100" s="22">
        <f t="shared" si="6"/>
        <v>0.45036650747812323</v>
      </c>
    </row>
    <row r="101" spans="2:6" x14ac:dyDescent="0.2">
      <c r="B101" s="190" t="s">
        <v>28</v>
      </c>
      <c r="C101" s="191"/>
      <c r="D101" s="37"/>
      <c r="E101" s="18">
        <f>IF(F3="1",SUMIF(Data!A:A,'9'!$A$2,Data!AK:AK),0)</f>
        <v>0</v>
      </c>
      <c r="F101" s="22">
        <f t="shared" si="6"/>
        <v>0</v>
      </c>
    </row>
    <row r="102" spans="2:6" x14ac:dyDescent="0.2">
      <c r="B102" s="190" t="s">
        <v>33</v>
      </c>
      <c r="C102" s="191"/>
      <c r="D102" s="37"/>
      <c r="E102" s="18">
        <f>IF(F3="1",SUMIF(Data!A:A,'9'!$A$2,Data!AL:AL),0)</f>
        <v>0</v>
      </c>
      <c r="F102" s="22">
        <f t="shared" si="6"/>
        <v>0</v>
      </c>
    </row>
    <row r="103" spans="2:6" x14ac:dyDescent="0.2">
      <c r="B103" s="192" t="s">
        <v>34</v>
      </c>
      <c r="C103" s="193"/>
      <c r="D103" s="37"/>
      <c r="E103" s="18">
        <f>IF(F3="1",SUMIF(Data!A:A,'9'!$A$2,Data!AM:AM),0)</f>
        <v>301503</v>
      </c>
      <c r="F103" s="22">
        <f t="shared" si="6"/>
        <v>0.18785058083569312</v>
      </c>
    </row>
    <row r="104" spans="2:6" ht="15.75" customHeight="1" thickBot="1" x14ac:dyDescent="0.25">
      <c r="B104" s="182" t="s">
        <v>29</v>
      </c>
      <c r="C104" s="183"/>
      <c r="D104" s="38"/>
      <c r="E104" s="25">
        <f>IF(F3="1",SUMIF(Data!A:A,'9'!$A$2,Data!Q:Q),0)</f>
        <v>191271</v>
      </c>
      <c r="F104" s="26">
        <f t="shared" si="6"/>
        <v>0.11917084887057131</v>
      </c>
    </row>
    <row r="105" spans="2:6" x14ac:dyDescent="0.2">
      <c r="B105" s="31" t="s">
        <v>35</v>
      </c>
      <c r="C105" s="31"/>
      <c r="D105" s="35">
        <f>D95</f>
        <v>1605015</v>
      </c>
      <c r="E105" s="32">
        <f>SUM(E98:E104)</f>
        <v>4161006</v>
      </c>
      <c r="F105" s="33">
        <f t="shared" si="6"/>
        <v>2.5925028738049178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4565768</v>
      </c>
      <c r="D109" s="16">
        <f>IF(F3="1",SUMIF(Data!$A:$A,$A$2,Data!HJ:HJ),0)</f>
        <v>0</v>
      </c>
      <c r="E109" s="16">
        <f>IF(F3="1",SUMIF(Data!$A:$A,$A$2,Data!IN:IN),0)</f>
        <v>0</v>
      </c>
      <c r="F109" s="48">
        <f>SUM(C109:E109)</f>
        <v>4565768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191271</v>
      </c>
      <c r="E117" s="53"/>
      <c r="F117" s="50">
        <f>SUM(C117:E117)</f>
        <v>191271</v>
      </c>
    </row>
    <row r="118" spans="1:6" x14ac:dyDescent="0.2">
      <c r="B118" s="14" t="s">
        <v>35</v>
      </c>
      <c r="C118" s="5">
        <f>SUM(C109:C116)</f>
        <v>4565768</v>
      </c>
      <c r="D118" s="5">
        <f>SUM(D109:D116)</f>
        <v>0</v>
      </c>
      <c r="E118" s="5">
        <f>SUM(E109:E116)</f>
        <v>0</v>
      </c>
      <c r="F118" s="5">
        <f>SUM(F109:F116)</f>
        <v>4565768</v>
      </c>
    </row>
    <row r="119" spans="1:6" ht="15" thickBot="1" x14ac:dyDescent="0.25"/>
    <row r="120" spans="1:6" ht="15" thickBot="1" x14ac:dyDescent="0.25">
      <c r="B120" s="57" t="s">
        <v>942</v>
      </c>
      <c r="C120" s="55"/>
      <c r="D120" s="55"/>
      <c r="E120" s="55">
        <f>IF(F3="1",SUMIF(Data!A:A,'9'!$A$2,Data!AM:AM),0)</f>
        <v>301503</v>
      </c>
      <c r="F120" s="56">
        <f>SUM(C120:E120)</f>
        <v>301503</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2" width="12.42578125" style="11" bestFit="1" customWidth="1"/>
    <col min="13" max="13" width="10.285156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360</v>
      </c>
      <c r="B2" s="60" t="str">
        <f>VLOOKUP(A2,Data!A:G,7,0)</f>
        <v>Clarendon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44448</v>
      </c>
      <c r="E5" s="16">
        <f>E36+E67+IFERROR($E$105/$D$105*D5,0)</f>
        <v>382824.90132798348</v>
      </c>
      <c r="F5" s="21">
        <f>IFERROR(E5/D5,"")</f>
        <v>8.6128712501796141</v>
      </c>
    </row>
    <row r="6" spans="1:6" x14ac:dyDescent="0.2">
      <c r="A6" s="20">
        <v>2</v>
      </c>
      <c r="B6" s="184" t="s">
        <v>1</v>
      </c>
      <c r="C6" s="185"/>
      <c r="D6" s="15">
        <f t="shared" ref="D6:D32" si="0">D37</f>
        <v>1728</v>
      </c>
      <c r="E6" s="18">
        <f t="shared" ref="E6:E32" si="1">E37+E68+IFERROR($E$105/$D$105*D6,0)</f>
        <v>11100.257503031755</v>
      </c>
      <c r="F6" s="22">
        <f t="shared" ref="F6:F33" si="2">IFERROR(E6/D6,"")</f>
        <v>6.4237601290693025</v>
      </c>
    </row>
    <row r="7" spans="1:6" ht="14.25" customHeight="1" x14ac:dyDescent="0.2">
      <c r="A7" s="20">
        <v>3</v>
      </c>
      <c r="B7" s="184" t="s">
        <v>2</v>
      </c>
      <c r="C7" s="185"/>
      <c r="D7" s="15">
        <f t="shared" si="0"/>
        <v>74560</v>
      </c>
      <c r="E7" s="18">
        <f t="shared" si="1"/>
        <v>406190.96263081464</v>
      </c>
      <c r="F7" s="22">
        <f t="shared" si="2"/>
        <v>5.4478401640398957</v>
      </c>
    </row>
    <row r="8" spans="1:6" ht="14.25" customHeight="1" x14ac:dyDescent="0.2">
      <c r="A8" s="20">
        <v>4</v>
      </c>
      <c r="B8" s="184" t="s">
        <v>3</v>
      </c>
      <c r="C8" s="185"/>
      <c r="D8" s="15">
        <f t="shared" si="0"/>
        <v>38320</v>
      </c>
      <c r="E8" s="18">
        <f t="shared" si="1"/>
        <v>218856.53444223196</v>
      </c>
      <c r="F8" s="22">
        <f t="shared" si="2"/>
        <v>5.7112874332523997</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432</v>
      </c>
      <c r="E10" s="18">
        <f t="shared" si="1"/>
        <v>1943.8143757579387</v>
      </c>
      <c r="F10" s="22">
        <f t="shared" si="2"/>
        <v>4.4995703142544876</v>
      </c>
    </row>
    <row r="11" spans="1:6" x14ac:dyDescent="0.2">
      <c r="A11" s="20">
        <v>7</v>
      </c>
      <c r="B11" s="184" t="s">
        <v>6</v>
      </c>
      <c r="C11" s="185"/>
      <c r="D11" s="15">
        <f t="shared" si="0"/>
        <v>29858</v>
      </c>
      <c r="E11" s="18">
        <f t="shared" si="1"/>
        <v>241187.17044301049</v>
      </c>
      <c r="F11" s="22">
        <f t="shared" si="2"/>
        <v>8.0778073026663026</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39040</v>
      </c>
      <c r="E13" s="18">
        <f t="shared" si="1"/>
        <v>164218.2250684952</v>
      </c>
      <c r="F13" s="22">
        <f t="shared" si="2"/>
        <v>4.2064094535987504</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18384</v>
      </c>
      <c r="E15" s="18">
        <f t="shared" si="1"/>
        <v>126638.1006572545</v>
      </c>
      <c r="F15" s="22">
        <f t="shared" si="2"/>
        <v>6.8884954665608413</v>
      </c>
    </row>
    <row r="16" spans="1:6" ht="14.25" customHeight="1" x14ac:dyDescent="0.2">
      <c r="A16" s="20">
        <v>12</v>
      </c>
      <c r="B16" s="184" t="s">
        <v>11</v>
      </c>
      <c r="C16" s="185"/>
      <c r="D16" s="15">
        <f t="shared" si="0"/>
        <v>89136</v>
      </c>
      <c r="E16" s="18">
        <f t="shared" si="1"/>
        <v>508570.699531388</v>
      </c>
      <c r="F16" s="22">
        <f t="shared" si="2"/>
        <v>5.705558915941797</v>
      </c>
    </row>
    <row r="17" spans="1:6" x14ac:dyDescent="0.2">
      <c r="A17" s="20">
        <v>13</v>
      </c>
      <c r="B17" s="184" t="s">
        <v>12</v>
      </c>
      <c r="C17" s="185"/>
      <c r="D17" s="15">
        <f t="shared" si="0"/>
        <v>13680</v>
      </c>
      <c r="E17" s="18">
        <f t="shared" si="1"/>
        <v>79897.121899001388</v>
      </c>
      <c r="F17" s="22">
        <f t="shared" si="2"/>
        <v>5.8404328873539022</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8080</v>
      </c>
      <c r="E20" s="18">
        <f t="shared" si="1"/>
        <v>30129.528139176258</v>
      </c>
      <c r="F20" s="22">
        <f t="shared" si="2"/>
        <v>3.7289019974228044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57520</v>
      </c>
      <c r="E22" s="18">
        <f t="shared" si="1"/>
        <v>353901.28447591816</v>
      </c>
      <c r="F22" s="22">
        <f t="shared" si="2"/>
        <v>6.1526648900542105</v>
      </c>
    </row>
    <row r="23" spans="1:6" x14ac:dyDescent="0.2">
      <c r="A23" s="20">
        <v>19</v>
      </c>
      <c r="B23" s="184" t="s">
        <v>17</v>
      </c>
      <c r="C23" s="185"/>
      <c r="D23" s="15">
        <f t="shared" si="0"/>
        <v>50864</v>
      </c>
      <c r="E23" s="18">
        <f t="shared" si="1"/>
        <v>285538.14446424029</v>
      </c>
      <c r="F23" s="22">
        <f t="shared" si="2"/>
        <v>5.6137571654655609</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1440</v>
      </c>
      <c r="E26" s="18">
        <f t="shared" si="1"/>
        <v>13860.381252526462</v>
      </c>
      <c r="F26" s="22">
        <f t="shared" si="2"/>
        <v>9.6252647586989326</v>
      </c>
    </row>
    <row r="27" spans="1:6" x14ac:dyDescent="0.2">
      <c r="A27" s="20">
        <v>23</v>
      </c>
      <c r="B27" s="184" t="s">
        <v>20</v>
      </c>
      <c r="C27" s="185"/>
      <c r="D27" s="15">
        <f t="shared" si="0"/>
        <v>42368</v>
      </c>
      <c r="E27" s="18">
        <f t="shared" si="1"/>
        <v>303267.79507433414</v>
      </c>
      <c r="F27" s="22">
        <f t="shared" si="2"/>
        <v>7.1579445589674791</v>
      </c>
    </row>
    <row r="28" spans="1:6" x14ac:dyDescent="0.2">
      <c r="A28" s="20">
        <v>24</v>
      </c>
      <c r="B28" s="184" t="s">
        <v>21</v>
      </c>
      <c r="C28" s="185"/>
      <c r="D28" s="15">
        <f t="shared" si="0"/>
        <v>17752</v>
      </c>
      <c r="E28" s="18">
        <f t="shared" si="1"/>
        <v>58399.372218645665</v>
      </c>
      <c r="F28" s="22">
        <f t="shared" si="2"/>
        <v>3.2897348027628248</v>
      </c>
    </row>
    <row r="29" spans="1:6" x14ac:dyDescent="0.2">
      <c r="A29" s="20">
        <v>25</v>
      </c>
      <c r="B29" s="184" t="s">
        <v>22</v>
      </c>
      <c r="C29" s="185"/>
      <c r="D29" s="15">
        <f t="shared" si="0"/>
        <v>105760</v>
      </c>
      <c r="E29" s="18">
        <f t="shared" si="1"/>
        <v>552240.55643555464</v>
      </c>
      <c r="F29" s="22">
        <f t="shared" si="2"/>
        <v>5.221639149352824</v>
      </c>
    </row>
    <row r="30" spans="1:6" x14ac:dyDescent="0.2">
      <c r="A30" s="20">
        <v>26</v>
      </c>
      <c r="B30" s="184" t="s">
        <v>23</v>
      </c>
      <c r="C30" s="185"/>
      <c r="D30" s="15">
        <f t="shared" si="0"/>
        <v>34560</v>
      </c>
      <c r="E30" s="18">
        <f t="shared" si="1"/>
        <v>162024.15006063509</v>
      </c>
      <c r="F30" s="22">
        <f t="shared" si="2"/>
        <v>4.6881987864767094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667930</v>
      </c>
      <c r="E33" s="32">
        <f>SUM(E5:E32)</f>
        <v>3900789</v>
      </c>
      <c r="F33" s="33">
        <f t="shared" si="2"/>
        <v>5.8401164792717797</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IF(F3="1",SUMIF(Data!A:A,'10'!$A$2,Data!CU:CU),0)</f>
        <v>44448</v>
      </c>
      <c r="E36" s="16">
        <f>IF(F3="1",SUMIF(Data!$A:$A,'10'!$A$2,Data!IO:IO),0)</f>
        <v>40076</v>
      </c>
      <c r="F36" s="21">
        <f t="shared" ref="F36:F64" si="3">IFERROR(E36/D36,"")</f>
        <v>0.90163786897048237</v>
      </c>
    </row>
    <row r="37" spans="1:6" x14ac:dyDescent="0.2">
      <c r="A37" s="20">
        <v>2</v>
      </c>
      <c r="B37" s="184" t="s">
        <v>1</v>
      </c>
      <c r="C37" s="185"/>
      <c r="D37" s="15">
        <f>IF(F3="1",SUMIF(Data!A:A,'10'!$A$2,Data!CV:CV),0)</f>
        <v>1728</v>
      </c>
      <c r="E37" s="18">
        <f>IF(F3="1",SUMIF(Data!$A:$A,'10'!$A$2,Data!IP:IP),0)</f>
        <v>0</v>
      </c>
      <c r="F37" s="22">
        <f t="shared" si="3"/>
        <v>0</v>
      </c>
    </row>
    <row r="38" spans="1:6" ht="14.25" customHeight="1" x14ac:dyDescent="0.2">
      <c r="A38" s="20">
        <v>3</v>
      </c>
      <c r="B38" s="184" t="s">
        <v>2</v>
      </c>
      <c r="C38" s="185"/>
      <c r="D38" s="15">
        <f>IF(F3="1",SUMIF(Data!A:A,'10'!$A$2,Data!CW:CW),0)</f>
        <v>74560</v>
      </c>
      <c r="E38" s="18">
        <f>IF(F3="1",SUMIF(Data!$A:$A,'10'!$A$2,Data!IQ:IQ),0)</f>
        <v>11996</v>
      </c>
      <c r="F38" s="22">
        <f t="shared" si="3"/>
        <v>0.16089055793991416</v>
      </c>
    </row>
    <row r="39" spans="1:6" ht="14.25" customHeight="1" x14ac:dyDescent="0.2">
      <c r="A39" s="20">
        <v>4</v>
      </c>
      <c r="B39" s="184" t="s">
        <v>3</v>
      </c>
      <c r="C39" s="185"/>
      <c r="D39" s="15">
        <f>IF(F3="1",SUMIF(Data!A:A,'10'!$A$2,Data!CX:CX),0)</f>
        <v>38320</v>
      </c>
      <c r="E39" s="18">
        <f>IF(F3="1",SUMIF(Data!$A:$A,'10'!$A$2,Data!IR:IR),0)</f>
        <v>5915</v>
      </c>
      <c r="F39" s="22">
        <f t="shared" si="3"/>
        <v>0.15435803757828809</v>
      </c>
    </row>
    <row r="40" spans="1:6" x14ac:dyDescent="0.2">
      <c r="A40" s="20">
        <v>5</v>
      </c>
      <c r="B40" s="184" t="s">
        <v>4</v>
      </c>
      <c r="C40" s="185"/>
      <c r="D40" s="15">
        <f>IF(F3="1",SUMIF(Data!A:A,'10'!$A$2,Data!CY:CY),0)</f>
        <v>0</v>
      </c>
      <c r="E40" s="18">
        <f>IF(F3="1",SUMIF(Data!$A:$A,'10'!$A$2,Data!IS:IS),0)</f>
        <v>0</v>
      </c>
      <c r="F40" s="22" t="str">
        <f t="shared" si="3"/>
        <v/>
      </c>
    </row>
    <row r="41" spans="1:6" x14ac:dyDescent="0.2">
      <c r="A41" s="20">
        <v>6</v>
      </c>
      <c r="B41" s="184" t="s">
        <v>5</v>
      </c>
      <c r="C41" s="185"/>
      <c r="D41" s="15">
        <f>IF(F3="1",SUMIF(Data!A:A,'10'!$A$2,Data!CZ:CZ),0)</f>
        <v>432</v>
      </c>
      <c r="E41" s="18">
        <f>IF(F3="1",SUMIF(Data!$A:$A,'10'!$A$2,Data!IT:IT),0)</f>
        <v>0</v>
      </c>
      <c r="F41" s="22">
        <f t="shared" si="3"/>
        <v>0</v>
      </c>
    </row>
    <row r="42" spans="1:6" x14ac:dyDescent="0.2">
      <c r="A42" s="20">
        <v>7</v>
      </c>
      <c r="B42" s="184" t="s">
        <v>6</v>
      </c>
      <c r="C42" s="185"/>
      <c r="D42" s="15">
        <f>IF(F3="1",SUMIF(Data!A:A,'10'!$A$2,Data!DA:DA),0)</f>
        <v>29858</v>
      </c>
      <c r="E42" s="18">
        <f>IF(F3="1",SUMIF(Data!$A:$A,'10'!$A$2,Data!IU:IU),0)</f>
        <v>1953</v>
      </c>
      <c r="F42" s="22">
        <f t="shared" si="3"/>
        <v>6.5409605465871795E-2</v>
      </c>
    </row>
    <row r="43" spans="1:6" x14ac:dyDescent="0.2">
      <c r="A43" s="20">
        <v>8</v>
      </c>
      <c r="B43" s="184" t="s">
        <v>7</v>
      </c>
      <c r="C43" s="185"/>
      <c r="D43" s="15">
        <f>IF(F3="1",SUMIF(Data!A:A,'10'!$A$2,Data!DB:DB),0)</f>
        <v>0</v>
      </c>
      <c r="E43" s="18">
        <f>IF(F3="1",SUMIF(Data!$A:$A,'10'!$A$2,Data!IV:IV),0)</f>
        <v>0</v>
      </c>
      <c r="F43" s="22" t="str">
        <f t="shared" si="3"/>
        <v/>
      </c>
    </row>
    <row r="44" spans="1:6" x14ac:dyDescent="0.2">
      <c r="A44" s="20">
        <v>9</v>
      </c>
      <c r="B44" s="184" t="s">
        <v>8</v>
      </c>
      <c r="C44" s="185"/>
      <c r="D44" s="15">
        <f>IF(F3="1",SUMIF(Data!A:A,'10'!$A$2,Data!DC:DC),0)</f>
        <v>39040</v>
      </c>
      <c r="E44" s="18">
        <f>IF(F3="1",SUMIF(Data!$A:$A,'10'!$A$2,Data!IW:IW),0)</f>
        <v>38</v>
      </c>
      <c r="F44" s="22">
        <f t="shared" si="3"/>
        <v>9.7336065573770496E-4</v>
      </c>
    </row>
    <row r="45" spans="1:6" x14ac:dyDescent="0.2">
      <c r="A45" s="20">
        <v>10</v>
      </c>
      <c r="B45" s="184" t="s">
        <v>9</v>
      </c>
      <c r="C45" s="185"/>
      <c r="D45" s="15">
        <f>IF(F3="1",SUMIF(Data!A:A,'10'!$A$2,Data!DD:DD),0)</f>
        <v>0</v>
      </c>
      <c r="E45" s="18">
        <f>IF(F3="1",SUMIF(Data!$A:$A,'10'!$A$2,Data!IX:IX),0)</f>
        <v>0</v>
      </c>
      <c r="F45" s="22" t="str">
        <f t="shared" si="3"/>
        <v/>
      </c>
    </row>
    <row r="46" spans="1:6" x14ac:dyDescent="0.2">
      <c r="A46" s="20">
        <v>11</v>
      </c>
      <c r="B46" s="184" t="s">
        <v>10</v>
      </c>
      <c r="C46" s="185"/>
      <c r="D46" s="15">
        <f>IF(F3="1",SUMIF(Data!A:A,'10'!$A$2,Data!DE:DE),0)</f>
        <v>18384</v>
      </c>
      <c r="E46" s="18">
        <f>IF(F3="1",SUMIF(Data!$A:$A,'10'!$A$2,Data!IY:IY),0)</f>
        <v>2949</v>
      </c>
      <c r="F46" s="22">
        <f t="shared" si="3"/>
        <v>0.16041122715404699</v>
      </c>
    </row>
    <row r="47" spans="1:6" ht="14.25" customHeight="1" x14ac:dyDescent="0.2">
      <c r="A47" s="20">
        <v>12</v>
      </c>
      <c r="B47" s="184" t="s">
        <v>11</v>
      </c>
      <c r="C47" s="185"/>
      <c r="D47" s="15">
        <f>IF(F3="1",SUMIF(Data!A:A,'10'!$A$2,Data!DF:DF),0)</f>
        <v>89136</v>
      </c>
      <c r="E47" s="18">
        <f>IF(F3="1",SUMIF(Data!$A:$A,'10'!$A$2,Data!IZ:IZ),0)</f>
        <v>4262</v>
      </c>
      <c r="F47" s="22">
        <f t="shared" si="3"/>
        <v>4.7814575480165142E-2</v>
      </c>
    </row>
    <row r="48" spans="1:6" x14ac:dyDescent="0.2">
      <c r="A48" s="20">
        <v>13</v>
      </c>
      <c r="B48" s="184" t="s">
        <v>12</v>
      </c>
      <c r="C48" s="185"/>
      <c r="D48" s="15">
        <f>IF(F3="1",SUMIF(Data!A:A,'10'!$A$2,Data!DG:DG),0)</f>
        <v>13680</v>
      </c>
      <c r="E48" s="18">
        <f>IF(F3="1",SUMIF(Data!$A:$A,'10'!$A$2,Data!JA:JA),0)</f>
        <v>930</v>
      </c>
      <c r="F48" s="22">
        <f t="shared" si="3"/>
        <v>6.798245614035088E-2</v>
      </c>
    </row>
    <row r="49" spans="1:6" ht="14.25" customHeight="1" x14ac:dyDescent="0.2">
      <c r="A49" s="20">
        <v>14</v>
      </c>
      <c r="B49" s="184" t="s">
        <v>469</v>
      </c>
      <c r="C49" s="185"/>
      <c r="D49" s="15">
        <f>IF(F3="1",SUMIF(Data!A:A,'10'!$A$2,Data!DH:DH),0)</f>
        <v>0</v>
      </c>
      <c r="E49" s="18">
        <f>IF(F3="1",SUMIF(Data!$A:$A,'10'!$A$2,Data!JB:JB),0)</f>
        <v>0</v>
      </c>
      <c r="F49" s="22" t="str">
        <f t="shared" si="3"/>
        <v/>
      </c>
    </row>
    <row r="50" spans="1:6" x14ac:dyDescent="0.2">
      <c r="A50" s="20">
        <v>15</v>
      </c>
      <c r="B50" s="184" t="s">
        <v>13</v>
      </c>
      <c r="C50" s="185"/>
      <c r="D50" s="15">
        <f>IF(F3="1",SUMIF(Data!A:A,'10'!$A$2,Data!DI:DI),0)</f>
        <v>0</v>
      </c>
      <c r="E50" s="18">
        <f>IF(F3="1",SUMIF(Data!$A:$A,'10'!$A$2,Data!JC:JC),0)</f>
        <v>0</v>
      </c>
      <c r="F50" s="22" t="str">
        <f t="shared" si="3"/>
        <v/>
      </c>
    </row>
    <row r="51" spans="1:6" x14ac:dyDescent="0.2">
      <c r="A51" s="20">
        <v>16</v>
      </c>
      <c r="B51" s="184" t="s">
        <v>14</v>
      </c>
      <c r="C51" s="185"/>
      <c r="D51" s="15">
        <f>IF(F3="1",SUMIF(Data!A:A,'10'!$A$2,Data!DJ:DJ),0)</f>
        <v>8080</v>
      </c>
      <c r="E51" s="18">
        <f>IF(F3="1",SUMIF(Data!$A:$A,'10'!$A$2,Data!JD:JD),0)</f>
        <v>1986</v>
      </c>
      <c r="F51" s="22">
        <f t="shared" si="3"/>
        <v>0.24579207920792079</v>
      </c>
    </row>
    <row r="52" spans="1:6" x14ac:dyDescent="0.2">
      <c r="A52" s="20">
        <v>17</v>
      </c>
      <c r="B52" s="184" t="s">
        <v>15</v>
      </c>
      <c r="C52" s="185"/>
      <c r="D52" s="15">
        <f>IF(F3="1",SUMIF(Data!A:A,'10'!$A$2,Data!DK:DK),0)</f>
        <v>0</v>
      </c>
      <c r="E52" s="18">
        <f>IF(F3="1",SUMIF(Data!$A:$A,'10'!$A$2,Data!JE:JE),0)</f>
        <v>0</v>
      </c>
      <c r="F52" s="22" t="str">
        <f t="shared" si="3"/>
        <v/>
      </c>
    </row>
    <row r="53" spans="1:6" x14ac:dyDescent="0.2">
      <c r="A53" s="20">
        <v>18</v>
      </c>
      <c r="B53" s="184" t="s">
        <v>16</v>
      </c>
      <c r="C53" s="185"/>
      <c r="D53" s="15">
        <f>IF(F3="1",SUMIF(Data!A:A,'10'!$A$2,Data!DL:DL),0)</f>
        <v>57520</v>
      </c>
      <c r="E53" s="18">
        <f>IF(F3="1",SUMIF(Data!$A:$A,'10'!$A$2,Data!JF:JF),0)</f>
        <v>26962</v>
      </c>
      <c r="F53" s="22">
        <f t="shared" si="3"/>
        <v>0.46874130737134911</v>
      </c>
    </row>
    <row r="54" spans="1:6" x14ac:dyDescent="0.2">
      <c r="A54" s="20">
        <v>19</v>
      </c>
      <c r="B54" s="184" t="s">
        <v>17</v>
      </c>
      <c r="C54" s="185"/>
      <c r="D54" s="15">
        <f>IF(F3="1",SUMIF(Data!A:A,'10'!$A$2,Data!DM:DM),0)</f>
        <v>50864</v>
      </c>
      <c r="E54" s="18">
        <f>IF(F3="1",SUMIF(Data!$A:$A,'10'!$A$2,Data!JG:JG),0)</f>
        <v>1027</v>
      </c>
      <c r="F54" s="22">
        <f t="shared" si="3"/>
        <v>2.0191097829506136E-2</v>
      </c>
    </row>
    <row r="55" spans="1:6" x14ac:dyDescent="0.2">
      <c r="A55" s="20">
        <v>20</v>
      </c>
      <c r="B55" s="184" t="s">
        <v>18</v>
      </c>
      <c r="C55" s="185"/>
      <c r="D55" s="15">
        <f>IF(F3="1",SUMIF(Data!A:A,'10'!$A$2,Data!DN:DN),0)</f>
        <v>0</v>
      </c>
      <c r="E55" s="18">
        <f>IF(F3="1",SUMIF(Data!$A:$A,'10'!$A$2,Data!JH:JH),0)</f>
        <v>0</v>
      </c>
      <c r="F55" s="22" t="str">
        <f t="shared" si="3"/>
        <v/>
      </c>
    </row>
    <row r="56" spans="1:6" ht="14.25" customHeight="1" x14ac:dyDescent="0.2">
      <c r="A56" s="20">
        <v>21</v>
      </c>
      <c r="B56" s="184" t="s">
        <v>466</v>
      </c>
      <c r="C56" s="185"/>
      <c r="D56" s="15">
        <f>IF(F3="1",SUMIF(Data!A:A,'10'!$A$2,Data!DO:DO),0)</f>
        <v>0</v>
      </c>
      <c r="E56" s="18">
        <f>IF(F3="1",SUMIF(Data!$A:$A,'10'!$A$2,Data!JI:JI),0)</f>
        <v>0</v>
      </c>
      <c r="F56" s="22" t="str">
        <f t="shared" si="3"/>
        <v/>
      </c>
    </row>
    <row r="57" spans="1:6" x14ac:dyDescent="0.2">
      <c r="A57" s="20">
        <v>22</v>
      </c>
      <c r="B57" s="184" t="s">
        <v>19</v>
      </c>
      <c r="C57" s="185"/>
      <c r="D57" s="15">
        <f>IF(F3="1",SUMIF(Data!A:A,'10'!$A$2,Data!DP:DP),0)</f>
        <v>1440</v>
      </c>
      <c r="E57" s="18">
        <f>IF(F3="1",SUMIF(Data!$A:$A,'10'!$A$2,Data!JJ:JJ),0)</f>
        <v>0</v>
      </c>
      <c r="F57" s="22">
        <f t="shared" si="3"/>
        <v>0</v>
      </c>
    </row>
    <row r="58" spans="1:6" x14ac:dyDescent="0.2">
      <c r="A58" s="20">
        <v>23</v>
      </c>
      <c r="B58" s="184" t="s">
        <v>20</v>
      </c>
      <c r="C58" s="185"/>
      <c r="D58" s="15">
        <f>IF(F3="1",SUMIF(Data!A:A,'10'!$A$2,Data!DQ:DQ),0)</f>
        <v>42368</v>
      </c>
      <c r="E58" s="18">
        <f>IF(F3="1",SUMIF(Data!$A:$A,'10'!$A$2,Data!JK:JK),0)</f>
        <v>923</v>
      </c>
      <c r="F58" s="22">
        <f t="shared" si="3"/>
        <v>2.1785309667673718E-2</v>
      </c>
    </row>
    <row r="59" spans="1:6" x14ac:dyDescent="0.2">
      <c r="A59" s="20">
        <v>24</v>
      </c>
      <c r="B59" s="184" t="s">
        <v>21</v>
      </c>
      <c r="C59" s="185"/>
      <c r="D59" s="15">
        <f>IF(F3="1",SUMIF(Data!A:A,'10'!$A$2,Data!DR:DR),0)</f>
        <v>17752</v>
      </c>
      <c r="E59" s="18">
        <f>IF(F3="1",SUMIF(Data!$A:$A,'10'!$A$2,Data!JL:JL),0)</f>
        <v>0</v>
      </c>
      <c r="F59" s="22">
        <f t="shared" si="3"/>
        <v>0</v>
      </c>
    </row>
    <row r="60" spans="1:6" x14ac:dyDescent="0.2">
      <c r="A60" s="20">
        <v>25</v>
      </c>
      <c r="B60" s="184" t="s">
        <v>22</v>
      </c>
      <c r="C60" s="185"/>
      <c r="D60" s="15">
        <f>IF(F3="1",SUMIF(Data!A:A,'10'!$A$2,Data!DS:DS),0)</f>
        <v>105760</v>
      </c>
      <c r="E60" s="18">
        <f>IF(F3="1",SUMIF(Data!$A:$A,'10'!$A$2,Data!JM:JM),0)</f>
        <v>1994</v>
      </c>
      <c r="F60" s="22">
        <f t="shared" si="3"/>
        <v>1.8854009077155825E-2</v>
      </c>
    </row>
    <row r="61" spans="1:6" x14ac:dyDescent="0.2">
      <c r="A61" s="20">
        <v>26</v>
      </c>
      <c r="B61" s="184" t="s">
        <v>23</v>
      </c>
      <c r="C61" s="185"/>
      <c r="D61" s="15">
        <f>IF(F3="1",SUMIF(Data!A:A,'10'!$A$2,Data!DT:DT),0)</f>
        <v>34560</v>
      </c>
      <c r="E61" s="18">
        <f>IF(F3="1",SUMIF(Data!$A:$A,'10'!$A$2,Data!JN:JN),0)</f>
        <v>3156</v>
      </c>
      <c r="F61" s="22">
        <f t="shared" si="3"/>
        <v>9.1319444444444439E-2</v>
      </c>
    </row>
    <row r="62" spans="1:6" x14ac:dyDescent="0.2">
      <c r="A62" s="20">
        <v>28</v>
      </c>
      <c r="B62" s="184" t="s">
        <v>24</v>
      </c>
      <c r="C62" s="185"/>
      <c r="D62" s="15">
        <f>IF(F3="1",SUMIF(Data!A:A,'10'!$A$2,Data!DV:DV),0)</f>
        <v>0</v>
      </c>
      <c r="E62" s="18">
        <f>IF(F3="1",SUMIF(Data!$A:$A,'10'!$A$2,Data!JP:JP),0)</f>
        <v>0</v>
      </c>
      <c r="F62" s="22" t="str">
        <f t="shared" si="3"/>
        <v/>
      </c>
    </row>
    <row r="63" spans="1:6" ht="15.75" customHeight="1" thickBot="1" x14ac:dyDescent="0.25">
      <c r="A63" s="23">
        <v>29</v>
      </c>
      <c r="B63" s="186" t="s">
        <v>25</v>
      </c>
      <c r="C63" s="187"/>
      <c r="D63" s="24">
        <f>IF(F3="1",SUMIF(Data!A:A,'10'!$A$2,Data!DW:DW),0)</f>
        <v>0</v>
      </c>
      <c r="E63" s="25">
        <f>IF(F3="1",SUMIF(Data!$A:$A,'10'!$A$2,Data!JQ:JQ),0)</f>
        <v>0</v>
      </c>
      <c r="F63" s="26" t="str">
        <f t="shared" si="3"/>
        <v/>
      </c>
    </row>
    <row r="64" spans="1:6" x14ac:dyDescent="0.2">
      <c r="B64" s="31" t="s">
        <v>35</v>
      </c>
      <c r="C64" s="31"/>
      <c r="D64" s="61">
        <f>SUM(D36:D63)</f>
        <v>667930</v>
      </c>
      <c r="E64" s="32">
        <f>SUM(E36:E63)</f>
        <v>104167</v>
      </c>
      <c r="F64" s="33">
        <f t="shared" si="3"/>
        <v>0.1559549653406794</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44448</v>
      </c>
      <c r="E67" s="16">
        <f>IF(F3="1",SUMIF(Data!A:A,'10'!$A$2,Data!DY:DY),0)</f>
        <v>209424</v>
      </c>
      <c r="F67" s="21">
        <f>IFERROR(E67/D67,"")</f>
        <v>4.7116630669546433</v>
      </c>
    </row>
    <row r="68" spans="1:6" x14ac:dyDescent="0.2">
      <c r="A68" s="20">
        <v>2</v>
      </c>
      <c r="B68" s="184" t="s">
        <v>1</v>
      </c>
      <c r="C68" s="185"/>
      <c r="D68" s="15">
        <f t="shared" ref="D68:D94" si="4">D37</f>
        <v>1728</v>
      </c>
      <c r="E68" s="18">
        <f>IF(F3="1",SUMIF(Data!A:A,'10'!$A$2,Data!DZ:DZ),0)</f>
        <v>5917</v>
      </c>
      <c r="F68" s="22">
        <f t="shared" ref="F68:F95" si="5">IFERROR(E68/D68,"")</f>
        <v>3.4241898148148149</v>
      </c>
    </row>
    <row r="69" spans="1:6" ht="14.25" customHeight="1" x14ac:dyDescent="0.2">
      <c r="A69" s="20">
        <v>3</v>
      </c>
      <c r="B69" s="184" t="s">
        <v>2</v>
      </c>
      <c r="C69" s="185"/>
      <c r="D69" s="15">
        <f t="shared" si="4"/>
        <v>74560</v>
      </c>
      <c r="E69" s="18">
        <f>IF(F3="1",SUMIF(Data!A:A,'10'!$A$2,Data!EA:EA),0)</f>
        <v>170547</v>
      </c>
      <c r="F69" s="22">
        <f t="shared" si="5"/>
        <v>2.2873792918454936</v>
      </c>
    </row>
    <row r="70" spans="1:6" ht="14.25" customHeight="1" x14ac:dyDescent="0.2">
      <c r="A70" s="20">
        <v>4</v>
      </c>
      <c r="B70" s="184" t="s">
        <v>3</v>
      </c>
      <c r="C70" s="185"/>
      <c r="D70" s="15">
        <f t="shared" si="4"/>
        <v>38320</v>
      </c>
      <c r="E70" s="18">
        <f>IF(F3="1",SUMIF(Data!A:A,'10'!$A$2,Data!EB:EB),0)</f>
        <v>97998</v>
      </c>
      <c r="F70" s="22">
        <f t="shared" si="5"/>
        <v>2.5573590814196243</v>
      </c>
    </row>
    <row r="71" spans="1:6" x14ac:dyDescent="0.2">
      <c r="A71" s="20">
        <v>5</v>
      </c>
      <c r="B71" s="184" t="s">
        <v>4</v>
      </c>
      <c r="C71" s="185"/>
      <c r="D71" s="15">
        <f t="shared" si="4"/>
        <v>0</v>
      </c>
      <c r="E71" s="18">
        <f>IF(F3="1",SUMIF(Data!A:A,'10'!$A$2,Data!EC:EC),0)</f>
        <v>0</v>
      </c>
      <c r="F71" s="22" t="str">
        <f t="shared" si="5"/>
        <v/>
      </c>
    </row>
    <row r="72" spans="1:6" x14ac:dyDescent="0.2">
      <c r="A72" s="20">
        <v>6</v>
      </c>
      <c r="B72" s="184" t="s">
        <v>5</v>
      </c>
      <c r="C72" s="185"/>
      <c r="D72" s="15">
        <f t="shared" si="4"/>
        <v>432</v>
      </c>
      <c r="E72" s="18">
        <f>IF(F3="1",SUMIF(Data!A:A,'10'!$A$2,Data!ED:ED),0)</f>
        <v>648</v>
      </c>
      <c r="F72" s="22">
        <f t="shared" si="5"/>
        <v>1.5</v>
      </c>
    </row>
    <row r="73" spans="1:6" x14ac:dyDescent="0.2">
      <c r="A73" s="20">
        <v>7</v>
      </c>
      <c r="B73" s="184" t="s">
        <v>6</v>
      </c>
      <c r="C73" s="185"/>
      <c r="D73" s="15">
        <f t="shared" si="4"/>
        <v>29858</v>
      </c>
      <c r="E73" s="18">
        <f>IF(F3="1",SUMIF(Data!A:A,'10'!$A$2,Data!EE:EE),0)</f>
        <v>149673</v>
      </c>
      <c r="F73" s="22">
        <f t="shared" si="5"/>
        <v>5.012827382945944</v>
      </c>
    </row>
    <row r="74" spans="1:6" x14ac:dyDescent="0.2">
      <c r="A74" s="20">
        <v>8</v>
      </c>
      <c r="B74" s="184" t="s">
        <v>7</v>
      </c>
      <c r="C74" s="185"/>
      <c r="D74" s="15">
        <f t="shared" si="4"/>
        <v>0</v>
      </c>
      <c r="E74" s="18">
        <f>IF(F3="1",SUMIF(Data!A:A,'10'!$A$2,Data!EF:EF),0)</f>
        <v>0</v>
      </c>
      <c r="F74" s="22" t="str">
        <f t="shared" si="5"/>
        <v/>
      </c>
    </row>
    <row r="75" spans="1:6" x14ac:dyDescent="0.2">
      <c r="A75" s="20">
        <v>9</v>
      </c>
      <c r="B75" s="184" t="s">
        <v>8</v>
      </c>
      <c r="C75" s="185"/>
      <c r="D75" s="15">
        <f t="shared" si="4"/>
        <v>39040</v>
      </c>
      <c r="E75" s="18">
        <f>IF(F3="1",SUMIF(Data!A:A,'10'!$A$2,Data!EG:EG),0)</f>
        <v>47077</v>
      </c>
      <c r="F75" s="22">
        <f t="shared" si="5"/>
        <v>1.2058657786885245</v>
      </c>
    </row>
    <row r="76" spans="1:6" x14ac:dyDescent="0.2">
      <c r="A76" s="20">
        <v>10</v>
      </c>
      <c r="B76" s="184" t="s">
        <v>9</v>
      </c>
      <c r="C76" s="185"/>
      <c r="D76" s="15">
        <f t="shared" si="4"/>
        <v>0</v>
      </c>
      <c r="E76" s="18">
        <f>IF(F3="1",SUMIF(Data!A:A,'10'!$A$2,Data!EH:EH),0)</f>
        <v>0</v>
      </c>
      <c r="F76" s="22" t="str">
        <f t="shared" si="5"/>
        <v/>
      </c>
    </row>
    <row r="77" spans="1:6" x14ac:dyDescent="0.2">
      <c r="A77" s="20">
        <v>11</v>
      </c>
      <c r="B77" s="184" t="s">
        <v>10</v>
      </c>
      <c r="C77" s="185"/>
      <c r="D77" s="15">
        <f t="shared" si="4"/>
        <v>18384</v>
      </c>
      <c r="E77" s="18">
        <f>IF(F3="1",SUMIF(Data!A:A,'10'!$A$2,Data!EI:EI),0)</f>
        <v>68545</v>
      </c>
      <c r="F77" s="22">
        <f t="shared" si="5"/>
        <v>3.7285139251523063</v>
      </c>
    </row>
    <row r="78" spans="1:6" ht="14.25" customHeight="1" x14ac:dyDescent="0.2">
      <c r="A78" s="20">
        <v>12</v>
      </c>
      <c r="B78" s="184" t="s">
        <v>11</v>
      </c>
      <c r="C78" s="185"/>
      <c r="D78" s="15">
        <f t="shared" si="4"/>
        <v>89136</v>
      </c>
      <c r="E78" s="18">
        <f>IF(F3="1",SUMIF(Data!A:A,'10'!$A$2,Data!EJ:EJ),0)</f>
        <v>236939</v>
      </c>
      <c r="F78" s="22">
        <f t="shared" si="5"/>
        <v>2.6581740262071443</v>
      </c>
    </row>
    <row r="79" spans="1:6" x14ac:dyDescent="0.2">
      <c r="A79" s="20">
        <v>13</v>
      </c>
      <c r="B79" s="184" t="s">
        <v>12</v>
      </c>
      <c r="C79" s="185"/>
      <c r="D79" s="15">
        <f t="shared" si="4"/>
        <v>13680</v>
      </c>
      <c r="E79" s="18">
        <f>IF(F3="1",SUMIF(Data!A:A,'10'!$A$2,Data!EK:EK),0)</f>
        <v>37933</v>
      </c>
      <c r="F79" s="22">
        <f t="shared" si="5"/>
        <v>2.7728801169590644</v>
      </c>
    </row>
    <row r="80" spans="1:6" ht="14.25" customHeight="1" x14ac:dyDescent="0.2">
      <c r="A80" s="20">
        <v>14</v>
      </c>
      <c r="B80" s="184" t="s">
        <v>469</v>
      </c>
      <c r="C80" s="185"/>
      <c r="D80" s="15">
        <f t="shared" si="4"/>
        <v>0</v>
      </c>
      <c r="E80" s="18">
        <f>IF(F3="1",SUMIF(Data!A:A,'10'!$A$2,Data!EL:EL),0)</f>
        <v>0</v>
      </c>
      <c r="F80" s="22" t="str">
        <f t="shared" si="5"/>
        <v/>
      </c>
    </row>
    <row r="81" spans="1:6" x14ac:dyDescent="0.2">
      <c r="A81" s="20">
        <v>15</v>
      </c>
      <c r="B81" s="184" t="s">
        <v>13</v>
      </c>
      <c r="C81" s="185"/>
      <c r="D81" s="15">
        <f t="shared" si="4"/>
        <v>0</v>
      </c>
      <c r="E81" s="18">
        <f>IF(F3="1",SUMIF(Data!A:A,'10'!$A$2,Data!EM:EM),0)</f>
        <v>0</v>
      </c>
      <c r="F81" s="22" t="str">
        <f t="shared" si="5"/>
        <v/>
      </c>
    </row>
    <row r="82" spans="1:6" x14ac:dyDescent="0.2">
      <c r="A82" s="20">
        <v>16</v>
      </c>
      <c r="B82" s="184" t="s">
        <v>14</v>
      </c>
      <c r="C82" s="185"/>
      <c r="D82" s="15">
        <f t="shared" si="4"/>
        <v>8080</v>
      </c>
      <c r="E82" s="18">
        <f>IF(F3="1",SUMIF(Data!A:A,'10'!$A$2,Data!EN:EN),0)</f>
        <v>3907</v>
      </c>
      <c r="F82" s="22">
        <f t="shared" si="5"/>
        <v>0.48353960396039602</v>
      </c>
    </row>
    <row r="83" spans="1:6" x14ac:dyDescent="0.2">
      <c r="A83" s="20">
        <v>17</v>
      </c>
      <c r="B83" s="184" t="s">
        <v>15</v>
      </c>
      <c r="C83" s="185"/>
      <c r="D83" s="15">
        <f t="shared" si="4"/>
        <v>0</v>
      </c>
      <c r="E83" s="18">
        <f>IF(F3="1",SUMIF(Data!A:A,'10'!$A$2,Data!EO:EO),0)</f>
        <v>0</v>
      </c>
      <c r="F83" s="22" t="str">
        <f t="shared" si="5"/>
        <v/>
      </c>
    </row>
    <row r="84" spans="1:6" x14ac:dyDescent="0.2">
      <c r="A84" s="20">
        <v>18</v>
      </c>
      <c r="B84" s="184" t="s">
        <v>16</v>
      </c>
      <c r="C84" s="185"/>
      <c r="D84" s="15">
        <f t="shared" si="4"/>
        <v>57520</v>
      </c>
      <c r="E84" s="18">
        <f>IF(F3="1",SUMIF(Data!A:A,'10'!$A$2,Data!EP:EP),0)</f>
        <v>154404</v>
      </c>
      <c r="F84" s="22">
        <f t="shared" si="5"/>
        <v>2.6843532684283726</v>
      </c>
    </row>
    <row r="85" spans="1:6" x14ac:dyDescent="0.2">
      <c r="A85" s="20">
        <v>19</v>
      </c>
      <c r="B85" s="184" t="s">
        <v>17</v>
      </c>
      <c r="C85" s="185"/>
      <c r="D85" s="15">
        <f t="shared" si="4"/>
        <v>50864</v>
      </c>
      <c r="E85" s="18">
        <f>IF(F3="1",SUMIF(Data!A:A,'10'!$A$2,Data!EQ:EQ),0)</f>
        <v>131941</v>
      </c>
      <c r="F85" s="22">
        <f t="shared" si="5"/>
        <v>2.5939957533815665</v>
      </c>
    </row>
    <row r="86" spans="1:6" x14ac:dyDescent="0.2">
      <c r="A86" s="20">
        <v>20</v>
      </c>
      <c r="B86" s="184" t="s">
        <v>18</v>
      </c>
      <c r="C86" s="185"/>
      <c r="D86" s="15">
        <f t="shared" si="4"/>
        <v>0</v>
      </c>
      <c r="E86" s="18">
        <f>IF(F3="1",SUMIF(Data!A:A,'10'!$A$2,Data!ER:ER),0)</f>
        <v>0</v>
      </c>
      <c r="F86" s="22" t="str">
        <f t="shared" si="5"/>
        <v/>
      </c>
    </row>
    <row r="87" spans="1:6" ht="14.25" customHeight="1" x14ac:dyDescent="0.2">
      <c r="A87" s="20">
        <v>21</v>
      </c>
      <c r="B87" s="184" t="s">
        <v>466</v>
      </c>
      <c r="C87" s="185"/>
      <c r="D87" s="15">
        <f t="shared" si="4"/>
        <v>0</v>
      </c>
      <c r="E87" s="18">
        <f>IF(F3="1",SUMIF(Data!A:A,'10'!$A$2,Data!ES:ES),0)</f>
        <v>0</v>
      </c>
      <c r="F87" s="22" t="str">
        <f t="shared" si="5"/>
        <v/>
      </c>
    </row>
    <row r="88" spans="1:6" x14ac:dyDescent="0.2">
      <c r="A88" s="20">
        <v>22</v>
      </c>
      <c r="B88" s="184" t="s">
        <v>19</v>
      </c>
      <c r="C88" s="185"/>
      <c r="D88" s="15">
        <f t="shared" si="4"/>
        <v>1440</v>
      </c>
      <c r="E88" s="18">
        <f>IF(F3="1",SUMIF(Data!A:A,'10'!$A$2,Data!ET:ET),0)</f>
        <v>9541</v>
      </c>
      <c r="F88" s="22">
        <f t="shared" si="5"/>
        <v>6.6256944444444441</v>
      </c>
    </row>
    <row r="89" spans="1:6" x14ac:dyDescent="0.2">
      <c r="A89" s="20">
        <v>23</v>
      </c>
      <c r="B89" s="184" t="s">
        <v>20</v>
      </c>
      <c r="C89" s="185"/>
      <c r="D89" s="15">
        <f t="shared" si="4"/>
        <v>42368</v>
      </c>
      <c r="E89" s="18">
        <f>IF(F3="1",SUMIF(Data!A:A,'10'!$A$2,Data!EU:EU),0)</f>
        <v>175259</v>
      </c>
      <c r="F89" s="22">
        <f t="shared" si="5"/>
        <v>4.1365889350453173</v>
      </c>
    </row>
    <row r="90" spans="1:6" x14ac:dyDescent="0.2">
      <c r="A90" s="20">
        <v>24</v>
      </c>
      <c r="B90" s="184" t="s">
        <v>21</v>
      </c>
      <c r="C90" s="185"/>
      <c r="D90" s="15">
        <f t="shared" si="4"/>
        <v>17752</v>
      </c>
      <c r="E90" s="18">
        <f>IF(F3="1",SUMIF(Data!A:A,'10'!$A$2,Data!EV:EV),0)</f>
        <v>5151</v>
      </c>
      <c r="F90" s="22">
        <f t="shared" si="5"/>
        <v>0.29016448850833709</v>
      </c>
    </row>
    <row r="91" spans="1:6" x14ac:dyDescent="0.2">
      <c r="A91" s="20">
        <v>25</v>
      </c>
      <c r="B91" s="184" t="s">
        <v>22</v>
      </c>
      <c r="C91" s="185"/>
      <c r="D91" s="15">
        <f t="shared" si="4"/>
        <v>105760</v>
      </c>
      <c r="E91" s="18">
        <f>IF(F3="1",SUMIF(Data!A:A,'10'!$A$2,Data!EW:EW),0)</f>
        <v>233012</v>
      </c>
      <c r="F91" s="22">
        <f t="shared" si="5"/>
        <v>2.2032148260211799</v>
      </c>
    </row>
    <row r="92" spans="1:6" x14ac:dyDescent="0.2">
      <c r="A92" s="20">
        <v>26</v>
      </c>
      <c r="B92" s="184" t="s">
        <v>23</v>
      </c>
      <c r="C92" s="185"/>
      <c r="D92" s="15">
        <f t="shared" si="4"/>
        <v>34560</v>
      </c>
      <c r="E92" s="18">
        <f>IF(F3="1",SUMIF(Data!A:A,'10'!$A$2,Data!EX:EX),0)</f>
        <v>55203</v>
      </c>
      <c r="F92" s="22">
        <f t="shared" si="5"/>
        <v>1.5973090277777777</v>
      </c>
    </row>
    <row r="93" spans="1:6" x14ac:dyDescent="0.2">
      <c r="A93" s="20">
        <v>28</v>
      </c>
      <c r="B93" s="184" t="s">
        <v>24</v>
      </c>
      <c r="C93" s="185"/>
      <c r="D93" s="15">
        <f t="shared" si="4"/>
        <v>0</v>
      </c>
      <c r="E93" s="18">
        <f>IF(F3="1",SUMIF(Data!A:A,'10'!$A$2,Data!EZ:EZ),0)</f>
        <v>0</v>
      </c>
      <c r="F93" s="22" t="str">
        <f t="shared" si="5"/>
        <v/>
      </c>
    </row>
    <row r="94" spans="1:6" ht="15.75" customHeight="1" thickBot="1" x14ac:dyDescent="0.25">
      <c r="A94" s="23">
        <v>29</v>
      </c>
      <c r="B94" s="186" t="s">
        <v>25</v>
      </c>
      <c r="C94" s="187"/>
      <c r="D94" s="24">
        <f t="shared" si="4"/>
        <v>0</v>
      </c>
      <c r="E94" s="25">
        <f>IF(F3="1",SUMIF(Data!A:A,'10'!$A$2,Data!FA:FA),0)</f>
        <v>0</v>
      </c>
      <c r="F94" s="26" t="str">
        <f t="shared" si="5"/>
        <v/>
      </c>
    </row>
    <row r="95" spans="1:6" x14ac:dyDescent="0.2">
      <c r="B95" s="31" t="s">
        <v>35</v>
      </c>
      <c r="C95" s="31"/>
      <c r="D95" s="61">
        <f>SUM(D67:D94)</f>
        <v>667930</v>
      </c>
      <c r="E95" s="32">
        <f>SUM(E67:E94)</f>
        <v>1793119</v>
      </c>
      <c r="F95" s="33">
        <f t="shared" si="5"/>
        <v>2.6845911996766127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IF(F3="1",SUMIF(Data!A:A,'10'!$A$2,Data!AH:AH),0)</f>
        <v>846408</v>
      </c>
      <c r="F98" s="21">
        <f t="shared" ref="F98:F105" si="6">IFERROR(E98/$D$95,0)</f>
        <v>1.2672106358450737</v>
      </c>
    </row>
    <row r="99" spans="2:6" x14ac:dyDescent="0.2">
      <c r="B99" s="190" t="s">
        <v>31</v>
      </c>
      <c r="C99" s="191"/>
      <c r="D99" s="37"/>
      <c r="E99" s="18">
        <f>IF(F3="1",SUMIF(Data!A:A,'10'!$A$2,Data!AI:AI),0)</f>
        <v>410958</v>
      </c>
      <c r="F99" s="22">
        <f t="shared" si="6"/>
        <v>0.61527106133876308</v>
      </c>
    </row>
    <row r="100" spans="2:6" x14ac:dyDescent="0.2">
      <c r="B100" s="190" t="s">
        <v>32</v>
      </c>
      <c r="C100" s="191"/>
      <c r="D100" s="37"/>
      <c r="E100" s="18">
        <f>IF(F3="1",SUMIF(Data!A:A,'10'!$A$2,Data!AJ:AJ),0)</f>
        <v>422070</v>
      </c>
      <c r="F100" s="22">
        <f t="shared" si="6"/>
        <v>0.63190753522075671</v>
      </c>
    </row>
    <row r="101" spans="2:6" x14ac:dyDescent="0.2">
      <c r="B101" s="190" t="s">
        <v>28</v>
      </c>
      <c r="C101" s="191"/>
      <c r="D101" s="37"/>
      <c r="E101" s="18">
        <f>IF(F3="1",SUMIF(Data!A:A,'10'!$A$2,Data!AK:AK),0)</f>
        <v>0</v>
      </c>
      <c r="F101" s="22">
        <f t="shared" si="6"/>
        <v>0</v>
      </c>
    </row>
    <row r="102" spans="2:6" x14ac:dyDescent="0.2">
      <c r="B102" s="190" t="s">
        <v>33</v>
      </c>
      <c r="C102" s="191"/>
      <c r="D102" s="37"/>
      <c r="E102" s="18">
        <f>IF(F3="1",SUMIF(Data!A:A,'10'!$A$2,Data!AL:AL),0)</f>
        <v>0</v>
      </c>
      <c r="F102" s="22">
        <f t="shared" si="6"/>
        <v>0</v>
      </c>
    </row>
    <row r="103" spans="2:6" x14ac:dyDescent="0.2">
      <c r="B103" s="192" t="s">
        <v>34</v>
      </c>
      <c r="C103" s="193"/>
      <c r="D103" s="37"/>
      <c r="E103" s="18">
        <f>IF(F3="1",SUMIF(Data!A:A,'10'!$A$2,Data!AM:AM),0)</f>
        <v>263222</v>
      </c>
      <c r="F103" s="22">
        <f t="shared" si="6"/>
        <v>0.3940862066384202</v>
      </c>
    </row>
    <row r="104" spans="2:6" ht="15.75" customHeight="1" thickBot="1" x14ac:dyDescent="0.25">
      <c r="B104" s="182" t="s">
        <v>29</v>
      </c>
      <c r="C104" s="183"/>
      <c r="D104" s="38"/>
      <c r="E104" s="25">
        <f>IF(F3="1",SUMIF(Data!A:A,'10'!$A$2,Data!Q:Q),0)</f>
        <v>60845</v>
      </c>
      <c r="F104" s="26">
        <f t="shared" si="6"/>
        <v>9.109487521147426E-2</v>
      </c>
    </row>
    <row r="105" spans="2:6" x14ac:dyDescent="0.2">
      <c r="B105" s="31" t="s">
        <v>35</v>
      </c>
      <c r="C105" s="31"/>
      <c r="D105" s="35">
        <f>D95</f>
        <v>667930</v>
      </c>
      <c r="E105" s="32">
        <f>SUM(E98:E104)</f>
        <v>2003503</v>
      </c>
      <c r="F105" s="33">
        <f t="shared" si="6"/>
        <v>2.9995703142544876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1793119</v>
      </c>
      <c r="D109" s="16">
        <f>IF(F3="1",SUMIF(Data!$A:$A,$A$2,Data!HJ:HJ),0)</f>
        <v>0</v>
      </c>
      <c r="E109" s="16">
        <f>IF(F3="1",SUMIF(Data!$A:$A,$A$2,Data!IN:IN),0)</f>
        <v>0</v>
      </c>
      <c r="F109" s="48">
        <f>SUM(C109:E109)</f>
        <v>1793119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60845</v>
      </c>
      <c r="E117" s="53"/>
      <c r="F117" s="50">
        <f>SUM(C117:E117)</f>
        <v>60845</v>
      </c>
    </row>
    <row r="118" spans="1:6" x14ac:dyDescent="0.2">
      <c r="B118" s="14" t="s">
        <v>35</v>
      </c>
      <c r="C118" s="5">
        <f>SUM(C109:C116)</f>
        <v>1793119</v>
      </c>
      <c r="D118" s="5">
        <f>SUM(D109:D116)</f>
        <v>0</v>
      </c>
      <c r="E118" s="5">
        <f>SUM(E109:E116)</f>
        <v>0</v>
      </c>
      <c r="F118" s="5">
        <f>SUM(F109:F116)</f>
        <v>1793119</v>
      </c>
    </row>
    <row r="119" spans="1:6" ht="15" thickBot="1" x14ac:dyDescent="0.25"/>
    <row r="120" spans="1:6" ht="15" thickBot="1" x14ac:dyDescent="0.25">
      <c r="B120" s="57" t="s">
        <v>942</v>
      </c>
      <c r="C120" s="55"/>
      <c r="D120" s="55"/>
      <c r="E120" s="55">
        <f>IF(F3="1",SUMIF(Data!A:A,'10'!$A$2,Data!AM:AM),0)</f>
        <v>263222</v>
      </c>
      <c r="F120" s="56">
        <f>SUM(C120:E120)</f>
        <v>263222</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354</v>
      </c>
      <c r="B2" s="60" t="str">
        <f>VLOOKUP(A2,Data!A:G,7,0)</f>
        <v>Coastal Bend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10272</v>
      </c>
      <c r="E5" s="16">
        <f>E36+E67+IFERROR($E$105/$D$105*D5,0)</f>
        <v>62966.818105068189</v>
      </c>
      <c r="F5" s="21">
        <f>IFERROR(E5/D5,"")</f>
        <v>6.1299472454310928</v>
      </c>
    </row>
    <row r="6" spans="1:6" x14ac:dyDescent="0.2">
      <c r="A6" s="20">
        <v>2</v>
      </c>
      <c r="B6" s="184" t="s">
        <v>1</v>
      </c>
      <c r="C6" s="185"/>
      <c r="D6" s="15">
        <f t="shared" ref="D6:D32" si="0">D37</f>
        <v>86040</v>
      </c>
      <c r="E6" s="18">
        <f t="shared" ref="E6:E32" si="1">E37+E68+IFERROR($E$105/$D$105*D6,0)</f>
        <v>665134.76380062965</v>
      </c>
      <c r="F6" s="22">
        <f t="shared" ref="F6:F33" si="2">IFERROR(E6/D6,"")</f>
        <v>7.7305295653257744</v>
      </c>
    </row>
    <row r="7" spans="1:6" ht="14.25" customHeight="1" x14ac:dyDescent="0.2">
      <c r="A7" s="20">
        <v>3</v>
      </c>
      <c r="B7" s="184" t="s">
        <v>2</v>
      </c>
      <c r="C7" s="185"/>
      <c r="D7" s="15">
        <f t="shared" si="0"/>
        <v>139704</v>
      </c>
      <c r="E7" s="18">
        <f t="shared" si="1"/>
        <v>1023936.9910972008</v>
      </c>
      <c r="F7" s="22">
        <f t="shared" si="2"/>
        <v>7.3293319525367977</v>
      </c>
    </row>
    <row r="8" spans="1:6" ht="14.25" customHeight="1" x14ac:dyDescent="0.2">
      <c r="A8" s="20">
        <v>4</v>
      </c>
      <c r="B8" s="184" t="s">
        <v>3</v>
      </c>
      <c r="C8" s="185"/>
      <c r="D8" s="15">
        <f t="shared" si="0"/>
        <v>106646</v>
      </c>
      <c r="E8" s="18">
        <f t="shared" si="1"/>
        <v>1032087.571225964</v>
      </c>
      <c r="F8" s="22">
        <f t="shared" si="2"/>
        <v>9.6776960338499709</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16299</v>
      </c>
      <c r="E10" s="18">
        <f t="shared" si="1"/>
        <v>133972.26833085148</v>
      </c>
      <c r="F10" s="22">
        <f t="shared" si="2"/>
        <v>8.2196618400424253</v>
      </c>
    </row>
    <row r="11" spans="1:6" x14ac:dyDescent="0.2">
      <c r="A11" s="20">
        <v>7</v>
      </c>
      <c r="B11" s="184" t="s">
        <v>6</v>
      </c>
      <c r="C11" s="185"/>
      <c r="D11" s="15">
        <f t="shared" si="0"/>
        <v>140512</v>
      </c>
      <c r="E11" s="18">
        <f t="shared" si="1"/>
        <v>1026328.5772565559</v>
      </c>
      <c r="F11" s="22">
        <f t="shared" si="2"/>
        <v>7.3042058845974429</v>
      </c>
    </row>
    <row r="12" spans="1:6" x14ac:dyDescent="0.2">
      <c r="A12" s="20">
        <v>8</v>
      </c>
      <c r="B12" s="184" t="s">
        <v>7</v>
      </c>
      <c r="C12" s="185"/>
      <c r="D12" s="15">
        <f t="shared" si="0"/>
        <v>14976</v>
      </c>
      <c r="E12" s="18">
        <f t="shared" si="1"/>
        <v>122709.38901299662</v>
      </c>
      <c r="F12" s="22">
        <f t="shared" si="2"/>
        <v>8.1937359116584272</v>
      </c>
    </row>
    <row r="13" spans="1:6" x14ac:dyDescent="0.2">
      <c r="A13" s="20">
        <v>9</v>
      </c>
      <c r="B13" s="184" t="s">
        <v>8</v>
      </c>
      <c r="C13" s="185"/>
      <c r="D13" s="15">
        <f t="shared" si="0"/>
        <v>137189</v>
      </c>
      <c r="E13" s="18">
        <f t="shared" si="1"/>
        <v>1061090.3361581191</v>
      </c>
      <c r="F13" s="22">
        <f t="shared" si="2"/>
        <v>7.7345146925636836</v>
      </c>
    </row>
    <row r="14" spans="1:6" x14ac:dyDescent="0.2">
      <c r="A14" s="20">
        <v>10</v>
      </c>
      <c r="B14" s="184" t="s">
        <v>9</v>
      </c>
      <c r="C14" s="185"/>
      <c r="D14" s="15">
        <f t="shared" si="0"/>
        <v>1632</v>
      </c>
      <c r="E14" s="18">
        <f t="shared" si="1"/>
        <v>9558.0552129547596</v>
      </c>
      <c r="F14" s="22">
        <f t="shared" si="2"/>
        <v>5.8566514785262003</v>
      </c>
    </row>
    <row r="15" spans="1:6" x14ac:dyDescent="0.2">
      <c r="A15" s="20">
        <v>11</v>
      </c>
      <c r="B15" s="184" t="s">
        <v>10</v>
      </c>
      <c r="C15" s="185"/>
      <c r="D15" s="15">
        <f t="shared" si="0"/>
        <v>77924</v>
      </c>
      <c r="E15" s="18">
        <f t="shared" si="1"/>
        <v>567291.41569502861</v>
      </c>
      <c r="F15" s="22">
        <f t="shared" si="2"/>
        <v>7.2800602599331219</v>
      </c>
    </row>
    <row r="16" spans="1:6" ht="14.25" customHeight="1" x14ac:dyDescent="0.2">
      <c r="A16" s="20">
        <v>12</v>
      </c>
      <c r="B16" s="184" t="s">
        <v>11</v>
      </c>
      <c r="C16" s="185"/>
      <c r="D16" s="15">
        <f t="shared" si="0"/>
        <v>287664</v>
      </c>
      <c r="E16" s="18">
        <f t="shared" si="1"/>
        <v>2292569.5556246433</v>
      </c>
      <c r="F16" s="22">
        <f t="shared" si="2"/>
        <v>7.9696088340030151</v>
      </c>
    </row>
    <row r="17" spans="1:6" x14ac:dyDescent="0.2">
      <c r="A17" s="20">
        <v>13</v>
      </c>
      <c r="B17" s="184" t="s">
        <v>12</v>
      </c>
      <c r="C17" s="185"/>
      <c r="D17" s="15">
        <f t="shared" si="0"/>
        <v>7184</v>
      </c>
      <c r="E17" s="18">
        <f t="shared" si="1"/>
        <v>83443.419515849877</v>
      </c>
      <c r="F17" s="22">
        <f t="shared" si="2"/>
        <v>11.615175322362177</v>
      </c>
    </row>
    <row r="18" spans="1:6" ht="14.25" customHeight="1" x14ac:dyDescent="0.2">
      <c r="A18" s="20">
        <v>14</v>
      </c>
      <c r="B18" s="184" t="s">
        <v>469</v>
      </c>
      <c r="C18" s="185"/>
      <c r="D18" s="15">
        <f t="shared" si="0"/>
        <v>19206</v>
      </c>
      <c r="E18" s="18">
        <f t="shared" si="1"/>
        <v>389700.55417892715</v>
      </c>
      <c r="F18" s="22">
        <f t="shared" si="2"/>
        <v>20.290563062528747</v>
      </c>
    </row>
    <row r="19" spans="1:6" x14ac:dyDescent="0.2">
      <c r="A19" s="20">
        <v>15</v>
      </c>
      <c r="B19" s="184" t="s">
        <v>13</v>
      </c>
      <c r="C19" s="185"/>
      <c r="D19" s="15">
        <f t="shared" si="0"/>
        <v>34624</v>
      </c>
      <c r="E19" s="18">
        <f t="shared" si="1"/>
        <v>528753.58314543229</v>
      </c>
      <c r="F19" s="22">
        <f t="shared" si="2"/>
        <v>15.271302655540444</v>
      </c>
    </row>
    <row r="20" spans="1:6" x14ac:dyDescent="0.2">
      <c r="A20" s="20">
        <v>16</v>
      </c>
      <c r="B20" s="184" t="s">
        <v>14</v>
      </c>
      <c r="C20" s="185"/>
      <c r="D20" s="15">
        <f t="shared" si="0"/>
        <v>73156</v>
      </c>
      <c r="E20" s="18">
        <f t="shared" si="1"/>
        <v>578929.31321012159</v>
      </c>
      <c r="F20" s="22">
        <f t="shared" si="2"/>
        <v>7.9136272241527914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128864</v>
      </c>
      <c r="E22" s="18">
        <f t="shared" si="1"/>
        <v>1210547.8302464474</v>
      </c>
      <c r="F22" s="22">
        <f t="shared" si="2"/>
        <v>9.3939954544826119</v>
      </c>
    </row>
    <row r="23" spans="1:6" x14ac:dyDescent="0.2">
      <c r="A23" s="20">
        <v>19</v>
      </c>
      <c r="B23" s="184" t="s">
        <v>17</v>
      </c>
      <c r="C23" s="185"/>
      <c r="D23" s="15">
        <f t="shared" si="0"/>
        <v>134368</v>
      </c>
      <c r="E23" s="18">
        <f t="shared" si="1"/>
        <v>1112924.5458666086</v>
      </c>
      <c r="F23" s="22">
        <f t="shared" si="2"/>
        <v>8.282660647375927</v>
      </c>
    </row>
    <row r="24" spans="1:6" x14ac:dyDescent="0.2">
      <c r="A24" s="20">
        <v>20</v>
      </c>
      <c r="B24" s="184" t="s">
        <v>18</v>
      </c>
      <c r="C24" s="185"/>
      <c r="D24" s="15">
        <f t="shared" si="0"/>
        <v>25632</v>
      </c>
      <c r="E24" s="18">
        <f t="shared" si="1"/>
        <v>205096.3965799365</v>
      </c>
      <c r="F24" s="22">
        <f t="shared" si="2"/>
        <v>8.0015760213770477</v>
      </c>
    </row>
    <row r="25" spans="1:6" ht="14.25" customHeight="1" x14ac:dyDescent="0.2">
      <c r="A25" s="20">
        <v>21</v>
      </c>
      <c r="B25" s="184" t="s">
        <v>466</v>
      </c>
      <c r="C25" s="185"/>
      <c r="D25" s="15">
        <f t="shared" si="0"/>
        <v>7757</v>
      </c>
      <c r="E25" s="18">
        <f t="shared" si="1"/>
        <v>93937.163165986567</v>
      </c>
      <c r="F25" s="22">
        <f t="shared" si="2"/>
        <v>12.109986227405772</v>
      </c>
    </row>
    <row r="26" spans="1:6" x14ac:dyDescent="0.2">
      <c r="A26" s="20">
        <v>22</v>
      </c>
      <c r="B26" s="184" t="s">
        <v>19</v>
      </c>
      <c r="C26" s="185"/>
      <c r="D26" s="15">
        <f t="shared" si="0"/>
        <v>2016</v>
      </c>
      <c r="E26" s="18">
        <f t="shared" si="1"/>
        <v>15662.244674826467</v>
      </c>
      <c r="F26" s="22">
        <f t="shared" si="2"/>
        <v>7.7689705728305887</v>
      </c>
    </row>
    <row r="27" spans="1:6" x14ac:dyDescent="0.2">
      <c r="A27" s="20">
        <v>23</v>
      </c>
      <c r="B27" s="184" t="s">
        <v>20</v>
      </c>
      <c r="C27" s="185"/>
      <c r="D27" s="15">
        <f t="shared" si="0"/>
        <v>35472</v>
      </c>
      <c r="E27" s="18">
        <f t="shared" si="1"/>
        <v>263903.37654039904</v>
      </c>
      <c r="F27" s="22">
        <f t="shared" si="2"/>
        <v>7.4397659150992057</v>
      </c>
    </row>
    <row r="28" spans="1:6" x14ac:dyDescent="0.2">
      <c r="A28" s="20">
        <v>24</v>
      </c>
      <c r="B28" s="184" t="s">
        <v>21</v>
      </c>
      <c r="C28" s="185"/>
      <c r="D28" s="15">
        <f t="shared" si="0"/>
        <v>30577</v>
      </c>
      <c r="E28" s="18">
        <f t="shared" si="1"/>
        <v>284149.89108242502</v>
      </c>
      <c r="F28" s="22">
        <f t="shared" si="2"/>
        <v>9.292929034320732</v>
      </c>
    </row>
    <row r="29" spans="1:6" x14ac:dyDescent="0.2">
      <c r="A29" s="20">
        <v>25</v>
      </c>
      <c r="B29" s="184" t="s">
        <v>22</v>
      </c>
      <c r="C29" s="185"/>
      <c r="D29" s="15">
        <f t="shared" si="0"/>
        <v>241783</v>
      </c>
      <c r="E29" s="18">
        <f t="shared" si="1"/>
        <v>1012332.1761972063</v>
      </c>
      <c r="F29" s="22">
        <f t="shared" si="2"/>
        <v>4.1869452202892932</v>
      </c>
    </row>
    <row r="30" spans="1:6" x14ac:dyDescent="0.2">
      <c r="A30" s="20">
        <v>26</v>
      </c>
      <c r="B30" s="184" t="s">
        <v>23</v>
      </c>
      <c r="C30" s="185"/>
      <c r="D30" s="15">
        <f t="shared" si="0"/>
        <v>61054</v>
      </c>
      <c r="E30" s="18">
        <f t="shared" si="1"/>
        <v>362321.76407582103</v>
      </c>
      <c r="F30" s="22">
        <f t="shared" si="2"/>
        <v>5.9344476050024735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1820551</v>
      </c>
      <c r="E33" s="32">
        <f>SUM(E5:E32)</f>
        <v>14139348</v>
      </c>
      <c r="F33" s="33">
        <f t="shared" si="2"/>
        <v>7.7665212345053778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IF(F3="1",SUMIF(Data!A:A,'11'!$A$2,Data!CU:CU),0)</f>
        <v>10272</v>
      </c>
      <c r="E36" s="16">
        <f>IF(F3="1",SUMIF(Data!$A:$A,'11'!$A$2,Data!IO:IO),0)</f>
        <v>544</v>
      </c>
      <c r="F36" s="21">
        <f t="shared" ref="F36:F64" si="3">IFERROR(E36/D36,"")</f>
        <v>5.2959501557632398E-2</v>
      </c>
    </row>
    <row r="37" spans="1:6" x14ac:dyDescent="0.2">
      <c r="A37" s="20">
        <v>2</v>
      </c>
      <c r="B37" s="184" t="s">
        <v>1</v>
      </c>
      <c r="C37" s="185"/>
      <c r="D37" s="15">
        <f>IF(F3="1",SUMIF(Data!A:A,'11'!$A$2,Data!CV:CV),0)</f>
        <v>86040</v>
      </c>
      <c r="E37" s="18">
        <f>IF(F3="1",SUMIF(Data!$A:$A,'11'!$A$2,Data!IP:IP),0)</f>
        <v>147350</v>
      </c>
      <c r="F37" s="22">
        <f t="shared" si="3"/>
        <v>1.7125755462575547</v>
      </c>
    </row>
    <row r="38" spans="1:6" ht="14.25" customHeight="1" x14ac:dyDescent="0.2">
      <c r="A38" s="20">
        <v>3</v>
      </c>
      <c r="B38" s="184" t="s">
        <v>2</v>
      </c>
      <c r="C38" s="185"/>
      <c r="D38" s="15">
        <f>IF(F3="1",SUMIF(Data!A:A,'11'!$A$2,Data!CW:CW),0)</f>
        <v>139704</v>
      </c>
      <c r="E38" s="18">
        <f>IF(F3="1",SUMIF(Data!$A:$A,'11'!$A$2,Data!IQ:IQ),0)</f>
        <v>92557</v>
      </c>
      <c r="F38" s="22">
        <f t="shared" si="3"/>
        <v>0.6625221897726622</v>
      </c>
    </row>
    <row r="39" spans="1:6" ht="14.25" customHeight="1" x14ac:dyDescent="0.2">
      <c r="A39" s="20">
        <v>4</v>
      </c>
      <c r="B39" s="184" t="s">
        <v>3</v>
      </c>
      <c r="C39" s="185"/>
      <c r="D39" s="15">
        <f>IF(F3="1",SUMIF(Data!A:A,'11'!$A$2,Data!CX:CX),0)</f>
        <v>106646</v>
      </c>
      <c r="E39" s="18">
        <f>IF(F3="1",SUMIF(Data!$A:$A,'11'!$A$2,Data!IR:IR),0)</f>
        <v>111631</v>
      </c>
      <c r="F39" s="22">
        <f t="shared" si="3"/>
        <v>1.0467434315398609</v>
      </c>
    </row>
    <row r="40" spans="1:6" x14ac:dyDescent="0.2">
      <c r="A40" s="20">
        <v>5</v>
      </c>
      <c r="B40" s="184" t="s">
        <v>4</v>
      </c>
      <c r="C40" s="185"/>
      <c r="D40" s="15">
        <f>IF(F3="1",SUMIF(Data!A:A,'11'!$A$2,Data!CY:CY),0)</f>
        <v>0</v>
      </c>
      <c r="E40" s="18">
        <f>IF(F3="1",SUMIF(Data!$A:$A,'11'!$A$2,Data!IS:IS),0)</f>
        <v>0</v>
      </c>
      <c r="F40" s="22" t="str">
        <f t="shared" si="3"/>
        <v/>
      </c>
    </row>
    <row r="41" spans="1:6" x14ac:dyDescent="0.2">
      <c r="A41" s="20">
        <v>6</v>
      </c>
      <c r="B41" s="184" t="s">
        <v>5</v>
      </c>
      <c r="C41" s="185"/>
      <c r="D41" s="15">
        <f>IF(F3="1",SUMIF(Data!A:A,'11'!$A$2,Data!CZ:CZ),0)</f>
        <v>16299</v>
      </c>
      <c r="E41" s="18">
        <f>IF(F3="1",SUMIF(Data!$A:$A,'11'!$A$2,Data!IT:IT),0)</f>
        <v>1600</v>
      </c>
      <c r="F41" s="22">
        <f t="shared" si="3"/>
        <v>9.816553162770722E-2</v>
      </c>
    </row>
    <row r="42" spans="1:6" x14ac:dyDescent="0.2">
      <c r="A42" s="20">
        <v>7</v>
      </c>
      <c r="B42" s="184" t="s">
        <v>6</v>
      </c>
      <c r="C42" s="185"/>
      <c r="D42" s="15">
        <f>IF(F3="1",SUMIF(Data!A:A,'11'!$A$2,Data!DA:DA),0)</f>
        <v>140512</v>
      </c>
      <c r="E42" s="18">
        <f>IF(F3="1",SUMIF(Data!$A:$A,'11'!$A$2,Data!IU:IU),0)</f>
        <v>86809</v>
      </c>
      <c r="F42" s="22">
        <f t="shared" si="3"/>
        <v>0.61780488499202912</v>
      </c>
    </row>
    <row r="43" spans="1:6" x14ac:dyDescent="0.2">
      <c r="A43" s="20">
        <v>8</v>
      </c>
      <c r="B43" s="184" t="s">
        <v>7</v>
      </c>
      <c r="C43" s="185"/>
      <c r="D43" s="15">
        <f>IF(F3="1",SUMIF(Data!A:A,'11'!$A$2,Data!DB:DB),0)</f>
        <v>14976</v>
      </c>
      <c r="E43" s="18">
        <f>IF(F3="1",SUMIF(Data!$A:$A,'11'!$A$2,Data!IV:IV),0)</f>
        <v>2659</v>
      </c>
      <c r="F43" s="22">
        <f t="shared" si="3"/>
        <v>0.17755074786324787</v>
      </c>
    </row>
    <row r="44" spans="1:6" x14ac:dyDescent="0.2">
      <c r="A44" s="20">
        <v>9</v>
      </c>
      <c r="B44" s="184" t="s">
        <v>8</v>
      </c>
      <c r="C44" s="185"/>
      <c r="D44" s="15">
        <f>IF(F3="1",SUMIF(Data!A:A,'11'!$A$2,Data!DC:DC),0)</f>
        <v>137189</v>
      </c>
      <c r="E44" s="18">
        <f>IF(F3="1",SUMIF(Data!$A:$A,'11'!$A$2,Data!IW:IW),0)</f>
        <v>108729</v>
      </c>
      <c r="F44" s="22">
        <f t="shared" si="3"/>
        <v>0.79254896529605146</v>
      </c>
    </row>
    <row r="45" spans="1:6" x14ac:dyDescent="0.2">
      <c r="A45" s="20">
        <v>10</v>
      </c>
      <c r="B45" s="184" t="s">
        <v>9</v>
      </c>
      <c r="C45" s="185"/>
      <c r="D45" s="15">
        <f>IF(F3="1",SUMIF(Data!A:A,'11'!$A$2,Data!DD:DD),0)</f>
        <v>1632</v>
      </c>
      <c r="E45" s="18">
        <f>IF(F3="1",SUMIF(Data!$A:$A,'11'!$A$2,Data!IX:IX),0)</f>
        <v>77</v>
      </c>
      <c r="F45" s="22">
        <f t="shared" si="3"/>
        <v>4.7181372549019607E-2</v>
      </c>
    </row>
    <row r="46" spans="1:6" x14ac:dyDescent="0.2">
      <c r="A46" s="20">
        <v>11</v>
      </c>
      <c r="B46" s="184" t="s">
        <v>10</v>
      </c>
      <c r="C46" s="185"/>
      <c r="D46" s="15">
        <f>IF(F3="1",SUMIF(Data!A:A,'11'!$A$2,Data!DE:DE),0)</f>
        <v>77924</v>
      </c>
      <c r="E46" s="18">
        <f>IF(F3="1",SUMIF(Data!$A:$A,'11'!$A$2,Data!IY:IY),0)</f>
        <v>27607</v>
      </c>
      <c r="F46" s="22">
        <f t="shared" si="3"/>
        <v>0.35428109439967148</v>
      </c>
    </row>
    <row r="47" spans="1:6" ht="14.25" customHeight="1" x14ac:dyDescent="0.2">
      <c r="A47" s="20">
        <v>12</v>
      </c>
      <c r="B47" s="184" t="s">
        <v>11</v>
      </c>
      <c r="C47" s="185"/>
      <c r="D47" s="15">
        <f>IF(F3="1",SUMIF(Data!A:A,'11'!$A$2,Data!DF:DF),0)</f>
        <v>287664</v>
      </c>
      <c r="E47" s="18">
        <f>IF(F3="1",SUMIF(Data!$A:$A,'11'!$A$2,Data!IZ:IZ),0)</f>
        <v>47349</v>
      </c>
      <c r="F47" s="22">
        <f t="shared" si="3"/>
        <v>0.16459828132821624</v>
      </c>
    </row>
    <row r="48" spans="1:6" x14ac:dyDescent="0.2">
      <c r="A48" s="20">
        <v>13</v>
      </c>
      <c r="B48" s="184" t="s">
        <v>12</v>
      </c>
      <c r="C48" s="185"/>
      <c r="D48" s="15">
        <f>IF(F3="1",SUMIF(Data!A:A,'11'!$A$2,Data!DG:DG),0)</f>
        <v>7184</v>
      </c>
      <c r="E48" s="18">
        <f>IF(F3="1",SUMIF(Data!$A:$A,'11'!$A$2,Data!JA:JA),0)</f>
        <v>3217</v>
      </c>
      <c r="F48" s="22">
        <f t="shared" si="3"/>
        <v>0.44780066815144765</v>
      </c>
    </row>
    <row r="49" spans="1:6" ht="14.25" customHeight="1" x14ac:dyDescent="0.2">
      <c r="A49" s="20">
        <v>14</v>
      </c>
      <c r="B49" s="184" t="s">
        <v>469</v>
      </c>
      <c r="C49" s="185"/>
      <c r="D49" s="15">
        <f>IF(F3="1",SUMIF(Data!A:A,'11'!$A$2,Data!DH:DH),0)</f>
        <v>19206</v>
      </c>
      <c r="E49" s="18">
        <f>IF(F3="1",SUMIF(Data!$A:$A,'11'!$A$2,Data!JB:JB),0)</f>
        <v>148597</v>
      </c>
      <c r="F49" s="22">
        <f t="shared" si="3"/>
        <v>7.7370092679371032</v>
      </c>
    </row>
    <row r="50" spans="1:6" x14ac:dyDescent="0.2">
      <c r="A50" s="20">
        <v>15</v>
      </c>
      <c r="B50" s="184" t="s">
        <v>13</v>
      </c>
      <c r="C50" s="185"/>
      <c r="D50" s="15">
        <f>IF(F3="1",SUMIF(Data!A:A,'11'!$A$2,Data!DI:DI),0)</f>
        <v>34624</v>
      </c>
      <c r="E50" s="18">
        <f>IF(F3="1",SUMIF(Data!$A:$A,'11'!$A$2,Data!JC:JC),0)</f>
        <v>155282</v>
      </c>
      <c r="F50" s="22">
        <f t="shared" si="3"/>
        <v>4.4848082255083179</v>
      </c>
    </row>
    <row r="51" spans="1:6" x14ac:dyDescent="0.2">
      <c r="A51" s="20">
        <v>16</v>
      </c>
      <c r="B51" s="184" t="s">
        <v>14</v>
      </c>
      <c r="C51" s="185"/>
      <c r="D51" s="15">
        <f>IF(F3="1",SUMIF(Data!A:A,'11'!$A$2,Data!DJ:DJ),0)</f>
        <v>73156</v>
      </c>
      <c r="E51" s="18">
        <f>IF(F3="1",SUMIF(Data!$A:$A,'11'!$A$2,Data!JD:JD),0)</f>
        <v>142862</v>
      </c>
      <c r="F51" s="22">
        <f t="shared" si="3"/>
        <v>1.9528405052217179</v>
      </c>
    </row>
    <row r="52" spans="1:6" x14ac:dyDescent="0.2">
      <c r="A52" s="20">
        <v>17</v>
      </c>
      <c r="B52" s="184" t="s">
        <v>15</v>
      </c>
      <c r="C52" s="185"/>
      <c r="D52" s="15">
        <f>IF(F3="1",SUMIF(Data!A:A,'11'!$A$2,Data!DK:DK),0)</f>
        <v>0</v>
      </c>
      <c r="E52" s="18">
        <f>IF(F3="1",SUMIF(Data!$A:$A,'11'!$A$2,Data!JE:JE),0)</f>
        <v>0</v>
      </c>
      <c r="F52" s="22" t="str">
        <f t="shared" si="3"/>
        <v/>
      </c>
    </row>
    <row r="53" spans="1:6" x14ac:dyDescent="0.2">
      <c r="A53" s="20">
        <v>18</v>
      </c>
      <c r="B53" s="184" t="s">
        <v>16</v>
      </c>
      <c r="C53" s="185"/>
      <c r="D53" s="15">
        <f>IF(F3="1",SUMIF(Data!A:A,'11'!$A$2,Data!DL:DL),0)</f>
        <v>128864</v>
      </c>
      <c r="E53" s="18">
        <f>IF(F3="1",SUMIF(Data!$A:$A,'11'!$A$2,Data!JF:JF),0)</f>
        <v>202187</v>
      </c>
      <c r="F53" s="22">
        <f t="shared" si="3"/>
        <v>1.5689952197665755</v>
      </c>
    </row>
    <row r="54" spans="1:6" x14ac:dyDescent="0.2">
      <c r="A54" s="20">
        <v>19</v>
      </c>
      <c r="B54" s="184" t="s">
        <v>17</v>
      </c>
      <c r="C54" s="185"/>
      <c r="D54" s="15">
        <f>IF(F3="1",SUMIF(Data!A:A,'11'!$A$2,Data!DM:DM),0)</f>
        <v>134368</v>
      </c>
      <c r="E54" s="18">
        <f>IF(F3="1",SUMIF(Data!$A:$A,'11'!$A$2,Data!JG:JG),0)</f>
        <v>35780</v>
      </c>
      <c r="F54" s="22">
        <f t="shared" si="3"/>
        <v>0.26628363896165752</v>
      </c>
    </row>
    <row r="55" spans="1:6" x14ac:dyDescent="0.2">
      <c r="A55" s="20">
        <v>20</v>
      </c>
      <c r="B55" s="184" t="s">
        <v>18</v>
      </c>
      <c r="C55" s="185"/>
      <c r="D55" s="15">
        <f>IF(F3="1",SUMIF(Data!A:A,'11'!$A$2,Data!DN:DN),0)</f>
        <v>25632</v>
      </c>
      <c r="E55" s="18">
        <f>IF(F3="1",SUMIF(Data!$A:$A,'11'!$A$2,Data!JH:JH),0)</f>
        <v>12278</v>
      </c>
      <c r="F55" s="22">
        <f t="shared" si="3"/>
        <v>0.47901061173533083</v>
      </c>
    </row>
    <row r="56" spans="1:6" ht="14.25" customHeight="1" x14ac:dyDescent="0.2">
      <c r="A56" s="20">
        <v>21</v>
      </c>
      <c r="B56" s="184" t="s">
        <v>466</v>
      </c>
      <c r="C56" s="185"/>
      <c r="D56" s="15">
        <f>IF(F3="1",SUMIF(Data!A:A,'11'!$A$2,Data!DO:DO),0)</f>
        <v>7757</v>
      </c>
      <c r="E56" s="18">
        <f>IF(F3="1",SUMIF(Data!$A:$A,'11'!$A$2,Data!JI:JI),0)</f>
        <v>28270</v>
      </c>
      <c r="F56" s="22">
        <f t="shared" si="3"/>
        <v>3.6444501740363542</v>
      </c>
    </row>
    <row r="57" spans="1:6" x14ac:dyDescent="0.2">
      <c r="A57" s="20">
        <v>22</v>
      </c>
      <c r="B57" s="184" t="s">
        <v>19</v>
      </c>
      <c r="C57" s="185"/>
      <c r="D57" s="15">
        <f>IF(F3="1",SUMIF(Data!A:A,'11'!$A$2,Data!DP:DP),0)</f>
        <v>2016</v>
      </c>
      <c r="E57" s="18">
        <f>IF(F3="1",SUMIF(Data!$A:$A,'11'!$A$2,Data!JJ:JJ),0)</f>
        <v>178</v>
      </c>
      <c r="F57" s="22">
        <f t="shared" si="3"/>
        <v>8.8293650793650799E-2</v>
      </c>
    </row>
    <row r="58" spans="1:6" x14ac:dyDescent="0.2">
      <c r="A58" s="20">
        <v>23</v>
      </c>
      <c r="B58" s="184" t="s">
        <v>20</v>
      </c>
      <c r="C58" s="185"/>
      <c r="D58" s="15">
        <f>IF(F3="1",SUMIF(Data!A:A,'11'!$A$2,Data!DQ:DQ),0)</f>
        <v>35472</v>
      </c>
      <c r="E58" s="18">
        <f>IF(F3="1",SUMIF(Data!$A:$A,'11'!$A$2,Data!JK:JK),0)</f>
        <v>29604</v>
      </c>
      <c r="F58" s="22">
        <f t="shared" si="3"/>
        <v>0.83457374830852504</v>
      </c>
    </row>
    <row r="59" spans="1:6" x14ac:dyDescent="0.2">
      <c r="A59" s="20">
        <v>24</v>
      </c>
      <c r="B59" s="184" t="s">
        <v>21</v>
      </c>
      <c r="C59" s="185"/>
      <c r="D59" s="15">
        <f>IF(F3="1",SUMIF(Data!A:A,'11'!$A$2,Data!DR:DR),0)</f>
        <v>30577</v>
      </c>
      <c r="E59" s="18">
        <f>IF(F3="1",SUMIF(Data!$A:$A,'11'!$A$2,Data!JL:JL),0)</f>
        <v>51465</v>
      </c>
      <c r="F59" s="22">
        <f t="shared" si="3"/>
        <v>1.683127841187821</v>
      </c>
    </row>
    <row r="60" spans="1:6" x14ac:dyDescent="0.2">
      <c r="A60" s="20">
        <v>25</v>
      </c>
      <c r="B60" s="184" t="s">
        <v>22</v>
      </c>
      <c r="C60" s="185"/>
      <c r="D60" s="15">
        <f>IF(F3="1",SUMIF(Data!A:A,'11'!$A$2,Data!DS:DS),0)</f>
        <v>241783</v>
      </c>
      <c r="E60" s="18">
        <f>IF(F3="1",SUMIF(Data!$A:$A,'11'!$A$2,Data!JM:JM),0)</f>
        <v>3367</v>
      </c>
      <c r="F60" s="22">
        <f t="shared" si="3"/>
        <v>1.3925710244309981E-2</v>
      </c>
    </row>
    <row r="61" spans="1:6" x14ac:dyDescent="0.2">
      <c r="A61" s="20">
        <v>26</v>
      </c>
      <c r="B61" s="184" t="s">
        <v>23</v>
      </c>
      <c r="C61" s="185"/>
      <c r="D61" s="15">
        <f>IF(F3="1",SUMIF(Data!A:A,'11'!$A$2,Data!DT:DT),0)</f>
        <v>61054</v>
      </c>
      <c r="E61" s="18">
        <f>IF(F3="1",SUMIF(Data!$A:$A,'11'!$A$2,Data!JN:JN),0)</f>
        <v>16969</v>
      </c>
      <c r="F61" s="22">
        <f t="shared" si="3"/>
        <v>0.27793428767975892</v>
      </c>
    </row>
    <row r="62" spans="1:6" x14ac:dyDescent="0.2">
      <c r="A62" s="20">
        <v>28</v>
      </c>
      <c r="B62" s="184" t="s">
        <v>24</v>
      </c>
      <c r="C62" s="185"/>
      <c r="D62" s="15">
        <f>IF(F3="1",SUMIF(Data!A:A,'11'!$A$2,Data!DV:DV),0)</f>
        <v>0</v>
      </c>
      <c r="E62" s="18">
        <f>IF(F3="1",SUMIF(Data!$A:$A,'11'!$A$2,Data!JP:JP),0)</f>
        <v>0</v>
      </c>
      <c r="F62" s="22" t="str">
        <f t="shared" si="3"/>
        <v/>
      </c>
    </row>
    <row r="63" spans="1:6" ht="15.75" customHeight="1" thickBot="1" x14ac:dyDescent="0.25">
      <c r="A63" s="23">
        <v>29</v>
      </c>
      <c r="B63" s="186" t="s">
        <v>25</v>
      </c>
      <c r="C63" s="187"/>
      <c r="D63" s="24">
        <f>IF(F3="1",SUMIF(Data!A:A,'11'!$A$2,Data!DW:DW),0)</f>
        <v>0</v>
      </c>
      <c r="E63" s="25">
        <f>IF(F3="1",SUMIF(Data!$A:$A,'11'!$A$2,Data!JQ:JQ),0)</f>
        <v>0</v>
      </c>
      <c r="F63" s="26" t="str">
        <f t="shared" si="3"/>
        <v/>
      </c>
    </row>
    <row r="64" spans="1:6" x14ac:dyDescent="0.2">
      <c r="B64" s="31" t="s">
        <v>35</v>
      </c>
      <c r="C64" s="31"/>
      <c r="D64" s="61">
        <f>SUM(D36:D63)</f>
        <v>1820551</v>
      </c>
      <c r="E64" s="32">
        <f>SUM(E36:E63)</f>
        <v>1456968</v>
      </c>
      <c r="F64" s="33">
        <f t="shared" si="3"/>
        <v>0.80028958265931582</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10272</v>
      </c>
      <c r="E67" s="16">
        <f>IF(F3="1",SUMIF(Data!A:A,'11'!$A$2,Data!DY:DY),0)</f>
        <v>24620</v>
      </c>
      <c r="F67" s="21">
        <f>IFERROR(E67/D67,"")</f>
        <v>2.3968068535825546</v>
      </c>
    </row>
    <row r="68" spans="1:6" x14ac:dyDescent="0.2">
      <c r="A68" s="20">
        <v>2</v>
      </c>
      <c r="B68" s="184" t="s">
        <v>1</v>
      </c>
      <c r="C68" s="185"/>
      <c r="D68" s="15">
        <f t="shared" ref="D68:D94" si="4">D37</f>
        <v>86040</v>
      </c>
      <c r="E68" s="18">
        <f>IF(F3="1",SUMIF(Data!A:A,'11'!$A$2,Data!DZ:DZ),0)</f>
        <v>201142</v>
      </c>
      <c r="F68" s="22">
        <f t="shared" ref="F68:F95" si="5">IFERROR(E68/D68,"")</f>
        <v>2.3377731287773127</v>
      </c>
    </row>
    <row r="69" spans="1:6" ht="14.25" customHeight="1" x14ac:dyDescent="0.2">
      <c r="A69" s="20">
        <v>3</v>
      </c>
      <c r="B69" s="184" t="s">
        <v>2</v>
      </c>
      <c r="C69" s="185"/>
      <c r="D69" s="15">
        <f t="shared" si="4"/>
        <v>139704</v>
      </c>
      <c r="E69" s="18">
        <f>IF(F3="1",SUMIF(Data!A:A,'11'!$A$2,Data!EA:EA),0)</f>
        <v>417244</v>
      </c>
      <c r="F69" s="22">
        <f t="shared" si="5"/>
        <v>2.9866288724732293</v>
      </c>
    </row>
    <row r="70" spans="1:6" ht="14.25" customHeight="1" x14ac:dyDescent="0.2">
      <c r="A70" s="20">
        <v>4</v>
      </c>
      <c r="B70" s="184" t="s">
        <v>3</v>
      </c>
      <c r="C70" s="185"/>
      <c r="D70" s="15">
        <f t="shared" si="4"/>
        <v>106646</v>
      </c>
      <c r="E70" s="18">
        <f>IF(F3="1",SUMIF(Data!A:A,'11'!$A$2,Data!EB:EB),0)</f>
        <v>527980</v>
      </c>
      <c r="F70" s="22">
        <f t="shared" si="5"/>
        <v>4.9507717120192041</v>
      </c>
    </row>
    <row r="71" spans="1:6" x14ac:dyDescent="0.2">
      <c r="A71" s="20">
        <v>5</v>
      </c>
      <c r="B71" s="184" t="s">
        <v>4</v>
      </c>
      <c r="C71" s="185"/>
      <c r="D71" s="15">
        <f t="shared" si="4"/>
        <v>0</v>
      </c>
      <c r="E71" s="18">
        <f>IF(F3="1",SUMIF(Data!A:A,'11'!$A$2,Data!EC:EC),0)</f>
        <v>0</v>
      </c>
      <c r="F71" s="22" t="str">
        <f t="shared" si="5"/>
        <v/>
      </c>
    </row>
    <row r="72" spans="1:6" x14ac:dyDescent="0.2">
      <c r="A72" s="20">
        <v>6</v>
      </c>
      <c r="B72" s="184" t="s">
        <v>5</v>
      </c>
      <c r="C72" s="185"/>
      <c r="D72" s="15">
        <f t="shared" si="4"/>
        <v>16299</v>
      </c>
      <c r="E72" s="18">
        <f>IF(F3="1",SUMIF(Data!A:A,'11'!$A$2,Data!ED:ED),0)</f>
        <v>72389</v>
      </c>
      <c r="F72" s="22">
        <f t="shared" si="5"/>
        <v>4.4413154181238115</v>
      </c>
    </row>
    <row r="73" spans="1:6" x14ac:dyDescent="0.2">
      <c r="A73" s="20">
        <v>7</v>
      </c>
      <c r="B73" s="184" t="s">
        <v>6</v>
      </c>
      <c r="C73" s="185"/>
      <c r="D73" s="15">
        <f t="shared" si="4"/>
        <v>140512</v>
      </c>
      <c r="E73" s="18">
        <f>IF(F3="1",SUMIF(Data!A:A,'11'!$A$2,Data!EE:EE),0)</f>
        <v>422410</v>
      </c>
      <c r="F73" s="22">
        <f t="shared" si="5"/>
        <v>3.0062201093145071</v>
      </c>
    </row>
    <row r="74" spans="1:6" x14ac:dyDescent="0.2">
      <c r="A74" s="20">
        <v>8</v>
      </c>
      <c r="B74" s="184" t="s">
        <v>7</v>
      </c>
      <c r="C74" s="185"/>
      <c r="D74" s="15">
        <f t="shared" si="4"/>
        <v>14976</v>
      </c>
      <c r="E74" s="18">
        <f>IF(F3="1",SUMIF(Data!A:A,'11'!$A$2,Data!EF:EF),0)</f>
        <v>64936</v>
      </c>
      <c r="F74" s="22">
        <f t="shared" si="5"/>
        <v>4.3360042735042734</v>
      </c>
    </row>
    <row r="75" spans="1:6" x14ac:dyDescent="0.2">
      <c r="A75" s="20">
        <v>9</v>
      </c>
      <c r="B75" s="184" t="s">
        <v>8</v>
      </c>
      <c r="C75" s="185"/>
      <c r="D75" s="15">
        <f t="shared" si="4"/>
        <v>137189</v>
      </c>
      <c r="E75" s="18">
        <f>IF(F3="1",SUMIF(Data!A:A,'11'!$A$2,Data!EG:EG),0)</f>
        <v>447481</v>
      </c>
      <c r="F75" s="22">
        <f t="shared" si="5"/>
        <v>3.2617848369767257</v>
      </c>
    </row>
    <row r="76" spans="1:6" x14ac:dyDescent="0.2">
      <c r="A76" s="20">
        <v>10</v>
      </c>
      <c r="B76" s="184" t="s">
        <v>9</v>
      </c>
      <c r="C76" s="185"/>
      <c r="D76" s="15">
        <f t="shared" si="4"/>
        <v>1632</v>
      </c>
      <c r="E76" s="18">
        <f>IF(F3="1",SUMIF(Data!A:A,'11'!$A$2,Data!EH:EH),0)</f>
        <v>3475</v>
      </c>
      <c r="F76" s="22">
        <f t="shared" si="5"/>
        <v>2.1292892156862746</v>
      </c>
    </row>
    <row r="77" spans="1:6" x14ac:dyDescent="0.2">
      <c r="A77" s="20">
        <v>11</v>
      </c>
      <c r="B77" s="184" t="s">
        <v>10</v>
      </c>
      <c r="C77" s="185"/>
      <c r="D77" s="15">
        <f t="shared" si="4"/>
        <v>77924</v>
      </c>
      <c r="E77" s="18">
        <f>IF(F3="1",SUMIF(Data!A:A,'11'!$A$2,Data!EI:EI),0)</f>
        <v>252910</v>
      </c>
      <c r="F77" s="22">
        <f t="shared" si="5"/>
        <v>3.2455982752425441</v>
      </c>
    </row>
    <row r="78" spans="1:6" ht="14.25" customHeight="1" x14ac:dyDescent="0.2">
      <c r="A78" s="20">
        <v>12</v>
      </c>
      <c r="B78" s="184" t="s">
        <v>11</v>
      </c>
      <c r="C78" s="185"/>
      <c r="D78" s="15">
        <f t="shared" si="4"/>
        <v>287664</v>
      </c>
      <c r="E78" s="18">
        <f>IF(F3="1",SUMIF(Data!A:A,'11'!$A$2,Data!EJ:EJ),0)</f>
        <v>1186565</v>
      </c>
      <c r="F78" s="22">
        <f t="shared" si="5"/>
        <v>4.1248296623838927</v>
      </c>
    </row>
    <row r="79" spans="1:6" x14ac:dyDescent="0.2">
      <c r="A79" s="20">
        <v>13</v>
      </c>
      <c r="B79" s="184" t="s">
        <v>12</v>
      </c>
      <c r="C79" s="185"/>
      <c r="D79" s="15">
        <f t="shared" si="4"/>
        <v>7184</v>
      </c>
      <c r="E79" s="18">
        <f>IF(F3="1",SUMIF(Data!A:A,'11'!$A$2,Data!EK:EK),0)</f>
        <v>53788</v>
      </c>
      <c r="F79" s="22">
        <f t="shared" si="5"/>
        <v>7.4871937639198221</v>
      </c>
    </row>
    <row r="80" spans="1:6" ht="14.25" customHeight="1" x14ac:dyDescent="0.2">
      <c r="A80" s="20">
        <v>14</v>
      </c>
      <c r="B80" s="184" t="s">
        <v>469</v>
      </c>
      <c r="C80" s="185"/>
      <c r="D80" s="15">
        <f t="shared" si="4"/>
        <v>19206</v>
      </c>
      <c r="E80" s="18">
        <f>IF(F3="1",SUMIF(Data!A:A,'11'!$A$2,Data!EL:EL),0)</f>
        <v>170422</v>
      </c>
      <c r="F80" s="22">
        <f t="shared" si="5"/>
        <v>8.873372904300739</v>
      </c>
    </row>
    <row r="81" spans="1:6" x14ac:dyDescent="0.2">
      <c r="A81" s="20">
        <v>15</v>
      </c>
      <c r="B81" s="184" t="s">
        <v>13</v>
      </c>
      <c r="C81" s="185"/>
      <c r="D81" s="15">
        <f t="shared" si="4"/>
        <v>34624</v>
      </c>
      <c r="E81" s="18">
        <f>IF(F3="1",SUMIF(Data!A:A,'11'!$A$2,Data!EM:EM),0)</f>
        <v>246049</v>
      </c>
      <c r="F81" s="22">
        <f t="shared" si="5"/>
        <v>7.1063135397412198</v>
      </c>
    </row>
    <row r="82" spans="1:6" x14ac:dyDescent="0.2">
      <c r="A82" s="20">
        <v>16</v>
      </c>
      <c r="B82" s="184" t="s">
        <v>14</v>
      </c>
      <c r="C82" s="185"/>
      <c r="D82" s="15">
        <f t="shared" si="4"/>
        <v>73156</v>
      </c>
      <c r="E82" s="18">
        <f>IF(F3="1",SUMIF(Data!A:A,'11'!$A$2,Data!EN:EN),0)</f>
        <v>166840</v>
      </c>
      <c r="F82" s="22">
        <f t="shared" si="5"/>
        <v>2.2806058286401663</v>
      </c>
    </row>
    <row r="83" spans="1:6" x14ac:dyDescent="0.2">
      <c r="A83" s="20">
        <v>17</v>
      </c>
      <c r="B83" s="184" t="s">
        <v>15</v>
      </c>
      <c r="C83" s="185"/>
      <c r="D83" s="15">
        <f t="shared" si="4"/>
        <v>0</v>
      </c>
      <c r="E83" s="18">
        <f>IF(F3="1",SUMIF(Data!A:A,'11'!$A$2,Data!EO:EO),0)</f>
        <v>0</v>
      </c>
      <c r="F83" s="22" t="str">
        <f t="shared" si="5"/>
        <v/>
      </c>
    </row>
    <row r="84" spans="1:6" x14ac:dyDescent="0.2">
      <c r="A84" s="20">
        <v>18</v>
      </c>
      <c r="B84" s="184" t="s">
        <v>16</v>
      </c>
      <c r="C84" s="185"/>
      <c r="D84" s="15">
        <f t="shared" si="4"/>
        <v>128864</v>
      </c>
      <c r="E84" s="18">
        <f>IF(F3="1",SUMIF(Data!A:A,'11'!$A$2,Data!EP:EP),0)</f>
        <v>534118</v>
      </c>
      <c r="F84" s="22">
        <f t="shared" si="5"/>
        <v>4.1448193444251302</v>
      </c>
    </row>
    <row r="85" spans="1:6" x14ac:dyDescent="0.2">
      <c r="A85" s="20">
        <v>19</v>
      </c>
      <c r="B85" s="184" t="s">
        <v>17</v>
      </c>
      <c r="C85" s="185"/>
      <c r="D85" s="15">
        <f t="shared" si="4"/>
        <v>134368</v>
      </c>
      <c r="E85" s="18">
        <f>IF(F3="1",SUMIF(Data!A:A,'11'!$A$2,Data!EQ:EQ),0)</f>
        <v>582646</v>
      </c>
      <c r="F85" s="22">
        <f t="shared" si="5"/>
        <v>4.3361961181233628</v>
      </c>
    </row>
    <row r="86" spans="1:6" x14ac:dyDescent="0.2">
      <c r="A86" s="20">
        <v>20</v>
      </c>
      <c r="B86" s="184" t="s">
        <v>18</v>
      </c>
      <c r="C86" s="185"/>
      <c r="D86" s="15">
        <f t="shared" si="4"/>
        <v>25632</v>
      </c>
      <c r="E86" s="18">
        <f>IF(F3="1",SUMIF(Data!A:A,'11'!$A$2,Data!ER:ER),0)</f>
        <v>98488</v>
      </c>
      <c r="F86" s="22">
        <f t="shared" si="5"/>
        <v>3.8423845193508113</v>
      </c>
    </row>
    <row r="87" spans="1:6" ht="14.25" customHeight="1" x14ac:dyDescent="0.2">
      <c r="A87" s="20">
        <v>21</v>
      </c>
      <c r="B87" s="184" t="s">
        <v>466</v>
      </c>
      <c r="C87" s="185"/>
      <c r="D87" s="15">
        <f t="shared" si="4"/>
        <v>7757</v>
      </c>
      <c r="E87" s="18">
        <f>IF(F3="1",SUMIF(Data!A:A,'11'!$A$2,Data!ES:ES),0)</f>
        <v>37120</v>
      </c>
      <c r="F87" s="22">
        <f t="shared" si="5"/>
        <v>4.7853551630785098</v>
      </c>
    </row>
    <row r="88" spans="1:6" x14ac:dyDescent="0.2">
      <c r="A88" s="20">
        <v>22</v>
      </c>
      <c r="B88" s="184" t="s">
        <v>19</v>
      </c>
      <c r="C88" s="185"/>
      <c r="D88" s="15">
        <f t="shared" si="4"/>
        <v>2016</v>
      </c>
      <c r="E88" s="18">
        <f>IF(F3="1",SUMIF(Data!A:A,'11'!$A$2,Data!ET:ET),0)</f>
        <v>8065</v>
      </c>
      <c r="F88" s="22">
        <f t="shared" si="5"/>
        <v>4.0004960317460316</v>
      </c>
    </row>
    <row r="89" spans="1:6" x14ac:dyDescent="0.2">
      <c r="A89" s="20">
        <v>23</v>
      </c>
      <c r="B89" s="184" t="s">
        <v>20</v>
      </c>
      <c r="C89" s="185"/>
      <c r="D89" s="15">
        <f t="shared" si="4"/>
        <v>35472</v>
      </c>
      <c r="E89" s="18">
        <f>IF(F3="1",SUMIF(Data!A:A,'11'!$A$2,Data!EU:EU),0)</f>
        <v>103756</v>
      </c>
      <c r="F89" s="22">
        <f t="shared" si="5"/>
        <v>2.9250112764997747</v>
      </c>
    </row>
    <row r="90" spans="1:6" x14ac:dyDescent="0.2">
      <c r="A90" s="20">
        <v>24</v>
      </c>
      <c r="B90" s="184" t="s">
        <v>21</v>
      </c>
      <c r="C90" s="185"/>
      <c r="D90" s="15">
        <f t="shared" si="4"/>
        <v>30577</v>
      </c>
      <c r="E90" s="18">
        <f>IF(F3="1",SUMIF(Data!A:A,'11'!$A$2,Data!EV:EV),0)</f>
        <v>120156</v>
      </c>
      <c r="F90" s="22">
        <f t="shared" si="5"/>
        <v>3.9296203028420056</v>
      </c>
    </row>
    <row r="91" spans="1:6" x14ac:dyDescent="0.2">
      <c r="A91" s="20">
        <v>25</v>
      </c>
      <c r="B91" s="184" t="s">
        <v>22</v>
      </c>
      <c r="C91" s="185"/>
      <c r="D91" s="15">
        <f t="shared" si="4"/>
        <v>241783</v>
      </c>
      <c r="E91" s="18">
        <f>IF(F3="1",SUMIF(Data!A:A,'11'!$A$2,Data!EW:EW),0)</f>
        <v>119160</v>
      </c>
      <c r="F91" s="22">
        <f t="shared" si="5"/>
        <v>0.492838619754077</v>
      </c>
    </row>
    <row r="92" spans="1:6" x14ac:dyDescent="0.2">
      <c r="A92" s="20">
        <v>26</v>
      </c>
      <c r="B92" s="184" t="s">
        <v>23</v>
      </c>
      <c r="C92" s="185"/>
      <c r="D92" s="15">
        <f t="shared" si="4"/>
        <v>61054</v>
      </c>
      <c r="E92" s="18">
        <f>IF(F3="1",SUMIF(Data!A:A,'11'!$A$2,Data!EX:EX),0)</f>
        <v>120663</v>
      </c>
      <c r="F92" s="22">
        <f t="shared" si="5"/>
        <v>1.9763324270318079</v>
      </c>
    </row>
    <row r="93" spans="1:6" x14ac:dyDescent="0.2">
      <c r="A93" s="20">
        <v>28</v>
      </c>
      <c r="B93" s="184" t="s">
        <v>24</v>
      </c>
      <c r="C93" s="185"/>
      <c r="D93" s="15">
        <f t="shared" si="4"/>
        <v>0</v>
      </c>
      <c r="E93" s="18">
        <f>IF(F3="1",SUMIF(Data!A:A,'11'!$A$2,Data!EZ:EZ),0)</f>
        <v>0</v>
      </c>
      <c r="F93" s="22" t="str">
        <f t="shared" si="5"/>
        <v/>
      </c>
    </row>
    <row r="94" spans="1:6" ht="15.75" customHeight="1" thickBot="1" x14ac:dyDescent="0.25">
      <c r="A94" s="23">
        <v>29</v>
      </c>
      <c r="B94" s="186" t="s">
        <v>25</v>
      </c>
      <c r="C94" s="187"/>
      <c r="D94" s="24">
        <f t="shared" si="4"/>
        <v>0</v>
      </c>
      <c r="E94" s="25">
        <f>IF(F3="1",SUMIF(Data!A:A,'11'!$A$2,Data!FA:FA),0)</f>
        <v>0</v>
      </c>
      <c r="F94" s="26" t="str">
        <f t="shared" si="5"/>
        <v/>
      </c>
    </row>
    <row r="95" spans="1:6" x14ac:dyDescent="0.2">
      <c r="B95" s="31" t="s">
        <v>35</v>
      </c>
      <c r="C95" s="31"/>
      <c r="D95" s="61">
        <f>SUM(D67:D94)</f>
        <v>1820551</v>
      </c>
      <c r="E95" s="32">
        <f>SUM(E67:E94)</f>
        <v>5982423</v>
      </c>
      <c r="F95" s="33">
        <f t="shared" si="5"/>
        <v>3.2860507615551557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IF(F3="1",SUMIF(Data!A:A,'11'!$A$2,Data!AH:AH),0)</f>
        <v>4158506</v>
      </c>
      <c r="F98" s="21">
        <f t="shared" ref="F98:F105" si="6">IFERROR(E98/$D$95,0)</f>
        <v>2.2842018707523164</v>
      </c>
    </row>
    <row r="99" spans="2:6" x14ac:dyDescent="0.2">
      <c r="B99" s="190" t="s">
        <v>31</v>
      </c>
      <c r="C99" s="191"/>
      <c r="D99" s="37"/>
      <c r="E99" s="18">
        <f>IF(F3="1",SUMIF(Data!A:A,'11'!$A$2,Data!AI:AI),0)</f>
        <v>1123151</v>
      </c>
      <c r="F99" s="22">
        <f t="shared" si="6"/>
        <v>0.61692916045746593</v>
      </c>
    </row>
    <row r="100" spans="2:6" x14ac:dyDescent="0.2">
      <c r="B100" s="190" t="s">
        <v>32</v>
      </c>
      <c r="C100" s="191"/>
      <c r="D100" s="37"/>
      <c r="E100" s="18">
        <f>IF(F3="1",SUMIF(Data!A:A,'11'!$A$2,Data!AJ:AJ),0)</f>
        <v>795200</v>
      </c>
      <c r="F100" s="22">
        <f t="shared" si="6"/>
        <v>0.4367908396963337</v>
      </c>
    </row>
    <row r="101" spans="2:6" x14ac:dyDescent="0.2">
      <c r="B101" s="190" t="s">
        <v>28</v>
      </c>
      <c r="C101" s="191"/>
      <c r="D101" s="37"/>
      <c r="E101" s="18">
        <f>IF(F3="1",SUMIF(Data!A:A,'11'!$A$2,Data!AK:AK),0)</f>
        <v>0</v>
      </c>
      <c r="F101" s="22">
        <f t="shared" si="6"/>
        <v>0</v>
      </c>
    </row>
    <row r="102" spans="2:6" x14ac:dyDescent="0.2">
      <c r="B102" s="190" t="s">
        <v>33</v>
      </c>
      <c r="C102" s="191"/>
      <c r="D102" s="37"/>
      <c r="E102" s="18">
        <f>IF(F3="1",SUMIF(Data!A:A,'11'!$A$2,Data!AL:AL),0)</f>
        <v>0</v>
      </c>
      <c r="F102" s="22">
        <f t="shared" si="6"/>
        <v>0</v>
      </c>
    </row>
    <row r="103" spans="2:6" x14ac:dyDescent="0.2">
      <c r="B103" s="192" t="s">
        <v>34</v>
      </c>
      <c r="C103" s="193"/>
      <c r="D103" s="37"/>
      <c r="E103" s="18">
        <f>IF(F3="1",SUMIF(Data!A:A,'11'!$A$2,Data!AM:AM),0)</f>
        <v>256966</v>
      </c>
      <c r="F103" s="22">
        <f t="shared" si="6"/>
        <v>0.14114737790921539</v>
      </c>
    </row>
    <row r="104" spans="2:6" ht="15.75" customHeight="1" thickBot="1" x14ac:dyDescent="0.25">
      <c r="B104" s="182" t="s">
        <v>29</v>
      </c>
      <c r="C104" s="183"/>
      <c r="D104" s="38"/>
      <c r="E104" s="25">
        <f>IF(F3="1",SUMIF(Data!A:A,'11'!$A$2,Data!Q:Q),0)</f>
        <v>366134</v>
      </c>
      <c r="F104" s="26">
        <f t="shared" si="6"/>
        <v>0.20111164147557525</v>
      </c>
    </row>
    <row r="105" spans="2:6" x14ac:dyDescent="0.2">
      <c r="B105" s="31" t="s">
        <v>35</v>
      </c>
      <c r="C105" s="31"/>
      <c r="D105" s="35">
        <f>D95</f>
        <v>1820551</v>
      </c>
      <c r="E105" s="32">
        <f>SUM(E98:E104)</f>
        <v>6699957</v>
      </c>
      <c r="F105" s="33">
        <f t="shared" si="6"/>
        <v>3.6801808902909063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5982423</v>
      </c>
      <c r="D109" s="16">
        <f>IF(F3="1",SUMIF(Data!$A:$A,$A$2,Data!HJ:HJ),0)</f>
        <v>0</v>
      </c>
      <c r="E109" s="16">
        <f>IF(F3="1",SUMIF(Data!$A:$A,$A$2,Data!IN:IN),0)</f>
        <v>0</v>
      </c>
      <c r="F109" s="48">
        <f>SUM(C109:E109)</f>
        <v>5982423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366134</v>
      </c>
      <c r="E117" s="53"/>
      <c r="F117" s="50">
        <f>SUM(C117:E117)</f>
        <v>366134</v>
      </c>
    </row>
    <row r="118" spans="1:6" x14ac:dyDescent="0.2">
      <c r="B118" s="14" t="s">
        <v>35</v>
      </c>
      <c r="C118" s="5">
        <f>SUM(C109:C116)</f>
        <v>5982423</v>
      </c>
      <c r="D118" s="5">
        <f>SUM(D109:D116)</f>
        <v>0</v>
      </c>
      <c r="E118" s="5">
        <f>SUM(E109:E116)</f>
        <v>0</v>
      </c>
      <c r="F118" s="5">
        <f>SUM(F109:F116)</f>
        <v>5982423</v>
      </c>
    </row>
    <row r="119" spans="1:6" ht="15" thickBot="1" x14ac:dyDescent="0.25"/>
    <row r="120" spans="1:6" ht="15" thickBot="1" x14ac:dyDescent="0.25">
      <c r="B120" s="57" t="s">
        <v>942</v>
      </c>
      <c r="C120" s="55"/>
      <c r="D120" s="55"/>
      <c r="E120" s="55">
        <f>IF(F3="1",SUMIF(Data!A:A,'11'!$A$2,Data!AM:AM),0)</f>
        <v>256966</v>
      </c>
      <c r="F120" s="56">
        <f>SUM(C120:E120)</f>
        <v>256966</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426</v>
      </c>
      <c r="B2" s="60" t="str">
        <f>VLOOKUP(A2,Data!A:G,7,0)</f>
        <v>College Of The Mainland</v>
      </c>
      <c r="C2" s="60"/>
    </row>
    <row r="3" spans="1:6" ht="15" thickBot="1" x14ac:dyDescent="0.25">
      <c r="A3" s="4"/>
      <c r="F3" s="58">
        <f>IFERROR(VLOOKUP(A2,Data!A:C,3,0),"0")</f>
        <v>0</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0</v>
      </c>
      <c r="E6" s="18">
        <f t="shared" ref="E6:E32" si="1">E37+E68+IFERROR($E$105/$D$105*D6,0)</f>
        <v>0</v>
      </c>
      <c r="F6" s="22" t="str">
        <f t="shared" ref="F6:F33" si="2">IFERROR(E6/D6,"")</f>
        <v/>
      </c>
    </row>
    <row r="7" spans="1:6" ht="14.25" customHeight="1" x14ac:dyDescent="0.2">
      <c r="A7" s="20">
        <v>3</v>
      </c>
      <c r="B7" s="184" t="s">
        <v>2</v>
      </c>
      <c r="C7" s="185"/>
      <c r="D7" s="15">
        <f t="shared" si="0"/>
        <v>0</v>
      </c>
      <c r="E7" s="18">
        <f t="shared" si="1"/>
        <v>0</v>
      </c>
      <c r="F7" s="22" t="str">
        <f t="shared" si="2"/>
        <v/>
      </c>
    </row>
    <row r="8" spans="1:6" ht="14.25" customHeight="1" x14ac:dyDescent="0.2">
      <c r="A8" s="20">
        <v>4</v>
      </c>
      <c r="B8" s="184" t="s">
        <v>3</v>
      </c>
      <c r="C8" s="185"/>
      <c r="D8" s="15">
        <f t="shared" si="0"/>
        <v>0</v>
      </c>
      <c r="E8" s="18">
        <f t="shared" si="1"/>
        <v>0</v>
      </c>
      <c r="F8" s="22" t="str">
        <f t="shared" si="2"/>
        <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0</v>
      </c>
      <c r="E11" s="18">
        <f t="shared" si="1"/>
        <v>0</v>
      </c>
      <c r="F11" s="22" t="str">
        <f t="shared" si="2"/>
        <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0</v>
      </c>
      <c r="E13" s="18">
        <f t="shared" si="1"/>
        <v>0</v>
      </c>
      <c r="F13" s="22" t="str">
        <f t="shared" si="2"/>
        <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0</v>
      </c>
      <c r="E15" s="18">
        <f t="shared" si="1"/>
        <v>0</v>
      </c>
      <c r="F15" s="22" t="str">
        <f t="shared" si="2"/>
        <v/>
      </c>
    </row>
    <row r="16" spans="1:6" ht="14.25" customHeight="1" x14ac:dyDescent="0.2">
      <c r="A16" s="20">
        <v>12</v>
      </c>
      <c r="B16" s="184" t="s">
        <v>11</v>
      </c>
      <c r="C16" s="185"/>
      <c r="D16" s="15">
        <f t="shared" si="0"/>
        <v>0</v>
      </c>
      <c r="E16" s="18">
        <f t="shared" si="1"/>
        <v>0</v>
      </c>
      <c r="F16" s="22" t="str">
        <f t="shared" si="2"/>
        <v/>
      </c>
    </row>
    <row r="17" spans="1:6" x14ac:dyDescent="0.2">
      <c r="A17" s="20">
        <v>13</v>
      </c>
      <c r="B17" s="184" t="s">
        <v>12</v>
      </c>
      <c r="C17" s="185"/>
      <c r="D17" s="15">
        <f t="shared" si="0"/>
        <v>0</v>
      </c>
      <c r="E17" s="18">
        <f t="shared" si="1"/>
        <v>0</v>
      </c>
      <c r="F17" s="22" t="str">
        <f t="shared" si="2"/>
        <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0</v>
      </c>
      <c r="E20" s="18">
        <f t="shared" si="1"/>
        <v>0</v>
      </c>
      <c r="F20" s="22" t="str">
        <f t="shared" si="2"/>
        <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0</v>
      </c>
      <c r="E23" s="18">
        <f t="shared" si="1"/>
        <v>0</v>
      </c>
      <c r="F23" s="22" t="str">
        <f t="shared" si="2"/>
        <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0</v>
      </c>
      <c r="E26" s="18">
        <f t="shared" si="1"/>
        <v>0</v>
      </c>
      <c r="F26" s="22" t="str">
        <f t="shared" si="2"/>
        <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0</v>
      </c>
      <c r="E28" s="18">
        <f t="shared" si="1"/>
        <v>0</v>
      </c>
      <c r="F28" s="22" t="str">
        <f t="shared" si="2"/>
        <v/>
      </c>
    </row>
    <row r="29" spans="1:6" x14ac:dyDescent="0.2">
      <c r="A29" s="20">
        <v>25</v>
      </c>
      <c r="B29" s="184" t="s">
        <v>22</v>
      </c>
      <c r="C29" s="185"/>
      <c r="D29" s="15">
        <f t="shared" si="0"/>
        <v>0</v>
      </c>
      <c r="E29" s="18">
        <f t="shared" si="1"/>
        <v>0</v>
      </c>
      <c r="F29" s="22" t="str">
        <f t="shared" si="2"/>
        <v/>
      </c>
    </row>
    <row r="30" spans="1:6" x14ac:dyDescent="0.2">
      <c r="A30" s="20">
        <v>26</v>
      </c>
      <c r="B30" s="184" t="s">
        <v>23</v>
      </c>
      <c r="C30" s="185"/>
      <c r="D30" s="15">
        <f t="shared" si="0"/>
        <v>0</v>
      </c>
      <c r="E30" s="18">
        <f t="shared" si="1"/>
        <v>0</v>
      </c>
      <c r="F30" s="22" t="str">
        <f t="shared" si="2"/>
        <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IF(F3="1",SUMIF(Data!A:A,'12'!$A$2,Data!CU:CU),0)</f>
        <v>0</v>
      </c>
      <c r="E36" s="16">
        <f>IF(F3="1",SUMIF(Data!$A:$A,'12'!$A$2,Data!IO:IO),0)</f>
        <v>0</v>
      </c>
      <c r="F36" s="21" t="str">
        <f t="shared" ref="F36:F64" si="3">IFERROR(E36/D36,"")</f>
        <v/>
      </c>
    </row>
    <row r="37" spans="1:6" x14ac:dyDescent="0.2">
      <c r="A37" s="20">
        <v>2</v>
      </c>
      <c r="B37" s="184" t="s">
        <v>1</v>
      </c>
      <c r="C37" s="185"/>
      <c r="D37" s="15">
        <f>IF(F3="1",SUMIF(Data!A:A,'12'!$A$2,Data!CV:CV),0)</f>
        <v>0</v>
      </c>
      <c r="E37" s="18">
        <f>IF(F3="1",SUMIF(Data!$A:$A,'12'!$A$2,Data!IP:IP),0)</f>
        <v>0</v>
      </c>
      <c r="F37" s="22" t="str">
        <f t="shared" si="3"/>
        <v/>
      </c>
    </row>
    <row r="38" spans="1:6" ht="14.25" customHeight="1" x14ac:dyDescent="0.2">
      <c r="A38" s="20">
        <v>3</v>
      </c>
      <c r="B38" s="184" t="s">
        <v>2</v>
      </c>
      <c r="C38" s="185"/>
      <c r="D38" s="15">
        <f>IF(F3="1",SUMIF(Data!A:A,'12'!$A$2,Data!CW:CW),0)</f>
        <v>0</v>
      </c>
      <c r="E38" s="18">
        <f>IF(F3="1",SUMIF(Data!$A:$A,'12'!$A$2,Data!IQ:IQ),0)</f>
        <v>0</v>
      </c>
      <c r="F38" s="22" t="str">
        <f t="shared" si="3"/>
        <v/>
      </c>
    </row>
    <row r="39" spans="1:6" ht="14.25" customHeight="1" x14ac:dyDescent="0.2">
      <c r="A39" s="20">
        <v>4</v>
      </c>
      <c r="B39" s="184" t="s">
        <v>3</v>
      </c>
      <c r="C39" s="185"/>
      <c r="D39" s="15">
        <f>IF(F3="1",SUMIF(Data!A:A,'12'!$A$2,Data!CX:CX),0)</f>
        <v>0</v>
      </c>
      <c r="E39" s="18">
        <f>IF(F3="1",SUMIF(Data!$A:$A,'12'!$A$2,Data!IR:IR),0)</f>
        <v>0</v>
      </c>
      <c r="F39" s="22" t="str">
        <f t="shared" si="3"/>
        <v/>
      </c>
    </row>
    <row r="40" spans="1:6" x14ac:dyDescent="0.2">
      <c r="A40" s="20">
        <v>5</v>
      </c>
      <c r="B40" s="184" t="s">
        <v>4</v>
      </c>
      <c r="C40" s="185"/>
      <c r="D40" s="15">
        <f>IF(F3="1",SUMIF(Data!A:A,'12'!$A$2,Data!CY:CY),0)</f>
        <v>0</v>
      </c>
      <c r="E40" s="18">
        <f>IF(F3="1",SUMIF(Data!$A:$A,'12'!$A$2,Data!IS:IS),0)</f>
        <v>0</v>
      </c>
      <c r="F40" s="22" t="str">
        <f t="shared" si="3"/>
        <v/>
      </c>
    </row>
    <row r="41" spans="1:6" x14ac:dyDescent="0.2">
      <c r="A41" s="20">
        <v>6</v>
      </c>
      <c r="B41" s="184" t="s">
        <v>5</v>
      </c>
      <c r="C41" s="185"/>
      <c r="D41" s="15">
        <f>IF(F3="1",SUMIF(Data!A:A,'12'!$A$2,Data!CZ:CZ),0)</f>
        <v>0</v>
      </c>
      <c r="E41" s="18">
        <f>IF(F3="1",SUMIF(Data!$A:$A,'12'!$A$2,Data!IT:IT),0)</f>
        <v>0</v>
      </c>
      <c r="F41" s="22" t="str">
        <f t="shared" si="3"/>
        <v/>
      </c>
    </row>
    <row r="42" spans="1:6" x14ac:dyDescent="0.2">
      <c r="A42" s="20">
        <v>7</v>
      </c>
      <c r="B42" s="184" t="s">
        <v>6</v>
      </c>
      <c r="C42" s="185"/>
      <c r="D42" s="15">
        <f>IF(F3="1",SUMIF(Data!A:A,'12'!$A$2,Data!DA:DA),0)</f>
        <v>0</v>
      </c>
      <c r="E42" s="18">
        <f>IF(F3="1",SUMIF(Data!$A:$A,'12'!$A$2,Data!IU:IU),0)</f>
        <v>0</v>
      </c>
      <c r="F42" s="22" t="str">
        <f t="shared" si="3"/>
        <v/>
      </c>
    </row>
    <row r="43" spans="1:6" x14ac:dyDescent="0.2">
      <c r="A43" s="20">
        <v>8</v>
      </c>
      <c r="B43" s="184" t="s">
        <v>7</v>
      </c>
      <c r="C43" s="185"/>
      <c r="D43" s="15">
        <f>IF(F3="1",SUMIF(Data!A:A,'12'!$A$2,Data!DB:DB),0)</f>
        <v>0</v>
      </c>
      <c r="E43" s="18">
        <f>IF(F3="1",SUMIF(Data!$A:$A,'12'!$A$2,Data!IV:IV),0)</f>
        <v>0</v>
      </c>
      <c r="F43" s="22" t="str">
        <f t="shared" si="3"/>
        <v/>
      </c>
    </row>
    <row r="44" spans="1:6" x14ac:dyDescent="0.2">
      <c r="A44" s="20">
        <v>9</v>
      </c>
      <c r="B44" s="184" t="s">
        <v>8</v>
      </c>
      <c r="C44" s="185"/>
      <c r="D44" s="15">
        <f>IF(F3="1",SUMIF(Data!A:A,'12'!$A$2,Data!DC:DC),0)</f>
        <v>0</v>
      </c>
      <c r="E44" s="18">
        <f>IF(F3="1",SUMIF(Data!$A:$A,'12'!$A$2,Data!IW:IW),0)</f>
        <v>0</v>
      </c>
      <c r="F44" s="22" t="str">
        <f t="shared" si="3"/>
        <v/>
      </c>
    </row>
    <row r="45" spans="1:6" x14ac:dyDescent="0.2">
      <c r="A45" s="20">
        <v>10</v>
      </c>
      <c r="B45" s="184" t="s">
        <v>9</v>
      </c>
      <c r="C45" s="185"/>
      <c r="D45" s="15">
        <f>IF(F3="1",SUMIF(Data!A:A,'12'!$A$2,Data!DD:DD),0)</f>
        <v>0</v>
      </c>
      <c r="E45" s="18">
        <f>IF(F3="1",SUMIF(Data!$A:$A,'12'!$A$2,Data!IX:IX),0)</f>
        <v>0</v>
      </c>
      <c r="F45" s="22" t="str">
        <f t="shared" si="3"/>
        <v/>
      </c>
    </row>
    <row r="46" spans="1:6" x14ac:dyDescent="0.2">
      <c r="A46" s="20">
        <v>11</v>
      </c>
      <c r="B46" s="184" t="s">
        <v>10</v>
      </c>
      <c r="C46" s="185"/>
      <c r="D46" s="15">
        <f>IF(F3="1",SUMIF(Data!A:A,'12'!$A$2,Data!DE:DE),0)</f>
        <v>0</v>
      </c>
      <c r="E46" s="18">
        <f>IF(F3="1",SUMIF(Data!$A:$A,'12'!$A$2,Data!IY:IY),0)</f>
        <v>0</v>
      </c>
      <c r="F46" s="22" t="str">
        <f t="shared" si="3"/>
        <v/>
      </c>
    </row>
    <row r="47" spans="1:6" ht="14.25" customHeight="1" x14ac:dyDescent="0.2">
      <c r="A47" s="20">
        <v>12</v>
      </c>
      <c r="B47" s="184" t="s">
        <v>11</v>
      </c>
      <c r="C47" s="185"/>
      <c r="D47" s="15">
        <f>IF(F3="1",SUMIF(Data!A:A,'12'!$A$2,Data!DF:DF),0)</f>
        <v>0</v>
      </c>
      <c r="E47" s="18">
        <f>IF(F3="1",SUMIF(Data!$A:$A,'12'!$A$2,Data!IZ:IZ),0)</f>
        <v>0</v>
      </c>
      <c r="F47" s="22" t="str">
        <f t="shared" si="3"/>
        <v/>
      </c>
    </row>
    <row r="48" spans="1:6" x14ac:dyDescent="0.2">
      <c r="A48" s="20">
        <v>13</v>
      </c>
      <c r="B48" s="184" t="s">
        <v>12</v>
      </c>
      <c r="C48" s="185"/>
      <c r="D48" s="15">
        <f>IF(F3="1",SUMIF(Data!A:A,'12'!$A$2,Data!DG:DG),0)</f>
        <v>0</v>
      </c>
      <c r="E48" s="18">
        <f>IF(F3="1",SUMIF(Data!$A:$A,'12'!$A$2,Data!JA:JA),0)</f>
        <v>0</v>
      </c>
      <c r="F48" s="22" t="str">
        <f t="shared" si="3"/>
        <v/>
      </c>
    </row>
    <row r="49" spans="1:6" ht="14.25" customHeight="1" x14ac:dyDescent="0.2">
      <c r="A49" s="20">
        <v>14</v>
      </c>
      <c r="B49" s="184" t="s">
        <v>469</v>
      </c>
      <c r="C49" s="185"/>
      <c r="D49" s="15">
        <f>IF(F3="1",SUMIF(Data!A:A,'12'!$A$2,Data!DH:DH),0)</f>
        <v>0</v>
      </c>
      <c r="E49" s="18">
        <f>IF(F3="1",SUMIF(Data!$A:$A,'12'!$A$2,Data!JB:JB),0)</f>
        <v>0</v>
      </c>
      <c r="F49" s="22" t="str">
        <f t="shared" si="3"/>
        <v/>
      </c>
    </row>
    <row r="50" spans="1:6" x14ac:dyDescent="0.2">
      <c r="A50" s="20">
        <v>15</v>
      </c>
      <c r="B50" s="184" t="s">
        <v>13</v>
      </c>
      <c r="C50" s="185"/>
      <c r="D50" s="15">
        <f>IF(F3="1",SUMIF(Data!A:A,'12'!$A$2,Data!DI:DI),0)</f>
        <v>0</v>
      </c>
      <c r="E50" s="18">
        <f>IF(F3="1",SUMIF(Data!$A:$A,'12'!$A$2,Data!JC:JC),0)</f>
        <v>0</v>
      </c>
      <c r="F50" s="22" t="str">
        <f t="shared" si="3"/>
        <v/>
      </c>
    </row>
    <row r="51" spans="1:6" x14ac:dyDescent="0.2">
      <c r="A51" s="20">
        <v>16</v>
      </c>
      <c r="B51" s="184" t="s">
        <v>14</v>
      </c>
      <c r="C51" s="185"/>
      <c r="D51" s="15">
        <f>IF(F3="1",SUMIF(Data!A:A,'12'!$A$2,Data!DJ:DJ),0)</f>
        <v>0</v>
      </c>
      <c r="E51" s="18">
        <f>IF(F3="1",SUMIF(Data!$A:$A,'12'!$A$2,Data!JD:JD),0)</f>
        <v>0</v>
      </c>
      <c r="F51" s="22" t="str">
        <f t="shared" si="3"/>
        <v/>
      </c>
    </row>
    <row r="52" spans="1:6" x14ac:dyDescent="0.2">
      <c r="A52" s="20">
        <v>17</v>
      </c>
      <c r="B52" s="184" t="s">
        <v>15</v>
      </c>
      <c r="C52" s="185"/>
      <c r="D52" s="15">
        <f>IF(F3="1",SUMIF(Data!A:A,'12'!$A$2,Data!DK:DK),0)</f>
        <v>0</v>
      </c>
      <c r="E52" s="18">
        <f>IF(F3="1",SUMIF(Data!$A:$A,'12'!$A$2,Data!JE:JE),0)</f>
        <v>0</v>
      </c>
      <c r="F52" s="22" t="str">
        <f t="shared" si="3"/>
        <v/>
      </c>
    </row>
    <row r="53" spans="1:6" x14ac:dyDescent="0.2">
      <c r="A53" s="20">
        <v>18</v>
      </c>
      <c r="B53" s="184" t="s">
        <v>16</v>
      </c>
      <c r="C53" s="185"/>
      <c r="D53" s="15">
        <f>IF(F3="1",SUMIF(Data!A:A,'12'!$A$2,Data!DL:DL),0)</f>
        <v>0</v>
      </c>
      <c r="E53" s="18">
        <f>IF(F3="1",SUMIF(Data!$A:$A,'12'!$A$2,Data!JF:JF),0)</f>
        <v>0</v>
      </c>
      <c r="F53" s="22" t="str">
        <f t="shared" si="3"/>
        <v/>
      </c>
    </row>
    <row r="54" spans="1:6" x14ac:dyDescent="0.2">
      <c r="A54" s="20">
        <v>19</v>
      </c>
      <c r="B54" s="184" t="s">
        <v>17</v>
      </c>
      <c r="C54" s="185"/>
      <c r="D54" s="15">
        <f>IF(F3="1",SUMIF(Data!A:A,'12'!$A$2,Data!DM:DM),0)</f>
        <v>0</v>
      </c>
      <c r="E54" s="18">
        <f>IF(F3="1",SUMIF(Data!$A:$A,'12'!$A$2,Data!JG:JG),0)</f>
        <v>0</v>
      </c>
      <c r="F54" s="22" t="str">
        <f t="shared" si="3"/>
        <v/>
      </c>
    </row>
    <row r="55" spans="1:6" x14ac:dyDescent="0.2">
      <c r="A55" s="20">
        <v>20</v>
      </c>
      <c r="B55" s="184" t="s">
        <v>18</v>
      </c>
      <c r="C55" s="185"/>
      <c r="D55" s="15">
        <f>IF(F3="1",SUMIF(Data!A:A,'12'!$A$2,Data!DN:DN),0)</f>
        <v>0</v>
      </c>
      <c r="E55" s="18">
        <f>IF(F3="1",SUMIF(Data!$A:$A,'12'!$A$2,Data!JH:JH),0)</f>
        <v>0</v>
      </c>
      <c r="F55" s="22" t="str">
        <f t="shared" si="3"/>
        <v/>
      </c>
    </row>
    <row r="56" spans="1:6" ht="14.25" customHeight="1" x14ac:dyDescent="0.2">
      <c r="A56" s="20">
        <v>21</v>
      </c>
      <c r="B56" s="184" t="s">
        <v>466</v>
      </c>
      <c r="C56" s="185"/>
      <c r="D56" s="15">
        <f>IF(F3="1",SUMIF(Data!A:A,'12'!$A$2,Data!DO:DO),0)</f>
        <v>0</v>
      </c>
      <c r="E56" s="18">
        <f>IF(F3="1",SUMIF(Data!$A:$A,'12'!$A$2,Data!JI:JI),0)</f>
        <v>0</v>
      </c>
      <c r="F56" s="22" t="str">
        <f t="shared" si="3"/>
        <v/>
      </c>
    </row>
    <row r="57" spans="1:6" x14ac:dyDescent="0.2">
      <c r="A57" s="20">
        <v>22</v>
      </c>
      <c r="B57" s="184" t="s">
        <v>19</v>
      </c>
      <c r="C57" s="185"/>
      <c r="D57" s="15">
        <f>IF(F3="1",SUMIF(Data!A:A,'12'!$A$2,Data!DP:DP),0)</f>
        <v>0</v>
      </c>
      <c r="E57" s="18">
        <f>IF(F3="1",SUMIF(Data!$A:$A,'12'!$A$2,Data!JJ:JJ),0)</f>
        <v>0</v>
      </c>
      <c r="F57" s="22" t="str">
        <f t="shared" si="3"/>
        <v/>
      </c>
    </row>
    <row r="58" spans="1:6" x14ac:dyDescent="0.2">
      <c r="A58" s="20">
        <v>23</v>
      </c>
      <c r="B58" s="184" t="s">
        <v>20</v>
      </c>
      <c r="C58" s="185"/>
      <c r="D58" s="15">
        <f>IF(F3="1",SUMIF(Data!A:A,'12'!$A$2,Data!DQ:DQ),0)</f>
        <v>0</v>
      </c>
      <c r="E58" s="18">
        <f>IF(F3="1",SUMIF(Data!$A:$A,'12'!$A$2,Data!JK:JK),0)</f>
        <v>0</v>
      </c>
      <c r="F58" s="22" t="str">
        <f t="shared" si="3"/>
        <v/>
      </c>
    </row>
    <row r="59" spans="1:6" x14ac:dyDescent="0.2">
      <c r="A59" s="20">
        <v>24</v>
      </c>
      <c r="B59" s="184" t="s">
        <v>21</v>
      </c>
      <c r="C59" s="185"/>
      <c r="D59" s="15">
        <f>IF(F3="1",SUMIF(Data!A:A,'12'!$A$2,Data!DR:DR),0)</f>
        <v>0</v>
      </c>
      <c r="E59" s="18">
        <f>IF(F3="1",SUMIF(Data!$A:$A,'12'!$A$2,Data!JL:JL),0)</f>
        <v>0</v>
      </c>
      <c r="F59" s="22" t="str">
        <f t="shared" si="3"/>
        <v/>
      </c>
    </row>
    <row r="60" spans="1:6" x14ac:dyDescent="0.2">
      <c r="A60" s="20">
        <v>25</v>
      </c>
      <c r="B60" s="184" t="s">
        <v>22</v>
      </c>
      <c r="C60" s="185"/>
      <c r="D60" s="15">
        <f>IF(F3="1",SUMIF(Data!A:A,'12'!$A$2,Data!DS:DS),0)</f>
        <v>0</v>
      </c>
      <c r="E60" s="18">
        <f>IF(F3="1",SUMIF(Data!$A:$A,'12'!$A$2,Data!JM:JM),0)</f>
        <v>0</v>
      </c>
      <c r="F60" s="22" t="str">
        <f t="shared" si="3"/>
        <v/>
      </c>
    </row>
    <row r="61" spans="1:6" x14ac:dyDescent="0.2">
      <c r="A61" s="20">
        <v>26</v>
      </c>
      <c r="B61" s="184" t="s">
        <v>23</v>
      </c>
      <c r="C61" s="185"/>
      <c r="D61" s="15">
        <f>IF(F3="1",SUMIF(Data!A:A,'12'!$A$2,Data!DT:DT),0)</f>
        <v>0</v>
      </c>
      <c r="E61" s="18">
        <f>IF(F3="1",SUMIF(Data!$A:$A,'12'!$A$2,Data!JN:JN),0)</f>
        <v>0</v>
      </c>
      <c r="F61" s="22" t="str">
        <f t="shared" si="3"/>
        <v/>
      </c>
    </row>
    <row r="62" spans="1:6" x14ac:dyDescent="0.2">
      <c r="A62" s="20">
        <v>28</v>
      </c>
      <c r="B62" s="184" t="s">
        <v>24</v>
      </c>
      <c r="C62" s="185"/>
      <c r="D62" s="15">
        <f>IF(F3="1",SUMIF(Data!A:A,'12'!$A$2,Data!DV:DV),0)</f>
        <v>0</v>
      </c>
      <c r="E62" s="18">
        <f>IF(F3="1",SUMIF(Data!$A:$A,'12'!$A$2,Data!JP:JP),0)</f>
        <v>0</v>
      </c>
      <c r="F62" s="22" t="str">
        <f t="shared" si="3"/>
        <v/>
      </c>
    </row>
    <row r="63" spans="1:6" ht="15.75" customHeight="1" thickBot="1" x14ac:dyDescent="0.25">
      <c r="A63" s="23">
        <v>29</v>
      </c>
      <c r="B63" s="186" t="s">
        <v>25</v>
      </c>
      <c r="C63" s="187"/>
      <c r="D63" s="24">
        <f>IF(F3="1",SUMIF(Data!A:A,'12'!$A$2,Data!DW:DW),0)</f>
        <v>0</v>
      </c>
      <c r="E63" s="25">
        <f>IF(F3="1",SUMIF(Data!$A:$A,'12'!$A$2,Data!JQ:JQ),0)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IF(F3="1",SUMIF(Data!A:A,'12'!$A$2,Data!DY:DY),0)</f>
        <v>0</v>
      </c>
      <c r="F67" s="21" t="str">
        <f>IFERROR(E67/D67,"")</f>
        <v/>
      </c>
    </row>
    <row r="68" spans="1:6" x14ac:dyDescent="0.2">
      <c r="A68" s="20">
        <v>2</v>
      </c>
      <c r="B68" s="184" t="s">
        <v>1</v>
      </c>
      <c r="C68" s="185"/>
      <c r="D68" s="15">
        <f t="shared" ref="D68:D94" si="4">D37</f>
        <v>0</v>
      </c>
      <c r="E68" s="18">
        <f>IF(F3="1",SUMIF(Data!A:A,'12'!$A$2,Data!DZ:DZ),0)</f>
        <v>0</v>
      </c>
      <c r="F68" s="22" t="str">
        <f t="shared" ref="F68:F95" si="5">IFERROR(E68/D68,"")</f>
        <v/>
      </c>
    </row>
    <row r="69" spans="1:6" ht="14.25" customHeight="1" x14ac:dyDescent="0.2">
      <c r="A69" s="20">
        <v>3</v>
      </c>
      <c r="B69" s="184" t="s">
        <v>2</v>
      </c>
      <c r="C69" s="185"/>
      <c r="D69" s="15">
        <f t="shared" si="4"/>
        <v>0</v>
      </c>
      <c r="E69" s="18">
        <f>IF(F3="1",SUMIF(Data!A:A,'12'!$A$2,Data!EA:EA),0)</f>
        <v>0</v>
      </c>
      <c r="F69" s="22" t="str">
        <f t="shared" si="5"/>
        <v/>
      </c>
    </row>
    <row r="70" spans="1:6" ht="14.25" customHeight="1" x14ac:dyDescent="0.2">
      <c r="A70" s="20">
        <v>4</v>
      </c>
      <c r="B70" s="184" t="s">
        <v>3</v>
      </c>
      <c r="C70" s="185"/>
      <c r="D70" s="15">
        <f t="shared" si="4"/>
        <v>0</v>
      </c>
      <c r="E70" s="18">
        <f>IF(F3="1",SUMIF(Data!A:A,'12'!$A$2,Data!EB:EB),0)</f>
        <v>0</v>
      </c>
      <c r="F70" s="22" t="str">
        <f t="shared" si="5"/>
        <v/>
      </c>
    </row>
    <row r="71" spans="1:6" x14ac:dyDescent="0.2">
      <c r="A71" s="20">
        <v>5</v>
      </c>
      <c r="B71" s="184" t="s">
        <v>4</v>
      </c>
      <c r="C71" s="185"/>
      <c r="D71" s="15">
        <f t="shared" si="4"/>
        <v>0</v>
      </c>
      <c r="E71" s="18">
        <f>IF(F3="1",SUMIF(Data!A:A,'12'!$A$2,Data!EC:EC),0)</f>
        <v>0</v>
      </c>
      <c r="F71" s="22" t="str">
        <f t="shared" si="5"/>
        <v/>
      </c>
    </row>
    <row r="72" spans="1:6" x14ac:dyDescent="0.2">
      <c r="A72" s="20">
        <v>6</v>
      </c>
      <c r="B72" s="184" t="s">
        <v>5</v>
      </c>
      <c r="C72" s="185"/>
      <c r="D72" s="15">
        <f t="shared" si="4"/>
        <v>0</v>
      </c>
      <c r="E72" s="18">
        <f>IF(F3="1",SUMIF(Data!A:A,'12'!$A$2,Data!ED:ED),0)</f>
        <v>0</v>
      </c>
      <c r="F72" s="22" t="str">
        <f t="shared" si="5"/>
        <v/>
      </c>
    </row>
    <row r="73" spans="1:6" x14ac:dyDescent="0.2">
      <c r="A73" s="20">
        <v>7</v>
      </c>
      <c r="B73" s="184" t="s">
        <v>6</v>
      </c>
      <c r="C73" s="185"/>
      <c r="D73" s="15">
        <f t="shared" si="4"/>
        <v>0</v>
      </c>
      <c r="E73" s="18">
        <f>IF(F3="1",SUMIF(Data!A:A,'12'!$A$2,Data!EE:EE),0)</f>
        <v>0</v>
      </c>
      <c r="F73" s="22" t="str">
        <f t="shared" si="5"/>
        <v/>
      </c>
    </row>
    <row r="74" spans="1:6" x14ac:dyDescent="0.2">
      <c r="A74" s="20">
        <v>8</v>
      </c>
      <c r="B74" s="184" t="s">
        <v>7</v>
      </c>
      <c r="C74" s="185"/>
      <c r="D74" s="15">
        <f t="shared" si="4"/>
        <v>0</v>
      </c>
      <c r="E74" s="18">
        <f>IF(F3="1",SUMIF(Data!A:A,'12'!$A$2,Data!EF:EF),0)</f>
        <v>0</v>
      </c>
      <c r="F74" s="22" t="str">
        <f t="shared" si="5"/>
        <v/>
      </c>
    </row>
    <row r="75" spans="1:6" x14ac:dyDescent="0.2">
      <c r="A75" s="20">
        <v>9</v>
      </c>
      <c r="B75" s="184" t="s">
        <v>8</v>
      </c>
      <c r="C75" s="185"/>
      <c r="D75" s="15">
        <f t="shared" si="4"/>
        <v>0</v>
      </c>
      <c r="E75" s="18">
        <f>IF(F3="1",SUMIF(Data!A:A,'12'!$A$2,Data!EG:EG),0)</f>
        <v>0</v>
      </c>
      <c r="F75" s="22" t="str">
        <f t="shared" si="5"/>
        <v/>
      </c>
    </row>
    <row r="76" spans="1:6" x14ac:dyDescent="0.2">
      <c r="A76" s="20">
        <v>10</v>
      </c>
      <c r="B76" s="184" t="s">
        <v>9</v>
      </c>
      <c r="C76" s="185"/>
      <c r="D76" s="15">
        <f t="shared" si="4"/>
        <v>0</v>
      </c>
      <c r="E76" s="18">
        <f>IF(F3="1",SUMIF(Data!A:A,'12'!$A$2,Data!EH:EH),0)</f>
        <v>0</v>
      </c>
      <c r="F76" s="22" t="str">
        <f t="shared" si="5"/>
        <v/>
      </c>
    </row>
    <row r="77" spans="1:6" x14ac:dyDescent="0.2">
      <c r="A77" s="20">
        <v>11</v>
      </c>
      <c r="B77" s="184" t="s">
        <v>10</v>
      </c>
      <c r="C77" s="185"/>
      <c r="D77" s="15">
        <f t="shared" si="4"/>
        <v>0</v>
      </c>
      <c r="E77" s="18">
        <f>IF(F3="1",SUMIF(Data!A:A,'12'!$A$2,Data!EI:EI),0)</f>
        <v>0</v>
      </c>
      <c r="F77" s="22" t="str">
        <f t="shared" si="5"/>
        <v/>
      </c>
    </row>
    <row r="78" spans="1:6" ht="14.25" customHeight="1" x14ac:dyDescent="0.2">
      <c r="A78" s="20">
        <v>12</v>
      </c>
      <c r="B78" s="184" t="s">
        <v>11</v>
      </c>
      <c r="C78" s="185"/>
      <c r="D78" s="15">
        <f t="shared" si="4"/>
        <v>0</v>
      </c>
      <c r="E78" s="18">
        <f>IF(F3="1",SUMIF(Data!A:A,'12'!$A$2,Data!EJ:EJ),0)</f>
        <v>0</v>
      </c>
      <c r="F78" s="22" t="str">
        <f t="shared" si="5"/>
        <v/>
      </c>
    </row>
    <row r="79" spans="1:6" x14ac:dyDescent="0.2">
      <c r="A79" s="20">
        <v>13</v>
      </c>
      <c r="B79" s="184" t="s">
        <v>12</v>
      </c>
      <c r="C79" s="185"/>
      <c r="D79" s="15">
        <f t="shared" si="4"/>
        <v>0</v>
      </c>
      <c r="E79" s="18">
        <f>IF(F3="1",SUMIF(Data!A:A,'12'!$A$2,Data!EK:EK),0)</f>
        <v>0</v>
      </c>
      <c r="F79" s="22" t="str">
        <f t="shared" si="5"/>
        <v/>
      </c>
    </row>
    <row r="80" spans="1:6" ht="14.25" customHeight="1" x14ac:dyDescent="0.2">
      <c r="A80" s="20">
        <v>14</v>
      </c>
      <c r="B80" s="184" t="s">
        <v>469</v>
      </c>
      <c r="C80" s="185"/>
      <c r="D80" s="15">
        <f t="shared" si="4"/>
        <v>0</v>
      </c>
      <c r="E80" s="18">
        <f>IF(F3="1",SUMIF(Data!A:A,'12'!$A$2,Data!EL:EL),0)</f>
        <v>0</v>
      </c>
      <c r="F80" s="22" t="str">
        <f t="shared" si="5"/>
        <v/>
      </c>
    </row>
    <row r="81" spans="1:6" x14ac:dyDescent="0.2">
      <c r="A81" s="20">
        <v>15</v>
      </c>
      <c r="B81" s="184" t="s">
        <v>13</v>
      </c>
      <c r="C81" s="185"/>
      <c r="D81" s="15">
        <f t="shared" si="4"/>
        <v>0</v>
      </c>
      <c r="E81" s="18">
        <f>IF(F3="1",SUMIF(Data!A:A,'12'!$A$2,Data!EM:EM),0)</f>
        <v>0</v>
      </c>
      <c r="F81" s="22" t="str">
        <f t="shared" si="5"/>
        <v/>
      </c>
    </row>
    <row r="82" spans="1:6" x14ac:dyDescent="0.2">
      <c r="A82" s="20">
        <v>16</v>
      </c>
      <c r="B82" s="184" t="s">
        <v>14</v>
      </c>
      <c r="C82" s="185"/>
      <c r="D82" s="15">
        <f t="shared" si="4"/>
        <v>0</v>
      </c>
      <c r="E82" s="18">
        <f>IF(F3="1",SUMIF(Data!A:A,'12'!$A$2,Data!EN:EN),0)</f>
        <v>0</v>
      </c>
      <c r="F82" s="22" t="str">
        <f t="shared" si="5"/>
        <v/>
      </c>
    </row>
    <row r="83" spans="1:6" x14ac:dyDescent="0.2">
      <c r="A83" s="20">
        <v>17</v>
      </c>
      <c r="B83" s="184" t="s">
        <v>15</v>
      </c>
      <c r="C83" s="185"/>
      <c r="D83" s="15">
        <f t="shared" si="4"/>
        <v>0</v>
      </c>
      <c r="E83" s="18">
        <f>IF(F3="1",SUMIF(Data!A:A,'12'!$A$2,Data!EO:EO),0)</f>
        <v>0</v>
      </c>
      <c r="F83" s="22" t="str">
        <f t="shared" si="5"/>
        <v/>
      </c>
    </row>
    <row r="84" spans="1:6" x14ac:dyDescent="0.2">
      <c r="A84" s="20">
        <v>18</v>
      </c>
      <c r="B84" s="184" t="s">
        <v>16</v>
      </c>
      <c r="C84" s="185"/>
      <c r="D84" s="15">
        <f t="shared" si="4"/>
        <v>0</v>
      </c>
      <c r="E84" s="18">
        <f>IF(F3="1",SUMIF(Data!A:A,'12'!$A$2,Data!EP:EP),0)</f>
        <v>0</v>
      </c>
      <c r="F84" s="22" t="str">
        <f t="shared" si="5"/>
        <v/>
      </c>
    </row>
    <row r="85" spans="1:6" x14ac:dyDescent="0.2">
      <c r="A85" s="20">
        <v>19</v>
      </c>
      <c r="B85" s="184" t="s">
        <v>17</v>
      </c>
      <c r="C85" s="185"/>
      <c r="D85" s="15">
        <f t="shared" si="4"/>
        <v>0</v>
      </c>
      <c r="E85" s="18">
        <f>IF(F3="1",SUMIF(Data!A:A,'12'!$A$2,Data!EQ:EQ),0)</f>
        <v>0</v>
      </c>
      <c r="F85" s="22" t="str">
        <f t="shared" si="5"/>
        <v/>
      </c>
    </row>
    <row r="86" spans="1:6" x14ac:dyDescent="0.2">
      <c r="A86" s="20">
        <v>20</v>
      </c>
      <c r="B86" s="184" t="s">
        <v>18</v>
      </c>
      <c r="C86" s="185"/>
      <c r="D86" s="15">
        <f t="shared" si="4"/>
        <v>0</v>
      </c>
      <c r="E86" s="18">
        <f>IF(F3="1",SUMIF(Data!A:A,'12'!$A$2,Data!ER:ER),0)</f>
        <v>0</v>
      </c>
      <c r="F86" s="22" t="str">
        <f t="shared" si="5"/>
        <v/>
      </c>
    </row>
    <row r="87" spans="1:6" ht="14.25" customHeight="1" x14ac:dyDescent="0.2">
      <c r="A87" s="20">
        <v>21</v>
      </c>
      <c r="B87" s="184" t="s">
        <v>466</v>
      </c>
      <c r="C87" s="185"/>
      <c r="D87" s="15">
        <f t="shared" si="4"/>
        <v>0</v>
      </c>
      <c r="E87" s="18">
        <f>IF(F3="1",SUMIF(Data!A:A,'12'!$A$2,Data!ES:ES),0)</f>
        <v>0</v>
      </c>
      <c r="F87" s="22" t="str">
        <f t="shared" si="5"/>
        <v/>
      </c>
    </row>
    <row r="88" spans="1:6" x14ac:dyDescent="0.2">
      <c r="A88" s="20">
        <v>22</v>
      </c>
      <c r="B88" s="184" t="s">
        <v>19</v>
      </c>
      <c r="C88" s="185"/>
      <c r="D88" s="15">
        <f t="shared" si="4"/>
        <v>0</v>
      </c>
      <c r="E88" s="18">
        <f>IF(F3="1",SUMIF(Data!A:A,'12'!$A$2,Data!ET:ET),0)</f>
        <v>0</v>
      </c>
      <c r="F88" s="22" t="str">
        <f t="shared" si="5"/>
        <v/>
      </c>
    </row>
    <row r="89" spans="1:6" x14ac:dyDescent="0.2">
      <c r="A89" s="20">
        <v>23</v>
      </c>
      <c r="B89" s="184" t="s">
        <v>20</v>
      </c>
      <c r="C89" s="185"/>
      <c r="D89" s="15">
        <f t="shared" si="4"/>
        <v>0</v>
      </c>
      <c r="E89" s="18">
        <f>IF(F3="1",SUMIF(Data!A:A,'12'!$A$2,Data!EU:EU),0)</f>
        <v>0</v>
      </c>
      <c r="F89" s="22" t="str">
        <f t="shared" si="5"/>
        <v/>
      </c>
    </row>
    <row r="90" spans="1:6" x14ac:dyDescent="0.2">
      <c r="A90" s="20">
        <v>24</v>
      </c>
      <c r="B90" s="184" t="s">
        <v>21</v>
      </c>
      <c r="C90" s="185"/>
      <c r="D90" s="15">
        <f t="shared" si="4"/>
        <v>0</v>
      </c>
      <c r="E90" s="18">
        <f>IF(F3="1",SUMIF(Data!A:A,'12'!$A$2,Data!EV:EV),0)</f>
        <v>0</v>
      </c>
      <c r="F90" s="22" t="str">
        <f t="shared" si="5"/>
        <v/>
      </c>
    </row>
    <row r="91" spans="1:6" x14ac:dyDescent="0.2">
      <c r="A91" s="20">
        <v>25</v>
      </c>
      <c r="B91" s="184" t="s">
        <v>22</v>
      </c>
      <c r="C91" s="185"/>
      <c r="D91" s="15">
        <f t="shared" si="4"/>
        <v>0</v>
      </c>
      <c r="E91" s="18">
        <f>IF(F3="1",SUMIF(Data!A:A,'12'!$A$2,Data!EW:EW),0)</f>
        <v>0</v>
      </c>
      <c r="F91" s="22" t="str">
        <f t="shared" si="5"/>
        <v/>
      </c>
    </row>
    <row r="92" spans="1:6" x14ac:dyDescent="0.2">
      <c r="A92" s="20">
        <v>26</v>
      </c>
      <c r="B92" s="184" t="s">
        <v>23</v>
      </c>
      <c r="C92" s="185"/>
      <c r="D92" s="15">
        <f t="shared" si="4"/>
        <v>0</v>
      </c>
      <c r="E92" s="18">
        <f>IF(F3="1",SUMIF(Data!A:A,'12'!$A$2,Data!EX:EX),0)</f>
        <v>0</v>
      </c>
      <c r="F92" s="22" t="str">
        <f t="shared" si="5"/>
        <v/>
      </c>
    </row>
    <row r="93" spans="1:6" x14ac:dyDescent="0.2">
      <c r="A93" s="20">
        <v>28</v>
      </c>
      <c r="B93" s="184" t="s">
        <v>24</v>
      </c>
      <c r="C93" s="185"/>
      <c r="D93" s="15">
        <f t="shared" si="4"/>
        <v>0</v>
      </c>
      <c r="E93" s="18">
        <f>IF(F3="1",SUMIF(Data!A:A,'12'!$A$2,Data!EZ:EZ),0)</f>
        <v>0</v>
      </c>
      <c r="F93" s="22" t="str">
        <f t="shared" si="5"/>
        <v/>
      </c>
    </row>
    <row r="94" spans="1:6" ht="15.75" customHeight="1" thickBot="1" x14ac:dyDescent="0.25">
      <c r="A94" s="23">
        <v>29</v>
      </c>
      <c r="B94" s="186" t="s">
        <v>25</v>
      </c>
      <c r="C94" s="187"/>
      <c r="D94" s="24">
        <f t="shared" si="4"/>
        <v>0</v>
      </c>
      <c r="E94" s="25">
        <f>IF(F3="1",SUMIF(Data!A:A,'12'!$A$2,Data!FA:FA),0)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IF(F3="1",SUMIF(Data!A:A,'12'!$A$2,Data!AH:AH),0)</f>
        <v>0</v>
      </c>
      <c r="F98" s="21">
        <f t="shared" ref="F98:F105" si="6">IFERROR(E98/$D$95,0)</f>
        <v>0</v>
      </c>
    </row>
    <row r="99" spans="2:6" x14ac:dyDescent="0.2">
      <c r="B99" s="190" t="s">
        <v>31</v>
      </c>
      <c r="C99" s="191"/>
      <c r="D99" s="37"/>
      <c r="E99" s="18">
        <f>IF(F3="1",SUMIF(Data!A:A,'12'!$A$2,Data!AI:AI),0)</f>
        <v>0</v>
      </c>
      <c r="F99" s="22">
        <f t="shared" si="6"/>
        <v>0</v>
      </c>
    </row>
    <row r="100" spans="2:6" x14ac:dyDescent="0.2">
      <c r="B100" s="190" t="s">
        <v>32</v>
      </c>
      <c r="C100" s="191"/>
      <c r="D100" s="37"/>
      <c r="E100" s="18">
        <f>IF(F3="1",SUMIF(Data!A:A,'12'!$A$2,Data!AJ:AJ),0)</f>
        <v>0</v>
      </c>
      <c r="F100" s="22">
        <f t="shared" si="6"/>
        <v>0</v>
      </c>
    </row>
    <row r="101" spans="2:6" x14ac:dyDescent="0.2">
      <c r="B101" s="190" t="s">
        <v>28</v>
      </c>
      <c r="C101" s="191"/>
      <c r="D101" s="37"/>
      <c r="E101" s="18">
        <f>IF(F3="1",SUMIF(Data!A:A,'12'!$A$2,Data!AK:AK),0)</f>
        <v>0</v>
      </c>
      <c r="F101" s="22">
        <f t="shared" si="6"/>
        <v>0</v>
      </c>
    </row>
    <row r="102" spans="2:6" x14ac:dyDescent="0.2">
      <c r="B102" s="190" t="s">
        <v>33</v>
      </c>
      <c r="C102" s="191"/>
      <c r="D102" s="37"/>
      <c r="E102" s="18">
        <f>IF(F3="1",SUMIF(Data!A:A,'12'!$A$2,Data!AL:AL),0)</f>
        <v>0</v>
      </c>
      <c r="F102" s="22">
        <f t="shared" si="6"/>
        <v>0</v>
      </c>
    </row>
    <row r="103" spans="2:6" x14ac:dyDescent="0.2">
      <c r="B103" s="192" t="s">
        <v>34</v>
      </c>
      <c r="C103" s="193"/>
      <c r="D103" s="37"/>
      <c r="E103" s="18">
        <f>IF(F3="1",SUMIF(Data!A:A,'12'!$A$2,Data!AM:AM),0)</f>
        <v>0</v>
      </c>
      <c r="F103" s="22">
        <f t="shared" si="6"/>
        <v>0</v>
      </c>
    </row>
    <row r="104" spans="2:6" ht="15.75" customHeight="1" thickBot="1" x14ac:dyDescent="0.25">
      <c r="B104" s="182" t="s">
        <v>29</v>
      </c>
      <c r="C104" s="183"/>
      <c r="D104" s="38"/>
      <c r="E104" s="25">
        <f>IF(F3="1",SUMIF(Data!A:A,'12'!$A$2,Data!Q:Q),0)</f>
        <v>0</v>
      </c>
      <c r="F104" s="26">
        <f t="shared" si="6"/>
        <v>0</v>
      </c>
    </row>
    <row r="105" spans="2:6" x14ac:dyDescent="0.2">
      <c r="B105" s="31" t="s">
        <v>35</v>
      </c>
      <c r="C105" s="31"/>
      <c r="D105" s="35">
        <f>D95</f>
        <v>0</v>
      </c>
      <c r="E105" s="32">
        <f>SUM(E98:E104)</f>
        <v>0</v>
      </c>
      <c r="F105" s="33">
        <f t="shared" si="6"/>
        <v>0</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IF(F3="1",SUMIF(Data!A:A,'12'!$A$2,Data!AM:AM),0)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454</v>
      </c>
      <c r="B2" s="60" t="str">
        <f>VLOOKUP(A2,Data!A:G,7,0)</f>
        <v>Collin County Community College District</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92938</v>
      </c>
      <c r="E5" s="16">
        <f>E36+E67+IFERROR($E$105/$D$105*D5,0)</f>
        <v>442836.96725757717</v>
      </c>
      <c r="F5" s="21">
        <f>IFERROR(E5/D5,"")</f>
        <v>4.7648643962381065</v>
      </c>
    </row>
    <row r="6" spans="1:6" x14ac:dyDescent="0.2">
      <c r="A6" s="20">
        <v>2</v>
      </c>
      <c r="B6" s="184" t="s">
        <v>1</v>
      </c>
      <c r="C6" s="185"/>
      <c r="D6" s="15">
        <f t="shared" ref="D6:D32" si="0">D37</f>
        <v>960</v>
      </c>
      <c r="E6" s="18">
        <f t="shared" ref="E6:E32" si="1">E37+E68+IFERROR($E$105/$D$105*D6,0)</f>
        <v>4574.5354598471458</v>
      </c>
      <c r="F6" s="22">
        <f t="shared" ref="F6:F33" si="2">IFERROR(E6/D6,"")</f>
        <v>4.7651411040074434</v>
      </c>
    </row>
    <row r="7" spans="1:6" ht="14.25" customHeight="1" x14ac:dyDescent="0.2">
      <c r="A7" s="20">
        <v>3</v>
      </c>
      <c r="B7" s="184" t="s">
        <v>2</v>
      </c>
      <c r="C7" s="185"/>
      <c r="D7" s="15">
        <f t="shared" si="0"/>
        <v>1100416</v>
      </c>
      <c r="E7" s="18">
        <f t="shared" si="1"/>
        <v>10435332.246440789</v>
      </c>
      <c r="F7" s="22">
        <f t="shared" si="2"/>
        <v>9.4830793503918418</v>
      </c>
    </row>
    <row r="8" spans="1:6" ht="14.25" customHeight="1" x14ac:dyDescent="0.2">
      <c r="A8" s="20">
        <v>4</v>
      </c>
      <c r="B8" s="184" t="s">
        <v>3</v>
      </c>
      <c r="C8" s="185"/>
      <c r="D8" s="15">
        <f t="shared" si="0"/>
        <v>617467</v>
      </c>
      <c r="E8" s="18">
        <f t="shared" si="1"/>
        <v>3813864.6404014975</v>
      </c>
      <c r="F8" s="22">
        <f t="shared" si="2"/>
        <v>6.1766290998571547</v>
      </c>
    </row>
    <row r="9" spans="1:6" x14ac:dyDescent="0.2">
      <c r="A9" s="20">
        <v>5</v>
      </c>
      <c r="B9" s="184" t="s">
        <v>4</v>
      </c>
      <c r="C9" s="185"/>
      <c r="D9" s="15">
        <f t="shared" si="0"/>
        <v>417</v>
      </c>
      <c r="E9" s="18">
        <f t="shared" si="1"/>
        <v>1987.2388403711041</v>
      </c>
      <c r="F9" s="22">
        <f t="shared" si="2"/>
        <v>4.7655607682760293</v>
      </c>
    </row>
    <row r="10" spans="1:6" x14ac:dyDescent="0.2">
      <c r="A10" s="20">
        <v>6</v>
      </c>
      <c r="B10" s="184" t="s">
        <v>5</v>
      </c>
      <c r="C10" s="185"/>
      <c r="D10" s="15">
        <f t="shared" si="0"/>
        <v>192253</v>
      </c>
      <c r="E10" s="18">
        <f t="shared" si="1"/>
        <v>966385.08100207639</v>
      </c>
      <c r="F10" s="22">
        <f t="shared" si="2"/>
        <v>5.0266319953502752</v>
      </c>
    </row>
    <row r="11" spans="1:6" x14ac:dyDescent="0.2">
      <c r="A11" s="20">
        <v>7</v>
      </c>
      <c r="B11" s="184" t="s">
        <v>6</v>
      </c>
      <c r="C11" s="185"/>
      <c r="D11" s="15">
        <f t="shared" si="0"/>
        <v>332177</v>
      </c>
      <c r="E11" s="18">
        <f t="shared" si="1"/>
        <v>3197536.1181725473</v>
      </c>
      <c r="F11" s="22">
        <f t="shared" si="2"/>
        <v>9.6260009518195044</v>
      </c>
    </row>
    <row r="12" spans="1:6" x14ac:dyDescent="0.2">
      <c r="A12" s="20">
        <v>8</v>
      </c>
      <c r="B12" s="184" t="s">
        <v>7</v>
      </c>
      <c r="C12" s="185"/>
      <c r="D12" s="15">
        <f t="shared" si="0"/>
        <v>1616</v>
      </c>
      <c r="E12" s="18">
        <f t="shared" si="1"/>
        <v>7700.5346907426956</v>
      </c>
      <c r="F12" s="22">
        <f t="shared" si="2"/>
        <v>4.7651823581328561</v>
      </c>
    </row>
    <row r="13" spans="1:6" x14ac:dyDescent="0.2">
      <c r="A13" s="20">
        <v>9</v>
      </c>
      <c r="B13" s="184" t="s">
        <v>8</v>
      </c>
      <c r="C13" s="185"/>
      <c r="D13" s="15">
        <f t="shared" si="0"/>
        <v>209928</v>
      </c>
      <c r="E13" s="18">
        <f t="shared" si="1"/>
        <v>2127405.741682075</v>
      </c>
      <c r="F13" s="22">
        <f t="shared" si="2"/>
        <v>10.133978038575487</v>
      </c>
    </row>
    <row r="14" spans="1:6" x14ac:dyDescent="0.2">
      <c r="A14" s="20">
        <v>10</v>
      </c>
      <c r="B14" s="184" t="s">
        <v>9</v>
      </c>
      <c r="C14" s="185"/>
      <c r="D14" s="15">
        <f t="shared" si="0"/>
        <v>4256</v>
      </c>
      <c r="E14" s="18">
        <f t="shared" si="1"/>
        <v>162479.50720532236</v>
      </c>
      <c r="F14" s="22">
        <f t="shared" si="2"/>
        <v>38.176575941100175</v>
      </c>
    </row>
    <row r="15" spans="1:6" x14ac:dyDescent="0.2">
      <c r="A15" s="20">
        <v>11</v>
      </c>
      <c r="B15" s="184" t="s">
        <v>10</v>
      </c>
      <c r="C15" s="185"/>
      <c r="D15" s="15">
        <f t="shared" si="0"/>
        <v>52972</v>
      </c>
      <c r="E15" s="18">
        <f t="shared" si="1"/>
        <v>561640.68789481558</v>
      </c>
      <c r="F15" s="22">
        <f t="shared" si="2"/>
        <v>10.602595482421195</v>
      </c>
    </row>
    <row r="16" spans="1:6" ht="14.25" customHeight="1" x14ac:dyDescent="0.2">
      <c r="A16" s="20">
        <v>12</v>
      </c>
      <c r="B16" s="184" t="s">
        <v>11</v>
      </c>
      <c r="C16" s="185"/>
      <c r="D16" s="15">
        <f t="shared" si="0"/>
        <v>1748962</v>
      </c>
      <c r="E16" s="18">
        <f t="shared" si="1"/>
        <v>14493684.598880401</v>
      </c>
      <c r="F16" s="22">
        <f t="shared" si="2"/>
        <v>8.2870208723119205</v>
      </c>
    </row>
    <row r="17" spans="1:6" x14ac:dyDescent="0.2">
      <c r="A17" s="20">
        <v>13</v>
      </c>
      <c r="B17" s="184" t="s">
        <v>12</v>
      </c>
      <c r="C17" s="185"/>
      <c r="D17" s="15">
        <f t="shared" si="0"/>
        <v>315056</v>
      </c>
      <c r="E17" s="18">
        <f t="shared" si="1"/>
        <v>2098280.3623308362</v>
      </c>
      <c r="F17" s="22">
        <f t="shared" si="2"/>
        <v>6.6600234952860324</v>
      </c>
    </row>
    <row r="18" spans="1:6" ht="14.25" customHeight="1" x14ac:dyDescent="0.2">
      <c r="A18" s="20">
        <v>14</v>
      </c>
      <c r="B18" s="184" t="s">
        <v>469</v>
      </c>
      <c r="C18" s="185"/>
      <c r="D18" s="15">
        <f t="shared" si="0"/>
        <v>120332</v>
      </c>
      <c r="E18" s="18">
        <f t="shared" si="1"/>
        <v>2557418.9259940903</v>
      </c>
      <c r="F18" s="22">
        <f t="shared" si="2"/>
        <v>21.253024349251156</v>
      </c>
    </row>
    <row r="19" spans="1:6" x14ac:dyDescent="0.2">
      <c r="A19" s="20">
        <v>15</v>
      </c>
      <c r="B19" s="184" t="s">
        <v>13</v>
      </c>
      <c r="C19" s="185"/>
      <c r="D19" s="15">
        <f t="shared" si="0"/>
        <v>22528</v>
      </c>
      <c r="E19" s="18">
        <f t="shared" si="1"/>
        <v>571117.63212441304</v>
      </c>
      <c r="F19" s="22">
        <f t="shared" si="2"/>
        <v>25.351457391886232</v>
      </c>
    </row>
    <row r="20" spans="1:6" x14ac:dyDescent="0.2">
      <c r="A20" s="20">
        <v>16</v>
      </c>
      <c r="B20" s="184" t="s">
        <v>14</v>
      </c>
      <c r="C20" s="185"/>
      <c r="D20" s="15">
        <f t="shared" si="0"/>
        <v>175923</v>
      </c>
      <c r="E20" s="18">
        <f t="shared" si="1"/>
        <v>1508088.2434403016</v>
      </c>
      <c r="F20" s="22">
        <f t="shared" si="2"/>
        <v>8.5724336410833235</v>
      </c>
    </row>
    <row r="21" spans="1:6" x14ac:dyDescent="0.2">
      <c r="A21" s="20">
        <v>17</v>
      </c>
      <c r="B21" s="184" t="s">
        <v>15</v>
      </c>
      <c r="C21" s="185"/>
      <c r="D21" s="15">
        <f t="shared" si="0"/>
        <v>48096</v>
      </c>
      <c r="E21" s="18">
        <f t="shared" si="1"/>
        <v>754993.62653834198</v>
      </c>
      <c r="F21" s="22">
        <f t="shared" si="2"/>
        <v>15.697638608997464</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1289116</v>
      </c>
      <c r="E23" s="18">
        <f t="shared" si="1"/>
        <v>9983343.8727669939</v>
      </c>
      <c r="F23" s="22">
        <f t="shared" si="2"/>
        <v>7.7443332273953578</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16</v>
      </c>
      <c r="E25" s="18">
        <f t="shared" si="1"/>
        <v>75.975590997452429</v>
      </c>
      <c r="F25" s="22">
        <f t="shared" si="2"/>
        <v>4.7484744373407768</v>
      </c>
    </row>
    <row r="26" spans="1:6" x14ac:dyDescent="0.2">
      <c r="A26" s="20">
        <v>22</v>
      </c>
      <c r="B26" s="184" t="s">
        <v>19</v>
      </c>
      <c r="C26" s="185"/>
      <c r="D26" s="15">
        <f t="shared" si="0"/>
        <v>6144</v>
      </c>
      <c r="E26" s="18">
        <f t="shared" si="1"/>
        <v>29275.626943021736</v>
      </c>
      <c r="F26" s="22">
        <f t="shared" si="2"/>
        <v>4.7649132394241107</v>
      </c>
    </row>
    <row r="27" spans="1:6" x14ac:dyDescent="0.2">
      <c r="A27" s="20">
        <v>23</v>
      </c>
      <c r="B27" s="184" t="s">
        <v>20</v>
      </c>
      <c r="C27" s="185"/>
      <c r="D27" s="15">
        <f t="shared" si="0"/>
        <v>249084</v>
      </c>
      <c r="E27" s="18">
        <f t="shared" si="1"/>
        <v>2331358.5067505902</v>
      </c>
      <c r="F27" s="22">
        <f t="shared" si="2"/>
        <v>9.3597280706532349</v>
      </c>
    </row>
    <row r="28" spans="1:6" x14ac:dyDescent="0.2">
      <c r="A28" s="20">
        <v>24</v>
      </c>
      <c r="B28" s="184" t="s">
        <v>21</v>
      </c>
      <c r="C28" s="185"/>
      <c r="D28" s="15">
        <f t="shared" si="0"/>
        <v>275273</v>
      </c>
      <c r="E28" s="18">
        <f t="shared" si="1"/>
        <v>2949777.9287901078</v>
      </c>
      <c r="F28" s="22">
        <f t="shared" si="2"/>
        <v>10.71582730158827</v>
      </c>
    </row>
    <row r="29" spans="1:6" x14ac:dyDescent="0.2">
      <c r="A29" s="20">
        <v>25</v>
      </c>
      <c r="B29" s="184" t="s">
        <v>22</v>
      </c>
      <c r="C29" s="185"/>
      <c r="D29" s="15">
        <f t="shared" si="0"/>
        <v>1798864</v>
      </c>
      <c r="E29" s="18">
        <f t="shared" si="1"/>
        <v>13578168.720252581</v>
      </c>
      <c r="F29" s="22">
        <f t="shared" si="2"/>
        <v>7.5481908138984277</v>
      </c>
    </row>
    <row r="30" spans="1:6" x14ac:dyDescent="0.2">
      <c r="A30" s="20">
        <v>26</v>
      </c>
      <c r="B30" s="184" t="s">
        <v>23</v>
      </c>
      <c r="C30" s="185"/>
      <c r="D30" s="15">
        <f t="shared" si="0"/>
        <v>735348</v>
      </c>
      <c r="E30" s="18">
        <f t="shared" si="1"/>
        <v>7710541.6805496663</v>
      </c>
      <c r="F30" s="22">
        <f t="shared" si="2"/>
        <v>10.485568303102294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9390142</v>
      </c>
      <c r="E33" s="32">
        <f>SUM(E5:E32)</f>
        <v>80287869.000000015</v>
      </c>
      <c r="F33" s="33">
        <f t="shared" si="2"/>
        <v>8.5502294853475078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IF(F3="1",SUMIF(Data!A:A,'13'!$A$2,Data!CU:CU),0)</f>
        <v>92938</v>
      </c>
      <c r="E36" s="16">
        <f>IF(F3="1",SUMIF(Data!$A:$A,'13'!$A$2,Data!IO:IO),0)</f>
        <v>72683</v>
      </c>
      <c r="F36" s="21">
        <f t="shared" ref="F36:F64" si="3">IFERROR(E36/D36,"")</f>
        <v>0.78205900707998877</v>
      </c>
    </row>
    <row r="37" spans="1:6" x14ac:dyDescent="0.2">
      <c r="A37" s="20">
        <v>2</v>
      </c>
      <c r="B37" s="184" t="s">
        <v>1</v>
      </c>
      <c r="C37" s="185"/>
      <c r="D37" s="15">
        <f>IF(F3="1",SUMIF(Data!A:A,'13'!$A$2,Data!CV:CV),0)</f>
        <v>960</v>
      </c>
      <c r="E37" s="18">
        <f>IF(F3="1",SUMIF(Data!$A:$A,'13'!$A$2,Data!IP:IP),0)</f>
        <v>751</v>
      </c>
      <c r="F37" s="22">
        <f t="shared" si="3"/>
        <v>0.78229166666666672</v>
      </c>
    </row>
    <row r="38" spans="1:6" ht="14.25" customHeight="1" x14ac:dyDescent="0.2">
      <c r="A38" s="20">
        <v>3</v>
      </c>
      <c r="B38" s="184" t="s">
        <v>2</v>
      </c>
      <c r="C38" s="185"/>
      <c r="D38" s="15">
        <f>IF(F3="1",SUMIF(Data!A:A,'13'!$A$2,Data!CW:CW),0)</f>
        <v>1100416</v>
      </c>
      <c r="E38" s="18">
        <f>IF(F3="1",SUMIF(Data!$A:$A,'13'!$A$2,Data!IQ:IQ),0)</f>
        <v>2460347</v>
      </c>
      <c r="F38" s="22">
        <f t="shared" si="3"/>
        <v>2.2358335393160407</v>
      </c>
    </row>
    <row r="39" spans="1:6" ht="14.25" customHeight="1" x14ac:dyDescent="0.2">
      <c r="A39" s="20">
        <v>4</v>
      </c>
      <c r="B39" s="184" t="s">
        <v>3</v>
      </c>
      <c r="C39" s="185"/>
      <c r="D39" s="15">
        <f>IF(F3="1",SUMIF(Data!A:A,'13'!$A$2,Data!CX:CX),0)</f>
        <v>617467</v>
      </c>
      <c r="E39" s="18">
        <f>IF(F3="1",SUMIF(Data!$A:$A,'13'!$A$2,Data!IR:IR),0)</f>
        <v>599421</v>
      </c>
      <c r="F39" s="22">
        <f t="shared" si="3"/>
        <v>0.97077414663455697</v>
      </c>
    </row>
    <row r="40" spans="1:6" x14ac:dyDescent="0.2">
      <c r="A40" s="20">
        <v>5</v>
      </c>
      <c r="B40" s="184" t="s">
        <v>4</v>
      </c>
      <c r="C40" s="185"/>
      <c r="D40" s="15">
        <f>IF(F3="1",SUMIF(Data!A:A,'13'!$A$2,Data!CY:CY),0)</f>
        <v>417</v>
      </c>
      <c r="E40" s="18">
        <f>IF(F3="1",SUMIF(Data!$A:$A,'13'!$A$2,Data!IS:IS),0)</f>
        <v>326</v>
      </c>
      <c r="F40" s="22">
        <f t="shared" si="3"/>
        <v>0.78177458033573144</v>
      </c>
    </row>
    <row r="41" spans="1:6" x14ac:dyDescent="0.2">
      <c r="A41" s="20">
        <v>6</v>
      </c>
      <c r="B41" s="184" t="s">
        <v>5</v>
      </c>
      <c r="C41" s="185"/>
      <c r="D41" s="15">
        <f>IF(F3="1",SUMIF(Data!A:A,'13'!$A$2,Data!CZ:CZ),0)</f>
        <v>192253</v>
      </c>
      <c r="E41" s="18">
        <f>IF(F3="1",SUMIF(Data!$A:$A,'13'!$A$2,Data!IT:IT),0)</f>
        <v>153689</v>
      </c>
      <c r="F41" s="22">
        <f t="shared" si="3"/>
        <v>0.79941015224729917</v>
      </c>
    </row>
    <row r="42" spans="1:6" x14ac:dyDescent="0.2">
      <c r="A42" s="20">
        <v>7</v>
      </c>
      <c r="B42" s="184" t="s">
        <v>6</v>
      </c>
      <c r="C42" s="185"/>
      <c r="D42" s="15">
        <f>IF(F3="1",SUMIF(Data!A:A,'13'!$A$2,Data!DA:DA),0)</f>
        <v>332177</v>
      </c>
      <c r="E42" s="18">
        <f>IF(F3="1",SUMIF(Data!$A:$A,'13'!$A$2,Data!IU:IU),0)</f>
        <v>412249</v>
      </c>
      <c r="F42" s="22">
        <f t="shared" si="3"/>
        <v>1.2410522101168955</v>
      </c>
    </row>
    <row r="43" spans="1:6" x14ac:dyDescent="0.2">
      <c r="A43" s="20">
        <v>8</v>
      </c>
      <c r="B43" s="184" t="s">
        <v>7</v>
      </c>
      <c r="C43" s="185"/>
      <c r="D43" s="15">
        <f>IF(F3="1",SUMIF(Data!A:A,'13'!$A$2,Data!DB:DB),0)</f>
        <v>1616</v>
      </c>
      <c r="E43" s="18">
        <f>IF(F3="1",SUMIF(Data!$A:$A,'13'!$A$2,Data!IV:IV),0)</f>
        <v>1264</v>
      </c>
      <c r="F43" s="22">
        <f t="shared" si="3"/>
        <v>0.78217821782178221</v>
      </c>
    </row>
    <row r="44" spans="1:6" x14ac:dyDescent="0.2">
      <c r="A44" s="20">
        <v>9</v>
      </c>
      <c r="B44" s="184" t="s">
        <v>8</v>
      </c>
      <c r="C44" s="185"/>
      <c r="D44" s="15">
        <f>IF(F3="1",SUMIF(Data!A:A,'13'!$A$2,Data!DC:DC),0)</f>
        <v>209928</v>
      </c>
      <c r="E44" s="18">
        <f>IF(F3="1",SUMIF(Data!$A:$A,'13'!$A$2,Data!IW:IW),0)</f>
        <v>439927</v>
      </c>
      <c r="F44" s="22">
        <f t="shared" si="3"/>
        <v>2.0956089706947143</v>
      </c>
    </row>
    <row r="45" spans="1:6" x14ac:dyDescent="0.2">
      <c r="A45" s="20">
        <v>10</v>
      </c>
      <c r="B45" s="184" t="s">
        <v>9</v>
      </c>
      <c r="C45" s="185"/>
      <c r="D45" s="15">
        <f>IF(F3="1",SUMIF(Data!A:A,'13'!$A$2,Data!DD:DD),0)</f>
        <v>4256</v>
      </c>
      <c r="E45" s="18">
        <f>IF(F3="1",SUMIF(Data!$A:$A,'13'!$A$2,Data!IX:IX),0)</f>
        <v>96978</v>
      </c>
      <c r="F45" s="22">
        <f t="shared" si="3"/>
        <v>22.786184210526315</v>
      </c>
    </row>
    <row r="46" spans="1:6" x14ac:dyDescent="0.2">
      <c r="A46" s="20">
        <v>11</v>
      </c>
      <c r="B46" s="184" t="s">
        <v>10</v>
      </c>
      <c r="C46" s="185"/>
      <c r="D46" s="15">
        <f>IF(F3="1",SUMIF(Data!A:A,'13'!$A$2,Data!DE:DE),0)</f>
        <v>52972</v>
      </c>
      <c r="E46" s="18">
        <f>IF(F3="1",SUMIF(Data!$A:$A,'13'!$A$2,Data!IY:IY),0)</f>
        <v>68197</v>
      </c>
      <c r="F46" s="22">
        <f t="shared" si="3"/>
        <v>1.28741599335498</v>
      </c>
    </row>
    <row r="47" spans="1:6" ht="14.25" customHeight="1" x14ac:dyDescent="0.2">
      <c r="A47" s="20">
        <v>12</v>
      </c>
      <c r="B47" s="184" t="s">
        <v>11</v>
      </c>
      <c r="C47" s="185"/>
      <c r="D47" s="15">
        <f>IF(F3="1",SUMIF(Data!A:A,'13'!$A$2,Data!DF:DF),0)</f>
        <v>1748962</v>
      </c>
      <c r="E47" s="18">
        <f>IF(F3="1",SUMIF(Data!$A:$A,'13'!$A$2,Data!IZ:IZ),0)</f>
        <v>2071197</v>
      </c>
      <c r="F47" s="22">
        <f t="shared" si="3"/>
        <v>1.1842435684708987</v>
      </c>
    </row>
    <row r="48" spans="1:6" x14ac:dyDescent="0.2">
      <c r="A48" s="20">
        <v>13</v>
      </c>
      <c r="B48" s="184" t="s">
        <v>12</v>
      </c>
      <c r="C48" s="185"/>
      <c r="D48" s="15">
        <f>IF(F3="1",SUMIF(Data!A:A,'13'!$A$2,Data!DG:DG),0)</f>
        <v>315056</v>
      </c>
      <c r="E48" s="18">
        <f>IF(F3="1",SUMIF(Data!$A:$A,'13'!$A$2,Data!JA:JA),0)</f>
        <v>283953</v>
      </c>
      <c r="F48" s="22">
        <f t="shared" si="3"/>
        <v>0.90127786806155097</v>
      </c>
    </row>
    <row r="49" spans="1:6" ht="14.25" customHeight="1" x14ac:dyDescent="0.2">
      <c r="A49" s="20">
        <v>14</v>
      </c>
      <c r="B49" s="184" t="s">
        <v>469</v>
      </c>
      <c r="C49" s="185"/>
      <c r="D49" s="15">
        <f>IF(F3="1",SUMIF(Data!A:A,'13'!$A$2,Data!DH:DH),0)</f>
        <v>120332</v>
      </c>
      <c r="E49" s="18">
        <f>IF(F3="1",SUMIF(Data!$A:$A,'13'!$A$2,Data!JB:JB),0)</f>
        <v>781663</v>
      </c>
      <c r="F49" s="22">
        <f t="shared" si="3"/>
        <v>6.4958863810125322</v>
      </c>
    </row>
    <row r="50" spans="1:6" x14ac:dyDescent="0.2">
      <c r="A50" s="20">
        <v>15</v>
      </c>
      <c r="B50" s="184" t="s">
        <v>13</v>
      </c>
      <c r="C50" s="185"/>
      <c r="D50" s="15">
        <f>IF(F3="1",SUMIF(Data!A:A,'13'!$A$2,Data!DI:DI),0)</f>
        <v>22528</v>
      </c>
      <c r="E50" s="18">
        <f>IF(F3="1",SUMIF(Data!$A:$A,'13'!$A$2,Data!JC:JC),0)</f>
        <v>235256</v>
      </c>
      <c r="F50" s="22">
        <f t="shared" si="3"/>
        <v>10.442826704545455</v>
      </c>
    </row>
    <row r="51" spans="1:6" x14ac:dyDescent="0.2">
      <c r="A51" s="20">
        <v>16</v>
      </c>
      <c r="B51" s="184" t="s">
        <v>14</v>
      </c>
      <c r="C51" s="185"/>
      <c r="D51" s="15">
        <f>IF(F3="1",SUMIF(Data!A:A,'13'!$A$2,Data!DJ:DJ),0)</f>
        <v>175923</v>
      </c>
      <c r="E51" s="18">
        <f>IF(F3="1",SUMIF(Data!$A:$A,'13'!$A$2,Data!JD:JD),0)</f>
        <v>366068</v>
      </c>
      <c r="F51" s="22">
        <f t="shared" si="3"/>
        <v>2.0808421866384723</v>
      </c>
    </row>
    <row r="52" spans="1:6" x14ac:dyDescent="0.2">
      <c r="A52" s="20">
        <v>17</v>
      </c>
      <c r="B52" s="184" t="s">
        <v>15</v>
      </c>
      <c r="C52" s="185"/>
      <c r="D52" s="15">
        <f>IF(F3="1",SUMIF(Data!A:A,'13'!$A$2,Data!DK:DK),0)</f>
        <v>48096</v>
      </c>
      <c r="E52" s="18">
        <f>IF(F3="1",SUMIF(Data!$A:$A,'13'!$A$2,Data!JE:JE),0)</f>
        <v>194162</v>
      </c>
      <c r="F52" s="22">
        <f t="shared" si="3"/>
        <v>4.0369677312042578</v>
      </c>
    </row>
    <row r="53" spans="1:6" x14ac:dyDescent="0.2">
      <c r="A53" s="20">
        <v>18</v>
      </c>
      <c r="B53" s="184" t="s">
        <v>16</v>
      </c>
      <c r="C53" s="185"/>
      <c r="D53" s="15">
        <f>IF(F3="1",SUMIF(Data!A:A,'13'!$A$2,Data!DL:DL),0)</f>
        <v>0</v>
      </c>
      <c r="E53" s="18">
        <f>IF(F3="1",SUMIF(Data!$A:$A,'13'!$A$2,Data!JF:JF),0)</f>
        <v>0</v>
      </c>
      <c r="F53" s="22" t="str">
        <f t="shared" si="3"/>
        <v/>
      </c>
    </row>
    <row r="54" spans="1:6" x14ac:dyDescent="0.2">
      <c r="A54" s="20">
        <v>19</v>
      </c>
      <c r="B54" s="184" t="s">
        <v>17</v>
      </c>
      <c r="C54" s="185"/>
      <c r="D54" s="15">
        <f>IF(F3="1",SUMIF(Data!A:A,'13'!$A$2,Data!DM:DM),0)</f>
        <v>1289116</v>
      </c>
      <c r="E54" s="18">
        <f>IF(F3="1",SUMIF(Data!$A:$A,'13'!$A$2,Data!JG:JG),0)</f>
        <v>1952893</v>
      </c>
      <c r="F54" s="22">
        <f t="shared" si="3"/>
        <v>1.5149086660936641</v>
      </c>
    </row>
    <row r="55" spans="1:6" x14ac:dyDescent="0.2">
      <c r="A55" s="20">
        <v>20</v>
      </c>
      <c r="B55" s="184" t="s">
        <v>18</v>
      </c>
      <c r="C55" s="185"/>
      <c r="D55" s="15">
        <f>IF(F3="1",SUMIF(Data!A:A,'13'!$A$2,Data!DN:DN),0)</f>
        <v>0</v>
      </c>
      <c r="E55" s="18">
        <f>IF(F3="1",SUMIF(Data!$A:$A,'13'!$A$2,Data!JH:JH),0)</f>
        <v>0</v>
      </c>
      <c r="F55" s="22" t="str">
        <f t="shared" si="3"/>
        <v/>
      </c>
    </row>
    <row r="56" spans="1:6" ht="14.25" customHeight="1" x14ac:dyDescent="0.2">
      <c r="A56" s="20">
        <v>21</v>
      </c>
      <c r="B56" s="184" t="s">
        <v>466</v>
      </c>
      <c r="C56" s="185"/>
      <c r="D56" s="15">
        <f>IF(F3="1",SUMIF(Data!A:A,'13'!$A$2,Data!DO:DO),0)</f>
        <v>16</v>
      </c>
      <c r="E56" s="18">
        <f>IF(F3="1",SUMIF(Data!$A:$A,'13'!$A$2,Data!JI:JI),0)</f>
        <v>12</v>
      </c>
      <c r="F56" s="22">
        <f t="shared" si="3"/>
        <v>0.75</v>
      </c>
    </row>
    <row r="57" spans="1:6" x14ac:dyDescent="0.2">
      <c r="A57" s="20">
        <v>22</v>
      </c>
      <c r="B57" s="184" t="s">
        <v>19</v>
      </c>
      <c r="C57" s="185"/>
      <c r="D57" s="15">
        <f>IF(F3="1",SUMIF(Data!A:A,'13'!$A$2,Data!DP:DP),0)</f>
        <v>6144</v>
      </c>
      <c r="E57" s="18">
        <f>IF(F3="1",SUMIF(Data!$A:$A,'13'!$A$2,Data!JJ:JJ),0)</f>
        <v>4805</v>
      </c>
      <c r="F57" s="22">
        <f t="shared" si="3"/>
        <v>0.78206380208333337</v>
      </c>
    </row>
    <row r="58" spans="1:6" x14ac:dyDescent="0.2">
      <c r="A58" s="20">
        <v>23</v>
      </c>
      <c r="B58" s="184" t="s">
        <v>20</v>
      </c>
      <c r="C58" s="185"/>
      <c r="D58" s="15">
        <f>IF(F3="1",SUMIF(Data!A:A,'13'!$A$2,Data!DQ:DQ),0)</f>
        <v>249084</v>
      </c>
      <c r="E58" s="18">
        <f>IF(F3="1",SUMIF(Data!$A:$A,'13'!$A$2,Data!JK:JK),0)</f>
        <v>594867</v>
      </c>
      <c r="F58" s="22">
        <f t="shared" si="3"/>
        <v>2.3882184323360796</v>
      </c>
    </row>
    <row r="59" spans="1:6" x14ac:dyDescent="0.2">
      <c r="A59" s="20">
        <v>24</v>
      </c>
      <c r="B59" s="184" t="s">
        <v>21</v>
      </c>
      <c r="C59" s="185"/>
      <c r="D59" s="15">
        <f>IF(F3="1",SUMIF(Data!A:A,'13'!$A$2,Data!DR:DR),0)</f>
        <v>275273</v>
      </c>
      <c r="E59" s="18">
        <f>IF(F3="1",SUMIF(Data!$A:$A,'13'!$A$2,Data!JL:JL),0)</f>
        <v>1003749</v>
      </c>
      <c r="F59" s="22">
        <f t="shared" si="3"/>
        <v>3.6463765062319951</v>
      </c>
    </row>
    <row r="60" spans="1:6" x14ac:dyDescent="0.2">
      <c r="A60" s="20">
        <v>25</v>
      </c>
      <c r="B60" s="184" t="s">
        <v>22</v>
      </c>
      <c r="C60" s="185"/>
      <c r="D60" s="15">
        <f>IF(F3="1",SUMIF(Data!A:A,'13'!$A$2,Data!DS:DS),0)</f>
        <v>1798864</v>
      </c>
      <c r="E60" s="18">
        <f>IF(F3="1",SUMIF(Data!$A:$A,'13'!$A$2,Data!JM:JM),0)</f>
        <v>1768740</v>
      </c>
      <c r="F60" s="22">
        <f t="shared" si="3"/>
        <v>0.98325387577938073</v>
      </c>
    </row>
    <row r="61" spans="1:6" x14ac:dyDescent="0.2">
      <c r="A61" s="20">
        <v>26</v>
      </c>
      <c r="B61" s="184" t="s">
        <v>23</v>
      </c>
      <c r="C61" s="185"/>
      <c r="D61" s="15">
        <f>IF(F3="1",SUMIF(Data!A:A,'13'!$A$2,Data!DT:DT),0)</f>
        <v>735348</v>
      </c>
      <c r="E61" s="18">
        <f>IF(F3="1",SUMIF(Data!$A:$A,'13'!$A$2,Data!JN:JN),0)</f>
        <v>1772874</v>
      </c>
      <c r="F61" s="22">
        <f t="shared" si="3"/>
        <v>2.4109319669054652</v>
      </c>
    </row>
    <row r="62" spans="1:6" x14ac:dyDescent="0.2">
      <c r="A62" s="20">
        <v>28</v>
      </c>
      <c r="B62" s="184" t="s">
        <v>24</v>
      </c>
      <c r="C62" s="185"/>
      <c r="D62" s="15">
        <f>IF(F3="1",SUMIF(Data!A:A,'13'!$A$2,Data!DV:DV),0)</f>
        <v>0</v>
      </c>
      <c r="E62" s="18">
        <f>IF(F3="1",SUMIF(Data!$A:$A,'13'!$A$2,Data!JP:JP),0)</f>
        <v>0</v>
      </c>
      <c r="F62" s="22" t="str">
        <f t="shared" si="3"/>
        <v/>
      </c>
    </row>
    <row r="63" spans="1:6" ht="15.75" customHeight="1" thickBot="1" x14ac:dyDescent="0.25">
      <c r="A63" s="23">
        <v>29</v>
      </c>
      <c r="B63" s="186" t="s">
        <v>25</v>
      </c>
      <c r="C63" s="187"/>
      <c r="D63" s="24">
        <f>IF(F3="1",SUMIF(Data!A:A,'13'!$A$2,Data!DW:DW),0)</f>
        <v>0</v>
      </c>
      <c r="E63" s="25">
        <f>IF(F3="1",SUMIF(Data!$A:$A,'13'!$A$2,Data!JQ:JQ),0)</f>
        <v>0</v>
      </c>
      <c r="F63" s="26" t="str">
        <f t="shared" si="3"/>
        <v/>
      </c>
    </row>
    <row r="64" spans="1:6" x14ac:dyDescent="0.2">
      <c r="B64" s="31" t="s">
        <v>35</v>
      </c>
      <c r="C64" s="31"/>
      <c r="D64" s="61">
        <f>SUM(D36:D63)</f>
        <v>9390142</v>
      </c>
      <c r="E64" s="32">
        <f>SUM(E36:E63)</f>
        <v>15336071</v>
      </c>
      <c r="F64" s="33">
        <f t="shared" si="3"/>
        <v>1.6332097001302004</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92938</v>
      </c>
      <c r="E67" s="16">
        <f>IF(F3="1",SUMIF(Data!A:A,'13'!$A$2,Data!DY:DY),0)</f>
        <v>10161</v>
      </c>
      <c r="F67" s="21">
        <f>IFERROR(E67/D67,"")</f>
        <v>0.10933095181734059</v>
      </c>
    </row>
    <row r="68" spans="1:6" x14ac:dyDescent="0.2">
      <c r="A68" s="20">
        <v>2</v>
      </c>
      <c r="B68" s="184" t="s">
        <v>1</v>
      </c>
      <c r="C68" s="185"/>
      <c r="D68" s="15">
        <f t="shared" ref="D68:D94" si="4">D37</f>
        <v>960</v>
      </c>
      <c r="E68" s="18">
        <f>IF(F3="1",SUMIF(Data!A:A,'13'!$A$2,Data!DZ:DZ),0)</f>
        <v>105</v>
      </c>
      <c r="F68" s="22">
        <f t="shared" ref="F68:F95" si="5">IFERROR(E68/D68,"")</f>
        <v>0.109375</v>
      </c>
    </row>
    <row r="69" spans="1:6" ht="14.25" customHeight="1" x14ac:dyDescent="0.2">
      <c r="A69" s="20">
        <v>3</v>
      </c>
      <c r="B69" s="184" t="s">
        <v>2</v>
      </c>
      <c r="C69" s="185"/>
      <c r="D69" s="15">
        <f t="shared" si="4"/>
        <v>1100416</v>
      </c>
      <c r="E69" s="18">
        <f>IF(F3="1",SUMIF(Data!A:A,'13'!$A$2,Data!EA:EA),0)</f>
        <v>3712552</v>
      </c>
      <c r="F69" s="22">
        <f t="shared" si="5"/>
        <v>3.3737713737350239</v>
      </c>
    </row>
    <row r="70" spans="1:6" ht="14.25" customHeight="1" x14ac:dyDescent="0.2">
      <c r="A70" s="20">
        <v>4</v>
      </c>
      <c r="B70" s="184" t="s">
        <v>3</v>
      </c>
      <c r="C70" s="185"/>
      <c r="D70" s="15">
        <f t="shared" si="4"/>
        <v>617467</v>
      </c>
      <c r="E70" s="18">
        <f>IF(F3="1",SUMIF(Data!A:A,'13'!$A$2,Data!EB:EB),0)</f>
        <v>822701</v>
      </c>
      <c r="F70" s="22">
        <f t="shared" si="5"/>
        <v>1.3323805158818205</v>
      </c>
    </row>
    <row r="71" spans="1:6" x14ac:dyDescent="0.2">
      <c r="A71" s="20">
        <v>5</v>
      </c>
      <c r="B71" s="184" t="s">
        <v>4</v>
      </c>
      <c r="C71" s="185"/>
      <c r="D71" s="15">
        <f t="shared" si="4"/>
        <v>417</v>
      </c>
      <c r="E71" s="18">
        <f>IF(F3="1",SUMIF(Data!A:A,'13'!$A$2,Data!EC:EC),0)</f>
        <v>46</v>
      </c>
      <c r="F71" s="22">
        <f t="shared" si="5"/>
        <v>0.11031175059952038</v>
      </c>
    </row>
    <row r="72" spans="1:6" x14ac:dyDescent="0.2">
      <c r="A72" s="20">
        <v>6</v>
      </c>
      <c r="B72" s="184" t="s">
        <v>5</v>
      </c>
      <c r="C72" s="185"/>
      <c r="D72" s="15">
        <f t="shared" si="4"/>
        <v>192253</v>
      </c>
      <c r="E72" s="18">
        <f>IF(F3="1",SUMIF(Data!A:A,'13'!$A$2,Data!ED:ED),0)</f>
        <v>68009</v>
      </c>
      <c r="F72" s="22">
        <f t="shared" si="5"/>
        <v>0.35374740576219876</v>
      </c>
    </row>
    <row r="73" spans="1:6" x14ac:dyDescent="0.2">
      <c r="A73" s="20">
        <v>7</v>
      </c>
      <c r="B73" s="184" t="s">
        <v>6</v>
      </c>
      <c r="C73" s="185"/>
      <c r="D73" s="15">
        <f t="shared" si="4"/>
        <v>332177</v>
      </c>
      <c r="E73" s="18">
        <f>IF(F3="1",SUMIF(Data!A:A,'13'!$A$2,Data!EE:EE),0)</f>
        <v>1498608</v>
      </c>
      <c r="F73" s="22">
        <f t="shared" si="5"/>
        <v>4.5114743043618315</v>
      </c>
    </row>
    <row r="74" spans="1:6" x14ac:dyDescent="0.2">
      <c r="A74" s="20">
        <v>8</v>
      </c>
      <c r="B74" s="184" t="s">
        <v>7</v>
      </c>
      <c r="C74" s="185"/>
      <c r="D74" s="15">
        <f t="shared" si="4"/>
        <v>1616</v>
      </c>
      <c r="E74" s="18">
        <f>IF(F3="1",SUMIF(Data!A:A,'13'!$A$2,Data!EF:EF),0)</f>
        <v>177</v>
      </c>
      <c r="F74" s="22">
        <f t="shared" si="5"/>
        <v>0.10952970297029703</v>
      </c>
    </row>
    <row r="75" spans="1:6" x14ac:dyDescent="0.2">
      <c r="A75" s="20">
        <v>9</v>
      </c>
      <c r="B75" s="184" t="s">
        <v>8</v>
      </c>
      <c r="C75" s="185"/>
      <c r="D75" s="15">
        <f t="shared" si="4"/>
        <v>209928</v>
      </c>
      <c r="E75" s="18">
        <f>IF(F3="1",SUMIF(Data!A:A,'13'!$A$2,Data!EG:EG),0)</f>
        <v>874328</v>
      </c>
      <c r="F75" s="22">
        <f t="shared" si="5"/>
        <v>4.1648946305399948</v>
      </c>
    </row>
    <row r="76" spans="1:6" x14ac:dyDescent="0.2">
      <c r="A76" s="20">
        <v>10</v>
      </c>
      <c r="B76" s="184" t="s">
        <v>9</v>
      </c>
      <c r="C76" s="185"/>
      <c r="D76" s="15">
        <f t="shared" si="4"/>
        <v>4256</v>
      </c>
      <c r="E76" s="18">
        <f>IF(F3="1",SUMIF(Data!A:A,'13'!$A$2,Data!EH:EH),0)</f>
        <v>49016</v>
      </c>
      <c r="F76" s="22">
        <f t="shared" si="5"/>
        <v>11.516917293233083</v>
      </c>
    </row>
    <row r="77" spans="1:6" x14ac:dyDescent="0.2">
      <c r="A77" s="20">
        <v>11</v>
      </c>
      <c r="B77" s="184" t="s">
        <v>10</v>
      </c>
      <c r="C77" s="185"/>
      <c r="D77" s="15">
        <f t="shared" si="4"/>
        <v>52972</v>
      </c>
      <c r="E77" s="18">
        <f>IF(F3="1",SUMIF(Data!A:A,'13'!$A$2,Data!EI:EI),0)</f>
        <v>288258</v>
      </c>
      <c r="F77" s="22">
        <f t="shared" si="5"/>
        <v>5.4417050517254397</v>
      </c>
    </row>
    <row r="78" spans="1:6" ht="14.25" customHeight="1" x14ac:dyDescent="0.2">
      <c r="A78" s="20">
        <v>12</v>
      </c>
      <c r="B78" s="184" t="s">
        <v>11</v>
      </c>
      <c r="C78" s="185"/>
      <c r="D78" s="15">
        <f t="shared" si="4"/>
        <v>1748962</v>
      </c>
      <c r="E78" s="18">
        <f>IF(F3="1",SUMIF(Data!A:A,'13'!$A$2,Data!EJ:EJ),0)</f>
        <v>5647928</v>
      </c>
      <c r="F78" s="22">
        <f t="shared" si="5"/>
        <v>3.2293028665002441</v>
      </c>
    </row>
    <row r="79" spans="1:6" x14ac:dyDescent="0.2">
      <c r="A79" s="20">
        <v>13</v>
      </c>
      <c r="B79" s="184" t="s">
        <v>12</v>
      </c>
      <c r="C79" s="185"/>
      <c r="D79" s="15">
        <f t="shared" si="4"/>
        <v>315056</v>
      </c>
      <c r="E79" s="18">
        <f>IF(F3="1",SUMIF(Data!A:A,'13'!$A$2,Data!EK:EK),0)</f>
        <v>593966</v>
      </c>
      <c r="F79" s="22">
        <f t="shared" si="5"/>
        <v>1.8852711898837031</v>
      </c>
    </row>
    <row r="80" spans="1:6" ht="14.25" customHeight="1" x14ac:dyDescent="0.2">
      <c r="A80" s="20">
        <v>14</v>
      </c>
      <c r="B80" s="184" t="s">
        <v>469</v>
      </c>
      <c r="C80" s="185"/>
      <c r="D80" s="15">
        <f t="shared" si="4"/>
        <v>120332</v>
      </c>
      <c r="E80" s="18">
        <f>IF(F3="1",SUMIF(Data!A:A,'13'!$A$2,Data!EL:EL),0)</f>
        <v>1309653</v>
      </c>
      <c r="F80" s="22">
        <f t="shared" si="5"/>
        <v>10.883663530897849</v>
      </c>
    </row>
    <row r="81" spans="1:6" x14ac:dyDescent="0.2">
      <c r="A81" s="20">
        <v>15</v>
      </c>
      <c r="B81" s="184" t="s">
        <v>13</v>
      </c>
      <c r="C81" s="185"/>
      <c r="D81" s="15">
        <f t="shared" si="4"/>
        <v>22528</v>
      </c>
      <c r="E81" s="18">
        <f>IF(F3="1",SUMIF(Data!A:A,'13'!$A$2,Data!EM:EM),0)</f>
        <v>248600</v>
      </c>
      <c r="F81" s="22">
        <f t="shared" si="5"/>
        <v>11.03515625</v>
      </c>
    </row>
    <row r="82" spans="1:6" x14ac:dyDescent="0.2">
      <c r="A82" s="20">
        <v>16</v>
      </c>
      <c r="B82" s="184" t="s">
        <v>14</v>
      </c>
      <c r="C82" s="185"/>
      <c r="D82" s="15">
        <f t="shared" si="4"/>
        <v>175923</v>
      </c>
      <c r="E82" s="18">
        <f>IF(F3="1",SUMIF(Data!A:A,'13'!$A$2,Data!EN:EN),0)</f>
        <v>460587</v>
      </c>
      <c r="F82" s="22">
        <f t="shared" si="5"/>
        <v>2.618117017104074</v>
      </c>
    </row>
    <row r="83" spans="1:6" x14ac:dyDescent="0.2">
      <c r="A83" s="20">
        <v>17</v>
      </c>
      <c r="B83" s="184" t="s">
        <v>15</v>
      </c>
      <c r="C83" s="185"/>
      <c r="D83" s="15">
        <f t="shared" si="4"/>
        <v>48096</v>
      </c>
      <c r="E83" s="18">
        <f>IF(F3="1",SUMIF(Data!A:A,'13'!$A$2,Data!EO:EO),0)</f>
        <v>374533</v>
      </c>
      <c r="F83" s="22">
        <f t="shared" si="5"/>
        <v>7.7871964404524281</v>
      </c>
    </row>
    <row r="84" spans="1:6" x14ac:dyDescent="0.2">
      <c r="A84" s="20">
        <v>18</v>
      </c>
      <c r="B84" s="184" t="s">
        <v>16</v>
      </c>
      <c r="C84" s="185"/>
      <c r="D84" s="15">
        <f t="shared" si="4"/>
        <v>0</v>
      </c>
      <c r="E84" s="18">
        <f>IF(F3="1",SUMIF(Data!A:A,'13'!$A$2,Data!EP:EP),0)</f>
        <v>0</v>
      </c>
      <c r="F84" s="22" t="str">
        <f t="shared" si="5"/>
        <v/>
      </c>
    </row>
    <row r="85" spans="1:6" x14ac:dyDescent="0.2">
      <c r="A85" s="20">
        <v>19</v>
      </c>
      <c r="B85" s="184" t="s">
        <v>17</v>
      </c>
      <c r="C85" s="185"/>
      <c r="D85" s="15">
        <f t="shared" si="4"/>
        <v>1289116</v>
      </c>
      <c r="E85" s="18">
        <f>IF(F3="1",SUMIF(Data!A:A,'13'!$A$2,Data!EQ:EQ),0)</f>
        <v>3037093</v>
      </c>
      <c r="F85" s="22">
        <f t="shared" si="5"/>
        <v>2.3559501239609157</v>
      </c>
    </row>
    <row r="86" spans="1:6" x14ac:dyDescent="0.2">
      <c r="A86" s="20">
        <v>20</v>
      </c>
      <c r="B86" s="184" t="s">
        <v>18</v>
      </c>
      <c r="C86" s="185"/>
      <c r="D86" s="15">
        <f t="shared" si="4"/>
        <v>0</v>
      </c>
      <c r="E86" s="18">
        <f>IF(F3="1",SUMIF(Data!A:A,'13'!$A$2,Data!ER:ER),0)</f>
        <v>0</v>
      </c>
      <c r="F86" s="22" t="str">
        <f t="shared" si="5"/>
        <v/>
      </c>
    </row>
    <row r="87" spans="1:6" ht="14.25" customHeight="1" x14ac:dyDescent="0.2">
      <c r="A87" s="20">
        <v>21</v>
      </c>
      <c r="B87" s="184" t="s">
        <v>466</v>
      </c>
      <c r="C87" s="185"/>
      <c r="D87" s="15">
        <f t="shared" si="4"/>
        <v>16</v>
      </c>
      <c r="E87" s="18">
        <f>IF(F3="1",SUMIF(Data!A:A,'13'!$A$2,Data!ES:ES),0)</f>
        <v>2</v>
      </c>
      <c r="F87" s="22">
        <f t="shared" si="5"/>
        <v>0.125</v>
      </c>
    </row>
    <row r="88" spans="1:6" x14ac:dyDescent="0.2">
      <c r="A88" s="20">
        <v>22</v>
      </c>
      <c r="B88" s="184" t="s">
        <v>19</v>
      </c>
      <c r="C88" s="185"/>
      <c r="D88" s="15">
        <f t="shared" si="4"/>
        <v>6144</v>
      </c>
      <c r="E88" s="18">
        <f>IF(F3="1",SUMIF(Data!A:A,'13'!$A$2,Data!ET:ET),0)</f>
        <v>672</v>
      </c>
      <c r="F88" s="22">
        <f t="shared" si="5"/>
        <v>0.109375</v>
      </c>
    </row>
    <row r="89" spans="1:6" x14ac:dyDescent="0.2">
      <c r="A89" s="20">
        <v>23</v>
      </c>
      <c r="B89" s="184" t="s">
        <v>20</v>
      </c>
      <c r="C89" s="185"/>
      <c r="D89" s="15">
        <f t="shared" si="4"/>
        <v>249084</v>
      </c>
      <c r="E89" s="18">
        <f>IF(F3="1",SUMIF(Data!A:A,'13'!$A$2,Data!EU:EU),0)</f>
        <v>771671</v>
      </c>
      <c r="F89" s="22">
        <f t="shared" si="5"/>
        <v>3.0980352009763776</v>
      </c>
    </row>
    <row r="90" spans="1:6" x14ac:dyDescent="0.2">
      <c r="A90" s="20">
        <v>24</v>
      </c>
      <c r="B90" s="184" t="s">
        <v>21</v>
      </c>
      <c r="C90" s="185"/>
      <c r="D90" s="15">
        <f t="shared" si="4"/>
        <v>275273</v>
      </c>
      <c r="E90" s="18">
        <f>IF(F3="1",SUMIF(Data!A:A,'13'!$A$2,Data!EV:EV),0)</f>
        <v>879766</v>
      </c>
      <c r="F90" s="22">
        <f t="shared" si="5"/>
        <v>3.1959763580154972</v>
      </c>
    </row>
    <row r="91" spans="1:6" x14ac:dyDescent="0.2">
      <c r="A91" s="20">
        <v>25</v>
      </c>
      <c r="B91" s="184" t="s">
        <v>22</v>
      </c>
      <c r="C91" s="185"/>
      <c r="D91" s="15">
        <f t="shared" si="4"/>
        <v>1798864</v>
      </c>
      <c r="E91" s="18">
        <f>IF(F3="1",SUMIF(Data!A:A,'13'!$A$2,Data!EW:EW),0)</f>
        <v>4841575</v>
      </c>
      <c r="F91" s="22">
        <f t="shared" si="5"/>
        <v>2.6914625007782691</v>
      </c>
    </row>
    <row r="92" spans="1:6" x14ac:dyDescent="0.2">
      <c r="A92" s="20">
        <v>26</v>
      </c>
      <c r="B92" s="184" t="s">
        <v>23</v>
      </c>
      <c r="C92" s="185"/>
      <c r="D92" s="15">
        <f t="shared" si="4"/>
        <v>735348</v>
      </c>
      <c r="E92" s="18">
        <f>IF(F3="1",SUMIF(Data!A:A,'13'!$A$2,Data!EX:EX),0)</f>
        <v>3089316</v>
      </c>
      <c r="F92" s="22">
        <f t="shared" si="5"/>
        <v>4.2011618988560517</v>
      </c>
    </row>
    <row r="93" spans="1:6" x14ac:dyDescent="0.2">
      <c r="A93" s="20">
        <v>28</v>
      </c>
      <c r="B93" s="184" t="s">
        <v>24</v>
      </c>
      <c r="C93" s="185"/>
      <c r="D93" s="15">
        <f t="shared" si="4"/>
        <v>0</v>
      </c>
      <c r="E93" s="18">
        <f>IF(F3="1",SUMIF(Data!A:A,'13'!$A$2,Data!EZ:EZ),0)</f>
        <v>0</v>
      </c>
      <c r="F93" s="22" t="str">
        <f t="shared" si="5"/>
        <v/>
      </c>
    </row>
    <row r="94" spans="1:6" ht="15.75" customHeight="1" thickBot="1" x14ac:dyDescent="0.25">
      <c r="A94" s="23">
        <v>29</v>
      </c>
      <c r="B94" s="186" t="s">
        <v>25</v>
      </c>
      <c r="C94" s="187"/>
      <c r="D94" s="24">
        <f t="shared" si="4"/>
        <v>0</v>
      </c>
      <c r="E94" s="25">
        <f>IF(F3="1",SUMIF(Data!A:A,'13'!$A$2,Data!FA:FA),0)</f>
        <v>0</v>
      </c>
      <c r="F94" s="26" t="str">
        <f t="shared" si="5"/>
        <v/>
      </c>
    </row>
    <row r="95" spans="1:6" x14ac:dyDescent="0.2">
      <c r="B95" s="31" t="s">
        <v>35</v>
      </c>
      <c r="C95" s="31"/>
      <c r="D95" s="61">
        <f>SUM(D67:D94)</f>
        <v>9390142</v>
      </c>
      <c r="E95" s="32">
        <f>SUM(E67:E94)</f>
        <v>28579323</v>
      </c>
      <c r="F95" s="33">
        <f t="shared" si="5"/>
        <v>3.0435453478765284</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IF(F3="1",SUMIF(Data!A:A,'13'!$A$2,Data!AH:AH),0)</f>
        <v>10354147</v>
      </c>
      <c r="F98" s="21">
        <f t="shared" ref="F98:F105" si="6">IFERROR(E98/$D$95,0)</f>
        <v>1.1026613868033093</v>
      </c>
    </row>
    <row r="99" spans="2:6" x14ac:dyDescent="0.2">
      <c r="B99" s="190" t="s">
        <v>31</v>
      </c>
      <c r="C99" s="191"/>
      <c r="D99" s="37"/>
      <c r="E99" s="18">
        <f>IF(F3="1",SUMIF(Data!A:A,'13'!$A$2,Data!AI:AI),0)</f>
        <v>6650847</v>
      </c>
      <c r="F99" s="22">
        <f t="shared" si="6"/>
        <v>0.70827970439637655</v>
      </c>
    </row>
    <row r="100" spans="2:6" x14ac:dyDescent="0.2">
      <c r="B100" s="190" t="s">
        <v>32</v>
      </c>
      <c r="C100" s="191"/>
      <c r="D100" s="37"/>
      <c r="E100" s="18">
        <f>IF(F3="1",SUMIF(Data!A:A,'13'!$A$2,Data!AJ:AJ),0)</f>
        <v>9493586</v>
      </c>
      <c r="F100" s="22">
        <f t="shared" si="6"/>
        <v>1.0110162338333115</v>
      </c>
    </row>
    <row r="101" spans="2:6" x14ac:dyDescent="0.2">
      <c r="B101" s="190" t="s">
        <v>28</v>
      </c>
      <c r="C101" s="191"/>
      <c r="D101" s="37"/>
      <c r="E101" s="18">
        <f>IF(F3="1",SUMIF(Data!A:A,'13'!$A$2,Data!AK:AK),0)</f>
        <v>0</v>
      </c>
      <c r="F101" s="22">
        <f t="shared" si="6"/>
        <v>0</v>
      </c>
    </row>
    <row r="102" spans="2:6" x14ac:dyDescent="0.2">
      <c r="B102" s="190" t="s">
        <v>33</v>
      </c>
      <c r="C102" s="191"/>
      <c r="D102" s="37"/>
      <c r="E102" s="18">
        <f>IF(F3="1",SUMIF(Data!A:A,'13'!$A$2,Data!AL:AL),0)</f>
        <v>6839746</v>
      </c>
      <c r="F102" s="22">
        <f t="shared" si="6"/>
        <v>0.72839643958525868</v>
      </c>
    </row>
    <row r="103" spans="2:6" x14ac:dyDescent="0.2">
      <c r="B103" s="192" t="s">
        <v>34</v>
      </c>
      <c r="C103" s="193"/>
      <c r="D103" s="37"/>
      <c r="E103" s="18">
        <f>IF(F3="1",SUMIF(Data!A:A,'13'!$A$2,Data!AM:AM),0)</f>
        <v>2345569</v>
      </c>
      <c r="F103" s="22">
        <f t="shared" si="6"/>
        <v>0.24979057824684653</v>
      </c>
    </row>
    <row r="104" spans="2:6" ht="15.75" customHeight="1" thickBot="1" x14ac:dyDescent="0.25">
      <c r="B104" s="182" t="s">
        <v>29</v>
      </c>
      <c r="C104" s="183"/>
      <c r="D104" s="38"/>
      <c r="E104" s="25">
        <f>IF(F3="1",SUMIF(Data!A:A,'13'!$A$2,Data!Q:Q),0)</f>
        <v>688580</v>
      </c>
      <c r="F104" s="26">
        <f t="shared" si="6"/>
        <v>7.3330094475674595E-2</v>
      </c>
    </row>
    <row r="105" spans="2:6" x14ac:dyDescent="0.2">
      <c r="B105" s="31" t="s">
        <v>35</v>
      </c>
      <c r="C105" s="31"/>
      <c r="D105" s="35">
        <f>D95</f>
        <v>9390142</v>
      </c>
      <c r="E105" s="32">
        <f>SUM(E98:E104)</f>
        <v>36372475</v>
      </c>
      <c r="F105" s="33">
        <f t="shared" si="6"/>
        <v>3.8734744373407772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28579323</v>
      </c>
      <c r="D109" s="16">
        <f>IF(F3="1",SUMIF(Data!$A:$A,$A$2,Data!HJ:HJ),0)</f>
        <v>0</v>
      </c>
      <c r="E109" s="16">
        <f>IF(F3="1",SUMIF(Data!$A:$A,$A$2,Data!IN:IN),0)</f>
        <v>0</v>
      </c>
      <c r="F109" s="48">
        <f>SUM(C109:E109)</f>
        <v>28579323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6839746</v>
      </c>
      <c r="F116" s="49">
        <f t="shared" si="7"/>
        <v>6839746</v>
      </c>
    </row>
    <row r="117" spans="1:6" ht="15" thickBot="1" x14ac:dyDescent="0.25">
      <c r="B117" s="44" t="s">
        <v>941</v>
      </c>
      <c r="C117" s="53"/>
      <c r="D117" s="53">
        <f>IF(F3="1",SUMIF(Data!A:A,$A$2,Data!Q:Q),0)</f>
        <v>688580</v>
      </c>
      <c r="E117" s="53"/>
      <c r="F117" s="50">
        <f>SUM(C117:E117)</f>
        <v>688580</v>
      </c>
    </row>
    <row r="118" spans="1:6" x14ac:dyDescent="0.2">
      <c r="B118" s="14" t="s">
        <v>35</v>
      </c>
      <c r="C118" s="5">
        <f>SUM(C109:C116)</f>
        <v>28579323</v>
      </c>
      <c r="D118" s="5">
        <f>SUM(D109:D116)</f>
        <v>0</v>
      </c>
      <c r="E118" s="5">
        <f>SUM(E109:E116)</f>
        <v>6839746</v>
      </c>
      <c r="F118" s="5">
        <f>SUM(F109:F116)</f>
        <v>35419069</v>
      </c>
    </row>
    <row r="119" spans="1:6" ht="15" thickBot="1" x14ac:dyDescent="0.25"/>
    <row r="120" spans="1:6" ht="15" thickBot="1" x14ac:dyDescent="0.25">
      <c r="B120" s="57" t="s">
        <v>942</v>
      </c>
      <c r="C120" s="55"/>
      <c r="D120" s="55"/>
      <c r="E120" s="55">
        <f>IF(F3="1",SUMIF(Data!A:A,'13'!$A$2,Data!AM:AM),0)</f>
        <v>2345569</v>
      </c>
      <c r="F120" s="56">
        <f>SUM(C120:E120)</f>
        <v>2345569</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4.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456</v>
      </c>
      <c r="B2" s="60" t="str">
        <f>VLOOKUP(A2,Data!A:G,7,0)</f>
        <v>Dallas County Community College District</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89893</v>
      </c>
      <c r="E5" s="16">
        <f>E36+E67+IFERROR($E$105/$D$105*D5,0)</f>
        <v>1622463.7808285712</v>
      </c>
      <c r="F5" s="21">
        <f>IFERROR(E5/D5,"")</f>
        <v>18.048833400026378</v>
      </c>
    </row>
    <row r="6" spans="1:6" x14ac:dyDescent="0.2">
      <c r="A6" s="20">
        <v>2</v>
      </c>
      <c r="B6" s="184" t="s">
        <v>1</v>
      </c>
      <c r="C6" s="185"/>
      <c r="D6" s="15">
        <f t="shared" ref="D6:D32" si="0">D37</f>
        <v>132873</v>
      </c>
      <c r="E6" s="18">
        <f t="shared" ref="E6:E32" si="1">E37+E68+IFERROR($E$105/$D$105*D6,0)</f>
        <v>1400929.7060286645</v>
      </c>
      <c r="F6" s="22">
        <f t="shared" ref="F6:F33" si="2">IFERROR(E6/D6,"")</f>
        <v>10.543373793236132</v>
      </c>
    </row>
    <row r="7" spans="1:6" ht="14.25" customHeight="1" x14ac:dyDescent="0.2">
      <c r="A7" s="20">
        <v>3</v>
      </c>
      <c r="B7" s="184" t="s">
        <v>2</v>
      </c>
      <c r="C7" s="185"/>
      <c r="D7" s="15">
        <f t="shared" si="0"/>
        <v>3300648</v>
      </c>
      <c r="E7" s="18">
        <f t="shared" si="1"/>
        <v>25700211.931499243</v>
      </c>
      <c r="F7" s="22">
        <f t="shared" si="2"/>
        <v>7.7864140409699072</v>
      </c>
    </row>
    <row r="8" spans="1:6" ht="14.25" customHeight="1" x14ac:dyDescent="0.2">
      <c r="A8" s="20">
        <v>4</v>
      </c>
      <c r="B8" s="184" t="s">
        <v>3</v>
      </c>
      <c r="C8" s="185"/>
      <c r="D8" s="15">
        <f t="shared" si="0"/>
        <v>2600114</v>
      </c>
      <c r="E8" s="18">
        <f t="shared" si="1"/>
        <v>20826845.995898448</v>
      </c>
      <c r="F8" s="22">
        <f t="shared" si="2"/>
        <v>8.0099741764778187</v>
      </c>
    </row>
    <row r="9" spans="1:6" x14ac:dyDescent="0.2">
      <c r="A9" s="20">
        <v>5</v>
      </c>
      <c r="B9" s="184" t="s">
        <v>4</v>
      </c>
      <c r="C9" s="185"/>
      <c r="D9" s="15">
        <f t="shared" si="0"/>
        <v>16800</v>
      </c>
      <c r="E9" s="18">
        <f t="shared" si="1"/>
        <v>251753.96750492245</v>
      </c>
      <c r="F9" s="22">
        <f t="shared" si="2"/>
        <v>14.985355208626336</v>
      </c>
    </row>
    <row r="10" spans="1:6" x14ac:dyDescent="0.2">
      <c r="A10" s="20">
        <v>6</v>
      </c>
      <c r="B10" s="184" t="s">
        <v>5</v>
      </c>
      <c r="C10" s="185"/>
      <c r="D10" s="15">
        <f t="shared" si="0"/>
        <v>1137446</v>
      </c>
      <c r="E10" s="18">
        <f t="shared" si="1"/>
        <v>10487151.577178812</v>
      </c>
      <c r="F10" s="22">
        <f t="shared" si="2"/>
        <v>9.2199116065103848</v>
      </c>
    </row>
    <row r="11" spans="1:6" x14ac:dyDescent="0.2">
      <c r="A11" s="20">
        <v>7</v>
      </c>
      <c r="B11" s="184" t="s">
        <v>6</v>
      </c>
      <c r="C11" s="185"/>
      <c r="D11" s="15">
        <f t="shared" si="0"/>
        <v>1747236</v>
      </c>
      <c r="E11" s="18">
        <f t="shared" si="1"/>
        <v>14577064.741156589</v>
      </c>
      <c r="F11" s="22">
        <f t="shared" si="2"/>
        <v>8.3429283400505643</v>
      </c>
    </row>
    <row r="12" spans="1:6" x14ac:dyDescent="0.2">
      <c r="A12" s="20">
        <v>8</v>
      </c>
      <c r="B12" s="184" t="s">
        <v>7</v>
      </c>
      <c r="C12" s="185"/>
      <c r="D12" s="15">
        <f t="shared" si="0"/>
        <v>130276</v>
      </c>
      <c r="E12" s="18">
        <f t="shared" si="1"/>
        <v>2291035.3639685283</v>
      </c>
      <c r="F12" s="22">
        <f t="shared" si="2"/>
        <v>17.586012496304217</v>
      </c>
    </row>
    <row r="13" spans="1:6" x14ac:dyDescent="0.2">
      <c r="A13" s="20">
        <v>9</v>
      </c>
      <c r="B13" s="184" t="s">
        <v>8</v>
      </c>
      <c r="C13" s="185"/>
      <c r="D13" s="15">
        <f t="shared" si="0"/>
        <v>659100</v>
      </c>
      <c r="E13" s="18">
        <f t="shared" si="1"/>
        <v>4780765.1358627612</v>
      </c>
      <c r="F13" s="22">
        <f t="shared" si="2"/>
        <v>7.2534746409691415</v>
      </c>
    </row>
    <row r="14" spans="1:6" x14ac:dyDescent="0.2">
      <c r="A14" s="20">
        <v>10</v>
      </c>
      <c r="B14" s="184" t="s">
        <v>9</v>
      </c>
      <c r="C14" s="185"/>
      <c r="D14" s="15">
        <f t="shared" si="0"/>
        <v>21792</v>
      </c>
      <c r="E14" s="18">
        <f t="shared" si="1"/>
        <v>295270.36356352799</v>
      </c>
      <c r="F14" s="22">
        <f t="shared" si="2"/>
        <v>13.549484377915197</v>
      </c>
    </row>
    <row r="15" spans="1:6" x14ac:dyDescent="0.2">
      <c r="A15" s="20">
        <v>11</v>
      </c>
      <c r="B15" s="184" t="s">
        <v>10</v>
      </c>
      <c r="C15" s="185"/>
      <c r="D15" s="15">
        <f t="shared" si="0"/>
        <v>682431</v>
      </c>
      <c r="E15" s="18">
        <f t="shared" si="1"/>
        <v>3888421.9069852224</v>
      </c>
      <c r="F15" s="22">
        <f t="shared" si="2"/>
        <v>5.6978975266147378</v>
      </c>
    </row>
    <row r="16" spans="1:6" ht="14.25" customHeight="1" x14ac:dyDescent="0.2">
      <c r="A16" s="20">
        <v>12</v>
      </c>
      <c r="B16" s="184" t="s">
        <v>11</v>
      </c>
      <c r="C16" s="185"/>
      <c r="D16" s="15">
        <f t="shared" si="0"/>
        <v>4950462</v>
      </c>
      <c r="E16" s="18">
        <f t="shared" si="1"/>
        <v>41232098.021449611</v>
      </c>
      <c r="F16" s="22">
        <f t="shared" si="2"/>
        <v>8.3289394043322851</v>
      </c>
    </row>
    <row r="17" spans="1:6" x14ac:dyDescent="0.2">
      <c r="A17" s="20">
        <v>13</v>
      </c>
      <c r="B17" s="184" t="s">
        <v>12</v>
      </c>
      <c r="C17" s="185"/>
      <c r="D17" s="15">
        <f t="shared" si="0"/>
        <v>615145</v>
      </c>
      <c r="E17" s="18">
        <f t="shared" si="1"/>
        <v>4574066.3598699719</v>
      </c>
      <c r="F17" s="22">
        <f t="shared" si="2"/>
        <v>7.4357531311641516</v>
      </c>
    </row>
    <row r="18" spans="1:6" ht="14.25" customHeight="1" x14ac:dyDescent="0.2">
      <c r="A18" s="20">
        <v>14</v>
      </c>
      <c r="B18" s="184" t="s">
        <v>469</v>
      </c>
      <c r="C18" s="185"/>
      <c r="D18" s="15">
        <f t="shared" si="0"/>
        <v>523369</v>
      </c>
      <c r="E18" s="18">
        <f t="shared" si="1"/>
        <v>6134681.4631002238</v>
      </c>
      <c r="F18" s="22">
        <f t="shared" si="2"/>
        <v>11.721522411721413</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1048241</v>
      </c>
      <c r="E20" s="18">
        <f t="shared" si="1"/>
        <v>8330628.2131147273</v>
      </c>
      <c r="F20" s="22">
        <f t="shared" si="2"/>
        <v>7.9472451593810272</v>
      </c>
    </row>
    <row r="21" spans="1:6" x14ac:dyDescent="0.2">
      <c r="A21" s="20">
        <v>17</v>
      </c>
      <c r="B21" s="184" t="s">
        <v>15</v>
      </c>
      <c r="C21" s="185"/>
      <c r="D21" s="15">
        <f t="shared" si="0"/>
        <v>21790</v>
      </c>
      <c r="E21" s="18">
        <f t="shared" si="1"/>
        <v>397308.30130549171</v>
      </c>
      <c r="F21" s="22">
        <f t="shared" si="2"/>
        <v>18.233515433937207</v>
      </c>
    </row>
    <row r="22" spans="1:6" x14ac:dyDescent="0.2">
      <c r="A22" s="20">
        <v>18</v>
      </c>
      <c r="B22" s="184" t="s">
        <v>16</v>
      </c>
      <c r="C22" s="185"/>
      <c r="D22" s="15">
        <f t="shared" si="0"/>
        <v>32612</v>
      </c>
      <c r="E22" s="18">
        <f t="shared" si="1"/>
        <v>432805.17953991255</v>
      </c>
      <c r="F22" s="22">
        <f t="shared" si="2"/>
        <v>13.271347342693259</v>
      </c>
    </row>
    <row r="23" spans="1:6" x14ac:dyDescent="0.2">
      <c r="A23" s="20">
        <v>19</v>
      </c>
      <c r="B23" s="184" t="s">
        <v>17</v>
      </c>
      <c r="C23" s="185"/>
      <c r="D23" s="15">
        <f t="shared" si="0"/>
        <v>2755902</v>
      </c>
      <c r="E23" s="18">
        <f t="shared" si="1"/>
        <v>20456428.523378022</v>
      </c>
      <c r="F23" s="22">
        <f t="shared" si="2"/>
        <v>7.4227706657849311</v>
      </c>
    </row>
    <row r="24" spans="1:6" x14ac:dyDescent="0.2">
      <c r="A24" s="20">
        <v>20</v>
      </c>
      <c r="B24" s="184" t="s">
        <v>18</v>
      </c>
      <c r="C24" s="185"/>
      <c r="D24" s="15">
        <f t="shared" si="0"/>
        <v>434183</v>
      </c>
      <c r="E24" s="18">
        <f t="shared" si="1"/>
        <v>4459007.1904874854</v>
      </c>
      <c r="F24" s="22">
        <f t="shared" si="2"/>
        <v>10.269879729255834</v>
      </c>
    </row>
    <row r="25" spans="1:6" ht="14.25" customHeight="1" x14ac:dyDescent="0.2">
      <c r="A25" s="20">
        <v>21</v>
      </c>
      <c r="B25" s="184" t="s">
        <v>466</v>
      </c>
      <c r="C25" s="185"/>
      <c r="D25" s="15">
        <f t="shared" si="0"/>
        <v>129117</v>
      </c>
      <c r="E25" s="18">
        <f t="shared" si="1"/>
        <v>723508.78543649241</v>
      </c>
      <c r="F25" s="22">
        <f t="shared" si="2"/>
        <v>5.6035129799832122</v>
      </c>
    </row>
    <row r="26" spans="1:6" x14ac:dyDescent="0.2">
      <c r="A26" s="20">
        <v>22</v>
      </c>
      <c r="B26" s="184" t="s">
        <v>19</v>
      </c>
      <c r="C26" s="185"/>
      <c r="D26" s="15">
        <f t="shared" si="0"/>
        <v>157669</v>
      </c>
      <c r="E26" s="18">
        <f t="shared" si="1"/>
        <v>1124268.5811627153</v>
      </c>
      <c r="F26" s="22">
        <f t="shared" si="2"/>
        <v>7.1305620075139391</v>
      </c>
    </row>
    <row r="27" spans="1:6" x14ac:dyDescent="0.2">
      <c r="A27" s="20">
        <v>23</v>
      </c>
      <c r="B27" s="184" t="s">
        <v>20</v>
      </c>
      <c r="C27" s="185"/>
      <c r="D27" s="15">
        <f t="shared" si="0"/>
        <v>627856</v>
      </c>
      <c r="E27" s="18">
        <f t="shared" si="1"/>
        <v>5733205.5408196785</v>
      </c>
      <c r="F27" s="22">
        <f t="shared" si="2"/>
        <v>9.1314020106834661</v>
      </c>
    </row>
    <row r="28" spans="1:6" x14ac:dyDescent="0.2">
      <c r="A28" s="20">
        <v>24</v>
      </c>
      <c r="B28" s="184" t="s">
        <v>21</v>
      </c>
      <c r="C28" s="185"/>
      <c r="D28" s="15">
        <f t="shared" si="0"/>
        <v>1008689</v>
      </c>
      <c r="E28" s="18">
        <f t="shared" si="1"/>
        <v>7383115.9981888533</v>
      </c>
      <c r="F28" s="22">
        <f t="shared" si="2"/>
        <v>7.3195167174310942</v>
      </c>
    </row>
    <row r="29" spans="1:6" x14ac:dyDescent="0.2">
      <c r="A29" s="20">
        <v>25</v>
      </c>
      <c r="B29" s="184" t="s">
        <v>22</v>
      </c>
      <c r="C29" s="185"/>
      <c r="D29" s="15">
        <f t="shared" si="0"/>
        <v>4591048</v>
      </c>
      <c r="E29" s="18">
        <f t="shared" si="1"/>
        <v>31981848.816520192</v>
      </c>
      <c r="F29" s="22">
        <f t="shared" si="2"/>
        <v>6.9661325293310359</v>
      </c>
    </row>
    <row r="30" spans="1:6" x14ac:dyDescent="0.2">
      <c r="A30" s="20">
        <v>26</v>
      </c>
      <c r="B30" s="184" t="s">
        <v>23</v>
      </c>
      <c r="C30" s="185"/>
      <c r="D30" s="15">
        <f t="shared" si="0"/>
        <v>1647002</v>
      </c>
      <c r="E30" s="18">
        <f t="shared" si="1"/>
        <v>14772233.555151328</v>
      </c>
      <c r="F30" s="22">
        <f t="shared" si="2"/>
        <v>8.9691655232667156</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29061694</v>
      </c>
      <c r="E33" s="32">
        <f>SUM(E5:E32)</f>
        <v>233857119</v>
      </c>
      <c r="F33" s="33">
        <f t="shared" si="2"/>
        <v>8.0469197356492703</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IF(F3="1",SUMIF(Data!A:A,'14'!$A$2,Data!CU:CU),0)</f>
        <v>89893</v>
      </c>
      <c r="E36" s="16">
        <f>IF(F3="1",SUMIF(Data!$A:$A,'14'!$A$2,Data!IO:IO),0)</f>
        <v>620297</v>
      </c>
      <c r="F36" s="21">
        <f t="shared" ref="F36:F64" si="3">IFERROR(E36/D36,"")</f>
        <v>6.9003926890859129</v>
      </c>
    </row>
    <row r="37" spans="1:6" x14ac:dyDescent="0.2">
      <c r="A37" s="20">
        <v>2</v>
      </c>
      <c r="B37" s="184" t="s">
        <v>1</v>
      </c>
      <c r="C37" s="185"/>
      <c r="D37" s="15">
        <f>IF(F3="1",SUMIF(Data!A:A,'14'!$A$2,Data!CV:CV),0)</f>
        <v>132873</v>
      </c>
      <c r="E37" s="18">
        <f>IF(F3="1",SUMIF(Data!$A:$A,'14'!$A$2,Data!IP:IP),0)</f>
        <v>326567</v>
      </c>
      <c r="F37" s="22">
        <f t="shared" si="3"/>
        <v>2.457737839892228</v>
      </c>
    </row>
    <row r="38" spans="1:6" ht="14.25" customHeight="1" x14ac:dyDescent="0.2">
      <c r="A38" s="20">
        <v>3</v>
      </c>
      <c r="B38" s="184" t="s">
        <v>2</v>
      </c>
      <c r="C38" s="185"/>
      <c r="D38" s="15">
        <f>IF(F3="1",SUMIF(Data!A:A,'14'!$A$2,Data!CW:CW),0)</f>
        <v>3300648</v>
      </c>
      <c r="E38" s="18">
        <f>IF(F3="1",SUMIF(Data!$A:$A,'14'!$A$2,Data!IQ:IQ),0)</f>
        <v>5444428</v>
      </c>
      <c r="F38" s="22">
        <f t="shared" si="3"/>
        <v>1.6495027643056757</v>
      </c>
    </row>
    <row r="39" spans="1:6" ht="14.25" customHeight="1" x14ac:dyDescent="0.2">
      <c r="A39" s="20">
        <v>4</v>
      </c>
      <c r="B39" s="184" t="s">
        <v>3</v>
      </c>
      <c r="C39" s="185"/>
      <c r="D39" s="15">
        <f>IF(F3="1",SUMIF(Data!A:A,'14'!$A$2,Data!CX:CX),0)</f>
        <v>2600114</v>
      </c>
      <c r="E39" s="18">
        <f>IF(F3="1",SUMIF(Data!$A:$A,'14'!$A$2,Data!IR:IR),0)</f>
        <v>4809044</v>
      </c>
      <c r="F39" s="22">
        <f t="shared" si="3"/>
        <v>1.8495512119853206</v>
      </c>
    </row>
    <row r="40" spans="1:6" x14ac:dyDescent="0.2">
      <c r="A40" s="20">
        <v>5</v>
      </c>
      <c r="B40" s="184" t="s">
        <v>4</v>
      </c>
      <c r="C40" s="185"/>
      <c r="D40" s="15">
        <f>IF(F3="1",SUMIF(Data!A:A,'14'!$A$2,Data!CY:CY),0)</f>
        <v>16800</v>
      </c>
      <c r="E40" s="18">
        <f>IF(F3="1",SUMIF(Data!$A:$A,'14'!$A$2,Data!IS:IS),0)</f>
        <v>34464</v>
      </c>
      <c r="F40" s="22">
        <f t="shared" si="3"/>
        <v>2.0514285714285716</v>
      </c>
    </row>
    <row r="41" spans="1:6" x14ac:dyDescent="0.2">
      <c r="A41" s="20">
        <v>6</v>
      </c>
      <c r="B41" s="184" t="s">
        <v>5</v>
      </c>
      <c r="C41" s="185"/>
      <c r="D41" s="15">
        <f>IF(F3="1",SUMIF(Data!A:A,'14'!$A$2,Data!CZ:CZ),0)</f>
        <v>1137446</v>
      </c>
      <c r="E41" s="18">
        <f>IF(F3="1",SUMIF(Data!$A:$A,'14'!$A$2,Data!IT:IT),0)</f>
        <v>4591931</v>
      </c>
      <c r="F41" s="22">
        <f t="shared" si="3"/>
        <v>4.0370540667425088</v>
      </c>
    </row>
    <row r="42" spans="1:6" x14ac:dyDescent="0.2">
      <c r="A42" s="20">
        <v>7</v>
      </c>
      <c r="B42" s="184" t="s">
        <v>6</v>
      </c>
      <c r="C42" s="185"/>
      <c r="D42" s="15">
        <f>IF(F3="1",SUMIF(Data!A:A,'14'!$A$2,Data!DA:DA),0)</f>
        <v>1747236</v>
      </c>
      <c r="E42" s="18">
        <f>IF(F3="1",SUMIF(Data!$A:$A,'14'!$A$2,Data!IU:IU),0)</f>
        <v>2543117</v>
      </c>
      <c r="F42" s="22">
        <f t="shared" si="3"/>
        <v>1.4555085861326118</v>
      </c>
    </row>
    <row r="43" spans="1:6" x14ac:dyDescent="0.2">
      <c r="A43" s="20">
        <v>8</v>
      </c>
      <c r="B43" s="184" t="s">
        <v>7</v>
      </c>
      <c r="C43" s="185"/>
      <c r="D43" s="15">
        <f>IF(F3="1",SUMIF(Data!A:A,'14'!$A$2,Data!DB:DB),0)</f>
        <v>130276</v>
      </c>
      <c r="E43" s="18">
        <f>IF(F3="1",SUMIF(Data!$A:$A,'14'!$A$2,Data!IV:IV),0)</f>
        <v>1010928</v>
      </c>
      <c r="F43" s="22">
        <f t="shared" si="3"/>
        <v>7.7598943780895944</v>
      </c>
    </row>
    <row r="44" spans="1:6" x14ac:dyDescent="0.2">
      <c r="A44" s="20">
        <v>9</v>
      </c>
      <c r="B44" s="184" t="s">
        <v>8</v>
      </c>
      <c r="C44" s="185"/>
      <c r="D44" s="15">
        <f>IF(F3="1",SUMIF(Data!A:A,'14'!$A$2,Data!DC:DC),0)</f>
        <v>659100</v>
      </c>
      <c r="E44" s="18">
        <f>IF(F3="1",SUMIF(Data!$A:$A,'14'!$A$2,Data!IW:IW),0)</f>
        <v>1003790</v>
      </c>
      <c r="F44" s="22">
        <f t="shared" si="3"/>
        <v>1.5229707176452738</v>
      </c>
    </row>
    <row r="45" spans="1:6" x14ac:dyDescent="0.2">
      <c r="A45" s="20">
        <v>10</v>
      </c>
      <c r="B45" s="184" t="s">
        <v>9</v>
      </c>
      <c r="C45" s="185"/>
      <c r="D45" s="15">
        <f>IF(F3="1",SUMIF(Data!A:A,'14'!$A$2,Data!DD:DD),0)</f>
        <v>21792</v>
      </c>
      <c r="E45" s="18">
        <f>IF(F3="1",SUMIF(Data!$A:$A,'14'!$A$2,Data!IX:IX),0)</f>
        <v>74959</v>
      </c>
      <c r="F45" s="22">
        <f t="shared" si="3"/>
        <v>3.4397485315712188</v>
      </c>
    </row>
    <row r="46" spans="1:6" x14ac:dyDescent="0.2">
      <c r="A46" s="20">
        <v>11</v>
      </c>
      <c r="B46" s="184" t="s">
        <v>10</v>
      </c>
      <c r="C46" s="185"/>
      <c r="D46" s="15">
        <f>IF(F3="1",SUMIF(Data!A:A,'14'!$A$2,Data!DE:DE),0)</f>
        <v>682431</v>
      </c>
      <c r="E46" s="18">
        <f>IF(F3="1",SUMIF(Data!$A:$A,'14'!$A$2,Data!IY:IY),0)</f>
        <v>795279</v>
      </c>
      <c r="F46" s="22">
        <f t="shared" si="3"/>
        <v>1.1653617728385728</v>
      </c>
    </row>
    <row r="47" spans="1:6" ht="14.25" customHeight="1" x14ac:dyDescent="0.2">
      <c r="A47" s="20">
        <v>12</v>
      </c>
      <c r="B47" s="184" t="s">
        <v>11</v>
      </c>
      <c r="C47" s="185"/>
      <c r="D47" s="15">
        <f>IF(F3="1",SUMIF(Data!A:A,'14'!$A$2,Data!DF:DF),0)</f>
        <v>4950462</v>
      </c>
      <c r="E47" s="18">
        <f>IF(F3="1",SUMIF(Data!$A:$A,'14'!$A$2,Data!IZ:IZ),0)</f>
        <v>6801152</v>
      </c>
      <c r="F47" s="22">
        <f t="shared" si="3"/>
        <v>1.3738418757683626</v>
      </c>
    </row>
    <row r="48" spans="1:6" x14ac:dyDescent="0.2">
      <c r="A48" s="20">
        <v>13</v>
      </c>
      <c r="B48" s="184" t="s">
        <v>12</v>
      </c>
      <c r="C48" s="185"/>
      <c r="D48" s="15">
        <f>IF(F3="1",SUMIF(Data!A:A,'14'!$A$2,Data!DG:DG),0)</f>
        <v>615145</v>
      </c>
      <c r="E48" s="18">
        <f>IF(F3="1",SUMIF(Data!$A:$A,'14'!$A$2,Data!JA:JA),0)</f>
        <v>553933</v>
      </c>
      <c r="F48" s="22">
        <f t="shared" si="3"/>
        <v>0.90049175397670467</v>
      </c>
    </row>
    <row r="49" spans="1:6" ht="14.25" customHeight="1" x14ac:dyDescent="0.2">
      <c r="A49" s="20">
        <v>14</v>
      </c>
      <c r="B49" s="184" t="s">
        <v>469</v>
      </c>
      <c r="C49" s="185"/>
      <c r="D49" s="15">
        <f>IF(F3="1",SUMIF(Data!A:A,'14'!$A$2,Data!DH:DH),0)</f>
        <v>523369</v>
      </c>
      <c r="E49" s="18">
        <f>IF(F3="1",SUMIF(Data!$A:$A,'14'!$A$2,Data!JB:JB),0)</f>
        <v>1686374</v>
      </c>
      <c r="F49" s="22">
        <f t="shared" si="3"/>
        <v>3.22215110180389</v>
      </c>
    </row>
    <row r="50" spans="1:6" x14ac:dyDescent="0.2">
      <c r="A50" s="20">
        <v>15</v>
      </c>
      <c r="B50" s="184" t="s">
        <v>13</v>
      </c>
      <c r="C50" s="185"/>
      <c r="D50" s="15">
        <f>IF(F3="1",SUMIF(Data!A:A,'14'!$A$2,Data!DI:DI),0)</f>
        <v>0</v>
      </c>
      <c r="E50" s="18">
        <f>IF(F3="1",SUMIF(Data!$A:$A,'14'!$A$2,Data!JC:JC),0)</f>
        <v>0</v>
      </c>
      <c r="F50" s="22" t="str">
        <f t="shared" si="3"/>
        <v/>
      </c>
    </row>
    <row r="51" spans="1:6" x14ac:dyDescent="0.2">
      <c r="A51" s="20">
        <v>16</v>
      </c>
      <c r="B51" s="184" t="s">
        <v>14</v>
      </c>
      <c r="C51" s="185"/>
      <c r="D51" s="15">
        <f>IF(F3="1",SUMIF(Data!A:A,'14'!$A$2,Data!DJ:DJ),0)</f>
        <v>1048241</v>
      </c>
      <c r="E51" s="18">
        <f>IF(F3="1",SUMIF(Data!$A:$A,'14'!$A$2,Data!JD:JD),0)</f>
        <v>2532822</v>
      </c>
      <c r="F51" s="22">
        <f t="shared" si="3"/>
        <v>2.4162592380950563</v>
      </c>
    </row>
    <row r="52" spans="1:6" x14ac:dyDescent="0.2">
      <c r="A52" s="20">
        <v>17</v>
      </c>
      <c r="B52" s="184" t="s">
        <v>15</v>
      </c>
      <c r="C52" s="185"/>
      <c r="D52" s="15">
        <f>IF(F3="1",SUMIF(Data!A:A,'14'!$A$2,Data!DK:DK),0)</f>
        <v>21790</v>
      </c>
      <c r="E52" s="18">
        <f>IF(F3="1",SUMIF(Data!$A:$A,'14'!$A$2,Data!JE:JE),0)</f>
        <v>64416</v>
      </c>
      <c r="F52" s="22">
        <f t="shared" si="3"/>
        <v>2.9562184488297385</v>
      </c>
    </row>
    <row r="53" spans="1:6" x14ac:dyDescent="0.2">
      <c r="A53" s="20">
        <v>18</v>
      </c>
      <c r="B53" s="184" t="s">
        <v>16</v>
      </c>
      <c r="C53" s="185"/>
      <c r="D53" s="15">
        <f>IF(F3="1",SUMIF(Data!A:A,'14'!$A$2,Data!DL:DL),0)</f>
        <v>32612</v>
      </c>
      <c r="E53" s="18">
        <f>IF(F3="1",SUMIF(Data!$A:$A,'14'!$A$2,Data!JF:JF),0)</f>
        <v>65348</v>
      </c>
      <c r="F53" s="22">
        <f t="shared" si="3"/>
        <v>2.0038022813688214</v>
      </c>
    </row>
    <row r="54" spans="1:6" x14ac:dyDescent="0.2">
      <c r="A54" s="20">
        <v>19</v>
      </c>
      <c r="B54" s="184" t="s">
        <v>17</v>
      </c>
      <c r="C54" s="185"/>
      <c r="D54" s="15">
        <f>IF(F3="1",SUMIF(Data!A:A,'14'!$A$2,Data!DM:DM),0)</f>
        <v>2755902</v>
      </c>
      <c r="E54" s="18">
        <f>IF(F3="1",SUMIF(Data!$A:$A,'14'!$A$2,Data!JG:JG),0)</f>
        <v>2722776</v>
      </c>
      <c r="F54" s="22">
        <f t="shared" si="3"/>
        <v>0.98797997896877321</v>
      </c>
    </row>
    <row r="55" spans="1:6" x14ac:dyDescent="0.2">
      <c r="A55" s="20">
        <v>20</v>
      </c>
      <c r="B55" s="184" t="s">
        <v>18</v>
      </c>
      <c r="C55" s="185"/>
      <c r="D55" s="15">
        <f>IF(F3="1",SUMIF(Data!A:A,'14'!$A$2,Data!DN:DN),0)</f>
        <v>434183</v>
      </c>
      <c r="E55" s="18">
        <f>IF(F3="1",SUMIF(Data!$A:$A,'14'!$A$2,Data!JH:JH),0)</f>
        <v>947701</v>
      </c>
      <c r="F55" s="22">
        <f t="shared" si="3"/>
        <v>2.1827224925895301</v>
      </c>
    </row>
    <row r="56" spans="1:6" ht="14.25" customHeight="1" x14ac:dyDescent="0.2">
      <c r="A56" s="20">
        <v>21</v>
      </c>
      <c r="B56" s="184" t="s">
        <v>466</v>
      </c>
      <c r="C56" s="185"/>
      <c r="D56" s="15">
        <f>IF(F3="1",SUMIF(Data!A:A,'14'!$A$2,Data!DO:DO),0)</f>
        <v>129117</v>
      </c>
      <c r="E56" s="18">
        <f>IF(F3="1",SUMIF(Data!$A:$A,'14'!$A$2,Data!JI:JI),0)</f>
        <v>148042</v>
      </c>
      <c r="F56" s="22">
        <f t="shared" si="3"/>
        <v>1.1465724885181656</v>
      </c>
    </row>
    <row r="57" spans="1:6" x14ac:dyDescent="0.2">
      <c r="A57" s="20">
        <v>22</v>
      </c>
      <c r="B57" s="184" t="s">
        <v>19</v>
      </c>
      <c r="C57" s="185"/>
      <c r="D57" s="15">
        <f>IF(F3="1",SUMIF(Data!A:A,'14'!$A$2,Data!DP:DP),0)</f>
        <v>157669</v>
      </c>
      <c r="E57" s="18">
        <f>IF(F3="1",SUMIF(Data!$A:$A,'14'!$A$2,Data!JJ:JJ),0)</f>
        <v>159783</v>
      </c>
      <c r="F57" s="22">
        <f t="shared" si="3"/>
        <v>1.0134078354020131</v>
      </c>
    </row>
    <row r="58" spans="1:6" x14ac:dyDescent="0.2">
      <c r="A58" s="20">
        <v>23</v>
      </c>
      <c r="B58" s="184" t="s">
        <v>20</v>
      </c>
      <c r="C58" s="185"/>
      <c r="D58" s="15">
        <f>IF(F3="1",SUMIF(Data!A:A,'14'!$A$2,Data!DQ:DQ),0)</f>
        <v>627856</v>
      </c>
      <c r="E58" s="18">
        <f>IF(F3="1",SUMIF(Data!$A:$A,'14'!$A$2,Data!JK:JK),0)</f>
        <v>1334300</v>
      </c>
      <c r="F58" s="22">
        <f t="shared" si="3"/>
        <v>2.1251688285211894</v>
      </c>
    </row>
    <row r="59" spans="1:6" x14ac:dyDescent="0.2">
      <c r="A59" s="20">
        <v>24</v>
      </c>
      <c r="B59" s="184" t="s">
        <v>21</v>
      </c>
      <c r="C59" s="185"/>
      <c r="D59" s="15">
        <f>IF(F3="1",SUMIF(Data!A:A,'14'!$A$2,Data!DR:DR),0)</f>
        <v>1008689</v>
      </c>
      <c r="E59" s="18">
        <f>IF(F3="1",SUMIF(Data!$A:$A,'14'!$A$2,Data!JL:JL),0)</f>
        <v>2141397</v>
      </c>
      <c r="F59" s="22">
        <f t="shared" si="3"/>
        <v>2.1229506815282013</v>
      </c>
    </row>
    <row r="60" spans="1:6" x14ac:dyDescent="0.2">
      <c r="A60" s="20">
        <v>25</v>
      </c>
      <c r="B60" s="184" t="s">
        <v>22</v>
      </c>
      <c r="C60" s="185"/>
      <c r="D60" s="15">
        <f>IF(F3="1",SUMIF(Data!A:A,'14'!$A$2,Data!DS:DS),0)</f>
        <v>4591048</v>
      </c>
      <c r="E60" s="18">
        <f>IF(F3="1",SUMIF(Data!$A:$A,'14'!$A$2,Data!JM:JM),0)</f>
        <v>3558894</v>
      </c>
      <c r="F60" s="22">
        <f t="shared" si="3"/>
        <v>0.77518117867641545</v>
      </c>
    </row>
    <row r="61" spans="1:6" x14ac:dyDescent="0.2">
      <c r="A61" s="20">
        <v>26</v>
      </c>
      <c r="B61" s="184" t="s">
        <v>23</v>
      </c>
      <c r="C61" s="185"/>
      <c r="D61" s="15">
        <f>IF(F3="1",SUMIF(Data!A:A,'14'!$A$2,Data!DT:DT),0)</f>
        <v>1647002</v>
      </c>
      <c r="E61" s="18">
        <f>IF(F3="1",SUMIF(Data!$A:$A,'14'!$A$2,Data!JN:JN),0)</f>
        <v>3172092</v>
      </c>
      <c r="F61" s="22">
        <f t="shared" si="3"/>
        <v>1.925979446290897</v>
      </c>
    </row>
    <row r="62" spans="1:6" x14ac:dyDescent="0.2">
      <c r="A62" s="20">
        <v>28</v>
      </c>
      <c r="B62" s="184" t="s">
        <v>24</v>
      </c>
      <c r="C62" s="185"/>
      <c r="D62" s="15">
        <f>IF(F3="1",SUMIF(Data!A:A,'14'!$A$2,Data!DV:DV),0)</f>
        <v>0</v>
      </c>
      <c r="E62" s="18">
        <f>IF(F3="1",SUMIF(Data!$A:$A,'14'!$A$2,Data!JP:JP),0)</f>
        <v>0</v>
      </c>
      <c r="F62" s="22" t="str">
        <f t="shared" si="3"/>
        <v/>
      </c>
    </row>
    <row r="63" spans="1:6" ht="15.75" customHeight="1" thickBot="1" x14ac:dyDescent="0.25">
      <c r="A63" s="23">
        <v>29</v>
      </c>
      <c r="B63" s="186" t="s">
        <v>25</v>
      </c>
      <c r="C63" s="187"/>
      <c r="D63" s="24">
        <f>IF(F3="1",SUMIF(Data!A:A,'14'!$A$2,Data!DW:DW),0)</f>
        <v>0</v>
      </c>
      <c r="E63" s="25">
        <f>IF(F3="1",SUMIF(Data!$A:$A,'14'!$A$2,Data!JQ:JQ),0)</f>
        <v>0</v>
      </c>
      <c r="F63" s="26" t="str">
        <f t="shared" si="3"/>
        <v/>
      </c>
    </row>
    <row r="64" spans="1:6" x14ac:dyDescent="0.2">
      <c r="B64" s="31" t="s">
        <v>35</v>
      </c>
      <c r="C64" s="31"/>
      <c r="D64" s="61">
        <f>SUM(D36:D63)</f>
        <v>29061694</v>
      </c>
      <c r="E64" s="32">
        <f>SUM(E36:E63)</f>
        <v>47143834</v>
      </c>
      <c r="F64" s="33">
        <f t="shared" si="3"/>
        <v>1.6221984169264188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89893</v>
      </c>
      <c r="E67" s="16">
        <f>IF(F3="1",SUMIF(Data!A:A,'14'!$A$2,Data!DY:DY),0)</f>
        <v>684743</v>
      </c>
      <c r="F67" s="21">
        <f>IFERROR(E67/D67,"")</f>
        <v>7.6173116927903175</v>
      </c>
    </row>
    <row r="68" spans="1:6" x14ac:dyDescent="0.2">
      <c r="A68" s="20">
        <v>2</v>
      </c>
      <c r="B68" s="184" t="s">
        <v>1</v>
      </c>
      <c r="C68" s="185"/>
      <c r="D68" s="15">
        <f t="shared" ref="D68:D94" si="4">D37</f>
        <v>132873</v>
      </c>
      <c r="E68" s="18">
        <f>IF(F3="1",SUMIF(Data!A:A,'14'!$A$2,Data!DZ:DZ),0)</f>
        <v>605171</v>
      </c>
      <c r="F68" s="22">
        <f t="shared" ref="F68:F95" si="5">IFERROR(E68/D68,"")</f>
        <v>4.5545069351937562</v>
      </c>
    </row>
    <row r="69" spans="1:6" ht="14.25" customHeight="1" x14ac:dyDescent="0.2">
      <c r="A69" s="20">
        <v>3</v>
      </c>
      <c r="B69" s="184" t="s">
        <v>2</v>
      </c>
      <c r="C69" s="185"/>
      <c r="D69" s="15">
        <f t="shared" si="4"/>
        <v>3300648</v>
      </c>
      <c r="E69" s="18">
        <f>IF(F3="1",SUMIF(Data!A:A,'14'!$A$2,Data!EA:EA),0)</f>
        <v>8600770</v>
      </c>
      <c r="F69" s="22">
        <f t="shared" si="5"/>
        <v>2.6057822585140857</v>
      </c>
    </row>
    <row r="70" spans="1:6" ht="14.25" customHeight="1" x14ac:dyDescent="0.2">
      <c r="A70" s="20">
        <v>4</v>
      </c>
      <c r="B70" s="184" t="s">
        <v>3</v>
      </c>
      <c r="C70" s="185"/>
      <c r="D70" s="15">
        <f t="shared" si="4"/>
        <v>2600114</v>
      </c>
      <c r="E70" s="18">
        <f>IF(F3="1",SUMIF(Data!A:A,'14'!$A$2,Data!EB:EB),0)</f>
        <v>6836464</v>
      </c>
      <c r="F70" s="22">
        <f t="shared" si="5"/>
        <v>2.6292939463423526</v>
      </c>
    </row>
    <row r="71" spans="1:6" x14ac:dyDescent="0.2">
      <c r="A71" s="20">
        <v>5</v>
      </c>
      <c r="B71" s="184" t="s">
        <v>4</v>
      </c>
      <c r="C71" s="185"/>
      <c r="D71" s="15">
        <f t="shared" si="4"/>
        <v>16800</v>
      </c>
      <c r="E71" s="18">
        <f>IF(F3="1",SUMIF(Data!A:A,'14'!$A$2,Data!EC:EC),0)</f>
        <v>157967</v>
      </c>
      <c r="F71" s="22">
        <f t="shared" si="5"/>
        <v>9.4027976190476199</v>
      </c>
    </row>
    <row r="72" spans="1:6" x14ac:dyDescent="0.2">
      <c r="A72" s="20">
        <v>6</v>
      </c>
      <c r="B72" s="184" t="s">
        <v>5</v>
      </c>
      <c r="C72" s="185"/>
      <c r="D72" s="15">
        <f t="shared" si="4"/>
        <v>1137446</v>
      </c>
      <c r="E72" s="18">
        <f>IF(F3="1",SUMIF(Data!A:A,'14'!$A$2,Data!ED:ED),0)</f>
        <v>1878752</v>
      </c>
      <c r="F72" s="22">
        <f t="shared" si="5"/>
        <v>1.6517285216177295</v>
      </c>
    </row>
    <row r="73" spans="1:6" x14ac:dyDescent="0.2">
      <c r="A73" s="20">
        <v>7</v>
      </c>
      <c r="B73" s="184" t="s">
        <v>6</v>
      </c>
      <c r="C73" s="185"/>
      <c r="D73" s="15">
        <f t="shared" si="4"/>
        <v>1747236</v>
      </c>
      <c r="E73" s="18">
        <f>IF(F3="1",SUMIF(Data!A:A,'14'!$A$2,Data!EE:EE),0)</f>
        <v>5864232</v>
      </c>
      <c r="F73" s="22">
        <f t="shared" si="5"/>
        <v>3.3562907357678071</v>
      </c>
    </row>
    <row r="74" spans="1:6" x14ac:dyDescent="0.2">
      <c r="A74" s="20">
        <v>8</v>
      </c>
      <c r="B74" s="184" t="s">
        <v>7</v>
      </c>
      <c r="C74" s="185"/>
      <c r="D74" s="15">
        <f t="shared" si="4"/>
        <v>130276</v>
      </c>
      <c r="E74" s="18">
        <f>IF(F3="1",SUMIF(Data!A:A,'14'!$A$2,Data!EF:EF),0)</f>
        <v>820086</v>
      </c>
      <c r="F74" s="22">
        <f t="shared" si="5"/>
        <v>6.2949891000644786</v>
      </c>
    </row>
    <row r="75" spans="1:6" x14ac:dyDescent="0.2">
      <c r="A75" s="20">
        <v>9</v>
      </c>
      <c r="B75" s="184" t="s">
        <v>8</v>
      </c>
      <c r="C75" s="185"/>
      <c r="D75" s="15">
        <f t="shared" si="4"/>
        <v>659100</v>
      </c>
      <c r="E75" s="18">
        <f>IF(F3="1",SUMIF(Data!A:A,'14'!$A$2,Data!EG:EG),0)</f>
        <v>1449608</v>
      </c>
      <c r="F75" s="22">
        <f t="shared" si="5"/>
        <v>2.1993749051737219</v>
      </c>
    </row>
    <row r="76" spans="1:6" x14ac:dyDescent="0.2">
      <c r="A76" s="20">
        <v>10</v>
      </c>
      <c r="B76" s="184" t="s">
        <v>9</v>
      </c>
      <c r="C76" s="185"/>
      <c r="D76" s="15">
        <f t="shared" si="4"/>
        <v>21792</v>
      </c>
      <c r="E76" s="18">
        <f>IF(F3="1",SUMIF(Data!A:A,'14'!$A$2,Data!EH:EH),0)</f>
        <v>143361</v>
      </c>
      <c r="F76" s="22">
        <f t="shared" si="5"/>
        <v>6.5786068281938324</v>
      </c>
    </row>
    <row r="77" spans="1:6" x14ac:dyDescent="0.2">
      <c r="A77" s="20">
        <v>11</v>
      </c>
      <c r="B77" s="184" t="s">
        <v>10</v>
      </c>
      <c r="C77" s="185"/>
      <c r="D77" s="15">
        <f t="shared" si="4"/>
        <v>682431</v>
      </c>
      <c r="E77" s="18">
        <f>IF(F3="1",SUMIF(Data!A:A,'14'!$A$2,Data!EI:EI),0)</f>
        <v>683391</v>
      </c>
      <c r="F77" s="22">
        <f t="shared" si="5"/>
        <v>1.0014067356260192</v>
      </c>
    </row>
    <row r="78" spans="1:6" ht="14.25" customHeight="1" x14ac:dyDescent="0.2">
      <c r="A78" s="20">
        <v>12</v>
      </c>
      <c r="B78" s="184" t="s">
        <v>11</v>
      </c>
      <c r="C78" s="185"/>
      <c r="D78" s="15">
        <f t="shared" si="4"/>
        <v>4950462</v>
      </c>
      <c r="E78" s="18">
        <f>IF(F3="1",SUMIF(Data!A:A,'14'!$A$2,Data!EJ:EJ),0)</f>
        <v>16950226</v>
      </c>
      <c r="F78" s="22">
        <f t="shared" si="5"/>
        <v>3.4239685104137756</v>
      </c>
    </row>
    <row r="79" spans="1:6" x14ac:dyDescent="0.2">
      <c r="A79" s="20">
        <v>13</v>
      </c>
      <c r="B79" s="184" t="s">
        <v>12</v>
      </c>
      <c r="C79" s="185"/>
      <c r="D79" s="15">
        <f t="shared" si="4"/>
        <v>615145</v>
      </c>
      <c r="E79" s="18">
        <f>IF(F3="1",SUMIF(Data!A:A,'14'!$A$2,Data!EK:EK),0)</f>
        <v>1847977</v>
      </c>
      <c r="F79" s="22">
        <f t="shared" si="5"/>
        <v>3.0041323590373001</v>
      </c>
    </row>
    <row r="80" spans="1:6" ht="14.25" customHeight="1" x14ac:dyDescent="0.2">
      <c r="A80" s="20">
        <v>14</v>
      </c>
      <c r="B80" s="184" t="s">
        <v>469</v>
      </c>
      <c r="C80" s="185"/>
      <c r="D80" s="15">
        <f t="shared" si="4"/>
        <v>523369</v>
      </c>
      <c r="E80" s="18">
        <f>IF(F3="1",SUMIF(Data!A:A,'14'!$A$2,Data!EL:EL),0)</f>
        <v>2600224</v>
      </c>
      <c r="F80" s="22">
        <f t="shared" si="5"/>
        <v>4.9682422917673765</v>
      </c>
    </row>
    <row r="81" spans="1:6" x14ac:dyDescent="0.2">
      <c r="A81" s="20">
        <v>15</v>
      </c>
      <c r="B81" s="184" t="s">
        <v>13</v>
      </c>
      <c r="C81" s="185"/>
      <c r="D81" s="15">
        <f t="shared" si="4"/>
        <v>0</v>
      </c>
      <c r="E81" s="18">
        <f>IF(F3="1",SUMIF(Data!A:A,'14'!$A$2,Data!EM:EM),0)</f>
        <v>0</v>
      </c>
      <c r="F81" s="22" t="str">
        <f t="shared" si="5"/>
        <v/>
      </c>
    </row>
    <row r="82" spans="1:6" x14ac:dyDescent="0.2">
      <c r="A82" s="20">
        <v>16</v>
      </c>
      <c r="B82" s="184" t="s">
        <v>14</v>
      </c>
      <c r="C82" s="185"/>
      <c r="D82" s="15">
        <f t="shared" si="4"/>
        <v>1048241</v>
      </c>
      <c r="E82" s="18">
        <f>IF(F3="1",SUMIF(Data!A:A,'14'!$A$2,Data!EN:EN),0)</f>
        <v>2096332</v>
      </c>
      <c r="F82" s="22">
        <f t="shared" si="5"/>
        <v>1.9998569031358246</v>
      </c>
    </row>
    <row r="83" spans="1:6" x14ac:dyDescent="0.2">
      <c r="A83" s="20">
        <v>17</v>
      </c>
      <c r="B83" s="184" t="s">
        <v>15</v>
      </c>
      <c r="C83" s="185"/>
      <c r="D83" s="15">
        <f t="shared" si="4"/>
        <v>21790</v>
      </c>
      <c r="E83" s="18">
        <f>IF(F3="1",SUMIF(Data!A:A,'14'!$A$2,Data!EO:EO),0)</f>
        <v>255949</v>
      </c>
      <c r="F83" s="22">
        <f t="shared" si="5"/>
        <v>11.746167966957319</v>
      </c>
    </row>
    <row r="84" spans="1:6" x14ac:dyDescent="0.2">
      <c r="A84" s="20">
        <v>18</v>
      </c>
      <c r="B84" s="184" t="s">
        <v>16</v>
      </c>
      <c r="C84" s="185"/>
      <c r="D84" s="15">
        <f t="shared" si="4"/>
        <v>32612</v>
      </c>
      <c r="E84" s="18">
        <f>IF(F3="1",SUMIF(Data!A:A,'14'!$A$2,Data!EP:EP),0)</f>
        <v>252300</v>
      </c>
      <c r="F84" s="22">
        <f t="shared" si="5"/>
        <v>7.7364160431742919</v>
      </c>
    </row>
    <row r="85" spans="1:6" x14ac:dyDescent="0.2">
      <c r="A85" s="20">
        <v>19</v>
      </c>
      <c r="B85" s="184" t="s">
        <v>17</v>
      </c>
      <c r="C85" s="185"/>
      <c r="D85" s="15">
        <f t="shared" si="4"/>
        <v>2755902</v>
      </c>
      <c r="E85" s="18">
        <f>IF(F3="1",SUMIF(Data!A:A,'14'!$A$2,Data!EQ:EQ),0)</f>
        <v>8002207</v>
      </c>
      <c r="F85" s="22">
        <f t="shared" si="5"/>
        <v>2.9036616686660119</v>
      </c>
    </row>
    <row r="86" spans="1:6" x14ac:dyDescent="0.2">
      <c r="A86" s="20">
        <v>20</v>
      </c>
      <c r="B86" s="184" t="s">
        <v>18</v>
      </c>
      <c r="C86" s="185"/>
      <c r="D86" s="15">
        <f t="shared" si="4"/>
        <v>434183</v>
      </c>
      <c r="E86" s="18">
        <f>IF(F3="1",SUMIF(Data!A:A,'14'!$A$2,Data!ER:ER),0)</f>
        <v>1978150</v>
      </c>
      <c r="F86" s="22">
        <f t="shared" si="5"/>
        <v>4.5560282185161558</v>
      </c>
    </row>
    <row r="87" spans="1:6" ht="14.25" customHeight="1" x14ac:dyDescent="0.2">
      <c r="A87" s="20">
        <v>21</v>
      </c>
      <c r="B87" s="184" t="s">
        <v>466</v>
      </c>
      <c r="C87" s="185"/>
      <c r="D87" s="15">
        <f t="shared" si="4"/>
        <v>129117</v>
      </c>
      <c r="E87" s="18">
        <f>IF(F3="1",SUMIF(Data!A:A,'14'!$A$2,Data!ES:ES),0)</f>
        <v>119538</v>
      </c>
      <c r="F87" s="22">
        <f t="shared" si="5"/>
        <v>0.92581147331490043</v>
      </c>
    </row>
    <row r="88" spans="1:6" x14ac:dyDescent="0.2">
      <c r="A88" s="20">
        <v>22</v>
      </c>
      <c r="B88" s="184" t="s">
        <v>19</v>
      </c>
      <c r="C88" s="185"/>
      <c r="D88" s="15">
        <f t="shared" si="4"/>
        <v>157669</v>
      </c>
      <c r="E88" s="18">
        <f>IF(F3="1",SUMIF(Data!A:A,'14'!$A$2,Data!ET:ET),0)</f>
        <v>407736</v>
      </c>
      <c r="F88" s="22">
        <f t="shared" si="5"/>
        <v>2.5860251539617809</v>
      </c>
    </row>
    <row r="89" spans="1:6" x14ac:dyDescent="0.2">
      <c r="A89" s="20">
        <v>23</v>
      </c>
      <c r="B89" s="184" t="s">
        <v>20</v>
      </c>
      <c r="C89" s="185"/>
      <c r="D89" s="15">
        <f t="shared" si="4"/>
        <v>627856</v>
      </c>
      <c r="E89" s="18">
        <f>IF(F3="1",SUMIF(Data!A:A,'14'!$A$2,Data!EU:EU),0)</f>
        <v>2181865</v>
      </c>
      <c r="F89" s="22">
        <f t="shared" si="5"/>
        <v>3.4751041640121301</v>
      </c>
    </row>
    <row r="90" spans="1:6" x14ac:dyDescent="0.2">
      <c r="A90" s="20">
        <v>24</v>
      </c>
      <c r="B90" s="184" t="s">
        <v>21</v>
      </c>
      <c r="C90" s="185"/>
      <c r="D90" s="15">
        <f t="shared" si="4"/>
        <v>1008689</v>
      </c>
      <c r="E90" s="18">
        <f>IF(F3="1",SUMIF(Data!A:A,'14'!$A$2,Data!EV:EV),0)</f>
        <v>1679908</v>
      </c>
      <c r="F90" s="22">
        <f t="shared" si="5"/>
        <v>1.6654370177527464</v>
      </c>
    </row>
    <row r="91" spans="1:6" x14ac:dyDescent="0.2">
      <c r="A91" s="20">
        <v>25</v>
      </c>
      <c r="B91" s="184" t="s">
        <v>22</v>
      </c>
      <c r="C91" s="185"/>
      <c r="D91" s="15">
        <f t="shared" si="4"/>
        <v>4591048</v>
      </c>
      <c r="E91" s="18">
        <f>IF(F3="1",SUMIF(Data!A:A,'14'!$A$2,Data!EW:EW),0)</f>
        <v>12211372</v>
      </c>
      <c r="F91" s="22">
        <f t="shared" si="5"/>
        <v>2.6598223325044739</v>
      </c>
    </row>
    <row r="92" spans="1:6" x14ac:dyDescent="0.2">
      <c r="A92" s="20">
        <v>26</v>
      </c>
      <c r="B92" s="184" t="s">
        <v>23</v>
      </c>
      <c r="C92" s="185"/>
      <c r="D92" s="15">
        <f t="shared" si="4"/>
        <v>1647002</v>
      </c>
      <c r="E92" s="18">
        <f>IF(F3="1",SUMIF(Data!A:A,'14'!$A$2,Data!EX:EX),0)</f>
        <v>5784365</v>
      </c>
      <c r="F92" s="22">
        <f t="shared" si="5"/>
        <v>3.5120570588256723</v>
      </c>
    </row>
    <row r="93" spans="1:6" x14ac:dyDescent="0.2">
      <c r="A93" s="20">
        <v>28</v>
      </c>
      <c r="B93" s="184" t="s">
        <v>24</v>
      </c>
      <c r="C93" s="185"/>
      <c r="D93" s="15">
        <f t="shared" si="4"/>
        <v>0</v>
      </c>
      <c r="E93" s="18">
        <f>IF(F3="1",SUMIF(Data!A:A,'14'!$A$2,Data!EZ:EZ),0)</f>
        <v>0</v>
      </c>
      <c r="F93" s="22" t="str">
        <f t="shared" si="5"/>
        <v/>
      </c>
    </row>
    <row r="94" spans="1:6" ht="15.75" customHeight="1" thickBot="1" x14ac:dyDescent="0.25">
      <c r="A94" s="23">
        <v>29</v>
      </c>
      <c r="B94" s="186" t="s">
        <v>25</v>
      </c>
      <c r="C94" s="187"/>
      <c r="D94" s="24">
        <f t="shared" si="4"/>
        <v>0</v>
      </c>
      <c r="E94" s="25">
        <f>IF(F3="1",SUMIF(Data!A:A,'14'!$A$2,Data!FA:FA),0)</f>
        <v>0</v>
      </c>
      <c r="F94" s="26" t="str">
        <f t="shared" si="5"/>
        <v/>
      </c>
    </row>
    <row r="95" spans="1:6" x14ac:dyDescent="0.2">
      <c r="B95" s="31" t="s">
        <v>35</v>
      </c>
      <c r="C95" s="31"/>
      <c r="D95" s="61">
        <f>SUM(D67:D94)</f>
        <v>29061694</v>
      </c>
      <c r="E95" s="32">
        <f>SUM(E67:E94)</f>
        <v>84092694</v>
      </c>
      <c r="F95" s="33">
        <f t="shared" si="5"/>
        <v>2.8935923005727058</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IF(F3="1",SUMIF(Data!A:A,'14'!$A$2,Data!AH:AH),0)</f>
        <v>52220010</v>
      </c>
      <c r="F98" s="21">
        <f t="shared" ref="F98:F105" si="6">IFERROR(E98/$D$95,0)</f>
        <v>1.796867381509144</v>
      </c>
    </row>
    <row r="99" spans="2:6" x14ac:dyDescent="0.2">
      <c r="B99" s="190" t="s">
        <v>31</v>
      </c>
      <c r="C99" s="191"/>
      <c r="D99" s="37"/>
      <c r="E99" s="18">
        <f>IF(F3="1",SUMIF(Data!A:A,'14'!$A$2,Data!AI:AI),0)</f>
        <v>26204338</v>
      </c>
      <c r="F99" s="22">
        <f t="shared" si="6"/>
        <v>0.90167964744243745</v>
      </c>
    </row>
    <row r="100" spans="2:6" x14ac:dyDescent="0.2">
      <c r="B100" s="190" t="s">
        <v>32</v>
      </c>
      <c r="C100" s="191"/>
      <c r="D100" s="37"/>
      <c r="E100" s="18">
        <f>IF(F3="1",SUMIF(Data!A:A,'14'!$A$2,Data!AJ:AJ),0)</f>
        <v>16440735</v>
      </c>
      <c r="F100" s="22">
        <f t="shared" si="6"/>
        <v>0.56571839893434983</v>
      </c>
    </row>
    <row r="101" spans="2:6" x14ac:dyDescent="0.2">
      <c r="B101" s="190" t="s">
        <v>28</v>
      </c>
      <c r="C101" s="191"/>
      <c r="D101" s="37"/>
      <c r="E101" s="18">
        <f>IF(F3="1",SUMIF(Data!A:A,'14'!$A$2,Data!AK:AK),0)</f>
        <v>0</v>
      </c>
      <c r="F101" s="22">
        <f t="shared" si="6"/>
        <v>0</v>
      </c>
    </row>
    <row r="102" spans="2:6" x14ac:dyDescent="0.2">
      <c r="B102" s="190" t="s">
        <v>33</v>
      </c>
      <c r="C102" s="191"/>
      <c r="D102" s="37"/>
      <c r="E102" s="18">
        <f>IF(F3="1",SUMIF(Data!A:A,'14'!$A$2,Data!AL:AL),0)</f>
        <v>0</v>
      </c>
      <c r="F102" s="22">
        <f t="shared" si="6"/>
        <v>0</v>
      </c>
    </row>
    <row r="103" spans="2:6" x14ac:dyDescent="0.2">
      <c r="B103" s="192" t="s">
        <v>34</v>
      </c>
      <c r="C103" s="193"/>
      <c r="D103" s="37"/>
      <c r="E103" s="18">
        <f>IF(F3="1",SUMIF(Data!A:A,'14'!$A$2,Data!AM:AM),0)</f>
        <v>2983540</v>
      </c>
      <c r="F103" s="22">
        <f t="shared" si="6"/>
        <v>0.10266228802766969</v>
      </c>
    </row>
    <row r="104" spans="2:6" ht="15.75" customHeight="1" thickBot="1" x14ac:dyDescent="0.25">
      <c r="B104" s="182" t="s">
        <v>29</v>
      </c>
      <c r="C104" s="183"/>
      <c r="D104" s="38"/>
      <c r="E104" s="25">
        <f>IF(F3="1",SUMIF(Data!A:A,'14'!$A$2,Data!Q:Q),0)</f>
        <v>4771968</v>
      </c>
      <c r="F104" s="26">
        <f t="shared" si="6"/>
        <v>0.16420130223654547</v>
      </c>
    </row>
    <row r="105" spans="2:6" x14ac:dyDescent="0.2">
      <c r="B105" s="31" t="s">
        <v>35</v>
      </c>
      <c r="C105" s="31"/>
      <c r="D105" s="35">
        <f>D95</f>
        <v>29061694</v>
      </c>
      <c r="E105" s="32">
        <f>SUM(E98:E104)</f>
        <v>102620591</v>
      </c>
      <c r="F105" s="33">
        <f t="shared" si="6"/>
        <v>3.5311290181501462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84092694</v>
      </c>
      <c r="D109" s="16">
        <f>IF(F3="1",SUMIF(Data!$A:$A,$A$2,Data!HJ:HJ),0)</f>
        <v>0</v>
      </c>
      <c r="E109" s="16">
        <f>IF(F3="1",SUMIF(Data!$A:$A,$A$2,Data!IN:IN),0)</f>
        <v>0</v>
      </c>
      <c r="F109" s="48">
        <f>SUM(C109:E109)</f>
        <v>84092694</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4771968</v>
      </c>
      <c r="E117" s="53"/>
      <c r="F117" s="50">
        <f>SUM(C117:E117)</f>
        <v>4771968</v>
      </c>
    </row>
    <row r="118" spans="1:6" x14ac:dyDescent="0.2">
      <c r="B118" s="14" t="s">
        <v>35</v>
      </c>
      <c r="C118" s="5">
        <f>SUM(C109:C116)</f>
        <v>84092694</v>
      </c>
      <c r="D118" s="5">
        <f>SUM(D109:D116)</f>
        <v>0</v>
      </c>
      <c r="E118" s="5">
        <f>SUM(E109:E116)</f>
        <v>0</v>
      </c>
      <c r="F118" s="5">
        <f>SUM(F109:F116)</f>
        <v>84092694</v>
      </c>
    </row>
    <row r="119" spans="1:6" ht="15" thickBot="1" x14ac:dyDescent="0.25"/>
    <row r="120" spans="1:6" ht="15" thickBot="1" x14ac:dyDescent="0.25">
      <c r="B120" s="57" t="s">
        <v>942</v>
      </c>
      <c r="C120" s="55"/>
      <c r="D120" s="55"/>
      <c r="E120" s="55">
        <f>IF(F3="1",SUMIF(Data!A:A,'14'!$A$2,Data!AM:AM),0)</f>
        <v>2983540</v>
      </c>
      <c r="F120" s="56">
        <f>SUM(C120:E120)</f>
        <v>2983540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5703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364</v>
      </c>
      <c r="B2" s="60" t="str">
        <f>VLOOKUP(A2,Data!A:G,7,0)</f>
        <v>Del Mar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744</v>
      </c>
      <c r="E5" s="16">
        <f>E36+E67+IFERROR($E$105/$D$105*D5,0)</f>
        <v>8003.1271302011892</v>
      </c>
      <c r="F5" s="21">
        <f>IFERROR(E5/D5,"")</f>
        <v>10.756891304033857</v>
      </c>
    </row>
    <row r="6" spans="1:6" x14ac:dyDescent="0.2">
      <c r="A6" s="20">
        <v>2</v>
      </c>
      <c r="B6" s="184" t="s">
        <v>1</v>
      </c>
      <c r="C6" s="185"/>
      <c r="D6" s="15">
        <f t="shared" ref="D6:D32" si="0">D37</f>
        <v>145328</v>
      </c>
      <c r="E6" s="18">
        <f t="shared" ref="E6:E32" si="1">E37+E68+IFERROR($E$105/$D$105*D6,0)</f>
        <v>1588121.166099299</v>
      </c>
      <c r="F6" s="22">
        <f t="shared" ref="F6:F33" si="2">IFERROR(E6/D6,"")</f>
        <v>10.927840237939687</v>
      </c>
    </row>
    <row r="7" spans="1:6" ht="14.25" customHeight="1" x14ac:dyDescent="0.2">
      <c r="A7" s="20">
        <v>3</v>
      </c>
      <c r="B7" s="184" t="s">
        <v>2</v>
      </c>
      <c r="C7" s="185"/>
      <c r="D7" s="15">
        <f t="shared" si="0"/>
        <v>512432</v>
      </c>
      <c r="E7" s="18">
        <f t="shared" si="1"/>
        <v>4553574.7010527626</v>
      </c>
      <c r="F7" s="22">
        <f t="shared" si="2"/>
        <v>8.8862028543353322</v>
      </c>
    </row>
    <row r="8" spans="1:6" ht="14.25" customHeight="1" x14ac:dyDescent="0.2">
      <c r="A8" s="20">
        <v>4</v>
      </c>
      <c r="B8" s="184" t="s">
        <v>3</v>
      </c>
      <c r="C8" s="185"/>
      <c r="D8" s="15">
        <f t="shared" si="0"/>
        <v>326021</v>
      </c>
      <c r="E8" s="18">
        <f t="shared" si="1"/>
        <v>3715507.2474668305</v>
      </c>
      <c r="F8" s="22">
        <f t="shared" si="2"/>
        <v>11.396527363166269</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38416</v>
      </c>
      <c r="E10" s="18">
        <f t="shared" si="1"/>
        <v>502535.55354006571</v>
      </c>
      <c r="F10" s="22">
        <f t="shared" si="2"/>
        <v>13.081412784778887</v>
      </c>
    </row>
    <row r="11" spans="1:6" x14ac:dyDescent="0.2">
      <c r="A11" s="20">
        <v>7</v>
      </c>
      <c r="B11" s="184" t="s">
        <v>6</v>
      </c>
      <c r="C11" s="185"/>
      <c r="D11" s="15">
        <f t="shared" si="0"/>
        <v>225909</v>
      </c>
      <c r="E11" s="18">
        <f t="shared" si="1"/>
        <v>2382781.0656675007</v>
      </c>
      <c r="F11" s="22">
        <f t="shared" si="2"/>
        <v>10.547526064333429</v>
      </c>
    </row>
    <row r="12" spans="1:6" x14ac:dyDescent="0.2">
      <c r="A12" s="20">
        <v>8</v>
      </c>
      <c r="B12" s="184" t="s">
        <v>7</v>
      </c>
      <c r="C12" s="185"/>
      <c r="D12" s="15">
        <f t="shared" si="0"/>
        <v>5248</v>
      </c>
      <c r="E12" s="18">
        <f t="shared" si="1"/>
        <v>50730.692445290108</v>
      </c>
      <c r="F12" s="22">
        <f t="shared" si="2"/>
        <v>9.6666715787519255</v>
      </c>
    </row>
    <row r="13" spans="1:6" x14ac:dyDescent="0.2">
      <c r="A13" s="20">
        <v>9</v>
      </c>
      <c r="B13" s="184" t="s">
        <v>8</v>
      </c>
      <c r="C13" s="185"/>
      <c r="D13" s="15">
        <f t="shared" si="0"/>
        <v>232366</v>
      </c>
      <c r="E13" s="18">
        <f t="shared" si="1"/>
        <v>2429436.089699368</v>
      </c>
      <c r="F13" s="22">
        <f t="shared" si="2"/>
        <v>10.455213282921632</v>
      </c>
    </row>
    <row r="14" spans="1:6" x14ac:dyDescent="0.2">
      <c r="A14" s="20">
        <v>10</v>
      </c>
      <c r="B14" s="184" t="s">
        <v>9</v>
      </c>
      <c r="C14" s="185"/>
      <c r="D14" s="15">
        <f t="shared" si="0"/>
        <v>1856</v>
      </c>
      <c r="E14" s="18">
        <f t="shared" si="1"/>
        <v>21353.037572114794</v>
      </c>
      <c r="F14" s="22">
        <f t="shared" si="2"/>
        <v>11.504869381527367</v>
      </c>
    </row>
    <row r="15" spans="1:6" x14ac:dyDescent="0.2">
      <c r="A15" s="20">
        <v>11</v>
      </c>
      <c r="B15" s="184" t="s">
        <v>10</v>
      </c>
      <c r="C15" s="185"/>
      <c r="D15" s="15">
        <f t="shared" si="0"/>
        <v>140682</v>
      </c>
      <c r="E15" s="18">
        <f t="shared" si="1"/>
        <v>1336619.9017889297</v>
      </c>
      <c r="F15" s="22">
        <f t="shared" si="2"/>
        <v>9.5010015623102433</v>
      </c>
    </row>
    <row r="16" spans="1:6" ht="14.25" customHeight="1" x14ac:dyDescent="0.2">
      <c r="A16" s="20">
        <v>12</v>
      </c>
      <c r="B16" s="184" t="s">
        <v>11</v>
      </c>
      <c r="C16" s="185"/>
      <c r="D16" s="15">
        <f t="shared" si="0"/>
        <v>735446</v>
      </c>
      <c r="E16" s="18">
        <f t="shared" si="1"/>
        <v>7751344.5583305694</v>
      </c>
      <c r="F16" s="22">
        <f t="shared" si="2"/>
        <v>10.539651528909763</v>
      </c>
    </row>
    <row r="17" spans="1:6" x14ac:dyDescent="0.2">
      <c r="A17" s="20">
        <v>13</v>
      </c>
      <c r="B17" s="184" t="s">
        <v>12</v>
      </c>
      <c r="C17" s="185"/>
      <c r="D17" s="15">
        <f t="shared" si="0"/>
        <v>93992</v>
      </c>
      <c r="E17" s="18">
        <f t="shared" si="1"/>
        <v>978468.39411541692</v>
      </c>
      <c r="F17" s="22">
        <f t="shared" si="2"/>
        <v>10.410124203287694</v>
      </c>
    </row>
    <row r="18" spans="1:6" ht="14.25" customHeight="1" x14ac:dyDescent="0.2">
      <c r="A18" s="20">
        <v>14</v>
      </c>
      <c r="B18" s="184" t="s">
        <v>469</v>
      </c>
      <c r="C18" s="185"/>
      <c r="D18" s="15">
        <f t="shared" si="0"/>
        <v>334943</v>
      </c>
      <c r="E18" s="18">
        <f t="shared" si="1"/>
        <v>4332491.6026491625</v>
      </c>
      <c r="F18" s="22">
        <f t="shared" si="2"/>
        <v>12.935011636753604</v>
      </c>
    </row>
    <row r="19" spans="1:6" x14ac:dyDescent="0.2">
      <c r="A19" s="20">
        <v>15</v>
      </c>
      <c r="B19" s="184" t="s">
        <v>13</v>
      </c>
      <c r="C19" s="185"/>
      <c r="D19" s="15">
        <f t="shared" si="0"/>
        <v>32784</v>
      </c>
      <c r="E19" s="18">
        <f t="shared" si="1"/>
        <v>588848.95676951041</v>
      </c>
      <c r="F19" s="22">
        <f t="shared" si="2"/>
        <v>17.961473791163691</v>
      </c>
    </row>
    <row r="20" spans="1:6" x14ac:dyDescent="0.2">
      <c r="A20" s="20">
        <v>16</v>
      </c>
      <c r="B20" s="184" t="s">
        <v>14</v>
      </c>
      <c r="C20" s="185"/>
      <c r="D20" s="15">
        <f t="shared" si="0"/>
        <v>433769</v>
      </c>
      <c r="E20" s="18">
        <f t="shared" si="1"/>
        <v>4608061.9329841929</v>
      </c>
      <c r="F20" s="22">
        <f t="shared" si="2"/>
        <v>10.623308565121512</v>
      </c>
    </row>
    <row r="21" spans="1:6" x14ac:dyDescent="0.2">
      <c r="A21" s="20">
        <v>17</v>
      </c>
      <c r="B21" s="184" t="s">
        <v>15</v>
      </c>
      <c r="C21" s="185"/>
      <c r="D21" s="15">
        <f t="shared" si="0"/>
        <v>18240</v>
      </c>
      <c r="E21" s="18">
        <f t="shared" si="1"/>
        <v>226765.95545009366</v>
      </c>
      <c r="F21" s="22">
        <f t="shared" si="2"/>
        <v>12.432344048798996</v>
      </c>
    </row>
    <row r="22" spans="1:6" x14ac:dyDescent="0.2">
      <c r="A22" s="20">
        <v>18</v>
      </c>
      <c r="B22" s="184" t="s">
        <v>16</v>
      </c>
      <c r="C22" s="185"/>
      <c r="D22" s="15">
        <f t="shared" si="0"/>
        <v>240</v>
      </c>
      <c r="E22" s="18">
        <f t="shared" si="1"/>
        <v>9915.8152032907055</v>
      </c>
      <c r="F22" s="22">
        <f t="shared" si="2"/>
        <v>41.315896680377939</v>
      </c>
    </row>
    <row r="23" spans="1:6" x14ac:dyDescent="0.2">
      <c r="A23" s="20">
        <v>19</v>
      </c>
      <c r="B23" s="184" t="s">
        <v>17</v>
      </c>
      <c r="C23" s="185"/>
      <c r="D23" s="15">
        <f t="shared" si="0"/>
        <v>382992</v>
      </c>
      <c r="E23" s="18">
        <f t="shared" si="1"/>
        <v>4412877.7014113087</v>
      </c>
      <c r="F23" s="22">
        <f t="shared" si="2"/>
        <v>11.522114564824614</v>
      </c>
    </row>
    <row r="24" spans="1:6" x14ac:dyDescent="0.2">
      <c r="A24" s="20">
        <v>20</v>
      </c>
      <c r="B24" s="184" t="s">
        <v>18</v>
      </c>
      <c r="C24" s="185"/>
      <c r="D24" s="15">
        <f t="shared" si="0"/>
        <v>83172</v>
      </c>
      <c r="E24" s="18">
        <f t="shared" si="1"/>
        <v>940087.80870039423</v>
      </c>
      <c r="F24" s="22">
        <f t="shared" si="2"/>
        <v>11.302936188866376</v>
      </c>
    </row>
    <row r="25" spans="1:6" ht="14.25" customHeight="1" x14ac:dyDescent="0.2">
      <c r="A25" s="20">
        <v>21</v>
      </c>
      <c r="B25" s="184" t="s">
        <v>466</v>
      </c>
      <c r="C25" s="185"/>
      <c r="D25" s="15">
        <f t="shared" si="0"/>
        <v>136378</v>
      </c>
      <c r="E25" s="18">
        <f t="shared" si="1"/>
        <v>1099516.3491432497</v>
      </c>
      <c r="F25" s="22">
        <f t="shared" si="2"/>
        <v>8.0622706678734808</v>
      </c>
    </row>
    <row r="26" spans="1:6" x14ac:dyDescent="0.2">
      <c r="A26" s="20">
        <v>22</v>
      </c>
      <c r="B26" s="184" t="s">
        <v>19</v>
      </c>
      <c r="C26" s="185"/>
      <c r="D26" s="15">
        <f t="shared" si="0"/>
        <v>28674</v>
      </c>
      <c r="E26" s="18">
        <f t="shared" si="1"/>
        <v>342696.24641315709</v>
      </c>
      <c r="F26" s="22">
        <f t="shared" si="2"/>
        <v>11.951462872747335</v>
      </c>
    </row>
    <row r="27" spans="1:6" x14ac:dyDescent="0.2">
      <c r="A27" s="20">
        <v>23</v>
      </c>
      <c r="B27" s="184" t="s">
        <v>20</v>
      </c>
      <c r="C27" s="185"/>
      <c r="D27" s="15">
        <f t="shared" si="0"/>
        <v>127968</v>
      </c>
      <c r="E27" s="18">
        <f t="shared" si="1"/>
        <v>1171797.8663946046</v>
      </c>
      <c r="F27" s="22">
        <f t="shared" si="2"/>
        <v>9.1569600712256545</v>
      </c>
    </row>
    <row r="28" spans="1:6" x14ac:dyDescent="0.2">
      <c r="A28" s="20">
        <v>24</v>
      </c>
      <c r="B28" s="184" t="s">
        <v>21</v>
      </c>
      <c r="C28" s="185"/>
      <c r="D28" s="15">
        <f t="shared" si="0"/>
        <v>161874</v>
      </c>
      <c r="E28" s="18">
        <f t="shared" si="1"/>
        <v>1809793.684239499</v>
      </c>
      <c r="F28" s="22">
        <f t="shared" si="2"/>
        <v>11.180261711204388</v>
      </c>
    </row>
    <row r="29" spans="1:6" x14ac:dyDescent="0.2">
      <c r="A29" s="20">
        <v>25</v>
      </c>
      <c r="B29" s="184" t="s">
        <v>22</v>
      </c>
      <c r="C29" s="185"/>
      <c r="D29" s="15">
        <f t="shared" si="0"/>
        <v>581872</v>
      </c>
      <c r="E29" s="18">
        <f t="shared" si="1"/>
        <v>5273708.8998715412</v>
      </c>
      <c r="F29" s="22">
        <f t="shared" si="2"/>
        <v>9.0633488118891119</v>
      </c>
    </row>
    <row r="30" spans="1:6" x14ac:dyDescent="0.2">
      <c r="A30" s="20">
        <v>26</v>
      </c>
      <c r="B30" s="184" t="s">
        <v>23</v>
      </c>
      <c r="C30" s="185"/>
      <c r="D30" s="15">
        <f t="shared" si="0"/>
        <v>272402</v>
      </c>
      <c r="E30" s="18">
        <f t="shared" si="1"/>
        <v>3691982.6458616457</v>
      </c>
      <c r="F30" s="22">
        <f t="shared" si="2"/>
        <v>13.553434430957356</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5053748</v>
      </c>
      <c r="E33" s="32">
        <f>SUM(E5:E32)</f>
        <v>53827021.000000007</v>
      </c>
      <c r="F33" s="33">
        <f t="shared" si="2"/>
        <v>10.650911165337094</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IF(F3="1",SUMIF(Data!A:A,'15'!$A$2,Data!CU:CU),0)</f>
        <v>744</v>
      </c>
      <c r="E36" s="16">
        <f>IF(F3="1",SUMIF(Data!$A:$A,'15'!$A$2,Data!IO:IO),0)</f>
        <v>2648</v>
      </c>
      <c r="F36" s="21">
        <f t="shared" ref="F36:F64" si="3">IFERROR(E36/D36,"")</f>
        <v>3.5591397849462365</v>
      </c>
    </row>
    <row r="37" spans="1:6" x14ac:dyDescent="0.2">
      <c r="A37" s="20">
        <v>2</v>
      </c>
      <c r="B37" s="184" t="s">
        <v>1</v>
      </c>
      <c r="C37" s="185"/>
      <c r="D37" s="15">
        <f>IF(F3="1",SUMIF(Data!A:A,'15'!$A$2,Data!CV:CV),0)</f>
        <v>145328</v>
      </c>
      <c r="E37" s="18">
        <f>IF(F3="1",SUMIF(Data!$A:$A,'15'!$A$2,Data!IP:IP),0)</f>
        <v>205584</v>
      </c>
      <c r="F37" s="22">
        <f t="shared" si="3"/>
        <v>1.4146207200264229</v>
      </c>
    </row>
    <row r="38" spans="1:6" ht="14.25" customHeight="1" x14ac:dyDescent="0.2">
      <c r="A38" s="20">
        <v>3</v>
      </c>
      <c r="B38" s="184" t="s">
        <v>2</v>
      </c>
      <c r="C38" s="185"/>
      <c r="D38" s="15">
        <f>IF(F3="1",SUMIF(Data!A:A,'15'!$A$2,Data!CW:CW),0)</f>
        <v>512432</v>
      </c>
      <c r="E38" s="18">
        <f>IF(F3="1",SUMIF(Data!$A:$A,'15'!$A$2,Data!IQ:IQ),0)</f>
        <v>430857</v>
      </c>
      <c r="F38" s="22">
        <f t="shared" si="3"/>
        <v>0.84080814625160016</v>
      </c>
    </row>
    <row r="39" spans="1:6" ht="14.25" customHeight="1" x14ac:dyDescent="0.2">
      <c r="A39" s="20">
        <v>4</v>
      </c>
      <c r="B39" s="184" t="s">
        <v>3</v>
      </c>
      <c r="C39" s="185"/>
      <c r="D39" s="15">
        <f>IF(F3="1",SUMIF(Data!A:A,'15'!$A$2,Data!CX:CX),0)</f>
        <v>326021</v>
      </c>
      <c r="E39" s="18">
        <f>IF(F3="1",SUMIF(Data!$A:$A,'15'!$A$2,Data!IR:IR),0)</f>
        <v>427793</v>
      </c>
      <c r="F39" s="22">
        <f t="shared" si="3"/>
        <v>1.3121639403596701</v>
      </c>
    </row>
    <row r="40" spans="1:6" x14ac:dyDescent="0.2">
      <c r="A40" s="20">
        <v>5</v>
      </c>
      <c r="B40" s="184" t="s">
        <v>4</v>
      </c>
      <c r="C40" s="185"/>
      <c r="D40" s="15">
        <f>IF(F3="1",SUMIF(Data!A:A,'15'!$A$2,Data!CY:CY),0)</f>
        <v>0</v>
      </c>
      <c r="E40" s="18">
        <f>IF(F3="1",SUMIF(Data!$A:$A,'15'!$A$2,Data!IS:IS),0)</f>
        <v>0</v>
      </c>
      <c r="F40" s="22" t="str">
        <f t="shared" si="3"/>
        <v/>
      </c>
    </row>
    <row r="41" spans="1:6" x14ac:dyDescent="0.2">
      <c r="A41" s="20">
        <v>6</v>
      </c>
      <c r="B41" s="184" t="s">
        <v>5</v>
      </c>
      <c r="C41" s="185"/>
      <c r="D41" s="15">
        <f>IF(F3="1",SUMIF(Data!A:A,'15'!$A$2,Data!CZ:CZ),0)</f>
        <v>38416</v>
      </c>
      <c r="E41" s="18">
        <f>IF(F3="1",SUMIF(Data!$A:$A,'15'!$A$2,Data!IT:IT),0)</f>
        <v>73831</v>
      </c>
      <c r="F41" s="22">
        <f t="shared" si="3"/>
        <v>1.9218815077051228</v>
      </c>
    </row>
    <row r="42" spans="1:6" x14ac:dyDescent="0.2">
      <c r="A42" s="20">
        <v>7</v>
      </c>
      <c r="B42" s="184" t="s">
        <v>6</v>
      </c>
      <c r="C42" s="185"/>
      <c r="D42" s="15">
        <f>IF(F3="1",SUMIF(Data!A:A,'15'!$A$2,Data!DA:DA),0)</f>
        <v>225909</v>
      </c>
      <c r="E42" s="18">
        <f>IF(F3="1",SUMIF(Data!$A:$A,'15'!$A$2,Data!IU:IU),0)</f>
        <v>189344</v>
      </c>
      <c r="F42" s="22">
        <f t="shared" si="3"/>
        <v>0.83814279200917186</v>
      </c>
    </row>
    <row r="43" spans="1:6" x14ac:dyDescent="0.2">
      <c r="A43" s="20">
        <v>8</v>
      </c>
      <c r="B43" s="184" t="s">
        <v>7</v>
      </c>
      <c r="C43" s="185"/>
      <c r="D43" s="15">
        <f>IF(F3="1",SUMIF(Data!A:A,'15'!$A$2,Data!DB:DB),0)</f>
        <v>5248</v>
      </c>
      <c r="E43" s="18">
        <f>IF(F3="1",SUMIF(Data!$A:$A,'15'!$A$2,Data!IV:IV),0)</f>
        <v>9753</v>
      </c>
      <c r="F43" s="22">
        <f t="shared" si="3"/>
        <v>1.858422256097561</v>
      </c>
    </row>
    <row r="44" spans="1:6" x14ac:dyDescent="0.2">
      <c r="A44" s="20">
        <v>9</v>
      </c>
      <c r="B44" s="184" t="s">
        <v>8</v>
      </c>
      <c r="C44" s="185"/>
      <c r="D44" s="15">
        <f>IF(F3="1",SUMIF(Data!A:A,'15'!$A$2,Data!DC:DC),0)</f>
        <v>232366</v>
      </c>
      <c r="E44" s="18">
        <f>IF(F3="1",SUMIF(Data!$A:$A,'15'!$A$2,Data!IW:IW),0)</f>
        <v>355139</v>
      </c>
      <c r="F44" s="22">
        <f t="shared" si="3"/>
        <v>1.5283604313884132</v>
      </c>
    </row>
    <row r="45" spans="1:6" x14ac:dyDescent="0.2">
      <c r="A45" s="20">
        <v>10</v>
      </c>
      <c r="B45" s="184" t="s">
        <v>9</v>
      </c>
      <c r="C45" s="185"/>
      <c r="D45" s="15">
        <f>IF(F3="1",SUMIF(Data!A:A,'15'!$A$2,Data!DD:DD),0)</f>
        <v>1856</v>
      </c>
      <c r="E45" s="18">
        <f>IF(F3="1",SUMIF(Data!$A:$A,'15'!$A$2,Data!IX:IX),0)</f>
        <v>1415</v>
      </c>
      <c r="F45" s="22">
        <f t="shared" si="3"/>
        <v>0.76239224137931039</v>
      </c>
    </row>
    <row r="46" spans="1:6" x14ac:dyDescent="0.2">
      <c r="A46" s="20">
        <v>11</v>
      </c>
      <c r="B46" s="184" t="s">
        <v>10</v>
      </c>
      <c r="C46" s="185"/>
      <c r="D46" s="15">
        <f>IF(F3="1",SUMIF(Data!A:A,'15'!$A$2,Data!DE:DE),0)</f>
        <v>140682</v>
      </c>
      <c r="E46" s="18">
        <f>IF(F3="1",SUMIF(Data!$A:$A,'15'!$A$2,Data!IY:IY),0)</f>
        <v>163941</v>
      </c>
      <c r="F46" s="22">
        <f t="shared" si="3"/>
        <v>1.165330319443852</v>
      </c>
    </row>
    <row r="47" spans="1:6" ht="14.25" customHeight="1" x14ac:dyDescent="0.2">
      <c r="A47" s="20">
        <v>12</v>
      </c>
      <c r="B47" s="184" t="s">
        <v>11</v>
      </c>
      <c r="C47" s="185"/>
      <c r="D47" s="15">
        <f>IF(F3="1",SUMIF(Data!A:A,'15'!$A$2,Data!DF:DF),0)</f>
        <v>735446</v>
      </c>
      <c r="E47" s="18">
        <f>IF(F3="1",SUMIF(Data!$A:$A,'15'!$A$2,Data!IZ:IZ),0)</f>
        <v>586799</v>
      </c>
      <c r="F47" s="22">
        <f t="shared" si="3"/>
        <v>0.79788182952929243</v>
      </c>
    </row>
    <row r="48" spans="1:6" x14ac:dyDescent="0.2">
      <c r="A48" s="20">
        <v>13</v>
      </c>
      <c r="B48" s="184" t="s">
        <v>12</v>
      </c>
      <c r="C48" s="185"/>
      <c r="D48" s="15">
        <f>IF(F3="1",SUMIF(Data!A:A,'15'!$A$2,Data!DG:DG),0)</f>
        <v>93992</v>
      </c>
      <c r="E48" s="18">
        <f>IF(F3="1",SUMIF(Data!$A:$A,'15'!$A$2,Data!JA:JA),0)</f>
        <v>92141</v>
      </c>
      <c r="F48" s="22">
        <f t="shared" si="3"/>
        <v>0.9803068346242233</v>
      </c>
    </row>
    <row r="49" spans="1:6" ht="14.25" customHeight="1" x14ac:dyDescent="0.2">
      <c r="A49" s="20">
        <v>14</v>
      </c>
      <c r="B49" s="184" t="s">
        <v>469</v>
      </c>
      <c r="C49" s="185"/>
      <c r="D49" s="15">
        <f>IF(F3="1",SUMIF(Data!A:A,'15'!$A$2,Data!DH:DH),0)</f>
        <v>334943</v>
      </c>
      <c r="E49" s="18">
        <f>IF(F3="1",SUMIF(Data!$A:$A,'15'!$A$2,Data!JB:JB),0)</f>
        <v>376648</v>
      </c>
      <c r="F49" s="22">
        <f t="shared" si="3"/>
        <v>1.1245137232305198</v>
      </c>
    </row>
    <row r="50" spans="1:6" x14ac:dyDescent="0.2">
      <c r="A50" s="20">
        <v>15</v>
      </c>
      <c r="B50" s="184" t="s">
        <v>13</v>
      </c>
      <c r="C50" s="185"/>
      <c r="D50" s="15">
        <f>IF(F3="1",SUMIF(Data!A:A,'15'!$A$2,Data!DI:DI),0)</f>
        <v>32784</v>
      </c>
      <c r="E50" s="18">
        <f>IF(F3="1",SUMIF(Data!$A:$A,'15'!$A$2,Data!JC:JC),0)</f>
        <v>82013</v>
      </c>
      <c r="F50" s="22">
        <f t="shared" si="3"/>
        <v>2.5016166422645192</v>
      </c>
    </row>
    <row r="51" spans="1:6" x14ac:dyDescent="0.2">
      <c r="A51" s="20">
        <v>16</v>
      </c>
      <c r="B51" s="184" t="s">
        <v>14</v>
      </c>
      <c r="C51" s="185"/>
      <c r="D51" s="15">
        <f>IF(F3="1",SUMIF(Data!A:A,'15'!$A$2,Data!DJ:DJ),0)</f>
        <v>433769</v>
      </c>
      <c r="E51" s="18">
        <f>IF(F3="1",SUMIF(Data!$A:$A,'15'!$A$2,Data!JD:JD),0)</f>
        <v>461190</v>
      </c>
      <c r="F51" s="22">
        <f t="shared" si="3"/>
        <v>1.0632156747024337</v>
      </c>
    </row>
    <row r="52" spans="1:6" x14ac:dyDescent="0.2">
      <c r="A52" s="20">
        <v>17</v>
      </c>
      <c r="B52" s="184" t="s">
        <v>15</v>
      </c>
      <c r="C52" s="185"/>
      <c r="D52" s="15">
        <f>IF(F3="1",SUMIF(Data!A:A,'15'!$A$2,Data!DK:DK),0)</f>
        <v>18240</v>
      </c>
      <c r="E52" s="18">
        <f>IF(F3="1",SUMIF(Data!$A:$A,'15'!$A$2,Data!JE:JE),0)</f>
        <v>21635</v>
      </c>
      <c r="F52" s="22">
        <f t="shared" si="3"/>
        <v>1.1861293859649122</v>
      </c>
    </row>
    <row r="53" spans="1:6" x14ac:dyDescent="0.2">
      <c r="A53" s="20">
        <v>18</v>
      </c>
      <c r="B53" s="184" t="s">
        <v>16</v>
      </c>
      <c r="C53" s="185"/>
      <c r="D53" s="15">
        <f>IF(F3="1",SUMIF(Data!A:A,'15'!$A$2,Data!DL:DL),0)</f>
        <v>240</v>
      </c>
      <c r="E53" s="18">
        <f>IF(F3="1",SUMIF(Data!$A:$A,'15'!$A$2,Data!JF:JF),0)</f>
        <v>881</v>
      </c>
      <c r="F53" s="22">
        <f t="shared" si="3"/>
        <v>3.6708333333333334</v>
      </c>
    </row>
    <row r="54" spans="1:6" x14ac:dyDescent="0.2">
      <c r="A54" s="20">
        <v>19</v>
      </c>
      <c r="B54" s="184" t="s">
        <v>17</v>
      </c>
      <c r="C54" s="185"/>
      <c r="D54" s="15">
        <f>IF(F3="1",SUMIF(Data!A:A,'15'!$A$2,Data!DM:DM),0)</f>
        <v>382992</v>
      </c>
      <c r="E54" s="18">
        <f>IF(F3="1",SUMIF(Data!$A:$A,'15'!$A$2,Data!JG:JG),0)</f>
        <v>334992</v>
      </c>
      <c r="F54" s="22">
        <f t="shared" si="3"/>
        <v>0.87467101140493797</v>
      </c>
    </row>
    <row r="55" spans="1:6" x14ac:dyDescent="0.2">
      <c r="A55" s="20">
        <v>20</v>
      </c>
      <c r="B55" s="184" t="s">
        <v>18</v>
      </c>
      <c r="C55" s="185"/>
      <c r="D55" s="15">
        <f>IF(F3="1",SUMIF(Data!A:A,'15'!$A$2,Data!DN:DN),0)</f>
        <v>83172</v>
      </c>
      <c r="E55" s="18">
        <f>IF(F3="1",SUMIF(Data!$A:$A,'15'!$A$2,Data!JH:JH),0)</f>
        <v>89923</v>
      </c>
      <c r="F55" s="22">
        <f t="shared" si="3"/>
        <v>1.0811691434617419</v>
      </c>
    </row>
    <row r="56" spans="1:6" ht="14.25" customHeight="1" x14ac:dyDescent="0.2">
      <c r="A56" s="20">
        <v>21</v>
      </c>
      <c r="B56" s="184" t="s">
        <v>466</v>
      </c>
      <c r="C56" s="185"/>
      <c r="D56" s="15">
        <f>IF(F3="1",SUMIF(Data!A:A,'15'!$A$2,Data!DO:DO),0)</f>
        <v>136378</v>
      </c>
      <c r="E56" s="18">
        <f>IF(F3="1",SUMIF(Data!$A:$A,'15'!$A$2,Data!JI:JI),0)</f>
        <v>95090</v>
      </c>
      <c r="F56" s="22">
        <f t="shared" si="3"/>
        <v>0.69725322266054646</v>
      </c>
    </row>
    <row r="57" spans="1:6" x14ac:dyDescent="0.2">
      <c r="A57" s="20">
        <v>22</v>
      </c>
      <c r="B57" s="184" t="s">
        <v>19</v>
      </c>
      <c r="C57" s="185"/>
      <c r="D57" s="15">
        <f>IF(F3="1",SUMIF(Data!A:A,'15'!$A$2,Data!DP:DP),0)</f>
        <v>28674</v>
      </c>
      <c r="E57" s="18">
        <f>IF(F3="1",SUMIF(Data!$A:$A,'15'!$A$2,Data!JJ:JJ),0)</f>
        <v>51332</v>
      </c>
      <c r="F57" s="22">
        <f t="shared" si="3"/>
        <v>1.7901932063890633</v>
      </c>
    </row>
    <row r="58" spans="1:6" x14ac:dyDescent="0.2">
      <c r="A58" s="20">
        <v>23</v>
      </c>
      <c r="B58" s="184" t="s">
        <v>20</v>
      </c>
      <c r="C58" s="185"/>
      <c r="D58" s="15">
        <f>IF(F3="1",SUMIF(Data!A:A,'15'!$A$2,Data!DQ:DQ),0)</f>
        <v>127968</v>
      </c>
      <c r="E58" s="18">
        <f>IF(F3="1",SUMIF(Data!$A:$A,'15'!$A$2,Data!JK:JK),0)</f>
        <v>90897</v>
      </c>
      <c r="F58" s="22">
        <f t="shared" si="3"/>
        <v>0.71031039009752439</v>
      </c>
    </row>
    <row r="59" spans="1:6" x14ac:dyDescent="0.2">
      <c r="A59" s="20">
        <v>24</v>
      </c>
      <c r="B59" s="184" t="s">
        <v>21</v>
      </c>
      <c r="C59" s="185"/>
      <c r="D59" s="15">
        <f>IF(F3="1",SUMIF(Data!A:A,'15'!$A$2,Data!DR:DR),0)</f>
        <v>161874</v>
      </c>
      <c r="E59" s="18">
        <f>IF(F3="1",SUMIF(Data!$A:$A,'15'!$A$2,Data!JL:JL),0)</f>
        <v>218063</v>
      </c>
      <c r="F59" s="22">
        <f t="shared" si="3"/>
        <v>1.3471156578573458</v>
      </c>
    </row>
    <row r="60" spans="1:6" x14ac:dyDescent="0.2">
      <c r="A60" s="20">
        <v>25</v>
      </c>
      <c r="B60" s="184" t="s">
        <v>22</v>
      </c>
      <c r="C60" s="185"/>
      <c r="D60" s="15">
        <f>IF(F3="1",SUMIF(Data!A:A,'15'!$A$2,Data!DS:DS),0)</f>
        <v>581872</v>
      </c>
      <c r="E60" s="18">
        <f>IF(F3="1",SUMIF(Data!$A:$A,'15'!$A$2,Data!JM:JM),0)</f>
        <v>275260</v>
      </c>
      <c r="F60" s="22">
        <f t="shared" si="3"/>
        <v>0.47305936700855172</v>
      </c>
    </row>
    <row r="61" spans="1:6" x14ac:dyDescent="0.2">
      <c r="A61" s="20">
        <v>26</v>
      </c>
      <c r="B61" s="184" t="s">
        <v>23</v>
      </c>
      <c r="C61" s="185"/>
      <c r="D61" s="15">
        <f>IF(F3="1",SUMIF(Data!A:A,'15'!$A$2,Data!DT:DT),0)</f>
        <v>272402</v>
      </c>
      <c r="E61" s="18">
        <f>IF(F3="1",SUMIF(Data!$A:$A,'15'!$A$2,Data!JN:JN),0)</f>
        <v>417740</v>
      </c>
      <c r="F61" s="22">
        <f t="shared" si="3"/>
        <v>1.5335423381619813</v>
      </c>
    </row>
    <row r="62" spans="1:6" x14ac:dyDescent="0.2">
      <c r="A62" s="20">
        <v>28</v>
      </c>
      <c r="B62" s="184" t="s">
        <v>24</v>
      </c>
      <c r="C62" s="185"/>
      <c r="D62" s="15">
        <f>IF(F3="1",SUMIF(Data!A:A,'15'!$A$2,Data!DV:DV),0)</f>
        <v>0</v>
      </c>
      <c r="E62" s="18">
        <f>IF(F3="1",SUMIF(Data!$A:$A,'15'!$A$2,Data!JP:JP),0)</f>
        <v>0</v>
      </c>
      <c r="F62" s="22" t="str">
        <f t="shared" si="3"/>
        <v/>
      </c>
    </row>
    <row r="63" spans="1:6" ht="15.75" customHeight="1" thickBot="1" x14ac:dyDescent="0.25">
      <c r="A63" s="23">
        <v>29</v>
      </c>
      <c r="B63" s="186" t="s">
        <v>25</v>
      </c>
      <c r="C63" s="187"/>
      <c r="D63" s="24">
        <f>IF(F3="1",SUMIF(Data!A:A,'15'!$A$2,Data!DW:DW),0)</f>
        <v>0</v>
      </c>
      <c r="E63" s="25">
        <f>IF(F3="1",SUMIF(Data!$A:$A,'15'!$A$2,Data!JQ:JQ),0)</f>
        <v>0</v>
      </c>
      <c r="F63" s="26" t="str">
        <f t="shared" si="3"/>
        <v/>
      </c>
    </row>
    <row r="64" spans="1:6" x14ac:dyDescent="0.2">
      <c r="B64" s="31" t="s">
        <v>35</v>
      </c>
      <c r="C64" s="31"/>
      <c r="D64" s="61">
        <f>SUM(D36:D63)</f>
        <v>5053748</v>
      </c>
      <c r="E64" s="32">
        <f>SUM(E36:E63)</f>
        <v>5054909</v>
      </c>
      <c r="F64" s="33">
        <f t="shared" si="3"/>
        <v>1.0002297304891341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744</v>
      </c>
      <c r="E67" s="16">
        <f>IF(F3="1",SUMIF(Data!A:A,'15'!$A$2,Data!DY:DY),0)</f>
        <v>1862</v>
      </c>
      <c r="F67" s="21">
        <f>IFERROR(E67/D67,"")</f>
        <v>2.502688172043011</v>
      </c>
    </row>
    <row r="68" spans="1:6" x14ac:dyDescent="0.2">
      <c r="A68" s="20">
        <v>2</v>
      </c>
      <c r="B68" s="184" t="s">
        <v>1</v>
      </c>
      <c r="C68" s="185"/>
      <c r="D68" s="15">
        <f t="shared" ref="D68:D94" si="4">D37</f>
        <v>145328</v>
      </c>
      <c r="E68" s="18">
        <f>IF(F3="1",SUMIF(Data!A:A,'15'!$A$2,Data!DZ:DZ),0)</f>
        <v>700213</v>
      </c>
      <c r="F68" s="22">
        <f t="shared" ref="F68:F95" si="5">IFERROR(E68/D68,"")</f>
        <v>4.8181561708686553</v>
      </c>
    </row>
    <row r="69" spans="1:6" ht="14.25" customHeight="1" x14ac:dyDescent="0.2">
      <c r="A69" s="20">
        <v>3</v>
      </c>
      <c r="B69" s="184" t="s">
        <v>2</v>
      </c>
      <c r="C69" s="185"/>
      <c r="D69" s="15">
        <f t="shared" si="4"/>
        <v>512432</v>
      </c>
      <c r="E69" s="18">
        <f>IF(F3="1",SUMIF(Data!A:A,'15'!$A$2,Data!EA:EA),0)</f>
        <v>1716817</v>
      </c>
      <c r="F69" s="22">
        <f t="shared" si="5"/>
        <v>3.3503313610391232</v>
      </c>
    </row>
    <row r="70" spans="1:6" ht="14.25" customHeight="1" x14ac:dyDescent="0.2">
      <c r="A70" s="20">
        <v>4</v>
      </c>
      <c r="B70" s="184" t="s">
        <v>3</v>
      </c>
      <c r="C70" s="185"/>
      <c r="D70" s="15">
        <f t="shared" si="4"/>
        <v>326021</v>
      </c>
      <c r="E70" s="18">
        <f>IF(F3="1",SUMIF(Data!A:A,'15'!$A$2,Data!EB:EB),0)</f>
        <v>1757025</v>
      </c>
      <c r="F70" s="22">
        <f t="shared" si="5"/>
        <v>5.3893000757619909</v>
      </c>
    </row>
    <row r="71" spans="1:6" x14ac:dyDescent="0.2">
      <c r="A71" s="20">
        <v>5</v>
      </c>
      <c r="B71" s="184" t="s">
        <v>4</v>
      </c>
      <c r="C71" s="185"/>
      <c r="D71" s="15">
        <f t="shared" si="4"/>
        <v>0</v>
      </c>
      <c r="E71" s="18">
        <f>IF(F3="1",SUMIF(Data!A:A,'15'!$A$2,Data!EC:EC),0)</f>
        <v>0</v>
      </c>
      <c r="F71" s="22" t="str">
        <f t="shared" si="5"/>
        <v/>
      </c>
    </row>
    <row r="72" spans="1:6" x14ac:dyDescent="0.2">
      <c r="A72" s="20">
        <v>6</v>
      </c>
      <c r="B72" s="184" t="s">
        <v>5</v>
      </c>
      <c r="C72" s="185"/>
      <c r="D72" s="15">
        <f t="shared" si="4"/>
        <v>38416</v>
      </c>
      <c r="E72" s="18">
        <f>IF(F3="1",SUMIF(Data!A:A,'15'!$A$2,Data!ED:ED),0)</f>
        <v>248339</v>
      </c>
      <c r="F72" s="22">
        <f t="shared" si="5"/>
        <v>6.4644679300291541</v>
      </c>
    </row>
    <row r="73" spans="1:6" x14ac:dyDescent="0.2">
      <c r="A73" s="20">
        <v>7</v>
      </c>
      <c r="B73" s="184" t="s">
        <v>6</v>
      </c>
      <c r="C73" s="185"/>
      <c r="D73" s="15">
        <f t="shared" si="4"/>
        <v>225909</v>
      </c>
      <c r="E73" s="18">
        <f>IF(F3="1",SUMIF(Data!A:A,'15'!$A$2,Data!EE:EE),0)</f>
        <v>1132780</v>
      </c>
      <c r="F73" s="22">
        <f t="shared" si="5"/>
        <v>5.014319925279648</v>
      </c>
    </row>
    <row r="74" spans="1:6" x14ac:dyDescent="0.2">
      <c r="A74" s="20">
        <v>8</v>
      </c>
      <c r="B74" s="184" t="s">
        <v>7</v>
      </c>
      <c r="C74" s="185"/>
      <c r="D74" s="15">
        <f t="shared" si="4"/>
        <v>5248</v>
      </c>
      <c r="E74" s="18">
        <f>IF(F3="1",SUMIF(Data!A:A,'15'!$A$2,Data!EF:EF),0)</f>
        <v>16338</v>
      </c>
      <c r="F74" s="22">
        <f t="shared" si="5"/>
        <v>3.1131859756097562</v>
      </c>
    </row>
    <row r="75" spans="1:6" x14ac:dyDescent="0.2">
      <c r="A75" s="20">
        <v>9</v>
      </c>
      <c r="B75" s="184" t="s">
        <v>8</v>
      </c>
      <c r="C75" s="185"/>
      <c r="D75" s="15">
        <f t="shared" si="4"/>
        <v>232366</v>
      </c>
      <c r="E75" s="18">
        <f>IF(F3="1",SUMIF(Data!A:A,'15'!$A$2,Data!EG:EG),0)</f>
        <v>983324</v>
      </c>
      <c r="F75" s="22">
        <f t="shared" si="5"/>
        <v>4.2317895044886082</v>
      </c>
    </row>
    <row r="76" spans="1:6" x14ac:dyDescent="0.2">
      <c r="A76" s="20">
        <v>10</v>
      </c>
      <c r="B76" s="184" t="s">
        <v>9</v>
      </c>
      <c r="C76" s="185"/>
      <c r="D76" s="15">
        <f t="shared" si="4"/>
        <v>1856</v>
      </c>
      <c r="E76" s="18">
        <f>IF(F3="1",SUMIF(Data!A:A,'15'!$A$2,Data!EH:EH),0)</f>
        <v>11224</v>
      </c>
      <c r="F76" s="22">
        <f t="shared" si="5"/>
        <v>6.0474137931034484</v>
      </c>
    </row>
    <row r="77" spans="1:6" x14ac:dyDescent="0.2">
      <c r="A77" s="20">
        <v>11</v>
      </c>
      <c r="B77" s="184" t="s">
        <v>10</v>
      </c>
      <c r="C77" s="185"/>
      <c r="D77" s="15">
        <f t="shared" si="4"/>
        <v>140682</v>
      </c>
      <c r="E77" s="18">
        <f>IF(F3="1",SUMIF(Data!A:A,'15'!$A$2,Data!EI:EI),0)</f>
        <v>512168</v>
      </c>
      <c r="F77" s="22">
        <f t="shared" si="5"/>
        <v>3.6406078958217827</v>
      </c>
    </row>
    <row r="78" spans="1:6" ht="14.25" customHeight="1" x14ac:dyDescent="0.2">
      <c r="A78" s="20">
        <v>12</v>
      </c>
      <c r="B78" s="184" t="s">
        <v>11</v>
      </c>
      <c r="C78" s="185"/>
      <c r="D78" s="15">
        <f t="shared" si="4"/>
        <v>735446</v>
      </c>
      <c r="E78" s="18">
        <f>IF(F3="1",SUMIF(Data!A:A,'15'!$A$2,Data!EJ:EJ),0)</f>
        <v>3711580</v>
      </c>
      <c r="F78" s="22">
        <f t="shared" si="5"/>
        <v>5.0467063523358613</v>
      </c>
    </row>
    <row r="79" spans="1:6" x14ac:dyDescent="0.2">
      <c r="A79" s="20">
        <v>13</v>
      </c>
      <c r="B79" s="184" t="s">
        <v>12</v>
      </c>
      <c r="C79" s="185"/>
      <c r="D79" s="15">
        <f t="shared" si="4"/>
        <v>93992</v>
      </c>
      <c r="E79" s="18">
        <f>IF(F3="1",SUMIF(Data!A:A,'15'!$A$2,Data!EK:EK),0)</f>
        <v>445029</v>
      </c>
      <c r="F79" s="22">
        <f t="shared" si="5"/>
        <v>4.7347540216188611</v>
      </c>
    </row>
    <row r="80" spans="1:6" ht="14.25" customHeight="1" x14ac:dyDescent="0.2">
      <c r="A80" s="20">
        <v>14</v>
      </c>
      <c r="B80" s="184" t="s">
        <v>469</v>
      </c>
      <c r="C80" s="185"/>
      <c r="D80" s="15">
        <f t="shared" si="4"/>
        <v>334943</v>
      </c>
      <c r="E80" s="18">
        <f>IF(F3="1",SUMIF(Data!A:A,'15'!$A$2,Data!EL:EL),0)</f>
        <v>2383265</v>
      </c>
      <c r="F80" s="22">
        <f t="shared" si="5"/>
        <v>7.1154345664784753</v>
      </c>
    </row>
    <row r="81" spans="1:6" x14ac:dyDescent="0.2">
      <c r="A81" s="20">
        <v>15</v>
      </c>
      <c r="B81" s="184" t="s">
        <v>13</v>
      </c>
      <c r="C81" s="185"/>
      <c r="D81" s="15">
        <f t="shared" si="4"/>
        <v>32784</v>
      </c>
      <c r="E81" s="18">
        <f>IF(F3="1",SUMIF(Data!A:A,'15'!$A$2,Data!EM:EM),0)</f>
        <v>352913</v>
      </c>
      <c r="F81" s="22">
        <f t="shared" si="5"/>
        <v>10.764793801854562</v>
      </c>
    </row>
    <row r="82" spans="1:6" x14ac:dyDescent="0.2">
      <c r="A82" s="20">
        <v>16</v>
      </c>
      <c r="B82" s="184" t="s">
        <v>14</v>
      </c>
      <c r="C82" s="185"/>
      <c r="D82" s="15">
        <f t="shared" si="4"/>
        <v>433769</v>
      </c>
      <c r="E82" s="18">
        <f>IF(F3="1",SUMIF(Data!A:A,'15'!$A$2,Data!EN:EN),0)</f>
        <v>2110299</v>
      </c>
      <c r="F82" s="22">
        <f t="shared" si="5"/>
        <v>4.8650295433744688</v>
      </c>
    </row>
    <row r="83" spans="1:6" x14ac:dyDescent="0.2">
      <c r="A83" s="20">
        <v>17</v>
      </c>
      <c r="B83" s="184" t="s">
        <v>15</v>
      </c>
      <c r="C83" s="185"/>
      <c r="D83" s="15">
        <f t="shared" si="4"/>
        <v>18240</v>
      </c>
      <c r="E83" s="18">
        <f>IF(F3="1",SUMIF(Data!A:A,'15'!$A$2,Data!EO:EO),0)</f>
        <v>119493</v>
      </c>
      <c r="F83" s="22">
        <f t="shared" si="5"/>
        <v>6.5511513157894736</v>
      </c>
    </row>
    <row r="84" spans="1:6" x14ac:dyDescent="0.2">
      <c r="A84" s="20">
        <v>18</v>
      </c>
      <c r="B84" s="184" t="s">
        <v>16</v>
      </c>
      <c r="C84" s="185"/>
      <c r="D84" s="15">
        <f t="shared" si="4"/>
        <v>240</v>
      </c>
      <c r="E84" s="18">
        <f>IF(F3="1",SUMIF(Data!A:A,'15'!$A$2,Data!EP:EP),0)</f>
        <v>7908</v>
      </c>
      <c r="F84" s="22">
        <f t="shared" si="5"/>
        <v>32.950000000000003</v>
      </c>
    </row>
    <row r="85" spans="1:6" x14ac:dyDescent="0.2">
      <c r="A85" s="20">
        <v>19</v>
      </c>
      <c r="B85" s="184" t="s">
        <v>17</v>
      </c>
      <c r="C85" s="185"/>
      <c r="D85" s="15">
        <f t="shared" si="4"/>
        <v>382992</v>
      </c>
      <c r="E85" s="18">
        <f>IF(F3="1",SUMIF(Data!A:A,'15'!$A$2,Data!EQ:EQ),0)</f>
        <v>2279714</v>
      </c>
      <c r="F85" s="22">
        <f t="shared" si="5"/>
        <v>5.9523802063750679</v>
      </c>
    </row>
    <row r="86" spans="1:6" x14ac:dyDescent="0.2">
      <c r="A86" s="20">
        <v>20</v>
      </c>
      <c r="B86" s="184" t="s">
        <v>18</v>
      </c>
      <c r="C86" s="185"/>
      <c r="D86" s="15">
        <f t="shared" si="4"/>
        <v>83172</v>
      </c>
      <c r="E86" s="18">
        <f>IF(F3="1",SUMIF(Data!A:A,'15'!$A$2,Data!ER:ER),0)</f>
        <v>459667</v>
      </c>
      <c r="F86" s="22">
        <f t="shared" si="5"/>
        <v>5.5267036983600253</v>
      </c>
    </row>
    <row r="87" spans="1:6" ht="14.25" customHeight="1" x14ac:dyDescent="0.2">
      <c r="A87" s="20">
        <v>21</v>
      </c>
      <c r="B87" s="184" t="s">
        <v>466</v>
      </c>
      <c r="C87" s="185"/>
      <c r="D87" s="15">
        <f t="shared" si="4"/>
        <v>136378</v>
      </c>
      <c r="E87" s="18">
        <f>IF(F3="1",SUMIF(Data!A:A,'15'!$A$2,Data!ES:ES),0)</f>
        <v>364123</v>
      </c>
      <c r="F87" s="22">
        <f t="shared" si="5"/>
        <v>2.6699540981683261</v>
      </c>
    </row>
    <row r="88" spans="1:6" x14ac:dyDescent="0.2">
      <c r="A88" s="20">
        <v>22</v>
      </c>
      <c r="B88" s="184" t="s">
        <v>19</v>
      </c>
      <c r="C88" s="185"/>
      <c r="D88" s="15">
        <f t="shared" si="4"/>
        <v>28674</v>
      </c>
      <c r="E88" s="18">
        <f>IF(F3="1",SUMIF(Data!A:A,'15'!$A$2,Data!ET:ET),0)</f>
        <v>156738</v>
      </c>
      <c r="F88" s="22">
        <f t="shared" si="5"/>
        <v>5.4662063193136641</v>
      </c>
    </row>
    <row r="89" spans="1:6" x14ac:dyDescent="0.2">
      <c r="A89" s="20">
        <v>23</v>
      </c>
      <c r="B89" s="184" t="s">
        <v>20</v>
      </c>
      <c r="C89" s="185"/>
      <c r="D89" s="15">
        <f t="shared" si="4"/>
        <v>127968</v>
      </c>
      <c r="E89" s="18">
        <f>IF(F3="1",SUMIF(Data!A:A,'15'!$A$2,Data!EU:EU),0)</f>
        <v>480083</v>
      </c>
      <c r="F89" s="22">
        <f t="shared" si="5"/>
        <v>3.7515863340835209</v>
      </c>
    </row>
    <row r="90" spans="1:6" x14ac:dyDescent="0.2">
      <c r="A90" s="20">
        <v>24</v>
      </c>
      <c r="B90" s="184" t="s">
        <v>21</v>
      </c>
      <c r="C90" s="185"/>
      <c r="D90" s="15">
        <f t="shared" si="4"/>
        <v>161874</v>
      </c>
      <c r="E90" s="18">
        <f>IF(F3="1",SUMIF(Data!A:A,'15'!$A$2,Data!EV:EV),0)</f>
        <v>831722</v>
      </c>
      <c r="F90" s="22">
        <f t="shared" si="5"/>
        <v>5.1380827063024324</v>
      </c>
    </row>
    <row r="91" spans="1:6" x14ac:dyDescent="0.2">
      <c r="A91" s="20">
        <v>25</v>
      </c>
      <c r="B91" s="184" t="s">
        <v>22</v>
      </c>
      <c r="C91" s="185"/>
      <c r="D91" s="15">
        <f t="shared" si="4"/>
        <v>581872</v>
      </c>
      <c r="E91" s="18">
        <f>IF(F3="1",SUMIF(Data!A:A,'15'!$A$2,Data!EW:EW),0)</f>
        <v>2266523</v>
      </c>
      <c r="F91" s="22">
        <f t="shared" si="5"/>
        <v>3.8952260978359501</v>
      </c>
    </row>
    <row r="92" spans="1:6" x14ac:dyDescent="0.2">
      <c r="A92" s="20">
        <v>26</v>
      </c>
      <c r="B92" s="184" t="s">
        <v>23</v>
      </c>
      <c r="C92" s="185"/>
      <c r="D92" s="15">
        <f t="shared" si="4"/>
        <v>272402</v>
      </c>
      <c r="E92" s="18">
        <f>IF(F3="1",SUMIF(Data!A:A,'15'!$A$2,Data!EX:EX),0)</f>
        <v>1995298</v>
      </c>
      <c r="F92" s="22">
        <f t="shared" si="5"/>
        <v>7.3248287457507653</v>
      </c>
    </row>
    <row r="93" spans="1:6" x14ac:dyDescent="0.2">
      <c r="A93" s="20">
        <v>28</v>
      </c>
      <c r="B93" s="184" t="s">
        <v>24</v>
      </c>
      <c r="C93" s="185"/>
      <c r="D93" s="15">
        <f t="shared" si="4"/>
        <v>0</v>
      </c>
      <c r="E93" s="18">
        <f>IF(F3="1",SUMIF(Data!A:A,'15'!$A$2,Data!EZ:EZ),0)</f>
        <v>0</v>
      </c>
      <c r="F93" s="22" t="str">
        <f t="shared" si="5"/>
        <v/>
      </c>
    </row>
    <row r="94" spans="1:6" ht="15.75" customHeight="1" thickBot="1" x14ac:dyDescent="0.25">
      <c r="A94" s="23">
        <v>29</v>
      </c>
      <c r="B94" s="186" t="s">
        <v>25</v>
      </c>
      <c r="C94" s="187"/>
      <c r="D94" s="24">
        <f t="shared" si="4"/>
        <v>0</v>
      </c>
      <c r="E94" s="25">
        <f>IF(F3="1",SUMIF(Data!A:A,'15'!$A$2,Data!FA:FA),0)</f>
        <v>0</v>
      </c>
      <c r="F94" s="26" t="str">
        <f t="shared" si="5"/>
        <v/>
      </c>
    </row>
    <row r="95" spans="1:6" x14ac:dyDescent="0.2">
      <c r="B95" s="31" t="s">
        <v>35</v>
      </c>
      <c r="C95" s="31"/>
      <c r="D95" s="61">
        <f>SUM(D67:D94)</f>
        <v>5053748</v>
      </c>
      <c r="E95" s="32">
        <f>SUM(E67:E94)</f>
        <v>25044445</v>
      </c>
      <c r="F95" s="33">
        <f t="shared" si="5"/>
        <v>4.9556180878033489</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IF(F3="1",SUMIF(Data!A:A,'15'!$A$2,Data!AH:AH),0)</f>
        <v>12158320</v>
      </c>
      <c r="F98" s="21">
        <f t="shared" ref="F98:F105" si="6">IFERROR(E98/$D$95,0)</f>
        <v>2.4058025845372581</v>
      </c>
    </row>
    <row r="99" spans="2:6" x14ac:dyDescent="0.2">
      <c r="B99" s="190" t="s">
        <v>31</v>
      </c>
      <c r="C99" s="191"/>
      <c r="D99" s="37"/>
      <c r="E99" s="18">
        <f>IF(F3="1",SUMIF(Data!A:A,'15'!$A$2,Data!AI:AI),0)</f>
        <v>4855666</v>
      </c>
      <c r="F99" s="22">
        <f t="shared" si="6"/>
        <v>0.96080493131038591</v>
      </c>
    </row>
    <row r="100" spans="2:6" x14ac:dyDescent="0.2">
      <c r="B100" s="190" t="s">
        <v>32</v>
      </c>
      <c r="C100" s="191"/>
      <c r="D100" s="37"/>
      <c r="E100" s="18">
        <f>IF(F3="1",SUMIF(Data!A:A,'15'!$A$2,Data!AJ:AJ),0)</f>
        <v>4836229</v>
      </c>
      <c r="F100" s="22">
        <f t="shared" si="6"/>
        <v>0.95695887487860498</v>
      </c>
    </row>
    <row r="101" spans="2:6" x14ac:dyDescent="0.2">
      <c r="B101" s="190" t="s">
        <v>28</v>
      </c>
      <c r="C101" s="191"/>
      <c r="D101" s="37"/>
      <c r="E101" s="18">
        <f>IF(F3="1",SUMIF(Data!A:A,'15'!$A$2,Data!AK:AK),0)</f>
        <v>0</v>
      </c>
      <c r="F101" s="22">
        <f t="shared" si="6"/>
        <v>0</v>
      </c>
    </row>
    <row r="102" spans="2:6" x14ac:dyDescent="0.2">
      <c r="B102" s="190" t="s">
        <v>33</v>
      </c>
      <c r="C102" s="191"/>
      <c r="D102" s="37"/>
      <c r="E102" s="18">
        <f>IF(F3="1",SUMIF(Data!A:A,'15'!$A$2,Data!AL:AL),0)</f>
        <v>0</v>
      </c>
      <c r="F102" s="22">
        <f t="shared" si="6"/>
        <v>0</v>
      </c>
    </row>
    <row r="103" spans="2:6" x14ac:dyDescent="0.2">
      <c r="B103" s="192" t="s">
        <v>34</v>
      </c>
      <c r="C103" s="193"/>
      <c r="D103" s="37"/>
      <c r="E103" s="18">
        <f>IF(F3="1",SUMIF(Data!A:A,'15'!$A$2,Data!AM:AM),0)</f>
        <v>0</v>
      </c>
      <c r="F103" s="22">
        <f t="shared" si="6"/>
        <v>0</v>
      </c>
    </row>
    <row r="104" spans="2:6" ht="15.75" customHeight="1" thickBot="1" x14ac:dyDescent="0.25">
      <c r="B104" s="182" t="s">
        <v>29</v>
      </c>
      <c r="C104" s="183"/>
      <c r="D104" s="38"/>
      <c r="E104" s="25">
        <f>IF(F3="1",SUMIF(Data!A:A,'15'!$A$2,Data!Q:Q),0)</f>
        <v>1877452</v>
      </c>
      <c r="F104" s="26">
        <f t="shared" si="6"/>
        <v>0.37149695631836016</v>
      </c>
    </row>
    <row r="105" spans="2:6" x14ac:dyDescent="0.2">
      <c r="B105" s="31" t="s">
        <v>35</v>
      </c>
      <c r="C105" s="31"/>
      <c r="D105" s="35">
        <f>D95</f>
        <v>5053748</v>
      </c>
      <c r="E105" s="32">
        <f>SUM(E98:E104)</f>
        <v>23727667</v>
      </c>
      <c r="F105" s="33">
        <f t="shared" si="6"/>
        <v>4.6950633470446093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25044445</v>
      </c>
      <c r="D109" s="16">
        <f>IF(F3="1",SUMIF(Data!$A:$A,$A$2,Data!HJ:HJ),0)</f>
        <v>0</v>
      </c>
      <c r="E109" s="16">
        <f>IF(F3="1",SUMIF(Data!$A:$A,$A$2,Data!IN:IN),0)</f>
        <v>0</v>
      </c>
      <c r="F109" s="48">
        <f>SUM(C109:E109)</f>
        <v>25044445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1877452</v>
      </c>
      <c r="E117" s="53"/>
      <c r="F117" s="50">
        <f>SUM(C117:E117)</f>
        <v>1877452</v>
      </c>
    </row>
    <row r="118" spans="1:6" x14ac:dyDescent="0.2">
      <c r="B118" s="14" t="s">
        <v>35</v>
      </c>
      <c r="C118" s="5">
        <f>SUM(C109:C116)</f>
        <v>25044445</v>
      </c>
      <c r="D118" s="5">
        <f>SUM(D109:D116)</f>
        <v>0</v>
      </c>
      <c r="E118" s="5">
        <f>SUM(E109:E116)</f>
        <v>0</v>
      </c>
      <c r="F118" s="5">
        <f>SUM(F109:F116)</f>
        <v>25044445</v>
      </c>
    </row>
    <row r="119" spans="1:6" ht="15" thickBot="1" x14ac:dyDescent="0.25"/>
    <row r="120" spans="1:6" ht="15" thickBot="1" x14ac:dyDescent="0.25">
      <c r="B120" s="57" t="s">
        <v>942</v>
      </c>
      <c r="C120" s="55"/>
      <c r="D120" s="55"/>
      <c r="E120" s="55">
        <f>IF(F3="1",SUMIF(Data!A:A,'15'!$A$2,Data!AM:AM),0)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5703125" style="11" bestFit="1" customWidth="1"/>
    <col min="13" max="13" width="12.1406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440</v>
      </c>
      <c r="B2" s="60" t="str">
        <f>VLOOKUP(A2,Data!A:G,7,0)</f>
        <v>El Paso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1904</v>
      </c>
      <c r="E5" s="16">
        <f>E36+E67+IFERROR($E$105/$D$105*D5,0)</f>
        <v>11902.379811597406</v>
      </c>
      <c r="F5" s="21">
        <f>IFERROR(E5/D5,"")</f>
        <v>6.2512499010490581</v>
      </c>
    </row>
    <row r="6" spans="1:6" x14ac:dyDescent="0.2">
      <c r="A6" s="20">
        <v>2</v>
      </c>
      <c r="B6" s="184" t="s">
        <v>1</v>
      </c>
      <c r="C6" s="185"/>
      <c r="D6" s="15">
        <f t="shared" ref="D6:D32" si="0">D37</f>
        <v>81792</v>
      </c>
      <c r="E6" s="18">
        <f t="shared" ref="E6:E32" si="1">E37+E68+IFERROR($E$105/$D$105*D6,0)</f>
        <v>837935.13106626831</v>
      </c>
      <c r="F6" s="22">
        <f t="shared" ref="F6:F33" si="2">IFERROR(E6/D6,"")</f>
        <v>10.244707686158405</v>
      </c>
    </row>
    <row r="7" spans="1:6" ht="14.25" customHeight="1" x14ac:dyDescent="0.2">
      <c r="A7" s="20">
        <v>3</v>
      </c>
      <c r="B7" s="184" t="s">
        <v>2</v>
      </c>
      <c r="C7" s="185"/>
      <c r="D7" s="15">
        <f t="shared" si="0"/>
        <v>1330080</v>
      </c>
      <c r="E7" s="18">
        <f t="shared" si="1"/>
        <v>9420326.0398159027</v>
      </c>
      <c r="F7" s="22">
        <f t="shared" si="2"/>
        <v>7.0825258930409474</v>
      </c>
    </row>
    <row r="8" spans="1:6" ht="14.25" customHeight="1" x14ac:dyDescent="0.2">
      <c r="A8" s="20">
        <v>4</v>
      </c>
      <c r="B8" s="184" t="s">
        <v>3</v>
      </c>
      <c r="C8" s="185"/>
      <c r="D8" s="15">
        <f t="shared" si="0"/>
        <v>434395</v>
      </c>
      <c r="E8" s="18">
        <f t="shared" si="1"/>
        <v>4409841.1324888943</v>
      </c>
      <c r="F8" s="22">
        <f t="shared" si="2"/>
        <v>10.151684831751965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157831</v>
      </c>
      <c r="E10" s="18">
        <f t="shared" si="1"/>
        <v>2241850.7447711295</v>
      </c>
      <c r="F10" s="22">
        <f t="shared" si="2"/>
        <v>14.204121780709299</v>
      </c>
    </row>
    <row r="11" spans="1:6" x14ac:dyDescent="0.2">
      <c r="A11" s="20">
        <v>7</v>
      </c>
      <c r="B11" s="184" t="s">
        <v>6</v>
      </c>
      <c r="C11" s="185"/>
      <c r="D11" s="15">
        <f t="shared" si="0"/>
        <v>279580</v>
      </c>
      <c r="E11" s="18">
        <f t="shared" si="1"/>
        <v>2333707.3591000014</v>
      </c>
      <c r="F11" s="22">
        <f t="shared" si="2"/>
        <v>8.3471899245296566</v>
      </c>
    </row>
    <row r="12" spans="1:6" x14ac:dyDescent="0.2">
      <c r="A12" s="20">
        <v>8</v>
      </c>
      <c r="B12" s="184" t="s">
        <v>7</v>
      </c>
      <c r="C12" s="185"/>
      <c r="D12" s="15">
        <f t="shared" si="0"/>
        <v>46602</v>
      </c>
      <c r="E12" s="18">
        <f t="shared" si="1"/>
        <v>557694.53990549489</v>
      </c>
      <c r="F12" s="22">
        <f t="shared" si="2"/>
        <v>11.967180376496607</v>
      </c>
    </row>
    <row r="13" spans="1:6" x14ac:dyDescent="0.2">
      <c r="A13" s="20">
        <v>9</v>
      </c>
      <c r="B13" s="184" t="s">
        <v>8</v>
      </c>
      <c r="C13" s="185"/>
      <c r="D13" s="15">
        <f t="shared" si="0"/>
        <v>373568</v>
      </c>
      <c r="E13" s="18">
        <f t="shared" si="1"/>
        <v>3205356.0070687076</v>
      </c>
      <c r="F13" s="22">
        <f t="shared" si="2"/>
        <v>8.580381636191289</v>
      </c>
    </row>
    <row r="14" spans="1:6" x14ac:dyDescent="0.2">
      <c r="A14" s="20">
        <v>10</v>
      </c>
      <c r="B14" s="184" t="s">
        <v>9</v>
      </c>
      <c r="C14" s="185"/>
      <c r="D14" s="15">
        <f t="shared" si="0"/>
        <v>24832</v>
      </c>
      <c r="E14" s="18">
        <f t="shared" si="1"/>
        <v>187653.13838318633</v>
      </c>
      <c r="F14" s="22">
        <f t="shared" si="2"/>
        <v>7.5569079567971302</v>
      </c>
    </row>
    <row r="15" spans="1:6" x14ac:dyDescent="0.2">
      <c r="A15" s="20">
        <v>11</v>
      </c>
      <c r="B15" s="184" t="s">
        <v>10</v>
      </c>
      <c r="C15" s="185"/>
      <c r="D15" s="15">
        <f t="shared" si="0"/>
        <v>163672</v>
      </c>
      <c r="E15" s="18">
        <f t="shared" si="1"/>
        <v>1151052.6830481989</v>
      </c>
      <c r="F15" s="22">
        <f t="shared" si="2"/>
        <v>7.032679279584773</v>
      </c>
    </row>
    <row r="16" spans="1:6" ht="14.25" customHeight="1" x14ac:dyDescent="0.2">
      <c r="A16" s="20">
        <v>12</v>
      </c>
      <c r="B16" s="184" t="s">
        <v>11</v>
      </c>
      <c r="C16" s="185"/>
      <c r="D16" s="15">
        <f t="shared" si="0"/>
        <v>2182768</v>
      </c>
      <c r="E16" s="18">
        <f t="shared" si="1"/>
        <v>17687395.832248345</v>
      </c>
      <c r="F16" s="22">
        <f t="shared" si="2"/>
        <v>8.1031954986734025</v>
      </c>
    </row>
    <row r="17" spans="1:6" x14ac:dyDescent="0.2">
      <c r="A17" s="20">
        <v>13</v>
      </c>
      <c r="B17" s="184" t="s">
        <v>12</v>
      </c>
      <c r="C17" s="185"/>
      <c r="D17" s="15">
        <f t="shared" si="0"/>
        <v>178784</v>
      </c>
      <c r="E17" s="18">
        <f t="shared" si="1"/>
        <v>1434186.4202923481</v>
      </c>
      <c r="F17" s="22">
        <f t="shared" si="2"/>
        <v>8.0218946901979375</v>
      </c>
    </row>
    <row r="18" spans="1:6" ht="14.25" customHeight="1" x14ac:dyDescent="0.2">
      <c r="A18" s="20">
        <v>14</v>
      </c>
      <c r="B18" s="184" t="s">
        <v>469</v>
      </c>
      <c r="C18" s="185"/>
      <c r="D18" s="15">
        <f t="shared" si="0"/>
        <v>282377</v>
      </c>
      <c r="E18" s="18">
        <f t="shared" si="1"/>
        <v>3668906.5557034877</v>
      </c>
      <c r="F18" s="22">
        <f t="shared" si="2"/>
        <v>12.992936944947669</v>
      </c>
    </row>
    <row r="19" spans="1:6" x14ac:dyDescent="0.2">
      <c r="A19" s="20">
        <v>15</v>
      </c>
      <c r="B19" s="184" t="s">
        <v>13</v>
      </c>
      <c r="C19" s="185"/>
      <c r="D19" s="15">
        <f t="shared" si="0"/>
        <v>29750</v>
      </c>
      <c r="E19" s="18">
        <f t="shared" si="1"/>
        <v>583463.93455620948</v>
      </c>
      <c r="F19" s="22">
        <f t="shared" si="2"/>
        <v>19.612233094326371</v>
      </c>
    </row>
    <row r="20" spans="1:6" x14ac:dyDescent="0.2">
      <c r="A20" s="20">
        <v>16</v>
      </c>
      <c r="B20" s="184" t="s">
        <v>14</v>
      </c>
      <c r="C20" s="185"/>
      <c r="D20" s="15">
        <f t="shared" si="0"/>
        <v>317731</v>
      </c>
      <c r="E20" s="18">
        <f t="shared" si="1"/>
        <v>3866910.6585707222</v>
      </c>
      <c r="F20" s="22">
        <f t="shared" si="2"/>
        <v>12.170391490193662</v>
      </c>
    </row>
    <row r="21" spans="1:6" x14ac:dyDescent="0.2">
      <c r="A21" s="20">
        <v>17</v>
      </c>
      <c r="B21" s="184" t="s">
        <v>15</v>
      </c>
      <c r="C21" s="185"/>
      <c r="D21" s="15">
        <f t="shared" si="0"/>
        <v>21360</v>
      </c>
      <c r="E21" s="18">
        <f t="shared" si="1"/>
        <v>392463.62225615577</v>
      </c>
      <c r="F21" s="22">
        <f t="shared" si="2"/>
        <v>18.373765086898679</v>
      </c>
    </row>
    <row r="22" spans="1:6" x14ac:dyDescent="0.2">
      <c r="A22" s="20">
        <v>18</v>
      </c>
      <c r="B22" s="184" t="s">
        <v>16</v>
      </c>
      <c r="C22" s="185"/>
      <c r="D22" s="15">
        <f t="shared" si="0"/>
        <v>74449</v>
      </c>
      <c r="E22" s="18">
        <f t="shared" si="1"/>
        <v>773987.37216051226</v>
      </c>
      <c r="F22" s="22">
        <f t="shared" si="2"/>
        <v>10.396209111747805</v>
      </c>
    </row>
    <row r="23" spans="1:6" x14ac:dyDescent="0.2">
      <c r="A23" s="20">
        <v>19</v>
      </c>
      <c r="B23" s="184" t="s">
        <v>17</v>
      </c>
      <c r="C23" s="185"/>
      <c r="D23" s="15">
        <f t="shared" si="0"/>
        <v>1194088</v>
      </c>
      <c r="E23" s="18">
        <f t="shared" si="1"/>
        <v>8214074.844785043</v>
      </c>
      <c r="F23" s="22">
        <f t="shared" si="2"/>
        <v>6.8789526775120784</v>
      </c>
    </row>
    <row r="24" spans="1:6" x14ac:dyDescent="0.2">
      <c r="A24" s="20">
        <v>20</v>
      </c>
      <c r="B24" s="184" t="s">
        <v>18</v>
      </c>
      <c r="C24" s="185"/>
      <c r="D24" s="15">
        <f t="shared" si="0"/>
        <v>96349</v>
      </c>
      <c r="E24" s="18">
        <f t="shared" si="1"/>
        <v>879258.85003550339</v>
      </c>
      <c r="F24" s="22">
        <f t="shared" si="2"/>
        <v>9.1257703768124561</v>
      </c>
    </row>
    <row r="25" spans="1:6" ht="14.25" customHeight="1" x14ac:dyDescent="0.2">
      <c r="A25" s="20">
        <v>21</v>
      </c>
      <c r="B25" s="184" t="s">
        <v>466</v>
      </c>
      <c r="C25" s="185"/>
      <c r="D25" s="15">
        <f t="shared" si="0"/>
        <v>21065</v>
      </c>
      <c r="E25" s="18">
        <f t="shared" si="1"/>
        <v>291879.75668660679</v>
      </c>
      <c r="F25" s="22">
        <f t="shared" si="2"/>
        <v>13.856147955689854</v>
      </c>
    </row>
    <row r="26" spans="1:6" x14ac:dyDescent="0.2">
      <c r="A26" s="20">
        <v>22</v>
      </c>
      <c r="B26" s="184" t="s">
        <v>19</v>
      </c>
      <c r="C26" s="185"/>
      <c r="D26" s="15">
        <f t="shared" si="0"/>
        <v>12202</v>
      </c>
      <c r="E26" s="18">
        <f t="shared" si="1"/>
        <v>156130.18196486949</v>
      </c>
      <c r="F26" s="22">
        <f t="shared" si="2"/>
        <v>12.795458282647886</v>
      </c>
    </row>
    <row r="27" spans="1:6" x14ac:dyDescent="0.2">
      <c r="A27" s="20">
        <v>23</v>
      </c>
      <c r="B27" s="184" t="s">
        <v>20</v>
      </c>
      <c r="C27" s="185"/>
      <c r="D27" s="15">
        <f t="shared" si="0"/>
        <v>31824</v>
      </c>
      <c r="E27" s="18">
        <f t="shared" si="1"/>
        <v>527659.49113669945</v>
      </c>
      <c r="F27" s="22">
        <f t="shared" si="2"/>
        <v>16.580552134763053</v>
      </c>
    </row>
    <row r="28" spans="1:6" x14ac:dyDescent="0.2">
      <c r="A28" s="20">
        <v>24</v>
      </c>
      <c r="B28" s="184" t="s">
        <v>21</v>
      </c>
      <c r="C28" s="185"/>
      <c r="D28" s="15">
        <f t="shared" si="0"/>
        <v>308724</v>
      </c>
      <c r="E28" s="18">
        <f t="shared" si="1"/>
        <v>2758543.122350629</v>
      </c>
      <c r="F28" s="22">
        <f t="shared" si="2"/>
        <v>8.9353050697407035</v>
      </c>
    </row>
    <row r="29" spans="1:6" x14ac:dyDescent="0.2">
      <c r="A29" s="20">
        <v>25</v>
      </c>
      <c r="B29" s="184" t="s">
        <v>22</v>
      </c>
      <c r="C29" s="185"/>
      <c r="D29" s="15">
        <f t="shared" si="0"/>
        <v>2010864</v>
      </c>
      <c r="E29" s="18">
        <f t="shared" si="1"/>
        <v>13668364.68354412</v>
      </c>
      <c r="F29" s="22">
        <f t="shared" si="2"/>
        <v>6.7972596274756123</v>
      </c>
    </row>
    <row r="30" spans="1:6" x14ac:dyDescent="0.2">
      <c r="A30" s="20">
        <v>26</v>
      </c>
      <c r="B30" s="184" t="s">
        <v>23</v>
      </c>
      <c r="C30" s="185"/>
      <c r="D30" s="15">
        <f t="shared" si="0"/>
        <v>383292</v>
      </c>
      <c r="E30" s="18">
        <f t="shared" si="1"/>
        <v>3323838.518249366</v>
      </c>
      <c r="F30" s="22">
        <f t="shared" si="2"/>
        <v>8.6718181393020615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10039883</v>
      </c>
      <c r="E33" s="32">
        <f>SUM(E5:E32)</f>
        <v>82584382.999999985</v>
      </c>
      <c r="F33" s="33">
        <f t="shared" si="2"/>
        <v>8.2256320118471482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IF(F3="1",SUMIF(Data!A:A,'16'!$A$2,Data!CU:CU),0)</f>
        <v>1904</v>
      </c>
      <c r="E36" s="16">
        <f>IF(F3="1",SUMIF(Data!$A:$A,'16'!$A$2,Data!IO:IO),0)</f>
        <v>483</v>
      </c>
      <c r="F36" s="21">
        <f t="shared" ref="F36:F64" si="3">IFERROR(E36/D36,"")</f>
        <v>0.25367647058823528</v>
      </c>
    </row>
    <row r="37" spans="1:6" x14ac:dyDescent="0.2">
      <c r="A37" s="20">
        <v>2</v>
      </c>
      <c r="B37" s="184" t="s">
        <v>1</v>
      </c>
      <c r="C37" s="185"/>
      <c r="D37" s="15">
        <f>IF(F3="1",SUMIF(Data!A:A,'16'!$A$2,Data!CV:CV),0)</f>
        <v>81792</v>
      </c>
      <c r="E37" s="18">
        <f>IF(F3="1",SUMIF(Data!$A:$A,'16'!$A$2,Data!IP:IP),0)</f>
        <v>264177</v>
      </c>
      <c r="F37" s="22">
        <f t="shared" si="3"/>
        <v>3.229863556338028</v>
      </c>
    </row>
    <row r="38" spans="1:6" ht="14.25" customHeight="1" x14ac:dyDescent="0.2">
      <c r="A38" s="20">
        <v>3</v>
      </c>
      <c r="B38" s="184" t="s">
        <v>2</v>
      </c>
      <c r="C38" s="185"/>
      <c r="D38" s="15">
        <f>IF(F3="1",SUMIF(Data!A:A,'16'!$A$2,Data!CW:CW),0)</f>
        <v>1330080</v>
      </c>
      <c r="E38" s="18">
        <f>IF(F3="1",SUMIF(Data!$A:$A,'16'!$A$2,Data!IQ:IQ),0)</f>
        <v>659024</v>
      </c>
      <c r="F38" s="22">
        <f t="shared" si="3"/>
        <v>0.49547696379165163</v>
      </c>
    </row>
    <row r="39" spans="1:6" ht="14.25" customHeight="1" x14ac:dyDescent="0.2">
      <c r="A39" s="20">
        <v>4</v>
      </c>
      <c r="B39" s="184" t="s">
        <v>3</v>
      </c>
      <c r="C39" s="185"/>
      <c r="D39" s="15">
        <f>IF(F3="1",SUMIF(Data!A:A,'16'!$A$2,Data!CX:CX),0)</f>
        <v>434395</v>
      </c>
      <c r="E39" s="18">
        <f>IF(F3="1",SUMIF(Data!$A:$A,'16'!$A$2,Data!IR:IR),0)</f>
        <v>975133</v>
      </c>
      <c r="F39" s="22">
        <f t="shared" si="3"/>
        <v>2.2448071455702761</v>
      </c>
    </row>
    <row r="40" spans="1:6" x14ac:dyDescent="0.2">
      <c r="A40" s="20">
        <v>5</v>
      </c>
      <c r="B40" s="184" t="s">
        <v>4</v>
      </c>
      <c r="C40" s="185"/>
      <c r="D40" s="15">
        <f>IF(F3="1",SUMIF(Data!A:A,'16'!$A$2,Data!CY:CY),0)</f>
        <v>0</v>
      </c>
      <c r="E40" s="18">
        <f>IF(F3="1",SUMIF(Data!$A:$A,'16'!$A$2,Data!IS:IS),0)</f>
        <v>0</v>
      </c>
      <c r="F40" s="22" t="str">
        <f t="shared" si="3"/>
        <v/>
      </c>
    </row>
    <row r="41" spans="1:6" x14ac:dyDescent="0.2">
      <c r="A41" s="20">
        <v>6</v>
      </c>
      <c r="B41" s="184" t="s">
        <v>5</v>
      </c>
      <c r="C41" s="185"/>
      <c r="D41" s="15">
        <f>IF(F3="1",SUMIF(Data!A:A,'16'!$A$2,Data!CZ:CZ),0)</f>
        <v>157831</v>
      </c>
      <c r="E41" s="18">
        <f>IF(F3="1",SUMIF(Data!$A:$A,'16'!$A$2,Data!IT:IT),0)</f>
        <v>436983</v>
      </c>
      <c r="F41" s="22">
        <f t="shared" si="3"/>
        <v>2.7686766224632677</v>
      </c>
    </row>
    <row r="42" spans="1:6" x14ac:dyDescent="0.2">
      <c r="A42" s="20">
        <v>7</v>
      </c>
      <c r="B42" s="184" t="s">
        <v>6</v>
      </c>
      <c r="C42" s="185"/>
      <c r="D42" s="15">
        <f>IF(F3="1",SUMIF(Data!A:A,'16'!$A$2,Data!DA:DA),0)</f>
        <v>279580</v>
      </c>
      <c r="E42" s="18">
        <f>IF(F3="1",SUMIF(Data!$A:$A,'16'!$A$2,Data!IU:IU),0)</f>
        <v>160157</v>
      </c>
      <c r="F42" s="22">
        <f t="shared" si="3"/>
        <v>0.57284855855211392</v>
      </c>
    </row>
    <row r="43" spans="1:6" x14ac:dyDescent="0.2">
      <c r="A43" s="20">
        <v>8</v>
      </c>
      <c r="B43" s="184" t="s">
        <v>7</v>
      </c>
      <c r="C43" s="185"/>
      <c r="D43" s="15">
        <f>IF(F3="1",SUMIF(Data!A:A,'16'!$A$2,Data!DB:DB),0)</f>
        <v>46602</v>
      </c>
      <c r="E43" s="18">
        <f>IF(F3="1",SUMIF(Data!$A:$A,'16'!$A$2,Data!IV:IV),0)</f>
        <v>65559</v>
      </c>
      <c r="F43" s="22">
        <f t="shared" si="3"/>
        <v>1.4067851165186043</v>
      </c>
    </row>
    <row r="44" spans="1:6" x14ac:dyDescent="0.2">
      <c r="A44" s="20">
        <v>9</v>
      </c>
      <c r="B44" s="184" t="s">
        <v>8</v>
      </c>
      <c r="C44" s="185"/>
      <c r="D44" s="15">
        <f>IF(F3="1",SUMIF(Data!A:A,'16'!$A$2,Data!DC:DC),0)</f>
        <v>373568</v>
      </c>
      <c r="E44" s="18">
        <f>IF(F3="1",SUMIF(Data!$A:$A,'16'!$A$2,Data!IW:IW),0)</f>
        <v>244827</v>
      </c>
      <c r="F44" s="22">
        <f t="shared" si="3"/>
        <v>0.65537465735823197</v>
      </c>
    </row>
    <row r="45" spans="1:6" x14ac:dyDescent="0.2">
      <c r="A45" s="20">
        <v>10</v>
      </c>
      <c r="B45" s="184" t="s">
        <v>9</v>
      </c>
      <c r="C45" s="185"/>
      <c r="D45" s="15">
        <f>IF(F3="1",SUMIF(Data!A:A,'16'!$A$2,Data!DD:DD),0)</f>
        <v>24832</v>
      </c>
      <c r="E45" s="18">
        <f>IF(F3="1",SUMIF(Data!$A:$A,'16'!$A$2,Data!IX:IX),0)</f>
        <v>5706</v>
      </c>
      <c r="F45" s="22">
        <f t="shared" si="3"/>
        <v>0.22978414948453607</v>
      </c>
    </row>
    <row r="46" spans="1:6" x14ac:dyDescent="0.2">
      <c r="A46" s="20">
        <v>11</v>
      </c>
      <c r="B46" s="184" t="s">
        <v>10</v>
      </c>
      <c r="C46" s="185"/>
      <c r="D46" s="15">
        <f>IF(F3="1",SUMIF(Data!A:A,'16'!$A$2,Data!DE:DE),0)</f>
        <v>163672</v>
      </c>
      <c r="E46" s="18">
        <f>IF(F3="1",SUMIF(Data!$A:$A,'16'!$A$2,Data!IY:IY),0)</f>
        <v>91261</v>
      </c>
      <c r="F46" s="22">
        <f t="shared" si="3"/>
        <v>0.55758468155823848</v>
      </c>
    </row>
    <row r="47" spans="1:6" ht="14.25" customHeight="1" x14ac:dyDescent="0.2">
      <c r="A47" s="20">
        <v>12</v>
      </c>
      <c r="B47" s="184" t="s">
        <v>11</v>
      </c>
      <c r="C47" s="185"/>
      <c r="D47" s="15">
        <f>IF(F3="1",SUMIF(Data!A:A,'16'!$A$2,Data!DF:DF),0)</f>
        <v>2182768</v>
      </c>
      <c r="E47" s="18">
        <f>IF(F3="1",SUMIF(Data!$A:$A,'16'!$A$2,Data!IZ:IZ),0)</f>
        <v>1129449</v>
      </c>
      <c r="F47" s="22">
        <f t="shared" si="3"/>
        <v>0.51743886661340099</v>
      </c>
    </row>
    <row r="48" spans="1:6" x14ac:dyDescent="0.2">
      <c r="A48" s="20">
        <v>13</v>
      </c>
      <c r="B48" s="184" t="s">
        <v>12</v>
      </c>
      <c r="C48" s="185"/>
      <c r="D48" s="15">
        <f>IF(F3="1",SUMIF(Data!A:A,'16'!$A$2,Data!DG:DG),0)</f>
        <v>178784</v>
      </c>
      <c r="E48" s="18">
        <f>IF(F3="1",SUMIF(Data!$A:$A,'16'!$A$2,Data!JA:JA),0)</f>
        <v>74381</v>
      </c>
      <c r="F48" s="22">
        <f t="shared" si="3"/>
        <v>0.41603834795059963</v>
      </c>
    </row>
    <row r="49" spans="1:6" ht="14.25" customHeight="1" x14ac:dyDescent="0.2">
      <c r="A49" s="20">
        <v>14</v>
      </c>
      <c r="B49" s="184" t="s">
        <v>469</v>
      </c>
      <c r="C49" s="185"/>
      <c r="D49" s="15">
        <f>IF(F3="1",SUMIF(Data!A:A,'16'!$A$2,Data!DH:DH),0)</f>
        <v>282377</v>
      </c>
      <c r="E49" s="18">
        <f>IF(F3="1",SUMIF(Data!$A:$A,'16'!$A$2,Data!JB:JB),0)</f>
        <v>328001</v>
      </c>
      <c r="F49" s="22">
        <f t="shared" si="3"/>
        <v>1.1615712327845398</v>
      </c>
    </row>
    <row r="50" spans="1:6" x14ac:dyDescent="0.2">
      <c r="A50" s="20">
        <v>15</v>
      </c>
      <c r="B50" s="184" t="s">
        <v>13</v>
      </c>
      <c r="C50" s="185"/>
      <c r="D50" s="15">
        <f>IF(F3="1",SUMIF(Data!A:A,'16'!$A$2,Data!DI:DI),0)</f>
        <v>29750</v>
      </c>
      <c r="E50" s="18">
        <f>IF(F3="1",SUMIF(Data!$A:$A,'16'!$A$2,Data!JC:JC),0)</f>
        <v>37024</v>
      </c>
      <c r="F50" s="22">
        <f t="shared" si="3"/>
        <v>1.2445042016806722</v>
      </c>
    </row>
    <row r="51" spans="1:6" x14ac:dyDescent="0.2">
      <c r="A51" s="20">
        <v>16</v>
      </c>
      <c r="B51" s="184" t="s">
        <v>14</v>
      </c>
      <c r="C51" s="185"/>
      <c r="D51" s="15">
        <f>IF(F3="1",SUMIF(Data!A:A,'16'!$A$2,Data!DJ:DJ),0)</f>
        <v>317731</v>
      </c>
      <c r="E51" s="18">
        <f>IF(F3="1",SUMIF(Data!$A:$A,'16'!$A$2,Data!JD:JD),0)</f>
        <v>430331</v>
      </c>
      <c r="F51" s="22">
        <f t="shared" si="3"/>
        <v>1.3543878312157138</v>
      </c>
    </row>
    <row r="52" spans="1:6" x14ac:dyDescent="0.2">
      <c r="A52" s="20">
        <v>17</v>
      </c>
      <c r="B52" s="184" t="s">
        <v>15</v>
      </c>
      <c r="C52" s="185"/>
      <c r="D52" s="15">
        <f>IF(F3="1",SUMIF(Data!A:A,'16'!$A$2,Data!DK:DK),0)</f>
        <v>21360</v>
      </c>
      <c r="E52" s="18">
        <f>IF(F3="1",SUMIF(Data!$A:$A,'16'!$A$2,Data!JE:JE),0)</f>
        <v>21337</v>
      </c>
      <c r="F52" s="22">
        <f t="shared" si="3"/>
        <v>0.99892322097378272</v>
      </c>
    </row>
    <row r="53" spans="1:6" x14ac:dyDescent="0.2">
      <c r="A53" s="20">
        <v>18</v>
      </c>
      <c r="B53" s="184" t="s">
        <v>16</v>
      </c>
      <c r="C53" s="185"/>
      <c r="D53" s="15">
        <f>IF(F3="1",SUMIF(Data!A:A,'16'!$A$2,Data!DL:DL),0)</f>
        <v>74449</v>
      </c>
      <c r="E53" s="18">
        <f>IF(F3="1",SUMIF(Data!$A:$A,'16'!$A$2,Data!JF:JF),0)</f>
        <v>143190</v>
      </c>
      <c r="F53" s="22">
        <f t="shared" si="3"/>
        <v>1.9233300648766269</v>
      </c>
    </row>
    <row r="54" spans="1:6" x14ac:dyDescent="0.2">
      <c r="A54" s="20">
        <v>19</v>
      </c>
      <c r="B54" s="184" t="s">
        <v>17</v>
      </c>
      <c r="C54" s="185"/>
      <c r="D54" s="15">
        <f>IF(F3="1",SUMIF(Data!A:A,'16'!$A$2,Data!DM:DM),0)</f>
        <v>1194088</v>
      </c>
      <c r="E54" s="18">
        <f>IF(F3="1",SUMIF(Data!$A:$A,'16'!$A$2,Data!JG:JG),0)</f>
        <v>351172</v>
      </c>
      <c r="F54" s="22">
        <f t="shared" si="3"/>
        <v>0.29409222770851062</v>
      </c>
    </row>
    <row r="55" spans="1:6" x14ac:dyDescent="0.2">
      <c r="A55" s="20">
        <v>20</v>
      </c>
      <c r="B55" s="184" t="s">
        <v>18</v>
      </c>
      <c r="C55" s="185"/>
      <c r="D55" s="15">
        <f>IF(F3="1",SUMIF(Data!A:A,'16'!$A$2,Data!DN:DN),0)</f>
        <v>96349</v>
      </c>
      <c r="E55" s="18">
        <f>IF(F3="1",SUMIF(Data!$A:$A,'16'!$A$2,Data!JH:JH),0)</f>
        <v>129173</v>
      </c>
      <c r="F55" s="22">
        <f t="shared" si="3"/>
        <v>1.340678159607261</v>
      </c>
    </row>
    <row r="56" spans="1:6" ht="14.25" customHeight="1" x14ac:dyDescent="0.2">
      <c r="A56" s="20">
        <v>21</v>
      </c>
      <c r="B56" s="184" t="s">
        <v>466</v>
      </c>
      <c r="C56" s="185"/>
      <c r="D56" s="15">
        <f>IF(F3="1",SUMIF(Data!A:A,'16'!$A$2,Data!DO:DO),0)</f>
        <v>21065</v>
      </c>
      <c r="E56" s="18">
        <f>IF(F3="1",SUMIF(Data!$A:$A,'16'!$A$2,Data!JI:JI),0)</f>
        <v>140513</v>
      </c>
      <c r="F56" s="22">
        <f t="shared" si="3"/>
        <v>6.6704486114407784</v>
      </c>
    </row>
    <row r="57" spans="1:6" x14ac:dyDescent="0.2">
      <c r="A57" s="20">
        <v>22</v>
      </c>
      <c r="B57" s="184" t="s">
        <v>19</v>
      </c>
      <c r="C57" s="185"/>
      <c r="D57" s="15">
        <f>IF(F3="1",SUMIF(Data!A:A,'16'!$A$2,Data!DP:DP),0)</f>
        <v>12202</v>
      </c>
      <c r="E57" s="18">
        <f>IF(F3="1",SUMIF(Data!$A:$A,'16'!$A$2,Data!JJ:JJ),0)</f>
        <v>18401</v>
      </c>
      <c r="F57" s="22">
        <f t="shared" si="3"/>
        <v>1.5080314702507787</v>
      </c>
    </row>
    <row r="58" spans="1:6" x14ac:dyDescent="0.2">
      <c r="A58" s="20">
        <v>23</v>
      </c>
      <c r="B58" s="184" t="s">
        <v>20</v>
      </c>
      <c r="C58" s="185"/>
      <c r="D58" s="15">
        <f>IF(F3="1",SUMIF(Data!A:A,'16'!$A$2,Data!DQ:DQ),0)</f>
        <v>31824</v>
      </c>
      <c r="E58" s="18">
        <f>IF(F3="1",SUMIF(Data!$A:$A,'16'!$A$2,Data!JK:JK),0)</f>
        <v>166066</v>
      </c>
      <c r="F58" s="22">
        <f t="shared" si="3"/>
        <v>5.2182629462041223</v>
      </c>
    </row>
    <row r="59" spans="1:6" x14ac:dyDescent="0.2">
      <c r="A59" s="20">
        <v>24</v>
      </c>
      <c r="B59" s="184" t="s">
        <v>21</v>
      </c>
      <c r="C59" s="185"/>
      <c r="D59" s="15">
        <f>IF(F3="1",SUMIF(Data!A:A,'16'!$A$2,Data!DR:DR),0)</f>
        <v>308724</v>
      </c>
      <c r="E59" s="18">
        <f>IF(F3="1",SUMIF(Data!$A:$A,'16'!$A$2,Data!JL:JL),0)</f>
        <v>272149</v>
      </c>
      <c r="F59" s="22">
        <f t="shared" si="3"/>
        <v>0.88152848498982905</v>
      </c>
    </row>
    <row r="60" spans="1:6" x14ac:dyDescent="0.2">
      <c r="A60" s="20">
        <v>25</v>
      </c>
      <c r="B60" s="184" t="s">
        <v>22</v>
      </c>
      <c r="C60" s="185"/>
      <c r="D60" s="15">
        <f>IF(F3="1",SUMIF(Data!A:A,'16'!$A$2,Data!DS:DS),0)</f>
        <v>2010864</v>
      </c>
      <c r="E60" s="18">
        <f>IF(F3="1",SUMIF(Data!$A:$A,'16'!$A$2,Data!JM:JM),0)</f>
        <v>382848</v>
      </c>
      <c r="F60" s="22">
        <f t="shared" si="3"/>
        <v>0.19038980259231852</v>
      </c>
    </row>
    <row r="61" spans="1:6" x14ac:dyDescent="0.2">
      <c r="A61" s="20">
        <v>26</v>
      </c>
      <c r="B61" s="184" t="s">
        <v>23</v>
      </c>
      <c r="C61" s="185"/>
      <c r="D61" s="15">
        <f>IF(F3="1",SUMIF(Data!A:A,'16'!$A$2,Data!DT:DT),0)</f>
        <v>383292</v>
      </c>
      <c r="E61" s="18">
        <f>IF(F3="1",SUMIF(Data!$A:$A,'16'!$A$2,Data!JN:JN),0)</f>
        <v>288041</v>
      </c>
      <c r="F61" s="22">
        <f t="shared" si="3"/>
        <v>0.75149233482566813</v>
      </c>
    </row>
    <row r="62" spans="1:6" x14ac:dyDescent="0.2">
      <c r="A62" s="20">
        <v>28</v>
      </c>
      <c r="B62" s="184" t="s">
        <v>24</v>
      </c>
      <c r="C62" s="185"/>
      <c r="D62" s="15">
        <f>IF(F3="1",SUMIF(Data!A:A,'16'!$A$2,Data!DV:DV),0)</f>
        <v>0</v>
      </c>
      <c r="E62" s="18">
        <f>IF(F3="1",SUMIF(Data!$A:$A,'16'!$A$2,Data!JP:JP),0)</f>
        <v>0</v>
      </c>
      <c r="F62" s="22" t="str">
        <f t="shared" si="3"/>
        <v/>
      </c>
    </row>
    <row r="63" spans="1:6" ht="15.75" customHeight="1" thickBot="1" x14ac:dyDescent="0.25">
      <c r="A63" s="23">
        <v>29</v>
      </c>
      <c r="B63" s="186" t="s">
        <v>25</v>
      </c>
      <c r="C63" s="187"/>
      <c r="D63" s="24">
        <f>IF(F3="1",SUMIF(Data!A:A,'16'!$A$2,Data!DW:DW),0)</f>
        <v>0</v>
      </c>
      <c r="E63" s="25">
        <f>IF(F3="1",SUMIF(Data!$A:$A,'16'!$A$2,Data!JQ:JQ),0)</f>
        <v>0</v>
      </c>
      <c r="F63" s="26" t="str">
        <f t="shared" si="3"/>
        <v/>
      </c>
    </row>
    <row r="64" spans="1:6" x14ac:dyDescent="0.2">
      <c r="B64" s="31" t="s">
        <v>35</v>
      </c>
      <c r="C64" s="31"/>
      <c r="D64" s="61">
        <f>SUM(D36:D63)</f>
        <v>10039883</v>
      </c>
      <c r="E64" s="32">
        <f>SUM(E36:E63)</f>
        <v>6815386</v>
      </c>
      <c r="F64" s="33">
        <f t="shared" si="3"/>
        <v>0.67883121745542252</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1904</v>
      </c>
      <c r="E67" s="16">
        <f>IF(F3="1",SUMIF(Data!A:A,'16'!$A$2,Data!DY:DY),0)</f>
        <v>3275</v>
      </c>
      <c r="F67" s="21">
        <f>IFERROR(E67/D67,"")</f>
        <v>1.7200630252100841</v>
      </c>
    </row>
    <row r="68" spans="1:6" x14ac:dyDescent="0.2">
      <c r="A68" s="20">
        <v>2</v>
      </c>
      <c r="B68" s="184" t="s">
        <v>1</v>
      </c>
      <c r="C68" s="185"/>
      <c r="D68" s="15">
        <f t="shared" ref="D68:D94" si="4">D37</f>
        <v>81792</v>
      </c>
      <c r="E68" s="18">
        <f>IF(F3="1",SUMIF(Data!A:A,'16'!$A$2,Data!DZ:DZ),0)</f>
        <v>223892</v>
      </c>
      <c r="F68" s="22">
        <f t="shared" ref="F68:F95" si="5">IFERROR(E68/D68,"")</f>
        <v>2.7373337245696399</v>
      </c>
    </row>
    <row r="69" spans="1:6" ht="14.25" customHeight="1" x14ac:dyDescent="0.2">
      <c r="A69" s="20">
        <v>3</v>
      </c>
      <c r="B69" s="184" t="s">
        <v>2</v>
      </c>
      <c r="C69" s="185"/>
      <c r="D69" s="15">
        <f t="shared" si="4"/>
        <v>1330080</v>
      </c>
      <c r="E69" s="18">
        <f>IF(F3="1",SUMIF(Data!A:A,'16'!$A$2,Data!EA:EA),0)</f>
        <v>3071871</v>
      </c>
      <c r="F69" s="22">
        <f t="shared" si="5"/>
        <v>2.3095385239985564</v>
      </c>
    </row>
    <row r="70" spans="1:6" ht="14.25" customHeight="1" x14ac:dyDescent="0.2">
      <c r="A70" s="20">
        <v>4</v>
      </c>
      <c r="B70" s="184" t="s">
        <v>3</v>
      </c>
      <c r="C70" s="185"/>
      <c r="D70" s="15">
        <f t="shared" si="4"/>
        <v>434395</v>
      </c>
      <c r="E70" s="18">
        <f>IF(F3="1",SUMIF(Data!A:A,'16'!$A$2,Data!EB:EB),0)</f>
        <v>1576579</v>
      </c>
      <c r="F70" s="22">
        <f t="shared" si="5"/>
        <v>3.6293672809309498</v>
      </c>
    </row>
    <row r="71" spans="1:6" x14ac:dyDescent="0.2">
      <c r="A71" s="20">
        <v>5</v>
      </c>
      <c r="B71" s="184" t="s">
        <v>4</v>
      </c>
      <c r="C71" s="185"/>
      <c r="D71" s="15">
        <f t="shared" si="4"/>
        <v>0</v>
      </c>
      <c r="E71" s="18">
        <f>IF(F3="1",SUMIF(Data!A:A,'16'!$A$2,Data!EC:EC),0)</f>
        <v>0</v>
      </c>
      <c r="F71" s="22" t="str">
        <f t="shared" si="5"/>
        <v/>
      </c>
    </row>
    <row r="72" spans="1:6" x14ac:dyDescent="0.2">
      <c r="A72" s="20">
        <v>6</v>
      </c>
      <c r="B72" s="184" t="s">
        <v>5</v>
      </c>
      <c r="C72" s="185"/>
      <c r="D72" s="15">
        <f t="shared" si="4"/>
        <v>157831</v>
      </c>
      <c r="E72" s="18">
        <f>IF(F3="1",SUMIF(Data!A:A,'16'!$A$2,Data!ED:ED),0)</f>
        <v>1129744</v>
      </c>
      <c r="F72" s="22">
        <f t="shared" si="5"/>
        <v>7.1579347529952928</v>
      </c>
    </row>
    <row r="73" spans="1:6" x14ac:dyDescent="0.2">
      <c r="A73" s="20">
        <v>7</v>
      </c>
      <c r="B73" s="184" t="s">
        <v>6</v>
      </c>
      <c r="C73" s="185"/>
      <c r="D73" s="15">
        <f t="shared" si="4"/>
        <v>279580</v>
      </c>
      <c r="E73" s="18">
        <f>IF(F3="1",SUMIF(Data!A:A,'16'!$A$2,Data!EE:EE),0)</f>
        <v>977644</v>
      </c>
      <c r="F73" s="22">
        <f t="shared" si="5"/>
        <v>3.4968309607268044</v>
      </c>
    </row>
    <row r="74" spans="1:6" x14ac:dyDescent="0.2">
      <c r="A74" s="20">
        <v>8</v>
      </c>
      <c r="B74" s="184" t="s">
        <v>7</v>
      </c>
      <c r="C74" s="185"/>
      <c r="D74" s="15">
        <f t="shared" si="4"/>
        <v>46602</v>
      </c>
      <c r="E74" s="18">
        <f>IF(F3="1",SUMIF(Data!A:A,'16'!$A$2,Data!EF:EF),0)</f>
        <v>292795</v>
      </c>
      <c r="F74" s="22">
        <f t="shared" si="5"/>
        <v>6.2828848547272651</v>
      </c>
    </row>
    <row r="75" spans="1:6" x14ac:dyDescent="0.2">
      <c r="A75" s="20">
        <v>9</v>
      </c>
      <c r="B75" s="184" t="s">
        <v>8</v>
      </c>
      <c r="C75" s="185"/>
      <c r="D75" s="15">
        <f t="shared" si="4"/>
        <v>373568</v>
      </c>
      <c r="E75" s="18">
        <f>IF(F3="1",SUMIF(Data!A:A,'16'!$A$2,Data!EG:EG),0)</f>
        <v>1362588</v>
      </c>
      <c r="F75" s="22">
        <f t="shared" si="5"/>
        <v>3.6474965735823197</v>
      </c>
    </row>
    <row r="76" spans="1:6" x14ac:dyDescent="0.2">
      <c r="A76" s="20">
        <v>10</v>
      </c>
      <c r="B76" s="184" t="s">
        <v>9</v>
      </c>
      <c r="C76" s="185"/>
      <c r="D76" s="15">
        <f t="shared" si="4"/>
        <v>24832</v>
      </c>
      <c r="E76" s="18">
        <f>IF(F3="1",SUMIF(Data!A:A,'16'!$A$2,Data!EH:EH),0)</f>
        <v>75728</v>
      </c>
      <c r="F76" s="22">
        <f t="shared" si="5"/>
        <v>3.0496134020618557</v>
      </c>
    </row>
    <row r="77" spans="1:6" x14ac:dyDescent="0.2">
      <c r="A77" s="20">
        <v>11</v>
      </c>
      <c r="B77" s="184" t="s">
        <v>10</v>
      </c>
      <c r="C77" s="185"/>
      <c r="D77" s="15">
        <f t="shared" si="4"/>
        <v>163672</v>
      </c>
      <c r="E77" s="18">
        <f>IF(F3="1",SUMIF(Data!A:A,'16'!$A$2,Data!EI:EI),0)</f>
        <v>359683</v>
      </c>
      <c r="F77" s="22">
        <f t="shared" si="5"/>
        <v>2.1975841927757953</v>
      </c>
    </row>
    <row r="78" spans="1:6" ht="14.25" customHeight="1" x14ac:dyDescent="0.2">
      <c r="A78" s="20">
        <v>12</v>
      </c>
      <c r="B78" s="184" t="s">
        <v>11</v>
      </c>
      <c r="C78" s="185"/>
      <c r="D78" s="15">
        <f t="shared" si="4"/>
        <v>2182768</v>
      </c>
      <c r="E78" s="18">
        <f>IF(F3="1",SUMIF(Data!A:A,'16'!$A$2,Data!EJ:EJ),0)</f>
        <v>7221134</v>
      </c>
      <c r="F78" s="22">
        <f t="shared" si="5"/>
        <v>3.3082462268092625</v>
      </c>
    </row>
    <row r="79" spans="1:6" x14ac:dyDescent="0.2">
      <c r="A79" s="20">
        <v>13</v>
      </c>
      <c r="B79" s="184" t="s">
        <v>12</v>
      </c>
      <c r="C79" s="185"/>
      <c r="D79" s="15">
        <f t="shared" si="4"/>
        <v>178784</v>
      </c>
      <c r="E79" s="18">
        <f>IF(F3="1",SUMIF(Data!A:A,'16'!$A$2,Data!EK:EK),0)</f>
        <v>595055</v>
      </c>
      <c r="F79" s="22">
        <f t="shared" si="5"/>
        <v>3.3283459369965991</v>
      </c>
    </row>
    <row r="80" spans="1:6" ht="14.25" customHeight="1" x14ac:dyDescent="0.2">
      <c r="A80" s="20">
        <v>14</v>
      </c>
      <c r="B80" s="184" t="s">
        <v>469</v>
      </c>
      <c r="C80" s="185"/>
      <c r="D80" s="15">
        <f t="shared" si="4"/>
        <v>282377</v>
      </c>
      <c r="E80" s="18">
        <f>IF(F3="1",SUMIF(Data!A:A,'16'!$A$2,Data!EL:EL),0)</f>
        <v>2133035</v>
      </c>
      <c r="F80" s="22">
        <f t="shared" si="5"/>
        <v>7.5538553069123902</v>
      </c>
    </row>
    <row r="81" spans="1:6" x14ac:dyDescent="0.2">
      <c r="A81" s="20">
        <v>15</v>
      </c>
      <c r="B81" s="184" t="s">
        <v>13</v>
      </c>
      <c r="C81" s="185"/>
      <c r="D81" s="15">
        <f t="shared" si="4"/>
        <v>29750</v>
      </c>
      <c r="E81" s="18">
        <f>IF(F3="1",SUMIF(Data!A:A,'16'!$A$2,Data!EM:EM),0)</f>
        <v>419184</v>
      </c>
      <c r="F81" s="22">
        <f t="shared" si="5"/>
        <v>14.090218487394958</v>
      </c>
    </row>
    <row r="82" spans="1:6" x14ac:dyDescent="0.2">
      <c r="A82" s="20">
        <v>16</v>
      </c>
      <c r="B82" s="184" t="s">
        <v>14</v>
      </c>
      <c r="C82" s="185"/>
      <c r="D82" s="15">
        <f t="shared" si="4"/>
        <v>317731</v>
      </c>
      <c r="E82" s="18">
        <f>IF(F3="1",SUMIF(Data!A:A,'16'!$A$2,Data!EN:EN),0)</f>
        <v>2077482</v>
      </c>
      <c r="F82" s="22">
        <f t="shared" si="5"/>
        <v>6.5384932537272098</v>
      </c>
    </row>
    <row r="83" spans="1:6" x14ac:dyDescent="0.2">
      <c r="A83" s="20">
        <v>17</v>
      </c>
      <c r="B83" s="184" t="s">
        <v>15</v>
      </c>
      <c r="C83" s="185"/>
      <c r="D83" s="15">
        <f t="shared" si="4"/>
        <v>21360</v>
      </c>
      <c r="E83" s="18">
        <f>IF(F3="1",SUMIF(Data!A:A,'16'!$A$2,Data!EO:EO),0)</f>
        <v>279759</v>
      </c>
      <c r="F83" s="22">
        <f t="shared" si="5"/>
        <v>13.097331460674157</v>
      </c>
    </row>
    <row r="84" spans="1:6" x14ac:dyDescent="0.2">
      <c r="A84" s="20">
        <v>18</v>
      </c>
      <c r="B84" s="184" t="s">
        <v>16</v>
      </c>
      <c r="C84" s="185"/>
      <c r="D84" s="15">
        <f t="shared" si="4"/>
        <v>74449</v>
      </c>
      <c r="E84" s="18">
        <f>IF(F3="1",SUMIF(Data!A:A,'16'!$A$2,Data!EP:EP),0)</f>
        <v>312341</v>
      </c>
      <c r="F84" s="22">
        <f t="shared" si="5"/>
        <v>4.1953686416204379</v>
      </c>
    </row>
    <row r="85" spans="1:6" x14ac:dyDescent="0.2">
      <c r="A85" s="20">
        <v>19</v>
      </c>
      <c r="B85" s="184" t="s">
        <v>17</v>
      </c>
      <c r="C85" s="185"/>
      <c r="D85" s="15">
        <f t="shared" si="4"/>
        <v>1194088</v>
      </c>
      <c r="E85" s="18">
        <f>IF(F3="1",SUMIF(Data!A:A,'16'!$A$2,Data!EQ:EQ),0)</f>
        <v>2755179</v>
      </c>
      <c r="F85" s="22">
        <f t="shared" si="5"/>
        <v>2.3073500445528303</v>
      </c>
    </row>
    <row r="86" spans="1:6" x14ac:dyDescent="0.2">
      <c r="A86" s="20">
        <v>20</v>
      </c>
      <c r="B86" s="184" t="s">
        <v>18</v>
      </c>
      <c r="C86" s="185"/>
      <c r="D86" s="15">
        <f t="shared" si="4"/>
        <v>96349</v>
      </c>
      <c r="E86" s="18">
        <f>IF(F3="1",SUMIF(Data!A:A,'16'!$A$2,Data!ER:ER),0)</f>
        <v>337952</v>
      </c>
      <c r="F86" s="22">
        <f t="shared" si="5"/>
        <v>3.5075818119544571</v>
      </c>
    </row>
    <row r="87" spans="1:6" ht="14.25" customHeight="1" x14ac:dyDescent="0.2">
      <c r="A87" s="20">
        <v>21</v>
      </c>
      <c r="B87" s="184" t="s">
        <v>466</v>
      </c>
      <c r="C87" s="185"/>
      <c r="D87" s="15">
        <f t="shared" si="4"/>
        <v>21065</v>
      </c>
      <c r="E87" s="18">
        <f>IF(F3="1",SUMIF(Data!A:A,'16'!$A$2,Data!ES:ES),0)</f>
        <v>61261</v>
      </c>
      <c r="F87" s="22">
        <f t="shared" si="5"/>
        <v>2.9081889389983386</v>
      </c>
    </row>
    <row r="88" spans="1:6" x14ac:dyDescent="0.2">
      <c r="A88" s="20">
        <v>22</v>
      </c>
      <c r="B88" s="184" t="s">
        <v>19</v>
      </c>
      <c r="C88" s="185"/>
      <c r="D88" s="15">
        <f t="shared" si="4"/>
        <v>12202</v>
      </c>
      <c r="E88" s="18">
        <f>IF(F3="1",SUMIF(Data!A:A,'16'!$A$2,Data!ET:ET),0)</f>
        <v>85535</v>
      </c>
      <c r="F88" s="22">
        <f t="shared" si="5"/>
        <v>7.0099164071463695</v>
      </c>
    </row>
    <row r="89" spans="1:6" x14ac:dyDescent="0.2">
      <c r="A89" s="20">
        <v>23</v>
      </c>
      <c r="B89" s="184" t="s">
        <v>20</v>
      </c>
      <c r="C89" s="185"/>
      <c r="D89" s="15">
        <f t="shared" si="4"/>
        <v>31824</v>
      </c>
      <c r="E89" s="18">
        <f>IF(F3="1",SUMIF(Data!A:A,'16'!$A$2,Data!EU:EU),0)</f>
        <v>225466</v>
      </c>
      <c r="F89" s="22">
        <f t="shared" si="5"/>
        <v>7.0847787833081952</v>
      </c>
    </row>
    <row r="90" spans="1:6" x14ac:dyDescent="0.2">
      <c r="A90" s="20">
        <v>24</v>
      </c>
      <c r="B90" s="184" t="s">
        <v>21</v>
      </c>
      <c r="C90" s="185"/>
      <c r="D90" s="15">
        <f t="shared" si="4"/>
        <v>308724</v>
      </c>
      <c r="E90" s="18">
        <f>IF(F3="1",SUMIF(Data!A:A,'16'!$A$2,Data!EV:EV),0)</f>
        <v>1165824</v>
      </c>
      <c r="F90" s="22">
        <f t="shared" si="5"/>
        <v>3.7762661795001362</v>
      </c>
    </row>
    <row r="91" spans="1:6" x14ac:dyDescent="0.2">
      <c r="A91" s="20">
        <v>25</v>
      </c>
      <c r="B91" s="184" t="s">
        <v>22</v>
      </c>
      <c r="C91" s="185"/>
      <c r="D91" s="15">
        <f t="shared" si="4"/>
        <v>2010864</v>
      </c>
      <c r="E91" s="18">
        <f>IF(F3="1",SUMIF(Data!A:A,'16'!$A$2,Data!EW:EW),0)</f>
        <v>4684025</v>
      </c>
      <c r="F91" s="22">
        <f t="shared" si="5"/>
        <v>2.329359419632556</v>
      </c>
    </row>
    <row r="92" spans="1:6" x14ac:dyDescent="0.2">
      <c r="A92" s="20">
        <v>26</v>
      </c>
      <c r="B92" s="184" t="s">
        <v>23</v>
      </c>
      <c r="C92" s="185"/>
      <c r="D92" s="15">
        <f t="shared" si="4"/>
        <v>383292</v>
      </c>
      <c r="E92" s="18">
        <f>IF(F3="1",SUMIF(Data!A:A,'16'!$A$2,Data!EX:EX),0)</f>
        <v>1396262</v>
      </c>
      <c r="F92" s="22">
        <f t="shared" si="5"/>
        <v>3.6428153992256558</v>
      </c>
    </row>
    <row r="93" spans="1:6" x14ac:dyDescent="0.2">
      <c r="A93" s="20">
        <v>28</v>
      </c>
      <c r="B93" s="184" t="s">
        <v>24</v>
      </c>
      <c r="C93" s="185"/>
      <c r="D93" s="15">
        <f t="shared" si="4"/>
        <v>0</v>
      </c>
      <c r="E93" s="18">
        <f>IF(F3="1",SUMIF(Data!A:A,'16'!$A$2,Data!EZ:EZ),0)</f>
        <v>0</v>
      </c>
      <c r="F93" s="22" t="str">
        <f t="shared" si="5"/>
        <v/>
      </c>
    </row>
    <row r="94" spans="1:6" ht="15.75" customHeight="1" thickBot="1" x14ac:dyDescent="0.25">
      <c r="A94" s="23">
        <v>29</v>
      </c>
      <c r="B94" s="186" t="s">
        <v>25</v>
      </c>
      <c r="C94" s="187"/>
      <c r="D94" s="24">
        <f t="shared" si="4"/>
        <v>0</v>
      </c>
      <c r="E94" s="25">
        <f>IF(F3="1",SUMIF(Data!A:A,'16'!$A$2,Data!FA:FA),0)</f>
        <v>0</v>
      </c>
      <c r="F94" s="26" t="str">
        <f t="shared" si="5"/>
        <v/>
      </c>
    </row>
    <row r="95" spans="1:6" x14ac:dyDescent="0.2">
      <c r="B95" s="31" t="s">
        <v>35</v>
      </c>
      <c r="C95" s="31"/>
      <c r="D95" s="61">
        <f>SUM(D67:D94)</f>
        <v>10039883</v>
      </c>
      <c r="E95" s="32">
        <f>SUM(E67:E94)</f>
        <v>32823293</v>
      </c>
      <c r="F95" s="33">
        <f t="shared" si="5"/>
        <v>3.269290389140989</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IF(F3="1",SUMIF(Data!A:A,'16'!$A$2,Data!AH:AH),0)</f>
        <v>16890228</v>
      </c>
      <c r="F98" s="21">
        <f t="shared" ref="F98:F105" si="6">IFERROR(E98/$D$95,0)</f>
        <v>1.6823132301442159</v>
      </c>
    </row>
    <row r="99" spans="2:6" x14ac:dyDescent="0.2">
      <c r="B99" s="190" t="s">
        <v>31</v>
      </c>
      <c r="C99" s="191"/>
      <c r="D99" s="37"/>
      <c r="E99" s="18">
        <f>IF(F3="1",SUMIF(Data!A:A,'16'!$A$2,Data!AI:AI),0)</f>
        <v>7804386</v>
      </c>
      <c r="F99" s="22">
        <f t="shared" si="6"/>
        <v>0.77733834149262493</v>
      </c>
    </row>
    <row r="100" spans="2:6" x14ac:dyDescent="0.2">
      <c r="B100" s="190" t="s">
        <v>32</v>
      </c>
      <c r="C100" s="191"/>
      <c r="D100" s="37"/>
      <c r="E100" s="18">
        <f>IF(F3="1",SUMIF(Data!A:A,'16'!$A$2,Data!AJ:AJ),0)</f>
        <v>13702548</v>
      </c>
      <c r="F100" s="22">
        <f t="shared" si="6"/>
        <v>1.3648115222059858</v>
      </c>
    </row>
    <row r="101" spans="2:6" x14ac:dyDescent="0.2">
      <c r="B101" s="190" t="s">
        <v>28</v>
      </c>
      <c r="C101" s="191"/>
      <c r="D101" s="37"/>
      <c r="E101" s="18">
        <f>IF(F3="1",SUMIF(Data!A:A,'16'!$A$2,Data!AK:AK),0)</f>
        <v>45822</v>
      </c>
      <c r="F101" s="22">
        <f t="shared" si="6"/>
        <v>4.5639974091331546E-3</v>
      </c>
    </row>
    <row r="102" spans="2:6" x14ac:dyDescent="0.2">
      <c r="B102" s="190" t="s">
        <v>33</v>
      </c>
      <c r="C102" s="191"/>
      <c r="D102" s="37"/>
      <c r="E102" s="18">
        <f>IF(F3="1",SUMIF(Data!A:A,'16'!$A$2,Data!AL:AL),0)</f>
        <v>1526952</v>
      </c>
      <c r="F102" s="22">
        <f t="shared" si="6"/>
        <v>0.1520886249371631</v>
      </c>
    </row>
    <row r="103" spans="2:6" x14ac:dyDescent="0.2">
      <c r="B103" s="192" t="s">
        <v>34</v>
      </c>
      <c r="C103" s="193"/>
      <c r="D103" s="37"/>
      <c r="E103" s="18">
        <f>IF(F3="1",SUMIF(Data!A:A,'16'!$A$2,Data!AM:AM),0)</f>
        <v>1349105</v>
      </c>
      <c r="F103" s="22">
        <f t="shared" si="6"/>
        <v>0.13437457388696661</v>
      </c>
    </row>
    <row r="104" spans="2:6" ht="15.75" customHeight="1" thickBot="1" x14ac:dyDescent="0.25">
      <c r="B104" s="182" t="s">
        <v>29</v>
      </c>
      <c r="C104" s="183"/>
      <c r="D104" s="38"/>
      <c r="E104" s="25">
        <f>IF(F3="1",SUMIF(Data!A:A,'16'!$A$2,Data!Q:Q),0)</f>
        <v>1626663</v>
      </c>
      <c r="F104" s="26">
        <f t="shared" si="6"/>
        <v>0.16202011517464895</v>
      </c>
    </row>
    <row r="105" spans="2:6" x14ac:dyDescent="0.2">
      <c r="B105" s="31" t="s">
        <v>35</v>
      </c>
      <c r="C105" s="31"/>
      <c r="D105" s="35">
        <f>D95</f>
        <v>10039883</v>
      </c>
      <c r="E105" s="32">
        <f>SUM(E98:E104)</f>
        <v>42945704</v>
      </c>
      <c r="F105" s="33">
        <f t="shared" si="6"/>
        <v>4.2775104052507382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32823293</v>
      </c>
      <c r="D109" s="16">
        <f>IF(F3="1",SUMIF(Data!$A:$A,$A$2,Data!HJ:HJ),0)</f>
        <v>0</v>
      </c>
      <c r="E109" s="16">
        <f>IF(F3="1",SUMIF(Data!$A:$A,$A$2,Data!IN:IN),0)</f>
        <v>0</v>
      </c>
      <c r="F109" s="48">
        <f>SUM(C109:E109)</f>
        <v>32823293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1526952</v>
      </c>
      <c r="F116" s="49">
        <f t="shared" si="7"/>
        <v>1526952</v>
      </c>
    </row>
    <row r="117" spans="1:6" ht="15" thickBot="1" x14ac:dyDescent="0.25">
      <c r="B117" s="44" t="s">
        <v>941</v>
      </c>
      <c r="C117" s="53"/>
      <c r="D117" s="53">
        <f>IF(F3="1",SUMIF(Data!A:A,$A$2,Data!Q:Q),0)</f>
        <v>1626663</v>
      </c>
      <c r="E117" s="53"/>
      <c r="F117" s="50">
        <f>SUM(C117:E117)</f>
        <v>1626663</v>
      </c>
    </row>
    <row r="118" spans="1:6" x14ac:dyDescent="0.2">
      <c r="B118" s="14" t="s">
        <v>35</v>
      </c>
      <c r="C118" s="5">
        <f>SUM(C109:C116)</f>
        <v>32823293</v>
      </c>
      <c r="D118" s="5">
        <f>SUM(D109:D116)</f>
        <v>0</v>
      </c>
      <c r="E118" s="5">
        <f>SUM(E109:E116)</f>
        <v>1526952</v>
      </c>
      <c r="F118" s="5">
        <f>SUM(F109:F116)</f>
        <v>34350245</v>
      </c>
    </row>
    <row r="119" spans="1:6" ht="15" thickBot="1" x14ac:dyDescent="0.25"/>
    <row r="120" spans="1:6" ht="15" thickBot="1" x14ac:dyDescent="0.25">
      <c r="B120" s="57" t="s">
        <v>942</v>
      </c>
      <c r="C120" s="55"/>
      <c r="D120" s="55"/>
      <c r="E120" s="55">
        <f>IF(F3="1",SUMIF(Data!A:A,'16'!$A$2,Data!AM:AM),0)</f>
        <v>1349105</v>
      </c>
      <c r="F120" s="56">
        <f>SUM(C120:E120)</f>
        <v>1349105</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366</v>
      </c>
      <c r="B2" s="60" t="str">
        <f>VLOOKUP(A2,Data!A:G,7,0)</f>
        <v>Frank Phillips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10488</v>
      </c>
      <c r="E5" s="16">
        <f>E36+E67+IFERROR($E$105/$D$105*D5,0)</f>
        <v>161163.93013905486</v>
      </c>
      <c r="F5" s="21">
        <f>IFERROR(E5/D5,"")</f>
        <v>15.366507450329411</v>
      </c>
    </row>
    <row r="6" spans="1:6" x14ac:dyDescent="0.2">
      <c r="A6" s="20">
        <v>2</v>
      </c>
      <c r="B6" s="184" t="s">
        <v>1</v>
      </c>
      <c r="C6" s="185"/>
      <c r="D6" s="15">
        <f t="shared" ref="D6:D32" si="0">D37</f>
        <v>81024</v>
      </c>
      <c r="E6" s="18">
        <f t="shared" ref="E6:E32" si="1">E37+E68+IFERROR($E$105/$D$105*D6,0)</f>
        <v>799437.77150903712</v>
      </c>
      <c r="F6" s="22">
        <f t="shared" ref="F6:F33" si="2">IFERROR(E6/D6,"")</f>
        <v>9.8666786570526899</v>
      </c>
    </row>
    <row r="7" spans="1:6" ht="14.25" customHeight="1" x14ac:dyDescent="0.2">
      <c r="A7" s="20">
        <v>3</v>
      </c>
      <c r="B7" s="184" t="s">
        <v>2</v>
      </c>
      <c r="C7" s="185"/>
      <c r="D7" s="15">
        <f t="shared" si="0"/>
        <v>48208</v>
      </c>
      <c r="E7" s="18">
        <f t="shared" si="1"/>
        <v>388430.38063916448</v>
      </c>
      <c r="F7" s="22">
        <f t="shared" si="2"/>
        <v>8.0573842648349743</v>
      </c>
    </row>
    <row r="8" spans="1:6" ht="14.25" customHeight="1" x14ac:dyDescent="0.2">
      <c r="A8" s="20">
        <v>4</v>
      </c>
      <c r="B8" s="184" t="s">
        <v>3</v>
      </c>
      <c r="C8" s="185"/>
      <c r="D8" s="15">
        <f t="shared" si="0"/>
        <v>26470</v>
      </c>
      <c r="E8" s="18">
        <f t="shared" si="1"/>
        <v>224277.24111182138</v>
      </c>
      <c r="F8" s="22">
        <f t="shared" si="2"/>
        <v>8.4728840616479548</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40300</v>
      </c>
      <c r="E11" s="18">
        <f t="shared" si="1"/>
        <v>757310.82118649036</v>
      </c>
      <c r="F11" s="22">
        <f t="shared" si="2"/>
        <v>18.791831791228049</v>
      </c>
    </row>
    <row r="12" spans="1:6" x14ac:dyDescent="0.2">
      <c r="A12" s="20">
        <v>8</v>
      </c>
      <c r="B12" s="184" t="s">
        <v>7</v>
      </c>
      <c r="C12" s="185"/>
      <c r="D12" s="15">
        <f t="shared" si="0"/>
        <v>3544</v>
      </c>
      <c r="E12" s="18">
        <f t="shared" si="1"/>
        <v>30684.437873074989</v>
      </c>
      <c r="F12" s="22">
        <f t="shared" si="2"/>
        <v>8.6581370973687886</v>
      </c>
    </row>
    <row r="13" spans="1:6" x14ac:dyDescent="0.2">
      <c r="A13" s="20">
        <v>9</v>
      </c>
      <c r="B13" s="184" t="s">
        <v>8</v>
      </c>
      <c r="C13" s="185"/>
      <c r="D13" s="15">
        <f t="shared" si="0"/>
        <v>35501</v>
      </c>
      <c r="E13" s="18">
        <f t="shared" si="1"/>
        <v>356311.66617721081</v>
      </c>
      <c r="F13" s="22">
        <f t="shared" si="2"/>
        <v>10.036665620044809</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40373</v>
      </c>
      <c r="E15" s="18">
        <f t="shared" si="1"/>
        <v>374836.64058963221</v>
      </c>
      <c r="F15" s="22">
        <f t="shared" si="2"/>
        <v>9.284339548451495</v>
      </c>
    </row>
    <row r="16" spans="1:6" ht="14.25" customHeight="1" x14ac:dyDescent="0.2">
      <c r="A16" s="20">
        <v>12</v>
      </c>
      <c r="B16" s="184" t="s">
        <v>11</v>
      </c>
      <c r="C16" s="185"/>
      <c r="D16" s="15">
        <f t="shared" si="0"/>
        <v>83696</v>
      </c>
      <c r="E16" s="18">
        <f t="shared" si="1"/>
        <v>619382.88719663769</v>
      </c>
      <c r="F16" s="22">
        <f t="shared" si="2"/>
        <v>7.400388157099953</v>
      </c>
    </row>
    <row r="17" spans="1:6" x14ac:dyDescent="0.2">
      <c r="A17" s="20">
        <v>13</v>
      </c>
      <c r="B17" s="184" t="s">
        <v>12</v>
      </c>
      <c r="C17" s="185"/>
      <c r="D17" s="15">
        <f t="shared" si="0"/>
        <v>10785</v>
      </c>
      <c r="E17" s="18">
        <f t="shared" si="1"/>
        <v>50926.34606690568</v>
      </c>
      <c r="F17" s="22">
        <f t="shared" si="2"/>
        <v>4.7219606923417414</v>
      </c>
    </row>
    <row r="18" spans="1:6" ht="14.25" customHeight="1" x14ac:dyDescent="0.2">
      <c r="A18" s="20">
        <v>14</v>
      </c>
      <c r="B18" s="184" t="s">
        <v>469</v>
      </c>
      <c r="C18" s="185"/>
      <c r="D18" s="15">
        <f t="shared" si="0"/>
        <v>768</v>
      </c>
      <c r="E18" s="18">
        <f t="shared" si="1"/>
        <v>4950.0452275738116</v>
      </c>
      <c r="F18" s="22">
        <f t="shared" si="2"/>
        <v>6.4453713900700675</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17472</v>
      </c>
      <c r="E20" s="18">
        <f t="shared" si="1"/>
        <v>180061.52892730423</v>
      </c>
      <c r="F20" s="22">
        <f t="shared" si="2"/>
        <v>10.305719375418054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41098</v>
      </c>
      <c r="E22" s="18">
        <f t="shared" si="1"/>
        <v>337240.69630576635</v>
      </c>
      <c r="F22" s="22">
        <f t="shared" si="2"/>
        <v>8.2057690472958864</v>
      </c>
    </row>
    <row r="23" spans="1:6" x14ac:dyDescent="0.2">
      <c r="A23" s="20">
        <v>19</v>
      </c>
      <c r="B23" s="184" t="s">
        <v>17</v>
      </c>
      <c r="C23" s="185"/>
      <c r="D23" s="15">
        <f t="shared" si="0"/>
        <v>63952</v>
      </c>
      <c r="E23" s="18">
        <f t="shared" si="1"/>
        <v>546882.30780442758</v>
      </c>
      <c r="F23" s="22">
        <f t="shared" si="2"/>
        <v>8.5514496466791901</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933</v>
      </c>
      <c r="E25" s="18">
        <f t="shared" si="1"/>
        <v>6776.6096319353737</v>
      </c>
      <c r="F25" s="22">
        <f t="shared" si="2"/>
        <v>7.2632471939285894</v>
      </c>
    </row>
    <row r="26" spans="1:6" x14ac:dyDescent="0.2">
      <c r="A26" s="20">
        <v>22</v>
      </c>
      <c r="B26" s="184" t="s">
        <v>19</v>
      </c>
      <c r="C26" s="185"/>
      <c r="D26" s="15">
        <f t="shared" si="0"/>
        <v>1280</v>
      </c>
      <c r="E26" s="18">
        <f t="shared" si="1"/>
        <v>7049.4087126230206</v>
      </c>
      <c r="F26" s="22">
        <f t="shared" si="2"/>
        <v>5.5073505567367347</v>
      </c>
    </row>
    <row r="27" spans="1:6" x14ac:dyDescent="0.2">
      <c r="A27" s="20">
        <v>23</v>
      </c>
      <c r="B27" s="184" t="s">
        <v>20</v>
      </c>
      <c r="C27" s="185"/>
      <c r="D27" s="15">
        <f t="shared" si="0"/>
        <v>31766</v>
      </c>
      <c r="E27" s="18">
        <f t="shared" si="1"/>
        <v>319410.34466029913</v>
      </c>
      <c r="F27" s="22">
        <f t="shared" si="2"/>
        <v>10.055101198145788</v>
      </c>
    </row>
    <row r="28" spans="1:6" x14ac:dyDescent="0.2">
      <c r="A28" s="20">
        <v>24</v>
      </c>
      <c r="B28" s="184" t="s">
        <v>21</v>
      </c>
      <c r="C28" s="185"/>
      <c r="D28" s="15">
        <f t="shared" si="0"/>
        <v>5384</v>
      </c>
      <c r="E28" s="18">
        <f t="shared" si="1"/>
        <v>30331.337897470577</v>
      </c>
      <c r="F28" s="22">
        <f t="shared" si="2"/>
        <v>5.633606593140895</v>
      </c>
    </row>
    <row r="29" spans="1:6" x14ac:dyDescent="0.2">
      <c r="A29" s="20">
        <v>25</v>
      </c>
      <c r="B29" s="184" t="s">
        <v>22</v>
      </c>
      <c r="C29" s="185"/>
      <c r="D29" s="15">
        <f t="shared" si="0"/>
        <v>89792</v>
      </c>
      <c r="E29" s="18">
        <f t="shared" si="1"/>
        <v>737784.12119050487</v>
      </c>
      <c r="F29" s="22">
        <f t="shared" si="2"/>
        <v>8.2165908008564781</v>
      </c>
    </row>
    <row r="30" spans="1:6" x14ac:dyDescent="0.2">
      <c r="A30" s="20">
        <v>26</v>
      </c>
      <c r="B30" s="184" t="s">
        <v>23</v>
      </c>
      <c r="C30" s="185"/>
      <c r="D30" s="15">
        <f t="shared" si="0"/>
        <v>14824</v>
      </c>
      <c r="E30" s="18">
        <f t="shared" si="1"/>
        <v>102739.47715306535</v>
      </c>
      <c r="F30" s="22">
        <f t="shared" si="2"/>
        <v>6.9306177248425094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647658</v>
      </c>
      <c r="E33" s="32">
        <f>SUM(E5:E32)</f>
        <v>6035988</v>
      </c>
      <c r="F33" s="33">
        <f t="shared" si="2"/>
        <v>9.3197150347868778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IF(F3="1",SUMIF(Data!A:A,'17'!$A$2,Data!CU:CU),0)</f>
        <v>10488</v>
      </c>
      <c r="E36" s="16">
        <f>IF(F3="1",SUMIF(Data!$A:$A,'17'!$A$2,Data!IO:IO),0)</f>
        <v>41984</v>
      </c>
      <c r="F36" s="21">
        <f t="shared" ref="F36:F64" si="3">IFERROR(E36/D36,"")</f>
        <v>4.0030511060259348</v>
      </c>
    </row>
    <row r="37" spans="1:6" x14ac:dyDescent="0.2">
      <c r="A37" s="20">
        <v>2</v>
      </c>
      <c r="B37" s="184" t="s">
        <v>1</v>
      </c>
      <c r="C37" s="185"/>
      <c r="D37" s="15">
        <f>IF(F3="1",SUMIF(Data!A:A,'17'!$A$2,Data!CV:CV),0)</f>
        <v>81024</v>
      </c>
      <c r="E37" s="18">
        <f>IF(F3="1",SUMIF(Data!$A:$A,'17'!$A$2,Data!IP:IP),0)</f>
        <v>239083</v>
      </c>
      <c r="F37" s="22">
        <f t="shared" si="3"/>
        <v>2.9507676737756716</v>
      </c>
    </row>
    <row r="38" spans="1:6" ht="14.25" customHeight="1" x14ac:dyDescent="0.2">
      <c r="A38" s="20">
        <v>3</v>
      </c>
      <c r="B38" s="184" t="s">
        <v>2</v>
      </c>
      <c r="C38" s="185"/>
      <c r="D38" s="15">
        <f>IF(F3="1",SUMIF(Data!A:A,'17'!$A$2,Data!CW:CW),0)</f>
        <v>48208</v>
      </c>
      <c r="E38" s="18">
        <f>IF(F3="1",SUMIF(Data!$A:$A,'17'!$A$2,Data!IQ:IQ),0)</f>
        <v>22760</v>
      </c>
      <c r="F38" s="22">
        <f t="shared" si="3"/>
        <v>0.4721208098240956</v>
      </c>
    </row>
    <row r="39" spans="1:6" ht="14.25" customHeight="1" x14ac:dyDescent="0.2">
      <c r="A39" s="20">
        <v>4</v>
      </c>
      <c r="B39" s="184" t="s">
        <v>3</v>
      </c>
      <c r="C39" s="185"/>
      <c r="D39" s="15">
        <f>IF(F3="1",SUMIF(Data!A:A,'17'!$A$2,Data!CX:CX),0)</f>
        <v>26470</v>
      </c>
      <c r="E39" s="18">
        <f>IF(F3="1",SUMIF(Data!$A:$A,'17'!$A$2,Data!IR:IR),0)</f>
        <v>23783</v>
      </c>
      <c r="F39" s="22">
        <f t="shared" si="3"/>
        <v>0.89848885530789568</v>
      </c>
    </row>
    <row r="40" spans="1:6" x14ac:dyDescent="0.2">
      <c r="A40" s="20">
        <v>5</v>
      </c>
      <c r="B40" s="184" t="s">
        <v>4</v>
      </c>
      <c r="C40" s="185"/>
      <c r="D40" s="15">
        <f>IF(F3="1",SUMIF(Data!A:A,'17'!$A$2,Data!CY:CY),0)</f>
        <v>0</v>
      </c>
      <c r="E40" s="18">
        <f>IF(F3="1",SUMIF(Data!$A:$A,'17'!$A$2,Data!IS:IS),0)</f>
        <v>0</v>
      </c>
      <c r="F40" s="22" t="str">
        <f t="shared" si="3"/>
        <v/>
      </c>
    </row>
    <row r="41" spans="1:6" x14ac:dyDescent="0.2">
      <c r="A41" s="20">
        <v>6</v>
      </c>
      <c r="B41" s="184" t="s">
        <v>5</v>
      </c>
      <c r="C41" s="185"/>
      <c r="D41" s="15">
        <f>IF(F3="1",SUMIF(Data!A:A,'17'!$A$2,Data!CZ:CZ),0)</f>
        <v>0</v>
      </c>
      <c r="E41" s="18">
        <f>IF(F3="1",SUMIF(Data!$A:$A,'17'!$A$2,Data!IT:IT),0)</f>
        <v>0</v>
      </c>
      <c r="F41" s="22" t="str">
        <f t="shared" si="3"/>
        <v/>
      </c>
    </row>
    <row r="42" spans="1:6" x14ac:dyDescent="0.2">
      <c r="A42" s="20">
        <v>7</v>
      </c>
      <c r="B42" s="184" t="s">
        <v>6</v>
      </c>
      <c r="C42" s="185"/>
      <c r="D42" s="15">
        <f>IF(F3="1",SUMIF(Data!A:A,'17'!$A$2,Data!DA:DA),0)</f>
        <v>40300</v>
      </c>
      <c r="E42" s="18">
        <f>IF(F3="1",SUMIF(Data!$A:$A,'17'!$A$2,Data!IU:IU),0)</f>
        <v>470816</v>
      </c>
      <c r="F42" s="22">
        <f t="shared" si="3"/>
        <v>11.682779156327543</v>
      </c>
    </row>
    <row r="43" spans="1:6" x14ac:dyDescent="0.2">
      <c r="A43" s="20">
        <v>8</v>
      </c>
      <c r="B43" s="184" t="s">
        <v>7</v>
      </c>
      <c r="C43" s="185"/>
      <c r="D43" s="15">
        <f>IF(F3="1",SUMIF(Data!A:A,'17'!$A$2,Data!DB:DB),0)</f>
        <v>3544</v>
      </c>
      <c r="E43" s="18">
        <f>IF(F3="1",SUMIF(Data!$A:$A,'17'!$A$2,Data!IV:IV),0)</f>
        <v>11999</v>
      </c>
      <c r="F43" s="22">
        <f t="shared" si="3"/>
        <v>3.3857223476297968</v>
      </c>
    </row>
    <row r="44" spans="1:6" x14ac:dyDescent="0.2">
      <c r="A44" s="20">
        <v>9</v>
      </c>
      <c r="B44" s="184" t="s">
        <v>8</v>
      </c>
      <c r="C44" s="185"/>
      <c r="D44" s="15">
        <f>IF(F3="1",SUMIF(Data!A:A,'17'!$A$2,Data!DC:DC),0)</f>
        <v>35501</v>
      </c>
      <c r="E44" s="18">
        <f>IF(F3="1",SUMIF(Data!$A:$A,'17'!$A$2,Data!IW:IW),0)</f>
        <v>76630</v>
      </c>
      <c r="F44" s="22">
        <f t="shared" si="3"/>
        <v>2.1585307456127998</v>
      </c>
    </row>
    <row r="45" spans="1:6" x14ac:dyDescent="0.2">
      <c r="A45" s="20">
        <v>10</v>
      </c>
      <c r="B45" s="184" t="s">
        <v>9</v>
      </c>
      <c r="C45" s="185"/>
      <c r="D45" s="15">
        <f>IF(F3="1",SUMIF(Data!A:A,'17'!$A$2,Data!DD:DD),0)</f>
        <v>0</v>
      </c>
      <c r="E45" s="18">
        <f>IF(F3="1",SUMIF(Data!$A:$A,'17'!$A$2,Data!IX:IX),0)</f>
        <v>0</v>
      </c>
      <c r="F45" s="22" t="str">
        <f t="shared" si="3"/>
        <v/>
      </c>
    </row>
    <row r="46" spans="1:6" x14ac:dyDescent="0.2">
      <c r="A46" s="20">
        <v>11</v>
      </c>
      <c r="B46" s="184" t="s">
        <v>10</v>
      </c>
      <c r="C46" s="185"/>
      <c r="D46" s="15">
        <f>IF(F3="1",SUMIF(Data!A:A,'17'!$A$2,Data!DE:DE),0)</f>
        <v>40373</v>
      </c>
      <c r="E46" s="18">
        <f>IF(F3="1",SUMIF(Data!$A:$A,'17'!$A$2,Data!IY:IY),0)</f>
        <v>8004</v>
      </c>
      <c r="F46" s="22">
        <f t="shared" si="3"/>
        <v>0.19825130656626955</v>
      </c>
    </row>
    <row r="47" spans="1:6" ht="14.25" customHeight="1" x14ac:dyDescent="0.2">
      <c r="A47" s="20">
        <v>12</v>
      </c>
      <c r="B47" s="184" t="s">
        <v>11</v>
      </c>
      <c r="C47" s="185"/>
      <c r="D47" s="15">
        <f>IF(F3="1",SUMIF(Data!A:A,'17'!$A$2,Data!DF:DF),0)</f>
        <v>83696</v>
      </c>
      <c r="E47" s="18">
        <f>IF(F3="1",SUMIF(Data!$A:$A,'17'!$A$2,Data!IZ:IZ),0)</f>
        <v>22425</v>
      </c>
      <c r="F47" s="22">
        <f t="shared" si="3"/>
        <v>0.26793395144331866</v>
      </c>
    </row>
    <row r="48" spans="1:6" x14ac:dyDescent="0.2">
      <c r="A48" s="20">
        <v>13</v>
      </c>
      <c r="B48" s="184" t="s">
        <v>12</v>
      </c>
      <c r="C48" s="185"/>
      <c r="D48" s="15">
        <f>IF(F3="1",SUMIF(Data!A:A,'17'!$A$2,Data!DG:DG),0)</f>
        <v>10785</v>
      </c>
      <c r="E48" s="18">
        <f>IF(F3="1",SUMIF(Data!$A:$A,'17'!$A$2,Data!JA:JA),0)</f>
        <v>17</v>
      </c>
      <c r="F48" s="22">
        <f t="shared" si="3"/>
        <v>1.5762633286972648E-3</v>
      </c>
    </row>
    <row r="49" spans="1:6" ht="14.25" customHeight="1" x14ac:dyDescent="0.2">
      <c r="A49" s="20">
        <v>14</v>
      </c>
      <c r="B49" s="184" t="s">
        <v>469</v>
      </c>
      <c r="C49" s="185"/>
      <c r="D49" s="15">
        <f>IF(F3="1",SUMIF(Data!A:A,'17'!$A$2,Data!DH:DH),0)</f>
        <v>768</v>
      </c>
      <c r="E49" s="18">
        <f>IF(F3="1",SUMIF(Data!$A:$A,'17'!$A$2,Data!JB:JB),0)</f>
        <v>896</v>
      </c>
      <c r="F49" s="22">
        <f t="shared" si="3"/>
        <v>1.1666666666666667</v>
      </c>
    </row>
    <row r="50" spans="1:6" x14ac:dyDescent="0.2">
      <c r="A50" s="20">
        <v>15</v>
      </c>
      <c r="B50" s="184" t="s">
        <v>13</v>
      </c>
      <c r="C50" s="185"/>
      <c r="D50" s="15">
        <f>IF(F3="1",SUMIF(Data!A:A,'17'!$A$2,Data!DI:DI),0)</f>
        <v>0</v>
      </c>
      <c r="E50" s="18">
        <f>IF(F3="1",SUMIF(Data!$A:$A,'17'!$A$2,Data!JC:JC),0)</f>
        <v>0</v>
      </c>
      <c r="F50" s="22" t="str">
        <f t="shared" si="3"/>
        <v/>
      </c>
    </row>
    <row r="51" spans="1:6" x14ac:dyDescent="0.2">
      <c r="A51" s="20">
        <v>16</v>
      </c>
      <c r="B51" s="184" t="s">
        <v>14</v>
      </c>
      <c r="C51" s="185"/>
      <c r="D51" s="15">
        <f>IF(F3="1",SUMIF(Data!A:A,'17'!$A$2,Data!DJ:DJ),0)</f>
        <v>17472</v>
      </c>
      <c r="E51" s="18">
        <f>IF(F3="1",SUMIF(Data!$A:$A,'17'!$A$2,Data!JD:JD),0)</f>
        <v>7917</v>
      </c>
      <c r="F51" s="22">
        <f t="shared" si="3"/>
        <v>0.453125</v>
      </c>
    </row>
    <row r="52" spans="1:6" x14ac:dyDescent="0.2">
      <c r="A52" s="20">
        <v>17</v>
      </c>
      <c r="B52" s="184" t="s">
        <v>15</v>
      </c>
      <c r="C52" s="185"/>
      <c r="D52" s="15">
        <f>IF(F3="1",SUMIF(Data!A:A,'17'!$A$2,Data!DK:DK),0)</f>
        <v>0</v>
      </c>
      <c r="E52" s="18">
        <f>IF(F3="1",SUMIF(Data!$A:$A,'17'!$A$2,Data!JE:JE),0)</f>
        <v>0</v>
      </c>
      <c r="F52" s="22" t="str">
        <f t="shared" si="3"/>
        <v/>
      </c>
    </row>
    <row r="53" spans="1:6" x14ac:dyDescent="0.2">
      <c r="A53" s="20">
        <v>18</v>
      </c>
      <c r="B53" s="184" t="s">
        <v>16</v>
      </c>
      <c r="C53" s="185"/>
      <c r="D53" s="15">
        <f>IF(F3="1",SUMIF(Data!A:A,'17'!$A$2,Data!DL:DL),0)</f>
        <v>41098</v>
      </c>
      <c r="E53" s="18">
        <f>IF(F3="1",SUMIF(Data!$A:$A,'17'!$A$2,Data!JF:JF),0)</f>
        <v>32941</v>
      </c>
      <c r="F53" s="22">
        <f t="shared" si="3"/>
        <v>0.80152318847632487</v>
      </c>
    </row>
    <row r="54" spans="1:6" x14ac:dyDescent="0.2">
      <c r="A54" s="20">
        <v>19</v>
      </c>
      <c r="B54" s="184" t="s">
        <v>17</v>
      </c>
      <c r="C54" s="185"/>
      <c r="D54" s="15">
        <f>IF(F3="1",SUMIF(Data!A:A,'17'!$A$2,Data!DM:DM),0)</f>
        <v>63952</v>
      </c>
      <c r="E54" s="18">
        <f>IF(F3="1",SUMIF(Data!$A:$A,'17'!$A$2,Data!JG:JG),0)</f>
        <v>22934</v>
      </c>
      <c r="F54" s="22">
        <f t="shared" si="3"/>
        <v>0.35861270953214913</v>
      </c>
    </row>
    <row r="55" spans="1:6" x14ac:dyDescent="0.2">
      <c r="A55" s="20">
        <v>20</v>
      </c>
      <c r="B55" s="184" t="s">
        <v>18</v>
      </c>
      <c r="C55" s="185"/>
      <c r="D55" s="15">
        <f>IF(F3="1",SUMIF(Data!A:A,'17'!$A$2,Data!DN:DN),0)</f>
        <v>0</v>
      </c>
      <c r="E55" s="18">
        <f>IF(F3="1",SUMIF(Data!$A:$A,'17'!$A$2,Data!JH:JH),0)</f>
        <v>0</v>
      </c>
      <c r="F55" s="22" t="str">
        <f t="shared" si="3"/>
        <v/>
      </c>
    </row>
    <row r="56" spans="1:6" ht="14.25" customHeight="1" x14ac:dyDescent="0.2">
      <c r="A56" s="20">
        <v>21</v>
      </c>
      <c r="B56" s="184" t="s">
        <v>466</v>
      </c>
      <c r="C56" s="185"/>
      <c r="D56" s="15">
        <f>IF(F3="1",SUMIF(Data!A:A,'17'!$A$2,Data!DO:DO),0)</f>
        <v>933</v>
      </c>
      <c r="E56" s="18">
        <f>IF(F3="1",SUMIF(Data!$A:$A,'17'!$A$2,Data!JI:JI),0)</f>
        <v>1459</v>
      </c>
      <c r="F56" s="22">
        <f t="shared" si="3"/>
        <v>1.5637727759914255</v>
      </c>
    </row>
    <row r="57" spans="1:6" x14ac:dyDescent="0.2">
      <c r="A57" s="20">
        <v>22</v>
      </c>
      <c r="B57" s="184" t="s">
        <v>19</v>
      </c>
      <c r="C57" s="185"/>
      <c r="D57" s="15">
        <f>IF(F3="1",SUMIF(Data!A:A,'17'!$A$2,Data!DP:DP),0)</f>
        <v>1280</v>
      </c>
      <c r="E57" s="18">
        <f>IF(F3="1",SUMIF(Data!$A:$A,'17'!$A$2,Data!JJ:JJ),0)</f>
        <v>1051</v>
      </c>
      <c r="F57" s="22">
        <f t="shared" si="3"/>
        <v>0.82109374999999996</v>
      </c>
    </row>
    <row r="58" spans="1:6" x14ac:dyDescent="0.2">
      <c r="A58" s="20">
        <v>23</v>
      </c>
      <c r="B58" s="184" t="s">
        <v>20</v>
      </c>
      <c r="C58" s="185"/>
      <c r="D58" s="15">
        <f>IF(F3="1",SUMIF(Data!A:A,'17'!$A$2,Data!DQ:DQ),0)</f>
        <v>31766</v>
      </c>
      <c r="E58" s="18">
        <f>IF(F3="1",SUMIF(Data!$A:$A,'17'!$A$2,Data!JK:JK),0)</f>
        <v>12651</v>
      </c>
      <c r="F58" s="22">
        <f t="shared" si="3"/>
        <v>0.39825599697790093</v>
      </c>
    </row>
    <row r="59" spans="1:6" x14ac:dyDescent="0.2">
      <c r="A59" s="20">
        <v>24</v>
      </c>
      <c r="B59" s="184" t="s">
        <v>21</v>
      </c>
      <c r="C59" s="185"/>
      <c r="D59" s="15">
        <f>IF(F3="1",SUMIF(Data!A:A,'17'!$A$2,Data!DR:DR),0)</f>
        <v>5384</v>
      </c>
      <c r="E59" s="18">
        <f>IF(F3="1",SUMIF(Data!$A:$A,'17'!$A$2,Data!JL:JL),0)</f>
        <v>3916</v>
      </c>
      <c r="F59" s="22">
        <f t="shared" si="3"/>
        <v>0.72734026745913816</v>
      </c>
    </row>
    <row r="60" spans="1:6" x14ac:dyDescent="0.2">
      <c r="A60" s="20">
        <v>25</v>
      </c>
      <c r="B60" s="184" t="s">
        <v>22</v>
      </c>
      <c r="C60" s="185"/>
      <c r="D60" s="15">
        <f>IF(F3="1",SUMIF(Data!A:A,'17'!$A$2,Data!DS:DS),0)</f>
        <v>89792</v>
      </c>
      <c r="E60" s="18">
        <f>IF(F3="1",SUMIF(Data!$A:$A,'17'!$A$2,Data!JM:JM),0)</f>
        <v>12257</v>
      </c>
      <c r="F60" s="22">
        <f t="shared" si="3"/>
        <v>0.13650436564504634</v>
      </c>
    </row>
    <row r="61" spans="1:6" x14ac:dyDescent="0.2">
      <c r="A61" s="20">
        <v>26</v>
      </c>
      <c r="B61" s="184" t="s">
        <v>23</v>
      </c>
      <c r="C61" s="185"/>
      <c r="D61" s="15">
        <f>IF(F3="1",SUMIF(Data!A:A,'17'!$A$2,Data!DT:DT),0)</f>
        <v>14824</v>
      </c>
      <c r="E61" s="18">
        <f>IF(F3="1",SUMIF(Data!$A:$A,'17'!$A$2,Data!JN:JN),0)</f>
        <v>9139</v>
      </c>
      <c r="F61" s="22">
        <f t="shared" si="3"/>
        <v>0.61650026983270367</v>
      </c>
    </row>
    <row r="62" spans="1:6" x14ac:dyDescent="0.2">
      <c r="A62" s="20">
        <v>28</v>
      </c>
      <c r="B62" s="184" t="s">
        <v>24</v>
      </c>
      <c r="C62" s="185"/>
      <c r="D62" s="15">
        <f>IF(F3="1",SUMIF(Data!A:A,'17'!$A$2,Data!DV:DV),0)</f>
        <v>0</v>
      </c>
      <c r="E62" s="18">
        <f>IF(F3="1",SUMIF(Data!$A:$A,'17'!$A$2,Data!JP:JP),0)</f>
        <v>0</v>
      </c>
      <c r="F62" s="22" t="str">
        <f t="shared" si="3"/>
        <v/>
      </c>
    </row>
    <row r="63" spans="1:6" ht="15.75" customHeight="1" thickBot="1" x14ac:dyDescent="0.25">
      <c r="A63" s="23">
        <v>29</v>
      </c>
      <c r="B63" s="186" t="s">
        <v>25</v>
      </c>
      <c r="C63" s="187"/>
      <c r="D63" s="24">
        <f>IF(F3="1",SUMIF(Data!A:A,'17'!$A$2,Data!DW:DW),0)</f>
        <v>0</v>
      </c>
      <c r="E63" s="25">
        <f>IF(F3="1",SUMIF(Data!$A:$A,'17'!$A$2,Data!JQ:JQ),0)</f>
        <v>0</v>
      </c>
      <c r="F63" s="26" t="str">
        <f t="shared" si="3"/>
        <v/>
      </c>
    </row>
    <row r="64" spans="1:6" x14ac:dyDescent="0.2">
      <c r="B64" s="31" t="s">
        <v>35</v>
      </c>
      <c r="C64" s="31"/>
      <c r="D64" s="61">
        <f>SUM(D36:D63)</f>
        <v>647658</v>
      </c>
      <c r="E64" s="32">
        <f>SUM(E36:E63)</f>
        <v>1022662</v>
      </c>
      <c r="F64" s="33">
        <f t="shared" si="3"/>
        <v>1.5790154680402311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10488</v>
      </c>
      <c r="E67" s="16">
        <f>IF(F3="1",SUMIF(Data!A:A,'17'!$A$2,Data!DY:DY),0)</f>
        <v>70645</v>
      </c>
      <c r="F67" s="21">
        <f>IFERROR(E67/D67,"")</f>
        <v>6.735793287566743</v>
      </c>
    </row>
    <row r="68" spans="1:6" x14ac:dyDescent="0.2">
      <c r="A68" s="20">
        <v>2</v>
      </c>
      <c r="B68" s="184" t="s">
        <v>1</v>
      </c>
      <c r="C68" s="185"/>
      <c r="D68" s="15">
        <f t="shared" ref="D68:D94" si="4">D37</f>
        <v>81024</v>
      </c>
      <c r="E68" s="18">
        <f>IF(F3="1",SUMIF(Data!A:A,'17'!$A$2,Data!DZ:DZ),0)</f>
        <v>185403</v>
      </c>
      <c r="F68" s="22">
        <f t="shared" ref="F68:F95" si="5">IFERROR(E68/D68,"")</f>
        <v>2.2882479265402842</v>
      </c>
    </row>
    <row r="69" spans="1:6" ht="14.25" customHeight="1" x14ac:dyDescent="0.2">
      <c r="A69" s="20">
        <v>3</v>
      </c>
      <c r="B69" s="184" t="s">
        <v>2</v>
      </c>
      <c r="C69" s="185"/>
      <c r="D69" s="15">
        <f t="shared" si="4"/>
        <v>48208</v>
      </c>
      <c r="E69" s="18">
        <f>IF(F3="1",SUMIF(Data!A:A,'17'!$A$2,Data!EA:EA),0)</f>
        <v>142580</v>
      </c>
      <c r="F69" s="22">
        <f t="shared" si="5"/>
        <v>2.9576003982741454</v>
      </c>
    </row>
    <row r="70" spans="1:6" ht="14.25" customHeight="1" x14ac:dyDescent="0.2">
      <c r="A70" s="20">
        <v>4</v>
      </c>
      <c r="B70" s="184" t="s">
        <v>3</v>
      </c>
      <c r="C70" s="185"/>
      <c r="D70" s="15">
        <f t="shared" si="4"/>
        <v>26470</v>
      </c>
      <c r="E70" s="18">
        <f>IF(F3="1",SUMIF(Data!A:A,'17'!$A$2,Data!EB:EB),0)</f>
        <v>78000</v>
      </c>
      <c r="F70" s="22">
        <f t="shared" si="5"/>
        <v>2.9467321496033243</v>
      </c>
    </row>
    <row r="71" spans="1:6" x14ac:dyDescent="0.2">
      <c r="A71" s="20">
        <v>5</v>
      </c>
      <c r="B71" s="184" t="s">
        <v>4</v>
      </c>
      <c r="C71" s="185"/>
      <c r="D71" s="15">
        <f t="shared" si="4"/>
        <v>0</v>
      </c>
      <c r="E71" s="18">
        <f>IF(F3="1",SUMIF(Data!A:A,'17'!$A$2,Data!EC:EC),0)</f>
        <v>0</v>
      </c>
      <c r="F71" s="22" t="str">
        <f t="shared" si="5"/>
        <v/>
      </c>
    </row>
    <row r="72" spans="1:6" x14ac:dyDescent="0.2">
      <c r="A72" s="20">
        <v>6</v>
      </c>
      <c r="B72" s="184" t="s">
        <v>5</v>
      </c>
      <c r="C72" s="185"/>
      <c r="D72" s="15">
        <f t="shared" si="4"/>
        <v>0</v>
      </c>
      <c r="E72" s="18">
        <f>IF(F3="1",SUMIF(Data!A:A,'17'!$A$2,Data!ED:ED),0)</f>
        <v>0</v>
      </c>
      <c r="F72" s="22" t="str">
        <f t="shared" si="5"/>
        <v/>
      </c>
    </row>
    <row r="73" spans="1:6" x14ac:dyDescent="0.2">
      <c r="A73" s="20">
        <v>7</v>
      </c>
      <c r="B73" s="184" t="s">
        <v>6</v>
      </c>
      <c r="C73" s="185"/>
      <c r="D73" s="15">
        <f t="shared" si="4"/>
        <v>40300</v>
      </c>
      <c r="E73" s="18">
        <f>IF(F3="1",SUMIF(Data!A:A,'17'!$A$2,Data!EE:EE),0)</f>
        <v>100000</v>
      </c>
      <c r="F73" s="22">
        <f t="shared" si="5"/>
        <v>2.4813895781637716</v>
      </c>
    </row>
    <row r="74" spans="1:6" x14ac:dyDescent="0.2">
      <c r="A74" s="20">
        <v>8</v>
      </c>
      <c r="B74" s="184" t="s">
        <v>7</v>
      </c>
      <c r="C74" s="185"/>
      <c r="D74" s="15">
        <f t="shared" si="4"/>
        <v>3544</v>
      </c>
      <c r="E74" s="18">
        <f>IF(F3="1",SUMIF(Data!A:A,'17'!$A$2,Data!EF:EF),0)</f>
        <v>2285</v>
      </c>
      <c r="F74" s="22">
        <f t="shared" si="5"/>
        <v>0.64475169300225732</v>
      </c>
    </row>
    <row r="75" spans="1:6" x14ac:dyDescent="0.2">
      <c r="A75" s="20">
        <v>9</v>
      </c>
      <c r="B75" s="184" t="s">
        <v>8</v>
      </c>
      <c r="C75" s="185"/>
      <c r="D75" s="15">
        <f t="shared" si="4"/>
        <v>35501</v>
      </c>
      <c r="E75" s="18">
        <f>IF(F3="1",SUMIF(Data!A:A,'17'!$A$2,Data!EG:EG),0)</f>
        <v>115395</v>
      </c>
      <c r="F75" s="22">
        <f t="shared" si="5"/>
        <v>3.250471817695276</v>
      </c>
    </row>
    <row r="76" spans="1:6" x14ac:dyDescent="0.2">
      <c r="A76" s="20">
        <v>10</v>
      </c>
      <c r="B76" s="184" t="s">
        <v>9</v>
      </c>
      <c r="C76" s="185"/>
      <c r="D76" s="15">
        <f t="shared" si="4"/>
        <v>0</v>
      </c>
      <c r="E76" s="18">
        <f>IF(F3="1",SUMIF(Data!A:A,'17'!$A$2,Data!EH:EH),0)</f>
        <v>0</v>
      </c>
      <c r="F76" s="22" t="str">
        <f t="shared" si="5"/>
        <v/>
      </c>
    </row>
    <row r="77" spans="1:6" x14ac:dyDescent="0.2">
      <c r="A77" s="20">
        <v>11</v>
      </c>
      <c r="B77" s="184" t="s">
        <v>10</v>
      </c>
      <c r="C77" s="185"/>
      <c r="D77" s="15">
        <f t="shared" si="4"/>
        <v>40373</v>
      </c>
      <c r="E77" s="18">
        <f>IF(F3="1",SUMIF(Data!A:A,'17'!$A$2,Data!EI:EI),0)</f>
        <v>180000</v>
      </c>
      <c r="F77" s="22">
        <f t="shared" si="5"/>
        <v>4.4584251851484904</v>
      </c>
    </row>
    <row r="78" spans="1:6" ht="14.25" customHeight="1" x14ac:dyDescent="0.2">
      <c r="A78" s="20">
        <v>12</v>
      </c>
      <c r="B78" s="184" t="s">
        <v>11</v>
      </c>
      <c r="C78" s="185"/>
      <c r="D78" s="15">
        <f t="shared" si="4"/>
        <v>83696</v>
      </c>
      <c r="E78" s="18">
        <f>IF(F3="1",SUMIF(Data!A:A,'17'!$A$2,Data!EJ:EJ),0)</f>
        <v>209641</v>
      </c>
      <c r="F78" s="22">
        <f t="shared" si="5"/>
        <v>2.5047911489199004</v>
      </c>
    </row>
    <row r="79" spans="1:6" x14ac:dyDescent="0.2">
      <c r="A79" s="20">
        <v>13</v>
      </c>
      <c r="B79" s="184" t="s">
        <v>12</v>
      </c>
      <c r="C79" s="185"/>
      <c r="D79" s="15">
        <f t="shared" si="4"/>
        <v>10785</v>
      </c>
      <c r="E79" s="18">
        <f>IF(F3="1",SUMIF(Data!A:A,'17'!$A$2,Data!EK:EK),0)</f>
        <v>1000</v>
      </c>
      <c r="F79" s="22">
        <f t="shared" si="5"/>
        <v>9.2721372276309694E-2</v>
      </c>
    </row>
    <row r="80" spans="1:6" ht="14.25" customHeight="1" x14ac:dyDescent="0.2">
      <c r="A80" s="20">
        <v>14</v>
      </c>
      <c r="B80" s="184" t="s">
        <v>469</v>
      </c>
      <c r="C80" s="185"/>
      <c r="D80" s="15">
        <f t="shared" si="4"/>
        <v>768</v>
      </c>
      <c r="E80" s="18">
        <f>IF(F3="1",SUMIF(Data!A:A,'17'!$A$2,Data!EL:EL),0)</f>
        <v>500</v>
      </c>
      <c r="F80" s="22">
        <f t="shared" si="5"/>
        <v>0.65104166666666663</v>
      </c>
    </row>
    <row r="81" spans="1:6" x14ac:dyDescent="0.2">
      <c r="A81" s="20">
        <v>15</v>
      </c>
      <c r="B81" s="184" t="s">
        <v>13</v>
      </c>
      <c r="C81" s="185"/>
      <c r="D81" s="15">
        <f t="shared" si="4"/>
        <v>0</v>
      </c>
      <c r="E81" s="18">
        <f>IF(F3="1",SUMIF(Data!A:A,'17'!$A$2,Data!EM:EM),0)</f>
        <v>0</v>
      </c>
      <c r="F81" s="22" t="str">
        <f t="shared" si="5"/>
        <v/>
      </c>
    </row>
    <row r="82" spans="1:6" x14ac:dyDescent="0.2">
      <c r="A82" s="20">
        <v>16</v>
      </c>
      <c r="B82" s="184" t="s">
        <v>14</v>
      </c>
      <c r="C82" s="185"/>
      <c r="D82" s="15">
        <f t="shared" si="4"/>
        <v>17472</v>
      </c>
      <c r="E82" s="18">
        <f>IF(F3="1",SUMIF(Data!A:A,'17'!$A$2,Data!EN:EN),0)</f>
        <v>91290</v>
      </c>
      <c r="F82" s="22">
        <f t="shared" si="5"/>
        <v>5.2249313186813184</v>
      </c>
    </row>
    <row r="83" spans="1:6" x14ac:dyDescent="0.2">
      <c r="A83" s="20">
        <v>17</v>
      </c>
      <c r="B83" s="184" t="s">
        <v>15</v>
      </c>
      <c r="C83" s="185"/>
      <c r="D83" s="15">
        <f t="shared" si="4"/>
        <v>0</v>
      </c>
      <c r="E83" s="18">
        <f>IF(F3="1",SUMIF(Data!A:A,'17'!$A$2,Data!EO:EO),0)</f>
        <v>0</v>
      </c>
      <c r="F83" s="22" t="str">
        <f t="shared" si="5"/>
        <v/>
      </c>
    </row>
    <row r="84" spans="1:6" x14ac:dyDescent="0.2">
      <c r="A84" s="20">
        <v>18</v>
      </c>
      <c r="B84" s="184" t="s">
        <v>16</v>
      </c>
      <c r="C84" s="185"/>
      <c r="D84" s="15">
        <f t="shared" si="4"/>
        <v>41098</v>
      </c>
      <c r="E84" s="18">
        <f>IF(F3="1",SUMIF(Data!A:A,'17'!$A$2,Data!EP:EP),0)</f>
        <v>114112</v>
      </c>
      <c r="F84" s="22">
        <f t="shared" si="5"/>
        <v>2.7765828020828263</v>
      </c>
    </row>
    <row r="85" spans="1:6" x14ac:dyDescent="0.2">
      <c r="A85" s="20">
        <v>19</v>
      </c>
      <c r="B85" s="184" t="s">
        <v>17</v>
      </c>
      <c r="C85" s="185"/>
      <c r="D85" s="15">
        <f t="shared" si="4"/>
        <v>63952</v>
      </c>
      <c r="E85" s="18">
        <f>IF(F3="1",SUMIF(Data!A:A,'17'!$A$2,Data!EQ:EQ),0)</f>
        <v>228000</v>
      </c>
      <c r="F85" s="22">
        <f t="shared" si="5"/>
        <v>3.5651738804103079</v>
      </c>
    </row>
    <row r="86" spans="1:6" x14ac:dyDescent="0.2">
      <c r="A86" s="20">
        <v>20</v>
      </c>
      <c r="B86" s="184" t="s">
        <v>18</v>
      </c>
      <c r="C86" s="185"/>
      <c r="D86" s="15">
        <f t="shared" si="4"/>
        <v>0</v>
      </c>
      <c r="E86" s="18">
        <f>IF(F3="1",SUMIF(Data!A:A,'17'!$A$2,Data!ER:ER),0)</f>
        <v>0</v>
      </c>
      <c r="F86" s="22" t="str">
        <f t="shared" si="5"/>
        <v/>
      </c>
    </row>
    <row r="87" spans="1:6" ht="14.25" customHeight="1" x14ac:dyDescent="0.2">
      <c r="A87" s="20">
        <v>21</v>
      </c>
      <c r="B87" s="184" t="s">
        <v>466</v>
      </c>
      <c r="C87" s="185"/>
      <c r="D87" s="15">
        <f t="shared" si="4"/>
        <v>933</v>
      </c>
      <c r="E87" s="18">
        <f>IF(F3="1",SUMIF(Data!A:A,'17'!$A$2,Data!ES:ES),0)</f>
        <v>1000</v>
      </c>
      <c r="F87" s="22">
        <f t="shared" si="5"/>
        <v>1.0718113612004287</v>
      </c>
    </row>
    <row r="88" spans="1:6" x14ac:dyDescent="0.2">
      <c r="A88" s="20">
        <v>22</v>
      </c>
      <c r="B88" s="184" t="s">
        <v>19</v>
      </c>
      <c r="C88" s="185"/>
      <c r="D88" s="15">
        <f t="shared" si="4"/>
        <v>1280</v>
      </c>
      <c r="E88" s="18">
        <f>IF(F3="1",SUMIF(Data!A:A,'17'!$A$2,Data!ET:ET),0)</f>
        <v>75</v>
      </c>
      <c r="F88" s="22">
        <f t="shared" si="5"/>
        <v>5.859375E-2</v>
      </c>
    </row>
    <row r="89" spans="1:6" x14ac:dyDescent="0.2">
      <c r="A89" s="20">
        <v>23</v>
      </c>
      <c r="B89" s="184" t="s">
        <v>20</v>
      </c>
      <c r="C89" s="185"/>
      <c r="D89" s="15">
        <f t="shared" si="4"/>
        <v>31766</v>
      </c>
      <c r="E89" s="18">
        <f>IF(F3="1",SUMIF(Data!A:A,'17'!$A$2,Data!EU:EU),0)</f>
        <v>159757</v>
      </c>
      <c r="F89" s="22">
        <f t="shared" si="5"/>
        <v>5.0291821444311529</v>
      </c>
    </row>
    <row r="90" spans="1:6" x14ac:dyDescent="0.2">
      <c r="A90" s="20">
        <v>24</v>
      </c>
      <c r="B90" s="184" t="s">
        <v>21</v>
      </c>
      <c r="C90" s="185"/>
      <c r="D90" s="15">
        <f t="shared" si="4"/>
        <v>5384</v>
      </c>
      <c r="E90" s="18">
        <f>IF(F3="1",SUMIF(Data!A:A,'17'!$A$2,Data!EV:EV),0)</f>
        <v>1500</v>
      </c>
      <c r="F90" s="22">
        <f t="shared" si="5"/>
        <v>0.2786032689450223</v>
      </c>
    </row>
    <row r="91" spans="1:6" x14ac:dyDescent="0.2">
      <c r="A91" s="20">
        <v>25</v>
      </c>
      <c r="B91" s="184" t="s">
        <v>22</v>
      </c>
      <c r="C91" s="185"/>
      <c r="D91" s="15">
        <f t="shared" si="4"/>
        <v>89792</v>
      </c>
      <c r="E91" s="18">
        <f>IF(F3="1",SUMIF(Data!A:A,'17'!$A$2,Data!EW:EW),0)</f>
        <v>310000</v>
      </c>
      <c r="F91" s="22">
        <f t="shared" si="5"/>
        <v>3.4524233784746969</v>
      </c>
    </row>
    <row r="92" spans="1:6" x14ac:dyDescent="0.2">
      <c r="A92" s="20">
        <v>26</v>
      </c>
      <c r="B92" s="184" t="s">
        <v>23</v>
      </c>
      <c r="C92" s="185"/>
      <c r="D92" s="15">
        <f t="shared" si="4"/>
        <v>14824</v>
      </c>
      <c r="E92" s="18">
        <f>IF(F3="1",SUMIF(Data!A:A,'17'!$A$2,Data!EX:EX),0)</f>
        <v>25000</v>
      </c>
      <c r="F92" s="22">
        <f t="shared" si="5"/>
        <v>1.6864543982730706</v>
      </c>
    </row>
    <row r="93" spans="1:6" x14ac:dyDescent="0.2">
      <c r="A93" s="20">
        <v>28</v>
      </c>
      <c r="B93" s="184" t="s">
        <v>24</v>
      </c>
      <c r="C93" s="185"/>
      <c r="D93" s="15">
        <f t="shared" si="4"/>
        <v>0</v>
      </c>
      <c r="E93" s="18">
        <f>IF(F3="1",SUMIF(Data!A:A,'17'!$A$2,Data!EZ:EZ),0)</f>
        <v>0</v>
      </c>
      <c r="F93" s="22" t="str">
        <f t="shared" si="5"/>
        <v/>
      </c>
    </row>
    <row r="94" spans="1:6" ht="15.75" customHeight="1" thickBot="1" x14ac:dyDescent="0.25">
      <c r="A94" s="23">
        <v>29</v>
      </c>
      <c r="B94" s="186" t="s">
        <v>25</v>
      </c>
      <c r="C94" s="187"/>
      <c r="D94" s="24">
        <f t="shared" si="4"/>
        <v>0</v>
      </c>
      <c r="E94" s="25">
        <f>IF(F3="1",SUMIF(Data!A:A,'17'!$A$2,Data!FA:FA),0)</f>
        <v>0</v>
      </c>
      <c r="F94" s="26" t="str">
        <f t="shared" si="5"/>
        <v/>
      </c>
    </row>
    <row r="95" spans="1:6" x14ac:dyDescent="0.2">
      <c r="B95" s="31" t="s">
        <v>35</v>
      </c>
      <c r="C95" s="31"/>
      <c r="D95" s="61">
        <f>SUM(D67:D94)</f>
        <v>647658</v>
      </c>
      <c r="E95" s="32">
        <f>SUM(E67:E94)</f>
        <v>2016183</v>
      </c>
      <c r="F95" s="33">
        <f t="shared" si="5"/>
        <v>3.1130365100099127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IF(F3="1",SUMIF(Data!A:A,'17'!$A$2,Data!AH:AH),0)</f>
        <v>1567009</v>
      </c>
      <c r="F98" s="21">
        <f t="shared" ref="F98:F105" si="6">IFERROR(E98/$D$95,0)</f>
        <v>2.4195007241476212</v>
      </c>
    </row>
    <row r="99" spans="2:6" x14ac:dyDescent="0.2">
      <c r="B99" s="190" t="s">
        <v>31</v>
      </c>
      <c r="C99" s="191"/>
      <c r="D99" s="37"/>
      <c r="E99" s="18">
        <f>IF(F3="1",SUMIF(Data!A:A,'17'!$A$2,Data!AI:AI),0)</f>
        <v>644820</v>
      </c>
      <c r="F99" s="22">
        <f t="shared" si="6"/>
        <v>0.99561805767858957</v>
      </c>
    </row>
    <row r="100" spans="2:6" x14ac:dyDescent="0.2">
      <c r="B100" s="190" t="s">
        <v>32</v>
      </c>
      <c r="C100" s="191"/>
      <c r="D100" s="37"/>
      <c r="E100" s="18">
        <f>IF(F3="1",SUMIF(Data!A:A,'17'!$A$2,Data!AJ:AJ),0)</f>
        <v>175713</v>
      </c>
      <c r="F100" s="22">
        <f t="shared" si="6"/>
        <v>0.27130522590626532</v>
      </c>
    </row>
    <row r="101" spans="2:6" x14ac:dyDescent="0.2">
      <c r="B101" s="190" t="s">
        <v>28</v>
      </c>
      <c r="C101" s="191"/>
      <c r="D101" s="37"/>
      <c r="E101" s="18">
        <f>IF(F3="1",SUMIF(Data!A:A,'17'!$A$2,Data!AK:AK),0)</f>
        <v>0</v>
      </c>
      <c r="F101" s="22">
        <f t="shared" si="6"/>
        <v>0</v>
      </c>
    </row>
    <row r="102" spans="2:6" x14ac:dyDescent="0.2">
      <c r="B102" s="190" t="s">
        <v>33</v>
      </c>
      <c r="C102" s="191"/>
      <c r="D102" s="37"/>
      <c r="E102" s="18">
        <f>IF(F3="1",SUMIF(Data!A:A,'17'!$A$2,Data!AL:AL),0)</f>
        <v>119114</v>
      </c>
      <c r="F102" s="22">
        <f t="shared" si="6"/>
        <v>0.18391496746739791</v>
      </c>
    </row>
    <row r="103" spans="2:6" x14ac:dyDescent="0.2">
      <c r="B103" s="192" t="s">
        <v>34</v>
      </c>
      <c r="C103" s="193"/>
      <c r="D103" s="37"/>
      <c r="E103" s="18">
        <f>IF(F3="1",SUMIF(Data!A:A,'17'!$A$2,Data!AM:AM),0)</f>
        <v>369629</v>
      </c>
      <c r="F103" s="22">
        <f t="shared" si="6"/>
        <v>0.5707163348557418</v>
      </c>
    </row>
    <row r="104" spans="2:6" ht="15.75" customHeight="1" thickBot="1" x14ac:dyDescent="0.25">
      <c r="B104" s="182" t="s">
        <v>29</v>
      </c>
      <c r="C104" s="183"/>
      <c r="D104" s="38"/>
      <c r="E104" s="25">
        <f>IF(F3="1",SUMIF(Data!A:A,'17'!$A$2,Data!Q:Q),0)</f>
        <v>120858</v>
      </c>
      <c r="F104" s="26">
        <f t="shared" si="6"/>
        <v>0.18660774668111874</v>
      </c>
    </row>
    <row r="105" spans="2:6" x14ac:dyDescent="0.2">
      <c r="B105" s="31" t="s">
        <v>35</v>
      </c>
      <c r="C105" s="31"/>
      <c r="D105" s="35">
        <f>D95</f>
        <v>647658</v>
      </c>
      <c r="E105" s="32">
        <f>SUM(E98:E104)</f>
        <v>2997143</v>
      </c>
      <c r="F105" s="33">
        <f t="shared" si="6"/>
        <v>4.6276630567367345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2016183</v>
      </c>
      <c r="D109" s="16">
        <f>IF(F3="1",SUMIF(Data!$A:$A,$A$2,Data!HJ:HJ),0)</f>
        <v>0</v>
      </c>
      <c r="E109" s="16">
        <f>IF(F3="1",SUMIF(Data!$A:$A,$A$2,Data!IN:IN),0)</f>
        <v>0</v>
      </c>
      <c r="F109" s="48">
        <f>SUM(C109:E109)</f>
        <v>2016183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119114</v>
      </c>
      <c r="F116" s="49">
        <f t="shared" si="7"/>
        <v>119114</v>
      </c>
    </row>
    <row r="117" spans="1:6" ht="15" thickBot="1" x14ac:dyDescent="0.25">
      <c r="B117" s="44" t="s">
        <v>941</v>
      </c>
      <c r="C117" s="53"/>
      <c r="D117" s="53">
        <f>IF(F3="1",SUMIF(Data!A:A,$A$2,Data!Q:Q),0)</f>
        <v>120858</v>
      </c>
      <c r="E117" s="53"/>
      <c r="F117" s="50">
        <f>SUM(C117:E117)</f>
        <v>120858</v>
      </c>
    </row>
    <row r="118" spans="1:6" x14ac:dyDescent="0.2">
      <c r="B118" s="14" t="s">
        <v>35</v>
      </c>
      <c r="C118" s="5">
        <f>SUM(C109:C116)</f>
        <v>2016183</v>
      </c>
      <c r="D118" s="5">
        <f>SUM(D109:D116)</f>
        <v>0</v>
      </c>
      <c r="E118" s="5">
        <f>SUM(E109:E116)</f>
        <v>119114</v>
      </c>
      <c r="F118" s="5">
        <f>SUM(F109:F116)</f>
        <v>2135297</v>
      </c>
    </row>
    <row r="119" spans="1:6" ht="15" thickBot="1" x14ac:dyDescent="0.25"/>
    <row r="120" spans="1:6" ht="15" thickBot="1" x14ac:dyDescent="0.25">
      <c r="B120" s="57" t="s">
        <v>942</v>
      </c>
      <c r="C120" s="55"/>
      <c r="D120" s="55"/>
      <c r="E120" s="55">
        <f>IF(F3="1",SUMIF(Data!A:A,'17'!$A$2,Data!AM:AM),0)</f>
        <v>369629</v>
      </c>
      <c r="F120" s="56">
        <f>SUM(C120:E120)</f>
        <v>369629</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424</v>
      </c>
      <c r="B2" s="60" t="str">
        <f>VLOOKUP(A2,Data!A:G,7,0)</f>
        <v>Galveston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6144</v>
      </c>
      <c r="E5" s="16">
        <f>E36+E67+IFERROR($E$105/$D$105*D5,0)</f>
        <v>59198.417945477522</v>
      </c>
      <c r="F5" s="21">
        <f>IFERROR(E5/D5,"")</f>
        <v>9.6351591708133988</v>
      </c>
    </row>
    <row r="6" spans="1:6" x14ac:dyDescent="0.2">
      <c r="A6" s="20">
        <v>2</v>
      </c>
      <c r="B6" s="184" t="s">
        <v>1</v>
      </c>
      <c r="C6" s="185"/>
      <c r="D6" s="15">
        <f t="shared" ref="D6:D32" si="0">D37</f>
        <v>4464</v>
      </c>
      <c r="E6" s="18">
        <f t="shared" ref="E6:E32" si="1">E37+E68+IFERROR($E$105/$D$105*D6,0)</f>
        <v>92686.389601011004</v>
      </c>
      <c r="F6" s="22">
        <f t="shared" ref="F6:F33" si="2">IFERROR(E6/D6,"")</f>
        <v>20.76308010775336</v>
      </c>
    </row>
    <row r="7" spans="1:6" ht="14.25" customHeight="1" x14ac:dyDescent="0.2">
      <c r="A7" s="20">
        <v>3</v>
      </c>
      <c r="B7" s="184" t="s">
        <v>2</v>
      </c>
      <c r="C7" s="185"/>
      <c r="D7" s="15">
        <f t="shared" si="0"/>
        <v>112048</v>
      </c>
      <c r="E7" s="18">
        <f t="shared" si="1"/>
        <v>1425254.280917133</v>
      </c>
      <c r="F7" s="22">
        <f t="shared" si="2"/>
        <v>12.720033208242297</v>
      </c>
    </row>
    <row r="8" spans="1:6" ht="14.25" customHeight="1" x14ac:dyDescent="0.2">
      <c r="A8" s="20">
        <v>4</v>
      </c>
      <c r="B8" s="184" t="s">
        <v>3</v>
      </c>
      <c r="C8" s="185"/>
      <c r="D8" s="15">
        <f t="shared" si="0"/>
        <v>36904</v>
      </c>
      <c r="E8" s="18">
        <f t="shared" si="1"/>
        <v>503861.05596678099</v>
      </c>
      <c r="F8" s="22">
        <f t="shared" si="2"/>
        <v>13.653291132852292</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240</v>
      </c>
      <c r="E10" s="18">
        <f t="shared" si="1"/>
        <v>4893.2897634952151</v>
      </c>
      <c r="F10" s="22">
        <f t="shared" si="2"/>
        <v>20.38870734789673</v>
      </c>
    </row>
    <row r="11" spans="1:6" x14ac:dyDescent="0.2">
      <c r="A11" s="20">
        <v>7</v>
      </c>
      <c r="B11" s="184" t="s">
        <v>6</v>
      </c>
      <c r="C11" s="185"/>
      <c r="D11" s="15">
        <f t="shared" si="0"/>
        <v>23368</v>
      </c>
      <c r="E11" s="18">
        <f t="shared" si="1"/>
        <v>263097.71330565086</v>
      </c>
      <c r="F11" s="22">
        <f t="shared" si="2"/>
        <v>11.258888792607449</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23824</v>
      </c>
      <c r="E13" s="18">
        <f t="shared" si="1"/>
        <v>286543.76385629177</v>
      </c>
      <c r="F13" s="22">
        <f t="shared" si="2"/>
        <v>12.027525346553549</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0</v>
      </c>
      <c r="E15" s="18">
        <f t="shared" si="1"/>
        <v>0</v>
      </c>
      <c r="F15" s="22" t="str">
        <f t="shared" si="2"/>
        <v/>
      </c>
    </row>
    <row r="16" spans="1:6" ht="14.25" customHeight="1" x14ac:dyDescent="0.2">
      <c r="A16" s="20">
        <v>12</v>
      </c>
      <c r="B16" s="184" t="s">
        <v>11</v>
      </c>
      <c r="C16" s="185"/>
      <c r="D16" s="15">
        <f t="shared" si="0"/>
        <v>122208</v>
      </c>
      <c r="E16" s="18">
        <f t="shared" si="1"/>
        <v>1379245.5475717639</v>
      </c>
      <c r="F16" s="22">
        <f t="shared" si="2"/>
        <v>11.286049584084216</v>
      </c>
    </row>
    <row r="17" spans="1:6" x14ac:dyDescent="0.2">
      <c r="A17" s="20">
        <v>13</v>
      </c>
      <c r="B17" s="184" t="s">
        <v>12</v>
      </c>
      <c r="C17" s="185"/>
      <c r="D17" s="15">
        <f t="shared" si="0"/>
        <v>11866</v>
      </c>
      <c r="E17" s="18">
        <f t="shared" si="1"/>
        <v>150272.20139014261</v>
      </c>
      <c r="F17" s="22">
        <f t="shared" si="2"/>
        <v>12.664099223844818</v>
      </c>
    </row>
    <row r="18" spans="1:6" ht="14.25" customHeight="1" x14ac:dyDescent="0.2">
      <c r="A18" s="20">
        <v>14</v>
      </c>
      <c r="B18" s="184" t="s">
        <v>469</v>
      </c>
      <c r="C18" s="185"/>
      <c r="D18" s="15">
        <f t="shared" si="0"/>
        <v>92736</v>
      </c>
      <c r="E18" s="18">
        <f t="shared" si="1"/>
        <v>1927876.9646145513</v>
      </c>
      <c r="F18" s="22">
        <f t="shared" si="2"/>
        <v>20.788873410698663</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162446</v>
      </c>
      <c r="E20" s="18">
        <f t="shared" si="1"/>
        <v>1665052.7538364325</v>
      </c>
      <c r="F20" s="22">
        <f t="shared" si="2"/>
        <v>10.249884600645338</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39264</v>
      </c>
      <c r="E22" s="18">
        <f t="shared" si="1"/>
        <v>606225.40530781727</v>
      </c>
      <c r="F22" s="22">
        <f t="shared" si="2"/>
        <v>15.439726092803006</v>
      </c>
    </row>
    <row r="23" spans="1:6" x14ac:dyDescent="0.2">
      <c r="A23" s="20">
        <v>19</v>
      </c>
      <c r="B23" s="184" t="s">
        <v>17</v>
      </c>
      <c r="C23" s="185"/>
      <c r="D23" s="15">
        <f t="shared" si="0"/>
        <v>96992</v>
      </c>
      <c r="E23" s="18">
        <f t="shared" si="1"/>
        <v>1038696.1030871999</v>
      </c>
      <c r="F23" s="22">
        <f t="shared" si="2"/>
        <v>10.709090472278124</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320</v>
      </c>
      <c r="E26" s="18">
        <f t="shared" si="1"/>
        <v>5508.3863513269544</v>
      </c>
      <c r="F26" s="22">
        <f t="shared" si="2"/>
        <v>17.213707347896733</v>
      </c>
    </row>
    <row r="27" spans="1:6" x14ac:dyDescent="0.2">
      <c r="A27" s="20">
        <v>23</v>
      </c>
      <c r="B27" s="184" t="s">
        <v>20</v>
      </c>
      <c r="C27" s="185"/>
      <c r="D27" s="15">
        <f t="shared" si="0"/>
        <v>21600</v>
      </c>
      <c r="E27" s="18">
        <f t="shared" si="1"/>
        <v>506705.07871456945</v>
      </c>
      <c r="F27" s="22">
        <f t="shared" si="2"/>
        <v>23.458568459007846</v>
      </c>
    </row>
    <row r="28" spans="1:6" x14ac:dyDescent="0.2">
      <c r="A28" s="20">
        <v>24</v>
      </c>
      <c r="B28" s="184" t="s">
        <v>21</v>
      </c>
      <c r="C28" s="185"/>
      <c r="D28" s="15">
        <f t="shared" si="0"/>
        <v>13248</v>
      </c>
      <c r="E28" s="18">
        <f t="shared" si="1"/>
        <v>202952.9949449359</v>
      </c>
      <c r="F28" s="22">
        <f t="shared" si="2"/>
        <v>15.319519545964365</v>
      </c>
    </row>
    <row r="29" spans="1:6" x14ac:dyDescent="0.2">
      <c r="A29" s="20">
        <v>25</v>
      </c>
      <c r="B29" s="184" t="s">
        <v>22</v>
      </c>
      <c r="C29" s="185"/>
      <c r="D29" s="15">
        <f t="shared" si="0"/>
        <v>119184</v>
      </c>
      <c r="E29" s="18">
        <f t="shared" si="1"/>
        <v>1338525.8965517241</v>
      </c>
      <c r="F29" s="22">
        <f t="shared" si="2"/>
        <v>11.230751582022117</v>
      </c>
    </row>
    <row r="30" spans="1:6" x14ac:dyDescent="0.2">
      <c r="A30" s="20">
        <v>26</v>
      </c>
      <c r="B30" s="184" t="s">
        <v>23</v>
      </c>
      <c r="C30" s="185"/>
      <c r="D30" s="15">
        <f t="shared" si="0"/>
        <v>43696</v>
      </c>
      <c r="E30" s="18">
        <f t="shared" si="1"/>
        <v>590980.75627369562</v>
      </c>
      <c r="F30" s="22">
        <f t="shared" si="2"/>
        <v>13.524825070342724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930552</v>
      </c>
      <c r="E33" s="32">
        <f>SUM(E5:E32)</f>
        <v>12047577</v>
      </c>
      <c r="F33" s="33">
        <f t="shared" si="2"/>
        <v>12.946699378433445</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IF(F3="1",SUMIF(Data!A:A,'18'!$A$2,Data!CU:CU),0)</f>
        <v>6144</v>
      </c>
      <c r="E36" s="16">
        <f>IF(F3="1",SUMIF(Data!$A:$A,'18'!$A$2,Data!IO:IO),0)</f>
        <v>1170</v>
      </c>
      <c r="F36" s="21">
        <f t="shared" ref="F36:F64" si="3">IFERROR(E36/D36,"")</f>
        <v>0.1904296875</v>
      </c>
    </row>
    <row r="37" spans="1:6" x14ac:dyDescent="0.2">
      <c r="A37" s="20">
        <v>2</v>
      </c>
      <c r="B37" s="184" t="s">
        <v>1</v>
      </c>
      <c r="C37" s="185"/>
      <c r="D37" s="15">
        <f>IF(F3="1",SUMIF(Data!A:A,'18'!$A$2,Data!CV:CV),0)</f>
        <v>4464</v>
      </c>
      <c r="E37" s="18">
        <f>IF(F3="1",SUMIF(Data!$A:$A,'18'!$A$2,Data!IP:IP),0)</f>
        <v>13115</v>
      </c>
      <c r="F37" s="22">
        <f t="shared" si="3"/>
        <v>2.9379480286738353</v>
      </c>
    </row>
    <row r="38" spans="1:6" ht="14.25" customHeight="1" x14ac:dyDescent="0.2">
      <c r="A38" s="20">
        <v>3</v>
      </c>
      <c r="B38" s="184" t="s">
        <v>2</v>
      </c>
      <c r="C38" s="185"/>
      <c r="D38" s="15">
        <f>IF(F3="1",SUMIF(Data!A:A,'18'!$A$2,Data!CW:CW),0)</f>
        <v>112048</v>
      </c>
      <c r="E38" s="18">
        <f>IF(F3="1",SUMIF(Data!$A:$A,'18'!$A$2,Data!IQ:IQ),0)</f>
        <v>80612</v>
      </c>
      <c r="F38" s="22">
        <f t="shared" si="3"/>
        <v>0.71944166785663288</v>
      </c>
    </row>
    <row r="39" spans="1:6" ht="14.25" customHeight="1" x14ac:dyDescent="0.2">
      <c r="A39" s="20">
        <v>4</v>
      </c>
      <c r="B39" s="184" t="s">
        <v>3</v>
      </c>
      <c r="C39" s="185"/>
      <c r="D39" s="15">
        <f>IF(F3="1",SUMIF(Data!A:A,'18'!$A$2,Data!CX:CX),0)</f>
        <v>36904</v>
      </c>
      <c r="E39" s="18">
        <f>IF(F3="1",SUMIF(Data!$A:$A,'18'!$A$2,Data!IR:IR),0)</f>
        <v>24411</v>
      </c>
      <c r="F39" s="22">
        <f t="shared" si="3"/>
        <v>0.6614730110557121</v>
      </c>
    </row>
    <row r="40" spans="1:6" x14ac:dyDescent="0.2">
      <c r="A40" s="20">
        <v>5</v>
      </c>
      <c r="B40" s="184" t="s">
        <v>4</v>
      </c>
      <c r="C40" s="185"/>
      <c r="D40" s="15">
        <f>IF(F3="1",SUMIF(Data!A:A,'18'!$A$2,Data!CY:CY),0)</f>
        <v>0</v>
      </c>
      <c r="E40" s="18">
        <f>IF(F3="1",SUMIF(Data!$A:$A,'18'!$A$2,Data!IS:IS),0)</f>
        <v>0</v>
      </c>
      <c r="F40" s="22" t="str">
        <f t="shared" si="3"/>
        <v/>
      </c>
    </row>
    <row r="41" spans="1:6" x14ac:dyDescent="0.2">
      <c r="A41" s="20">
        <v>6</v>
      </c>
      <c r="B41" s="184" t="s">
        <v>5</v>
      </c>
      <c r="C41" s="185"/>
      <c r="D41" s="15">
        <f>IF(F3="1",SUMIF(Data!A:A,'18'!$A$2,Data!CZ:CZ),0)</f>
        <v>240</v>
      </c>
      <c r="E41" s="18">
        <f>IF(F3="1",SUMIF(Data!$A:$A,'18'!$A$2,Data!IT:IT),0)</f>
        <v>298</v>
      </c>
      <c r="F41" s="22">
        <f t="shared" si="3"/>
        <v>1.2416666666666667</v>
      </c>
    </row>
    <row r="42" spans="1:6" x14ac:dyDescent="0.2">
      <c r="A42" s="20">
        <v>7</v>
      </c>
      <c r="B42" s="184" t="s">
        <v>6</v>
      </c>
      <c r="C42" s="185"/>
      <c r="D42" s="15">
        <f>IF(F3="1",SUMIF(Data!A:A,'18'!$A$2,Data!DA:DA),0)</f>
        <v>23368</v>
      </c>
      <c r="E42" s="18">
        <f>IF(F3="1",SUMIF(Data!$A:$A,'18'!$A$2,Data!IU:IU),0)</f>
        <v>10150</v>
      </c>
      <c r="F42" s="22">
        <f t="shared" si="3"/>
        <v>0.43435467305717218</v>
      </c>
    </row>
    <row r="43" spans="1:6" x14ac:dyDescent="0.2">
      <c r="A43" s="20">
        <v>8</v>
      </c>
      <c r="B43" s="184" t="s">
        <v>7</v>
      </c>
      <c r="C43" s="185"/>
      <c r="D43" s="15">
        <f>IF(F3="1",SUMIF(Data!A:A,'18'!$A$2,Data!DB:DB),0)</f>
        <v>0</v>
      </c>
      <c r="E43" s="18">
        <f>IF(F3="1",SUMIF(Data!$A:$A,'18'!$A$2,Data!IV:IV),0)</f>
        <v>0</v>
      </c>
      <c r="F43" s="22" t="str">
        <f t="shared" si="3"/>
        <v/>
      </c>
    </row>
    <row r="44" spans="1:6" x14ac:dyDescent="0.2">
      <c r="A44" s="20">
        <v>9</v>
      </c>
      <c r="B44" s="184" t="s">
        <v>8</v>
      </c>
      <c r="C44" s="185"/>
      <c r="D44" s="15">
        <f>IF(F3="1",SUMIF(Data!A:A,'18'!$A$2,Data!DC:DC),0)</f>
        <v>23824</v>
      </c>
      <c r="E44" s="18">
        <f>IF(F3="1",SUMIF(Data!$A:$A,'18'!$A$2,Data!IW:IW),0)</f>
        <v>33772</v>
      </c>
      <c r="F44" s="22">
        <f t="shared" si="3"/>
        <v>1.4175621222296844</v>
      </c>
    </row>
    <row r="45" spans="1:6" x14ac:dyDescent="0.2">
      <c r="A45" s="20">
        <v>10</v>
      </c>
      <c r="B45" s="184" t="s">
        <v>9</v>
      </c>
      <c r="C45" s="185"/>
      <c r="D45" s="15">
        <f>IF(F3="1",SUMIF(Data!A:A,'18'!$A$2,Data!DD:DD),0)</f>
        <v>0</v>
      </c>
      <c r="E45" s="18">
        <f>IF(F3="1",SUMIF(Data!$A:$A,'18'!$A$2,Data!IX:IX),0)</f>
        <v>0</v>
      </c>
      <c r="F45" s="22" t="str">
        <f t="shared" si="3"/>
        <v/>
      </c>
    </row>
    <row r="46" spans="1:6" x14ac:dyDescent="0.2">
      <c r="A46" s="20">
        <v>11</v>
      </c>
      <c r="B46" s="184" t="s">
        <v>10</v>
      </c>
      <c r="C46" s="185"/>
      <c r="D46" s="15">
        <f>IF(F3="1",SUMIF(Data!A:A,'18'!$A$2,Data!DE:DE),0)</f>
        <v>0</v>
      </c>
      <c r="E46" s="18">
        <f>IF(F3="1",SUMIF(Data!$A:$A,'18'!$A$2,Data!IY:IY),0)</f>
        <v>0</v>
      </c>
      <c r="F46" s="22" t="str">
        <f t="shared" si="3"/>
        <v/>
      </c>
    </row>
    <row r="47" spans="1:6" ht="14.25" customHeight="1" x14ac:dyDescent="0.2">
      <c r="A47" s="20">
        <v>12</v>
      </c>
      <c r="B47" s="184" t="s">
        <v>11</v>
      </c>
      <c r="C47" s="185"/>
      <c r="D47" s="15">
        <f>IF(F3="1",SUMIF(Data!A:A,'18'!$A$2,Data!DF:DF),0)</f>
        <v>122208</v>
      </c>
      <c r="E47" s="18">
        <f>IF(F3="1",SUMIF(Data!$A:$A,'18'!$A$2,Data!IZ:IZ),0)</f>
        <v>46910</v>
      </c>
      <c r="F47" s="22">
        <f t="shared" si="3"/>
        <v>0.38385375752814871</v>
      </c>
    </row>
    <row r="48" spans="1:6" x14ac:dyDescent="0.2">
      <c r="A48" s="20">
        <v>13</v>
      </c>
      <c r="B48" s="184" t="s">
        <v>12</v>
      </c>
      <c r="C48" s="185"/>
      <c r="D48" s="15">
        <f>IF(F3="1",SUMIF(Data!A:A,'18'!$A$2,Data!DG:DG),0)</f>
        <v>11866</v>
      </c>
      <c r="E48" s="18">
        <f>IF(F3="1",SUMIF(Data!$A:$A,'18'!$A$2,Data!JA:JA),0)</f>
        <v>5872</v>
      </c>
      <c r="F48" s="22">
        <f t="shared" si="3"/>
        <v>0.49485926175627842</v>
      </c>
    </row>
    <row r="49" spans="1:6" ht="14.25" customHeight="1" x14ac:dyDescent="0.2">
      <c r="A49" s="20">
        <v>14</v>
      </c>
      <c r="B49" s="184" t="s">
        <v>469</v>
      </c>
      <c r="C49" s="185"/>
      <c r="D49" s="15">
        <f>IF(F3="1",SUMIF(Data!A:A,'18'!$A$2,Data!DH:DH),0)</f>
        <v>92736</v>
      </c>
      <c r="E49" s="18">
        <f>IF(F3="1",SUMIF(Data!$A:$A,'18'!$A$2,Data!JB:JB),0)</f>
        <v>210279</v>
      </c>
      <c r="F49" s="22">
        <f t="shared" si="3"/>
        <v>2.2675012939958594</v>
      </c>
    </row>
    <row r="50" spans="1:6" x14ac:dyDescent="0.2">
      <c r="A50" s="20">
        <v>15</v>
      </c>
      <c r="B50" s="184" t="s">
        <v>13</v>
      </c>
      <c r="C50" s="185"/>
      <c r="D50" s="15">
        <f>IF(F3="1",SUMIF(Data!A:A,'18'!$A$2,Data!DI:DI),0)</f>
        <v>0</v>
      </c>
      <c r="E50" s="18">
        <f>IF(F3="1",SUMIF(Data!$A:$A,'18'!$A$2,Data!JC:JC),0)</f>
        <v>0</v>
      </c>
      <c r="F50" s="22" t="str">
        <f t="shared" si="3"/>
        <v/>
      </c>
    </row>
    <row r="51" spans="1:6" x14ac:dyDescent="0.2">
      <c r="A51" s="20">
        <v>16</v>
      </c>
      <c r="B51" s="184" t="s">
        <v>14</v>
      </c>
      <c r="C51" s="185"/>
      <c r="D51" s="15">
        <f>IF(F3="1",SUMIF(Data!A:A,'18'!$A$2,Data!DJ:DJ),0)</f>
        <v>162446</v>
      </c>
      <c r="E51" s="18">
        <f>IF(F3="1",SUMIF(Data!$A:$A,'18'!$A$2,Data!JD:JD),0)</f>
        <v>54752</v>
      </c>
      <c r="F51" s="22">
        <f t="shared" si="3"/>
        <v>0.33704738805510753</v>
      </c>
    </row>
    <row r="52" spans="1:6" x14ac:dyDescent="0.2">
      <c r="A52" s="20">
        <v>17</v>
      </c>
      <c r="B52" s="184" t="s">
        <v>15</v>
      </c>
      <c r="C52" s="185"/>
      <c r="D52" s="15">
        <f>IF(F3="1",SUMIF(Data!A:A,'18'!$A$2,Data!DK:DK),0)</f>
        <v>0</v>
      </c>
      <c r="E52" s="18">
        <f>IF(F3="1",SUMIF(Data!$A:$A,'18'!$A$2,Data!JE:JE),0)</f>
        <v>0</v>
      </c>
      <c r="F52" s="22" t="str">
        <f t="shared" si="3"/>
        <v/>
      </c>
    </row>
    <row r="53" spans="1:6" x14ac:dyDescent="0.2">
      <c r="A53" s="20">
        <v>18</v>
      </c>
      <c r="B53" s="184" t="s">
        <v>16</v>
      </c>
      <c r="C53" s="185"/>
      <c r="D53" s="15">
        <f>IF(F3="1",SUMIF(Data!A:A,'18'!$A$2,Data!DL:DL),0)</f>
        <v>39264</v>
      </c>
      <c r="E53" s="18">
        <f>IF(F3="1",SUMIF(Data!$A:$A,'18'!$A$2,Data!JF:JF),0)</f>
        <v>35529</v>
      </c>
      <c r="F53" s="22">
        <f t="shared" si="3"/>
        <v>0.90487469437652812</v>
      </c>
    </row>
    <row r="54" spans="1:6" x14ac:dyDescent="0.2">
      <c r="A54" s="20">
        <v>19</v>
      </c>
      <c r="B54" s="184" t="s">
        <v>17</v>
      </c>
      <c r="C54" s="185"/>
      <c r="D54" s="15">
        <f>IF(F3="1",SUMIF(Data!A:A,'18'!$A$2,Data!DM:DM),0)</f>
        <v>96992</v>
      </c>
      <c r="E54" s="18">
        <f>IF(F3="1",SUMIF(Data!$A:$A,'18'!$A$2,Data!JG:JG),0)</f>
        <v>35197</v>
      </c>
      <c r="F54" s="22">
        <f t="shared" si="3"/>
        <v>0.36288559881227317</v>
      </c>
    </row>
    <row r="55" spans="1:6" x14ac:dyDescent="0.2">
      <c r="A55" s="20">
        <v>20</v>
      </c>
      <c r="B55" s="184" t="s">
        <v>18</v>
      </c>
      <c r="C55" s="185"/>
      <c r="D55" s="15">
        <f>IF(F3="1",SUMIF(Data!A:A,'18'!$A$2,Data!DN:DN),0)</f>
        <v>0</v>
      </c>
      <c r="E55" s="18">
        <f>IF(F3="1",SUMIF(Data!$A:$A,'18'!$A$2,Data!JH:JH),0)</f>
        <v>0</v>
      </c>
      <c r="F55" s="22" t="str">
        <f t="shared" si="3"/>
        <v/>
      </c>
    </row>
    <row r="56" spans="1:6" ht="14.25" customHeight="1" x14ac:dyDescent="0.2">
      <c r="A56" s="20">
        <v>21</v>
      </c>
      <c r="B56" s="184" t="s">
        <v>466</v>
      </c>
      <c r="C56" s="185"/>
      <c r="D56" s="15">
        <f>IF(F3="1",SUMIF(Data!A:A,'18'!$A$2,Data!DO:DO),0)</f>
        <v>0</v>
      </c>
      <c r="E56" s="18">
        <f>IF(F3="1",SUMIF(Data!$A:$A,'18'!$A$2,Data!JI:JI),0)</f>
        <v>0</v>
      </c>
      <c r="F56" s="22" t="str">
        <f t="shared" si="3"/>
        <v/>
      </c>
    </row>
    <row r="57" spans="1:6" x14ac:dyDescent="0.2">
      <c r="A57" s="20">
        <v>22</v>
      </c>
      <c r="B57" s="184" t="s">
        <v>19</v>
      </c>
      <c r="C57" s="185"/>
      <c r="D57" s="15">
        <f>IF(F3="1",SUMIF(Data!A:A,'18'!$A$2,Data!DP:DP),0)</f>
        <v>320</v>
      </c>
      <c r="E57" s="18">
        <f>IF(F3="1",SUMIF(Data!$A:$A,'18'!$A$2,Data!JJ:JJ),0)</f>
        <v>298</v>
      </c>
      <c r="F57" s="22">
        <f t="shared" si="3"/>
        <v>0.93125000000000002</v>
      </c>
    </row>
    <row r="58" spans="1:6" x14ac:dyDescent="0.2">
      <c r="A58" s="20">
        <v>23</v>
      </c>
      <c r="B58" s="184" t="s">
        <v>20</v>
      </c>
      <c r="C58" s="185"/>
      <c r="D58" s="15">
        <f>IF(F3="1",SUMIF(Data!A:A,'18'!$A$2,Data!DQ:DQ),0)</f>
        <v>21600</v>
      </c>
      <c r="E58" s="18">
        <f>IF(F3="1",SUMIF(Data!$A:$A,'18'!$A$2,Data!JK:JK),0)</f>
        <v>258488</v>
      </c>
      <c r="F58" s="22">
        <f t="shared" si="3"/>
        <v>11.967037037037038</v>
      </c>
    </row>
    <row r="59" spans="1:6" x14ac:dyDescent="0.2">
      <c r="A59" s="20">
        <v>24</v>
      </c>
      <c r="B59" s="184" t="s">
        <v>21</v>
      </c>
      <c r="C59" s="185"/>
      <c r="D59" s="15">
        <f>IF(F3="1",SUMIF(Data!A:A,'18'!$A$2,Data!DR:DR),0)</f>
        <v>13248</v>
      </c>
      <c r="E59" s="18">
        <f>IF(F3="1",SUMIF(Data!$A:$A,'18'!$A$2,Data!JL:JL),0)</f>
        <v>26997</v>
      </c>
      <c r="F59" s="22">
        <f t="shared" si="3"/>
        <v>2.0378170289855073</v>
      </c>
    </row>
    <row r="60" spans="1:6" x14ac:dyDescent="0.2">
      <c r="A60" s="20">
        <v>25</v>
      </c>
      <c r="B60" s="184" t="s">
        <v>22</v>
      </c>
      <c r="C60" s="185"/>
      <c r="D60" s="15">
        <f>IF(F3="1",SUMIF(Data!A:A,'18'!$A$2,Data!DS:DS),0)</f>
        <v>119184</v>
      </c>
      <c r="E60" s="18">
        <f>IF(F3="1",SUMIF(Data!$A:$A,'18'!$A$2,Data!JM:JM),0)</f>
        <v>46254</v>
      </c>
      <c r="F60" s="22">
        <f t="shared" si="3"/>
        <v>0.38808900523560208</v>
      </c>
    </row>
    <row r="61" spans="1:6" x14ac:dyDescent="0.2">
      <c r="A61" s="20">
        <v>26</v>
      </c>
      <c r="B61" s="184" t="s">
        <v>23</v>
      </c>
      <c r="C61" s="185"/>
      <c r="D61" s="15">
        <f>IF(F3="1",SUMIF(Data!A:A,'18'!$A$2,Data!DT:DT),0)</f>
        <v>43696</v>
      </c>
      <c r="E61" s="18">
        <f>IF(F3="1",SUMIF(Data!$A:$A,'18'!$A$2,Data!JN:JN),0)</f>
        <v>33394</v>
      </c>
      <c r="F61" s="22">
        <f t="shared" si="3"/>
        <v>0.76423471255950204</v>
      </c>
    </row>
    <row r="62" spans="1:6" x14ac:dyDescent="0.2">
      <c r="A62" s="20">
        <v>28</v>
      </c>
      <c r="B62" s="184" t="s">
        <v>24</v>
      </c>
      <c r="C62" s="185"/>
      <c r="D62" s="15">
        <f>IF(F3="1",SUMIF(Data!A:A,'18'!$A$2,Data!DV:DV),0)</f>
        <v>0</v>
      </c>
      <c r="E62" s="18">
        <f>IF(F3="1",SUMIF(Data!$A:$A,'18'!$A$2,Data!JP:JP),0)</f>
        <v>0</v>
      </c>
      <c r="F62" s="22" t="str">
        <f t="shared" si="3"/>
        <v/>
      </c>
    </row>
    <row r="63" spans="1:6" ht="15.75" customHeight="1" thickBot="1" x14ac:dyDescent="0.25">
      <c r="A63" s="23">
        <v>29</v>
      </c>
      <c r="B63" s="186" t="s">
        <v>25</v>
      </c>
      <c r="C63" s="187"/>
      <c r="D63" s="24">
        <f>IF(F3="1",SUMIF(Data!A:A,'18'!$A$2,Data!DW:DW),0)</f>
        <v>0</v>
      </c>
      <c r="E63" s="25">
        <f>IF(F3="1",SUMIF(Data!$A:$A,'18'!$A$2,Data!JQ:JQ),0)</f>
        <v>0</v>
      </c>
      <c r="F63" s="26" t="str">
        <f t="shared" si="3"/>
        <v/>
      </c>
    </row>
    <row r="64" spans="1:6" x14ac:dyDescent="0.2">
      <c r="B64" s="31" t="s">
        <v>35</v>
      </c>
      <c r="C64" s="31"/>
      <c r="D64" s="61">
        <f>SUM(D36:D63)</f>
        <v>930552</v>
      </c>
      <c r="E64" s="32">
        <f>SUM(E36:E63)</f>
        <v>917498</v>
      </c>
      <c r="F64" s="33">
        <f t="shared" si="3"/>
        <v>0.98597176729511082</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6144</v>
      </c>
      <c r="E67" s="16">
        <f>IF(F3="1",SUMIF(Data!A:A,'18'!$A$2,Data!DY:DY),0)</f>
        <v>10789</v>
      </c>
      <c r="F67" s="21">
        <f>IFERROR(E67/D67,"")</f>
        <v>1.7560221354166667</v>
      </c>
    </row>
    <row r="68" spans="1:6" x14ac:dyDescent="0.2">
      <c r="A68" s="20">
        <v>2</v>
      </c>
      <c r="B68" s="184" t="s">
        <v>1</v>
      </c>
      <c r="C68" s="185"/>
      <c r="D68" s="15">
        <f t="shared" ref="D68:D94" si="4">D37</f>
        <v>4464</v>
      </c>
      <c r="E68" s="18">
        <f>IF(F3="1",SUMIF(Data!A:A,'18'!$A$2,Data!DZ:DZ),0)</f>
        <v>45249</v>
      </c>
      <c r="F68" s="22">
        <f t="shared" ref="F68:F95" si="5">IFERROR(E68/D68,"")</f>
        <v>10.136424731182796</v>
      </c>
    </row>
    <row r="69" spans="1:6" ht="14.25" customHeight="1" x14ac:dyDescent="0.2">
      <c r="A69" s="20">
        <v>3</v>
      </c>
      <c r="B69" s="184" t="s">
        <v>2</v>
      </c>
      <c r="C69" s="185"/>
      <c r="D69" s="15">
        <f t="shared" si="4"/>
        <v>112048</v>
      </c>
      <c r="E69" s="18">
        <f>IF(F3="1",SUMIF(Data!A:A,'18'!$A$2,Data!EA:EA),0)</f>
        <v>483138</v>
      </c>
      <c r="F69" s="22">
        <f t="shared" si="5"/>
        <v>4.3118841924889333</v>
      </c>
    </row>
    <row r="70" spans="1:6" ht="14.25" customHeight="1" x14ac:dyDescent="0.2">
      <c r="A70" s="20">
        <v>4</v>
      </c>
      <c r="B70" s="184" t="s">
        <v>3</v>
      </c>
      <c r="C70" s="185"/>
      <c r="D70" s="15">
        <f t="shared" si="4"/>
        <v>36904</v>
      </c>
      <c r="E70" s="18">
        <f>IF(F3="1",SUMIF(Data!A:A,'18'!$A$2,Data!EB:EB),0)</f>
        <v>195706</v>
      </c>
      <c r="F70" s="22">
        <f t="shared" si="5"/>
        <v>5.3031107738998484</v>
      </c>
    </row>
    <row r="71" spans="1:6" x14ac:dyDescent="0.2">
      <c r="A71" s="20">
        <v>5</v>
      </c>
      <c r="B71" s="184" t="s">
        <v>4</v>
      </c>
      <c r="C71" s="185"/>
      <c r="D71" s="15">
        <f t="shared" si="4"/>
        <v>0</v>
      </c>
      <c r="E71" s="18">
        <f>IF(F3="1",SUMIF(Data!A:A,'18'!$A$2,Data!EC:EC),0)</f>
        <v>0</v>
      </c>
      <c r="F71" s="22" t="str">
        <f t="shared" si="5"/>
        <v/>
      </c>
    </row>
    <row r="72" spans="1:6" x14ac:dyDescent="0.2">
      <c r="A72" s="20">
        <v>6</v>
      </c>
      <c r="B72" s="184" t="s">
        <v>5</v>
      </c>
      <c r="C72" s="185"/>
      <c r="D72" s="15">
        <f t="shared" si="4"/>
        <v>240</v>
      </c>
      <c r="E72" s="18">
        <f>IF(F3="1",SUMIF(Data!A:A,'18'!$A$2,Data!ED:ED),0)</f>
        <v>2750</v>
      </c>
      <c r="F72" s="22">
        <f t="shared" si="5"/>
        <v>11.458333333333334</v>
      </c>
    </row>
    <row r="73" spans="1:6" x14ac:dyDescent="0.2">
      <c r="A73" s="20">
        <v>7</v>
      </c>
      <c r="B73" s="184" t="s">
        <v>6</v>
      </c>
      <c r="C73" s="185"/>
      <c r="D73" s="15">
        <f t="shared" si="4"/>
        <v>23368</v>
      </c>
      <c r="E73" s="18">
        <f>IF(F3="1",SUMIF(Data!A:A,'18'!$A$2,Data!EE:EE),0)</f>
        <v>73278</v>
      </c>
      <c r="F73" s="22">
        <f t="shared" si="5"/>
        <v>3.1358267716535435</v>
      </c>
    </row>
    <row r="74" spans="1:6" x14ac:dyDescent="0.2">
      <c r="A74" s="20">
        <v>8</v>
      </c>
      <c r="B74" s="184" t="s">
        <v>7</v>
      </c>
      <c r="C74" s="185"/>
      <c r="D74" s="15">
        <f t="shared" si="4"/>
        <v>0</v>
      </c>
      <c r="E74" s="18">
        <f>IF(F3="1",SUMIF(Data!A:A,'18'!$A$2,Data!EF:EF),0)</f>
        <v>0</v>
      </c>
      <c r="F74" s="22" t="str">
        <f t="shared" si="5"/>
        <v/>
      </c>
    </row>
    <row r="75" spans="1:6" x14ac:dyDescent="0.2">
      <c r="A75" s="20">
        <v>9</v>
      </c>
      <c r="B75" s="184" t="s">
        <v>8</v>
      </c>
      <c r="C75" s="185"/>
      <c r="D75" s="15">
        <f t="shared" si="4"/>
        <v>23824</v>
      </c>
      <c r="E75" s="18">
        <f>IF(F3="1",SUMIF(Data!A:A,'18'!$A$2,Data!EG:EG),0)</f>
        <v>69596</v>
      </c>
      <c r="F75" s="22">
        <f t="shared" si="5"/>
        <v>2.9212558764271321</v>
      </c>
    </row>
    <row r="76" spans="1:6" x14ac:dyDescent="0.2">
      <c r="A76" s="20">
        <v>10</v>
      </c>
      <c r="B76" s="184" t="s">
        <v>9</v>
      </c>
      <c r="C76" s="185"/>
      <c r="D76" s="15">
        <f t="shared" si="4"/>
        <v>0</v>
      </c>
      <c r="E76" s="18">
        <f>IF(F3="1",SUMIF(Data!A:A,'18'!$A$2,Data!EH:EH),0)</f>
        <v>0</v>
      </c>
      <c r="F76" s="22" t="str">
        <f t="shared" si="5"/>
        <v/>
      </c>
    </row>
    <row r="77" spans="1:6" x14ac:dyDescent="0.2">
      <c r="A77" s="20">
        <v>11</v>
      </c>
      <c r="B77" s="184" t="s">
        <v>10</v>
      </c>
      <c r="C77" s="185"/>
      <c r="D77" s="15">
        <f t="shared" si="4"/>
        <v>0</v>
      </c>
      <c r="E77" s="18">
        <f>IF(F3="1",SUMIF(Data!A:A,'18'!$A$2,Data!EI:EI),0)</f>
        <v>0</v>
      </c>
      <c r="F77" s="22" t="str">
        <f t="shared" si="5"/>
        <v/>
      </c>
    </row>
    <row r="78" spans="1:6" ht="14.25" customHeight="1" x14ac:dyDescent="0.2">
      <c r="A78" s="20">
        <v>12</v>
      </c>
      <c r="B78" s="184" t="s">
        <v>11</v>
      </c>
      <c r="C78" s="185"/>
      <c r="D78" s="15">
        <f t="shared" si="4"/>
        <v>122208</v>
      </c>
      <c r="E78" s="18">
        <f>IF(F3="1",SUMIF(Data!A:A,'18'!$A$2,Data!EJ:EJ),0)</f>
        <v>392714</v>
      </c>
      <c r="F78" s="22">
        <f t="shared" si="5"/>
        <v>3.2134884786593347</v>
      </c>
    </row>
    <row r="79" spans="1:6" x14ac:dyDescent="0.2">
      <c r="A79" s="20">
        <v>13</v>
      </c>
      <c r="B79" s="184" t="s">
        <v>12</v>
      </c>
      <c r="C79" s="185"/>
      <c r="D79" s="15">
        <f t="shared" si="4"/>
        <v>11866</v>
      </c>
      <c r="E79" s="18">
        <f>IF(F3="1",SUMIF(Data!A:A,'18'!$A$2,Data!EK:EK),0)</f>
        <v>53166</v>
      </c>
      <c r="F79" s="22">
        <f t="shared" si="5"/>
        <v>4.4805326141918087</v>
      </c>
    </row>
    <row r="80" spans="1:6" ht="14.25" customHeight="1" x14ac:dyDescent="0.2">
      <c r="A80" s="20">
        <v>14</v>
      </c>
      <c r="B80" s="184" t="s">
        <v>469</v>
      </c>
      <c r="C80" s="185"/>
      <c r="D80" s="15">
        <f t="shared" si="4"/>
        <v>92736</v>
      </c>
      <c r="E80" s="18">
        <f>IF(F3="1",SUMIF(Data!A:A,'18'!$A$2,Data!EL:EL),0)</f>
        <v>1004578</v>
      </c>
      <c r="F80" s="22">
        <f t="shared" si="5"/>
        <v>10.832664768806072</v>
      </c>
    </row>
    <row r="81" spans="1:6" x14ac:dyDescent="0.2">
      <c r="A81" s="20">
        <v>15</v>
      </c>
      <c r="B81" s="184" t="s">
        <v>13</v>
      </c>
      <c r="C81" s="185"/>
      <c r="D81" s="15">
        <f t="shared" si="4"/>
        <v>0</v>
      </c>
      <c r="E81" s="18">
        <f>IF(F3="1",SUMIF(Data!A:A,'18'!$A$2,Data!EM:EM),0)</f>
        <v>0</v>
      </c>
      <c r="F81" s="22" t="str">
        <f t="shared" si="5"/>
        <v/>
      </c>
    </row>
    <row r="82" spans="1:6" x14ac:dyDescent="0.2">
      <c r="A82" s="20">
        <v>16</v>
      </c>
      <c r="B82" s="184" t="s">
        <v>14</v>
      </c>
      <c r="C82" s="185"/>
      <c r="D82" s="15">
        <f t="shared" si="4"/>
        <v>162446</v>
      </c>
      <c r="E82" s="18">
        <f>IF(F3="1",SUMIF(Data!A:A,'18'!$A$2,Data!EN:EN),0)</f>
        <v>361301</v>
      </c>
      <c r="F82" s="22">
        <f t="shared" si="5"/>
        <v>2.2241298646934982</v>
      </c>
    </row>
    <row r="83" spans="1:6" x14ac:dyDescent="0.2">
      <c r="A83" s="20">
        <v>17</v>
      </c>
      <c r="B83" s="184" t="s">
        <v>15</v>
      </c>
      <c r="C83" s="185"/>
      <c r="D83" s="15">
        <f t="shared" si="4"/>
        <v>0</v>
      </c>
      <c r="E83" s="18">
        <f>IF(F3="1",SUMIF(Data!A:A,'18'!$A$2,Data!EO:EO),0)</f>
        <v>0</v>
      </c>
      <c r="F83" s="22" t="str">
        <f t="shared" si="5"/>
        <v/>
      </c>
    </row>
    <row r="84" spans="1:6" x14ac:dyDescent="0.2">
      <c r="A84" s="20">
        <v>18</v>
      </c>
      <c r="B84" s="184" t="s">
        <v>16</v>
      </c>
      <c r="C84" s="185"/>
      <c r="D84" s="15">
        <f t="shared" si="4"/>
        <v>39264</v>
      </c>
      <c r="E84" s="18">
        <f>IF(F3="1",SUMIF(Data!A:A,'18'!$A$2,Data!EP:EP),0)</f>
        <v>268807</v>
      </c>
      <c r="F84" s="22">
        <f t="shared" si="5"/>
        <v>6.8461440505297473</v>
      </c>
    </row>
    <row r="85" spans="1:6" x14ac:dyDescent="0.2">
      <c r="A85" s="20">
        <v>19</v>
      </c>
      <c r="B85" s="184" t="s">
        <v>17</v>
      </c>
      <c r="C85" s="185"/>
      <c r="D85" s="15">
        <f t="shared" si="4"/>
        <v>96992</v>
      </c>
      <c r="E85" s="18">
        <f>IF(F3="1",SUMIF(Data!A:A,'18'!$A$2,Data!EQ:EQ),0)</f>
        <v>257756</v>
      </c>
      <c r="F85" s="22">
        <f t="shared" si="5"/>
        <v>2.6574975255691191</v>
      </c>
    </row>
    <row r="86" spans="1:6" x14ac:dyDescent="0.2">
      <c r="A86" s="20">
        <v>20</v>
      </c>
      <c r="B86" s="184" t="s">
        <v>18</v>
      </c>
      <c r="C86" s="185"/>
      <c r="D86" s="15">
        <f t="shared" si="4"/>
        <v>0</v>
      </c>
      <c r="E86" s="18">
        <f>IF(F3="1",SUMIF(Data!A:A,'18'!$A$2,Data!ER:ER),0)</f>
        <v>0</v>
      </c>
      <c r="F86" s="22" t="str">
        <f t="shared" si="5"/>
        <v/>
      </c>
    </row>
    <row r="87" spans="1:6" ht="14.25" customHeight="1" x14ac:dyDescent="0.2">
      <c r="A87" s="20">
        <v>21</v>
      </c>
      <c r="B87" s="184" t="s">
        <v>466</v>
      </c>
      <c r="C87" s="185"/>
      <c r="D87" s="15">
        <f t="shared" si="4"/>
        <v>0</v>
      </c>
      <c r="E87" s="18">
        <f>IF(F3="1",SUMIF(Data!A:A,'18'!$A$2,Data!ES:ES),0)</f>
        <v>0</v>
      </c>
      <c r="F87" s="22" t="str">
        <f t="shared" si="5"/>
        <v/>
      </c>
    </row>
    <row r="88" spans="1:6" x14ac:dyDescent="0.2">
      <c r="A88" s="20">
        <v>22</v>
      </c>
      <c r="B88" s="184" t="s">
        <v>19</v>
      </c>
      <c r="C88" s="185"/>
      <c r="D88" s="15">
        <f t="shared" si="4"/>
        <v>320</v>
      </c>
      <c r="E88" s="18">
        <f>IF(F3="1",SUMIF(Data!A:A,'18'!$A$2,Data!ET:ET),0)</f>
        <v>2750</v>
      </c>
      <c r="F88" s="22">
        <f t="shared" si="5"/>
        <v>8.59375</v>
      </c>
    </row>
    <row r="89" spans="1:6" x14ac:dyDescent="0.2">
      <c r="A89" s="20">
        <v>23</v>
      </c>
      <c r="B89" s="184" t="s">
        <v>20</v>
      </c>
      <c r="C89" s="185"/>
      <c r="D89" s="15">
        <f t="shared" si="4"/>
        <v>21600</v>
      </c>
      <c r="E89" s="18">
        <f>IF(F3="1",SUMIF(Data!A:A,'18'!$A$2,Data!EU:EU),0)</f>
        <v>82141</v>
      </c>
      <c r="F89" s="22">
        <f t="shared" si="5"/>
        <v>3.8028240740740742</v>
      </c>
    </row>
    <row r="90" spans="1:6" x14ac:dyDescent="0.2">
      <c r="A90" s="20">
        <v>24</v>
      </c>
      <c r="B90" s="184" t="s">
        <v>21</v>
      </c>
      <c r="C90" s="185"/>
      <c r="D90" s="15">
        <f t="shared" si="4"/>
        <v>13248</v>
      </c>
      <c r="E90" s="18">
        <f>IF(F3="1",SUMIF(Data!A:A,'18'!$A$2,Data!EV:EV),0)</f>
        <v>74096</v>
      </c>
      <c r="F90" s="22">
        <f t="shared" si="5"/>
        <v>5.5929951690821254</v>
      </c>
    </row>
    <row r="91" spans="1:6" x14ac:dyDescent="0.2">
      <c r="A91" s="20">
        <v>25</v>
      </c>
      <c r="B91" s="184" t="s">
        <v>22</v>
      </c>
      <c r="C91" s="185"/>
      <c r="D91" s="15">
        <f t="shared" si="4"/>
        <v>119184</v>
      </c>
      <c r="E91" s="18">
        <f>IF(F3="1",SUMIF(Data!A:A,'18'!$A$2,Data!EW:EW),0)</f>
        <v>375901</v>
      </c>
      <c r="F91" s="22">
        <f t="shared" si="5"/>
        <v>3.1539552288897839</v>
      </c>
    </row>
    <row r="92" spans="1:6" x14ac:dyDescent="0.2">
      <c r="A92" s="20">
        <v>26</v>
      </c>
      <c r="B92" s="184" t="s">
        <v>23</v>
      </c>
      <c r="C92" s="185"/>
      <c r="D92" s="15">
        <f t="shared" si="4"/>
        <v>43696</v>
      </c>
      <c r="E92" s="18">
        <f>IF(F3="1",SUMIF(Data!A:A,'18'!$A$2,Data!EX:EX),0)</f>
        <v>221621</v>
      </c>
      <c r="F92" s="22">
        <f t="shared" si="5"/>
        <v>5.0718830098864887</v>
      </c>
    </row>
    <row r="93" spans="1:6" x14ac:dyDescent="0.2">
      <c r="A93" s="20">
        <v>28</v>
      </c>
      <c r="B93" s="184" t="s">
        <v>24</v>
      </c>
      <c r="C93" s="185"/>
      <c r="D93" s="15">
        <f t="shared" si="4"/>
        <v>0</v>
      </c>
      <c r="E93" s="18">
        <f>IF(F3="1",SUMIF(Data!A:A,'18'!$A$2,Data!EZ:EZ),0)</f>
        <v>0</v>
      </c>
      <c r="F93" s="22" t="str">
        <f t="shared" si="5"/>
        <v/>
      </c>
    </row>
    <row r="94" spans="1:6" ht="15.75" customHeight="1" thickBot="1" x14ac:dyDescent="0.25">
      <c r="A94" s="23">
        <v>29</v>
      </c>
      <c r="B94" s="186" t="s">
        <v>25</v>
      </c>
      <c r="C94" s="187"/>
      <c r="D94" s="24">
        <f t="shared" si="4"/>
        <v>0</v>
      </c>
      <c r="E94" s="25">
        <f>IF(F3="1",SUMIF(Data!A:A,'18'!$A$2,Data!FA:FA),0)</f>
        <v>0</v>
      </c>
      <c r="F94" s="26" t="str">
        <f t="shared" si="5"/>
        <v/>
      </c>
    </row>
    <row r="95" spans="1:6" x14ac:dyDescent="0.2">
      <c r="B95" s="31" t="s">
        <v>35</v>
      </c>
      <c r="C95" s="31"/>
      <c r="D95" s="61">
        <f>SUM(D67:D94)</f>
        <v>930552</v>
      </c>
      <c r="E95" s="32">
        <f>SUM(E67:E94)</f>
        <v>3975337</v>
      </c>
      <c r="F95" s="33">
        <f t="shared" si="5"/>
        <v>4.2720202632416031</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IF(F3="1",SUMIF(Data!A:A,'18'!$A$2,Data!AH:AH),0)</f>
        <v>3856364</v>
      </c>
      <c r="F98" s="21">
        <f t="shared" ref="F98:F105" si="6">IFERROR(E98/$D$95,0)</f>
        <v>4.1441681926426464</v>
      </c>
    </row>
    <row r="99" spans="2:6" x14ac:dyDescent="0.2">
      <c r="B99" s="190" t="s">
        <v>31</v>
      </c>
      <c r="C99" s="191"/>
      <c r="D99" s="37"/>
      <c r="E99" s="18">
        <f>IF(F3="1",SUMIF(Data!A:A,'18'!$A$2,Data!AI:AI),0)</f>
        <v>1303551</v>
      </c>
      <c r="F99" s="22">
        <f t="shared" si="6"/>
        <v>1.4008362778221959</v>
      </c>
    </row>
    <row r="100" spans="2:6" x14ac:dyDescent="0.2">
      <c r="B100" s="190" t="s">
        <v>32</v>
      </c>
      <c r="C100" s="191"/>
      <c r="D100" s="37"/>
      <c r="E100" s="18">
        <f>IF(F3="1",SUMIF(Data!A:A,'18'!$A$2,Data!AJ:AJ),0)</f>
        <v>1430723</v>
      </c>
      <c r="F100" s="22">
        <f t="shared" si="6"/>
        <v>1.5374992477583198</v>
      </c>
    </row>
    <row r="101" spans="2:6" x14ac:dyDescent="0.2">
      <c r="B101" s="190" t="s">
        <v>28</v>
      </c>
      <c r="C101" s="191"/>
      <c r="D101" s="37"/>
      <c r="E101" s="18">
        <f>IF(F3="1",SUMIF(Data!A:A,'18'!$A$2,Data!AK:AK),0)</f>
        <v>0</v>
      </c>
      <c r="F101" s="22">
        <f t="shared" si="6"/>
        <v>0</v>
      </c>
    </row>
    <row r="102" spans="2:6" x14ac:dyDescent="0.2">
      <c r="B102" s="190" t="s">
        <v>33</v>
      </c>
      <c r="C102" s="191"/>
      <c r="D102" s="37"/>
      <c r="E102" s="18">
        <f>IF(F3="1",SUMIF(Data!A:A,'18'!$A$2,Data!AL:AL),0)</f>
        <v>0</v>
      </c>
      <c r="F102" s="22">
        <f t="shared" si="6"/>
        <v>0</v>
      </c>
    </row>
    <row r="103" spans="2:6" x14ac:dyDescent="0.2">
      <c r="B103" s="192" t="s">
        <v>34</v>
      </c>
      <c r="C103" s="193"/>
      <c r="D103" s="37"/>
      <c r="E103" s="18">
        <f>IF(F3="1",SUMIF(Data!A:A,'18'!$A$2,Data!AM:AM),0)</f>
        <v>146544</v>
      </c>
      <c r="F103" s="22">
        <f t="shared" si="6"/>
        <v>0.15748072112036726</v>
      </c>
    </row>
    <row r="104" spans="2:6" ht="15.75" customHeight="1" thickBot="1" x14ac:dyDescent="0.25">
      <c r="B104" s="182" t="s">
        <v>29</v>
      </c>
      <c r="C104" s="183"/>
      <c r="D104" s="38"/>
      <c r="E104" s="25">
        <f>IF(F3="1",SUMIF(Data!A:A,'18'!$A$2,Data!Q:Q),0)</f>
        <v>417560</v>
      </c>
      <c r="F104" s="26">
        <f t="shared" si="6"/>
        <v>0.44872290855320285</v>
      </c>
    </row>
    <row r="105" spans="2:6" x14ac:dyDescent="0.2">
      <c r="B105" s="31" t="s">
        <v>35</v>
      </c>
      <c r="C105" s="31"/>
      <c r="D105" s="35">
        <f>D95</f>
        <v>930552</v>
      </c>
      <c r="E105" s="32">
        <f>SUM(E98:E104)</f>
        <v>7154742</v>
      </c>
      <c r="F105" s="33">
        <f t="shared" si="6"/>
        <v>7.6887073478967318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3975337</v>
      </c>
      <c r="D109" s="16">
        <f>IF(F3="1",SUMIF(Data!$A:$A,$A$2,Data!HJ:HJ),0)</f>
        <v>0</v>
      </c>
      <c r="E109" s="16">
        <f>IF(F3="1",SUMIF(Data!$A:$A,$A$2,Data!IN:IN),0)</f>
        <v>0</v>
      </c>
      <c r="F109" s="48">
        <f>SUM(C109:E109)</f>
        <v>3975337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417560</v>
      </c>
      <c r="E117" s="53"/>
      <c r="F117" s="50">
        <f>SUM(C117:E117)</f>
        <v>417560</v>
      </c>
    </row>
    <row r="118" spans="1:6" x14ac:dyDescent="0.2">
      <c r="B118" s="14" t="s">
        <v>35</v>
      </c>
      <c r="C118" s="5">
        <f>SUM(C109:C116)</f>
        <v>3975337</v>
      </c>
      <c r="D118" s="5">
        <f>SUM(D109:D116)</f>
        <v>0</v>
      </c>
      <c r="E118" s="5">
        <f>SUM(E109:E116)</f>
        <v>0</v>
      </c>
      <c r="F118" s="5">
        <f>SUM(F109:F116)</f>
        <v>3975337</v>
      </c>
    </row>
    <row r="119" spans="1:6" ht="15" thickBot="1" x14ac:dyDescent="0.25"/>
    <row r="120" spans="1:6" ht="15" thickBot="1" x14ac:dyDescent="0.25">
      <c r="B120" s="57" t="s">
        <v>942</v>
      </c>
      <c r="C120" s="55"/>
      <c r="D120" s="55"/>
      <c r="E120" s="55">
        <f>IF(F3="1",SUMIF(Data!A:A,'18'!$A$2,Data!AM:AM),0)</f>
        <v>146544</v>
      </c>
      <c r="F120" s="56">
        <f>SUM(C120:E120)</f>
        <v>146544</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3" width="12.42578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368</v>
      </c>
      <c r="B2" s="60" t="str">
        <f>VLOOKUP(A2,Data!A:G,7,0)</f>
        <v>Grayson County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19136</v>
      </c>
      <c r="E5" s="16">
        <f>E36+E67+IFERROR($E$105/$D$105*D5,0)</f>
        <v>122820.92088630545</v>
      </c>
      <c r="F5" s="21">
        <f>IFERROR(E5/D5,"")</f>
        <v>6.4183173540084368</v>
      </c>
    </row>
    <row r="6" spans="1:6" x14ac:dyDescent="0.2">
      <c r="A6" s="20">
        <v>2</v>
      </c>
      <c r="B6" s="184" t="s">
        <v>1</v>
      </c>
      <c r="C6" s="185"/>
      <c r="D6" s="15">
        <f t="shared" ref="D6:D32" si="0">D37</f>
        <v>34418</v>
      </c>
      <c r="E6" s="18">
        <f t="shared" ref="E6:E32" si="1">E37+E68+IFERROR($E$105/$D$105*D6,0)</f>
        <v>357212.18692855671</v>
      </c>
      <c r="F6" s="22">
        <f t="shared" ref="F6:F33" si="2">IFERROR(E6/D6,"")</f>
        <v>10.378644515327931</v>
      </c>
    </row>
    <row r="7" spans="1:6" ht="14.25" customHeight="1" x14ac:dyDescent="0.2">
      <c r="A7" s="20">
        <v>3</v>
      </c>
      <c r="B7" s="184" t="s">
        <v>2</v>
      </c>
      <c r="C7" s="185"/>
      <c r="D7" s="15">
        <f t="shared" si="0"/>
        <v>251296</v>
      </c>
      <c r="E7" s="18">
        <f t="shared" si="1"/>
        <v>1707885.7269567838</v>
      </c>
      <c r="F7" s="22">
        <f t="shared" si="2"/>
        <v>6.7963108324716019</v>
      </c>
    </row>
    <row r="8" spans="1:6" ht="14.25" customHeight="1" x14ac:dyDescent="0.2">
      <c r="A8" s="20">
        <v>4</v>
      </c>
      <c r="B8" s="184" t="s">
        <v>3</v>
      </c>
      <c r="C8" s="185"/>
      <c r="D8" s="15">
        <f t="shared" si="0"/>
        <v>94910</v>
      </c>
      <c r="E8" s="18">
        <f t="shared" si="1"/>
        <v>654529.73825874005</v>
      </c>
      <c r="F8" s="22">
        <f t="shared" si="2"/>
        <v>6.8963200743729853</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69406</v>
      </c>
      <c r="E11" s="18">
        <f t="shared" si="1"/>
        <v>503116.04102398176</v>
      </c>
      <c r="F11" s="22">
        <f t="shared" si="2"/>
        <v>7.2488839729127417</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139472</v>
      </c>
      <c r="E13" s="18">
        <f t="shared" si="1"/>
        <v>684640.53876749543</v>
      </c>
      <c r="F13" s="22">
        <f t="shared" si="2"/>
        <v>4.908802761611617</v>
      </c>
    </row>
    <row r="14" spans="1:6" x14ac:dyDescent="0.2">
      <c r="A14" s="20">
        <v>10</v>
      </c>
      <c r="B14" s="184" t="s">
        <v>9</v>
      </c>
      <c r="C14" s="185"/>
      <c r="D14" s="15">
        <f t="shared" si="0"/>
        <v>816</v>
      </c>
      <c r="E14" s="18">
        <f t="shared" si="1"/>
        <v>4114.0919441484766</v>
      </c>
      <c r="F14" s="22">
        <f t="shared" si="2"/>
        <v>5.0417793433192113</v>
      </c>
    </row>
    <row r="15" spans="1:6" x14ac:dyDescent="0.2">
      <c r="A15" s="20">
        <v>11</v>
      </c>
      <c r="B15" s="184" t="s">
        <v>10</v>
      </c>
      <c r="C15" s="185"/>
      <c r="D15" s="15">
        <f t="shared" si="0"/>
        <v>46584</v>
      </c>
      <c r="E15" s="18">
        <f t="shared" si="1"/>
        <v>319062.07245859387</v>
      </c>
      <c r="F15" s="22">
        <f t="shared" si="2"/>
        <v>6.8491772380773197</v>
      </c>
    </row>
    <row r="16" spans="1:6" ht="14.25" customHeight="1" x14ac:dyDescent="0.2">
      <c r="A16" s="20">
        <v>12</v>
      </c>
      <c r="B16" s="184" t="s">
        <v>11</v>
      </c>
      <c r="C16" s="185"/>
      <c r="D16" s="15">
        <f t="shared" si="0"/>
        <v>299264</v>
      </c>
      <c r="E16" s="18">
        <f t="shared" si="1"/>
        <v>1767834.8965363353</v>
      </c>
      <c r="F16" s="22">
        <f t="shared" si="2"/>
        <v>5.907275504358477</v>
      </c>
    </row>
    <row r="17" spans="1:6" x14ac:dyDescent="0.2">
      <c r="A17" s="20">
        <v>13</v>
      </c>
      <c r="B17" s="184" t="s">
        <v>12</v>
      </c>
      <c r="C17" s="185"/>
      <c r="D17" s="15">
        <f t="shared" si="0"/>
        <v>21912</v>
      </c>
      <c r="E17" s="18">
        <f t="shared" si="1"/>
        <v>144781.76308845761</v>
      </c>
      <c r="F17" s="22">
        <f t="shared" si="2"/>
        <v>6.6074189069212128</v>
      </c>
    </row>
    <row r="18" spans="1:6" ht="14.25" customHeight="1" x14ac:dyDescent="0.2">
      <c r="A18" s="20">
        <v>14</v>
      </c>
      <c r="B18" s="184" t="s">
        <v>469</v>
      </c>
      <c r="C18" s="185"/>
      <c r="D18" s="15">
        <f t="shared" si="0"/>
        <v>195346</v>
      </c>
      <c r="E18" s="18">
        <f t="shared" si="1"/>
        <v>1939365.555051015</v>
      </c>
      <c r="F18" s="22">
        <f t="shared" si="2"/>
        <v>9.9278488172320642</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161879</v>
      </c>
      <c r="E20" s="18">
        <f t="shared" si="1"/>
        <v>1025621.6443956019</v>
      </c>
      <c r="F20" s="22">
        <f t="shared" si="2"/>
        <v>6.3357300477245468</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90944</v>
      </c>
      <c r="E22" s="18">
        <f t="shared" si="1"/>
        <v>658245.01197137136</v>
      </c>
      <c r="F22" s="22">
        <f t="shared" si="2"/>
        <v>7.237915772028626</v>
      </c>
    </row>
    <row r="23" spans="1:6" x14ac:dyDescent="0.2">
      <c r="A23" s="20">
        <v>19</v>
      </c>
      <c r="B23" s="184" t="s">
        <v>17</v>
      </c>
      <c r="C23" s="185"/>
      <c r="D23" s="15">
        <f t="shared" si="0"/>
        <v>206304</v>
      </c>
      <c r="E23" s="18">
        <f t="shared" si="1"/>
        <v>1121936.5985853029</v>
      </c>
      <c r="F23" s="22">
        <f t="shared" si="2"/>
        <v>5.4382687615620782</v>
      </c>
    </row>
    <row r="24" spans="1:6" x14ac:dyDescent="0.2">
      <c r="A24" s="20">
        <v>20</v>
      </c>
      <c r="B24" s="184" t="s">
        <v>18</v>
      </c>
      <c r="C24" s="185"/>
      <c r="D24" s="15">
        <f t="shared" si="0"/>
        <v>20864</v>
      </c>
      <c r="E24" s="18">
        <f t="shared" si="1"/>
        <v>145249.88029744339</v>
      </c>
      <c r="F24" s="22">
        <f t="shared" si="2"/>
        <v>6.9617465633360522</v>
      </c>
    </row>
    <row r="25" spans="1:6" ht="14.25" customHeight="1" x14ac:dyDescent="0.2">
      <c r="A25" s="20">
        <v>21</v>
      </c>
      <c r="B25" s="184" t="s">
        <v>466</v>
      </c>
      <c r="C25" s="185"/>
      <c r="D25" s="15">
        <f t="shared" si="0"/>
        <v>13186</v>
      </c>
      <c r="E25" s="18">
        <f t="shared" si="1"/>
        <v>37329.500460222807</v>
      </c>
      <c r="F25" s="22">
        <f t="shared" si="2"/>
        <v>2.830995029593721</v>
      </c>
    </row>
    <row r="26" spans="1:6" x14ac:dyDescent="0.2">
      <c r="A26" s="20">
        <v>22</v>
      </c>
      <c r="B26" s="184" t="s">
        <v>19</v>
      </c>
      <c r="C26" s="185"/>
      <c r="D26" s="15">
        <f t="shared" si="0"/>
        <v>11036</v>
      </c>
      <c r="E26" s="18">
        <f t="shared" si="1"/>
        <v>56258.861146596304</v>
      </c>
      <c r="F26" s="22">
        <f t="shared" si="2"/>
        <v>5.097758349637215</v>
      </c>
    </row>
    <row r="27" spans="1:6" x14ac:dyDescent="0.2">
      <c r="A27" s="20">
        <v>23</v>
      </c>
      <c r="B27" s="184" t="s">
        <v>20</v>
      </c>
      <c r="C27" s="185"/>
      <c r="D27" s="15">
        <f t="shared" si="0"/>
        <v>18720</v>
      </c>
      <c r="E27" s="18">
        <f t="shared" si="1"/>
        <v>358745.22695399448</v>
      </c>
      <c r="F27" s="22">
        <f t="shared" si="2"/>
        <v>19.163740756089449</v>
      </c>
    </row>
    <row r="28" spans="1:6" x14ac:dyDescent="0.2">
      <c r="A28" s="20">
        <v>24</v>
      </c>
      <c r="B28" s="184" t="s">
        <v>21</v>
      </c>
      <c r="C28" s="185"/>
      <c r="D28" s="15">
        <f t="shared" si="0"/>
        <v>56039</v>
      </c>
      <c r="E28" s="18">
        <f t="shared" si="1"/>
        <v>485343.13046340249</v>
      </c>
      <c r="F28" s="22">
        <f t="shared" si="2"/>
        <v>8.6608099798961877</v>
      </c>
    </row>
    <row r="29" spans="1:6" x14ac:dyDescent="0.2">
      <c r="A29" s="20">
        <v>25</v>
      </c>
      <c r="B29" s="184" t="s">
        <v>22</v>
      </c>
      <c r="C29" s="185"/>
      <c r="D29" s="15">
        <f t="shared" si="0"/>
        <v>318272</v>
      </c>
      <c r="E29" s="18">
        <f t="shared" si="1"/>
        <v>1794182.4500588528</v>
      </c>
      <c r="F29" s="22">
        <f t="shared" si="2"/>
        <v>5.6372613678201438</v>
      </c>
    </row>
    <row r="30" spans="1:6" x14ac:dyDescent="0.2">
      <c r="A30" s="20">
        <v>26</v>
      </c>
      <c r="B30" s="184" t="s">
        <v>23</v>
      </c>
      <c r="C30" s="185"/>
      <c r="D30" s="15">
        <f t="shared" si="0"/>
        <v>81328</v>
      </c>
      <c r="E30" s="18">
        <f t="shared" si="1"/>
        <v>593454.1637667981</v>
      </c>
      <c r="F30" s="22">
        <f t="shared" si="2"/>
        <v>7.2970460821217547</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2151132</v>
      </c>
      <c r="E33" s="32">
        <f>SUM(E5:E32)</f>
        <v>14481729.999999998</v>
      </c>
      <c r="F33" s="33">
        <f t="shared" si="2"/>
        <v>6.732143820091002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IF(F3="1",SUMIF(Data!A:A,'19'!$A$2,Data!CU:CU),0)</f>
        <v>19136</v>
      </c>
      <c r="E36" s="16">
        <f>IF(F3="1",SUMIF(Data!$A:$A,'19'!$A$2,Data!IO:IO),0)</f>
        <v>41202</v>
      </c>
      <c r="F36" s="21">
        <f t="shared" ref="F36:F64" si="3">IFERROR(E36/D36,"")</f>
        <v>2.1531145484949832</v>
      </c>
    </row>
    <row r="37" spans="1:6" x14ac:dyDescent="0.2">
      <c r="A37" s="20">
        <v>2</v>
      </c>
      <c r="B37" s="184" t="s">
        <v>1</v>
      </c>
      <c r="C37" s="185"/>
      <c r="D37" s="15">
        <f>IF(F3="1",SUMIF(Data!A:A,'19'!$A$2,Data!CV:CV),0)</f>
        <v>34418</v>
      </c>
      <c r="E37" s="18">
        <f>IF(F3="1",SUMIF(Data!$A:$A,'19'!$A$2,Data!IP:IP),0)</f>
        <v>67386</v>
      </c>
      <c r="F37" s="22">
        <f t="shared" si="3"/>
        <v>1.9578708815154862</v>
      </c>
    </row>
    <row r="38" spans="1:6" ht="14.25" customHeight="1" x14ac:dyDescent="0.2">
      <c r="A38" s="20">
        <v>3</v>
      </c>
      <c r="B38" s="184" t="s">
        <v>2</v>
      </c>
      <c r="C38" s="185"/>
      <c r="D38" s="15">
        <f>IF(F3="1",SUMIF(Data!A:A,'19'!$A$2,Data!CW:CW),0)</f>
        <v>251296</v>
      </c>
      <c r="E38" s="18">
        <f>IF(F3="1",SUMIF(Data!$A:$A,'19'!$A$2,Data!IQ:IQ),0)</f>
        <v>329397</v>
      </c>
      <c r="F38" s="22">
        <f t="shared" si="3"/>
        <v>1.3107928498662931</v>
      </c>
    </row>
    <row r="39" spans="1:6" ht="14.25" customHeight="1" x14ac:dyDescent="0.2">
      <c r="A39" s="20">
        <v>4</v>
      </c>
      <c r="B39" s="184" t="s">
        <v>3</v>
      </c>
      <c r="C39" s="185"/>
      <c r="D39" s="15">
        <f>IF(F3="1",SUMIF(Data!A:A,'19'!$A$2,Data!CX:CX),0)</f>
        <v>94910</v>
      </c>
      <c r="E39" s="18">
        <f>IF(F3="1",SUMIF(Data!$A:$A,'19'!$A$2,Data!IR:IR),0)</f>
        <v>127683</v>
      </c>
      <c r="F39" s="22">
        <f t="shared" si="3"/>
        <v>1.3453060794436835</v>
      </c>
    </row>
    <row r="40" spans="1:6" x14ac:dyDescent="0.2">
      <c r="A40" s="20">
        <v>5</v>
      </c>
      <c r="B40" s="184" t="s">
        <v>4</v>
      </c>
      <c r="C40" s="185"/>
      <c r="D40" s="15">
        <f>IF(F3="1",SUMIF(Data!A:A,'19'!$A$2,Data!CY:CY),0)</f>
        <v>0</v>
      </c>
      <c r="E40" s="18">
        <f>IF(F3="1",SUMIF(Data!$A:$A,'19'!$A$2,Data!IS:IS),0)</f>
        <v>0</v>
      </c>
      <c r="F40" s="22" t="str">
        <f t="shared" si="3"/>
        <v/>
      </c>
    </row>
    <row r="41" spans="1:6" x14ac:dyDescent="0.2">
      <c r="A41" s="20">
        <v>6</v>
      </c>
      <c r="B41" s="184" t="s">
        <v>5</v>
      </c>
      <c r="C41" s="185"/>
      <c r="D41" s="15">
        <f>IF(F3="1",SUMIF(Data!A:A,'19'!$A$2,Data!CZ:CZ),0)</f>
        <v>0</v>
      </c>
      <c r="E41" s="18">
        <f>IF(F3="1",SUMIF(Data!$A:$A,'19'!$A$2,Data!IT:IT),0)</f>
        <v>0</v>
      </c>
      <c r="F41" s="22" t="str">
        <f t="shared" si="3"/>
        <v/>
      </c>
    </row>
    <row r="42" spans="1:6" x14ac:dyDescent="0.2">
      <c r="A42" s="20">
        <v>7</v>
      </c>
      <c r="B42" s="184" t="s">
        <v>6</v>
      </c>
      <c r="C42" s="185"/>
      <c r="D42" s="15">
        <f>IF(F3="1",SUMIF(Data!A:A,'19'!$A$2,Data!DA:DA),0)</f>
        <v>69406</v>
      </c>
      <c r="E42" s="18">
        <f>IF(F3="1",SUMIF(Data!$A:$A,'19'!$A$2,Data!IU:IU),0)</f>
        <v>55006</v>
      </c>
      <c r="F42" s="22">
        <f t="shared" si="3"/>
        <v>0.79252514191856616</v>
      </c>
    </row>
    <row r="43" spans="1:6" x14ac:dyDescent="0.2">
      <c r="A43" s="20">
        <v>8</v>
      </c>
      <c r="B43" s="184" t="s">
        <v>7</v>
      </c>
      <c r="C43" s="185"/>
      <c r="D43" s="15">
        <f>IF(F3="1",SUMIF(Data!A:A,'19'!$A$2,Data!DB:DB),0)</f>
        <v>0</v>
      </c>
      <c r="E43" s="18">
        <f>IF(F3="1",SUMIF(Data!$A:$A,'19'!$A$2,Data!IV:IV),0)</f>
        <v>0</v>
      </c>
      <c r="F43" s="22" t="str">
        <f t="shared" si="3"/>
        <v/>
      </c>
    </row>
    <row r="44" spans="1:6" x14ac:dyDescent="0.2">
      <c r="A44" s="20">
        <v>9</v>
      </c>
      <c r="B44" s="184" t="s">
        <v>8</v>
      </c>
      <c r="C44" s="185"/>
      <c r="D44" s="15">
        <f>IF(F3="1",SUMIF(Data!A:A,'19'!$A$2,Data!DC:DC),0)</f>
        <v>139472</v>
      </c>
      <c r="E44" s="18">
        <f>IF(F3="1",SUMIF(Data!$A:$A,'19'!$A$2,Data!IW:IW),0)</f>
        <v>62014</v>
      </c>
      <c r="F44" s="22">
        <f t="shared" si="3"/>
        <v>0.44463404841115062</v>
      </c>
    </row>
    <row r="45" spans="1:6" x14ac:dyDescent="0.2">
      <c r="A45" s="20">
        <v>10</v>
      </c>
      <c r="B45" s="184" t="s">
        <v>9</v>
      </c>
      <c r="C45" s="185"/>
      <c r="D45" s="15">
        <f>IF(F3="1",SUMIF(Data!A:A,'19'!$A$2,Data!DD:DD),0)</f>
        <v>816</v>
      </c>
      <c r="E45" s="18">
        <f>IF(F3="1",SUMIF(Data!$A:$A,'19'!$A$2,Data!IX:IX),0)</f>
        <v>199</v>
      </c>
      <c r="F45" s="22">
        <f t="shared" si="3"/>
        <v>0.24387254901960784</v>
      </c>
    </row>
    <row r="46" spans="1:6" x14ac:dyDescent="0.2">
      <c r="A46" s="20">
        <v>11</v>
      </c>
      <c r="B46" s="184" t="s">
        <v>10</v>
      </c>
      <c r="C46" s="185"/>
      <c r="D46" s="15">
        <f>IF(F3="1",SUMIF(Data!A:A,'19'!$A$2,Data!DE:DE),0)</f>
        <v>46584</v>
      </c>
      <c r="E46" s="18">
        <f>IF(F3="1",SUMIF(Data!$A:$A,'19'!$A$2,Data!IY:IY),0)</f>
        <v>33052</v>
      </c>
      <c r="F46" s="22">
        <f t="shared" si="3"/>
        <v>0.70951399622187872</v>
      </c>
    </row>
    <row r="47" spans="1:6" ht="14.25" customHeight="1" x14ac:dyDescent="0.2">
      <c r="A47" s="20">
        <v>12</v>
      </c>
      <c r="B47" s="184" t="s">
        <v>11</v>
      </c>
      <c r="C47" s="185"/>
      <c r="D47" s="15">
        <f>IF(F3="1",SUMIF(Data!A:A,'19'!$A$2,Data!DF:DF),0)</f>
        <v>299264</v>
      </c>
      <c r="E47" s="18">
        <f>IF(F3="1",SUMIF(Data!$A:$A,'19'!$A$2,Data!IZ:IZ),0)</f>
        <v>261846</v>
      </c>
      <c r="F47" s="22">
        <f t="shared" si="3"/>
        <v>0.87496658468776733</v>
      </c>
    </row>
    <row r="48" spans="1:6" x14ac:dyDescent="0.2">
      <c r="A48" s="20">
        <v>13</v>
      </c>
      <c r="B48" s="184" t="s">
        <v>12</v>
      </c>
      <c r="C48" s="185"/>
      <c r="D48" s="15">
        <f>IF(F3="1",SUMIF(Data!A:A,'19'!$A$2,Data!DG:DG),0)</f>
        <v>21912</v>
      </c>
      <c r="E48" s="18">
        <f>IF(F3="1",SUMIF(Data!$A:$A,'19'!$A$2,Data!JA:JA),0)</f>
        <v>9376</v>
      </c>
      <c r="F48" s="22">
        <f t="shared" si="3"/>
        <v>0.42789339174881341</v>
      </c>
    </row>
    <row r="49" spans="1:6" ht="14.25" customHeight="1" x14ac:dyDescent="0.2">
      <c r="A49" s="20">
        <v>14</v>
      </c>
      <c r="B49" s="184" t="s">
        <v>469</v>
      </c>
      <c r="C49" s="185"/>
      <c r="D49" s="15">
        <f>IF(F3="1",SUMIF(Data!A:A,'19'!$A$2,Data!DH:DH),0)</f>
        <v>195346</v>
      </c>
      <c r="E49" s="18">
        <f>IF(F3="1",SUMIF(Data!$A:$A,'19'!$A$2,Data!JB:JB),0)</f>
        <v>219550</v>
      </c>
      <c r="F49" s="22">
        <f t="shared" si="3"/>
        <v>1.1239032281183132</v>
      </c>
    </row>
    <row r="50" spans="1:6" x14ac:dyDescent="0.2">
      <c r="A50" s="20">
        <v>15</v>
      </c>
      <c r="B50" s="184" t="s">
        <v>13</v>
      </c>
      <c r="C50" s="185"/>
      <c r="D50" s="15">
        <f>IF(F3="1",SUMIF(Data!A:A,'19'!$A$2,Data!DI:DI),0)</f>
        <v>0</v>
      </c>
      <c r="E50" s="18">
        <f>IF(F3="1",SUMIF(Data!$A:$A,'19'!$A$2,Data!JC:JC),0)</f>
        <v>0</v>
      </c>
      <c r="F50" s="22" t="str">
        <f t="shared" si="3"/>
        <v/>
      </c>
    </row>
    <row r="51" spans="1:6" x14ac:dyDescent="0.2">
      <c r="A51" s="20">
        <v>16</v>
      </c>
      <c r="B51" s="184" t="s">
        <v>14</v>
      </c>
      <c r="C51" s="185"/>
      <c r="D51" s="15">
        <f>IF(F3="1",SUMIF(Data!A:A,'19'!$A$2,Data!DJ:DJ),0)</f>
        <v>161879</v>
      </c>
      <c r="E51" s="18">
        <f>IF(F3="1",SUMIF(Data!$A:$A,'19'!$A$2,Data!JD:JD),0)</f>
        <v>151921</v>
      </c>
      <c r="F51" s="22">
        <f t="shared" si="3"/>
        <v>0.93848491774720622</v>
      </c>
    </row>
    <row r="52" spans="1:6" x14ac:dyDescent="0.2">
      <c r="A52" s="20">
        <v>17</v>
      </c>
      <c r="B52" s="184" t="s">
        <v>15</v>
      </c>
      <c r="C52" s="185"/>
      <c r="D52" s="15">
        <f>IF(F3="1",SUMIF(Data!A:A,'19'!$A$2,Data!DK:DK),0)</f>
        <v>0</v>
      </c>
      <c r="E52" s="18">
        <f>IF(F3="1",SUMIF(Data!$A:$A,'19'!$A$2,Data!JE:JE),0)</f>
        <v>0</v>
      </c>
      <c r="F52" s="22" t="str">
        <f t="shared" si="3"/>
        <v/>
      </c>
    </row>
    <row r="53" spans="1:6" x14ac:dyDescent="0.2">
      <c r="A53" s="20">
        <v>18</v>
      </c>
      <c r="B53" s="184" t="s">
        <v>16</v>
      </c>
      <c r="C53" s="185"/>
      <c r="D53" s="15">
        <f>IF(F3="1",SUMIF(Data!A:A,'19'!$A$2,Data!DL:DL),0)</f>
        <v>90944</v>
      </c>
      <c r="E53" s="18">
        <f>IF(F3="1",SUMIF(Data!$A:$A,'19'!$A$2,Data!JF:JF),0)</f>
        <v>80353</v>
      </c>
      <c r="F53" s="22">
        <f t="shared" si="3"/>
        <v>0.88354371921182262</v>
      </c>
    </row>
    <row r="54" spans="1:6" x14ac:dyDescent="0.2">
      <c r="A54" s="20">
        <v>19</v>
      </c>
      <c r="B54" s="184" t="s">
        <v>17</v>
      </c>
      <c r="C54" s="185"/>
      <c r="D54" s="15">
        <f>IF(F3="1",SUMIF(Data!A:A,'19'!$A$2,Data!DM:DM),0)</f>
        <v>206304</v>
      </c>
      <c r="E54" s="18">
        <f>IF(F3="1",SUMIF(Data!$A:$A,'19'!$A$2,Data!JG:JG),0)</f>
        <v>64581</v>
      </c>
      <c r="F54" s="22">
        <f t="shared" si="3"/>
        <v>0.31303804094927873</v>
      </c>
    </row>
    <row r="55" spans="1:6" x14ac:dyDescent="0.2">
      <c r="A55" s="20">
        <v>20</v>
      </c>
      <c r="B55" s="184" t="s">
        <v>18</v>
      </c>
      <c r="C55" s="185"/>
      <c r="D55" s="15">
        <f>IF(F3="1",SUMIF(Data!A:A,'19'!$A$2,Data!DN:DN),0)</f>
        <v>20864</v>
      </c>
      <c r="E55" s="18">
        <f>IF(F3="1",SUMIF(Data!$A:$A,'19'!$A$2,Data!JH:JH),0)</f>
        <v>22908</v>
      </c>
      <c r="F55" s="22">
        <f t="shared" si="3"/>
        <v>1.0979677914110428</v>
      </c>
    </row>
    <row r="56" spans="1:6" ht="14.25" customHeight="1" x14ac:dyDescent="0.2">
      <c r="A56" s="20">
        <v>21</v>
      </c>
      <c r="B56" s="184" t="s">
        <v>466</v>
      </c>
      <c r="C56" s="185"/>
      <c r="D56" s="15">
        <f>IF(F3="1",SUMIF(Data!A:A,'19'!$A$2,Data!DO:DO),0)</f>
        <v>13186</v>
      </c>
      <c r="E56" s="18">
        <f>IF(F3="1",SUMIF(Data!$A:$A,'19'!$A$2,Data!JI:JI),0)</f>
        <v>0</v>
      </c>
      <c r="F56" s="22">
        <f t="shared" si="3"/>
        <v>0</v>
      </c>
    </row>
    <row r="57" spans="1:6" x14ac:dyDescent="0.2">
      <c r="A57" s="20">
        <v>22</v>
      </c>
      <c r="B57" s="184" t="s">
        <v>19</v>
      </c>
      <c r="C57" s="185"/>
      <c r="D57" s="15">
        <f>IF(F3="1",SUMIF(Data!A:A,'19'!$A$2,Data!DP:DP),0)</f>
        <v>11036</v>
      </c>
      <c r="E57" s="18">
        <f>IF(F3="1",SUMIF(Data!$A:$A,'19'!$A$2,Data!JJ:JJ),0)</f>
        <v>17946</v>
      </c>
      <c r="F57" s="22">
        <f t="shared" si="3"/>
        <v>1.6261326567596956</v>
      </c>
    </row>
    <row r="58" spans="1:6" x14ac:dyDescent="0.2">
      <c r="A58" s="20">
        <v>23</v>
      </c>
      <c r="B58" s="184" t="s">
        <v>20</v>
      </c>
      <c r="C58" s="185"/>
      <c r="D58" s="15">
        <f>IF(F3="1",SUMIF(Data!A:A,'19'!$A$2,Data!DQ:DQ),0)</f>
        <v>18720</v>
      </c>
      <c r="E58" s="18">
        <f>IF(F3="1",SUMIF(Data!$A:$A,'19'!$A$2,Data!JK:JK),0)</f>
        <v>37391</v>
      </c>
      <c r="F58" s="22">
        <f t="shared" si="3"/>
        <v>1.9973824786324785</v>
      </c>
    </row>
    <row r="59" spans="1:6" x14ac:dyDescent="0.2">
      <c r="A59" s="20">
        <v>24</v>
      </c>
      <c r="B59" s="184" t="s">
        <v>21</v>
      </c>
      <c r="C59" s="185"/>
      <c r="D59" s="15">
        <f>IF(F3="1",SUMIF(Data!A:A,'19'!$A$2,Data!DR:DR),0)</f>
        <v>56039</v>
      </c>
      <c r="E59" s="18">
        <f>IF(F3="1",SUMIF(Data!$A:$A,'19'!$A$2,Data!JL:JL),0)</f>
        <v>110892</v>
      </c>
      <c r="F59" s="22">
        <f t="shared" si="3"/>
        <v>1.9788361676689448</v>
      </c>
    </row>
    <row r="60" spans="1:6" x14ac:dyDescent="0.2">
      <c r="A60" s="20">
        <v>25</v>
      </c>
      <c r="B60" s="184" t="s">
        <v>22</v>
      </c>
      <c r="C60" s="185"/>
      <c r="D60" s="15">
        <f>IF(F3="1",SUMIF(Data!A:A,'19'!$A$2,Data!DS:DS),0)</f>
        <v>318272</v>
      </c>
      <c r="E60" s="18">
        <f>IF(F3="1",SUMIF(Data!$A:$A,'19'!$A$2,Data!JM:JM),0)</f>
        <v>106609</v>
      </c>
      <c r="F60" s="22">
        <f t="shared" si="3"/>
        <v>0.33496191936456865</v>
      </c>
    </row>
    <row r="61" spans="1:6" x14ac:dyDescent="0.2">
      <c r="A61" s="20">
        <v>26</v>
      </c>
      <c r="B61" s="184" t="s">
        <v>23</v>
      </c>
      <c r="C61" s="185"/>
      <c r="D61" s="15">
        <f>IF(F3="1",SUMIF(Data!A:A,'19'!$A$2,Data!DT:DT),0)</f>
        <v>81328</v>
      </c>
      <c r="E61" s="18">
        <f>IF(F3="1",SUMIF(Data!$A:$A,'19'!$A$2,Data!JN:JN),0)</f>
        <v>68574</v>
      </c>
      <c r="F61" s="22">
        <f t="shared" si="3"/>
        <v>0.84317824119614404</v>
      </c>
    </row>
    <row r="62" spans="1:6" x14ac:dyDescent="0.2">
      <c r="A62" s="20">
        <v>28</v>
      </c>
      <c r="B62" s="184" t="s">
        <v>24</v>
      </c>
      <c r="C62" s="185"/>
      <c r="D62" s="15">
        <f>IF(F3="1",SUMIF(Data!A:A,'19'!$A$2,Data!DV:DV),0)</f>
        <v>0</v>
      </c>
      <c r="E62" s="18">
        <f>IF(F3="1",SUMIF(Data!$A:$A,'19'!$A$2,Data!JP:JP),0)</f>
        <v>0</v>
      </c>
      <c r="F62" s="22" t="str">
        <f t="shared" si="3"/>
        <v/>
      </c>
    </row>
    <row r="63" spans="1:6" ht="15.75" customHeight="1" thickBot="1" x14ac:dyDescent="0.25">
      <c r="A63" s="23">
        <v>29</v>
      </c>
      <c r="B63" s="186" t="s">
        <v>25</v>
      </c>
      <c r="C63" s="187"/>
      <c r="D63" s="24">
        <f>IF(F3="1",SUMIF(Data!A:A,'19'!$A$2,Data!DW:DW),0)</f>
        <v>0</v>
      </c>
      <c r="E63" s="25">
        <f>IF(F3="1",SUMIF(Data!$A:$A,'19'!$A$2,Data!JQ:JQ),0)</f>
        <v>0</v>
      </c>
      <c r="F63" s="26" t="str">
        <f t="shared" si="3"/>
        <v/>
      </c>
    </row>
    <row r="64" spans="1:6" x14ac:dyDescent="0.2">
      <c r="B64" s="31" t="s">
        <v>35</v>
      </c>
      <c r="C64" s="31"/>
      <c r="D64" s="61">
        <f>SUM(D36:D63)</f>
        <v>2151132</v>
      </c>
      <c r="E64" s="32">
        <f>SUM(E36:E63)</f>
        <v>1867886</v>
      </c>
      <c r="F64" s="33">
        <f t="shared" si="3"/>
        <v>0.86832700178324718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19136</v>
      </c>
      <c r="E67" s="16">
        <f>IF(F3="1",SUMIF(Data!A:A,'19'!$A$2,Data!DY:DY),0)</f>
        <v>27445</v>
      </c>
      <c r="F67" s="21">
        <f>IFERROR(E67/D67,"")</f>
        <v>1.4342077759197325</v>
      </c>
    </row>
    <row r="68" spans="1:6" x14ac:dyDescent="0.2">
      <c r="A68" s="20">
        <v>2</v>
      </c>
      <c r="B68" s="184" t="s">
        <v>1</v>
      </c>
      <c r="C68" s="185"/>
      <c r="D68" s="15">
        <f t="shared" ref="D68:D94" si="4">D37</f>
        <v>34418</v>
      </c>
      <c r="E68" s="18">
        <f>IF(F3="1",SUMIF(Data!A:A,'19'!$A$2,Data!DZ:DZ),0)</f>
        <v>192389</v>
      </c>
      <c r="F68" s="22">
        <f t="shared" ref="F68:F95" si="5">IFERROR(E68/D68,"")</f>
        <v>5.589778604218723</v>
      </c>
    </row>
    <row r="69" spans="1:6" ht="14.25" customHeight="1" x14ac:dyDescent="0.2">
      <c r="A69" s="20">
        <v>3</v>
      </c>
      <c r="B69" s="184" t="s">
        <v>2</v>
      </c>
      <c r="C69" s="185"/>
      <c r="D69" s="15">
        <f t="shared" si="4"/>
        <v>251296</v>
      </c>
      <c r="E69" s="18">
        <f>IF(F3="1",SUMIF(Data!A:A,'19'!$A$2,Data!EA:EA),0)</f>
        <v>667071</v>
      </c>
      <c r="F69" s="22">
        <f t="shared" si="5"/>
        <v>2.6545229530115879</v>
      </c>
    </row>
    <row r="70" spans="1:6" ht="14.25" customHeight="1" x14ac:dyDescent="0.2">
      <c r="A70" s="20">
        <v>4</v>
      </c>
      <c r="B70" s="184" t="s">
        <v>3</v>
      </c>
      <c r="C70" s="185"/>
      <c r="D70" s="15">
        <f t="shared" si="4"/>
        <v>94910</v>
      </c>
      <c r="E70" s="18">
        <f>IF(F3="1",SUMIF(Data!A:A,'19'!$A$2,Data!EB:EB),0)</f>
        <v>258157</v>
      </c>
      <c r="F70" s="22">
        <f t="shared" si="5"/>
        <v>2.7200189653355813</v>
      </c>
    </row>
    <row r="71" spans="1:6" x14ac:dyDescent="0.2">
      <c r="A71" s="20">
        <v>5</v>
      </c>
      <c r="B71" s="184" t="s">
        <v>4</v>
      </c>
      <c r="C71" s="185"/>
      <c r="D71" s="15">
        <f t="shared" si="4"/>
        <v>0</v>
      </c>
      <c r="E71" s="18">
        <f>IF(F3="1",SUMIF(Data!A:A,'19'!$A$2,Data!EC:EC),0)</f>
        <v>0</v>
      </c>
      <c r="F71" s="22" t="str">
        <f t="shared" si="5"/>
        <v/>
      </c>
    </row>
    <row r="72" spans="1:6" x14ac:dyDescent="0.2">
      <c r="A72" s="20">
        <v>6</v>
      </c>
      <c r="B72" s="184" t="s">
        <v>5</v>
      </c>
      <c r="C72" s="185"/>
      <c r="D72" s="15">
        <f t="shared" si="4"/>
        <v>0</v>
      </c>
      <c r="E72" s="18">
        <f>IF(F3="1",SUMIF(Data!A:A,'19'!$A$2,Data!ED:ED),0)</f>
        <v>0</v>
      </c>
      <c r="F72" s="22" t="str">
        <f t="shared" si="5"/>
        <v/>
      </c>
    </row>
    <row r="73" spans="1:6" x14ac:dyDescent="0.2">
      <c r="A73" s="20">
        <v>7</v>
      </c>
      <c r="B73" s="184" t="s">
        <v>6</v>
      </c>
      <c r="C73" s="185"/>
      <c r="D73" s="15">
        <f t="shared" si="4"/>
        <v>69406</v>
      </c>
      <c r="E73" s="18">
        <f>IF(F3="1",SUMIF(Data!A:A,'19'!$A$2,Data!EE:EE),0)</f>
        <v>251622</v>
      </c>
      <c r="F73" s="22">
        <f t="shared" si="5"/>
        <v>3.6253638014004554</v>
      </c>
    </row>
    <row r="74" spans="1:6" x14ac:dyDescent="0.2">
      <c r="A74" s="20">
        <v>8</v>
      </c>
      <c r="B74" s="184" t="s">
        <v>7</v>
      </c>
      <c r="C74" s="185"/>
      <c r="D74" s="15">
        <f t="shared" si="4"/>
        <v>0</v>
      </c>
      <c r="E74" s="18">
        <f>IF(F3="1",SUMIF(Data!A:A,'19'!$A$2,Data!EF:EF),0)</f>
        <v>0</v>
      </c>
      <c r="F74" s="22" t="str">
        <f t="shared" si="5"/>
        <v/>
      </c>
    </row>
    <row r="75" spans="1:6" x14ac:dyDescent="0.2">
      <c r="A75" s="20">
        <v>9</v>
      </c>
      <c r="B75" s="184" t="s">
        <v>8</v>
      </c>
      <c r="C75" s="185"/>
      <c r="D75" s="15">
        <f t="shared" si="4"/>
        <v>139472</v>
      </c>
      <c r="E75" s="18">
        <f>IF(F3="1",SUMIF(Data!A:A,'19'!$A$2,Data!EG:EG),0)</f>
        <v>227782</v>
      </c>
      <c r="F75" s="22">
        <f t="shared" si="5"/>
        <v>1.6331736836067454</v>
      </c>
    </row>
    <row r="76" spans="1:6" x14ac:dyDescent="0.2">
      <c r="A76" s="20">
        <v>10</v>
      </c>
      <c r="B76" s="184" t="s">
        <v>9</v>
      </c>
      <c r="C76" s="185"/>
      <c r="D76" s="15">
        <f t="shared" si="4"/>
        <v>816</v>
      </c>
      <c r="E76" s="18">
        <f>IF(F3="1",SUMIF(Data!A:A,'19'!$A$2,Data!EH:EH),0)</f>
        <v>1605</v>
      </c>
      <c r="F76" s="22">
        <f t="shared" si="5"/>
        <v>1.9669117647058822</v>
      </c>
    </row>
    <row r="77" spans="1:6" x14ac:dyDescent="0.2">
      <c r="A77" s="20">
        <v>11</v>
      </c>
      <c r="B77" s="184" t="s">
        <v>10</v>
      </c>
      <c r="C77" s="185"/>
      <c r="D77" s="15">
        <f t="shared" si="4"/>
        <v>46584</v>
      </c>
      <c r="E77" s="18">
        <f>IF(F3="1",SUMIF(Data!A:A,'19'!$A$2,Data!EI:EI),0)</f>
        <v>154131</v>
      </c>
      <c r="F77" s="22">
        <f t="shared" si="5"/>
        <v>3.3086682122617206</v>
      </c>
    </row>
    <row r="78" spans="1:6" ht="14.25" customHeight="1" x14ac:dyDescent="0.2">
      <c r="A78" s="20">
        <v>12</v>
      </c>
      <c r="B78" s="184" t="s">
        <v>11</v>
      </c>
      <c r="C78" s="185"/>
      <c r="D78" s="15">
        <f t="shared" si="4"/>
        <v>299264</v>
      </c>
      <c r="E78" s="18">
        <f>IF(F3="1",SUMIF(Data!A:A,'19'!$A$2,Data!EJ:EJ),0)</f>
        <v>658774</v>
      </c>
      <c r="F78" s="22">
        <f t="shared" si="5"/>
        <v>2.2013138900769889</v>
      </c>
    </row>
    <row r="79" spans="1:6" x14ac:dyDescent="0.2">
      <c r="A79" s="20">
        <v>13</v>
      </c>
      <c r="B79" s="184" t="s">
        <v>12</v>
      </c>
      <c r="C79" s="185"/>
      <c r="D79" s="15">
        <f t="shared" si="4"/>
        <v>21912</v>
      </c>
      <c r="E79" s="18">
        <f>IF(F3="1",SUMIF(Data!A:A,'19'!$A$2,Data!EK:EK),0)</f>
        <v>73373</v>
      </c>
      <c r="F79" s="22">
        <f t="shared" si="5"/>
        <v>3.3485304855786784</v>
      </c>
    </row>
    <row r="80" spans="1:6" ht="14.25" customHeight="1" x14ac:dyDescent="0.2">
      <c r="A80" s="20">
        <v>14</v>
      </c>
      <c r="B80" s="184" t="s">
        <v>469</v>
      </c>
      <c r="C80" s="185"/>
      <c r="D80" s="15">
        <f t="shared" si="4"/>
        <v>195346</v>
      </c>
      <c r="E80" s="18">
        <f>IF(F3="1",SUMIF(Data!A:A,'19'!$A$2,Data!EL:EL),0)</f>
        <v>1166792</v>
      </c>
      <c r="F80" s="22">
        <f t="shared" si="5"/>
        <v>5.9729505595200312</v>
      </c>
    </row>
    <row r="81" spans="1:6" x14ac:dyDescent="0.2">
      <c r="A81" s="20">
        <v>15</v>
      </c>
      <c r="B81" s="184" t="s">
        <v>13</v>
      </c>
      <c r="C81" s="185"/>
      <c r="D81" s="15">
        <f t="shared" si="4"/>
        <v>0</v>
      </c>
      <c r="E81" s="18">
        <f>IF(F3="1",SUMIF(Data!A:A,'19'!$A$2,Data!EM:EM),0)</f>
        <v>0</v>
      </c>
      <c r="F81" s="22" t="str">
        <f t="shared" si="5"/>
        <v/>
      </c>
    </row>
    <row r="82" spans="1:6" x14ac:dyDescent="0.2">
      <c r="A82" s="20">
        <v>16</v>
      </c>
      <c r="B82" s="184" t="s">
        <v>14</v>
      </c>
      <c r="C82" s="185"/>
      <c r="D82" s="15">
        <f t="shared" si="4"/>
        <v>161879</v>
      </c>
      <c r="E82" s="18">
        <f>IF(F3="1",SUMIF(Data!A:A,'19'!$A$2,Data!EN:EN),0)</f>
        <v>415422</v>
      </c>
      <c r="F82" s="22">
        <f t="shared" si="5"/>
        <v>2.5662501003836198</v>
      </c>
    </row>
    <row r="83" spans="1:6" x14ac:dyDescent="0.2">
      <c r="A83" s="20">
        <v>17</v>
      </c>
      <c r="B83" s="184" t="s">
        <v>15</v>
      </c>
      <c r="C83" s="185"/>
      <c r="D83" s="15">
        <f t="shared" si="4"/>
        <v>0</v>
      </c>
      <c r="E83" s="18">
        <f>IF(F3="1",SUMIF(Data!A:A,'19'!$A$2,Data!EO:EO),0)</f>
        <v>0</v>
      </c>
      <c r="F83" s="22" t="str">
        <f t="shared" si="5"/>
        <v/>
      </c>
    </row>
    <row r="84" spans="1:6" x14ac:dyDescent="0.2">
      <c r="A84" s="20">
        <v>18</v>
      </c>
      <c r="B84" s="184" t="s">
        <v>16</v>
      </c>
      <c r="C84" s="185"/>
      <c r="D84" s="15">
        <f t="shared" si="4"/>
        <v>90944</v>
      </c>
      <c r="E84" s="18">
        <f>IF(F3="1",SUMIF(Data!A:A,'19'!$A$2,Data!EP:EP),0)</f>
        <v>320430</v>
      </c>
      <c r="F84" s="22">
        <f t="shared" si="5"/>
        <v>3.5233770232230825</v>
      </c>
    </row>
    <row r="85" spans="1:6" x14ac:dyDescent="0.2">
      <c r="A85" s="20">
        <v>19</v>
      </c>
      <c r="B85" s="184" t="s">
        <v>17</v>
      </c>
      <c r="C85" s="185"/>
      <c r="D85" s="15">
        <f t="shared" si="4"/>
        <v>206304</v>
      </c>
      <c r="E85" s="18">
        <f>IF(F3="1",SUMIF(Data!A:A,'19'!$A$2,Data!EQ:EQ),0)</f>
        <v>473310</v>
      </c>
      <c r="F85" s="22">
        <f t="shared" si="5"/>
        <v>2.2942356910190784</v>
      </c>
    </row>
    <row r="86" spans="1:6" x14ac:dyDescent="0.2">
      <c r="A86" s="20">
        <v>20</v>
      </c>
      <c r="B86" s="184" t="s">
        <v>18</v>
      </c>
      <c r="C86" s="185"/>
      <c r="D86" s="15">
        <f t="shared" si="4"/>
        <v>20864</v>
      </c>
      <c r="E86" s="18">
        <f>IF(F3="1",SUMIF(Data!A:A,'19'!$A$2,Data!ER:ER),0)</f>
        <v>63276</v>
      </c>
      <c r="F86" s="22">
        <f t="shared" si="5"/>
        <v>3.0327837423312882</v>
      </c>
    </row>
    <row r="87" spans="1:6" ht="14.25" customHeight="1" x14ac:dyDescent="0.2">
      <c r="A87" s="20">
        <v>21</v>
      </c>
      <c r="B87" s="184" t="s">
        <v>466</v>
      </c>
      <c r="C87" s="185"/>
      <c r="D87" s="15">
        <f t="shared" si="4"/>
        <v>13186</v>
      </c>
      <c r="E87" s="18">
        <f>IF(F3="1",SUMIF(Data!A:A,'19'!$A$2,Data!ES:ES),0)</f>
        <v>0</v>
      </c>
      <c r="F87" s="22">
        <f t="shared" si="5"/>
        <v>0</v>
      </c>
    </row>
    <row r="88" spans="1:6" x14ac:dyDescent="0.2">
      <c r="A88" s="20">
        <v>22</v>
      </c>
      <c r="B88" s="184" t="s">
        <v>19</v>
      </c>
      <c r="C88" s="185"/>
      <c r="D88" s="15">
        <f t="shared" si="4"/>
        <v>11036</v>
      </c>
      <c r="E88" s="18">
        <f>IF(F3="1",SUMIF(Data!A:A,'19'!$A$2,Data!ET:ET),0)</f>
        <v>7070</v>
      </c>
      <c r="F88" s="22">
        <f t="shared" si="5"/>
        <v>0.64063066328379847</v>
      </c>
    </row>
    <row r="89" spans="1:6" x14ac:dyDescent="0.2">
      <c r="A89" s="20">
        <v>23</v>
      </c>
      <c r="B89" s="184" t="s">
        <v>20</v>
      </c>
      <c r="C89" s="185"/>
      <c r="D89" s="15">
        <f t="shared" si="4"/>
        <v>18720</v>
      </c>
      <c r="E89" s="18">
        <f>IF(F3="1",SUMIF(Data!A:A,'19'!$A$2,Data!EU:EU),0)</f>
        <v>268358</v>
      </c>
      <c r="F89" s="22">
        <f t="shared" si="5"/>
        <v>14.335363247863247</v>
      </c>
    </row>
    <row r="90" spans="1:6" x14ac:dyDescent="0.2">
      <c r="A90" s="20">
        <v>24</v>
      </c>
      <c r="B90" s="184" t="s">
        <v>21</v>
      </c>
      <c r="C90" s="185"/>
      <c r="D90" s="15">
        <f t="shared" si="4"/>
        <v>56039</v>
      </c>
      <c r="E90" s="18">
        <f>IF(F3="1",SUMIF(Data!A:A,'19'!$A$2,Data!EV:EV),0)</f>
        <v>215805</v>
      </c>
      <c r="F90" s="22">
        <f t="shared" si="5"/>
        <v>3.8509787826335229</v>
      </c>
    </row>
    <row r="91" spans="1:6" x14ac:dyDescent="0.2">
      <c r="A91" s="20">
        <v>25</v>
      </c>
      <c r="B91" s="184" t="s">
        <v>22</v>
      </c>
      <c r="C91" s="185"/>
      <c r="D91" s="15">
        <f t="shared" si="4"/>
        <v>318272</v>
      </c>
      <c r="E91" s="18">
        <f>IF(F3="1",SUMIF(Data!A:A,'19'!$A$2,Data!EW:EW),0)</f>
        <v>786547</v>
      </c>
      <c r="F91" s="22">
        <f t="shared" si="5"/>
        <v>2.471304418861854</v>
      </c>
    </row>
    <row r="92" spans="1:6" x14ac:dyDescent="0.2">
      <c r="A92" s="20">
        <v>26</v>
      </c>
      <c r="B92" s="184" t="s">
        <v>23</v>
      </c>
      <c r="C92" s="185"/>
      <c r="D92" s="15">
        <f t="shared" si="4"/>
        <v>81328</v>
      </c>
      <c r="E92" s="18">
        <f>IF(F3="1",SUMIF(Data!A:A,'19'!$A$2,Data!EX:EX),0)</f>
        <v>294641</v>
      </c>
      <c r="F92" s="22">
        <f t="shared" si="5"/>
        <v>3.6228728113318907</v>
      </c>
    </row>
    <row r="93" spans="1:6" x14ac:dyDescent="0.2">
      <c r="A93" s="20">
        <v>28</v>
      </c>
      <c r="B93" s="184" t="s">
        <v>24</v>
      </c>
      <c r="C93" s="185"/>
      <c r="D93" s="15">
        <f t="shared" si="4"/>
        <v>0</v>
      </c>
      <c r="E93" s="18">
        <f>IF(F3="1",SUMIF(Data!A:A,'19'!$A$2,Data!EZ:EZ),0)</f>
        <v>0</v>
      </c>
      <c r="F93" s="22" t="str">
        <f t="shared" si="5"/>
        <v/>
      </c>
    </row>
    <row r="94" spans="1:6" ht="15.75" customHeight="1" thickBot="1" x14ac:dyDescent="0.25">
      <c r="A94" s="23">
        <v>29</v>
      </c>
      <c r="B94" s="186" t="s">
        <v>25</v>
      </c>
      <c r="C94" s="187"/>
      <c r="D94" s="24">
        <f t="shared" si="4"/>
        <v>0</v>
      </c>
      <c r="E94" s="25">
        <f>IF(F3="1",SUMIF(Data!A:A,'19'!$A$2,Data!FA:FA),0)</f>
        <v>0</v>
      </c>
      <c r="F94" s="26" t="str">
        <f t="shared" si="5"/>
        <v/>
      </c>
    </row>
    <row r="95" spans="1:6" x14ac:dyDescent="0.2">
      <c r="B95" s="31" t="s">
        <v>35</v>
      </c>
      <c r="C95" s="31"/>
      <c r="D95" s="61">
        <f>SUM(D67:D94)</f>
        <v>2151132</v>
      </c>
      <c r="E95" s="32">
        <f>SUM(E67:E94)</f>
        <v>6524000</v>
      </c>
      <c r="F95" s="33">
        <f t="shared" si="5"/>
        <v>3.0328217887140352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IF(F3="1",SUMIF(Data!A:A,'19'!$A$2,Data!AH:AH),0)</f>
        <v>2747734</v>
      </c>
      <c r="F98" s="21">
        <f t="shared" ref="F98:F105" si="6">IFERROR(E98/$D$95,0)</f>
        <v>1.2773432778648637</v>
      </c>
    </row>
    <row r="99" spans="2:6" x14ac:dyDescent="0.2">
      <c r="B99" s="190" t="s">
        <v>31</v>
      </c>
      <c r="C99" s="191"/>
      <c r="D99" s="37"/>
      <c r="E99" s="18">
        <f>IF(F3="1",SUMIF(Data!A:A,'19'!$A$2,Data!AI:AI),0)</f>
        <v>1416808</v>
      </c>
      <c r="F99" s="22">
        <f t="shared" si="6"/>
        <v>0.65863368682163626</v>
      </c>
    </row>
    <row r="100" spans="2:6" x14ac:dyDescent="0.2">
      <c r="B100" s="190" t="s">
        <v>32</v>
      </c>
      <c r="C100" s="191"/>
      <c r="D100" s="37"/>
      <c r="E100" s="18">
        <f>IF(F3="1",SUMIF(Data!A:A,'19'!$A$2,Data!AJ:AJ),0)</f>
        <v>1310128</v>
      </c>
      <c r="F100" s="22">
        <f t="shared" si="6"/>
        <v>0.60904119319502481</v>
      </c>
    </row>
    <row r="101" spans="2:6" x14ac:dyDescent="0.2">
      <c r="B101" s="190" t="s">
        <v>28</v>
      </c>
      <c r="C101" s="191"/>
      <c r="D101" s="37"/>
      <c r="E101" s="18">
        <f>IF(F3="1",SUMIF(Data!A:A,'19'!$A$2,Data!AK:AK),0)</f>
        <v>0</v>
      </c>
      <c r="F101" s="22">
        <f t="shared" si="6"/>
        <v>0</v>
      </c>
    </row>
    <row r="102" spans="2:6" x14ac:dyDescent="0.2">
      <c r="B102" s="190" t="s">
        <v>33</v>
      </c>
      <c r="C102" s="191"/>
      <c r="D102" s="37"/>
      <c r="E102" s="18">
        <f>IF(F3="1",SUMIF(Data!A:A,'19'!$A$2,Data!AL:AL),0)</f>
        <v>0</v>
      </c>
      <c r="F102" s="22">
        <f t="shared" si="6"/>
        <v>0</v>
      </c>
    </row>
    <row r="103" spans="2:6" x14ac:dyDescent="0.2">
      <c r="B103" s="192" t="s">
        <v>34</v>
      </c>
      <c r="C103" s="193"/>
      <c r="D103" s="37"/>
      <c r="E103" s="18">
        <f>IF(F3="1",SUMIF(Data!A:A,'19'!$A$2,Data!AM:AM),0)</f>
        <v>238705</v>
      </c>
      <c r="F103" s="22">
        <f t="shared" si="6"/>
        <v>0.11096715589745307</v>
      </c>
    </row>
    <row r="104" spans="2:6" ht="15.75" customHeight="1" thickBot="1" x14ac:dyDescent="0.25">
      <c r="B104" s="182" t="s">
        <v>29</v>
      </c>
      <c r="C104" s="183"/>
      <c r="D104" s="38"/>
      <c r="E104" s="25">
        <f>IF(F3="1",SUMIF(Data!A:A,'19'!$A$2,Data!Q:Q),0)</f>
        <v>376469</v>
      </c>
      <c r="F104" s="26">
        <f t="shared" si="6"/>
        <v>0.17500971581474312</v>
      </c>
    </row>
    <row r="105" spans="2:6" x14ac:dyDescent="0.2">
      <c r="B105" s="31" t="s">
        <v>35</v>
      </c>
      <c r="C105" s="31"/>
      <c r="D105" s="35">
        <f>D95</f>
        <v>2151132</v>
      </c>
      <c r="E105" s="32">
        <f>SUM(E98:E104)</f>
        <v>6089844</v>
      </c>
      <c r="F105" s="33">
        <f t="shared" si="6"/>
        <v>2.830995029593721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6524000</v>
      </c>
      <c r="D109" s="16">
        <f>IF(F3="1",SUMIF(Data!$A:$A,$A$2,Data!HJ:HJ),0)</f>
        <v>0</v>
      </c>
      <c r="E109" s="16">
        <f>IF(F3="1",SUMIF(Data!$A:$A,$A$2,Data!IN:IN),0)</f>
        <v>0</v>
      </c>
      <c r="F109" s="48">
        <f>SUM(C109:E109)</f>
        <v>6524000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376469</v>
      </c>
      <c r="E117" s="53"/>
      <c r="F117" s="50">
        <f>SUM(C117:E117)</f>
        <v>376469</v>
      </c>
    </row>
    <row r="118" spans="1:6" x14ac:dyDescent="0.2">
      <c r="B118" s="14" t="s">
        <v>35</v>
      </c>
      <c r="C118" s="5">
        <f>SUM(C109:C116)</f>
        <v>6524000</v>
      </c>
      <c r="D118" s="5">
        <f>SUM(D109:D116)</f>
        <v>0</v>
      </c>
      <c r="E118" s="5">
        <f>SUM(E109:E116)</f>
        <v>0</v>
      </c>
      <c r="F118" s="5">
        <f>SUM(F109:F116)</f>
        <v>6524000</v>
      </c>
    </row>
    <row r="119" spans="1:6" ht="15" thickBot="1" x14ac:dyDescent="0.25"/>
    <row r="120" spans="1:6" ht="15" thickBot="1" x14ac:dyDescent="0.25">
      <c r="B120" s="57" t="s">
        <v>942</v>
      </c>
      <c r="C120" s="55"/>
      <c r="D120" s="55"/>
      <c r="E120" s="55">
        <f>IF(F3="1",SUMIF(Data!A:A,'19'!$A$2,Data!AM:AM),0)</f>
        <v>238705</v>
      </c>
      <c r="F120" s="56">
        <f>SUM(C120:E120)</f>
        <v>238705</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372</v>
      </c>
      <c r="B2" s="60" t="str">
        <f>VLOOKUP(A2,Data!A:G,7,0)</f>
        <v>Hill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9040</v>
      </c>
      <c r="E5" s="16">
        <f>E36+E67+IFERROR($E$105/$D$105*D5,0)</f>
        <v>96153.666389981387</v>
      </c>
      <c r="F5" s="21">
        <f>IFERROR(E5/D5,"")</f>
        <v>10.636467521015641</v>
      </c>
    </row>
    <row r="6" spans="1:6" x14ac:dyDescent="0.2">
      <c r="A6" s="20">
        <v>2</v>
      </c>
      <c r="B6" s="184" t="s">
        <v>1</v>
      </c>
      <c r="C6" s="185"/>
      <c r="D6" s="15">
        <f t="shared" ref="D6:D32" si="0">D37</f>
        <v>57564</v>
      </c>
      <c r="E6" s="18">
        <f t="shared" ref="E6:E32" si="1">E37+E68+IFERROR($E$105/$D$105*D6,0)</f>
        <v>354188.24248593894</v>
      </c>
      <c r="F6" s="22">
        <f t="shared" ref="F6:F33" si="2">IFERROR(E6/D6,"")</f>
        <v>6.1529470239375117</v>
      </c>
    </row>
    <row r="7" spans="1:6" ht="14.25" customHeight="1" x14ac:dyDescent="0.2">
      <c r="A7" s="20">
        <v>3</v>
      </c>
      <c r="B7" s="184" t="s">
        <v>2</v>
      </c>
      <c r="C7" s="185"/>
      <c r="D7" s="15">
        <f t="shared" si="0"/>
        <v>201440</v>
      </c>
      <c r="E7" s="18">
        <f t="shared" si="1"/>
        <v>1018722.0351325055</v>
      </c>
      <c r="F7" s="22">
        <f t="shared" si="2"/>
        <v>5.057198347560095</v>
      </c>
    </row>
    <row r="8" spans="1:6" ht="14.25" customHeight="1" x14ac:dyDescent="0.2">
      <c r="A8" s="20">
        <v>4</v>
      </c>
      <c r="B8" s="184" t="s">
        <v>3</v>
      </c>
      <c r="C8" s="185"/>
      <c r="D8" s="15">
        <f t="shared" si="0"/>
        <v>79274</v>
      </c>
      <c r="E8" s="18">
        <f t="shared" si="1"/>
        <v>289506.64152648055</v>
      </c>
      <c r="F8" s="22">
        <f t="shared" si="2"/>
        <v>3.6519746893871958</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6528</v>
      </c>
      <c r="E10" s="18">
        <f t="shared" si="1"/>
        <v>20532.20510993346</v>
      </c>
      <c r="F10" s="22">
        <f t="shared" si="2"/>
        <v>3.145252008261866</v>
      </c>
    </row>
    <row r="11" spans="1:6" x14ac:dyDescent="0.2">
      <c r="A11" s="20">
        <v>7</v>
      </c>
      <c r="B11" s="184" t="s">
        <v>6</v>
      </c>
      <c r="C11" s="185"/>
      <c r="D11" s="15">
        <f t="shared" si="0"/>
        <v>117590</v>
      </c>
      <c r="E11" s="18">
        <f t="shared" si="1"/>
        <v>724684.66159268923</v>
      </c>
      <c r="F11" s="22">
        <f t="shared" si="2"/>
        <v>6.1628085857019235</v>
      </c>
    </row>
    <row r="12" spans="1:6" x14ac:dyDescent="0.2">
      <c r="A12" s="20">
        <v>8</v>
      </c>
      <c r="B12" s="184" t="s">
        <v>7</v>
      </c>
      <c r="C12" s="185"/>
      <c r="D12" s="15">
        <f t="shared" si="0"/>
        <v>616</v>
      </c>
      <c r="E12" s="18">
        <f t="shared" si="1"/>
        <v>27218.387001795192</v>
      </c>
      <c r="F12" s="22">
        <f t="shared" si="2"/>
        <v>44.185693184732457</v>
      </c>
    </row>
    <row r="13" spans="1:6" x14ac:dyDescent="0.2">
      <c r="A13" s="20">
        <v>9</v>
      </c>
      <c r="B13" s="184" t="s">
        <v>8</v>
      </c>
      <c r="C13" s="185"/>
      <c r="D13" s="15">
        <f t="shared" si="0"/>
        <v>225988</v>
      </c>
      <c r="E13" s="18">
        <f t="shared" si="1"/>
        <v>1176058.4314313177</v>
      </c>
      <c r="F13" s="22">
        <f t="shared" si="2"/>
        <v>5.2040746917151255</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19024</v>
      </c>
      <c r="E15" s="18">
        <f t="shared" si="1"/>
        <v>75721.627146350205</v>
      </c>
      <c r="F15" s="22">
        <f t="shared" si="2"/>
        <v>3.9803210232522184</v>
      </c>
    </row>
    <row r="16" spans="1:6" ht="14.25" customHeight="1" x14ac:dyDescent="0.2">
      <c r="A16" s="20">
        <v>12</v>
      </c>
      <c r="B16" s="184" t="s">
        <v>11</v>
      </c>
      <c r="C16" s="185"/>
      <c r="D16" s="15">
        <f t="shared" si="0"/>
        <v>278944</v>
      </c>
      <c r="E16" s="18">
        <f t="shared" si="1"/>
        <v>1371390.9997220095</v>
      </c>
      <c r="F16" s="22">
        <f t="shared" si="2"/>
        <v>4.9163667249412413</v>
      </c>
    </row>
    <row r="17" spans="1:6" x14ac:dyDescent="0.2">
      <c r="A17" s="20">
        <v>13</v>
      </c>
      <c r="B17" s="184" t="s">
        <v>12</v>
      </c>
      <c r="C17" s="185"/>
      <c r="D17" s="15">
        <f t="shared" si="0"/>
        <v>39680</v>
      </c>
      <c r="E17" s="18">
        <f t="shared" si="1"/>
        <v>139490.30557018379</v>
      </c>
      <c r="F17" s="22">
        <f t="shared" si="2"/>
        <v>3.5153806847324542</v>
      </c>
    </row>
    <row r="18" spans="1:6" ht="14.25" customHeight="1" x14ac:dyDescent="0.2">
      <c r="A18" s="20">
        <v>14</v>
      </c>
      <c r="B18" s="184" t="s">
        <v>469</v>
      </c>
      <c r="C18" s="185"/>
      <c r="D18" s="15">
        <f t="shared" si="0"/>
        <v>19000</v>
      </c>
      <c r="E18" s="18">
        <f t="shared" si="1"/>
        <v>249162.17050991661</v>
      </c>
      <c r="F18" s="22">
        <f t="shared" si="2"/>
        <v>13.113798447890348</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111392</v>
      </c>
      <c r="E20" s="18">
        <f t="shared" si="1"/>
        <v>540684.73523371748</v>
      </c>
      <c r="F20" s="22">
        <f t="shared" si="2"/>
        <v>4.8538919781826113</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145168</v>
      </c>
      <c r="E22" s="18">
        <f t="shared" si="1"/>
        <v>1289393.7082412408</v>
      </c>
      <c r="F22" s="22">
        <f t="shared" si="2"/>
        <v>8.882079440656625</v>
      </c>
    </row>
    <row r="23" spans="1:6" x14ac:dyDescent="0.2">
      <c r="A23" s="20">
        <v>19</v>
      </c>
      <c r="B23" s="184" t="s">
        <v>17</v>
      </c>
      <c r="C23" s="185"/>
      <c r="D23" s="15">
        <f t="shared" si="0"/>
        <v>200608</v>
      </c>
      <c r="E23" s="18">
        <f t="shared" si="1"/>
        <v>1087087.5384028081</v>
      </c>
      <c r="F23" s="22">
        <f t="shared" si="2"/>
        <v>5.4189640413284019</v>
      </c>
    </row>
    <row r="24" spans="1:6" x14ac:dyDescent="0.2">
      <c r="A24" s="20">
        <v>20</v>
      </c>
      <c r="B24" s="184" t="s">
        <v>18</v>
      </c>
      <c r="C24" s="185"/>
      <c r="D24" s="15">
        <f t="shared" si="0"/>
        <v>12640</v>
      </c>
      <c r="E24" s="18">
        <f t="shared" si="1"/>
        <v>81925.161855018217</v>
      </c>
      <c r="F24" s="22">
        <f t="shared" si="2"/>
        <v>6.4814210328337198</v>
      </c>
    </row>
    <row r="25" spans="1:6" ht="14.25" customHeight="1" x14ac:dyDescent="0.2">
      <c r="A25" s="20">
        <v>21</v>
      </c>
      <c r="B25" s="184" t="s">
        <v>466</v>
      </c>
      <c r="C25" s="185"/>
      <c r="D25" s="15">
        <f t="shared" si="0"/>
        <v>2100</v>
      </c>
      <c r="E25" s="18">
        <f t="shared" si="1"/>
        <v>6763.9556879381535</v>
      </c>
      <c r="F25" s="22">
        <f t="shared" si="2"/>
        <v>3.2209312799705492</v>
      </c>
    </row>
    <row r="26" spans="1:6" x14ac:dyDescent="0.2">
      <c r="A26" s="20">
        <v>22</v>
      </c>
      <c r="B26" s="184" t="s">
        <v>19</v>
      </c>
      <c r="C26" s="185"/>
      <c r="D26" s="15">
        <f t="shared" si="0"/>
        <v>2304</v>
      </c>
      <c r="E26" s="18">
        <f t="shared" si="1"/>
        <v>9187.8370976235747</v>
      </c>
      <c r="F26" s="22">
        <f t="shared" si="2"/>
        <v>3.9877765180657878</v>
      </c>
    </row>
    <row r="27" spans="1:6" x14ac:dyDescent="0.2">
      <c r="A27" s="20">
        <v>23</v>
      </c>
      <c r="B27" s="184" t="s">
        <v>20</v>
      </c>
      <c r="C27" s="185"/>
      <c r="D27" s="15">
        <f t="shared" si="0"/>
        <v>76560</v>
      </c>
      <c r="E27" s="18">
        <f t="shared" si="1"/>
        <v>773439.67022311664</v>
      </c>
      <c r="F27" s="22">
        <f t="shared" si="2"/>
        <v>10.102399036352098</v>
      </c>
    </row>
    <row r="28" spans="1:6" x14ac:dyDescent="0.2">
      <c r="A28" s="20">
        <v>24</v>
      </c>
      <c r="B28" s="184" t="s">
        <v>21</v>
      </c>
      <c r="C28" s="185"/>
      <c r="D28" s="15">
        <f t="shared" si="0"/>
        <v>94032</v>
      </c>
      <c r="E28" s="18">
        <f t="shared" si="1"/>
        <v>455627.1015467621</v>
      </c>
      <c r="F28" s="22">
        <f t="shared" si="2"/>
        <v>4.8454473109873462</v>
      </c>
    </row>
    <row r="29" spans="1:6" x14ac:dyDescent="0.2">
      <c r="A29" s="20">
        <v>25</v>
      </c>
      <c r="B29" s="184" t="s">
        <v>22</v>
      </c>
      <c r="C29" s="185"/>
      <c r="D29" s="15">
        <f t="shared" si="0"/>
        <v>252048</v>
      </c>
      <c r="E29" s="18">
        <f t="shared" si="1"/>
        <v>1219327.5958254454</v>
      </c>
      <c r="F29" s="22">
        <f t="shared" si="2"/>
        <v>4.8376801078582075</v>
      </c>
    </row>
    <row r="30" spans="1:6" x14ac:dyDescent="0.2">
      <c r="A30" s="20">
        <v>26</v>
      </c>
      <c r="B30" s="184" t="s">
        <v>23</v>
      </c>
      <c r="C30" s="185"/>
      <c r="D30" s="15">
        <f t="shared" si="0"/>
        <v>91696</v>
      </c>
      <c r="E30" s="18">
        <f t="shared" si="1"/>
        <v>544794.32226722711</v>
      </c>
      <c r="F30" s="22">
        <f t="shared" si="2"/>
        <v>5.9413095693075721</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2043236</v>
      </c>
      <c r="E33" s="32">
        <f>SUM(E5:E32)</f>
        <v>11551061.000000002</v>
      </c>
      <c r="F33" s="33">
        <f t="shared" si="2"/>
        <v>5.6533170911240802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IF(F3="1",SUMIF(Data!A:A,'20'!$A$2,Data!CU:CU),0)</f>
        <v>9040</v>
      </c>
      <c r="E36" s="16">
        <f>IF(F3="1",SUMIF(Data!$A:$A,'20'!$A$2,Data!IO:IO),0)</f>
        <v>10973</v>
      </c>
      <c r="F36" s="21">
        <f t="shared" ref="F36:F64" si="3">IFERROR(E36/D36,"")</f>
        <v>1.2138274336283186</v>
      </c>
    </row>
    <row r="37" spans="1:6" x14ac:dyDescent="0.2">
      <c r="A37" s="20">
        <v>2</v>
      </c>
      <c r="B37" s="184" t="s">
        <v>1</v>
      </c>
      <c r="C37" s="185"/>
      <c r="D37" s="15">
        <f>IF(F3="1",SUMIF(Data!A:A,'20'!$A$2,Data!CV:CV),0)</f>
        <v>57564</v>
      </c>
      <c r="E37" s="18">
        <f>IF(F3="1",SUMIF(Data!$A:$A,'20'!$A$2,Data!IP:IP),0)</f>
        <v>26654</v>
      </c>
      <c r="F37" s="22">
        <f t="shared" si="3"/>
        <v>0.46303245083732891</v>
      </c>
    </row>
    <row r="38" spans="1:6" ht="14.25" customHeight="1" x14ac:dyDescent="0.2">
      <c r="A38" s="20">
        <v>3</v>
      </c>
      <c r="B38" s="184" t="s">
        <v>2</v>
      </c>
      <c r="C38" s="185"/>
      <c r="D38" s="15">
        <f>IF(F3="1",SUMIF(Data!A:A,'20'!$A$2,Data!CW:CW),0)</f>
        <v>201440</v>
      </c>
      <c r="E38" s="18">
        <f>IF(F3="1",SUMIF(Data!$A:$A,'20'!$A$2,Data!IQ:IQ),0)</f>
        <v>32891</v>
      </c>
      <c r="F38" s="22">
        <f t="shared" si="3"/>
        <v>0.16327938840349485</v>
      </c>
    </row>
    <row r="39" spans="1:6" ht="14.25" customHeight="1" x14ac:dyDescent="0.2">
      <c r="A39" s="20">
        <v>4</v>
      </c>
      <c r="B39" s="184" t="s">
        <v>3</v>
      </c>
      <c r="C39" s="185"/>
      <c r="D39" s="15">
        <f>IF(F3="1",SUMIF(Data!A:A,'20'!$A$2,Data!CX:CX),0)</f>
        <v>79274</v>
      </c>
      <c r="E39" s="18">
        <f>IF(F3="1",SUMIF(Data!$A:$A,'20'!$A$2,Data!IR:IR),0)</f>
        <v>4383</v>
      </c>
      <c r="F39" s="22">
        <f t="shared" si="3"/>
        <v>5.5289249943234857E-2</v>
      </c>
    </row>
    <row r="40" spans="1:6" x14ac:dyDescent="0.2">
      <c r="A40" s="20">
        <v>5</v>
      </c>
      <c r="B40" s="184" t="s">
        <v>4</v>
      </c>
      <c r="C40" s="185"/>
      <c r="D40" s="15">
        <f>IF(F3="1",SUMIF(Data!A:A,'20'!$A$2,Data!CY:CY),0)</f>
        <v>0</v>
      </c>
      <c r="E40" s="18">
        <f>IF(F3="1",SUMIF(Data!$A:$A,'20'!$A$2,Data!IS:IS),0)</f>
        <v>0</v>
      </c>
      <c r="F40" s="22" t="str">
        <f t="shared" si="3"/>
        <v/>
      </c>
    </row>
    <row r="41" spans="1:6" x14ac:dyDescent="0.2">
      <c r="A41" s="20">
        <v>6</v>
      </c>
      <c r="B41" s="184" t="s">
        <v>5</v>
      </c>
      <c r="C41" s="185"/>
      <c r="D41" s="15">
        <f>IF(F3="1",SUMIF(Data!A:A,'20'!$A$2,Data!CZ:CZ),0)</f>
        <v>6528</v>
      </c>
      <c r="E41" s="18">
        <f>IF(F3="1",SUMIF(Data!$A:$A,'20'!$A$2,Data!IT:IT),0)</f>
        <v>500</v>
      </c>
      <c r="F41" s="22">
        <f t="shared" si="3"/>
        <v>7.6593137254901966E-2</v>
      </c>
    </row>
    <row r="42" spans="1:6" x14ac:dyDescent="0.2">
      <c r="A42" s="20">
        <v>7</v>
      </c>
      <c r="B42" s="184" t="s">
        <v>6</v>
      </c>
      <c r="C42" s="185"/>
      <c r="D42" s="15">
        <f>IF(F3="1",SUMIF(Data!A:A,'20'!$A$2,Data!DA:DA),0)</f>
        <v>117590</v>
      </c>
      <c r="E42" s="18">
        <f>IF(F3="1",SUMIF(Data!$A:$A,'20'!$A$2,Data!IU:IU),0)</f>
        <v>31283</v>
      </c>
      <c r="F42" s="22">
        <f t="shared" si="3"/>
        <v>0.26603452674547157</v>
      </c>
    </row>
    <row r="43" spans="1:6" x14ac:dyDescent="0.2">
      <c r="A43" s="20">
        <v>8</v>
      </c>
      <c r="B43" s="184" t="s">
        <v>7</v>
      </c>
      <c r="C43" s="185"/>
      <c r="D43" s="15">
        <f>IF(F3="1",SUMIF(Data!A:A,'20'!$A$2,Data!DB:DB),0)</f>
        <v>616</v>
      </c>
      <c r="E43" s="18">
        <f>IF(F3="1",SUMIF(Data!$A:$A,'20'!$A$2,Data!IV:IV),0)</f>
        <v>6236</v>
      </c>
      <c r="F43" s="22">
        <f t="shared" si="3"/>
        <v>10.123376623376624</v>
      </c>
    </row>
    <row r="44" spans="1:6" x14ac:dyDescent="0.2">
      <c r="A44" s="20">
        <v>9</v>
      </c>
      <c r="B44" s="184" t="s">
        <v>8</v>
      </c>
      <c r="C44" s="185"/>
      <c r="D44" s="15">
        <f>IF(F3="1",SUMIF(Data!A:A,'20'!$A$2,Data!DC:DC),0)</f>
        <v>225988</v>
      </c>
      <c r="E44" s="18">
        <f>IF(F3="1",SUMIF(Data!$A:$A,'20'!$A$2,Data!IW:IW),0)</f>
        <v>27754</v>
      </c>
      <c r="F44" s="22">
        <f t="shared" si="3"/>
        <v>0.12281183071667522</v>
      </c>
    </row>
    <row r="45" spans="1:6" x14ac:dyDescent="0.2">
      <c r="A45" s="20">
        <v>10</v>
      </c>
      <c r="B45" s="184" t="s">
        <v>9</v>
      </c>
      <c r="C45" s="185"/>
      <c r="D45" s="15">
        <f>IF(F3="1",SUMIF(Data!A:A,'20'!$A$2,Data!DD:DD),0)</f>
        <v>0</v>
      </c>
      <c r="E45" s="18">
        <f>IF(F3="1",SUMIF(Data!$A:$A,'20'!$A$2,Data!IX:IX),0)</f>
        <v>0</v>
      </c>
      <c r="F45" s="22" t="str">
        <f t="shared" si="3"/>
        <v/>
      </c>
    </row>
    <row r="46" spans="1:6" x14ac:dyDescent="0.2">
      <c r="A46" s="20">
        <v>11</v>
      </c>
      <c r="B46" s="184" t="s">
        <v>10</v>
      </c>
      <c r="C46" s="185"/>
      <c r="D46" s="15">
        <f>IF(F3="1",SUMIF(Data!A:A,'20'!$A$2,Data!DE:DE),0)</f>
        <v>19024</v>
      </c>
      <c r="E46" s="18">
        <f>IF(F3="1",SUMIF(Data!$A:$A,'20'!$A$2,Data!IY:IY),0)</f>
        <v>2757</v>
      </c>
      <c r="F46" s="22">
        <f t="shared" si="3"/>
        <v>0.14492220353238014</v>
      </c>
    </row>
    <row r="47" spans="1:6" ht="14.25" customHeight="1" x14ac:dyDescent="0.2">
      <c r="A47" s="20">
        <v>12</v>
      </c>
      <c r="B47" s="184" t="s">
        <v>11</v>
      </c>
      <c r="C47" s="185"/>
      <c r="D47" s="15">
        <f>IF(F3="1",SUMIF(Data!A:A,'20'!$A$2,Data!DF:DF),0)</f>
        <v>278944</v>
      </c>
      <c r="E47" s="18">
        <f>IF(F3="1",SUMIF(Data!$A:$A,'20'!$A$2,Data!IZ:IZ),0)</f>
        <v>10620</v>
      </c>
      <c r="F47" s="22">
        <f t="shared" si="3"/>
        <v>3.8072157852472178E-2</v>
      </c>
    </row>
    <row r="48" spans="1:6" x14ac:dyDescent="0.2">
      <c r="A48" s="20">
        <v>13</v>
      </c>
      <c r="B48" s="184" t="s">
        <v>12</v>
      </c>
      <c r="C48" s="185"/>
      <c r="D48" s="15">
        <f>IF(F3="1",SUMIF(Data!A:A,'20'!$A$2,Data!DG:DG),0)</f>
        <v>39680</v>
      </c>
      <c r="E48" s="18">
        <f>IF(F3="1",SUMIF(Data!$A:$A,'20'!$A$2,Data!JA:JA),0)</f>
        <v>188</v>
      </c>
      <c r="F48" s="22">
        <f t="shared" si="3"/>
        <v>4.7379032258064516E-3</v>
      </c>
    </row>
    <row r="49" spans="1:6" ht="14.25" customHeight="1" x14ac:dyDescent="0.2">
      <c r="A49" s="20">
        <v>14</v>
      </c>
      <c r="B49" s="184" t="s">
        <v>469</v>
      </c>
      <c r="C49" s="185"/>
      <c r="D49" s="15">
        <f>IF(F3="1",SUMIF(Data!A:A,'20'!$A$2,Data!DH:DH),0)</f>
        <v>19000</v>
      </c>
      <c r="E49" s="18">
        <f>IF(F3="1",SUMIF(Data!$A:$A,'20'!$A$2,Data!JB:JB),0)</f>
        <v>23520</v>
      </c>
      <c r="F49" s="22">
        <f t="shared" si="3"/>
        <v>1.2378947368421052</v>
      </c>
    </row>
    <row r="50" spans="1:6" x14ac:dyDescent="0.2">
      <c r="A50" s="20">
        <v>15</v>
      </c>
      <c r="B50" s="184" t="s">
        <v>13</v>
      </c>
      <c r="C50" s="185"/>
      <c r="D50" s="15">
        <f>IF(F3="1",SUMIF(Data!A:A,'20'!$A$2,Data!DI:DI),0)</f>
        <v>0</v>
      </c>
      <c r="E50" s="18">
        <f>IF(F3="1",SUMIF(Data!$A:$A,'20'!$A$2,Data!JC:JC),0)</f>
        <v>0</v>
      </c>
      <c r="F50" s="22" t="str">
        <f t="shared" si="3"/>
        <v/>
      </c>
    </row>
    <row r="51" spans="1:6" x14ac:dyDescent="0.2">
      <c r="A51" s="20">
        <v>16</v>
      </c>
      <c r="B51" s="184" t="s">
        <v>14</v>
      </c>
      <c r="C51" s="185"/>
      <c r="D51" s="15">
        <f>IF(F3="1",SUMIF(Data!A:A,'20'!$A$2,Data!DJ:DJ),0)</f>
        <v>111392</v>
      </c>
      <c r="E51" s="18">
        <f>IF(F3="1",SUMIF(Data!$A:$A,'20'!$A$2,Data!JD:JD),0)</f>
        <v>40280</v>
      </c>
      <c r="F51" s="22">
        <f t="shared" si="3"/>
        <v>0.36160586038494685</v>
      </c>
    </row>
    <row r="52" spans="1:6" x14ac:dyDescent="0.2">
      <c r="A52" s="20">
        <v>17</v>
      </c>
      <c r="B52" s="184" t="s">
        <v>15</v>
      </c>
      <c r="C52" s="185"/>
      <c r="D52" s="15">
        <f>IF(F3="1",SUMIF(Data!A:A,'20'!$A$2,Data!DK:DK),0)</f>
        <v>0</v>
      </c>
      <c r="E52" s="18">
        <f>IF(F3="1",SUMIF(Data!$A:$A,'20'!$A$2,Data!JE:JE),0)</f>
        <v>0</v>
      </c>
      <c r="F52" s="22" t="str">
        <f t="shared" si="3"/>
        <v/>
      </c>
    </row>
    <row r="53" spans="1:6" x14ac:dyDescent="0.2">
      <c r="A53" s="20">
        <v>18</v>
      </c>
      <c r="B53" s="184" t="s">
        <v>16</v>
      </c>
      <c r="C53" s="185"/>
      <c r="D53" s="15">
        <f>IF(F3="1",SUMIF(Data!A:A,'20'!$A$2,Data!DL:DL),0)</f>
        <v>145168</v>
      </c>
      <c r="E53" s="18">
        <f>IF(F3="1",SUMIF(Data!$A:$A,'20'!$A$2,Data!JF:JF),0)</f>
        <v>53570</v>
      </c>
      <c r="F53" s="22">
        <f t="shared" si="3"/>
        <v>0.36902072082001541</v>
      </c>
    </row>
    <row r="54" spans="1:6" x14ac:dyDescent="0.2">
      <c r="A54" s="20">
        <v>19</v>
      </c>
      <c r="B54" s="184" t="s">
        <v>17</v>
      </c>
      <c r="C54" s="185"/>
      <c r="D54" s="15">
        <f>IF(F3="1",SUMIF(Data!A:A,'20'!$A$2,Data!DM:DM),0)</f>
        <v>200608</v>
      </c>
      <c r="E54" s="18">
        <f>IF(F3="1",SUMIF(Data!$A:$A,'20'!$A$2,Data!JG:JG),0)</f>
        <v>5568</v>
      </c>
      <c r="F54" s="22">
        <f t="shared" si="3"/>
        <v>2.7755622906364651E-2</v>
      </c>
    </row>
    <row r="55" spans="1:6" x14ac:dyDescent="0.2">
      <c r="A55" s="20">
        <v>20</v>
      </c>
      <c r="B55" s="184" t="s">
        <v>18</v>
      </c>
      <c r="C55" s="185"/>
      <c r="D55" s="15">
        <f>IF(F3="1",SUMIF(Data!A:A,'20'!$A$2,Data!DN:DN),0)</f>
        <v>12640</v>
      </c>
      <c r="E55" s="18">
        <f>IF(F3="1",SUMIF(Data!$A:$A,'20'!$A$2,Data!JH:JH),0)</f>
        <v>6652</v>
      </c>
      <c r="F55" s="22">
        <f t="shared" si="3"/>
        <v>0.52626582278481016</v>
      </c>
    </row>
    <row r="56" spans="1:6" ht="14.25" customHeight="1" x14ac:dyDescent="0.2">
      <c r="A56" s="20">
        <v>21</v>
      </c>
      <c r="B56" s="184" t="s">
        <v>466</v>
      </c>
      <c r="C56" s="185"/>
      <c r="D56" s="15">
        <f>IF(F3="1",SUMIF(Data!A:A,'20'!$A$2,Data!DO:DO),0)</f>
        <v>2100</v>
      </c>
      <c r="E56" s="18">
        <f>IF(F3="1",SUMIF(Data!$A:$A,'20'!$A$2,Data!JI:JI),0)</f>
        <v>188</v>
      </c>
      <c r="F56" s="22">
        <f t="shared" si="3"/>
        <v>8.9523809523809519E-2</v>
      </c>
    </row>
    <row r="57" spans="1:6" x14ac:dyDescent="0.2">
      <c r="A57" s="20">
        <v>22</v>
      </c>
      <c r="B57" s="184" t="s">
        <v>19</v>
      </c>
      <c r="C57" s="185"/>
      <c r="D57" s="15">
        <f>IF(F3="1",SUMIF(Data!A:A,'20'!$A$2,Data!DP:DP),0)</f>
        <v>2304</v>
      </c>
      <c r="E57" s="18">
        <f>IF(F3="1",SUMIF(Data!$A:$A,'20'!$A$2,Data!JJ:JJ),0)</f>
        <v>500</v>
      </c>
      <c r="F57" s="22">
        <f t="shared" si="3"/>
        <v>0.2170138888888889</v>
      </c>
    </row>
    <row r="58" spans="1:6" x14ac:dyDescent="0.2">
      <c r="A58" s="20">
        <v>23</v>
      </c>
      <c r="B58" s="184" t="s">
        <v>20</v>
      </c>
      <c r="C58" s="185"/>
      <c r="D58" s="15">
        <f>IF(F3="1",SUMIF(Data!A:A,'20'!$A$2,Data!DQ:DQ),0)</f>
        <v>76560</v>
      </c>
      <c r="E58" s="18">
        <f>IF(F3="1",SUMIF(Data!$A:$A,'20'!$A$2,Data!JK:JK),0)</f>
        <v>20182</v>
      </c>
      <c r="F58" s="22">
        <f t="shared" si="3"/>
        <v>0.26361024033437824</v>
      </c>
    </row>
    <row r="59" spans="1:6" x14ac:dyDescent="0.2">
      <c r="A59" s="20">
        <v>24</v>
      </c>
      <c r="B59" s="184" t="s">
        <v>21</v>
      </c>
      <c r="C59" s="185"/>
      <c r="D59" s="15">
        <f>IF(F3="1",SUMIF(Data!A:A,'20'!$A$2,Data!DR:DR),0)</f>
        <v>94032</v>
      </c>
      <c r="E59" s="18">
        <f>IF(F3="1",SUMIF(Data!$A:$A,'20'!$A$2,Data!JL:JL),0)</f>
        <v>79633</v>
      </c>
      <c r="F59" s="22">
        <f t="shared" si="3"/>
        <v>0.84687127786285521</v>
      </c>
    </row>
    <row r="60" spans="1:6" x14ac:dyDescent="0.2">
      <c r="A60" s="20">
        <v>25</v>
      </c>
      <c r="B60" s="184" t="s">
        <v>22</v>
      </c>
      <c r="C60" s="185"/>
      <c r="D60" s="15">
        <f>IF(F3="1",SUMIF(Data!A:A,'20'!$A$2,Data!DS:DS),0)</f>
        <v>252048</v>
      </c>
      <c r="E60" s="18">
        <f>IF(F3="1",SUMIF(Data!$A:$A,'20'!$A$2,Data!JM:JM),0)</f>
        <v>6047</v>
      </c>
      <c r="F60" s="22">
        <f t="shared" si="3"/>
        <v>2.3991461943756745E-2</v>
      </c>
    </row>
    <row r="61" spans="1:6" x14ac:dyDescent="0.2">
      <c r="A61" s="20">
        <v>26</v>
      </c>
      <c r="B61" s="184" t="s">
        <v>23</v>
      </c>
      <c r="C61" s="185"/>
      <c r="D61" s="15">
        <f>IF(F3="1",SUMIF(Data!A:A,'20'!$A$2,Data!DT:DT),0)</f>
        <v>91696</v>
      </c>
      <c r="E61" s="18">
        <f>IF(F3="1",SUMIF(Data!$A:$A,'20'!$A$2,Data!JN:JN),0)</f>
        <v>27432</v>
      </c>
      <c r="F61" s="22">
        <f t="shared" si="3"/>
        <v>0.29916244983423484</v>
      </c>
    </row>
    <row r="62" spans="1:6" x14ac:dyDescent="0.2">
      <c r="A62" s="20">
        <v>28</v>
      </c>
      <c r="B62" s="184" t="s">
        <v>24</v>
      </c>
      <c r="C62" s="185"/>
      <c r="D62" s="15">
        <f>IF(F3="1",SUMIF(Data!A:A,'20'!$A$2,Data!DV:DV),0)</f>
        <v>0</v>
      </c>
      <c r="E62" s="18">
        <f>IF(F3="1",SUMIF(Data!$A:$A,'20'!$A$2,Data!JP:JP),0)</f>
        <v>0</v>
      </c>
      <c r="F62" s="22" t="str">
        <f t="shared" si="3"/>
        <v/>
      </c>
    </row>
    <row r="63" spans="1:6" ht="15.75" customHeight="1" thickBot="1" x14ac:dyDescent="0.25">
      <c r="A63" s="23">
        <v>29</v>
      </c>
      <c r="B63" s="186" t="s">
        <v>25</v>
      </c>
      <c r="C63" s="187"/>
      <c r="D63" s="24">
        <f>IF(F3="1",SUMIF(Data!A:A,'20'!$A$2,Data!DW:DW),0)</f>
        <v>0</v>
      </c>
      <c r="E63" s="25">
        <f>IF(F3="1",SUMIF(Data!$A:$A,'20'!$A$2,Data!JQ:JQ),0)</f>
        <v>0</v>
      </c>
      <c r="F63" s="26" t="str">
        <f t="shared" si="3"/>
        <v/>
      </c>
    </row>
    <row r="64" spans="1:6" x14ac:dyDescent="0.2">
      <c r="B64" s="31" t="s">
        <v>35</v>
      </c>
      <c r="C64" s="31"/>
      <c r="D64" s="61">
        <f>SUM(D36:D63)</f>
        <v>2043236</v>
      </c>
      <c r="E64" s="32">
        <f>SUM(E36:E63)</f>
        <v>417811</v>
      </c>
      <c r="F64" s="33">
        <f t="shared" si="3"/>
        <v>0.20448494447043808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9040</v>
      </c>
      <c r="E67" s="16">
        <f>IF(F3="1",SUMIF(Data!A:A,'20'!$A$2,Data!DY:DY),0)</f>
        <v>60902</v>
      </c>
      <c r="F67" s="21">
        <f>IFERROR(E67/D67,"")</f>
        <v>6.736946902654867</v>
      </c>
    </row>
    <row r="68" spans="1:6" x14ac:dyDescent="0.2">
      <c r="A68" s="20">
        <v>2</v>
      </c>
      <c r="B68" s="184" t="s">
        <v>1</v>
      </c>
      <c r="C68" s="185"/>
      <c r="D68" s="15">
        <f t="shared" ref="D68:D94" si="4">D37</f>
        <v>57564</v>
      </c>
      <c r="E68" s="18">
        <f>IF(F3="1",SUMIF(Data!A:A,'20'!$A$2,Data!DZ:DZ),0)</f>
        <v>172935</v>
      </c>
      <c r="F68" s="22">
        <f t="shared" ref="F68:F95" si="5">IFERROR(E68/D68,"")</f>
        <v>3.0042213883677298</v>
      </c>
    </row>
    <row r="69" spans="1:6" ht="14.25" customHeight="1" x14ac:dyDescent="0.2">
      <c r="A69" s="20">
        <v>3</v>
      </c>
      <c r="B69" s="184" t="s">
        <v>2</v>
      </c>
      <c r="C69" s="185"/>
      <c r="D69" s="15">
        <f t="shared" si="4"/>
        <v>201440</v>
      </c>
      <c r="E69" s="18">
        <f>IF(F3="1",SUMIF(Data!A:A,'20'!$A$2,Data!EA:EA),0)</f>
        <v>444825</v>
      </c>
      <c r="F69" s="22">
        <f t="shared" si="5"/>
        <v>2.2082257744241462</v>
      </c>
    </row>
    <row r="70" spans="1:6" ht="14.25" customHeight="1" x14ac:dyDescent="0.2">
      <c r="A70" s="20">
        <v>4</v>
      </c>
      <c r="B70" s="184" t="s">
        <v>3</v>
      </c>
      <c r="C70" s="185"/>
      <c r="D70" s="15">
        <f t="shared" si="4"/>
        <v>79274</v>
      </c>
      <c r="E70" s="18">
        <f>IF(F3="1",SUMIF(Data!A:A,'20'!$A$2,Data!EB:EB),0)</f>
        <v>72218</v>
      </c>
      <c r="F70" s="22">
        <f t="shared" si="5"/>
        <v>0.91099225471150691</v>
      </c>
    </row>
    <row r="71" spans="1:6" x14ac:dyDescent="0.2">
      <c r="A71" s="20">
        <v>5</v>
      </c>
      <c r="B71" s="184" t="s">
        <v>4</v>
      </c>
      <c r="C71" s="185"/>
      <c r="D71" s="15">
        <f t="shared" si="4"/>
        <v>0</v>
      </c>
      <c r="E71" s="18">
        <f>IF(F3="1",SUMIF(Data!A:A,'20'!$A$2,Data!EC:EC),0)</f>
        <v>0</v>
      </c>
      <c r="F71" s="22" t="str">
        <f t="shared" si="5"/>
        <v/>
      </c>
    </row>
    <row r="72" spans="1:6" x14ac:dyDescent="0.2">
      <c r="A72" s="20">
        <v>6</v>
      </c>
      <c r="B72" s="184" t="s">
        <v>5</v>
      </c>
      <c r="C72" s="185"/>
      <c r="D72" s="15">
        <f t="shared" si="4"/>
        <v>6528</v>
      </c>
      <c r="E72" s="18">
        <f>IF(F3="1",SUMIF(Data!A:A,'20'!$A$2,Data!ED:ED),0)</f>
        <v>2500</v>
      </c>
      <c r="F72" s="22">
        <f t="shared" si="5"/>
        <v>0.38296568627450983</v>
      </c>
    </row>
    <row r="73" spans="1:6" x14ac:dyDescent="0.2">
      <c r="A73" s="20">
        <v>7</v>
      </c>
      <c r="B73" s="184" t="s">
        <v>6</v>
      </c>
      <c r="C73" s="185"/>
      <c r="D73" s="15">
        <f t="shared" si="4"/>
        <v>117590</v>
      </c>
      <c r="E73" s="18">
        <f>IF(F3="1",SUMIF(Data!A:A,'20'!$A$2,Data!EE:EE),0)</f>
        <v>377591</v>
      </c>
      <c r="F73" s="22">
        <f t="shared" si="5"/>
        <v>3.2110808742239985</v>
      </c>
    </row>
    <row r="74" spans="1:6" x14ac:dyDescent="0.2">
      <c r="A74" s="20">
        <v>8</v>
      </c>
      <c r="B74" s="184" t="s">
        <v>7</v>
      </c>
      <c r="C74" s="185"/>
      <c r="D74" s="15">
        <f t="shared" si="4"/>
        <v>616</v>
      </c>
      <c r="E74" s="18">
        <f>IF(F3="1",SUMIF(Data!A:A,'20'!$A$2,Data!EF:EF),0)</f>
        <v>19328</v>
      </c>
      <c r="F74" s="22">
        <f t="shared" si="5"/>
        <v>31.376623376623378</v>
      </c>
    </row>
    <row r="75" spans="1:6" x14ac:dyDescent="0.2">
      <c r="A75" s="20">
        <v>9</v>
      </c>
      <c r="B75" s="184" t="s">
        <v>8</v>
      </c>
      <c r="C75" s="185"/>
      <c r="D75" s="15">
        <f t="shared" si="4"/>
        <v>225988</v>
      </c>
      <c r="E75" s="18">
        <f>IF(F3="1",SUMIF(Data!A:A,'20'!$A$2,Data!EG:EG),0)</f>
        <v>541370</v>
      </c>
      <c r="F75" s="22">
        <f t="shared" si="5"/>
        <v>2.3955696762659966</v>
      </c>
    </row>
    <row r="76" spans="1:6" x14ac:dyDescent="0.2">
      <c r="A76" s="20">
        <v>10</v>
      </c>
      <c r="B76" s="184" t="s">
        <v>9</v>
      </c>
      <c r="C76" s="185"/>
      <c r="D76" s="15">
        <f t="shared" si="4"/>
        <v>0</v>
      </c>
      <c r="E76" s="18">
        <f>IF(F3="1",SUMIF(Data!A:A,'20'!$A$2,Data!EH:EH),0)</f>
        <v>0</v>
      </c>
      <c r="F76" s="22" t="str">
        <f t="shared" si="5"/>
        <v/>
      </c>
    </row>
    <row r="77" spans="1:6" x14ac:dyDescent="0.2">
      <c r="A77" s="20">
        <v>11</v>
      </c>
      <c r="B77" s="184" t="s">
        <v>10</v>
      </c>
      <c r="C77" s="185"/>
      <c r="D77" s="15">
        <f t="shared" si="4"/>
        <v>19024</v>
      </c>
      <c r="E77" s="18">
        <f>IF(F3="1",SUMIF(Data!A:A,'20'!$A$2,Data!EI:EI),0)</f>
        <v>21872</v>
      </c>
      <c r="F77" s="22">
        <f t="shared" si="5"/>
        <v>1.1497056349873844</v>
      </c>
    </row>
    <row r="78" spans="1:6" ht="14.25" customHeight="1" x14ac:dyDescent="0.2">
      <c r="A78" s="20">
        <v>12</v>
      </c>
      <c r="B78" s="184" t="s">
        <v>11</v>
      </c>
      <c r="C78" s="185"/>
      <c r="D78" s="15">
        <f t="shared" si="4"/>
        <v>278944</v>
      </c>
      <c r="E78" s="18">
        <f>IF(F3="1",SUMIF(Data!A:A,'20'!$A$2,Data!EJ:EJ),0)</f>
        <v>611613</v>
      </c>
      <c r="F78" s="22">
        <f t="shared" si="5"/>
        <v>2.1926013823563153</v>
      </c>
    </row>
    <row r="79" spans="1:6" x14ac:dyDescent="0.2">
      <c r="A79" s="20">
        <v>13</v>
      </c>
      <c r="B79" s="184" t="s">
        <v>12</v>
      </c>
      <c r="C79" s="185"/>
      <c r="D79" s="15">
        <f t="shared" si="4"/>
        <v>39680</v>
      </c>
      <c r="E79" s="18">
        <f>IF(F3="1",SUMIF(Data!A:A,'20'!$A$2,Data!EK:EK),0)</f>
        <v>32734</v>
      </c>
      <c r="F79" s="22">
        <f t="shared" si="5"/>
        <v>0.82494959677419355</v>
      </c>
    </row>
    <row r="80" spans="1:6" ht="14.25" customHeight="1" x14ac:dyDescent="0.2">
      <c r="A80" s="20">
        <v>14</v>
      </c>
      <c r="B80" s="184" t="s">
        <v>469</v>
      </c>
      <c r="C80" s="185"/>
      <c r="D80" s="15">
        <f t="shared" si="4"/>
        <v>19000</v>
      </c>
      <c r="E80" s="18">
        <f>IF(F3="1",SUMIF(Data!A:A,'20'!$A$2,Data!EL:EL),0)</f>
        <v>174614</v>
      </c>
      <c r="F80" s="22">
        <f t="shared" si="5"/>
        <v>9.1902105263157896</v>
      </c>
    </row>
    <row r="81" spans="1:6" x14ac:dyDescent="0.2">
      <c r="A81" s="20">
        <v>15</v>
      </c>
      <c r="B81" s="184" t="s">
        <v>13</v>
      </c>
      <c r="C81" s="185"/>
      <c r="D81" s="15">
        <f t="shared" si="4"/>
        <v>0</v>
      </c>
      <c r="E81" s="18">
        <f>IF(F3="1",SUMIF(Data!A:A,'20'!$A$2,Data!EM:EM),0)</f>
        <v>0</v>
      </c>
      <c r="F81" s="22" t="str">
        <f t="shared" si="5"/>
        <v/>
      </c>
    </row>
    <row r="82" spans="1:6" x14ac:dyDescent="0.2">
      <c r="A82" s="20">
        <v>16</v>
      </c>
      <c r="B82" s="184" t="s">
        <v>14</v>
      </c>
      <c r="C82" s="185"/>
      <c r="D82" s="15">
        <f t="shared" si="4"/>
        <v>111392</v>
      </c>
      <c r="E82" s="18">
        <f>IF(F3="1",SUMIF(Data!A:A,'20'!$A$2,Data!EN:EN),0)</f>
        <v>201240</v>
      </c>
      <c r="F82" s="22">
        <f t="shared" si="5"/>
        <v>1.8065929330652111</v>
      </c>
    </row>
    <row r="83" spans="1:6" x14ac:dyDescent="0.2">
      <c r="A83" s="20">
        <v>17</v>
      </c>
      <c r="B83" s="184" t="s">
        <v>15</v>
      </c>
      <c r="C83" s="185"/>
      <c r="D83" s="15">
        <f t="shared" si="4"/>
        <v>0</v>
      </c>
      <c r="E83" s="18">
        <f>IF(F3="1",SUMIF(Data!A:A,'20'!$A$2,Data!EO:EO),0)</f>
        <v>0</v>
      </c>
      <c r="F83" s="22" t="str">
        <f t="shared" si="5"/>
        <v/>
      </c>
    </row>
    <row r="84" spans="1:6" x14ac:dyDescent="0.2">
      <c r="A84" s="20">
        <v>18</v>
      </c>
      <c r="B84" s="184" t="s">
        <v>16</v>
      </c>
      <c r="C84" s="185"/>
      <c r="D84" s="15">
        <f t="shared" si="4"/>
        <v>145168</v>
      </c>
      <c r="E84" s="18">
        <f>IF(F3="1",SUMIF(Data!A:A,'20'!$A$2,Data!EP:EP),0)</f>
        <v>845947</v>
      </c>
      <c r="F84" s="22">
        <f t="shared" si="5"/>
        <v>5.8273655351041551</v>
      </c>
    </row>
    <row r="85" spans="1:6" x14ac:dyDescent="0.2">
      <c r="A85" s="20">
        <v>19</v>
      </c>
      <c r="B85" s="184" t="s">
        <v>17</v>
      </c>
      <c r="C85" s="185"/>
      <c r="D85" s="15">
        <f t="shared" si="4"/>
        <v>200608</v>
      </c>
      <c r="E85" s="18">
        <f>IF(F3="1",SUMIF(Data!A:A,'20'!$A$2,Data!EQ:EQ),0)</f>
        <v>542748</v>
      </c>
      <c r="F85" s="22">
        <f t="shared" si="5"/>
        <v>2.7055152336895838</v>
      </c>
    </row>
    <row r="86" spans="1:6" x14ac:dyDescent="0.2">
      <c r="A86" s="20">
        <v>20</v>
      </c>
      <c r="B86" s="184" t="s">
        <v>18</v>
      </c>
      <c r="C86" s="185"/>
      <c r="D86" s="15">
        <f t="shared" si="4"/>
        <v>12640</v>
      </c>
      <c r="E86" s="18">
        <f>IF(F3="1",SUMIF(Data!A:A,'20'!$A$2,Data!ER:ER),0)</f>
        <v>41326</v>
      </c>
      <c r="F86" s="22">
        <f t="shared" si="5"/>
        <v>3.2694620253164559</v>
      </c>
    </row>
    <row r="87" spans="1:6" ht="14.25" customHeight="1" x14ac:dyDescent="0.2">
      <c r="A87" s="20">
        <v>21</v>
      </c>
      <c r="B87" s="184" t="s">
        <v>466</v>
      </c>
      <c r="C87" s="185"/>
      <c r="D87" s="15">
        <f t="shared" si="4"/>
        <v>2100</v>
      </c>
      <c r="E87" s="18">
        <f>IF(F3="1",SUMIF(Data!A:A,'20'!$A$2,Data!ES:ES),0)</f>
        <v>936</v>
      </c>
      <c r="F87" s="22">
        <f t="shared" si="5"/>
        <v>0.44571428571428573</v>
      </c>
    </row>
    <row r="88" spans="1:6" x14ac:dyDescent="0.2">
      <c r="A88" s="20">
        <v>22</v>
      </c>
      <c r="B88" s="184" t="s">
        <v>19</v>
      </c>
      <c r="C88" s="185"/>
      <c r="D88" s="15">
        <f t="shared" si="4"/>
        <v>2304</v>
      </c>
      <c r="E88" s="18">
        <f>IF(F3="1",SUMIF(Data!A:A,'20'!$A$2,Data!ET:ET),0)</f>
        <v>2500</v>
      </c>
      <c r="F88" s="22">
        <f t="shared" si="5"/>
        <v>1.0850694444444444</v>
      </c>
    </row>
    <row r="89" spans="1:6" x14ac:dyDescent="0.2">
      <c r="A89" s="20">
        <v>23</v>
      </c>
      <c r="B89" s="184" t="s">
        <v>20</v>
      </c>
      <c r="C89" s="185"/>
      <c r="D89" s="15">
        <f t="shared" si="4"/>
        <v>76560</v>
      </c>
      <c r="E89" s="18">
        <f>IF(F3="1",SUMIF(Data!A:A,'20'!$A$2,Data!EU:EU),0)</f>
        <v>547641</v>
      </c>
      <c r="F89" s="22">
        <f t="shared" si="5"/>
        <v>7.1530956112852664</v>
      </c>
    </row>
    <row r="90" spans="1:6" x14ac:dyDescent="0.2">
      <c r="A90" s="20">
        <v>24</v>
      </c>
      <c r="B90" s="184" t="s">
        <v>21</v>
      </c>
      <c r="C90" s="185"/>
      <c r="D90" s="15">
        <f t="shared" si="4"/>
        <v>94032</v>
      </c>
      <c r="E90" s="18">
        <f>IF(F3="1",SUMIF(Data!A:A,'20'!$A$2,Data!EV:EV),0)</f>
        <v>123453</v>
      </c>
      <c r="F90" s="22">
        <f t="shared" si="5"/>
        <v>1.3128828483920367</v>
      </c>
    </row>
    <row r="91" spans="1:6" x14ac:dyDescent="0.2">
      <c r="A91" s="20">
        <v>25</v>
      </c>
      <c r="B91" s="184" t="s">
        <v>22</v>
      </c>
      <c r="C91" s="185"/>
      <c r="D91" s="15">
        <f t="shared" si="4"/>
        <v>252048</v>
      </c>
      <c r="E91" s="18">
        <f>IF(F3="1",SUMIF(Data!A:A,'20'!$A$2,Data!EW:EW),0)</f>
        <v>536357</v>
      </c>
      <c r="F91" s="22">
        <f t="shared" si="5"/>
        <v>2.1279954611819969</v>
      </c>
    </row>
    <row r="92" spans="1:6" x14ac:dyDescent="0.2">
      <c r="A92" s="20">
        <v>26</v>
      </c>
      <c r="B92" s="184" t="s">
        <v>23</v>
      </c>
      <c r="C92" s="185"/>
      <c r="D92" s="15">
        <f t="shared" si="4"/>
        <v>91696</v>
      </c>
      <c r="E92" s="18">
        <f>IF(F3="1",SUMIF(Data!A:A,'20'!$A$2,Data!EX:EX),0)</f>
        <v>271095</v>
      </c>
      <c r="F92" s="22">
        <f t="shared" si="5"/>
        <v>2.9564539347408831</v>
      </c>
    </row>
    <row r="93" spans="1:6" x14ac:dyDescent="0.2">
      <c r="A93" s="20">
        <v>28</v>
      </c>
      <c r="B93" s="184" t="s">
        <v>24</v>
      </c>
      <c r="C93" s="185"/>
      <c r="D93" s="15">
        <f t="shared" si="4"/>
        <v>0</v>
      </c>
      <c r="E93" s="18">
        <f>IF(F3="1",SUMIF(Data!A:A,'20'!$A$2,Data!EZ:EZ),0)</f>
        <v>0</v>
      </c>
      <c r="F93" s="22" t="str">
        <f t="shared" si="5"/>
        <v/>
      </c>
    </row>
    <row r="94" spans="1:6" ht="15.75" customHeight="1" thickBot="1" x14ac:dyDescent="0.25">
      <c r="A94" s="23">
        <v>29</v>
      </c>
      <c r="B94" s="186" t="s">
        <v>25</v>
      </c>
      <c r="C94" s="187"/>
      <c r="D94" s="24">
        <f t="shared" si="4"/>
        <v>0</v>
      </c>
      <c r="E94" s="25">
        <f>IF(F3="1",SUMIF(Data!A:A,'20'!$A$2,Data!FA:FA),0)</f>
        <v>0</v>
      </c>
      <c r="F94" s="26" t="str">
        <f t="shared" si="5"/>
        <v/>
      </c>
    </row>
    <row r="95" spans="1:6" x14ac:dyDescent="0.2">
      <c r="B95" s="31" t="s">
        <v>35</v>
      </c>
      <c r="C95" s="31"/>
      <c r="D95" s="61">
        <f>SUM(D67:D94)</f>
        <v>2043236</v>
      </c>
      <c r="E95" s="32">
        <f>SUM(E67:E94)</f>
        <v>5645745</v>
      </c>
      <c r="F95" s="33">
        <f t="shared" si="5"/>
        <v>2.7631389619211877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IF(F3="1",SUMIF(Data!A:A,'20'!$A$2,Data!AH:AH),0)</f>
        <v>2597462</v>
      </c>
      <c r="F98" s="21">
        <f t="shared" ref="F98:F105" si="6">IFERROR(E98/$D$95,0)</f>
        <v>1.2712491361741864</v>
      </c>
    </row>
    <row r="99" spans="2:6" x14ac:dyDescent="0.2">
      <c r="B99" s="190" t="s">
        <v>31</v>
      </c>
      <c r="C99" s="191"/>
      <c r="D99" s="37"/>
      <c r="E99" s="18">
        <f>IF(F3="1",SUMIF(Data!A:A,'20'!$A$2,Data!AI:AI),0)</f>
        <v>1504988</v>
      </c>
      <c r="F99" s="22">
        <f t="shared" si="6"/>
        <v>0.73657081218224429</v>
      </c>
    </row>
    <row r="100" spans="2:6" x14ac:dyDescent="0.2">
      <c r="B100" s="190" t="s">
        <v>32</v>
      </c>
      <c r="C100" s="191"/>
      <c r="D100" s="37"/>
      <c r="E100" s="18">
        <f>IF(F3="1",SUMIF(Data!A:A,'20'!$A$2,Data!AJ:AJ),0)</f>
        <v>850202</v>
      </c>
      <c r="F100" s="22">
        <f t="shared" si="6"/>
        <v>0.41610562852259847</v>
      </c>
    </row>
    <row r="101" spans="2:6" x14ac:dyDescent="0.2">
      <c r="B101" s="190" t="s">
        <v>28</v>
      </c>
      <c r="C101" s="191"/>
      <c r="D101" s="37"/>
      <c r="E101" s="18">
        <f>IF(F3="1",SUMIF(Data!A:A,'20'!$A$2,Data!AK:AK),0)</f>
        <v>0</v>
      </c>
      <c r="F101" s="22">
        <f t="shared" si="6"/>
        <v>0</v>
      </c>
    </row>
    <row r="102" spans="2:6" x14ac:dyDescent="0.2">
      <c r="B102" s="190" t="s">
        <v>33</v>
      </c>
      <c r="C102" s="191"/>
      <c r="D102" s="37"/>
      <c r="E102" s="18">
        <f>IF(F3="1",SUMIF(Data!A:A,'20'!$A$2,Data!AL:AL),0)</f>
        <v>0</v>
      </c>
      <c r="F102" s="22">
        <f t="shared" si="6"/>
        <v>0</v>
      </c>
    </row>
    <row r="103" spans="2:6" x14ac:dyDescent="0.2">
      <c r="B103" s="192" t="s">
        <v>34</v>
      </c>
      <c r="C103" s="193"/>
      <c r="D103" s="37"/>
      <c r="E103" s="18">
        <f>IF(F3="1",SUMIF(Data!A:A,'20'!$A$2,Data!AM:AM),0)</f>
        <v>194748</v>
      </c>
      <c r="F103" s="22">
        <f t="shared" si="6"/>
        <v>9.5313512487054844E-2</v>
      </c>
    </row>
    <row r="104" spans="2:6" ht="15.75" customHeight="1" thickBot="1" x14ac:dyDescent="0.25">
      <c r="B104" s="182" t="s">
        <v>29</v>
      </c>
      <c r="C104" s="183"/>
      <c r="D104" s="38"/>
      <c r="E104" s="25">
        <f>IF(F3="1",SUMIF(Data!A:A,'20'!$A$2,Data!Q:Q),0)</f>
        <v>340105</v>
      </c>
      <c r="F104" s="26">
        <f t="shared" si="6"/>
        <v>0.16645409536636982</v>
      </c>
    </row>
    <row r="105" spans="2:6" x14ac:dyDescent="0.2">
      <c r="B105" s="31" t="s">
        <v>35</v>
      </c>
      <c r="C105" s="31"/>
      <c r="D105" s="35">
        <f>D95</f>
        <v>2043236</v>
      </c>
      <c r="E105" s="32">
        <f>SUM(E98:E104)</f>
        <v>5487505</v>
      </c>
      <c r="F105" s="33">
        <f t="shared" si="6"/>
        <v>2.6856931847324539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5645745</v>
      </c>
      <c r="D109" s="16">
        <f>IF(F3="1",SUMIF(Data!$A:$A,$A$2,Data!HJ:HJ),0)</f>
        <v>0</v>
      </c>
      <c r="E109" s="16">
        <f>IF(F3="1",SUMIF(Data!$A:$A,$A$2,Data!IN:IN),0)</f>
        <v>0</v>
      </c>
      <c r="F109" s="48">
        <f>SUM(C109:E109)</f>
        <v>5645745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340105</v>
      </c>
      <c r="E117" s="53"/>
      <c r="F117" s="50">
        <f>SUM(C117:E117)</f>
        <v>340105</v>
      </c>
    </row>
    <row r="118" spans="1:6" x14ac:dyDescent="0.2">
      <c r="B118" s="14" t="s">
        <v>35</v>
      </c>
      <c r="C118" s="5">
        <f>SUM(C109:C116)</f>
        <v>5645745</v>
      </c>
      <c r="D118" s="5">
        <f>SUM(D109:D116)</f>
        <v>0</v>
      </c>
      <c r="E118" s="5">
        <f>SUM(E109:E116)</f>
        <v>0</v>
      </c>
      <c r="F118" s="5">
        <f>SUM(F109:F116)</f>
        <v>5645745</v>
      </c>
    </row>
    <row r="119" spans="1:6" ht="15" thickBot="1" x14ac:dyDescent="0.25"/>
    <row r="120" spans="1:6" ht="15" thickBot="1" x14ac:dyDescent="0.25">
      <c r="B120" s="57" t="s">
        <v>942</v>
      </c>
      <c r="C120" s="55"/>
      <c r="D120" s="55"/>
      <c r="E120" s="55">
        <f>IF(F3="1",SUMIF(Data!A:A,'20'!$A$2,Data!AM:AM),0)</f>
        <v>194748</v>
      </c>
      <c r="F120" s="56">
        <f>SUM(C120:E120)</f>
        <v>194748</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442</v>
      </c>
      <c r="B2" s="60" t="str">
        <f>VLOOKUP(A2,Data!A:G,7,0)</f>
        <v>Houston Community College System</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89632</v>
      </c>
      <c r="E5" s="16">
        <f>E36+E67+IFERROR($E$105/$D$105*D5,0)</f>
        <v>678674.34349635278</v>
      </c>
      <c r="F5" s="21">
        <f>IFERROR(E5/D5,"")</f>
        <v>7.5717862314391375</v>
      </c>
    </row>
    <row r="6" spans="1:6" x14ac:dyDescent="0.2">
      <c r="A6" s="20">
        <v>2</v>
      </c>
      <c r="B6" s="184" t="s">
        <v>1</v>
      </c>
      <c r="C6" s="185"/>
      <c r="D6" s="15">
        <f t="shared" ref="D6:D32" si="0">D37</f>
        <v>313558</v>
      </c>
      <c r="E6" s="18">
        <f t="shared" ref="E6:E32" si="1">E37+E68+IFERROR($E$105/$D$105*D6,0)</f>
        <v>3290417.9620228196</v>
      </c>
      <c r="F6" s="22">
        <f t="shared" ref="F6:F33" si="2">IFERROR(E6/D6,"")</f>
        <v>10.493809636567459</v>
      </c>
    </row>
    <row r="7" spans="1:6" ht="14.25" customHeight="1" x14ac:dyDescent="0.2">
      <c r="A7" s="20">
        <v>3</v>
      </c>
      <c r="B7" s="184" t="s">
        <v>2</v>
      </c>
      <c r="C7" s="185"/>
      <c r="D7" s="15">
        <f t="shared" si="0"/>
        <v>2769952</v>
      </c>
      <c r="E7" s="18">
        <f t="shared" si="1"/>
        <v>21493256.041552231</v>
      </c>
      <c r="F7" s="22">
        <f t="shared" si="2"/>
        <v>7.7594326694297342</v>
      </c>
    </row>
    <row r="8" spans="1:6" ht="14.25" customHeight="1" x14ac:dyDescent="0.2">
      <c r="A8" s="20">
        <v>4</v>
      </c>
      <c r="B8" s="184" t="s">
        <v>3</v>
      </c>
      <c r="C8" s="185"/>
      <c r="D8" s="15">
        <f t="shared" si="0"/>
        <v>1844315</v>
      </c>
      <c r="E8" s="18">
        <f t="shared" si="1"/>
        <v>14620082.289276998</v>
      </c>
      <c r="F8" s="22">
        <f t="shared" si="2"/>
        <v>7.9271069688621516</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540123</v>
      </c>
      <c r="E10" s="18">
        <f t="shared" si="1"/>
        <v>3835279.9924053969</v>
      </c>
      <c r="F10" s="22">
        <f t="shared" si="2"/>
        <v>7.1007529625759256</v>
      </c>
    </row>
    <row r="11" spans="1:6" x14ac:dyDescent="0.2">
      <c r="A11" s="20">
        <v>7</v>
      </c>
      <c r="B11" s="184" t="s">
        <v>6</v>
      </c>
      <c r="C11" s="185"/>
      <c r="D11" s="15">
        <f t="shared" si="0"/>
        <v>305873</v>
      </c>
      <c r="E11" s="18">
        <f t="shared" si="1"/>
        <v>5470738.9714528285</v>
      </c>
      <c r="F11" s="22">
        <f t="shared" si="2"/>
        <v>17.885655064202556</v>
      </c>
    </row>
    <row r="12" spans="1:6" x14ac:dyDescent="0.2">
      <c r="A12" s="20">
        <v>8</v>
      </c>
      <c r="B12" s="184" t="s">
        <v>7</v>
      </c>
      <c r="C12" s="185"/>
      <c r="D12" s="15">
        <f t="shared" si="0"/>
        <v>358239</v>
      </c>
      <c r="E12" s="18">
        <f t="shared" si="1"/>
        <v>3108307.4524142039</v>
      </c>
      <c r="F12" s="22">
        <f t="shared" si="2"/>
        <v>8.6766305522687475</v>
      </c>
    </row>
    <row r="13" spans="1:6" x14ac:dyDescent="0.2">
      <c r="A13" s="20">
        <v>9</v>
      </c>
      <c r="B13" s="184" t="s">
        <v>8</v>
      </c>
      <c r="C13" s="185"/>
      <c r="D13" s="15">
        <f t="shared" si="0"/>
        <v>859080</v>
      </c>
      <c r="E13" s="18">
        <f t="shared" si="1"/>
        <v>6520134.0740231918</v>
      </c>
      <c r="F13" s="22">
        <f t="shared" si="2"/>
        <v>7.58967043118591</v>
      </c>
    </row>
    <row r="14" spans="1:6" x14ac:dyDescent="0.2">
      <c r="A14" s="20">
        <v>10</v>
      </c>
      <c r="B14" s="184" t="s">
        <v>9</v>
      </c>
      <c r="C14" s="185"/>
      <c r="D14" s="15">
        <f t="shared" si="0"/>
        <v>25664</v>
      </c>
      <c r="E14" s="18">
        <f t="shared" si="1"/>
        <v>181160.34326457512</v>
      </c>
      <c r="F14" s="22">
        <f t="shared" si="2"/>
        <v>7.0589285873042051</v>
      </c>
    </row>
    <row r="15" spans="1:6" x14ac:dyDescent="0.2">
      <c r="A15" s="20">
        <v>11</v>
      </c>
      <c r="B15" s="184" t="s">
        <v>10</v>
      </c>
      <c r="C15" s="185"/>
      <c r="D15" s="15">
        <f t="shared" si="0"/>
        <v>615840</v>
      </c>
      <c r="E15" s="18">
        <f t="shared" si="1"/>
        <v>4347447.3093849728</v>
      </c>
      <c r="F15" s="22">
        <f t="shared" si="2"/>
        <v>7.0593779380764046</v>
      </c>
    </row>
    <row r="16" spans="1:6" ht="14.25" customHeight="1" x14ac:dyDescent="0.2">
      <c r="A16" s="20">
        <v>12</v>
      </c>
      <c r="B16" s="184" t="s">
        <v>11</v>
      </c>
      <c r="C16" s="185"/>
      <c r="D16" s="15">
        <f t="shared" si="0"/>
        <v>3756104</v>
      </c>
      <c r="E16" s="18">
        <f t="shared" si="1"/>
        <v>33246629.755355507</v>
      </c>
      <c r="F16" s="22">
        <f t="shared" si="2"/>
        <v>8.8513602805874143</v>
      </c>
    </row>
    <row r="17" spans="1:6" x14ac:dyDescent="0.2">
      <c r="A17" s="20">
        <v>13</v>
      </c>
      <c r="B17" s="184" t="s">
        <v>12</v>
      </c>
      <c r="C17" s="185"/>
      <c r="D17" s="15">
        <f t="shared" si="0"/>
        <v>462136</v>
      </c>
      <c r="E17" s="18">
        <f t="shared" si="1"/>
        <v>3718486.9592782762</v>
      </c>
      <c r="F17" s="22">
        <f t="shared" si="2"/>
        <v>8.0463044629249314</v>
      </c>
    </row>
    <row r="18" spans="1:6" ht="14.25" customHeight="1" x14ac:dyDescent="0.2">
      <c r="A18" s="20">
        <v>14</v>
      </c>
      <c r="B18" s="184" t="s">
        <v>469</v>
      </c>
      <c r="C18" s="185"/>
      <c r="D18" s="15">
        <f t="shared" si="0"/>
        <v>383240</v>
      </c>
      <c r="E18" s="18">
        <f t="shared" si="1"/>
        <v>4250297.5050154217</v>
      </c>
      <c r="F18" s="22">
        <f t="shared" si="2"/>
        <v>11.09043290109441</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763100</v>
      </c>
      <c r="E20" s="18">
        <f t="shared" si="1"/>
        <v>8554865.8027274497</v>
      </c>
      <c r="F20" s="22">
        <f t="shared" si="2"/>
        <v>11.210674620269231</v>
      </c>
    </row>
    <row r="21" spans="1:6" x14ac:dyDescent="0.2">
      <c r="A21" s="20">
        <v>17</v>
      </c>
      <c r="B21" s="184" t="s">
        <v>15</v>
      </c>
      <c r="C21" s="185"/>
      <c r="D21" s="15">
        <f t="shared" si="0"/>
        <v>54064</v>
      </c>
      <c r="E21" s="18">
        <f t="shared" si="1"/>
        <v>777808.16202680755</v>
      </c>
      <c r="F21" s="22">
        <f t="shared" si="2"/>
        <v>14.386803825592031</v>
      </c>
    </row>
    <row r="22" spans="1:6" x14ac:dyDescent="0.2">
      <c r="A22" s="20">
        <v>18</v>
      </c>
      <c r="B22" s="184" t="s">
        <v>16</v>
      </c>
      <c r="C22" s="185"/>
      <c r="D22" s="15">
        <f t="shared" si="0"/>
        <v>95104</v>
      </c>
      <c r="E22" s="18">
        <f t="shared" si="1"/>
        <v>1659552.2944916673</v>
      </c>
      <c r="F22" s="22">
        <f t="shared" si="2"/>
        <v>17.44986850702039</v>
      </c>
    </row>
    <row r="23" spans="1:6" x14ac:dyDescent="0.2">
      <c r="A23" s="20">
        <v>19</v>
      </c>
      <c r="B23" s="184" t="s">
        <v>17</v>
      </c>
      <c r="C23" s="185"/>
      <c r="D23" s="15">
        <f t="shared" si="0"/>
        <v>2266232</v>
      </c>
      <c r="E23" s="18">
        <f t="shared" si="1"/>
        <v>17084415.685675055</v>
      </c>
      <c r="F23" s="22">
        <f t="shared" si="2"/>
        <v>7.5386878685302543</v>
      </c>
    </row>
    <row r="24" spans="1:6" x14ac:dyDescent="0.2">
      <c r="A24" s="20">
        <v>20</v>
      </c>
      <c r="B24" s="184" t="s">
        <v>18</v>
      </c>
      <c r="C24" s="185"/>
      <c r="D24" s="15">
        <f t="shared" si="0"/>
        <v>242578</v>
      </c>
      <c r="E24" s="18">
        <f t="shared" si="1"/>
        <v>2472146.6086515784</v>
      </c>
      <c r="F24" s="22">
        <f t="shared" si="2"/>
        <v>10.191141029489808</v>
      </c>
    </row>
    <row r="25" spans="1:6" ht="14.25" customHeight="1" x14ac:dyDescent="0.2">
      <c r="A25" s="20">
        <v>21</v>
      </c>
      <c r="B25" s="184" t="s">
        <v>466</v>
      </c>
      <c r="C25" s="185"/>
      <c r="D25" s="15">
        <f t="shared" si="0"/>
        <v>218116</v>
      </c>
      <c r="E25" s="18">
        <f t="shared" si="1"/>
        <v>2459777.1468008133</v>
      </c>
      <c r="F25" s="22">
        <f t="shared" si="2"/>
        <v>11.277380599317855</v>
      </c>
    </row>
    <row r="26" spans="1:6" x14ac:dyDescent="0.2">
      <c r="A26" s="20">
        <v>22</v>
      </c>
      <c r="B26" s="184" t="s">
        <v>19</v>
      </c>
      <c r="C26" s="185"/>
      <c r="D26" s="15">
        <f t="shared" si="0"/>
        <v>106204</v>
      </c>
      <c r="E26" s="18">
        <f t="shared" si="1"/>
        <v>1066807.2060501454</v>
      </c>
      <c r="F26" s="22">
        <f t="shared" si="2"/>
        <v>10.044887255189497</v>
      </c>
    </row>
    <row r="27" spans="1:6" x14ac:dyDescent="0.2">
      <c r="A27" s="20">
        <v>23</v>
      </c>
      <c r="B27" s="184" t="s">
        <v>20</v>
      </c>
      <c r="C27" s="185"/>
      <c r="D27" s="15">
        <f t="shared" si="0"/>
        <v>49424</v>
      </c>
      <c r="E27" s="18">
        <f t="shared" si="1"/>
        <v>505336.26206002029</v>
      </c>
      <c r="F27" s="22">
        <f t="shared" si="2"/>
        <v>10.224511615005266</v>
      </c>
    </row>
    <row r="28" spans="1:6" x14ac:dyDescent="0.2">
      <c r="A28" s="20">
        <v>24</v>
      </c>
      <c r="B28" s="184" t="s">
        <v>21</v>
      </c>
      <c r="C28" s="185"/>
      <c r="D28" s="15">
        <f t="shared" si="0"/>
        <v>309812</v>
      </c>
      <c r="E28" s="18">
        <f t="shared" si="1"/>
        <v>3372870.4630410126</v>
      </c>
      <c r="F28" s="22">
        <f t="shared" si="2"/>
        <v>10.886829635524165</v>
      </c>
    </row>
    <row r="29" spans="1:6" x14ac:dyDescent="0.2">
      <c r="A29" s="20">
        <v>25</v>
      </c>
      <c r="B29" s="184" t="s">
        <v>22</v>
      </c>
      <c r="C29" s="185"/>
      <c r="D29" s="15">
        <f t="shared" si="0"/>
        <v>3843168</v>
      </c>
      <c r="E29" s="18">
        <f t="shared" si="1"/>
        <v>28172834.249042653</v>
      </c>
      <c r="F29" s="22">
        <f t="shared" si="2"/>
        <v>7.3306278177385567</v>
      </c>
    </row>
    <row r="30" spans="1:6" x14ac:dyDescent="0.2">
      <c r="A30" s="20">
        <v>26</v>
      </c>
      <c r="B30" s="184" t="s">
        <v>23</v>
      </c>
      <c r="C30" s="185"/>
      <c r="D30" s="15">
        <f t="shared" si="0"/>
        <v>1093746</v>
      </c>
      <c r="E30" s="18">
        <f t="shared" si="1"/>
        <v>10083579.120490024</v>
      </c>
      <c r="F30" s="22">
        <f t="shared" si="2"/>
        <v>9.219306055053023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21365304</v>
      </c>
      <c r="E33" s="32">
        <f>SUM(E5:E32)</f>
        <v>180970906</v>
      </c>
      <c r="F33" s="33">
        <f t="shared" si="2"/>
        <v>8.4703173893523811</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IF(F3="1",SUMIF(Data!A:A,'21'!$A$2,Data!CU:CU),0)</f>
        <v>89632</v>
      </c>
      <c r="E36" s="16">
        <f>IF(F3="1",SUMIF(Data!$A:$A,'21'!$A$2,Data!IO:IO),0)</f>
        <v>65340</v>
      </c>
      <c r="F36" s="21">
        <f t="shared" ref="F36:F64" si="3">IFERROR(E36/D36,"")</f>
        <v>0.72898072117101032</v>
      </c>
    </row>
    <row r="37" spans="1:6" x14ac:dyDescent="0.2">
      <c r="A37" s="20">
        <v>2</v>
      </c>
      <c r="B37" s="184" t="s">
        <v>1</v>
      </c>
      <c r="C37" s="185"/>
      <c r="D37" s="15">
        <f>IF(F3="1",SUMIF(Data!A:A,'21'!$A$2,Data!CV:CV),0)</f>
        <v>313558</v>
      </c>
      <c r="E37" s="18">
        <f>IF(F3="1",SUMIF(Data!$A:$A,'21'!$A$2,Data!IP:IP),0)</f>
        <v>407595</v>
      </c>
      <c r="F37" s="22">
        <f t="shared" si="3"/>
        <v>1.299903048239879</v>
      </c>
    </row>
    <row r="38" spans="1:6" ht="14.25" customHeight="1" x14ac:dyDescent="0.2">
      <c r="A38" s="20">
        <v>3</v>
      </c>
      <c r="B38" s="184" t="s">
        <v>2</v>
      </c>
      <c r="C38" s="185"/>
      <c r="D38" s="15">
        <f>IF(F3="1",SUMIF(Data!A:A,'21'!$A$2,Data!CW:CW),0)</f>
        <v>2769952</v>
      </c>
      <c r="E38" s="18">
        <f>IF(F3="1",SUMIF(Data!$A:$A,'21'!$A$2,Data!IQ:IQ),0)</f>
        <v>1643080</v>
      </c>
      <c r="F38" s="22">
        <f t="shared" si="3"/>
        <v>0.59317995402086388</v>
      </c>
    </row>
    <row r="39" spans="1:6" ht="14.25" customHeight="1" x14ac:dyDescent="0.2">
      <c r="A39" s="20">
        <v>4</v>
      </c>
      <c r="B39" s="184" t="s">
        <v>3</v>
      </c>
      <c r="C39" s="185"/>
      <c r="D39" s="15">
        <f>IF(F3="1",SUMIF(Data!A:A,'21'!$A$2,Data!CX:CX),0)</f>
        <v>1844315</v>
      </c>
      <c r="E39" s="18">
        <f>IF(F3="1",SUMIF(Data!$A:$A,'21'!$A$2,Data!IR:IR),0)</f>
        <v>1303126</v>
      </c>
      <c r="F39" s="22">
        <f t="shared" si="3"/>
        <v>0.7065636835356216</v>
      </c>
    </row>
    <row r="40" spans="1:6" x14ac:dyDescent="0.2">
      <c r="A40" s="20">
        <v>5</v>
      </c>
      <c r="B40" s="184" t="s">
        <v>4</v>
      </c>
      <c r="C40" s="185"/>
      <c r="D40" s="15">
        <f>IF(F3="1",SUMIF(Data!A:A,'21'!$A$2,Data!CY:CY),0)</f>
        <v>0</v>
      </c>
      <c r="E40" s="18">
        <f>IF(F3="1",SUMIF(Data!$A:$A,'21'!$A$2,Data!IS:IS),0)</f>
        <v>0</v>
      </c>
      <c r="F40" s="22" t="str">
        <f t="shared" si="3"/>
        <v/>
      </c>
    </row>
    <row r="41" spans="1:6" x14ac:dyDescent="0.2">
      <c r="A41" s="20">
        <v>6</v>
      </c>
      <c r="B41" s="184" t="s">
        <v>5</v>
      </c>
      <c r="C41" s="185"/>
      <c r="D41" s="15">
        <f>IF(F3="1",SUMIF(Data!A:A,'21'!$A$2,Data!CZ:CZ),0)</f>
        <v>540123</v>
      </c>
      <c r="E41" s="18">
        <f>IF(F3="1",SUMIF(Data!$A:$A,'21'!$A$2,Data!IT:IT),0)</f>
        <v>672074</v>
      </c>
      <c r="F41" s="22">
        <f t="shared" si="3"/>
        <v>1.244298058034929</v>
      </c>
    </row>
    <row r="42" spans="1:6" x14ac:dyDescent="0.2">
      <c r="A42" s="20">
        <v>7</v>
      </c>
      <c r="B42" s="184" t="s">
        <v>6</v>
      </c>
      <c r="C42" s="185"/>
      <c r="D42" s="15">
        <f>IF(F3="1",SUMIF(Data!A:A,'21'!$A$2,Data!DA:DA),0)</f>
        <v>305873</v>
      </c>
      <c r="E42" s="18">
        <f>IF(F3="1",SUMIF(Data!$A:$A,'21'!$A$2,Data!IU:IU),0)</f>
        <v>789781</v>
      </c>
      <c r="F42" s="22">
        <f t="shared" si="3"/>
        <v>2.582055297460057</v>
      </c>
    </row>
    <row r="43" spans="1:6" x14ac:dyDescent="0.2">
      <c r="A43" s="20">
        <v>8</v>
      </c>
      <c r="B43" s="184" t="s">
        <v>7</v>
      </c>
      <c r="C43" s="185"/>
      <c r="D43" s="15">
        <f>IF(F3="1",SUMIF(Data!A:A,'21'!$A$2,Data!DB:DB),0)</f>
        <v>358239</v>
      </c>
      <c r="E43" s="18">
        <f>IF(F3="1",SUMIF(Data!$A:$A,'21'!$A$2,Data!IV:IV),0)</f>
        <v>526405</v>
      </c>
      <c r="F43" s="22">
        <f t="shared" si="3"/>
        <v>1.4694240437249992</v>
      </c>
    </row>
    <row r="44" spans="1:6" x14ac:dyDescent="0.2">
      <c r="A44" s="20">
        <v>9</v>
      </c>
      <c r="B44" s="184" t="s">
        <v>8</v>
      </c>
      <c r="C44" s="185"/>
      <c r="D44" s="15">
        <f>IF(F3="1",SUMIF(Data!A:A,'21'!$A$2,Data!DC:DC),0)</f>
        <v>859080</v>
      </c>
      <c r="E44" s="18">
        <f>IF(F3="1",SUMIF(Data!$A:$A,'21'!$A$2,Data!IW:IW),0)</f>
        <v>671677</v>
      </c>
      <c r="F44" s="22">
        <f t="shared" si="3"/>
        <v>0.78185617171858268</v>
      </c>
    </row>
    <row r="45" spans="1:6" x14ac:dyDescent="0.2">
      <c r="A45" s="20">
        <v>10</v>
      </c>
      <c r="B45" s="184" t="s">
        <v>9</v>
      </c>
      <c r="C45" s="185"/>
      <c r="D45" s="15">
        <f>IF(F3="1",SUMIF(Data!A:A,'21'!$A$2,Data!DD:DD),0)</f>
        <v>25664</v>
      </c>
      <c r="E45" s="18">
        <f>IF(F3="1",SUMIF(Data!$A:$A,'21'!$A$2,Data!IX:IX),0)</f>
        <v>21318</v>
      </c>
      <c r="F45" s="22">
        <f t="shared" si="3"/>
        <v>0.83065773067331672</v>
      </c>
    </row>
    <row r="46" spans="1:6" x14ac:dyDescent="0.2">
      <c r="A46" s="20">
        <v>11</v>
      </c>
      <c r="B46" s="184" t="s">
        <v>10</v>
      </c>
      <c r="C46" s="185"/>
      <c r="D46" s="15">
        <f>IF(F3="1",SUMIF(Data!A:A,'21'!$A$2,Data!DE:DE),0)</f>
        <v>615840</v>
      </c>
      <c r="E46" s="18">
        <f>IF(F3="1",SUMIF(Data!$A:$A,'21'!$A$2,Data!IY:IY),0)</f>
        <v>511621</v>
      </c>
      <c r="F46" s="22">
        <f t="shared" si="3"/>
        <v>0.83076935567679921</v>
      </c>
    </row>
    <row r="47" spans="1:6" ht="14.25" customHeight="1" x14ac:dyDescent="0.2">
      <c r="A47" s="20">
        <v>12</v>
      </c>
      <c r="B47" s="184" t="s">
        <v>11</v>
      </c>
      <c r="C47" s="185"/>
      <c r="D47" s="15">
        <f>IF(F3="1",SUMIF(Data!A:A,'21'!$A$2,Data!DF:DF),0)</f>
        <v>3756104</v>
      </c>
      <c r="E47" s="18">
        <f>IF(F3="1",SUMIF(Data!$A:$A,'21'!$A$2,Data!IZ:IZ),0)</f>
        <v>2368452</v>
      </c>
      <c r="F47" s="22">
        <f t="shared" si="3"/>
        <v>0.63056081514249873</v>
      </c>
    </row>
    <row r="48" spans="1:6" x14ac:dyDescent="0.2">
      <c r="A48" s="20">
        <v>13</v>
      </c>
      <c r="B48" s="184" t="s">
        <v>12</v>
      </c>
      <c r="C48" s="185"/>
      <c r="D48" s="15">
        <f>IF(F3="1",SUMIF(Data!A:A,'21'!$A$2,Data!DG:DG),0)</f>
        <v>462136</v>
      </c>
      <c r="E48" s="18">
        <f>IF(F3="1",SUMIF(Data!$A:$A,'21'!$A$2,Data!JA:JA),0)</f>
        <v>295827</v>
      </c>
      <c r="F48" s="22">
        <f t="shared" si="3"/>
        <v>0.64012974535634537</v>
      </c>
    </row>
    <row r="49" spans="1:6" ht="14.25" customHeight="1" x14ac:dyDescent="0.2">
      <c r="A49" s="20">
        <v>14</v>
      </c>
      <c r="B49" s="184" t="s">
        <v>469</v>
      </c>
      <c r="C49" s="185"/>
      <c r="D49" s="15">
        <f>IF(F3="1",SUMIF(Data!A:A,'21'!$A$2,Data!DH:DH),0)</f>
        <v>383240</v>
      </c>
      <c r="E49" s="18">
        <f>IF(F3="1",SUMIF(Data!$A:$A,'21'!$A$2,Data!JB:JB),0)</f>
        <v>402677</v>
      </c>
      <c r="F49" s="22">
        <f t="shared" si="3"/>
        <v>1.0507175660160735</v>
      </c>
    </row>
    <row r="50" spans="1:6" x14ac:dyDescent="0.2">
      <c r="A50" s="20">
        <v>15</v>
      </c>
      <c r="B50" s="184" t="s">
        <v>13</v>
      </c>
      <c r="C50" s="185"/>
      <c r="D50" s="15">
        <f>IF(F3="1",SUMIF(Data!A:A,'21'!$A$2,Data!DI:DI),0)</f>
        <v>0</v>
      </c>
      <c r="E50" s="18">
        <f>IF(F3="1",SUMIF(Data!$A:$A,'21'!$A$2,Data!JC:JC),0)</f>
        <v>0</v>
      </c>
      <c r="F50" s="22" t="str">
        <f t="shared" si="3"/>
        <v/>
      </c>
    </row>
    <row r="51" spans="1:6" x14ac:dyDescent="0.2">
      <c r="A51" s="20">
        <v>16</v>
      </c>
      <c r="B51" s="184" t="s">
        <v>14</v>
      </c>
      <c r="C51" s="185"/>
      <c r="D51" s="15">
        <f>IF(F3="1",SUMIF(Data!A:A,'21'!$A$2,Data!DJ:DJ),0)</f>
        <v>763100</v>
      </c>
      <c r="E51" s="18">
        <f>IF(F3="1",SUMIF(Data!$A:$A,'21'!$A$2,Data!JD:JD),0)</f>
        <v>1194124</v>
      </c>
      <c r="F51" s="22">
        <f t="shared" si="3"/>
        <v>1.5648329183593239</v>
      </c>
    </row>
    <row r="52" spans="1:6" x14ac:dyDescent="0.2">
      <c r="A52" s="20">
        <v>17</v>
      </c>
      <c r="B52" s="184" t="s">
        <v>15</v>
      </c>
      <c r="C52" s="185"/>
      <c r="D52" s="15">
        <f>IF(F3="1",SUMIF(Data!A:A,'21'!$A$2,Data!DK:DK),0)</f>
        <v>54064</v>
      </c>
      <c r="E52" s="18">
        <f>IF(F3="1",SUMIF(Data!$A:$A,'21'!$A$2,Data!JE:JE),0)</f>
        <v>85847</v>
      </c>
      <c r="F52" s="22">
        <f t="shared" si="3"/>
        <v>1.5878773305711749</v>
      </c>
    </row>
    <row r="53" spans="1:6" x14ac:dyDescent="0.2">
      <c r="A53" s="20">
        <v>18</v>
      </c>
      <c r="B53" s="184" t="s">
        <v>16</v>
      </c>
      <c r="C53" s="185"/>
      <c r="D53" s="15">
        <f>IF(F3="1",SUMIF(Data!A:A,'21'!$A$2,Data!DL:DL),0)</f>
        <v>95104</v>
      </c>
      <c r="E53" s="18">
        <f>IF(F3="1",SUMIF(Data!$A:$A,'21'!$A$2,Data!JF:JF),0)</f>
        <v>326655</v>
      </c>
      <c r="F53" s="22">
        <f t="shared" si="3"/>
        <v>3.4347135767160162</v>
      </c>
    </row>
    <row r="54" spans="1:6" x14ac:dyDescent="0.2">
      <c r="A54" s="20">
        <v>19</v>
      </c>
      <c r="B54" s="184" t="s">
        <v>17</v>
      </c>
      <c r="C54" s="185"/>
      <c r="D54" s="15">
        <f>IF(F3="1",SUMIF(Data!A:A,'21'!$A$2,Data!DM:DM),0)</f>
        <v>2266232</v>
      </c>
      <c r="E54" s="18">
        <f>IF(F3="1",SUMIF(Data!$A:$A,'21'!$A$2,Data!JG:JG),0)</f>
        <v>869452</v>
      </c>
      <c r="F54" s="22">
        <f t="shared" si="3"/>
        <v>0.38365533625860015</v>
      </c>
    </row>
    <row r="55" spans="1:6" x14ac:dyDescent="0.2">
      <c r="A55" s="20">
        <v>20</v>
      </c>
      <c r="B55" s="184" t="s">
        <v>18</v>
      </c>
      <c r="C55" s="185"/>
      <c r="D55" s="15">
        <f>IF(F3="1",SUMIF(Data!A:A,'21'!$A$2,Data!DN:DN),0)</f>
        <v>242578</v>
      </c>
      <c r="E55" s="18">
        <f>IF(F3="1",SUMIF(Data!$A:$A,'21'!$A$2,Data!JH:JH),0)</f>
        <v>277724</v>
      </c>
      <c r="F55" s="22">
        <f t="shared" si="3"/>
        <v>1.1448853564626635</v>
      </c>
    </row>
    <row r="56" spans="1:6" ht="14.25" customHeight="1" x14ac:dyDescent="0.2">
      <c r="A56" s="20">
        <v>21</v>
      </c>
      <c r="B56" s="184" t="s">
        <v>466</v>
      </c>
      <c r="C56" s="185"/>
      <c r="D56" s="15">
        <f>IF(F3="1",SUMIF(Data!A:A,'21'!$A$2,Data!DO:DO),0)</f>
        <v>218116</v>
      </c>
      <c r="E56" s="18">
        <f>IF(F3="1",SUMIF(Data!$A:$A,'21'!$A$2,Data!JI:JI),0)</f>
        <v>558700</v>
      </c>
      <c r="F56" s="22">
        <f t="shared" si="3"/>
        <v>2.561481046782446</v>
      </c>
    </row>
    <row r="57" spans="1:6" x14ac:dyDescent="0.2">
      <c r="A57" s="20">
        <v>22</v>
      </c>
      <c r="B57" s="184" t="s">
        <v>19</v>
      </c>
      <c r="C57" s="185"/>
      <c r="D57" s="15">
        <f>IF(F3="1",SUMIF(Data!A:A,'21'!$A$2,Data!DP:DP),0)</f>
        <v>106204</v>
      </c>
      <c r="E57" s="18">
        <f>IF(F3="1",SUMIF(Data!$A:$A,'21'!$A$2,Data!JJ:JJ),0)</f>
        <v>71221</v>
      </c>
      <c r="F57" s="22">
        <f t="shared" si="3"/>
        <v>0.67060562690670789</v>
      </c>
    </row>
    <row r="58" spans="1:6" x14ac:dyDescent="0.2">
      <c r="A58" s="20">
        <v>23</v>
      </c>
      <c r="B58" s="184" t="s">
        <v>20</v>
      </c>
      <c r="C58" s="185"/>
      <c r="D58" s="15">
        <f>IF(F3="1",SUMIF(Data!A:A,'21'!$A$2,Data!DQ:DQ),0)</f>
        <v>49424</v>
      </c>
      <c r="E58" s="18">
        <f>IF(F3="1",SUMIF(Data!$A:$A,'21'!$A$2,Data!JK:JK),0)</f>
        <v>99095</v>
      </c>
      <c r="F58" s="22">
        <f t="shared" si="3"/>
        <v>2.004997572029783</v>
      </c>
    </row>
    <row r="59" spans="1:6" x14ac:dyDescent="0.2">
      <c r="A59" s="20">
        <v>24</v>
      </c>
      <c r="B59" s="184" t="s">
        <v>21</v>
      </c>
      <c r="C59" s="185"/>
      <c r="D59" s="15">
        <f>IF(F3="1",SUMIF(Data!A:A,'21'!$A$2,Data!DR:DR),0)</f>
        <v>309812</v>
      </c>
      <c r="E59" s="18">
        <f>IF(F3="1",SUMIF(Data!$A:$A,'21'!$A$2,Data!JL:JL),0)</f>
        <v>660815</v>
      </c>
      <c r="F59" s="22">
        <f t="shared" si="3"/>
        <v>2.1329548242159762</v>
      </c>
    </row>
    <row r="60" spans="1:6" x14ac:dyDescent="0.2">
      <c r="A60" s="20">
        <v>25</v>
      </c>
      <c r="B60" s="184" t="s">
        <v>22</v>
      </c>
      <c r="C60" s="185"/>
      <c r="D60" s="15">
        <f>IF(F3="1",SUMIF(Data!A:A,'21'!$A$2,Data!DS:DS),0)</f>
        <v>3843168</v>
      </c>
      <c r="E60" s="18">
        <f>IF(F3="1",SUMIF(Data!$A:$A,'21'!$A$2,Data!JM:JM),0)</f>
        <v>1331504</v>
      </c>
      <c r="F60" s="22">
        <f t="shared" si="3"/>
        <v>0.34646000383017345</v>
      </c>
    </row>
    <row r="61" spans="1:6" x14ac:dyDescent="0.2">
      <c r="A61" s="20">
        <v>26</v>
      </c>
      <c r="B61" s="184" t="s">
        <v>23</v>
      </c>
      <c r="C61" s="185"/>
      <c r="D61" s="15">
        <f>IF(F3="1",SUMIF(Data!A:A,'21'!$A$2,Data!DT:DT),0)</f>
        <v>1093746</v>
      </c>
      <c r="E61" s="18">
        <f>IF(F3="1",SUMIF(Data!$A:$A,'21'!$A$2,Data!JN:JN),0)</f>
        <v>1182613</v>
      </c>
      <c r="F61" s="22">
        <f t="shared" si="3"/>
        <v>1.0812501257147455</v>
      </c>
    </row>
    <row r="62" spans="1:6" x14ac:dyDescent="0.2">
      <c r="A62" s="20">
        <v>28</v>
      </c>
      <c r="B62" s="184" t="s">
        <v>24</v>
      </c>
      <c r="C62" s="185"/>
      <c r="D62" s="15">
        <f>IF(F3="1",SUMIF(Data!A:A,'21'!$A$2,Data!DV:DV),0)</f>
        <v>0</v>
      </c>
      <c r="E62" s="18">
        <f>IF(F3="1",SUMIF(Data!$A:$A,'21'!$A$2,Data!JP:JP),0)</f>
        <v>0</v>
      </c>
      <c r="F62" s="22" t="str">
        <f t="shared" si="3"/>
        <v/>
      </c>
    </row>
    <row r="63" spans="1:6" ht="15.75" customHeight="1" thickBot="1" x14ac:dyDescent="0.25">
      <c r="A63" s="23">
        <v>29</v>
      </c>
      <c r="B63" s="186" t="s">
        <v>25</v>
      </c>
      <c r="C63" s="187"/>
      <c r="D63" s="24">
        <f>IF(F3="1",SUMIF(Data!A:A,'21'!$A$2,Data!DW:DW),0)</f>
        <v>0</v>
      </c>
      <c r="E63" s="25">
        <f>IF(F3="1",SUMIF(Data!$A:$A,'21'!$A$2,Data!JQ:JQ),0)</f>
        <v>0</v>
      </c>
      <c r="F63" s="26" t="str">
        <f t="shared" si="3"/>
        <v/>
      </c>
    </row>
    <row r="64" spans="1:6" x14ac:dyDescent="0.2">
      <c r="B64" s="31" t="s">
        <v>35</v>
      </c>
      <c r="C64" s="31"/>
      <c r="D64" s="61">
        <f>SUM(D36:D63)</f>
        <v>21365304</v>
      </c>
      <c r="E64" s="32">
        <f>SUM(E36:E63)</f>
        <v>16336723</v>
      </c>
      <c r="F64" s="33">
        <f t="shared" si="3"/>
        <v>0.76463798502469238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89632</v>
      </c>
      <c r="E67" s="16">
        <f>IF(F3="1",SUMIF(Data!A:A,'21'!$A$2,Data!DY:DY),0)</f>
        <v>242735</v>
      </c>
      <c r="F67" s="21">
        <f>IFERROR(E67/D67,"")</f>
        <v>2.7081287932881115</v>
      </c>
    </row>
    <row r="68" spans="1:6" x14ac:dyDescent="0.2">
      <c r="A68" s="20">
        <v>2</v>
      </c>
      <c r="B68" s="184" t="s">
        <v>1</v>
      </c>
      <c r="C68" s="185"/>
      <c r="D68" s="15">
        <f t="shared" ref="D68:D94" si="4">D37</f>
        <v>313558</v>
      </c>
      <c r="E68" s="18">
        <f>IF(F3="1",SUMIF(Data!A:A,'21'!$A$2,Data!DZ:DZ),0)</f>
        <v>1586362</v>
      </c>
      <c r="F68" s="22">
        <f t="shared" ref="F68:F95" si="5">IFERROR(E68/D68,"")</f>
        <v>5.0592298713475659</v>
      </c>
    </row>
    <row r="69" spans="1:6" ht="14.25" customHeight="1" x14ac:dyDescent="0.2">
      <c r="A69" s="20">
        <v>3</v>
      </c>
      <c r="B69" s="184" t="s">
        <v>2</v>
      </c>
      <c r="C69" s="185"/>
      <c r="D69" s="15">
        <f t="shared" si="4"/>
        <v>2769952</v>
      </c>
      <c r="E69" s="18">
        <f>IF(F3="1",SUMIF(Data!A:A,'21'!$A$2,Data!EA:EA),0)</f>
        <v>8397320</v>
      </c>
      <c r="F69" s="22">
        <f t="shared" si="5"/>
        <v>3.0315759984288535</v>
      </c>
    </row>
    <row r="70" spans="1:6" ht="14.25" customHeight="1" x14ac:dyDescent="0.2">
      <c r="A70" s="20">
        <v>4</v>
      </c>
      <c r="B70" s="184" t="s">
        <v>3</v>
      </c>
      <c r="C70" s="185"/>
      <c r="D70" s="15">
        <f t="shared" si="4"/>
        <v>1844315</v>
      </c>
      <c r="E70" s="18">
        <f>IF(F3="1",SUMIF(Data!A:A,'21'!$A$2,Data!EB:EB),0)</f>
        <v>5691310</v>
      </c>
      <c r="F70" s="22">
        <f t="shared" si="5"/>
        <v>3.0858665683465136</v>
      </c>
    </row>
    <row r="71" spans="1:6" x14ac:dyDescent="0.2">
      <c r="A71" s="20">
        <v>5</v>
      </c>
      <c r="B71" s="184" t="s">
        <v>4</v>
      </c>
      <c r="C71" s="185"/>
      <c r="D71" s="15">
        <f t="shared" si="4"/>
        <v>0</v>
      </c>
      <c r="E71" s="18">
        <f>IF(F3="1",SUMIF(Data!A:A,'21'!$A$2,Data!EC:EC),0)</f>
        <v>0</v>
      </c>
      <c r="F71" s="22" t="str">
        <f t="shared" si="5"/>
        <v/>
      </c>
    </row>
    <row r="72" spans="1:6" x14ac:dyDescent="0.2">
      <c r="A72" s="20">
        <v>6</v>
      </c>
      <c r="B72" s="184" t="s">
        <v>5</v>
      </c>
      <c r="C72" s="185"/>
      <c r="D72" s="15">
        <f t="shared" si="4"/>
        <v>540123</v>
      </c>
      <c r="E72" s="18">
        <f>IF(F3="1",SUMIF(Data!A:A,'21'!$A$2,Data!ED:ED),0)</f>
        <v>929972</v>
      </c>
      <c r="F72" s="22">
        <f t="shared" si="5"/>
        <v>1.7217781875609814</v>
      </c>
    </row>
    <row r="73" spans="1:6" x14ac:dyDescent="0.2">
      <c r="A73" s="20">
        <v>7</v>
      </c>
      <c r="B73" s="184" t="s">
        <v>6</v>
      </c>
      <c r="C73" s="185"/>
      <c r="D73" s="15">
        <f t="shared" si="4"/>
        <v>305873</v>
      </c>
      <c r="E73" s="18">
        <f>IF(F3="1",SUMIF(Data!A:A,'21'!$A$2,Data!EE:EE),0)</f>
        <v>3416272</v>
      </c>
      <c r="F73" s="22">
        <f t="shared" si="5"/>
        <v>11.168923049762483</v>
      </c>
    </row>
    <row r="74" spans="1:6" x14ac:dyDescent="0.2">
      <c r="A74" s="20">
        <v>8</v>
      </c>
      <c r="B74" s="184" t="s">
        <v>7</v>
      </c>
      <c r="C74" s="185"/>
      <c r="D74" s="15">
        <f t="shared" si="4"/>
        <v>358239</v>
      </c>
      <c r="E74" s="18">
        <f>IF(F3="1",SUMIF(Data!A:A,'21'!$A$2,Data!EF:EF),0)</f>
        <v>1100700</v>
      </c>
      <c r="F74" s="22">
        <f t="shared" si="5"/>
        <v>3.0725297915637326</v>
      </c>
    </row>
    <row r="75" spans="1:6" x14ac:dyDescent="0.2">
      <c r="A75" s="20">
        <v>9</v>
      </c>
      <c r="B75" s="184" t="s">
        <v>8</v>
      </c>
      <c r="C75" s="185"/>
      <c r="D75" s="15">
        <f t="shared" si="4"/>
        <v>859080</v>
      </c>
      <c r="E75" s="18">
        <f>IF(F3="1",SUMIF(Data!A:A,'21'!$A$2,Data!EG:EG),0)</f>
        <v>2296439</v>
      </c>
      <c r="F75" s="22">
        <f t="shared" si="5"/>
        <v>2.6731375424873121</v>
      </c>
    </row>
    <row r="76" spans="1:6" x14ac:dyDescent="0.2">
      <c r="A76" s="20">
        <v>10</v>
      </c>
      <c r="B76" s="184" t="s">
        <v>9</v>
      </c>
      <c r="C76" s="185"/>
      <c r="D76" s="15">
        <f t="shared" si="4"/>
        <v>25664</v>
      </c>
      <c r="E76" s="18">
        <f>IF(F3="1",SUMIF(Data!A:A,'21'!$A$2,Data!EH:EH),0)</f>
        <v>53730</v>
      </c>
      <c r="F76" s="22">
        <f t="shared" si="5"/>
        <v>2.0935941396508726</v>
      </c>
    </row>
    <row r="77" spans="1:6" x14ac:dyDescent="0.2">
      <c r="A77" s="20">
        <v>11</v>
      </c>
      <c r="B77" s="184" t="s">
        <v>10</v>
      </c>
      <c r="C77" s="185"/>
      <c r="D77" s="15">
        <f t="shared" si="4"/>
        <v>615840</v>
      </c>
      <c r="E77" s="18">
        <f>IF(F3="1",SUMIF(Data!A:A,'21'!$A$2,Data!EI:EI),0)</f>
        <v>1289527</v>
      </c>
      <c r="F77" s="22">
        <f t="shared" si="5"/>
        <v>2.0939318654195893</v>
      </c>
    </row>
    <row r="78" spans="1:6" ht="14.25" customHeight="1" x14ac:dyDescent="0.2">
      <c r="A78" s="20">
        <v>12</v>
      </c>
      <c r="B78" s="184" t="s">
        <v>11</v>
      </c>
      <c r="C78" s="185"/>
      <c r="D78" s="15">
        <f t="shared" si="4"/>
        <v>3756104</v>
      </c>
      <c r="E78" s="18">
        <f>IF(F3="1",SUMIF(Data!A:A,'21'!$A$2,Data!EJ:EJ),0)</f>
        <v>15347902</v>
      </c>
      <c r="F78" s="22">
        <f t="shared" si="5"/>
        <v>4.0861227484648985</v>
      </c>
    </row>
    <row r="79" spans="1:6" x14ac:dyDescent="0.2">
      <c r="A79" s="20">
        <v>13</v>
      </c>
      <c r="B79" s="184" t="s">
        <v>12</v>
      </c>
      <c r="C79" s="185"/>
      <c r="D79" s="15">
        <f t="shared" si="4"/>
        <v>462136</v>
      </c>
      <c r="E79" s="18">
        <f>IF(F3="1",SUMIF(Data!A:A,'21'!$A$2,Data!EK:EK),0)</f>
        <v>1511877</v>
      </c>
      <c r="F79" s="22">
        <f t="shared" si="5"/>
        <v>3.2714980005885712</v>
      </c>
    </row>
    <row r="80" spans="1:6" ht="14.25" customHeight="1" x14ac:dyDescent="0.2">
      <c r="A80" s="20">
        <v>14</v>
      </c>
      <c r="B80" s="184" t="s">
        <v>469</v>
      </c>
      <c r="C80" s="185"/>
      <c r="D80" s="15">
        <f t="shared" si="4"/>
        <v>383240</v>
      </c>
      <c r="E80" s="18">
        <f>IF(F3="1",SUMIF(Data!A:A,'21'!$A$2,Data!EL:EL),0)</f>
        <v>2263047</v>
      </c>
      <c r="F80" s="22">
        <f t="shared" si="5"/>
        <v>5.9050386180983194</v>
      </c>
    </row>
    <row r="81" spans="1:6" x14ac:dyDescent="0.2">
      <c r="A81" s="20">
        <v>15</v>
      </c>
      <c r="B81" s="184" t="s">
        <v>13</v>
      </c>
      <c r="C81" s="185"/>
      <c r="D81" s="15">
        <f t="shared" si="4"/>
        <v>0</v>
      </c>
      <c r="E81" s="18">
        <f>IF(F3="1",SUMIF(Data!A:A,'21'!$A$2,Data!EM:EM),0)</f>
        <v>0</v>
      </c>
      <c r="F81" s="22" t="str">
        <f t="shared" si="5"/>
        <v/>
      </c>
    </row>
    <row r="82" spans="1:6" x14ac:dyDescent="0.2">
      <c r="A82" s="20">
        <v>16</v>
      </c>
      <c r="B82" s="184" t="s">
        <v>14</v>
      </c>
      <c r="C82" s="185"/>
      <c r="D82" s="15">
        <f t="shared" si="4"/>
        <v>763100</v>
      </c>
      <c r="E82" s="18">
        <f>IF(F3="1",SUMIF(Data!A:A,'21'!$A$2,Data!EN:EN),0)</f>
        <v>4205570</v>
      </c>
      <c r="F82" s="22">
        <f t="shared" si="5"/>
        <v>5.5111649849298914</v>
      </c>
    </row>
    <row r="83" spans="1:6" x14ac:dyDescent="0.2">
      <c r="A83" s="20">
        <v>17</v>
      </c>
      <c r="B83" s="184" t="s">
        <v>15</v>
      </c>
      <c r="C83" s="185"/>
      <c r="D83" s="15">
        <f t="shared" si="4"/>
        <v>54064</v>
      </c>
      <c r="E83" s="18">
        <f>IF(F3="1",SUMIF(Data!A:A,'21'!$A$2,Data!EO:EO),0)</f>
        <v>468424</v>
      </c>
      <c r="F83" s="22">
        <f t="shared" si="5"/>
        <v>8.6642497780408405</v>
      </c>
    </row>
    <row r="84" spans="1:6" x14ac:dyDescent="0.2">
      <c r="A84" s="20">
        <v>18</v>
      </c>
      <c r="B84" s="184" t="s">
        <v>16</v>
      </c>
      <c r="C84" s="185"/>
      <c r="D84" s="15">
        <f t="shared" si="4"/>
        <v>95104</v>
      </c>
      <c r="E84" s="18">
        <f>IF(F3="1",SUMIF(Data!A:A,'21'!$A$2,Data!EP:EP),0)</f>
        <v>939673</v>
      </c>
      <c r="F84" s="22">
        <f t="shared" si="5"/>
        <v>9.8804782133243609</v>
      </c>
    </row>
    <row r="85" spans="1:6" x14ac:dyDescent="0.2">
      <c r="A85" s="20">
        <v>19</v>
      </c>
      <c r="B85" s="184" t="s">
        <v>17</v>
      </c>
      <c r="C85" s="185"/>
      <c r="D85" s="15">
        <f t="shared" si="4"/>
        <v>2266232</v>
      </c>
      <c r="E85" s="18">
        <f>IF(F3="1",SUMIF(Data!A:A,'21'!$A$2,Data!EQ:EQ),0)</f>
        <v>6844827</v>
      </c>
      <c r="F85" s="22">
        <f t="shared" si="5"/>
        <v>3.0203558152916381</v>
      </c>
    </row>
    <row r="86" spans="1:6" x14ac:dyDescent="0.2">
      <c r="A86" s="20">
        <v>20</v>
      </c>
      <c r="B86" s="184" t="s">
        <v>18</v>
      </c>
      <c r="C86" s="185"/>
      <c r="D86" s="15">
        <f t="shared" si="4"/>
        <v>242578</v>
      </c>
      <c r="E86" s="18">
        <f>IF(F3="1",SUMIF(Data!A:A,'21'!$A$2,Data!ER:ER),0)</f>
        <v>1191441</v>
      </c>
      <c r="F86" s="22">
        <f t="shared" si="5"/>
        <v>4.9115789560471272</v>
      </c>
    </row>
    <row r="87" spans="1:6" ht="14.25" customHeight="1" x14ac:dyDescent="0.2">
      <c r="A87" s="20">
        <v>21</v>
      </c>
      <c r="B87" s="184" t="s">
        <v>466</v>
      </c>
      <c r="C87" s="185"/>
      <c r="D87" s="15">
        <f t="shared" si="4"/>
        <v>218116</v>
      </c>
      <c r="E87" s="18">
        <f>IF(F3="1",SUMIF(Data!A:A,'21'!$A$2,Data!ES:ES),0)</f>
        <v>999238</v>
      </c>
      <c r="F87" s="22">
        <f t="shared" si="5"/>
        <v>4.5812228355553923</v>
      </c>
    </row>
    <row r="88" spans="1:6" x14ac:dyDescent="0.2">
      <c r="A88" s="20">
        <v>22</v>
      </c>
      <c r="B88" s="184" t="s">
        <v>19</v>
      </c>
      <c r="C88" s="185"/>
      <c r="D88" s="15">
        <f t="shared" si="4"/>
        <v>106204</v>
      </c>
      <c r="E88" s="18">
        <f>IF(F3="1",SUMIF(Data!A:A,'21'!$A$2,Data!ET:ET),0)</f>
        <v>556467</v>
      </c>
      <c r="F88" s="22">
        <f t="shared" si="5"/>
        <v>5.2396049113027754</v>
      </c>
    </row>
    <row r="89" spans="1:6" x14ac:dyDescent="0.2">
      <c r="A89" s="20">
        <v>23</v>
      </c>
      <c r="B89" s="184" t="s">
        <v>20</v>
      </c>
      <c r="C89" s="185"/>
      <c r="D89" s="15">
        <f t="shared" si="4"/>
        <v>49424</v>
      </c>
      <c r="E89" s="18">
        <f>IF(F3="1",SUMIF(Data!A:A,'21'!$A$2,Data!EU:EU),0)</f>
        <v>201889</v>
      </c>
      <c r="F89" s="22">
        <f t="shared" si="5"/>
        <v>4.0848373259954682</v>
      </c>
    </row>
    <row r="90" spans="1:6" x14ac:dyDescent="0.2">
      <c r="A90" s="20">
        <v>24</v>
      </c>
      <c r="B90" s="184" t="s">
        <v>21</v>
      </c>
      <c r="C90" s="185"/>
      <c r="D90" s="15">
        <f t="shared" si="4"/>
        <v>309812</v>
      </c>
      <c r="E90" s="18">
        <f>IF(F3="1",SUMIF(Data!A:A,'21'!$A$2,Data!EV:EV),0)</f>
        <v>1431083</v>
      </c>
      <c r="F90" s="22">
        <f t="shared" si="5"/>
        <v>4.6191980943281736</v>
      </c>
    </row>
    <row r="91" spans="1:6" x14ac:dyDescent="0.2">
      <c r="A91" s="20">
        <v>25</v>
      </c>
      <c r="B91" s="184" t="s">
        <v>22</v>
      </c>
      <c r="C91" s="185"/>
      <c r="D91" s="15">
        <f t="shared" si="4"/>
        <v>3843168</v>
      </c>
      <c r="E91" s="18">
        <f>IF(F3="1",SUMIF(Data!A:A,'21'!$A$2,Data!EW:EW),0)</f>
        <v>10951073</v>
      </c>
      <c r="F91" s="22">
        <f t="shared" si="5"/>
        <v>2.8494910969283676</v>
      </c>
    </row>
    <row r="92" spans="1:6" x14ac:dyDescent="0.2">
      <c r="A92" s="20">
        <v>26</v>
      </c>
      <c r="B92" s="184" t="s">
        <v>23</v>
      </c>
      <c r="C92" s="185"/>
      <c r="D92" s="15">
        <f t="shared" si="4"/>
        <v>1093746</v>
      </c>
      <c r="E92" s="18">
        <f>IF(F3="1",SUMIF(Data!A:A,'21'!$A$2,Data!EX:EX),0)</f>
        <v>4378680</v>
      </c>
      <c r="F92" s="22">
        <f t="shared" si="5"/>
        <v>4.0033792123582623</v>
      </c>
    </row>
    <row r="93" spans="1:6" x14ac:dyDescent="0.2">
      <c r="A93" s="20">
        <v>28</v>
      </c>
      <c r="B93" s="184" t="s">
        <v>24</v>
      </c>
      <c r="C93" s="185"/>
      <c r="D93" s="15">
        <f t="shared" si="4"/>
        <v>0</v>
      </c>
      <c r="E93" s="18">
        <f>IF(F3="1",SUMIF(Data!A:A,'21'!$A$2,Data!EZ:EZ),0)</f>
        <v>0</v>
      </c>
      <c r="F93" s="22" t="str">
        <f t="shared" si="5"/>
        <v/>
      </c>
    </row>
    <row r="94" spans="1:6" ht="15.75" customHeight="1" thickBot="1" x14ac:dyDescent="0.25">
      <c r="A94" s="23">
        <v>29</v>
      </c>
      <c r="B94" s="186" t="s">
        <v>25</v>
      </c>
      <c r="C94" s="187"/>
      <c r="D94" s="24">
        <f t="shared" si="4"/>
        <v>0</v>
      </c>
      <c r="E94" s="25">
        <f>IF(F3="1",SUMIF(Data!A:A,'21'!$A$2,Data!FA:FA),0)</f>
        <v>0</v>
      </c>
      <c r="F94" s="26" t="str">
        <f t="shared" si="5"/>
        <v/>
      </c>
    </row>
    <row r="95" spans="1:6" x14ac:dyDescent="0.2">
      <c r="B95" s="31" t="s">
        <v>35</v>
      </c>
      <c r="C95" s="31"/>
      <c r="D95" s="61">
        <f>SUM(D67:D94)</f>
        <v>21365304</v>
      </c>
      <c r="E95" s="32">
        <f>SUM(E67:E94)</f>
        <v>76295558</v>
      </c>
      <c r="F95" s="33">
        <f t="shared" si="5"/>
        <v>3.5710026873476735</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IF(F3="1",SUMIF(Data!A:A,'21'!$A$2,Data!AH:AH),0)</f>
        <v>43684052</v>
      </c>
      <c r="F98" s="21">
        <f t="shared" ref="F98:F105" si="6">IFERROR(E98/$D$95,0)</f>
        <v>2.0446258101452712</v>
      </c>
    </row>
    <row r="99" spans="2:6" x14ac:dyDescent="0.2">
      <c r="B99" s="190" t="s">
        <v>31</v>
      </c>
      <c r="C99" s="191"/>
      <c r="D99" s="37"/>
      <c r="E99" s="18">
        <f>IF(F3="1",SUMIF(Data!A:A,'21'!$A$2,Data!AI:AI),0)</f>
        <v>21894339</v>
      </c>
      <c r="F99" s="22">
        <f t="shared" si="6"/>
        <v>1.0247614075605944</v>
      </c>
    </row>
    <row r="100" spans="2:6" x14ac:dyDescent="0.2">
      <c r="B100" s="190" t="s">
        <v>32</v>
      </c>
      <c r="C100" s="191"/>
      <c r="D100" s="37"/>
      <c r="E100" s="18">
        <f>IF(F3="1",SUMIF(Data!A:A,'21'!$A$2,Data!AJ:AJ),0)</f>
        <v>17630830</v>
      </c>
      <c r="F100" s="22">
        <f t="shared" si="6"/>
        <v>0.82520847819436594</v>
      </c>
    </row>
    <row r="101" spans="2:6" x14ac:dyDescent="0.2">
      <c r="B101" s="190" t="s">
        <v>28</v>
      </c>
      <c r="C101" s="191"/>
      <c r="D101" s="37"/>
      <c r="E101" s="18">
        <f>IF(F3="1",SUMIF(Data!A:A,'21'!$A$2,Data!AK:AK),0)</f>
        <v>0</v>
      </c>
      <c r="F101" s="22">
        <f t="shared" si="6"/>
        <v>0</v>
      </c>
    </row>
    <row r="102" spans="2:6" x14ac:dyDescent="0.2">
      <c r="B102" s="190" t="s">
        <v>33</v>
      </c>
      <c r="C102" s="191"/>
      <c r="D102" s="37"/>
      <c r="E102" s="18">
        <f>IF(F3="1",SUMIF(Data!A:A,'21'!$A$2,Data!AL:AL),0)</f>
        <v>0</v>
      </c>
      <c r="F102" s="22">
        <f t="shared" si="6"/>
        <v>0</v>
      </c>
    </row>
    <row r="103" spans="2:6" x14ac:dyDescent="0.2">
      <c r="B103" s="192" t="s">
        <v>34</v>
      </c>
      <c r="C103" s="193"/>
      <c r="D103" s="37"/>
      <c r="E103" s="18">
        <f>IF(F3="1",SUMIF(Data!A:A,'21'!$A$2,Data!AM:AM),0)</f>
        <v>2952896</v>
      </c>
      <c r="F103" s="22">
        <f t="shared" si="6"/>
        <v>0.13820987522573983</v>
      </c>
    </row>
    <row r="104" spans="2:6" ht="15.75" customHeight="1" thickBot="1" x14ac:dyDescent="0.25">
      <c r="B104" s="182" t="s">
        <v>29</v>
      </c>
      <c r="C104" s="183"/>
      <c r="D104" s="38"/>
      <c r="E104" s="25">
        <f>IF(F3="1",SUMIF(Data!A:A,'21'!$A$2,Data!Q:Q),0)</f>
        <v>2176508</v>
      </c>
      <c r="F104" s="26">
        <f t="shared" si="6"/>
        <v>0.10187114585404448</v>
      </c>
    </row>
    <row r="105" spans="2:6" x14ac:dyDescent="0.2">
      <c r="B105" s="31" t="s">
        <v>35</v>
      </c>
      <c r="C105" s="31"/>
      <c r="D105" s="35">
        <f>D95</f>
        <v>21365304</v>
      </c>
      <c r="E105" s="32">
        <f>SUM(E98:E104)</f>
        <v>88338625</v>
      </c>
      <c r="F105" s="33">
        <f t="shared" si="6"/>
        <v>4.1346767169800156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76295558</v>
      </c>
      <c r="D109" s="16">
        <f>IF(F3="1",SUMIF(Data!$A:$A,$A$2,Data!HJ:HJ),0)</f>
        <v>0</v>
      </c>
      <c r="E109" s="16">
        <f>IF(F3="1",SUMIF(Data!$A:$A,$A$2,Data!IN:IN),0)</f>
        <v>0</v>
      </c>
      <c r="F109" s="48">
        <f>SUM(C109:E109)</f>
        <v>76295558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2176508</v>
      </c>
      <c r="E117" s="53"/>
      <c r="F117" s="50">
        <f>SUM(C117:E117)</f>
        <v>2176508</v>
      </c>
    </row>
    <row r="118" spans="1:6" x14ac:dyDescent="0.2">
      <c r="B118" s="14" t="s">
        <v>35</v>
      </c>
      <c r="C118" s="5">
        <f>SUM(C109:C116)</f>
        <v>76295558</v>
      </c>
      <c r="D118" s="5">
        <f>SUM(D109:D116)</f>
        <v>0</v>
      </c>
      <c r="E118" s="5">
        <f>SUM(E109:E116)</f>
        <v>0</v>
      </c>
      <c r="F118" s="5">
        <f>SUM(F109:F116)</f>
        <v>76295558</v>
      </c>
    </row>
    <row r="119" spans="1:6" ht="15" thickBot="1" x14ac:dyDescent="0.25"/>
    <row r="120" spans="1:6" ht="15" thickBot="1" x14ac:dyDescent="0.25">
      <c r="B120" s="57" t="s">
        <v>942</v>
      </c>
      <c r="C120" s="55"/>
      <c r="D120" s="55"/>
      <c r="E120" s="55">
        <f>IF(F3="1",SUMIF(Data!A:A,'21'!$A$2,Data!AM:AM),0)</f>
        <v>2952896</v>
      </c>
      <c r="F120" s="56">
        <f>SUM(C120:E120)</f>
        <v>2952896</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374</v>
      </c>
      <c r="B2" s="60" t="str">
        <f>VLOOKUP(A2,Data!A:G,7,0)</f>
        <v>Howard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79377</v>
      </c>
      <c r="E5" s="16">
        <f>E36+E67+IFERROR($E$105/$D$105*D5,0)</f>
        <v>538619.29351469071</v>
      </c>
      <c r="F5" s="21">
        <f>IFERROR(E5/D5,"")</f>
        <v>6.7855839035827845</v>
      </c>
    </row>
    <row r="6" spans="1:6" x14ac:dyDescent="0.2">
      <c r="A6" s="20">
        <v>2</v>
      </c>
      <c r="B6" s="184" t="s">
        <v>1</v>
      </c>
      <c r="C6" s="185"/>
      <c r="D6" s="15">
        <f t="shared" ref="D6:D32" si="0">D37</f>
        <v>16822</v>
      </c>
      <c r="E6" s="18">
        <f t="shared" ref="E6:E32" si="1">E37+E68+IFERROR($E$105/$D$105*D6,0)</f>
        <v>148410.19269440928</v>
      </c>
      <c r="F6" s="22">
        <f t="shared" ref="F6:F33" si="2">IFERROR(E6/D6,"")</f>
        <v>8.8223869156110624</v>
      </c>
    </row>
    <row r="7" spans="1:6" ht="14.25" customHeight="1" x14ac:dyDescent="0.2">
      <c r="A7" s="20">
        <v>3</v>
      </c>
      <c r="B7" s="184" t="s">
        <v>2</v>
      </c>
      <c r="C7" s="185"/>
      <c r="D7" s="15">
        <f t="shared" si="0"/>
        <v>167424</v>
      </c>
      <c r="E7" s="18">
        <f t="shared" si="1"/>
        <v>1074692.4322713579</v>
      </c>
      <c r="F7" s="22">
        <f t="shared" si="2"/>
        <v>6.4189867179816389</v>
      </c>
    </row>
    <row r="8" spans="1:6" ht="14.25" customHeight="1" x14ac:dyDescent="0.2">
      <c r="A8" s="20">
        <v>4</v>
      </c>
      <c r="B8" s="184" t="s">
        <v>3</v>
      </c>
      <c r="C8" s="185"/>
      <c r="D8" s="15">
        <f t="shared" si="0"/>
        <v>238948</v>
      </c>
      <c r="E8" s="18">
        <f t="shared" si="1"/>
        <v>1332927.544046113</v>
      </c>
      <c r="F8" s="22">
        <f t="shared" si="2"/>
        <v>5.5783163870219168</v>
      </c>
    </row>
    <row r="9" spans="1:6" x14ac:dyDescent="0.2">
      <c r="A9" s="20">
        <v>5</v>
      </c>
      <c r="B9" s="184" t="s">
        <v>4</v>
      </c>
      <c r="C9" s="185"/>
      <c r="D9" s="15">
        <f t="shared" si="0"/>
        <v>378</v>
      </c>
      <c r="E9" s="18">
        <f t="shared" si="1"/>
        <v>7119.0389275048574</v>
      </c>
      <c r="F9" s="22">
        <f t="shared" si="2"/>
        <v>18.833436316150415</v>
      </c>
    </row>
    <row r="10" spans="1:6" x14ac:dyDescent="0.2">
      <c r="A10" s="20">
        <v>6</v>
      </c>
      <c r="B10" s="184" t="s">
        <v>5</v>
      </c>
      <c r="C10" s="185"/>
      <c r="D10" s="15">
        <f t="shared" si="0"/>
        <v>48318</v>
      </c>
      <c r="E10" s="18">
        <f t="shared" si="1"/>
        <v>251294.5949713749</v>
      </c>
      <c r="F10" s="22">
        <f t="shared" si="2"/>
        <v>5.2008484409821367</v>
      </c>
    </row>
    <row r="11" spans="1:6" x14ac:dyDescent="0.2">
      <c r="A11" s="20">
        <v>7</v>
      </c>
      <c r="B11" s="184" t="s">
        <v>6</v>
      </c>
      <c r="C11" s="185"/>
      <c r="D11" s="15">
        <f t="shared" si="0"/>
        <v>126937</v>
      </c>
      <c r="E11" s="18">
        <f t="shared" si="1"/>
        <v>837832.88979016966</v>
      </c>
      <c r="F11" s="22">
        <f t="shared" si="2"/>
        <v>6.6003835744516541</v>
      </c>
    </row>
    <row r="12" spans="1:6" x14ac:dyDescent="0.2">
      <c r="A12" s="20">
        <v>8</v>
      </c>
      <c r="B12" s="184" t="s">
        <v>7</v>
      </c>
      <c r="C12" s="185"/>
      <c r="D12" s="15">
        <f t="shared" si="0"/>
        <v>172446</v>
      </c>
      <c r="E12" s="18">
        <f t="shared" si="1"/>
        <v>991341.66373677959</v>
      </c>
      <c r="F12" s="22">
        <f t="shared" si="2"/>
        <v>5.748707791057952</v>
      </c>
    </row>
    <row r="13" spans="1:6" x14ac:dyDescent="0.2">
      <c r="A13" s="20">
        <v>9</v>
      </c>
      <c r="B13" s="184" t="s">
        <v>8</v>
      </c>
      <c r="C13" s="185"/>
      <c r="D13" s="15">
        <f t="shared" si="0"/>
        <v>221751</v>
      </c>
      <c r="E13" s="18">
        <f t="shared" si="1"/>
        <v>1054560.1936855284</v>
      </c>
      <c r="F13" s="22">
        <f t="shared" si="2"/>
        <v>4.7556051322678519</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147567</v>
      </c>
      <c r="E15" s="18">
        <f t="shared" si="1"/>
        <v>717403.36353203526</v>
      </c>
      <c r="F15" s="22">
        <f t="shared" si="2"/>
        <v>4.8615433229111877</v>
      </c>
    </row>
    <row r="16" spans="1:6" ht="14.25" customHeight="1" x14ac:dyDescent="0.2">
      <c r="A16" s="20">
        <v>12</v>
      </c>
      <c r="B16" s="184" t="s">
        <v>11</v>
      </c>
      <c r="C16" s="185"/>
      <c r="D16" s="15">
        <f t="shared" si="0"/>
        <v>184144</v>
      </c>
      <c r="E16" s="18">
        <f t="shared" si="1"/>
        <v>1689574.6620805676</v>
      </c>
      <c r="F16" s="22">
        <f t="shared" si="2"/>
        <v>9.1752903275728102</v>
      </c>
    </row>
    <row r="17" spans="1:6" x14ac:dyDescent="0.2">
      <c r="A17" s="20">
        <v>13</v>
      </c>
      <c r="B17" s="184" t="s">
        <v>12</v>
      </c>
      <c r="C17" s="185"/>
      <c r="D17" s="15">
        <f t="shared" si="0"/>
        <v>36846</v>
      </c>
      <c r="E17" s="18">
        <f t="shared" si="1"/>
        <v>278492.65164773539</v>
      </c>
      <c r="F17" s="22">
        <f t="shared" si="2"/>
        <v>7.5582872400731524</v>
      </c>
    </row>
    <row r="18" spans="1:6" ht="14.25" customHeight="1" x14ac:dyDescent="0.2">
      <c r="A18" s="20">
        <v>14</v>
      </c>
      <c r="B18" s="184" t="s">
        <v>469</v>
      </c>
      <c r="C18" s="185"/>
      <c r="D18" s="15">
        <f t="shared" si="0"/>
        <v>23749</v>
      </c>
      <c r="E18" s="18">
        <f t="shared" si="1"/>
        <v>339289.02510400227</v>
      </c>
      <c r="F18" s="22">
        <f t="shared" si="2"/>
        <v>14.28645522354635</v>
      </c>
    </row>
    <row r="19" spans="1:6" x14ac:dyDescent="0.2">
      <c r="A19" s="20">
        <v>15</v>
      </c>
      <c r="B19" s="184" t="s">
        <v>13</v>
      </c>
      <c r="C19" s="185"/>
      <c r="D19" s="15">
        <f t="shared" si="0"/>
        <v>19664</v>
      </c>
      <c r="E19" s="18">
        <f t="shared" si="1"/>
        <v>366566.70759379771</v>
      </c>
      <c r="F19" s="22">
        <f t="shared" si="2"/>
        <v>18.641512794639834</v>
      </c>
    </row>
    <row r="20" spans="1:6" x14ac:dyDescent="0.2">
      <c r="A20" s="20">
        <v>16</v>
      </c>
      <c r="B20" s="184" t="s">
        <v>14</v>
      </c>
      <c r="C20" s="185"/>
      <c r="D20" s="15">
        <f t="shared" si="0"/>
        <v>99048</v>
      </c>
      <c r="E20" s="18">
        <f t="shared" si="1"/>
        <v>1045097.7240515903</v>
      </c>
      <c r="F20" s="22">
        <f t="shared" si="2"/>
        <v>10.551426823879233</v>
      </c>
    </row>
    <row r="21" spans="1:6" x14ac:dyDescent="0.2">
      <c r="A21" s="20">
        <v>17</v>
      </c>
      <c r="B21" s="184" t="s">
        <v>15</v>
      </c>
      <c r="C21" s="185"/>
      <c r="D21" s="15">
        <f t="shared" si="0"/>
        <v>17536</v>
      </c>
      <c r="E21" s="18">
        <f t="shared" si="1"/>
        <v>179846.93289080737</v>
      </c>
      <c r="F21" s="22">
        <f t="shared" si="2"/>
        <v>10.255869804448412</v>
      </c>
    </row>
    <row r="22" spans="1:6" x14ac:dyDescent="0.2">
      <c r="A22" s="20">
        <v>18</v>
      </c>
      <c r="B22" s="184" t="s">
        <v>16</v>
      </c>
      <c r="C22" s="185"/>
      <c r="D22" s="15">
        <f t="shared" si="0"/>
        <v>78000</v>
      </c>
      <c r="E22" s="18">
        <f t="shared" si="1"/>
        <v>672747.7945644944</v>
      </c>
      <c r="F22" s="22">
        <f t="shared" si="2"/>
        <v>8.6249717251858264</v>
      </c>
    </row>
    <row r="23" spans="1:6" x14ac:dyDescent="0.2">
      <c r="A23" s="20">
        <v>19</v>
      </c>
      <c r="B23" s="184" t="s">
        <v>17</v>
      </c>
      <c r="C23" s="185"/>
      <c r="D23" s="15">
        <f t="shared" si="0"/>
        <v>122024</v>
      </c>
      <c r="E23" s="18">
        <f t="shared" si="1"/>
        <v>865011.34415304963</v>
      </c>
      <c r="F23" s="22">
        <f t="shared" si="2"/>
        <v>7.088862388981263</v>
      </c>
    </row>
    <row r="24" spans="1:6" x14ac:dyDescent="0.2">
      <c r="A24" s="20">
        <v>20</v>
      </c>
      <c r="B24" s="184" t="s">
        <v>18</v>
      </c>
      <c r="C24" s="185"/>
      <c r="D24" s="15">
        <f t="shared" si="0"/>
        <v>9650</v>
      </c>
      <c r="E24" s="18">
        <f t="shared" si="1"/>
        <v>111797.05727624835</v>
      </c>
      <c r="F24" s="22">
        <f t="shared" si="2"/>
        <v>11.585187282512782</v>
      </c>
    </row>
    <row r="25" spans="1:6" ht="14.25" customHeight="1" x14ac:dyDescent="0.2">
      <c r="A25" s="20">
        <v>21</v>
      </c>
      <c r="B25" s="184" t="s">
        <v>466</v>
      </c>
      <c r="C25" s="185"/>
      <c r="D25" s="15">
        <f t="shared" si="0"/>
        <v>6448</v>
      </c>
      <c r="E25" s="18">
        <f t="shared" si="1"/>
        <v>54827.791017331539</v>
      </c>
      <c r="F25" s="22">
        <f t="shared" si="2"/>
        <v>8.5030693265092339</v>
      </c>
    </row>
    <row r="26" spans="1:6" x14ac:dyDescent="0.2">
      <c r="A26" s="20">
        <v>22</v>
      </c>
      <c r="B26" s="184" t="s">
        <v>19</v>
      </c>
      <c r="C26" s="185"/>
      <c r="D26" s="15">
        <f t="shared" si="0"/>
        <v>16635</v>
      </c>
      <c r="E26" s="18">
        <f t="shared" si="1"/>
        <v>83010.594071543135</v>
      </c>
      <c r="F26" s="22">
        <f t="shared" si="2"/>
        <v>4.9901168663386315</v>
      </c>
    </row>
    <row r="27" spans="1:6" x14ac:dyDescent="0.2">
      <c r="A27" s="20">
        <v>23</v>
      </c>
      <c r="B27" s="184" t="s">
        <v>20</v>
      </c>
      <c r="C27" s="185"/>
      <c r="D27" s="15">
        <f t="shared" si="0"/>
        <v>28752</v>
      </c>
      <c r="E27" s="18">
        <f t="shared" si="1"/>
        <v>607240.00858100445</v>
      </c>
      <c r="F27" s="22">
        <f t="shared" si="2"/>
        <v>21.119922390825142</v>
      </c>
    </row>
    <row r="28" spans="1:6" x14ac:dyDescent="0.2">
      <c r="A28" s="20">
        <v>24</v>
      </c>
      <c r="B28" s="184" t="s">
        <v>21</v>
      </c>
      <c r="C28" s="185"/>
      <c r="D28" s="15">
        <f t="shared" si="0"/>
        <v>146481</v>
      </c>
      <c r="E28" s="18">
        <f t="shared" si="1"/>
        <v>960748.34693079116</v>
      </c>
      <c r="F28" s="22">
        <f t="shared" si="2"/>
        <v>6.5588598311780446</v>
      </c>
    </row>
    <row r="29" spans="1:6" x14ac:dyDescent="0.2">
      <c r="A29" s="20">
        <v>25</v>
      </c>
      <c r="B29" s="184" t="s">
        <v>22</v>
      </c>
      <c r="C29" s="185"/>
      <c r="D29" s="15">
        <f t="shared" si="0"/>
        <v>231164</v>
      </c>
      <c r="E29" s="18">
        <f t="shared" si="1"/>
        <v>1383407.6313167538</v>
      </c>
      <c r="F29" s="22">
        <f t="shared" si="2"/>
        <v>5.9845288683218572</v>
      </c>
    </row>
    <row r="30" spans="1:6" x14ac:dyDescent="0.2">
      <c r="A30" s="20">
        <v>26</v>
      </c>
      <c r="B30" s="184" t="s">
        <v>23</v>
      </c>
      <c r="C30" s="185"/>
      <c r="D30" s="15">
        <f t="shared" si="0"/>
        <v>60321</v>
      </c>
      <c r="E30" s="18">
        <f t="shared" si="1"/>
        <v>428248.52155031881</v>
      </c>
      <c r="F30" s="22">
        <f t="shared" si="2"/>
        <v>7.0994930712408415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2300430</v>
      </c>
      <c r="E33" s="32">
        <f>SUM(E5:E32)</f>
        <v>16020108.000000002</v>
      </c>
      <c r="F33" s="33">
        <f t="shared" si="2"/>
        <v>6.9639623896401988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IF(F3="1",SUMIF(Data!A:A,'22'!$A$2,Data!CU:CU),0)</f>
        <v>79377</v>
      </c>
      <c r="E36" s="16">
        <f>IF(F3="1",SUMIF(Data!$A:$A,'22'!$A$2,Data!IO:IO),0)</f>
        <v>70864</v>
      </c>
      <c r="F36" s="21">
        <f t="shared" ref="F36:F64" si="3">IFERROR(E36/D36,"")</f>
        <v>0.89275230860324783</v>
      </c>
    </row>
    <row r="37" spans="1:6" x14ac:dyDescent="0.2">
      <c r="A37" s="20">
        <v>2</v>
      </c>
      <c r="B37" s="184" t="s">
        <v>1</v>
      </c>
      <c r="C37" s="185"/>
      <c r="D37" s="15">
        <f>IF(F3="1",SUMIF(Data!A:A,'22'!$A$2,Data!CV:CV),0)</f>
        <v>16822</v>
      </c>
      <c r="E37" s="18">
        <f>IF(F3="1",SUMIF(Data!$A:$A,'22'!$A$2,Data!IP:IP),0)</f>
        <v>25781</v>
      </c>
      <c r="F37" s="22">
        <f t="shared" si="3"/>
        <v>1.5325763880632506</v>
      </c>
    </row>
    <row r="38" spans="1:6" ht="14.25" customHeight="1" x14ac:dyDescent="0.2">
      <c r="A38" s="20">
        <v>3</v>
      </c>
      <c r="B38" s="184" t="s">
        <v>2</v>
      </c>
      <c r="C38" s="185"/>
      <c r="D38" s="15">
        <f>IF(F3="1",SUMIF(Data!A:A,'22'!$A$2,Data!CW:CW),0)</f>
        <v>167424</v>
      </c>
      <c r="E38" s="18">
        <f>IF(F3="1",SUMIF(Data!$A:$A,'22'!$A$2,Data!IQ:IQ),0)</f>
        <v>128157</v>
      </c>
      <c r="F38" s="22">
        <f t="shared" si="3"/>
        <v>0.76546373279816515</v>
      </c>
    </row>
    <row r="39" spans="1:6" ht="14.25" customHeight="1" x14ac:dyDescent="0.2">
      <c r="A39" s="20">
        <v>4</v>
      </c>
      <c r="B39" s="184" t="s">
        <v>3</v>
      </c>
      <c r="C39" s="185"/>
      <c r="D39" s="15">
        <f>IF(F3="1",SUMIF(Data!A:A,'22'!$A$2,Data!CX:CX),0)</f>
        <v>238948</v>
      </c>
      <c r="E39" s="18">
        <f>IF(F3="1",SUMIF(Data!$A:$A,'22'!$A$2,Data!IR:IR),0)</f>
        <v>116766</v>
      </c>
      <c r="F39" s="22">
        <f t="shared" si="3"/>
        <v>0.48866699030751459</v>
      </c>
    </row>
    <row r="40" spans="1:6" x14ac:dyDescent="0.2">
      <c r="A40" s="20">
        <v>5</v>
      </c>
      <c r="B40" s="184" t="s">
        <v>4</v>
      </c>
      <c r="C40" s="185"/>
      <c r="D40" s="15">
        <f>IF(F3="1",SUMIF(Data!A:A,'22'!$A$2,Data!CY:CY),0)</f>
        <v>378</v>
      </c>
      <c r="E40" s="18">
        <f>IF(F3="1",SUMIF(Data!$A:$A,'22'!$A$2,Data!IS:IS),0)</f>
        <v>6000</v>
      </c>
      <c r="F40" s="22">
        <f t="shared" si="3"/>
        <v>15.873015873015873</v>
      </c>
    </row>
    <row r="41" spans="1:6" x14ac:dyDescent="0.2">
      <c r="A41" s="20">
        <v>6</v>
      </c>
      <c r="B41" s="184" t="s">
        <v>5</v>
      </c>
      <c r="C41" s="185"/>
      <c r="D41" s="15">
        <f>IF(F3="1",SUMIF(Data!A:A,'22'!$A$2,Data!CZ:CZ),0)</f>
        <v>48318</v>
      </c>
      <c r="E41" s="18">
        <f>IF(F3="1",SUMIF(Data!$A:$A,'22'!$A$2,Data!IT:IT),0)</f>
        <v>38554</v>
      </c>
      <c r="F41" s="22">
        <f t="shared" si="3"/>
        <v>0.79792209942464509</v>
      </c>
    </row>
    <row r="42" spans="1:6" x14ac:dyDescent="0.2">
      <c r="A42" s="20">
        <v>7</v>
      </c>
      <c r="B42" s="184" t="s">
        <v>6</v>
      </c>
      <c r="C42" s="185"/>
      <c r="D42" s="15">
        <f>IF(F3="1",SUMIF(Data!A:A,'22'!$A$2,Data!DA:DA),0)</f>
        <v>126937</v>
      </c>
      <c r="E42" s="18">
        <f>IF(F3="1",SUMIF(Data!$A:$A,'22'!$A$2,Data!IU:IU),0)</f>
        <v>74375</v>
      </c>
      <c r="F42" s="22">
        <f t="shared" si="3"/>
        <v>0.58592057477331272</v>
      </c>
    </row>
    <row r="43" spans="1:6" x14ac:dyDescent="0.2">
      <c r="A43" s="20">
        <v>8</v>
      </c>
      <c r="B43" s="184" t="s">
        <v>7</v>
      </c>
      <c r="C43" s="185"/>
      <c r="D43" s="15">
        <f>IF(F3="1",SUMIF(Data!A:A,'22'!$A$2,Data!DB:DB),0)</f>
        <v>172446</v>
      </c>
      <c r="E43" s="18">
        <f>IF(F3="1",SUMIF(Data!$A:$A,'22'!$A$2,Data!IV:IV),0)</f>
        <v>74675</v>
      </c>
      <c r="F43" s="22">
        <f t="shared" si="3"/>
        <v>0.43303410922839614</v>
      </c>
    </row>
    <row r="44" spans="1:6" x14ac:dyDescent="0.2">
      <c r="A44" s="20">
        <v>9</v>
      </c>
      <c r="B44" s="184" t="s">
        <v>8</v>
      </c>
      <c r="C44" s="185"/>
      <c r="D44" s="15">
        <f>IF(F3="1",SUMIF(Data!A:A,'22'!$A$2,Data!DC:DC),0)</f>
        <v>221751</v>
      </c>
      <c r="E44" s="18">
        <f>IF(F3="1",SUMIF(Data!$A:$A,'22'!$A$2,Data!IW:IW),0)</f>
        <v>106771</v>
      </c>
      <c r="F44" s="22">
        <f t="shared" si="3"/>
        <v>0.48149050060653614</v>
      </c>
    </row>
    <row r="45" spans="1:6" x14ac:dyDescent="0.2">
      <c r="A45" s="20">
        <v>10</v>
      </c>
      <c r="B45" s="184" t="s">
        <v>9</v>
      </c>
      <c r="C45" s="185"/>
      <c r="D45" s="15">
        <f>IF(F3="1",SUMIF(Data!A:A,'22'!$A$2,Data!DD:DD),0)</f>
        <v>0</v>
      </c>
      <c r="E45" s="18">
        <f>IF(F3="1",SUMIF(Data!$A:$A,'22'!$A$2,Data!IX:IX),0)</f>
        <v>0</v>
      </c>
      <c r="F45" s="22" t="str">
        <f t="shared" si="3"/>
        <v/>
      </c>
    </row>
    <row r="46" spans="1:6" x14ac:dyDescent="0.2">
      <c r="A46" s="20">
        <v>11</v>
      </c>
      <c r="B46" s="184" t="s">
        <v>10</v>
      </c>
      <c r="C46" s="185"/>
      <c r="D46" s="15">
        <f>IF(F3="1",SUMIF(Data!A:A,'22'!$A$2,Data!DE:DE),0)</f>
        <v>147567</v>
      </c>
      <c r="E46" s="18">
        <f>IF(F3="1",SUMIF(Data!$A:$A,'22'!$A$2,Data!IY:IY),0)</f>
        <v>70418</v>
      </c>
      <c r="F46" s="22">
        <f t="shared" si="3"/>
        <v>0.47719341045084607</v>
      </c>
    </row>
    <row r="47" spans="1:6" ht="14.25" customHeight="1" x14ac:dyDescent="0.2">
      <c r="A47" s="20">
        <v>12</v>
      </c>
      <c r="B47" s="184" t="s">
        <v>11</v>
      </c>
      <c r="C47" s="185"/>
      <c r="D47" s="15">
        <f>IF(F3="1",SUMIF(Data!A:A,'22'!$A$2,Data!DF:DF),0)</f>
        <v>184144</v>
      </c>
      <c r="E47" s="18">
        <f>IF(F3="1",SUMIF(Data!$A:$A,'22'!$A$2,Data!IZ:IZ),0)</f>
        <v>293171</v>
      </c>
      <c r="F47" s="22">
        <f t="shared" si="3"/>
        <v>1.5920746806846815</v>
      </c>
    </row>
    <row r="48" spans="1:6" x14ac:dyDescent="0.2">
      <c r="A48" s="20">
        <v>13</v>
      </c>
      <c r="B48" s="184" t="s">
        <v>12</v>
      </c>
      <c r="C48" s="185"/>
      <c r="D48" s="15">
        <f>IF(F3="1",SUMIF(Data!A:A,'22'!$A$2,Data!DG:DG),0)</f>
        <v>36846</v>
      </c>
      <c r="E48" s="18">
        <f>IF(F3="1",SUMIF(Data!$A:$A,'22'!$A$2,Data!JA:JA),0)</f>
        <v>24387</v>
      </c>
      <c r="F48" s="22">
        <f t="shared" si="3"/>
        <v>0.66186288878032895</v>
      </c>
    </row>
    <row r="49" spans="1:6" ht="14.25" customHeight="1" x14ac:dyDescent="0.2">
      <c r="A49" s="20">
        <v>14</v>
      </c>
      <c r="B49" s="184" t="s">
        <v>469</v>
      </c>
      <c r="C49" s="185"/>
      <c r="D49" s="15">
        <f>IF(F3="1",SUMIF(Data!A:A,'22'!$A$2,Data!DH:DH),0)</f>
        <v>23749</v>
      </c>
      <c r="E49" s="18">
        <f>IF(F3="1",SUMIF(Data!$A:$A,'22'!$A$2,Data!JB:JB),0)</f>
        <v>102233</v>
      </c>
      <c r="F49" s="22">
        <f t="shared" si="3"/>
        <v>4.3047286201524271</v>
      </c>
    </row>
    <row r="50" spans="1:6" x14ac:dyDescent="0.2">
      <c r="A50" s="20">
        <v>15</v>
      </c>
      <c r="B50" s="184" t="s">
        <v>13</v>
      </c>
      <c r="C50" s="185"/>
      <c r="D50" s="15">
        <f>IF(F3="1",SUMIF(Data!A:A,'22'!$A$2,Data!DI:DI),0)</f>
        <v>19664</v>
      </c>
      <c r="E50" s="18">
        <f>IF(F3="1",SUMIF(Data!$A:$A,'22'!$A$2,Data!JC:JC),0)</f>
        <v>104171</v>
      </c>
      <c r="F50" s="22">
        <f t="shared" si="3"/>
        <v>5.2975488201790073</v>
      </c>
    </row>
    <row r="51" spans="1:6" x14ac:dyDescent="0.2">
      <c r="A51" s="20">
        <v>16</v>
      </c>
      <c r="B51" s="184" t="s">
        <v>14</v>
      </c>
      <c r="C51" s="185"/>
      <c r="D51" s="15">
        <f>IF(F3="1",SUMIF(Data!A:A,'22'!$A$2,Data!DJ:DJ),0)</f>
        <v>99048</v>
      </c>
      <c r="E51" s="18">
        <f>IF(F3="1",SUMIF(Data!$A:$A,'22'!$A$2,Data!JD:JD),0)</f>
        <v>268735</v>
      </c>
      <c r="F51" s="22">
        <f t="shared" si="3"/>
        <v>2.7131794685405057</v>
      </c>
    </row>
    <row r="52" spans="1:6" x14ac:dyDescent="0.2">
      <c r="A52" s="20">
        <v>17</v>
      </c>
      <c r="B52" s="184" t="s">
        <v>15</v>
      </c>
      <c r="C52" s="185"/>
      <c r="D52" s="15">
        <f>IF(F3="1",SUMIF(Data!A:A,'22'!$A$2,Data!DK:DK),0)</f>
        <v>17536</v>
      </c>
      <c r="E52" s="18">
        <f>IF(F3="1",SUMIF(Data!$A:$A,'22'!$A$2,Data!JE:JE),0)</f>
        <v>29197</v>
      </c>
      <c r="F52" s="22">
        <f t="shared" si="3"/>
        <v>1.6649749087591241</v>
      </c>
    </row>
    <row r="53" spans="1:6" x14ac:dyDescent="0.2">
      <c r="A53" s="20">
        <v>18</v>
      </c>
      <c r="B53" s="184" t="s">
        <v>16</v>
      </c>
      <c r="C53" s="185"/>
      <c r="D53" s="15">
        <f>IF(F3="1",SUMIF(Data!A:A,'22'!$A$2,Data!DL:DL),0)</f>
        <v>78000</v>
      </c>
      <c r="E53" s="18">
        <f>IF(F3="1",SUMIF(Data!$A:$A,'22'!$A$2,Data!JF:JF),0)</f>
        <v>67139</v>
      </c>
      <c r="F53" s="22">
        <f t="shared" si="3"/>
        <v>0.86075641025641025</v>
      </c>
    </row>
    <row r="54" spans="1:6" x14ac:dyDescent="0.2">
      <c r="A54" s="20">
        <v>19</v>
      </c>
      <c r="B54" s="184" t="s">
        <v>17</v>
      </c>
      <c r="C54" s="185"/>
      <c r="D54" s="15">
        <f>IF(F3="1",SUMIF(Data!A:A,'22'!$A$2,Data!DM:DM),0)</f>
        <v>122024</v>
      </c>
      <c r="E54" s="18">
        <f>IF(F3="1",SUMIF(Data!$A:$A,'22'!$A$2,Data!JG:JG),0)</f>
        <v>59669</v>
      </c>
      <c r="F54" s="22">
        <f t="shared" si="3"/>
        <v>0.48899396839965908</v>
      </c>
    </row>
    <row r="55" spans="1:6" x14ac:dyDescent="0.2">
      <c r="A55" s="20">
        <v>20</v>
      </c>
      <c r="B55" s="184" t="s">
        <v>18</v>
      </c>
      <c r="C55" s="185"/>
      <c r="D55" s="15">
        <f>IF(F3="1",SUMIF(Data!A:A,'22'!$A$2,Data!DN:DN),0)</f>
        <v>9650</v>
      </c>
      <c r="E55" s="18">
        <f>IF(F3="1",SUMIF(Data!$A:$A,'22'!$A$2,Data!JH:JH),0)</f>
        <v>36934</v>
      </c>
      <c r="F55" s="22">
        <f t="shared" si="3"/>
        <v>3.8273575129533679</v>
      </c>
    </row>
    <row r="56" spans="1:6" ht="14.25" customHeight="1" x14ac:dyDescent="0.2">
      <c r="A56" s="20">
        <v>21</v>
      </c>
      <c r="B56" s="184" t="s">
        <v>466</v>
      </c>
      <c r="C56" s="185"/>
      <c r="D56" s="15">
        <f>IF(F3="1",SUMIF(Data!A:A,'22'!$A$2,Data!DO:DO),0)</f>
        <v>6448</v>
      </c>
      <c r="E56" s="18">
        <f>IF(F3="1",SUMIF(Data!$A:$A,'22'!$A$2,Data!JI:JI),0)</f>
        <v>19416</v>
      </c>
      <c r="F56" s="22">
        <f t="shared" si="3"/>
        <v>3.0111662531017371</v>
      </c>
    </row>
    <row r="57" spans="1:6" x14ac:dyDescent="0.2">
      <c r="A57" s="20">
        <v>22</v>
      </c>
      <c r="B57" s="184" t="s">
        <v>19</v>
      </c>
      <c r="C57" s="185"/>
      <c r="D57" s="15">
        <f>IF(F3="1",SUMIF(Data!A:A,'22'!$A$2,Data!DP:DP),0)</f>
        <v>16635</v>
      </c>
      <c r="E57" s="18">
        <f>IF(F3="1",SUMIF(Data!$A:$A,'22'!$A$2,Data!JJ:JJ),0)</f>
        <v>24234</v>
      </c>
      <c r="F57" s="22">
        <f t="shared" si="3"/>
        <v>1.4568079350766456</v>
      </c>
    </row>
    <row r="58" spans="1:6" x14ac:dyDescent="0.2">
      <c r="A58" s="20">
        <v>23</v>
      </c>
      <c r="B58" s="184" t="s">
        <v>20</v>
      </c>
      <c r="C58" s="185"/>
      <c r="D58" s="15">
        <f>IF(F3="1",SUMIF(Data!A:A,'22'!$A$2,Data!DQ:DQ),0)</f>
        <v>28752</v>
      </c>
      <c r="E58" s="18">
        <f>IF(F3="1",SUMIF(Data!$A:$A,'22'!$A$2,Data!JK:JK),0)</f>
        <v>41902</v>
      </c>
      <c r="F58" s="22">
        <f t="shared" si="3"/>
        <v>1.4573594880356149</v>
      </c>
    </row>
    <row r="59" spans="1:6" x14ac:dyDescent="0.2">
      <c r="A59" s="20">
        <v>24</v>
      </c>
      <c r="B59" s="184" t="s">
        <v>21</v>
      </c>
      <c r="C59" s="185"/>
      <c r="D59" s="15">
        <f>IF(F3="1",SUMIF(Data!A:A,'22'!$A$2,Data!DR:DR),0)</f>
        <v>146481</v>
      </c>
      <c r="E59" s="18">
        <f>IF(F3="1",SUMIF(Data!$A:$A,'22'!$A$2,Data!JL:JL),0)</f>
        <v>339007</v>
      </c>
      <c r="F59" s="22">
        <f t="shared" si="3"/>
        <v>2.3143411090858201</v>
      </c>
    </row>
    <row r="60" spans="1:6" x14ac:dyDescent="0.2">
      <c r="A60" s="20">
        <v>25</v>
      </c>
      <c r="B60" s="184" t="s">
        <v>22</v>
      </c>
      <c r="C60" s="185"/>
      <c r="D60" s="15">
        <f>IF(F3="1",SUMIF(Data!A:A,'22'!$A$2,Data!DS:DS),0)</f>
        <v>231164</v>
      </c>
      <c r="E60" s="18">
        <f>IF(F3="1",SUMIF(Data!$A:$A,'22'!$A$2,Data!JM:JM),0)</f>
        <v>78065</v>
      </c>
      <c r="F60" s="22">
        <f t="shared" si="3"/>
        <v>0.33770396774584277</v>
      </c>
    </row>
    <row r="61" spans="1:6" x14ac:dyDescent="0.2">
      <c r="A61" s="20">
        <v>26</v>
      </c>
      <c r="B61" s="184" t="s">
        <v>23</v>
      </c>
      <c r="C61" s="185"/>
      <c r="D61" s="15">
        <f>IF(F3="1",SUMIF(Data!A:A,'22'!$A$2,Data!DT:DT),0)</f>
        <v>60321</v>
      </c>
      <c r="E61" s="18">
        <f>IF(F3="1",SUMIF(Data!$A:$A,'22'!$A$2,Data!JN:JN),0)</f>
        <v>60670</v>
      </c>
      <c r="F61" s="22">
        <f t="shared" si="3"/>
        <v>1.0057857131015733</v>
      </c>
    </row>
    <row r="62" spans="1:6" x14ac:dyDescent="0.2">
      <c r="A62" s="20">
        <v>28</v>
      </c>
      <c r="B62" s="184" t="s">
        <v>24</v>
      </c>
      <c r="C62" s="185"/>
      <c r="D62" s="15">
        <f>IF(F3="1",SUMIF(Data!A:A,'22'!$A$2,Data!DV:DV),0)</f>
        <v>0</v>
      </c>
      <c r="E62" s="18">
        <f>IF(F3="1",SUMIF(Data!$A:$A,'22'!$A$2,Data!JP:JP),0)</f>
        <v>0</v>
      </c>
      <c r="F62" s="22" t="str">
        <f t="shared" si="3"/>
        <v/>
      </c>
    </row>
    <row r="63" spans="1:6" ht="15.75" customHeight="1" thickBot="1" x14ac:dyDescent="0.25">
      <c r="A63" s="23">
        <v>29</v>
      </c>
      <c r="B63" s="186" t="s">
        <v>25</v>
      </c>
      <c r="C63" s="187"/>
      <c r="D63" s="24">
        <f>IF(F3="1",SUMIF(Data!A:A,'22'!$A$2,Data!DW:DW),0)</f>
        <v>0</v>
      </c>
      <c r="E63" s="25">
        <f>IF(F3="1",SUMIF(Data!$A:$A,'22'!$A$2,Data!JQ:JQ),0)</f>
        <v>0</v>
      </c>
      <c r="F63" s="26" t="str">
        <f t="shared" si="3"/>
        <v/>
      </c>
    </row>
    <row r="64" spans="1:6" x14ac:dyDescent="0.2">
      <c r="B64" s="31" t="s">
        <v>35</v>
      </c>
      <c r="C64" s="31"/>
      <c r="D64" s="61">
        <f>SUM(D36:D63)</f>
        <v>2300430</v>
      </c>
      <c r="E64" s="32">
        <f>SUM(E36:E63)</f>
        <v>2261291</v>
      </c>
      <c r="F64" s="33">
        <f t="shared" si="3"/>
        <v>0.98298622431458471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79377</v>
      </c>
      <c r="E67" s="16">
        <f>IF(F3="1",SUMIF(Data!A:A,'22'!$A$2,Data!DY:DY),0)</f>
        <v>232766</v>
      </c>
      <c r="F67" s="21">
        <f>IFERROR(E67/D67,"")</f>
        <v>2.9324111518449927</v>
      </c>
    </row>
    <row r="68" spans="1:6" x14ac:dyDescent="0.2">
      <c r="A68" s="20">
        <v>2</v>
      </c>
      <c r="B68" s="184" t="s">
        <v>1</v>
      </c>
      <c r="C68" s="185"/>
      <c r="D68" s="15">
        <f t="shared" ref="D68:D94" si="4">D37</f>
        <v>16822</v>
      </c>
      <c r="E68" s="18">
        <f>IF(F3="1",SUMIF(Data!A:A,'22'!$A$2,Data!DZ:DZ),0)</f>
        <v>72829</v>
      </c>
      <c r="F68" s="22">
        <f t="shared" ref="F68:F95" si="5">IFERROR(E68/D68,"")</f>
        <v>4.3293900844132684</v>
      </c>
    </row>
    <row r="69" spans="1:6" ht="14.25" customHeight="1" x14ac:dyDescent="0.2">
      <c r="A69" s="20">
        <v>3</v>
      </c>
      <c r="B69" s="184" t="s">
        <v>2</v>
      </c>
      <c r="C69" s="185"/>
      <c r="D69" s="15">
        <f t="shared" si="4"/>
        <v>167424</v>
      </c>
      <c r="E69" s="18">
        <f>IF(F3="1",SUMIF(Data!A:A,'22'!$A$2,Data!EA:EA),0)</f>
        <v>450890</v>
      </c>
      <c r="F69" s="22">
        <f t="shared" si="5"/>
        <v>2.6931025420489298</v>
      </c>
    </row>
    <row r="70" spans="1:6" ht="14.25" customHeight="1" x14ac:dyDescent="0.2">
      <c r="A70" s="20">
        <v>4</v>
      </c>
      <c r="B70" s="184" t="s">
        <v>3</v>
      </c>
      <c r="C70" s="185"/>
      <c r="D70" s="15">
        <f t="shared" si="4"/>
        <v>238948</v>
      </c>
      <c r="E70" s="18">
        <f>IF(F3="1",SUMIF(Data!A:A,'22'!$A$2,Data!EB:EB),0)</f>
        <v>508775</v>
      </c>
      <c r="F70" s="22">
        <f t="shared" si="5"/>
        <v>2.1292289535798585</v>
      </c>
    </row>
    <row r="71" spans="1:6" x14ac:dyDescent="0.2">
      <c r="A71" s="20">
        <v>5</v>
      </c>
      <c r="B71" s="184" t="s">
        <v>4</v>
      </c>
      <c r="C71" s="185"/>
      <c r="D71" s="15">
        <f t="shared" si="4"/>
        <v>378</v>
      </c>
      <c r="E71" s="18">
        <f>IF(F3="1",SUMIF(Data!A:A,'22'!$A$2,Data!EC:EC),0)</f>
        <v>0</v>
      </c>
      <c r="F71" s="22">
        <f t="shared" si="5"/>
        <v>0</v>
      </c>
    </row>
    <row r="72" spans="1:6" x14ac:dyDescent="0.2">
      <c r="A72" s="20">
        <v>6</v>
      </c>
      <c r="B72" s="184" t="s">
        <v>5</v>
      </c>
      <c r="C72" s="185"/>
      <c r="D72" s="15">
        <f t="shared" si="4"/>
        <v>48318</v>
      </c>
      <c r="E72" s="18">
        <f>IF(F3="1",SUMIF(Data!A:A,'22'!$A$2,Data!ED:ED),0)</f>
        <v>69699</v>
      </c>
      <c r="F72" s="22">
        <f t="shared" si="5"/>
        <v>1.442505898422948</v>
      </c>
    </row>
    <row r="73" spans="1:6" x14ac:dyDescent="0.2">
      <c r="A73" s="20">
        <v>7</v>
      </c>
      <c r="B73" s="184" t="s">
        <v>6</v>
      </c>
      <c r="C73" s="185"/>
      <c r="D73" s="15">
        <f t="shared" si="4"/>
        <v>126937</v>
      </c>
      <c r="E73" s="18">
        <f>IF(F3="1",SUMIF(Data!A:A,'22'!$A$2,Data!EE:EE),0)</f>
        <v>387671</v>
      </c>
      <c r="F73" s="22">
        <f t="shared" si="5"/>
        <v>3.0540425565437972</v>
      </c>
    </row>
    <row r="74" spans="1:6" x14ac:dyDescent="0.2">
      <c r="A74" s="20">
        <v>8</v>
      </c>
      <c r="B74" s="184" t="s">
        <v>7</v>
      </c>
      <c r="C74" s="185"/>
      <c r="D74" s="15">
        <f t="shared" si="4"/>
        <v>172446</v>
      </c>
      <c r="E74" s="18">
        <f>IF(F3="1",SUMIF(Data!A:A,'22'!$A$2,Data!EF:EF),0)</f>
        <v>406154</v>
      </c>
      <c r="F74" s="22">
        <f t="shared" si="5"/>
        <v>2.3552532386950116</v>
      </c>
    </row>
    <row r="75" spans="1:6" x14ac:dyDescent="0.2">
      <c r="A75" s="20">
        <v>9</v>
      </c>
      <c r="B75" s="184" t="s">
        <v>8</v>
      </c>
      <c r="C75" s="185"/>
      <c r="D75" s="15">
        <f t="shared" si="4"/>
        <v>221751</v>
      </c>
      <c r="E75" s="18">
        <f>IF(F3="1",SUMIF(Data!A:A,'22'!$A$2,Data!EG:EG),0)</f>
        <v>291313</v>
      </c>
      <c r="F75" s="22">
        <f t="shared" si="5"/>
        <v>1.313694188526771</v>
      </c>
    </row>
    <row r="76" spans="1:6" x14ac:dyDescent="0.2">
      <c r="A76" s="20">
        <v>10</v>
      </c>
      <c r="B76" s="184" t="s">
        <v>9</v>
      </c>
      <c r="C76" s="185"/>
      <c r="D76" s="15">
        <f t="shared" si="4"/>
        <v>0</v>
      </c>
      <c r="E76" s="18">
        <f>IF(F3="1",SUMIF(Data!A:A,'22'!$A$2,Data!EH:EH),0)</f>
        <v>0</v>
      </c>
      <c r="F76" s="22" t="str">
        <f t="shared" si="5"/>
        <v/>
      </c>
    </row>
    <row r="77" spans="1:6" x14ac:dyDescent="0.2">
      <c r="A77" s="20">
        <v>11</v>
      </c>
      <c r="B77" s="184" t="s">
        <v>10</v>
      </c>
      <c r="C77" s="185"/>
      <c r="D77" s="15">
        <f t="shared" si="4"/>
        <v>147567</v>
      </c>
      <c r="E77" s="18">
        <f>IF(F3="1",SUMIF(Data!A:A,'22'!$A$2,Data!EI:EI),0)</f>
        <v>210125</v>
      </c>
      <c r="F77" s="22">
        <f t="shared" si="5"/>
        <v>1.4239294693257978</v>
      </c>
    </row>
    <row r="78" spans="1:6" ht="14.25" customHeight="1" x14ac:dyDescent="0.2">
      <c r="A78" s="20">
        <v>12</v>
      </c>
      <c r="B78" s="184" t="s">
        <v>11</v>
      </c>
      <c r="C78" s="185"/>
      <c r="D78" s="15">
        <f t="shared" si="4"/>
        <v>184144</v>
      </c>
      <c r="E78" s="18">
        <f>IF(F3="1",SUMIF(Data!A:A,'22'!$A$2,Data!EJ:EJ),0)</f>
        <v>851260</v>
      </c>
      <c r="F78" s="22">
        <f t="shared" si="5"/>
        <v>4.6227952037535838</v>
      </c>
    </row>
    <row r="79" spans="1:6" x14ac:dyDescent="0.2">
      <c r="A79" s="20">
        <v>13</v>
      </c>
      <c r="B79" s="184" t="s">
        <v>12</v>
      </c>
      <c r="C79" s="185"/>
      <c r="D79" s="15">
        <f t="shared" si="4"/>
        <v>36846</v>
      </c>
      <c r="E79" s="18">
        <f>IF(F3="1",SUMIF(Data!A:A,'22'!$A$2,Data!EK:EK),0)</f>
        <v>145026</v>
      </c>
      <c r="F79" s="22">
        <f t="shared" si="5"/>
        <v>3.9360039081582805</v>
      </c>
    </row>
    <row r="80" spans="1:6" ht="14.25" customHeight="1" x14ac:dyDescent="0.2">
      <c r="A80" s="20">
        <v>14</v>
      </c>
      <c r="B80" s="184" t="s">
        <v>469</v>
      </c>
      <c r="C80" s="185"/>
      <c r="D80" s="15">
        <f t="shared" si="4"/>
        <v>23749</v>
      </c>
      <c r="E80" s="18">
        <f>IF(F3="1",SUMIF(Data!A:A,'22'!$A$2,Data!EL:EL),0)</f>
        <v>166749</v>
      </c>
      <c r="F80" s="22">
        <f t="shared" si="5"/>
        <v>7.0213061602593791</v>
      </c>
    </row>
    <row r="81" spans="1:6" x14ac:dyDescent="0.2">
      <c r="A81" s="20">
        <v>15</v>
      </c>
      <c r="B81" s="184" t="s">
        <v>13</v>
      </c>
      <c r="C81" s="185"/>
      <c r="D81" s="15">
        <f t="shared" si="4"/>
        <v>19664</v>
      </c>
      <c r="E81" s="18">
        <f>IF(F3="1",SUMIF(Data!A:A,'22'!$A$2,Data!EM:EM),0)</f>
        <v>204182</v>
      </c>
      <c r="F81" s="22">
        <f t="shared" si="5"/>
        <v>10.383543531326282</v>
      </c>
    </row>
    <row r="82" spans="1:6" x14ac:dyDescent="0.2">
      <c r="A82" s="20">
        <v>16</v>
      </c>
      <c r="B82" s="184" t="s">
        <v>14</v>
      </c>
      <c r="C82" s="185"/>
      <c r="D82" s="15">
        <f t="shared" si="4"/>
        <v>99048</v>
      </c>
      <c r="E82" s="18">
        <f>IF(F3="1",SUMIF(Data!A:A,'22'!$A$2,Data!EN:EN),0)</f>
        <v>483139</v>
      </c>
      <c r="F82" s="22">
        <f t="shared" si="5"/>
        <v>4.877826912204184</v>
      </c>
    </row>
    <row r="83" spans="1:6" x14ac:dyDescent="0.2">
      <c r="A83" s="20">
        <v>17</v>
      </c>
      <c r="B83" s="184" t="s">
        <v>15</v>
      </c>
      <c r="C83" s="185"/>
      <c r="D83" s="15">
        <f t="shared" si="4"/>
        <v>17536</v>
      </c>
      <c r="E83" s="18">
        <f>IF(F3="1",SUMIF(Data!A:A,'22'!$A$2,Data!EO:EO),0)</f>
        <v>98736</v>
      </c>
      <c r="F83" s="22">
        <f t="shared" si="5"/>
        <v>5.6304744525547443</v>
      </c>
    </row>
    <row r="84" spans="1:6" x14ac:dyDescent="0.2">
      <c r="A84" s="20">
        <v>18</v>
      </c>
      <c r="B84" s="184" t="s">
        <v>16</v>
      </c>
      <c r="C84" s="185"/>
      <c r="D84" s="15">
        <f t="shared" si="4"/>
        <v>78000</v>
      </c>
      <c r="E84" s="18">
        <f>IF(F3="1",SUMIF(Data!A:A,'22'!$A$2,Data!EP:EP),0)</f>
        <v>374696</v>
      </c>
      <c r="F84" s="22">
        <f t="shared" si="5"/>
        <v>4.8037948717948717</v>
      </c>
    </row>
    <row r="85" spans="1:6" x14ac:dyDescent="0.2">
      <c r="A85" s="20">
        <v>19</v>
      </c>
      <c r="B85" s="184" t="s">
        <v>17</v>
      </c>
      <c r="C85" s="185"/>
      <c r="D85" s="15">
        <f t="shared" si="4"/>
        <v>122024</v>
      </c>
      <c r="E85" s="18">
        <f>IF(F3="1",SUMIF(Data!A:A,'22'!$A$2,Data!EQ:EQ),0)</f>
        <v>444100</v>
      </c>
      <c r="F85" s="22">
        <f t="shared" si="5"/>
        <v>3.6394479774470594</v>
      </c>
    </row>
    <row r="86" spans="1:6" x14ac:dyDescent="0.2">
      <c r="A86" s="20">
        <v>20</v>
      </c>
      <c r="B86" s="184" t="s">
        <v>18</v>
      </c>
      <c r="C86" s="185"/>
      <c r="D86" s="15">
        <f t="shared" si="4"/>
        <v>9650</v>
      </c>
      <c r="E86" s="18">
        <f>IF(F3="1",SUMIF(Data!A:A,'22'!$A$2,Data!ER:ER),0)</f>
        <v>46295</v>
      </c>
      <c r="F86" s="22">
        <f t="shared" si="5"/>
        <v>4.7974093264248703</v>
      </c>
    </row>
    <row r="87" spans="1:6" ht="14.25" customHeight="1" x14ac:dyDescent="0.2">
      <c r="A87" s="20">
        <v>21</v>
      </c>
      <c r="B87" s="184" t="s">
        <v>466</v>
      </c>
      <c r="C87" s="185"/>
      <c r="D87" s="15">
        <f t="shared" si="4"/>
        <v>6448</v>
      </c>
      <c r="E87" s="18">
        <f>IF(F3="1",SUMIF(Data!A:A,'22'!$A$2,Data!ES:ES),0)</f>
        <v>16323</v>
      </c>
      <c r="F87" s="22">
        <f t="shared" si="5"/>
        <v>2.5314826302729529</v>
      </c>
    </row>
    <row r="88" spans="1:6" x14ac:dyDescent="0.2">
      <c r="A88" s="20">
        <v>22</v>
      </c>
      <c r="B88" s="184" t="s">
        <v>19</v>
      </c>
      <c r="C88" s="185"/>
      <c r="D88" s="15">
        <f t="shared" si="4"/>
        <v>16635</v>
      </c>
      <c r="E88" s="18">
        <f>IF(F3="1",SUMIF(Data!A:A,'22'!$A$2,Data!ET:ET),0)</f>
        <v>9530</v>
      </c>
      <c r="F88" s="22">
        <f t="shared" si="5"/>
        <v>0.57288848812744209</v>
      </c>
    </row>
    <row r="89" spans="1:6" x14ac:dyDescent="0.2">
      <c r="A89" s="20">
        <v>23</v>
      </c>
      <c r="B89" s="184" t="s">
        <v>20</v>
      </c>
      <c r="C89" s="185"/>
      <c r="D89" s="15">
        <f t="shared" si="4"/>
        <v>28752</v>
      </c>
      <c r="E89" s="18">
        <f>IF(F3="1",SUMIF(Data!A:A,'22'!$A$2,Data!EU:EU),0)</f>
        <v>480220</v>
      </c>
      <c r="F89" s="22">
        <f t="shared" si="5"/>
        <v>16.702142459654979</v>
      </c>
    </row>
    <row r="90" spans="1:6" x14ac:dyDescent="0.2">
      <c r="A90" s="20">
        <v>24</v>
      </c>
      <c r="B90" s="184" t="s">
        <v>21</v>
      </c>
      <c r="C90" s="185"/>
      <c r="D90" s="15">
        <f t="shared" si="4"/>
        <v>146481</v>
      </c>
      <c r="E90" s="18">
        <f>IF(F3="1",SUMIF(Data!A:A,'22'!$A$2,Data!EV:EV),0)</f>
        <v>188096</v>
      </c>
      <c r="F90" s="22">
        <f t="shared" si="5"/>
        <v>1.2840982789576805</v>
      </c>
    </row>
    <row r="91" spans="1:6" x14ac:dyDescent="0.2">
      <c r="A91" s="20">
        <v>25</v>
      </c>
      <c r="B91" s="184" t="s">
        <v>22</v>
      </c>
      <c r="C91" s="185"/>
      <c r="D91" s="15">
        <f t="shared" si="4"/>
        <v>231164</v>
      </c>
      <c r="E91" s="18">
        <f>IF(F3="1",SUMIF(Data!A:A,'22'!$A$2,Data!EW:EW),0)</f>
        <v>621000</v>
      </c>
      <c r="F91" s="22">
        <f t="shared" si="5"/>
        <v>2.6864044574414701</v>
      </c>
    </row>
    <row r="92" spans="1:6" x14ac:dyDescent="0.2">
      <c r="A92" s="20">
        <v>26</v>
      </c>
      <c r="B92" s="184" t="s">
        <v>23</v>
      </c>
      <c r="C92" s="185"/>
      <c r="D92" s="15">
        <f t="shared" si="4"/>
        <v>60321</v>
      </c>
      <c r="E92" s="18">
        <f>IF(F3="1",SUMIF(Data!A:A,'22'!$A$2,Data!EX:EX),0)</f>
        <v>189003</v>
      </c>
      <c r="F92" s="22">
        <f t="shared" si="5"/>
        <v>3.1332869150047249</v>
      </c>
    </row>
    <row r="93" spans="1:6" x14ac:dyDescent="0.2">
      <c r="A93" s="20">
        <v>28</v>
      </c>
      <c r="B93" s="184" t="s">
        <v>24</v>
      </c>
      <c r="C93" s="185"/>
      <c r="D93" s="15">
        <f t="shared" si="4"/>
        <v>0</v>
      </c>
      <c r="E93" s="18">
        <f>IF(F3="1",SUMIF(Data!A:A,'22'!$A$2,Data!EZ:EZ),0)</f>
        <v>0</v>
      </c>
      <c r="F93" s="22" t="str">
        <f t="shared" si="5"/>
        <v/>
      </c>
    </row>
    <row r="94" spans="1:6" ht="15.75" customHeight="1" thickBot="1" x14ac:dyDescent="0.25">
      <c r="A94" s="23">
        <v>29</v>
      </c>
      <c r="B94" s="186" t="s">
        <v>25</v>
      </c>
      <c r="C94" s="187"/>
      <c r="D94" s="24">
        <f t="shared" si="4"/>
        <v>0</v>
      </c>
      <c r="E94" s="25">
        <f>IF(F3="1",SUMIF(Data!A:A,'22'!$A$2,Data!FA:FA),0)</f>
        <v>0</v>
      </c>
      <c r="F94" s="26" t="str">
        <f t="shared" si="5"/>
        <v/>
      </c>
    </row>
    <row r="95" spans="1:6" x14ac:dyDescent="0.2">
      <c r="B95" s="31" t="s">
        <v>35</v>
      </c>
      <c r="C95" s="31"/>
      <c r="D95" s="61">
        <f>SUM(D67:D94)</f>
        <v>2300430</v>
      </c>
      <c r="E95" s="32">
        <f>SUM(E67:E94)</f>
        <v>6948577</v>
      </c>
      <c r="F95" s="33">
        <f t="shared" si="5"/>
        <v>3.0205557221910686</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IF(F3="1",SUMIF(Data!A:A,'22'!$A$2,Data!AH:AH),0)</f>
        <v>3271612</v>
      </c>
      <c r="F98" s="21">
        <f t="shared" ref="F98:F105" si="6">IFERROR(E98/$D$95,0)</f>
        <v>1.422174115274101</v>
      </c>
    </row>
    <row r="99" spans="2:6" x14ac:dyDescent="0.2">
      <c r="B99" s="190" t="s">
        <v>31</v>
      </c>
      <c r="C99" s="191"/>
      <c r="D99" s="37"/>
      <c r="E99" s="18">
        <f>IF(F3="1",SUMIF(Data!A:A,'22'!$A$2,Data!AI:AI),0)</f>
        <v>1623120</v>
      </c>
      <c r="F99" s="22">
        <f t="shared" si="6"/>
        <v>0.70557243645753187</v>
      </c>
    </row>
    <row r="100" spans="2:6" x14ac:dyDescent="0.2">
      <c r="B100" s="190" t="s">
        <v>32</v>
      </c>
      <c r="C100" s="191"/>
      <c r="D100" s="37"/>
      <c r="E100" s="18">
        <f>IF(F3="1",SUMIF(Data!A:A,'22'!$A$2,Data!AJ:AJ),0)</f>
        <v>1227942</v>
      </c>
      <c r="F100" s="22">
        <f t="shared" si="6"/>
        <v>0.53378803093334726</v>
      </c>
    </row>
    <row r="101" spans="2:6" x14ac:dyDescent="0.2">
      <c r="B101" s="190" t="s">
        <v>28</v>
      </c>
      <c r="C101" s="191"/>
      <c r="D101" s="37"/>
      <c r="E101" s="18">
        <f>IF(F3="1",SUMIF(Data!A:A,'22'!$A$2,Data!AK:AK),0)</f>
        <v>0</v>
      </c>
      <c r="F101" s="22">
        <f t="shared" si="6"/>
        <v>0</v>
      </c>
    </row>
    <row r="102" spans="2:6" x14ac:dyDescent="0.2">
      <c r="B102" s="190" t="s">
        <v>33</v>
      </c>
      <c r="C102" s="191"/>
      <c r="D102" s="37"/>
      <c r="E102" s="18">
        <f>IF(F3="1",SUMIF(Data!A:A,'22'!$A$2,Data!AL:AL),0)</f>
        <v>0</v>
      </c>
      <c r="F102" s="22">
        <f t="shared" si="6"/>
        <v>0</v>
      </c>
    </row>
    <row r="103" spans="2:6" x14ac:dyDescent="0.2">
      <c r="B103" s="192" t="s">
        <v>34</v>
      </c>
      <c r="C103" s="193"/>
      <c r="D103" s="37"/>
      <c r="E103" s="18">
        <f>IF(F3="1",SUMIF(Data!A:A,'22'!$A$2,Data!AM:AM),0)</f>
        <v>383078</v>
      </c>
      <c r="F103" s="22">
        <f t="shared" si="6"/>
        <v>0.16652451932899501</v>
      </c>
    </row>
    <row r="104" spans="2:6" ht="15.75" customHeight="1" thickBot="1" x14ac:dyDescent="0.25">
      <c r="B104" s="182" t="s">
        <v>29</v>
      </c>
      <c r="C104" s="183"/>
      <c r="D104" s="38"/>
      <c r="E104" s="25">
        <f>IF(F3="1",SUMIF(Data!A:A,'22'!$A$2,Data!Q:Q),0)</f>
        <v>304488</v>
      </c>
      <c r="F104" s="26">
        <f t="shared" si="6"/>
        <v>0.13236134114056938</v>
      </c>
    </row>
    <row r="105" spans="2:6" x14ac:dyDescent="0.2">
      <c r="B105" s="31" t="s">
        <v>35</v>
      </c>
      <c r="C105" s="31"/>
      <c r="D105" s="35">
        <f>D95</f>
        <v>2300430</v>
      </c>
      <c r="E105" s="32">
        <f>SUM(E98:E104)</f>
        <v>6810240</v>
      </c>
      <c r="F105" s="33">
        <f t="shared" si="6"/>
        <v>2.9604204431345442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6948577</v>
      </c>
      <c r="D109" s="16">
        <f>IF(F3="1",SUMIF(Data!$A:$A,$A$2,Data!HJ:HJ),0)</f>
        <v>0</v>
      </c>
      <c r="E109" s="16">
        <f>IF(F3="1",SUMIF(Data!$A:$A,$A$2,Data!IN:IN),0)</f>
        <v>0</v>
      </c>
      <c r="F109" s="48">
        <f>SUM(C109:E109)</f>
        <v>6948577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304488</v>
      </c>
      <c r="E117" s="53"/>
      <c r="F117" s="50">
        <f>SUM(C117:E117)</f>
        <v>304488</v>
      </c>
    </row>
    <row r="118" spans="1:6" x14ac:dyDescent="0.2">
      <c r="B118" s="14" t="s">
        <v>35</v>
      </c>
      <c r="C118" s="5">
        <f>SUM(C109:C116)</f>
        <v>6948577</v>
      </c>
      <c r="D118" s="5">
        <f>SUM(D109:D116)</f>
        <v>0</v>
      </c>
      <c r="E118" s="5">
        <f>SUM(E109:E116)</f>
        <v>0</v>
      </c>
      <c r="F118" s="5">
        <f>SUM(F109:F116)</f>
        <v>6948577</v>
      </c>
    </row>
    <row r="119" spans="1:6" ht="15" thickBot="1" x14ac:dyDescent="0.25"/>
    <row r="120" spans="1:6" ht="15" thickBot="1" x14ac:dyDescent="0.25">
      <c r="B120" s="57" t="s">
        <v>942</v>
      </c>
      <c r="C120" s="55"/>
      <c r="D120" s="55"/>
      <c r="E120" s="55">
        <f>IF(F3="1",SUMIF(Data!A:A,'22'!$A$2,Data!AM:AM),0)</f>
        <v>383078</v>
      </c>
      <c r="F120" s="56">
        <f>SUM(C120:E120)</f>
        <v>383078</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376</v>
      </c>
      <c r="B2" s="60" t="str">
        <f>VLOOKUP(A2,Data!A:G,7,0)</f>
        <v>Kilgore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9072</v>
      </c>
      <c r="E5" s="16">
        <f>E36+E67+IFERROR($E$105/$D$105*D5,0)</f>
        <v>98786.211018987146</v>
      </c>
      <c r="F5" s="21">
        <f>IFERROR(E5/D5,"")</f>
        <v>10.889132607913044</v>
      </c>
    </row>
    <row r="6" spans="1:6" x14ac:dyDescent="0.2">
      <c r="A6" s="20">
        <v>2</v>
      </c>
      <c r="B6" s="184" t="s">
        <v>1</v>
      </c>
      <c r="C6" s="185"/>
      <c r="D6" s="15">
        <f t="shared" ref="D6:D32" si="0">D37</f>
        <v>37396</v>
      </c>
      <c r="E6" s="18">
        <f t="shared" ref="E6:E32" si="1">E37+E68+IFERROR($E$105/$D$105*D6,0)</f>
        <v>281570.78254696244</v>
      </c>
      <c r="F6" s="22">
        <f t="shared" ref="F6:F33" si="2">IFERROR(E6/D6,"")</f>
        <v>7.5294358366392782</v>
      </c>
    </row>
    <row r="7" spans="1:6" ht="14.25" customHeight="1" x14ac:dyDescent="0.2">
      <c r="A7" s="20">
        <v>3</v>
      </c>
      <c r="B7" s="184" t="s">
        <v>2</v>
      </c>
      <c r="C7" s="185"/>
      <c r="D7" s="15">
        <f t="shared" si="0"/>
        <v>300880</v>
      </c>
      <c r="E7" s="18">
        <f t="shared" si="1"/>
        <v>1958944.1255944502</v>
      </c>
      <c r="F7" s="22">
        <f t="shared" si="2"/>
        <v>6.5107156527334826</v>
      </c>
    </row>
    <row r="8" spans="1:6" ht="14.25" customHeight="1" x14ac:dyDescent="0.2">
      <c r="A8" s="20">
        <v>4</v>
      </c>
      <c r="B8" s="184" t="s">
        <v>3</v>
      </c>
      <c r="C8" s="185"/>
      <c r="D8" s="15">
        <f t="shared" si="0"/>
        <v>244369</v>
      </c>
      <c r="E8" s="18">
        <f t="shared" si="1"/>
        <v>1434813.4361220095</v>
      </c>
      <c r="F8" s="22">
        <f t="shared" si="2"/>
        <v>5.8715034890759856</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12376</v>
      </c>
      <c r="E10" s="18">
        <f t="shared" si="1"/>
        <v>120514.84342713679</v>
      </c>
      <c r="F10" s="22">
        <f t="shared" si="2"/>
        <v>9.73778631440989</v>
      </c>
    </row>
    <row r="11" spans="1:6" x14ac:dyDescent="0.2">
      <c r="A11" s="20">
        <v>7</v>
      </c>
      <c r="B11" s="184" t="s">
        <v>6</v>
      </c>
      <c r="C11" s="185"/>
      <c r="D11" s="15">
        <f t="shared" si="0"/>
        <v>215010</v>
      </c>
      <c r="E11" s="18">
        <f t="shared" si="1"/>
        <v>1218444.394090876</v>
      </c>
      <c r="F11" s="22">
        <f t="shared" si="2"/>
        <v>5.6669196506714847</v>
      </c>
    </row>
    <row r="12" spans="1:6" x14ac:dyDescent="0.2">
      <c r="A12" s="20">
        <v>8</v>
      </c>
      <c r="B12" s="184" t="s">
        <v>7</v>
      </c>
      <c r="C12" s="185"/>
      <c r="D12" s="15">
        <f t="shared" si="0"/>
        <v>7402</v>
      </c>
      <c r="E12" s="18">
        <f t="shared" si="1"/>
        <v>233168.93011050957</v>
      </c>
      <c r="F12" s="22">
        <f t="shared" si="2"/>
        <v>31.500801149758114</v>
      </c>
    </row>
    <row r="13" spans="1:6" x14ac:dyDescent="0.2">
      <c r="A13" s="20">
        <v>9</v>
      </c>
      <c r="B13" s="184" t="s">
        <v>8</v>
      </c>
      <c r="C13" s="185"/>
      <c r="D13" s="15">
        <f t="shared" si="0"/>
        <v>160541</v>
      </c>
      <c r="E13" s="18">
        <f t="shared" si="1"/>
        <v>877548.58941790299</v>
      </c>
      <c r="F13" s="22">
        <f t="shared" si="2"/>
        <v>5.466196108270803</v>
      </c>
    </row>
    <row r="14" spans="1:6" x14ac:dyDescent="0.2">
      <c r="A14" s="20">
        <v>10</v>
      </c>
      <c r="B14" s="184" t="s">
        <v>9</v>
      </c>
      <c r="C14" s="185"/>
      <c r="D14" s="15">
        <f t="shared" si="0"/>
        <v>1840</v>
      </c>
      <c r="E14" s="18">
        <f t="shared" si="1"/>
        <v>17716.83645005912</v>
      </c>
      <c r="F14" s="22">
        <f t="shared" si="2"/>
        <v>9.6287154619886515</v>
      </c>
    </row>
    <row r="15" spans="1:6" x14ac:dyDescent="0.2">
      <c r="A15" s="20">
        <v>11</v>
      </c>
      <c r="B15" s="184" t="s">
        <v>10</v>
      </c>
      <c r="C15" s="185"/>
      <c r="D15" s="15">
        <f t="shared" si="0"/>
        <v>180382</v>
      </c>
      <c r="E15" s="18">
        <f t="shared" si="1"/>
        <v>1180642.739420959</v>
      </c>
      <c r="F15" s="22">
        <f t="shared" si="2"/>
        <v>6.5452358850714543</v>
      </c>
    </row>
    <row r="16" spans="1:6" ht="14.25" customHeight="1" x14ac:dyDescent="0.2">
      <c r="A16" s="20">
        <v>12</v>
      </c>
      <c r="B16" s="184" t="s">
        <v>11</v>
      </c>
      <c r="C16" s="185"/>
      <c r="D16" s="15">
        <f t="shared" si="0"/>
        <v>355792</v>
      </c>
      <c r="E16" s="18">
        <f t="shared" si="1"/>
        <v>2017878.7838257798</v>
      </c>
      <c r="F16" s="22">
        <f t="shared" si="2"/>
        <v>5.6715125236817574</v>
      </c>
    </row>
    <row r="17" spans="1:6" x14ac:dyDescent="0.2">
      <c r="A17" s="20">
        <v>13</v>
      </c>
      <c r="B17" s="184" t="s">
        <v>12</v>
      </c>
      <c r="C17" s="185"/>
      <c r="D17" s="15">
        <f t="shared" si="0"/>
        <v>19504</v>
      </c>
      <c r="E17" s="18">
        <f t="shared" si="1"/>
        <v>209438.8663706267</v>
      </c>
      <c r="F17" s="22">
        <f t="shared" si="2"/>
        <v>10.738251967320894</v>
      </c>
    </row>
    <row r="18" spans="1:6" ht="14.25" customHeight="1" x14ac:dyDescent="0.2">
      <c r="A18" s="20">
        <v>14</v>
      </c>
      <c r="B18" s="184" t="s">
        <v>469</v>
      </c>
      <c r="C18" s="185"/>
      <c r="D18" s="15">
        <f t="shared" si="0"/>
        <v>156720</v>
      </c>
      <c r="E18" s="18">
        <f t="shared" si="1"/>
        <v>1289676.0263332964</v>
      </c>
      <c r="F18" s="22">
        <f t="shared" si="2"/>
        <v>8.2291732155008699</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179557</v>
      </c>
      <c r="E20" s="18">
        <f t="shared" si="1"/>
        <v>1163910.1904691663</v>
      </c>
      <c r="F20" s="22">
        <f t="shared" si="2"/>
        <v>6.4821209447092913</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97600</v>
      </c>
      <c r="E22" s="18">
        <f t="shared" si="1"/>
        <v>591647.06387270126</v>
      </c>
      <c r="F22" s="22">
        <f t="shared" si="2"/>
        <v>6.0619576216465294</v>
      </c>
    </row>
    <row r="23" spans="1:6" x14ac:dyDescent="0.2">
      <c r="A23" s="20">
        <v>19</v>
      </c>
      <c r="B23" s="184" t="s">
        <v>17</v>
      </c>
      <c r="C23" s="185"/>
      <c r="D23" s="15">
        <f t="shared" si="0"/>
        <v>262384</v>
      </c>
      <c r="E23" s="18">
        <f t="shared" si="1"/>
        <v>1462434.2777784308</v>
      </c>
      <c r="F23" s="22">
        <f t="shared" si="2"/>
        <v>5.5736412196568041</v>
      </c>
    </row>
    <row r="24" spans="1:6" x14ac:dyDescent="0.2">
      <c r="A24" s="20">
        <v>20</v>
      </c>
      <c r="B24" s="184" t="s">
        <v>18</v>
      </c>
      <c r="C24" s="185"/>
      <c r="D24" s="15">
        <f t="shared" si="0"/>
        <v>40288</v>
      </c>
      <c r="E24" s="18">
        <f t="shared" si="1"/>
        <v>325519.44505433796</v>
      </c>
      <c r="F24" s="22">
        <f t="shared" si="2"/>
        <v>8.0798114836759822</v>
      </c>
    </row>
    <row r="25" spans="1:6" ht="14.25" customHeight="1" x14ac:dyDescent="0.2">
      <c r="A25" s="20">
        <v>21</v>
      </c>
      <c r="B25" s="184" t="s">
        <v>466</v>
      </c>
      <c r="C25" s="185"/>
      <c r="D25" s="15">
        <f t="shared" si="0"/>
        <v>31596</v>
      </c>
      <c r="E25" s="18">
        <f t="shared" si="1"/>
        <v>167403.71112829784</v>
      </c>
      <c r="F25" s="22">
        <f t="shared" si="2"/>
        <v>5.2982564605740547</v>
      </c>
    </row>
    <row r="26" spans="1:6" x14ac:dyDescent="0.2">
      <c r="A26" s="20">
        <v>22</v>
      </c>
      <c r="B26" s="184" t="s">
        <v>19</v>
      </c>
      <c r="C26" s="185"/>
      <c r="D26" s="15">
        <f t="shared" si="0"/>
        <v>7032</v>
      </c>
      <c r="E26" s="18">
        <f t="shared" si="1"/>
        <v>18347.544520008556</v>
      </c>
      <c r="F26" s="22">
        <f t="shared" si="2"/>
        <v>2.6091502445973487</v>
      </c>
    </row>
    <row r="27" spans="1:6" x14ac:dyDescent="0.2">
      <c r="A27" s="20">
        <v>23</v>
      </c>
      <c r="B27" s="184" t="s">
        <v>20</v>
      </c>
      <c r="C27" s="185"/>
      <c r="D27" s="15">
        <f t="shared" si="0"/>
        <v>121544</v>
      </c>
      <c r="E27" s="18">
        <f t="shared" si="1"/>
        <v>921487.55732934014</v>
      </c>
      <c r="F27" s="22">
        <f t="shared" si="2"/>
        <v>7.5815141621909774</v>
      </c>
    </row>
    <row r="28" spans="1:6" x14ac:dyDescent="0.2">
      <c r="A28" s="20">
        <v>24</v>
      </c>
      <c r="B28" s="184" t="s">
        <v>21</v>
      </c>
      <c r="C28" s="185"/>
      <c r="D28" s="15">
        <f t="shared" si="0"/>
        <v>337789</v>
      </c>
      <c r="E28" s="18">
        <f t="shared" si="1"/>
        <v>2429180.2519722939</v>
      </c>
      <c r="F28" s="22">
        <f t="shared" si="2"/>
        <v>7.1914131365210059</v>
      </c>
    </row>
    <row r="29" spans="1:6" x14ac:dyDescent="0.2">
      <c r="A29" s="20">
        <v>25</v>
      </c>
      <c r="B29" s="184" t="s">
        <v>22</v>
      </c>
      <c r="C29" s="185"/>
      <c r="D29" s="15">
        <f t="shared" si="0"/>
        <v>425040</v>
      </c>
      <c r="E29" s="18">
        <f t="shared" si="1"/>
        <v>2047937.219963657</v>
      </c>
      <c r="F29" s="22">
        <f t="shared" si="2"/>
        <v>4.818222331930305</v>
      </c>
    </row>
    <row r="30" spans="1:6" x14ac:dyDescent="0.2">
      <c r="A30" s="20">
        <v>26</v>
      </c>
      <c r="B30" s="184" t="s">
        <v>23</v>
      </c>
      <c r="C30" s="185"/>
      <c r="D30" s="15">
        <f t="shared" si="0"/>
        <v>199030</v>
      </c>
      <c r="E30" s="18">
        <f t="shared" si="1"/>
        <v>1407130.1731822104</v>
      </c>
      <c r="F30" s="22">
        <f t="shared" si="2"/>
        <v>7.0699400752761417</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3403144</v>
      </c>
      <c r="E33" s="32">
        <f>SUM(E5:E32)</f>
        <v>21474142</v>
      </c>
      <c r="F33" s="33">
        <f t="shared" si="2"/>
        <v>6.3100891411001125</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IF(F3="1",SUMIF(Data!A:A,'23'!$A$2,Data!CU:CU),0)</f>
        <v>9072</v>
      </c>
      <c r="E36" s="16">
        <f>IF(F3="1",SUMIF(Data!$A:$A,'23'!$A$2,Data!IO:IO),0)</f>
        <v>12003</v>
      </c>
      <c r="F36" s="21">
        <f t="shared" ref="F36:F64" si="3">IFERROR(E36/D36,"")</f>
        <v>1.3230820105820107</v>
      </c>
    </row>
    <row r="37" spans="1:6" x14ac:dyDescent="0.2">
      <c r="A37" s="20">
        <v>2</v>
      </c>
      <c r="B37" s="184" t="s">
        <v>1</v>
      </c>
      <c r="C37" s="185"/>
      <c r="D37" s="15">
        <f>IF(F3="1",SUMIF(Data!A:A,'23'!$A$2,Data!CV:CV),0)</f>
        <v>37396</v>
      </c>
      <c r="E37" s="18">
        <f>IF(F3="1",SUMIF(Data!$A:$A,'23'!$A$2,Data!IP:IP),0)</f>
        <v>22944</v>
      </c>
      <c r="F37" s="22">
        <f t="shared" si="3"/>
        <v>0.61354155524655041</v>
      </c>
    </row>
    <row r="38" spans="1:6" ht="14.25" customHeight="1" x14ac:dyDescent="0.2">
      <c r="A38" s="20">
        <v>3</v>
      </c>
      <c r="B38" s="184" t="s">
        <v>2</v>
      </c>
      <c r="C38" s="185"/>
      <c r="D38" s="15">
        <f>IF(F3="1",SUMIF(Data!A:A,'23'!$A$2,Data!CW:CW),0)</f>
        <v>300880</v>
      </c>
      <c r="E38" s="18">
        <f>IF(F3="1",SUMIF(Data!$A:$A,'23'!$A$2,Data!IQ:IQ),0)</f>
        <v>294274</v>
      </c>
      <c r="F38" s="22">
        <f t="shared" si="3"/>
        <v>0.97804440308428608</v>
      </c>
    </row>
    <row r="39" spans="1:6" ht="14.25" customHeight="1" x14ac:dyDescent="0.2">
      <c r="A39" s="20">
        <v>4</v>
      </c>
      <c r="B39" s="184" t="s">
        <v>3</v>
      </c>
      <c r="C39" s="185"/>
      <c r="D39" s="15">
        <f>IF(F3="1",SUMIF(Data!A:A,'23'!$A$2,Data!CX:CX),0)</f>
        <v>244369</v>
      </c>
      <c r="E39" s="18">
        <f>IF(F3="1",SUMIF(Data!$A:$A,'23'!$A$2,Data!IR:IR),0)</f>
        <v>96324</v>
      </c>
      <c r="F39" s="22">
        <f t="shared" si="3"/>
        <v>0.39417438382118847</v>
      </c>
    </row>
    <row r="40" spans="1:6" x14ac:dyDescent="0.2">
      <c r="A40" s="20">
        <v>5</v>
      </c>
      <c r="B40" s="184" t="s">
        <v>4</v>
      </c>
      <c r="C40" s="185"/>
      <c r="D40" s="15">
        <f>IF(F3="1",SUMIF(Data!A:A,'23'!$A$2,Data!CY:CY),0)</f>
        <v>0</v>
      </c>
      <c r="E40" s="18">
        <f>IF(F3="1",SUMIF(Data!$A:$A,'23'!$A$2,Data!IS:IS),0)</f>
        <v>0</v>
      </c>
      <c r="F40" s="22" t="str">
        <f t="shared" si="3"/>
        <v/>
      </c>
    </row>
    <row r="41" spans="1:6" x14ac:dyDescent="0.2">
      <c r="A41" s="20">
        <v>6</v>
      </c>
      <c r="B41" s="184" t="s">
        <v>5</v>
      </c>
      <c r="C41" s="185"/>
      <c r="D41" s="15">
        <f>IF(F3="1",SUMIF(Data!A:A,'23'!$A$2,Data!CZ:CZ),0)</f>
        <v>12376</v>
      </c>
      <c r="E41" s="18">
        <f>IF(F3="1",SUMIF(Data!$A:$A,'23'!$A$2,Data!IT:IT),0)</f>
        <v>28089</v>
      </c>
      <c r="F41" s="22">
        <f t="shared" si="3"/>
        <v>2.2696347769877181</v>
      </c>
    </row>
    <row r="42" spans="1:6" x14ac:dyDescent="0.2">
      <c r="A42" s="20">
        <v>7</v>
      </c>
      <c r="B42" s="184" t="s">
        <v>6</v>
      </c>
      <c r="C42" s="185"/>
      <c r="D42" s="15">
        <f>IF(F3="1",SUMIF(Data!A:A,'23'!$A$2,Data!DA:DA),0)</f>
        <v>215010</v>
      </c>
      <c r="E42" s="18">
        <f>IF(F3="1",SUMIF(Data!$A:$A,'23'!$A$2,Data!IU:IU),0)</f>
        <v>226072</v>
      </c>
      <c r="F42" s="22">
        <f t="shared" si="3"/>
        <v>1.0514487698246593</v>
      </c>
    </row>
    <row r="43" spans="1:6" x14ac:dyDescent="0.2">
      <c r="A43" s="20">
        <v>8</v>
      </c>
      <c r="B43" s="184" t="s">
        <v>7</v>
      </c>
      <c r="C43" s="185"/>
      <c r="D43" s="15">
        <f>IF(F3="1",SUMIF(Data!A:A,'23'!$A$2,Data!DB:DB),0)</f>
        <v>7402</v>
      </c>
      <c r="E43" s="18">
        <f>IF(F3="1",SUMIF(Data!$A:$A,'23'!$A$2,Data!IV:IV),0)</f>
        <v>78519</v>
      </c>
      <c r="F43" s="22">
        <f t="shared" si="3"/>
        <v>10.607808700351256</v>
      </c>
    </row>
    <row r="44" spans="1:6" x14ac:dyDescent="0.2">
      <c r="A44" s="20">
        <v>9</v>
      </c>
      <c r="B44" s="184" t="s">
        <v>8</v>
      </c>
      <c r="C44" s="185"/>
      <c r="D44" s="15">
        <f>IF(F3="1",SUMIF(Data!A:A,'23'!$A$2,Data!DC:DC),0)</f>
        <v>160541</v>
      </c>
      <c r="E44" s="18">
        <f>IF(F3="1",SUMIF(Data!$A:$A,'23'!$A$2,Data!IW:IW),0)</f>
        <v>47190</v>
      </c>
      <c r="F44" s="22">
        <f t="shared" si="3"/>
        <v>0.29394360319170804</v>
      </c>
    </row>
    <row r="45" spans="1:6" x14ac:dyDescent="0.2">
      <c r="A45" s="20">
        <v>10</v>
      </c>
      <c r="B45" s="184" t="s">
        <v>9</v>
      </c>
      <c r="C45" s="185"/>
      <c r="D45" s="15">
        <f>IF(F3="1",SUMIF(Data!A:A,'23'!$A$2,Data!DD:DD),0)</f>
        <v>1840</v>
      </c>
      <c r="E45" s="18">
        <f>IF(F3="1",SUMIF(Data!$A:$A,'23'!$A$2,Data!IX:IX),0)</f>
        <v>961</v>
      </c>
      <c r="F45" s="22">
        <f t="shared" si="3"/>
        <v>0.52228260869565213</v>
      </c>
    </row>
    <row r="46" spans="1:6" x14ac:dyDescent="0.2">
      <c r="A46" s="20">
        <v>11</v>
      </c>
      <c r="B46" s="184" t="s">
        <v>10</v>
      </c>
      <c r="C46" s="185"/>
      <c r="D46" s="15">
        <f>IF(F3="1",SUMIF(Data!A:A,'23'!$A$2,Data!DE:DE),0)</f>
        <v>180382</v>
      </c>
      <c r="E46" s="18">
        <f>IF(F3="1",SUMIF(Data!$A:$A,'23'!$A$2,Data!IY:IY),0)</f>
        <v>210800</v>
      </c>
      <c r="F46" s="22">
        <f t="shared" si="3"/>
        <v>1.1686310163985321</v>
      </c>
    </row>
    <row r="47" spans="1:6" ht="14.25" customHeight="1" x14ac:dyDescent="0.2">
      <c r="A47" s="20">
        <v>12</v>
      </c>
      <c r="B47" s="184" t="s">
        <v>11</v>
      </c>
      <c r="C47" s="185"/>
      <c r="D47" s="15">
        <f>IF(F3="1",SUMIF(Data!A:A,'23'!$A$2,Data!DF:DF),0)</f>
        <v>355792</v>
      </c>
      <c r="E47" s="18">
        <f>IF(F3="1",SUMIF(Data!$A:$A,'23'!$A$2,Data!IZ:IZ),0)</f>
        <v>90453</v>
      </c>
      <c r="F47" s="22">
        <f t="shared" si="3"/>
        <v>0.25422999955029907</v>
      </c>
    </row>
    <row r="48" spans="1:6" x14ac:dyDescent="0.2">
      <c r="A48" s="20">
        <v>13</v>
      </c>
      <c r="B48" s="184" t="s">
        <v>12</v>
      </c>
      <c r="C48" s="185"/>
      <c r="D48" s="15">
        <f>IF(F3="1",SUMIF(Data!A:A,'23'!$A$2,Data!DG:DG),0)</f>
        <v>19504</v>
      </c>
      <c r="E48" s="18">
        <f>IF(F3="1",SUMIF(Data!$A:$A,'23'!$A$2,Data!JA:JA),0)</f>
        <v>11910</v>
      </c>
      <c r="F48" s="22">
        <f t="shared" si="3"/>
        <v>0.61064397046759644</v>
      </c>
    </row>
    <row r="49" spans="1:6" ht="14.25" customHeight="1" x14ac:dyDescent="0.2">
      <c r="A49" s="20">
        <v>14</v>
      </c>
      <c r="B49" s="184" t="s">
        <v>469</v>
      </c>
      <c r="C49" s="185"/>
      <c r="D49" s="15">
        <f>IF(F3="1",SUMIF(Data!A:A,'23'!$A$2,Data!DH:DH),0)</f>
        <v>156720</v>
      </c>
      <c r="E49" s="18">
        <f>IF(F3="1",SUMIF(Data!$A:$A,'23'!$A$2,Data!JB:JB),0)</f>
        <v>226970</v>
      </c>
      <c r="F49" s="22">
        <f t="shared" si="3"/>
        <v>1.4482516590096988</v>
      </c>
    </row>
    <row r="50" spans="1:6" x14ac:dyDescent="0.2">
      <c r="A50" s="20">
        <v>15</v>
      </c>
      <c r="B50" s="184" t="s">
        <v>13</v>
      </c>
      <c r="C50" s="185"/>
      <c r="D50" s="15">
        <f>IF(F3="1",SUMIF(Data!A:A,'23'!$A$2,Data!DI:DI),0)</f>
        <v>0</v>
      </c>
      <c r="E50" s="18">
        <f>IF(F3="1",SUMIF(Data!$A:$A,'23'!$A$2,Data!JC:JC),0)</f>
        <v>0</v>
      </c>
      <c r="F50" s="22" t="str">
        <f t="shared" si="3"/>
        <v/>
      </c>
    </row>
    <row r="51" spans="1:6" x14ac:dyDescent="0.2">
      <c r="A51" s="20">
        <v>16</v>
      </c>
      <c r="B51" s="184" t="s">
        <v>14</v>
      </c>
      <c r="C51" s="185"/>
      <c r="D51" s="15">
        <f>IF(F3="1",SUMIF(Data!A:A,'23'!$A$2,Data!DJ:DJ),0)</f>
        <v>179557</v>
      </c>
      <c r="E51" s="18">
        <f>IF(F3="1",SUMIF(Data!$A:$A,'23'!$A$2,Data!JD:JD),0)</f>
        <v>141230</v>
      </c>
      <c r="F51" s="22">
        <f t="shared" si="3"/>
        <v>0.78654689040249059</v>
      </c>
    </row>
    <row r="52" spans="1:6" x14ac:dyDescent="0.2">
      <c r="A52" s="20">
        <v>17</v>
      </c>
      <c r="B52" s="184" t="s">
        <v>15</v>
      </c>
      <c r="C52" s="185"/>
      <c r="D52" s="15">
        <f>IF(F3="1",SUMIF(Data!A:A,'23'!$A$2,Data!DK:DK),0)</f>
        <v>0</v>
      </c>
      <c r="E52" s="18">
        <f>IF(F3="1",SUMIF(Data!$A:$A,'23'!$A$2,Data!JE:JE),0)</f>
        <v>0</v>
      </c>
      <c r="F52" s="22" t="str">
        <f t="shared" si="3"/>
        <v/>
      </c>
    </row>
    <row r="53" spans="1:6" x14ac:dyDescent="0.2">
      <c r="A53" s="20">
        <v>18</v>
      </c>
      <c r="B53" s="184" t="s">
        <v>16</v>
      </c>
      <c r="C53" s="185"/>
      <c r="D53" s="15">
        <f>IF(F3="1",SUMIF(Data!A:A,'23'!$A$2,Data!DL:DL),0)</f>
        <v>97600</v>
      </c>
      <c r="E53" s="18">
        <f>IF(F3="1",SUMIF(Data!$A:$A,'23'!$A$2,Data!JF:JF),0)</f>
        <v>37049</v>
      </c>
      <c r="F53" s="22">
        <f t="shared" si="3"/>
        <v>0.37960040983606558</v>
      </c>
    </row>
    <row r="54" spans="1:6" x14ac:dyDescent="0.2">
      <c r="A54" s="20">
        <v>19</v>
      </c>
      <c r="B54" s="184" t="s">
        <v>17</v>
      </c>
      <c r="C54" s="185"/>
      <c r="D54" s="15">
        <f>IF(F3="1",SUMIF(Data!A:A,'23'!$A$2,Data!DM:DM),0)</f>
        <v>262384</v>
      </c>
      <c r="E54" s="18">
        <f>IF(F3="1",SUMIF(Data!$A:$A,'23'!$A$2,Data!JG:JG),0)</f>
        <v>67785</v>
      </c>
      <c r="F54" s="22">
        <f t="shared" si="3"/>
        <v>0.25834273431306787</v>
      </c>
    </row>
    <row r="55" spans="1:6" x14ac:dyDescent="0.2">
      <c r="A55" s="20">
        <v>20</v>
      </c>
      <c r="B55" s="184" t="s">
        <v>18</v>
      </c>
      <c r="C55" s="185"/>
      <c r="D55" s="15">
        <f>IF(F3="1",SUMIF(Data!A:A,'23'!$A$2,Data!DN:DN),0)</f>
        <v>40288</v>
      </c>
      <c r="E55" s="18">
        <f>IF(F3="1",SUMIF(Data!$A:$A,'23'!$A$2,Data!JH:JH),0)</f>
        <v>59185</v>
      </c>
      <c r="F55" s="22">
        <f t="shared" si="3"/>
        <v>1.4690478554408259</v>
      </c>
    </row>
    <row r="56" spans="1:6" ht="14.25" customHeight="1" x14ac:dyDescent="0.2">
      <c r="A56" s="20">
        <v>21</v>
      </c>
      <c r="B56" s="184" t="s">
        <v>466</v>
      </c>
      <c r="C56" s="185"/>
      <c r="D56" s="15">
        <f>IF(F3="1",SUMIF(Data!A:A,'23'!$A$2,Data!DO:DO),0)</f>
        <v>31596</v>
      </c>
      <c r="E56" s="18">
        <f>IF(F3="1",SUMIF(Data!$A:$A,'23'!$A$2,Data!JI:JI),0)</f>
        <v>19692</v>
      </c>
      <c r="F56" s="22">
        <f t="shared" si="3"/>
        <v>0.62324344853778957</v>
      </c>
    </row>
    <row r="57" spans="1:6" x14ac:dyDescent="0.2">
      <c r="A57" s="20">
        <v>22</v>
      </c>
      <c r="B57" s="184" t="s">
        <v>19</v>
      </c>
      <c r="C57" s="185"/>
      <c r="D57" s="15">
        <f>IF(F3="1",SUMIF(Data!A:A,'23'!$A$2,Data!DP:DP),0)</f>
        <v>7032</v>
      </c>
      <c r="E57" s="18">
        <f>IF(F3="1",SUMIF(Data!$A:$A,'23'!$A$2,Data!JJ:JJ),0)</f>
        <v>0</v>
      </c>
      <c r="F57" s="22">
        <f t="shared" si="3"/>
        <v>0</v>
      </c>
    </row>
    <row r="58" spans="1:6" x14ac:dyDescent="0.2">
      <c r="A58" s="20">
        <v>23</v>
      </c>
      <c r="B58" s="184" t="s">
        <v>20</v>
      </c>
      <c r="C58" s="185"/>
      <c r="D58" s="15">
        <f>IF(F3="1",SUMIF(Data!A:A,'23'!$A$2,Data!DQ:DQ),0)</f>
        <v>121544</v>
      </c>
      <c r="E58" s="18">
        <f>IF(F3="1",SUMIF(Data!$A:$A,'23'!$A$2,Data!JK:JK),0)</f>
        <v>48096</v>
      </c>
      <c r="F58" s="22">
        <f t="shared" si="3"/>
        <v>0.39570854999012706</v>
      </c>
    </row>
    <row r="59" spans="1:6" x14ac:dyDescent="0.2">
      <c r="A59" s="20">
        <v>24</v>
      </c>
      <c r="B59" s="184" t="s">
        <v>21</v>
      </c>
      <c r="C59" s="185"/>
      <c r="D59" s="15">
        <f>IF(F3="1",SUMIF(Data!A:A,'23'!$A$2,Data!DR:DR),0)</f>
        <v>337789</v>
      </c>
      <c r="E59" s="18">
        <f>IF(F3="1",SUMIF(Data!$A:$A,'23'!$A$2,Data!JL:JL),0)</f>
        <v>759781</v>
      </c>
      <c r="F59" s="22">
        <f t="shared" si="3"/>
        <v>2.2492769154709005</v>
      </c>
    </row>
    <row r="60" spans="1:6" x14ac:dyDescent="0.2">
      <c r="A60" s="20">
        <v>25</v>
      </c>
      <c r="B60" s="184" t="s">
        <v>22</v>
      </c>
      <c r="C60" s="185"/>
      <c r="D60" s="15">
        <f>IF(F3="1",SUMIF(Data!A:A,'23'!$A$2,Data!DS:DS),0)</f>
        <v>425040</v>
      </c>
      <c r="E60" s="18">
        <f>IF(F3="1",SUMIF(Data!$A:$A,'23'!$A$2,Data!JM:JM),0)</f>
        <v>51067</v>
      </c>
      <c r="F60" s="22">
        <f t="shared" si="3"/>
        <v>0.12014633916807829</v>
      </c>
    </row>
    <row r="61" spans="1:6" x14ac:dyDescent="0.2">
      <c r="A61" s="20">
        <v>26</v>
      </c>
      <c r="B61" s="184" t="s">
        <v>23</v>
      </c>
      <c r="C61" s="185"/>
      <c r="D61" s="15">
        <f>IF(F3="1",SUMIF(Data!A:A,'23'!$A$2,Data!DT:DT),0)</f>
        <v>199030</v>
      </c>
      <c r="E61" s="18">
        <f>IF(F3="1",SUMIF(Data!$A:$A,'23'!$A$2,Data!JN:JN),0)</f>
        <v>146041</v>
      </c>
      <c r="F61" s="22">
        <f t="shared" si="3"/>
        <v>0.7337637542079084</v>
      </c>
    </row>
    <row r="62" spans="1:6" x14ac:dyDescent="0.2">
      <c r="A62" s="20">
        <v>28</v>
      </c>
      <c r="B62" s="184" t="s">
        <v>24</v>
      </c>
      <c r="C62" s="185"/>
      <c r="D62" s="15">
        <f>IF(F3="1",SUMIF(Data!A:A,'23'!$A$2,Data!DV:DV),0)</f>
        <v>0</v>
      </c>
      <c r="E62" s="18">
        <f>IF(F3="1",SUMIF(Data!$A:$A,'23'!$A$2,Data!JP:JP),0)</f>
        <v>0</v>
      </c>
      <c r="F62" s="22" t="str">
        <f t="shared" si="3"/>
        <v/>
      </c>
    </row>
    <row r="63" spans="1:6" ht="15.75" customHeight="1" thickBot="1" x14ac:dyDescent="0.25">
      <c r="A63" s="23">
        <v>29</v>
      </c>
      <c r="B63" s="186" t="s">
        <v>25</v>
      </c>
      <c r="C63" s="187"/>
      <c r="D63" s="24">
        <f>IF(F3="1",SUMIF(Data!A:A,'23'!$A$2,Data!DW:DW),0)</f>
        <v>0</v>
      </c>
      <c r="E63" s="25">
        <f>IF(F3="1",SUMIF(Data!$A:$A,'23'!$A$2,Data!JQ:JQ),0)</f>
        <v>0</v>
      </c>
      <c r="F63" s="26" t="str">
        <f t="shared" si="3"/>
        <v/>
      </c>
    </row>
    <row r="64" spans="1:6" x14ac:dyDescent="0.2">
      <c r="B64" s="31" t="s">
        <v>35</v>
      </c>
      <c r="C64" s="31"/>
      <c r="D64" s="61">
        <f>SUM(D36:D63)</f>
        <v>3403144</v>
      </c>
      <c r="E64" s="32">
        <f>SUM(E36:E63)</f>
        <v>2676435</v>
      </c>
      <c r="F64" s="33">
        <f t="shared" si="3"/>
        <v>0.78645952096061755</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9072</v>
      </c>
      <c r="E67" s="16">
        <f>IF(F3="1",SUMIF(Data!A:A,'23'!$A$2,Data!DY:DY),0)</f>
        <v>63113</v>
      </c>
      <c r="F67" s="21">
        <f>IFERROR(E67/D67,"")</f>
        <v>6.9569003527336859</v>
      </c>
    </row>
    <row r="68" spans="1:6" x14ac:dyDescent="0.2">
      <c r="A68" s="20">
        <v>2</v>
      </c>
      <c r="B68" s="184" t="s">
        <v>1</v>
      </c>
      <c r="C68" s="185"/>
      <c r="D68" s="15">
        <f t="shared" ref="D68:D94" si="4">D37</f>
        <v>37396</v>
      </c>
      <c r="E68" s="18">
        <f>IF(F3="1",SUMIF(Data!A:A,'23'!$A$2,Data!DZ:DZ),0)</f>
        <v>161055</v>
      </c>
      <c r="F68" s="22">
        <f t="shared" ref="F68:F95" si="5">IFERROR(E68/D68,"")</f>
        <v>4.3067440367953793</v>
      </c>
    </row>
    <row r="69" spans="1:6" ht="14.25" customHeight="1" x14ac:dyDescent="0.2">
      <c r="A69" s="20">
        <v>3</v>
      </c>
      <c r="B69" s="184" t="s">
        <v>2</v>
      </c>
      <c r="C69" s="185"/>
      <c r="D69" s="15">
        <f t="shared" si="4"/>
        <v>300880</v>
      </c>
      <c r="E69" s="18">
        <f>IF(F3="1",SUMIF(Data!A:A,'23'!$A$2,Data!EA:EA),0)</f>
        <v>879629</v>
      </c>
      <c r="F69" s="22">
        <f t="shared" si="5"/>
        <v>2.9235210050518479</v>
      </c>
    </row>
    <row r="70" spans="1:6" ht="14.25" customHeight="1" x14ac:dyDescent="0.2">
      <c r="A70" s="20">
        <v>4</v>
      </c>
      <c r="B70" s="184" t="s">
        <v>3</v>
      </c>
      <c r="C70" s="185"/>
      <c r="D70" s="15">
        <f t="shared" si="4"/>
        <v>244369</v>
      </c>
      <c r="E70" s="18">
        <f>IF(F3="1",SUMIF(Data!A:A,'23'!$A$2,Data!EB:EB),0)</f>
        <v>700894</v>
      </c>
      <c r="F70" s="22">
        <f t="shared" si="5"/>
        <v>2.8681788606574483</v>
      </c>
    </row>
    <row r="71" spans="1:6" x14ac:dyDescent="0.2">
      <c r="A71" s="20">
        <v>5</v>
      </c>
      <c r="B71" s="184" t="s">
        <v>4</v>
      </c>
      <c r="C71" s="185"/>
      <c r="D71" s="15">
        <f t="shared" si="4"/>
        <v>0</v>
      </c>
      <c r="E71" s="18">
        <f>IF(F3="1",SUMIF(Data!A:A,'23'!$A$2,Data!EC:EC),0)</f>
        <v>0</v>
      </c>
      <c r="F71" s="22" t="str">
        <f t="shared" si="5"/>
        <v/>
      </c>
    </row>
    <row r="72" spans="1:6" x14ac:dyDescent="0.2">
      <c r="A72" s="20">
        <v>6</v>
      </c>
      <c r="B72" s="184" t="s">
        <v>5</v>
      </c>
      <c r="C72" s="185"/>
      <c r="D72" s="15">
        <f t="shared" si="4"/>
        <v>12376</v>
      </c>
      <c r="E72" s="18">
        <f>IF(F3="1",SUMIF(Data!A:A,'23'!$A$2,Data!ED:ED),0)</f>
        <v>60135</v>
      </c>
      <c r="F72" s="22">
        <f t="shared" si="5"/>
        <v>4.8590012928248223</v>
      </c>
    </row>
    <row r="73" spans="1:6" x14ac:dyDescent="0.2">
      <c r="A73" s="20">
        <v>7</v>
      </c>
      <c r="B73" s="184" t="s">
        <v>6</v>
      </c>
      <c r="C73" s="185"/>
      <c r="D73" s="15">
        <f t="shared" si="4"/>
        <v>215010</v>
      </c>
      <c r="E73" s="18">
        <f>IF(F3="1",SUMIF(Data!A:A,'23'!$A$2,Data!EE:EE),0)</f>
        <v>431379</v>
      </c>
      <c r="F73" s="22">
        <f t="shared" si="5"/>
        <v>2.0063206362494768</v>
      </c>
    </row>
    <row r="74" spans="1:6" x14ac:dyDescent="0.2">
      <c r="A74" s="20">
        <v>8</v>
      </c>
      <c r="B74" s="184" t="s">
        <v>7</v>
      </c>
      <c r="C74" s="185"/>
      <c r="D74" s="15">
        <f t="shared" si="4"/>
        <v>7402</v>
      </c>
      <c r="E74" s="18">
        <f>IF(F3="1",SUMIF(Data!A:A,'23'!$A$2,Data!EF:EF),0)</f>
        <v>135337</v>
      </c>
      <c r="F74" s="22">
        <f t="shared" si="5"/>
        <v>18.28384220480951</v>
      </c>
    </row>
    <row r="75" spans="1:6" x14ac:dyDescent="0.2">
      <c r="A75" s="20">
        <v>9</v>
      </c>
      <c r="B75" s="184" t="s">
        <v>8</v>
      </c>
      <c r="C75" s="185"/>
      <c r="D75" s="15">
        <f t="shared" si="4"/>
        <v>160541</v>
      </c>
      <c r="E75" s="18">
        <f>IF(F3="1",SUMIF(Data!A:A,'23'!$A$2,Data!EG:EG),0)</f>
        <v>411483</v>
      </c>
      <c r="F75" s="22">
        <f t="shared" si="5"/>
        <v>2.5631022604817462</v>
      </c>
    </row>
    <row r="76" spans="1:6" x14ac:dyDescent="0.2">
      <c r="A76" s="20">
        <v>10</v>
      </c>
      <c r="B76" s="184" t="s">
        <v>9</v>
      </c>
      <c r="C76" s="185"/>
      <c r="D76" s="15">
        <f t="shared" si="4"/>
        <v>1840</v>
      </c>
      <c r="E76" s="18">
        <f>IF(F3="1",SUMIF(Data!A:A,'23'!$A$2,Data!EH:EH),0)</f>
        <v>11955</v>
      </c>
      <c r="F76" s="22">
        <f t="shared" si="5"/>
        <v>6.4972826086956523</v>
      </c>
    </row>
    <row r="77" spans="1:6" x14ac:dyDescent="0.2">
      <c r="A77" s="20">
        <v>11</v>
      </c>
      <c r="B77" s="184" t="s">
        <v>10</v>
      </c>
      <c r="C77" s="185"/>
      <c r="D77" s="15">
        <f t="shared" si="4"/>
        <v>180382</v>
      </c>
      <c r="E77" s="18">
        <f>IF(F3="1",SUMIF(Data!A:A,'23'!$A$2,Data!EI:EI),0)</f>
        <v>499199</v>
      </c>
      <c r="F77" s="22">
        <f t="shared" si="5"/>
        <v>2.7674546240755729</v>
      </c>
    </row>
    <row r="78" spans="1:6" ht="14.25" customHeight="1" x14ac:dyDescent="0.2">
      <c r="A78" s="20">
        <v>12</v>
      </c>
      <c r="B78" s="184" t="s">
        <v>11</v>
      </c>
      <c r="C78" s="185"/>
      <c r="D78" s="15">
        <f t="shared" si="4"/>
        <v>355792</v>
      </c>
      <c r="E78" s="18">
        <f>IF(F3="1",SUMIF(Data!A:A,'23'!$A$2,Data!EJ:EJ),0)</f>
        <v>999111</v>
      </c>
      <c r="F78" s="22">
        <f t="shared" si="5"/>
        <v>2.8081322795341097</v>
      </c>
    </row>
    <row r="79" spans="1:6" x14ac:dyDescent="0.2">
      <c r="A79" s="20">
        <v>13</v>
      </c>
      <c r="B79" s="184" t="s">
        <v>12</v>
      </c>
      <c r="C79" s="185"/>
      <c r="D79" s="15">
        <f t="shared" si="4"/>
        <v>19504</v>
      </c>
      <c r="E79" s="18">
        <f>IF(F3="1",SUMIF(Data!A:A,'23'!$A$2,Data!EK:EK),0)</f>
        <v>146640</v>
      </c>
      <c r="F79" s="22">
        <f t="shared" si="5"/>
        <v>7.5184577522559479</v>
      </c>
    </row>
    <row r="80" spans="1:6" ht="14.25" customHeight="1" x14ac:dyDescent="0.2">
      <c r="A80" s="20">
        <v>14</v>
      </c>
      <c r="B80" s="184" t="s">
        <v>469</v>
      </c>
      <c r="C80" s="185"/>
      <c r="D80" s="15">
        <f t="shared" si="4"/>
        <v>156720</v>
      </c>
      <c r="E80" s="18">
        <f>IF(F3="1",SUMIF(Data!A:A,'23'!$A$2,Data!EL:EL),0)</f>
        <v>653800</v>
      </c>
      <c r="F80" s="22">
        <f t="shared" si="5"/>
        <v>4.1717713118938233</v>
      </c>
    </row>
    <row r="81" spans="1:6" x14ac:dyDescent="0.2">
      <c r="A81" s="20">
        <v>15</v>
      </c>
      <c r="B81" s="184" t="s">
        <v>13</v>
      </c>
      <c r="C81" s="185"/>
      <c r="D81" s="15">
        <f t="shared" si="4"/>
        <v>0</v>
      </c>
      <c r="E81" s="18">
        <f>IF(F3="1",SUMIF(Data!A:A,'23'!$A$2,Data!EM:EM),0)</f>
        <v>0</v>
      </c>
      <c r="F81" s="22" t="str">
        <f t="shared" si="5"/>
        <v/>
      </c>
    </row>
    <row r="82" spans="1:6" x14ac:dyDescent="0.2">
      <c r="A82" s="20">
        <v>16</v>
      </c>
      <c r="B82" s="184" t="s">
        <v>14</v>
      </c>
      <c r="C82" s="185"/>
      <c r="D82" s="15">
        <f t="shared" si="4"/>
        <v>179557</v>
      </c>
      <c r="E82" s="18">
        <f>IF(F3="1",SUMIF(Data!A:A,'23'!$A$2,Data!EN:EN),0)</f>
        <v>554189</v>
      </c>
      <c r="F82" s="22">
        <f t="shared" si="5"/>
        <v>3.0864238097094514</v>
      </c>
    </row>
    <row r="83" spans="1:6" x14ac:dyDescent="0.2">
      <c r="A83" s="20">
        <v>17</v>
      </c>
      <c r="B83" s="184" t="s">
        <v>15</v>
      </c>
      <c r="C83" s="185"/>
      <c r="D83" s="15">
        <f t="shared" si="4"/>
        <v>0</v>
      </c>
      <c r="E83" s="18">
        <f>IF(F3="1",SUMIF(Data!A:A,'23'!$A$2,Data!EO:EO),0)</f>
        <v>0</v>
      </c>
      <c r="F83" s="22" t="str">
        <f t="shared" si="5"/>
        <v/>
      </c>
    </row>
    <row r="84" spans="1:6" x14ac:dyDescent="0.2">
      <c r="A84" s="20">
        <v>18</v>
      </c>
      <c r="B84" s="184" t="s">
        <v>16</v>
      </c>
      <c r="C84" s="185"/>
      <c r="D84" s="15">
        <f t="shared" si="4"/>
        <v>97600</v>
      </c>
      <c r="E84" s="18">
        <f>IF(F3="1",SUMIF(Data!A:A,'23'!$A$2,Data!EP:EP),0)</f>
        <v>299945</v>
      </c>
      <c r="F84" s="22">
        <f t="shared" si="5"/>
        <v>3.0732069672131148</v>
      </c>
    </row>
    <row r="85" spans="1:6" x14ac:dyDescent="0.2">
      <c r="A85" s="20">
        <v>19</v>
      </c>
      <c r="B85" s="184" t="s">
        <v>17</v>
      </c>
      <c r="C85" s="185"/>
      <c r="D85" s="15">
        <f t="shared" si="4"/>
        <v>262384</v>
      </c>
      <c r="E85" s="18">
        <f>IF(F3="1",SUMIF(Data!A:A,'23'!$A$2,Data!EQ:EQ),0)</f>
        <v>710050</v>
      </c>
      <c r="F85" s="22">
        <f t="shared" si="5"/>
        <v>2.706148240746387</v>
      </c>
    </row>
    <row r="86" spans="1:6" x14ac:dyDescent="0.2">
      <c r="A86" s="20">
        <v>20</v>
      </c>
      <c r="B86" s="184" t="s">
        <v>18</v>
      </c>
      <c r="C86" s="185"/>
      <c r="D86" s="15">
        <f t="shared" si="4"/>
        <v>40288</v>
      </c>
      <c r="E86" s="18">
        <f>IF(F3="1",SUMIF(Data!A:A,'23'!$A$2,Data!ER:ER),0)</f>
        <v>161217</v>
      </c>
      <c r="F86" s="22">
        <f t="shared" si="5"/>
        <v>4.0016133836378076</v>
      </c>
    </row>
    <row r="87" spans="1:6" ht="14.25" customHeight="1" x14ac:dyDescent="0.2">
      <c r="A87" s="20">
        <v>21</v>
      </c>
      <c r="B87" s="184" t="s">
        <v>466</v>
      </c>
      <c r="C87" s="185"/>
      <c r="D87" s="15">
        <f t="shared" si="4"/>
        <v>31596</v>
      </c>
      <c r="E87" s="18">
        <f>IF(F3="1",SUMIF(Data!A:A,'23'!$A$2,Data!ES:ES),0)</f>
        <v>65273</v>
      </c>
      <c r="F87" s="22">
        <f t="shared" si="5"/>
        <v>2.0658627674389165</v>
      </c>
    </row>
    <row r="88" spans="1:6" x14ac:dyDescent="0.2">
      <c r="A88" s="20">
        <v>22</v>
      </c>
      <c r="B88" s="184" t="s">
        <v>19</v>
      </c>
      <c r="C88" s="185"/>
      <c r="D88" s="15">
        <f t="shared" si="4"/>
        <v>7032</v>
      </c>
      <c r="E88" s="18">
        <f>IF(F3="1",SUMIF(Data!A:A,'23'!$A$2,Data!ET:ET),0)</f>
        <v>0</v>
      </c>
      <c r="F88" s="22">
        <f t="shared" si="5"/>
        <v>0</v>
      </c>
    </row>
    <row r="89" spans="1:6" x14ac:dyDescent="0.2">
      <c r="A89" s="20">
        <v>23</v>
      </c>
      <c r="B89" s="184" t="s">
        <v>20</v>
      </c>
      <c r="C89" s="185"/>
      <c r="D89" s="15">
        <f t="shared" si="4"/>
        <v>121544</v>
      </c>
      <c r="E89" s="18">
        <f>IF(F3="1",SUMIF(Data!A:A,'23'!$A$2,Data!EU:EU),0)</f>
        <v>556265</v>
      </c>
      <c r="F89" s="22">
        <f t="shared" si="5"/>
        <v>4.576655367603502</v>
      </c>
    </row>
    <row r="90" spans="1:6" x14ac:dyDescent="0.2">
      <c r="A90" s="20">
        <v>24</v>
      </c>
      <c r="B90" s="184" t="s">
        <v>21</v>
      </c>
      <c r="C90" s="185"/>
      <c r="D90" s="15">
        <f t="shared" si="4"/>
        <v>337789</v>
      </c>
      <c r="E90" s="18">
        <f>IF(F3="1",SUMIF(Data!A:A,'23'!$A$2,Data!EV:EV),0)</f>
        <v>788057</v>
      </c>
      <c r="F90" s="22">
        <f t="shared" si="5"/>
        <v>2.3329859764527558</v>
      </c>
    </row>
    <row r="91" spans="1:6" x14ac:dyDescent="0.2">
      <c r="A91" s="20">
        <v>25</v>
      </c>
      <c r="B91" s="184" t="s">
        <v>22</v>
      </c>
      <c r="C91" s="185"/>
      <c r="D91" s="15">
        <f t="shared" si="4"/>
        <v>425040</v>
      </c>
      <c r="E91" s="18">
        <f>IF(F3="1",SUMIF(Data!A:A,'23'!$A$2,Data!EW:EW),0)</f>
        <v>887877</v>
      </c>
      <c r="F91" s="22">
        <f t="shared" si="5"/>
        <v>2.0889257481648786</v>
      </c>
    </row>
    <row r="92" spans="1:6" x14ac:dyDescent="0.2">
      <c r="A92" s="20">
        <v>26</v>
      </c>
      <c r="B92" s="184" t="s">
        <v>23</v>
      </c>
      <c r="C92" s="185"/>
      <c r="D92" s="15">
        <f t="shared" si="4"/>
        <v>199030</v>
      </c>
      <c r="E92" s="18">
        <f>IF(F3="1",SUMIF(Data!A:A,'23'!$A$2,Data!EX:EX),0)</f>
        <v>741790</v>
      </c>
      <c r="F92" s="22">
        <f t="shared" si="5"/>
        <v>3.7270260764708838</v>
      </c>
    </row>
    <row r="93" spans="1:6" x14ac:dyDescent="0.2">
      <c r="A93" s="20">
        <v>28</v>
      </c>
      <c r="B93" s="184" t="s">
        <v>24</v>
      </c>
      <c r="C93" s="185"/>
      <c r="D93" s="15">
        <f t="shared" si="4"/>
        <v>0</v>
      </c>
      <c r="E93" s="18">
        <f>IF(F3="1",SUMIF(Data!A:A,'23'!$A$2,Data!EZ:EZ),0)</f>
        <v>0</v>
      </c>
      <c r="F93" s="22" t="str">
        <f t="shared" si="5"/>
        <v/>
      </c>
    </row>
    <row r="94" spans="1:6" ht="15.75" customHeight="1" thickBot="1" x14ac:dyDescent="0.25">
      <c r="A94" s="23">
        <v>29</v>
      </c>
      <c r="B94" s="186" t="s">
        <v>25</v>
      </c>
      <c r="C94" s="187"/>
      <c r="D94" s="24">
        <f t="shared" si="4"/>
        <v>0</v>
      </c>
      <c r="E94" s="25">
        <f>IF(F3="1",SUMIF(Data!A:A,'23'!$A$2,Data!FA:FA),0)</f>
        <v>0</v>
      </c>
      <c r="F94" s="26" t="str">
        <f t="shared" si="5"/>
        <v/>
      </c>
    </row>
    <row r="95" spans="1:6" x14ac:dyDescent="0.2">
      <c r="B95" s="31" t="s">
        <v>35</v>
      </c>
      <c r="C95" s="31"/>
      <c r="D95" s="61">
        <f>SUM(D67:D94)</f>
        <v>3403144</v>
      </c>
      <c r="E95" s="32">
        <f>SUM(E67:E94)</f>
        <v>9918393</v>
      </c>
      <c r="F95" s="33">
        <f t="shared" si="5"/>
        <v>2.9144793755421459</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IF(F3="1",SUMIF(Data!A:A,'23'!$A$2,Data!AH:AH),0)</f>
        <v>3806281</v>
      </c>
      <c r="F98" s="21">
        <f t="shared" ref="F98:F105" si="6">IFERROR(E98/$D$95,0)</f>
        <v>1.1184601650708874</v>
      </c>
    </row>
    <row r="99" spans="2:6" x14ac:dyDescent="0.2">
      <c r="B99" s="190" t="s">
        <v>31</v>
      </c>
      <c r="C99" s="191"/>
      <c r="D99" s="37"/>
      <c r="E99" s="18">
        <f>IF(F3="1",SUMIF(Data!A:A,'23'!$A$2,Data!AI:AI),0)</f>
        <v>1375544</v>
      </c>
      <c r="F99" s="22">
        <f t="shared" si="6"/>
        <v>0.40419800043724274</v>
      </c>
    </row>
    <row r="100" spans="2:6" x14ac:dyDescent="0.2">
      <c r="B100" s="190" t="s">
        <v>32</v>
      </c>
      <c r="C100" s="191"/>
      <c r="D100" s="37"/>
      <c r="E100" s="18">
        <f>IF(F3="1",SUMIF(Data!A:A,'23'!$A$2,Data!AJ:AJ),0)</f>
        <v>2442780</v>
      </c>
      <c r="F100" s="22">
        <f t="shared" si="6"/>
        <v>0.71780095112049325</v>
      </c>
    </row>
    <row r="101" spans="2:6" x14ac:dyDescent="0.2">
      <c r="B101" s="190" t="s">
        <v>28</v>
      </c>
      <c r="C101" s="191"/>
      <c r="D101" s="37"/>
      <c r="E101" s="18">
        <f>IF(F3="1",SUMIF(Data!A:A,'23'!$A$2,Data!AK:AK),0)</f>
        <v>0</v>
      </c>
      <c r="F101" s="22">
        <f t="shared" si="6"/>
        <v>0</v>
      </c>
    </row>
    <row r="102" spans="2:6" x14ac:dyDescent="0.2">
      <c r="B102" s="190" t="s">
        <v>33</v>
      </c>
      <c r="C102" s="191"/>
      <c r="D102" s="37"/>
      <c r="E102" s="18">
        <f>IF(F3="1",SUMIF(Data!A:A,'23'!$A$2,Data!AL:AL),0)</f>
        <v>90326</v>
      </c>
      <c r="F102" s="22">
        <f t="shared" si="6"/>
        <v>2.6541927112105748E-2</v>
      </c>
    </row>
    <row r="103" spans="2:6" x14ac:dyDescent="0.2">
      <c r="B103" s="192" t="s">
        <v>34</v>
      </c>
      <c r="C103" s="193"/>
      <c r="D103" s="37"/>
      <c r="E103" s="18">
        <f>IF(F3="1",SUMIF(Data!A:A,'23'!$A$2,Data!AM:AM),0)</f>
        <v>274653</v>
      </c>
      <c r="F103" s="22">
        <f t="shared" si="6"/>
        <v>8.0705665114376587E-2</v>
      </c>
    </row>
    <row r="104" spans="2:6" ht="15.75" customHeight="1" thickBot="1" x14ac:dyDescent="0.25">
      <c r="B104" s="182" t="s">
        <v>29</v>
      </c>
      <c r="C104" s="183"/>
      <c r="D104" s="38"/>
      <c r="E104" s="25">
        <f>IF(F3="1",SUMIF(Data!A:A,'23'!$A$2,Data!Q:Q),0)</f>
        <v>889730</v>
      </c>
      <c r="F104" s="26">
        <f t="shared" si="6"/>
        <v>0.26144353574224305</v>
      </c>
    </row>
    <row r="105" spans="2:6" x14ac:dyDescent="0.2">
      <c r="B105" s="31" t="s">
        <v>35</v>
      </c>
      <c r="C105" s="31"/>
      <c r="D105" s="35">
        <f>D95</f>
        <v>3403144</v>
      </c>
      <c r="E105" s="32">
        <f>SUM(E98:E104)</f>
        <v>8879314</v>
      </c>
      <c r="F105" s="33">
        <f t="shared" si="6"/>
        <v>2.6091502445973487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9918393</v>
      </c>
      <c r="D109" s="16">
        <f>IF(F3="1",SUMIF(Data!$A:$A,$A$2,Data!HJ:HJ),0)</f>
        <v>0</v>
      </c>
      <c r="E109" s="16">
        <f>IF(F3="1",SUMIF(Data!$A:$A,$A$2,Data!IN:IN),0)</f>
        <v>0</v>
      </c>
      <c r="F109" s="48">
        <f>SUM(C109:E109)</f>
        <v>9918393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90326</v>
      </c>
      <c r="F116" s="49">
        <f t="shared" si="7"/>
        <v>90326</v>
      </c>
    </row>
    <row r="117" spans="1:6" ht="15" thickBot="1" x14ac:dyDescent="0.25">
      <c r="B117" s="44" t="s">
        <v>941</v>
      </c>
      <c r="C117" s="53"/>
      <c r="D117" s="53">
        <f>IF(F3="1",SUMIF(Data!A:A,$A$2,Data!Q:Q),0)</f>
        <v>889730</v>
      </c>
      <c r="E117" s="53"/>
      <c r="F117" s="50">
        <f>SUM(C117:E117)</f>
        <v>889730</v>
      </c>
    </row>
    <row r="118" spans="1:6" x14ac:dyDescent="0.2">
      <c r="B118" s="14" t="s">
        <v>35</v>
      </c>
      <c r="C118" s="5">
        <f>SUM(C109:C116)</f>
        <v>9918393</v>
      </c>
      <c r="D118" s="5">
        <f>SUM(D109:D116)</f>
        <v>0</v>
      </c>
      <c r="E118" s="5">
        <f>SUM(E109:E116)</f>
        <v>90326</v>
      </c>
      <c r="F118" s="5">
        <f>SUM(F109:F116)</f>
        <v>10008719</v>
      </c>
    </row>
    <row r="119" spans="1:6" ht="15" thickBot="1" x14ac:dyDescent="0.25"/>
    <row r="120" spans="1:6" ht="15" thickBot="1" x14ac:dyDescent="0.25">
      <c r="B120" s="57" t="s">
        <v>942</v>
      </c>
      <c r="C120" s="55"/>
      <c r="D120" s="55"/>
      <c r="E120" s="55">
        <f>IF(F3="1",SUMIF(Data!A:A,'23'!$A$2,Data!AM:AM),0)</f>
        <v>274653</v>
      </c>
      <c r="F120" s="56">
        <f>SUM(C120:E120)</f>
        <v>274653</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378</v>
      </c>
      <c r="B2" s="60" t="str">
        <f>VLOOKUP(A2,Data!A:G,7,0)</f>
        <v>Laredo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17536</v>
      </c>
      <c r="E6" s="18">
        <f t="shared" ref="E6:E32" si="1">E37+E68+IFERROR($E$105/$D$105*D6,0)</f>
        <v>85232.445824819501</v>
      </c>
      <c r="F6" s="22">
        <f t="shared" ref="F6:F33" si="2">IFERROR(E6/D6,"")</f>
        <v>4.8604268832584117</v>
      </c>
    </row>
    <row r="7" spans="1:6" ht="14.25" customHeight="1" x14ac:dyDescent="0.2">
      <c r="A7" s="20">
        <v>3</v>
      </c>
      <c r="B7" s="184" t="s">
        <v>2</v>
      </c>
      <c r="C7" s="185"/>
      <c r="D7" s="15">
        <f t="shared" si="0"/>
        <v>296928</v>
      </c>
      <c r="E7" s="18">
        <f t="shared" si="1"/>
        <v>2681789.8335921536</v>
      </c>
      <c r="F7" s="22">
        <f t="shared" si="2"/>
        <v>9.0317849229178577</v>
      </c>
    </row>
    <row r="8" spans="1:6" ht="14.25" customHeight="1" x14ac:dyDescent="0.2">
      <c r="A8" s="20">
        <v>4</v>
      </c>
      <c r="B8" s="184" t="s">
        <v>3</v>
      </c>
      <c r="C8" s="185"/>
      <c r="D8" s="15">
        <f t="shared" si="0"/>
        <v>160282</v>
      </c>
      <c r="E8" s="18">
        <f t="shared" si="1"/>
        <v>1857727.9417024248</v>
      </c>
      <c r="F8" s="22">
        <f t="shared" si="2"/>
        <v>11.590371605685135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14480</v>
      </c>
      <c r="E10" s="18">
        <f t="shared" si="1"/>
        <v>675077.98126958183</v>
      </c>
      <c r="F10" s="22">
        <f t="shared" si="2"/>
        <v>46.621407546241841</v>
      </c>
    </row>
    <row r="11" spans="1:6" x14ac:dyDescent="0.2">
      <c r="A11" s="20">
        <v>7</v>
      </c>
      <c r="B11" s="184" t="s">
        <v>6</v>
      </c>
      <c r="C11" s="185"/>
      <c r="D11" s="15">
        <f t="shared" si="0"/>
        <v>201202</v>
      </c>
      <c r="E11" s="18">
        <f t="shared" si="1"/>
        <v>2467553.6097653592</v>
      </c>
      <c r="F11" s="22">
        <f t="shared" si="2"/>
        <v>12.264061041964588</v>
      </c>
    </row>
    <row r="12" spans="1:6" x14ac:dyDescent="0.2">
      <c r="A12" s="20">
        <v>8</v>
      </c>
      <c r="B12" s="184" t="s">
        <v>7</v>
      </c>
      <c r="C12" s="185"/>
      <c r="D12" s="15">
        <f t="shared" si="0"/>
        <v>19000</v>
      </c>
      <c r="E12" s="18">
        <f t="shared" si="1"/>
        <v>625891.11078190978</v>
      </c>
      <c r="F12" s="22">
        <f t="shared" si="2"/>
        <v>32.941637409574199</v>
      </c>
    </row>
    <row r="13" spans="1:6" x14ac:dyDescent="0.2">
      <c r="A13" s="20">
        <v>9</v>
      </c>
      <c r="B13" s="184" t="s">
        <v>8</v>
      </c>
      <c r="C13" s="185"/>
      <c r="D13" s="15">
        <f t="shared" si="0"/>
        <v>90874</v>
      </c>
      <c r="E13" s="18">
        <f t="shared" si="1"/>
        <v>441686.43258922489</v>
      </c>
      <c r="F13" s="22">
        <f t="shared" si="2"/>
        <v>4.8604268832584117</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93827</v>
      </c>
      <c r="E15" s="18">
        <f t="shared" si="1"/>
        <v>456039.273175487</v>
      </c>
      <c r="F15" s="22">
        <f t="shared" si="2"/>
        <v>4.8604268832584117</v>
      </c>
    </row>
    <row r="16" spans="1:6" ht="14.25" customHeight="1" x14ac:dyDescent="0.2">
      <c r="A16" s="20">
        <v>12</v>
      </c>
      <c r="B16" s="184" t="s">
        <v>11</v>
      </c>
      <c r="C16" s="185"/>
      <c r="D16" s="15">
        <f t="shared" si="0"/>
        <v>629232</v>
      </c>
      <c r="E16" s="18">
        <f t="shared" si="1"/>
        <v>6289230.1286064573</v>
      </c>
      <c r="F16" s="22">
        <f t="shared" si="2"/>
        <v>9.9950894560455552</v>
      </c>
    </row>
    <row r="17" spans="1:6" x14ac:dyDescent="0.2">
      <c r="A17" s="20">
        <v>13</v>
      </c>
      <c r="B17" s="184" t="s">
        <v>12</v>
      </c>
      <c r="C17" s="185"/>
      <c r="D17" s="15">
        <f t="shared" si="0"/>
        <v>16320</v>
      </c>
      <c r="E17" s="18">
        <f t="shared" si="1"/>
        <v>604894.16673477727</v>
      </c>
      <c r="F17" s="22">
        <f t="shared" si="2"/>
        <v>37.064593549925078</v>
      </c>
    </row>
    <row r="18" spans="1:6" ht="14.25" customHeight="1" x14ac:dyDescent="0.2">
      <c r="A18" s="20">
        <v>14</v>
      </c>
      <c r="B18" s="184" t="s">
        <v>469</v>
      </c>
      <c r="C18" s="185"/>
      <c r="D18" s="15">
        <f t="shared" si="0"/>
        <v>70272</v>
      </c>
      <c r="E18" s="18">
        <f t="shared" si="1"/>
        <v>1106604.9179403351</v>
      </c>
      <c r="F18" s="22">
        <f t="shared" si="2"/>
        <v>15.747451587265697</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157232</v>
      </c>
      <c r="E20" s="18">
        <f t="shared" si="1"/>
        <v>1725905.6397084866</v>
      </c>
      <c r="F20" s="22">
        <f t="shared" si="2"/>
        <v>10.976809044650494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84512</v>
      </c>
      <c r="E22" s="18">
        <f t="shared" si="1"/>
        <v>1181355.3967579349</v>
      </c>
      <c r="F22" s="22">
        <f t="shared" si="2"/>
        <v>13.978552119911196</v>
      </c>
    </row>
    <row r="23" spans="1:6" x14ac:dyDescent="0.2">
      <c r="A23" s="20">
        <v>19</v>
      </c>
      <c r="B23" s="184" t="s">
        <v>17</v>
      </c>
      <c r="C23" s="185"/>
      <c r="D23" s="15">
        <f t="shared" si="0"/>
        <v>403424</v>
      </c>
      <c r="E23" s="18">
        <f t="shared" si="1"/>
        <v>3446277.8549516415</v>
      </c>
      <c r="F23" s="22">
        <f t="shared" si="2"/>
        <v>8.5425702361575944</v>
      </c>
    </row>
    <row r="24" spans="1:6" x14ac:dyDescent="0.2">
      <c r="A24" s="20">
        <v>20</v>
      </c>
      <c r="B24" s="184" t="s">
        <v>18</v>
      </c>
      <c r="C24" s="185"/>
      <c r="D24" s="15">
        <f t="shared" si="0"/>
        <v>52096</v>
      </c>
      <c r="E24" s="18">
        <f t="shared" si="1"/>
        <v>928358.79891023017</v>
      </c>
      <c r="F24" s="22">
        <f t="shared" si="2"/>
        <v>17.820155077361605</v>
      </c>
    </row>
    <row r="25" spans="1:6" ht="14.25" customHeight="1" x14ac:dyDescent="0.2">
      <c r="A25" s="20">
        <v>21</v>
      </c>
      <c r="B25" s="184" t="s">
        <v>466</v>
      </c>
      <c r="C25" s="185"/>
      <c r="D25" s="15">
        <f t="shared" si="0"/>
        <v>42613</v>
      </c>
      <c r="E25" s="18">
        <f t="shared" si="1"/>
        <v>207117.37077629069</v>
      </c>
      <c r="F25" s="22">
        <f t="shared" si="2"/>
        <v>4.8604268832584117</v>
      </c>
    </row>
    <row r="26" spans="1:6" x14ac:dyDescent="0.2">
      <c r="A26" s="20">
        <v>22</v>
      </c>
      <c r="B26" s="184" t="s">
        <v>19</v>
      </c>
      <c r="C26" s="185"/>
      <c r="D26" s="15">
        <f t="shared" si="0"/>
        <v>24304</v>
      </c>
      <c r="E26" s="18">
        <f t="shared" si="1"/>
        <v>411844.81497071241</v>
      </c>
      <c r="F26" s="22">
        <f t="shared" si="2"/>
        <v>16.945556903008246</v>
      </c>
    </row>
    <row r="27" spans="1:6" x14ac:dyDescent="0.2">
      <c r="A27" s="20">
        <v>23</v>
      </c>
      <c r="B27" s="184" t="s">
        <v>20</v>
      </c>
      <c r="C27" s="185"/>
      <c r="D27" s="15">
        <f t="shared" si="0"/>
        <v>100826</v>
      </c>
      <c r="E27" s="18">
        <f t="shared" si="1"/>
        <v>985997.40093141259</v>
      </c>
      <c r="F27" s="22">
        <f t="shared" si="2"/>
        <v>9.7791978351954114</v>
      </c>
    </row>
    <row r="28" spans="1:6" x14ac:dyDescent="0.2">
      <c r="A28" s="20">
        <v>24</v>
      </c>
      <c r="B28" s="184" t="s">
        <v>21</v>
      </c>
      <c r="C28" s="185"/>
      <c r="D28" s="15">
        <f t="shared" si="0"/>
        <v>200064</v>
      </c>
      <c r="E28" s="18">
        <f t="shared" si="1"/>
        <v>1714170.4439722109</v>
      </c>
      <c r="F28" s="22">
        <f t="shared" si="2"/>
        <v>8.5681104245252069</v>
      </c>
    </row>
    <row r="29" spans="1:6" x14ac:dyDescent="0.2">
      <c r="A29" s="20">
        <v>25</v>
      </c>
      <c r="B29" s="184" t="s">
        <v>22</v>
      </c>
      <c r="C29" s="185"/>
      <c r="D29" s="15">
        <f t="shared" si="0"/>
        <v>602304</v>
      </c>
      <c r="E29" s="18">
        <f t="shared" si="1"/>
        <v>4408509.5534940744</v>
      </c>
      <c r="F29" s="22">
        <f t="shared" si="2"/>
        <v>7.3194093904308692</v>
      </c>
    </row>
    <row r="30" spans="1:6" x14ac:dyDescent="0.2">
      <c r="A30" s="20">
        <v>26</v>
      </c>
      <c r="B30" s="184" t="s">
        <v>23</v>
      </c>
      <c r="C30" s="185"/>
      <c r="D30" s="15">
        <f t="shared" si="0"/>
        <v>246352</v>
      </c>
      <c r="E30" s="18">
        <f t="shared" si="1"/>
        <v>2958390.8835444762</v>
      </c>
      <c r="F30" s="22">
        <f t="shared" si="2"/>
        <v>12.008795883713045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3523680</v>
      </c>
      <c r="E33" s="32">
        <f>SUM(E5:E32)</f>
        <v>35259656.000000007</v>
      </c>
      <c r="F33" s="33">
        <f t="shared" si="2"/>
        <v>10.006486400581213</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IF(F3="1",SUMIF(Data!A:A,'24'!$A$2,Data!CU:CU),0)</f>
        <v>0</v>
      </c>
      <c r="E36" s="16">
        <f>IF(F3="1",SUMIF(Data!$A:$A,'24'!$A$2,Data!IO:IO),0)</f>
        <v>0</v>
      </c>
      <c r="F36" s="21" t="str">
        <f t="shared" ref="F36:F64" si="3">IFERROR(E36/D36,"")</f>
        <v/>
      </c>
    </row>
    <row r="37" spans="1:6" x14ac:dyDescent="0.2">
      <c r="A37" s="20">
        <v>2</v>
      </c>
      <c r="B37" s="184" t="s">
        <v>1</v>
      </c>
      <c r="C37" s="185"/>
      <c r="D37" s="15">
        <f>IF(F3="1",SUMIF(Data!A:A,'24'!$A$2,Data!CV:CV),0)</f>
        <v>17536</v>
      </c>
      <c r="E37" s="18">
        <f>IF(F3="1",SUMIF(Data!$A:$A,'24'!$A$2,Data!IP:IP),0)</f>
        <v>0</v>
      </c>
      <c r="F37" s="22">
        <f t="shared" si="3"/>
        <v>0</v>
      </c>
    </row>
    <row r="38" spans="1:6" ht="14.25" customHeight="1" x14ac:dyDescent="0.2">
      <c r="A38" s="20">
        <v>3</v>
      </c>
      <c r="B38" s="184" t="s">
        <v>2</v>
      </c>
      <c r="C38" s="185"/>
      <c r="D38" s="15">
        <f>IF(F3="1",SUMIF(Data!A:A,'24'!$A$2,Data!CW:CW),0)</f>
        <v>296928</v>
      </c>
      <c r="E38" s="18">
        <f>IF(F3="1",SUMIF(Data!$A:$A,'24'!$A$2,Data!IQ:IQ),0)</f>
        <v>269475</v>
      </c>
      <c r="F38" s="22">
        <f t="shared" si="3"/>
        <v>0.90754324280633691</v>
      </c>
    </row>
    <row r="39" spans="1:6" ht="14.25" customHeight="1" x14ac:dyDescent="0.2">
      <c r="A39" s="20">
        <v>4</v>
      </c>
      <c r="B39" s="184" t="s">
        <v>3</v>
      </c>
      <c r="C39" s="185"/>
      <c r="D39" s="15">
        <f>IF(F3="1",SUMIF(Data!A:A,'24'!$A$2,Data!CX:CX),0)</f>
        <v>160282</v>
      </c>
      <c r="E39" s="18">
        <f>IF(F3="1",SUMIF(Data!$A:$A,'24'!$A$2,Data!IR:IR),0)</f>
        <v>158266</v>
      </c>
      <c r="F39" s="22">
        <f t="shared" si="3"/>
        <v>0.98742216842814534</v>
      </c>
    </row>
    <row r="40" spans="1:6" x14ac:dyDescent="0.2">
      <c r="A40" s="20">
        <v>5</v>
      </c>
      <c r="B40" s="184" t="s">
        <v>4</v>
      </c>
      <c r="C40" s="185"/>
      <c r="D40" s="15">
        <f>IF(F3="1",SUMIF(Data!A:A,'24'!$A$2,Data!CY:CY),0)</f>
        <v>0</v>
      </c>
      <c r="E40" s="18">
        <f>IF(F3="1",SUMIF(Data!$A:$A,'24'!$A$2,Data!IS:IS),0)</f>
        <v>0</v>
      </c>
      <c r="F40" s="22" t="str">
        <f t="shared" si="3"/>
        <v/>
      </c>
    </row>
    <row r="41" spans="1:6" x14ac:dyDescent="0.2">
      <c r="A41" s="20">
        <v>6</v>
      </c>
      <c r="B41" s="184" t="s">
        <v>5</v>
      </c>
      <c r="C41" s="185"/>
      <c r="D41" s="15">
        <f>IF(F3="1",SUMIF(Data!A:A,'24'!$A$2,Data!CZ:CZ),0)</f>
        <v>14480</v>
      </c>
      <c r="E41" s="18">
        <f>IF(F3="1",SUMIF(Data!$A:$A,'24'!$A$2,Data!IT:IT),0)</f>
        <v>103085</v>
      </c>
      <c r="F41" s="22">
        <f t="shared" si="3"/>
        <v>7.119129834254144</v>
      </c>
    </row>
    <row r="42" spans="1:6" x14ac:dyDescent="0.2">
      <c r="A42" s="20">
        <v>7</v>
      </c>
      <c r="B42" s="184" t="s">
        <v>6</v>
      </c>
      <c r="C42" s="185"/>
      <c r="D42" s="15">
        <f>IF(F3="1",SUMIF(Data!A:A,'24'!$A$2,Data!DA:DA),0)</f>
        <v>201202</v>
      </c>
      <c r="E42" s="18">
        <f>IF(F3="1",SUMIF(Data!$A:$A,'24'!$A$2,Data!IU:IU),0)</f>
        <v>424456</v>
      </c>
      <c r="F42" s="22">
        <f t="shared" si="3"/>
        <v>2.1096012962097794</v>
      </c>
    </row>
    <row r="43" spans="1:6" x14ac:dyDescent="0.2">
      <c r="A43" s="20">
        <v>8</v>
      </c>
      <c r="B43" s="184" t="s">
        <v>7</v>
      </c>
      <c r="C43" s="185"/>
      <c r="D43" s="15">
        <f>IF(F3="1",SUMIF(Data!A:A,'24'!$A$2,Data!DB:DB),0)</f>
        <v>19000</v>
      </c>
      <c r="E43" s="18">
        <f>IF(F3="1",SUMIF(Data!$A:$A,'24'!$A$2,Data!IV:IV),0)</f>
        <v>156361</v>
      </c>
      <c r="F43" s="22">
        <f t="shared" si="3"/>
        <v>8.2295263157894745</v>
      </c>
    </row>
    <row r="44" spans="1:6" x14ac:dyDescent="0.2">
      <c r="A44" s="20">
        <v>9</v>
      </c>
      <c r="B44" s="184" t="s">
        <v>8</v>
      </c>
      <c r="C44" s="185"/>
      <c r="D44" s="15">
        <f>IF(F3="1",SUMIF(Data!A:A,'24'!$A$2,Data!DC:DC),0)</f>
        <v>90874</v>
      </c>
      <c r="E44" s="18">
        <f>IF(F3="1",SUMIF(Data!$A:$A,'24'!$A$2,Data!IW:IW),0)</f>
        <v>0</v>
      </c>
      <c r="F44" s="22">
        <f t="shared" si="3"/>
        <v>0</v>
      </c>
    </row>
    <row r="45" spans="1:6" x14ac:dyDescent="0.2">
      <c r="A45" s="20">
        <v>10</v>
      </c>
      <c r="B45" s="184" t="s">
        <v>9</v>
      </c>
      <c r="C45" s="185"/>
      <c r="D45" s="15">
        <f>IF(F3="1",SUMIF(Data!A:A,'24'!$A$2,Data!DD:DD),0)</f>
        <v>0</v>
      </c>
      <c r="E45" s="18">
        <f>IF(F3="1",SUMIF(Data!$A:$A,'24'!$A$2,Data!IX:IX),0)</f>
        <v>0</v>
      </c>
      <c r="F45" s="22" t="str">
        <f t="shared" si="3"/>
        <v/>
      </c>
    </row>
    <row r="46" spans="1:6" x14ac:dyDescent="0.2">
      <c r="A46" s="20">
        <v>11</v>
      </c>
      <c r="B46" s="184" t="s">
        <v>10</v>
      </c>
      <c r="C46" s="185"/>
      <c r="D46" s="15">
        <f>IF(F3="1",SUMIF(Data!A:A,'24'!$A$2,Data!DE:DE),0)</f>
        <v>93827</v>
      </c>
      <c r="E46" s="18">
        <f>IF(F3="1",SUMIF(Data!$A:$A,'24'!$A$2,Data!IY:IY),0)</f>
        <v>0</v>
      </c>
      <c r="F46" s="22">
        <f t="shared" si="3"/>
        <v>0</v>
      </c>
    </row>
    <row r="47" spans="1:6" ht="14.25" customHeight="1" x14ac:dyDescent="0.2">
      <c r="A47" s="20">
        <v>12</v>
      </c>
      <c r="B47" s="184" t="s">
        <v>11</v>
      </c>
      <c r="C47" s="185"/>
      <c r="D47" s="15">
        <f>IF(F3="1",SUMIF(Data!A:A,'24'!$A$2,Data!DF:DF),0)</f>
        <v>629232</v>
      </c>
      <c r="E47" s="18">
        <f>IF(F3="1",SUMIF(Data!$A:$A,'24'!$A$2,Data!IZ:IZ),0)</f>
        <v>1098967</v>
      </c>
      <c r="F47" s="22">
        <f t="shared" si="3"/>
        <v>1.7465211559488392</v>
      </c>
    </row>
    <row r="48" spans="1:6" x14ac:dyDescent="0.2">
      <c r="A48" s="20">
        <v>13</v>
      </c>
      <c r="B48" s="184" t="s">
        <v>12</v>
      </c>
      <c r="C48" s="185"/>
      <c r="D48" s="15">
        <f>IF(F3="1",SUMIF(Data!A:A,'24'!$A$2,Data!DG:DG),0)</f>
        <v>16320</v>
      </c>
      <c r="E48" s="18">
        <f>IF(F3="1",SUMIF(Data!$A:$A,'24'!$A$2,Data!JA:JA),0)</f>
        <v>150377</v>
      </c>
      <c r="F48" s="22">
        <f t="shared" si="3"/>
        <v>9.2142769607843142</v>
      </c>
    </row>
    <row r="49" spans="1:6" ht="14.25" customHeight="1" x14ac:dyDescent="0.2">
      <c r="A49" s="20">
        <v>14</v>
      </c>
      <c r="B49" s="184" t="s">
        <v>469</v>
      </c>
      <c r="C49" s="185"/>
      <c r="D49" s="15">
        <f>IF(F3="1",SUMIF(Data!A:A,'24'!$A$2,Data!DH:DH),0)</f>
        <v>70272</v>
      </c>
      <c r="E49" s="18">
        <f>IF(F3="1",SUMIF(Data!$A:$A,'24'!$A$2,Data!JB:JB),0)</f>
        <v>154223</v>
      </c>
      <c r="F49" s="22">
        <f t="shared" si="3"/>
        <v>2.1946579007285973</v>
      </c>
    </row>
    <row r="50" spans="1:6" x14ac:dyDescent="0.2">
      <c r="A50" s="20">
        <v>15</v>
      </c>
      <c r="B50" s="184" t="s">
        <v>13</v>
      </c>
      <c r="C50" s="185"/>
      <c r="D50" s="15">
        <f>IF(F3="1",SUMIF(Data!A:A,'24'!$A$2,Data!DI:DI),0)</f>
        <v>0</v>
      </c>
      <c r="E50" s="18">
        <f>IF(F3="1",SUMIF(Data!$A:$A,'24'!$A$2,Data!JC:JC),0)</f>
        <v>0</v>
      </c>
      <c r="F50" s="22" t="str">
        <f t="shared" si="3"/>
        <v/>
      </c>
    </row>
    <row r="51" spans="1:6" x14ac:dyDescent="0.2">
      <c r="A51" s="20">
        <v>16</v>
      </c>
      <c r="B51" s="184" t="s">
        <v>14</v>
      </c>
      <c r="C51" s="185"/>
      <c r="D51" s="15">
        <f>IF(F3="1",SUMIF(Data!A:A,'24'!$A$2,Data!DJ:DJ),0)</f>
        <v>157232</v>
      </c>
      <c r="E51" s="18">
        <f>IF(F3="1",SUMIF(Data!$A:$A,'24'!$A$2,Data!JD:JD),0)</f>
        <v>255323</v>
      </c>
      <c r="F51" s="22">
        <f t="shared" si="3"/>
        <v>1.6238615548997659</v>
      </c>
    </row>
    <row r="52" spans="1:6" x14ac:dyDescent="0.2">
      <c r="A52" s="20">
        <v>17</v>
      </c>
      <c r="B52" s="184" t="s">
        <v>15</v>
      </c>
      <c r="C52" s="185"/>
      <c r="D52" s="15">
        <f>IF(F3="1",SUMIF(Data!A:A,'24'!$A$2,Data!DK:DK),0)</f>
        <v>0</v>
      </c>
      <c r="E52" s="18">
        <f>IF(F3="1",SUMIF(Data!$A:$A,'24'!$A$2,Data!JE:JE),0)</f>
        <v>0</v>
      </c>
      <c r="F52" s="22" t="str">
        <f t="shared" si="3"/>
        <v/>
      </c>
    </row>
    <row r="53" spans="1:6" x14ac:dyDescent="0.2">
      <c r="A53" s="20">
        <v>18</v>
      </c>
      <c r="B53" s="184" t="s">
        <v>16</v>
      </c>
      <c r="C53" s="185"/>
      <c r="D53" s="15">
        <f>IF(F3="1",SUMIF(Data!A:A,'24'!$A$2,Data!DL:DL),0)</f>
        <v>84512</v>
      </c>
      <c r="E53" s="18">
        <f>IF(F3="1",SUMIF(Data!$A:$A,'24'!$A$2,Data!JF:JF),0)</f>
        <v>139202</v>
      </c>
      <c r="F53" s="22">
        <f t="shared" si="3"/>
        <v>1.6471270352139342</v>
      </c>
    </row>
    <row r="54" spans="1:6" x14ac:dyDescent="0.2">
      <c r="A54" s="20">
        <v>19</v>
      </c>
      <c r="B54" s="184" t="s">
        <v>17</v>
      </c>
      <c r="C54" s="185"/>
      <c r="D54" s="15">
        <f>IF(F3="1",SUMIF(Data!A:A,'24'!$A$2,Data!DM:DM),0)</f>
        <v>403424</v>
      </c>
      <c r="E54" s="18">
        <f>IF(F3="1",SUMIF(Data!$A:$A,'24'!$A$2,Data!JG:JG),0)</f>
        <v>217123</v>
      </c>
      <c r="F54" s="22">
        <f t="shared" si="3"/>
        <v>0.53820050368842709</v>
      </c>
    </row>
    <row r="55" spans="1:6" x14ac:dyDescent="0.2">
      <c r="A55" s="20">
        <v>20</v>
      </c>
      <c r="B55" s="184" t="s">
        <v>18</v>
      </c>
      <c r="C55" s="185"/>
      <c r="D55" s="15">
        <f>IF(F3="1",SUMIF(Data!A:A,'24'!$A$2,Data!DN:DN),0)</f>
        <v>52096</v>
      </c>
      <c r="E55" s="18">
        <f>IF(F3="1",SUMIF(Data!$A:$A,'24'!$A$2,Data!JH:JH),0)</f>
        <v>155796</v>
      </c>
      <c r="F55" s="22">
        <f t="shared" si="3"/>
        <v>2.9905558968058967</v>
      </c>
    </row>
    <row r="56" spans="1:6" ht="14.25" customHeight="1" x14ac:dyDescent="0.2">
      <c r="A56" s="20">
        <v>21</v>
      </c>
      <c r="B56" s="184" t="s">
        <v>466</v>
      </c>
      <c r="C56" s="185"/>
      <c r="D56" s="15">
        <f>IF(F3="1",SUMIF(Data!A:A,'24'!$A$2,Data!DO:DO),0)</f>
        <v>42613</v>
      </c>
      <c r="E56" s="18">
        <f>IF(F3="1",SUMIF(Data!$A:$A,'24'!$A$2,Data!JI:JI),0)</f>
        <v>0</v>
      </c>
      <c r="F56" s="22">
        <f t="shared" si="3"/>
        <v>0</v>
      </c>
    </row>
    <row r="57" spans="1:6" x14ac:dyDescent="0.2">
      <c r="A57" s="20">
        <v>22</v>
      </c>
      <c r="B57" s="184" t="s">
        <v>19</v>
      </c>
      <c r="C57" s="185"/>
      <c r="D57" s="15">
        <f>IF(F3="1",SUMIF(Data!A:A,'24'!$A$2,Data!DP:DP),0)</f>
        <v>24304</v>
      </c>
      <c r="E57" s="18">
        <f>IF(F3="1",SUMIF(Data!$A:$A,'24'!$A$2,Data!JJ:JJ),0)</f>
        <v>83693</v>
      </c>
      <c r="F57" s="22">
        <f t="shared" si="3"/>
        <v>3.4435895325872283</v>
      </c>
    </row>
    <row r="58" spans="1:6" x14ac:dyDescent="0.2">
      <c r="A58" s="20">
        <v>23</v>
      </c>
      <c r="B58" s="184" t="s">
        <v>20</v>
      </c>
      <c r="C58" s="185"/>
      <c r="D58" s="15">
        <f>IF(F3="1",SUMIF(Data!A:A,'24'!$A$2,Data!DQ:DQ),0)</f>
        <v>100826</v>
      </c>
      <c r="E58" s="18">
        <f>IF(F3="1",SUMIF(Data!$A:$A,'24'!$A$2,Data!JK:JK),0)</f>
        <v>109519</v>
      </c>
      <c r="F58" s="22">
        <f t="shared" si="3"/>
        <v>1.0862178406363439</v>
      </c>
    </row>
    <row r="59" spans="1:6" x14ac:dyDescent="0.2">
      <c r="A59" s="20">
        <v>24</v>
      </c>
      <c r="B59" s="184" t="s">
        <v>21</v>
      </c>
      <c r="C59" s="185"/>
      <c r="D59" s="15">
        <f>IF(F3="1",SUMIF(Data!A:A,'24'!$A$2,Data!DR:DR),0)</f>
        <v>200064</v>
      </c>
      <c r="E59" s="18">
        <f>IF(F3="1",SUMIF(Data!$A:$A,'24'!$A$2,Data!JL:JL),0)</f>
        <v>203049</v>
      </c>
      <c r="F59" s="22">
        <f t="shared" si="3"/>
        <v>1.0149202255278311</v>
      </c>
    </row>
    <row r="60" spans="1:6" x14ac:dyDescent="0.2">
      <c r="A60" s="20">
        <v>25</v>
      </c>
      <c r="B60" s="184" t="s">
        <v>22</v>
      </c>
      <c r="C60" s="185"/>
      <c r="D60" s="15">
        <f>IF(F3="1",SUMIF(Data!A:A,'24'!$A$2,Data!DS:DS),0)</f>
        <v>602304</v>
      </c>
      <c r="E60" s="18">
        <f>IF(F3="1",SUMIF(Data!$A:$A,'24'!$A$2,Data!JM:JM),0)</f>
        <v>226864</v>
      </c>
      <c r="F60" s="22">
        <f t="shared" si="3"/>
        <v>0.37666029114865585</v>
      </c>
    </row>
    <row r="61" spans="1:6" x14ac:dyDescent="0.2">
      <c r="A61" s="20">
        <v>26</v>
      </c>
      <c r="B61" s="184" t="s">
        <v>23</v>
      </c>
      <c r="C61" s="185"/>
      <c r="D61" s="15">
        <f>IF(F3="1",SUMIF(Data!A:A,'24'!$A$2,Data!DT:DT),0)</f>
        <v>246352</v>
      </c>
      <c r="E61" s="18">
        <f>IF(F3="1",SUMIF(Data!$A:$A,'24'!$A$2,Data!JN:JN),0)</f>
        <v>584517</v>
      </c>
      <c r="F61" s="22">
        <f t="shared" si="3"/>
        <v>2.3726902968110672</v>
      </c>
    </row>
    <row r="62" spans="1:6" x14ac:dyDescent="0.2">
      <c r="A62" s="20">
        <v>28</v>
      </c>
      <c r="B62" s="184" t="s">
        <v>24</v>
      </c>
      <c r="C62" s="185"/>
      <c r="D62" s="15">
        <f>IF(F3="1",SUMIF(Data!A:A,'24'!$A$2,Data!DV:DV),0)</f>
        <v>0</v>
      </c>
      <c r="E62" s="18">
        <f>IF(F3="1",SUMIF(Data!$A:$A,'24'!$A$2,Data!JP:JP),0)</f>
        <v>0</v>
      </c>
      <c r="F62" s="22" t="str">
        <f t="shared" si="3"/>
        <v/>
      </c>
    </row>
    <row r="63" spans="1:6" ht="15.75" customHeight="1" thickBot="1" x14ac:dyDescent="0.25">
      <c r="A63" s="23">
        <v>29</v>
      </c>
      <c r="B63" s="186" t="s">
        <v>25</v>
      </c>
      <c r="C63" s="187"/>
      <c r="D63" s="24">
        <f>IF(F3="1",SUMIF(Data!A:A,'24'!$A$2,Data!DW:DW),0)</f>
        <v>0</v>
      </c>
      <c r="E63" s="25">
        <f>IF(F3="1",SUMIF(Data!$A:$A,'24'!$A$2,Data!JQ:JQ),0)</f>
        <v>0</v>
      </c>
      <c r="F63" s="26" t="str">
        <f t="shared" si="3"/>
        <v/>
      </c>
    </row>
    <row r="64" spans="1:6" x14ac:dyDescent="0.2">
      <c r="B64" s="31" t="s">
        <v>35</v>
      </c>
      <c r="C64" s="31"/>
      <c r="D64" s="61">
        <f>SUM(D36:D63)</f>
        <v>3523680</v>
      </c>
      <c r="E64" s="32">
        <f>SUM(E36:E63)</f>
        <v>4490296</v>
      </c>
      <c r="F64" s="33">
        <f t="shared" si="3"/>
        <v>1.2743200290605277</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IF(F3="1",SUMIF(Data!A:A,'24'!$A$2,Data!DY:DY),0)</f>
        <v>0</v>
      </c>
      <c r="F67" s="21" t="str">
        <f>IFERROR(E67/D67,"")</f>
        <v/>
      </c>
    </row>
    <row r="68" spans="1:6" x14ac:dyDescent="0.2">
      <c r="A68" s="20">
        <v>2</v>
      </c>
      <c r="B68" s="184" t="s">
        <v>1</v>
      </c>
      <c r="C68" s="185"/>
      <c r="D68" s="15">
        <f t="shared" ref="D68:D94" si="4">D37</f>
        <v>17536</v>
      </c>
      <c r="E68" s="18">
        <f>IF(F3="1",SUMIF(Data!A:A,'24'!$A$2,Data!DZ:DZ),0)</f>
        <v>0</v>
      </c>
      <c r="F68" s="22">
        <f t="shared" ref="F68:F95" si="5">IFERROR(E68/D68,"")</f>
        <v>0</v>
      </c>
    </row>
    <row r="69" spans="1:6" ht="14.25" customHeight="1" x14ac:dyDescent="0.2">
      <c r="A69" s="20">
        <v>3</v>
      </c>
      <c r="B69" s="184" t="s">
        <v>2</v>
      </c>
      <c r="C69" s="185"/>
      <c r="D69" s="15">
        <f t="shared" si="4"/>
        <v>296928</v>
      </c>
      <c r="E69" s="18">
        <f>IF(F3="1",SUMIF(Data!A:A,'24'!$A$2,Data!EA:EA),0)</f>
        <v>969118</v>
      </c>
      <c r="F69" s="22">
        <f t="shared" si="5"/>
        <v>3.2638147968531093</v>
      </c>
    </row>
    <row r="70" spans="1:6" ht="14.25" customHeight="1" x14ac:dyDescent="0.2">
      <c r="A70" s="20">
        <v>4</v>
      </c>
      <c r="B70" s="184" t="s">
        <v>3</v>
      </c>
      <c r="C70" s="185"/>
      <c r="D70" s="15">
        <f t="shared" si="4"/>
        <v>160282</v>
      </c>
      <c r="E70" s="18">
        <f>IF(F3="1",SUMIF(Data!A:A,'24'!$A$2,Data!EB:EB),0)</f>
        <v>920423</v>
      </c>
      <c r="F70" s="22">
        <f t="shared" si="5"/>
        <v>5.7425225539985778</v>
      </c>
    </row>
    <row r="71" spans="1:6" x14ac:dyDescent="0.2">
      <c r="A71" s="20">
        <v>5</v>
      </c>
      <c r="B71" s="184" t="s">
        <v>4</v>
      </c>
      <c r="C71" s="185"/>
      <c r="D71" s="15">
        <f t="shared" si="4"/>
        <v>0</v>
      </c>
      <c r="E71" s="18">
        <f>IF(F3="1",SUMIF(Data!A:A,'24'!$A$2,Data!EC:EC),0)</f>
        <v>0</v>
      </c>
      <c r="F71" s="22" t="str">
        <f t="shared" si="5"/>
        <v/>
      </c>
    </row>
    <row r="72" spans="1:6" x14ac:dyDescent="0.2">
      <c r="A72" s="20">
        <v>6</v>
      </c>
      <c r="B72" s="184" t="s">
        <v>5</v>
      </c>
      <c r="C72" s="185"/>
      <c r="D72" s="15">
        <f t="shared" si="4"/>
        <v>14480</v>
      </c>
      <c r="E72" s="18">
        <f>IF(F3="1",SUMIF(Data!A:A,'24'!$A$2,Data!ED:ED),0)</f>
        <v>501614</v>
      </c>
      <c r="F72" s="22">
        <f t="shared" si="5"/>
        <v>34.641850828729282</v>
      </c>
    </row>
    <row r="73" spans="1:6" x14ac:dyDescent="0.2">
      <c r="A73" s="20">
        <v>7</v>
      </c>
      <c r="B73" s="184" t="s">
        <v>6</v>
      </c>
      <c r="C73" s="185"/>
      <c r="D73" s="15">
        <f t="shared" si="4"/>
        <v>201202</v>
      </c>
      <c r="E73" s="18">
        <f>IF(F3="1",SUMIF(Data!A:A,'24'!$A$2,Data!EE:EE),0)</f>
        <v>1065170</v>
      </c>
      <c r="F73" s="22">
        <f t="shared" si="5"/>
        <v>5.2940328624963966</v>
      </c>
    </row>
    <row r="74" spans="1:6" x14ac:dyDescent="0.2">
      <c r="A74" s="20">
        <v>8</v>
      </c>
      <c r="B74" s="184" t="s">
        <v>7</v>
      </c>
      <c r="C74" s="185"/>
      <c r="D74" s="15">
        <f t="shared" si="4"/>
        <v>19000</v>
      </c>
      <c r="E74" s="18">
        <f>IF(F3="1",SUMIF(Data!A:A,'24'!$A$2,Data!EF:EF),0)</f>
        <v>377182</v>
      </c>
      <c r="F74" s="22">
        <f t="shared" si="5"/>
        <v>19.851684210526315</v>
      </c>
    </row>
    <row r="75" spans="1:6" x14ac:dyDescent="0.2">
      <c r="A75" s="20">
        <v>9</v>
      </c>
      <c r="B75" s="184" t="s">
        <v>8</v>
      </c>
      <c r="C75" s="185"/>
      <c r="D75" s="15">
        <f t="shared" si="4"/>
        <v>90874</v>
      </c>
      <c r="E75" s="18">
        <f>IF(F3="1",SUMIF(Data!A:A,'24'!$A$2,Data!EG:EG),0)</f>
        <v>0</v>
      </c>
      <c r="F75" s="22">
        <f t="shared" si="5"/>
        <v>0</v>
      </c>
    </row>
    <row r="76" spans="1:6" x14ac:dyDescent="0.2">
      <c r="A76" s="20">
        <v>10</v>
      </c>
      <c r="B76" s="184" t="s">
        <v>9</v>
      </c>
      <c r="C76" s="185"/>
      <c r="D76" s="15">
        <f t="shared" si="4"/>
        <v>0</v>
      </c>
      <c r="E76" s="18">
        <f>IF(F3="1",SUMIF(Data!A:A,'24'!$A$2,Data!EH:EH),0)</f>
        <v>0</v>
      </c>
      <c r="F76" s="22" t="str">
        <f t="shared" si="5"/>
        <v/>
      </c>
    </row>
    <row r="77" spans="1:6" x14ac:dyDescent="0.2">
      <c r="A77" s="20">
        <v>11</v>
      </c>
      <c r="B77" s="184" t="s">
        <v>10</v>
      </c>
      <c r="C77" s="185"/>
      <c r="D77" s="15">
        <f t="shared" si="4"/>
        <v>93827</v>
      </c>
      <c r="E77" s="18">
        <f>IF(F3="1",SUMIF(Data!A:A,'24'!$A$2,Data!EI:EI),0)</f>
        <v>0</v>
      </c>
      <c r="F77" s="22">
        <f t="shared" si="5"/>
        <v>0</v>
      </c>
    </row>
    <row r="78" spans="1:6" ht="14.25" customHeight="1" x14ac:dyDescent="0.2">
      <c r="A78" s="20">
        <v>12</v>
      </c>
      <c r="B78" s="184" t="s">
        <v>11</v>
      </c>
      <c r="C78" s="185"/>
      <c r="D78" s="15">
        <f t="shared" si="4"/>
        <v>629232</v>
      </c>
      <c r="E78" s="18">
        <f>IF(F3="1",SUMIF(Data!A:A,'24'!$A$2,Data!EJ:EJ),0)</f>
        <v>2131927</v>
      </c>
      <c r="F78" s="22">
        <f t="shared" si="5"/>
        <v>3.3881414168383044</v>
      </c>
    </row>
    <row r="79" spans="1:6" x14ac:dyDescent="0.2">
      <c r="A79" s="20">
        <v>13</v>
      </c>
      <c r="B79" s="184" t="s">
        <v>12</v>
      </c>
      <c r="C79" s="185"/>
      <c r="D79" s="15">
        <f t="shared" si="4"/>
        <v>16320</v>
      </c>
      <c r="E79" s="18">
        <f>IF(F3="1",SUMIF(Data!A:A,'24'!$A$2,Data!EK:EK),0)</f>
        <v>375195</v>
      </c>
      <c r="F79" s="22">
        <f t="shared" si="5"/>
        <v>22.989889705882351</v>
      </c>
    </row>
    <row r="80" spans="1:6" ht="14.25" customHeight="1" x14ac:dyDescent="0.2">
      <c r="A80" s="20">
        <v>14</v>
      </c>
      <c r="B80" s="184" t="s">
        <v>469</v>
      </c>
      <c r="C80" s="185"/>
      <c r="D80" s="15">
        <f t="shared" si="4"/>
        <v>70272</v>
      </c>
      <c r="E80" s="18">
        <f>IF(F3="1",SUMIF(Data!A:A,'24'!$A$2,Data!EL:EL),0)</f>
        <v>610830</v>
      </c>
      <c r="F80" s="22">
        <f t="shared" si="5"/>
        <v>8.6923668032786878</v>
      </c>
    </row>
    <row r="81" spans="1:6" x14ac:dyDescent="0.2">
      <c r="A81" s="20">
        <v>15</v>
      </c>
      <c r="B81" s="184" t="s">
        <v>13</v>
      </c>
      <c r="C81" s="185"/>
      <c r="D81" s="15">
        <f t="shared" si="4"/>
        <v>0</v>
      </c>
      <c r="E81" s="18">
        <f>IF(F3="1",SUMIF(Data!A:A,'24'!$A$2,Data!EM:EM),0)</f>
        <v>0</v>
      </c>
      <c r="F81" s="22" t="str">
        <f t="shared" si="5"/>
        <v/>
      </c>
    </row>
    <row r="82" spans="1:6" x14ac:dyDescent="0.2">
      <c r="A82" s="20">
        <v>16</v>
      </c>
      <c r="B82" s="184" t="s">
        <v>14</v>
      </c>
      <c r="C82" s="185"/>
      <c r="D82" s="15">
        <f t="shared" si="4"/>
        <v>157232</v>
      </c>
      <c r="E82" s="18">
        <f>IF(F3="1",SUMIF(Data!A:A,'24'!$A$2,Data!EN:EN),0)</f>
        <v>706368</v>
      </c>
      <c r="F82" s="22">
        <f t="shared" si="5"/>
        <v>4.4925206064923167</v>
      </c>
    </row>
    <row r="83" spans="1:6" x14ac:dyDescent="0.2">
      <c r="A83" s="20">
        <v>17</v>
      </c>
      <c r="B83" s="184" t="s">
        <v>15</v>
      </c>
      <c r="C83" s="185"/>
      <c r="D83" s="15">
        <f t="shared" si="4"/>
        <v>0</v>
      </c>
      <c r="E83" s="18">
        <f>IF(F3="1",SUMIF(Data!A:A,'24'!$A$2,Data!EO:EO),0)</f>
        <v>0</v>
      </c>
      <c r="F83" s="22" t="str">
        <f t="shared" si="5"/>
        <v/>
      </c>
    </row>
    <row r="84" spans="1:6" x14ac:dyDescent="0.2">
      <c r="A84" s="20">
        <v>18</v>
      </c>
      <c r="B84" s="184" t="s">
        <v>16</v>
      </c>
      <c r="C84" s="185"/>
      <c r="D84" s="15">
        <f t="shared" si="4"/>
        <v>84512</v>
      </c>
      <c r="E84" s="18">
        <f>IF(F3="1",SUMIF(Data!A:A,'24'!$A$2,Data!EP:EP),0)</f>
        <v>631389</v>
      </c>
      <c r="F84" s="22">
        <f t="shared" si="5"/>
        <v>7.4709982014388485</v>
      </c>
    </row>
    <row r="85" spans="1:6" x14ac:dyDescent="0.2">
      <c r="A85" s="20">
        <v>19</v>
      </c>
      <c r="B85" s="184" t="s">
        <v>17</v>
      </c>
      <c r="C85" s="185"/>
      <c r="D85" s="15">
        <f t="shared" si="4"/>
        <v>403424</v>
      </c>
      <c r="E85" s="18">
        <f>IF(F3="1",SUMIF(Data!A:A,'24'!$A$2,Data!EQ:EQ),0)</f>
        <v>1268342</v>
      </c>
      <c r="F85" s="22">
        <f t="shared" si="5"/>
        <v>3.143942849210756</v>
      </c>
    </row>
    <row r="86" spans="1:6" x14ac:dyDescent="0.2">
      <c r="A86" s="20">
        <v>20</v>
      </c>
      <c r="B86" s="184" t="s">
        <v>18</v>
      </c>
      <c r="C86" s="185"/>
      <c r="D86" s="15">
        <f t="shared" si="4"/>
        <v>52096</v>
      </c>
      <c r="E86" s="18">
        <f>IF(F3="1",SUMIF(Data!A:A,'24'!$A$2,Data!ER:ER),0)</f>
        <v>519354</v>
      </c>
      <c r="F86" s="22">
        <f t="shared" si="5"/>
        <v>9.9691722972972965</v>
      </c>
    </row>
    <row r="87" spans="1:6" ht="14.25" customHeight="1" x14ac:dyDescent="0.2">
      <c r="A87" s="20">
        <v>21</v>
      </c>
      <c r="B87" s="184" t="s">
        <v>466</v>
      </c>
      <c r="C87" s="185"/>
      <c r="D87" s="15">
        <f t="shared" si="4"/>
        <v>42613</v>
      </c>
      <c r="E87" s="18">
        <f>IF(F3="1",SUMIF(Data!A:A,'24'!$A$2,Data!ES:ES),0)</f>
        <v>0</v>
      </c>
      <c r="F87" s="22">
        <f t="shared" si="5"/>
        <v>0</v>
      </c>
    </row>
    <row r="88" spans="1:6" x14ac:dyDescent="0.2">
      <c r="A88" s="20">
        <v>22</v>
      </c>
      <c r="B88" s="184" t="s">
        <v>19</v>
      </c>
      <c r="C88" s="185"/>
      <c r="D88" s="15">
        <f t="shared" si="4"/>
        <v>24304</v>
      </c>
      <c r="E88" s="18">
        <f>IF(F3="1",SUMIF(Data!A:A,'24'!$A$2,Data!ET:ET),0)</f>
        <v>210024</v>
      </c>
      <c r="F88" s="22">
        <f t="shared" si="5"/>
        <v>8.6415404871626063</v>
      </c>
    </row>
    <row r="89" spans="1:6" x14ac:dyDescent="0.2">
      <c r="A89" s="20">
        <v>23</v>
      </c>
      <c r="B89" s="184" t="s">
        <v>20</v>
      </c>
      <c r="C89" s="185"/>
      <c r="D89" s="15">
        <f t="shared" si="4"/>
        <v>100826</v>
      </c>
      <c r="E89" s="18">
        <f>IF(F3="1",SUMIF(Data!A:A,'24'!$A$2,Data!EU:EU),0)</f>
        <v>386421</v>
      </c>
      <c r="F89" s="22">
        <f t="shared" si="5"/>
        <v>3.8325531113006566</v>
      </c>
    </row>
    <row r="90" spans="1:6" x14ac:dyDescent="0.2">
      <c r="A90" s="20">
        <v>24</v>
      </c>
      <c r="B90" s="184" t="s">
        <v>21</v>
      </c>
      <c r="C90" s="185"/>
      <c r="D90" s="15">
        <f t="shared" si="4"/>
        <v>200064</v>
      </c>
      <c r="E90" s="18">
        <f>IF(F3="1",SUMIF(Data!A:A,'24'!$A$2,Data!EV:EV),0)</f>
        <v>538725</v>
      </c>
      <c r="F90" s="22">
        <f t="shared" si="5"/>
        <v>2.6927633157389637</v>
      </c>
    </row>
    <row r="91" spans="1:6" x14ac:dyDescent="0.2">
      <c r="A91" s="20">
        <v>25</v>
      </c>
      <c r="B91" s="184" t="s">
        <v>22</v>
      </c>
      <c r="C91" s="185"/>
      <c r="D91" s="15">
        <f t="shared" si="4"/>
        <v>602304</v>
      </c>
      <c r="E91" s="18">
        <f>IF(F3="1",SUMIF(Data!A:A,'24'!$A$2,Data!EW:EW),0)</f>
        <v>1254191</v>
      </c>
      <c r="F91" s="22">
        <f t="shared" si="5"/>
        <v>2.082322216023802</v>
      </c>
    </row>
    <row r="92" spans="1:6" x14ac:dyDescent="0.2">
      <c r="A92" s="20">
        <v>26</v>
      </c>
      <c r="B92" s="184" t="s">
        <v>23</v>
      </c>
      <c r="C92" s="185"/>
      <c r="D92" s="15">
        <f t="shared" si="4"/>
        <v>246352</v>
      </c>
      <c r="E92" s="18">
        <f>IF(F3="1",SUMIF(Data!A:A,'24'!$A$2,Data!EX:EX),0)</f>
        <v>1176498</v>
      </c>
      <c r="F92" s="22">
        <f t="shared" si="5"/>
        <v>4.7756787036435666</v>
      </c>
    </row>
    <row r="93" spans="1:6" x14ac:dyDescent="0.2">
      <c r="A93" s="20">
        <v>28</v>
      </c>
      <c r="B93" s="184" t="s">
        <v>24</v>
      </c>
      <c r="C93" s="185"/>
      <c r="D93" s="15">
        <f t="shared" si="4"/>
        <v>0</v>
      </c>
      <c r="E93" s="18">
        <f>IF(F3="1",SUMIF(Data!A:A,'24'!$A$2,Data!EZ:EZ),0)</f>
        <v>0</v>
      </c>
      <c r="F93" s="22" t="str">
        <f t="shared" si="5"/>
        <v/>
      </c>
    </row>
    <row r="94" spans="1:6" ht="15.75" customHeight="1" thickBot="1" x14ac:dyDescent="0.25">
      <c r="A94" s="23">
        <v>29</v>
      </c>
      <c r="B94" s="186" t="s">
        <v>25</v>
      </c>
      <c r="C94" s="187"/>
      <c r="D94" s="24">
        <f t="shared" si="4"/>
        <v>0</v>
      </c>
      <c r="E94" s="25">
        <f>IF(F3="1",SUMIF(Data!A:A,'24'!$A$2,Data!FA:FA),0)</f>
        <v>0</v>
      </c>
      <c r="F94" s="26" t="str">
        <f t="shared" si="5"/>
        <v/>
      </c>
    </row>
    <row r="95" spans="1:6" x14ac:dyDescent="0.2">
      <c r="B95" s="31" t="s">
        <v>35</v>
      </c>
      <c r="C95" s="31"/>
      <c r="D95" s="61">
        <f>SUM(D67:D94)</f>
        <v>3523680</v>
      </c>
      <c r="E95" s="32">
        <f>SUM(E67:E94)</f>
        <v>13642771</v>
      </c>
      <c r="F95" s="33">
        <f t="shared" si="5"/>
        <v>3.8717394882622713</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IF(F3="1",SUMIF(Data!A:A,'24'!$A$2,Data!AH:AH),0)</f>
        <v>7334514</v>
      </c>
      <c r="F98" s="21">
        <f t="shared" ref="F98:F105" si="6">IFERROR(E98/$D$95,0)</f>
        <v>2.0814926440539434</v>
      </c>
    </row>
    <row r="99" spans="2:6" x14ac:dyDescent="0.2">
      <c r="B99" s="190" t="s">
        <v>31</v>
      </c>
      <c r="C99" s="191"/>
      <c r="D99" s="37"/>
      <c r="E99" s="18">
        <f>IF(F3="1",SUMIF(Data!A:A,'24'!$A$2,Data!AI:AI),0)</f>
        <v>4136221</v>
      </c>
      <c r="F99" s="22">
        <f t="shared" si="6"/>
        <v>1.1738355923352859</v>
      </c>
    </row>
    <row r="100" spans="2:6" x14ac:dyDescent="0.2">
      <c r="B100" s="190" t="s">
        <v>32</v>
      </c>
      <c r="C100" s="191"/>
      <c r="D100" s="37"/>
      <c r="E100" s="18">
        <f>IF(F3="1",SUMIF(Data!A:A,'24'!$A$2,Data!AJ:AJ),0)</f>
        <v>2845997</v>
      </c>
      <c r="F100" s="22">
        <f t="shared" si="6"/>
        <v>0.80767748490214775</v>
      </c>
    </row>
    <row r="101" spans="2:6" x14ac:dyDescent="0.2">
      <c r="B101" s="190" t="s">
        <v>28</v>
      </c>
      <c r="C101" s="191"/>
      <c r="D101" s="37"/>
      <c r="E101" s="18">
        <f>IF(F3="1",SUMIF(Data!A:A,'24'!$A$2,Data!AK:AK),0)</f>
        <v>0</v>
      </c>
      <c r="F101" s="22">
        <f t="shared" si="6"/>
        <v>0</v>
      </c>
    </row>
    <row r="102" spans="2:6" x14ac:dyDescent="0.2">
      <c r="B102" s="190" t="s">
        <v>33</v>
      </c>
      <c r="C102" s="191"/>
      <c r="D102" s="37"/>
      <c r="E102" s="18">
        <f>IF(F3="1",SUMIF(Data!A:A,'24'!$A$2,Data!AL:AL),0)</f>
        <v>287299</v>
      </c>
      <c r="F102" s="22">
        <f t="shared" si="6"/>
        <v>8.1533794215138719E-2</v>
      </c>
    </row>
    <row r="103" spans="2:6" x14ac:dyDescent="0.2">
      <c r="B103" s="192" t="s">
        <v>34</v>
      </c>
      <c r="C103" s="193"/>
      <c r="D103" s="37"/>
      <c r="E103" s="18">
        <f>IF(F3="1",SUMIF(Data!A:A,'24'!$A$2,Data!AM:AM),0)</f>
        <v>942848</v>
      </c>
      <c r="F103" s="22">
        <f t="shared" si="6"/>
        <v>0.26757480815511059</v>
      </c>
    </row>
    <row r="104" spans="2:6" ht="15.75" customHeight="1" thickBot="1" x14ac:dyDescent="0.25">
      <c r="B104" s="182" t="s">
        <v>29</v>
      </c>
      <c r="C104" s="183"/>
      <c r="D104" s="38"/>
      <c r="E104" s="25">
        <f>IF(F3="1",SUMIF(Data!A:A,'24'!$A$2,Data!Q:Q),0)</f>
        <v>1579710</v>
      </c>
      <c r="F104" s="26">
        <f t="shared" si="6"/>
        <v>0.44831255959678518</v>
      </c>
    </row>
    <row r="105" spans="2:6" x14ac:dyDescent="0.2">
      <c r="B105" s="31" t="s">
        <v>35</v>
      </c>
      <c r="C105" s="31"/>
      <c r="D105" s="35">
        <f>D95</f>
        <v>3523680</v>
      </c>
      <c r="E105" s="32">
        <f>SUM(E98:E104)</f>
        <v>17126589</v>
      </c>
      <c r="F105" s="33">
        <f t="shared" si="6"/>
        <v>4.8604268832584117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13642771</v>
      </c>
      <c r="D109" s="16">
        <f>IF(F3="1",SUMIF(Data!$A:$A,$A$2,Data!HJ:HJ),0)</f>
        <v>0</v>
      </c>
      <c r="E109" s="16">
        <f>IF(F3="1",SUMIF(Data!$A:$A,$A$2,Data!IN:IN),0)</f>
        <v>0</v>
      </c>
      <c r="F109" s="48">
        <f>SUM(C109:E109)</f>
        <v>13642771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287299</v>
      </c>
      <c r="F116" s="49">
        <f t="shared" si="7"/>
        <v>287299</v>
      </c>
    </row>
    <row r="117" spans="1:6" ht="15" thickBot="1" x14ac:dyDescent="0.25">
      <c r="B117" s="44" t="s">
        <v>941</v>
      </c>
      <c r="C117" s="53"/>
      <c r="D117" s="53">
        <f>IF(F3="1",SUMIF(Data!A:A,$A$2,Data!Q:Q),0)</f>
        <v>1579710</v>
      </c>
      <c r="E117" s="53"/>
      <c r="F117" s="50">
        <f>SUM(C117:E117)</f>
        <v>1579710</v>
      </c>
    </row>
    <row r="118" spans="1:6" x14ac:dyDescent="0.2">
      <c r="B118" s="14" t="s">
        <v>35</v>
      </c>
      <c r="C118" s="5">
        <f>SUM(C109:C116)</f>
        <v>13642771</v>
      </c>
      <c r="D118" s="5">
        <f>SUM(D109:D116)</f>
        <v>0</v>
      </c>
      <c r="E118" s="5">
        <f>SUM(E109:E116)</f>
        <v>287299</v>
      </c>
      <c r="F118" s="5">
        <f>SUM(F109:F116)</f>
        <v>13930070</v>
      </c>
    </row>
    <row r="119" spans="1:6" ht="15" thickBot="1" x14ac:dyDescent="0.25"/>
    <row r="120" spans="1:6" ht="15" thickBot="1" x14ac:dyDescent="0.25">
      <c r="B120" s="57" t="s">
        <v>942</v>
      </c>
      <c r="C120" s="55"/>
      <c r="D120" s="55"/>
      <c r="E120" s="55">
        <f>IF(F3="1",SUMIF(Data!A:A,'24'!$A$2,Data!AM:AM),0)</f>
        <v>942848</v>
      </c>
      <c r="F120" s="56">
        <f>SUM(C120:E120)</f>
        <v>942848</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380</v>
      </c>
      <c r="B2" s="60" t="str">
        <f>VLOOKUP(A2,Data!A:G,7,0)</f>
        <v>Lee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69088</v>
      </c>
      <c r="E5" s="16">
        <f>E36+E67+IFERROR($E$105/$D$105*D5,0)</f>
        <v>450112.56732269563</v>
      </c>
      <c r="F5" s="21">
        <f>IFERROR(E5/D5,"")</f>
        <v>6.5150614769959416</v>
      </c>
    </row>
    <row r="6" spans="1:6" x14ac:dyDescent="0.2">
      <c r="A6" s="20">
        <v>2</v>
      </c>
      <c r="B6" s="184" t="s">
        <v>1</v>
      </c>
      <c r="C6" s="185"/>
      <c r="D6" s="15">
        <f t="shared" ref="D6:D32" si="0">D37</f>
        <v>138864</v>
      </c>
      <c r="E6" s="18">
        <f t="shared" ref="E6:E32" si="1">E37+E68+IFERROR($E$105/$D$105*D6,0)</f>
        <v>1846436.0358484657</v>
      </c>
      <c r="F6" s="22">
        <f t="shared" ref="F6:F33" si="2">IFERROR(E6/D6,"")</f>
        <v>13.296722230732701</v>
      </c>
    </row>
    <row r="7" spans="1:6" ht="14.25" customHeight="1" x14ac:dyDescent="0.2">
      <c r="A7" s="20">
        <v>3</v>
      </c>
      <c r="B7" s="184" t="s">
        <v>2</v>
      </c>
      <c r="C7" s="185"/>
      <c r="D7" s="15">
        <f t="shared" si="0"/>
        <v>341920</v>
      </c>
      <c r="E7" s="18">
        <f t="shared" si="1"/>
        <v>2936938.0397605384</v>
      </c>
      <c r="F7" s="22">
        <f t="shared" si="2"/>
        <v>8.5895473788036334</v>
      </c>
    </row>
    <row r="8" spans="1:6" ht="14.25" customHeight="1" x14ac:dyDescent="0.2">
      <c r="A8" s="20">
        <v>4</v>
      </c>
      <c r="B8" s="184" t="s">
        <v>3</v>
      </c>
      <c r="C8" s="185"/>
      <c r="D8" s="15">
        <f t="shared" si="0"/>
        <v>272226</v>
      </c>
      <c r="E8" s="18">
        <f t="shared" si="1"/>
        <v>2260062.5943432744</v>
      </c>
      <c r="F8" s="22">
        <f t="shared" si="2"/>
        <v>8.3021555411432946</v>
      </c>
    </row>
    <row r="9" spans="1:6" x14ac:dyDescent="0.2">
      <c r="A9" s="20">
        <v>5</v>
      </c>
      <c r="B9" s="184" t="s">
        <v>4</v>
      </c>
      <c r="C9" s="185"/>
      <c r="D9" s="15">
        <f t="shared" si="0"/>
        <v>16464</v>
      </c>
      <c r="E9" s="18">
        <f t="shared" si="1"/>
        <v>216057.05437124913</v>
      </c>
      <c r="F9" s="22">
        <f t="shared" si="2"/>
        <v>13.122998929254685</v>
      </c>
    </row>
    <row r="10" spans="1:6" x14ac:dyDescent="0.2">
      <c r="A10" s="20">
        <v>6</v>
      </c>
      <c r="B10" s="184" t="s">
        <v>5</v>
      </c>
      <c r="C10" s="185"/>
      <c r="D10" s="15">
        <f t="shared" si="0"/>
        <v>22391</v>
      </c>
      <c r="E10" s="18">
        <f t="shared" si="1"/>
        <v>242435.13929948004</v>
      </c>
      <c r="F10" s="22">
        <f t="shared" si="2"/>
        <v>10.827347563730072</v>
      </c>
    </row>
    <row r="11" spans="1:6" x14ac:dyDescent="0.2">
      <c r="A11" s="20">
        <v>7</v>
      </c>
      <c r="B11" s="184" t="s">
        <v>6</v>
      </c>
      <c r="C11" s="185"/>
      <c r="D11" s="15">
        <f t="shared" si="0"/>
        <v>154285</v>
      </c>
      <c r="E11" s="18">
        <f t="shared" si="1"/>
        <v>1822078.2109249376</v>
      </c>
      <c r="F11" s="22">
        <f t="shared" si="2"/>
        <v>11.809820857017453</v>
      </c>
    </row>
    <row r="12" spans="1:6" x14ac:dyDescent="0.2">
      <c r="A12" s="20">
        <v>8</v>
      </c>
      <c r="B12" s="184" t="s">
        <v>7</v>
      </c>
      <c r="C12" s="185"/>
      <c r="D12" s="15">
        <f t="shared" si="0"/>
        <v>76172</v>
      </c>
      <c r="E12" s="18">
        <f t="shared" si="1"/>
        <v>1001996.2709892364</v>
      </c>
      <c r="F12" s="22">
        <f t="shared" si="2"/>
        <v>13.154390996550392</v>
      </c>
    </row>
    <row r="13" spans="1:6" x14ac:dyDescent="0.2">
      <c r="A13" s="20">
        <v>9</v>
      </c>
      <c r="B13" s="184" t="s">
        <v>8</v>
      </c>
      <c r="C13" s="185"/>
      <c r="D13" s="15">
        <f t="shared" si="0"/>
        <v>181420</v>
      </c>
      <c r="E13" s="18">
        <f t="shared" si="1"/>
        <v>1395291.2968921294</v>
      </c>
      <c r="F13" s="22">
        <f t="shared" si="2"/>
        <v>7.6909453031205457</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220070</v>
      </c>
      <c r="E15" s="18">
        <f t="shared" si="1"/>
        <v>1669478.4327915935</v>
      </c>
      <c r="F15" s="22">
        <f t="shared" si="2"/>
        <v>7.5861245639641632</v>
      </c>
    </row>
    <row r="16" spans="1:6" ht="14.25" customHeight="1" x14ac:dyDescent="0.2">
      <c r="A16" s="20">
        <v>12</v>
      </c>
      <c r="B16" s="184" t="s">
        <v>11</v>
      </c>
      <c r="C16" s="185"/>
      <c r="D16" s="15">
        <f t="shared" si="0"/>
        <v>299735</v>
      </c>
      <c r="E16" s="18">
        <f t="shared" si="1"/>
        <v>3495115.6149760908</v>
      </c>
      <c r="F16" s="22">
        <f t="shared" si="2"/>
        <v>11.660685655582734</v>
      </c>
    </row>
    <row r="17" spans="1:6" x14ac:dyDescent="0.2">
      <c r="A17" s="20">
        <v>13</v>
      </c>
      <c r="B17" s="184" t="s">
        <v>12</v>
      </c>
      <c r="C17" s="185"/>
      <c r="D17" s="15">
        <f t="shared" si="0"/>
        <v>44704</v>
      </c>
      <c r="E17" s="18">
        <f t="shared" si="1"/>
        <v>382092.72003233247</v>
      </c>
      <c r="F17" s="22">
        <f t="shared" si="2"/>
        <v>8.5471707237010666</v>
      </c>
    </row>
    <row r="18" spans="1:6" ht="14.25" customHeight="1" x14ac:dyDescent="0.2">
      <c r="A18" s="20">
        <v>14</v>
      </c>
      <c r="B18" s="184" t="s">
        <v>469</v>
      </c>
      <c r="C18" s="185"/>
      <c r="D18" s="15">
        <f t="shared" si="0"/>
        <v>138880</v>
      </c>
      <c r="E18" s="18">
        <f t="shared" si="1"/>
        <v>1663015.894015979</v>
      </c>
      <c r="F18" s="22">
        <f t="shared" si="2"/>
        <v>11.974480803686484</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30512</v>
      </c>
      <c r="E20" s="18">
        <f t="shared" si="1"/>
        <v>658710.52544798073</v>
      </c>
      <c r="F20" s="22">
        <f t="shared" si="2"/>
        <v>21.588572543523227</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34952</v>
      </c>
      <c r="E22" s="18">
        <f t="shared" si="1"/>
        <v>459935.1669329385</v>
      </c>
      <c r="F22" s="22">
        <f t="shared" si="2"/>
        <v>13.159051468669562</v>
      </c>
    </row>
    <row r="23" spans="1:6" x14ac:dyDescent="0.2">
      <c r="A23" s="20">
        <v>19</v>
      </c>
      <c r="B23" s="184" t="s">
        <v>17</v>
      </c>
      <c r="C23" s="185"/>
      <c r="D23" s="15">
        <f t="shared" si="0"/>
        <v>199008</v>
      </c>
      <c r="E23" s="18">
        <f t="shared" si="1"/>
        <v>1962575.887531192</v>
      </c>
      <c r="F23" s="22">
        <f t="shared" si="2"/>
        <v>9.8617939355764186</v>
      </c>
    </row>
    <row r="24" spans="1:6" x14ac:dyDescent="0.2">
      <c r="A24" s="20">
        <v>20</v>
      </c>
      <c r="B24" s="184" t="s">
        <v>18</v>
      </c>
      <c r="C24" s="185"/>
      <c r="D24" s="15">
        <f t="shared" si="0"/>
        <v>42824</v>
      </c>
      <c r="E24" s="18">
        <f t="shared" si="1"/>
        <v>229924.38534951245</v>
      </c>
      <c r="F24" s="22">
        <f t="shared" si="2"/>
        <v>5.3690543935529718</v>
      </c>
    </row>
    <row r="25" spans="1:6" ht="14.25" customHeight="1" x14ac:dyDescent="0.2">
      <c r="A25" s="20">
        <v>21</v>
      </c>
      <c r="B25" s="184" t="s">
        <v>466</v>
      </c>
      <c r="C25" s="185"/>
      <c r="D25" s="15">
        <f t="shared" si="0"/>
        <v>47072</v>
      </c>
      <c r="E25" s="18">
        <f t="shared" si="1"/>
        <v>239097.72882430998</v>
      </c>
      <c r="F25" s="22">
        <f t="shared" si="2"/>
        <v>5.0794045042553959</v>
      </c>
    </row>
    <row r="26" spans="1:6" x14ac:dyDescent="0.2">
      <c r="A26" s="20">
        <v>22</v>
      </c>
      <c r="B26" s="184" t="s">
        <v>19</v>
      </c>
      <c r="C26" s="185"/>
      <c r="D26" s="15">
        <f t="shared" si="0"/>
        <v>40460</v>
      </c>
      <c r="E26" s="18">
        <f t="shared" si="1"/>
        <v>358333.84109941329</v>
      </c>
      <c r="F26" s="22">
        <f t="shared" si="2"/>
        <v>8.8564963198075457</v>
      </c>
    </row>
    <row r="27" spans="1:6" x14ac:dyDescent="0.2">
      <c r="A27" s="20">
        <v>23</v>
      </c>
      <c r="B27" s="184" t="s">
        <v>20</v>
      </c>
      <c r="C27" s="185"/>
      <c r="D27" s="15">
        <f t="shared" si="0"/>
        <v>55314</v>
      </c>
      <c r="E27" s="18">
        <f t="shared" si="1"/>
        <v>943980.41736463038</v>
      </c>
      <c r="F27" s="22">
        <f t="shared" si="2"/>
        <v>17.06584982761381</v>
      </c>
    </row>
    <row r="28" spans="1:6" x14ac:dyDescent="0.2">
      <c r="A28" s="20">
        <v>24</v>
      </c>
      <c r="B28" s="184" t="s">
        <v>21</v>
      </c>
      <c r="C28" s="185"/>
      <c r="D28" s="15">
        <f t="shared" si="0"/>
        <v>28666</v>
      </c>
      <c r="E28" s="18">
        <f t="shared" si="1"/>
        <v>198186.63937112657</v>
      </c>
      <c r="F28" s="22">
        <f t="shared" si="2"/>
        <v>6.9136482024393553</v>
      </c>
    </row>
    <row r="29" spans="1:6" x14ac:dyDescent="0.2">
      <c r="A29" s="20">
        <v>25</v>
      </c>
      <c r="B29" s="184" t="s">
        <v>22</v>
      </c>
      <c r="C29" s="185"/>
      <c r="D29" s="15">
        <f t="shared" si="0"/>
        <v>320384</v>
      </c>
      <c r="E29" s="18">
        <f t="shared" si="1"/>
        <v>2697585.9462875538</v>
      </c>
      <c r="F29" s="22">
        <f t="shared" si="2"/>
        <v>8.4198522594372811</v>
      </c>
    </row>
    <row r="30" spans="1:6" x14ac:dyDescent="0.2">
      <c r="A30" s="20">
        <v>26</v>
      </c>
      <c r="B30" s="184" t="s">
        <v>23</v>
      </c>
      <c r="C30" s="185"/>
      <c r="D30" s="15">
        <f t="shared" si="0"/>
        <v>120752</v>
      </c>
      <c r="E30" s="18">
        <f t="shared" si="1"/>
        <v>1315360.5902233403</v>
      </c>
      <c r="F30" s="22">
        <f t="shared" si="2"/>
        <v>10.893074981974131</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2896163</v>
      </c>
      <c r="E33" s="32">
        <f>SUM(E5:E32)</f>
        <v>28444801</v>
      </c>
      <c r="F33" s="33">
        <f t="shared" si="2"/>
        <v>9.8215469916575824</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IF(F3="1",SUMIF(Data!A:A,'25'!$A$2,Data!CU:CU),0)</f>
        <v>69088</v>
      </c>
      <c r="E36" s="16">
        <f>IF(F3="1",SUMIF(Data!$A:$A,'25'!$A$2,Data!IO:IO),0)</f>
        <v>29501</v>
      </c>
      <c r="F36" s="21">
        <f t="shared" ref="F36:F64" si="3">IFERROR(E36/D36,"")</f>
        <v>0.4270061371005095</v>
      </c>
    </row>
    <row r="37" spans="1:6" x14ac:dyDescent="0.2">
      <c r="A37" s="20">
        <v>2</v>
      </c>
      <c r="B37" s="184" t="s">
        <v>1</v>
      </c>
      <c r="C37" s="185"/>
      <c r="D37" s="15">
        <f>IF(F3="1",SUMIF(Data!A:A,'25'!$A$2,Data!CV:CV),0)</f>
        <v>138864</v>
      </c>
      <c r="E37" s="18">
        <f>IF(F3="1",SUMIF(Data!$A:$A,'25'!$A$2,Data!IP:IP),0)</f>
        <v>256164</v>
      </c>
      <c r="F37" s="22">
        <f t="shared" si="3"/>
        <v>1.8447113722779123</v>
      </c>
    </row>
    <row r="38" spans="1:6" ht="14.25" customHeight="1" x14ac:dyDescent="0.2">
      <c r="A38" s="20">
        <v>3</v>
      </c>
      <c r="B38" s="184" t="s">
        <v>2</v>
      </c>
      <c r="C38" s="185"/>
      <c r="D38" s="15">
        <f>IF(F3="1",SUMIF(Data!A:A,'25'!$A$2,Data!CW:CW),0)</f>
        <v>341920</v>
      </c>
      <c r="E38" s="18">
        <f>IF(F3="1",SUMIF(Data!$A:$A,'25'!$A$2,Data!IQ:IQ),0)</f>
        <v>370381</v>
      </c>
      <c r="F38" s="22">
        <f t="shared" si="3"/>
        <v>1.083238769302761</v>
      </c>
    </row>
    <row r="39" spans="1:6" ht="14.25" customHeight="1" x14ac:dyDescent="0.2">
      <c r="A39" s="20">
        <v>4</v>
      </c>
      <c r="B39" s="184" t="s">
        <v>3</v>
      </c>
      <c r="C39" s="185"/>
      <c r="D39" s="15">
        <f>IF(F3="1",SUMIF(Data!A:A,'25'!$A$2,Data!CX:CX),0)</f>
        <v>272226</v>
      </c>
      <c r="E39" s="18">
        <f>IF(F3="1",SUMIF(Data!$A:$A,'25'!$A$2,Data!IR:IR),0)</f>
        <v>151544</v>
      </c>
      <c r="F39" s="22">
        <f t="shared" si="3"/>
        <v>0.55668451948013786</v>
      </c>
    </row>
    <row r="40" spans="1:6" x14ac:dyDescent="0.2">
      <c r="A40" s="20">
        <v>5</v>
      </c>
      <c r="B40" s="184" t="s">
        <v>4</v>
      </c>
      <c r="C40" s="185"/>
      <c r="D40" s="15">
        <f>IF(F3="1",SUMIF(Data!A:A,'25'!$A$2,Data!CY:CY),0)</f>
        <v>16464</v>
      </c>
      <c r="E40" s="18">
        <f>IF(F3="1",SUMIF(Data!$A:$A,'25'!$A$2,Data!IS:IS),0)</f>
        <v>139140</v>
      </c>
      <c r="F40" s="22">
        <f t="shared" si="3"/>
        <v>8.4511661807580172</v>
      </c>
    </row>
    <row r="41" spans="1:6" x14ac:dyDescent="0.2">
      <c r="A41" s="20">
        <v>6</v>
      </c>
      <c r="B41" s="184" t="s">
        <v>5</v>
      </c>
      <c r="C41" s="185"/>
      <c r="D41" s="15">
        <f>IF(F3="1",SUMIF(Data!A:A,'25'!$A$2,Data!CZ:CZ),0)</f>
        <v>22391</v>
      </c>
      <c r="E41" s="18">
        <f>IF(F3="1",SUMIF(Data!$A:$A,'25'!$A$2,Data!IT:IT),0)</f>
        <v>24053</v>
      </c>
      <c r="F41" s="22">
        <f t="shared" si="3"/>
        <v>1.074226251618954</v>
      </c>
    </row>
    <row r="42" spans="1:6" x14ac:dyDescent="0.2">
      <c r="A42" s="20">
        <v>7</v>
      </c>
      <c r="B42" s="184" t="s">
        <v>6</v>
      </c>
      <c r="C42" s="185"/>
      <c r="D42" s="15">
        <f>IF(F3="1",SUMIF(Data!A:A,'25'!$A$2,Data!DA:DA),0)</f>
        <v>154285</v>
      </c>
      <c r="E42" s="18">
        <f>IF(F3="1",SUMIF(Data!$A:$A,'25'!$A$2,Data!IU:IU),0)</f>
        <v>314611</v>
      </c>
      <c r="F42" s="22">
        <f t="shared" si="3"/>
        <v>2.0391548109019024</v>
      </c>
    </row>
    <row r="43" spans="1:6" x14ac:dyDescent="0.2">
      <c r="A43" s="20">
        <v>8</v>
      </c>
      <c r="B43" s="184" t="s">
        <v>7</v>
      </c>
      <c r="C43" s="185"/>
      <c r="D43" s="15">
        <f>IF(F3="1",SUMIF(Data!A:A,'25'!$A$2,Data!DB:DB),0)</f>
        <v>76172</v>
      </c>
      <c r="E43" s="18">
        <f>IF(F3="1",SUMIF(Data!$A:$A,'25'!$A$2,Data!IV:IV),0)</f>
        <v>141664</v>
      </c>
      <c r="F43" s="22">
        <f t="shared" si="3"/>
        <v>1.8597909993173345</v>
      </c>
    </row>
    <row r="44" spans="1:6" x14ac:dyDescent="0.2">
      <c r="A44" s="20">
        <v>9</v>
      </c>
      <c r="B44" s="184" t="s">
        <v>8</v>
      </c>
      <c r="C44" s="185"/>
      <c r="D44" s="15">
        <f>IF(F3="1",SUMIF(Data!A:A,'25'!$A$2,Data!DC:DC),0)</f>
        <v>181420</v>
      </c>
      <c r="E44" s="18">
        <f>IF(F3="1",SUMIF(Data!$A:$A,'25'!$A$2,Data!IW:IW),0)</f>
        <v>139881</v>
      </c>
      <c r="F44" s="22">
        <f t="shared" si="3"/>
        <v>0.77103406460147728</v>
      </c>
    </row>
    <row r="45" spans="1:6" x14ac:dyDescent="0.2">
      <c r="A45" s="20">
        <v>10</v>
      </c>
      <c r="B45" s="184" t="s">
        <v>9</v>
      </c>
      <c r="C45" s="185"/>
      <c r="D45" s="15">
        <f>IF(F3="1",SUMIF(Data!A:A,'25'!$A$2,Data!DD:DD),0)</f>
        <v>0</v>
      </c>
      <c r="E45" s="18">
        <f>IF(F3="1",SUMIF(Data!$A:$A,'25'!$A$2,Data!IX:IX),0)</f>
        <v>0</v>
      </c>
      <c r="F45" s="22" t="str">
        <f t="shared" si="3"/>
        <v/>
      </c>
    </row>
    <row r="46" spans="1:6" x14ac:dyDescent="0.2">
      <c r="A46" s="20">
        <v>11</v>
      </c>
      <c r="B46" s="184" t="s">
        <v>10</v>
      </c>
      <c r="C46" s="185"/>
      <c r="D46" s="15">
        <f>IF(F3="1",SUMIF(Data!A:A,'25'!$A$2,Data!DE:DE),0)</f>
        <v>220070</v>
      </c>
      <c r="E46" s="18">
        <f>IF(F3="1",SUMIF(Data!$A:$A,'25'!$A$2,Data!IY:IY),0)</f>
        <v>138777</v>
      </c>
      <c r="F46" s="22">
        <f t="shared" si="3"/>
        <v>0.63060389875948564</v>
      </c>
    </row>
    <row r="47" spans="1:6" ht="14.25" customHeight="1" x14ac:dyDescent="0.2">
      <c r="A47" s="20">
        <v>12</v>
      </c>
      <c r="B47" s="184" t="s">
        <v>11</v>
      </c>
      <c r="C47" s="185"/>
      <c r="D47" s="15">
        <f>IF(F3="1",SUMIF(Data!A:A,'25'!$A$2,Data!DF:DF),0)</f>
        <v>299735</v>
      </c>
      <c r="E47" s="18">
        <f>IF(F3="1",SUMIF(Data!$A:$A,'25'!$A$2,Data!IZ:IZ),0)</f>
        <v>330628</v>
      </c>
      <c r="F47" s="22">
        <f t="shared" si="3"/>
        <v>1.1030677098103325</v>
      </c>
    </row>
    <row r="48" spans="1:6" x14ac:dyDescent="0.2">
      <c r="A48" s="20">
        <v>13</v>
      </c>
      <c r="B48" s="184" t="s">
        <v>12</v>
      </c>
      <c r="C48" s="185"/>
      <c r="D48" s="15">
        <f>IF(F3="1",SUMIF(Data!A:A,'25'!$A$2,Data!DG:DG),0)</f>
        <v>44704</v>
      </c>
      <c r="E48" s="18">
        <f>IF(F3="1",SUMIF(Data!$A:$A,'25'!$A$2,Data!JA:JA),0)</f>
        <v>21390</v>
      </c>
      <c r="F48" s="22">
        <f t="shared" si="3"/>
        <v>0.47848067287043666</v>
      </c>
    </row>
    <row r="49" spans="1:6" ht="14.25" customHeight="1" x14ac:dyDescent="0.2">
      <c r="A49" s="20">
        <v>14</v>
      </c>
      <c r="B49" s="184" t="s">
        <v>469</v>
      </c>
      <c r="C49" s="185"/>
      <c r="D49" s="15">
        <f>IF(F3="1",SUMIF(Data!A:A,'25'!$A$2,Data!DH:DH),0)</f>
        <v>138880</v>
      </c>
      <c r="E49" s="18">
        <f>IF(F3="1",SUMIF(Data!$A:$A,'25'!$A$2,Data!JB:JB),0)</f>
        <v>155601</v>
      </c>
      <c r="F49" s="22">
        <f t="shared" si="3"/>
        <v>1.1203989055299539</v>
      </c>
    </row>
    <row r="50" spans="1:6" x14ac:dyDescent="0.2">
      <c r="A50" s="20">
        <v>15</v>
      </c>
      <c r="B50" s="184" t="s">
        <v>13</v>
      </c>
      <c r="C50" s="185"/>
      <c r="D50" s="15">
        <f>IF(F3="1",SUMIF(Data!A:A,'25'!$A$2,Data!DI:DI),0)</f>
        <v>0</v>
      </c>
      <c r="E50" s="18">
        <f>IF(F3="1",SUMIF(Data!$A:$A,'25'!$A$2,Data!JC:JC),0)</f>
        <v>0</v>
      </c>
      <c r="F50" s="22" t="str">
        <f t="shared" si="3"/>
        <v/>
      </c>
    </row>
    <row r="51" spans="1:6" x14ac:dyDescent="0.2">
      <c r="A51" s="20">
        <v>16</v>
      </c>
      <c r="B51" s="184" t="s">
        <v>14</v>
      </c>
      <c r="C51" s="185"/>
      <c r="D51" s="15">
        <f>IF(F3="1",SUMIF(Data!A:A,'25'!$A$2,Data!DJ:DJ),0)</f>
        <v>30512</v>
      </c>
      <c r="E51" s="18">
        <f>IF(F3="1",SUMIF(Data!$A:$A,'25'!$A$2,Data!JD:JD),0)</f>
        <v>253155</v>
      </c>
      <c r="F51" s="22">
        <f t="shared" si="3"/>
        <v>8.2968995804929211</v>
      </c>
    </row>
    <row r="52" spans="1:6" x14ac:dyDescent="0.2">
      <c r="A52" s="20">
        <v>17</v>
      </c>
      <c r="B52" s="184" t="s">
        <v>15</v>
      </c>
      <c r="C52" s="185"/>
      <c r="D52" s="15">
        <f>IF(F3="1",SUMIF(Data!A:A,'25'!$A$2,Data!DK:DK),0)</f>
        <v>0</v>
      </c>
      <c r="E52" s="18">
        <f>IF(F3="1",SUMIF(Data!$A:$A,'25'!$A$2,Data!JE:JE),0)</f>
        <v>0</v>
      </c>
      <c r="F52" s="22" t="str">
        <f t="shared" si="3"/>
        <v/>
      </c>
    </row>
    <row r="53" spans="1:6" x14ac:dyDescent="0.2">
      <c r="A53" s="20">
        <v>18</v>
      </c>
      <c r="B53" s="184" t="s">
        <v>16</v>
      </c>
      <c r="C53" s="185"/>
      <c r="D53" s="15">
        <f>IF(F3="1",SUMIF(Data!A:A,'25'!$A$2,Data!DL:DL),0)</f>
        <v>34952</v>
      </c>
      <c r="E53" s="18">
        <f>IF(F3="1",SUMIF(Data!$A:$A,'25'!$A$2,Data!JF:JF),0)</f>
        <v>44097</v>
      </c>
      <c r="F53" s="22">
        <f t="shared" si="3"/>
        <v>1.2616445410849164</v>
      </c>
    </row>
    <row r="54" spans="1:6" x14ac:dyDescent="0.2">
      <c r="A54" s="20">
        <v>19</v>
      </c>
      <c r="B54" s="184" t="s">
        <v>17</v>
      </c>
      <c r="C54" s="185"/>
      <c r="D54" s="15">
        <f>IF(F3="1",SUMIF(Data!A:A,'25'!$A$2,Data!DM:DM),0)</f>
        <v>199008</v>
      </c>
      <c r="E54" s="18">
        <f>IF(F3="1",SUMIF(Data!$A:$A,'25'!$A$2,Data!JG:JG),0)</f>
        <v>264242</v>
      </c>
      <c r="F54" s="22">
        <f t="shared" si="3"/>
        <v>1.3277958675028139</v>
      </c>
    </row>
    <row r="55" spans="1:6" x14ac:dyDescent="0.2">
      <c r="A55" s="20">
        <v>20</v>
      </c>
      <c r="B55" s="184" t="s">
        <v>18</v>
      </c>
      <c r="C55" s="185"/>
      <c r="D55" s="15">
        <f>IF(F3="1",SUMIF(Data!A:A,'25'!$A$2,Data!DN:DN),0)</f>
        <v>42824</v>
      </c>
      <c r="E55" s="18">
        <f>IF(F3="1",SUMIF(Data!$A:$A,'25'!$A$2,Data!JH:JH),0)</f>
        <v>5232</v>
      </c>
      <c r="F55" s="22">
        <f t="shared" si="3"/>
        <v>0.12217448159910331</v>
      </c>
    </row>
    <row r="56" spans="1:6" ht="14.25" customHeight="1" x14ac:dyDescent="0.2">
      <c r="A56" s="20">
        <v>21</v>
      </c>
      <c r="B56" s="184" t="s">
        <v>466</v>
      </c>
      <c r="C56" s="185"/>
      <c r="D56" s="15">
        <f>IF(F3="1",SUMIF(Data!A:A,'25'!$A$2,Data!DO:DO),0)</f>
        <v>47072</v>
      </c>
      <c r="E56" s="18">
        <f>IF(F3="1",SUMIF(Data!$A:$A,'25'!$A$2,Data!JI:JI),0)</f>
        <v>3575</v>
      </c>
      <c r="F56" s="22">
        <f t="shared" si="3"/>
        <v>7.5947484704282794E-2</v>
      </c>
    </row>
    <row r="57" spans="1:6" x14ac:dyDescent="0.2">
      <c r="A57" s="20">
        <v>22</v>
      </c>
      <c r="B57" s="184" t="s">
        <v>19</v>
      </c>
      <c r="C57" s="185"/>
      <c r="D57" s="15">
        <f>IF(F3="1",SUMIF(Data!A:A,'25'!$A$2,Data!DP:DP),0)</f>
        <v>40460</v>
      </c>
      <c r="E57" s="18">
        <f>IF(F3="1",SUMIF(Data!$A:$A,'25'!$A$2,Data!JJ:JJ),0)</f>
        <v>57658</v>
      </c>
      <c r="F57" s="22">
        <f t="shared" si="3"/>
        <v>1.4250617894216511</v>
      </c>
    </row>
    <row r="58" spans="1:6" x14ac:dyDescent="0.2">
      <c r="A58" s="20">
        <v>23</v>
      </c>
      <c r="B58" s="184" t="s">
        <v>20</v>
      </c>
      <c r="C58" s="185"/>
      <c r="D58" s="15">
        <f>IF(F3="1",SUMIF(Data!A:A,'25'!$A$2,Data!DQ:DQ),0)</f>
        <v>55314</v>
      </c>
      <c r="E58" s="18">
        <f>IF(F3="1",SUMIF(Data!$A:$A,'25'!$A$2,Data!JK:JK),0)</f>
        <v>260806</v>
      </c>
      <c r="F58" s="22">
        <f t="shared" si="3"/>
        <v>4.715008858516831</v>
      </c>
    </row>
    <row r="59" spans="1:6" x14ac:dyDescent="0.2">
      <c r="A59" s="20">
        <v>24</v>
      </c>
      <c r="B59" s="184" t="s">
        <v>21</v>
      </c>
      <c r="C59" s="185"/>
      <c r="D59" s="15">
        <f>IF(F3="1",SUMIF(Data!A:A,'25'!$A$2,Data!DR:DR),0)</f>
        <v>28666</v>
      </c>
      <c r="E59" s="18">
        <f>IF(F3="1",SUMIF(Data!$A:$A,'25'!$A$2,Data!JL:JL),0)</f>
        <v>9775</v>
      </c>
      <c r="F59" s="22">
        <f t="shared" si="3"/>
        <v>0.34099630223958699</v>
      </c>
    </row>
    <row r="60" spans="1:6" x14ac:dyDescent="0.2">
      <c r="A60" s="20">
        <v>25</v>
      </c>
      <c r="B60" s="184" t="s">
        <v>22</v>
      </c>
      <c r="C60" s="185"/>
      <c r="D60" s="15">
        <f>IF(F3="1",SUMIF(Data!A:A,'25'!$A$2,Data!DS:DS),0)</f>
        <v>320384</v>
      </c>
      <c r="E60" s="18">
        <f>IF(F3="1",SUMIF(Data!$A:$A,'25'!$A$2,Data!JM:JM),0)</f>
        <v>158666</v>
      </c>
      <c r="F60" s="22">
        <f t="shared" si="3"/>
        <v>0.49523696564123054</v>
      </c>
    </row>
    <row r="61" spans="1:6" x14ac:dyDescent="0.2">
      <c r="A61" s="20">
        <v>26</v>
      </c>
      <c r="B61" s="184" t="s">
        <v>23</v>
      </c>
      <c r="C61" s="185"/>
      <c r="D61" s="15">
        <f>IF(F3="1",SUMIF(Data!A:A,'25'!$A$2,Data!DT:DT),0)</f>
        <v>120752</v>
      </c>
      <c r="E61" s="18">
        <f>IF(F3="1",SUMIF(Data!$A:$A,'25'!$A$2,Data!JN:JN),0)</f>
        <v>203392</v>
      </c>
      <c r="F61" s="22">
        <f t="shared" si="3"/>
        <v>1.6843778985027162</v>
      </c>
    </row>
    <row r="62" spans="1:6" x14ac:dyDescent="0.2">
      <c r="A62" s="20">
        <v>28</v>
      </c>
      <c r="B62" s="184" t="s">
        <v>24</v>
      </c>
      <c r="C62" s="185"/>
      <c r="D62" s="15">
        <f>IF(F3="1",SUMIF(Data!A:A,'25'!$A$2,Data!DV:DV),0)</f>
        <v>0</v>
      </c>
      <c r="E62" s="18">
        <f>IF(F3="1",SUMIF(Data!$A:$A,'25'!$A$2,Data!JP:JP),0)</f>
        <v>0</v>
      </c>
      <c r="F62" s="22" t="str">
        <f t="shared" si="3"/>
        <v/>
      </c>
    </row>
    <row r="63" spans="1:6" ht="15.75" customHeight="1" thickBot="1" x14ac:dyDescent="0.25">
      <c r="A63" s="23">
        <v>29</v>
      </c>
      <c r="B63" s="186" t="s">
        <v>25</v>
      </c>
      <c r="C63" s="187"/>
      <c r="D63" s="24">
        <f>IF(F3="1",SUMIF(Data!A:A,'25'!$A$2,Data!DW:DW),0)</f>
        <v>0</v>
      </c>
      <c r="E63" s="25">
        <f>IF(F3="1",SUMIF(Data!$A:$A,'25'!$A$2,Data!JQ:JQ),0)</f>
        <v>0</v>
      </c>
      <c r="F63" s="26" t="str">
        <f t="shared" si="3"/>
        <v/>
      </c>
    </row>
    <row r="64" spans="1:6" x14ac:dyDescent="0.2">
      <c r="B64" s="31" t="s">
        <v>35</v>
      </c>
      <c r="C64" s="31"/>
      <c r="D64" s="61">
        <f>SUM(D36:D63)</f>
        <v>2896163</v>
      </c>
      <c r="E64" s="32">
        <f>SUM(E36:E63)</f>
        <v>3473933</v>
      </c>
      <c r="F64" s="33">
        <f t="shared" si="3"/>
        <v>1.1994949869879561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69088</v>
      </c>
      <c r="E67" s="16">
        <f>IF(F3="1",SUMIF(Data!A:A,'25'!$A$2,Data!DY:DY),0)</f>
        <v>118964</v>
      </c>
      <c r="F67" s="21">
        <f>IFERROR(E67/D67,"")</f>
        <v>1.7219198703103289</v>
      </c>
    </row>
    <row r="68" spans="1:6" x14ac:dyDescent="0.2">
      <c r="A68" s="20">
        <v>2</v>
      </c>
      <c r="B68" s="184" t="s">
        <v>1</v>
      </c>
      <c r="C68" s="185"/>
      <c r="D68" s="15">
        <f t="shared" ref="D68:D94" si="4">D37</f>
        <v>138864</v>
      </c>
      <c r="E68" s="18">
        <f>IF(F3="1",SUMIF(Data!A:A,'25'!$A$2,Data!DZ:DZ),0)</f>
        <v>983973</v>
      </c>
      <c r="F68" s="22">
        <f t="shared" ref="F68:F95" si="5">IFERROR(E68/D68,"")</f>
        <v>7.0858753888696855</v>
      </c>
    </row>
    <row r="69" spans="1:6" ht="14.25" customHeight="1" x14ac:dyDescent="0.2">
      <c r="A69" s="20">
        <v>3</v>
      </c>
      <c r="B69" s="184" t="s">
        <v>2</v>
      </c>
      <c r="C69" s="185"/>
      <c r="D69" s="15">
        <f t="shared" si="4"/>
        <v>341920</v>
      </c>
      <c r="E69" s="18">
        <f>IF(F3="1",SUMIF(Data!A:A,'25'!$A$2,Data!EA:EA),0)</f>
        <v>1073688</v>
      </c>
      <c r="F69" s="22">
        <f t="shared" si="5"/>
        <v>3.14017313991577</v>
      </c>
    </row>
    <row r="70" spans="1:6" ht="14.25" customHeight="1" x14ac:dyDescent="0.2">
      <c r="A70" s="20">
        <v>4</v>
      </c>
      <c r="B70" s="184" t="s">
        <v>3</v>
      </c>
      <c r="C70" s="185"/>
      <c r="D70" s="15">
        <f t="shared" si="4"/>
        <v>272226</v>
      </c>
      <c r="E70" s="18">
        <f>IF(F3="1",SUMIF(Data!A:A,'25'!$A$2,Data!EB:EB),0)</f>
        <v>919943</v>
      </c>
      <c r="F70" s="22">
        <f t="shared" si="5"/>
        <v>3.3793355520780528</v>
      </c>
    </row>
    <row r="71" spans="1:6" x14ac:dyDescent="0.2">
      <c r="A71" s="20">
        <v>5</v>
      </c>
      <c r="B71" s="184" t="s">
        <v>4</v>
      </c>
      <c r="C71" s="185"/>
      <c r="D71" s="15">
        <f t="shared" si="4"/>
        <v>16464</v>
      </c>
      <c r="E71" s="18">
        <f>IF(F3="1",SUMIF(Data!A:A,'25'!$A$2,Data!EC:EC),0)</f>
        <v>5033</v>
      </c>
      <c r="F71" s="22">
        <f t="shared" si="5"/>
        <v>0.30569727891156462</v>
      </c>
    </row>
    <row r="72" spans="1:6" x14ac:dyDescent="0.2">
      <c r="A72" s="20">
        <v>6</v>
      </c>
      <c r="B72" s="184" t="s">
        <v>5</v>
      </c>
      <c r="C72" s="185"/>
      <c r="D72" s="15">
        <f t="shared" si="4"/>
        <v>22391</v>
      </c>
      <c r="E72" s="18">
        <f>IF(F3="1",SUMIF(Data!A:A,'25'!$A$2,Data!ED:ED),0)</f>
        <v>120620</v>
      </c>
      <c r="F72" s="22">
        <f t="shared" si="5"/>
        <v>5.3869858425260153</v>
      </c>
    </row>
    <row r="73" spans="1:6" x14ac:dyDescent="0.2">
      <c r="A73" s="20">
        <v>7</v>
      </c>
      <c r="B73" s="184" t="s">
        <v>6</v>
      </c>
      <c r="C73" s="185"/>
      <c r="D73" s="15">
        <f t="shared" si="4"/>
        <v>154285</v>
      </c>
      <c r="E73" s="18">
        <f>IF(F3="1",SUMIF(Data!A:A,'25'!$A$2,Data!EE:EE),0)</f>
        <v>833838</v>
      </c>
      <c r="F73" s="22">
        <f t="shared" si="5"/>
        <v>5.4045305765304468</v>
      </c>
    </row>
    <row r="74" spans="1:6" x14ac:dyDescent="0.2">
      <c r="A74" s="20">
        <v>8</v>
      </c>
      <c r="B74" s="184" t="s">
        <v>7</v>
      </c>
      <c r="C74" s="185"/>
      <c r="D74" s="15">
        <f t="shared" si="4"/>
        <v>76172</v>
      </c>
      <c r="E74" s="18">
        <f>IF(F3="1",SUMIF(Data!A:A,'25'!$A$2,Data!EF:EF),0)</f>
        <v>527755</v>
      </c>
      <c r="F74" s="22">
        <f t="shared" si="5"/>
        <v>6.9284645276479546</v>
      </c>
    </row>
    <row r="75" spans="1:6" x14ac:dyDescent="0.2">
      <c r="A75" s="20">
        <v>9</v>
      </c>
      <c r="B75" s="184" t="s">
        <v>8</v>
      </c>
      <c r="C75" s="185"/>
      <c r="D75" s="15">
        <f t="shared" si="4"/>
        <v>181420</v>
      </c>
      <c r="E75" s="18">
        <f>IF(F3="1",SUMIF(Data!A:A,'25'!$A$2,Data!EG:EG),0)</f>
        <v>463306</v>
      </c>
      <c r="F75" s="22">
        <f t="shared" si="5"/>
        <v>2.5537757689339653</v>
      </c>
    </row>
    <row r="76" spans="1:6" x14ac:dyDescent="0.2">
      <c r="A76" s="20">
        <v>10</v>
      </c>
      <c r="B76" s="184" t="s">
        <v>9</v>
      </c>
      <c r="C76" s="185"/>
      <c r="D76" s="15">
        <f t="shared" si="4"/>
        <v>0</v>
      </c>
      <c r="E76" s="18">
        <f>IF(F3="1",SUMIF(Data!A:A,'25'!$A$2,Data!EH:EH),0)</f>
        <v>0</v>
      </c>
      <c r="F76" s="22" t="str">
        <f t="shared" si="5"/>
        <v/>
      </c>
    </row>
    <row r="77" spans="1:6" x14ac:dyDescent="0.2">
      <c r="A77" s="20">
        <v>11</v>
      </c>
      <c r="B77" s="184" t="s">
        <v>10</v>
      </c>
      <c r="C77" s="185"/>
      <c r="D77" s="15">
        <f t="shared" si="4"/>
        <v>220070</v>
      </c>
      <c r="E77" s="18">
        <f>IF(F3="1",SUMIF(Data!A:A,'25'!$A$2,Data!EI:EI),0)</f>
        <v>569846</v>
      </c>
      <c r="F77" s="22">
        <f t="shared" si="5"/>
        <v>2.5893851956195757</v>
      </c>
    </row>
    <row r="78" spans="1:6" ht="14.25" customHeight="1" x14ac:dyDescent="0.2">
      <c r="A78" s="20">
        <v>12</v>
      </c>
      <c r="B78" s="184" t="s">
        <v>11</v>
      </c>
      <c r="C78" s="185"/>
      <c r="D78" s="15">
        <f t="shared" si="4"/>
        <v>299735</v>
      </c>
      <c r="E78" s="18">
        <f>IF(F3="1",SUMIF(Data!A:A,'25'!$A$2,Data!EJ:EJ),0)</f>
        <v>1855804</v>
      </c>
      <c r="F78" s="22">
        <f t="shared" si="5"/>
        <v>6.1914824761872991</v>
      </c>
    </row>
    <row r="79" spans="1:6" x14ac:dyDescent="0.2">
      <c r="A79" s="20">
        <v>13</v>
      </c>
      <c r="B79" s="184" t="s">
        <v>12</v>
      </c>
      <c r="C79" s="185"/>
      <c r="D79" s="15">
        <f t="shared" si="4"/>
        <v>44704</v>
      </c>
      <c r="E79" s="18">
        <f>IF(F3="1",SUMIF(Data!A:A,'25'!$A$2,Data!EK:EK),0)</f>
        <v>165519</v>
      </c>
      <c r="F79" s="22">
        <f t="shared" si="5"/>
        <v>3.7025545812455261</v>
      </c>
    </row>
    <row r="80" spans="1:6" ht="14.25" customHeight="1" x14ac:dyDescent="0.2">
      <c r="A80" s="20">
        <v>14</v>
      </c>
      <c r="B80" s="184" t="s">
        <v>469</v>
      </c>
      <c r="C80" s="185"/>
      <c r="D80" s="15">
        <f t="shared" si="4"/>
        <v>138880</v>
      </c>
      <c r="E80" s="18">
        <f>IF(F3="1",SUMIF(Data!A:A,'25'!$A$2,Data!EL:EL),0)</f>
        <v>901046</v>
      </c>
      <c r="F80" s="22">
        <f t="shared" si="5"/>
        <v>6.487946428571429</v>
      </c>
    </row>
    <row r="81" spans="1:6" x14ac:dyDescent="0.2">
      <c r="A81" s="20">
        <v>15</v>
      </c>
      <c r="B81" s="184" t="s">
        <v>13</v>
      </c>
      <c r="C81" s="185"/>
      <c r="D81" s="15">
        <f t="shared" si="4"/>
        <v>0</v>
      </c>
      <c r="E81" s="18">
        <f>IF(F3="1",SUMIF(Data!A:A,'25'!$A$2,Data!EM:EM),0)</f>
        <v>0</v>
      </c>
      <c r="F81" s="22" t="str">
        <f t="shared" si="5"/>
        <v/>
      </c>
    </row>
    <row r="82" spans="1:6" x14ac:dyDescent="0.2">
      <c r="A82" s="20">
        <v>16</v>
      </c>
      <c r="B82" s="184" t="s">
        <v>14</v>
      </c>
      <c r="C82" s="185"/>
      <c r="D82" s="15">
        <f t="shared" si="4"/>
        <v>30512</v>
      </c>
      <c r="E82" s="18">
        <f>IF(F3="1",SUMIF(Data!A:A,'25'!$A$2,Data!EN:EN),0)</f>
        <v>272336</v>
      </c>
      <c r="F82" s="22">
        <f t="shared" si="5"/>
        <v>8.9255374934452014</v>
      </c>
    </row>
    <row r="83" spans="1:6" x14ac:dyDescent="0.2">
      <c r="A83" s="20">
        <v>17</v>
      </c>
      <c r="B83" s="184" t="s">
        <v>15</v>
      </c>
      <c r="C83" s="185"/>
      <c r="D83" s="15">
        <f t="shared" si="4"/>
        <v>0</v>
      </c>
      <c r="E83" s="18">
        <f>IF(F3="1",SUMIF(Data!A:A,'25'!$A$2,Data!EO:EO),0)</f>
        <v>0</v>
      </c>
      <c r="F83" s="22" t="str">
        <f t="shared" si="5"/>
        <v/>
      </c>
    </row>
    <row r="84" spans="1:6" x14ac:dyDescent="0.2">
      <c r="A84" s="20">
        <v>18</v>
      </c>
      <c r="B84" s="184" t="s">
        <v>16</v>
      </c>
      <c r="C84" s="185"/>
      <c r="D84" s="15">
        <f t="shared" si="4"/>
        <v>34952</v>
      </c>
      <c r="E84" s="18">
        <f>IF(F3="1",SUMIF(Data!A:A,'25'!$A$2,Data!EP:EP),0)</f>
        <v>263233</v>
      </c>
      <c r="F84" s="22">
        <f t="shared" si="5"/>
        <v>7.5312714579995426</v>
      </c>
    </row>
    <row r="85" spans="1:6" x14ac:dyDescent="0.2">
      <c r="A85" s="20">
        <v>19</v>
      </c>
      <c r="B85" s="184" t="s">
        <v>17</v>
      </c>
      <c r="C85" s="185"/>
      <c r="D85" s="15">
        <f t="shared" si="4"/>
        <v>199008</v>
      </c>
      <c r="E85" s="18">
        <f>IF(F3="1",SUMIF(Data!A:A,'25'!$A$2,Data!EQ:EQ),0)</f>
        <v>829438</v>
      </c>
      <c r="F85" s="22">
        <f t="shared" si="5"/>
        <v>4.1678625984885027</v>
      </c>
    </row>
    <row r="86" spans="1:6" x14ac:dyDescent="0.2">
      <c r="A86" s="20">
        <v>20</v>
      </c>
      <c r="B86" s="184" t="s">
        <v>18</v>
      </c>
      <c r="C86" s="185"/>
      <c r="D86" s="15">
        <f t="shared" si="4"/>
        <v>42824</v>
      </c>
      <c r="E86" s="18">
        <f>IF(F3="1",SUMIF(Data!A:A,'25'!$A$2,Data!ER:ER),0)</f>
        <v>37717</v>
      </c>
      <c r="F86" s="22">
        <f t="shared" si="5"/>
        <v>0.88074444236876515</v>
      </c>
    </row>
    <row r="87" spans="1:6" ht="14.25" customHeight="1" x14ac:dyDescent="0.2">
      <c r="A87" s="20">
        <v>21</v>
      </c>
      <c r="B87" s="184" t="s">
        <v>466</v>
      </c>
      <c r="C87" s="185"/>
      <c r="D87" s="15">
        <f t="shared" si="4"/>
        <v>47072</v>
      </c>
      <c r="E87" s="18">
        <f>IF(F3="1",SUMIF(Data!A:A,'25'!$A$2,Data!ES:ES),0)</f>
        <v>30000</v>
      </c>
      <c r="F87" s="22">
        <f t="shared" si="5"/>
        <v>0.63732154996600954</v>
      </c>
    </row>
    <row r="88" spans="1:6" x14ac:dyDescent="0.2">
      <c r="A88" s="20">
        <v>22</v>
      </c>
      <c r="B88" s="184" t="s">
        <v>19</v>
      </c>
      <c r="C88" s="185"/>
      <c r="D88" s="15">
        <f t="shared" si="4"/>
        <v>40460</v>
      </c>
      <c r="E88" s="18">
        <f>IF(F3="1",SUMIF(Data!A:A,'25'!$A$2,Data!ET:ET),0)</f>
        <v>124022</v>
      </c>
      <c r="F88" s="22">
        <f t="shared" si="5"/>
        <v>3.0652990608007911</v>
      </c>
    </row>
    <row r="89" spans="1:6" x14ac:dyDescent="0.2">
      <c r="A89" s="20">
        <v>23</v>
      </c>
      <c r="B89" s="184" t="s">
        <v>20</v>
      </c>
      <c r="C89" s="185"/>
      <c r="D89" s="15">
        <f t="shared" si="4"/>
        <v>55314</v>
      </c>
      <c r="E89" s="18">
        <f>IF(F3="1",SUMIF(Data!A:A,'25'!$A$2,Data!EU:EU),0)</f>
        <v>441666</v>
      </c>
      <c r="F89" s="22">
        <f t="shared" si="5"/>
        <v>7.984705499511878</v>
      </c>
    </row>
    <row r="90" spans="1:6" x14ac:dyDescent="0.2">
      <c r="A90" s="20">
        <v>24</v>
      </c>
      <c r="B90" s="184" t="s">
        <v>21</v>
      </c>
      <c r="C90" s="185"/>
      <c r="D90" s="15">
        <f t="shared" si="4"/>
        <v>28666</v>
      </c>
      <c r="E90" s="18">
        <f>IF(F3="1",SUMIF(Data!A:A,'25'!$A$2,Data!EV:EV),0)</f>
        <v>63252</v>
      </c>
      <c r="F90" s="22">
        <f t="shared" si="5"/>
        <v>2.2065164306146654</v>
      </c>
    </row>
    <row r="91" spans="1:6" x14ac:dyDescent="0.2">
      <c r="A91" s="20">
        <v>25</v>
      </c>
      <c r="B91" s="184" t="s">
        <v>22</v>
      </c>
      <c r="C91" s="185"/>
      <c r="D91" s="15">
        <f t="shared" si="4"/>
        <v>320384</v>
      </c>
      <c r="E91" s="18">
        <f>IF(F3="1",SUMIF(Data!A:A,'25'!$A$2,Data!EW:EW),0)</f>
        <v>1140080</v>
      </c>
      <c r="F91" s="22">
        <f t="shared" si="5"/>
        <v>3.5584798242109468</v>
      </c>
    </row>
    <row r="92" spans="1:6" x14ac:dyDescent="0.2">
      <c r="A92" s="20">
        <v>26</v>
      </c>
      <c r="B92" s="184" t="s">
        <v>23</v>
      </c>
      <c r="C92" s="185"/>
      <c r="D92" s="15">
        <f t="shared" si="4"/>
        <v>120752</v>
      </c>
      <c r="E92" s="18">
        <f>IF(F3="1",SUMIF(Data!A:A,'25'!$A$2,Data!EX:EX),0)</f>
        <v>584749</v>
      </c>
      <c r="F92" s="22">
        <f t="shared" si="5"/>
        <v>4.8425616138863123</v>
      </c>
    </row>
    <row r="93" spans="1:6" x14ac:dyDescent="0.2">
      <c r="A93" s="20">
        <v>28</v>
      </c>
      <c r="B93" s="184" t="s">
        <v>24</v>
      </c>
      <c r="C93" s="185"/>
      <c r="D93" s="15">
        <f t="shared" si="4"/>
        <v>0</v>
      </c>
      <c r="E93" s="18">
        <f>IF(F3="1",SUMIF(Data!A:A,'25'!$A$2,Data!EZ:EZ),0)</f>
        <v>0</v>
      </c>
      <c r="F93" s="22" t="str">
        <f t="shared" si="5"/>
        <v/>
      </c>
    </row>
    <row r="94" spans="1:6" ht="15.75" customHeight="1" thickBot="1" x14ac:dyDescent="0.25">
      <c r="A94" s="23">
        <v>29</v>
      </c>
      <c r="B94" s="186" t="s">
        <v>25</v>
      </c>
      <c r="C94" s="187"/>
      <c r="D94" s="24">
        <f t="shared" si="4"/>
        <v>0</v>
      </c>
      <c r="E94" s="25">
        <f>IF(F3="1",SUMIF(Data!A:A,'25'!$A$2,Data!FA:FA),0)</f>
        <v>0</v>
      </c>
      <c r="F94" s="26" t="str">
        <f t="shared" si="5"/>
        <v/>
      </c>
    </row>
    <row r="95" spans="1:6" x14ac:dyDescent="0.2">
      <c r="B95" s="31" t="s">
        <v>35</v>
      </c>
      <c r="C95" s="31"/>
      <c r="D95" s="61">
        <f>SUM(D67:D94)</f>
        <v>2896163</v>
      </c>
      <c r="E95" s="32">
        <f>SUM(E67:E94)</f>
        <v>12325828</v>
      </c>
      <c r="F95" s="33">
        <f t="shared" si="5"/>
        <v>4.2559165350845243</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IF(F3="1",SUMIF(Data!A:A,'25'!$A$2,Data!AH:AH),0)</f>
        <v>6919340</v>
      </c>
      <c r="F98" s="21">
        <f t="shared" ref="F98:F105" si="6">IFERROR(E98/$D$95,0)</f>
        <v>2.3891403902335608</v>
      </c>
    </row>
    <row r="99" spans="2:6" x14ac:dyDescent="0.2">
      <c r="B99" s="190" t="s">
        <v>31</v>
      </c>
      <c r="C99" s="191"/>
      <c r="D99" s="37"/>
      <c r="E99" s="18">
        <f>IF(F3="1",SUMIF(Data!A:A,'25'!$A$2,Data!AI:AI),0)</f>
        <v>1906865</v>
      </c>
      <c r="F99" s="22">
        <f t="shared" si="6"/>
        <v>0.65841080077329905</v>
      </c>
    </row>
    <row r="100" spans="2:6" x14ac:dyDescent="0.2">
      <c r="B100" s="190" t="s">
        <v>32</v>
      </c>
      <c r="C100" s="191"/>
      <c r="D100" s="37"/>
      <c r="E100" s="18">
        <f>IF(F3="1",SUMIF(Data!A:A,'25'!$A$2,Data!AJ:AJ),0)</f>
        <v>2162751</v>
      </c>
      <c r="F100" s="22">
        <f t="shared" si="6"/>
        <v>0.74676425325508267</v>
      </c>
    </row>
    <row r="101" spans="2:6" x14ac:dyDescent="0.2">
      <c r="B101" s="190" t="s">
        <v>28</v>
      </c>
      <c r="C101" s="191"/>
      <c r="D101" s="37"/>
      <c r="E101" s="18">
        <f>IF(F3="1",SUMIF(Data!A:A,'25'!$A$2,Data!AK:AK),0)</f>
        <v>0</v>
      </c>
      <c r="F101" s="22">
        <f t="shared" si="6"/>
        <v>0</v>
      </c>
    </row>
    <row r="102" spans="2:6" x14ac:dyDescent="0.2">
      <c r="B102" s="190" t="s">
        <v>33</v>
      </c>
      <c r="C102" s="191"/>
      <c r="D102" s="37"/>
      <c r="E102" s="18">
        <f>IF(F3="1",SUMIF(Data!A:A,'25'!$A$2,Data!AL:AL),0)</f>
        <v>0</v>
      </c>
      <c r="F102" s="22">
        <f t="shared" si="6"/>
        <v>0</v>
      </c>
    </row>
    <row r="103" spans="2:6" x14ac:dyDescent="0.2">
      <c r="B103" s="192" t="s">
        <v>34</v>
      </c>
      <c r="C103" s="193"/>
      <c r="D103" s="37"/>
      <c r="E103" s="18">
        <f>IF(F3="1",SUMIF(Data!A:A,'25'!$A$2,Data!AM:AM),0)</f>
        <v>679023</v>
      </c>
      <c r="F103" s="22">
        <f t="shared" si="6"/>
        <v>0.23445607170590882</v>
      </c>
    </row>
    <row r="104" spans="2:6" ht="15.75" customHeight="1" thickBot="1" x14ac:dyDescent="0.25">
      <c r="B104" s="182" t="s">
        <v>29</v>
      </c>
      <c r="C104" s="183"/>
      <c r="D104" s="38"/>
      <c r="E104" s="25">
        <f>IF(F3="1",SUMIF(Data!A:A,'25'!$A$2,Data!Q:Q),0)</f>
        <v>977061</v>
      </c>
      <c r="F104" s="26">
        <f t="shared" si="6"/>
        <v>0.33736395361725152</v>
      </c>
    </row>
    <row r="105" spans="2:6" x14ac:dyDescent="0.2">
      <c r="B105" s="31" t="s">
        <v>35</v>
      </c>
      <c r="C105" s="31"/>
      <c r="D105" s="35">
        <f>D95</f>
        <v>2896163</v>
      </c>
      <c r="E105" s="32">
        <f>SUM(E98:E104)</f>
        <v>12645040</v>
      </c>
      <c r="F105" s="33">
        <f t="shared" si="6"/>
        <v>4.3661354695851031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12325828</v>
      </c>
      <c r="D109" s="16">
        <f>IF(F3="1",SUMIF(Data!$A:$A,$A$2,Data!HJ:HJ),0)</f>
        <v>0</v>
      </c>
      <c r="E109" s="16">
        <f>IF(F3="1",SUMIF(Data!$A:$A,$A$2,Data!IN:IN),0)</f>
        <v>0</v>
      </c>
      <c r="F109" s="48">
        <f>SUM(C109:E109)</f>
        <v>12325828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977061</v>
      </c>
      <c r="E117" s="53"/>
      <c r="F117" s="50">
        <f>SUM(C117:E117)</f>
        <v>977061</v>
      </c>
    </row>
    <row r="118" spans="1:6" x14ac:dyDescent="0.2">
      <c r="B118" s="14" t="s">
        <v>35</v>
      </c>
      <c r="C118" s="5">
        <f>SUM(C109:C116)</f>
        <v>12325828</v>
      </c>
      <c r="D118" s="5">
        <f>SUM(D109:D116)</f>
        <v>0</v>
      </c>
      <c r="E118" s="5">
        <f>SUM(E109:E116)</f>
        <v>0</v>
      </c>
      <c r="F118" s="5">
        <f>SUM(F109:F116)</f>
        <v>12325828</v>
      </c>
    </row>
    <row r="119" spans="1:6" ht="15" thickBot="1" x14ac:dyDescent="0.25"/>
    <row r="120" spans="1:6" ht="15" thickBot="1" x14ac:dyDescent="0.25">
      <c r="B120" s="57" t="s">
        <v>942</v>
      </c>
      <c r="C120" s="55"/>
      <c r="D120" s="55"/>
      <c r="E120" s="55">
        <f>IF(F3="1",SUMIF(Data!A:A,'25'!$A$2,Data!AM:AM),0)</f>
        <v>679023</v>
      </c>
      <c r="F120" s="56">
        <f>SUM(C120:E120)</f>
        <v>679023</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4.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444</v>
      </c>
      <c r="B2" s="60" t="str">
        <f>VLOOKUP(A2,Data!A:G,7,0)</f>
        <v>Lone Star College System District</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41660</v>
      </c>
      <c r="E5" s="16">
        <f>E36+E67+IFERROR($E$105/$D$105*D5,0)</f>
        <v>321342.10438261123</v>
      </c>
      <c r="F5" s="21">
        <f>IFERROR(E5/D5,"")</f>
        <v>7.7134446563276819</v>
      </c>
    </row>
    <row r="6" spans="1:6" x14ac:dyDescent="0.2">
      <c r="A6" s="20">
        <v>2</v>
      </c>
      <c r="B6" s="184" t="s">
        <v>1</v>
      </c>
      <c r="C6" s="185"/>
      <c r="D6" s="15">
        <f t="shared" ref="D6:D32" si="0">D37</f>
        <v>179637</v>
      </c>
      <c r="E6" s="18">
        <f t="shared" ref="E6:E32" si="1">E37+E68+IFERROR($E$105/$D$105*D6,0)</f>
        <v>1788555.41706623</v>
      </c>
      <c r="F6" s="22">
        <f t="shared" ref="F6:F33" si="2">IFERROR(E6/D6,"")</f>
        <v>9.9564979211756484</v>
      </c>
    </row>
    <row r="7" spans="1:6" ht="14.25" customHeight="1" x14ac:dyDescent="0.2">
      <c r="A7" s="20">
        <v>3</v>
      </c>
      <c r="B7" s="184" t="s">
        <v>2</v>
      </c>
      <c r="C7" s="185"/>
      <c r="D7" s="15">
        <f t="shared" si="0"/>
        <v>2429056</v>
      </c>
      <c r="E7" s="18">
        <f t="shared" si="1"/>
        <v>20682256.223312724</v>
      </c>
      <c r="F7" s="22">
        <f t="shared" si="2"/>
        <v>8.5145242527602178</v>
      </c>
    </row>
    <row r="8" spans="1:6" ht="14.25" customHeight="1" x14ac:dyDescent="0.2">
      <c r="A8" s="20">
        <v>4</v>
      </c>
      <c r="B8" s="184" t="s">
        <v>3</v>
      </c>
      <c r="C8" s="185"/>
      <c r="D8" s="15">
        <f t="shared" si="0"/>
        <v>989172</v>
      </c>
      <c r="E8" s="18">
        <f t="shared" si="1"/>
        <v>8760411.7953998148</v>
      </c>
      <c r="F8" s="22">
        <f t="shared" si="2"/>
        <v>8.8563078973119076</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179316</v>
      </c>
      <c r="E10" s="18">
        <f t="shared" si="1"/>
        <v>1127606.1701745635</v>
      </c>
      <c r="F10" s="22">
        <f t="shared" si="2"/>
        <v>6.2883745464686003</v>
      </c>
    </row>
    <row r="11" spans="1:6" x14ac:dyDescent="0.2">
      <c r="A11" s="20">
        <v>7</v>
      </c>
      <c r="B11" s="184" t="s">
        <v>6</v>
      </c>
      <c r="C11" s="185"/>
      <c r="D11" s="15">
        <f t="shared" si="0"/>
        <v>935061</v>
      </c>
      <c r="E11" s="18">
        <f t="shared" si="1"/>
        <v>8338945.6254466837</v>
      </c>
      <c r="F11" s="22">
        <f t="shared" si="2"/>
        <v>8.9180766018972921</v>
      </c>
    </row>
    <row r="12" spans="1:6" x14ac:dyDescent="0.2">
      <c r="A12" s="20">
        <v>8</v>
      </c>
      <c r="B12" s="184" t="s">
        <v>7</v>
      </c>
      <c r="C12" s="185"/>
      <c r="D12" s="15">
        <f t="shared" si="0"/>
        <v>12352</v>
      </c>
      <c r="E12" s="18">
        <f t="shared" si="1"/>
        <v>118491.36325813763</v>
      </c>
      <c r="F12" s="22">
        <f t="shared" si="2"/>
        <v>9.5928888648103658</v>
      </c>
    </row>
    <row r="13" spans="1:6" x14ac:dyDescent="0.2">
      <c r="A13" s="20">
        <v>9</v>
      </c>
      <c r="B13" s="184" t="s">
        <v>8</v>
      </c>
      <c r="C13" s="185"/>
      <c r="D13" s="15">
        <f t="shared" si="0"/>
        <v>364056</v>
      </c>
      <c r="E13" s="18">
        <f t="shared" si="1"/>
        <v>2837795.9700699933</v>
      </c>
      <c r="F13" s="22">
        <f t="shared" si="2"/>
        <v>7.7949435528325131</v>
      </c>
    </row>
    <row r="14" spans="1:6" x14ac:dyDescent="0.2">
      <c r="A14" s="20">
        <v>10</v>
      </c>
      <c r="B14" s="184" t="s">
        <v>9</v>
      </c>
      <c r="C14" s="185"/>
      <c r="D14" s="15">
        <f t="shared" si="0"/>
        <v>552</v>
      </c>
      <c r="E14" s="18">
        <f t="shared" si="1"/>
        <v>6171.2189538934563</v>
      </c>
      <c r="F14" s="22">
        <f t="shared" si="2"/>
        <v>11.179744481691044</v>
      </c>
    </row>
    <row r="15" spans="1:6" x14ac:dyDescent="0.2">
      <c r="A15" s="20">
        <v>11</v>
      </c>
      <c r="B15" s="184" t="s">
        <v>10</v>
      </c>
      <c r="C15" s="185"/>
      <c r="D15" s="15">
        <f t="shared" si="0"/>
        <v>349052</v>
      </c>
      <c r="E15" s="18">
        <f t="shared" si="1"/>
        <v>3588279.6418377152</v>
      </c>
      <c r="F15" s="22">
        <f t="shared" si="2"/>
        <v>10.280071857023353</v>
      </c>
    </row>
    <row r="16" spans="1:6" ht="14.25" customHeight="1" x14ac:dyDescent="0.2">
      <c r="A16" s="20">
        <v>12</v>
      </c>
      <c r="B16" s="184" t="s">
        <v>11</v>
      </c>
      <c r="C16" s="185"/>
      <c r="D16" s="15">
        <f t="shared" si="0"/>
        <v>3404497</v>
      </c>
      <c r="E16" s="18">
        <f t="shared" si="1"/>
        <v>31557111.822234441</v>
      </c>
      <c r="F16" s="22">
        <f t="shared" si="2"/>
        <v>9.2692435394228401</v>
      </c>
    </row>
    <row r="17" spans="1:6" x14ac:dyDescent="0.2">
      <c r="A17" s="20">
        <v>13</v>
      </c>
      <c r="B17" s="184" t="s">
        <v>12</v>
      </c>
      <c r="C17" s="185"/>
      <c r="D17" s="15">
        <f t="shared" si="0"/>
        <v>459730</v>
      </c>
      <c r="E17" s="18">
        <f t="shared" si="1"/>
        <v>3791684.9704228966</v>
      </c>
      <c r="F17" s="22">
        <f t="shared" si="2"/>
        <v>8.2476344167726641</v>
      </c>
    </row>
    <row r="18" spans="1:6" ht="14.25" customHeight="1" x14ac:dyDescent="0.2">
      <c r="A18" s="20">
        <v>14</v>
      </c>
      <c r="B18" s="184" t="s">
        <v>469</v>
      </c>
      <c r="C18" s="185"/>
      <c r="D18" s="15">
        <f t="shared" si="0"/>
        <v>550434</v>
      </c>
      <c r="E18" s="18">
        <f t="shared" si="1"/>
        <v>7375792.5718612149</v>
      </c>
      <c r="F18" s="22">
        <f t="shared" si="2"/>
        <v>13.399958163669423</v>
      </c>
    </row>
    <row r="19" spans="1:6" x14ac:dyDescent="0.2">
      <c r="A19" s="20">
        <v>15</v>
      </c>
      <c r="B19" s="184" t="s">
        <v>13</v>
      </c>
      <c r="C19" s="185"/>
      <c r="D19" s="15">
        <f t="shared" si="0"/>
        <v>21096</v>
      </c>
      <c r="E19" s="18">
        <f t="shared" si="1"/>
        <v>519606.0200205369</v>
      </c>
      <c r="F19" s="22">
        <f t="shared" si="2"/>
        <v>24.630547024105844</v>
      </c>
    </row>
    <row r="20" spans="1:6" x14ac:dyDescent="0.2">
      <c r="A20" s="20">
        <v>16</v>
      </c>
      <c r="B20" s="184" t="s">
        <v>14</v>
      </c>
      <c r="C20" s="185"/>
      <c r="D20" s="15">
        <f t="shared" si="0"/>
        <v>572337</v>
      </c>
      <c r="E20" s="18">
        <f t="shared" si="1"/>
        <v>6545441.9228523895</v>
      </c>
      <c r="F20" s="22">
        <f t="shared" si="2"/>
        <v>11.436342439598331</v>
      </c>
    </row>
    <row r="21" spans="1:6" x14ac:dyDescent="0.2">
      <c r="A21" s="20">
        <v>17</v>
      </c>
      <c r="B21" s="184" t="s">
        <v>15</v>
      </c>
      <c r="C21" s="185"/>
      <c r="D21" s="15">
        <f t="shared" si="0"/>
        <v>76336</v>
      </c>
      <c r="E21" s="18">
        <f t="shared" si="1"/>
        <v>1043201.4820007444</v>
      </c>
      <c r="F21" s="22">
        <f t="shared" si="2"/>
        <v>13.665917548741675</v>
      </c>
    </row>
    <row r="22" spans="1:6" x14ac:dyDescent="0.2">
      <c r="A22" s="20">
        <v>18</v>
      </c>
      <c r="B22" s="184" t="s">
        <v>16</v>
      </c>
      <c r="C22" s="185"/>
      <c r="D22" s="15">
        <f t="shared" si="0"/>
        <v>137648</v>
      </c>
      <c r="E22" s="18">
        <f t="shared" si="1"/>
        <v>1438201.35247378</v>
      </c>
      <c r="F22" s="22">
        <f t="shared" si="2"/>
        <v>10.448399922075003</v>
      </c>
    </row>
    <row r="23" spans="1:6" x14ac:dyDescent="0.2">
      <c r="A23" s="20">
        <v>19</v>
      </c>
      <c r="B23" s="184" t="s">
        <v>17</v>
      </c>
      <c r="C23" s="185"/>
      <c r="D23" s="15">
        <f t="shared" si="0"/>
        <v>2660056</v>
      </c>
      <c r="E23" s="18">
        <f t="shared" si="1"/>
        <v>21771593.28553988</v>
      </c>
      <c r="F23" s="22">
        <f t="shared" si="2"/>
        <v>8.1846371976905292</v>
      </c>
    </row>
    <row r="24" spans="1:6" x14ac:dyDescent="0.2">
      <c r="A24" s="20">
        <v>20</v>
      </c>
      <c r="B24" s="184" t="s">
        <v>18</v>
      </c>
      <c r="C24" s="185"/>
      <c r="D24" s="15">
        <f t="shared" si="0"/>
        <v>58736</v>
      </c>
      <c r="E24" s="18">
        <f t="shared" si="1"/>
        <v>632344.18202153267</v>
      </c>
      <c r="F24" s="22">
        <f t="shared" si="2"/>
        <v>10.76587070998251</v>
      </c>
    </row>
    <row r="25" spans="1:6" ht="14.25" customHeight="1" x14ac:dyDescent="0.2">
      <c r="A25" s="20">
        <v>21</v>
      </c>
      <c r="B25" s="184" t="s">
        <v>466</v>
      </c>
      <c r="C25" s="185"/>
      <c r="D25" s="15">
        <f t="shared" si="0"/>
        <v>20429</v>
      </c>
      <c r="E25" s="18">
        <f t="shared" si="1"/>
        <v>410148.67211791564</v>
      </c>
      <c r="F25" s="22">
        <f t="shared" si="2"/>
        <v>20.076786534725912</v>
      </c>
    </row>
    <row r="26" spans="1:6" x14ac:dyDescent="0.2">
      <c r="A26" s="20">
        <v>22</v>
      </c>
      <c r="B26" s="184" t="s">
        <v>19</v>
      </c>
      <c r="C26" s="185"/>
      <c r="D26" s="15">
        <f t="shared" si="0"/>
        <v>21152</v>
      </c>
      <c r="E26" s="18">
        <f t="shared" si="1"/>
        <v>204235.01324774348</v>
      </c>
      <c r="F26" s="22">
        <f t="shared" si="2"/>
        <v>9.6555887503660873</v>
      </c>
    </row>
    <row r="27" spans="1:6" x14ac:dyDescent="0.2">
      <c r="A27" s="20">
        <v>23</v>
      </c>
      <c r="B27" s="184" t="s">
        <v>20</v>
      </c>
      <c r="C27" s="185"/>
      <c r="D27" s="15">
        <f t="shared" si="0"/>
        <v>412864</v>
      </c>
      <c r="E27" s="18">
        <f t="shared" si="1"/>
        <v>4065056.9242396159</v>
      </c>
      <c r="F27" s="22">
        <f t="shared" si="2"/>
        <v>9.8459951079280721</v>
      </c>
    </row>
    <row r="28" spans="1:6" x14ac:dyDescent="0.2">
      <c r="A28" s="20">
        <v>24</v>
      </c>
      <c r="B28" s="184" t="s">
        <v>21</v>
      </c>
      <c r="C28" s="185"/>
      <c r="D28" s="15">
        <f t="shared" si="0"/>
        <v>317889</v>
      </c>
      <c r="E28" s="18">
        <f t="shared" si="1"/>
        <v>2660878.1250620233</v>
      </c>
      <c r="F28" s="22">
        <f t="shared" si="2"/>
        <v>8.3704630391804162</v>
      </c>
    </row>
    <row r="29" spans="1:6" x14ac:dyDescent="0.2">
      <c r="A29" s="20">
        <v>25</v>
      </c>
      <c r="B29" s="184" t="s">
        <v>22</v>
      </c>
      <c r="C29" s="185"/>
      <c r="D29" s="15">
        <f t="shared" si="0"/>
        <v>3330312</v>
      </c>
      <c r="E29" s="18">
        <f t="shared" si="1"/>
        <v>26811744.508657292</v>
      </c>
      <c r="F29" s="22">
        <f t="shared" si="2"/>
        <v>8.0508206164038967</v>
      </c>
    </row>
    <row r="30" spans="1:6" x14ac:dyDescent="0.2">
      <c r="A30" s="20">
        <v>26</v>
      </c>
      <c r="B30" s="184" t="s">
        <v>23</v>
      </c>
      <c r="C30" s="185"/>
      <c r="D30" s="15">
        <f t="shared" si="0"/>
        <v>929222</v>
      </c>
      <c r="E30" s="18">
        <f t="shared" si="1"/>
        <v>10467950.617345626</v>
      </c>
      <c r="F30" s="22">
        <f t="shared" si="2"/>
        <v>11.265284955958453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18452652</v>
      </c>
      <c r="E33" s="32">
        <f>SUM(E5:E32)</f>
        <v>166864847</v>
      </c>
      <c r="F33" s="33">
        <f t="shared" si="2"/>
        <v>9.0428653290594756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IF(F3="1",SUMIF(Data!A:A,'26'!$A$2,Data!CU:CU),0)</f>
        <v>41660</v>
      </c>
      <c r="E36" s="16">
        <f>IF(F3="1",SUMIF(Data!$A:$A,'26'!$A$2,Data!IO:IO),0)</f>
        <v>36919</v>
      </c>
      <c r="F36" s="21">
        <f t="shared" ref="F36:F64" si="3">IFERROR(E36/D36,"")</f>
        <v>0.88619779164666346</v>
      </c>
    </row>
    <row r="37" spans="1:6" x14ac:dyDescent="0.2">
      <c r="A37" s="20">
        <v>2</v>
      </c>
      <c r="B37" s="184" t="s">
        <v>1</v>
      </c>
      <c r="C37" s="185"/>
      <c r="D37" s="15">
        <f>IF(F3="1",SUMIF(Data!A:A,'26'!$A$2,Data!CV:CV),0)</f>
        <v>179637</v>
      </c>
      <c r="E37" s="18">
        <f>IF(F3="1",SUMIF(Data!$A:$A,'26'!$A$2,Data!IP:IP),0)</f>
        <v>190608</v>
      </c>
      <c r="F37" s="22">
        <f t="shared" si="3"/>
        <v>1.0610731642144993</v>
      </c>
    </row>
    <row r="38" spans="1:6" ht="14.25" customHeight="1" x14ac:dyDescent="0.2">
      <c r="A38" s="20">
        <v>3</v>
      </c>
      <c r="B38" s="184" t="s">
        <v>2</v>
      </c>
      <c r="C38" s="185"/>
      <c r="D38" s="15">
        <f>IF(F3="1",SUMIF(Data!A:A,'26'!$A$2,Data!CW:CW),0)</f>
        <v>2429056</v>
      </c>
      <c r="E38" s="18">
        <f>IF(F3="1",SUMIF(Data!$A:$A,'26'!$A$2,Data!IQ:IQ),0)</f>
        <v>2122625</v>
      </c>
      <c r="F38" s="22">
        <f t="shared" si="3"/>
        <v>0.87384770050587557</v>
      </c>
    </row>
    <row r="39" spans="1:6" ht="14.25" customHeight="1" x14ac:dyDescent="0.2">
      <c r="A39" s="20">
        <v>4</v>
      </c>
      <c r="B39" s="184" t="s">
        <v>3</v>
      </c>
      <c r="C39" s="185"/>
      <c r="D39" s="15">
        <f>IF(F3="1",SUMIF(Data!A:A,'26'!$A$2,Data!CX:CX),0)</f>
        <v>989172</v>
      </c>
      <c r="E39" s="18">
        <f>IF(F3="1",SUMIF(Data!$A:$A,'26'!$A$2,Data!IR:IR),0)</f>
        <v>493201</v>
      </c>
      <c r="F39" s="22">
        <f t="shared" si="3"/>
        <v>0.49859983905731259</v>
      </c>
    </row>
    <row r="40" spans="1:6" x14ac:dyDescent="0.2">
      <c r="A40" s="20">
        <v>5</v>
      </c>
      <c r="B40" s="184" t="s">
        <v>4</v>
      </c>
      <c r="C40" s="185"/>
      <c r="D40" s="15">
        <f>IF(F3="1",SUMIF(Data!A:A,'26'!$A$2,Data!CY:CY),0)</f>
        <v>0</v>
      </c>
      <c r="E40" s="18">
        <f>IF(F3="1",SUMIF(Data!$A:$A,'26'!$A$2,Data!IS:IS),0)</f>
        <v>0</v>
      </c>
      <c r="F40" s="22" t="str">
        <f t="shared" si="3"/>
        <v/>
      </c>
    </row>
    <row r="41" spans="1:6" x14ac:dyDescent="0.2">
      <c r="A41" s="20">
        <v>6</v>
      </c>
      <c r="B41" s="184" t="s">
        <v>5</v>
      </c>
      <c r="C41" s="185"/>
      <c r="D41" s="15">
        <f>IF(F3="1",SUMIF(Data!A:A,'26'!$A$2,Data!CZ:CZ),0)</f>
        <v>179316</v>
      </c>
      <c r="E41" s="18">
        <f>IF(F3="1",SUMIF(Data!$A:$A,'26'!$A$2,Data!IT:IT),0)</f>
        <v>64927</v>
      </c>
      <c r="F41" s="22">
        <f t="shared" si="3"/>
        <v>0.36208146512302303</v>
      </c>
    </row>
    <row r="42" spans="1:6" x14ac:dyDescent="0.2">
      <c r="A42" s="20">
        <v>7</v>
      </c>
      <c r="B42" s="184" t="s">
        <v>6</v>
      </c>
      <c r="C42" s="185"/>
      <c r="D42" s="15">
        <f>IF(F3="1",SUMIF(Data!A:A,'26'!$A$2,Data!DA:DA),0)</f>
        <v>935061</v>
      </c>
      <c r="E42" s="18">
        <f>IF(F3="1",SUMIF(Data!$A:$A,'26'!$A$2,Data!IU:IU),0)</f>
        <v>560749</v>
      </c>
      <c r="F42" s="22">
        <f t="shared" si="3"/>
        <v>0.59969242648340593</v>
      </c>
    </row>
    <row r="43" spans="1:6" x14ac:dyDescent="0.2">
      <c r="A43" s="20">
        <v>8</v>
      </c>
      <c r="B43" s="184" t="s">
        <v>7</v>
      </c>
      <c r="C43" s="185"/>
      <c r="D43" s="15">
        <f>IF(F3="1",SUMIF(Data!A:A,'26'!$A$2,Data!DB:DB),0)</f>
        <v>12352</v>
      </c>
      <c r="E43" s="18">
        <f>IF(F3="1",SUMIF(Data!$A:$A,'26'!$A$2,Data!IV:IV),0)</f>
        <v>8732</v>
      </c>
      <c r="F43" s="22">
        <f t="shared" si="3"/>
        <v>0.70693005181347146</v>
      </c>
    </row>
    <row r="44" spans="1:6" x14ac:dyDescent="0.2">
      <c r="A44" s="20">
        <v>9</v>
      </c>
      <c r="B44" s="184" t="s">
        <v>8</v>
      </c>
      <c r="C44" s="185"/>
      <c r="D44" s="15">
        <f>IF(F3="1",SUMIF(Data!A:A,'26'!$A$2,Data!DC:DC),0)</f>
        <v>364056</v>
      </c>
      <c r="E44" s="18">
        <f>IF(F3="1",SUMIF(Data!$A:$A,'26'!$A$2,Data!IW:IW),0)</f>
        <v>135423</v>
      </c>
      <c r="F44" s="22">
        <f t="shared" si="3"/>
        <v>0.37198398048651854</v>
      </c>
    </row>
    <row r="45" spans="1:6" x14ac:dyDescent="0.2">
      <c r="A45" s="20">
        <v>10</v>
      </c>
      <c r="B45" s="184" t="s">
        <v>9</v>
      </c>
      <c r="C45" s="185"/>
      <c r="D45" s="15">
        <f>IF(F3="1",SUMIF(Data!A:A,'26'!$A$2,Data!DD:DD),0)</f>
        <v>552</v>
      </c>
      <c r="E45" s="18">
        <f>IF(F3="1",SUMIF(Data!$A:$A,'26'!$A$2,Data!IX:IX),0)</f>
        <v>1754</v>
      </c>
      <c r="F45" s="22">
        <f t="shared" si="3"/>
        <v>3.1775362318840581</v>
      </c>
    </row>
    <row r="46" spans="1:6" x14ac:dyDescent="0.2">
      <c r="A46" s="20">
        <v>11</v>
      </c>
      <c r="B46" s="184" t="s">
        <v>10</v>
      </c>
      <c r="C46" s="185"/>
      <c r="D46" s="15">
        <f>IF(F3="1",SUMIF(Data!A:A,'26'!$A$2,Data!DE:DE),0)</f>
        <v>349052</v>
      </c>
      <c r="E46" s="18">
        <f>IF(F3="1",SUMIF(Data!$A:$A,'26'!$A$2,Data!IY:IY),0)</f>
        <v>440566</v>
      </c>
      <c r="F46" s="22">
        <f t="shared" si="3"/>
        <v>1.2621787011677343</v>
      </c>
    </row>
    <row r="47" spans="1:6" ht="14.25" customHeight="1" x14ac:dyDescent="0.2">
      <c r="A47" s="20">
        <v>12</v>
      </c>
      <c r="B47" s="184" t="s">
        <v>11</v>
      </c>
      <c r="C47" s="185"/>
      <c r="D47" s="15">
        <f>IF(F3="1",SUMIF(Data!A:A,'26'!$A$2,Data!DF:DF),0)</f>
        <v>3404497</v>
      </c>
      <c r="E47" s="18">
        <f>IF(F3="1",SUMIF(Data!$A:$A,'26'!$A$2,Data!IZ:IZ),0)</f>
        <v>2353006</v>
      </c>
      <c r="F47" s="22">
        <f t="shared" si="3"/>
        <v>0.69114644542204029</v>
      </c>
    </row>
    <row r="48" spans="1:6" x14ac:dyDescent="0.2">
      <c r="A48" s="20">
        <v>13</v>
      </c>
      <c r="B48" s="184" t="s">
        <v>12</v>
      </c>
      <c r="C48" s="185"/>
      <c r="D48" s="15">
        <f>IF(F3="1",SUMIF(Data!A:A,'26'!$A$2,Data!DG:DG),0)</f>
        <v>459730</v>
      </c>
      <c r="E48" s="18">
        <f>IF(F3="1",SUMIF(Data!$A:$A,'26'!$A$2,Data!JA:JA),0)</f>
        <v>212140</v>
      </c>
      <c r="F48" s="22">
        <f t="shared" si="3"/>
        <v>0.46144476105540211</v>
      </c>
    </row>
    <row r="49" spans="1:6" ht="14.25" customHeight="1" x14ac:dyDescent="0.2">
      <c r="A49" s="20">
        <v>14</v>
      </c>
      <c r="B49" s="184" t="s">
        <v>469</v>
      </c>
      <c r="C49" s="185"/>
      <c r="D49" s="15">
        <f>IF(F3="1",SUMIF(Data!A:A,'26'!$A$2,Data!DH:DH),0)</f>
        <v>550434</v>
      </c>
      <c r="E49" s="18">
        <f>IF(F3="1",SUMIF(Data!$A:$A,'26'!$A$2,Data!JB:JB),0)</f>
        <v>968816</v>
      </c>
      <c r="F49" s="22">
        <f t="shared" si="3"/>
        <v>1.7600947615881286</v>
      </c>
    </row>
    <row r="50" spans="1:6" x14ac:dyDescent="0.2">
      <c r="A50" s="20">
        <v>15</v>
      </c>
      <c r="B50" s="184" t="s">
        <v>13</v>
      </c>
      <c r="C50" s="185"/>
      <c r="D50" s="15">
        <f>IF(F3="1",SUMIF(Data!A:A,'26'!$A$2,Data!DI:DI),0)</f>
        <v>21096</v>
      </c>
      <c r="E50" s="18">
        <f>IF(F3="1",SUMIF(Data!$A:$A,'26'!$A$2,Data!JC:JC),0)</f>
        <v>146831</v>
      </c>
      <c r="F50" s="22">
        <f t="shared" si="3"/>
        <v>6.9601346226772849</v>
      </c>
    </row>
    <row r="51" spans="1:6" x14ac:dyDescent="0.2">
      <c r="A51" s="20">
        <v>16</v>
      </c>
      <c r="B51" s="184" t="s">
        <v>14</v>
      </c>
      <c r="C51" s="185"/>
      <c r="D51" s="15">
        <f>IF(F3="1",SUMIF(Data!A:A,'26'!$A$2,Data!DJ:DJ),0)</f>
        <v>572337</v>
      </c>
      <c r="E51" s="18">
        <f>IF(F3="1",SUMIF(Data!$A:$A,'26'!$A$2,Data!JD:JD),0)</f>
        <v>1128427</v>
      </c>
      <c r="F51" s="22">
        <f t="shared" si="3"/>
        <v>1.9716128784265214</v>
      </c>
    </row>
    <row r="52" spans="1:6" x14ac:dyDescent="0.2">
      <c r="A52" s="20">
        <v>17</v>
      </c>
      <c r="B52" s="184" t="s">
        <v>15</v>
      </c>
      <c r="C52" s="185"/>
      <c r="D52" s="15">
        <f>IF(F3="1",SUMIF(Data!A:A,'26'!$A$2,Data!DK:DK),0)</f>
        <v>76336</v>
      </c>
      <c r="E52" s="18">
        <f>IF(F3="1",SUMIF(Data!$A:$A,'26'!$A$2,Data!JE:JE),0)</f>
        <v>74287</v>
      </c>
      <c r="F52" s="22">
        <f t="shared" si="3"/>
        <v>0.97315814294697134</v>
      </c>
    </row>
    <row r="53" spans="1:6" x14ac:dyDescent="0.2">
      <c r="A53" s="20">
        <v>18</v>
      </c>
      <c r="B53" s="184" t="s">
        <v>16</v>
      </c>
      <c r="C53" s="185"/>
      <c r="D53" s="15">
        <f>IF(F3="1",SUMIF(Data!A:A,'26'!$A$2,Data!DL:DL),0)</f>
        <v>137648</v>
      </c>
      <c r="E53" s="18">
        <f>IF(F3="1",SUMIF(Data!$A:$A,'26'!$A$2,Data!JF:JF),0)</f>
        <v>100085</v>
      </c>
      <c r="F53" s="22">
        <f t="shared" si="3"/>
        <v>0.727108276182727</v>
      </c>
    </row>
    <row r="54" spans="1:6" x14ac:dyDescent="0.2">
      <c r="A54" s="20">
        <v>19</v>
      </c>
      <c r="B54" s="184" t="s">
        <v>17</v>
      </c>
      <c r="C54" s="185"/>
      <c r="D54" s="15">
        <f>IF(F3="1",SUMIF(Data!A:A,'26'!$A$2,Data!DM:DM),0)</f>
        <v>2660056</v>
      </c>
      <c r="E54" s="18">
        <f>IF(F3="1",SUMIF(Data!$A:$A,'26'!$A$2,Data!JG:JG),0)</f>
        <v>1614766</v>
      </c>
      <c r="F54" s="22">
        <f t="shared" si="3"/>
        <v>0.6070421073842055</v>
      </c>
    </row>
    <row r="55" spans="1:6" x14ac:dyDescent="0.2">
      <c r="A55" s="20">
        <v>20</v>
      </c>
      <c r="B55" s="184" t="s">
        <v>18</v>
      </c>
      <c r="C55" s="185"/>
      <c r="D55" s="15">
        <f>IF(F3="1",SUMIF(Data!A:A,'26'!$A$2,Data!DN:DN),0)</f>
        <v>58736</v>
      </c>
      <c r="E55" s="18">
        <f>IF(F3="1",SUMIF(Data!$A:$A,'26'!$A$2,Data!JH:JH),0)</f>
        <v>67374</v>
      </c>
      <c r="F55" s="22">
        <f t="shared" si="3"/>
        <v>1.1470648324707164</v>
      </c>
    </row>
    <row r="56" spans="1:6" ht="14.25" customHeight="1" x14ac:dyDescent="0.2">
      <c r="A56" s="20">
        <v>21</v>
      </c>
      <c r="B56" s="184" t="s">
        <v>466</v>
      </c>
      <c r="C56" s="185"/>
      <c r="D56" s="15">
        <f>IF(F3="1",SUMIF(Data!A:A,'26'!$A$2,Data!DO:DO),0)</f>
        <v>20429</v>
      </c>
      <c r="E56" s="18">
        <f>IF(F3="1",SUMIF(Data!$A:$A,'26'!$A$2,Data!JI:JI),0)</f>
        <v>140435</v>
      </c>
      <c r="F56" s="22">
        <f t="shared" si="3"/>
        <v>6.8742963434333548</v>
      </c>
    </row>
    <row r="57" spans="1:6" x14ac:dyDescent="0.2">
      <c r="A57" s="20">
        <v>22</v>
      </c>
      <c r="B57" s="184" t="s">
        <v>19</v>
      </c>
      <c r="C57" s="185"/>
      <c r="D57" s="15">
        <f>IF(F3="1",SUMIF(Data!A:A,'26'!$A$2,Data!DP:DP),0)</f>
        <v>21152</v>
      </c>
      <c r="E57" s="18">
        <f>IF(F3="1",SUMIF(Data!$A:$A,'26'!$A$2,Data!JJ:JJ),0)</f>
        <v>16361</v>
      </c>
      <c r="F57" s="22">
        <f t="shared" si="3"/>
        <v>0.77349659606656584</v>
      </c>
    </row>
    <row r="58" spans="1:6" x14ac:dyDescent="0.2">
      <c r="A58" s="20">
        <v>23</v>
      </c>
      <c r="B58" s="184" t="s">
        <v>20</v>
      </c>
      <c r="C58" s="185"/>
      <c r="D58" s="15">
        <f>IF(F3="1",SUMIF(Data!A:A,'26'!$A$2,Data!DQ:DQ),0)</f>
        <v>412864</v>
      </c>
      <c r="E58" s="18">
        <f>IF(F3="1",SUMIF(Data!$A:$A,'26'!$A$2,Data!JK:JK),0)</f>
        <v>494415</v>
      </c>
      <c r="F58" s="22">
        <f t="shared" si="3"/>
        <v>1.1975250930088359</v>
      </c>
    </row>
    <row r="59" spans="1:6" x14ac:dyDescent="0.2">
      <c r="A59" s="20">
        <v>24</v>
      </c>
      <c r="B59" s="184" t="s">
        <v>21</v>
      </c>
      <c r="C59" s="185"/>
      <c r="D59" s="15">
        <f>IF(F3="1",SUMIF(Data!A:A,'26'!$A$2,Data!DR:DR),0)</f>
        <v>317889</v>
      </c>
      <c r="E59" s="18">
        <f>IF(F3="1",SUMIF(Data!$A:$A,'26'!$A$2,Data!JL:JL),0)</f>
        <v>518795</v>
      </c>
      <c r="F59" s="22">
        <f t="shared" si="3"/>
        <v>1.6320004781543243</v>
      </c>
    </row>
    <row r="60" spans="1:6" x14ac:dyDescent="0.2">
      <c r="A60" s="20">
        <v>25</v>
      </c>
      <c r="B60" s="184" t="s">
        <v>22</v>
      </c>
      <c r="C60" s="185"/>
      <c r="D60" s="15">
        <f>IF(F3="1",SUMIF(Data!A:A,'26'!$A$2,Data!DS:DS),0)</f>
        <v>3330312</v>
      </c>
      <c r="E60" s="18">
        <f>IF(F3="1",SUMIF(Data!$A:$A,'26'!$A$2,Data!JM:JM),0)</f>
        <v>1448281</v>
      </c>
      <c r="F60" s="22">
        <f t="shared" si="3"/>
        <v>0.43487847384869643</v>
      </c>
    </row>
    <row r="61" spans="1:6" x14ac:dyDescent="0.2">
      <c r="A61" s="20">
        <v>26</v>
      </c>
      <c r="B61" s="184" t="s">
        <v>23</v>
      </c>
      <c r="C61" s="185"/>
      <c r="D61" s="15">
        <f>IF(F3="1",SUMIF(Data!A:A,'26'!$A$2,Data!DT:DT),0)</f>
        <v>929222</v>
      </c>
      <c r="E61" s="18">
        <f>IF(F3="1",SUMIF(Data!$A:$A,'26'!$A$2,Data!JN:JN),0)</f>
        <v>1331397</v>
      </c>
      <c r="F61" s="22">
        <f t="shared" si="3"/>
        <v>1.4328083063035528</v>
      </c>
    </row>
    <row r="62" spans="1:6" x14ac:dyDescent="0.2">
      <c r="A62" s="20">
        <v>28</v>
      </c>
      <c r="B62" s="184" t="s">
        <v>24</v>
      </c>
      <c r="C62" s="185"/>
      <c r="D62" s="15">
        <f>IF(F3="1",SUMIF(Data!A:A,'26'!$A$2,Data!DV:DV),0)</f>
        <v>0</v>
      </c>
      <c r="E62" s="18">
        <f>IF(F3="1",SUMIF(Data!$A:$A,'26'!$A$2,Data!JP:JP),0)</f>
        <v>0</v>
      </c>
      <c r="F62" s="22" t="str">
        <f t="shared" si="3"/>
        <v/>
      </c>
    </row>
    <row r="63" spans="1:6" ht="15.75" customHeight="1" thickBot="1" x14ac:dyDescent="0.25">
      <c r="A63" s="23">
        <v>29</v>
      </c>
      <c r="B63" s="186" t="s">
        <v>25</v>
      </c>
      <c r="C63" s="187"/>
      <c r="D63" s="24">
        <f>IF(F3="1",SUMIF(Data!A:A,'26'!$A$2,Data!DW:DW),0)</f>
        <v>0</v>
      </c>
      <c r="E63" s="25">
        <f>IF(F3="1",SUMIF(Data!$A:$A,'26'!$A$2,Data!JQ:JQ),0)</f>
        <v>0</v>
      </c>
      <c r="F63" s="26" t="str">
        <f t="shared" si="3"/>
        <v/>
      </c>
    </row>
    <row r="64" spans="1:6" x14ac:dyDescent="0.2">
      <c r="B64" s="31" t="s">
        <v>35</v>
      </c>
      <c r="C64" s="31"/>
      <c r="D64" s="61">
        <f>SUM(D36:D63)</f>
        <v>18452652</v>
      </c>
      <c r="E64" s="32">
        <f>SUM(E36:E63)</f>
        <v>14670920</v>
      </c>
      <c r="F64" s="33">
        <f t="shared" si="3"/>
        <v>0.79505753427745773</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41660</v>
      </c>
      <c r="E67" s="16">
        <f>IF(F3="1",SUMIF(Data!A:A,'26'!$A$2,Data!DY:DY),0)</f>
        <v>88031</v>
      </c>
      <c r="F67" s="21">
        <f>IFERROR(E67/D67,"")</f>
        <v>2.1130820931349015</v>
      </c>
    </row>
    <row r="68" spans="1:6" x14ac:dyDescent="0.2">
      <c r="A68" s="20">
        <v>2</v>
      </c>
      <c r="B68" s="184" t="s">
        <v>1</v>
      </c>
      <c r="C68" s="185"/>
      <c r="D68" s="15">
        <f t="shared" ref="D68:D94" si="4">D37</f>
        <v>179637</v>
      </c>
      <c r="E68" s="18">
        <f>IF(F3="1",SUMIF(Data!A:A,'26'!$A$2,Data!DZ:DZ),0)</f>
        <v>751109</v>
      </c>
      <c r="F68" s="22">
        <f t="shared" ref="F68:F95" si="5">IFERROR(E68/D68,"")</f>
        <v>4.1812599854150312</v>
      </c>
    </row>
    <row r="69" spans="1:6" ht="14.25" customHeight="1" x14ac:dyDescent="0.2">
      <c r="A69" s="20">
        <v>3</v>
      </c>
      <c r="B69" s="184" t="s">
        <v>2</v>
      </c>
      <c r="C69" s="185"/>
      <c r="D69" s="15">
        <f t="shared" si="4"/>
        <v>2429056</v>
      </c>
      <c r="E69" s="18">
        <f>IF(F3="1",SUMIF(Data!A:A,'26'!$A$2,Data!EA:EA),0)</f>
        <v>7108661</v>
      </c>
      <c r="F69" s="22">
        <f t="shared" si="5"/>
        <v>2.9265117807082257</v>
      </c>
    </row>
    <row r="70" spans="1:6" ht="14.25" customHeight="1" x14ac:dyDescent="0.2">
      <c r="A70" s="20">
        <v>4</v>
      </c>
      <c r="B70" s="184" t="s">
        <v>3</v>
      </c>
      <c r="C70" s="185"/>
      <c r="D70" s="15">
        <f t="shared" si="4"/>
        <v>989172</v>
      </c>
      <c r="E70" s="18">
        <f>IF(F3="1",SUMIF(Data!A:A,'26'!$A$2,Data!EB:EB),0)</f>
        <v>3604091</v>
      </c>
      <c r="F70" s="22">
        <f t="shared" si="5"/>
        <v>3.6435432867084794</v>
      </c>
    </row>
    <row r="71" spans="1:6" x14ac:dyDescent="0.2">
      <c r="A71" s="20">
        <v>5</v>
      </c>
      <c r="B71" s="184" t="s">
        <v>4</v>
      </c>
      <c r="C71" s="185"/>
      <c r="D71" s="15">
        <f t="shared" si="4"/>
        <v>0</v>
      </c>
      <c r="E71" s="18">
        <f>IF(F3="1",SUMIF(Data!A:A,'26'!$A$2,Data!EC:EC),0)</f>
        <v>0</v>
      </c>
      <c r="F71" s="22" t="str">
        <f t="shared" si="5"/>
        <v/>
      </c>
    </row>
    <row r="72" spans="1:6" x14ac:dyDescent="0.2">
      <c r="A72" s="20">
        <v>6</v>
      </c>
      <c r="B72" s="184" t="s">
        <v>5</v>
      </c>
      <c r="C72" s="185"/>
      <c r="D72" s="15">
        <f t="shared" si="4"/>
        <v>179316</v>
      </c>
      <c r="E72" s="18">
        <f>IF(F3="1",SUMIF(Data!A:A,'26'!$A$2,Data!ED:ED),0)</f>
        <v>217354</v>
      </c>
      <c r="F72" s="22">
        <f t="shared" si="5"/>
        <v>1.2121283097994602</v>
      </c>
    </row>
    <row r="73" spans="1:6" x14ac:dyDescent="0.2">
      <c r="A73" s="20">
        <v>7</v>
      </c>
      <c r="B73" s="184" t="s">
        <v>6</v>
      </c>
      <c r="C73" s="185"/>
      <c r="D73" s="15">
        <f t="shared" si="4"/>
        <v>935061</v>
      </c>
      <c r="E73" s="18">
        <f>IF(F3="1",SUMIF(Data!A:A,'26'!$A$2,Data!EE:EE),0)</f>
        <v>3370165</v>
      </c>
      <c r="F73" s="22">
        <f t="shared" si="5"/>
        <v>3.6042194038677691</v>
      </c>
    </row>
    <row r="74" spans="1:6" x14ac:dyDescent="0.2">
      <c r="A74" s="20">
        <v>8</v>
      </c>
      <c r="B74" s="184" t="s">
        <v>7</v>
      </c>
      <c r="C74" s="185"/>
      <c r="D74" s="15">
        <f t="shared" si="4"/>
        <v>12352</v>
      </c>
      <c r="E74" s="18">
        <f>IF(F3="1",SUMIF(Data!A:A,'26'!$A$2,Data!EF:EF),0)</f>
        <v>51530</v>
      </c>
      <c r="F74" s="22">
        <f t="shared" si="5"/>
        <v>4.1717940414507773</v>
      </c>
    </row>
    <row r="75" spans="1:6" x14ac:dyDescent="0.2">
      <c r="A75" s="20">
        <v>9</v>
      </c>
      <c r="B75" s="184" t="s">
        <v>8</v>
      </c>
      <c r="C75" s="185"/>
      <c r="D75" s="15">
        <f t="shared" si="4"/>
        <v>364056</v>
      </c>
      <c r="E75" s="18">
        <f>IF(F3="1",SUMIF(Data!A:A,'26'!$A$2,Data!EG:EG),0)</f>
        <v>986153</v>
      </c>
      <c r="F75" s="22">
        <f t="shared" si="5"/>
        <v>2.7087948007998768</v>
      </c>
    </row>
    <row r="76" spans="1:6" x14ac:dyDescent="0.2">
      <c r="A76" s="20">
        <v>10</v>
      </c>
      <c r="B76" s="184" t="s">
        <v>9</v>
      </c>
      <c r="C76" s="185"/>
      <c r="D76" s="15">
        <f t="shared" si="4"/>
        <v>552</v>
      </c>
      <c r="E76" s="18">
        <f>IF(F3="1",SUMIF(Data!A:A,'26'!$A$2,Data!EH:EH),0)</f>
        <v>1815</v>
      </c>
      <c r="F76" s="22">
        <f t="shared" si="5"/>
        <v>3.2880434782608696</v>
      </c>
    </row>
    <row r="77" spans="1:6" x14ac:dyDescent="0.2">
      <c r="A77" s="20">
        <v>11</v>
      </c>
      <c r="B77" s="184" t="s">
        <v>10</v>
      </c>
      <c r="C77" s="185"/>
      <c r="D77" s="15">
        <f t="shared" si="4"/>
        <v>349052</v>
      </c>
      <c r="E77" s="18">
        <f>IF(F3="1",SUMIF(Data!A:A,'26'!$A$2,Data!EI:EI),0)</f>
        <v>1502225</v>
      </c>
      <c r="F77" s="22">
        <f t="shared" si="5"/>
        <v>4.3037283843095011</v>
      </c>
    </row>
    <row r="78" spans="1:6" ht="14.25" customHeight="1" x14ac:dyDescent="0.2">
      <c r="A78" s="20">
        <v>12</v>
      </c>
      <c r="B78" s="184" t="s">
        <v>11</v>
      </c>
      <c r="C78" s="185"/>
      <c r="D78" s="15">
        <f t="shared" si="4"/>
        <v>3404497</v>
      </c>
      <c r="E78" s="18">
        <f>IF(F3="1",SUMIF(Data!A:A,'26'!$A$2,Data!EJ:EJ),0)</f>
        <v>13154746</v>
      </c>
      <c r="F78" s="22">
        <f t="shared" si="5"/>
        <v>3.8639323224546827</v>
      </c>
    </row>
    <row r="79" spans="1:6" x14ac:dyDescent="0.2">
      <c r="A79" s="20">
        <v>13</v>
      </c>
      <c r="B79" s="184" t="s">
        <v>12</v>
      </c>
      <c r="C79" s="185"/>
      <c r="D79" s="15">
        <f t="shared" si="4"/>
        <v>459730</v>
      </c>
      <c r="E79" s="18">
        <f>IF(F3="1",SUMIF(Data!A:A,'26'!$A$2,Data!EK:EK),0)</f>
        <v>1412302</v>
      </c>
      <c r="F79" s="22">
        <f t="shared" si="5"/>
        <v>3.0720248841711437</v>
      </c>
    </row>
    <row r="80" spans="1:6" ht="14.25" customHeight="1" x14ac:dyDescent="0.2">
      <c r="A80" s="20">
        <v>14</v>
      </c>
      <c r="B80" s="184" t="s">
        <v>469</v>
      </c>
      <c r="C80" s="185"/>
      <c r="D80" s="15">
        <f t="shared" si="4"/>
        <v>550434</v>
      </c>
      <c r="E80" s="18">
        <f>IF(F3="1",SUMIF(Data!A:A,'26'!$A$2,Data!EL:EL),0)</f>
        <v>3812140</v>
      </c>
      <c r="F80" s="22">
        <f t="shared" si="5"/>
        <v>6.9256986305351775</v>
      </c>
    </row>
    <row r="81" spans="1:6" x14ac:dyDescent="0.2">
      <c r="A81" s="20">
        <v>15</v>
      </c>
      <c r="B81" s="184" t="s">
        <v>13</v>
      </c>
      <c r="C81" s="185"/>
      <c r="D81" s="15">
        <f t="shared" si="4"/>
        <v>21096</v>
      </c>
      <c r="E81" s="18">
        <f>IF(F3="1",SUMIF(Data!A:A,'26'!$A$2,Data!EM:EM),0)</f>
        <v>273325</v>
      </c>
      <c r="F81" s="22">
        <f t="shared" si="5"/>
        <v>12.956247629882442</v>
      </c>
    </row>
    <row r="82" spans="1:6" x14ac:dyDescent="0.2">
      <c r="A82" s="20">
        <v>16</v>
      </c>
      <c r="B82" s="184" t="s">
        <v>14</v>
      </c>
      <c r="C82" s="185"/>
      <c r="D82" s="15">
        <f t="shared" si="4"/>
        <v>572337</v>
      </c>
      <c r="E82" s="18">
        <f>IF(F3="1",SUMIF(Data!A:A,'26'!$A$2,Data!EN:EN),0)</f>
        <v>2718924</v>
      </c>
      <c r="F82" s="22">
        <f t="shared" si="5"/>
        <v>4.7505647896256926</v>
      </c>
    </row>
    <row r="83" spans="1:6" x14ac:dyDescent="0.2">
      <c r="A83" s="20">
        <v>17</v>
      </c>
      <c r="B83" s="184" t="s">
        <v>15</v>
      </c>
      <c r="C83" s="185"/>
      <c r="D83" s="15">
        <f t="shared" si="4"/>
        <v>76336</v>
      </c>
      <c r="E83" s="18">
        <f>IF(F3="1",SUMIF(Data!A:A,'26'!$A$2,Data!EO:EO),0)</f>
        <v>609054</v>
      </c>
      <c r="F83" s="22">
        <f t="shared" si="5"/>
        <v>7.9785946342485854</v>
      </c>
    </row>
    <row r="84" spans="1:6" x14ac:dyDescent="0.2">
      <c r="A84" s="20">
        <v>18</v>
      </c>
      <c r="B84" s="184" t="s">
        <v>16</v>
      </c>
      <c r="C84" s="185"/>
      <c r="D84" s="15">
        <f t="shared" si="4"/>
        <v>137648</v>
      </c>
      <c r="E84" s="18">
        <f>IF(F3="1",SUMIF(Data!A:A,'26'!$A$2,Data!EP:EP),0)</f>
        <v>689221</v>
      </c>
      <c r="F84" s="22">
        <f t="shared" si="5"/>
        <v>5.0071268743461586</v>
      </c>
    </row>
    <row r="85" spans="1:6" x14ac:dyDescent="0.2">
      <c r="A85" s="20">
        <v>19</v>
      </c>
      <c r="B85" s="184" t="s">
        <v>17</v>
      </c>
      <c r="C85" s="185"/>
      <c r="D85" s="15">
        <f t="shared" si="4"/>
        <v>2660056</v>
      </c>
      <c r="E85" s="18">
        <f>IF(F3="1",SUMIF(Data!A:A,'26'!$A$2,Data!EQ:EQ),0)</f>
        <v>7616885</v>
      </c>
      <c r="F85" s="22">
        <f t="shared" si="5"/>
        <v>2.8634303187602064</v>
      </c>
    </row>
    <row r="86" spans="1:6" x14ac:dyDescent="0.2">
      <c r="A86" s="20">
        <v>20</v>
      </c>
      <c r="B86" s="184" t="s">
        <v>18</v>
      </c>
      <c r="C86" s="185"/>
      <c r="D86" s="15">
        <f t="shared" si="4"/>
        <v>58736</v>
      </c>
      <c r="E86" s="18">
        <f>IF(F3="1",SUMIF(Data!A:A,'26'!$A$2,Data!ER:ER),0)</f>
        <v>288079</v>
      </c>
      <c r="F86" s="22">
        <f t="shared" si="5"/>
        <v>4.9046411059656769</v>
      </c>
    </row>
    <row r="87" spans="1:6" ht="14.25" customHeight="1" x14ac:dyDescent="0.2">
      <c r="A87" s="20">
        <v>21</v>
      </c>
      <c r="B87" s="184" t="s">
        <v>466</v>
      </c>
      <c r="C87" s="185"/>
      <c r="D87" s="15">
        <f t="shared" si="4"/>
        <v>20429</v>
      </c>
      <c r="E87" s="18">
        <f>IF(F3="1",SUMIF(Data!A:A,'26'!$A$2,Data!ES:ES),0)</f>
        <v>173408</v>
      </c>
      <c r="F87" s="22">
        <f t="shared" si="5"/>
        <v>8.4883254197464382</v>
      </c>
    </row>
    <row r="88" spans="1:6" x14ac:dyDescent="0.2">
      <c r="A88" s="20">
        <v>22</v>
      </c>
      <c r="B88" s="184" t="s">
        <v>19</v>
      </c>
      <c r="C88" s="185"/>
      <c r="D88" s="15">
        <f t="shared" si="4"/>
        <v>21152</v>
      </c>
      <c r="E88" s="18">
        <f>IF(F3="1",SUMIF(Data!A:A,'26'!$A$2,Data!ET:ET),0)</f>
        <v>88160</v>
      </c>
      <c r="F88" s="22">
        <f t="shared" si="5"/>
        <v>4.1679273827534038</v>
      </c>
    </row>
    <row r="89" spans="1:6" x14ac:dyDescent="0.2">
      <c r="A89" s="20">
        <v>23</v>
      </c>
      <c r="B89" s="184" t="s">
        <v>20</v>
      </c>
      <c r="C89" s="185"/>
      <c r="D89" s="15">
        <f t="shared" si="4"/>
        <v>412864</v>
      </c>
      <c r="E89" s="18">
        <f>IF(F3="1",SUMIF(Data!A:A,'26'!$A$2,Data!EU:EU),0)</f>
        <v>1624333</v>
      </c>
      <c r="F89" s="22">
        <f t="shared" si="5"/>
        <v>3.9343052433731205</v>
      </c>
    </row>
    <row r="90" spans="1:6" x14ac:dyDescent="0.2">
      <c r="A90" s="20">
        <v>24</v>
      </c>
      <c r="B90" s="184" t="s">
        <v>21</v>
      </c>
      <c r="C90" s="185"/>
      <c r="D90" s="15">
        <f t="shared" si="4"/>
        <v>317889</v>
      </c>
      <c r="E90" s="18">
        <f>IF(F3="1",SUMIF(Data!A:A,'26'!$A$2,Data!EV:EV),0)</f>
        <v>643502</v>
      </c>
      <c r="F90" s="22">
        <f t="shared" si="5"/>
        <v>2.0242977894799759</v>
      </c>
    </row>
    <row r="91" spans="1:6" x14ac:dyDescent="0.2">
      <c r="A91" s="20">
        <v>25</v>
      </c>
      <c r="B91" s="184" t="s">
        <v>22</v>
      </c>
      <c r="C91" s="185"/>
      <c r="D91" s="15">
        <f t="shared" si="4"/>
        <v>3330312</v>
      </c>
      <c r="E91" s="18">
        <f>IF(F3="1",SUMIF(Data!A:A,'26'!$A$2,Data!EW:EW),0)</f>
        <v>9663824</v>
      </c>
      <c r="F91" s="22">
        <f t="shared" si="5"/>
        <v>2.9017773710090826</v>
      </c>
    </row>
    <row r="92" spans="1:6" x14ac:dyDescent="0.2">
      <c r="A92" s="20">
        <v>26</v>
      </c>
      <c r="B92" s="184" t="s">
        <v>23</v>
      </c>
      <c r="C92" s="185"/>
      <c r="D92" s="15">
        <f t="shared" si="4"/>
        <v>929222</v>
      </c>
      <c r="E92" s="18">
        <f>IF(F3="1",SUMIF(Data!A:A,'26'!$A$2,Data!EX:EX),0)</f>
        <v>4756048</v>
      </c>
      <c r="F92" s="22">
        <f t="shared" si="5"/>
        <v>5.1183118781087833</v>
      </c>
    </row>
    <row r="93" spans="1:6" x14ac:dyDescent="0.2">
      <c r="A93" s="20">
        <v>28</v>
      </c>
      <c r="B93" s="184" t="s">
        <v>24</v>
      </c>
      <c r="C93" s="185"/>
      <c r="D93" s="15">
        <f t="shared" si="4"/>
        <v>0</v>
      </c>
      <c r="E93" s="18">
        <f>IF(F3="1",SUMIF(Data!A:A,'26'!$A$2,Data!EZ:EZ),0)</f>
        <v>0</v>
      </c>
      <c r="F93" s="22" t="str">
        <f t="shared" si="5"/>
        <v/>
      </c>
    </row>
    <row r="94" spans="1:6" ht="15.75" customHeight="1" thickBot="1" x14ac:dyDescent="0.25">
      <c r="A94" s="23">
        <v>29</v>
      </c>
      <c r="B94" s="186" t="s">
        <v>25</v>
      </c>
      <c r="C94" s="187"/>
      <c r="D94" s="24">
        <f t="shared" si="4"/>
        <v>0</v>
      </c>
      <c r="E94" s="25">
        <f>IF(F3="1",SUMIF(Data!A:A,'26'!$A$2,Data!FA:FA),0)</f>
        <v>0</v>
      </c>
      <c r="F94" s="26" t="str">
        <f t="shared" si="5"/>
        <v/>
      </c>
    </row>
    <row r="95" spans="1:6" x14ac:dyDescent="0.2">
      <c r="B95" s="31" t="s">
        <v>35</v>
      </c>
      <c r="C95" s="31"/>
      <c r="D95" s="61">
        <f>SUM(D67:D94)</f>
        <v>18452652</v>
      </c>
      <c r="E95" s="32">
        <f>SUM(E67:E94)</f>
        <v>65205085</v>
      </c>
      <c r="F95" s="33">
        <f t="shared" si="5"/>
        <v>3.5336430232359013</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IF(F3="1",SUMIF(Data!A:A,'26'!$A$2,Data!AH:AH),0)</f>
        <v>22152412</v>
      </c>
      <c r="F98" s="21">
        <f t="shared" ref="F98:F105" si="6">IFERROR(E98/$D$95,0)</f>
        <v>1.2005001774270712</v>
      </c>
    </row>
    <row r="99" spans="2:6" x14ac:dyDescent="0.2">
      <c r="B99" s="190" t="s">
        <v>31</v>
      </c>
      <c r="C99" s="191"/>
      <c r="D99" s="37"/>
      <c r="E99" s="18">
        <f>IF(F3="1",SUMIF(Data!A:A,'26'!$A$2,Data!AI:AI),0)</f>
        <v>19409964</v>
      </c>
      <c r="F99" s="22">
        <f t="shared" si="6"/>
        <v>1.0518793721357775</v>
      </c>
    </row>
    <row r="100" spans="2:6" x14ac:dyDescent="0.2">
      <c r="B100" s="190" t="s">
        <v>32</v>
      </c>
      <c r="C100" s="191"/>
      <c r="D100" s="37"/>
      <c r="E100" s="18">
        <f>IF(F3="1",SUMIF(Data!A:A,'26'!$A$2,Data!AJ:AJ),0)</f>
        <v>38225105</v>
      </c>
      <c r="F100" s="22">
        <f t="shared" si="6"/>
        <v>2.0715236487416551</v>
      </c>
    </row>
    <row r="101" spans="2:6" x14ac:dyDescent="0.2">
      <c r="B101" s="190" t="s">
        <v>28</v>
      </c>
      <c r="C101" s="191"/>
      <c r="D101" s="37"/>
      <c r="E101" s="18">
        <f>IF(F3="1",SUMIF(Data!A:A,'26'!$A$2,Data!AK:AK),0)</f>
        <v>0</v>
      </c>
      <c r="F101" s="22">
        <f t="shared" si="6"/>
        <v>0</v>
      </c>
    </row>
    <row r="102" spans="2:6" x14ac:dyDescent="0.2">
      <c r="B102" s="190" t="s">
        <v>33</v>
      </c>
      <c r="C102" s="191"/>
      <c r="D102" s="37"/>
      <c r="E102" s="18">
        <f>IF(F3="1",SUMIF(Data!A:A,'26'!$A$2,Data!AL:AL),0)</f>
        <v>0</v>
      </c>
      <c r="F102" s="22">
        <f t="shared" si="6"/>
        <v>0</v>
      </c>
    </row>
    <row r="103" spans="2:6" x14ac:dyDescent="0.2">
      <c r="B103" s="192" t="s">
        <v>34</v>
      </c>
      <c r="C103" s="193"/>
      <c r="D103" s="37"/>
      <c r="E103" s="18">
        <f>IF(F3="1",SUMIF(Data!A:A,'26'!$A$2,Data!AM:AM),0)</f>
        <v>2478963</v>
      </c>
      <c r="F103" s="22">
        <f t="shared" si="6"/>
        <v>0.13434182793887839</v>
      </c>
    </row>
    <row r="104" spans="2:6" ht="15.75" customHeight="1" thickBot="1" x14ac:dyDescent="0.25">
      <c r="B104" s="182" t="s">
        <v>29</v>
      </c>
      <c r="C104" s="183"/>
      <c r="D104" s="38"/>
      <c r="E104" s="25">
        <f>IF(F3="1",SUMIF(Data!A:A,'26'!$A$2,Data!Q:Q),0)</f>
        <v>4722398</v>
      </c>
      <c r="F104" s="26">
        <f t="shared" si="6"/>
        <v>0.25591974530273481</v>
      </c>
    </row>
    <row r="105" spans="2:6" x14ac:dyDescent="0.2">
      <c r="B105" s="31" t="s">
        <v>35</v>
      </c>
      <c r="C105" s="31"/>
      <c r="D105" s="35">
        <f>D95</f>
        <v>18452652</v>
      </c>
      <c r="E105" s="32">
        <f>SUM(E98:E104)</f>
        <v>86988842</v>
      </c>
      <c r="F105" s="33">
        <f t="shared" si="6"/>
        <v>4.714164771546117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65205085</v>
      </c>
      <c r="D109" s="16">
        <f>IF(F3="1",SUMIF(Data!$A:$A,$A$2,Data!HJ:HJ),0)</f>
        <v>0</v>
      </c>
      <c r="E109" s="16">
        <f>IF(F3="1",SUMIF(Data!$A:$A,$A$2,Data!IN:IN),0)</f>
        <v>0</v>
      </c>
      <c r="F109" s="48">
        <f>SUM(C109:E109)</f>
        <v>65205085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4722398</v>
      </c>
      <c r="E117" s="53"/>
      <c r="F117" s="50">
        <f>SUM(C117:E117)</f>
        <v>4722398</v>
      </c>
    </row>
    <row r="118" spans="1:6" x14ac:dyDescent="0.2">
      <c r="B118" s="14" t="s">
        <v>35</v>
      </c>
      <c r="C118" s="5">
        <f>SUM(C109:C116)</f>
        <v>65205085</v>
      </c>
      <c r="D118" s="5">
        <f>SUM(D109:D116)</f>
        <v>0</v>
      </c>
      <c r="E118" s="5">
        <f>SUM(E109:E116)</f>
        <v>0</v>
      </c>
      <c r="F118" s="5">
        <f>SUM(F109:F116)</f>
        <v>65205085</v>
      </c>
    </row>
    <row r="119" spans="1:6" ht="15" thickBot="1" x14ac:dyDescent="0.25"/>
    <row r="120" spans="1:6" ht="15" thickBot="1" x14ac:dyDescent="0.25">
      <c r="B120" s="57" t="s">
        <v>942</v>
      </c>
      <c r="C120" s="55"/>
      <c r="D120" s="55"/>
      <c r="E120" s="55">
        <f>IF(F3="1",SUMIF(Data!A:A,'26'!$A$2,Data!AM:AM),0)</f>
        <v>2478963</v>
      </c>
      <c r="F120" s="56">
        <f>SUM(C120:E120)</f>
        <v>2478963</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382</v>
      </c>
      <c r="B2" s="60" t="str">
        <f>VLOOKUP(A2,Data!A:G,7,0)</f>
        <v>McLennan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31997</v>
      </c>
      <c r="E5" s="16">
        <f>E36+E67+IFERROR($E$105/$D$105*D5,0)</f>
        <v>626202.09685238672</v>
      </c>
      <c r="F5" s="21">
        <f>IFERROR(E5/D5,"")</f>
        <v>19.570650275100377</v>
      </c>
    </row>
    <row r="6" spans="1:6" x14ac:dyDescent="0.2">
      <c r="A6" s="20">
        <v>2</v>
      </c>
      <c r="B6" s="184" t="s">
        <v>1</v>
      </c>
      <c r="C6" s="185"/>
      <c r="D6" s="15">
        <f t="shared" ref="D6:D32" si="0">D37</f>
        <v>0</v>
      </c>
      <c r="E6" s="18">
        <f t="shared" ref="E6:E32" si="1">E37+E68+IFERROR($E$105/$D$105*D6,0)</f>
        <v>0</v>
      </c>
      <c r="F6" s="22" t="str">
        <f t="shared" ref="F6:F33" si="2">IFERROR(E6/D6,"")</f>
        <v/>
      </c>
    </row>
    <row r="7" spans="1:6" ht="14.25" customHeight="1" x14ac:dyDescent="0.2">
      <c r="A7" s="20">
        <v>3</v>
      </c>
      <c r="B7" s="184" t="s">
        <v>2</v>
      </c>
      <c r="C7" s="185"/>
      <c r="D7" s="15">
        <f t="shared" si="0"/>
        <v>442880</v>
      </c>
      <c r="E7" s="18">
        <f t="shared" si="1"/>
        <v>3186896.0811946439</v>
      </c>
      <c r="F7" s="22">
        <f t="shared" si="2"/>
        <v>7.195845559055825</v>
      </c>
    </row>
    <row r="8" spans="1:6" ht="14.25" customHeight="1" x14ac:dyDescent="0.2">
      <c r="A8" s="20">
        <v>4</v>
      </c>
      <c r="B8" s="184" t="s">
        <v>3</v>
      </c>
      <c r="C8" s="185"/>
      <c r="D8" s="15">
        <f t="shared" si="0"/>
        <v>328571</v>
      </c>
      <c r="E8" s="18">
        <f t="shared" si="1"/>
        <v>2854948.0488760052</v>
      </c>
      <c r="F8" s="22">
        <f t="shared" si="2"/>
        <v>8.688983656123046</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16868</v>
      </c>
      <c r="E10" s="18">
        <f t="shared" si="1"/>
        <v>75576.510101136315</v>
      </c>
      <c r="F10" s="22">
        <f t="shared" si="2"/>
        <v>4.4804665699037418</v>
      </c>
    </row>
    <row r="11" spans="1:6" x14ac:dyDescent="0.2">
      <c r="A11" s="20">
        <v>7</v>
      </c>
      <c r="B11" s="184" t="s">
        <v>6</v>
      </c>
      <c r="C11" s="185"/>
      <c r="D11" s="15">
        <f t="shared" si="0"/>
        <v>118047</v>
      </c>
      <c r="E11" s="18">
        <f t="shared" si="1"/>
        <v>1669749.0860747474</v>
      </c>
      <c r="F11" s="22">
        <f t="shared" si="2"/>
        <v>14.144782045073127</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154740</v>
      </c>
      <c r="E13" s="18">
        <f t="shared" si="1"/>
        <v>1846571.3842215932</v>
      </c>
      <c r="F13" s="22">
        <f t="shared" si="2"/>
        <v>11.933381053519408</v>
      </c>
    </row>
    <row r="14" spans="1:6" x14ac:dyDescent="0.2">
      <c r="A14" s="20">
        <v>10</v>
      </c>
      <c r="B14" s="184" t="s">
        <v>9</v>
      </c>
      <c r="C14" s="185"/>
      <c r="D14" s="15">
        <f t="shared" si="0"/>
        <v>640</v>
      </c>
      <c r="E14" s="18">
        <f t="shared" si="1"/>
        <v>2645.9712155991961</v>
      </c>
      <c r="F14" s="22">
        <f t="shared" si="2"/>
        <v>4.1343300243737442</v>
      </c>
    </row>
    <row r="15" spans="1:6" x14ac:dyDescent="0.2">
      <c r="A15" s="20">
        <v>11</v>
      </c>
      <c r="B15" s="184" t="s">
        <v>10</v>
      </c>
      <c r="C15" s="185"/>
      <c r="D15" s="15">
        <f t="shared" si="0"/>
        <v>5430</v>
      </c>
      <c r="E15" s="18">
        <f t="shared" si="1"/>
        <v>27839.708907349428</v>
      </c>
      <c r="F15" s="22">
        <f t="shared" si="2"/>
        <v>5.1270182149814785</v>
      </c>
    </row>
    <row r="16" spans="1:6" ht="14.25" customHeight="1" x14ac:dyDescent="0.2">
      <c r="A16" s="20">
        <v>12</v>
      </c>
      <c r="B16" s="184" t="s">
        <v>11</v>
      </c>
      <c r="C16" s="185"/>
      <c r="D16" s="15">
        <f t="shared" si="0"/>
        <v>539514</v>
      </c>
      <c r="E16" s="18">
        <f t="shared" si="1"/>
        <v>4995444.8068949766</v>
      </c>
      <c r="F16" s="22">
        <f t="shared" si="2"/>
        <v>9.2591569577341399</v>
      </c>
    </row>
    <row r="17" spans="1:6" x14ac:dyDescent="0.2">
      <c r="A17" s="20">
        <v>13</v>
      </c>
      <c r="B17" s="184" t="s">
        <v>12</v>
      </c>
      <c r="C17" s="185"/>
      <c r="D17" s="15">
        <f t="shared" si="0"/>
        <v>85817</v>
      </c>
      <c r="E17" s="18">
        <f t="shared" si="1"/>
        <v>641258.9575141815</v>
      </c>
      <c r="F17" s="22">
        <f t="shared" si="2"/>
        <v>7.4724000782383619</v>
      </c>
    </row>
    <row r="18" spans="1:6" ht="14.25" customHeight="1" x14ac:dyDescent="0.2">
      <c r="A18" s="20">
        <v>14</v>
      </c>
      <c r="B18" s="184" t="s">
        <v>469</v>
      </c>
      <c r="C18" s="185"/>
      <c r="D18" s="15">
        <f t="shared" si="0"/>
        <v>193387</v>
      </c>
      <c r="E18" s="18">
        <f t="shared" si="1"/>
        <v>2722379.8538610651</v>
      </c>
      <c r="F18" s="22">
        <f t="shared" si="2"/>
        <v>14.077367423151841</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330942</v>
      </c>
      <c r="E20" s="18">
        <f t="shared" si="1"/>
        <v>3126602.7063012957</v>
      </c>
      <c r="F20" s="22">
        <f t="shared" si="2"/>
        <v>9.4475850943709041</v>
      </c>
    </row>
    <row r="21" spans="1:6" x14ac:dyDescent="0.2">
      <c r="A21" s="20">
        <v>17</v>
      </c>
      <c r="B21" s="184" t="s">
        <v>15</v>
      </c>
      <c r="C21" s="185"/>
      <c r="D21" s="15">
        <f t="shared" si="0"/>
        <v>58432</v>
      </c>
      <c r="E21" s="18">
        <f t="shared" si="1"/>
        <v>622892.07198420656</v>
      </c>
      <c r="F21" s="22">
        <f t="shared" si="2"/>
        <v>10.660118975633328</v>
      </c>
    </row>
    <row r="22" spans="1:6" x14ac:dyDescent="0.2">
      <c r="A22" s="20">
        <v>18</v>
      </c>
      <c r="B22" s="184" t="s">
        <v>16</v>
      </c>
      <c r="C22" s="185"/>
      <c r="D22" s="15">
        <f t="shared" si="0"/>
        <v>73184</v>
      </c>
      <c r="E22" s="18">
        <f t="shared" si="1"/>
        <v>710513.3585037681</v>
      </c>
      <c r="F22" s="22">
        <f t="shared" si="2"/>
        <v>9.708588742126258</v>
      </c>
    </row>
    <row r="23" spans="1:6" x14ac:dyDescent="0.2">
      <c r="A23" s="20">
        <v>19</v>
      </c>
      <c r="B23" s="184" t="s">
        <v>17</v>
      </c>
      <c r="C23" s="185"/>
      <c r="D23" s="15">
        <f t="shared" si="0"/>
        <v>320295</v>
      </c>
      <c r="E23" s="18">
        <f t="shared" si="1"/>
        <v>2585570.2273442885</v>
      </c>
      <c r="F23" s="22">
        <f t="shared" si="2"/>
        <v>8.0724651566346282</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62770</v>
      </c>
      <c r="E25" s="18">
        <f t="shared" si="1"/>
        <v>305427.91125493991</v>
      </c>
      <c r="F25" s="22">
        <f t="shared" si="2"/>
        <v>4.8658262108481747</v>
      </c>
    </row>
    <row r="26" spans="1:6" x14ac:dyDescent="0.2">
      <c r="A26" s="20">
        <v>22</v>
      </c>
      <c r="B26" s="184" t="s">
        <v>19</v>
      </c>
      <c r="C26" s="185"/>
      <c r="D26" s="15">
        <f t="shared" si="0"/>
        <v>2760</v>
      </c>
      <c r="E26" s="18">
        <f t="shared" si="1"/>
        <v>11409.813367271534</v>
      </c>
      <c r="F26" s="22">
        <f t="shared" si="2"/>
        <v>4.1339903504607003</v>
      </c>
    </row>
    <row r="27" spans="1:6" x14ac:dyDescent="0.2">
      <c r="A27" s="20">
        <v>23</v>
      </c>
      <c r="B27" s="184" t="s">
        <v>20</v>
      </c>
      <c r="C27" s="185"/>
      <c r="D27" s="15">
        <f t="shared" si="0"/>
        <v>110930</v>
      </c>
      <c r="E27" s="18">
        <f t="shared" si="1"/>
        <v>1260167.4952287795</v>
      </c>
      <c r="F27" s="22">
        <f t="shared" si="2"/>
        <v>11.360024296662576</v>
      </c>
    </row>
    <row r="28" spans="1:6" x14ac:dyDescent="0.2">
      <c r="A28" s="20">
        <v>24</v>
      </c>
      <c r="B28" s="184" t="s">
        <v>21</v>
      </c>
      <c r="C28" s="185"/>
      <c r="D28" s="15">
        <f t="shared" si="0"/>
        <v>149244</v>
      </c>
      <c r="E28" s="18">
        <f t="shared" si="1"/>
        <v>1203683.468907635</v>
      </c>
      <c r="F28" s="22">
        <f t="shared" si="2"/>
        <v>8.0652050930532209</v>
      </c>
    </row>
    <row r="29" spans="1:6" x14ac:dyDescent="0.2">
      <c r="A29" s="20">
        <v>25</v>
      </c>
      <c r="B29" s="184" t="s">
        <v>22</v>
      </c>
      <c r="C29" s="185"/>
      <c r="D29" s="15">
        <f t="shared" si="0"/>
        <v>612480</v>
      </c>
      <c r="E29" s="18">
        <f t="shared" si="1"/>
        <v>4306799.4533284307</v>
      </c>
      <c r="F29" s="22">
        <f t="shared" si="2"/>
        <v>7.0317389193580695</v>
      </c>
    </row>
    <row r="30" spans="1:6" x14ac:dyDescent="0.2">
      <c r="A30" s="20">
        <v>26</v>
      </c>
      <c r="B30" s="184" t="s">
        <v>23</v>
      </c>
      <c r="C30" s="185"/>
      <c r="D30" s="15">
        <f t="shared" si="0"/>
        <v>282710</v>
      </c>
      <c r="E30" s="18">
        <f t="shared" si="1"/>
        <v>3232137.988065701</v>
      </c>
      <c r="F30" s="22">
        <f t="shared" si="2"/>
        <v>11.432697775337628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3921638</v>
      </c>
      <c r="E33" s="32">
        <f>SUM(E5:E32)</f>
        <v>36014716.999999993</v>
      </c>
      <c r="F33" s="33">
        <f t="shared" si="2"/>
        <v>9.1835903772862242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IF(F3="1",SUMIF(Data!A:A,'27'!$A$2,Data!CU:CU),0)</f>
        <v>31997</v>
      </c>
      <c r="E36" s="16">
        <f>IF(F3="1",SUMIF(Data!$A:$A,'27'!$A$2,Data!IO:IO),0)</f>
        <v>429002</v>
      </c>
      <c r="F36" s="21">
        <f t="shared" ref="F36:F64" si="3">IFERROR(E36/D36,"")</f>
        <v>13.407569459636841</v>
      </c>
    </row>
    <row r="37" spans="1:6" x14ac:dyDescent="0.2">
      <c r="A37" s="20">
        <v>2</v>
      </c>
      <c r="B37" s="184" t="s">
        <v>1</v>
      </c>
      <c r="C37" s="185"/>
      <c r="D37" s="15">
        <f>IF(F3="1",SUMIF(Data!A:A,'27'!$A$2,Data!CV:CV),0)</f>
        <v>0</v>
      </c>
      <c r="E37" s="18">
        <f>IF(F3="1",SUMIF(Data!$A:$A,'27'!$A$2,Data!IP:IP),0)</f>
        <v>0</v>
      </c>
      <c r="F37" s="22" t="str">
        <f t="shared" si="3"/>
        <v/>
      </c>
    </row>
    <row r="38" spans="1:6" ht="14.25" customHeight="1" x14ac:dyDescent="0.2">
      <c r="A38" s="20">
        <v>3</v>
      </c>
      <c r="B38" s="184" t="s">
        <v>2</v>
      </c>
      <c r="C38" s="185"/>
      <c r="D38" s="15">
        <f>IF(F3="1",SUMIF(Data!A:A,'27'!$A$2,Data!CW:CW),0)</f>
        <v>442880</v>
      </c>
      <c r="E38" s="18">
        <f>IF(F3="1",SUMIF(Data!$A:$A,'27'!$A$2,Data!IQ:IQ),0)</f>
        <v>565940</v>
      </c>
      <c r="F38" s="22">
        <f t="shared" si="3"/>
        <v>1.277863078034682</v>
      </c>
    </row>
    <row r="39" spans="1:6" ht="14.25" customHeight="1" x14ac:dyDescent="0.2">
      <c r="A39" s="20">
        <v>4</v>
      </c>
      <c r="B39" s="184" t="s">
        <v>3</v>
      </c>
      <c r="C39" s="185"/>
      <c r="D39" s="15">
        <f>IF(F3="1",SUMIF(Data!A:A,'27'!$A$2,Data!CX:CX),0)</f>
        <v>328571</v>
      </c>
      <c r="E39" s="18">
        <f>IF(F3="1",SUMIF(Data!$A:$A,'27'!$A$2,Data!IR:IR),0)</f>
        <v>616217</v>
      </c>
      <c r="F39" s="22">
        <f t="shared" si="3"/>
        <v>1.8754454897115083</v>
      </c>
    </row>
    <row r="40" spans="1:6" x14ac:dyDescent="0.2">
      <c r="A40" s="20">
        <v>5</v>
      </c>
      <c r="B40" s="184" t="s">
        <v>4</v>
      </c>
      <c r="C40" s="185"/>
      <c r="D40" s="15">
        <f>IF(F3="1",SUMIF(Data!A:A,'27'!$A$2,Data!CY:CY),0)</f>
        <v>0</v>
      </c>
      <c r="E40" s="18">
        <f>IF(F3="1",SUMIF(Data!$A:$A,'27'!$A$2,Data!IS:IS),0)</f>
        <v>0</v>
      </c>
      <c r="F40" s="22" t="str">
        <f t="shared" si="3"/>
        <v/>
      </c>
    </row>
    <row r="41" spans="1:6" x14ac:dyDescent="0.2">
      <c r="A41" s="20">
        <v>6</v>
      </c>
      <c r="B41" s="184" t="s">
        <v>5</v>
      </c>
      <c r="C41" s="185"/>
      <c r="D41" s="15">
        <f>IF(F3="1",SUMIF(Data!A:A,'27'!$A$2,Data!CZ:CZ),0)</f>
        <v>16868</v>
      </c>
      <c r="E41" s="18">
        <f>IF(F3="1",SUMIF(Data!$A:$A,'27'!$A$2,Data!IT:IT),0)</f>
        <v>16730</v>
      </c>
      <c r="F41" s="22">
        <f t="shared" si="3"/>
        <v>0.9918188285511027</v>
      </c>
    </row>
    <row r="42" spans="1:6" x14ac:dyDescent="0.2">
      <c r="A42" s="20">
        <v>7</v>
      </c>
      <c r="B42" s="184" t="s">
        <v>6</v>
      </c>
      <c r="C42" s="185"/>
      <c r="D42" s="15">
        <f>IF(F3="1",SUMIF(Data!A:A,'27'!$A$2,Data!DA:DA),0)</f>
        <v>118047</v>
      </c>
      <c r="E42" s="18">
        <f>IF(F3="1",SUMIF(Data!$A:$A,'27'!$A$2,Data!IU:IU),0)</f>
        <v>238647</v>
      </c>
      <c r="F42" s="22">
        <f t="shared" si="3"/>
        <v>2.0216269790846018</v>
      </c>
    </row>
    <row r="43" spans="1:6" x14ac:dyDescent="0.2">
      <c r="A43" s="20">
        <v>8</v>
      </c>
      <c r="B43" s="184" t="s">
        <v>7</v>
      </c>
      <c r="C43" s="185"/>
      <c r="D43" s="15">
        <f>IF(F3="1",SUMIF(Data!A:A,'27'!$A$2,Data!DB:DB),0)</f>
        <v>0</v>
      </c>
      <c r="E43" s="18">
        <f>IF(F3="1",SUMIF(Data!$A:$A,'27'!$A$2,Data!IV:IV),0)</f>
        <v>0</v>
      </c>
      <c r="F43" s="22" t="str">
        <f t="shared" si="3"/>
        <v/>
      </c>
    </row>
    <row r="44" spans="1:6" x14ac:dyDescent="0.2">
      <c r="A44" s="20">
        <v>9</v>
      </c>
      <c r="B44" s="184" t="s">
        <v>8</v>
      </c>
      <c r="C44" s="185"/>
      <c r="D44" s="15">
        <f>IF(F3="1",SUMIF(Data!A:A,'27'!$A$2,Data!DC:DC),0)</f>
        <v>154740</v>
      </c>
      <c r="E44" s="18">
        <f>IF(F3="1",SUMIF(Data!$A:$A,'27'!$A$2,Data!IW:IW),0)</f>
        <v>954597</v>
      </c>
      <c r="F44" s="22">
        <f t="shared" si="3"/>
        <v>6.1690383869716943</v>
      </c>
    </row>
    <row r="45" spans="1:6" x14ac:dyDescent="0.2">
      <c r="A45" s="20">
        <v>10</v>
      </c>
      <c r="B45" s="184" t="s">
        <v>9</v>
      </c>
      <c r="C45" s="185"/>
      <c r="D45" s="15">
        <f>IF(F3="1",SUMIF(Data!A:A,'27'!$A$2,Data!DD:DD),0)</f>
        <v>640</v>
      </c>
      <c r="E45" s="18">
        <f>IF(F3="1",SUMIF(Data!$A:$A,'27'!$A$2,Data!IX:IX),0)</f>
        <v>627</v>
      </c>
      <c r="F45" s="22">
        <f t="shared" si="3"/>
        <v>0.97968750000000004</v>
      </c>
    </row>
    <row r="46" spans="1:6" x14ac:dyDescent="0.2">
      <c r="A46" s="20">
        <v>11</v>
      </c>
      <c r="B46" s="184" t="s">
        <v>10</v>
      </c>
      <c r="C46" s="185"/>
      <c r="D46" s="15">
        <f>IF(F3="1",SUMIF(Data!A:A,'27'!$A$2,Data!DE:DE),0)</f>
        <v>5430</v>
      </c>
      <c r="E46" s="18">
        <f>IF(F3="1",SUMIF(Data!$A:$A,'27'!$A$2,Data!IY:IY),0)</f>
        <v>5545</v>
      </c>
      <c r="F46" s="22">
        <f t="shared" si="3"/>
        <v>1.0211786372007365</v>
      </c>
    </row>
    <row r="47" spans="1:6" ht="14.25" customHeight="1" x14ac:dyDescent="0.2">
      <c r="A47" s="20">
        <v>12</v>
      </c>
      <c r="B47" s="184" t="s">
        <v>11</v>
      </c>
      <c r="C47" s="185"/>
      <c r="D47" s="15">
        <f>IF(F3="1",SUMIF(Data!A:A,'27'!$A$2,Data!DF:DF),0)</f>
        <v>539514</v>
      </c>
      <c r="E47" s="18">
        <f>IF(F3="1",SUMIF(Data!$A:$A,'27'!$A$2,Data!IZ:IZ),0)</f>
        <v>784332</v>
      </c>
      <c r="F47" s="22">
        <f t="shared" si="3"/>
        <v>1.4537750642244687</v>
      </c>
    </row>
    <row r="48" spans="1:6" x14ac:dyDescent="0.2">
      <c r="A48" s="20">
        <v>13</v>
      </c>
      <c r="B48" s="184" t="s">
        <v>12</v>
      </c>
      <c r="C48" s="185"/>
      <c r="D48" s="15">
        <f>IF(F3="1",SUMIF(Data!A:A,'27'!$A$2,Data!DG:DG),0)</f>
        <v>85817</v>
      </c>
      <c r="E48" s="18">
        <f>IF(F3="1",SUMIF(Data!$A:$A,'27'!$A$2,Data!JA:JA),0)</f>
        <v>109888</v>
      </c>
      <c r="F48" s="22">
        <f t="shared" si="3"/>
        <v>1.2804922101681484</v>
      </c>
    </row>
    <row r="49" spans="1:6" ht="14.25" customHeight="1" x14ac:dyDescent="0.2">
      <c r="A49" s="20">
        <v>14</v>
      </c>
      <c r="B49" s="184" t="s">
        <v>469</v>
      </c>
      <c r="C49" s="185"/>
      <c r="D49" s="15">
        <f>IF(F3="1",SUMIF(Data!A:A,'27'!$A$2,Data!DH:DH),0)</f>
        <v>193387</v>
      </c>
      <c r="E49" s="18">
        <f>IF(F3="1",SUMIF(Data!$A:$A,'27'!$A$2,Data!JB:JB),0)</f>
        <v>483605</v>
      </c>
      <c r="F49" s="22">
        <f t="shared" si="3"/>
        <v>2.500711009530113</v>
      </c>
    </row>
    <row r="50" spans="1:6" x14ac:dyDescent="0.2">
      <c r="A50" s="20">
        <v>15</v>
      </c>
      <c r="B50" s="184" t="s">
        <v>13</v>
      </c>
      <c r="C50" s="185"/>
      <c r="D50" s="15">
        <f>IF(F3="1",SUMIF(Data!A:A,'27'!$A$2,Data!DI:DI),0)</f>
        <v>0</v>
      </c>
      <c r="E50" s="18">
        <f>IF(F3="1",SUMIF(Data!$A:$A,'27'!$A$2,Data!JC:JC),0)</f>
        <v>0</v>
      </c>
      <c r="F50" s="22" t="str">
        <f t="shared" si="3"/>
        <v/>
      </c>
    </row>
    <row r="51" spans="1:6" x14ac:dyDescent="0.2">
      <c r="A51" s="20">
        <v>16</v>
      </c>
      <c r="B51" s="184" t="s">
        <v>14</v>
      </c>
      <c r="C51" s="185"/>
      <c r="D51" s="15">
        <f>IF(F3="1",SUMIF(Data!A:A,'27'!$A$2,Data!DJ:DJ),0)</f>
        <v>330942</v>
      </c>
      <c r="E51" s="18">
        <f>IF(F3="1",SUMIF(Data!$A:$A,'27'!$A$2,Data!JD:JD),0)</f>
        <v>739690</v>
      </c>
      <c r="F51" s="22">
        <f t="shared" si="3"/>
        <v>2.2351046406923269</v>
      </c>
    </row>
    <row r="52" spans="1:6" x14ac:dyDescent="0.2">
      <c r="A52" s="20">
        <v>17</v>
      </c>
      <c r="B52" s="184" t="s">
        <v>15</v>
      </c>
      <c r="C52" s="185"/>
      <c r="D52" s="15">
        <f>IF(F3="1",SUMIF(Data!A:A,'27'!$A$2,Data!DK:DK),0)</f>
        <v>58432</v>
      </c>
      <c r="E52" s="18">
        <f>IF(F3="1",SUMIF(Data!$A:$A,'27'!$A$2,Data!JE:JE),0)</f>
        <v>108996</v>
      </c>
      <c r="F52" s="22">
        <f t="shared" si="3"/>
        <v>1.8653477546549835</v>
      </c>
    </row>
    <row r="53" spans="1:6" x14ac:dyDescent="0.2">
      <c r="A53" s="20">
        <v>18</v>
      </c>
      <c r="B53" s="184" t="s">
        <v>16</v>
      </c>
      <c r="C53" s="185"/>
      <c r="D53" s="15">
        <f>IF(F3="1",SUMIF(Data!A:A,'27'!$A$2,Data!DL:DL),0)</f>
        <v>73184</v>
      </c>
      <c r="E53" s="18">
        <f>IF(F3="1",SUMIF(Data!$A:$A,'27'!$A$2,Data!JF:JF),0)</f>
        <v>116279</v>
      </c>
      <c r="F53" s="22">
        <f t="shared" si="3"/>
        <v>1.5888582203760384</v>
      </c>
    </row>
    <row r="54" spans="1:6" x14ac:dyDescent="0.2">
      <c r="A54" s="20">
        <v>19</v>
      </c>
      <c r="B54" s="184" t="s">
        <v>17</v>
      </c>
      <c r="C54" s="185"/>
      <c r="D54" s="15">
        <f>IF(F3="1",SUMIF(Data!A:A,'27'!$A$2,Data!DM:DM),0)</f>
        <v>320295</v>
      </c>
      <c r="E54" s="18">
        <f>IF(F3="1",SUMIF(Data!$A:$A,'27'!$A$2,Data!JG:JG),0)</f>
        <v>472146</v>
      </c>
      <c r="F54" s="22">
        <f t="shared" si="3"/>
        <v>1.474097316536318</v>
      </c>
    </row>
    <row r="55" spans="1:6" x14ac:dyDescent="0.2">
      <c r="A55" s="20">
        <v>20</v>
      </c>
      <c r="B55" s="184" t="s">
        <v>18</v>
      </c>
      <c r="C55" s="185"/>
      <c r="D55" s="15">
        <f>IF(F3="1",SUMIF(Data!A:A,'27'!$A$2,Data!DN:DN),0)</f>
        <v>0</v>
      </c>
      <c r="E55" s="18">
        <f>IF(F3="1",SUMIF(Data!$A:$A,'27'!$A$2,Data!JH:JH),0)</f>
        <v>0</v>
      </c>
      <c r="F55" s="22" t="str">
        <f t="shared" si="3"/>
        <v/>
      </c>
    </row>
    <row r="56" spans="1:6" ht="14.25" customHeight="1" x14ac:dyDescent="0.2">
      <c r="A56" s="20">
        <v>21</v>
      </c>
      <c r="B56" s="184" t="s">
        <v>466</v>
      </c>
      <c r="C56" s="185"/>
      <c r="D56" s="15">
        <f>IF(F3="1",SUMIF(Data!A:A,'27'!$A$2,Data!DO:DO),0)</f>
        <v>62770</v>
      </c>
      <c r="E56" s="18">
        <f>IF(F3="1",SUMIF(Data!$A:$A,'27'!$A$2,Data!JI:JI),0)</f>
        <v>107411</v>
      </c>
      <c r="F56" s="22">
        <f t="shared" si="3"/>
        <v>1.7111836864744305</v>
      </c>
    </row>
    <row r="57" spans="1:6" x14ac:dyDescent="0.2">
      <c r="A57" s="20">
        <v>22</v>
      </c>
      <c r="B57" s="184" t="s">
        <v>19</v>
      </c>
      <c r="C57" s="185"/>
      <c r="D57" s="15">
        <f>IF(F3="1",SUMIF(Data!A:A,'27'!$A$2,Data!DP:DP),0)</f>
        <v>2760</v>
      </c>
      <c r="E57" s="18">
        <f>IF(F3="1",SUMIF(Data!$A:$A,'27'!$A$2,Data!JJ:JJ),0)</f>
        <v>2703</v>
      </c>
      <c r="F57" s="22">
        <f t="shared" si="3"/>
        <v>0.97934782608695647</v>
      </c>
    </row>
    <row r="58" spans="1:6" x14ac:dyDescent="0.2">
      <c r="A58" s="20">
        <v>23</v>
      </c>
      <c r="B58" s="184" t="s">
        <v>20</v>
      </c>
      <c r="C58" s="185"/>
      <c r="D58" s="15">
        <f>IF(F3="1",SUMIF(Data!A:A,'27'!$A$2,Data!DQ:DQ),0)</f>
        <v>110930</v>
      </c>
      <c r="E58" s="18">
        <f>IF(F3="1",SUMIF(Data!$A:$A,'27'!$A$2,Data!JK:JK),0)</f>
        <v>210974</v>
      </c>
      <c r="F58" s="22">
        <f t="shared" si="3"/>
        <v>1.9018660416478861</v>
      </c>
    </row>
    <row r="59" spans="1:6" x14ac:dyDescent="0.2">
      <c r="A59" s="20">
        <v>24</v>
      </c>
      <c r="B59" s="184" t="s">
        <v>21</v>
      </c>
      <c r="C59" s="185"/>
      <c r="D59" s="15">
        <f>IF(F3="1",SUMIF(Data!A:A,'27'!$A$2,Data!DR:DR),0)</f>
        <v>149244</v>
      </c>
      <c r="E59" s="18">
        <f>IF(F3="1",SUMIF(Data!$A:$A,'27'!$A$2,Data!JL:JL),0)</f>
        <v>457795</v>
      </c>
      <c r="F59" s="22">
        <f t="shared" si="3"/>
        <v>3.0674264962075526</v>
      </c>
    </row>
    <row r="60" spans="1:6" x14ac:dyDescent="0.2">
      <c r="A60" s="20">
        <v>25</v>
      </c>
      <c r="B60" s="184" t="s">
        <v>22</v>
      </c>
      <c r="C60" s="185"/>
      <c r="D60" s="15">
        <f>IF(F3="1",SUMIF(Data!A:A,'27'!$A$2,Data!DS:DS),0)</f>
        <v>612480</v>
      </c>
      <c r="E60" s="18">
        <f>IF(F3="1",SUMIF(Data!$A:$A,'27'!$A$2,Data!JM:JM),0)</f>
        <v>803441</v>
      </c>
      <c r="F60" s="22">
        <f t="shared" si="3"/>
        <v>1.3117832419017763</v>
      </c>
    </row>
    <row r="61" spans="1:6" x14ac:dyDescent="0.2">
      <c r="A61" s="20">
        <v>26</v>
      </c>
      <c r="B61" s="184" t="s">
        <v>23</v>
      </c>
      <c r="C61" s="185"/>
      <c r="D61" s="15">
        <f>IF(F3="1",SUMIF(Data!A:A,'27'!$A$2,Data!DT:DT),0)</f>
        <v>282710</v>
      </c>
      <c r="E61" s="18">
        <f>IF(F3="1",SUMIF(Data!$A:$A,'27'!$A$2,Data!JN:JN),0)</f>
        <v>538276</v>
      </c>
      <c r="F61" s="22">
        <f t="shared" si="3"/>
        <v>1.9039864171766121</v>
      </c>
    </row>
    <row r="62" spans="1:6" x14ac:dyDescent="0.2">
      <c r="A62" s="20">
        <v>28</v>
      </c>
      <c r="B62" s="184" t="s">
        <v>24</v>
      </c>
      <c r="C62" s="185"/>
      <c r="D62" s="15">
        <f>IF(F3="1",SUMIF(Data!A:A,'27'!$A$2,Data!DV:DV),0)</f>
        <v>0</v>
      </c>
      <c r="E62" s="18">
        <f>IF(F3="1",SUMIF(Data!$A:$A,'27'!$A$2,Data!JP:JP),0)</f>
        <v>0</v>
      </c>
      <c r="F62" s="22" t="str">
        <f t="shared" si="3"/>
        <v/>
      </c>
    </row>
    <row r="63" spans="1:6" ht="15.75" customHeight="1" thickBot="1" x14ac:dyDescent="0.25">
      <c r="A63" s="23">
        <v>29</v>
      </c>
      <c r="B63" s="186" t="s">
        <v>25</v>
      </c>
      <c r="C63" s="187"/>
      <c r="D63" s="24">
        <f>IF(F3="1",SUMIF(Data!A:A,'27'!$A$2,Data!DW:DW),0)</f>
        <v>0</v>
      </c>
      <c r="E63" s="25">
        <f>IF(F3="1",SUMIF(Data!$A:$A,'27'!$A$2,Data!JQ:JQ),0)</f>
        <v>0</v>
      </c>
      <c r="F63" s="26" t="str">
        <f t="shared" si="3"/>
        <v/>
      </c>
    </row>
    <row r="64" spans="1:6" x14ac:dyDescent="0.2">
      <c r="B64" s="31" t="s">
        <v>35</v>
      </c>
      <c r="C64" s="31"/>
      <c r="D64" s="61">
        <f>SUM(D36:D63)</f>
        <v>3921638</v>
      </c>
      <c r="E64" s="32">
        <f>SUM(E36:E63)</f>
        <v>7762841</v>
      </c>
      <c r="F64" s="33">
        <f t="shared" si="3"/>
        <v>1.9794894378318448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31997</v>
      </c>
      <c r="E67" s="16">
        <f>IF(F3="1",SUMIF(Data!A:A,'27'!$A$2,Data!DY:DY),0)</f>
        <v>96261</v>
      </c>
      <c r="F67" s="21">
        <f>IFERROR(E67/D67,"")</f>
        <v>3.0084382910897896</v>
      </c>
    </row>
    <row r="68" spans="1:6" x14ac:dyDescent="0.2">
      <c r="A68" s="20">
        <v>2</v>
      </c>
      <c r="B68" s="184" t="s">
        <v>1</v>
      </c>
      <c r="C68" s="185"/>
      <c r="D68" s="15">
        <f t="shared" ref="D68:D94" si="4">D37</f>
        <v>0</v>
      </c>
      <c r="E68" s="18">
        <f>IF(F3="1",SUMIF(Data!A:A,'27'!$A$2,Data!DZ:DZ),0)</f>
        <v>0</v>
      </c>
      <c r="F68" s="22" t="str">
        <f t="shared" ref="F68:F95" si="5">IFERROR(E68/D68,"")</f>
        <v/>
      </c>
    </row>
    <row r="69" spans="1:6" ht="14.25" customHeight="1" x14ac:dyDescent="0.2">
      <c r="A69" s="20">
        <v>3</v>
      </c>
      <c r="B69" s="184" t="s">
        <v>2</v>
      </c>
      <c r="C69" s="185"/>
      <c r="D69" s="15">
        <f t="shared" si="4"/>
        <v>442880</v>
      </c>
      <c r="E69" s="18">
        <f>IF(F3="1",SUMIF(Data!A:A,'27'!$A$2,Data!EA:EA),0)</f>
        <v>1223828</v>
      </c>
      <c r="F69" s="22">
        <f t="shared" si="5"/>
        <v>2.7633399566473988</v>
      </c>
    </row>
    <row r="70" spans="1:6" ht="14.25" customHeight="1" x14ac:dyDescent="0.2">
      <c r="A70" s="20">
        <v>4</v>
      </c>
      <c r="B70" s="184" t="s">
        <v>3</v>
      </c>
      <c r="C70" s="185"/>
      <c r="D70" s="15">
        <f t="shared" si="4"/>
        <v>328571</v>
      </c>
      <c r="E70" s="18">
        <f>IF(F3="1",SUMIF(Data!A:A,'27'!$A$2,Data!EB:EB),0)</f>
        <v>1202207</v>
      </c>
      <c r="F70" s="22">
        <f t="shared" si="5"/>
        <v>3.6588956420377938</v>
      </c>
    </row>
    <row r="71" spans="1:6" x14ac:dyDescent="0.2">
      <c r="A71" s="20">
        <v>5</v>
      </c>
      <c r="B71" s="184" t="s">
        <v>4</v>
      </c>
      <c r="C71" s="185"/>
      <c r="D71" s="15">
        <f t="shared" si="4"/>
        <v>0</v>
      </c>
      <c r="E71" s="18">
        <f>IF(F3="1",SUMIF(Data!A:A,'27'!$A$2,Data!EC:EC),0)</f>
        <v>0</v>
      </c>
      <c r="F71" s="22" t="str">
        <f t="shared" si="5"/>
        <v/>
      </c>
    </row>
    <row r="72" spans="1:6" x14ac:dyDescent="0.2">
      <c r="A72" s="20">
        <v>6</v>
      </c>
      <c r="B72" s="184" t="s">
        <v>5</v>
      </c>
      <c r="C72" s="185"/>
      <c r="D72" s="15">
        <f t="shared" si="4"/>
        <v>16868</v>
      </c>
      <c r="E72" s="18">
        <f>IF(F3="1",SUMIF(Data!A:A,'27'!$A$2,Data!ED:ED),0)</f>
        <v>5634</v>
      </c>
      <c r="F72" s="22">
        <f t="shared" si="5"/>
        <v>0.33400521697889496</v>
      </c>
    </row>
    <row r="73" spans="1:6" x14ac:dyDescent="0.2">
      <c r="A73" s="20">
        <v>7</v>
      </c>
      <c r="B73" s="184" t="s">
        <v>6</v>
      </c>
      <c r="C73" s="185"/>
      <c r="D73" s="15">
        <f t="shared" si="4"/>
        <v>118047</v>
      </c>
      <c r="E73" s="18">
        <f>IF(F3="1",SUMIF(Data!A:A,'27'!$A$2,Data!EE:EE),0)</f>
        <v>1058706</v>
      </c>
      <c r="F73" s="22">
        <f t="shared" si="5"/>
        <v>8.9685125416147802</v>
      </c>
    </row>
    <row r="74" spans="1:6" x14ac:dyDescent="0.2">
      <c r="A74" s="20">
        <v>8</v>
      </c>
      <c r="B74" s="184" t="s">
        <v>7</v>
      </c>
      <c r="C74" s="185"/>
      <c r="D74" s="15">
        <f t="shared" si="4"/>
        <v>0</v>
      </c>
      <c r="E74" s="18">
        <f>IF(F3="1",SUMIF(Data!A:A,'27'!$A$2,Data!EF:EF),0)</f>
        <v>0</v>
      </c>
      <c r="F74" s="22" t="str">
        <f t="shared" si="5"/>
        <v/>
      </c>
    </row>
    <row r="75" spans="1:6" x14ac:dyDescent="0.2">
      <c r="A75" s="20">
        <v>9</v>
      </c>
      <c r="B75" s="184" t="s">
        <v>8</v>
      </c>
      <c r="C75" s="185"/>
      <c r="D75" s="15">
        <f t="shared" si="4"/>
        <v>154740</v>
      </c>
      <c r="E75" s="18">
        <f>IF(F3="1",SUMIF(Data!A:A,'27'!$A$2,Data!EG:EG),0)</f>
        <v>403825</v>
      </c>
      <c r="F75" s="22">
        <f t="shared" si="5"/>
        <v>2.6097001421739692</v>
      </c>
    </row>
    <row r="76" spans="1:6" x14ac:dyDescent="0.2">
      <c r="A76" s="20">
        <v>10</v>
      </c>
      <c r="B76" s="184" t="s">
        <v>9</v>
      </c>
      <c r="C76" s="185"/>
      <c r="D76" s="15">
        <f t="shared" si="4"/>
        <v>640</v>
      </c>
      <c r="E76" s="18">
        <f>IF(F3="1",SUMIF(Data!A:A,'27'!$A$2,Data!EH:EH),0)</f>
        <v>0</v>
      </c>
      <c r="F76" s="22">
        <f t="shared" si="5"/>
        <v>0</v>
      </c>
    </row>
    <row r="77" spans="1:6" x14ac:dyDescent="0.2">
      <c r="A77" s="20">
        <v>11</v>
      </c>
      <c r="B77" s="184" t="s">
        <v>10</v>
      </c>
      <c r="C77" s="185"/>
      <c r="D77" s="15">
        <f t="shared" si="4"/>
        <v>5430</v>
      </c>
      <c r="E77" s="18">
        <f>IF(F3="1",SUMIF(Data!A:A,'27'!$A$2,Data!EI:EI),0)</f>
        <v>5165</v>
      </c>
      <c r="F77" s="22">
        <f t="shared" si="5"/>
        <v>0.95119705340699812</v>
      </c>
    </row>
    <row r="78" spans="1:6" ht="14.25" customHeight="1" x14ac:dyDescent="0.2">
      <c r="A78" s="20">
        <v>12</v>
      </c>
      <c r="B78" s="184" t="s">
        <v>11</v>
      </c>
      <c r="C78" s="185"/>
      <c r="D78" s="15">
        <f t="shared" si="4"/>
        <v>539514</v>
      </c>
      <c r="E78" s="18">
        <f>IF(F3="1",SUMIF(Data!A:A,'27'!$A$2,Data!EJ:EJ),0)</f>
        <v>2509139</v>
      </c>
      <c r="F78" s="22">
        <f t="shared" si="5"/>
        <v>4.650739369135926</v>
      </c>
    </row>
    <row r="79" spans="1:6" x14ac:dyDescent="0.2">
      <c r="A79" s="20">
        <v>13</v>
      </c>
      <c r="B79" s="184" t="s">
        <v>12</v>
      </c>
      <c r="C79" s="185"/>
      <c r="D79" s="15">
        <f t="shared" si="4"/>
        <v>85817</v>
      </c>
      <c r="E79" s="18">
        <f>IF(F3="1",SUMIF(Data!A:A,'27'!$A$2,Data!EK:EK),0)</f>
        <v>260649</v>
      </c>
      <c r="F79" s="22">
        <f t="shared" si="5"/>
        <v>3.0372653436964705</v>
      </c>
    </row>
    <row r="80" spans="1:6" ht="14.25" customHeight="1" x14ac:dyDescent="0.2">
      <c r="A80" s="20">
        <v>14</v>
      </c>
      <c r="B80" s="184" t="s">
        <v>469</v>
      </c>
      <c r="C80" s="185"/>
      <c r="D80" s="15">
        <f t="shared" si="4"/>
        <v>193387</v>
      </c>
      <c r="E80" s="18">
        <f>IF(F3="1",SUMIF(Data!A:A,'27'!$A$2,Data!EL:EL),0)</f>
        <v>1628708</v>
      </c>
      <c r="F80" s="22">
        <f t="shared" si="5"/>
        <v>8.4220138892479852</v>
      </c>
    </row>
    <row r="81" spans="1:6" x14ac:dyDescent="0.2">
      <c r="A81" s="20">
        <v>15</v>
      </c>
      <c r="B81" s="184" t="s">
        <v>13</v>
      </c>
      <c r="C81" s="185"/>
      <c r="D81" s="15">
        <f t="shared" si="4"/>
        <v>0</v>
      </c>
      <c r="E81" s="18">
        <f>IF(F3="1",SUMIF(Data!A:A,'27'!$A$2,Data!EM:EM),0)</f>
        <v>0</v>
      </c>
      <c r="F81" s="22" t="str">
        <f t="shared" si="5"/>
        <v/>
      </c>
    </row>
    <row r="82" spans="1:6" x14ac:dyDescent="0.2">
      <c r="A82" s="20">
        <v>16</v>
      </c>
      <c r="B82" s="184" t="s">
        <v>14</v>
      </c>
      <c r="C82" s="185"/>
      <c r="D82" s="15">
        <f t="shared" si="4"/>
        <v>330942</v>
      </c>
      <c r="E82" s="18">
        <f>IF(F3="1",SUMIF(Data!A:A,'27'!$A$2,Data!EN:EN),0)</f>
        <v>1342909</v>
      </c>
      <c r="F82" s="22">
        <f t="shared" si="5"/>
        <v>4.0578379293048332</v>
      </c>
    </row>
    <row r="83" spans="1:6" x14ac:dyDescent="0.2">
      <c r="A83" s="20">
        <v>17</v>
      </c>
      <c r="B83" s="184" t="s">
        <v>15</v>
      </c>
      <c r="C83" s="185"/>
      <c r="D83" s="15">
        <f t="shared" si="4"/>
        <v>58432</v>
      </c>
      <c r="E83" s="18">
        <f>IF(F3="1",SUMIF(Data!A:A,'27'!$A$2,Data!EO:EO),0)</f>
        <v>329564</v>
      </c>
      <c r="F83" s="22">
        <f t="shared" si="5"/>
        <v>5.6401286966046005</v>
      </c>
    </row>
    <row r="84" spans="1:6" x14ac:dyDescent="0.2">
      <c r="A84" s="20">
        <v>18</v>
      </c>
      <c r="B84" s="184" t="s">
        <v>16</v>
      </c>
      <c r="C84" s="185"/>
      <c r="D84" s="15">
        <f t="shared" si="4"/>
        <v>73184</v>
      </c>
      <c r="E84" s="18">
        <f>IF(F3="1",SUMIF(Data!A:A,'27'!$A$2,Data!EP:EP),0)</f>
        <v>363365</v>
      </c>
      <c r="F84" s="22">
        <f t="shared" si="5"/>
        <v>4.9650879973764761</v>
      </c>
    </row>
    <row r="85" spans="1:6" x14ac:dyDescent="0.2">
      <c r="A85" s="20">
        <v>19</v>
      </c>
      <c r="B85" s="184" t="s">
        <v>17</v>
      </c>
      <c r="C85" s="185"/>
      <c r="D85" s="15">
        <f t="shared" si="4"/>
        <v>320295</v>
      </c>
      <c r="E85" s="18">
        <f>IF(F3="1",SUMIF(Data!A:A,'27'!$A$2,Data!EQ:EQ),0)</f>
        <v>1103008</v>
      </c>
      <c r="F85" s="22">
        <f t="shared" si="5"/>
        <v>3.4437253157245662</v>
      </c>
    </row>
    <row r="86" spans="1:6" x14ac:dyDescent="0.2">
      <c r="A86" s="20">
        <v>20</v>
      </c>
      <c r="B86" s="184" t="s">
        <v>18</v>
      </c>
      <c r="C86" s="185"/>
      <c r="D86" s="15">
        <f t="shared" si="4"/>
        <v>0</v>
      </c>
      <c r="E86" s="18">
        <f>IF(F3="1",SUMIF(Data!A:A,'27'!$A$2,Data!ER:ER),0)</f>
        <v>0</v>
      </c>
      <c r="F86" s="22" t="str">
        <f t="shared" si="5"/>
        <v/>
      </c>
    </row>
    <row r="87" spans="1:6" ht="14.25" customHeight="1" x14ac:dyDescent="0.2">
      <c r="A87" s="20">
        <v>21</v>
      </c>
      <c r="B87" s="184" t="s">
        <v>466</v>
      </c>
      <c r="C87" s="185"/>
      <c r="D87" s="15">
        <f t="shared" si="4"/>
        <v>62770</v>
      </c>
      <c r="E87" s="18">
        <f>IF(F3="1",SUMIF(Data!A:A,'27'!$A$2,Data!ES:ES),0)</f>
        <v>0</v>
      </c>
      <c r="F87" s="22">
        <f t="shared" si="5"/>
        <v>0</v>
      </c>
    </row>
    <row r="88" spans="1:6" x14ac:dyDescent="0.2">
      <c r="A88" s="20">
        <v>22</v>
      </c>
      <c r="B88" s="184" t="s">
        <v>19</v>
      </c>
      <c r="C88" s="185"/>
      <c r="D88" s="15">
        <f t="shared" si="4"/>
        <v>2760</v>
      </c>
      <c r="E88" s="18">
        <f>IF(F3="1",SUMIF(Data!A:A,'27'!$A$2,Data!ET:ET),0)</f>
        <v>0</v>
      </c>
      <c r="F88" s="22">
        <f t="shared" si="5"/>
        <v>0</v>
      </c>
    </row>
    <row r="89" spans="1:6" x14ac:dyDescent="0.2">
      <c r="A89" s="20">
        <v>23</v>
      </c>
      <c r="B89" s="184" t="s">
        <v>20</v>
      </c>
      <c r="C89" s="185"/>
      <c r="D89" s="15">
        <f t="shared" si="4"/>
        <v>110930</v>
      </c>
      <c r="E89" s="18">
        <f>IF(F3="1",SUMIF(Data!A:A,'27'!$A$2,Data!EU:EU),0)</f>
        <v>699249</v>
      </c>
      <c r="F89" s="22">
        <f t="shared" si="5"/>
        <v>6.3035157306409451</v>
      </c>
    </row>
    <row r="90" spans="1:6" x14ac:dyDescent="0.2">
      <c r="A90" s="20">
        <v>24</v>
      </c>
      <c r="B90" s="184" t="s">
        <v>21</v>
      </c>
      <c r="C90" s="185"/>
      <c r="D90" s="15">
        <f t="shared" si="4"/>
        <v>149244</v>
      </c>
      <c r="E90" s="18">
        <f>IF(F3="1",SUMIF(Data!A:A,'27'!$A$2,Data!EV:EV),0)</f>
        <v>275077</v>
      </c>
      <c r="F90" s="22">
        <f t="shared" si="5"/>
        <v>1.8431360724719252</v>
      </c>
    </row>
    <row r="91" spans="1:6" x14ac:dyDescent="0.2">
      <c r="A91" s="20">
        <v>25</v>
      </c>
      <c r="B91" s="184" t="s">
        <v>22</v>
      </c>
      <c r="C91" s="185"/>
      <c r="D91" s="15">
        <f t="shared" si="4"/>
        <v>612480</v>
      </c>
      <c r="E91" s="18">
        <f>IF(F3="1",SUMIF(Data!A:A,'27'!$A$2,Data!EW:EW),0)</f>
        <v>1571203</v>
      </c>
      <c r="F91" s="22">
        <f t="shared" si="5"/>
        <v>2.5653131530825495</v>
      </c>
    </row>
    <row r="92" spans="1:6" x14ac:dyDescent="0.2">
      <c r="A92" s="20">
        <v>26</v>
      </c>
      <c r="B92" s="184" t="s">
        <v>23</v>
      </c>
      <c r="C92" s="185"/>
      <c r="D92" s="15">
        <f t="shared" si="4"/>
        <v>282710</v>
      </c>
      <c r="E92" s="18">
        <f>IF(F3="1",SUMIF(Data!A:A,'27'!$A$2,Data!EX:EX),0)</f>
        <v>1802013</v>
      </c>
      <c r="F92" s="22">
        <f t="shared" si="5"/>
        <v>6.3740688337872733</v>
      </c>
    </row>
    <row r="93" spans="1:6" x14ac:dyDescent="0.2">
      <c r="A93" s="20">
        <v>28</v>
      </c>
      <c r="B93" s="184" t="s">
        <v>24</v>
      </c>
      <c r="C93" s="185"/>
      <c r="D93" s="15">
        <f t="shared" si="4"/>
        <v>0</v>
      </c>
      <c r="E93" s="18">
        <f>IF(F3="1",SUMIF(Data!A:A,'27'!$A$2,Data!EZ:EZ),0)</f>
        <v>0</v>
      </c>
      <c r="F93" s="22" t="str">
        <f t="shared" si="5"/>
        <v/>
      </c>
    </row>
    <row r="94" spans="1:6" ht="15.75" customHeight="1" thickBot="1" x14ac:dyDescent="0.25">
      <c r="A94" s="23">
        <v>29</v>
      </c>
      <c r="B94" s="186" t="s">
        <v>25</v>
      </c>
      <c r="C94" s="187"/>
      <c r="D94" s="24">
        <f t="shared" si="4"/>
        <v>0</v>
      </c>
      <c r="E94" s="25">
        <f>IF(F3="1",SUMIF(Data!A:A,'27'!$A$2,Data!FA:FA),0)</f>
        <v>0</v>
      </c>
      <c r="F94" s="26" t="str">
        <f t="shared" si="5"/>
        <v/>
      </c>
    </row>
    <row r="95" spans="1:6" x14ac:dyDescent="0.2">
      <c r="B95" s="31" t="s">
        <v>35</v>
      </c>
      <c r="C95" s="31"/>
      <c r="D95" s="61">
        <f>SUM(D67:D94)</f>
        <v>3921638</v>
      </c>
      <c r="E95" s="32">
        <f>SUM(E67:E94)</f>
        <v>15880510</v>
      </c>
      <c r="F95" s="33">
        <f t="shared" si="5"/>
        <v>4.049458415080637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IF(F3="1",SUMIF(Data!A:A,'27'!$A$2,Data!AH:AH),0)</f>
        <v>7420171</v>
      </c>
      <c r="F98" s="21">
        <f t="shared" ref="F98:F105" si="6">IFERROR(E98/$D$95,0)</f>
        <v>1.8921101335717372</v>
      </c>
    </row>
    <row r="99" spans="2:6" x14ac:dyDescent="0.2">
      <c r="B99" s="190" t="s">
        <v>31</v>
      </c>
      <c r="C99" s="191"/>
      <c r="D99" s="37"/>
      <c r="E99" s="18">
        <f>IF(F3="1",SUMIF(Data!A:A,'27'!$A$2,Data!AI:AI),0)</f>
        <v>2115731</v>
      </c>
      <c r="F99" s="22">
        <f t="shared" si="6"/>
        <v>0.53950186121207511</v>
      </c>
    </row>
    <row r="100" spans="2:6" x14ac:dyDescent="0.2">
      <c r="B100" s="190" t="s">
        <v>32</v>
      </c>
      <c r="C100" s="191"/>
      <c r="D100" s="37"/>
      <c r="E100" s="18">
        <f>IF(F3="1",SUMIF(Data!A:A,'27'!$A$2,Data!AJ:AJ),0)</f>
        <v>1692239</v>
      </c>
      <c r="F100" s="22">
        <f t="shared" si="6"/>
        <v>0.43151331152951905</v>
      </c>
    </row>
    <row r="101" spans="2:6" x14ac:dyDescent="0.2">
      <c r="B101" s="190" t="s">
        <v>28</v>
      </c>
      <c r="C101" s="191"/>
      <c r="D101" s="37"/>
      <c r="E101" s="18">
        <f>IF(F3="1",SUMIF(Data!A:A,'27'!$A$2,Data!AK:AK),0)</f>
        <v>0</v>
      </c>
      <c r="F101" s="22">
        <f t="shared" si="6"/>
        <v>0</v>
      </c>
    </row>
    <row r="102" spans="2:6" x14ac:dyDescent="0.2">
      <c r="B102" s="190" t="s">
        <v>33</v>
      </c>
      <c r="C102" s="191"/>
      <c r="D102" s="37"/>
      <c r="E102" s="18">
        <f>IF(F3="1",SUMIF(Data!A:A,'27'!$A$2,Data!AL:AL),0)</f>
        <v>852915</v>
      </c>
      <c r="F102" s="22">
        <f t="shared" si="6"/>
        <v>0.21748947761114107</v>
      </c>
    </row>
    <row r="103" spans="2:6" x14ac:dyDescent="0.2">
      <c r="B103" s="192" t="s">
        <v>34</v>
      </c>
      <c r="C103" s="193"/>
      <c r="D103" s="37"/>
      <c r="E103" s="18">
        <f>IF(F3="1",SUMIF(Data!A:A,'27'!$A$2,Data!AM:AM),0)</f>
        <v>0</v>
      </c>
      <c r="F103" s="22">
        <f t="shared" si="6"/>
        <v>0</v>
      </c>
    </row>
    <row r="104" spans="2:6" ht="15.75" customHeight="1" thickBot="1" x14ac:dyDescent="0.25">
      <c r="B104" s="182" t="s">
        <v>29</v>
      </c>
      <c r="C104" s="183"/>
      <c r="D104" s="38"/>
      <c r="E104" s="25">
        <f>IF(F3="1",SUMIF(Data!A:A,'27'!$A$2,Data!Q:Q),0)</f>
        <v>290310</v>
      </c>
      <c r="F104" s="26">
        <f t="shared" si="6"/>
        <v>7.4027740449271448E-2</v>
      </c>
    </row>
    <row r="105" spans="2:6" x14ac:dyDescent="0.2">
      <c r="B105" s="31" t="s">
        <v>35</v>
      </c>
      <c r="C105" s="31"/>
      <c r="D105" s="35">
        <f>D95</f>
        <v>3921638</v>
      </c>
      <c r="E105" s="32">
        <f>SUM(E98:E104)</f>
        <v>12371366</v>
      </c>
      <c r="F105" s="33">
        <f t="shared" si="6"/>
        <v>3.1546425243737439</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15880510</v>
      </c>
      <c r="D109" s="16">
        <f>IF(F3="1",SUMIF(Data!$A:$A,$A$2,Data!HJ:HJ),0)</f>
        <v>0</v>
      </c>
      <c r="E109" s="16">
        <f>IF(F3="1",SUMIF(Data!$A:$A,$A$2,Data!IN:IN),0)</f>
        <v>0</v>
      </c>
      <c r="F109" s="48">
        <f>SUM(C109:E109)</f>
        <v>15880510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852915</v>
      </c>
      <c r="F116" s="49">
        <f t="shared" si="7"/>
        <v>852915</v>
      </c>
    </row>
    <row r="117" spans="1:6" ht="15" thickBot="1" x14ac:dyDescent="0.25">
      <c r="B117" s="44" t="s">
        <v>941</v>
      </c>
      <c r="C117" s="53"/>
      <c r="D117" s="53">
        <f>IF(F3="1",SUMIF(Data!A:A,$A$2,Data!Q:Q),0)</f>
        <v>290310</v>
      </c>
      <c r="E117" s="53"/>
      <c r="F117" s="50">
        <f>SUM(C117:E117)</f>
        <v>290310</v>
      </c>
    </row>
    <row r="118" spans="1:6" x14ac:dyDescent="0.2">
      <c r="B118" s="14" t="s">
        <v>35</v>
      </c>
      <c r="C118" s="5">
        <f>SUM(C109:C116)</f>
        <v>15880510</v>
      </c>
      <c r="D118" s="5">
        <f>SUM(D109:D116)</f>
        <v>0</v>
      </c>
      <c r="E118" s="5">
        <f>SUM(E109:E116)</f>
        <v>852915</v>
      </c>
      <c r="F118" s="5">
        <f>SUM(F109:F116)</f>
        <v>16733425</v>
      </c>
    </row>
    <row r="119" spans="1:6" ht="15" thickBot="1" x14ac:dyDescent="0.25"/>
    <row r="120" spans="1:6" ht="15" thickBot="1" x14ac:dyDescent="0.25">
      <c r="B120" s="57" t="s">
        <v>942</v>
      </c>
      <c r="C120" s="55"/>
      <c r="D120" s="55"/>
      <c r="E120" s="55">
        <f>IF(F3="1",SUMIF(Data!A:A,'27'!$A$2,Data!AM:AM),0)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434</v>
      </c>
      <c r="B2" s="60" t="str">
        <f>VLOOKUP(A2,Data!A:G,7,0)</f>
        <v>Midland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3792</v>
      </c>
      <c r="E5" s="16">
        <f>E36+E67+IFERROR($E$105/$D$105*D5,0)</f>
        <v>44559.938765316023</v>
      </c>
      <c r="F5" s="21">
        <f>IFERROR(E5/D5,"")</f>
        <v>11.751038703933551</v>
      </c>
    </row>
    <row r="6" spans="1:6" x14ac:dyDescent="0.2">
      <c r="A6" s="20">
        <v>2</v>
      </c>
      <c r="B6" s="184" t="s">
        <v>1</v>
      </c>
      <c r="C6" s="185"/>
      <c r="D6" s="15">
        <f t="shared" ref="D6:D32" si="0">D37</f>
        <v>37905</v>
      </c>
      <c r="E6" s="18">
        <f t="shared" ref="E6:E32" si="1">E37+E68+IFERROR($E$105/$D$105*D6,0)</f>
        <v>395997.52397133538</v>
      </c>
      <c r="F6" s="22">
        <f t="shared" ref="F6:F33" si="2">IFERROR(E6/D6,"")</f>
        <v>10.447105236019928</v>
      </c>
    </row>
    <row r="7" spans="1:6" ht="14.25" customHeight="1" x14ac:dyDescent="0.2">
      <c r="A7" s="20">
        <v>3</v>
      </c>
      <c r="B7" s="184" t="s">
        <v>2</v>
      </c>
      <c r="C7" s="185"/>
      <c r="D7" s="15">
        <f t="shared" si="0"/>
        <v>304208</v>
      </c>
      <c r="E7" s="18">
        <f t="shared" si="1"/>
        <v>2599738.6613711119</v>
      </c>
      <c r="F7" s="22">
        <f t="shared" si="2"/>
        <v>8.5459247007676051</v>
      </c>
    </row>
    <row r="8" spans="1:6" ht="14.25" customHeight="1" x14ac:dyDescent="0.2">
      <c r="A8" s="20">
        <v>4</v>
      </c>
      <c r="B8" s="184" t="s">
        <v>3</v>
      </c>
      <c r="C8" s="185"/>
      <c r="D8" s="15">
        <f t="shared" si="0"/>
        <v>150840</v>
      </c>
      <c r="E8" s="18">
        <f t="shared" si="1"/>
        <v>1434458.1844304504</v>
      </c>
      <c r="F8" s="22">
        <f t="shared" si="2"/>
        <v>9.5097996846357091</v>
      </c>
    </row>
    <row r="9" spans="1:6" x14ac:dyDescent="0.2">
      <c r="A9" s="20">
        <v>5</v>
      </c>
      <c r="B9" s="184" t="s">
        <v>4</v>
      </c>
      <c r="C9" s="185"/>
      <c r="D9" s="15">
        <f t="shared" si="0"/>
        <v>17498</v>
      </c>
      <c r="E9" s="18">
        <f t="shared" si="1"/>
        <v>986085.24697138707</v>
      </c>
      <c r="F9" s="22">
        <f t="shared" si="2"/>
        <v>56.354168874807812</v>
      </c>
    </row>
    <row r="10" spans="1:6" x14ac:dyDescent="0.2">
      <c r="A10" s="20">
        <v>6</v>
      </c>
      <c r="B10" s="184" t="s">
        <v>5</v>
      </c>
      <c r="C10" s="185"/>
      <c r="D10" s="15">
        <f t="shared" si="0"/>
        <v>13572</v>
      </c>
      <c r="E10" s="18">
        <f t="shared" si="1"/>
        <v>213200.05931510258</v>
      </c>
      <c r="F10" s="22">
        <f t="shared" si="2"/>
        <v>15.708816630938887</v>
      </c>
    </row>
    <row r="11" spans="1:6" x14ac:dyDescent="0.2">
      <c r="A11" s="20">
        <v>7</v>
      </c>
      <c r="B11" s="184" t="s">
        <v>6</v>
      </c>
      <c r="C11" s="185"/>
      <c r="D11" s="15">
        <f t="shared" si="0"/>
        <v>36735</v>
      </c>
      <c r="E11" s="18">
        <f t="shared" si="1"/>
        <v>683433.15678899898</v>
      </c>
      <c r="F11" s="22">
        <f t="shared" si="2"/>
        <v>18.604414231359712</v>
      </c>
    </row>
    <row r="12" spans="1:6" x14ac:dyDescent="0.2">
      <c r="A12" s="20">
        <v>8</v>
      </c>
      <c r="B12" s="184" t="s">
        <v>7</v>
      </c>
      <c r="C12" s="185"/>
      <c r="D12" s="15">
        <f t="shared" si="0"/>
        <v>1756</v>
      </c>
      <c r="E12" s="18">
        <f t="shared" si="1"/>
        <v>21465.575018959633</v>
      </c>
      <c r="F12" s="22">
        <f t="shared" si="2"/>
        <v>12.224131559772001</v>
      </c>
    </row>
    <row r="13" spans="1:6" x14ac:dyDescent="0.2">
      <c r="A13" s="20">
        <v>9</v>
      </c>
      <c r="B13" s="184" t="s">
        <v>8</v>
      </c>
      <c r="C13" s="185"/>
      <c r="D13" s="15">
        <f t="shared" si="0"/>
        <v>104093</v>
      </c>
      <c r="E13" s="18">
        <f t="shared" si="1"/>
        <v>859502.28214610764</v>
      </c>
      <c r="F13" s="22">
        <f t="shared" si="2"/>
        <v>8.2570613023556589</v>
      </c>
    </row>
    <row r="14" spans="1:6" x14ac:dyDescent="0.2">
      <c r="A14" s="20">
        <v>10</v>
      </c>
      <c r="B14" s="184" t="s">
        <v>9</v>
      </c>
      <c r="C14" s="185"/>
      <c r="D14" s="15">
        <f t="shared" si="0"/>
        <v>4311</v>
      </c>
      <c r="E14" s="18">
        <f t="shared" si="1"/>
        <v>52699.022156455001</v>
      </c>
      <c r="F14" s="22">
        <f t="shared" si="2"/>
        <v>12.22431504441081</v>
      </c>
    </row>
    <row r="15" spans="1:6" x14ac:dyDescent="0.2">
      <c r="A15" s="20">
        <v>11</v>
      </c>
      <c r="B15" s="184" t="s">
        <v>10</v>
      </c>
      <c r="C15" s="185"/>
      <c r="D15" s="15">
        <f t="shared" si="0"/>
        <v>59135</v>
      </c>
      <c r="E15" s="18">
        <f t="shared" si="1"/>
        <v>1358382.2549807392</v>
      </c>
      <c r="F15" s="22">
        <f t="shared" si="2"/>
        <v>22.970867590779388</v>
      </c>
    </row>
    <row r="16" spans="1:6" ht="14.25" customHeight="1" x14ac:dyDescent="0.2">
      <c r="A16" s="20">
        <v>12</v>
      </c>
      <c r="B16" s="184" t="s">
        <v>11</v>
      </c>
      <c r="C16" s="185"/>
      <c r="D16" s="15">
        <f t="shared" si="0"/>
        <v>285226</v>
      </c>
      <c r="E16" s="18">
        <f t="shared" si="1"/>
        <v>2868602.4341445221</v>
      </c>
      <c r="F16" s="22">
        <f t="shared" si="2"/>
        <v>10.057296439120284</v>
      </c>
    </row>
    <row r="17" spans="1:6" x14ac:dyDescent="0.2">
      <c r="A17" s="20">
        <v>13</v>
      </c>
      <c r="B17" s="184" t="s">
        <v>12</v>
      </c>
      <c r="C17" s="185"/>
      <c r="D17" s="15">
        <f t="shared" si="0"/>
        <v>318608</v>
      </c>
      <c r="E17" s="18">
        <f t="shared" si="1"/>
        <v>1961206.7959229446</v>
      </c>
      <c r="F17" s="22">
        <f t="shared" si="2"/>
        <v>6.1555478704958588</v>
      </c>
    </row>
    <row r="18" spans="1:6" ht="14.25" customHeight="1" x14ac:dyDescent="0.2">
      <c r="A18" s="20">
        <v>14</v>
      </c>
      <c r="B18" s="184" t="s">
        <v>469</v>
      </c>
      <c r="C18" s="185"/>
      <c r="D18" s="15">
        <f t="shared" si="0"/>
        <v>149548</v>
      </c>
      <c r="E18" s="18">
        <f t="shared" si="1"/>
        <v>1700275.8593026055</v>
      </c>
      <c r="F18" s="22">
        <f t="shared" si="2"/>
        <v>11.369432284635071</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162526</v>
      </c>
      <c r="E20" s="18">
        <f t="shared" si="1"/>
        <v>1787476.5168174449</v>
      </c>
      <c r="F20" s="22">
        <f t="shared" si="2"/>
        <v>10.998095792780509</v>
      </c>
    </row>
    <row r="21" spans="1:6" x14ac:dyDescent="0.2">
      <c r="A21" s="20">
        <v>17</v>
      </c>
      <c r="B21" s="184" t="s">
        <v>15</v>
      </c>
      <c r="C21" s="185"/>
      <c r="D21" s="15">
        <f t="shared" si="0"/>
        <v>28739</v>
      </c>
      <c r="E21" s="18">
        <f t="shared" si="1"/>
        <v>320056.29013091163</v>
      </c>
      <c r="F21" s="22">
        <f t="shared" si="2"/>
        <v>11.136653680744342</v>
      </c>
    </row>
    <row r="22" spans="1:6" x14ac:dyDescent="0.2">
      <c r="A22" s="20">
        <v>18</v>
      </c>
      <c r="B22" s="184" t="s">
        <v>16</v>
      </c>
      <c r="C22" s="185"/>
      <c r="D22" s="15">
        <f t="shared" si="0"/>
        <v>92976</v>
      </c>
      <c r="E22" s="18">
        <f t="shared" si="1"/>
        <v>982490.24542300159</v>
      </c>
      <c r="F22" s="22">
        <f t="shared" si="2"/>
        <v>10.567138244525486</v>
      </c>
    </row>
    <row r="23" spans="1:6" x14ac:dyDescent="0.2">
      <c r="A23" s="20">
        <v>19</v>
      </c>
      <c r="B23" s="184" t="s">
        <v>17</v>
      </c>
      <c r="C23" s="185"/>
      <c r="D23" s="15">
        <f t="shared" si="0"/>
        <v>200864</v>
      </c>
      <c r="E23" s="18">
        <f t="shared" si="1"/>
        <v>1888209.0390707902</v>
      </c>
      <c r="F23" s="22">
        <f t="shared" si="2"/>
        <v>9.4004353147940414</v>
      </c>
    </row>
    <row r="24" spans="1:6" x14ac:dyDescent="0.2">
      <c r="A24" s="20">
        <v>20</v>
      </c>
      <c r="B24" s="184" t="s">
        <v>18</v>
      </c>
      <c r="C24" s="185"/>
      <c r="D24" s="15">
        <f t="shared" si="0"/>
        <v>35113</v>
      </c>
      <c r="E24" s="18">
        <f t="shared" si="1"/>
        <v>443197.83066100773</v>
      </c>
      <c r="F24" s="22">
        <f t="shared" si="2"/>
        <v>12.622043991143101</v>
      </c>
    </row>
    <row r="25" spans="1:6" ht="14.25" customHeight="1" x14ac:dyDescent="0.2">
      <c r="A25" s="20">
        <v>21</v>
      </c>
      <c r="B25" s="184" t="s">
        <v>466</v>
      </c>
      <c r="C25" s="185"/>
      <c r="D25" s="15">
        <f t="shared" si="0"/>
        <v>41628</v>
      </c>
      <c r="E25" s="18">
        <f t="shared" si="1"/>
        <v>852028.28980025719</v>
      </c>
      <c r="F25" s="22">
        <f t="shared" si="2"/>
        <v>20.46767295570907</v>
      </c>
    </row>
    <row r="26" spans="1:6" x14ac:dyDescent="0.2">
      <c r="A26" s="20">
        <v>22</v>
      </c>
      <c r="B26" s="184" t="s">
        <v>19</v>
      </c>
      <c r="C26" s="185"/>
      <c r="D26" s="15">
        <f t="shared" si="0"/>
        <v>5472</v>
      </c>
      <c r="E26" s="18">
        <f t="shared" si="1"/>
        <v>91862.671129696537</v>
      </c>
      <c r="F26" s="22">
        <f t="shared" si="2"/>
        <v>16.787768846801267</v>
      </c>
    </row>
    <row r="27" spans="1:6" x14ac:dyDescent="0.2">
      <c r="A27" s="20">
        <v>23</v>
      </c>
      <c r="B27" s="184" t="s">
        <v>20</v>
      </c>
      <c r="C27" s="185"/>
      <c r="D27" s="15">
        <f t="shared" si="0"/>
        <v>56032</v>
      </c>
      <c r="E27" s="18">
        <f t="shared" si="1"/>
        <v>621222.52133391006</v>
      </c>
      <c r="F27" s="22">
        <f t="shared" si="2"/>
        <v>11.086923924434432</v>
      </c>
    </row>
    <row r="28" spans="1:6" x14ac:dyDescent="0.2">
      <c r="A28" s="20">
        <v>24</v>
      </c>
      <c r="B28" s="184" t="s">
        <v>21</v>
      </c>
      <c r="C28" s="185"/>
      <c r="D28" s="15">
        <f t="shared" si="0"/>
        <v>99902</v>
      </c>
      <c r="E28" s="18">
        <f t="shared" si="1"/>
        <v>1161277.1694442513</v>
      </c>
      <c r="F28" s="22">
        <f t="shared" si="2"/>
        <v>11.624163374549571</v>
      </c>
    </row>
    <row r="29" spans="1:6" x14ac:dyDescent="0.2">
      <c r="A29" s="20">
        <v>25</v>
      </c>
      <c r="B29" s="184" t="s">
        <v>22</v>
      </c>
      <c r="C29" s="185"/>
      <c r="D29" s="15">
        <f t="shared" si="0"/>
        <v>366528</v>
      </c>
      <c r="E29" s="18">
        <f t="shared" si="1"/>
        <v>3085623.6381259887</v>
      </c>
      <c r="F29" s="22">
        <f t="shared" si="2"/>
        <v>8.4185209264394221</v>
      </c>
    </row>
    <row r="30" spans="1:6" x14ac:dyDescent="0.2">
      <c r="A30" s="20">
        <v>26</v>
      </c>
      <c r="B30" s="184" t="s">
        <v>23</v>
      </c>
      <c r="C30" s="185"/>
      <c r="D30" s="15">
        <f t="shared" si="0"/>
        <v>111600</v>
      </c>
      <c r="E30" s="18">
        <f t="shared" si="1"/>
        <v>1171753.7927767057</v>
      </c>
      <c r="F30" s="22">
        <f t="shared" si="2"/>
        <v>10.499585956780518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2688607</v>
      </c>
      <c r="E33" s="32">
        <f>SUM(E5:E32)</f>
        <v>27584805</v>
      </c>
      <c r="F33" s="33">
        <f t="shared" si="2"/>
        <v>10.259887369184117</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IF(F3="1",SUMIF(Data!A:A,'28'!$A$2,Data!CU:CU),0)</f>
        <v>3792</v>
      </c>
      <c r="E36" s="16">
        <f>IF(F3="1",SUMIF(Data!$A:$A,'28'!$A$2,Data!IO:IO),0)</f>
        <v>2708</v>
      </c>
      <c r="F36" s="21">
        <f t="shared" ref="F36:F64" si="3">IFERROR(E36/D36,"")</f>
        <v>0.71413502109704641</v>
      </c>
    </row>
    <row r="37" spans="1:6" x14ac:dyDescent="0.2">
      <c r="A37" s="20">
        <v>2</v>
      </c>
      <c r="B37" s="184" t="s">
        <v>1</v>
      </c>
      <c r="C37" s="185"/>
      <c r="D37" s="15">
        <f>IF(F3="1",SUMIF(Data!A:A,'28'!$A$2,Data!CV:CV),0)</f>
        <v>37905</v>
      </c>
      <c r="E37" s="18">
        <f>IF(F3="1",SUMIF(Data!$A:$A,'28'!$A$2,Data!IP:IP),0)</f>
        <v>64296</v>
      </c>
      <c r="F37" s="22">
        <f t="shared" si="3"/>
        <v>1.6962406015037594</v>
      </c>
    </row>
    <row r="38" spans="1:6" ht="14.25" customHeight="1" x14ac:dyDescent="0.2">
      <c r="A38" s="20">
        <v>3</v>
      </c>
      <c r="B38" s="184" t="s">
        <v>2</v>
      </c>
      <c r="C38" s="185"/>
      <c r="D38" s="15">
        <f>IF(F3="1",SUMIF(Data!A:A,'28'!$A$2,Data!CW:CW),0)</f>
        <v>304208</v>
      </c>
      <c r="E38" s="18">
        <f>IF(F3="1",SUMIF(Data!$A:$A,'28'!$A$2,Data!IQ:IQ),0)</f>
        <v>249330</v>
      </c>
      <c r="F38" s="22">
        <f t="shared" si="3"/>
        <v>0.8196036922105927</v>
      </c>
    </row>
    <row r="39" spans="1:6" ht="14.25" customHeight="1" x14ac:dyDescent="0.2">
      <c r="A39" s="20">
        <v>4</v>
      </c>
      <c r="B39" s="184" t="s">
        <v>3</v>
      </c>
      <c r="C39" s="185"/>
      <c r="D39" s="15">
        <f>IF(F3="1",SUMIF(Data!A:A,'28'!$A$2,Data!CX:CX),0)</f>
        <v>150840</v>
      </c>
      <c r="E39" s="18">
        <f>IF(F3="1",SUMIF(Data!$A:$A,'28'!$A$2,Data!IR:IR),0)</f>
        <v>152574</v>
      </c>
      <c r="F39" s="22">
        <f t="shared" si="3"/>
        <v>1.0114956245027844</v>
      </c>
    </row>
    <row r="40" spans="1:6" x14ac:dyDescent="0.2">
      <c r="A40" s="20">
        <v>5</v>
      </c>
      <c r="B40" s="184" t="s">
        <v>4</v>
      </c>
      <c r="C40" s="185"/>
      <c r="D40" s="15">
        <f>IF(F3="1",SUMIF(Data!A:A,'28'!$A$2,Data!CY:CY),0)</f>
        <v>17498</v>
      </c>
      <c r="E40" s="18">
        <f>IF(F3="1",SUMIF(Data!$A:$A,'28'!$A$2,Data!IS:IS),0)</f>
        <v>575535</v>
      </c>
      <c r="F40" s="22">
        <f t="shared" si="3"/>
        <v>32.891473311235572</v>
      </c>
    </row>
    <row r="41" spans="1:6" x14ac:dyDescent="0.2">
      <c r="A41" s="20">
        <v>6</v>
      </c>
      <c r="B41" s="184" t="s">
        <v>5</v>
      </c>
      <c r="C41" s="185"/>
      <c r="D41" s="15">
        <f>IF(F3="1",SUMIF(Data!A:A,'28'!$A$2,Data!CZ:CZ),0)</f>
        <v>13572</v>
      </c>
      <c r="E41" s="18">
        <f>IF(F3="1",SUMIF(Data!$A:$A,'28'!$A$2,Data!IT:IT),0)</f>
        <v>19587</v>
      </c>
      <c r="F41" s="22">
        <f t="shared" si="3"/>
        <v>1.4431918656056588</v>
      </c>
    </row>
    <row r="42" spans="1:6" x14ac:dyDescent="0.2">
      <c r="A42" s="20">
        <v>7</v>
      </c>
      <c r="B42" s="184" t="s">
        <v>6</v>
      </c>
      <c r="C42" s="185"/>
      <c r="D42" s="15">
        <f>IF(F3="1",SUMIF(Data!A:A,'28'!$A$2,Data!DA:DA),0)</f>
        <v>36735</v>
      </c>
      <c r="E42" s="18">
        <f>IF(F3="1",SUMIF(Data!$A:$A,'28'!$A$2,Data!IU:IU),0)</f>
        <v>169507</v>
      </c>
      <c r="F42" s="22">
        <f t="shared" si="3"/>
        <v>4.6143187695658092</v>
      </c>
    </row>
    <row r="43" spans="1:6" x14ac:dyDescent="0.2">
      <c r="A43" s="20">
        <v>8</v>
      </c>
      <c r="B43" s="184" t="s">
        <v>7</v>
      </c>
      <c r="C43" s="185"/>
      <c r="D43" s="15">
        <f>IF(F3="1",SUMIF(Data!A:A,'28'!$A$2,Data!DB:DB),0)</f>
        <v>1756</v>
      </c>
      <c r="E43" s="18">
        <f>IF(F3="1",SUMIF(Data!$A:$A,'28'!$A$2,Data!IV:IV),0)</f>
        <v>10007</v>
      </c>
      <c r="F43" s="22">
        <f t="shared" si="3"/>
        <v>5.6987471526195899</v>
      </c>
    </row>
    <row r="44" spans="1:6" x14ac:dyDescent="0.2">
      <c r="A44" s="20">
        <v>9</v>
      </c>
      <c r="B44" s="184" t="s">
        <v>8</v>
      </c>
      <c r="C44" s="185"/>
      <c r="D44" s="15">
        <f>IF(F3="1",SUMIF(Data!A:A,'28'!$A$2,Data!DC:DC),0)</f>
        <v>104093</v>
      </c>
      <c r="E44" s="18">
        <f>IF(F3="1",SUMIF(Data!$A:$A,'28'!$A$2,Data!IW:IW),0)</f>
        <v>83424</v>
      </c>
      <c r="F44" s="22">
        <f t="shared" si="3"/>
        <v>0.80143717637112966</v>
      </c>
    </row>
    <row r="45" spans="1:6" x14ac:dyDescent="0.2">
      <c r="A45" s="20">
        <v>10</v>
      </c>
      <c r="B45" s="184" t="s">
        <v>9</v>
      </c>
      <c r="C45" s="185"/>
      <c r="D45" s="15">
        <f>IF(F3="1",SUMIF(Data!A:A,'28'!$A$2,Data!DD:DD),0)</f>
        <v>4311</v>
      </c>
      <c r="E45" s="18">
        <f>IF(F3="1",SUMIF(Data!$A:$A,'28'!$A$2,Data!IX:IX),0)</f>
        <v>24569</v>
      </c>
      <c r="F45" s="22">
        <f t="shared" si="3"/>
        <v>5.6991417304569705</v>
      </c>
    </row>
    <row r="46" spans="1:6" x14ac:dyDescent="0.2">
      <c r="A46" s="20">
        <v>11</v>
      </c>
      <c r="B46" s="184" t="s">
        <v>10</v>
      </c>
      <c r="C46" s="185"/>
      <c r="D46" s="15">
        <f>IF(F3="1",SUMIF(Data!A:A,'28'!$A$2,Data!DE:DE),0)</f>
        <v>59135</v>
      </c>
      <c r="E46" s="18">
        <f>IF(F3="1",SUMIF(Data!$A:$A,'28'!$A$2,Data!IY:IY),0)</f>
        <v>708858</v>
      </c>
      <c r="F46" s="22">
        <f t="shared" si="3"/>
        <v>11.987114230151349</v>
      </c>
    </row>
    <row r="47" spans="1:6" ht="14.25" customHeight="1" x14ac:dyDescent="0.2">
      <c r="A47" s="20">
        <v>12</v>
      </c>
      <c r="B47" s="184" t="s">
        <v>11</v>
      </c>
      <c r="C47" s="185"/>
      <c r="D47" s="15">
        <f>IF(F3="1",SUMIF(Data!A:A,'28'!$A$2,Data!DF:DF),0)</f>
        <v>285226</v>
      </c>
      <c r="E47" s="18">
        <f>IF(F3="1",SUMIF(Data!$A:$A,'28'!$A$2,Data!IZ:IZ),0)</f>
        <v>497694</v>
      </c>
      <c r="F47" s="22">
        <f t="shared" si="3"/>
        <v>1.7449110529895591</v>
      </c>
    </row>
    <row r="48" spans="1:6" x14ac:dyDescent="0.2">
      <c r="A48" s="20">
        <v>13</v>
      </c>
      <c r="B48" s="184" t="s">
        <v>12</v>
      </c>
      <c r="C48" s="185"/>
      <c r="D48" s="15">
        <f>IF(F3="1",SUMIF(Data!A:A,'28'!$A$2,Data!DG:DG),0)</f>
        <v>318608</v>
      </c>
      <c r="E48" s="18">
        <f>IF(F3="1",SUMIF(Data!$A:$A,'28'!$A$2,Data!JA:JA),0)</f>
        <v>54548</v>
      </c>
      <c r="F48" s="22">
        <f t="shared" si="3"/>
        <v>0.17120725154421734</v>
      </c>
    </row>
    <row r="49" spans="1:6" ht="14.25" customHeight="1" x14ac:dyDescent="0.2">
      <c r="A49" s="20">
        <v>14</v>
      </c>
      <c r="B49" s="184" t="s">
        <v>469</v>
      </c>
      <c r="C49" s="185"/>
      <c r="D49" s="15">
        <f>IF(F3="1",SUMIF(Data!A:A,'28'!$A$2,Data!DH:DH),0)</f>
        <v>149548</v>
      </c>
      <c r="E49" s="18">
        <f>IF(F3="1",SUMIF(Data!$A:$A,'28'!$A$2,Data!JB:JB),0)</f>
        <v>198754</v>
      </c>
      <c r="F49" s="22">
        <f t="shared" si="3"/>
        <v>1.3290314815310134</v>
      </c>
    </row>
    <row r="50" spans="1:6" x14ac:dyDescent="0.2">
      <c r="A50" s="20">
        <v>15</v>
      </c>
      <c r="B50" s="184" t="s">
        <v>13</v>
      </c>
      <c r="C50" s="185"/>
      <c r="D50" s="15">
        <f>IF(F3="1",SUMIF(Data!A:A,'28'!$A$2,Data!DI:DI),0)</f>
        <v>0</v>
      </c>
      <c r="E50" s="18">
        <f>IF(F3="1",SUMIF(Data!$A:$A,'28'!$A$2,Data!JC:JC),0)</f>
        <v>0</v>
      </c>
      <c r="F50" s="22" t="str">
        <f t="shared" si="3"/>
        <v/>
      </c>
    </row>
    <row r="51" spans="1:6" x14ac:dyDescent="0.2">
      <c r="A51" s="20">
        <v>16</v>
      </c>
      <c r="B51" s="184" t="s">
        <v>14</v>
      </c>
      <c r="C51" s="185"/>
      <c r="D51" s="15">
        <f>IF(F3="1",SUMIF(Data!A:A,'28'!$A$2,Data!DJ:DJ),0)</f>
        <v>162526</v>
      </c>
      <c r="E51" s="18">
        <f>IF(F3="1",SUMIF(Data!$A:$A,'28'!$A$2,Data!JD:JD),0)</f>
        <v>271512</v>
      </c>
      <c r="F51" s="22">
        <f t="shared" si="3"/>
        <v>1.6705757847975093</v>
      </c>
    </row>
    <row r="52" spans="1:6" x14ac:dyDescent="0.2">
      <c r="A52" s="20">
        <v>17</v>
      </c>
      <c r="B52" s="184" t="s">
        <v>15</v>
      </c>
      <c r="C52" s="185"/>
      <c r="D52" s="15">
        <f>IF(F3="1",SUMIF(Data!A:A,'28'!$A$2,Data!DK:DK),0)</f>
        <v>28739</v>
      </c>
      <c r="E52" s="18">
        <f>IF(F3="1",SUMIF(Data!$A:$A,'28'!$A$2,Data!JE:JE),0)</f>
        <v>31373</v>
      </c>
      <c r="F52" s="22">
        <f t="shared" si="3"/>
        <v>1.0916524583318834</v>
      </c>
    </row>
    <row r="53" spans="1:6" x14ac:dyDescent="0.2">
      <c r="A53" s="20">
        <v>18</v>
      </c>
      <c r="B53" s="184" t="s">
        <v>16</v>
      </c>
      <c r="C53" s="185"/>
      <c r="D53" s="15">
        <f>IF(F3="1",SUMIF(Data!A:A,'28'!$A$2,Data!DL:DL),0)</f>
        <v>92976</v>
      </c>
      <c r="E53" s="18">
        <f>IF(F3="1",SUMIF(Data!$A:$A,'28'!$A$2,Data!JF:JF),0)</f>
        <v>99507</v>
      </c>
      <c r="F53" s="22">
        <f t="shared" si="3"/>
        <v>1.0702439339184306</v>
      </c>
    </row>
    <row r="54" spans="1:6" x14ac:dyDescent="0.2">
      <c r="A54" s="20">
        <v>19</v>
      </c>
      <c r="B54" s="184" t="s">
        <v>17</v>
      </c>
      <c r="C54" s="185"/>
      <c r="D54" s="15">
        <f>IF(F3="1",SUMIF(Data!A:A,'28'!$A$2,Data!DM:DM),0)</f>
        <v>200864</v>
      </c>
      <c r="E54" s="18">
        <f>IF(F3="1",SUMIF(Data!$A:$A,'28'!$A$2,Data!JG:JG),0)</f>
        <v>153932</v>
      </c>
      <c r="F54" s="22">
        <f t="shared" si="3"/>
        <v>0.76634937071849607</v>
      </c>
    </row>
    <row r="55" spans="1:6" x14ac:dyDescent="0.2">
      <c r="A55" s="20">
        <v>20</v>
      </c>
      <c r="B55" s="184" t="s">
        <v>18</v>
      </c>
      <c r="C55" s="185"/>
      <c r="D55" s="15">
        <f>IF(F3="1",SUMIF(Data!A:A,'28'!$A$2,Data!DN:DN),0)</f>
        <v>35113</v>
      </c>
      <c r="E55" s="18">
        <f>IF(F3="1",SUMIF(Data!$A:$A,'28'!$A$2,Data!JH:JH),0)</f>
        <v>54151</v>
      </c>
      <c r="F55" s="22">
        <f t="shared" si="3"/>
        <v>1.5421923504115285</v>
      </c>
    </row>
    <row r="56" spans="1:6" ht="14.25" customHeight="1" x14ac:dyDescent="0.2">
      <c r="A56" s="20">
        <v>21</v>
      </c>
      <c r="B56" s="184" t="s">
        <v>466</v>
      </c>
      <c r="C56" s="185"/>
      <c r="D56" s="15">
        <f>IF(F3="1",SUMIF(Data!A:A,'28'!$A$2,Data!DO:DO),0)</f>
        <v>41628</v>
      </c>
      <c r="E56" s="18">
        <f>IF(F3="1",SUMIF(Data!$A:$A,'28'!$A$2,Data!JI:JI),0)</f>
        <v>268495</v>
      </c>
      <c r="F56" s="22">
        <f t="shared" si="3"/>
        <v>6.4498654751609497</v>
      </c>
    </row>
    <row r="57" spans="1:6" x14ac:dyDescent="0.2">
      <c r="A57" s="20">
        <v>22</v>
      </c>
      <c r="B57" s="184" t="s">
        <v>19</v>
      </c>
      <c r="C57" s="185"/>
      <c r="D57" s="15">
        <f>IF(F3="1",SUMIF(Data!A:A,'28'!$A$2,Data!DP:DP),0)</f>
        <v>5472</v>
      </c>
      <c r="E57" s="18">
        <f>IF(F3="1",SUMIF(Data!$A:$A,'28'!$A$2,Data!JJ:JJ),0)</f>
        <v>6632</v>
      </c>
      <c r="F57" s="22">
        <f t="shared" si="3"/>
        <v>1.2119883040935673</v>
      </c>
    </row>
    <row r="58" spans="1:6" x14ac:dyDescent="0.2">
      <c r="A58" s="20">
        <v>23</v>
      </c>
      <c r="B58" s="184" t="s">
        <v>20</v>
      </c>
      <c r="C58" s="185"/>
      <c r="D58" s="15">
        <f>IF(F3="1",SUMIF(Data!A:A,'28'!$A$2,Data!DQ:DQ),0)</f>
        <v>56032</v>
      </c>
      <c r="E58" s="18">
        <f>IF(F3="1",SUMIF(Data!$A:$A,'28'!$A$2,Data!JK:JK),0)</f>
        <v>43073</v>
      </c>
      <c r="F58" s="22">
        <f t="shared" si="3"/>
        <v>0.76872144488863503</v>
      </c>
    </row>
    <row r="59" spans="1:6" x14ac:dyDescent="0.2">
      <c r="A59" s="20">
        <v>24</v>
      </c>
      <c r="B59" s="184" t="s">
        <v>21</v>
      </c>
      <c r="C59" s="185"/>
      <c r="D59" s="15">
        <f>IF(F3="1",SUMIF(Data!A:A,'28'!$A$2,Data!DR:DR),0)</f>
        <v>99902</v>
      </c>
      <c r="E59" s="18">
        <f>IF(F3="1",SUMIF(Data!$A:$A,'28'!$A$2,Data!JL:JL),0)</f>
        <v>420707</v>
      </c>
      <c r="F59" s="22">
        <f t="shared" si="3"/>
        <v>4.211196973033573</v>
      </c>
    </row>
    <row r="60" spans="1:6" x14ac:dyDescent="0.2">
      <c r="A60" s="20">
        <v>25</v>
      </c>
      <c r="B60" s="184" t="s">
        <v>22</v>
      </c>
      <c r="C60" s="185"/>
      <c r="D60" s="15">
        <f>IF(F3="1",SUMIF(Data!A:A,'28'!$A$2,Data!DS:DS),0)</f>
        <v>366528</v>
      </c>
      <c r="E60" s="18">
        <f>IF(F3="1",SUMIF(Data!$A:$A,'28'!$A$2,Data!JM:JM),0)</f>
        <v>196007</v>
      </c>
      <c r="F60" s="22">
        <f t="shared" si="3"/>
        <v>0.53476678452942206</v>
      </c>
    </row>
    <row r="61" spans="1:6" x14ac:dyDescent="0.2">
      <c r="A61" s="20">
        <v>26</v>
      </c>
      <c r="B61" s="184" t="s">
        <v>23</v>
      </c>
      <c r="C61" s="185"/>
      <c r="D61" s="15">
        <f>IF(F3="1",SUMIF(Data!A:A,'28'!$A$2,Data!DT:DT),0)</f>
        <v>111600</v>
      </c>
      <c r="E61" s="18">
        <f>IF(F3="1",SUMIF(Data!$A:$A,'28'!$A$2,Data!JN:JN),0)</f>
        <v>101727</v>
      </c>
      <c r="F61" s="22">
        <f t="shared" si="3"/>
        <v>0.9115322580645161</v>
      </c>
    </row>
    <row r="62" spans="1:6" x14ac:dyDescent="0.2">
      <c r="A62" s="20">
        <v>28</v>
      </c>
      <c r="B62" s="184" t="s">
        <v>24</v>
      </c>
      <c r="C62" s="185"/>
      <c r="D62" s="15">
        <f>IF(F3="1",SUMIF(Data!A:A,'28'!$A$2,Data!DV:DV),0)</f>
        <v>0</v>
      </c>
      <c r="E62" s="18">
        <f>IF(F3="1",SUMIF(Data!$A:$A,'28'!$A$2,Data!JP:JP),0)</f>
        <v>0</v>
      </c>
      <c r="F62" s="22" t="str">
        <f t="shared" si="3"/>
        <v/>
      </c>
    </row>
    <row r="63" spans="1:6" ht="15.75" customHeight="1" thickBot="1" x14ac:dyDescent="0.25">
      <c r="A63" s="23">
        <v>29</v>
      </c>
      <c r="B63" s="186" t="s">
        <v>25</v>
      </c>
      <c r="C63" s="187"/>
      <c r="D63" s="24">
        <f>IF(F3="1",SUMIF(Data!A:A,'28'!$A$2,Data!DW:DW),0)</f>
        <v>0</v>
      </c>
      <c r="E63" s="25">
        <f>IF(F3="1",SUMIF(Data!$A:$A,'28'!$A$2,Data!JQ:JQ),0)</f>
        <v>0</v>
      </c>
      <c r="F63" s="26" t="str">
        <f t="shared" si="3"/>
        <v/>
      </c>
    </row>
    <row r="64" spans="1:6" x14ac:dyDescent="0.2">
      <c r="B64" s="31" t="s">
        <v>35</v>
      </c>
      <c r="C64" s="31"/>
      <c r="D64" s="61">
        <f>SUM(D36:D63)</f>
        <v>2688607</v>
      </c>
      <c r="E64" s="32">
        <f>SUM(E36:E63)</f>
        <v>4458507</v>
      </c>
      <c r="F64" s="33">
        <f t="shared" si="3"/>
        <v>1.6582962850278973</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3792</v>
      </c>
      <c r="E67" s="16">
        <f>IF(F3="1",SUMIF(Data!A:A,'28'!$A$2,Data!DY:DY),0)</f>
        <v>24696</v>
      </c>
      <c r="F67" s="21">
        <f>IFERROR(E67/D67,"")</f>
        <v>6.5126582278481013</v>
      </c>
    </row>
    <row r="68" spans="1:6" x14ac:dyDescent="0.2">
      <c r="A68" s="20">
        <v>2</v>
      </c>
      <c r="B68" s="184" t="s">
        <v>1</v>
      </c>
      <c r="C68" s="185"/>
      <c r="D68" s="15">
        <f t="shared" ref="D68:D94" si="4">D37</f>
        <v>37905</v>
      </c>
      <c r="E68" s="18">
        <f>IF(F3="1",SUMIF(Data!A:A,'28'!$A$2,Data!DZ:DZ),0)</f>
        <v>160210</v>
      </c>
      <c r="F68" s="22">
        <f t="shared" ref="F68:F95" si="5">IFERROR(E68/D68,"")</f>
        <v>4.2266191795277672</v>
      </c>
    </row>
    <row r="69" spans="1:6" ht="14.25" customHeight="1" x14ac:dyDescent="0.2">
      <c r="A69" s="20">
        <v>3</v>
      </c>
      <c r="B69" s="184" t="s">
        <v>2</v>
      </c>
      <c r="C69" s="185"/>
      <c r="D69" s="15">
        <f t="shared" si="4"/>
        <v>304208</v>
      </c>
      <c r="E69" s="18">
        <f>IF(F3="1",SUMIF(Data!A:A,'28'!$A$2,Data!EA:EA),0)</f>
        <v>974097</v>
      </c>
      <c r="F69" s="22">
        <f t="shared" si="5"/>
        <v>3.2020755535686107</v>
      </c>
    </row>
    <row r="70" spans="1:6" ht="14.25" customHeight="1" x14ac:dyDescent="0.2">
      <c r="A70" s="20">
        <v>4</v>
      </c>
      <c r="B70" s="184" t="s">
        <v>3</v>
      </c>
      <c r="C70" s="185"/>
      <c r="D70" s="15">
        <f t="shared" si="4"/>
        <v>150840</v>
      </c>
      <c r="E70" s="18">
        <f>IF(F3="1",SUMIF(Data!A:A,'28'!$A$2,Data!EB:EB),0)</f>
        <v>599447</v>
      </c>
      <c r="F70" s="22">
        <f t="shared" si="5"/>
        <v>3.9740586051445241</v>
      </c>
    </row>
    <row r="71" spans="1:6" x14ac:dyDescent="0.2">
      <c r="A71" s="20">
        <v>5</v>
      </c>
      <c r="B71" s="184" t="s">
        <v>4</v>
      </c>
      <c r="C71" s="185"/>
      <c r="D71" s="15">
        <f t="shared" si="4"/>
        <v>17498</v>
      </c>
      <c r="E71" s="18">
        <f>IF(F3="1",SUMIF(Data!A:A,'28'!$A$2,Data!EC:EC),0)</f>
        <v>331385</v>
      </c>
      <c r="F71" s="22">
        <f t="shared" si="5"/>
        <v>18.938450108583837</v>
      </c>
    </row>
    <row r="72" spans="1:6" x14ac:dyDescent="0.2">
      <c r="A72" s="20">
        <v>6</v>
      </c>
      <c r="B72" s="184" t="s">
        <v>5</v>
      </c>
      <c r="C72" s="185"/>
      <c r="D72" s="15">
        <f t="shared" si="4"/>
        <v>13572</v>
      </c>
      <c r="E72" s="18">
        <f>IF(F3="1",SUMIF(Data!A:A,'28'!$A$2,Data!ED:ED),0)</f>
        <v>132210</v>
      </c>
      <c r="F72" s="22">
        <f t="shared" si="5"/>
        <v>9.7413793103448274</v>
      </c>
    </row>
    <row r="73" spans="1:6" x14ac:dyDescent="0.2">
      <c r="A73" s="20">
        <v>7</v>
      </c>
      <c r="B73" s="184" t="s">
        <v>6</v>
      </c>
      <c r="C73" s="185"/>
      <c r="D73" s="15">
        <f t="shared" si="4"/>
        <v>36735</v>
      </c>
      <c r="E73" s="18">
        <f>IF(F3="1",SUMIF(Data!A:A,'28'!$A$2,Data!EE:EE),0)</f>
        <v>347728</v>
      </c>
      <c r="F73" s="22">
        <f t="shared" si="5"/>
        <v>9.465850006805498</v>
      </c>
    </row>
    <row r="74" spans="1:6" x14ac:dyDescent="0.2">
      <c r="A74" s="20">
        <v>8</v>
      </c>
      <c r="B74" s="184" t="s">
        <v>7</v>
      </c>
      <c r="C74" s="185"/>
      <c r="D74" s="15">
        <f t="shared" si="4"/>
        <v>1756</v>
      </c>
      <c r="E74" s="18">
        <f>IF(F3="1",SUMIF(Data!A:A,'28'!$A$2,Data!EF:EF),0)</f>
        <v>3514</v>
      </c>
      <c r="F74" s="22">
        <f t="shared" si="5"/>
        <v>2.0011389521640091</v>
      </c>
    </row>
    <row r="75" spans="1:6" x14ac:dyDescent="0.2">
      <c r="A75" s="20">
        <v>9</v>
      </c>
      <c r="B75" s="184" t="s">
        <v>8</v>
      </c>
      <c r="C75" s="185"/>
      <c r="D75" s="15">
        <f t="shared" si="4"/>
        <v>104093</v>
      </c>
      <c r="E75" s="18">
        <f>IF(F3="1",SUMIF(Data!A:A,'28'!$A$2,Data!EG:EG),0)</f>
        <v>305136</v>
      </c>
      <c r="F75" s="22">
        <f t="shared" si="5"/>
        <v>2.9313786709961285</v>
      </c>
    </row>
    <row r="76" spans="1:6" x14ac:dyDescent="0.2">
      <c r="A76" s="20">
        <v>10</v>
      </c>
      <c r="B76" s="184" t="s">
        <v>9</v>
      </c>
      <c r="C76" s="185"/>
      <c r="D76" s="15">
        <f t="shared" si="4"/>
        <v>4311</v>
      </c>
      <c r="E76" s="18">
        <f>IF(F3="1",SUMIF(Data!A:A,'28'!$A$2,Data!EH:EH),0)</f>
        <v>8626</v>
      </c>
      <c r="F76" s="22">
        <f t="shared" si="5"/>
        <v>2.0009278589654373</v>
      </c>
    </row>
    <row r="77" spans="1:6" x14ac:dyDescent="0.2">
      <c r="A77" s="20">
        <v>11</v>
      </c>
      <c r="B77" s="184" t="s">
        <v>10</v>
      </c>
      <c r="C77" s="185"/>
      <c r="D77" s="15">
        <f t="shared" si="4"/>
        <v>59135</v>
      </c>
      <c r="E77" s="18">
        <f>IF(F3="1",SUMIF(Data!A:A,'28'!$A$2,Data!EI:EI),0)</f>
        <v>381983</v>
      </c>
      <c r="F77" s="22">
        <f t="shared" si="5"/>
        <v>6.4595079056396383</v>
      </c>
    </row>
    <row r="78" spans="1:6" ht="14.25" customHeight="1" x14ac:dyDescent="0.2">
      <c r="A78" s="20">
        <v>12</v>
      </c>
      <c r="B78" s="184" t="s">
        <v>11</v>
      </c>
      <c r="C78" s="185"/>
      <c r="D78" s="15">
        <f t="shared" si="4"/>
        <v>285226</v>
      </c>
      <c r="E78" s="18">
        <f>IF(F3="1",SUMIF(Data!A:A,'28'!$A$2,Data!EJ:EJ),0)</f>
        <v>1080476</v>
      </c>
      <c r="F78" s="22">
        <f t="shared" si="5"/>
        <v>3.7881399311423221</v>
      </c>
    </row>
    <row r="79" spans="1:6" x14ac:dyDescent="0.2">
      <c r="A79" s="20">
        <v>13</v>
      </c>
      <c r="B79" s="184" t="s">
        <v>12</v>
      </c>
      <c r="C79" s="185"/>
      <c r="D79" s="15">
        <f t="shared" si="4"/>
        <v>318608</v>
      </c>
      <c r="E79" s="18">
        <f>IF(F3="1",SUMIF(Data!A:A,'28'!$A$2,Data!EK:EK),0)</f>
        <v>465198</v>
      </c>
      <c r="F79" s="22">
        <f t="shared" si="5"/>
        <v>1.46009516396324</v>
      </c>
    </row>
    <row r="80" spans="1:6" ht="14.25" customHeight="1" x14ac:dyDescent="0.2">
      <c r="A80" s="20">
        <v>14</v>
      </c>
      <c r="B80" s="184" t="s">
        <v>469</v>
      </c>
      <c r="C80" s="185"/>
      <c r="D80" s="15">
        <f t="shared" si="4"/>
        <v>149548</v>
      </c>
      <c r="E80" s="18">
        <f>IF(F3="1",SUMIF(Data!A:A,'28'!$A$2,Data!EL:EL),0)</f>
        <v>824930</v>
      </c>
      <c r="F80" s="22">
        <f t="shared" si="5"/>
        <v>5.5161553481156549</v>
      </c>
    </row>
    <row r="81" spans="1:6" x14ac:dyDescent="0.2">
      <c r="A81" s="20">
        <v>15</v>
      </c>
      <c r="B81" s="184" t="s">
        <v>13</v>
      </c>
      <c r="C81" s="185"/>
      <c r="D81" s="15">
        <f t="shared" si="4"/>
        <v>0</v>
      </c>
      <c r="E81" s="18">
        <f>IF(F3="1",SUMIF(Data!A:A,'28'!$A$2,Data!EM:EM),0)</f>
        <v>0</v>
      </c>
      <c r="F81" s="22" t="str">
        <f t="shared" si="5"/>
        <v/>
      </c>
    </row>
    <row r="82" spans="1:6" x14ac:dyDescent="0.2">
      <c r="A82" s="20">
        <v>16</v>
      </c>
      <c r="B82" s="184" t="s">
        <v>14</v>
      </c>
      <c r="C82" s="185"/>
      <c r="D82" s="15">
        <f t="shared" si="4"/>
        <v>162526</v>
      </c>
      <c r="E82" s="18">
        <f>IF(F3="1",SUMIF(Data!A:A,'28'!$A$2,Data!EN:EN),0)</f>
        <v>780657</v>
      </c>
      <c r="F82" s="22">
        <f t="shared" si="5"/>
        <v>4.8032745529945977</v>
      </c>
    </row>
    <row r="83" spans="1:6" x14ac:dyDescent="0.2">
      <c r="A83" s="20">
        <v>17</v>
      </c>
      <c r="B83" s="184" t="s">
        <v>15</v>
      </c>
      <c r="C83" s="185"/>
      <c r="D83" s="15">
        <f t="shared" si="4"/>
        <v>28739</v>
      </c>
      <c r="E83" s="18">
        <f>IF(F3="1",SUMIF(Data!A:A,'28'!$A$2,Data!EO:EO),0)</f>
        <v>158661</v>
      </c>
      <c r="F83" s="22">
        <f t="shared" si="5"/>
        <v>5.5207557674240579</v>
      </c>
    </row>
    <row r="84" spans="1:6" x14ac:dyDescent="0.2">
      <c r="A84" s="20">
        <v>18</v>
      </c>
      <c r="B84" s="184" t="s">
        <v>16</v>
      </c>
      <c r="C84" s="185"/>
      <c r="D84" s="15">
        <f t="shared" si="4"/>
        <v>92976</v>
      </c>
      <c r="E84" s="18">
        <f>IF(F3="1",SUMIF(Data!A:A,'28'!$A$2,Data!EP:EP),0)</f>
        <v>462337</v>
      </c>
      <c r="F84" s="22">
        <f t="shared" si="5"/>
        <v>4.9726488556186546</v>
      </c>
    </row>
    <row r="85" spans="1:6" x14ac:dyDescent="0.2">
      <c r="A85" s="20">
        <v>19</v>
      </c>
      <c r="B85" s="184" t="s">
        <v>17</v>
      </c>
      <c r="C85" s="185"/>
      <c r="D85" s="15">
        <f t="shared" si="4"/>
        <v>200864</v>
      </c>
      <c r="E85" s="18">
        <f>IF(F3="1",SUMIF(Data!A:A,'28'!$A$2,Data!EQ:EQ),0)</f>
        <v>825519</v>
      </c>
      <c r="F85" s="22">
        <f t="shared" si="5"/>
        <v>4.1098404890871434</v>
      </c>
    </row>
    <row r="86" spans="1:6" x14ac:dyDescent="0.2">
      <c r="A86" s="20">
        <v>20</v>
      </c>
      <c r="B86" s="184" t="s">
        <v>18</v>
      </c>
      <c r="C86" s="185"/>
      <c r="D86" s="15">
        <f t="shared" si="4"/>
        <v>35113</v>
      </c>
      <c r="E86" s="18">
        <f>IF(F3="1",SUMIF(Data!A:A,'28'!$A$2,Data!ER:ER),0)</f>
        <v>230187</v>
      </c>
      <c r="F86" s="22">
        <f t="shared" si="5"/>
        <v>6.555606185743172</v>
      </c>
    </row>
    <row r="87" spans="1:6" ht="14.25" customHeight="1" x14ac:dyDescent="0.2">
      <c r="A87" s="20">
        <v>21</v>
      </c>
      <c r="B87" s="184" t="s">
        <v>466</v>
      </c>
      <c r="C87" s="185"/>
      <c r="D87" s="15">
        <f t="shared" si="4"/>
        <v>41628</v>
      </c>
      <c r="E87" s="18">
        <f>IF(F3="1",SUMIF(Data!A:A,'28'!$A$2,Data!ES:ES),0)</f>
        <v>395198</v>
      </c>
      <c r="F87" s="22">
        <f t="shared" si="5"/>
        <v>9.4935620255597186</v>
      </c>
    </row>
    <row r="88" spans="1:6" x14ac:dyDescent="0.2">
      <c r="A88" s="20">
        <v>22</v>
      </c>
      <c r="B88" s="184" t="s">
        <v>19</v>
      </c>
      <c r="C88" s="185"/>
      <c r="D88" s="15">
        <f t="shared" si="4"/>
        <v>5472</v>
      </c>
      <c r="E88" s="18">
        <f>IF(F3="1",SUMIF(Data!A:A,'28'!$A$2,Data!ET:ET),0)</f>
        <v>60474</v>
      </c>
      <c r="F88" s="22">
        <f t="shared" si="5"/>
        <v>11.051535087719298</v>
      </c>
    </row>
    <row r="89" spans="1:6" x14ac:dyDescent="0.2">
      <c r="A89" s="20">
        <v>23</v>
      </c>
      <c r="B89" s="184" t="s">
        <v>20</v>
      </c>
      <c r="C89" s="185"/>
      <c r="D89" s="15">
        <f t="shared" si="4"/>
        <v>56032</v>
      </c>
      <c r="E89" s="18">
        <f>IF(F3="1",SUMIF(Data!A:A,'28'!$A$2,Data!EU:EU),0)</f>
        <v>324647</v>
      </c>
      <c r="F89" s="22">
        <f t="shared" si="5"/>
        <v>5.7939570245573959</v>
      </c>
    </row>
    <row r="90" spans="1:6" x14ac:dyDescent="0.2">
      <c r="A90" s="20">
        <v>24</v>
      </c>
      <c r="B90" s="184" t="s">
        <v>21</v>
      </c>
      <c r="C90" s="185"/>
      <c r="D90" s="15">
        <f t="shared" si="4"/>
        <v>99902</v>
      </c>
      <c r="E90" s="18">
        <f>IF(F3="1",SUMIF(Data!A:A,'28'!$A$2,Data!EV:EV),0)</f>
        <v>288589</v>
      </c>
      <c r="F90" s="22">
        <f t="shared" si="5"/>
        <v>2.8887209465275969</v>
      </c>
    </row>
    <row r="91" spans="1:6" x14ac:dyDescent="0.2">
      <c r="A91" s="20">
        <v>25</v>
      </c>
      <c r="B91" s="184" t="s">
        <v>22</v>
      </c>
      <c r="C91" s="185"/>
      <c r="D91" s="15">
        <f t="shared" si="4"/>
        <v>366528</v>
      </c>
      <c r="E91" s="18">
        <f>IF(F3="1",SUMIF(Data!A:A,'28'!$A$2,Data!EW:EW),0)</f>
        <v>1231354</v>
      </c>
      <c r="F91" s="22">
        <f t="shared" si="5"/>
        <v>3.3595086869215995</v>
      </c>
    </row>
    <row r="92" spans="1:6" x14ac:dyDescent="0.2">
      <c r="A92" s="20">
        <v>26</v>
      </c>
      <c r="B92" s="184" t="s">
        <v>23</v>
      </c>
      <c r="C92" s="185"/>
      <c r="D92" s="15">
        <f t="shared" si="4"/>
        <v>111600</v>
      </c>
      <c r="E92" s="18">
        <f>IF(F3="1",SUMIF(Data!A:A,'28'!$A$2,Data!EX:EX),0)</f>
        <v>565121</v>
      </c>
      <c r="F92" s="22">
        <f t="shared" si="5"/>
        <v>5.0638082437275989</v>
      </c>
    </row>
    <row r="93" spans="1:6" x14ac:dyDescent="0.2">
      <c r="A93" s="20">
        <v>28</v>
      </c>
      <c r="B93" s="184" t="s">
        <v>24</v>
      </c>
      <c r="C93" s="185"/>
      <c r="D93" s="15">
        <f t="shared" si="4"/>
        <v>0</v>
      </c>
      <c r="E93" s="18">
        <f>IF(F3="1",SUMIF(Data!A:A,'28'!$A$2,Data!EZ:EZ),0)</f>
        <v>0</v>
      </c>
      <c r="F93" s="22" t="str">
        <f t="shared" si="5"/>
        <v/>
      </c>
    </row>
    <row r="94" spans="1:6" ht="15.75" customHeight="1" thickBot="1" x14ac:dyDescent="0.25">
      <c r="A94" s="23">
        <v>29</v>
      </c>
      <c r="B94" s="186" t="s">
        <v>25</v>
      </c>
      <c r="C94" s="187"/>
      <c r="D94" s="24">
        <f t="shared" si="4"/>
        <v>0</v>
      </c>
      <c r="E94" s="25">
        <f>IF(F3="1",SUMIF(Data!A:A,'28'!$A$2,Data!FA:FA),0)</f>
        <v>0</v>
      </c>
      <c r="F94" s="26" t="str">
        <f t="shared" si="5"/>
        <v/>
      </c>
    </row>
    <row r="95" spans="1:6" x14ac:dyDescent="0.2">
      <c r="B95" s="31" t="s">
        <v>35</v>
      </c>
      <c r="C95" s="31"/>
      <c r="D95" s="61">
        <f>SUM(D67:D94)</f>
        <v>2688607</v>
      </c>
      <c r="E95" s="32">
        <f>SUM(E67:E94)</f>
        <v>10962380</v>
      </c>
      <c r="F95" s="33">
        <f t="shared" si="5"/>
        <v>4.0773456291678185</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IF(F3="1",SUMIF(Data!A:A,'28'!$A$2,Data!AH:AH),0)</f>
        <v>4190665</v>
      </c>
      <c r="F98" s="21">
        <f t="shared" ref="F98:F105" si="6">IFERROR(E98/$D$95,0)</f>
        <v>1.5586751801211556</v>
      </c>
    </row>
    <row r="99" spans="2:6" x14ac:dyDescent="0.2">
      <c r="B99" s="190" t="s">
        <v>31</v>
      </c>
      <c r="C99" s="191"/>
      <c r="D99" s="37"/>
      <c r="E99" s="18">
        <f>IF(F3="1",SUMIF(Data!A:A,'28'!$A$2,Data!AI:AI),0)</f>
        <v>2032962</v>
      </c>
      <c r="F99" s="22">
        <f t="shared" si="6"/>
        <v>0.756139517601494</v>
      </c>
    </row>
    <row r="100" spans="2:6" x14ac:dyDescent="0.2">
      <c r="B100" s="190" t="s">
        <v>32</v>
      </c>
      <c r="C100" s="191"/>
      <c r="D100" s="37"/>
      <c r="E100" s="18">
        <f>IF(F3="1",SUMIF(Data!A:A,'28'!$A$2,Data!AJ:AJ),0)</f>
        <v>4284806</v>
      </c>
      <c r="F100" s="22">
        <f t="shared" si="6"/>
        <v>1.5936899665886461</v>
      </c>
    </row>
    <row r="101" spans="2:6" x14ac:dyDescent="0.2">
      <c r="B101" s="190" t="s">
        <v>28</v>
      </c>
      <c r="C101" s="191"/>
      <c r="D101" s="37"/>
      <c r="E101" s="18">
        <f>IF(F3="1",SUMIF(Data!A:A,'28'!$A$2,Data!AK:AK),0)</f>
        <v>0</v>
      </c>
      <c r="F101" s="22">
        <f t="shared" si="6"/>
        <v>0</v>
      </c>
    </row>
    <row r="102" spans="2:6" x14ac:dyDescent="0.2">
      <c r="B102" s="190" t="s">
        <v>33</v>
      </c>
      <c r="C102" s="191"/>
      <c r="D102" s="37"/>
      <c r="E102" s="18">
        <f>IF(F3="1",SUMIF(Data!A:A,'28'!$A$2,Data!AL:AL),0)</f>
        <v>21696</v>
      </c>
      <c r="F102" s="22">
        <f t="shared" si="6"/>
        <v>8.0696063054213583E-3</v>
      </c>
    </row>
    <row r="103" spans="2:6" x14ac:dyDescent="0.2">
      <c r="B103" s="192" t="s">
        <v>34</v>
      </c>
      <c r="C103" s="193"/>
      <c r="D103" s="37"/>
      <c r="E103" s="18">
        <f>IF(F3="1",SUMIF(Data!A:A,'28'!$A$2,Data!AM:AM),0)</f>
        <v>568701</v>
      </c>
      <c r="F103" s="22">
        <f t="shared" si="6"/>
        <v>0.21152254680583663</v>
      </c>
    </row>
    <row r="104" spans="2:6" ht="15.75" customHeight="1" thickBot="1" x14ac:dyDescent="0.25">
      <c r="B104" s="182" t="s">
        <v>29</v>
      </c>
      <c r="C104" s="183"/>
      <c r="D104" s="38"/>
      <c r="E104" s="25">
        <f>IF(F3="1",SUMIF(Data!A:A,'28'!$A$2,Data!Q:Q),0)</f>
        <v>1065088</v>
      </c>
      <c r="F104" s="26">
        <f t="shared" si="6"/>
        <v>0.39614863756584728</v>
      </c>
    </row>
    <row r="105" spans="2:6" x14ac:dyDescent="0.2">
      <c r="B105" s="31" t="s">
        <v>35</v>
      </c>
      <c r="C105" s="31"/>
      <c r="D105" s="35">
        <f>D95</f>
        <v>2688607</v>
      </c>
      <c r="E105" s="32">
        <f>SUM(E98:E104)</f>
        <v>12163918</v>
      </c>
      <c r="F105" s="33">
        <f t="shared" si="6"/>
        <v>4.5242454549884012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10962380</v>
      </c>
      <c r="D109" s="16">
        <f>IF(F3="1",SUMIF(Data!$A:$A,$A$2,Data!HJ:HJ),0)</f>
        <v>0</v>
      </c>
      <c r="E109" s="16">
        <f>IF(F3="1",SUMIF(Data!$A:$A,$A$2,Data!IN:IN),0)</f>
        <v>0</v>
      </c>
      <c r="F109" s="48">
        <f>SUM(C109:E109)</f>
        <v>10962380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21696</v>
      </c>
      <c r="F116" s="49">
        <f t="shared" si="7"/>
        <v>21696</v>
      </c>
    </row>
    <row r="117" spans="1:6" ht="15" thickBot="1" x14ac:dyDescent="0.25">
      <c r="B117" s="44" t="s">
        <v>941</v>
      </c>
      <c r="C117" s="53"/>
      <c r="D117" s="53">
        <f>IF(F3="1",SUMIF(Data!A:A,$A$2,Data!Q:Q),0)</f>
        <v>1065088</v>
      </c>
      <c r="E117" s="53"/>
      <c r="F117" s="50">
        <f>SUM(C117:E117)</f>
        <v>1065088</v>
      </c>
    </row>
    <row r="118" spans="1:6" x14ac:dyDescent="0.2">
      <c r="B118" s="14" t="s">
        <v>35</v>
      </c>
      <c r="C118" s="5">
        <f>SUM(C109:C116)</f>
        <v>10962380</v>
      </c>
      <c r="D118" s="5">
        <f>SUM(D109:D116)</f>
        <v>0</v>
      </c>
      <c r="E118" s="5">
        <f>SUM(E109:E116)</f>
        <v>21696</v>
      </c>
      <c r="F118" s="5">
        <f>SUM(F109:F116)</f>
        <v>10984076</v>
      </c>
    </row>
    <row r="119" spans="1:6" ht="15" thickBot="1" x14ac:dyDescent="0.25"/>
    <row r="120" spans="1:6" ht="15" thickBot="1" x14ac:dyDescent="0.25">
      <c r="B120" s="57" t="s">
        <v>942</v>
      </c>
      <c r="C120" s="55"/>
      <c r="D120" s="55"/>
      <c r="E120" s="55">
        <f>IF(F3="1",SUMIF(Data!A:A,'28'!$A$2,Data!AM:AM),0)</f>
        <v>568701</v>
      </c>
      <c r="F120" s="56">
        <f>SUM(C120:E120)</f>
        <v>568701</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384</v>
      </c>
      <c r="B2" s="60" t="str">
        <f>VLOOKUP(A2,Data!A:G,7,0)</f>
        <v>Navarro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15888</v>
      </c>
      <c r="E5" s="16">
        <f>E36+E67+IFERROR($E$105/$D$105*D5,0)</f>
        <v>69990.710460020477</v>
      </c>
      <c r="F5" s="21">
        <f>IFERROR(E5/D5,"")</f>
        <v>4.4052561971311981</v>
      </c>
    </row>
    <row r="6" spans="1:6" x14ac:dyDescent="0.2">
      <c r="A6" s="20">
        <v>2</v>
      </c>
      <c r="B6" s="184" t="s">
        <v>1</v>
      </c>
      <c r="C6" s="185"/>
      <c r="D6" s="15">
        <f t="shared" ref="D6:D32" si="0">D37</f>
        <v>7232</v>
      </c>
      <c r="E6" s="18">
        <f t="shared" ref="E6:E32" si="1">E37+E68+IFERROR($E$105/$D$105*D6,0)</f>
        <v>26292.067601137212</v>
      </c>
      <c r="F6" s="22">
        <f t="shared" ref="F6:F33" si="2">IFERROR(E6/D6,"")</f>
        <v>3.635518197059902</v>
      </c>
    </row>
    <row r="7" spans="1:6" ht="14.25" customHeight="1" x14ac:dyDescent="0.2">
      <c r="A7" s="20">
        <v>3</v>
      </c>
      <c r="B7" s="184" t="s">
        <v>2</v>
      </c>
      <c r="C7" s="185"/>
      <c r="D7" s="15">
        <f t="shared" si="0"/>
        <v>405072</v>
      </c>
      <c r="E7" s="18">
        <f t="shared" si="1"/>
        <v>1974195.0651725461</v>
      </c>
      <c r="F7" s="22">
        <f t="shared" si="2"/>
        <v>4.8736892828251426</v>
      </c>
    </row>
    <row r="8" spans="1:6" ht="14.25" customHeight="1" x14ac:dyDescent="0.2">
      <c r="A8" s="20">
        <v>4</v>
      </c>
      <c r="B8" s="184" t="s">
        <v>3</v>
      </c>
      <c r="C8" s="185"/>
      <c r="D8" s="15">
        <f t="shared" si="0"/>
        <v>369657</v>
      </c>
      <c r="E8" s="18">
        <f t="shared" si="1"/>
        <v>1884405.6425931389</v>
      </c>
      <c r="F8" s="22">
        <f t="shared" si="2"/>
        <v>5.0977139418248241</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10056</v>
      </c>
      <c r="E10" s="18">
        <f t="shared" si="1"/>
        <v>90848.034263970665</v>
      </c>
      <c r="F10" s="22">
        <f t="shared" si="2"/>
        <v>9.0342118400925475</v>
      </c>
    </row>
    <row r="11" spans="1:6" x14ac:dyDescent="0.2">
      <c r="A11" s="20">
        <v>7</v>
      </c>
      <c r="B11" s="184" t="s">
        <v>6</v>
      </c>
      <c r="C11" s="185"/>
      <c r="D11" s="15">
        <f t="shared" si="0"/>
        <v>340288</v>
      </c>
      <c r="E11" s="18">
        <f t="shared" si="1"/>
        <v>1329212.1188959875</v>
      </c>
      <c r="F11" s="22">
        <f t="shared" si="2"/>
        <v>3.9061386792833939</v>
      </c>
    </row>
    <row r="12" spans="1:6" x14ac:dyDescent="0.2">
      <c r="A12" s="20">
        <v>8</v>
      </c>
      <c r="B12" s="184" t="s">
        <v>7</v>
      </c>
      <c r="C12" s="185"/>
      <c r="D12" s="15">
        <f t="shared" si="0"/>
        <v>1600</v>
      </c>
      <c r="E12" s="18">
        <f t="shared" si="1"/>
        <v>4945.5901772427469</v>
      </c>
      <c r="F12" s="22">
        <f t="shared" si="2"/>
        <v>3.0909938607767167</v>
      </c>
    </row>
    <row r="13" spans="1:6" x14ac:dyDescent="0.2">
      <c r="A13" s="20">
        <v>9</v>
      </c>
      <c r="B13" s="184" t="s">
        <v>8</v>
      </c>
      <c r="C13" s="185"/>
      <c r="D13" s="15">
        <f t="shared" si="0"/>
        <v>406975</v>
      </c>
      <c r="E13" s="18">
        <f t="shared" si="1"/>
        <v>1230671.1014896042</v>
      </c>
      <c r="F13" s="22">
        <f t="shared" si="2"/>
        <v>3.0239476662930258</v>
      </c>
    </row>
    <row r="14" spans="1:6" x14ac:dyDescent="0.2">
      <c r="A14" s="20">
        <v>10</v>
      </c>
      <c r="B14" s="184" t="s">
        <v>9</v>
      </c>
      <c r="C14" s="185"/>
      <c r="D14" s="15">
        <f t="shared" si="0"/>
        <v>528</v>
      </c>
      <c r="E14" s="18">
        <f t="shared" si="1"/>
        <v>14721.044758490107</v>
      </c>
      <c r="F14" s="22">
        <f t="shared" si="2"/>
        <v>27.880766588049443</v>
      </c>
    </row>
    <row r="15" spans="1:6" x14ac:dyDescent="0.2">
      <c r="A15" s="20">
        <v>11</v>
      </c>
      <c r="B15" s="184" t="s">
        <v>10</v>
      </c>
      <c r="C15" s="185"/>
      <c r="D15" s="15">
        <f t="shared" si="0"/>
        <v>72226</v>
      </c>
      <c r="E15" s="18">
        <f t="shared" si="1"/>
        <v>309220.37258845917</v>
      </c>
      <c r="F15" s="22">
        <f t="shared" si="2"/>
        <v>4.2812889068819979</v>
      </c>
    </row>
    <row r="16" spans="1:6" ht="14.25" customHeight="1" x14ac:dyDescent="0.2">
      <c r="A16" s="20">
        <v>12</v>
      </c>
      <c r="B16" s="184" t="s">
        <v>11</v>
      </c>
      <c r="C16" s="185"/>
      <c r="D16" s="15">
        <f t="shared" si="0"/>
        <v>617312</v>
      </c>
      <c r="E16" s="18">
        <f t="shared" si="1"/>
        <v>2989545.6021837965</v>
      </c>
      <c r="F16" s="22">
        <f t="shared" si="2"/>
        <v>4.8428438167147192</v>
      </c>
    </row>
    <row r="17" spans="1:6" x14ac:dyDescent="0.2">
      <c r="A17" s="20">
        <v>13</v>
      </c>
      <c r="B17" s="184" t="s">
        <v>12</v>
      </c>
      <c r="C17" s="185"/>
      <c r="D17" s="15">
        <f t="shared" si="0"/>
        <v>53776</v>
      </c>
      <c r="E17" s="18">
        <f t="shared" si="1"/>
        <v>212021.28585712874</v>
      </c>
      <c r="F17" s="22">
        <f t="shared" si="2"/>
        <v>3.942674908084066</v>
      </c>
    </row>
    <row r="18" spans="1:6" ht="14.25" customHeight="1" x14ac:dyDescent="0.2">
      <c r="A18" s="20">
        <v>14</v>
      </c>
      <c r="B18" s="184" t="s">
        <v>469</v>
      </c>
      <c r="C18" s="185"/>
      <c r="D18" s="15">
        <f t="shared" si="0"/>
        <v>122344</v>
      </c>
      <c r="E18" s="18">
        <f t="shared" si="1"/>
        <v>1131586.5529028666</v>
      </c>
      <c r="F18" s="22">
        <f t="shared" si="2"/>
        <v>9.2492198465218287</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205062</v>
      </c>
      <c r="E20" s="18">
        <f t="shared" si="1"/>
        <v>966541.13307859516</v>
      </c>
      <c r="F20" s="22">
        <f t="shared" si="2"/>
        <v>4.7134092766021745</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128944</v>
      </c>
      <c r="E22" s="18">
        <f t="shared" si="1"/>
        <v>908243.11238399288</v>
      </c>
      <c r="F22" s="22">
        <f t="shared" si="2"/>
        <v>7.0437020131529415</v>
      </c>
    </row>
    <row r="23" spans="1:6" x14ac:dyDescent="0.2">
      <c r="A23" s="20">
        <v>19</v>
      </c>
      <c r="B23" s="184" t="s">
        <v>17</v>
      </c>
      <c r="C23" s="185"/>
      <c r="D23" s="15">
        <f t="shared" si="0"/>
        <v>423328</v>
      </c>
      <c r="E23" s="18">
        <f t="shared" si="1"/>
        <v>2052368.2490948858</v>
      </c>
      <c r="F23" s="22">
        <f t="shared" si="2"/>
        <v>4.8481750536106416</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24216</v>
      </c>
      <c r="E25" s="18">
        <f t="shared" si="1"/>
        <v>186217.50733256899</v>
      </c>
      <c r="F25" s="22">
        <f t="shared" si="2"/>
        <v>7.6898541184575899</v>
      </c>
    </row>
    <row r="26" spans="1:6" x14ac:dyDescent="0.2">
      <c r="A26" s="20">
        <v>22</v>
      </c>
      <c r="B26" s="184" t="s">
        <v>19</v>
      </c>
      <c r="C26" s="185"/>
      <c r="D26" s="15">
        <f t="shared" si="0"/>
        <v>5152</v>
      </c>
      <c r="E26" s="18">
        <f t="shared" si="1"/>
        <v>13347.800370721645</v>
      </c>
      <c r="F26" s="22">
        <f t="shared" si="2"/>
        <v>2.5907997613978346</v>
      </c>
    </row>
    <row r="27" spans="1:6" x14ac:dyDescent="0.2">
      <c r="A27" s="20">
        <v>23</v>
      </c>
      <c r="B27" s="184" t="s">
        <v>20</v>
      </c>
      <c r="C27" s="185"/>
      <c r="D27" s="15">
        <f t="shared" si="0"/>
        <v>161808</v>
      </c>
      <c r="E27" s="18">
        <f t="shared" si="1"/>
        <v>876002.53462455899</v>
      </c>
      <c r="F27" s="22">
        <f t="shared" si="2"/>
        <v>5.4138394555557143</v>
      </c>
    </row>
    <row r="28" spans="1:6" x14ac:dyDescent="0.2">
      <c r="A28" s="20">
        <v>24</v>
      </c>
      <c r="B28" s="184" t="s">
        <v>21</v>
      </c>
      <c r="C28" s="185"/>
      <c r="D28" s="15">
        <f t="shared" si="0"/>
        <v>285723</v>
      </c>
      <c r="E28" s="18">
        <f t="shared" si="1"/>
        <v>1322253.4138827058</v>
      </c>
      <c r="F28" s="22">
        <f t="shared" si="2"/>
        <v>4.6277458023424991</v>
      </c>
    </row>
    <row r="29" spans="1:6" x14ac:dyDescent="0.2">
      <c r="A29" s="20">
        <v>25</v>
      </c>
      <c r="B29" s="184" t="s">
        <v>22</v>
      </c>
      <c r="C29" s="185"/>
      <c r="D29" s="15">
        <f t="shared" si="0"/>
        <v>547504</v>
      </c>
      <c r="E29" s="18">
        <f t="shared" si="1"/>
        <v>2631893.5027506957</v>
      </c>
      <c r="F29" s="22">
        <f t="shared" si="2"/>
        <v>4.8070763003570676</v>
      </c>
    </row>
    <row r="30" spans="1:6" x14ac:dyDescent="0.2">
      <c r="A30" s="20">
        <v>26</v>
      </c>
      <c r="B30" s="184" t="s">
        <v>23</v>
      </c>
      <c r="C30" s="185"/>
      <c r="D30" s="15">
        <f t="shared" si="0"/>
        <v>186744</v>
      </c>
      <c r="E30" s="18">
        <f t="shared" si="1"/>
        <v>1096032.5575368872</v>
      </c>
      <c r="F30" s="22">
        <f t="shared" si="2"/>
        <v>5.8691714729088336</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4391435</v>
      </c>
      <c r="E33" s="32">
        <f>SUM(E5:E32)</f>
        <v>21320555</v>
      </c>
      <c r="F33" s="33">
        <f t="shared" si="2"/>
        <v>4.8550314418863083</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IF(F3="1",SUMIF(Data!A:A,'29'!$A$2,Data!CU:CU),0)</f>
        <v>15888</v>
      </c>
      <c r="E36" s="16">
        <f>IF(F3="1",SUMIF(Data!$A:$A,'29'!$A$2,Data!IO:IO),0)</f>
        <v>22993</v>
      </c>
      <c r="F36" s="21">
        <f t="shared" ref="F36:F64" si="3">IFERROR(E36/D36,"")</f>
        <v>1.4471928499496476</v>
      </c>
    </row>
    <row r="37" spans="1:6" x14ac:dyDescent="0.2">
      <c r="A37" s="20">
        <v>2</v>
      </c>
      <c r="B37" s="184" t="s">
        <v>1</v>
      </c>
      <c r="C37" s="185"/>
      <c r="D37" s="15">
        <f>IF(F3="1",SUMIF(Data!A:A,'29'!$A$2,Data!CV:CV),0)</f>
        <v>7232</v>
      </c>
      <c r="E37" s="18">
        <f>IF(F3="1",SUMIF(Data!$A:$A,'29'!$A$2,Data!IP:IP),0)</f>
        <v>3517</v>
      </c>
      <c r="F37" s="22">
        <f t="shared" si="3"/>
        <v>0.4863108407079646</v>
      </c>
    </row>
    <row r="38" spans="1:6" ht="14.25" customHeight="1" x14ac:dyDescent="0.2">
      <c r="A38" s="20">
        <v>3</v>
      </c>
      <c r="B38" s="184" t="s">
        <v>2</v>
      </c>
      <c r="C38" s="185"/>
      <c r="D38" s="15">
        <f>IF(F3="1",SUMIF(Data!A:A,'29'!$A$2,Data!CW:CW),0)</f>
        <v>405072</v>
      </c>
      <c r="E38" s="18">
        <f>IF(F3="1",SUMIF(Data!$A:$A,'29'!$A$2,Data!IQ:IQ),0)</f>
        <v>76684</v>
      </c>
      <c r="F38" s="22">
        <f t="shared" si="3"/>
        <v>0.18930955484457085</v>
      </c>
    </row>
    <row r="39" spans="1:6" ht="14.25" customHeight="1" x14ac:dyDescent="0.2">
      <c r="A39" s="20">
        <v>4</v>
      </c>
      <c r="B39" s="184" t="s">
        <v>3</v>
      </c>
      <c r="C39" s="185"/>
      <c r="D39" s="15">
        <f>IF(F3="1",SUMIF(Data!A:A,'29'!$A$2,Data!CX:CX),0)</f>
        <v>369657</v>
      </c>
      <c r="E39" s="18">
        <f>IF(F3="1",SUMIF(Data!$A:$A,'29'!$A$2,Data!IR:IR),0)</f>
        <v>81325</v>
      </c>
      <c r="F39" s="22">
        <f t="shared" si="3"/>
        <v>0.22000124439683275</v>
      </c>
    </row>
    <row r="40" spans="1:6" x14ac:dyDescent="0.2">
      <c r="A40" s="20">
        <v>5</v>
      </c>
      <c r="B40" s="184" t="s">
        <v>4</v>
      </c>
      <c r="C40" s="185"/>
      <c r="D40" s="15">
        <f>IF(F3="1",SUMIF(Data!A:A,'29'!$A$2,Data!CY:CY),0)</f>
        <v>0</v>
      </c>
      <c r="E40" s="18">
        <f>IF(F3="1",SUMIF(Data!$A:$A,'29'!$A$2,Data!IS:IS),0)</f>
        <v>0</v>
      </c>
      <c r="F40" s="22" t="str">
        <f t="shared" si="3"/>
        <v/>
      </c>
    </row>
    <row r="41" spans="1:6" x14ac:dyDescent="0.2">
      <c r="A41" s="20">
        <v>6</v>
      </c>
      <c r="B41" s="184" t="s">
        <v>5</v>
      </c>
      <c r="C41" s="185"/>
      <c r="D41" s="15">
        <f>IF(F3="1",SUMIF(Data!A:A,'29'!$A$2,Data!CZ:CZ),0)</f>
        <v>10056</v>
      </c>
      <c r="E41" s="18">
        <f>IF(F3="1",SUMIF(Data!$A:$A,'29'!$A$2,Data!IT:IT),0)</f>
        <v>6671</v>
      </c>
      <c r="F41" s="22">
        <f t="shared" si="3"/>
        <v>0.6633850437549722</v>
      </c>
    </row>
    <row r="42" spans="1:6" x14ac:dyDescent="0.2">
      <c r="A42" s="20">
        <v>7</v>
      </c>
      <c r="B42" s="184" t="s">
        <v>6</v>
      </c>
      <c r="C42" s="185"/>
      <c r="D42" s="15">
        <f>IF(F3="1",SUMIF(Data!A:A,'29'!$A$2,Data!DA:DA),0)</f>
        <v>340288</v>
      </c>
      <c r="E42" s="18">
        <f>IF(F3="1",SUMIF(Data!$A:$A,'29'!$A$2,Data!IU:IU),0)</f>
        <v>23146</v>
      </c>
      <c r="F42" s="22">
        <f t="shared" si="3"/>
        <v>6.8018854617265381E-2</v>
      </c>
    </row>
    <row r="43" spans="1:6" x14ac:dyDescent="0.2">
      <c r="A43" s="20">
        <v>8</v>
      </c>
      <c r="B43" s="184" t="s">
        <v>7</v>
      </c>
      <c r="C43" s="185"/>
      <c r="D43" s="15">
        <f>IF(F3="1",SUMIF(Data!A:A,'29'!$A$2,Data!DB:DB),0)</f>
        <v>1600</v>
      </c>
      <c r="E43" s="18">
        <f>IF(F3="1",SUMIF(Data!$A:$A,'29'!$A$2,Data!IV:IV),0)</f>
        <v>0</v>
      </c>
      <c r="F43" s="22">
        <f t="shared" si="3"/>
        <v>0</v>
      </c>
    </row>
    <row r="44" spans="1:6" x14ac:dyDescent="0.2">
      <c r="A44" s="20">
        <v>9</v>
      </c>
      <c r="B44" s="184" t="s">
        <v>8</v>
      </c>
      <c r="C44" s="185"/>
      <c r="D44" s="15">
        <f>IF(F3="1",SUMIF(Data!A:A,'29'!$A$2,Data!DC:DC),0)</f>
        <v>406975</v>
      </c>
      <c r="E44" s="18">
        <f>IF(F3="1",SUMIF(Data!$A:$A,'29'!$A$2,Data!IW:IW),0)</f>
        <v>4447</v>
      </c>
      <c r="F44" s="22">
        <f t="shared" si="3"/>
        <v>1.0926961115547638E-2</v>
      </c>
    </row>
    <row r="45" spans="1:6" x14ac:dyDescent="0.2">
      <c r="A45" s="20">
        <v>10</v>
      </c>
      <c r="B45" s="184" t="s">
        <v>9</v>
      </c>
      <c r="C45" s="185"/>
      <c r="D45" s="15">
        <f>IF(F3="1",SUMIF(Data!A:A,'29'!$A$2,Data!DD:DD),0)</f>
        <v>528</v>
      </c>
      <c r="E45" s="18">
        <f>IF(F3="1",SUMIF(Data!$A:$A,'29'!$A$2,Data!IX:IX),0)</f>
        <v>239</v>
      </c>
      <c r="F45" s="22">
        <f t="shared" si="3"/>
        <v>0.45265151515151514</v>
      </c>
    </row>
    <row r="46" spans="1:6" x14ac:dyDescent="0.2">
      <c r="A46" s="20">
        <v>11</v>
      </c>
      <c r="B46" s="184" t="s">
        <v>10</v>
      </c>
      <c r="C46" s="185"/>
      <c r="D46" s="15">
        <f>IF(F3="1",SUMIF(Data!A:A,'29'!$A$2,Data!DE:DE),0)</f>
        <v>72226</v>
      </c>
      <c r="E46" s="18">
        <f>IF(F3="1",SUMIF(Data!$A:$A,'29'!$A$2,Data!IY:IY),0)</f>
        <v>60819</v>
      </c>
      <c r="F46" s="22">
        <f t="shared" si="3"/>
        <v>0.8420651842826683</v>
      </c>
    </row>
    <row r="47" spans="1:6" ht="14.25" customHeight="1" x14ac:dyDescent="0.2">
      <c r="A47" s="20">
        <v>12</v>
      </c>
      <c r="B47" s="184" t="s">
        <v>11</v>
      </c>
      <c r="C47" s="185"/>
      <c r="D47" s="15">
        <f>IF(F3="1",SUMIF(Data!A:A,'29'!$A$2,Data!DF:DF),0)</f>
        <v>617312</v>
      </c>
      <c r="E47" s="18">
        <f>IF(F3="1",SUMIF(Data!$A:$A,'29'!$A$2,Data!IZ:IZ),0)</f>
        <v>32355</v>
      </c>
      <c r="F47" s="22">
        <f t="shared" si="3"/>
        <v>5.2412718366077443E-2</v>
      </c>
    </row>
    <row r="48" spans="1:6" x14ac:dyDescent="0.2">
      <c r="A48" s="20">
        <v>13</v>
      </c>
      <c r="B48" s="184" t="s">
        <v>12</v>
      </c>
      <c r="C48" s="185"/>
      <c r="D48" s="15">
        <f>IF(F3="1",SUMIF(Data!A:A,'29'!$A$2,Data!DG:DG),0)</f>
        <v>53776</v>
      </c>
      <c r="E48" s="18">
        <f>IF(F3="1",SUMIF(Data!$A:$A,'29'!$A$2,Data!JA:JA),0)</f>
        <v>3823</v>
      </c>
      <c r="F48" s="22">
        <f t="shared" si="3"/>
        <v>7.1091193097292477E-2</v>
      </c>
    </row>
    <row r="49" spans="1:6" ht="14.25" customHeight="1" x14ac:dyDescent="0.2">
      <c r="A49" s="20">
        <v>14</v>
      </c>
      <c r="B49" s="184" t="s">
        <v>469</v>
      </c>
      <c r="C49" s="185"/>
      <c r="D49" s="15">
        <f>IF(F3="1",SUMIF(Data!A:A,'29'!$A$2,Data!DH:DH),0)</f>
        <v>122344</v>
      </c>
      <c r="E49" s="18">
        <f>IF(F3="1",SUMIF(Data!$A:$A,'29'!$A$2,Data!JB:JB),0)</f>
        <v>98205</v>
      </c>
      <c r="F49" s="22">
        <f t="shared" si="3"/>
        <v>0.80269567776106721</v>
      </c>
    </row>
    <row r="50" spans="1:6" x14ac:dyDescent="0.2">
      <c r="A50" s="20">
        <v>15</v>
      </c>
      <c r="B50" s="184" t="s">
        <v>13</v>
      </c>
      <c r="C50" s="185"/>
      <c r="D50" s="15">
        <f>IF(F3="1",SUMIF(Data!A:A,'29'!$A$2,Data!DI:DI),0)</f>
        <v>0</v>
      </c>
      <c r="E50" s="18">
        <f>IF(F3="1",SUMIF(Data!$A:$A,'29'!$A$2,Data!JC:JC),0)</f>
        <v>0</v>
      </c>
      <c r="F50" s="22" t="str">
        <f t="shared" si="3"/>
        <v/>
      </c>
    </row>
    <row r="51" spans="1:6" x14ac:dyDescent="0.2">
      <c r="A51" s="20">
        <v>16</v>
      </c>
      <c r="B51" s="184" t="s">
        <v>14</v>
      </c>
      <c r="C51" s="185"/>
      <c r="D51" s="15">
        <f>IF(F3="1",SUMIF(Data!A:A,'29'!$A$2,Data!DJ:DJ),0)</f>
        <v>205062</v>
      </c>
      <c r="E51" s="18">
        <f>IF(F3="1",SUMIF(Data!$A:$A,'29'!$A$2,Data!JD:JD),0)</f>
        <v>62343</v>
      </c>
      <c r="F51" s="22">
        <f t="shared" si="3"/>
        <v>0.30402024753489187</v>
      </c>
    </row>
    <row r="52" spans="1:6" x14ac:dyDescent="0.2">
      <c r="A52" s="20">
        <v>17</v>
      </c>
      <c r="B52" s="184" t="s">
        <v>15</v>
      </c>
      <c r="C52" s="185"/>
      <c r="D52" s="15">
        <f>IF(F3="1",SUMIF(Data!A:A,'29'!$A$2,Data!DK:DK),0)</f>
        <v>0</v>
      </c>
      <c r="E52" s="18">
        <f>IF(F3="1",SUMIF(Data!$A:$A,'29'!$A$2,Data!JE:JE),0)</f>
        <v>0</v>
      </c>
      <c r="F52" s="22" t="str">
        <f t="shared" si="3"/>
        <v/>
      </c>
    </row>
    <row r="53" spans="1:6" x14ac:dyDescent="0.2">
      <c r="A53" s="20">
        <v>18</v>
      </c>
      <c r="B53" s="184" t="s">
        <v>16</v>
      </c>
      <c r="C53" s="185"/>
      <c r="D53" s="15">
        <f>IF(F3="1",SUMIF(Data!A:A,'29'!$A$2,Data!DL:DL),0)</f>
        <v>128944</v>
      </c>
      <c r="E53" s="18">
        <f>IF(F3="1",SUMIF(Data!$A:$A,'29'!$A$2,Data!JF:JF),0)</f>
        <v>69376</v>
      </c>
      <c r="F53" s="22">
        <f t="shared" si="3"/>
        <v>0.53803201389750588</v>
      </c>
    </row>
    <row r="54" spans="1:6" x14ac:dyDescent="0.2">
      <c r="A54" s="20">
        <v>19</v>
      </c>
      <c r="B54" s="184" t="s">
        <v>17</v>
      </c>
      <c r="C54" s="185"/>
      <c r="D54" s="15">
        <f>IF(F3="1",SUMIF(Data!A:A,'29'!$A$2,Data!DM:DM),0)</f>
        <v>423328</v>
      </c>
      <c r="E54" s="18">
        <f>IF(F3="1",SUMIF(Data!$A:$A,'29'!$A$2,Data!JG:JG),0)</f>
        <v>19708</v>
      </c>
      <c r="F54" s="22">
        <f t="shared" si="3"/>
        <v>4.6554917227303649E-2</v>
      </c>
    </row>
    <row r="55" spans="1:6" x14ac:dyDescent="0.2">
      <c r="A55" s="20">
        <v>20</v>
      </c>
      <c r="B55" s="184" t="s">
        <v>18</v>
      </c>
      <c r="C55" s="185"/>
      <c r="D55" s="15">
        <f>IF(F3="1",SUMIF(Data!A:A,'29'!$A$2,Data!DN:DN),0)</f>
        <v>0</v>
      </c>
      <c r="E55" s="18">
        <f>IF(F3="1",SUMIF(Data!$A:$A,'29'!$A$2,Data!JH:JH),0)</f>
        <v>0</v>
      </c>
      <c r="F55" s="22" t="str">
        <f t="shared" si="3"/>
        <v/>
      </c>
    </row>
    <row r="56" spans="1:6" ht="14.25" customHeight="1" x14ac:dyDescent="0.2">
      <c r="A56" s="20">
        <v>21</v>
      </c>
      <c r="B56" s="184" t="s">
        <v>466</v>
      </c>
      <c r="C56" s="185"/>
      <c r="D56" s="15">
        <f>IF(F3="1",SUMIF(Data!A:A,'29'!$A$2,Data!DO:DO),0)</f>
        <v>24216</v>
      </c>
      <c r="E56" s="18">
        <f>IF(F3="1",SUMIF(Data!$A:$A,'29'!$A$2,Data!JI:JI),0)</f>
        <v>15241</v>
      </c>
      <c r="F56" s="22">
        <f t="shared" si="3"/>
        <v>0.62937727122563591</v>
      </c>
    </row>
    <row r="57" spans="1:6" x14ac:dyDescent="0.2">
      <c r="A57" s="20">
        <v>22</v>
      </c>
      <c r="B57" s="184" t="s">
        <v>19</v>
      </c>
      <c r="C57" s="185"/>
      <c r="D57" s="15">
        <f>IF(F3="1",SUMIF(Data!A:A,'29'!$A$2,Data!DP:DP),0)</f>
        <v>5152</v>
      </c>
      <c r="E57" s="18">
        <f>IF(F3="1",SUMIF(Data!$A:$A,'29'!$A$2,Data!JJ:JJ),0)</f>
        <v>133</v>
      </c>
      <c r="F57" s="22">
        <f t="shared" si="3"/>
        <v>2.5815217391304348E-2</v>
      </c>
    </row>
    <row r="58" spans="1:6" x14ac:dyDescent="0.2">
      <c r="A58" s="20">
        <v>23</v>
      </c>
      <c r="B58" s="184" t="s">
        <v>20</v>
      </c>
      <c r="C58" s="185"/>
      <c r="D58" s="15">
        <f>IF(F3="1",SUMIF(Data!A:A,'29'!$A$2,Data!DQ:DQ),0)</f>
        <v>161808</v>
      </c>
      <c r="E58" s="18">
        <f>IF(F3="1",SUMIF(Data!$A:$A,'29'!$A$2,Data!JK:JK),0)</f>
        <v>38814</v>
      </c>
      <c r="F58" s="22">
        <f t="shared" si="3"/>
        <v>0.23987689113022842</v>
      </c>
    </row>
    <row r="59" spans="1:6" x14ac:dyDescent="0.2">
      <c r="A59" s="20">
        <v>24</v>
      </c>
      <c r="B59" s="184" t="s">
        <v>21</v>
      </c>
      <c r="C59" s="185"/>
      <c r="D59" s="15">
        <f>IF(F3="1",SUMIF(Data!A:A,'29'!$A$2,Data!DR:DR),0)</f>
        <v>285723</v>
      </c>
      <c r="E59" s="18">
        <f>IF(F3="1",SUMIF(Data!$A:$A,'29'!$A$2,Data!JL:JL),0)</f>
        <v>261562</v>
      </c>
      <c r="F59" s="22">
        <f t="shared" si="3"/>
        <v>0.91543907910808719</v>
      </c>
    </row>
    <row r="60" spans="1:6" x14ac:dyDescent="0.2">
      <c r="A60" s="20">
        <v>25</v>
      </c>
      <c r="B60" s="184" t="s">
        <v>22</v>
      </c>
      <c r="C60" s="185"/>
      <c r="D60" s="15">
        <f>IF(F3="1",SUMIF(Data!A:A,'29'!$A$2,Data!DS:DS),0)</f>
        <v>547504</v>
      </c>
      <c r="E60" s="18">
        <f>IF(F3="1",SUMIF(Data!$A:$A,'29'!$A$2,Data!JM:JM),0)</f>
        <v>26614</v>
      </c>
      <c r="F60" s="22">
        <f t="shared" si="3"/>
        <v>4.8609690522808967E-2</v>
      </c>
    </row>
    <row r="61" spans="1:6" x14ac:dyDescent="0.2">
      <c r="A61" s="20">
        <v>26</v>
      </c>
      <c r="B61" s="184" t="s">
        <v>23</v>
      </c>
      <c r="C61" s="185"/>
      <c r="D61" s="15">
        <f>IF(F3="1",SUMIF(Data!A:A,'29'!$A$2,Data!DT:DT),0)</f>
        <v>186744</v>
      </c>
      <c r="E61" s="18">
        <f>IF(F3="1",SUMIF(Data!$A:$A,'29'!$A$2,Data!JN:JN),0)</f>
        <v>77961</v>
      </c>
      <c r="F61" s="22">
        <f t="shared" si="3"/>
        <v>0.4174752602493253</v>
      </c>
    </row>
    <row r="62" spans="1:6" x14ac:dyDescent="0.2">
      <c r="A62" s="20">
        <v>28</v>
      </c>
      <c r="B62" s="184" t="s">
        <v>24</v>
      </c>
      <c r="C62" s="185"/>
      <c r="D62" s="15">
        <f>IF(F3="1",SUMIF(Data!A:A,'29'!$A$2,Data!DV:DV),0)</f>
        <v>0</v>
      </c>
      <c r="E62" s="18">
        <f>IF(F3="1",SUMIF(Data!$A:$A,'29'!$A$2,Data!JP:JP),0)</f>
        <v>0</v>
      </c>
      <c r="F62" s="22" t="str">
        <f t="shared" si="3"/>
        <v/>
      </c>
    </row>
    <row r="63" spans="1:6" ht="15.75" customHeight="1" thickBot="1" x14ac:dyDescent="0.25">
      <c r="A63" s="23">
        <v>29</v>
      </c>
      <c r="B63" s="186" t="s">
        <v>25</v>
      </c>
      <c r="C63" s="187"/>
      <c r="D63" s="24">
        <f>IF(F3="1",SUMIF(Data!A:A,'29'!$A$2,Data!DW:DW),0)</f>
        <v>0</v>
      </c>
      <c r="E63" s="25">
        <f>IF(F3="1",SUMIF(Data!$A:$A,'29'!$A$2,Data!JQ:JQ),0)</f>
        <v>0</v>
      </c>
      <c r="F63" s="26" t="str">
        <f t="shared" si="3"/>
        <v/>
      </c>
    </row>
    <row r="64" spans="1:6" x14ac:dyDescent="0.2">
      <c r="B64" s="31" t="s">
        <v>35</v>
      </c>
      <c r="C64" s="31"/>
      <c r="D64" s="61">
        <f>SUM(D36:D63)</f>
        <v>4391435</v>
      </c>
      <c r="E64" s="32">
        <f>SUM(E36:E63)</f>
        <v>985976</v>
      </c>
      <c r="F64" s="33">
        <f t="shared" si="3"/>
        <v>0.22452250801844956</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15888</v>
      </c>
      <c r="E67" s="16">
        <f>IF(F3="1",SUMIF(Data!A:A,'29'!$A$2,Data!DY:DY),0)</f>
        <v>11790</v>
      </c>
      <c r="F67" s="21">
        <f>IFERROR(E67/D67,"")</f>
        <v>0.74206948640483383</v>
      </c>
    </row>
    <row r="68" spans="1:6" x14ac:dyDescent="0.2">
      <c r="A68" s="20">
        <v>2</v>
      </c>
      <c r="B68" s="184" t="s">
        <v>1</v>
      </c>
      <c r="C68" s="185"/>
      <c r="D68" s="15">
        <f t="shared" ref="D68:D94" si="4">D37</f>
        <v>7232</v>
      </c>
      <c r="E68" s="18">
        <f>IF(F3="1",SUMIF(Data!A:A,'29'!$A$2,Data!DZ:DZ),0)</f>
        <v>6749</v>
      </c>
      <c r="F68" s="22">
        <f t="shared" ref="F68:F95" si="5">IFERROR(E68/D68,"")</f>
        <v>0.93321349557522126</v>
      </c>
    </row>
    <row r="69" spans="1:6" ht="14.25" customHeight="1" x14ac:dyDescent="0.2">
      <c r="A69" s="20">
        <v>3</v>
      </c>
      <c r="B69" s="184" t="s">
        <v>2</v>
      </c>
      <c r="C69" s="185"/>
      <c r="D69" s="15">
        <f t="shared" si="4"/>
        <v>405072</v>
      </c>
      <c r="E69" s="18">
        <f>IF(F3="1",SUMIF(Data!A:A,'29'!$A$2,Data!EA:EA),0)</f>
        <v>999874</v>
      </c>
      <c r="F69" s="22">
        <f t="shared" si="5"/>
        <v>2.468385867203855</v>
      </c>
    </row>
    <row r="70" spans="1:6" ht="14.25" customHeight="1" x14ac:dyDescent="0.2">
      <c r="A70" s="20">
        <v>4</v>
      </c>
      <c r="B70" s="184" t="s">
        <v>3</v>
      </c>
      <c r="C70" s="185"/>
      <c r="D70" s="15">
        <f t="shared" si="4"/>
        <v>369657</v>
      </c>
      <c r="E70" s="18">
        <f>IF(F3="1",SUMIF(Data!A:A,'29'!$A$2,Data!EB:EB),0)</f>
        <v>983923</v>
      </c>
      <c r="F70" s="22">
        <f t="shared" si="5"/>
        <v>2.6617188366512741</v>
      </c>
    </row>
    <row r="71" spans="1:6" x14ac:dyDescent="0.2">
      <c r="A71" s="20">
        <v>5</v>
      </c>
      <c r="B71" s="184" t="s">
        <v>4</v>
      </c>
      <c r="C71" s="185"/>
      <c r="D71" s="15">
        <f t="shared" si="4"/>
        <v>0</v>
      </c>
      <c r="E71" s="18">
        <f>IF(F3="1",SUMIF(Data!A:A,'29'!$A$2,Data!EC:EC),0)</f>
        <v>0</v>
      </c>
      <c r="F71" s="22" t="str">
        <f t="shared" si="5"/>
        <v/>
      </c>
    </row>
    <row r="72" spans="1:6" x14ac:dyDescent="0.2">
      <c r="A72" s="20">
        <v>6</v>
      </c>
      <c r="B72" s="184" t="s">
        <v>5</v>
      </c>
      <c r="C72" s="185"/>
      <c r="D72" s="15">
        <f t="shared" si="4"/>
        <v>10056</v>
      </c>
      <c r="E72" s="18">
        <f>IF(F3="1",SUMIF(Data!A:A,'29'!$A$2,Data!ED:ED),0)</f>
        <v>61893</v>
      </c>
      <c r="F72" s="22">
        <f t="shared" si="5"/>
        <v>6.1548329355608589</v>
      </c>
    </row>
    <row r="73" spans="1:6" x14ac:dyDescent="0.2">
      <c r="A73" s="20">
        <v>7</v>
      </c>
      <c r="B73" s="184" t="s">
        <v>6</v>
      </c>
      <c r="C73" s="185"/>
      <c r="D73" s="15">
        <f t="shared" si="4"/>
        <v>340288</v>
      </c>
      <c r="E73" s="18">
        <f>IF(F3="1",SUMIF(Data!A:A,'29'!$A$2,Data!EE:EE),0)</f>
        <v>551990</v>
      </c>
      <c r="F73" s="22">
        <f t="shared" si="5"/>
        <v>1.6221259638894112</v>
      </c>
    </row>
    <row r="74" spans="1:6" x14ac:dyDescent="0.2">
      <c r="A74" s="20">
        <v>8</v>
      </c>
      <c r="B74" s="184" t="s">
        <v>7</v>
      </c>
      <c r="C74" s="185"/>
      <c r="D74" s="15">
        <f t="shared" si="4"/>
        <v>1600</v>
      </c>
      <c r="E74" s="18">
        <f>IF(F3="1",SUMIF(Data!A:A,'29'!$A$2,Data!EF:EF),0)</f>
        <v>1400</v>
      </c>
      <c r="F74" s="22">
        <f t="shared" si="5"/>
        <v>0.875</v>
      </c>
    </row>
    <row r="75" spans="1:6" x14ac:dyDescent="0.2">
      <c r="A75" s="20">
        <v>9</v>
      </c>
      <c r="B75" s="184" t="s">
        <v>8</v>
      </c>
      <c r="C75" s="185"/>
      <c r="D75" s="15">
        <f t="shared" si="4"/>
        <v>406975</v>
      </c>
      <c r="E75" s="18">
        <f>IF(F3="1",SUMIF(Data!A:A,'29'!$A$2,Data!EG:EG),0)</f>
        <v>324370</v>
      </c>
      <c r="F75" s="22">
        <f t="shared" si="5"/>
        <v>0.79702684440076177</v>
      </c>
    </row>
    <row r="76" spans="1:6" x14ac:dyDescent="0.2">
      <c r="A76" s="20">
        <v>10</v>
      </c>
      <c r="B76" s="184" t="s">
        <v>9</v>
      </c>
      <c r="C76" s="185"/>
      <c r="D76" s="15">
        <f t="shared" si="4"/>
        <v>528</v>
      </c>
      <c r="E76" s="18">
        <f>IF(F3="1",SUMIF(Data!A:A,'29'!$A$2,Data!EH:EH),0)</f>
        <v>13312</v>
      </c>
      <c r="F76" s="22">
        <f t="shared" si="5"/>
        <v>25.212121212121211</v>
      </c>
    </row>
    <row r="77" spans="1:6" x14ac:dyDescent="0.2">
      <c r="A77" s="20">
        <v>11</v>
      </c>
      <c r="B77" s="184" t="s">
        <v>10</v>
      </c>
      <c r="C77" s="185"/>
      <c r="D77" s="15">
        <f t="shared" si="4"/>
        <v>72226</v>
      </c>
      <c r="E77" s="18">
        <f>IF(F3="1",SUMIF(Data!A:A,'29'!$A$2,Data!EI:EI),0)</f>
        <v>88349</v>
      </c>
      <c r="F77" s="22">
        <f t="shared" si="5"/>
        <v>1.2232298618226123</v>
      </c>
    </row>
    <row r="78" spans="1:6" ht="14.25" customHeight="1" x14ac:dyDescent="0.2">
      <c r="A78" s="20">
        <v>12</v>
      </c>
      <c r="B78" s="184" t="s">
        <v>11</v>
      </c>
      <c r="C78" s="185"/>
      <c r="D78" s="15">
        <f t="shared" si="4"/>
        <v>617312</v>
      </c>
      <c r="E78" s="18">
        <f>IF(F3="1",SUMIF(Data!A:A,'29'!$A$2,Data!EJ:EJ),0)</f>
        <v>1589231</v>
      </c>
      <c r="F78" s="22">
        <f t="shared" si="5"/>
        <v>2.5744372375719249</v>
      </c>
    </row>
    <row r="79" spans="1:6" x14ac:dyDescent="0.2">
      <c r="A79" s="20">
        <v>13</v>
      </c>
      <c r="B79" s="184" t="s">
        <v>12</v>
      </c>
      <c r="C79" s="185"/>
      <c r="D79" s="15">
        <f t="shared" si="4"/>
        <v>53776</v>
      </c>
      <c r="E79" s="18">
        <f>IF(F3="1",SUMIF(Data!A:A,'29'!$A$2,Data!EK:EK),0)</f>
        <v>89031</v>
      </c>
      <c r="F79" s="22">
        <f t="shared" si="5"/>
        <v>1.6555898542100564</v>
      </c>
    </row>
    <row r="80" spans="1:6" ht="14.25" customHeight="1" x14ac:dyDescent="0.2">
      <c r="A80" s="20">
        <v>14</v>
      </c>
      <c r="B80" s="184" t="s">
        <v>469</v>
      </c>
      <c r="C80" s="185"/>
      <c r="D80" s="15">
        <f t="shared" si="4"/>
        <v>122344</v>
      </c>
      <c r="E80" s="18">
        <f>IF(F3="1",SUMIF(Data!A:A,'29'!$A$2,Data!EL:EL),0)</f>
        <v>762268</v>
      </c>
      <c r="F80" s="22">
        <f t="shared" si="5"/>
        <v>6.2305303079840453</v>
      </c>
    </row>
    <row r="81" spans="1:6" x14ac:dyDescent="0.2">
      <c r="A81" s="20">
        <v>15</v>
      </c>
      <c r="B81" s="184" t="s">
        <v>13</v>
      </c>
      <c r="C81" s="185"/>
      <c r="D81" s="15">
        <f t="shared" si="4"/>
        <v>0</v>
      </c>
      <c r="E81" s="18">
        <f>IF(F3="1",SUMIF(Data!A:A,'29'!$A$2,Data!EM:EM),0)</f>
        <v>0</v>
      </c>
      <c r="F81" s="22" t="str">
        <f t="shared" si="5"/>
        <v/>
      </c>
    </row>
    <row r="82" spans="1:6" x14ac:dyDescent="0.2">
      <c r="A82" s="20">
        <v>16</v>
      </c>
      <c r="B82" s="184" t="s">
        <v>14</v>
      </c>
      <c r="C82" s="185"/>
      <c r="D82" s="15">
        <f t="shared" si="4"/>
        <v>205062</v>
      </c>
      <c r="E82" s="18">
        <f>IF(F3="1",SUMIF(Data!A:A,'29'!$A$2,Data!EN:EN),0)</f>
        <v>449782</v>
      </c>
      <c r="F82" s="22">
        <f t="shared" si="5"/>
        <v>2.1933951682905657</v>
      </c>
    </row>
    <row r="83" spans="1:6" x14ac:dyDescent="0.2">
      <c r="A83" s="20">
        <v>17</v>
      </c>
      <c r="B83" s="184" t="s">
        <v>15</v>
      </c>
      <c r="C83" s="185"/>
      <c r="D83" s="15">
        <f t="shared" si="4"/>
        <v>0</v>
      </c>
      <c r="E83" s="18">
        <f>IF(F3="1",SUMIF(Data!A:A,'29'!$A$2,Data!EO:EO),0)</f>
        <v>0</v>
      </c>
      <c r="F83" s="22" t="str">
        <f t="shared" si="5"/>
        <v/>
      </c>
    </row>
    <row r="84" spans="1:6" x14ac:dyDescent="0.2">
      <c r="A84" s="20">
        <v>18</v>
      </c>
      <c r="B84" s="184" t="s">
        <v>16</v>
      </c>
      <c r="C84" s="185"/>
      <c r="D84" s="15">
        <f t="shared" si="4"/>
        <v>128944</v>
      </c>
      <c r="E84" s="18">
        <f>IF(F3="1",SUMIF(Data!A:A,'29'!$A$2,Data!EP:EP),0)</f>
        <v>553128</v>
      </c>
      <c r="F84" s="22">
        <f t="shared" si="5"/>
        <v>4.2896761384787192</v>
      </c>
    </row>
    <row r="85" spans="1:6" x14ac:dyDescent="0.2">
      <c r="A85" s="20">
        <v>19</v>
      </c>
      <c r="B85" s="184" t="s">
        <v>17</v>
      </c>
      <c r="C85" s="185"/>
      <c r="D85" s="15">
        <f t="shared" si="4"/>
        <v>423328</v>
      </c>
      <c r="E85" s="18">
        <f>IF(F3="1",SUMIF(Data!A:A,'29'!$A$2,Data!EQ:EQ),0)</f>
        <v>1094568</v>
      </c>
      <c r="F85" s="22">
        <f t="shared" si="5"/>
        <v>2.5856262756066219</v>
      </c>
    </row>
    <row r="86" spans="1:6" x14ac:dyDescent="0.2">
      <c r="A86" s="20">
        <v>20</v>
      </c>
      <c r="B86" s="184" t="s">
        <v>18</v>
      </c>
      <c r="C86" s="185"/>
      <c r="D86" s="15">
        <f t="shared" si="4"/>
        <v>0</v>
      </c>
      <c r="E86" s="18">
        <f>IF(F3="1",SUMIF(Data!A:A,'29'!$A$2,Data!ER:ER),0)</f>
        <v>0</v>
      </c>
      <c r="F86" s="22" t="str">
        <f t="shared" si="5"/>
        <v/>
      </c>
    </row>
    <row r="87" spans="1:6" ht="14.25" customHeight="1" x14ac:dyDescent="0.2">
      <c r="A87" s="20">
        <v>21</v>
      </c>
      <c r="B87" s="184" t="s">
        <v>466</v>
      </c>
      <c r="C87" s="185"/>
      <c r="D87" s="15">
        <f t="shared" si="4"/>
        <v>24216</v>
      </c>
      <c r="E87" s="18">
        <f>IF(F3="1",SUMIF(Data!A:A,'29'!$A$2,Data!ES:ES),0)</f>
        <v>117314</v>
      </c>
      <c r="F87" s="22">
        <f t="shared" si="5"/>
        <v>4.8444829864552359</v>
      </c>
    </row>
    <row r="88" spans="1:6" x14ac:dyDescent="0.2">
      <c r="A88" s="20">
        <v>22</v>
      </c>
      <c r="B88" s="184" t="s">
        <v>19</v>
      </c>
      <c r="C88" s="185"/>
      <c r="D88" s="15">
        <f t="shared" si="4"/>
        <v>5152</v>
      </c>
      <c r="E88" s="18">
        <f>IF(F3="1",SUMIF(Data!A:A,'29'!$A$2,Data!ET:ET),0)</f>
        <v>1798</v>
      </c>
      <c r="F88" s="22">
        <f t="shared" si="5"/>
        <v>0.34899068322981369</v>
      </c>
    </row>
    <row r="89" spans="1:6" x14ac:dyDescent="0.2">
      <c r="A89" s="20">
        <v>23</v>
      </c>
      <c r="B89" s="184" t="s">
        <v>20</v>
      </c>
      <c r="C89" s="185"/>
      <c r="D89" s="15">
        <f t="shared" si="4"/>
        <v>161808</v>
      </c>
      <c r="E89" s="18">
        <f>IF(F3="1",SUMIF(Data!A:A,'29'!$A$2,Data!EU:EU),0)</f>
        <v>478623</v>
      </c>
      <c r="F89" s="22">
        <f t="shared" si="5"/>
        <v>2.9579687036487687</v>
      </c>
    </row>
    <row r="90" spans="1:6" x14ac:dyDescent="0.2">
      <c r="A90" s="20">
        <v>24</v>
      </c>
      <c r="B90" s="184" t="s">
        <v>21</v>
      </c>
      <c r="C90" s="185"/>
      <c r="D90" s="15">
        <f t="shared" si="4"/>
        <v>285723</v>
      </c>
      <c r="E90" s="18">
        <f>IF(F3="1",SUMIF(Data!A:A,'29'!$A$2,Data!EV:EV),0)</f>
        <v>427531</v>
      </c>
      <c r="F90" s="22">
        <f t="shared" si="5"/>
        <v>1.4963128624576951</v>
      </c>
    </row>
    <row r="91" spans="1:6" x14ac:dyDescent="0.2">
      <c r="A91" s="20">
        <v>25</v>
      </c>
      <c r="B91" s="184" t="s">
        <v>22</v>
      </c>
      <c r="C91" s="185"/>
      <c r="D91" s="15">
        <f t="shared" si="4"/>
        <v>547504</v>
      </c>
      <c r="E91" s="18">
        <f>IF(F3="1",SUMIF(Data!A:A,'29'!$A$2,Data!EW:EW),0)</f>
        <v>1392014</v>
      </c>
      <c r="F91" s="22">
        <f t="shared" si="5"/>
        <v>2.5424727490575409</v>
      </c>
    </row>
    <row r="92" spans="1:6" x14ac:dyDescent="0.2">
      <c r="A92" s="20">
        <v>26</v>
      </c>
      <c r="B92" s="184" t="s">
        <v>23</v>
      </c>
      <c r="C92" s="185"/>
      <c r="D92" s="15">
        <f t="shared" si="4"/>
        <v>186744</v>
      </c>
      <c r="E92" s="18">
        <f>IF(F3="1",SUMIF(Data!A:A,'29'!$A$2,Data!EX:EX),0)</f>
        <v>604248</v>
      </c>
      <c r="F92" s="22">
        <f t="shared" si="5"/>
        <v>3.2357023518827912</v>
      </c>
    </row>
    <row r="93" spans="1:6" x14ac:dyDescent="0.2">
      <c r="A93" s="20">
        <v>28</v>
      </c>
      <c r="B93" s="184" t="s">
        <v>24</v>
      </c>
      <c r="C93" s="185"/>
      <c r="D93" s="15">
        <f t="shared" si="4"/>
        <v>0</v>
      </c>
      <c r="E93" s="18">
        <f>IF(F3="1",SUMIF(Data!A:A,'29'!$A$2,Data!EZ:EZ),0)</f>
        <v>0</v>
      </c>
      <c r="F93" s="22" t="str">
        <f t="shared" si="5"/>
        <v/>
      </c>
    </row>
    <row r="94" spans="1:6" ht="15.75" customHeight="1" thickBot="1" x14ac:dyDescent="0.25">
      <c r="A94" s="23">
        <v>29</v>
      </c>
      <c r="B94" s="186" t="s">
        <v>25</v>
      </c>
      <c r="C94" s="187"/>
      <c r="D94" s="24">
        <f t="shared" si="4"/>
        <v>0</v>
      </c>
      <c r="E94" s="25">
        <f>IF(F3="1",SUMIF(Data!A:A,'29'!$A$2,Data!FA:FA),0)</f>
        <v>0</v>
      </c>
      <c r="F94" s="26" t="str">
        <f t="shared" si="5"/>
        <v/>
      </c>
    </row>
    <row r="95" spans="1:6" x14ac:dyDescent="0.2">
      <c r="B95" s="31" t="s">
        <v>35</v>
      </c>
      <c r="C95" s="31"/>
      <c r="D95" s="61">
        <f>SUM(D67:D94)</f>
        <v>4391435</v>
      </c>
      <c r="E95" s="32">
        <f>SUM(E67:E94)</f>
        <v>10603186</v>
      </c>
      <c r="F95" s="33">
        <f t="shared" si="5"/>
        <v>2.4145150730911422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IF(F3="1",SUMIF(Data!A:A,'29'!$A$2,Data!AH:AH),0)</f>
        <v>3816959</v>
      </c>
      <c r="F98" s="21">
        <f t="shared" ref="F98:F105" si="6">IFERROR(E98/$D$95,0)</f>
        <v>0.86918262481398445</v>
      </c>
    </row>
    <row r="99" spans="2:6" x14ac:dyDescent="0.2">
      <c r="B99" s="190" t="s">
        <v>31</v>
      </c>
      <c r="C99" s="191"/>
      <c r="D99" s="37"/>
      <c r="E99" s="18">
        <f>IF(F3="1",SUMIF(Data!A:A,'29'!$A$2,Data!AI:AI),0)</f>
        <v>2291059</v>
      </c>
      <c r="F99" s="22">
        <f t="shared" si="6"/>
        <v>0.52171078474348365</v>
      </c>
    </row>
    <row r="100" spans="2:6" x14ac:dyDescent="0.2">
      <c r="B100" s="190" t="s">
        <v>32</v>
      </c>
      <c r="C100" s="191"/>
      <c r="D100" s="37"/>
      <c r="E100" s="18">
        <f>IF(F3="1",SUMIF(Data!A:A,'29'!$A$2,Data!AJ:AJ),0)</f>
        <v>2516684</v>
      </c>
      <c r="F100" s="22">
        <f t="shared" si="6"/>
        <v>0.57308920660330853</v>
      </c>
    </row>
    <row r="101" spans="2:6" x14ac:dyDescent="0.2">
      <c r="B101" s="190" t="s">
        <v>28</v>
      </c>
      <c r="C101" s="191"/>
      <c r="D101" s="37"/>
      <c r="E101" s="18">
        <f>IF(F3="1",SUMIF(Data!A:A,'29'!$A$2,Data!AK:AK),0)</f>
        <v>0</v>
      </c>
      <c r="F101" s="22">
        <f t="shared" si="6"/>
        <v>0</v>
      </c>
    </row>
    <row r="102" spans="2:6" x14ac:dyDescent="0.2">
      <c r="B102" s="190" t="s">
        <v>33</v>
      </c>
      <c r="C102" s="191"/>
      <c r="D102" s="37"/>
      <c r="E102" s="18">
        <f>IF(F3="1",SUMIF(Data!A:A,'29'!$A$2,Data!AL:AL),0)</f>
        <v>0</v>
      </c>
      <c r="F102" s="22">
        <f t="shared" si="6"/>
        <v>0</v>
      </c>
    </row>
    <row r="103" spans="2:6" x14ac:dyDescent="0.2">
      <c r="B103" s="192" t="s">
        <v>34</v>
      </c>
      <c r="C103" s="193"/>
      <c r="D103" s="37"/>
      <c r="E103" s="18">
        <f>IF(F3="1",SUMIF(Data!A:A,'29'!$A$2,Data!AM:AM),0)</f>
        <v>388557</v>
      </c>
      <c r="F103" s="22">
        <f t="shared" si="6"/>
        <v>8.8480644709531167E-2</v>
      </c>
    </row>
    <row r="104" spans="2:6" ht="15.75" customHeight="1" thickBot="1" x14ac:dyDescent="0.25">
      <c r="B104" s="182" t="s">
        <v>29</v>
      </c>
      <c r="C104" s="183"/>
      <c r="D104" s="38"/>
      <c r="E104" s="25">
        <f>IF(F3="1",SUMIF(Data!A:A,'29'!$A$2,Data!Q:Q),0)</f>
        <v>718134</v>
      </c>
      <c r="F104" s="26">
        <f t="shared" si="6"/>
        <v>0.16353059990640872</v>
      </c>
    </row>
    <row r="105" spans="2:6" x14ac:dyDescent="0.2">
      <c r="B105" s="31" t="s">
        <v>35</v>
      </c>
      <c r="C105" s="31"/>
      <c r="D105" s="35">
        <f>D95</f>
        <v>4391435</v>
      </c>
      <c r="E105" s="32">
        <f>SUM(E98:E104)</f>
        <v>9731393</v>
      </c>
      <c r="F105" s="33">
        <f t="shared" si="6"/>
        <v>2.2159938607767167</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10603186</v>
      </c>
      <c r="D109" s="16">
        <f>IF(F3="1",SUMIF(Data!$A:$A,$A$2,Data!HJ:HJ),0)</f>
        <v>0</v>
      </c>
      <c r="E109" s="16">
        <f>IF(F3="1",SUMIF(Data!$A:$A,$A$2,Data!IN:IN),0)</f>
        <v>0</v>
      </c>
      <c r="F109" s="48">
        <f>SUM(C109:E109)</f>
        <v>10603186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718134</v>
      </c>
      <c r="E117" s="53"/>
      <c r="F117" s="50">
        <f>SUM(C117:E117)</f>
        <v>718134</v>
      </c>
    </row>
    <row r="118" spans="1:6" x14ac:dyDescent="0.2">
      <c r="B118" s="14" t="s">
        <v>35</v>
      </c>
      <c r="C118" s="5">
        <f>SUM(C109:C116)</f>
        <v>10603186</v>
      </c>
      <c r="D118" s="5">
        <f>SUM(D109:D116)</f>
        <v>0</v>
      </c>
      <c r="E118" s="5">
        <f>SUM(E109:E116)</f>
        <v>0</v>
      </c>
      <c r="F118" s="5">
        <f>SUM(F109:F116)</f>
        <v>10603186</v>
      </c>
    </row>
    <row r="119" spans="1:6" ht="15" thickBot="1" x14ac:dyDescent="0.25"/>
    <row r="120" spans="1:6" ht="15" thickBot="1" x14ac:dyDescent="0.25">
      <c r="B120" s="57" t="s">
        <v>942</v>
      </c>
      <c r="C120" s="55"/>
      <c r="D120" s="55"/>
      <c r="E120" s="55">
        <f>IF(F3="1",SUMIF(Data!A:A,'29'!$A$2,Data!AM:AM),0)</f>
        <v>388557</v>
      </c>
      <c r="F120" s="56">
        <f>SUM(C120:E120)</f>
        <v>388557</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362</v>
      </c>
      <c r="B2" s="60" t="str">
        <f>VLOOKUP(A2,Data!A:G,7,0)</f>
        <v>North Central Texas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66856</v>
      </c>
      <c r="E5" s="16">
        <f>E36+E67+IFERROR($E$105/$D$105*D5,0)</f>
        <v>631314.22552451992</v>
      </c>
      <c r="F5" s="21">
        <f>IFERROR(E5/D5,"")</f>
        <v>9.4428955594788793</v>
      </c>
    </row>
    <row r="6" spans="1:6" x14ac:dyDescent="0.2">
      <c r="A6" s="20">
        <v>2</v>
      </c>
      <c r="B6" s="184" t="s">
        <v>1</v>
      </c>
      <c r="C6" s="185"/>
      <c r="D6" s="15">
        <f t="shared" ref="D6:D32" si="0">D37</f>
        <v>11049</v>
      </c>
      <c r="E6" s="18">
        <f t="shared" ref="E6:E32" si="1">E37+E68+IFERROR($E$105/$D$105*D6,0)</f>
        <v>175879.04519894131</v>
      </c>
      <c r="F6" s="22">
        <f t="shared" ref="F6:F33" si="2">IFERROR(E6/D6,"")</f>
        <v>15.918096225806979</v>
      </c>
    </row>
    <row r="7" spans="1:6" ht="14.25" customHeight="1" x14ac:dyDescent="0.2">
      <c r="A7" s="20">
        <v>3</v>
      </c>
      <c r="B7" s="184" t="s">
        <v>2</v>
      </c>
      <c r="C7" s="185"/>
      <c r="D7" s="15">
        <f t="shared" si="0"/>
        <v>292976</v>
      </c>
      <c r="E7" s="18">
        <f t="shared" si="1"/>
        <v>1566298.3488284033</v>
      </c>
      <c r="F7" s="22">
        <f t="shared" si="2"/>
        <v>5.3461660642114142</v>
      </c>
    </row>
    <row r="8" spans="1:6" ht="14.25" customHeight="1" x14ac:dyDescent="0.2">
      <c r="A8" s="20">
        <v>4</v>
      </c>
      <c r="B8" s="184" t="s">
        <v>3</v>
      </c>
      <c r="C8" s="185"/>
      <c r="D8" s="15">
        <f t="shared" si="0"/>
        <v>194083</v>
      </c>
      <c r="E8" s="18">
        <f t="shared" si="1"/>
        <v>790973.86191928014</v>
      </c>
      <c r="F8" s="22">
        <f t="shared" si="2"/>
        <v>4.0754412386416128</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6156</v>
      </c>
      <c r="E10" s="18">
        <f t="shared" si="1"/>
        <v>16685.005090477211</v>
      </c>
      <c r="F10" s="22">
        <f t="shared" si="2"/>
        <v>2.7103646995577013</v>
      </c>
    </row>
    <row r="11" spans="1:6" x14ac:dyDescent="0.2">
      <c r="A11" s="20">
        <v>7</v>
      </c>
      <c r="B11" s="184" t="s">
        <v>6</v>
      </c>
      <c r="C11" s="185"/>
      <c r="D11" s="15">
        <f t="shared" si="0"/>
        <v>27787</v>
      </c>
      <c r="E11" s="18">
        <f t="shared" si="1"/>
        <v>1273069.5177792544</v>
      </c>
      <c r="F11" s="22">
        <f t="shared" si="2"/>
        <v>45.815291963121403</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133871</v>
      </c>
      <c r="E13" s="18">
        <f t="shared" si="1"/>
        <v>808865.27086862805</v>
      </c>
      <c r="F13" s="22">
        <f t="shared" si="2"/>
        <v>6.0421246638079049</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35372</v>
      </c>
      <c r="E15" s="18">
        <f t="shared" si="1"/>
        <v>123969.32489609485</v>
      </c>
      <c r="F15" s="22">
        <f t="shared" si="2"/>
        <v>3.5047304335659519</v>
      </c>
    </row>
    <row r="16" spans="1:6" ht="14.25" customHeight="1" x14ac:dyDescent="0.2">
      <c r="A16" s="20">
        <v>12</v>
      </c>
      <c r="B16" s="184" t="s">
        <v>11</v>
      </c>
      <c r="C16" s="185"/>
      <c r="D16" s="15">
        <f t="shared" si="0"/>
        <v>463872</v>
      </c>
      <c r="E16" s="18">
        <f t="shared" si="1"/>
        <v>2704533.2978118658</v>
      </c>
      <c r="F16" s="22">
        <f t="shared" si="2"/>
        <v>5.8303439263673296</v>
      </c>
    </row>
    <row r="17" spans="1:6" x14ac:dyDescent="0.2">
      <c r="A17" s="20">
        <v>13</v>
      </c>
      <c r="B17" s="184" t="s">
        <v>12</v>
      </c>
      <c r="C17" s="185"/>
      <c r="D17" s="15">
        <f t="shared" si="0"/>
        <v>75032</v>
      </c>
      <c r="E17" s="18">
        <f t="shared" si="1"/>
        <v>315169.34404624533</v>
      </c>
      <c r="F17" s="22">
        <f t="shared" si="2"/>
        <v>4.2004657219085901</v>
      </c>
    </row>
    <row r="18" spans="1:6" ht="14.25" customHeight="1" x14ac:dyDescent="0.2">
      <c r="A18" s="20">
        <v>14</v>
      </c>
      <c r="B18" s="184" t="s">
        <v>469</v>
      </c>
      <c r="C18" s="185"/>
      <c r="D18" s="15">
        <f t="shared" si="0"/>
        <v>111238</v>
      </c>
      <c r="E18" s="18">
        <f t="shared" si="1"/>
        <v>921526.00686395448</v>
      </c>
      <c r="F18" s="22">
        <f t="shared" si="2"/>
        <v>8.284273421528205</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127850</v>
      </c>
      <c r="E20" s="18">
        <f t="shared" si="1"/>
        <v>929291.16939855611</v>
      </c>
      <c r="F20" s="22">
        <f t="shared" si="2"/>
        <v>7.2686051575952764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190080</v>
      </c>
      <c r="E22" s="18">
        <f t="shared" si="1"/>
        <v>1112331.2975305244</v>
      </c>
      <c r="F22" s="22">
        <f t="shared" si="2"/>
        <v>5.851911287513281</v>
      </c>
    </row>
    <row r="23" spans="1:6" x14ac:dyDescent="0.2">
      <c r="A23" s="20">
        <v>19</v>
      </c>
      <c r="B23" s="184" t="s">
        <v>17</v>
      </c>
      <c r="C23" s="185"/>
      <c r="D23" s="15">
        <f t="shared" si="0"/>
        <v>389136</v>
      </c>
      <c r="E23" s="18">
        <f t="shared" si="1"/>
        <v>1901867.2535555458</v>
      </c>
      <c r="F23" s="22">
        <f t="shared" si="2"/>
        <v>4.887410194779064</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107</v>
      </c>
      <c r="E25" s="18">
        <f t="shared" si="1"/>
        <v>1942.8347213581972</v>
      </c>
      <c r="F25" s="22">
        <f t="shared" si="2"/>
        <v>18.157333844469132</v>
      </c>
    </row>
    <row r="26" spans="1:6" x14ac:dyDescent="0.2">
      <c r="A26" s="20">
        <v>22</v>
      </c>
      <c r="B26" s="184" t="s">
        <v>19</v>
      </c>
      <c r="C26" s="185"/>
      <c r="D26" s="15">
        <f t="shared" si="0"/>
        <v>1408</v>
      </c>
      <c r="E26" s="18">
        <f t="shared" si="1"/>
        <v>26312.750352077957</v>
      </c>
      <c r="F26" s="22">
        <f t="shared" si="2"/>
        <v>18.688032920509912</v>
      </c>
    </row>
    <row r="27" spans="1:6" x14ac:dyDescent="0.2">
      <c r="A27" s="20">
        <v>23</v>
      </c>
      <c r="B27" s="184" t="s">
        <v>20</v>
      </c>
      <c r="C27" s="185"/>
      <c r="D27" s="15">
        <f t="shared" si="0"/>
        <v>81552</v>
      </c>
      <c r="E27" s="18">
        <f t="shared" si="1"/>
        <v>533691.24482433358</v>
      </c>
      <c r="F27" s="22">
        <f t="shared" si="2"/>
        <v>6.5441834022995584</v>
      </c>
    </row>
    <row r="28" spans="1:6" x14ac:dyDescent="0.2">
      <c r="A28" s="20">
        <v>24</v>
      </c>
      <c r="B28" s="184" t="s">
        <v>21</v>
      </c>
      <c r="C28" s="185"/>
      <c r="D28" s="15">
        <f t="shared" si="0"/>
        <v>28992</v>
      </c>
      <c r="E28" s="18">
        <f t="shared" si="1"/>
        <v>190718.76861324161</v>
      </c>
      <c r="F28" s="22">
        <f t="shared" si="2"/>
        <v>6.5783239725869764</v>
      </c>
    </row>
    <row r="29" spans="1:6" x14ac:dyDescent="0.2">
      <c r="A29" s="20">
        <v>25</v>
      </c>
      <c r="B29" s="184" t="s">
        <v>22</v>
      </c>
      <c r="C29" s="185"/>
      <c r="D29" s="15">
        <f t="shared" si="0"/>
        <v>735072</v>
      </c>
      <c r="E29" s="18">
        <f t="shared" si="1"/>
        <v>3405919.3485814268</v>
      </c>
      <c r="F29" s="22">
        <f t="shared" si="2"/>
        <v>4.633449986642705</v>
      </c>
    </row>
    <row r="30" spans="1:6" x14ac:dyDescent="0.2">
      <c r="A30" s="20">
        <v>26</v>
      </c>
      <c r="B30" s="184" t="s">
        <v>23</v>
      </c>
      <c r="C30" s="185"/>
      <c r="D30" s="15">
        <f t="shared" si="0"/>
        <v>141168</v>
      </c>
      <c r="E30" s="18">
        <f t="shared" si="1"/>
        <v>929598.08359527076</v>
      </c>
      <c r="F30" s="22">
        <f t="shared" si="2"/>
        <v>6.5850481950248696</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3113657</v>
      </c>
      <c r="E33" s="32">
        <f>SUM(E5:E32)</f>
        <v>18359956</v>
      </c>
      <c r="F33" s="33">
        <f t="shared" si="2"/>
        <v>5.8965891233363212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IF(F3="1",SUMIF(Data!A:A,'30'!$A$2,Data!CU:CU),0)</f>
        <v>66856</v>
      </c>
      <c r="E36" s="16">
        <f>IF(F3="1",SUMIF(Data!$A:$A,'30'!$A$2,Data!IO:IO),0)</f>
        <v>223866</v>
      </c>
      <c r="F36" s="21">
        <f t="shared" ref="F36:F64" si="3">IFERROR(E36/D36,"")</f>
        <v>3.3484803159028358</v>
      </c>
    </row>
    <row r="37" spans="1:6" x14ac:dyDescent="0.2">
      <c r="A37" s="20">
        <v>2</v>
      </c>
      <c r="B37" s="184" t="s">
        <v>1</v>
      </c>
      <c r="C37" s="185"/>
      <c r="D37" s="15">
        <f>IF(F3="1",SUMIF(Data!A:A,'30'!$A$2,Data!CV:CV),0)</f>
        <v>11049</v>
      </c>
      <c r="E37" s="18">
        <f>IF(F3="1",SUMIF(Data!$A:$A,'30'!$A$2,Data!IP:IP),0)</f>
        <v>62186</v>
      </c>
      <c r="F37" s="22">
        <f t="shared" si="3"/>
        <v>5.6282016472078924</v>
      </c>
    </row>
    <row r="38" spans="1:6" ht="14.25" customHeight="1" x14ac:dyDescent="0.2">
      <c r="A38" s="20">
        <v>3</v>
      </c>
      <c r="B38" s="184" t="s">
        <v>2</v>
      </c>
      <c r="C38" s="185"/>
      <c r="D38" s="15">
        <f>IF(F3="1",SUMIF(Data!A:A,'30'!$A$2,Data!CW:CW),0)</f>
        <v>292976</v>
      </c>
      <c r="E38" s="18">
        <f>IF(F3="1",SUMIF(Data!$A:$A,'30'!$A$2,Data!IQ:IQ),0)</f>
        <v>143651</v>
      </c>
      <c r="F38" s="22">
        <f t="shared" si="3"/>
        <v>0.49031661296488449</v>
      </c>
    </row>
    <row r="39" spans="1:6" ht="14.25" customHeight="1" x14ac:dyDescent="0.2">
      <c r="A39" s="20">
        <v>4</v>
      </c>
      <c r="B39" s="184" t="s">
        <v>3</v>
      </c>
      <c r="C39" s="185"/>
      <c r="D39" s="15">
        <f>IF(F3="1",SUMIF(Data!A:A,'30'!$A$2,Data!CX:CX),0)</f>
        <v>194083</v>
      </c>
      <c r="E39" s="18">
        <f>IF(F3="1",SUMIF(Data!$A:$A,'30'!$A$2,Data!IR:IR),0)</f>
        <v>52935</v>
      </c>
      <c r="F39" s="22">
        <f t="shared" si="3"/>
        <v>0.27274413524110819</v>
      </c>
    </row>
    <row r="40" spans="1:6" x14ac:dyDescent="0.2">
      <c r="A40" s="20">
        <v>5</v>
      </c>
      <c r="B40" s="184" t="s">
        <v>4</v>
      </c>
      <c r="C40" s="185"/>
      <c r="D40" s="15">
        <f>IF(F3="1",SUMIF(Data!A:A,'30'!$A$2,Data!CY:CY),0)</f>
        <v>0</v>
      </c>
      <c r="E40" s="18">
        <f>IF(F3="1",SUMIF(Data!$A:$A,'30'!$A$2,Data!IS:IS),0)</f>
        <v>0</v>
      </c>
      <c r="F40" s="22" t="str">
        <f t="shared" si="3"/>
        <v/>
      </c>
    </row>
    <row r="41" spans="1:6" x14ac:dyDescent="0.2">
      <c r="A41" s="20">
        <v>6</v>
      </c>
      <c r="B41" s="184" t="s">
        <v>5</v>
      </c>
      <c r="C41" s="185"/>
      <c r="D41" s="15">
        <f>IF(F3="1",SUMIF(Data!A:A,'30'!$A$2,Data!CZ:CZ),0)</f>
        <v>6156</v>
      </c>
      <c r="E41" s="18">
        <f>IF(F3="1",SUMIF(Data!$A:$A,'30'!$A$2,Data!IT:IT),0)</f>
        <v>1943</v>
      </c>
      <c r="F41" s="22">
        <f t="shared" si="3"/>
        <v>0.31562703053931124</v>
      </c>
    </row>
    <row r="42" spans="1:6" x14ac:dyDescent="0.2">
      <c r="A42" s="20">
        <v>7</v>
      </c>
      <c r="B42" s="184" t="s">
        <v>6</v>
      </c>
      <c r="C42" s="185"/>
      <c r="D42" s="15">
        <f>IF(F3="1",SUMIF(Data!A:A,'30'!$A$2,Data!DA:DA),0)</f>
        <v>27787</v>
      </c>
      <c r="E42" s="18">
        <f>IF(F3="1",SUMIF(Data!$A:$A,'30'!$A$2,Data!IU:IU),0)</f>
        <v>818277</v>
      </c>
      <c r="F42" s="22">
        <f t="shared" si="3"/>
        <v>29.448195199193869</v>
      </c>
    </row>
    <row r="43" spans="1:6" x14ac:dyDescent="0.2">
      <c r="A43" s="20">
        <v>8</v>
      </c>
      <c r="B43" s="184" t="s">
        <v>7</v>
      </c>
      <c r="C43" s="185"/>
      <c r="D43" s="15">
        <f>IF(F3="1",SUMIF(Data!A:A,'30'!$A$2,Data!DB:DB),0)</f>
        <v>0</v>
      </c>
      <c r="E43" s="18">
        <f>IF(F3="1",SUMIF(Data!$A:$A,'30'!$A$2,Data!IV:IV),0)</f>
        <v>0</v>
      </c>
      <c r="F43" s="22" t="str">
        <f t="shared" si="3"/>
        <v/>
      </c>
    </row>
    <row r="44" spans="1:6" x14ac:dyDescent="0.2">
      <c r="A44" s="20">
        <v>9</v>
      </c>
      <c r="B44" s="184" t="s">
        <v>8</v>
      </c>
      <c r="C44" s="185"/>
      <c r="D44" s="15">
        <f>IF(F3="1",SUMIF(Data!A:A,'30'!$A$2,Data!DC:DC),0)</f>
        <v>133871</v>
      </c>
      <c r="E44" s="18">
        <f>IF(F3="1",SUMIF(Data!$A:$A,'30'!$A$2,Data!IW:IW),0)</f>
        <v>125465</v>
      </c>
      <c r="F44" s="22">
        <f t="shared" si="3"/>
        <v>0.93720820790163661</v>
      </c>
    </row>
    <row r="45" spans="1:6" x14ac:dyDescent="0.2">
      <c r="A45" s="20">
        <v>10</v>
      </c>
      <c r="B45" s="184" t="s">
        <v>9</v>
      </c>
      <c r="C45" s="185"/>
      <c r="D45" s="15">
        <f>IF(F3="1",SUMIF(Data!A:A,'30'!$A$2,Data!DD:DD),0)</f>
        <v>0</v>
      </c>
      <c r="E45" s="18">
        <f>IF(F3="1",SUMIF(Data!$A:$A,'30'!$A$2,Data!IX:IX),0)</f>
        <v>0</v>
      </c>
      <c r="F45" s="22" t="str">
        <f t="shared" si="3"/>
        <v/>
      </c>
    </row>
    <row r="46" spans="1:6" x14ac:dyDescent="0.2">
      <c r="A46" s="20">
        <v>11</v>
      </c>
      <c r="B46" s="184" t="s">
        <v>10</v>
      </c>
      <c r="C46" s="185"/>
      <c r="D46" s="15">
        <f>IF(F3="1",SUMIF(Data!A:A,'30'!$A$2,Data!DE:DE),0)</f>
        <v>35372</v>
      </c>
      <c r="E46" s="18">
        <f>IF(F3="1",SUMIF(Data!$A:$A,'30'!$A$2,Data!IY:IY),0)</f>
        <v>32174</v>
      </c>
      <c r="F46" s="22">
        <f t="shared" si="3"/>
        <v>0.90958950582381548</v>
      </c>
    </row>
    <row r="47" spans="1:6" ht="14.25" customHeight="1" x14ac:dyDescent="0.2">
      <c r="A47" s="20">
        <v>12</v>
      </c>
      <c r="B47" s="184" t="s">
        <v>11</v>
      </c>
      <c r="C47" s="185"/>
      <c r="D47" s="15">
        <f>IF(F3="1",SUMIF(Data!A:A,'30'!$A$2,Data!DF:DF),0)</f>
        <v>463872</v>
      </c>
      <c r="E47" s="18">
        <f>IF(F3="1",SUMIF(Data!$A:$A,'30'!$A$2,Data!IZ:IZ),0)</f>
        <v>236262</v>
      </c>
      <c r="F47" s="22">
        <f t="shared" si="3"/>
        <v>0.50932584850993379</v>
      </c>
    </row>
    <row r="48" spans="1:6" x14ac:dyDescent="0.2">
      <c r="A48" s="20">
        <v>13</v>
      </c>
      <c r="B48" s="184" t="s">
        <v>12</v>
      </c>
      <c r="C48" s="185"/>
      <c r="D48" s="15">
        <f>IF(F3="1",SUMIF(Data!A:A,'30'!$A$2,Data!DG:DG),0)</f>
        <v>75032</v>
      </c>
      <c r="E48" s="18">
        <f>IF(F3="1",SUMIF(Data!$A:$A,'30'!$A$2,Data!JA:JA),0)</f>
        <v>16677</v>
      </c>
      <c r="F48" s="22">
        <f t="shared" si="3"/>
        <v>0.22226516686213882</v>
      </c>
    </row>
    <row r="49" spans="1:6" ht="14.25" customHeight="1" x14ac:dyDescent="0.2">
      <c r="A49" s="20">
        <v>14</v>
      </c>
      <c r="B49" s="184" t="s">
        <v>469</v>
      </c>
      <c r="C49" s="185"/>
      <c r="D49" s="15">
        <f>IF(F3="1",SUMIF(Data!A:A,'30'!$A$2,Data!DH:DH),0)</f>
        <v>111238</v>
      </c>
      <c r="E49" s="18">
        <f>IF(F3="1",SUMIF(Data!$A:$A,'30'!$A$2,Data!JB:JB),0)</f>
        <v>126883</v>
      </c>
      <c r="F49" s="22">
        <f t="shared" si="3"/>
        <v>1.1406443841133425</v>
      </c>
    </row>
    <row r="50" spans="1:6" x14ac:dyDescent="0.2">
      <c r="A50" s="20">
        <v>15</v>
      </c>
      <c r="B50" s="184" t="s">
        <v>13</v>
      </c>
      <c r="C50" s="185"/>
      <c r="D50" s="15">
        <f>IF(F3="1",SUMIF(Data!A:A,'30'!$A$2,Data!DI:DI),0)</f>
        <v>0</v>
      </c>
      <c r="E50" s="18">
        <f>IF(F3="1",SUMIF(Data!$A:$A,'30'!$A$2,Data!JC:JC),0)</f>
        <v>0</v>
      </c>
      <c r="F50" s="22" t="str">
        <f t="shared" si="3"/>
        <v/>
      </c>
    </row>
    <row r="51" spans="1:6" x14ac:dyDescent="0.2">
      <c r="A51" s="20">
        <v>16</v>
      </c>
      <c r="B51" s="184" t="s">
        <v>14</v>
      </c>
      <c r="C51" s="185"/>
      <c r="D51" s="15">
        <f>IF(F3="1",SUMIF(Data!A:A,'30'!$A$2,Data!DJ:DJ),0)</f>
        <v>127850</v>
      </c>
      <c r="E51" s="18">
        <f>IF(F3="1",SUMIF(Data!$A:$A,'30'!$A$2,Data!JD:JD),0)</f>
        <v>218653</v>
      </c>
      <c r="F51" s="22">
        <f t="shared" si="3"/>
        <v>1.7102307391474385</v>
      </c>
    </row>
    <row r="52" spans="1:6" x14ac:dyDescent="0.2">
      <c r="A52" s="20">
        <v>17</v>
      </c>
      <c r="B52" s="184" t="s">
        <v>15</v>
      </c>
      <c r="C52" s="185"/>
      <c r="D52" s="15">
        <f>IF(F3="1",SUMIF(Data!A:A,'30'!$A$2,Data!DK:DK),0)</f>
        <v>0</v>
      </c>
      <c r="E52" s="18">
        <f>IF(F3="1",SUMIF(Data!$A:$A,'30'!$A$2,Data!JE:JE),0)</f>
        <v>0</v>
      </c>
      <c r="F52" s="22" t="str">
        <f t="shared" si="3"/>
        <v/>
      </c>
    </row>
    <row r="53" spans="1:6" x14ac:dyDescent="0.2">
      <c r="A53" s="20">
        <v>18</v>
      </c>
      <c r="B53" s="184" t="s">
        <v>16</v>
      </c>
      <c r="C53" s="185"/>
      <c r="D53" s="15">
        <f>IF(F3="1",SUMIF(Data!A:A,'30'!$A$2,Data!DL:DL),0)</f>
        <v>190080</v>
      </c>
      <c r="E53" s="18">
        <f>IF(F3="1",SUMIF(Data!$A:$A,'30'!$A$2,Data!JF:JF),0)</f>
        <v>122111</v>
      </c>
      <c r="F53" s="22">
        <f t="shared" si="3"/>
        <v>0.64241898148148147</v>
      </c>
    </row>
    <row r="54" spans="1:6" x14ac:dyDescent="0.2">
      <c r="A54" s="20">
        <v>19</v>
      </c>
      <c r="B54" s="184" t="s">
        <v>17</v>
      </c>
      <c r="C54" s="185"/>
      <c r="D54" s="15">
        <f>IF(F3="1",SUMIF(Data!A:A,'30'!$A$2,Data!DM:DM),0)</f>
        <v>389136</v>
      </c>
      <c r="E54" s="18">
        <f>IF(F3="1",SUMIF(Data!$A:$A,'30'!$A$2,Data!JG:JG),0)</f>
        <v>92498</v>
      </c>
      <c r="F54" s="22">
        <f t="shared" si="3"/>
        <v>0.23770095801981828</v>
      </c>
    </row>
    <row r="55" spans="1:6" x14ac:dyDescent="0.2">
      <c r="A55" s="20">
        <v>20</v>
      </c>
      <c r="B55" s="184" t="s">
        <v>18</v>
      </c>
      <c r="C55" s="185"/>
      <c r="D55" s="15">
        <f>IF(F3="1",SUMIF(Data!A:A,'30'!$A$2,Data!DN:DN),0)</f>
        <v>0</v>
      </c>
      <c r="E55" s="18">
        <f>IF(F3="1",SUMIF(Data!$A:$A,'30'!$A$2,Data!JH:JH),0)</f>
        <v>0</v>
      </c>
      <c r="F55" s="22" t="str">
        <f t="shared" si="3"/>
        <v/>
      </c>
    </row>
    <row r="56" spans="1:6" ht="14.25" customHeight="1" x14ac:dyDescent="0.2">
      <c r="A56" s="20">
        <v>21</v>
      </c>
      <c r="B56" s="184" t="s">
        <v>466</v>
      </c>
      <c r="C56" s="185"/>
      <c r="D56" s="15">
        <f>IF(F3="1",SUMIF(Data!A:A,'30'!$A$2,Data!DO:DO),0)</f>
        <v>107</v>
      </c>
      <c r="E56" s="18">
        <f>IF(F3="1",SUMIF(Data!$A:$A,'30'!$A$2,Data!JI:JI),0)</f>
        <v>84</v>
      </c>
      <c r="F56" s="22">
        <f t="shared" si="3"/>
        <v>0.78504672897196259</v>
      </c>
    </row>
    <row r="57" spans="1:6" x14ac:dyDescent="0.2">
      <c r="A57" s="20">
        <v>22</v>
      </c>
      <c r="B57" s="184" t="s">
        <v>19</v>
      </c>
      <c r="C57" s="185"/>
      <c r="D57" s="15">
        <f>IF(F3="1",SUMIF(Data!A:A,'30'!$A$2,Data!DP:DP),0)</f>
        <v>1408</v>
      </c>
      <c r="E57" s="18">
        <f>IF(F3="1",SUMIF(Data!$A:$A,'30'!$A$2,Data!JJ:JJ),0)</f>
        <v>1645</v>
      </c>
      <c r="F57" s="22">
        <f t="shared" si="3"/>
        <v>1.1683238636363635</v>
      </c>
    </row>
    <row r="58" spans="1:6" x14ac:dyDescent="0.2">
      <c r="A58" s="20">
        <v>23</v>
      </c>
      <c r="B58" s="184" t="s">
        <v>20</v>
      </c>
      <c r="C58" s="185"/>
      <c r="D58" s="15">
        <f>IF(F3="1",SUMIF(Data!A:A,'30'!$A$2,Data!DQ:DQ),0)</f>
        <v>81552</v>
      </c>
      <c r="E58" s="18">
        <f>IF(F3="1",SUMIF(Data!$A:$A,'30'!$A$2,Data!JK:JK),0)</f>
        <v>59249</v>
      </c>
      <c r="F58" s="22">
        <f t="shared" si="3"/>
        <v>0.7265180498332352</v>
      </c>
    </row>
    <row r="59" spans="1:6" x14ac:dyDescent="0.2">
      <c r="A59" s="20">
        <v>24</v>
      </c>
      <c r="B59" s="184" t="s">
        <v>21</v>
      </c>
      <c r="C59" s="185"/>
      <c r="D59" s="15">
        <f>IF(F3="1",SUMIF(Data!A:A,'30'!$A$2,Data!DR:DR),0)</f>
        <v>28992</v>
      </c>
      <c r="E59" s="18">
        <f>IF(F3="1",SUMIF(Data!$A:$A,'30'!$A$2,Data!JL:JL),0)</f>
        <v>11700</v>
      </c>
      <c r="F59" s="22">
        <f t="shared" si="3"/>
        <v>0.40355960264900664</v>
      </c>
    </row>
    <row r="60" spans="1:6" x14ac:dyDescent="0.2">
      <c r="A60" s="20">
        <v>25</v>
      </c>
      <c r="B60" s="184" t="s">
        <v>22</v>
      </c>
      <c r="C60" s="185"/>
      <c r="D60" s="15">
        <f>IF(F3="1",SUMIF(Data!A:A,'30'!$A$2,Data!DS:DS),0)</f>
        <v>735072</v>
      </c>
      <c r="E60" s="18">
        <f>IF(F3="1",SUMIF(Data!$A:$A,'30'!$A$2,Data!JM:JM),0)</f>
        <v>134201</v>
      </c>
      <c r="F60" s="22">
        <f t="shared" si="3"/>
        <v>0.1825685102955901</v>
      </c>
    </row>
    <row r="61" spans="1:6" x14ac:dyDescent="0.2">
      <c r="A61" s="20">
        <v>26</v>
      </c>
      <c r="B61" s="184" t="s">
        <v>23</v>
      </c>
      <c r="C61" s="185"/>
      <c r="D61" s="15">
        <f>IF(F3="1",SUMIF(Data!A:A,'30'!$A$2,Data!DT:DT),0)</f>
        <v>141168</v>
      </c>
      <c r="E61" s="18">
        <f>IF(F3="1",SUMIF(Data!$A:$A,'30'!$A$2,Data!JN:JN),0)</f>
        <v>152755</v>
      </c>
      <c r="F61" s="22">
        <f t="shared" si="3"/>
        <v>1.0820795081038195</v>
      </c>
    </row>
    <row r="62" spans="1:6" x14ac:dyDescent="0.2">
      <c r="A62" s="20">
        <v>28</v>
      </c>
      <c r="B62" s="184" t="s">
        <v>24</v>
      </c>
      <c r="C62" s="185"/>
      <c r="D62" s="15">
        <f>IF(F3="1",SUMIF(Data!A:A,'30'!$A$2,Data!DV:DV),0)</f>
        <v>0</v>
      </c>
      <c r="E62" s="18">
        <f>IF(F3="1",SUMIF(Data!$A:$A,'30'!$A$2,Data!JP:JP),0)</f>
        <v>0</v>
      </c>
      <c r="F62" s="22" t="str">
        <f t="shared" si="3"/>
        <v/>
      </c>
    </row>
    <row r="63" spans="1:6" ht="15.75" customHeight="1" thickBot="1" x14ac:dyDescent="0.25">
      <c r="A63" s="23">
        <v>29</v>
      </c>
      <c r="B63" s="186" t="s">
        <v>25</v>
      </c>
      <c r="C63" s="187"/>
      <c r="D63" s="24">
        <f>IF(F3="1",SUMIF(Data!A:A,'30'!$A$2,Data!DW:DW),0)</f>
        <v>0</v>
      </c>
      <c r="E63" s="25">
        <f>IF(F3="1",SUMIF(Data!$A:$A,'30'!$A$2,Data!JQ:JQ),0)</f>
        <v>0</v>
      </c>
      <c r="F63" s="26" t="str">
        <f t="shared" si="3"/>
        <v/>
      </c>
    </row>
    <row r="64" spans="1:6" x14ac:dyDescent="0.2">
      <c r="B64" s="31" t="s">
        <v>35</v>
      </c>
      <c r="C64" s="31"/>
      <c r="D64" s="61">
        <f>SUM(D36:D63)</f>
        <v>3113657</v>
      </c>
      <c r="E64" s="32">
        <f>SUM(E36:E63)</f>
        <v>2633215</v>
      </c>
      <c r="F64" s="33">
        <f t="shared" si="3"/>
        <v>0.8456984825239261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66856</v>
      </c>
      <c r="E67" s="16">
        <f>IF(F3="1",SUMIF(Data!A:A,'30'!$A$2,Data!DY:DY),0)</f>
        <v>254470</v>
      </c>
      <c r="F67" s="21">
        <f>IFERROR(E67/D67,"")</f>
        <v>3.8062402776115829</v>
      </c>
    </row>
    <row r="68" spans="1:6" x14ac:dyDescent="0.2">
      <c r="A68" s="20">
        <v>2</v>
      </c>
      <c r="B68" s="184" t="s">
        <v>1</v>
      </c>
      <c r="C68" s="185"/>
      <c r="D68" s="15">
        <f t="shared" ref="D68:D94" si="4">D37</f>
        <v>11049</v>
      </c>
      <c r="E68" s="18">
        <f>IF(F3="1",SUMIF(Data!A:A,'30'!$A$2,Data!DZ:DZ),0)</f>
        <v>88411</v>
      </c>
      <c r="F68" s="22">
        <f t="shared" ref="F68:F95" si="5">IFERROR(E68/D68,"")</f>
        <v>8.0017196126346271</v>
      </c>
    </row>
    <row r="69" spans="1:6" ht="14.25" customHeight="1" x14ac:dyDescent="0.2">
      <c r="A69" s="20">
        <v>3</v>
      </c>
      <c r="B69" s="184" t="s">
        <v>2</v>
      </c>
      <c r="C69" s="185"/>
      <c r="D69" s="15">
        <f t="shared" si="4"/>
        <v>292976</v>
      </c>
      <c r="E69" s="18">
        <f>IF(F3="1",SUMIF(Data!A:A,'30'!$A$2,Data!EA:EA),0)</f>
        <v>752267</v>
      </c>
      <c r="F69" s="22">
        <f t="shared" si="5"/>
        <v>2.5676744852820708</v>
      </c>
    </row>
    <row r="70" spans="1:6" ht="14.25" customHeight="1" x14ac:dyDescent="0.2">
      <c r="A70" s="20">
        <v>4</v>
      </c>
      <c r="B70" s="184" t="s">
        <v>3</v>
      </c>
      <c r="C70" s="185"/>
      <c r="D70" s="15">
        <f t="shared" si="4"/>
        <v>194083</v>
      </c>
      <c r="E70" s="18">
        <f>IF(F3="1",SUMIF(Data!A:A,'30'!$A$2,Data!EB:EB),0)</f>
        <v>293943</v>
      </c>
      <c r="F70" s="22">
        <f t="shared" si="5"/>
        <v>1.5145221374360454</v>
      </c>
    </row>
    <row r="71" spans="1:6" x14ac:dyDescent="0.2">
      <c r="A71" s="20">
        <v>5</v>
      </c>
      <c r="B71" s="184" t="s">
        <v>4</v>
      </c>
      <c r="C71" s="185"/>
      <c r="D71" s="15">
        <f t="shared" si="4"/>
        <v>0</v>
      </c>
      <c r="E71" s="18">
        <f>IF(F3="1",SUMIF(Data!A:A,'30'!$A$2,Data!EC:EC),0)</f>
        <v>0</v>
      </c>
      <c r="F71" s="22" t="str">
        <f t="shared" si="5"/>
        <v/>
      </c>
    </row>
    <row r="72" spans="1:6" x14ac:dyDescent="0.2">
      <c r="A72" s="20">
        <v>6</v>
      </c>
      <c r="B72" s="184" t="s">
        <v>5</v>
      </c>
      <c r="C72" s="185"/>
      <c r="D72" s="15">
        <f t="shared" si="4"/>
        <v>6156</v>
      </c>
      <c r="E72" s="18">
        <f>IF(F3="1",SUMIF(Data!A:A,'30'!$A$2,Data!ED:ED),0)</f>
        <v>656</v>
      </c>
      <c r="F72" s="22">
        <f t="shared" si="5"/>
        <v>0.10656270305393112</v>
      </c>
    </row>
    <row r="73" spans="1:6" x14ac:dyDescent="0.2">
      <c r="A73" s="20">
        <v>7</v>
      </c>
      <c r="B73" s="184" t="s">
        <v>6</v>
      </c>
      <c r="C73" s="185"/>
      <c r="D73" s="15">
        <f t="shared" si="4"/>
        <v>27787</v>
      </c>
      <c r="E73" s="18">
        <f>IF(F3="1",SUMIF(Data!A:A,'30'!$A$2,Data!EE:EE),0)</f>
        <v>391211</v>
      </c>
      <c r="F73" s="22">
        <f t="shared" si="5"/>
        <v>14.078921797963076</v>
      </c>
    </row>
    <row r="74" spans="1:6" x14ac:dyDescent="0.2">
      <c r="A74" s="20">
        <v>8</v>
      </c>
      <c r="B74" s="184" t="s">
        <v>7</v>
      </c>
      <c r="C74" s="185"/>
      <c r="D74" s="15">
        <f t="shared" si="4"/>
        <v>0</v>
      </c>
      <c r="E74" s="18">
        <f>IF(F3="1",SUMIF(Data!A:A,'30'!$A$2,Data!EF:EF),0)</f>
        <v>0</v>
      </c>
      <c r="F74" s="22" t="str">
        <f t="shared" si="5"/>
        <v/>
      </c>
    </row>
    <row r="75" spans="1:6" x14ac:dyDescent="0.2">
      <c r="A75" s="20">
        <v>9</v>
      </c>
      <c r="B75" s="184" t="s">
        <v>8</v>
      </c>
      <c r="C75" s="185"/>
      <c r="D75" s="15">
        <f t="shared" si="4"/>
        <v>133871</v>
      </c>
      <c r="E75" s="18">
        <f>IF(F3="1",SUMIF(Data!A:A,'30'!$A$2,Data!EG:EG),0)</f>
        <v>377080</v>
      </c>
      <c r="F75" s="22">
        <f t="shared" si="5"/>
        <v>2.8167414899418097</v>
      </c>
    </row>
    <row r="76" spans="1:6" x14ac:dyDescent="0.2">
      <c r="A76" s="20">
        <v>10</v>
      </c>
      <c r="B76" s="184" t="s">
        <v>9</v>
      </c>
      <c r="C76" s="185"/>
      <c r="D76" s="15">
        <f t="shared" si="4"/>
        <v>0</v>
      </c>
      <c r="E76" s="18">
        <f>IF(F3="1",SUMIF(Data!A:A,'30'!$A$2,Data!EH:EH),0)</f>
        <v>0</v>
      </c>
      <c r="F76" s="22" t="str">
        <f t="shared" si="5"/>
        <v/>
      </c>
    </row>
    <row r="77" spans="1:6" x14ac:dyDescent="0.2">
      <c r="A77" s="20">
        <v>11</v>
      </c>
      <c r="B77" s="184" t="s">
        <v>10</v>
      </c>
      <c r="C77" s="185"/>
      <c r="D77" s="15">
        <f t="shared" si="4"/>
        <v>35372</v>
      </c>
      <c r="E77" s="18">
        <f>IF(F3="1",SUMIF(Data!A:A,'30'!$A$2,Data!EI:EI),0)</f>
        <v>10858</v>
      </c>
      <c r="F77" s="22">
        <f t="shared" si="5"/>
        <v>0.30696596177767727</v>
      </c>
    </row>
    <row r="78" spans="1:6" ht="14.25" customHeight="1" x14ac:dyDescent="0.2">
      <c r="A78" s="20">
        <v>12</v>
      </c>
      <c r="B78" s="184" t="s">
        <v>11</v>
      </c>
      <c r="C78" s="185"/>
      <c r="D78" s="15">
        <f t="shared" si="4"/>
        <v>463872</v>
      </c>
      <c r="E78" s="18">
        <f>IF(F3="1",SUMIF(Data!A:A,'30'!$A$2,Data!EJ:EJ),0)</f>
        <v>1406851</v>
      </c>
      <c r="F78" s="22">
        <f t="shared" si="5"/>
        <v>3.032843111892936</v>
      </c>
    </row>
    <row r="79" spans="1:6" x14ac:dyDescent="0.2">
      <c r="A79" s="20">
        <v>13</v>
      </c>
      <c r="B79" s="184" t="s">
        <v>12</v>
      </c>
      <c r="C79" s="185"/>
      <c r="D79" s="15">
        <f t="shared" si="4"/>
        <v>75032</v>
      </c>
      <c r="E79" s="18">
        <f>IF(F3="1",SUMIF(Data!A:A,'30'!$A$2,Data!EK:EK),0)</f>
        <v>126806</v>
      </c>
      <c r="F79" s="22">
        <f t="shared" si="5"/>
        <v>1.6900255890819917</v>
      </c>
    </row>
    <row r="80" spans="1:6" ht="14.25" customHeight="1" x14ac:dyDescent="0.2">
      <c r="A80" s="20">
        <v>14</v>
      </c>
      <c r="B80" s="184" t="s">
        <v>469</v>
      </c>
      <c r="C80" s="185"/>
      <c r="D80" s="15">
        <f t="shared" si="4"/>
        <v>111238</v>
      </c>
      <c r="E80" s="18">
        <f>IF(F3="1",SUMIF(Data!A:A,'30'!$A$2,Data!EL:EL),0)</f>
        <v>540111</v>
      </c>
      <c r="F80" s="22">
        <f t="shared" si="5"/>
        <v>4.8554540714504038</v>
      </c>
    </row>
    <row r="81" spans="1:6" x14ac:dyDescent="0.2">
      <c r="A81" s="20">
        <v>15</v>
      </c>
      <c r="B81" s="184" t="s">
        <v>13</v>
      </c>
      <c r="C81" s="185"/>
      <c r="D81" s="15">
        <f t="shared" si="4"/>
        <v>0</v>
      </c>
      <c r="E81" s="18">
        <f>IF(F3="1",SUMIF(Data!A:A,'30'!$A$2,Data!EM:EM),0)</f>
        <v>0</v>
      </c>
      <c r="F81" s="22" t="str">
        <f t="shared" si="5"/>
        <v/>
      </c>
    </row>
    <row r="82" spans="1:6" x14ac:dyDescent="0.2">
      <c r="A82" s="20">
        <v>16</v>
      </c>
      <c r="B82" s="184" t="s">
        <v>14</v>
      </c>
      <c r="C82" s="185"/>
      <c r="D82" s="15">
        <f t="shared" si="4"/>
        <v>127850</v>
      </c>
      <c r="E82" s="18">
        <f>IF(F3="1",SUMIF(Data!A:A,'30'!$A$2,Data!EN:EN),0)</f>
        <v>418095</v>
      </c>
      <c r="F82" s="22">
        <f t="shared" si="5"/>
        <v>3.2701994524833791</v>
      </c>
    </row>
    <row r="83" spans="1:6" x14ac:dyDescent="0.2">
      <c r="A83" s="20">
        <v>17</v>
      </c>
      <c r="B83" s="184" t="s">
        <v>15</v>
      </c>
      <c r="C83" s="185"/>
      <c r="D83" s="15">
        <f t="shared" si="4"/>
        <v>0</v>
      </c>
      <c r="E83" s="18">
        <f>IF(F3="1",SUMIF(Data!A:A,'30'!$A$2,Data!EO:EO),0)</f>
        <v>0</v>
      </c>
      <c r="F83" s="22" t="str">
        <f t="shared" si="5"/>
        <v/>
      </c>
    </row>
    <row r="84" spans="1:6" x14ac:dyDescent="0.2">
      <c r="A84" s="20">
        <v>18</v>
      </c>
      <c r="B84" s="184" t="s">
        <v>16</v>
      </c>
      <c r="C84" s="185"/>
      <c r="D84" s="15">
        <f t="shared" si="4"/>
        <v>190080</v>
      </c>
      <c r="E84" s="18">
        <f>IF(F3="1",SUMIF(Data!A:A,'30'!$A$2,Data!EP:EP),0)</f>
        <v>555284</v>
      </c>
      <c r="F84" s="22">
        <f t="shared" si="5"/>
        <v>2.9213173400673402</v>
      </c>
    </row>
    <row r="85" spans="1:6" x14ac:dyDescent="0.2">
      <c r="A85" s="20">
        <v>19</v>
      </c>
      <c r="B85" s="184" t="s">
        <v>17</v>
      </c>
      <c r="C85" s="185"/>
      <c r="D85" s="15">
        <f t="shared" si="4"/>
        <v>389136</v>
      </c>
      <c r="E85" s="18">
        <f>IF(F3="1",SUMIF(Data!A:A,'30'!$A$2,Data!EQ:EQ),0)</f>
        <v>918958</v>
      </c>
      <c r="F85" s="22">
        <f t="shared" si="5"/>
        <v>2.3615342707947864</v>
      </c>
    </row>
    <row r="86" spans="1:6" x14ac:dyDescent="0.2">
      <c r="A86" s="20">
        <v>20</v>
      </c>
      <c r="B86" s="184" t="s">
        <v>18</v>
      </c>
      <c r="C86" s="185"/>
      <c r="D86" s="15">
        <f t="shared" si="4"/>
        <v>0</v>
      </c>
      <c r="E86" s="18">
        <f>IF(F3="1",SUMIF(Data!A:A,'30'!$A$2,Data!ER:ER),0)</f>
        <v>0</v>
      </c>
      <c r="F86" s="22" t="str">
        <f t="shared" si="5"/>
        <v/>
      </c>
    </row>
    <row r="87" spans="1:6" ht="14.25" customHeight="1" x14ac:dyDescent="0.2">
      <c r="A87" s="20">
        <v>21</v>
      </c>
      <c r="B87" s="184" t="s">
        <v>466</v>
      </c>
      <c r="C87" s="185"/>
      <c r="D87" s="15">
        <f t="shared" si="4"/>
        <v>107</v>
      </c>
      <c r="E87" s="18">
        <f>IF(F3="1",SUMIF(Data!A:A,'30'!$A$2,Data!ES:ES),0)</f>
        <v>1614</v>
      </c>
      <c r="F87" s="22">
        <f t="shared" si="5"/>
        <v>15.084112149532711</v>
      </c>
    </row>
    <row r="88" spans="1:6" x14ac:dyDescent="0.2">
      <c r="A88" s="20">
        <v>22</v>
      </c>
      <c r="B88" s="184" t="s">
        <v>19</v>
      </c>
      <c r="C88" s="185"/>
      <c r="D88" s="15">
        <f t="shared" si="4"/>
        <v>1408</v>
      </c>
      <c r="E88" s="18">
        <f>IF(F3="1",SUMIF(Data!A:A,'30'!$A$2,Data!ET:ET),0)</f>
        <v>21446</v>
      </c>
      <c r="F88" s="22">
        <f t="shared" si="5"/>
        <v>15.231534090909092</v>
      </c>
    </row>
    <row r="89" spans="1:6" x14ac:dyDescent="0.2">
      <c r="A89" s="20">
        <v>23</v>
      </c>
      <c r="B89" s="184" t="s">
        <v>20</v>
      </c>
      <c r="C89" s="185"/>
      <c r="D89" s="15">
        <f t="shared" si="4"/>
        <v>81552</v>
      </c>
      <c r="E89" s="18">
        <f>IF(F3="1",SUMIF(Data!A:A,'30'!$A$2,Data!EU:EU),0)</f>
        <v>287837</v>
      </c>
      <c r="F89" s="22">
        <f t="shared" si="5"/>
        <v>3.5294903865018639</v>
      </c>
    </row>
    <row r="90" spans="1:6" x14ac:dyDescent="0.2">
      <c r="A90" s="20">
        <v>24</v>
      </c>
      <c r="B90" s="184" t="s">
        <v>21</v>
      </c>
      <c r="C90" s="185"/>
      <c r="D90" s="15">
        <f t="shared" si="4"/>
        <v>28992</v>
      </c>
      <c r="E90" s="18">
        <f>IF(F3="1",SUMIF(Data!A:A,'30'!$A$2,Data!EV:EV),0)</f>
        <v>112680</v>
      </c>
      <c r="F90" s="22">
        <f t="shared" si="5"/>
        <v>3.88658940397351</v>
      </c>
    </row>
    <row r="91" spans="1:6" x14ac:dyDescent="0.2">
      <c r="A91" s="20">
        <v>25</v>
      </c>
      <c r="B91" s="184" t="s">
        <v>22</v>
      </c>
      <c r="C91" s="185"/>
      <c r="D91" s="15">
        <f t="shared" si="4"/>
        <v>735072</v>
      </c>
      <c r="E91" s="18">
        <f>IF(F3="1",SUMIF(Data!A:A,'30'!$A$2,Data!EW:EW),0)</f>
        <v>1589745</v>
      </c>
      <c r="F91" s="22">
        <f t="shared" si="5"/>
        <v>2.1627065103826566</v>
      </c>
    </row>
    <row r="92" spans="1:6" x14ac:dyDescent="0.2">
      <c r="A92" s="20">
        <v>26</v>
      </c>
      <c r="B92" s="184" t="s">
        <v>23</v>
      </c>
      <c r="C92" s="185"/>
      <c r="D92" s="15">
        <f t="shared" si="4"/>
        <v>141168</v>
      </c>
      <c r="E92" s="18">
        <f>IF(F3="1",SUMIF(Data!A:A,'30'!$A$2,Data!EX:EX),0)</f>
        <v>453826</v>
      </c>
      <c r="F92" s="22">
        <f t="shared" si="5"/>
        <v>3.2147937209565907</v>
      </c>
    </row>
    <row r="93" spans="1:6" x14ac:dyDescent="0.2">
      <c r="A93" s="20">
        <v>28</v>
      </c>
      <c r="B93" s="184" t="s">
        <v>24</v>
      </c>
      <c r="C93" s="185"/>
      <c r="D93" s="15">
        <f t="shared" si="4"/>
        <v>0</v>
      </c>
      <c r="E93" s="18">
        <f>IF(F3="1",SUMIF(Data!A:A,'30'!$A$2,Data!EZ:EZ),0)</f>
        <v>0</v>
      </c>
      <c r="F93" s="22" t="str">
        <f t="shared" si="5"/>
        <v/>
      </c>
    </row>
    <row r="94" spans="1:6" ht="15.75" customHeight="1" thickBot="1" x14ac:dyDescent="0.25">
      <c r="A94" s="23">
        <v>29</v>
      </c>
      <c r="B94" s="186" t="s">
        <v>25</v>
      </c>
      <c r="C94" s="187"/>
      <c r="D94" s="24">
        <f t="shared" si="4"/>
        <v>0</v>
      </c>
      <c r="E94" s="25">
        <f>IF(F3="1",SUMIF(Data!A:A,'30'!$A$2,Data!FA:FA),0)</f>
        <v>0</v>
      </c>
      <c r="F94" s="26" t="str">
        <f t="shared" si="5"/>
        <v/>
      </c>
    </row>
    <row r="95" spans="1:6" x14ac:dyDescent="0.2">
      <c r="B95" s="31" t="s">
        <v>35</v>
      </c>
      <c r="C95" s="31"/>
      <c r="D95" s="61">
        <f>SUM(D67:D94)</f>
        <v>3113657</v>
      </c>
      <c r="E95" s="32">
        <f>SUM(E67:E94)</f>
        <v>8602149</v>
      </c>
      <c r="F95" s="33">
        <f t="shared" si="5"/>
        <v>2.7627156748479362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IF(F3="1",SUMIF(Data!A:A,'30'!$A$2,Data!AH:AH),0)</f>
        <v>2954319</v>
      </c>
      <c r="F98" s="21">
        <f t="shared" ref="F98:F105" si="6">IFERROR(E98/$D$95,0)</f>
        <v>0.94882609099203929</v>
      </c>
    </row>
    <row r="99" spans="2:6" x14ac:dyDescent="0.2">
      <c r="B99" s="190" t="s">
        <v>31</v>
      </c>
      <c r="C99" s="191"/>
      <c r="D99" s="37"/>
      <c r="E99" s="18">
        <f>IF(F3="1",SUMIF(Data!A:A,'30'!$A$2,Data!AI:AI),0)</f>
        <v>1330436</v>
      </c>
      <c r="F99" s="22">
        <f t="shared" si="6"/>
        <v>0.4272904818995798</v>
      </c>
    </row>
    <row r="100" spans="2:6" x14ac:dyDescent="0.2">
      <c r="B100" s="190" t="s">
        <v>32</v>
      </c>
      <c r="C100" s="191"/>
      <c r="D100" s="37"/>
      <c r="E100" s="18">
        <f>IF(F3="1",SUMIF(Data!A:A,'30'!$A$2,Data!AJ:AJ),0)</f>
        <v>2054453</v>
      </c>
      <c r="F100" s="22">
        <f t="shared" si="6"/>
        <v>0.65981994805465083</v>
      </c>
    </row>
    <row r="101" spans="2:6" x14ac:dyDescent="0.2">
      <c r="B101" s="190" t="s">
        <v>28</v>
      </c>
      <c r="C101" s="191"/>
      <c r="D101" s="37"/>
      <c r="E101" s="18">
        <f>IF(F3="1",SUMIF(Data!A:A,'30'!$A$2,Data!AK:AK),0)</f>
        <v>85056</v>
      </c>
      <c r="F101" s="22">
        <f t="shared" si="6"/>
        <v>2.7317074424061481E-2</v>
      </c>
    </row>
    <row r="102" spans="2:6" x14ac:dyDescent="0.2">
      <c r="B102" s="190" t="s">
        <v>33</v>
      </c>
      <c r="C102" s="191"/>
      <c r="D102" s="37"/>
      <c r="E102" s="18">
        <f>IF(F3="1",SUMIF(Data!A:A,'30'!$A$2,Data!AL:AL),0)</f>
        <v>0</v>
      </c>
      <c r="F102" s="22">
        <f t="shared" si="6"/>
        <v>0</v>
      </c>
    </row>
    <row r="103" spans="2:6" x14ac:dyDescent="0.2">
      <c r="B103" s="192" t="s">
        <v>34</v>
      </c>
      <c r="C103" s="193"/>
      <c r="D103" s="37"/>
      <c r="E103" s="18">
        <f>IF(F3="1",SUMIF(Data!A:A,'30'!$A$2,Data!AM:AM),0)</f>
        <v>464026</v>
      </c>
      <c r="F103" s="22">
        <f t="shared" si="6"/>
        <v>0.1490292604484052</v>
      </c>
    </row>
    <row r="104" spans="2:6" ht="15.75" customHeight="1" thickBot="1" x14ac:dyDescent="0.25">
      <c r="B104" s="182" t="s">
        <v>29</v>
      </c>
      <c r="C104" s="183"/>
      <c r="D104" s="38"/>
      <c r="E104" s="25">
        <f>IF(F3="1",SUMIF(Data!A:A,'30'!$A$2,Data!Q:Q),0)</f>
        <v>236302</v>
      </c>
      <c r="F104" s="26">
        <f t="shared" si="6"/>
        <v>7.5892110145722544E-2</v>
      </c>
    </row>
    <row r="105" spans="2:6" x14ac:dyDescent="0.2">
      <c r="B105" s="31" t="s">
        <v>35</v>
      </c>
      <c r="C105" s="31"/>
      <c r="D105" s="35">
        <f>D95</f>
        <v>3113657</v>
      </c>
      <c r="E105" s="32">
        <f>SUM(E98:E104)</f>
        <v>7124592</v>
      </c>
      <c r="F105" s="33">
        <f t="shared" si="6"/>
        <v>2.2881749659644592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8602149</v>
      </c>
      <c r="D109" s="16">
        <f>IF(F3="1",SUMIF(Data!$A:$A,$A$2,Data!HJ:HJ),0)</f>
        <v>0</v>
      </c>
      <c r="E109" s="16">
        <f>IF(F3="1",SUMIF(Data!$A:$A,$A$2,Data!IN:IN),0)</f>
        <v>0</v>
      </c>
      <c r="F109" s="48">
        <f>SUM(C109:E109)</f>
        <v>8602149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236302</v>
      </c>
      <c r="E117" s="53"/>
      <c r="F117" s="50">
        <f>SUM(C117:E117)</f>
        <v>236302</v>
      </c>
    </row>
    <row r="118" spans="1:6" x14ac:dyDescent="0.2">
      <c r="B118" s="14" t="s">
        <v>35</v>
      </c>
      <c r="C118" s="5">
        <f>SUM(C109:C116)</f>
        <v>8602149</v>
      </c>
      <c r="D118" s="5">
        <f>SUM(D109:D116)</f>
        <v>0</v>
      </c>
      <c r="E118" s="5">
        <f>SUM(E109:E116)</f>
        <v>0</v>
      </c>
      <c r="F118" s="5">
        <f>SUM(F109:F116)</f>
        <v>8602149</v>
      </c>
    </row>
    <row r="119" spans="1:6" ht="15" thickBot="1" x14ac:dyDescent="0.25"/>
    <row r="120" spans="1:6" ht="15" thickBot="1" x14ac:dyDescent="0.25">
      <c r="B120" s="57" t="s">
        <v>942</v>
      </c>
      <c r="C120" s="55"/>
      <c r="D120" s="55"/>
      <c r="E120" s="55">
        <f>IF(F3="1",SUMIF(Data!A:A,'30'!$A$2,Data!AM:AM),0)</f>
        <v>464026</v>
      </c>
      <c r="F120" s="56">
        <f>SUM(C120:E120)</f>
        <v>464026</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448</v>
      </c>
      <c r="B2" s="60" t="str">
        <f>VLOOKUP(A2,Data!A:G,7,0)</f>
        <v>Northeast Texas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11904</v>
      </c>
      <c r="E5" s="16">
        <f>E36+E67+IFERROR($E$105/$D$105*D5,0)</f>
        <v>242673.3492711985</v>
      </c>
      <c r="F5" s="21">
        <f>IFERROR(E5/D5,"")</f>
        <v>20.385866034206863</v>
      </c>
    </row>
    <row r="6" spans="1:6" x14ac:dyDescent="0.2">
      <c r="A6" s="20">
        <v>2</v>
      </c>
      <c r="B6" s="184" t="s">
        <v>1</v>
      </c>
      <c r="C6" s="185"/>
      <c r="D6" s="15">
        <f t="shared" ref="D6:D32" si="0">D37</f>
        <v>31264</v>
      </c>
      <c r="E6" s="18">
        <f t="shared" ref="E6:E32" si="1">E37+E68+IFERROR($E$105/$D$105*D6,0)</f>
        <v>194266.18343537889</v>
      </c>
      <c r="F6" s="22">
        <f t="shared" ref="F6:F33" si="2">IFERROR(E6/D6,"")</f>
        <v>6.2137341170476867</v>
      </c>
    </row>
    <row r="7" spans="1:6" ht="14.25" customHeight="1" x14ac:dyDescent="0.2">
      <c r="A7" s="20">
        <v>3</v>
      </c>
      <c r="B7" s="184" t="s">
        <v>2</v>
      </c>
      <c r="C7" s="185"/>
      <c r="D7" s="15">
        <f t="shared" si="0"/>
        <v>151744</v>
      </c>
      <c r="E7" s="18">
        <f t="shared" si="1"/>
        <v>1150872.9200108154</v>
      </c>
      <c r="F7" s="22">
        <f t="shared" si="2"/>
        <v>7.5843059363850651</v>
      </c>
    </row>
    <row r="8" spans="1:6" ht="14.25" customHeight="1" x14ac:dyDescent="0.2">
      <c r="A8" s="20">
        <v>4</v>
      </c>
      <c r="B8" s="184" t="s">
        <v>3</v>
      </c>
      <c r="C8" s="185"/>
      <c r="D8" s="15">
        <f t="shared" si="0"/>
        <v>78420</v>
      </c>
      <c r="E8" s="18">
        <f t="shared" si="1"/>
        <v>535622.69706379261</v>
      </c>
      <c r="F8" s="22">
        <f t="shared" si="2"/>
        <v>6.830179763629082</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5704</v>
      </c>
      <c r="E10" s="18">
        <f t="shared" si="1"/>
        <v>44828.354859115949</v>
      </c>
      <c r="F10" s="22">
        <f t="shared" si="2"/>
        <v>7.8591084956374386</v>
      </c>
    </row>
    <row r="11" spans="1:6" x14ac:dyDescent="0.2">
      <c r="A11" s="20">
        <v>7</v>
      </c>
      <c r="B11" s="184" t="s">
        <v>6</v>
      </c>
      <c r="C11" s="185"/>
      <c r="D11" s="15">
        <f t="shared" si="0"/>
        <v>13808</v>
      </c>
      <c r="E11" s="18">
        <f t="shared" si="1"/>
        <v>231106.44949065096</v>
      </c>
      <c r="F11" s="22">
        <f t="shared" si="2"/>
        <v>16.737141475278893</v>
      </c>
    </row>
    <row r="12" spans="1:6" x14ac:dyDescent="0.2">
      <c r="A12" s="20">
        <v>8</v>
      </c>
      <c r="B12" s="184" t="s">
        <v>7</v>
      </c>
      <c r="C12" s="185"/>
      <c r="D12" s="15">
        <f t="shared" si="0"/>
        <v>5260</v>
      </c>
      <c r="E12" s="18">
        <f t="shared" si="1"/>
        <v>20599.363001218426</v>
      </c>
      <c r="F12" s="22">
        <f t="shared" si="2"/>
        <v>3.9162287074559745</v>
      </c>
    </row>
    <row r="13" spans="1:6" x14ac:dyDescent="0.2">
      <c r="A13" s="20">
        <v>9</v>
      </c>
      <c r="B13" s="184" t="s">
        <v>8</v>
      </c>
      <c r="C13" s="185"/>
      <c r="D13" s="15">
        <f t="shared" si="0"/>
        <v>49810</v>
      </c>
      <c r="E13" s="18">
        <f t="shared" si="1"/>
        <v>304549.03252674709</v>
      </c>
      <c r="F13" s="22">
        <f t="shared" si="2"/>
        <v>6.1142146662667551</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6480</v>
      </c>
      <c r="E15" s="18">
        <f t="shared" si="1"/>
        <v>21016.097385531444</v>
      </c>
      <c r="F15" s="22">
        <f t="shared" si="2"/>
        <v>3.2432249051746056</v>
      </c>
    </row>
    <row r="16" spans="1:6" ht="14.25" customHeight="1" x14ac:dyDescent="0.2">
      <c r="A16" s="20">
        <v>12</v>
      </c>
      <c r="B16" s="184" t="s">
        <v>11</v>
      </c>
      <c r="C16" s="185"/>
      <c r="D16" s="15">
        <f t="shared" si="0"/>
        <v>191776</v>
      </c>
      <c r="E16" s="18">
        <f t="shared" si="1"/>
        <v>1169415.699414765</v>
      </c>
      <c r="F16" s="22">
        <f t="shared" si="2"/>
        <v>6.0978208921594206</v>
      </c>
    </row>
    <row r="17" spans="1:6" x14ac:dyDescent="0.2">
      <c r="A17" s="20">
        <v>13</v>
      </c>
      <c r="B17" s="184" t="s">
        <v>12</v>
      </c>
      <c r="C17" s="185"/>
      <c r="D17" s="15">
        <f t="shared" si="0"/>
        <v>7152</v>
      </c>
      <c r="E17" s="18">
        <f t="shared" si="1"/>
        <v>92210.544521808784</v>
      </c>
      <c r="F17" s="22">
        <f t="shared" si="2"/>
        <v>12.892973227322257</v>
      </c>
    </row>
    <row r="18" spans="1:6" ht="14.25" customHeight="1" x14ac:dyDescent="0.2">
      <c r="A18" s="20">
        <v>14</v>
      </c>
      <c r="B18" s="184" t="s">
        <v>469</v>
      </c>
      <c r="C18" s="185"/>
      <c r="D18" s="15">
        <f t="shared" si="0"/>
        <v>45650</v>
      </c>
      <c r="E18" s="18">
        <f t="shared" si="1"/>
        <v>567938.21692122077</v>
      </c>
      <c r="F18" s="22">
        <f t="shared" si="2"/>
        <v>12.441143853695964</v>
      </c>
    </row>
    <row r="19" spans="1:6" x14ac:dyDescent="0.2">
      <c r="A19" s="20">
        <v>15</v>
      </c>
      <c r="B19" s="184" t="s">
        <v>13</v>
      </c>
      <c r="C19" s="185"/>
      <c r="D19" s="15">
        <f t="shared" si="0"/>
        <v>21152</v>
      </c>
      <c r="E19" s="18">
        <f t="shared" si="1"/>
        <v>342206.69319425325</v>
      </c>
      <c r="F19" s="22">
        <f t="shared" si="2"/>
        <v>16.178455616218478</v>
      </c>
    </row>
    <row r="20" spans="1:6" x14ac:dyDescent="0.2">
      <c r="A20" s="20">
        <v>16</v>
      </c>
      <c r="B20" s="184" t="s">
        <v>14</v>
      </c>
      <c r="C20" s="185"/>
      <c r="D20" s="15">
        <f t="shared" si="0"/>
        <v>80334</v>
      </c>
      <c r="E20" s="18">
        <f t="shared" si="1"/>
        <v>734463.22953229677</v>
      </c>
      <c r="F20" s="22">
        <f t="shared" si="2"/>
        <v>9.1426199309420273</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27136</v>
      </c>
      <c r="E22" s="18">
        <f t="shared" si="1"/>
        <v>273889.15102681809</v>
      </c>
      <c r="F22" s="22">
        <f t="shared" si="2"/>
        <v>10.093202794325549</v>
      </c>
    </row>
    <row r="23" spans="1:6" x14ac:dyDescent="0.2">
      <c r="A23" s="20">
        <v>19</v>
      </c>
      <c r="B23" s="184" t="s">
        <v>17</v>
      </c>
      <c r="C23" s="185"/>
      <c r="D23" s="15">
        <f t="shared" si="0"/>
        <v>112656</v>
      </c>
      <c r="E23" s="18">
        <f t="shared" si="1"/>
        <v>833773.74491735036</v>
      </c>
      <c r="F23" s="22">
        <f t="shared" si="2"/>
        <v>7.4010593747101829</v>
      </c>
    </row>
    <row r="24" spans="1:6" x14ac:dyDescent="0.2">
      <c r="A24" s="20">
        <v>20</v>
      </c>
      <c r="B24" s="184" t="s">
        <v>18</v>
      </c>
      <c r="C24" s="185"/>
      <c r="D24" s="15">
        <f t="shared" si="0"/>
        <v>14464</v>
      </c>
      <c r="E24" s="18">
        <f t="shared" si="1"/>
        <v>271915.00502844551</v>
      </c>
      <c r="F24" s="22">
        <f t="shared" si="2"/>
        <v>18.799433422873722</v>
      </c>
    </row>
    <row r="25" spans="1:6" ht="14.25" customHeight="1" x14ac:dyDescent="0.2">
      <c r="A25" s="20">
        <v>21</v>
      </c>
      <c r="B25" s="184" t="s">
        <v>466</v>
      </c>
      <c r="C25" s="185"/>
      <c r="D25" s="15">
        <f t="shared" si="0"/>
        <v>1440</v>
      </c>
      <c r="E25" s="18">
        <f t="shared" si="1"/>
        <v>40726.243863451433</v>
      </c>
      <c r="F25" s="22">
        <f t="shared" si="2"/>
        <v>28.282113794063495</v>
      </c>
    </row>
    <row r="26" spans="1:6" x14ac:dyDescent="0.2">
      <c r="A26" s="20">
        <v>22</v>
      </c>
      <c r="B26" s="184" t="s">
        <v>19</v>
      </c>
      <c r="C26" s="185"/>
      <c r="D26" s="15">
        <f t="shared" si="0"/>
        <v>704</v>
      </c>
      <c r="E26" s="18">
        <f t="shared" si="1"/>
        <v>2283.2303332429224</v>
      </c>
      <c r="F26" s="22">
        <f t="shared" si="2"/>
        <v>3.2432249051746056</v>
      </c>
    </row>
    <row r="27" spans="1:6" x14ac:dyDescent="0.2">
      <c r="A27" s="20">
        <v>23</v>
      </c>
      <c r="B27" s="184" t="s">
        <v>20</v>
      </c>
      <c r="C27" s="185"/>
      <c r="D27" s="15">
        <f t="shared" si="0"/>
        <v>42624</v>
      </c>
      <c r="E27" s="18">
        <f t="shared" si="1"/>
        <v>278233.21835816238</v>
      </c>
      <c r="F27" s="22">
        <f t="shared" si="2"/>
        <v>6.5276186739433744</v>
      </c>
    </row>
    <row r="28" spans="1:6" x14ac:dyDescent="0.2">
      <c r="A28" s="20">
        <v>24</v>
      </c>
      <c r="B28" s="184" t="s">
        <v>21</v>
      </c>
      <c r="C28" s="185"/>
      <c r="D28" s="15">
        <f t="shared" si="0"/>
        <v>42731</v>
      </c>
      <c r="E28" s="18">
        <f t="shared" si="1"/>
        <v>381231.24342301604</v>
      </c>
      <c r="F28" s="22">
        <f t="shared" si="2"/>
        <v>8.9216550846695846</v>
      </c>
    </row>
    <row r="29" spans="1:6" x14ac:dyDescent="0.2">
      <c r="A29" s="20">
        <v>25</v>
      </c>
      <c r="B29" s="184" t="s">
        <v>22</v>
      </c>
      <c r="C29" s="185"/>
      <c r="D29" s="15">
        <f t="shared" si="0"/>
        <v>192416</v>
      </c>
      <c r="E29" s="18">
        <f t="shared" si="1"/>
        <v>1196489.3633540769</v>
      </c>
      <c r="F29" s="22">
        <f t="shared" si="2"/>
        <v>6.2182425752228339</v>
      </c>
    </row>
    <row r="30" spans="1:6" x14ac:dyDescent="0.2">
      <c r="A30" s="20">
        <v>26</v>
      </c>
      <c r="B30" s="184" t="s">
        <v>23</v>
      </c>
      <c r="C30" s="185"/>
      <c r="D30" s="15">
        <f t="shared" si="0"/>
        <v>41480</v>
      </c>
      <c r="E30" s="18">
        <f t="shared" si="1"/>
        <v>436065.96906664263</v>
      </c>
      <c r="F30" s="22">
        <f t="shared" si="2"/>
        <v>10.51268006428743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1176109</v>
      </c>
      <c r="E33" s="32">
        <f>SUM(E5:E32)</f>
        <v>9366376</v>
      </c>
      <c r="F33" s="33">
        <f t="shared" si="2"/>
        <v>7.9638672946129994</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IF(F3="1",SUMIF(Data!A:A,'31'!$A$2,Data!CU:CU),0)</f>
        <v>11904</v>
      </c>
      <c r="E36" s="16">
        <f>IF(F3="1",SUMIF(Data!$A:$A,'31'!$A$2,Data!IO:IO),0)</f>
        <v>85716</v>
      </c>
      <c r="F36" s="21">
        <f t="shared" ref="F36:F64" si="3">IFERROR(E36/D36,"")</f>
        <v>7.200604838709677</v>
      </c>
    </row>
    <row r="37" spans="1:6" x14ac:dyDescent="0.2">
      <c r="A37" s="20">
        <v>2</v>
      </c>
      <c r="B37" s="184" t="s">
        <v>1</v>
      </c>
      <c r="C37" s="185"/>
      <c r="D37" s="15">
        <f>IF(F3="1",SUMIF(Data!A:A,'31'!$A$2,Data!CV:CV),0)</f>
        <v>31264</v>
      </c>
      <c r="E37" s="18">
        <f>IF(F3="1",SUMIF(Data!$A:$A,'31'!$A$2,Data!IP:IP),0)</f>
        <v>22154</v>
      </c>
      <c r="F37" s="22">
        <f t="shared" si="3"/>
        <v>0.70861054247697031</v>
      </c>
    </row>
    <row r="38" spans="1:6" ht="14.25" customHeight="1" x14ac:dyDescent="0.2">
      <c r="A38" s="20">
        <v>3</v>
      </c>
      <c r="B38" s="184" t="s">
        <v>2</v>
      </c>
      <c r="C38" s="185"/>
      <c r="D38" s="15">
        <f>IF(F3="1",SUMIF(Data!A:A,'31'!$A$2,Data!CW:CW),0)</f>
        <v>151744</v>
      </c>
      <c r="E38" s="18">
        <f>IF(F3="1",SUMIF(Data!$A:$A,'31'!$A$2,Data!IQ:IQ),0)</f>
        <v>79022</v>
      </c>
      <c r="F38" s="22">
        <f t="shared" si="3"/>
        <v>0.52075864614086886</v>
      </c>
    </row>
    <row r="39" spans="1:6" ht="14.25" customHeight="1" x14ac:dyDescent="0.2">
      <c r="A39" s="20">
        <v>4</v>
      </c>
      <c r="B39" s="184" t="s">
        <v>3</v>
      </c>
      <c r="C39" s="185"/>
      <c r="D39" s="15">
        <f>IF(F3="1",SUMIF(Data!A:A,'31'!$A$2,Data!CX:CX),0)</f>
        <v>78420</v>
      </c>
      <c r="E39" s="18">
        <f>IF(F3="1",SUMIF(Data!$A:$A,'31'!$A$2,Data!IR:IR),0)</f>
        <v>25282</v>
      </c>
      <c r="F39" s="22">
        <f t="shared" si="3"/>
        <v>0.32239224687579698</v>
      </c>
    </row>
    <row r="40" spans="1:6" x14ac:dyDescent="0.2">
      <c r="A40" s="20">
        <v>5</v>
      </c>
      <c r="B40" s="184" t="s">
        <v>4</v>
      </c>
      <c r="C40" s="185"/>
      <c r="D40" s="15">
        <f>IF(F3="1",SUMIF(Data!A:A,'31'!$A$2,Data!CY:CY),0)</f>
        <v>0</v>
      </c>
      <c r="E40" s="18">
        <f>IF(F3="1",SUMIF(Data!$A:$A,'31'!$A$2,Data!IS:IS),0)</f>
        <v>0</v>
      </c>
      <c r="F40" s="22" t="str">
        <f t="shared" si="3"/>
        <v/>
      </c>
    </row>
    <row r="41" spans="1:6" x14ac:dyDescent="0.2">
      <c r="A41" s="20">
        <v>6</v>
      </c>
      <c r="B41" s="184" t="s">
        <v>5</v>
      </c>
      <c r="C41" s="185"/>
      <c r="D41" s="15">
        <f>IF(F3="1",SUMIF(Data!A:A,'31'!$A$2,Data!CZ:CZ),0)</f>
        <v>5704</v>
      </c>
      <c r="E41" s="18">
        <f>IF(F3="1",SUMIF(Data!$A:$A,'31'!$A$2,Data!IT:IT),0)</f>
        <v>26329</v>
      </c>
      <c r="F41" s="22">
        <f t="shared" si="3"/>
        <v>4.6158835904628335</v>
      </c>
    </row>
    <row r="42" spans="1:6" x14ac:dyDescent="0.2">
      <c r="A42" s="20">
        <v>7</v>
      </c>
      <c r="B42" s="184" t="s">
        <v>6</v>
      </c>
      <c r="C42" s="185"/>
      <c r="D42" s="15">
        <f>IF(F3="1",SUMIF(Data!A:A,'31'!$A$2,Data!DA:DA),0)</f>
        <v>13808</v>
      </c>
      <c r="E42" s="18">
        <f>IF(F3="1",SUMIF(Data!$A:$A,'31'!$A$2,Data!IU:IU),0)</f>
        <v>12758</v>
      </c>
      <c r="F42" s="22">
        <f t="shared" si="3"/>
        <v>0.92395712630359217</v>
      </c>
    </row>
    <row r="43" spans="1:6" x14ac:dyDescent="0.2">
      <c r="A43" s="20">
        <v>8</v>
      </c>
      <c r="B43" s="184" t="s">
        <v>7</v>
      </c>
      <c r="C43" s="185"/>
      <c r="D43" s="15">
        <f>IF(F3="1",SUMIF(Data!A:A,'31'!$A$2,Data!DB:DB),0)</f>
        <v>5260</v>
      </c>
      <c r="E43" s="18">
        <f>IF(F3="1",SUMIF(Data!$A:$A,'31'!$A$2,Data!IV:IV),0)</f>
        <v>3540</v>
      </c>
      <c r="F43" s="22">
        <f t="shared" si="3"/>
        <v>0.6730038022813688</v>
      </c>
    </row>
    <row r="44" spans="1:6" x14ac:dyDescent="0.2">
      <c r="A44" s="20">
        <v>9</v>
      </c>
      <c r="B44" s="184" t="s">
        <v>8</v>
      </c>
      <c r="C44" s="185"/>
      <c r="D44" s="15">
        <f>IF(F3="1",SUMIF(Data!A:A,'31'!$A$2,Data!DC:DC),0)</f>
        <v>49810</v>
      </c>
      <c r="E44" s="18">
        <f>IF(F3="1",SUMIF(Data!$A:$A,'31'!$A$2,Data!IW:IW),0)</f>
        <v>31171</v>
      </c>
      <c r="F44" s="22">
        <f t="shared" si="3"/>
        <v>0.62579803252358968</v>
      </c>
    </row>
    <row r="45" spans="1:6" x14ac:dyDescent="0.2">
      <c r="A45" s="20">
        <v>10</v>
      </c>
      <c r="B45" s="184" t="s">
        <v>9</v>
      </c>
      <c r="C45" s="185"/>
      <c r="D45" s="15">
        <f>IF(F3="1",SUMIF(Data!A:A,'31'!$A$2,Data!DD:DD),0)</f>
        <v>0</v>
      </c>
      <c r="E45" s="18">
        <f>IF(F3="1",SUMIF(Data!$A:$A,'31'!$A$2,Data!IX:IX),0)</f>
        <v>0</v>
      </c>
      <c r="F45" s="22" t="str">
        <f t="shared" si="3"/>
        <v/>
      </c>
    </row>
    <row r="46" spans="1:6" x14ac:dyDescent="0.2">
      <c r="A46" s="20">
        <v>11</v>
      </c>
      <c r="B46" s="184" t="s">
        <v>10</v>
      </c>
      <c r="C46" s="185"/>
      <c r="D46" s="15">
        <f>IF(F3="1",SUMIF(Data!A:A,'31'!$A$2,Data!DE:DE),0)</f>
        <v>6480</v>
      </c>
      <c r="E46" s="18">
        <f>IF(F3="1",SUMIF(Data!$A:$A,'31'!$A$2,Data!IY:IY),0)</f>
        <v>0</v>
      </c>
      <c r="F46" s="22">
        <f t="shared" si="3"/>
        <v>0</v>
      </c>
    </row>
    <row r="47" spans="1:6" ht="14.25" customHeight="1" x14ac:dyDescent="0.2">
      <c r="A47" s="20">
        <v>12</v>
      </c>
      <c r="B47" s="184" t="s">
        <v>11</v>
      </c>
      <c r="C47" s="185"/>
      <c r="D47" s="15">
        <f>IF(F3="1",SUMIF(Data!A:A,'31'!$A$2,Data!DF:DF),0)</f>
        <v>191776</v>
      </c>
      <c r="E47" s="18">
        <f>IF(F3="1",SUMIF(Data!$A:$A,'31'!$A$2,Data!IZ:IZ),0)</f>
        <v>78311</v>
      </c>
      <c r="F47" s="22">
        <f t="shared" si="3"/>
        <v>0.40834619556148838</v>
      </c>
    </row>
    <row r="48" spans="1:6" x14ac:dyDescent="0.2">
      <c r="A48" s="20">
        <v>13</v>
      </c>
      <c r="B48" s="184" t="s">
        <v>12</v>
      </c>
      <c r="C48" s="185"/>
      <c r="D48" s="15">
        <f>IF(F3="1",SUMIF(Data!A:A,'31'!$A$2,Data!DG:DG),0)</f>
        <v>7152</v>
      </c>
      <c r="E48" s="18">
        <f>IF(F3="1",SUMIF(Data!$A:$A,'31'!$A$2,Data!JA:JA),0)</f>
        <v>5162</v>
      </c>
      <c r="F48" s="22">
        <f t="shared" si="3"/>
        <v>0.72175615212527966</v>
      </c>
    </row>
    <row r="49" spans="1:6" ht="14.25" customHeight="1" x14ac:dyDescent="0.2">
      <c r="A49" s="20">
        <v>14</v>
      </c>
      <c r="B49" s="184" t="s">
        <v>469</v>
      </c>
      <c r="C49" s="185"/>
      <c r="D49" s="15">
        <f>IF(F3="1",SUMIF(Data!A:A,'31'!$A$2,Data!DH:DH),0)</f>
        <v>45650</v>
      </c>
      <c r="E49" s="18">
        <f>IF(F3="1",SUMIF(Data!$A:$A,'31'!$A$2,Data!JB:JB),0)</f>
        <v>41426</v>
      </c>
      <c r="F49" s="22">
        <f t="shared" si="3"/>
        <v>0.90746987951807234</v>
      </c>
    </row>
    <row r="50" spans="1:6" x14ac:dyDescent="0.2">
      <c r="A50" s="20">
        <v>15</v>
      </c>
      <c r="B50" s="184" t="s">
        <v>13</v>
      </c>
      <c r="C50" s="185"/>
      <c r="D50" s="15">
        <f>IF(F3="1",SUMIF(Data!A:A,'31'!$A$2,Data!DI:DI),0)</f>
        <v>21152</v>
      </c>
      <c r="E50" s="18">
        <f>IF(F3="1",SUMIF(Data!$A:$A,'31'!$A$2,Data!JC:JC),0)</f>
        <v>60172</v>
      </c>
      <c r="F50" s="22">
        <f t="shared" si="3"/>
        <v>2.8447428139183057</v>
      </c>
    </row>
    <row r="51" spans="1:6" x14ac:dyDescent="0.2">
      <c r="A51" s="20">
        <v>16</v>
      </c>
      <c r="B51" s="184" t="s">
        <v>14</v>
      </c>
      <c r="C51" s="185"/>
      <c r="D51" s="15">
        <f>IF(F3="1",SUMIF(Data!A:A,'31'!$A$2,Data!DJ:DJ),0)</f>
        <v>80334</v>
      </c>
      <c r="E51" s="18">
        <f>IF(F3="1",SUMIF(Data!$A:$A,'31'!$A$2,Data!JD:JD),0)</f>
        <v>94707</v>
      </c>
      <c r="F51" s="22">
        <f t="shared" si="3"/>
        <v>1.1789155276719696</v>
      </c>
    </row>
    <row r="52" spans="1:6" x14ac:dyDescent="0.2">
      <c r="A52" s="20">
        <v>17</v>
      </c>
      <c r="B52" s="184" t="s">
        <v>15</v>
      </c>
      <c r="C52" s="185"/>
      <c r="D52" s="15">
        <f>IF(F3="1",SUMIF(Data!A:A,'31'!$A$2,Data!DK:DK),0)</f>
        <v>0</v>
      </c>
      <c r="E52" s="18">
        <f>IF(F3="1",SUMIF(Data!$A:$A,'31'!$A$2,Data!JE:JE),0)</f>
        <v>0</v>
      </c>
      <c r="F52" s="22" t="str">
        <f t="shared" si="3"/>
        <v/>
      </c>
    </row>
    <row r="53" spans="1:6" x14ac:dyDescent="0.2">
      <c r="A53" s="20">
        <v>18</v>
      </c>
      <c r="B53" s="184" t="s">
        <v>16</v>
      </c>
      <c r="C53" s="185"/>
      <c r="D53" s="15">
        <f>IF(F3="1",SUMIF(Data!A:A,'31'!$A$2,Data!DL:DL),0)</f>
        <v>27136</v>
      </c>
      <c r="E53" s="18">
        <f>IF(F3="1",SUMIF(Data!$A:$A,'31'!$A$2,Data!JF:JF),0)</f>
        <v>18588</v>
      </c>
      <c r="F53" s="22">
        <f t="shared" si="3"/>
        <v>0.68499410377358494</v>
      </c>
    </row>
    <row r="54" spans="1:6" x14ac:dyDescent="0.2">
      <c r="A54" s="20">
        <v>19</v>
      </c>
      <c r="B54" s="184" t="s">
        <v>17</v>
      </c>
      <c r="C54" s="185"/>
      <c r="D54" s="15">
        <f>IF(F3="1",SUMIF(Data!A:A,'31'!$A$2,Data!DM:DM),0)</f>
        <v>112656</v>
      </c>
      <c r="E54" s="18">
        <f>IF(F3="1",SUMIF(Data!$A:$A,'31'!$A$2,Data!JG:JG),0)</f>
        <v>53738</v>
      </c>
      <c r="F54" s="22">
        <f t="shared" si="3"/>
        <v>0.477009657719074</v>
      </c>
    </row>
    <row r="55" spans="1:6" x14ac:dyDescent="0.2">
      <c r="A55" s="20">
        <v>20</v>
      </c>
      <c r="B55" s="184" t="s">
        <v>18</v>
      </c>
      <c r="C55" s="185"/>
      <c r="D55" s="15">
        <f>IF(F3="1",SUMIF(Data!A:A,'31'!$A$2,Data!DN:DN),0)</f>
        <v>14464</v>
      </c>
      <c r="E55" s="18">
        <f>IF(F3="1",SUMIF(Data!$A:$A,'31'!$A$2,Data!JH:JH),0)</f>
        <v>30722</v>
      </c>
      <c r="F55" s="22">
        <f t="shared" si="3"/>
        <v>2.1240320796460175</v>
      </c>
    </row>
    <row r="56" spans="1:6" ht="14.25" customHeight="1" x14ac:dyDescent="0.2">
      <c r="A56" s="20">
        <v>21</v>
      </c>
      <c r="B56" s="184" t="s">
        <v>466</v>
      </c>
      <c r="C56" s="185"/>
      <c r="D56" s="15">
        <f>IF(F3="1",SUMIF(Data!A:A,'31'!$A$2,Data!DO:DO),0)</f>
        <v>1440</v>
      </c>
      <c r="E56" s="18">
        <f>IF(F3="1",SUMIF(Data!$A:$A,'31'!$A$2,Data!JI:JI),0)</f>
        <v>23194</v>
      </c>
      <c r="F56" s="22">
        <f t="shared" si="3"/>
        <v>16.106944444444444</v>
      </c>
    </row>
    <row r="57" spans="1:6" x14ac:dyDescent="0.2">
      <c r="A57" s="20">
        <v>22</v>
      </c>
      <c r="B57" s="184" t="s">
        <v>19</v>
      </c>
      <c r="C57" s="185"/>
      <c r="D57" s="15">
        <f>IF(F3="1",SUMIF(Data!A:A,'31'!$A$2,Data!DP:DP),0)</f>
        <v>704</v>
      </c>
      <c r="E57" s="18">
        <f>IF(F3="1",SUMIF(Data!$A:$A,'31'!$A$2,Data!JJ:JJ),0)</f>
        <v>0</v>
      </c>
      <c r="F57" s="22">
        <f t="shared" si="3"/>
        <v>0</v>
      </c>
    </row>
    <row r="58" spans="1:6" x14ac:dyDescent="0.2">
      <c r="A58" s="20">
        <v>23</v>
      </c>
      <c r="B58" s="184" t="s">
        <v>20</v>
      </c>
      <c r="C58" s="185"/>
      <c r="D58" s="15">
        <f>IF(F3="1",SUMIF(Data!A:A,'31'!$A$2,Data!DQ:DQ),0)</f>
        <v>42624</v>
      </c>
      <c r="E58" s="18">
        <f>IF(F3="1",SUMIF(Data!$A:$A,'31'!$A$2,Data!JK:JK),0)</f>
        <v>8403</v>
      </c>
      <c r="F58" s="22">
        <f t="shared" si="3"/>
        <v>0.19714245495495494</v>
      </c>
    </row>
    <row r="59" spans="1:6" x14ac:dyDescent="0.2">
      <c r="A59" s="20">
        <v>24</v>
      </c>
      <c r="B59" s="184" t="s">
        <v>21</v>
      </c>
      <c r="C59" s="185"/>
      <c r="D59" s="15">
        <f>IF(F3="1",SUMIF(Data!A:A,'31'!$A$2,Data!DR:DR),0)</f>
        <v>42731</v>
      </c>
      <c r="E59" s="18">
        <f>IF(F3="1",SUMIF(Data!$A:$A,'31'!$A$2,Data!JL:JL),0)</f>
        <v>25300</v>
      </c>
      <c r="F59" s="22">
        <f t="shared" si="3"/>
        <v>0.592076010390583</v>
      </c>
    </row>
    <row r="60" spans="1:6" x14ac:dyDescent="0.2">
      <c r="A60" s="20">
        <v>25</v>
      </c>
      <c r="B60" s="184" t="s">
        <v>22</v>
      </c>
      <c r="C60" s="185"/>
      <c r="D60" s="15">
        <f>IF(F3="1",SUMIF(Data!A:A,'31'!$A$2,Data!DS:DS),0)</f>
        <v>192416</v>
      </c>
      <c r="E60" s="18">
        <f>IF(F3="1",SUMIF(Data!$A:$A,'31'!$A$2,Data!JM:JM),0)</f>
        <v>41528</v>
      </c>
      <c r="F60" s="22">
        <f t="shared" si="3"/>
        <v>0.21582404789622484</v>
      </c>
    </row>
    <row r="61" spans="1:6" x14ac:dyDescent="0.2">
      <c r="A61" s="20">
        <v>26</v>
      </c>
      <c r="B61" s="184" t="s">
        <v>23</v>
      </c>
      <c r="C61" s="185"/>
      <c r="D61" s="15">
        <f>IF(F3="1",SUMIF(Data!A:A,'31'!$A$2,Data!DT:DT),0)</f>
        <v>41480</v>
      </c>
      <c r="E61" s="18">
        <f>IF(F3="1",SUMIF(Data!$A:$A,'31'!$A$2,Data!JN:JN),0)</f>
        <v>28321</v>
      </c>
      <c r="F61" s="22">
        <f t="shared" si="3"/>
        <v>0.68276277724204437</v>
      </c>
    </row>
    <row r="62" spans="1:6" x14ac:dyDescent="0.2">
      <c r="A62" s="20">
        <v>28</v>
      </c>
      <c r="B62" s="184" t="s">
        <v>24</v>
      </c>
      <c r="C62" s="185"/>
      <c r="D62" s="15">
        <f>IF(F3="1",SUMIF(Data!A:A,'31'!$A$2,Data!DV:DV),0)</f>
        <v>0</v>
      </c>
      <c r="E62" s="18">
        <f>IF(F3="1",SUMIF(Data!$A:$A,'31'!$A$2,Data!JP:JP),0)</f>
        <v>0</v>
      </c>
      <c r="F62" s="22" t="str">
        <f t="shared" si="3"/>
        <v/>
      </c>
    </row>
    <row r="63" spans="1:6" ht="15.75" customHeight="1" thickBot="1" x14ac:dyDescent="0.25">
      <c r="A63" s="23">
        <v>29</v>
      </c>
      <c r="B63" s="186" t="s">
        <v>25</v>
      </c>
      <c r="C63" s="187"/>
      <c r="D63" s="24">
        <f>IF(F3="1",SUMIF(Data!A:A,'31'!$A$2,Data!DW:DW),0)</f>
        <v>0</v>
      </c>
      <c r="E63" s="25">
        <f>IF(F3="1",SUMIF(Data!$A:$A,'31'!$A$2,Data!JQ:JQ),0)</f>
        <v>0</v>
      </c>
      <c r="F63" s="26" t="str">
        <f t="shared" si="3"/>
        <v/>
      </c>
    </row>
    <row r="64" spans="1:6" x14ac:dyDescent="0.2">
      <c r="B64" s="31" t="s">
        <v>35</v>
      </c>
      <c r="C64" s="31"/>
      <c r="D64" s="61">
        <f>SUM(D36:D63)</f>
        <v>1176109</v>
      </c>
      <c r="E64" s="32">
        <f>SUM(E36:E63)</f>
        <v>795544</v>
      </c>
      <c r="F64" s="33">
        <f t="shared" si="3"/>
        <v>0.67642029777852219</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11904</v>
      </c>
      <c r="E67" s="16">
        <f>IF(F3="1",SUMIF(Data!A:A,'31'!$A$2,Data!DY:DY),0)</f>
        <v>118350</v>
      </c>
      <c r="F67" s="21">
        <f>IFERROR(E67/D67,"")</f>
        <v>9.9420362903225801</v>
      </c>
    </row>
    <row r="68" spans="1:6" x14ac:dyDescent="0.2">
      <c r="A68" s="20">
        <v>2</v>
      </c>
      <c r="B68" s="184" t="s">
        <v>1</v>
      </c>
      <c r="C68" s="185"/>
      <c r="D68" s="15">
        <f t="shared" ref="D68:D94" si="4">D37</f>
        <v>31264</v>
      </c>
      <c r="E68" s="18">
        <f>IF(F3="1",SUMIF(Data!A:A,'31'!$A$2,Data!DZ:DZ),0)</f>
        <v>70716</v>
      </c>
      <c r="F68" s="22">
        <f t="shared" ref="F68:F95" si="5">IFERROR(E68/D68,"")</f>
        <v>2.2618986693961105</v>
      </c>
    </row>
    <row r="69" spans="1:6" ht="14.25" customHeight="1" x14ac:dyDescent="0.2">
      <c r="A69" s="20">
        <v>3</v>
      </c>
      <c r="B69" s="184" t="s">
        <v>2</v>
      </c>
      <c r="C69" s="185"/>
      <c r="D69" s="15">
        <f t="shared" si="4"/>
        <v>151744</v>
      </c>
      <c r="E69" s="18">
        <f>IF(F3="1",SUMIF(Data!A:A,'31'!$A$2,Data!EA:EA),0)</f>
        <v>579711</v>
      </c>
      <c r="F69" s="22">
        <f t="shared" si="5"/>
        <v>3.8203223850695909</v>
      </c>
    </row>
    <row r="70" spans="1:6" ht="14.25" customHeight="1" x14ac:dyDescent="0.2">
      <c r="A70" s="20">
        <v>4</v>
      </c>
      <c r="B70" s="184" t="s">
        <v>3</v>
      </c>
      <c r="C70" s="185"/>
      <c r="D70" s="15">
        <f t="shared" si="4"/>
        <v>78420</v>
      </c>
      <c r="E70" s="18">
        <f>IF(F3="1",SUMIF(Data!A:A,'31'!$A$2,Data!EB:EB),0)</f>
        <v>256007</v>
      </c>
      <c r="F70" s="22">
        <f t="shared" si="5"/>
        <v>3.264562611578679</v>
      </c>
    </row>
    <row r="71" spans="1:6" x14ac:dyDescent="0.2">
      <c r="A71" s="20">
        <v>5</v>
      </c>
      <c r="B71" s="184" t="s">
        <v>4</v>
      </c>
      <c r="C71" s="185"/>
      <c r="D71" s="15">
        <f t="shared" si="4"/>
        <v>0</v>
      </c>
      <c r="E71" s="18">
        <f>IF(F3="1",SUMIF(Data!A:A,'31'!$A$2,Data!EC:EC),0)</f>
        <v>0</v>
      </c>
      <c r="F71" s="22" t="str">
        <f t="shared" si="5"/>
        <v/>
      </c>
    </row>
    <row r="72" spans="1:6" x14ac:dyDescent="0.2">
      <c r="A72" s="20">
        <v>6</v>
      </c>
      <c r="B72" s="184" t="s">
        <v>5</v>
      </c>
      <c r="C72" s="185"/>
      <c r="D72" s="15">
        <f t="shared" si="4"/>
        <v>5704</v>
      </c>
      <c r="E72" s="18">
        <f>IF(F3="1",SUMIF(Data!A:A,'31'!$A$2,Data!ED:ED),0)</f>
        <v>0</v>
      </c>
      <c r="F72" s="22">
        <f t="shared" si="5"/>
        <v>0</v>
      </c>
    </row>
    <row r="73" spans="1:6" x14ac:dyDescent="0.2">
      <c r="A73" s="20">
        <v>7</v>
      </c>
      <c r="B73" s="184" t="s">
        <v>6</v>
      </c>
      <c r="C73" s="185"/>
      <c r="D73" s="15">
        <f t="shared" si="4"/>
        <v>13808</v>
      </c>
      <c r="E73" s="18">
        <f>IF(F3="1",SUMIF(Data!A:A,'31'!$A$2,Data!EE:EE),0)</f>
        <v>173566</v>
      </c>
      <c r="F73" s="22">
        <f t="shared" si="5"/>
        <v>12.569959443800695</v>
      </c>
    </row>
    <row r="74" spans="1:6" x14ac:dyDescent="0.2">
      <c r="A74" s="20">
        <v>8</v>
      </c>
      <c r="B74" s="184" t="s">
        <v>7</v>
      </c>
      <c r="C74" s="185"/>
      <c r="D74" s="15">
        <f t="shared" si="4"/>
        <v>5260</v>
      </c>
      <c r="E74" s="18">
        <f>IF(F3="1",SUMIF(Data!A:A,'31'!$A$2,Data!EF:EF),0)</f>
        <v>0</v>
      </c>
      <c r="F74" s="22">
        <f t="shared" si="5"/>
        <v>0</v>
      </c>
    </row>
    <row r="75" spans="1:6" x14ac:dyDescent="0.2">
      <c r="A75" s="20">
        <v>9</v>
      </c>
      <c r="B75" s="184" t="s">
        <v>8</v>
      </c>
      <c r="C75" s="185"/>
      <c r="D75" s="15">
        <f t="shared" si="4"/>
        <v>49810</v>
      </c>
      <c r="E75" s="18">
        <f>IF(F3="1",SUMIF(Data!A:A,'31'!$A$2,Data!EG:EG),0)</f>
        <v>111833</v>
      </c>
      <c r="F75" s="22">
        <f t="shared" si="5"/>
        <v>2.2451917285685608</v>
      </c>
    </row>
    <row r="76" spans="1:6" x14ac:dyDescent="0.2">
      <c r="A76" s="20">
        <v>10</v>
      </c>
      <c r="B76" s="184" t="s">
        <v>9</v>
      </c>
      <c r="C76" s="185"/>
      <c r="D76" s="15">
        <f t="shared" si="4"/>
        <v>0</v>
      </c>
      <c r="E76" s="18">
        <f>IF(F3="1",SUMIF(Data!A:A,'31'!$A$2,Data!EH:EH),0)</f>
        <v>0</v>
      </c>
      <c r="F76" s="22" t="str">
        <f t="shared" si="5"/>
        <v/>
      </c>
    </row>
    <row r="77" spans="1:6" x14ac:dyDescent="0.2">
      <c r="A77" s="20">
        <v>11</v>
      </c>
      <c r="B77" s="184" t="s">
        <v>10</v>
      </c>
      <c r="C77" s="185"/>
      <c r="D77" s="15">
        <f t="shared" si="4"/>
        <v>6480</v>
      </c>
      <c r="E77" s="18">
        <f>IF(F3="1",SUMIF(Data!A:A,'31'!$A$2,Data!EI:EI),0)</f>
        <v>0</v>
      </c>
      <c r="F77" s="22">
        <f t="shared" si="5"/>
        <v>0</v>
      </c>
    </row>
    <row r="78" spans="1:6" ht="14.25" customHeight="1" x14ac:dyDescent="0.2">
      <c r="A78" s="20">
        <v>12</v>
      </c>
      <c r="B78" s="184" t="s">
        <v>11</v>
      </c>
      <c r="C78" s="185"/>
      <c r="D78" s="15">
        <f t="shared" si="4"/>
        <v>191776</v>
      </c>
      <c r="E78" s="18">
        <f>IF(F3="1",SUMIF(Data!A:A,'31'!$A$2,Data!EJ:EJ),0)</f>
        <v>469132</v>
      </c>
      <c r="F78" s="22">
        <f t="shared" si="5"/>
        <v>2.4462497914233272</v>
      </c>
    </row>
    <row r="79" spans="1:6" x14ac:dyDescent="0.2">
      <c r="A79" s="20">
        <v>13</v>
      </c>
      <c r="B79" s="184" t="s">
        <v>12</v>
      </c>
      <c r="C79" s="185"/>
      <c r="D79" s="15">
        <f t="shared" si="4"/>
        <v>7152</v>
      </c>
      <c r="E79" s="18">
        <f>IF(F3="1",SUMIF(Data!A:A,'31'!$A$2,Data!EK:EK),0)</f>
        <v>63853</v>
      </c>
      <c r="F79" s="22">
        <f t="shared" si="5"/>
        <v>8.927992170022371</v>
      </c>
    </row>
    <row r="80" spans="1:6" ht="14.25" customHeight="1" x14ac:dyDescent="0.2">
      <c r="A80" s="20">
        <v>14</v>
      </c>
      <c r="B80" s="184" t="s">
        <v>469</v>
      </c>
      <c r="C80" s="185"/>
      <c r="D80" s="15">
        <f t="shared" si="4"/>
        <v>45650</v>
      </c>
      <c r="E80" s="18">
        <f>IF(F3="1",SUMIF(Data!A:A,'31'!$A$2,Data!EL:EL),0)</f>
        <v>378459</v>
      </c>
      <c r="F80" s="22">
        <f t="shared" si="5"/>
        <v>8.2904490690032855</v>
      </c>
    </row>
    <row r="81" spans="1:6" x14ac:dyDescent="0.2">
      <c r="A81" s="20">
        <v>15</v>
      </c>
      <c r="B81" s="184" t="s">
        <v>13</v>
      </c>
      <c r="C81" s="185"/>
      <c r="D81" s="15">
        <f t="shared" si="4"/>
        <v>21152</v>
      </c>
      <c r="E81" s="18">
        <f>IF(F3="1",SUMIF(Data!A:A,'31'!$A$2,Data!EM:EM),0)</f>
        <v>213434</v>
      </c>
      <c r="F81" s="22">
        <f t="shared" si="5"/>
        <v>10.090487897125568</v>
      </c>
    </row>
    <row r="82" spans="1:6" x14ac:dyDescent="0.2">
      <c r="A82" s="20">
        <v>16</v>
      </c>
      <c r="B82" s="184" t="s">
        <v>14</v>
      </c>
      <c r="C82" s="185"/>
      <c r="D82" s="15">
        <f t="shared" si="4"/>
        <v>80334</v>
      </c>
      <c r="E82" s="18">
        <f>IF(F3="1",SUMIF(Data!A:A,'31'!$A$2,Data!EN:EN),0)</f>
        <v>379215</v>
      </c>
      <c r="F82" s="22">
        <f t="shared" si="5"/>
        <v>4.7204794980954512</v>
      </c>
    </row>
    <row r="83" spans="1:6" x14ac:dyDescent="0.2">
      <c r="A83" s="20">
        <v>17</v>
      </c>
      <c r="B83" s="184" t="s">
        <v>15</v>
      </c>
      <c r="C83" s="185"/>
      <c r="D83" s="15">
        <f t="shared" si="4"/>
        <v>0</v>
      </c>
      <c r="E83" s="18">
        <f>IF(F3="1",SUMIF(Data!A:A,'31'!$A$2,Data!EO:EO),0)</f>
        <v>0</v>
      </c>
      <c r="F83" s="22" t="str">
        <f t="shared" si="5"/>
        <v/>
      </c>
    </row>
    <row r="84" spans="1:6" x14ac:dyDescent="0.2">
      <c r="A84" s="20">
        <v>18</v>
      </c>
      <c r="B84" s="184" t="s">
        <v>16</v>
      </c>
      <c r="C84" s="185"/>
      <c r="D84" s="15">
        <f t="shared" si="4"/>
        <v>27136</v>
      </c>
      <c r="E84" s="18">
        <f>IF(F3="1",SUMIF(Data!A:A,'31'!$A$2,Data!EP:EP),0)</f>
        <v>167293</v>
      </c>
      <c r="F84" s="22">
        <f t="shared" si="5"/>
        <v>6.1649837853773581</v>
      </c>
    </row>
    <row r="85" spans="1:6" x14ac:dyDescent="0.2">
      <c r="A85" s="20">
        <v>19</v>
      </c>
      <c r="B85" s="184" t="s">
        <v>17</v>
      </c>
      <c r="C85" s="185"/>
      <c r="D85" s="15">
        <f t="shared" si="4"/>
        <v>112656</v>
      </c>
      <c r="E85" s="18">
        <f>IF(F3="1",SUMIF(Data!A:A,'31'!$A$2,Data!EQ:EQ),0)</f>
        <v>414667</v>
      </c>
      <c r="F85" s="22">
        <f t="shared" si="5"/>
        <v>3.6808248118165032</v>
      </c>
    </row>
    <row r="86" spans="1:6" x14ac:dyDescent="0.2">
      <c r="A86" s="20">
        <v>20</v>
      </c>
      <c r="B86" s="184" t="s">
        <v>18</v>
      </c>
      <c r="C86" s="185"/>
      <c r="D86" s="15">
        <f t="shared" si="4"/>
        <v>14464</v>
      </c>
      <c r="E86" s="18">
        <f>IF(F3="1",SUMIF(Data!A:A,'31'!$A$2,Data!ER:ER),0)</f>
        <v>194283</v>
      </c>
      <c r="F86" s="22">
        <f t="shared" si="5"/>
        <v>13.432176438053098</v>
      </c>
    </row>
    <row r="87" spans="1:6" ht="14.25" customHeight="1" x14ac:dyDescent="0.2">
      <c r="A87" s="20">
        <v>21</v>
      </c>
      <c r="B87" s="184" t="s">
        <v>466</v>
      </c>
      <c r="C87" s="185"/>
      <c r="D87" s="15">
        <f t="shared" si="4"/>
        <v>1440</v>
      </c>
      <c r="E87" s="18">
        <f>IF(F3="1",SUMIF(Data!A:A,'31'!$A$2,Data!ES:ES),0)</f>
        <v>12862</v>
      </c>
      <c r="F87" s="22">
        <f t="shared" si="5"/>
        <v>8.9319444444444436</v>
      </c>
    </row>
    <row r="88" spans="1:6" x14ac:dyDescent="0.2">
      <c r="A88" s="20">
        <v>22</v>
      </c>
      <c r="B88" s="184" t="s">
        <v>19</v>
      </c>
      <c r="C88" s="185"/>
      <c r="D88" s="15">
        <f t="shared" si="4"/>
        <v>704</v>
      </c>
      <c r="E88" s="18">
        <f>IF(F3="1",SUMIF(Data!A:A,'31'!$A$2,Data!ET:ET),0)</f>
        <v>0</v>
      </c>
      <c r="F88" s="22">
        <f t="shared" si="5"/>
        <v>0</v>
      </c>
    </row>
    <row r="89" spans="1:6" x14ac:dyDescent="0.2">
      <c r="A89" s="20">
        <v>23</v>
      </c>
      <c r="B89" s="184" t="s">
        <v>20</v>
      </c>
      <c r="C89" s="185"/>
      <c r="D89" s="15">
        <f t="shared" si="4"/>
        <v>42624</v>
      </c>
      <c r="E89" s="18">
        <f>IF(F3="1",SUMIF(Data!A:A,'31'!$A$2,Data!EU:EU),0)</f>
        <v>131591</v>
      </c>
      <c r="F89" s="22">
        <f t="shared" si="5"/>
        <v>3.0872513138138138</v>
      </c>
    </row>
    <row r="90" spans="1:6" x14ac:dyDescent="0.2">
      <c r="A90" s="20">
        <v>24</v>
      </c>
      <c r="B90" s="184" t="s">
        <v>21</v>
      </c>
      <c r="C90" s="185"/>
      <c r="D90" s="15">
        <f t="shared" si="4"/>
        <v>42731</v>
      </c>
      <c r="E90" s="18">
        <f>IF(F3="1",SUMIF(Data!A:A,'31'!$A$2,Data!EV:EV),0)</f>
        <v>217345</v>
      </c>
      <c r="F90" s="22">
        <f t="shared" si="5"/>
        <v>5.0863541691043972</v>
      </c>
    </row>
    <row r="91" spans="1:6" x14ac:dyDescent="0.2">
      <c r="A91" s="20">
        <v>25</v>
      </c>
      <c r="B91" s="184" t="s">
        <v>22</v>
      </c>
      <c r="C91" s="185"/>
      <c r="D91" s="15">
        <f t="shared" si="4"/>
        <v>192416</v>
      </c>
      <c r="E91" s="18">
        <f>IF(F3="1",SUMIF(Data!A:A,'31'!$A$2,Data!EW:EW),0)</f>
        <v>530913</v>
      </c>
      <c r="F91" s="22">
        <f t="shared" si="5"/>
        <v>2.7591936221520039</v>
      </c>
    </row>
    <row r="92" spans="1:6" x14ac:dyDescent="0.2">
      <c r="A92" s="20">
        <v>26</v>
      </c>
      <c r="B92" s="184" t="s">
        <v>23</v>
      </c>
      <c r="C92" s="185"/>
      <c r="D92" s="15">
        <f t="shared" si="4"/>
        <v>41480</v>
      </c>
      <c r="E92" s="18">
        <f>IF(F3="1",SUMIF(Data!A:A,'31'!$A$2,Data!EX:EX),0)</f>
        <v>273216</v>
      </c>
      <c r="F92" s="22">
        <f t="shared" si="5"/>
        <v>6.5866923818707814</v>
      </c>
    </row>
    <row r="93" spans="1:6" x14ac:dyDescent="0.2">
      <c r="A93" s="20">
        <v>28</v>
      </c>
      <c r="B93" s="184" t="s">
        <v>24</v>
      </c>
      <c r="C93" s="185"/>
      <c r="D93" s="15">
        <f t="shared" si="4"/>
        <v>0</v>
      </c>
      <c r="E93" s="18">
        <f>IF(F3="1",SUMIF(Data!A:A,'31'!$A$2,Data!EZ:EZ),0)</f>
        <v>0</v>
      </c>
      <c r="F93" s="22" t="str">
        <f t="shared" si="5"/>
        <v/>
      </c>
    </row>
    <row r="94" spans="1:6" ht="15.75" customHeight="1" thickBot="1" x14ac:dyDescent="0.25">
      <c r="A94" s="23">
        <v>29</v>
      </c>
      <c r="B94" s="186" t="s">
        <v>25</v>
      </c>
      <c r="C94" s="187"/>
      <c r="D94" s="24">
        <f t="shared" si="4"/>
        <v>0</v>
      </c>
      <c r="E94" s="25">
        <f>IF(F3="1",SUMIF(Data!A:A,'31'!$A$2,Data!FA:FA),0)</f>
        <v>0</v>
      </c>
      <c r="F94" s="26" t="str">
        <f t="shared" si="5"/>
        <v/>
      </c>
    </row>
    <row r="95" spans="1:6" x14ac:dyDescent="0.2">
      <c r="B95" s="31" t="s">
        <v>35</v>
      </c>
      <c r="C95" s="31"/>
      <c r="D95" s="61">
        <f>SUM(D67:D94)</f>
        <v>1176109</v>
      </c>
      <c r="E95" s="32">
        <f>SUM(E67:E94)</f>
        <v>4756446</v>
      </c>
      <c r="F95" s="33">
        <f t="shared" si="5"/>
        <v>4.0442220916598712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IF(F3="1",SUMIF(Data!A:A,'31'!$A$2,Data!AH:AH),0)</f>
        <v>2115251</v>
      </c>
      <c r="F98" s="21">
        <f t="shared" ref="F98:F105" si="6">IFERROR(E98/$D$95,0)</f>
        <v>1.7985161239306902</v>
      </c>
    </row>
    <row r="99" spans="2:6" x14ac:dyDescent="0.2">
      <c r="B99" s="190" t="s">
        <v>31</v>
      </c>
      <c r="C99" s="191"/>
      <c r="D99" s="37"/>
      <c r="E99" s="18">
        <f>IF(F3="1",SUMIF(Data!A:A,'31'!$A$2,Data!AI:AI),0)</f>
        <v>722639</v>
      </c>
      <c r="F99" s="22">
        <f t="shared" si="6"/>
        <v>0.61443199567387041</v>
      </c>
    </row>
    <row r="100" spans="2:6" x14ac:dyDescent="0.2">
      <c r="B100" s="190" t="s">
        <v>32</v>
      </c>
      <c r="C100" s="191"/>
      <c r="D100" s="37"/>
      <c r="E100" s="18">
        <f>IF(F3="1",SUMIF(Data!A:A,'31'!$A$2,Data!AJ:AJ),0)</f>
        <v>830127</v>
      </c>
      <c r="F100" s="22">
        <f t="shared" si="6"/>
        <v>0.7058248852784903</v>
      </c>
    </row>
    <row r="101" spans="2:6" x14ac:dyDescent="0.2">
      <c r="B101" s="190" t="s">
        <v>28</v>
      </c>
      <c r="C101" s="191"/>
      <c r="D101" s="37"/>
      <c r="E101" s="18">
        <f>IF(F3="1",SUMIF(Data!A:A,'31'!$A$2,Data!AK:AK),0)</f>
        <v>0</v>
      </c>
      <c r="F101" s="22">
        <f t="shared" si="6"/>
        <v>0</v>
      </c>
    </row>
    <row r="102" spans="2:6" x14ac:dyDescent="0.2">
      <c r="B102" s="190" t="s">
        <v>33</v>
      </c>
      <c r="C102" s="191"/>
      <c r="D102" s="37"/>
      <c r="E102" s="18">
        <f>IF(F3="1",SUMIF(Data!A:A,'31'!$A$2,Data!AL:AL),0)</f>
        <v>0</v>
      </c>
      <c r="F102" s="22">
        <f t="shared" si="6"/>
        <v>0</v>
      </c>
    </row>
    <row r="103" spans="2:6" x14ac:dyDescent="0.2">
      <c r="B103" s="192" t="s">
        <v>34</v>
      </c>
      <c r="C103" s="193"/>
      <c r="D103" s="37"/>
      <c r="E103" s="18">
        <f>IF(F3="1",SUMIF(Data!A:A,'31'!$A$2,Data!AM:AM),0)</f>
        <v>0</v>
      </c>
      <c r="F103" s="22">
        <f t="shared" si="6"/>
        <v>0</v>
      </c>
    </row>
    <row r="104" spans="2:6" ht="15.75" customHeight="1" thickBot="1" x14ac:dyDescent="0.25">
      <c r="B104" s="182" t="s">
        <v>29</v>
      </c>
      <c r="C104" s="183"/>
      <c r="D104" s="38"/>
      <c r="E104" s="25">
        <f>IF(F3="1",SUMIF(Data!A:A,'31'!$A$2,Data!Q:Q),0)</f>
        <v>146369</v>
      </c>
      <c r="F104" s="26">
        <f t="shared" si="6"/>
        <v>0.1244519002915546</v>
      </c>
    </row>
    <row r="105" spans="2:6" x14ac:dyDescent="0.2">
      <c r="B105" s="31" t="s">
        <v>35</v>
      </c>
      <c r="C105" s="31"/>
      <c r="D105" s="35">
        <f>D95</f>
        <v>1176109</v>
      </c>
      <c r="E105" s="32">
        <f>SUM(E98:E104)</f>
        <v>3814386</v>
      </c>
      <c r="F105" s="33">
        <f t="shared" si="6"/>
        <v>3.2432249051746056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4756446</v>
      </c>
      <c r="D109" s="16">
        <f>IF(F3="1",SUMIF(Data!$A:$A,$A$2,Data!HJ:HJ),0)</f>
        <v>0</v>
      </c>
      <c r="E109" s="16">
        <f>IF(F3="1",SUMIF(Data!$A:$A,$A$2,Data!IN:IN),0)</f>
        <v>0</v>
      </c>
      <c r="F109" s="48">
        <f>SUM(C109:E109)</f>
        <v>4756446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146369</v>
      </c>
      <c r="E117" s="53"/>
      <c r="F117" s="50">
        <f>SUM(C117:E117)</f>
        <v>146369</v>
      </c>
    </row>
    <row r="118" spans="1:6" x14ac:dyDescent="0.2">
      <c r="B118" s="14" t="s">
        <v>35</v>
      </c>
      <c r="C118" s="5">
        <f>SUM(C109:C116)</f>
        <v>4756446</v>
      </c>
      <c r="D118" s="5">
        <f>SUM(D109:D116)</f>
        <v>0</v>
      </c>
      <c r="E118" s="5">
        <f>SUM(E109:E116)</f>
        <v>0</v>
      </c>
      <c r="F118" s="5">
        <f>SUM(F109:F116)</f>
        <v>4756446</v>
      </c>
    </row>
    <row r="119" spans="1:6" ht="15" thickBot="1" x14ac:dyDescent="0.25"/>
    <row r="120" spans="1:6" ht="15" thickBot="1" x14ac:dyDescent="0.25">
      <c r="B120" s="57" t="s">
        <v>942</v>
      </c>
      <c r="C120" s="55"/>
      <c r="D120" s="55"/>
      <c r="E120" s="55">
        <f>IF(F3="1",SUMIF(Data!A:A,'31'!$A$2,Data!AM:AM),0)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386</v>
      </c>
      <c r="B2" s="60" t="str">
        <f>VLOOKUP(A2,Data!A:G,7,0)</f>
        <v>Odessa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8709</v>
      </c>
      <c r="E5" s="16">
        <f>E36+E67+IFERROR($E$105/$D$105*D5,0)</f>
        <v>108850.63490301727</v>
      </c>
      <c r="F5" s="21">
        <f>IFERROR(E5/D5,"")</f>
        <v>12.498637605123122</v>
      </c>
    </row>
    <row r="6" spans="1:6" x14ac:dyDescent="0.2">
      <c r="A6" s="20">
        <v>2</v>
      </c>
      <c r="B6" s="184" t="s">
        <v>1</v>
      </c>
      <c r="C6" s="185"/>
      <c r="D6" s="15">
        <f t="shared" ref="D6:D32" si="0">D37</f>
        <v>67526</v>
      </c>
      <c r="E6" s="18">
        <f t="shared" ref="E6:E32" si="1">E37+E68+IFERROR($E$105/$D$105*D6,0)</f>
        <v>509435.56360789348</v>
      </c>
      <c r="F6" s="22">
        <f t="shared" ref="F6:F33" si="2">IFERROR(E6/D6,"")</f>
        <v>7.5442875871204196</v>
      </c>
    </row>
    <row r="7" spans="1:6" ht="14.25" customHeight="1" x14ac:dyDescent="0.2">
      <c r="A7" s="20">
        <v>3</v>
      </c>
      <c r="B7" s="184" t="s">
        <v>2</v>
      </c>
      <c r="C7" s="185"/>
      <c r="D7" s="15">
        <f t="shared" si="0"/>
        <v>187248</v>
      </c>
      <c r="E7" s="18">
        <f t="shared" si="1"/>
        <v>1642443.2470226407</v>
      </c>
      <c r="F7" s="22">
        <f t="shared" si="2"/>
        <v>8.7714861949000298</v>
      </c>
    </row>
    <row r="8" spans="1:6" ht="14.25" customHeight="1" x14ac:dyDescent="0.2">
      <c r="A8" s="20">
        <v>4</v>
      </c>
      <c r="B8" s="184" t="s">
        <v>3</v>
      </c>
      <c r="C8" s="185"/>
      <c r="D8" s="15">
        <f t="shared" si="0"/>
        <v>110678</v>
      </c>
      <c r="E8" s="18">
        <f t="shared" si="1"/>
        <v>1138125.6343777869</v>
      </c>
      <c r="F8" s="22">
        <f t="shared" si="2"/>
        <v>10.283214680223594</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38563</v>
      </c>
      <c r="E10" s="18">
        <f t="shared" si="1"/>
        <v>222052.66342462454</v>
      </c>
      <c r="F10" s="22">
        <f t="shared" si="2"/>
        <v>5.7581791723834908</v>
      </c>
    </row>
    <row r="11" spans="1:6" x14ac:dyDescent="0.2">
      <c r="A11" s="20">
        <v>7</v>
      </c>
      <c r="B11" s="184" t="s">
        <v>6</v>
      </c>
      <c r="C11" s="185"/>
      <c r="D11" s="15">
        <f t="shared" si="0"/>
        <v>60724</v>
      </c>
      <c r="E11" s="18">
        <f t="shared" si="1"/>
        <v>680643.75781959132</v>
      </c>
      <c r="F11" s="22">
        <f t="shared" si="2"/>
        <v>11.208809660424071</v>
      </c>
    </row>
    <row r="12" spans="1:6" x14ac:dyDescent="0.2">
      <c r="A12" s="20">
        <v>8</v>
      </c>
      <c r="B12" s="184" t="s">
        <v>7</v>
      </c>
      <c r="C12" s="185"/>
      <c r="D12" s="15">
        <f t="shared" si="0"/>
        <v>14014</v>
      </c>
      <c r="E12" s="18">
        <f t="shared" si="1"/>
        <v>76193.96917337054</v>
      </c>
      <c r="F12" s="22">
        <f t="shared" si="2"/>
        <v>5.4369893801463212</v>
      </c>
    </row>
    <row r="13" spans="1:6" x14ac:dyDescent="0.2">
      <c r="A13" s="20">
        <v>9</v>
      </c>
      <c r="B13" s="184" t="s">
        <v>8</v>
      </c>
      <c r="C13" s="185"/>
      <c r="D13" s="15">
        <f t="shared" si="0"/>
        <v>145195</v>
      </c>
      <c r="E13" s="18">
        <f t="shared" si="1"/>
        <v>1393432.8811279817</v>
      </c>
      <c r="F13" s="22">
        <f t="shared" si="2"/>
        <v>9.5969756612003287</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97367</v>
      </c>
      <c r="E15" s="18">
        <f t="shared" si="1"/>
        <v>857379.86859594472</v>
      </c>
      <c r="F15" s="22">
        <f t="shared" si="2"/>
        <v>8.8056514896827949</v>
      </c>
    </row>
    <row r="16" spans="1:6" ht="14.25" customHeight="1" x14ac:dyDescent="0.2">
      <c r="A16" s="20">
        <v>12</v>
      </c>
      <c r="B16" s="184" t="s">
        <v>11</v>
      </c>
      <c r="C16" s="185"/>
      <c r="D16" s="15">
        <f t="shared" si="0"/>
        <v>261648</v>
      </c>
      <c r="E16" s="18">
        <f t="shared" si="1"/>
        <v>2498907.1621431466</v>
      </c>
      <c r="F16" s="22">
        <f t="shared" si="2"/>
        <v>9.5506449968780451</v>
      </c>
    </row>
    <row r="17" spans="1:6" x14ac:dyDescent="0.2">
      <c r="A17" s="20">
        <v>13</v>
      </c>
      <c r="B17" s="184" t="s">
        <v>12</v>
      </c>
      <c r="C17" s="185"/>
      <c r="D17" s="15">
        <f t="shared" si="0"/>
        <v>12464</v>
      </c>
      <c r="E17" s="18">
        <f t="shared" si="1"/>
        <v>127493.47094169333</v>
      </c>
      <c r="F17" s="22">
        <f t="shared" si="2"/>
        <v>10.228937013935601</v>
      </c>
    </row>
    <row r="18" spans="1:6" ht="14.25" customHeight="1" x14ac:dyDescent="0.2">
      <c r="A18" s="20">
        <v>14</v>
      </c>
      <c r="B18" s="184" t="s">
        <v>469</v>
      </c>
      <c r="C18" s="185"/>
      <c r="D18" s="15">
        <f t="shared" si="0"/>
        <v>135438</v>
      </c>
      <c r="E18" s="18">
        <f t="shared" si="1"/>
        <v>1570220.3029044499</v>
      </c>
      <c r="F18" s="22">
        <f t="shared" si="2"/>
        <v>11.593646560820817</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130651</v>
      </c>
      <c r="E20" s="18">
        <f t="shared" si="1"/>
        <v>1589135.6448173281</v>
      </c>
      <c r="F20" s="22">
        <f t="shared" si="2"/>
        <v>12.163210727949485</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57993</v>
      </c>
      <c r="E22" s="18">
        <f t="shared" si="1"/>
        <v>612218.68319332646</v>
      </c>
      <c r="F22" s="22">
        <f t="shared" si="2"/>
        <v>10.556768630581733</v>
      </c>
    </row>
    <row r="23" spans="1:6" x14ac:dyDescent="0.2">
      <c r="A23" s="20">
        <v>19</v>
      </c>
      <c r="B23" s="184" t="s">
        <v>17</v>
      </c>
      <c r="C23" s="185"/>
      <c r="D23" s="15">
        <f t="shared" si="0"/>
        <v>197856</v>
      </c>
      <c r="E23" s="18">
        <f t="shared" si="1"/>
        <v>1844709.6504043387</v>
      </c>
      <c r="F23" s="22">
        <f t="shared" si="2"/>
        <v>9.3234961305410948</v>
      </c>
    </row>
    <row r="24" spans="1:6" x14ac:dyDescent="0.2">
      <c r="A24" s="20">
        <v>20</v>
      </c>
      <c r="B24" s="184" t="s">
        <v>18</v>
      </c>
      <c r="C24" s="185"/>
      <c r="D24" s="15">
        <f t="shared" si="0"/>
        <v>24512</v>
      </c>
      <c r="E24" s="18">
        <f t="shared" si="1"/>
        <v>248659.78880959458</v>
      </c>
      <c r="F24" s="22">
        <f t="shared" si="2"/>
        <v>10.144410444255653</v>
      </c>
    </row>
    <row r="25" spans="1:6" ht="14.25" customHeight="1" x14ac:dyDescent="0.2">
      <c r="A25" s="20">
        <v>21</v>
      </c>
      <c r="B25" s="184" t="s">
        <v>466</v>
      </c>
      <c r="C25" s="185"/>
      <c r="D25" s="15">
        <f t="shared" si="0"/>
        <v>42628</v>
      </c>
      <c r="E25" s="18">
        <f t="shared" si="1"/>
        <v>642318.59910963604</v>
      </c>
      <c r="F25" s="22">
        <f t="shared" si="2"/>
        <v>15.067997539402178</v>
      </c>
    </row>
    <row r="26" spans="1:6" x14ac:dyDescent="0.2">
      <c r="A26" s="20">
        <v>22</v>
      </c>
      <c r="B26" s="184" t="s">
        <v>19</v>
      </c>
      <c r="C26" s="185"/>
      <c r="D26" s="15">
        <f t="shared" si="0"/>
        <v>5272</v>
      </c>
      <c r="E26" s="18">
        <f t="shared" si="1"/>
        <v>52626.959146711109</v>
      </c>
      <c r="F26" s="22">
        <f t="shared" si="2"/>
        <v>9.9823518867054464</v>
      </c>
    </row>
    <row r="27" spans="1:6" x14ac:dyDescent="0.2">
      <c r="A27" s="20">
        <v>23</v>
      </c>
      <c r="B27" s="184" t="s">
        <v>20</v>
      </c>
      <c r="C27" s="185"/>
      <c r="D27" s="15">
        <f t="shared" si="0"/>
        <v>81960</v>
      </c>
      <c r="E27" s="18">
        <f t="shared" si="1"/>
        <v>881844.21617307328</v>
      </c>
      <c r="F27" s="22">
        <f t="shared" si="2"/>
        <v>10.75944626858313</v>
      </c>
    </row>
    <row r="28" spans="1:6" x14ac:dyDescent="0.2">
      <c r="A28" s="20">
        <v>24</v>
      </c>
      <c r="B28" s="184" t="s">
        <v>21</v>
      </c>
      <c r="C28" s="185"/>
      <c r="D28" s="15">
        <f t="shared" si="0"/>
        <v>78529</v>
      </c>
      <c r="E28" s="18">
        <f t="shared" si="1"/>
        <v>867201.33589379303</v>
      </c>
      <c r="F28" s="22">
        <f t="shared" si="2"/>
        <v>11.043071169807243</v>
      </c>
    </row>
    <row r="29" spans="1:6" x14ac:dyDescent="0.2">
      <c r="A29" s="20">
        <v>25</v>
      </c>
      <c r="B29" s="184" t="s">
        <v>22</v>
      </c>
      <c r="C29" s="185"/>
      <c r="D29" s="15">
        <f t="shared" si="0"/>
        <v>280512</v>
      </c>
      <c r="E29" s="18">
        <f t="shared" si="1"/>
        <v>2443490.14191241</v>
      </c>
      <c r="F29" s="22">
        <f t="shared" si="2"/>
        <v>8.7108221463338822</v>
      </c>
    </row>
    <row r="30" spans="1:6" x14ac:dyDescent="0.2">
      <c r="A30" s="20">
        <v>26</v>
      </c>
      <c r="B30" s="184" t="s">
        <v>23</v>
      </c>
      <c r="C30" s="185"/>
      <c r="D30" s="15">
        <f t="shared" si="0"/>
        <v>96718</v>
      </c>
      <c r="E30" s="18">
        <f t="shared" si="1"/>
        <v>1091679.824497649</v>
      </c>
      <c r="F30" s="22">
        <f t="shared" si="2"/>
        <v>11.287245647114798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2136205</v>
      </c>
      <c r="E33" s="32">
        <f>SUM(E5:E32)</f>
        <v>21099064</v>
      </c>
      <c r="F33" s="33">
        <f t="shared" si="2"/>
        <v>9.8768910287168126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IF(F3="1",SUMIF(Data!A:A,'32'!$A$2,Data!CU:CU),0)</f>
        <v>8709</v>
      </c>
      <c r="E36" s="16">
        <f>IF(F3="1",SUMIF(Data!$A:$A,'32'!$A$2,Data!IO:IO),0)</f>
        <v>8881</v>
      </c>
      <c r="F36" s="21">
        <f t="shared" ref="F36:F64" si="3">IFERROR(E36/D36,"")</f>
        <v>1.0197496842346998</v>
      </c>
    </row>
    <row r="37" spans="1:6" x14ac:dyDescent="0.2">
      <c r="A37" s="20">
        <v>2</v>
      </c>
      <c r="B37" s="184" t="s">
        <v>1</v>
      </c>
      <c r="C37" s="185"/>
      <c r="D37" s="15">
        <f>IF(F3="1",SUMIF(Data!A:A,'32'!$A$2,Data!CV:CV),0)</f>
        <v>67526</v>
      </c>
      <c r="E37" s="18">
        <f>IF(F3="1",SUMIF(Data!$A:$A,'32'!$A$2,Data!IP:IP),0)</f>
        <v>57721</v>
      </c>
      <c r="F37" s="22">
        <f t="shared" si="3"/>
        <v>0.854796670911945</v>
      </c>
    </row>
    <row r="38" spans="1:6" ht="14.25" customHeight="1" x14ac:dyDescent="0.2">
      <c r="A38" s="20">
        <v>3</v>
      </c>
      <c r="B38" s="184" t="s">
        <v>2</v>
      </c>
      <c r="C38" s="185"/>
      <c r="D38" s="15">
        <f>IF(F3="1",SUMIF(Data!A:A,'32'!$A$2,Data!CW:CW),0)</f>
        <v>187248</v>
      </c>
      <c r="E38" s="18">
        <f>IF(F3="1",SUMIF(Data!$A:$A,'32'!$A$2,Data!IQ:IQ),0)</f>
        <v>141924</v>
      </c>
      <c r="F38" s="22">
        <f t="shared" si="3"/>
        <v>0.75794668033837476</v>
      </c>
    </row>
    <row r="39" spans="1:6" ht="14.25" customHeight="1" x14ac:dyDescent="0.2">
      <c r="A39" s="20">
        <v>4</v>
      </c>
      <c r="B39" s="184" t="s">
        <v>3</v>
      </c>
      <c r="C39" s="185"/>
      <c r="D39" s="15">
        <f>IF(F3="1",SUMIF(Data!A:A,'32'!$A$2,Data!CX:CX),0)</f>
        <v>110678</v>
      </c>
      <c r="E39" s="18">
        <f>IF(F3="1",SUMIF(Data!$A:$A,'32'!$A$2,Data!IR:IR),0)</f>
        <v>57588</v>
      </c>
      <c r="F39" s="22">
        <f t="shared" si="3"/>
        <v>0.5203202081714523</v>
      </c>
    </row>
    <row r="40" spans="1:6" x14ac:dyDescent="0.2">
      <c r="A40" s="20">
        <v>5</v>
      </c>
      <c r="B40" s="184" t="s">
        <v>4</v>
      </c>
      <c r="C40" s="185"/>
      <c r="D40" s="15">
        <f>IF(F3="1",SUMIF(Data!A:A,'32'!$A$2,Data!CY:CY),0)</f>
        <v>0</v>
      </c>
      <c r="E40" s="18">
        <f>IF(F3="1",SUMIF(Data!$A:$A,'32'!$A$2,Data!IS:IS),0)</f>
        <v>0</v>
      </c>
      <c r="F40" s="22" t="str">
        <f t="shared" si="3"/>
        <v/>
      </c>
    </row>
    <row r="41" spans="1:6" x14ac:dyDescent="0.2">
      <c r="A41" s="20">
        <v>6</v>
      </c>
      <c r="B41" s="184" t="s">
        <v>5</v>
      </c>
      <c r="C41" s="185"/>
      <c r="D41" s="15">
        <f>IF(F3="1",SUMIF(Data!A:A,'32'!$A$2,Data!CZ:CZ),0)</f>
        <v>38563</v>
      </c>
      <c r="E41" s="18">
        <f>IF(F3="1",SUMIF(Data!$A:$A,'32'!$A$2,Data!IT:IT),0)</f>
        <v>2842</v>
      </c>
      <c r="F41" s="22">
        <f t="shared" si="3"/>
        <v>7.3697585768742052E-2</v>
      </c>
    </row>
    <row r="42" spans="1:6" x14ac:dyDescent="0.2">
      <c r="A42" s="20">
        <v>7</v>
      </c>
      <c r="B42" s="184" t="s">
        <v>6</v>
      </c>
      <c r="C42" s="185"/>
      <c r="D42" s="15">
        <f>IF(F3="1",SUMIF(Data!A:A,'32'!$A$2,Data!DA:DA),0)</f>
        <v>60724</v>
      </c>
      <c r="E42" s="18">
        <f>IF(F3="1",SUMIF(Data!$A:$A,'32'!$A$2,Data!IU:IU),0)</f>
        <v>102429</v>
      </c>
      <c r="F42" s="22">
        <f t="shared" si="3"/>
        <v>1.6867959949937421</v>
      </c>
    </row>
    <row r="43" spans="1:6" x14ac:dyDescent="0.2">
      <c r="A43" s="20">
        <v>8</v>
      </c>
      <c r="B43" s="184" t="s">
        <v>7</v>
      </c>
      <c r="C43" s="185"/>
      <c r="D43" s="15">
        <f>IF(F3="1",SUMIF(Data!A:A,'32'!$A$2,Data!DB:DB),0)</f>
        <v>14014</v>
      </c>
      <c r="E43" s="18">
        <f>IF(F3="1",SUMIF(Data!$A:$A,'32'!$A$2,Data!IV:IV),0)</f>
        <v>4266</v>
      </c>
      <c r="F43" s="22">
        <f t="shared" si="3"/>
        <v>0.30440987583844725</v>
      </c>
    </row>
    <row r="44" spans="1:6" x14ac:dyDescent="0.2">
      <c r="A44" s="20">
        <v>9</v>
      </c>
      <c r="B44" s="184" t="s">
        <v>8</v>
      </c>
      <c r="C44" s="185"/>
      <c r="D44" s="15">
        <f>IF(F3="1",SUMIF(Data!A:A,'32'!$A$2,Data!DC:DC),0)</f>
        <v>145195</v>
      </c>
      <c r="E44" s="18">
        <f>IF(F3="1",SUMIF(Data!$A:$A,'32'!$A$2,Data!IW:IW),0)</f>
        <v>134330</v>
      </c>
      <c r="F44" s="22">
        <f t="shared" si="3"/>
        <v>0.92516959950411515</v>
      </c>
    </row>
    <row r="45" spans="1:6" x14ac:dyDescent="0.2">
      <c r="A45" s="20">
        <v>10</v>
      </c>
      <c r="B45" s="184" t="s">
        <v>9</v>
      </c>
      <c r="C45" s="185"/>
      <c r="D45" s="15">
        <f>IF(F3="1",SUMIF(Data!A:A,'32'!$A$2,Data!DD:DD),0)</f>
        <v>0</v>
      </c>
      <c r="E45" s="18">
        <f>IF(F3="1",SUMIF(Data!$A:$A,'32'!$A$2,Data!IX:IX),0)</f>
        <v>0</v>
      </c>
      <c r="F45" s="22" t="str">
        <f t="shared" si="3"/>
        <v/>
      </c>
    </row>
    <row r="46" spans="1:6" x14ac:dyDescent="0.2">
      <c r="A46" s="20">
        <v>11</v>
      </c>
      <c r="B46" s="184" t="s">
        <v>10</v>
      </c>
      <c r="C46" s="185"/>
      <c r="D46" s="15">
        <f>IF(F3="1",SUMIF(Data!A:A,'32'!$A$2,Data!DE:DE),0)</f>
        <v>97367</v>
      </c>
      <c r="E46" s="18">
        <f>IF(F3="1",SUMIF(Data!$A:$A,'32'!$A$2,Data!IY:IY),0)</f>
        <v>69632</v>
      </c>
      <c r="F46" s="22">
        <f t="shared" si="3"/>
        <v>0.71514989678227736</v>
      </c>
    </row>
    <row r="47" spans="1:6" ht="14.25" customHeight="1" x14ac:dyDescent="0.2">
      <c r="A47" s="20">
        <v>12</v>
      </c>
      <c r="B47" s="184" t="s">
        <v>11</v>
      </c>
      <c r="C47" s="185"/>
      <c r="D47" s="15">
        <f>IF(F3="1",SUMIF(Data!A:A,'32'!$A$2,Data!DF:DF),0)</f>
        <v>261648</v>
      </c>
      <c r="E47" s="18">
        <f>IF(F3="1",SUMIF(Data!$A:$A,'32'!$A$2,Data!IZ:IZ),0)</f>
        <v>149686</v>
      </c>
      <c r="F47" s="22">
        <f t="shared" si="3"/>
        <v>0.57208921910352839</v>
      </c>
    </row>
    <row r="48" spans="1:6" x14ac:dyDescent="0.2">
      <c r="A48" s="20">
        <v>13</v>
      </c>
      <c r="B48" s="184" t="s">
        <v>12</v>
      </c>
      <c r="C48" s="185"/>
      <c r="D48" s="15">
        <f>IF(F3="1",SUMIF(Data!A:A,'32'!$A$2,Data!DG:DG),0)</f>
        <v>12464</v>
      </c>
      <c r="E48" s="18">
        <f>IF(F3="1",SUMIF(Data!$A:$A,'32'!$A$2,Data!JA:JA),0)</f>
        <v>8116</v>
      </c>
      <c r="F48" s="22">
        <f t="shared" si="3"/>
        <v>0.65115532734274706</v>
      </c>
    </row>
    <row r="49" spans="1:6" ht="14.25" customHeight="1" x14ac:dyDescent="0.2">
      <c r="A49" s="20">
        <v>14</v>
      </c>
      <c r="B49" s="184" t="s">
        <v>469</v>
      </c>
      <c r="C49" s="185"/>
      <c r="D49" s="15">
        <f>IF(F3="1",SUMIF(Data!A:A,'32'!$A$2,Data!DH:DH),0)</f>
        <v>135438</v>
      </c>
      <c r="E49" s="18">
        <f>IF(F3="1",SUMIF(Data!$A:$A,'32'!$A$2,Data!JB:JB),0)</f>
        <v>160334</v>
      </c>
      <c r="F49" s="22">
        <f t="shared" si="3"/>
        <v>1.1838184261433276</v>
      </c>
    </row>
    <row r="50" spans="1:6" x14ac:dyDescent="0.2">
      <c r="A50" s="20">
        <v>15</v>
      </c>
      <c r="B50" s="184" t="s">
        <v>13</v>
      </c>
      <c r="C50" s="185"/>
      <c r="D50" s="15">
        <f>IF(F3="1",SUMIF(Data!A:A,'32'!$A$2,Data!DI:DI),0)</f>
        <v>0</v>
      </c>
      <c r="E50" s="18">
        <f>IF(F3="1",SUMIF(Data!$A:$A,'32'!$A$2,Data!JC:JC),0)</f>
        <v>0</v>
      </c>
      <c r="F50" s="22" t="str">
        <f t="shared" si="3"/>
        <v/>
      </c>
    </row>
    <row r="51" spans="1:6" x14ac:dyDescent="0.2">
      <c r="A51" s="20">
        <v>16</v>
      </c>
      <c r="B51" s="184" t="s">
        <v>14</v>
      </c>
      <c r="C51" s="185"/>
      <c r="D51" s="15">
        <f>IF(F3="1",SUMIF(Data!A:A,'32'!$A$2,Data!DJ:DJ),0)</f>
        <v>130651</v>
      </c>
      <c r="E51" s="18">
        <f>IF(F3="1",SUMIF(Data!$A:$A,'32'!$A$2,Data!JD:JD),0)</f>
        <v>176978</v>
      </c>
      <c r="F51" s="22">
        <f t="shared" si="3"/>
        <v>1.3545858814704825</v>
      </c>
    </row>
    <row r="52" spans="1:6" x14ac:dyDescent="0.2">
      <c r="A52" s="20">
        <v>17</v>
      </c>
      <c r="B52" s="184" t="s">
        <v>15</v>
      </c>
      <c r="C52" s="185"/>
      <c r="D52" s="15">
        <f>IF(F3="1",SUMIF(Data!A:A,'32'!$A$2,Data!DK:DK),0)</f>
        <v>0</v>
      </c>
      <c r="E52" s="18">
        <f>IF(F3="1",SUMIF(Data!$A:$A,'32'!$A$2,Data!JE:JE),0)</f>
        <v>0</v>
      </c>
      <c r="F52" s="22" t="str">
        <f t="shared" si="3"/>
        <v/>
      </c>
    </row>
    <row r="53" spans="1:6" x14ac:dyDescent="0.2">
      <c r="A53" s="20">
        <v>18</v>
      </c>
      <c r="B53" s="184" t="s">
        <v>16</v>
      </c>
      <c r="C53" s="185"/>
      <c r="D53" s="15">
        <f>IF(F3="1",SUMIF(Data!A:A,'32'!$A$2,Data!DL:DL),0)</f>
        <v>57993</v>
      </c>
      <c r="E53" s="18">
        <f>IF(F3="1",SUMIF(Data!$A:$A,'32'!$A$2,Data!JF:JF),0)</f>
        <v>61279</v>
      </c>
      <c r="F53" s="22">
        <f t="shared" si="3"/>
        <v>1.0566620109323539</v>
      </c>
    </row>
    <row r="54" spans="1:6" x14ac:dyDescent="0.2">
      <c r="A54" s="20">
        <v>19</v>
      </c>
      <c r="B54" s="184" t="s">
        <v>17</v>
      </c>
      <c r="C54" s="185"/>
      <c r="D54" s="15">
        <f>IF(F3="1",SUMIF(Data!A:A,'32'!$A$2,Data!DM:DM),0)</f>
        <v>197856</v>
      </c>
      <c r="E54" s="18">
        <f>IF(F3="1",SUMIF(Data!$A:$A,'32'!$A$2,Data!JG:JG),0)</f>
        <v>139915</v>
      </c>
      <c r="F54" s="22">
        <f t="shared" si="3"/>
        <v>0.70715570920265247</v>
      </c>
    </row>
    <row r="55" spans="1:6" x14ac:dyDescent="0.2">
      <c r="A55" s="20">
        <v>20</v>
      </c>
      <c r="B55" s="184" t="s">
        <v>18</v>
      </c>
      <c r="C55" s="185"/>
      <c r="D55" s="15">
        <f>IF(F3="1",SUMIF(Data!A:A,'32'!$A$2,Data!DN:DN),0)</f>
        <v>24512</v>
      </c>
      <c r="E55" s="18">
        <f>IF(F3="1",SUMIF(Data!$A:$A,'32'!$A$2,Data!JH:JH),0)</f>
        <v>44750</v>
      </c>
      <c r="F55" s="22">
        <f t="shared" si="3"/>
        <v>1.8256364229765014</v>
      </c>
    </row>
    <row r="56" spans="1:6" ht="14.25" customHeight="1" x14ac:dyDescent="0.2">
      <c r="A56" s="20">
        <v>21</v>
      </c>
      <c r="B56" s="184" t="s">
        <v>466</v>
      </c>
      <c r="C56" s="185"/>
      <c r="D56" s="15">
        <f>IF(F3="1",SUMIF(Data!A:A,'32'!$A$2,Data!DO:DO),0)</f>
        <v>42628</v>
      </c>
      <c r="E56" s="18">
        <f>IF(F3="1",SUMIF(Data!$A:$A,'32'!$A$2,Data!JI:JI),0)</f>
        <v>304128</v>
      </c>
      <c r="F56" s="22">
        <f t="shared" si="3"/>
        <v>7.1344656094585721</v>
      </c>
    </row>
    <row r="57" spans="1:6" x14ac:dyDescent="0.2">
      <c r="A57" s="20">
        <v>22</v>
      </c>
      <c r="B57" s="184" t="s">
        <v>19</v>
      </c>
      <c r="C57" s="185"/>
      <c r="D57" s="15">
        <f>IF(F3="1",SUMIF(Data!A:A,'32'!$A$2,Data!DP:DP),0)</f>
        <v>5272</v>
      </c>
      <c r="E57" s="18">
        <f>IF(F3="1",SUMIF(Data!$A:$A,'32'!$A$2,Data!JJ:JJ),0)</f>
        <v>5607</v>
      </c>
      <c r="F57" s="22">
        <f t="shared" si="3"/>
        <v>1.0635432473444613</v>
      </c>
    </row>
    <row r="58" spans="1:6" x14ac:dyDescent="0.2">
      <c r="A58" s="20">
        <v>23</v>
      </c>
      <c r="B58" s="184" t="s">
        <v>20</v>
      </c>
      <c r="C58" s="185"/>
      <c r="D58" s="15">
        <f>IF(F3="1",SUMIF(Data!A:A,'32'!$A$2,Data!DQ:DQ),0)</f>
        <v>81960</v>
      </c>
      <c r="E58" s="18">
        <f>IF(F3="1",SUMIF(Data!$A:$A,'32'!$A$2,Data!JK:JK),0)</f>
        <v>149979</v>
      </c>
      <c r="F58" s="22">
        <f t="shared" si="3"/>
        <v>1.8299048316251829</v>
      </c>
    </row>
    <row r="59" spans="1:6" x14ac:dyDescent="0.2">
      <c r="A59" s="20">
        <v>24</v>
      </c>
      <c r="B59" s="184" t="s">
        <v>21</v>
      </c>
      <c r="C59" s="185"/>
      <c r="D59" s="15">
        <f>IF(F3="1",SUMIF(Data!A:A,'32'!$A$2,Data!DR:DR),0)</f>
        <v>78529</v>
      </c>
      <c r="E59" s="18">
        <f>IF(F3="1",SUMIF(Data!$A:$A,'32'!$A$2,Data!JL:JL),0)</f>
        <v>118494</v>
      </c>
      <c r="F59" s="22">
        <f t="shared" si="3"/>
        <v>1.5089202714920602</v>
      </c>
    </row>
    <row r="60" spans="1:6" x14ac:dyDescent="0.2">
      <c r="A60" s="20">
        <v>25</v>
      </c>
      <c r="B60" s="184" t="s">
        <v>22</v>
      </c>
      <c r="C60" s="185"/>
      <c r="D60" s="15">
        <f>IF(F3="1",SUMIF(Data!A:A,'32'!$A$2,Data!DS:DS),0)</f>
        <v>280512</v>
      </c>
      <c r="E60" s="18">
        <f>IF(F3="1",SUMIF(Data!$A:$A,'32'!$A$2,Data!JM:JM),0)</f>
        <v>116940</v>
      </c>
      <c r="F60" s="22">
        <f t="shared" si="3"/>
        <v>0.41688056125941136</v>
      </c>
    </row>
    <row r="61" spans="1:6" x14ac:dyDescent="0.2">
      <c r="A61" s="20">
        <v>26</v>
      </c>
      <c r="B61" s="184" t="s">
        <v>23</v>
      </c>
      <c r="C61" s="185"/>
      <c r="D61" s="15">
        <f>IF(F3="1",SUMIF(Data!A:A,'32'!$A$2,Data!DT:DT),0)</f>
        <v>96718</v>
      </c>
      <c r="E61" s="18">
        <f>IF(F3="1",SUMIF(Data!$A:$A,'32'!$A$2,Data!JN:JN),0)</f>
        <v>111495</v>
      </c>
      <c r="F61" s="22">
        <f t="shared" si="3"/>
        <v>1.1527843834653322</v>
      </c>
    </row>
    <row r="62" spans="1:6" x14ac:dyDescent="0.2">
      <c r="A62" s="20">
        <v>28</v>
      </c>
      <c r="B62" s="184" t="s">
        <v>24</v>
      </c>
      <c r="C62" s="185"/>
      <c r="D62" s="15">
        <f>IF(F3="1",SUMIF(Data!A:A,'32'!$A$2,Data!DV:DV),0)</f>
        <v>0</v>
      </c>
      <c r="E62" s="18">
        <f>IF(F3="1",SUMIF(Data!$A:$A,'32'!$A$2,Data!JP:JP),0)</f>
        <v>0</v>
      </c>
      <c r="F62" s="22" t="str">
        <f t="shared" si="3"/>
        <v/>
      </c>
    </row>
    <row r="63" spans="1:6" ht="15.75" customHeight="1" thickBot="1" x14ac:dyDescent="0.25">
      <c r="A63" s="23">
        <v>29</v>
      </c>
      <c r="B63" s="186" t="s">
        <v>25</v>
      </c>
      <c r="C63" s="187"/>
      <c r="D63" s="24">
        <f>IF(F3="1",SUMIF(Data!A:A,'32'!$A$2,Data!DW:DW),0)</f>
        <v>0</v>
      </c>
      <c r="E63" s="25">
        <f>IF(F3="1",SUMIF(Data!$A:$A,'32'!$A$2,Data!JQ:JQ),0)</f>
        <v>0</v>
      </c>
      <c r="F63" s="26" t="str">
        <f t="shared" si="3"/>
        <v/>
      </c>
    </row>
    <row r="64" spans="1:6" x14ac:dyDescent="0.2">
      <c r="B64" s="31" t="s">
        <v>35</v>
      </c>
      <c r="C64" s="31"/>
      <c r="D64" s="61">
        <f>SUM(D36:D63)</f>
        <v>2136205</v>
      </c>
      <c r="E64" s="32">
        <f>SUM(E36:E63)</f>
        <v>2127314</v>
      </c>
      <c r="F64" s="33">
        <f t="shared" si="3"/>
        <v>0.99583794626452049</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8709</v>
      </c>
      <c r="E67" s="16">
        <f>IF(F3="1",SUMIF(Data!A:A,'32'!$A$2,Data!DY:DY),0)</f>
        <v>55270</v>
      </c>
      <c r="F67" s="21">
        <f>IFERROR(E67/D67,"")</f>
        <v>6.3463084165805492</v>
      </c>
    </row>
    <row r="68" spans="1:6" x14ac:dyDescent="0.2">
      <c r="A68" s="20">
        <v>2</v>
      </c>
      <c r="B68" s="184" t="s">
        <v>1</v>
      </c>
      <c r="C68" s="185"/>
      <c r="D68" s="15">
        <f t="shared" ref="D68:D94" si="4">D37</f>
        <v>67526</v>
      </c>
      <c r="E68" s="18">
        <f>IF(F3="1",SUMIF(Data!A:A,'32'!$A$2,Data!DZ:DZ),0)</f>
        <v>105132</v>
      </c>
      <c r="F68" s="22">
        <f t="shared" ref="F68:F95" si="5">IFERROR(E68/D68,"")</f>
        <v>1.5569114119006013</v>
      </c>
    </row>
    <row r="69" spans="1:6" ht="14.25" customHeight="1" x14ac:dyDescent="0.2">
      <c r="A69" s="20">
        <v>3</v>
      </c>
      <c r="B69" s="184" t="s">
        <v>2</v>
      </c>
      <c r="C69" s="185"/>
      <c r="D69" s="15">
        <f t="shared" si="4"/>
        <v>187248</v>
      </c>
      <c r="E69" s="18">
        <f>IF(F3="1",SUMIF(Data!A:A,'32'!$A$2,Data!EA:EA),0)</f>
        <v>539454</v>
      </c>
      <c r="F69" s="22">
        <f t="shared" si="5"/>
        <v>2.8809600102537809</v>
      </c>
    </row>
    <row r="70" spans="1:6" ht="14.25" customHeight="1" x14ac:dyDescent="0.2">
      <c r="A70" s="20">
        <v>4</v>
      </c>
      <c r="B70" s="184" t="s">
        <v>3</v>
      </c>
      <c r="C70" s="185"/>
      <c r="D70" s="15">
        <f t="shared" si="4"/>
        <v>110678</v>
      </c>
      <c r="E70" s="18">
        <f>IF(F3="1",SUMIF(Data!A:A,'32'!$A$2,Data!EB:EB),0)</f>
        <v>512474</v>
      </c>
      <c r="F70" s="22">
        <f t="shared" si="5"/>
        <v>4.6303149677442672</v>
      </c>
    </row>
    <row r="71" spans="1:6" x14ac:dyDescent="0.2">
      <c r="A71" s="20">
        <v>5</v>
      </c>
      <c r="B71" s="184" t="s">
        <v>4</v>
      </c>
      <c r="C71" s="185"/>
      <c r="D71" s="15">
        <f t="shared" si="4"/>
        <v>0</v>
      </c>
      <c r="E71" s="18">
        <f>IF(F3="1",SUMIF(Data!A:A,'32'!$A$2,Data!EC:EC),0)</f>
        <v>0</v>
      </c>
      <c r="F71" s="22" t="str">
        <f t="shared" si="5"/>
        <v/>
      </c>
    </row>
    <row r="72" spans="1:6" x14ac:dyDescent="0.2">
      <c r="A72" s="20">
        <v>6</v>
      </c>
      <c r="B72" s="184" t="s">
        <v>5</v>
      </c>
      <c r="C72" s="185"/>
      <c r="D72" s="15">
        <f t="shared" si="4"/>
        <v>38563</v>
      </c>
      <c r="E72" s="18">
        <f>IF(F3="1",SUMIF(Data!A:A,'32'!$A$2,Data!ED:ED),0)</f>
        <v>21283</v>
      </c>
      <c r="F72" s="22">
        <f t="shared" si="5"/>
        <v>0.55190208230687443</v>
      </c>
    </row>
    <row r="73" spans="1:6" x14ac:dyDescent="0.2">
      <c r="A73" s="20">
        <v>7</v>
      </c>
      <c r="B73" s="184" t="s">
        <v>6</v>
      </c>
      <c r="C73" s="185"/>
      <c r="D73" s="15">
        <f t="shared" si="4"/>
        <v>60724</v>
      </c>
      <c r="E73" s="18">
        <f>IF(F3="1",SUMIF(Data!A:A,'32'!$A$2,Data!EE:EE),0)</f>
        <v>266544</v>
      </c>
      <c r="F73" s="22">
        <f t="shared" si="5"/>
        <v>4.3894341611224554</v>
      </c>
    </row>
    <row r="74" spans="1:6" x14ac:dyDescent="0.2">
      <c r="A74" s="20">
        <v>8</v>
      </c>
      <c r="B74" s="184" t="s">
        <v>7</v>
      </c>
      <c r="C74" s="185"/>
      <c r="D74" s="15">
        <f t="shared" si="4"/>
        <v>14014</v>
      </c>
      <c r="E74" s="18">
        <f>IF(F3="1",SUMIF(Data!A:A,'32'!$A$2,Data!EF:EF),0)</f>
        <v>0</v>
      </c>
      <c r="F74" s="22">
        <f t="shared" si="5"/>
        <v>0</v>
      </c>
    </row>
    <row r="75" spans="1:6" x14ac:dyDescent="0.2">
      <c r="A75" s="20">
        <v>9</v>
      </c>
      <c r="B75" s="184" t="s">
        <v>8</v>
      </c>
      <c r="C75" s="185"/>
      <c r="D75" s="15">
        <f t="shared" si="4"/>
        <v>145195</v>
      </c>
      <c r="E75" s="18">
        <f>IF(F3="1",SUMIF(Data!A:A,'32'!$A$2,Data!EG:EG),0)</f>
        <v>513878</v>
      </c>
      <c r="F75" s="22">
        <f t="shared" si="5"/>
        <v>3.5392265573883397</v>
      </c>
    </row>
    <row r="76" spans="1:6" x14ac:dyDescent="0.2">
      <c r="A76" s="20">
        <v>10</v>
      </c>
      <c r="B76" s="184" t="s">
        <v>9</v>
      </c>
      <c r="C76" s="185"/>
      <c r="D76" s="15">
        <f t="shared" si="4"/>
        <v>0</v>
      </c>
      <c r="E76" s="18">
        <f>IF(F3="1",SUMIF(Data!A:A,'32'!$A$2,Data!EH:EH),0)</f>
        <v>0</v>
      </c>
      <c r="F76" s="22" t="str">
        <f t="shared" si="5"/>
        <v/>
      </c>
    </row>
    <row r="77" spans="1:6" x14ac:dyDescent="0.2">
      <c r="A77" s="20">
        <v>11</v>
      </c>
      <c r="B77" s="184" t="s">
        <v>10</v>
      </c>
      <c r="C77" s="185"/>
      <c r="D77" s="15">
        <f t="shared" si="4"/>
        <v>97367</v>
      </c>
      <c r="E77" s="18">
        <f>IF(F3="1",SUMIF(Data!A:A,'32'!$A$2,Data!EI:EI),0)</f>
        <v>288004</v>
      </c>
      <c r="F77" s="22">
        <f t="shared" si="5"/>
        <v>2.9579220885926443</v>
      </c>
    </row>
    <row r="78" spans="1:6" ht="14.25" customHeight="1" x14ac:dyDescent="0.2">
      <c r="A78" s="20">
        <v>12</v>
      </c>
      <c r="B78" s="184" t="s">
        <v>11</v>
      </c>
      <c r="C78" s="185"/>
      <c r="D78" s="15">
        <f t="shared" si="4"/>
        <v>261648</v>
      </c>
      <c r="E78" s="18">
        <f>IF(F3="1",SUMIF(Data!A:A,'32'!$A$2,Data!EJ:EJ),0)</f>
        <v>1006292</v>
      </c>
      <c r="F78" s="22">
        <f t="shared" si="5"/>
        <v>3.8459762734666421</v>
      </c>
    </row>
    <row r="79" spans="1:6" x14ac:dyDescent="0.2">
      <c r="A79" s="20">
        <v>13</v>
      </c>
      <c r="B79" s="184" t="s">
        <v>12</v>
      </c>
      <c r="C79" s="185"/>
      <c r="D79" s="15">
        <f t="shared" si="4"/>
        <v>12464</v>
      </c>
      <c r="E79" s="18">
        <f>IF(F3="1",SUMIF(Data!A:A,'32'!$A$2,Data!EK:EK),0)</f>
        <v>55405</v>
      </c>
      <c r="F79" s="22">
        <f t="shared" si="5"/>
        <v>4.445202182284981</v>
      </c>
    </row>
    <row r="80" spans="1:6" ht="14.25" customHeight="1" x14ac:dyDescent="0.2">
      <c r="A80" s="20">
        <v>14</v>
      </c>
      <c r="B80" s="184" t="s">
        <v>469</v>
      </c>
      <c r="C80" s="185"/>
      <c r="D80" s="15">
        <f t="shared" si="4"/>
        <v>135438</v>
      </c>
      <c r="E80" s="18">
        <f>IF(F3="1",SUMIF(Data!A:A,'32'!$A$2,Data!EL:EL),0)</f>
        <v>714740</v>
      </c>
      <c r="F80" s="22">
        <f t="shared" si="5"/>
        <v>5.2772486303696153</v>
      </c>
    </row>
    <row r="81" spans="1:6" x14ac:dyDescent="0.2">
      <c r="A81" s="20">
        <v>15</v>
      </c>
      <c r="B81" s="184" t="s">
        <v>13</v>
      </c>
      <c r="C81" s="185"/>
      <c r="D81" s="15">
        <f t="shared" si="4"/>
        <v>0</v>
      </c>
      <c r="E81" s="18">
        <f>IF(F3="1",SUMIF(Data!A:A,'32'!$A$2,Data!EM:EM),0)</f>
        <v>0</v>
      </c>
      <c r="F81" s="22" t="str">
        <f t="shared" si="5"/>
        <v/>
      </c>
    </row>
    <row r="82" spans="1:6" x14ac:dyDescent="0.2">
      <c r="A82" s="20">
        <v>16</v>
      </c>
      <c r="B82" s="184" t="s">
        <v>14</v>
      </c>
      <c r="C82" s="185"/>
      <c r="D82" s="15">
        <f t="shared" si="4"/>
        <v>130651</v>
      </c>
      <c r="E82" s="18">
        <f>IF(F3="1",SUMIF(Data!A:A,'32'!$A$2,Data!EN:EN),0)</f>
        <v>741581</v>
      </c>
      <c r="F82" s="22">
        <f t="shared" si="5"/>
        <v>5.6760453421711272</v>
      </c>
    </row>
    <row r="83" spans="1:6" x14ac:dyDescent="0.2">
      <c r="A83" s="20">
        <v>17</v>
      </c>
      <c r="B83" s="184" t="s">
        <v>15</v>
      </c>
      <c r="C83" s="185"/>
      <c r="D83" s="15">
        <f t="shared" si="4"/>
        <v>0</v>
      </c>
      <c r="E83" s="18">
        <f>IF(F3="1",SUMIF(Data!A:A,'32'!$A$2,Data!EO:EO),0)</f>
        <v>0</v>
      </c>
      <c r="F83" s="22" t="str">
        <f t="shared" si="5"/>
        <v/>
      </c>
    </row>
    <row r="84" spans="1:6" x14ac:dyDescent="0.2">
      <c r="A84" s="20">
        <v>18</v>
      </c>
      <c r="B84" s="184" t="s">
        <v>16</v>
      </c>
      <c r="C84" s="185"/>
      <c r="D84" s="15">
        <f t="shared" si="4"/>
        <v>57993</v>
      </c>
      <c r="E84" s="18">
        <f>IF(F3="1",SUMIF(Data!A:A,'32'!$A$2,Data!EP:EP),0)</f>
        <v>253286</v>
      </c>
      <c r="F84" s="22">
        <f t="shared" si="5"/>
        <v>4.3675271153415069</v>
      </c>
    </row>
    <row r="85" spans="1:6" x14ac:dyDescent="0.2">
      <c r="A85" s="20">
        <v>19</v>
      </c>
      <c r="B85" s="184" t="s">
        <v>17</v>
      </c>
      <c r="C85" s="185"/>
      <c r="D85" s="15">
        <f t="shared" si="4"/>
        <v>197856</v>
      </c>
      <c r="E85" s="18">
        <f>IF(F3="1",SUMIF(Data!A:A,'32'!$A$2,Data!EQ:EQ),0)</f>
        <v>689283</v>
      </c>
      <c r="F85" s="22">
        <f t="shared" si="5"/>
        <v>3.4837609170305677</v>
      </c>
    </row>
    <row r="86" spans="1:6" x14ac:dyDescent="0.2">
      <c r="A86" s="20">
        <v>20</v>
      </c>
      <c r="B86" s="184" t="s">
        <v>18</v>
      </c>
      <c r="C86" s="185"/>
      <c r="D86" s="15">
        <f t="shared" si="4"/>
        <v>24512</v>
      </c>
      <c r="E86" s="18">
        <f>IF(F3="1",SUMIF(Data!A:A,'32'!$A$2,Data!ER:ER),0)</f>
        <v>78100</v>
      </c>
      <c r="F86" s="22">
        <f t="shared" si="5"/>
        <v>3.1861945169712795</v>
      </c>
    </row>
    <row r="87" spans="1:6" ht="14.25" customHeight="1" x14ac:dyDescent="0.2">
      <c r="A87" s="20">
        <v>21</v>
      </c>
      <c r="B87" s="184" t="s">
        <v>466</v>
      </c>
      <c r="C87" s="185"/>
      <c r="D87" s="15">
        <f t="shared" si="4"/>
        <v>42628</v>
      </c>
      <c r="E87" s="18">
        <f>IF(F3="1",SUMIF(Data!A:A,'32'!$A$2,Data!ES:ES),0)</f>
        <v>119399</v>
      </c>
      <c r="F87" s="22">
        <f t="shared" si="5"/>
        <v>2.8009524256357325</v>
      </c>
    </row>
    <row r="88" spans="1:6" x14ac:dyDescent="0.2">
      <c r="A88" s="20">
        <v>22</v>
      </c>
      <c r="B88" s="184" t="s">
        <v>19</v>
      </c>
      <c r="C88" s="185"/>
      <c r="D88" s="15">
        <f t="shared" si="4"/>
        <v>5272</v>
      </c>
      <c r="E88" s="18">
        <f>IF(F3="1",SUMIF(Data!A:A,'32'!$A$2,Data!ET:ET),0)</f>
        <v>19961</v>
      </c>
      <c r="F88" s="22">
        <f t="shared" si="5"/>
        <v>3.786229135053111</v>
      </c>
    </row>
    <row r="89" spans="1:6" x14ac:dyDescent="0.2">
      <c r="A89" s="20">
        <v>23</v>
      </c>
      <c r="B89" s="184" t="s">
        <v>20</v>
      </c>
      <c r="C89" s="185"/>
      <c r="D89" s="15">
        <f t="shared" si="4"/>
        <v>81960</v>
      </c>
      <c r="E89" s="18">
        <f>IF(F3="1",SUMIF(Data!A:A,'32'!$A$2,Data!EU:EU),0)</f>
        <v>311199</v>
      </c>
      <c r="F89" s="22">
        <f t="shared" si="5"/>
        <v>3.7969619326500732</v>
      </c>
    </row>
    <row r="90" spans="1:6" x14ac:dyDescent="0.2">
      <c r="A90" s="20">
        <v>24</v>
      </c>
      <c r="B90" s="184" t="s">
        <v>21</v>
      </c>
      <c r="C90" s="185"/>
      <c r="D90" s="15">
        <f t="shared" si="4"/>
        <v>78529</v>
      </c>
      <c r="E90" s="18">
        <f>IF(F3="1",SUMIF(Data!A:A,'32'!$A$2,Data!EV:EV),0)</f>
        <v>345651</v>
      </c>
      <c r="F90" s="22">
        <f t="shared" si="5"/>
        <v>4.4015713940073091</v>
      </c>
    </row>
    <row r="91" spans="1:6" x14ac:dyDescent="0.2">
      <c r="A91" s="20">
        <v>25</v>
      </c>
      <c r="B91" s="184" t="s">
        <v>22</v>
      </c>
      <c r="C91" s="185"/>
      <c r="D91" s="15">
        <f t="shared" si="4"/>
        <v>280512</v>
      </c>
      <c r="E91" s="18">
        <f>IF(F3="1",SUMIF(Data!A:A,'32'!$A$2,Data!EW:EW),0)</f>
        <v>886800</v>
      </c>
      <c r="F91" s="22">
        <f t="shared" si="5"/>
        <v>3.1613620807665983</v>
      </c>
    </row>
    <row r="92" spans="1:6" x14ac:dyDescent="0.2">
      <c r="A92" s="20">
        <v>26</v>
      </c>
      <c r="B92" s="184" t="s">
        <v>23</v>
      </c>
      <c r="C92" s="185"/>
      <c r="D92" s="15">
        <f t="shared" si="4"/>
        <v>96718</v>
      </c>
      <c r="E92" s="18">
        <f>IF(F3="1",SUMIF(Data!A:A,'32'!$A$2,Data!EX:EX),0)</f>
        <v>483772</v>
      </c>
      <c r="F92" s="22">
        <f t="shared" si="5"/>
        <v>5.0018817593415914</v>
      </c>
    </row>
    <row r="93" spans="1:6" x14ac:dyDescent="0.2">
      <c r="A93" s="20">
        <v>28</v>
      </c>
      <c r="B93" s="184" t="s">
        <v>24</v>
      </c>
      <c r="C93" s="185"/>
      <c r="D93" s="15">
        <f t="shared" si="4"/>
        <v>0</v>
      </c>
      <c r="E93" s="18">
        <f>IF(F3="1",SUMIF(Data!A:A,'32'!$A$2,Data!EZ:EZ),0)</f>
        <v>0</v>
      </c>
      <c r="F93" s="22" t="str">
        <f t="shared" si="5"/>
        <v/>
      </c>
    </row>
    <row r="94" spans="1:6" ht="15.75" customHeight="1" thickBot="1" x14ac:dyDescent="0.25">
      <c r="A94" s="23">
        <v>29</v>
      </c>
      <c r="B94" s="186" t="s">
        <v>25</v>
      </c>
      <c r="C94" s="187"/>
      <c r="D94" s="24">
        <f t="shared" si="4"/>
        <v>0</v>
      </c>
      <c r="E94" s="25">
        <f>IF(F3="1",SUMIF(Data!A:A,'32'!$A$2,Data!FA:FA),0)</f>
        <v>0</v>
      </c>
      <c r="F94" s="26" t="str">
        <f t="shared" si="5"/>
        <v/>
      </c>
    </row>
    <row r="95" spans="1:6" x14ac:dyDescent="0.2">
      <c r="B95" s="31" t="s">
        <v>35</v>
      </c>
      <c r="C95" s="31"/>
      <c r="D95" s="61">
        <f>SUM(D67:D94)</f>
        <v>2136205</v>
      </c>
      <c r="E95" s="32">
        <f>SUM(E67:E94)</f>
        <v>8007508</v>
      </c>
      <c r="F95" s="33">
        <f t="shared" si="5"/>
        <v>3.7484735781444196</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IF(F3="1",SUMIF(Data!A:A,'32'!$A$2,Data!AH:AH),0)</f>
        <v>3878845</v>
      </c>
      <c r="F98" s="21">
        <f t="shared" ref="F98:F105" si="6">IFERROR(E98/$D$95,0)</f>
        <v>1.8157644046334505</v>
      </c>
    </row>
    <row r="99" spans="2:6" x14ac:dyDescent="0.2">
      <c r="B99" s="190" t="s">
        <v>31</v>
      </c>
      <c r="C99" s="191"/>
      <c r="D99" s="37"/>
      <c r="E99" s="18">
        <f>IF(F3="1",SUMIF(Data!A:A,'32'!$A$2,Data!AI:AI),0)</f>
        <v>2220556</v>
      </c>
      <c r="F99" s="22">
        <f t="shared" si="6"/>
        <v>1.0394863788821767</v>
      </c>
    </row>
    <row r="100" spans="2:6" x14ac:dyDescent="0.2">
      <c r="B100" s="190" t="s">
        <v>32</v>
      </c>
      <c r="C100" s="191"/>
      <c r="D100" s="37"/>
      <c r="E100" s="18">
        <f>IF(F3="1",SUMIF(Data!A:A,'32'!$A$2,Data!AJ:AJ),0)</f>
        <v>2650347</v>
      </c>
      <c r="F100" s="22">
        <f t="shared" si="6"/>
        <v>1.2406800845424479</v>
      </c>
    </row>
    <row r="101" spans="2:6" x14ac:dyDescent="0.2">
      <c r="B101" s="190" t="s">
        <v>28</v>
      </c>
      <c r="C101" s="191"/>
      <c r="D101" s="37"/>
      <c r="E101" s="18">
        <f>IF(F3="1",SUMIF(Data!A:A,'32'!$A$2,Data!AK:AK),0)</f>
        <v>0</v>
      </c>
      <c r="F101" s="22">
        <f t="shared" si="6"/>
        <v>0</v>
      </c>
    </row>
    <row r="102" spans="2:6" x14ac:dyDescent="0.2">
      <c r="B102" s="190" t="s">
        <v>33</v>
      </c>
      <c r="C102" s="191"/>
      <c r="D102" s="37"/>
      <c r="E102" s="18">
        <f>IF(F3="1",SUMIF(Data!A:A,'32'!$A$2,Data!AL:AL),0)</f>
        <v>595276</v>
      </c>
      <c r="F102" s="22">
        <f t="shared" si="6"/>
        <v>0.27866052181321549</v>
      </c>
    </row>
    <row r="103" spans="2:6" x14ac:dyDescent="0.2">
      <c r="B103" s="192" t="s">
        <v>34</v>
      </c>
      <c r="C103" s="193"/>
      <c r="D103" s="37"/>
      <c r="E103" s="18">
        <f>IF(F3="1",SUMIF(Data!A:A,'32'!$A$2,Data!AM:AM),0)</f>
        <v>534319</v>
      </c>
      <c r="F103" s="22">
        <f t="shared" si="6"/>
        <v>0.25012533909432849</v>
      </c>
    </row>
    <row r="104" spans="2:6" ht="15.75" customHeight="1" thickBot="1" x14ac:dyDescent="0.25">
      <c r="B104" s="182" t="s">
        <v>29</v>
      </c>
      <c r="C104" s="183"/>
      <c r="D104" s="38"/>
      <c r="E104" s="25">
        <f>IF(F3="1",SUMIF(Data!A:A,'32'!$A$2,Data!Q:Q),0)</f>
        <v>1084899</v>
      </c>
      <c r="F104" s="26">
        <f t="shared" si="6"/>
        <v>0.5078627753422541</v>
      </c>
    </row>
    <row r="105" spans="2:6" x14ac:dyDescent="0.2">
      <c r="B105" s="31" t="s">
        <v>35</v>
      </c>
      <c r="C105" s="31"/>
      <c r="D105" s="35">
        <f>D95</f>
        <v>2136205</v>
      </c>
      <c r="E105" s="32">
        <f>SUM(E98:E104)</f>
        <v>10964242</v>
      </c>
      <c r="F105" s="33">
        <f t="shared" si="6"/>
        <v>5.1325795043078735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8007508</v>
      </c>
      <c r="D109" s="16">
        <f>IF(F3="1",SUMIF(Data!$A:$A,$A$2,Data!HJ:HJ),0)</f>
        <v>0</v>
      </c>
      <c r="E109" s="16">
        <f>IF(F3="1",SUMIF(Data!$A:$A,$A$2,Data!IN:IN),0)</f>
        <v>0</v>
      </c>
      <c r="F109" s="48">
        <f>SUM(C109:E109)</f>
        <v>8007508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595276</v>
      </c>
      <c r="F116" s="49">
        <f t="shared" si="7"/>
        <v>595276</v>
      </c>
    </row>
    <row r="117" spans="1:6" ht="15" thickBot="1" x14ac:dyDescent="0.25">
      <c r="B117" s="44" t="s">
        <v>941</v>
      </c>
      <c r="C117" s="53"/>
      <c r="D117" s="53">
        <f>IF(F3="1",SUMIF(Data!A:A,$A$2,Data!Q:Q),0)</f>
        <v>1084899</v>
      </c>
      <c r="E117" s="53"/>
      <c r="F117" s="50">
        <f>SUM(C117:E117)</f>
        <v>1084899</v>
      </c>
    </row>
    <row r="118" spans="1:6" x14ac:dyDescent="0.2">
      <c r="B118" s="14" t="s">
        <v>35</v>
      </c>
      <c r="C118" s="5">
        <f>SUM(C109:C116)</f>
        <v>8007508</v>
      </c>
      <c r="D118" s="5">
        <f>SUM(D109:D116)</f>
        <v>0</v>
      </c>
      <c r="E118" s="5">
        <f>SUM(E109:E116)</f>
        <v>595276</v>
      </c>
      <c r="F118" s="5">
        <f>SUM(F109:F116)</f>
        <v>8602784</v>
      </c>
    </row>
    <row r="119" spans="1:6" ht="15" thickBot="1" x14ac:dyDescent="0.25"/>
    <row r="120" spans="1:6" ht="15" thickBot="1" x14ac:dyDescent="0.25">
      <c r="B120" s="57" t="s">
        <v>942</v>
      </c>
      <c r="C120" s="55"/>
      <c r="D120" s="55"/>
      <c r="E120" s="55">
        <f>IF(F3="1",SUMIF(Data!A:A,'32'!$A$2,Data!AM:AM),0)</f>
        <v>534319</v>
      </c>
      <c r="F120" s="56">
        <f>SUM(C120:E120)</f>
        <v>534319</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388</v>
      </c>
      <c r="B2" s="60" t="str">
        <f>VLOOKUP(A2,Data!A:G,7,0)</f>
        <v>Panola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11464</v>
      </c>
      <c r="E5" s="16">
        <f>E36+E67+IFERROR($E$105/$D$105*D5,0)</f>
        <v>78508.120857200352</v>
      </c>
      <c r="F5" s="21">
        <f>IFERROR(E5/D5,"")</f>
        <v>6.8482310587229893</v>
      </c>
    </row>
    <row r="6" spans="1:6" x14ac:dyDescent="0.2">
      <c r="A6" s="20">
        <v>2</v>
      </c>
      <c r="B6" s="184" t="s">
        <v>1</v>
      </c>
      <c r="C6" s="185"/>
      <c r="D6" s="15">
        <f t="shared" ref="D6:D32" si="0">D37</f>
        <v>19527</v>
      </c>
      <c r="E6" s="18">
        <f t="shared" ref="E6:E32" si="1">E37+E68+IFERROR($E$105/$D$105*D6,0)</f>
        <v>208302.56044823371</v>
      </c>
      <c r="F6" s="22">
        <f t="shared" ref="F6:F33" si="2">IFERROR(E6/D6,"")</f>
        <v>10.66741232387124</v>
      </c>
    </row>
    <row r="7" spans="1:6" ht="14.25" customHeight="1" x14ac:dyDescent="0.2">
      <c r="A7" s="20">
        <v>3</v>
      </c>
      <c r="B7" s="184" t="s">
        <v>2</v>
      </c>
      <c r="C7" s="185"/>
      <c r="D7" s="15">
        <f t="shared" si="0"/>
        <v>108336</v>
      </c>
      <c r="E7" s="18">
        <f t="shared" si="1"/>
        <v>932228.47916832322</v>
      </c>
      <c r="F7" s="22">
        <f t="shared" si="2"/>
        <v>8.6049741468055245</v>
      </c>
    </row>
    <row r="8" spans="1:6" ht="14.25" customHeight="1" x14ac:dyDescent="0.2">
      <c r="A8" s="20">
        <v>4</v>
      </c>
      <c r="B8" s="184" t="s">
        <v>3</v>
      </c>
      <c r="C8" s="185"/>
      <c r="D8" s="15">
        <f t="shared" si="0"/>
        <v>50179</v>
      </c>
      <c r="E8" s="18">
        <f t="shared" si="1"/>
        <v>427658.89510584931</v>
      </c>
      <c r="F8" s="22">
        <f t="shared" si="2"/>
        <v>8.5226667551336082</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5894</v>
      </c>
      <c r="E10" s="18">
        <f t="shared" si="1"/>
        <v>83195.814578885111</v>
      </c>
      <c r="F10" s="22">
        <f t="shared" si="2"/>
        <v>14.115340105002563</v>
      </c>
    </row>
    <row r="11" spans="1:6" x14ac:dyDescent="0.2">
      <c r="A11" s="20">
        <v>7</v>
      </c>
      <c r="B11" s="184" t="s">
        <v>6</v>
      </c>
      <c r="C11" s="185"/>
      <c r="D11" s="15">
        <f t="shared" si="0"/>
        <v>27136</v>
      </c>
      <c r="E11" s="18">
        <f t="shared" si="1"/>
        <v>441158.22606254264</v>
      </c>
      <c r="F11" s="22">
        <f t="shared" si="2"/>
        <v>16.257304910913277</v>
      </c>
    </row>
    <row r="12" spans="1:6" x14ac:dyDescent="0.2">
      <c r="A12" s="20">
        <v>8</v>
      </c>
      <c r="B12" s="184" t="s">
        <v>7</v>
      </c>
      <c r="C12" s="185"/>
      <c r="D12" s="15">
        <f t="shared" si="0"/>
        <v>6912</v>
      </c>
      <c r="E12" s="18">
        <f t="shared" si="1"/>
        <v>211252.51041215708</v>
      </c>
      <c r="F12" s="22">
        <f t="shared" si="2"/>
        <v>30.563152548055132</v>
      </c>
    </row>
    <row r="13" spans="1:6" x14ac:dyDescent="0.2">
      <c r="A13" s="20">
        <v>9</v>
      </c>
      <c r="B13" s="184" t="s">
        <v>8</v>
      </c>
      <c r="C13" s="185"/>
      <c r="D13" s="15">
        <f t="shared" si="0"/>
        <v>85750</v>
      </c>
      <c r="E13" s="18">
        <f t="shared" si="1"/>
        <v>654273.55177119072</v>
      </c>
      <c r="F13" s="22">
        <f t="shared" si="2"/>
        <v>7.6300122655532441</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28774</v>
      </c>
      <c r="E15" s="18">
        <f t="shared" si="1"/>
        <v>329934.57358209026</v>
      </c>
      <c r="F15" s="22">
        <f t="shared" si="2"/>
        <v>11.466413205744431</v>
      </c>
    </row>
    <row r="16" spans="1:6" ht="14.25" customHeight="1" x14ac:dyDescent="0.2">
      <c r="A16" s="20">
        <v>12</v>
      </c>
      <c r="B16" s="184" t="s">
        <v>11</v>
      </c>
      <c r="C16" s="185"/>
      <c r="D16" s="15">
        <f t="shared" si="0"/>
        <v>98544</v>
      </c>
      <c r="E16" s="18">
        <f t="shared" si="1"/>
        <v>835737.00608443399</v>
      </c>
      <c r="F16" s="22">
        <f t="shared" si="2"/>
        <v>8.4808512551188713</v>
      </c>
    </row>
    <row r="17" spans="1:6" x14ac:dyDescent="0.2">
      <c r="A17" s="20">
        <v>13</v>
      </c>
      <c r="B17" s="184" t="s">
        <v>12</v>
      </c>
      <c r="C17" s="185"/>
      <c r="D17" s="15">
        <f t="shared" si="0"/>
        <v>7276</v>
      </c>
      <c r="E17" s="18">
        <f t="shared" si="1"/>
        <v>85901.254305389884</v>
      </c>
      <c r="F17" s="22">
        <f t="shared" si="2"/>
        <v>11.806109717618181</v>
      </c>
    </row>
    <row r="18" spans="1:6" ht="14.25" customHeight="1" x14ac:dyDescent="0.2">
      <c r="A18" s="20">
        <v>14</v>
      </c>
      <c r="B18" s="184" t="s">
        <v>469</v>
      </c>
      <c r="C18" s="185"/>
      <c r="D18" s="15">
        <f t="shared" si="0"/>
        <v>98958</v>
      </c>
      <c r="E18" s="18">
        <f t="shared" si="1"/>
        <v>1099081.5444684955</v>
      </c>
      <c r="F18" s="22">
        <f t="shared" si="2"/>
        <v>11.106545650361724</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78558</v>
      </c>
      <c r="E20" s="18">
        <f t="shared" si="1"/>
        <v>774481.39221039298</v>
      </c>
      <c r="F20" s="22">
        <f t="shared" si="2"/>
        <v>9.8587208458768423</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100704</v>
      </c>
      <c r="E22" s="18">
        <f t="shared" si="1"/>
        <v>849808.72808823315</v>
      </c>
      <c r="F22" s="22">
        <f t="shared" si="2"/>
        <v>8.4386789808570981</v>
      </c>
    </row>
    <row r="23" spans="1:6" x14ac:dyDescent="0.2">
      <c r="A23" s="20">
        <v>19</v>
      </c>
      <c r="B23" s="184" t="s">
        <v>17</v>
      </c>
      <c r="C23" s="185"/>
      <c r="D23" s="15">
        <f t="shared" si="0"/>
        <v>65080</v>
      </c>
      <c r="E23" s="18">
        <f t="shared" si="1"/>
        <v>719522.3092626133</v>
      </c>
      <c r="F23" s="22">
        <f t="shared" si="2"/>
        <v>11.055966645092399</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1088</v>
      </c>
      <c r="E25" s="18">
        <f t="shared" si="1"/>
        <v>14278.608120432134</v>
      </c>
      <c r="F25" s="22">
        <f t="shared" si="2"/>
        <v>13.123720698926594</v>
      </c>
    </row>
    <row r="26" spans="1:6" x14ac:dyDescent="0.2">
      <c r="A26" s="20">
        <v>22</v>
      </c>
      <c r="B26" s="184" t="s">
        <v>19</v>
      </c>
      <c r="C26" s="185"/>
      <c r="D26" s="15">
        <f t="shared" si="0"/>
        <v>432</v>
      </c>
      <c r="E26" s="18">
        <f t="shared" si="1"/>
        <v>5670.3444007598173</v>
      </c>
      <c r="F26" s="22">
        <f t="shared" si="2"/>
        <v>13.125797223981058</v>
      </c>
    </row>
    <row r="27" spans="1:6" x14ac:dyDescent="0.2">
      <c r="A27" s="20">
        <v>23</v>
      </c>
      <c r="B27" s="184" t="s">
        <v>20</v>
      </c>
      <c r="C27" s="185"/>
      <c r="D27" s="15">
        <f t="shared" si="0"/>
        <v>42375</v>
      </c>
      <c r="E27" s="18">
        <f t="shared" si="1"/>
        <v>424450.33097730856</v>
      </c>
      <c r="F27" s="22">
        <f t="shared" si="2"/>
        <v>10.016526984715247</v>
      </c>
    </row>
    <row r="28" spans="1:6" x14ac:dyDescent="0.2">
      <c r="A28" s="20">
        <v>24</v>
      </c>
      <c r="B28" s="184" t="s">
        <v>21</v>
      </c>
      <c r="C28" s="185"/>
      <c r="D28" s="15">
        <f t="shared" si="0"/>
        <v>3840</v>
      </c>
      <c r="E28" s="18">
        <f t="shared" si="1"/>
        <v>31343.616895642826</v>
      </c>
      <c r="F28" s="22">
        <f t="shared" si="2"/>
        <v>8.1624002332403194</v>
      </c>
    </row>
    <row r="29" spans="1:6" x14ac:dyDescent="0.2">
      <c r="A29" s="20">
        <v>25</v>
      </c>
      <c r="B29" s="184" t="s">
        <v>22</v>
      </c>
      <c r="C29" s="185"/>
      <c r="D29" s="15">
        <f t="shared" si="0"/>
        <v>112256</v>
      </c>
      <c r="E29" s="18">
        <f t="shared" si="1"/>
        <v>845541.56724929193</v>
      </c>
      <c r="F29" s="22">
        <f t="shared" si="2"/>
        <v>7.532261680883801</v>
      </c>
    </row>
    <row r="30" spans="1:6" x14ac:dyDescent="0.2">
      <c r="A30" s="20">
        <v>26</v>
      </c>
      <c r="B30" s="184" t="s">
        <v>23</v>
      </c>
      <c r="C30" s="185"/>
      <c r="D30" s="15">
        <f t="shared" si="0"/>
        <v>65582</v>
      </c>
      <c r="E30" s="18">
        <f t="shared" si="1"/>
        <v>673246.56595053326</v>
      </c>
      <c r="F30" s="22">
        <f t="shared" si="2"/>
        <v>10.265721782661908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1018665</v>
      </c>
      <c r="E33" s="32">
        <f>SUM(E5:E32)</f>
        <v>9725576</v>
      </c>
      <c r="F33" s="33">
        <f t="shared" si="2"/>
        <v>9.5473742594474142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IF(F3="1",SUMIF(Data!A:A,'33'!$A$2,Data!CU:CU),0)</f>
        <v>11464</v>
      </c>
      <c r="E36" s="16">
        <f>IF(F3="1",SUMIF(Data!$A:$A,'33'!$A$2,Data!IO:IO),0)</f>
        <v>13300</v>
      </c>
      <c r="F36" s="21">
        <f t="shared" ref="F36:F64" si="3">IFERROR(E36/D36,"")</f>
        <v>1.1601535240753664</v>
      </c>
    </row>
    <row r="37" spans="1:6" x14ac:dyDescent="0.2">
      <c r="A37" s="20">
        <v>2</v>
      </c>
      <c r="B37" s="184" t="s">
        <v>1</v>
      </c>
      <c r="C37" s="185"/>
      <c r="D37" s="15">
        <f>IF(F3="1",SUMIF(Data!A:A,'33'!$A$2,Data!CV:CV),0)</f>
        <v>19527</v>
      </c>
      <c r="E37" s="18">
        <f>IF(F3="1",SUMIF(Data!$A:$A,'33'!$A$2,Data!IP:IP),0)</f>
        <v>40215</v>
      </c>
      <c r="F37" s="22">
        <f t="shared" si="3"/>
        <v>2.059456137655554</v>
      </c>
    </row>
    <row r="38" spans="1:6" ht="14.25" customHeight="1" x14ac:dyDescent="0.2">
      <c r="A38" s="20">
        <v>3</v>
      </c>
      <c r="B38" s="184" t="s">
        <v>2</v>
      </c>
      <c r="C38" s="185"/>
      <c r="D38" s="15">
        <f>IF(F3="1",SUMIF(Data!A:A,'33'!$A$2,Data!CW:CW),0)</f>
        <v>108336</v>
      </c>
      <c r="E38" s="18">
        <f>IF(F3="1",SUMIF(Data!$A:$A,'33'!$A$2,Data!IQ:IQ),0)</f>
        <v>73967</v>
      </c>
      <c r="F38" s="22">
        <f t="shared" si="3"/>
        <v>0.68275550140304242</v>
      </c>
    </row>
    <row r="39" spans="1:6" ht="14.25" customHeight="1" x14ac:dyDescent="0.2">
      <c r="A39" s="20">
        <v>4</v>
      </c>
      <c r="B39" s="184" t="s">
        <v>3</v>
      </c>
      <c r="C39" s="185"/>
      <c r="D39" s="15">
        <f>IF(F3="1",SUMIF(Data!A:A,'33'!$A$2,Data!CX:CX),0)</f>
        <v>50179</v>
      </c>
      <c r="E39" s="18">
        <f>IF(F3="1",SUMIF(Data!$A:$A,'33'!$A$2,Data!IR:IR),0)</f>
        <v>27986</v>
      </c>
      <c r="F39" s="22">
        <f t="shared" si="3"/>
        <v>0.5577233504055481</v>
      </c>
    </row>
    <row r="40" spans="1:6" x14ac:dyDescent="0.2">
      <c r="A40" s="20">
        <v>5</v>
      </c>
      <c r="B40" s="184" t="s">
        <v>4</v>
      </c>
      <c r="C40" s="185"/>
      <c r="D40" s="15">
        <f>IF(F3="1",SUMIF(Data!A:A,'33'!$A$2,Data!CY:CY),0)</f>
        <v>0</v>
      </c>
      <c r="E40" s="18">
        <f>IF(F3="1",SUMIF(Data!$A:$A,'33'!$A$2,Data!IS:IS),0)</f>
        <v>0</v>
      </c>
      <c r="F40" s="22" t="str">
        <f t="shared" si="3"/>
        <v/>
      </c>
    </row>
    <row r="41" spans="1:6" x14ac:dyDescent="0.2">
      <c r="A41" s="20">
        <v>6</v>
      </c>
      <c r="B41" s="184" t="s">
        <v>5</v>
      </c>
      <c r="C41" s="185"/>
      <c r="D41" s="15">
        <f>IF(F3="1",SUMIF(Data!A:A,'33'!$A$2,Data!CZ:CZ),0)</f>
        <v>5894</v>
      </c>
      <c r="E41" s="18">
        <f>IF(F3="1",SUMIF(Data!$A:$A,'33'!$A$2,Data!IT:IT),0)</f>
        <v>11688</v>
      </c>
      <c r="F41" s="22">
        <f t="shared" si="3"/>
        <v>1.9830335934848999</v>
      </c>
    </row>
    <row r="42" spans="1:6" x14ac:dyDescent="0.2">
      <c r="A42" s="20">
        <v>7</v>
      </c>
      <c r="B42" s="184" t="s">
        <v>6</v>
      </c>
      <c r="C42" s="185"/>
      <c r="D42" s="15">
        <f>IF(F3="1",SUMIF(Data!A:A,'33'!$A$2,Data!DA:DA),0)</f>
        <v>27136</v>
      </c>
      <c r="E42" s="18">
        <f>IF(F3="1",SUMIF(Data!$A:$A,'33'!$A$2,Data!IU:IU),0)</f>
        <v>40128</v>
      </c>
      <c r="F42" s="22">
        <f t="shared" si="3"/>
        <v>1.4787735849056605</v>
      </c>
    </row>
    <row r="43" spans="1:6" x14ac:dyDescent="0.2">
      <c r="A43" s="20">
        <v>8</v>
      </c>
      <c r="B43" s="184" t="s">
        <v>7</v>
      </c>
      <c r="C43" s="185"/>
      <c r="D43" s="15">
        <f>IF(F3="1",SUMIF(Data!A:A,'33'!$A$2,Data!DB:DB),0)</f>
        <v>6912</v>
      </c>
      <c r="E43" s="18">
        <f>IF(F3="1",SUMIF(Data!$A:$A,'33'!$A$2,Data!IV:IV),0)</f>
        <v>123628</v>
      </c>
      <c r="F43" s="22">
        <f t="shared" si="3"/>
        <v>17.88599537037037</v>
      </c>
    </row>
    <row r="44" spans="1:6" x14ac:dyDescent="0.2">
      <c r="A44" s="20">
        <v>9</v>
      </c>
      <c r="B44" s="184" t="s">
        <v>8</v>
      </c>
      <c r="C44" s="185"/>
      <c r="D44" s="15">
        <f>IF(F3="1",SUMIF(Data!A:A,'33'!$A$2,Data!DC:DC),0)</f>
        <v>85750</v>
      </c>
      <c r="E44" s="18">
        <f>IF(F3="1",SUMIF(Data!$A:$A,'33'!$A$2,Data!IW:IW),0)</f>
        <v>39878</v>
      </c>
      <c r="F44" s="22">
        <f t="shared" si="3"/>
        <v>0.46504956268221576</v>
      </c>
    </row>
    <row r="45" spans="1:6" x14ac:dyDescent="0.2">
      <c r="A45" s="20">
        <v>10</v>
      </c>
      <c r="B45" s="184" t="s">
        <v>9</v>
      </c>
      <c r="C45" s="185"/>
      <c r="D45" s="15">
        <f>IF(F3="1",SUMIF(Data!A:A,'33'!$A$2,Data!DD:DD),0)</f>
        <v>0</v>
      </c>
      <c r="E45" s="18">
        <f>IF(F3="1",SUMIF(Data!$A:$A,'33'!$A$2,Data!IX:IX),0)</f>
        <v>0</v>
      </c>
      <c r="F45" s="22" t="str">
        <f t="shared" si="3"/>
        <v/>
      </c>
    </row>
    <row r="46" spans="1:6" x14ac:dyDescent="0.2">
      <c r="A46" s="20">
        <v>11</v>
      </c>
      <c r="B46" s="184" t="s">
        <v>10</v>
      </c>
      <c r="C46" s="185"/>
      <c r="D46" s="15">
        <f>IF(F3="1",SUMIF(Data!A:A,'33'!$A$2,Data!DE:DE),0)</f>
        <v>28774</v>
      </c>
      <c r="E46" s="18">
        <f>IF(F3="1",SUMIF(Data!$A:$A,'33'!$A$2,Data!IY:IY),0)</f>
        <v>72906</v>
      </c>
      <c r="F46" s="22">
        <f t="shared" si="3"/>
        <v>2.5337457426843679</v>
      </c>
    </row>
    <row r="47" spans="1:6" ht="14.25" customHeight="1" x14ac:dyDescent="0.2">
      <c r="A47" s="20">
        <v>12</v>
      </c>
      <c r="B47" s="184" t="s">
        <v>11</v>
      </c>
      <c r="C47" s="185"/>
      <c r="D47" s="15">
        <f>IF(F3="1",SUMIF(Data!A:A,'33'!$A$2,Data!DF:DF),0)</f>
        <v>98544</v>
      </c>
      <c r="E47" s="18">
        <f>IF(F3="1",SUMIF(Data!$A:$A,'33'!$A$2,Data!IZ:IZ),0)</f>
        <v>54645</v>
      </c>
      <c r="F47" s="22">
        <f t="shared" si="3"/>
        <v>0.55452386751095961</v>
      </c>
    </row>
    <row r="48" spans="1:6" x14ac:dyDescent="0.2">
      <c r="A48" s="20">
        <v>13</v>
      </c>
      <c r="B48" s="184" t="s">
        <v>12</v>
      </c>
      <c r="C48" s="185"/>
      <c r="D48" s="15">
        <f>IF(F3="1",SUMIF(Data!A:A,'33'!$A$2,Data!DG:DG),0)</f>
        <v>7276</v>
      </c>
      <c r="E48" s="18">
        <f>IF(F3="1",SUMIF(Data!$A:$A,'33'!$A$2,Data!JA:JA),0)</f>
        <v>4868</v>
      </c>
      <c r="F48" s="22">
        <f t="shared" si="3"/>
        <v>0.66904892798240789</v>
      </c>
    </row>
    <row r="49" spans="1:6" ht="14.25" customHeight="1" x14ac:dyDescent="0.2">
      <c r="A49" s="20">
        <v>14</v>
      </c>
      <c r="B49" s="184" t="s">
        <v>469</v>
      </c>
      <c r="C49" s="185"/>
      <c r="D49" s="15">
        <f>IF(F3="1",SUMIF(Data!A:A,'33'!$A$2,Data!DH:DH),0)</f>
        <v>98958</v>
      </c>
      <c r="E49" s="18">
        <f>IF(F3="1",SUMIF(Data!$A:$A,'33'!$A$2,Data!JB:JB),0)</f>
        <v>117007</v>
      </c>
      <c r="F49" s="22">
        <f t="shared" si="3"/>
        <v>1.1823905091048728</v>
      </c>
    </row>
    <row r="50" spans="1:6" x14ac:dyDescent="0.2">
      <c r="A50" s="20">
        <v>15</v>
      </c>
      <c r="B50" s="184" t="s">
        <v>13</v>
      </c>
      <c r="C50" s="185"/>
      <c r="D50" s="15">
        <f>IF(F3="1",SUMIF(Data!A:A,'33'!$A$2,Data!DI:DI),0)</f>
        <v>0</v>
      </c>
      <c r="E50" s="18">
        <f>IF(F3="1",SUMIF(Data!$A:$A,'33'!$A$2,Data!JC:JC),0)</f>
        <v>0</v>
      </c>
      <c r="F50" s="22" t="str">
        <f t="shared" si="3"/>
        <v/>
      </c>
    </row>
    <row r="51" spans="1:6" x14ac:dyDescent="0.2">
      <c r="A51" s="20">
        <v>16</v>
      </c>
      <c r="B51" s="184" t="s">
        <v>14</v>
      </c>
      <c r="C51" s="185"/>
      <c r="D51" s="15">
        <f>IF(F3="1",SUMIF(Data!A:A,'33'!$A$2,Data!DJ:DJ),0)</f>
        <v>78558</v>
      </c>
      <c r="E51" s="18">
        <f>IF(F3="1",SUMIF(Data!$A:$A,'33'!$A$2,Data!JD:JD),0)</f>
        <v>105836</v>
      </c>
      <c r="F51" s="22">
        <f t="shared" si="3"/>
        <v>1.3472338908831691</v>
      </c>
    </row>
    <row r="52" spans="1:6" x14ac:dyDescent="0.2">
      <c r="A52" s="20">
        <v>17</v>
      </c>
      <c r="B52" s="184" t="s">
        <v>15</v>
      </c>
      <c r="C52" s="185"/>
      <c r="D52" s="15">
        <f>IF(F3="1",SUMIF(Data!A:A,'33'!$A$2,Data!DK:DK),0)</f>
        <v>0</v>
      </c>
      <c r="E52" s="18">
        <f>IF(F3="1",SUMIF(Data!$A:$A,'33'!$A$2,Data!JE:JE),0)</f>
        <v>0</v>
      </c>
      <c r="F52" s="22" t="str">
        <f t="shared" si="3"/>
        <v/>
      </c>
    </row>
    <row r="53" spans="1:6" x14ac:dyDescent="0.2">
      <c r="A53" s="20">
        <v>18</v>
      </c>
      <c r="B53" s="184" t="s">
        <v>16</v>
      </c>
      <c r="C53" s="185"/>
      <c r="D53" s="15">
        <f>IF(F3="1",SUMIF(Data!A:A,'33'!$A$2,Data!DL:DL),0)</f>
        <v>100704</v>
      </c>
      <c r="E53" s="18">
        <f>IF(F3="1",SUMIF(Data!$A:$A,'33'!$A$2,Data!JF:JF),0)</f>
        <v>47449</v>
      </c>
      <c r="F53" s="22">
        <f t="shared" si="3"/>
        <v>0.47117294248490627</v>
      </c>
    </row>
    <row r="54" spans="1:6" x14ac:dyDescent="0.2">
      <c r="A54" s="20">
        <v>19</v>
      </c>
      <c r="B54" s="184" t="s">
        <v>17</v>
      </c>
      <c r="C54" s="185"/>
      <c r="D54" s="15">
        <f>IF(F3="1",SUMIF(Data!A:A,'33'!$A$2,Data!DM:DM),0)</f>
        <v>65080</v>
      </c>
      <c r="E54" s="18">
        <f>IF(F3="1",SUMIF(Data!$A:$A,'33'!$A$2,Data!JG:JG),0)</f>
        <v>73377</v>
      </c>
      <c r="F54" s="22">
        <f t="shared" si="3"/>
        <v>1.1274892440073756</v>
      </c>
    </row>
    <row r="55" spans="1:6" x14ac:dyDescent="0.2">
      <c r="A55" s="20">
        <v>20</v>
      </c>
      <c r="B55" s="184" t="s">
        <v>18</v>
      </c>
      <c r="C55" s="185"/>
      <c r="D55" s="15">
        <f>IF(F3="1",SUMIF(Data!A:A,'33'!$A$2,Data!DN:DN),0)</f>
        <v>0</v>
      </c>
      <c r="E55" s="18">
        <f>IF(F3="1",SUMIF(Data!$A:$A,'33'!$A$2,Data!JH:JH),0)</f>
        <v>0</v>
      </c>
      <c r="F55" s="22" t="str">
        <f t="shared" si="3"/>
        <v/>
      </c>
    </row>
    <row r="56" spans="1:6" ht="14.25" customHeight="1" x14ac:dyDescent="0.2">
      <c r="A56" s="20">
        <v>21</v>
      </c>
      <c r="B56" s="184" t="s">
        <v>466</v>
      </c>
      <c r="C56" s="185"/>
      <c r="D56" s="15">
        <f>IF(F3="1",SUMIF(Data!A:A,'33'!$A$2,Data!DO:DO),0)</f>
        <v>1088</v>
      </c>
      <c r="E56" s="18">
        <f>IF(F3="1",SUMIF(Data!$A:$A,'33'!$A$2,Data!JI:JI),0)</f>
        <v>6365</v>
      </c>
      <c r="F56" s="22">
        <f t="shared" si="3"/>
        <v>5.8501838235294121</v>
      </c>
    </row>
    <row r="57" spans="1:6" x14ac:dyDescent="0.2">
      <c r="A57" s="20">
        <v>22</v>
      </c>
      <c r="B57" s="184" t="s">
        <v>19</v>
      </c>
      <c r="C57" s="185"/>
      <c r="D57" s="15">
        <f>IF(F3="1",SUMIF(Data!A:A,'33'!$A$2,Data!DP:DP),0)</f>
        <v>432</v>
      </c>
      <c r="E57" s="18">
        <f>IF(F3="1",SUMIF(Data!$A:$A,'33'!$A$2,Data!JJ:JJ),0)</f>
        <v>2528</v>
      </c>
      <c r="F57" s="22">
        <f t="shared" si="3"/>
        <v>5.8518518518518521</v>
      </c>
    </row>
    <row r="58" spans="1:6" x14ac:dyDescent="0.2">
      <c r="A58" s="20">
        <v>23</v>
      </c>
      <c r="B58" s="184" t="s">
        <v>20</v>
      </c>
      <c r="C58" s="185"/>
      <c r="D58" s="15">
        <f>IF(F3="1",SUMIF(Data!A:A,'33'!$A$2,Data!DQ:DQ),0)</f>
        <v>42375</v>
      </c>
      <c r="E58" s="18">
        <f>IF(F3="1",SUMIF(Data!$A:$A,'33'!$A$2,Data!JK:JK),0)</f>
        <v>49922</v>
      </c>
      <c r="F58" s="22">
        <f t="shared" si="3"/>
        <v>1.1781002949852508</v>
      </c>
    </row>
    <row r="59" spans="1:6" x14ac:dyDescent="0.2">
      <c r="A59" s="20">
        <v>24</v>
      </c>
      <c r="B59" s="184" t="s">
        <v>21</v>
      </c>
      <c r="C59" s="185"/>
      <c r="D59" s="15">
        <f>IF(F3="1",SUMIF(Data!A:A,'33'!$A$2,Data!DR:DR),0)</f>
        <v>3840</v>
      </c>
      <c r="E59" s="18">
        <f>IF(F3="1",SUMIF(Data!$A:$A,'33'!$A$2,Data!JL:JL),0)</f>
        <v>1794</v>
      </c>
      <c r="F59" s="22">
        <f t="shared" si="3"/>
        <v>0.46718749999999998</v>
      </c>
    </row>
    <row r="60" spans="1:6" x14ac:dyDescent="0.2">
      <c r="A60" s="20">
        <v>25</v>
      </c>
      <c r="B60" s="184" t="s">
        <v>22</v>
      </c>
      <c r="C60" s="185"/>
      <c r="D60" s="15">
        <f>IF(F3="1",SUMIF(Data!A:A,'33'!$A$2,Data!DS:DS),0)</f>
        <v>112256</v>
      </c>
      <c r="E60" s="18">
        <f>IF(F3="1",SUMIF(Data!$A:$A,'33'!$A$2,Data!JM:JM),0)</f>
        <v>62754</v>
      </c>
      <c r="F60" s="22">
        <f t="shared" si="3"/>
        <v>0.55902579817559861</v>
      </c>
    </row>
    <row r="61" spans="1:6" x14ac:dyDescent="0.2">
      <c r="A61" s="20">
        <v>26</v>
      </c>
      <c r="B61" s="184" t="s">
        <v>23</v>
      </c>
      <c r="C61" s="185"/>
      <c r="D61" s="15">
        <f>IF(F3="1",SUMIF(Data!A:A,'33'!$A$2,Data!DT:DT),0)</f>
        <v>65582</v>
      </c>
      <c r="E61" s="18">
        <f>IF(F3="1",SUMIF(Data!$A:$A,'33'!$A$2,Data!JN:JN),0)</f>
        <v>85139</v>
      </c>
      <c r="F61" s="22">
        <f t="shared" si="3"/>
        <v>1.2982068250434571</v>
      </c>
    </row>
    <row r="62" spans="1:6" x14ac:dyDescent="0.2">
      <c r="A62" s="20">
        <v>28</v>
      </c>
      <c r="B62" s="184" t="s">
        <v>24</v>
      </c>
      <c r="C62" s="185"/>
      <c r="D62" s="15">
        <f>IF(F3="1",SUMIF(Data!A:A,'33'!$A$2,Data!DV:DV),0)</f>
        <v>0</v>
      </c>
      <c r="E62" s="18">
        <f>IF(F3="1",SUMIF(Data!$A:$A,'33'!$A$2,Data!JP:JP),0)</f>
        <v>0</v>
      </c>
      <c r="F62" s="22" t="str">
        <f t="shared" si="3"/>
        <v/>
      </c>
    </row>
    <row r="63" spans="1:6" ht="15.75" customHeight="1" thickBot="1" x14ac:dyDescent="0.25">
      <c r="A63" s="23">
        <v>29</v>
      </c>
      <c r="B63" s="186" t="s">
        <v>25</v>
      </c>
      <c r="C63" s="187"/>
      <c r="D63" s="24">
        <f>IF(F3="1",SUMIF(Data!A:A,'33'!$A$2,Data!DW:DW),0)</f>
        <v>0</v>
      </c>
      <c r="E63" s="25">
        <f>IF(F3="1",SUMIF(Data!$A:$A,'33'!$A$2,Data!JQ:JQ),0)</f>
        <v>0</v>
      </c>
      <c r="F63" s="26" t="str">
        <f t="shared" si="3"/>
        <v/>
      </c>
    </row>
    <row r="64" spans="1:6" x14ac:dyDescent="0.2">
      <c r="B64" s="31" t="s">
        <v>35</v>
      </c>
      <c r="C64" s="31"/>
      <c r="D64" s="61">
        <f>SUM(D36:D63)</f>
        <v>1018665</v>
      </c>
      <c r="E64" s="32">
        <f>SUM(E36:E63)</f>
        <v>1055380</v>
      </c>
      <c r="F64" s="33">
        <f t="shared" si="3"/>
        <v>1.0360422710115691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11464</v>
      </c>
      <c r="E67" s="16">
        <f>IF(F3="1",SUMIF(Data!A:A,'33'!$A$2,Data!DY:DY),0)</f>
        <v>11833</v>
      </c>
      <c r="F67" s="21">
        <f>IFERROR(E67/D67,"")</f>
        <v>1.0321877180739707</v>
      </c>
    </row>
    <row r="68" spans="1:6" x14ac:dyDescent="0.2">
      <c r="A68" s="20">
        <v>2</v>
      </c>
      <c r="B68" s="184" t="s">
        <v>1</v>
      </c>
      <c r="C68" s="185"/>
      <c r="D68" s="15">
        <f t="shared" ref="D68:D94" si="4">D37</f>
        <v>19527</v>
      </c>
      <c r="E68" s="18">
        <f>IF(F3="1",SUMIF(Data!A:A,'33'!$A$2,Data!DZ:DZ),0)</f>
        <v>77172</v>
      </c>
      <c r="F68" s="22">
        <f t="shared" ref="F68:F95" si="5">IFERROR(E68/D68,"")</f>
        <v>3.9520663696420342</v>
      </c>
    </row>
    <row r="69" spans="1:6" ht="14.25" customHeight="1" x14ac:dyDescent="0.2">
      <c r="A69" s="20">
        <v>3</v>
      </c>
      <c r="B69" s="184" t="s">
        <v>2</v>
      </c>
      <c r="C69" s="185"/>
      <c r="D69" s="15">
        <f t="shared" si="4"/>
        <v>108336</v>
      </c>
      <c r="E69" s="18">
        <f>IF(F3="1",SUMIF(Data!A:A,'33'!$A$2,Data!EA:EA),0)</f>
        <v>353861</v>
      </c>
      <c r="F69" s="22">
        <f t="shared" si="5"/>
        <v>3.2663288288288288</v>
      </c>
    </row>
    <row r="70" spans="1:6" ht="14.25" customHeight="1" x14ac:dyDescent="0.2">
      <c r="A70" s="20">
        <v>4</v>
      </c>
      <c r="B70" s="184" t="s">
        <v>3</v>
      </c>
      <c r="C70" s="185"/>
      <c r="D70" s="15">
        <f t="shared" si="4"/>
        <v>50179</v>
      </c>
      <c r="E70" s="18">
        <f>IF(F3="1",SUMIF(Data!A:A,'33'!$A$2,Data!EB:EB),0)</f>
        <v>166045</v>
      </c>
      <c r="F70" s="22">
        <f t="shared" si="5"/>
        <v>3.3090535881544074</v>
      </c>
    </row>
    <row r="71" spans="1:6" x14ac:dyDescent="0.2">
      <c r="A71" s="20">
        <v>5</v>
      </c>
      <c r="B71" s="184" t="s">
        <v>4</v>
      </c>
      <c r="C71" s="185"/>
      <c r="D71" s="15">
        <f t="shared" si="4"/>
        <v>0</v>
      </c>
      <c r="E71" s="18">
        <f>IF(F3="1",SUMIF(Data!A:A,'33'!$A$2,Data!EC:EC),0)</f>
        <v>0</v>
      </c>
      <c r="F71" s="22" t="str">
        <f t="shared" si="5"/>
        <v/>
      </c>
    </row>
    <row r="72" spans="1:6" x14ac:dyDescent="0.2">
      <c r="A72" s="20">
        <v>6</v>
      </c>
      <c r="B72" s="184" t="s">
        <v>5</v>
      </c>
      <c r="C72" s="185"/>
      <c r="D72" s="15">
        <f t="shared" si="4"/>
        <v>5894</v>
      </c>
      <c r="E72" s="18">
        <f>IF(F3="1",SUMIF(Data!A:A,'33'!$A$2,Data!ED:ED),0)</f>
        <v>44066</v>
      </c>
      <c r="F72" s="22">
        <f t="shared" si="5"/>
        <v>7.4764166949440112</v>
      </c>
    </row>
    <row r="73" spans="1:6" x14ac:dyDescent="0.2">
      <c r="A73" s="20">
        <v>7</v>
      </c>
      <c r="B73" s="184" t="s">
        <v>6</v>
      </c>
      <c r="C73" s="185"/>
      <c r="D73" s="15">
        <f t="shared" si="4"/>
        <v>27136</v>
      </c>
      <c r="E73" s="18">
        <f>IF(F3="1",SUMIF(Data!A:A,'33'!$A$2,Data!EE:EE),0)</f>
        <v>274688</v>
      </c>
      <c r="F73" s="22">
        <f t="shared" si="5"/>
        <v>10.122641509433961</v>
      </c>
    </row>
    <row r="74" spans="1:6" x14ac:dyDescent="0.2">
      <c r="A74" s="20">
        <v>8</v>
      </c>
      <c r="B74" s="184" t="s">
        <v>7</v>
      </c>
      <c r="C74" s="185"/>
      <c r="D74" s="15">
        <f t="shared" si="4"/>
        <v>6912</v>
      </c>
      <c r="E74" s="18">
        <f>IF(F3="1",SUMIF(Data!A:A,'33'!$A$2,Data!EF:EF),0)</f>
        <v>55443</v>
      </c>
      <c r="F74" s="22">
        <f t="shared" si="5"/>
        <v>8.0212673611111107</v>
      </c>
    </row>
    <row r="75" spans="1:6" x14ac:dyDescent="0.2">
      <c r="A75" s="20">
        <v>9</v>
      </c>
      <c r="B75" s="184" t="s">
        <v>8</v>
      </c>
      <c r="C75" s="185"/>
      <c r="D75" s="15">
        <f t="shared" si="4"/>
        <v>85750</v>
      </c>
      <c r="E75" s="18">
        <f>IF(F3="1",SUMIF(Data!A:A,'33'!$A$2,Data!EG:EG),0)</f>
        <v>215153</v>
      </c>
      <c r="F75" s="22">
        <f t="shared" si="5"/>
        <v>2.5090728862973761</v>
      </c>
    </row>
    <row r="76" spans="1:6" x14ac:dyDescent="0.2">
      <c r="A76" s="20">
        <v>10</v>
      </c>
      <c r="B76" s="184" t="s">
        <v>9</v>
      </c>
      <c r="C76" s="185"/>
      <c r="D76" s="15">
        <f t="shared" si="4"/>
        <v>0</v>
      </c>
      <c r="E76" s="18">
        <f>IF(F3="1",SUMIF(Data!A:A,'33'!$A$2,Data!EH:EH),0)</f>
        <v>0</v>
      </c>
      <c r="F76" s="22" t="str">
        <f t="shared" si="5"/>
        <v/>
      </c>
    </row>
    <row r="77" spans="1:6" x14ac:dyDescent="0.2">
      <c r="A77" s="20">
        <v>11</v>
      </c>
      <c r="B77" s="184" t="s">
        <v>10</v>
      </c>
      <c r="C77" s="185"/>
      <c r="D77" s="15">
        <f t="shared" si="4"/>
        <v>28774</v>
      </c>
      <c r="E77" s="18">
        <f>IF(F3="1",SUMIF(Data!A:A,'33'!$A$2,Data!EI:EI),0)</f>
        <v>123060</v>
      </c>
      <c r="F77" s="22">
        <f t="shared" si="5"/>
        <v>4.2767776464864111</v>
      </c>
    </row>
    <row r="78" spans="1:6" ht="14.25" customHeight="1" x14ac:dyDescent="0.2">
      <c r="A78" s="20">
        <v>12</v>
      </c>
      <c r="B78" s="184" t="s">
        <v>11</v>
      </c>
      <c r="C78" s="185"/>
      <c r="D78" s="15">
        <f t="shared" si="4"/>
        <v>98544</v>
      </c>
      <c r="E78" s="18">
        <f>IF(F3="1",SUMIF(Data!A:A,'33'!$A$2,Data!EJ:EJ),0)</f>
        <v>322282</v>
      </c>
      <c r="F78" s="22">
        <f t="shared" si="5"/>
        <v>3.2704375710342588</v>
      </c>
    </row>
    <row r="79" spans="1:6" x14ac:dyDescent="0.2">
      <c r="A79" s="20">
        <v>13</v>
      </c>
      <c r="B79" s="184" t="s">
        <v>12</v>
      </c>
      <c r="C79" s="185"/>
      <c r="D79" s="15">
        <f t="shared" si="4"/>
        <v>7276</v>
      </c>
      <c r="E79" s="18">
        <f>IF(F3="1",SUMIF(Data!A:A,'33'!$A$2,Data!EK:EK),0)</f>
        <v>47157</v>
      </c>
      <c r="F79" s="22">
        <f t="shared" si="5"/>
        <v>6.4811709730621221</v>
      </c>
    </row>
    <row r="80" spans="1:6" ht="14.25" customHeight="1" x14ac:dyDescent="0.2">
      <c r="A80" s="20">
        <v>14</v>
      </c>
      <c r="B80" s="184" t="s">
        <v>469</v>
      </c>
      <c r="C80" s="185"/>
      <c r="D80" s="15">
        <f t="shared" si="4"/>
        <v>98958</v>
      </c>
      <c r="E80" s="18">
        <f>IF(F3="1",SUMIF(Data!A:A,'33'!$A$2,Data!EL:EL),0)</f>
        <v>521337</v>
      </c>
      <c r="F80" s="22">
        <f t="shared" si="5"/>
        <v>5.268265324683199</v>
      </c>
    </row>
    <row r="81" spans="1:6" x14ac:dyDescent="0.2">
      <c r="A81" s="20">
        <v>15</v>
      </c>
      <c r="B81" s="184" t="s">
        <v>13</v>
      </c>
      <c r="C81" s="185"/>
      <c r="D81" s="15">
        <f t="shared" si="4"/>
        <v>0</v>
      </c>
      <c r="E81" s="18">
        <f>IF(F3="1",SUMIF(Data!A:A,'33'!$A$2,Data!EM:EM),0)</f>
        <v>0</v>
      </c>
      <c r="F81" s="22" t="str">
        <f t="shared" si="5"/>
        <v/>
      </c>
    </row>
    <row r="82" spans="1:6" x14ac:dyDescent="0.2">
      <c r="A82" s="20">
        <v>16</v>
      </c>
      <c r="B82" s="184" t="s">
        <v>14</v>
      </c>
      <c r="C82" s="185"/>
      <c r="D82" s="15">
        <f t="shared" si="4"/>
        <v>78558</v>
      </c>
      <c r="E82" s="18">
        <f>IF(F3="1",SUMIF(Data!A:A,'33'!$A$2,Data!EN:EN),0)</f>
        <v>302888</v>
      </c>
      <c r="F82" s="22">
        <f t="shared" si="5"/>
        <v>3.8555971384200207</v>
      </c>
    </row>
    <row r="83" spans="1:6" x14ac:dyDescent="0.2">
      <c r="A83" s="20">
        <v>17</v>
      </c>
      <c r="B83" s="184" t="s">
        <v>15</v>
      </c>
      <c r="C83" s="185"/>
      <c r="D83" s="15">
        <f t="shared" si="4"/>
        <v>0</v>
      </c>
      <c r="E83" s="18">
        <f>IF(F3="1",SUMIF(Data!A:A,'33'!$A$2,Data!EO:EO),0)</f>
        <v>0</v>
      </c>
      <c r="F83" s="22" t="str">
        <f t="shared" si="5"/>
        <v/>
      </c>
    </row>
    <row r="84" spans="1:6" x14ac:dyDescent="0.2">
      <c r="A84" s="20">
        <v>18</v>
      </c>
      <c r="B84" s="184" t="s">
        <v>16</v>
      </c>
      <c r="C84" s="185"/>
      <c r="D84" s="15">
        <f t="shared" si="4"/>
        <v>100704</v>
      </c>
      <c r="E84" s="18">
        <f>IF(F3="1",SUMIF(Data!A:A,'33'!$A$2,Data!EP:EP),0)</f>
        <v>333493</v>
      </c>
      <c r="F84" s="22">
        <f t="shared" si="5"/>
        <v>3.3116162217985381</v>
      </c>
    </row>
    <row r="85" spans="1:6" x14ac:dyDescent="0.2">
      <c r="A85" s="20">
        <v>19</v>
      </c>
      <c r="B85" s="184" t="s">
        <v>17</v>
      </c>
      <c r="C85" s="185"/>
      <c r="D85" s="15">
        <f t="shared" si="4"/>
        <v>65080</v>
      </c>
      <c r="E85" s="18">
        <f>IF(F3="1",SUMIF(Data!A:A,'33'!$A$2,Data!EQ:EQ),0)</f>
        <v>343140</v>
      </c>
      <c r="F85" s="22">
        <f t="shared" si="5"/>
        <v>5.2725875845113706</v>
      </c>
    </row>
    <row r="86" spans="1:6" x14ac:dyDescent="0.2">
      <c r="A86" s="20">
        <v>20</v>
      </c>
      <c r="B86" s="184" t="s">
        <v>18</v>
      </c>
      <c r="C86" s="185"/>
      <c r="D86" s="15">
        <f t="shared" si="4"/>
        <v>0</v>
      </c>
      <c r="E86" s="18">
        <f>IF(F3="1",SUMIF(Data!A:A,'33'!$A$2,Data!ER:ER),0)</f>
        <v>0</v>
      </c>
      <c r="F86" s="22" t="str">
        <f t="shared" si="5"/>
        <v/>
      </c>
    </row>
    <row r="87" spans="1:6" ht="14.25" customHeight="1" x14ac:dyDescent="0.2">
      <c r="A87" s="20">
        <v>21</v>
      </c>
      <c r="B87" s="184" t="s">
        <v>466</v>
      </c>
      <c r="C87" s="185"/>
      <c r="D87" s="15">
        <f t="shared" si="4"/>
        <v>1088</v>
      </c>
      <c r="E87" s="18">
        <f>IF(F3="1",SUMIF(Data!A:A,'33'!$A$2,Data!ES:ES),0)</f>
        <v>2848</v>
      </c>
      <c r="F87" s="22">
        <f t="shared" si="5"/>
        <v>2.6176470588235294</v>
      </c>
    </row>
    <row r="88" spans="1:6" x14ac:dyDescent="0.2">
      <c r="A88" s="20">
        <v>22</v>
      </c>
      <c r="B88" s="184" t="s">
        <v>19</v>
      </c>
      <c r="C88" s="185"/>
      <c r="D88" s="15">
        <f t="shared" si="4"/>
        <v>432</v>
      </c>
      <c r="E88" s="18">
        <f>IF(F3="1",SUMIF(Data!A:A,'33'!$A$2,Data!ET:ET),0)</f>
        <v>1131</v>
      </c>
      <c r="F88" s="22">
        <f t="shared" si="5"/>
        <v>2.6180555555555554</v>
      </c>
    </row>
    <row r="89" spans="1:6" x14ac:dyDescent="0.2">
      <c r="A89" s="20">
        <v>23</v>
      </c>
      <c r="B89" s="184" t="s">
        <v>20</v>
      </c>
      <c r="C89" s="185"/>
      <c r="D89" s="15">
        <f t="shared" si="4"/>
        <v>42375</v>
      </c>
      <c r="E89" s="18">
        <f>IF(F3="1",SUMIF(Data!A:A,'33'!$A$2,Data!EU:EU),0)</f>
        <v>177235</v>
      </c>
      <c r="F89" s="22">
        <f t="shared" si="5"/>
        <v>4.1825368731563426</v>
      </c>
    </row>
    <row r="90" spans="1:6" x14ac:dyDescent="0.2">
      <c r="A90" s="20">
        <v>24</v>
      </c>
      <c r="B90" s="184" t="s">
        <v>21</v>
      </c>
      <c r="C90" s="185"/>
      <c r="D90" s="15">
        <f t="shared" si="4"/>
        <v>3840</v>
      </c>
      <c r="E90" s="18">
        <f>IF(F3="1",SUMIF(Data!A:A,'33'!$A$2,Data!EV:EV),0)</f>
        <v>11671</v>
      </c>
      <c r="F90" s="22">
        <f t="shared" si="5"/>
        <v>3.0393229166666669</v>
      </c>
    </row>
    <row r="91" spans="1:6" x14ac:dyDescent="0.2">
      <c r="A91" s="20">
        <v>25</v>
      </c>
      <c r="B91" s="184" t="s">
        <v>22</v>
      </c>
      <c r="C91" s="185"/>
      <c r="D91" s="15">
        <f t="shared" si="4"/>
        <v>112256</v>
      </c>
      <c r="E91" s="18">
        <f>IF(F3="1",SUMIF(Data!A:A,'33'!$A$2,Data!EW:EW),0)</f>
        <v>260136</v>
      </c>
      <c r="F91" s="22">
        <f t="shared" si="5"/>
        <v>2.3173460661345495</v>
      </c>
    </row>
    <row r="92" spans="1:6" x14ac:dyDescent="0.2">
      <c r="A92" s="20">
        <v>26</v>
      </c>
      <c r="B92" s="184" t="s">
        <v>23</v>
      </c>
      <c r="C92" s="185"/>
      <c r="D92" s="15">
        <f t="shared" si="4"/>
        <v>65582</v>
      </c>
      <c r="E92" s="18">
        <f>IF(F3="1",SUMIF(Data!A:A,'33'!$A$2,Data!EX:EX),0)</f>
        <v>282765</v>
      </c>
      <c r="F92" s="22">
        <f t="shared" si="5"/>
        <v>4.3116251410447992</v>
      </c>
    </row>
    <row r="93" spans="1:6" x14ac:dyDescent="0.2">
      <c r="A93" s="20">
        <v>28</v>
      </c>
      <c r="B93" s="184" t="s">
        <v>24</v>
      </c>
      <c r="C93" s="185"/>
      <c r="D93" s="15">
        <f t="shared" si="4"/>
        <v>0</v>
      </c>
      <c r="E93" s="18">
        <f>IF(F3="1",SUMIF(Data!A:A,'33'!$A$2,Data!EZ:EZ),0)</f>
        <v>0</v>
      </c>
      <c r="F93" s="22" t="str">
        <f t="shared" si="5"/>
        <v/>
      </c>
    </row>
    <row r="94" spans="1:6" ht="15.75" customHeight="1" thickBot="1" x14ac:dyDescent="0.25">
      <c r="A94" s="23">
        <v>29</v>
      </c>
      <c r="B94" s="186" t="s">
        <v>25</v>
      </c>
      <c r="C94" s="187"/>
      <c r="D94" s="24">
        <f t="shared" si="4"/>
        <v>0</v>
      </c>
      <c r="E94" s="25">
        <f>IF(F3="1",SUMIF(Data!A:A,'33'!$A$2,Data!FA:FA),0)</f>
        <v>0</v>
      </c>
      <c r="F94" s="26" t="str">
        <f t="shared" si="5"/>
        <v/>
      </c>
    </row>
    <row r="95" spans="1:6" x14ac:dyDescent="0.2">
      <c r="B95" s="31" t="s">
        <v>35</v>
      </c>
      <c r="C95" s="31"/>
      <c r="D95" s="61">
        <f>SUM(D67:D94)</f>
        <v>1018665</v>
      </c>
      <c r="E95" s="32">
        <f>SUM(E67:E94)</f>
        <v>3927404</v>
      </c>
      <c r="F95" s="33">
        <f t="shared" si="5"/>
        <v>3.8554421718621921</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IF(F3="1",SUMIF(Data!A:A,'33'!$A$2,Data!AH:AH),0)</f>
        <v>1523029</v>
      </c>
      <c r="F98" s="21">
        <f t="shared" ref="F98:F105" si="6">IFERROR(E98/$D$95,0)</f>
        <v>1.4951225378313773</v>
      </c>
    </row>
    <row r="99" spans="2:6" x14ac:dyDescent="0.2">
      <c r="B99" s="190" t="s">
        <v>31</v>
      </c>
      <c r="C99" s="191"/>
      <c r="D99" s="37"/>
      <c r="E99" s="18">
        <f>IF(F3="1",SUMIF(Data!A:A,'33'!$A$2,Data!AI:AI),0)</f>
        <v>798404</v>
      </c>
      <c r="F99" s="22">
        <f t="shared" si="6"/>
        <v>0.78377484256355134</v>
      </c>
    </row>
    <row r="100" spans="2:6" x14ac:dyDescent="0.2">
      <c r="B100" s="190" t="s">
        <v>32</v>
      </c>
      <c r="C100" s="191"/>
      <c r="D100" s="37"/>
      <c r="E100" s="18">
        <f>IF(F3="1",SUMIF(Data!A:A,'33'!$A$2,Data!AJ:AJ),0)</f>
        <v>1925992</v>
      </c>
      <c r="F100" s="22">
        <f t="shared" si="6"/>
        <v>1.890702046305704</v>
      </c>
    </row>
    <row r="101" spans="2:6" x14ac:dyDescent="0.2">
      <c r="B101" s="190" t="s">
        <v>28</v>
      </c>
      <c r="C101" s="191"/>
      <c r="D101" s="37"/>
      <c r="E101" s="18">
        <f>IF(F3="1",SUMIF(Data!A:A,'33'!$A$2,Data!AK:AK),0)</f>
        <v>0</v>
      </c>
      <c r="F101" s="22">
        <f t="shared" si="6"/>
        <v>0</v>
      </c>
    </row>
    <row r="102" spans="2:6" x14ac:dyDescent="0.2">
      <c r="B102" s="190" t="s">
        <v>33</v>
      </c>
      <c r="C102" s="191"/>
      <c r="D102" s="37"/>
      <c r="E102" s="18">
        <f>IF(F3="1",SUMIF(Data!A:A,'33'!$A$2,Data!AL:AL),0)</f>
        <v>0</v>
      </c>
      <c r="F102" s="22">
        <f t="shared" si="6"/>
        <v>0</v>
      </c>
    </row>
    <row r="103" spans="2:6" x14ac:dyDescent="0.2">
      <c r="B103" s="192" t="s">
        <v>34</v>
      </c>
      <c r="C103" s="193"/>
      <c r="D103" s="37"/>
      <c r="E103" s="18">
        <f>IF(F3="1",SUMIF(Data!A:A,'33'!$A$2,Data!AM:AM),0)</f>
        <v>195125</v>
      </c>
      <c r="F103" s="22">
        <f t="shared" si="6"/>
        <v>0.19154972439418258</v>
      </c>
    </row>
    <row r="104" spans="2:6" ht="15.75" customHeight="1" thickBot="1" x14ac:dyDescent="0.25">
      <c r="B104" s="182" t="s">
        <v>29</v>
      </c>
      <c r="C104" s="183"/>
      <c r="D104" s="38"/>
      <c r="E104" s="25">
        <f>IF(F3="1",SUMIF(Data!A:A,'33'!$A$2,Data!Q:Q),0)</f>
        <v>300242</v>
      </c>
      <c r="F104" s="26">
        <f t="shared" si="6"/>
        <v>0.29474066547883748</v>
      </c>
    </row>
    <row r="105" spans="2:6" x14ac:dyDescent="0.2">
      <c r="B105" s="31" t="s">
        <v>35</v>
      </c>
      <c r="C105" s="31"/>
      <c r="D105" s="35">
        <f>D95</f>
        <v>1018665</v>
      </c>
      <c r="E105" s="32">
        <f>SUM(E98:E104)</f>
        <v>4742792</v>
      </c>
      <c r="F105" s="33">
        <f t="shared" si="6"/>
        <v>4.6558898165736524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3927404</v>
      </c>
      <c r="D109" s="16">
        <f>IF(F3="1",SUMIF(Data!$A:$A,$A$2,Data!HJ:HJ),0)</f>
        <v>0</v>
      </c>
      <c r="E109" s="16">
        <f>IF(F3="1",SUMIF(Data!$A:$A,$A$2,Data!IN:IN),0)</f>
        <v>0</v>
      </c>
      <c r="F109" s="48">
        <f>SUM(C109:E109)</f>
        <v>3927404</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300242</v>
      </c>
      <c r="E117" s="53"/>
      <c r="F117" s="50">
        <f>SUM(C117:E117)</f>
        <v>300242</v>
      </c>
    </row>
    <row r="118" spans="1:6" x14ac:dyDescent="0.2">
      <c r="B118" s="14" t="s">
        <v>35</v>
      </c>
      <c r="C118" s="5">
        <f>SUM(C109:C116)</f>
        <v>3927404</v>
      </c>
      <c r="D118" s="5">
        <f>SUM(D109:D116)</f>
        <v>0</v>
      </c>
      <c r="E118" s="5">
        <f>SUM(E109:E116)</f>
        <v>0</v>
      </c>
      <c r="F118" s="5">
        <f>SUM(F109:F116)</f>
        <v>3927404</v>
      </c>
    </row>
    <row r="119" spans="1:6" ht="15" thickBot="1" x14ac:dyDescent="0.25"/>
    <row r="120" spans="1:6" ht="15" thickBot="1" x14ac:dyDescent="0.25">
      <c r="B120" s="57" t="s">
        <v>942</v>
      </c>
      <c r="C120" s="55"/>
      <c r="D120" s="55"/>
      <c r="E120" s="55">
        <f>IF(F3="1",SUMIF(Data!A:A,'33'!$A$2,Data!AM:AM),0)</f>
        <v>195125</v>
      </c>
      <c r="F120" s="56">
        <f>SUM(C120:E120)</f>
        <v>195125</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390</v>
      </c>
      <c r="B2" s="60" t="str">
        <f>VLOOKUP(A2,Data!A:G,7,0)</f>
        <v>Paris Junior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5456</v>
      </c>
      <c r="E5" s="16">
        <f>E36+E67+IFERROR($E$105/$D$105*D5,0)</f>
        <v>64423.247257998053</v>
      </c>
      <c r="F5" s="21">
        <f>IFERROR(E5/D5,"")</f>
        <v>11.807779922653602</v>
      </c>
    </row>
    <row r="6" spans="1:6" x14ac:dyDescent="0.2">
      <c r="A6" s="20">
        <v>2</v>
      </c>
      <c r="B6" s="184" t="s">
        <v>1</v>
      </c>
      <c r="C6" s="185"/>
      <c r="D6" s="15">
        <f t="shared" ref="D6:D32" si="0">D37</f>
        <v>171526</v>
      </c>
      <c r="E6" s="18">
        <f t="shared" ref="E6:E32" si="1">E37+E68+IFERROR($E$105/$D$105*D6,0)</f>
        <v>1100597.4646582431</v>
      </c>
      <c r="F6" s="22">
        <f t="shared" ref="F6:F33" si="2">IFERROR(E6/D6,"")</f>
        <v>6.4165051634052164</v>
      </c>
    </row>
    <row r="7" spans="1:6" ht="14.25" customHeight="1" x14ac:dyDescent="0.2">
      <c r="A7" s="20">
        <v>3</v>
      </c>
      <c r="B7" s="184" t="s">
        <v>2</v>
      </c>
      <c r="C7" s="185"/>
      <c r="D7" s="15">
        <f t="shared" si="0"/>
        <v>309768</v>
      </c>
      <c r="E7" s="18">
        <f t="shared" si="1"/>
        <v>1299983.9678547545</v>
      </c>
      <c r="F7" s="22">
        <f t="shared" si="2"/>
        <v>4.1966373797640637</v>
      </c>
    </row>
    <row r="8" spans="1:6" ht="14.25" customHeight="1" x14ac:dyDescent="0.2">
      <c r="A8" s="20">
        <v>4</v>
      </c>
      <c r="B8" s="184" t="s">
        <v>3</v>
      </c>
      <c r="C8" s="185"/>
      <c r="D8" s="15">
        <f t="shared" si="0"/>
        <v>101832</v>
      </c>
      <c r="E8" s="18">
        <f t="shared" si="1"/>
        <v>501620.76443850034</v>
      </c>
      <c r="F8" s="22">
        <f t="shared" si="2"/>
        <v>4.9259639841945591</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9464</v>
      </c>
      <c r="E10" s="18">
        <f t="shared" si="1"/>
        <v>62064.071123477566</v>
      </c>
      <c r="F10" s="22">
        <f t="shared" si="2"/>
        <v>6.5579111499870635</v>
      </c>
    </row>
    <row r="11" spans="1:6" x14ac:dyDescent="0.2">
      <c r="A11" s="20">
        <v>7</v>
      </c>
      <c r="B11" s="184" t="s">
        <v>6</v>
      </c>
      <c r="C11" s="185"/>
      <c r="D11" s="15">
        <f t="shared" si="0"/>
        <v>89808</v>
      </c>
      <c r="E11" s="18">
        <f t="shared" si="1"/>
        <v>468253.29284206184</v>
      </c>
      <c r="F11" s="22">
        <f t="shared" si="2"/>
        <v>5.2139374314321865</v>
      </c>
    </row>
    <row r="12" spans="1:6" x14ac:dyDescent="0.2">
      <c r="A12" s="20">
        <v>8</v>
      </c>
      <c r="B12" s="184" t="s">
        <v>7</v>
      </c>
      <c r="C12" s="185"/>
      <c r="D12" s="15">
        <f t="shared" si="0"/>
        <v>44</v>
      </c>
      <c r="E12" s="18">
        <f t="shared" si="1"/>
        <v>219.30844562901655</v>
      </c>
      <c r="F12" s="22">
        <f t="shared" si="2"/>
        <v>4.9842828552049214</v>
      </c>
    </row>
    <row r="13" spans="1:6" x14ac:dyDescent="0.2">
      <c r="A13" s="20">
        <v>9</v>
      </c>
      <c r="B13" s="184" t="s">
        <v>8</v>
      </c>
      <c r="C13" s="185"/>
      <c r="D13" s="15">
        <f t="shared" si="0"/>
        <v>74754</v>
      </c>
      <c r="E13" s="18">
        <f t="shared" si="1"/>
        <v>314434.17146707966</v>
      </c>
      <c r="F13" s="22">
        <f t="shared" si="2"/>
        <v>4.2062521265361008</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115948</v>
      </c>
      <c r="E15" s="18">
        <f t="shared" si="1"/>
        <v>551585.26485893666</v>
      </c>
      <c r="F15" s="22">
        <f t="shared" si="2"/>
        <v>4.7571779147457196</v>
      </c>
    </row>
    <row r="16" spans="1:6" ht="14.25" customHeight="1" x14ac:dyDescent="0.2">
      <c r="A16" s="20">
        <v>12</v>
      </c>
      <c r="B16" s="184" t="s">
        <v>11</v>
      </c>
      <c r="C16" s="185"/>
      <c r="D16" s="15">
        <f t="shared" si="0"/>
        <v>371472</v>
      </c>
      <c r="E16" s="18">
        <f t="shared" si="1"/>
        <v>1813866.4298795918</v>
      </c>
      <c r="F16" s="22">
        <f t="shared" si="2"/>
        <v>4.8829156164652838</v>
      </c>
    </row>
    <row r="17" spans="1:6" x14ac:dyDescent="0.2">
      <c r="A17" s="20">
        <v>13</v>
      </c>
      <c r="B17" s="184" t="s">
        <v>12</v>
      </c>
      <c r="C17" s="185"/>
      <c r="D17" s="15">
        <f t="shared" si="0"/>
        <v>43424</v>
      </c>
      <c r="E17" s="18">
        <f t="shared" si="1"/>
        <v>213454.68052260036</v>
      </c>
      <c r="F17" s="22">
        <f t="shared" si="2"/>
        <v>4.9155923112242164</v>
      </c>
    </row>
    <row r="18" spans="1:6" ht="14.25" customHeight="1" x14ac:dyDescent="0.2">
      <c r="A18" s="20">
        <v>14</v>
      </c>
      <c r="B18" s="184" t="s">
        <v>469</v>
      </c>
      <c r="C18" s="185"/>
      <c r="D18" s="15">
        <f t="shared" si="0"/>
        <v>53516</v>
      </c>
      <c r="E18" s="18">
        <f t="shared" si="1"/>
        <v>552432.33582460112</v>
      </c>
      <c r="F18" s="22">
        <f t="shared" si="2"/>
        <v>10.322750874964518</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121795</v>
      </c>
      <c r="E20" s="18">
        <f t="shared" si="1"/>
        <v>876148.59398604708</v>
      </c>
      <c r="F20" s="22">
        <f t="shared" si="2"/>
        <v>7.1936335152185809</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81449</v>
      </c>
      <c r="E22" s="18">
        <f t="shared" si="1"/>
        <v>665181.62700085843</v>
      </c>
      <c r="F22" s="22">
        <f t="shared" si="2"/>
        <v>8.1668482977183068</v>
      </c>
    </row>
    <row r="23" spans="1:6" x14ac:dyDescent="0.2">
      <c r="A23" s="20">
        <v>19</v>
      </c>
      <c r="B23" s="184" t="s">
        <v>17</v>
      </c>
      <c r="C23" s="185"/>
      <c r="D23" s="15">
        <f t="shared" si="0"/>
        <v>354320</v>
      </c>
      <c r="E23" s="18">
        <f t="shared" si="1"/>
        <v>1440335.6467107534</v>
      </c>
      <c r="F23" s="22">
        <f t="shared" si="2"/>
        <v>4.0650701250585728</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22600</v>
      </c>
      <c r="E25" s="18">
        <f t="shared" si="1"/>
        <v>156288.51980035851</v>
      </c>
      <c r="F25" s="22">
        <f t="shared" si="2"/>
        <v>6.9154212301043589</v>
      </c>
    </row>
    <row r="26" spans="1:6" x14ac:dyDescent="0.2">
      <c r="A26" s="20">
        <v>22</v>
      </c>
      <c r="B26" s="184" t="s">
        <v>19</v>
      </c>
      <c r="C26" s="185"/>
      <c r="D26" s="15">
        <f t="shared" si="0"/>
        <v>2352</v>
      </c>
      <c r="E26" s="18">
        <f t="shared" si="1"/>
        <v>15805.124184532884</v>
      </c>
      <c r="F26" s="22">
        <f t="shared" si="2"/>
        <v>6.719865724716362</v>
      </c>
    </row>
    <row r="27" spans="1:6" x14ac:dyDescent="0.2">
      <c r="A27" s="20">
        <v>23</v>
      </c>
      <c r="B27" s="184" t="s">
        <v>20</v>
      </c>
      <c r="C27" s="185"/>
      <c r="D27" s="15">
        <f t="shared" si="0"/>
        <v>84848</v>
      </c>
      <c r="E27" s="18">
        <f t="shared" si="1"/>
        <v>496729.70442569995</v>
      </c>
      <c r="F27" s="22">
        <f t="shared" si="2"/>
        <v>5.8543478270047613</v>
      </c>
    </row>
    <row r="28" spans="1:6" x14ac:dyDescent="0.2">
      <c r="A28" s="20">
        <v>24</v>
      </c>
      <c r="B28" s="184" t="s">
        <v>21</v>
      </c>
      <c r="C28" s="185"/>
      <c r="D28" s="15">
        <f t="shared" si="0"/>
        <v>39874</v>
      </c>
      <c r="E28" s="18">
        <f t="shared" si="1"/>
        <v>190049.84002298652</v>
      </c>
      <c r="F28" s="22">
        <f t="shared" si="2"/>
        <v>4.7662597186885316</v>
      </c>
    </row>
    <row r="29" spans="1:6" x14ac:dyDescent="0.2">
      <c r="A29" s="20">
        <v>25</v>
      </c>
      <c r="B29" s="184" t="s">
        <v>22</v>
      </c>
      <c r="C29" s="185"/>
      <c r="D29" s="15">
        <f t="shared" si="0"/>
        <v>342152</v>
      </c>
      <c r="E29" s="18">
        <f t="shared" si="1"/>
        <v>1635377.9838377107</v>
      </c>
      <c r="F29" s="22">
        <f t="shared" si="2"/>
        <v>4.7796826668782026</v>
      </c>
    </row>
    <row r="30" spans="1:6" x14ac:dyDescent="0.2">
      <c r="A30" s="20">
        <v>26</v>
      </c>
      <c r="B30" s="184" t="s">
        <v>23</v>
      </c>
      <c r="C30" s="185"/>
      <c r="D30" s="15">
        <f t="shared" si="0"/>
        <v>112896</v>
      </c>
      <c r="E30" s="18">
        <f t="shared" si="1"/>
        <v>711062.96085757855</v>
      </c>
      <c r="F30" s="22">
        <f t="shared" si="2"/>
        <v>6.2983893216551392</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2509298</v>
      </c>
      <c r="E33" s="32">
        <f>SUM(E5:E32)</f>
        <v>13129915</v>
      </c>
      <c r="F33" s="33">
        <f t="shared" si="2"/>
        <v>5.2325052664131562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IF(F3="1",SUMIF(Data!A:A,'34'!$A$2,Data!CU:CU),0)</f>
        <v>5456</v>
      </c>
      <c r="E36" s="16">
        <f>IF(F3="1",SUMIF(Data!$A:$A,'34'!$A$2,Data!IO:IO),0)</f>
        <v>11565</v>
      </c>
      <c r="F36" s="21">
        <f t="shared" ref="F36:F64" si="3">IFERROR(E36/D36,"")</f>
        <v>2.1196847507331378</v>
      </c>
    </row>
    <row r="37" spans="1:6" x14ac:dyDescent="0.2">
      <c r="A37" s="20">
        <v>2</v>
      </c>
      <c r="B37" s="184" t="s">
        <v>1</v>
      </c>
      <c r="C37" s="185"/>
      <c r="D37" s="15">
        <f>IF(F3="1",SUMIF(Data!A:A,'34'!$A$2,Data!CV:CV),0)</f>
        <v>171526</v>
      </c>
      <c r="E37" s="18">
        <f>IF(F3="1",SUMIF(Data!$A:$A,'34'!$A$2,Data!IP:IP),0)</f>
        <v>187074</v>
      </c>
      <c r="F37" s="22">
        <f t="shared" si="3"/>
        <v>1.0906451500064129</v>
      </c>
    </row>
    <row r="38" spans="1:6" ht="14.25" customHeight="1" x14ac:dyDescent="0.2">
      <c r="A38" s="20">
        <v>3</v>
      </c>
      <c r="B38" s="184" t="s">
        <v>2</v>
      </c>
      <c r="C38" s="185"/>
      <c r="D38" s="15">
        <f>IF(F3="1",SUMIF(Data!A:A,'34'!$A$2,Data!CW:CW),0)</f>
        <v>309768</v>
      </c>
      <c r="E38" s="18">
        <f>IF(F3="1",SUMIF(Data!$A:$A,'34'!$A$2,Data!IQ:IQ),0)</f>
        <v>107617</v>
      </c>
      <c r="F38" s="22">
        <f t="shared" si="3"/>
        <v>0.34741161127037007</v>
      </c>
    </row>
    <row r="39" spans="1:6" ht="14.25" customHeight="1" x14ac:dyDescent="0.2">
      <c r="A39" s="20">
        <v>4</v>
      </c>
      <c r="B39" s="184" t="s">
        <v>3</v>
      </c>
      <c r="C39" s="185"/>
      <c r="D39" s="15">
        <f>IF(F3="1",SUMIF(Data!A:A,'34'!$A$2,Data!CX:CX),0)</f>
        <v>101832</v>
      </c>
      <c r="E39" s="18">
        <f>IF(F3="1",SUMIF(Data!$A:$A,'34'!$A$2,Data!IR:IR),0)</f>
        <v>70178</v>
      </c>
      <c r="F39" s="22">
        <f t="shared" si="3"/>
        <v>0.68915468614973685</v>
      </c>
    </row>
    <row r="40" spans="1:6" x14ac:dyDescent="0.2">
      <c r="A40" s="20">
        <v>5</v>
      </c>
      <c r="B40" s="184" t="s">
        <v>4</v>
      </c>
      <c r="C40" s="185"/>
      <c r="D40" s="15">
        <f>IF(F3="1",SUMIF(Data!A:A,'34'!$A$2,Data!CY:CY),0)</f>
        <v>0</v>
      </c>
      <c r="E40" s="18">
        <f>IF(F3="1",SUMIF(Data!$A:$A,'34'!$A$2,Data!IS:IS),0)</f>
        <v>0</v>
      </c>
      <c r="F40" s="22" t="str">
        <f t="shared" si="3"/>
        <v/>
      </c>
    </row>
    <row r="41" spans="1:6" x14ac:dyDescent="0.2">
      <c r="A41" s="20">
        <v>6</v>
      </c>
      <c r="B41" s="184" t="s">
        <v>5</v>
      </c>
      <c r="C41" s="185"/>
      <c r="D41" s="15">
        <f>IF(F3="1",SUMIF(Data!A:A,'34'!$A$2,Data!CZ:CZ),0)</f>
        <v>9464</v>
      </c>
      <c r="E41" s="18">
        <f>IF(F3="1",SUMIF(Data!$A:$A,'34'!$A$2,Data!IT:IT),0)</f>
        <v>8513</v>
      </c>
      <c r="F41" s="22">
        <f t="shared" si="3"/>
        <v>0.89951394759087067</v>
      </c>
    </row>
    <row r="42" spans="1:6" x14ac:dyDescent="0.2">
      <c r="A42" s="20">
        <v>7</v>
      </c>
      <c r="B42" s="184" t="s">
        <v>6</v>
      </c>
      <c r="C42" s="185"/>
      <c r="D42" s="15">
        <f>IF(F3="1",SUMIF(Data!A:A,'34'!$A$2,Data!DA:DA),0)</f>
        <v>89808</v>
      </c>
      <c r="E42" s="18">
        <f>IF(F3="1",SUMIF(Data!$A:$A,'34'!$A$2,Data!IU:IU),0)</f>
        <v>40063</v>
      </c>
      <c r="F42" s="22">
        <f t="shared" si="3"/>
        <v>0.44609611615891681</v>
      </c>
    </row>
    <row r="43" spans="1:6" x14ac:dyDescent="0.2">
      <c r="A43" s="20">
        <v>8</v>
      </c>
      <c r="B43" s="184" t="s">
        <v>7</v>
      </c>
      <c r="C43" s="185"/>
      <c r="D43" s="15">
        <f>IF(F3="1",SUMIF(Data!A:A,'34'!$A$2,Data!DB:DB),0)</f>
        <v>44</v>
      </c>
      <c r="E43" s="18">
        <f>IF(F3="1",SUMIF(Data!$A:$A,'34'!$A$2,Data!IV:IV),0)</f>
        <v>117</v>
      </c>
      <c r="F43" s="22">
        <f t="shared" si="3"/>
        <v>2.6590909090909092</v>
      </c>
    </row>
    <row r="44" spans="1:6" x14ac:dyDescent="0.2">
      <c r="A44" s="20">
        <v>9</v>
      </c>
      <c r="B44" s="184" t="s">
        <v>8</v>
      </c>
      <c r="C44" s="185"/>
      <c r="D44" s="15">
        <f>IF(F3="1",SUMIF(Data!A:A,'34'!$A$2,Data!DC:DC),0)</f>
        <v>74754</v>
      </c>
      <c r="E44" s="18">
        <f>IF(F3="1",SUMIF(Data!$A:$A,'34'!$A$2,Data!IW:IW),0)</f>
        <v>59022</v>
      </c>
      <c r="F44" s="22">
        <f t="shared" si="3"/>
        <v>0.78954972309174087</v>
      </c>
    </row>
    <row r="45" spans="1:6" x14ac:dyDescent="0.2">
      <c r="A45" s="20">
        <v>10</v>
      </c>
      <c r="B45" s="184" t="s">
        <v>9</v>
      </c>
      <c r="C45" s="185"/>
      <c r="D45" s="15">
        <f>IF(F3="1",SUMIF(Data!A:A,'34'!$A$2,Data!DD:DD),0)</f>
        <v>0</v>
      </c>
      <c r="E45" s="18">
        <f>IF(F3="1",SUMIF(Data!$A:$A,'34'!$A$2,Data!IX:IX),0)</f>
        <v>0</v>
      </c>
      <c r="F45" s="22" t="str">
        <f t="shared" si="3"/>
        <v/>
      </c>
    </row>
    <row r="46" spans="1:6" x14ac:dyDescent="0.2">
      <c r="A46" s="20">
        <v>11</v>
      </c>
      <c r="B46" s="184" t="s">
        <v>10</v>
      </c>
      <c r="C46" s="185"/>
      <c r="D46" s="15">
        <f>IF(F3="1",SUMIF(Data!A:A,'34'!$A$2,Data!DE:DE),0)</f>
        <v>115948</v>
      </c>
      <c r="E46" s="18">
        <f>IF(F3="1",SUMIF(Data!$A:$A,'34'!$A$2,Data!IY:IY),0)</f>
        <v>79532</v>
      </c>
      <c r="F46" s="22">
        <f t="shared" si="3"/>
        <v>0.68592817469900302</v>
      </c>
    </row>
    <row r="47" spans="1:6" ht="14.25" customHeight="1" x14ac:dyDescent="0.2">
      <c r="A47" s="20">
        <v>12</v>
      </c>
      <c r="B47" s="184" t="s">
        <v>11</v>
      </c>
      <c r="C47" s="185"/>
      <c r="D47" s="15">
        <f>IF(F3="1",SUMIF(Data!A:A,'34'!$A$2,Data!DF:DF),0)</f>
        <v>371472</v>
      </c>
      <c r="E47" s="18">
        <f>IF(F3="1",SUMIF(Data!$A:$A,'34'!$A$2,Data!IZ:IZ),0)</f>
        <v>151618</v>
      </c>
      <c r="F47" s="22">
        <f t="shared" si="3"/>
        <v>0.40815458500236895</v>
      </c>
    </row>
    <row r="48" spans="1:6" x14ac:dyDescent="0.2">
      <c r="A48" s="20">
        <v>13</v>
      </c>
      <c r="B48" s="184" t="s">
        <v>12</v>
      </c>
      <c r="C48" s="185"/>
      <c r="D48" s="15">
        <f>IF(F3="1",SUMIF(Data!A:A,'34'!$A$2,Data!DG:DG),0)</f>
        <v>43424</v>
      </c>
      <c r="E48" s="18">
        <f>IF(F3="1",SUMIF(Data!$A:$A,'34'!$A$2,Data!JA:JA),0)</f>
        <v>19007</v>
      </c>
      <c r="F48" s="22">
        <f t="shared" si="3"/>
        <v>0.43770725865880616</v>
      </c>
    </row>
    <row r="49" spans="1:6" ht="14.25" customHeight="1" x14ac:dyDescent="0.2">
      <c r="A49" s="20">
        <v>14</v>
      </c>
      <c r="B49" s="184" t="s">
        <v>469</v>
      </c>
      <c r="C49" s="185"/>
      <c r="D49" s="15">
        <f>IF(F3="1",SUMIF(Data!A:A,'34'!$A$2,Data!DH:DH),0)</f>
        <v>53516</v>
      </c>
      <c r="E49" s="18">
        <f>IF(F3="1",SUMIF(Data!$A:$A,'34'!$A$2,Data!JB:JB),0)</f>
        <v>80966</v>
      </c>
      <c r="F49" s="22">
        <f t="shared" si="3"/>
        <v>1.512930712310337</v>
      </c>
    </row>
    <row r="50" spans="1:6" x14ac:dyDescent="0.2">
      <c r="A50" s="20">
        <v>15</v>
      </c>
      <c r="B50" s="184" t="s">
        <v>13</v>
      </c>
      <c r="C50" s="185"/>
      <c r="D50" s="15">
        <f>IF(F3="1",SUMIF(Data!A:A,'34'!$A$2,Data!DI:DI),0)</f>
        <v>0</v>
      </c>
      <c r="E50" s="18">
        <f>IF(F3="1",SUMIF(Data!$A:$A,'34'!$A$2,Data!JC:JC),0)</f>
        <v>0</v>
      </c>
      <c r="F50" s="22" t="str">
        <f t="shared" si="3"/>
        <v/>
      </c>
    </row>
    <row r="51" spans="1:6" x14ac:dyDescent="0.2">
      <c r="A51" s="20">
        <v>16</v>
      </c>
      <c r="B51" s="184" t="s">
        <v>14</v>
      </c>
      <c r="C51" s="185"/>
      <c r="D51" s="15">
        <f>IF(F3="1",SUMIF(Data!A:A,'34'!$A$2,Data!DJ:DJ),0)</f>
        <v>121795</v>
      </c>
      <c r="E51" s="18">
        <f>IF(F3="1",SUMIF(Data!$A:$A,'34'!$A$2,Data!JD:JD),0)</f>
        <v>161115</v>
      </c>
      <c r="F51" s="22">
        <f t="shared" si="3"/>
        <v>1.3228375549078368</v>
      </c>
    </row>
    <row r="52" spans="1:6" x14ac:dyDescent="0.2">
      <c r="A52" s="20">
        <v>17</v>
      </c>
      <c r="B52" s="184" t="s">
        <v>15</v>
      </c>
      <c r="C52" s="185"/>
      <c r="D52" s="15">
        <f>IF(F3="1",SUMIF(Data!A:A,'34'!$A$2,Data!DK:DK),0)</f>
        <v>0</v>
      </c>
      <c r="E52" s="18">
        <f>IF(F3="1",SUMIF(Data!$A:$A,'34'!$A$2,Data!JE:JE),0)</f>
        <v>0</v>
      </c>
      <c r="F52" s="22" t="str">
        <f t="shared" si="3"/>
        <v/>
      </c>
    </row>
    <row r="53" spans="1:6" x14ac:dyDescent="0.2">
      <c r="A53" s="20">
        <v>18</v>
      </c>
      <c r="B53" s="184" t="s">
        <v>16</v>
      </c>
      <c r="C53" s="185"/>
      <c r="D53" s="15">
        <f>IF(F3="1",SUMIF(Data!A:A,'34'!$A$2,Data!DL:DL),0)</f>
        <v>81449</v>
      </c>
      <c r="E53" s="18">
        <f>IF(F3="1",SUMIF(Data!$A:$A,'34'!$A$2,Data!JF:JF),0)</f>
        <v>68989</v>
      </c>
      <c r="F53" s="22">
        <f t="shared" si="3"/>
        <v>0.84702083512381976</v>
      </c>
    </row>
    <row r="54" spans="1:6" x14ac:dyDescent="0.2">
      <c r="A54" s="20">
        <v>19</v>
      </c>
      <c r="B54" s="184" t="s">
        <v>17</v>
      </c>
      <c r="C54" s="185"/>
      <c r="D54" s="15">
        <f>IF(F3="1",SUMIF(Data!A:A,'34'!$A$2,Data!DM:DM),0)</f>
        <v>354320</v>
      </c>
      <c r="E54" s="18">
        <f>IF(F3="1",SUMIF(Data!$A:$A,'34'!$A$2,Data!JG:JG),0)</f>
        <v>93089</v>
      </c>
      <c r="F54" s="22">
        <f t="shared" si="3"/>
        <v>0.26272578460149015</v>
      </c>
    </row>
    <row r="55" spans="1:6" x14ac:dyDescent="0.2">
      <c r="A55" s="20">
        <v>20</v>
      </c>
      <c r="B55" s="184" t="s">
        <v>18</v>
      </c>
      <c r="C55" s="185"/>
      <c r="D55" s="15">
        <f>IF(F3="1",SUMIF(Data!A:A,'34'!$A$2,Data!DN:DN),0)</f>
        <v>0</v>
      </c>
      <c r="E55" s="18">
        <f>IF(F3="1",SUMIF(Data!$A:$A,'34'!$A$2,Data!JH:JH),0)</f>
        <v>0</v>
      </c>
      <c r="F55" s="22" t="str">
        <f t="shared" si="3"/>
        <v/>
      </c>
    </row>
    <row r="56" spans="1:6" ht="14.25" customHeight="1" x14ac:dyDescent="0.2">
      <c r="A56" s="20">
        <v>21</v>
      </c>
      <c r="B56" s="184" t="s">
        <v>466</v>
      </c>
      <c r="C56" s="185"/>
      <c r="D56" s="15">
        <f>IF(F3="1",SUMIF(Data!A:A,'34'!$A$2,Data!DO:DO),0)</f>
        <v>22600</v>
      </c>
      <c r="E56" s="18">
        <f>IF(F3="1",SUMIF(Data!$A:$A,'34'!$A$2,Data!JI:JI),0)</f>
        <v>84251</v>
      </c>
      <c r="F56" s="22">
        <f t="shared" si="3"/>
        <v>3.7279203539823009</v>
      </c>
    </row>
    <row r="57" spans="1:6" x14ac:dyDescent="0.2">
      <c r="A57" s="20">
        <v>22</v>
      </c>
      <c r="B57" s="184" t="s">
        <v>19</v>
      </c>
      <c r="C57" s="185"/>
      <c r="D57" s="15">
        <f>IF(F3="1",SUMIF(Data!A:A,'34'!$A$2,Data!DP:DP),0)</f>
        <v>2352</v>
      </c>
      <c r="E57" s="18">
        <f>IF(F3="1",SUMIF(Data!$A:$A,'34'!$A$2,Data!JJ:JJ),0)</f>
        <v>1115</v>
      </c>
      <c r="F57" s="22">
        <f t="shared" si="3"/>
        <v>0.47406462585034015</v>
      </c>
    </row>
    <row r="58" spans="1:6" x14ac:dyDescent="0.2">
      <c r="A58" s="20">
        <v>23</v>
      </c>
      <c r="B58" s="184" t="s">
        <v>20</v>
      </c>
      <c r="C58" s="185"/>
      <c r="D58" s="15">
        <f>IF(F3="1",SUMIF(Data!A:A,'34'!$A$2,Data!DQ:DQ),0)</f>
        <v>84848</v>
      </c>
      <c r="E58" s="18">
        <f>IF(F3="1",SUMIF(Data!$A:$A,'34'!$A$2,Data!JK:JK),0)</f>
        <v>60718</v>
      </c>
      <c r="F58" s="22">
        <f t="shared" si="3"/>
        <v>0.71560908919479538</v>
      </c>
    </row>
    <row r="59" spans="1:6" x14ac:dyDescent="0.2">
      <c r="A59" s="20">
        <v>24</v>
      </c>
      <c r="B59" s="184" t="s">
        <v>21</v>
      </c>
      <c r="C59" s="185"/>
      <c r="D59" s="15">
        <f>IF(F3="1",SUMIF(Data!A:A,'34'!$A$2,Data!DR:DR),0)</f>
        <v>39874</v>
      </c>
      <c r="E59" s="18">
        <f>IF(F3="1",SUMIF(Data!$A:$A,'34'!$A$2,Data!JL:JL),0)</f>
        <v>21955</v>
      </c>
      <c r="F59" s="22">
        <f t="shared" si="3"/>
        <v>0.55060941967196675</v>
      </c>
    </row>
    <row r="60" spans="1:6" x14ac:dyDescent="0.2">
      <c r="A60" s="20">
        <v>25</v>
      </c>
      <c r="B60" s="184" t="s">
        <v>22</v>
      </c>
      <c r="C60" s="185"/>
      <c r="D60" s="15">
        <f>IF(F3="1",SUMIF(Data!A:A,'34'!$A$2,Data!DS:DS),0)</f>
        <v>342152</v>
      </c>
      <c r="E60" s="18">
        <f>IF(F3="1",SUMIF(Data!$A:$A,'34'!$A$2,Data!JM:JM),0)</f>
        <v>111914</v>
      </c>
      <c r="F60" s="22">
        <f t="shared" si="3"/>
        <v>0.32708854544179194</v>
      </c>
    </row>
    <row r="61" spans="1:6" x14ac:dyDescent="0.2">
      <c r="A61" s="20">
        <v>26</v>
      </c>
      <c r="B61" s="184" t="s">
        <v>23</v>
      </c>
      <c r="C61" s="185"/>
      <c r="D61" s="15">
        <f>IF(F3="1",SUMIF(Data!A:A,'34'!$A$2,Data!DT:DT),0)</f>
        <v>112896</v>
      </c>
      <c r="E61" s="18">
        <f>IF(F3="1",SUMIF(Data!$A:$A,'34'!$A$2,Data!JN:JN),0)</f>
        <v>129943</v>
      </c>
      <c r="F61" s="22">
        <f t="shared" si="3"/>
        <v>1.1509973781179139</v>
      </c>
    </row>
    <row r="62" spans="1:6" x14ac:dyDescent="0.2">
      <c r="A62" s="20">
        <v>28</v>
      </c>
      <c r="B62" s="184" t="s">
        <v>24</v>
      </c>
      <c r="C62" s="185"/>
      <c r="D62" s="15">
        <f>IF(F3="1",SUMIF(Data!A:A,'34'!$A$2,Data!DV:DV),0)</f>
        <v>0</v>
      </c>
      <c r="E62" s="18">
        <f>IF(F3="1",SUMIF(Data!$A:$A,'34'!$A$2,Data!JP:JP),0)</f>
        <v>0</v>
      </c>
      <c r="F62" s="22" t="str">
        <f t="shared" si="3"/>
        <v/>
      </c>
    </row>
    <row r="63" spans="1:6" ht="15.75" customHeight="1" thickBot="1" x14ac:dyDescent="0.25">
      <c r="A63" s="23">
        <v>29</v>
      </c>
      <c r="B63" s="186" t="s">
        <v>25</v>
      </c>
      <c r="C63" s="187"/>
      <c r="D63" s="24">
        <f>IF(F3="1",SUMIF(Data!A:A,'34'!$A$2,Data!DW:DW),0)</f>
        <v>0</v>
      </c>
      <c r="E63" s="25">
        <f>IF(F3="1",SUMIF(Data!$A:$A,'34'!$A$2,Data!JQ:JQ),0)</f>
        <v>0</v>
      </c>
      <c r="F63" s="26" t="str">
        <f t="shared" si="3"/>
        <v/>
      </c>
    </row>
    <row r="64" spans="1:6" x14ac:dyDescent="0.2">
      <c r="B64" s="31" t="s">
        <v>35</v>
      </c>
      <c r="C64" s="31"/>
      <c r="D64" s="61">
        <f>SUM(D36:D63)</f>
        <v>2509298</v>
      </c>
      <c r="E64" s="32">
        <f>SUM(E36:E63)</f>
        <v>1548361</v>
      </c>
      <c r="F64" s="33">
        <f t="shared" si="3"/>
        <v>0.61704946961261675</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5456</v>
      </c>
      <c r="E67" s="16">
        <f>IF(F3="1",SUMIF(Data!A:A,'34'!$A$2,Data!DY:DY),0)</f>
        <v>42280</v>
      </c>
      <c r="F67" s="21">
        <f>IFERROR(E67/D67,"")</f>
        <v>7.7492668621700878</v>
      </c>
    </row>
    <row r="68" spans="1:6" x14ac:dyDescent="0.2">
      <c r="A68" s="20">
        <v>2</v>
      </c>
      <c r="B68" s="184" t="s">
        <v>1</v>
      </c>
      <c r="C68" s="185"/>
      <c r="D68" s="15">
        <f t="shared" ref="D68:D94" si="4">D37</f>
        <v>171526</v>
      </c>
      <c r="E68" s="18">
        <f>IF(F3="1",SUMIF(Data!A:A,'34'!$A$2,Data!DZ:DZ),0)</f>
        <v>580964</v>
      </c>
      <c r="F68" s="22">
        <f t="shared" ref="F68:F95" si="5">IFERROR(E68/D68,"")</f>
        <v>3.3870317036484265</v>
      </c>
    </row>
    <row r="69" spans="1:6" ht="14.25" customHeight="1" x14ac:dyDescent="0.2">
      <c r="A69" s="20">
        <v>3</v>
      </c>
      <c r="B69" s="184" t="s">
        <v>2</v>
      </c>
      <c r="C69" s="185"/>
      <c r="D69" s="15">
        <f t="shared" si="4"/>
        <v>309768</v>
      </c>
      <c r="E69" s="18">
        <f>IF(F3="1",SUMIF(Data!A:A,'34'!$A$2,Data!EA:EA),0)</f>
        <v>591780</v>
      </c>
      <c r="F69" s="22">
        <f t="shared" si="5"/>
        <v>1.9103974587433177</v>
      </c>
    </row>
    <row r="70" spans="1:6" ht="14.25" customHeight="1" x14ac:dyDescent="0.2">
      <c r="A70" s="20">
        <v>4</v>
      </c>
      <c r="B70" s="184" t="s">
        <v>3</v>
      </c>
      <c r="C70" s="185"/>
      <c r="D70" s="15">
        <f t="shared" si="4"/>
        <v>101832</v>
      </c>
      <c r="E70" s="18">
        <f>IF(F3="1",SUMIF(Data!A:A,'34'!$A$2,Data!EB:EB),0)</f>
        <v>234008</v>
      </c>
      <c r="F70" s="22">
        <f t="shared" si="5"/>
        <v>2.2979809882944457</v>
      </c>
    </row>
    <row r="71" spans="1:6" x14ac:dyDescent="0.2">
      <c r="A71" s="20">
        <v>5</v>
      </c>
      <c r="B71" s="184" t="s">
        <v>4</v>
      </c>
      <c r="C71" s="185"/>
      <c r="D71" s="15">
        <f t="shared" si="4"/>
        <v>0</v>
      </c>
      <c r="E71" s="18">
        <f>IF(F3="1",SUMIF(Data!A:A,'34'!$A$2,Data!EC:EC),0)</f>
        <v>0</v>
      </c>
      <c r="F71" s="22" t="str">
        <f t="shared" si="5"/>
        <v/>
      </c>
    </row>
    <row r="72" spans="1:6" x14ac:dyDescent="0.2">
      <c r="A72" s="20">
        <v>6</v>
      </c>
      <c r="B72" s="184" t="s">
        <v>5</v>
      </c>
      <c r="C72" s="185"/>
      <c r="D72" s="15">
        <f t="shared" si="4"/>
        <v>9464</v>
      </c>
      <c r="E72" s="18">
        <f>IF(F3="1",SUMIF(Data!A:A,'34'!$A$2,Data!ED:ED),0)</f>
        <v>35202</v>
      </c>
      <c r="F72" s="22">
        <f t="shared" si="5"/>
        <v>3.7195688926458157</v>
      </c>
    </row>
    <row r="73" spans="1:6" x14ac:dyDescent="0.2">
      <c r="A73" s="20">
        <v>7</v>
      </c>
      <c r="B73" s="184" t="s">
        <v>6</v>
      </c>
      <c r="C73" s="185"/>
      <c r="D73" s="15">
        <f t="shared" si="4"/>
        <v>89808</v>
      </c>
      <c r="E73" s="18">
        <f>IF(F3="1",SUMIF(Data!A:A,'34'!$A$2,Data!EE:EE),0)</f>
        <v>254068</v>
      </c>
      <c r="F73" s="22">
        <f t="shared" si="5"/>
        <v>2.8290130055228935</v>
      </c>
    </row>
    <row r="74" spans="1:6" x14ac:dyDescent="0.2">
      <c r="A74" s="20">
        <v>8</v>
      </c>
      <c r="B74" s="184" t="s">
        <v>7</v>
      </c>
      <c r="C74" s="185"/>
      <c r="D74" s="15">
        <f t="shared" si="4"/>
        <v>44</v>
      </c>
      <c r="E74" s="18">
        <f>IF(F3="1",SUMIF(Data!A:A,'34'!$A$2,Data!EF:EF),0)</f>
        <v>17</v>
      </c>
      <c r="F74" s="22">
        <f t="shared" si="5"/>
        <v>0.38636363636363635</v>
      </c>
    </row>
    <row r="75" spans="1:6" x14ac:dyDescent="0.2">
      <c r="A75" s="20">
        <v>9</v>
      </c>
      <c r="B75" s="184" t="s">
        <v>8</v>
      </c>
      <c r="C75" s="185"/>
      <c r="D75" s="15">
        <f t="shared" si="4"/>
        <v>74754</v>
      </c>
      <c r="E75" s="18">
        <f>IF(F3="1",SUMIF(Data!A:A,'34'!$A$2,Data!EG:EG),0)</f>
        <v>110477</v>
      </c>
      <c r="F75" s="22">
        <f t="shared" si="5"/>
        <v>1.4778740936939829</v>
      </c>
    </row>
    <row r="76" spans="1:6" x14ac:dyDescent="0.2">
      <c r="A76" s="20">
        <v>10</v>
      </c>
      <c r="B76" s="184" t="s">
        <v>9</v>
      </c>
      <c r="C76" s="185"/>
      <c r="D76" s="15">
        <f t="shared" si="4"/>
        <v>0</v>
      </c>
      <c r="E76" s="18">
        <f>IF(F3="1",SUMIF(Data!A:A,'34'!$A$2,Data!EH:EH),0)</f>
        <v>0</v>
      </c>
      <c r="F76" s="22" t="str">
        <f t="shared" si="5"/>
        <v/>
      </c>
    </row>
    <row r="77" spans="1:6" x14ac:dyDescent="0.2">
      <c r="A77" s="20">
        <v>11</v>
      </c>
      <c r="B77" s="184" t="s">
        <v>10</v>
      </c>
      <c r="C77" s="185"/>
      <c r="D77" s="15">
        <f t="shared" si="4"/>
        <v>115948</v>
      </c>
      <c r="E77" s="18">
        <f>IF(F3="1",SUMIF(Data!A:A,'34'!$A$2,Data!EI:EI),0)</f>
        <v>247250</v>
      </c>
      <c r="F77" s="22">
        <f t="shared" si="5"/>
        <v>2.1324214302963398</v>
      </c>
    </row>
    <row r="78" spans="1:6" ht="14.25" customHeight="1" x14ac:dyDescent="0.2">
      <c r="A78" s="20">
        <v>12</v>
      </c>
      <c r="B78" s="184" t="s">
        <v>11</v>
      </c>
      <c r="C78" s="185"/>
      <c r="D78" s="15">
        <f t="shared" si="4"/>
        <v>371472</v>
      </c>
      <c r="E78" s="18">
        <f>IF(F3="1",SUMIF(Data!A:A,'34'!$A$2,Data!EJ:EJ),0)</f>
        <v>942028</v>
      </c>
      <c r="F78" s="22">
        <f t="shared" si="5"/>
        <v>2.535932721712538</v>
      </c>
    </row>
    <row r="79" spans="1:6" x14ac:dyDescent="0.2">
      <c r="A79" s="20">
        <v>13</v>
      </c>
      <c r="B79" s="184" t="s">
        <v>12</v>
      </c>
      <c r="C79" s="185"/>
      <c r="D79" s="15">
        <f t="shared" si="4"/>
        <v>43424</v>
      </c>
      <c r="E79" s="18">
        <f>IF(F3="1",SUMIF(Data!A:A,'34'!$A$2,Data!EK:EK),0)</f>
        <v>110256</v>
      </c>
      <c r="F79" s="22">
        <f t="shared" si="5"/>
        <v>2.539056742815033</v>
      </c>
    </row>
    <row r="80" spans="1:6" ht="14.25" customHeight="1" x14ac:dyDescent="0.2">
      <c r="A80" s="20">
        <v>14</v>
      </c>
      <c r="B80" s="184" t="s">
        <v>469</v>
      </c>
      <c r="C80" s="185"/>
      <c r="D80" s="15">
        <f t="shared" si="4"/>
        <v>53516</v>
      </c>
      <c r="E80" s="18">
        <f>IF(F3="1",SUMIF(Data!A:A,'34'!$A$2,Data!EL:EL),0)</f>
        <v>367708</v>
      </c>
      <c r="F80" s="22">
        <f t="shared" si="5"/>
        <v>6.8709918529038045</v>
      </c>
    </row>
    <row r="81" spans="1:6" x14ac:dyDescent="0.2">
      <c r="A81" s="20">
        <v>15</v>
      </c>
      <c r="B81" s="184" t="s">
        <v>13</v>
      </c>
      <c r="C81" s="185"/>
      <c r="D81" s="15">
        <f t="shared" si="4"/>
        <v>0</v>
      </c>
      <c r="E81" s="18">
        <f>IF(F3="1",SUMIF(Data!A:A,'34'!$A$2,Data!EM:EM),0)</f>
        <v>0</v>
      </c>
      <c r="F81" s="22" t="str">
        <f t="shared" si="5"/>
        <v/>
      </c>
    </row>
    <row r="82" spans="1:6" x14ac:dyDescent="0.2">
      <c r="A82" s="20">
        <v>16</v>
      </c>
      <c r="B82" s="184" t="s">
        <v>14</v>
      </c>
      <c r="C82" s="185"/>
      <c r="D82" s="15">
        <f t="shared" si="4"/>
        <v>121795</v>
      </c>
      <c r="E82" s="18">
        <f>IF(F3="1",SUMIF(Data!A:A,'34'!$A$2,Data!EN:EN),0)</f>
        <v>478894</v>
      </c>
      <c r="F82" s="22">
        <f t="shared" si="5"/>
        <v>3.931967650560368</v>
      </c>
    </row>
    <row r="83" spans="1:6" x14ac:dyDescent="0.2">
      <c r="A83" s="20">
        <v>17</v>
      </c>
      <c r="B83" s="184" t="s">
        <v>15</v>
      </c>
      <c r="C83" s="185"/>
      <c r="D83" s="15">
        <f t="shared" si="4"/>
        <v>0</v>
      </c>
      <c r="E83" s="18">
        <f>IF(F3="1",SUMIF(Data!A:A,'34'!$A$2,Data!EO:EO),0)</f>
        <v>0</v>
      </c>
      <c r="F83" s="22" t="str">
        <f t="shared" si="5"/>
        <v/>
      </c>
    </row>
    <row r="84" spans="1:6" x14ac:dyDescent="0.2">
      <c r="A84" s="20">
        <v>18</v>
      </c>
      <c r="B84" s="184" t="s">
        <v>16</v>
      </c>
      <c r="C84" s="185"/>
      <c r="D84" s="15">
        <f t="shared" si="4"/>
        <v>81449</v>
      </c>
      <c r="E84" s="18">
        <f>IF(F3="1",SUMIF(Data!A:A,'34'!$A$2,Data!EP:EP),0)</f>
        <v>438277</v>
      </c>
      <c r="F84" s="22">
        <f t="shared" si="5"/>
        <v>5.3809991528441108</v>
      </c>
    </row>
    <row r="85" spans="1:6" x14ac:dyDescent="0.2">
      <c r="A85" s="20">
        <v>19</v>
      </c>
      <c r="B85" s="184" t="s">
        <v>17</v>
      </c>
      <c r="C85" s="185"/>
      <c r="D85" s="15">
        <f t="shared" si="4"/>
        <v>354320</v>
      </c>
      <c r="E85" s="18">
        <f>IF(F3="1",SUMIF(Data!A:A,'34'!$A$2,Data!EQ:EQ),0)</f>
        <v>660281</v>
      </c>
      <c r="F85" s="22">
        <f t="shared" si="5"/>
        <v>1.8635160307067058</v>
      </c>
    </row>
    <row r="86" spans="1:6" x14ac:dyDescent="0.2">
      <c r="A86" s="20">
        <v>20</v>
      </c>
      <c r="B86" s="184" t="s">
        <v>18</v>
      </c>
      <c r="C86" s="185"/>
      <c r="D86" s="15">
        <f t="shared" si="4"/>
        <v>0</v>
      </c>
      <c r="E86" s="18">
        <f>IF(F3="1",SUMIF(Data!A:A,'34'!$A$2,Data!ER:ER),0)</f>
        <v>0</v>
      </c>
      <c r="F86" s="22" t="str">
        <f t="shared" si="5"/>
        <v/>
      </c>
    </row>
    <row r="87" spans="1:6" ht="14.25" customHeight="1" x14ac:dyDescent="0.2">
      <c r="A87" s="20">
        <v>21</v>
      </c>
      <c r="B87" s="184" t="s">
        <v>466</v>
      </c>
      <c r="C87" s="185"/>
      <c r="D87" s="15">
        <f t="shared" si="4"/>
        <v>22600</v>
      </c>
      <c r="E87" s="18">
        <f>IF(F3="1",SUMIF(Data!A:A,'34'!$A$2,Data!ES:ES),0)</f>
        <v>28220</v>
      </c>
      <c r="F87" s="22">
        <f t="shared" si="5"/>
        <v>1.2486725663716813</v>
      </c>
    </row>
    <row r="88" spans="1:6" x14ac:dyDescent="0.2">
      <c r="A88" s="20">
        <v>22</v>
      </c>
      <c r="B88" s="184" t="s">
        <v>19</v>
      </c>
      <c r="C88" s="185"/>
      <c r="D88" s="15">
        <f t="shared" si="4"/>
        <v>2352</v>
      </c>
      <c r="E88" s="18">
        <f>IF(F3="1",SUMIF(Data!A:A,'34'!$A$2,Data!ET:ET),0)</f>
        <v>10130</v>
      </c>
      <c r="F88" s="22">
        <f t="shared" si="5"/>
        <v>4.3069727891156466</v>
      </c>
    </row>
    <row r="89" spans="1:6" x14ac:dyDescent="0.2">
      <c r="A89" s="20">
        <v>23</v>
      </c>
      <c r="B89" s="184" t="s">
        <v>20</v>
      </c>
      <c r="C89" s="185"/>
      <c r="D89" s="15">
        <f t="shared" si="4"/>
        <v>84848</v>
      </c>
      <c r="E89" s="18">
        <f>IF(F3="1",SUMIF(Data!A:A,'34'!$A$2,Data!EU:EU),0)</f>
        <v>271506</v>
      </c>
      <c r="F89" s="22">
        <f t="shared" si="5"/>
        <v>3.1999104280595887</v>
      </c>
    </row>
    <row r="90" spans="1:6" x14ac:dyDescent="0.2">
      <c r="A90" s="20">
        <v>24</v>
      </c>
      <c r="B90" s="184" t="s">
        <v>21</v>
      </c>
      <c r="C90" s="185"/>
      <c r="D90" s="15">
        <f t="shared" si="4"/>
        <v>39874</v>
      </c>
      <c r="E90" s="18">
        <f>IF(F3="1",SUMIF(Data!A:A,'34'!$A$2,Data!EV:EV),0)</f>
        <v>90786</v>
      </c>
      <c r="F90" s="22">
        <f t="shared" si="5"/>
        <v>2.2768219892661885</v>
      </c>
    </row>
    <row r="91" spans="1:6" x14ac:dyDescent="0.2">
      <c r="A91" s="20">
        <v>25</v>
      </c>
      <c r="B91" s="184" t="s">
        <v>22</v>
      </c>
      <c r="C91" s="185"/>
      <c r="D91" s="15">
        <f t="shared" si="4"/>
        <v>342152</v>
      </c>
      <c r="E91" s="18">
        <f>IF(F3="1",SUMIF(Data!A:A,'34'!$A$2,Data!EW:EW),0)</f>
        <v>860090</v>
      </c>
      <c r="F91" s="22">
        <f t="shared" si="5"/>
        <v>2.5137658116860342</v>
      </c>
    </row>
    <row r="92" spans="1:6" x14ac:dyDescent="0.2">
      <c r="A92" s="20">
        <v>26</v>
      </c>
      <c r="B92" s="184" t="s">
        <v>23</v>
      </c>
      <c r="C92" s="185"/>
      <c r="D92" s="15">
        <f t="shared" si="4"/>
        <v>112896</v>
      </c>
      <c r="E92" s="18">
        <f>IF(F3="1",SUMIF(Data!A:A,'34'!$A$2,Data!EX:EX),0)</f>
        <v>362234</v>
      </c>
      <c r="F92" s="22">
        <f t="shared" si="5"/>
        <v>3.2085636337868482</v>
      </c>
    </row>
    <row r="93" spans="1:6" x14ac:dyDescent="0.2">
      <c r="A93" s="20">
        <v>28</v>
      </c>
      <c r="B93" s="184" t="s">
        <v>24</v>
      </c>
      <c r="C93" s="185"/>
      <c r="D93" s="15">
        <f t="shared" si="4"/>
        <v>0</v>
      </c>
      <c r="E93" s="18">
        <f>IF(F3="1",SUMIF(Data!A:A,'34'!$A$2,Data!EZ:EZ),0)</f>
        <v>0</v>
      </c>
      <c r="F93" s="22" t="str">
        <f t="shared" si="5"/>
        <v/>
      </c>
    </row>
    <row r="94" spans="1:6" ht="15.75" customHeight="1" thickBot="1" x14ac:dyDescent="0.25">
      <c r="A94" s="23">
        <v>29</v>
      </c>
      <c r="B94" s="186" t="s">
        <v>25</v>
      </c>
      <c r="C94" s="187"/>
      <c r="D94" s="24">
        <f t="shared" si="4"/>
        <v>0</v>
      </c>
      <c r="E94" s="25">
        <f>IF(F3="1",SUMIF(Data!A:A,'34'!$A$2,Data!FA:FA),0)</f>
        <v>0</v>
      </c>
      <c r="F94" s="26" t="str">
        <f t="shared" si="5"/>
        <v/>
      </c>
    </row>
    <row r="95" spans="1:6" x14ac:dyDescent="0.2">
      <c r="B95" s="31" t="s">
        <v>35</v>
      </c>
      <c r="C95" s="31"/>
      <c r="D95" s="61">
        <f>SUM(D67:D94)</f>
        <v>2509298</v>
      </c>
      <c r="E95" s="32">
        <f>SUM(E67:E94)</f>
        <v>6716456</v>
      </c>
      <c r="F95" s="33">
        <f t="shared" si="5"/>
        <v>2.6766274870501632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IF(F3="1",SUMIF(Data!A:A,'34'!$A$2,Data!AH:AH),0)</f>
        <v>2265242</v>
      </c>
      <c r="F98" s="21">
        <f t="shared" ref="F98:F105" si="6">IFERROR(E98/$D$95,0)</f>
        <v>0.90273933187688349</v>
      </c>
    </row>
    <row r="99" spans="2:6" x14ac:dyDescent="0.2">
      <c r="B99" s="190" t="s">
        <v>31</v>
      </c>
      <c r="C99" s="191"/>
      <c r="D99" s="37"/>
      <c r="E99" s="18">
        <f>IF(F3="1",SUMIF(Data!A:A,'34'!$A$2,Data!AI:AI),0)</f>
        <v>1275833</v>
      </c>
      <c r="F99" s="22">
        <f t="shared" si="6"/>
        <v>0.50844220176320232</v>
      </c>
    </row>
    <row r="100" spans="2:6" x14ac:dyDescent="0.2">
      <c r="B100" s="190" t="s">
        <v>32</v>
      </c>
      <c r="C100" s="191"/>
      <c r="D100" s="37"/>
      <c r="E100" s="18">
        <f>IF(F3="1",SUMIF(Data!A:A,'34'!$A$2,Data!AJ:AJ),0)</f>
        <v>972203</v>
      </c>
      <c r="F100" s="22">
        <f t="shared" si="6"/>
        <v>0.38744023228807417</v>
      </c>
    </row>
    <row r="101" spans="2:6" x14ac:dyDescent="0.2">
      <c r="B101" s="190" t="s">
        <v>28</v>
      </c>
      <c r="C101" s="191"/>
      <c r="D101" s="37"/>
      <c r="E101" s="18">
        <f>IF(F3="1",SUMIF(Data!A:A,'34'!$A$2,Data!AK:AK),0)</f>
        <v>0</v>
      </c>
      <c r="F101" s="22">
        <f t="shared" si="6"/>
        <v>0</v>
      </c>
    </row>
    <row r="102" spans="2:6" x14ac:dyDescent="0.2">
      <c r="B102" s="190" t="s">
        <v>33</v>
      </c>
      <c r="C102" s="191"/>
      <c r="D102" s="37"/>
      <c r="E102" s="18">
        <f>IF(F3="1",SUMIF(Data!A:A,'34'!$A$2,Data!AL:AL),0)</f>
        <v>0</v>
      </c>
      <c r="F102" s="22">
        <f t="shared" si="6"/>
        <v>0</v>
      </c>
    </row>
    <row r="103" spans="2:6" x14ac:dyDescent="0.2">
      <c r="B103" s="192" t="s">
        <v>34</v>
      </c>
      <c r="C103" s="193"/>
      <c r="D103" s="37"/>
      <c r="E103" s="18">
        <f>IF(F3="1",SUMIF(Data!A:A,'34'!$A$2,Data!AM:AM),0)</f>
        <v>0</v>
      </c>
      <c r="F103" s="22">
        <f t="shared" si="6"/>
        <v>0</v>
      </c>
    </row>
    <row r="104" spans="2:6" ht="15.75" customHeight="1" thickBot="1" x14ac:dyDescent="0.25">
      <c r="B104" s="182" t="s">
        <v>29</v>
      </c>
      <c r="C104" s="183"/>
      <c r="D104" s="38"/>
      <c r="E104" s="25">
        <f>IF(F3="1",SUMIF(Data!A:A,'34'!$A$2,Data!Q:Q),0)</f>
        <v>351820</v>
      </c>
      <c r="F104" s="26">
        <f t="shared" si="6"/>
        <v>0.14020654382221642</v>
      </c>
    </row>
    <row r="105" spans="2:6" x14ac:dyDescent="0.2">
      <c r="B105" s="31" t="s">
        <v>35</v>
      </c>
      <c r="C105" s="31"/>
      <c r="D105" s="35">
        <f>D95</f>
        <v>2509298</v>
      </c>
      <c r="E105" s="32">
        <f>SUM(E98:E104)</f>
        <v>4865098</v>
      </c>
      <c r="F105" s="33">
        <f t="shared" si="6"/>
        <v>1.9388283097503765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6716456</v>
      </c>
      <c r="D109" s="16">
        <f>IF(F3="1",SUMIF(Data!$A:$A,$A$2,Data!HJ:HJ),0)</f>
        <v>0</v>
      </c>
      <c r="E109" s="16">
        <f>IF(F3="1",SUMIF(Data!$A:$A,$A$2,Data!IN:IN),0)</f>
        <v>0</v>
      </c>
      <c r="F109" s="48">
        <f>SUM(C109:E109)</f>
        <v>6716456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351820</v>
      </c>
      <c r="E117" s="53"/>
      <c r="F117" s="50">
        <f>SUM(C117:E117)</f>
        <v>351820</v>
      </c>
    </row>
    <row r="118" spans="1:6" x14ac:dyDescent="0.2">
      <c r="B118" s="14" t="s">
        <v>35</v>
      </c>
      <c r="C118" s="5">
        <f>SUM(C109:C116)</f>
        <v>6716456</v>
      </c>
      <c r="D118" s="5">
        <f>SUM(D109:D116)</f>
        <v>0</v>
      </c>
      <c r="E118" s="5">
        <f>SUM(E109:E116)</f>
        <v>0</v>
      </c>
      <c r="F118" s="5">
        <f>SUM(F109:F116)</f>
        <v>6716456</v>
      </c>
    </row>
    <row r="119" spans="1:6" ht="15" thickBot="1" x14ac:dyDescent="0.25"/>
    <row r="120" spans="1:6" ht="15" thickBot="1" x14ac:dyDescent="0.25">
      <c r="B120" s="57" t="s">
        <v>942</v>
      </c>
      <c r="C120" s="55"/>
      <c r="D120" s="55"/>
      <c r="E120" s="55">
        <f>IF(F3="1",SUMIF(Data!A:A,'34'!$A$2,Data!AM:AM),0)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392</v>
      </c>
      <c r="B2" s="60" t="str">
        <f>VLOOKUP(A2,Data!A:G,7,0)</f>
        <v>Ranger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1872</v>
      </c>
      <c r="E5" s="16">
        <f>E36+E67+IFERROR($E$105/$D$105*D5,0)</f>
        <v>17839.35837102764</v>
      </c>
      <c r="F5" s="21">
        <f>IFERROR(E5/D5,"")</f>
        <v>9.5295717793951074</v>
      </c>
    </row>
    <row r="6" spans="1:6" x14ac:dyDescent="0.2">
      <c r="A6" s="20">
        <v>2</v>
      </c>
      <c r="B6" s="184" t="s">
        <v>1</v>
      </c>
      <c r="C6" s="185"/>
      <c r="D6" s="15">
        <f t="shared" ref="D6:D32" si="0">D37</f>
        <v>18528</v>
      </c>
      <c r="E6" s="18">
        <f t="shared" ref="E6:E32" si="1">E37+E68+IFERROR($E$105/$D$105*D6,0)</f>
        <v>103734.85464658124</v>
      </c>
      <c r="F6" s="22">
        <f t="shared" ref="F6:F33" si="2">IFERROR(E6/D6,"")</f>
        <v>5.598815557350024</v>
      </c>
    </row>
    <row r="7" spans="1:6" ht="14.25" customHeight="1" x14ac:dyDescent="0.2">
      <c r="A7" s="20">
        <v>3</v>
      </c>
      <c r="B7" s="184" t="s">
        <v>2</v>
      </c>
      <c r="C7" s="185"/>
      <c r="D7" s="15">
        <f t="shared" si="0"/>
        <v>31008</v>
      </c>
      <c r="E7" s="18">
        <f t="shared" si="1"/>
        <v>169198.2437867655</v>
      </c>
      <c r="F7" s="22">
        <f t="shared" si="2"/>
        <v>5.4565997093255127</v>
      </c>
    </row>
    <row r="8" spans="1:6" ht="14.25" customHeight="1" x14ac:dyDescent="0.2">
      <c r="A8" s="20">
        <v>4</v>
      </c>
      <c r="B8" s="184" t="s">
        <v>3</v>
      </c>
      <c r="C8" s="185"/>
      <c r="D8" s="15">
        <f t="shared" si="0"/>
        <v>8800</v>
      </c>
      <c r="E8" s="18">
        <f t="shared" si="1"/>
        <v>74826.582086027367</v>
      </c>
      <c r="F8" s="22">
        <f t="shared" si="2"/>
        <v>8.5030206915940187</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28654</v>
      </c>
      <c r="E11" s="18">
        <f t="shared" si="1"/>
        <v>164970.44057875319</v>
      </c>
      <c r="F11" s="22">
        <f t="shared" si="2"/>
        <v>5.757326745960536</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40144</v>
      </c>
      <c r="E13" s="18">
        <f t="shared" si="1"/>
        <v>225225.35173425937</v>
      </c>
      <c r="F13" s="22">
        <f t="shared" si="2"/>
        <v>5.61043622295385</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0</v>
      </c>
      <c r="E15" s="18">
        <f t="shared" si="1"/>
        <v>0</v>
      </c>
      <c r="F15" s="22" t="str">
        <f t="shared" si="2"/>
        <v/>
      </c>
    </row>
    <row r="16" spans="1:6" ht="14.25" customHeight="1" x14ac:dyDescent="0.2">
      <c r="A16" s="20">
        <v>12</v>
      </c>
      <c r="B16" s="184" t="s">
        <v>11</v>
      </c>
      <c r="C16" s="185"/>
      <c r="D16" s="15">
        <f t="shared" si="0"/>
        <v>70444</v>
      </c>
      <c r="E16" s="18">
        <f t="shared" si="1"/>
        <v>447927.34459864907</v>
      </c>
      <c r="F16" s="22">
        <f t="shared" si="2"/>
        <v>6.3586301828210932</v>
      </c>
    </row>
    <row r="17" spans="1:6" x14ac:dyDescent="0.2">
      <c r="A17" s="20">
        <v>13</v>
      </c>
      <c r="B17" s="184" t="s">
        <v>12</v>
      </c>
      <c r="C17" s="185"/>
      <c r="D17" s="15">
        <f t="shared" si="0"/>
        <v>0</v>
      </c>
      <c r="E17" s="18">
        <f t="shared" si="1"/>
        <v>0</v>
      </c>
      <c r="F17" s="22" t="str">
        <f t="shared" si="2"/>
        <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10879</v>
      </c>
      <c r="E20" s="18">
        <f t="shared" si="1"/>
        <v>68039.085853851328</v>
      </c>
      <c r="F20" s="22">
        <f t="shared" si="2"/>
        <v>6.2541672813541069</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79200</v>
      </c>
      <c r="E22" s="18">
        <f t="shared" si="1"/>
        <v>448895.23877424625</v>
      </c>
      <c r="F22" s="22">
        <f t="shared" si="2"/>
        <v>5.6678691764425029</v>
      </c>
    </row>
    <row r="23" spans="1:6" x14ac:dyDescent="0.2">
      <c r="A23" s="20">
        <v>19</v>
      </c>
      <c r="B23" s="184" t="s">
        <v>17</v>
      </c>
      <c r="C23" s="185"/>
      <c r="D23" s="15">
        <f t="shared" si="0"/>
        <v>31080</v>
      </c>
      <c r="E23" s="18">
        <f t="shared" si="1"/>
        <v>206310.64218565117</v>
      </c>
      <c r="F23" s="22">
        <f t="shared" si="2"/>
        <v>6.6380515503748772</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128</v>
      </c>
      <c r="E26" s="18">
        <f t="shared" si="1"/>
        <v>1955.8193757967615</v>
      </c>
      <c r="F26" s="22">
        <f t="shared" si="2"/>
        <v>15.279838873412199</v>
      </c>
    </row>
    <row r="27" spans="1:6" x14ac:dyDescent="0.2">
      <c r="A27" s="20">
        <v>23</v>
      </c>
      <c r="B27" s="184" t="s">
        <v>20</v>
      </c>
      <c r="C27" s="185"/>
      <c r="D27" s="15">
        <f t="shared" si="0"/>
        <v>29376</v>
      </c>
      <c r="E27" s="18">
        <f t="shared" si="1"/>
        <v>479984.54674535681</v>
      </c>
      <c r="F27" s="22">
        <f t="shared" si="2"/>
        <v>16.339343230710675</v>
      </c>
    </row>
    <row r="28" spans="1:6" x14ac:dyDescent="0.2">
      <c r="A28" s="20">
        <v>24</v>
      </c>
      <c r="B28" s="184" t="s">
        <v>21</v>
      </c>
      <c r="C28" s="185"/>
      <c r="D28" s="15">
        <f t="shared" si="0"/>
        <v>0</v>
      </c>
      <c r="E28" s="18">
        <f t="shared" si="1"/>
        <v>0</v>
      </c>
      <c r="F28" s="22" t="str">
        <f t="shared" si="2"/>
        <v/>
      </c>
    </row>
    <row r="29" spans="1:6" x14ac:dyDescent="0.2">
      <c r="A29" s="20">
        <v>25</v>
      </c>
      <c r="B29" s="184" t="s">
        <v>22</v>
      </c>
      <c r="C29" s="185"/>
      <c r="D29" s="15">
        <f t="shared" si="0"/>
        <v>54720</v>
      </c>
      <c r="E29" s="18">
        <f t="shared" si="1"/>
        <v>280906.7831531156</v>
      </c>
      <c r="F29" s="22">
        <f t="shared" si="2"/>
        <v>5.1335303938800365</v>
      </c>
    </row>
    <row r="30" spans="1:6" x14ac:dyDescent="0.2">
      <c r="A30" s="20">
        <v>26</v>
      </c>
      <c r="B30" s="184" t="s">
        <v>23</v>
      </c>
      <c r="C30" s="185"/>
      <c r="D30" s="15">
        <f t="shared" si="0"/>
        <v>10128</v>
      </c>
      <c r="E30" s="18">
        <f t="shared" si="1"/>
        <v>87331.708109918764</v>
      </c>
      <c r="F30" s="22">
        <f t="shared" si="2"/>
        <v>8.6227989839967183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414961</v>
      </c>
      <c r="E33" s="32">
        <f>SUM(E5:E32)</f>
        <v>2777146.0000000005</v>
      </c>
      <c r="F33" s="33">
        <f t="shared" si="2"/>
        <v>6.6925470104419462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IF(F3="1",SUMIF(Data!A:A,'35'!$A$2,Data!CU:CU),0)</f>
        <v>1872</v>
      </c>
      <c r="E36" s="16">
        <f>IF(F3="1",SUMIF(Data!$A:$A,'35'!$A$2,Data!IO:IO),0)</f>
        <v>4963</v>
      </c>
      <c r="F36" s="21">
        <f t="shared" ref="F36:F64" si="3">IFERROR(E36/D36,"")</f>
        <v>2.6511752136752138</v>
      </c>
    </row>
    <row r="37" spans="1:6" x14ac:dyDescent="0.2">
      <c r="A37" s="20">
        <v>2</v>
      </c>
      <c r="B37" s="184" t="s">
        <v>1</v>
      </c>
      <c r="C37" s="185"/>
      <c r="D37" s="15">
        <f>IF(F3="1",SUMIF(Data!A:A,'35'!$A$2,Data!CV:CV),0)</f>
        <v>18528</v>
      </c>
      <c r="E37" s="18">
        <f>IF(F3="1",SUMIF(Data!$A:$A,'35'!$A$2,Data!IP:IP),0)</f>
        <v>9351</v>
      </c>
      <c r="F37" s="22">
        <f t="shared" si="3"/>
        <v>0.5046955958549223</v>
      </c>
    </row>
    <row r="38" spans="1:6" ht="14.25" customHeight="1" x14ac:dyDescent="0.2">
      <c r="A38" s="20">
        <v>3</v>
      </c>
      <c r="B38" s="184" t="s">
        <v>2</v>
      </c>
      <c r="C38" s="185"/>
      <c r="D38" s="15">
        <f>IF(F3="1",SUMIF(Data!A:A,'35'!$A$2,Data!CW:CW),0)</f>
        <v>31008</v>
      </c>
      <c r="E38" s="18">
        <f>IF(F3="1",SUMIF(Data!$A:$A,'35'!$A$2,Data!IQ:IQ),0)</f>
        <v>2621</v>
      </c>
      <c r="F38" s="22">
        <f t="shared" si="3"/>
        <v>8.4526573787409701E-2</v>
      </c>
    </row>
    <row r="39" spans="1:6" ht="14.25" customHeight="1" x14ac:dyDescent="0.2">
      <c r="A39" s="20">
        <v>4</v>
      </c>
      <c r="B39" s="184" t="s">
        <v>3</v>
      </c>
      <c r="C39" s="185"/>
      <c r="D39" s="15">
        <f>IF(F3="1",SUMIF(Data!A:A,'35'!$A$2,Data!CX:CX),0)</f>
        <v>8800</v>
      </c>
      <c r="E39" s="18">
        <f>IF(F3="1",SUMIF(Data!$A:$A,'35'!$A$2,Data!IR:IR),0)</f>
        <v>1105</v>
      </c>
      <c r="F39" s="22">
        <f t="shared" si="3"/>
        <v>0.12556818181818183</v>
      </c>
    </row>
    <row r="40" spans="1:6" x14ac:dyDescent="0.2">
      <c r="A40" s="20">
        <v>5</v>
      </c>
      <c r="B40" s="184" t="s">
        <v>4</v>
      </c>
      <c r="C40" s="185"/>
      <c r="D40" s="15">
        <f>IF(F3="1",SUMIF(Data!A:A,'35'!$A$2,Data!CY:CY),0)</f>
        <v>0</v>
      </c>
      <c r="E40" s="18">
        <f>IF(F3="1",SUMIF(Data!$A:$A,'35'!$A$2,Data!IS:IS),0)</f>
        <v>0</v>
      </c>
      <c r="F40" s="22" t="str">
        <f t="shared" si="3"/>
        <v/>
      </c>
    </row>
    <row r="41" spans="1:6" x14ac:dyDescent="0.2">
      <c r="A41" s="20">
        <v>6</v>
      </c>
      <c r="B41" s="184" t="s">
        <v>5</v>
      </c>
      <c r="C41" s="185"/>
      <c r="D41" s="15">
        <f>IF(F3="1",SUMIF(Data!A:A,'35'!$A$2,Data!CZ:CZ),0)</f>
        <v>0</v>
      </c>
      <c r="E41" s="18">
        <f>IF(F3="1",SUMIF(Data!$A:$A,'35'!$A$2,Data!IT:IT),0)</f>
        <v>0</v>
      </c>
      <c r="F41" s="22" t="str">
        <f t="shared" si="3"/>
        <v/>
      </c>
    </row>
    <row r="42" spans="1:6" x14ac:dyDescent="0.2">
      <c r="A42" s="20">
        <v>7</v>
      </c>
      <c r="B42" s="184" t="s">
        <v>6</v>
      </c>
      <c r="C42" s="185"/>
      <c r="D42" s="15">
        <f>IF(F3="1",SUMIF(Data!A:A,'35'!$A$2,Data!DA:DA),0)</f>
        <v>28654</v>
      </c>
      <c r="E42" s="18">
        <f>IF(F3="1",SUMIF(Data!$A:$A,'35'!$A$2,Data!IU:IU),0)</f>
        <v>1205</v>
      </c>
      <c r="F42" s="22">
        <f t="shared" si="3"/>
        <v>4.2053465484749072E-2</v>
      </c>
    </row>
    <row r="43" spans="1:6" x14ac:dyDescent="0.2">
      <c r="A43" s="20">
        <v>8</v>
      </c>
      <c r="B43" s="184" t="s">
        <v>7</v>
      </c>
      <c r="C43" s="185"/>
      <c r="D43" s="15">
        <f>IF(F3="1",SUMIF(Data!A:A,'35'!$A$2,Data!DB:DB),0)</f>
        <v>0</v>
      </c>
      <c r="E43" s="18">
        <f>IF(F3="1",SUMIF(Data!$A:$A,'35'!$A$2,Data!IV:IV),0)</f>
        <v>0</v>
      </c>
      <c r="F43" s="22" t="str">
        <f t="shared" si="3"/>
        <v/>
      </c>
    </row>
    <row r="44" spans="1:6" x14ac:dyDescent="0.2">
      <c r="A44" s="20">
        <v>9</v>
      </c>
      <c r="B44" s="184" t="s">
        <v>8</v>
      </c>
      <c r="C44" s="185"/>
      <c r="D44" s="15">
        <f>IF(F3="1",SUMIF(Data!A:A,'35'!$A$2,Data!DC:DC),0)</f>
        <v>40144</v>
      </c>
      <c r="E44" s="18">
        <f>IF(F3="1",SUMIF(Data!$A:$A,'35'!$A$2,Data!IW:IW),0)</f>
        <v>33689</v>
      </c>
      <c r="F44" s="22">
        <f t="shared" si="3"/>
        <v>0.8392038660821044</v>
      </c>
    </row>
    <row r="45" spans="1:6" x14ac:dyDescent="0.2">
      <c r="A45" s="20">
        <v>10</v>
      </c>
      <c r="B45" s="184" t="s">
        <v>9</v>
      </c>
      <c r="C45" s="185"/>
      <c r="D45" s="15">
        <f>IF(F3="1",SUMIF(Data!A:A,'35'!$A$2,Data!DD:DD),0)</f>
        <v>0</v>
      </c>
      <c r="E45" s="18">
        <f>IF(F3="1",SUMIF(Data!$A:$A,'35'!$A$2,Data!IX:IX),0)</f>
        <v>0</v>
      </c>
      <c r="F45" s="22" t="str">
        <f t="shared" si="3"/>
        <v/>
      </c>
    </row>
    <row r="46" spans="1:6" x14ac:dyDescent="0.2">
      <c r="A46" s="20">
        <v>11</v>
      </c>
      <c r="B46" s="184" t="s">
        <v>10</v>
      </c>
      <c r="C46" s="185"/>
      <c r="D46" s="15">
        <f>IF(F3="1",SUMIF(Data!A:A,'35'!$A$2,Data!DE:DE),0)</f>
        <v>0</v>
      </c>
      <c r="E46" s="18">
        <f>IF(F3="1",SUMIF(Data!$A:$A,'35'!$A$2,Data!IY:IY),0)</f>
        <v>0</v>
      </c>
      <c r="F46" s="22" t="str">
        <f t="shared" si="3"/>
        <v/>
      </c>
    </row>
    <row r="47" spans="1:6" ht="14.25" customHeight="1" x14ac:dyDescent="0.2">
      <c r="A47" s="20">
        <v>12</v>
      </c>
      <c r="B47" s="184" t="s">
        <v>11</v>
      </c>
      <c r="C47" s="185"/>
      <c r="D47" s="15">
        <f>IF(F3="1",SUMIF(Data!A:A,'35'!$A$2,Data!DF:DF),0)</f>
        <v>70444</v>
      </c>
      <c r="E47" s="18">
        <f>IF(F3="1",SUMIF(Data!$A:$A,'35'!$A$2,Data!IZ:IZ),0)</f>
        <v>4177</v>
      </c>
      <c r="F47" s="22">
        <f t="shared" si="3"/>
        <v>5.9295326784396113E-2</v>
      </c>
    </row>
    <row r="48" spans="1:6" x14ac:dyDescent="0.2">
      <c r="A48" s="20">
        <v>13</v>
      </c>
      <c r="B48" s="184" t="s">
        <v>12</v>
      </c>
      <c r="C48" s="185"/>
      <c r="D48" s="15">
        <f>IF(F3="1",SUMIF(Data!A:A,'35'!$A$2,Data!DG:DG),0)</f>
        <v>0</v>
      </c>
      <c r="E48" s="18">
        <f>IF(F3="1",SUMIF(Data!$A:$A,'35'!$A$2,Data!JA:JA),0)</f>
        <v>0</v>
      </c>
      <c r="F48" s="22" t="str">
        <f t="shared" si="3"/>
        <v/>
      </c>
    </row>
    <row r="49" spans="1:6" ht="14.25" customHeight="1" x14ac:dyDescent="0.2">
      <c r="A49" s="20">
        <v>14</v>
      </c>
      <c r="B49" s="184" t="s">
        <v>469</v>
      </c>
      <c r="C49" s="185"/>
      <c r="D49" s="15">
        <f>IF(F3="1",SUMIF(Data!A:A,'35'!$A$2,Data!DH:DH),0)</f>
        <v>0</v>
      </c>
      <c r="E49" s="18">
        <f>IF(F3="1",SUMIF(Data!$A:$A,'35'!$A$2,Data!JB:JB),0)</f>
        <v>0</v>
      </c>
      <c r="F49" s="22" t="str">
        <f t="shared" si="3"/>
        <v/>
      </c>
    </row>
    <row r="50" spans="1:6" x14ac:dyDescent="0.2">
      <c r="A50" s="20">
        <v>15</v>
      </c>
      <c r="B50" s="184" t="s">
        <v>13</v>
      </c>
      <c r="C50" s="185"/>
      <c r="D50" s="15">
        <f>IF(F3="1",SUMIF(Data!A:A,'35'!$A$2,Data!DI:DI),0)</f>
        <v>0</v>
      </c>
      <c r="E50" s="18">
        <f>IF(F3="1",SUMIF(Data!$A:$A,'35'!$A$2,Data!JC:JC),0)</f>
        <v>0</v>
      </c>
      <c r="F50" s="22" t="str">
        <f t="shared" si="3"/>
        <v/>
      </c>
    </row>
    <row r="51" spans="1:6" x14ac:dyDescent="0.2">
      <c r="A51" s="20">
        <v>16</v>
      </c>
      <c r="B51" s="184" t="s">
        <v>14</v>
      </c>
      <c r="C51" s="185"/>
      <c r="D51" s="15">
        <f>IF(F3="1",SUMIF(Data!A:A,'35'!$A$2,Data!DJ:DJ),0)</f>
        <v>10879</v>
      </c>
      <c r="E51" s="18">
        <f>IF(F3="1",SUMIF(Data!$A:$A,'35'!$A$2,Data!JD:JD),0)</f>
        <v>15790</v>
      </c>
      <c r="F51" s="22">
        <f t="shared" si="3"/>
        <v>1.4514201672947882</v>
      </c>
    </row>
    <row r="52" spans="1:6" x14ac:dyDescent="0.2">
      <c r="A52" s="20">
        <v>17</v>
      </c>
      <c r="B52" s="184" t="s">
        <v>15</v>
      </c>
      <c r="C52" s="185"/>
      <c r="D52" s="15">
        <f>IF(F3="1",SUMIF(Data!A:A,'35'!$A$2,Data!DK:DK),0)</f>
        <v>0</v>
      </c>
      <c r="E52" s="18">
        <f>IF(F3="1",SUMIF(Data!$A:$A,'35'!$A$2,Data!JE:JE),0)</f>
        <v>0</v>
      </c>
      <c r="F52" s="22" t="str">
        <f t="shared" si="3"/>
        <v/>
      </c>
    </row>
    <row r="53" spans="1:6" x14ac:dyDescent="0.2">
      <c r="A53" s="20">
        <v>18</v>
      </c>
      <c r="B53" s="184" t="s">
        <v>16</v>
      </c>
      <c r="C53" s="185"/>
      <c r="D53" s="15">
        <f>IF(F3="1",SUMIF(Data!A:A,'35'!$A$2,Data!DL:DL),0)</f>
        <v>79200</v>
      </c>
      <c r="E53" s="18">
        <f>IF(F3="1",SUMIF(Data!$A:$A,'35'!$A$2,Data!JF:JF),0)</f>
        <v>9680</v>
      </c>
      <c r="F53" s="22">
        <f t="shared" si="3"/>
        <v>0.12222222222222222</v>
      </c>
    </row>
    <row r="54" spans="1:6" x14ac:dyDescent="0.2">
      <c r="A54" s="20">
        <v>19</v>
      </c>
      <c r="B54" s="184" t="s">
        <v>17</v>
      </c>
      <c r="C54" s="185"/>
      <c r="D54" s="15">
        <f>IF(F3="1",SUMIF(Data!A:A,'35'!$A$2,Data!DM:DM),0)</f>
        <v>31080</v>
      </c>
      <c r="E54" s="18">
        <f>IF(F3="1",SUMIF(Data!$A:$A,'35'!$A$2,Data!JG:JG),0)</f>
        <v>3165</v>
      </c>
      <c r="F54" s="22">
        <f t="shared" si="3"/>
        <v>0.10183397683397684</v>
      </c>
    </row>
    <row r="55" spans="1:6" x14ac:dyDescent="0.2">
      <c r="A55" s="20">
        <v>20</v>
      </c>
      <c r="B55" s="184" t="s">
        <v>18</v>
      </c>
      <c r="C55" s="185"/>
      <c r="D55" s="15">
        <f>IF(F3="1",SUMIF(Data!A:A,'35'!$A$2,Data!DN:DN),0)</f>
        <v>0</v>
      </c>
      <c r="E55" s="18">
        <f>IF(F3="1",SUMIF(Data!$A:$A,'35'!$A$2,Data!JH:JH),0)</f>
        <v>0</v>
      </c>
      <c r="F55" s="22" t="str">
        <f t="shared" si="3"/>
        <v/>
      </c>
    </row>
    <row r="56" spans="1:6" ht="14.25" customHeight="1" x14ac:dyDescent="0.2">
      <c r="A56" s="20">
        <v>21</v>
      </c>
      <c r="B56" s="184" t="s">
        <v>466</v>
      </c>
      <c r="C56" s="185"/>
      <c r="D56" s="15">
        <f>IF(F3="1",SUMIF(Data!A:A,'35'!$A$2,Data!DO:DO),0)</f>
        <v>0</v>
      </c>
      <c r="E56" s="18">
        <f>IF(F3="1",SUMIF(Data!$A:$A,'35'!$A$2,Data!JI:JI),0)</f>
        <v>0</v>
      </c>
      <c r="F56" s="22" t="str">
        <f t="shared" si="3"/>
        <v/>
      </c>
    </row>
    <row r="57" spans="1:6" x14ac:dyDescent="0.2">
      <c r="A57" s="20">
        <v>22</v>
      </c>
      <c r="B57" s="184" t="s">
        <v>19</v>
      </c>
      <c r="C57" s="185"/>
      <c r="D57" s="15">
        <f>IF(F3="1",SUMIF(Data!A:A,'35'!$A$2,Data!DP:DP),0)</f>
        <v>128</v>
      </c>
      <c r="E57" s="18">
        <f>IF(F3="1",SUMIF(Data!$A:$A,'35'!$A$2,Data!JJ:JJ),0)</f>
        <v>0</v>
      </c>
      <c r="F57" s="22">
        <f t="shared" si="3"/>
        <v>0</v>
      </c>
    </row>
    <row r="58" spans="1:6" x14ac:dyDescent="0.2">
      <c r="A58" s="20">
        <v>23</v>
      </c>
      <c r="B58" s="184" t="s">
        <v>20</v>
      </c>
      <c r="C58" s="185"/>
      <c r="D58" s="15">
        <f>IF(F3="1",SUMIF(Data!A:A,'35'!$A$2,Data!DQ:DQ),0)</f>
        <v>29376</v>
      </c>
      <c r="E58" s="18">
        <f>IF(F3="1",SUMIF(Data!$A:$A,'35'!$A$2,Data!JK:JK),0)</f>
        <v>880</v>
      </c>
      <c r="F58" s="22">
        <f t="shared" si="3"/>
        <v>2.9956427015250545E-2</v>
      </c>
    </row>
    <row r="59" spans="1:6" x14ac:dyDescent="0.2">
      <c r="A59" s="20">
        <v>24</v>
      </c>
      <c r="B59" s="184" t="s">
        <v>21</v>
      </c>
      <c r="C59" s="185"/>
      <c r="D59" s="15">
        <f>IF(F3="1",SUMIF(Data!A:A,'35'!$A$2,Data!DR:DR),0)</f>
        <v>0</v>
      </c>
      <c r="E59" s="18">
        <f>IF(F3="1",SUMIF(Data!$A:$A,'35'!$A$2,Data!JL:JL),0)</f>
        <v>0</v>
      </c>
      <c r="F59" s="22" t="str">
        <f t="shared" si="3"/>
        <v/>
      </c>
    </row>
    <row r="60" spans="1:6" x14ac:dyDescent="0.2">
      <c r="A60" s="20">
        <v>25</v>
      </c>
      <c r="B60" s="184" t="s">
        <v>22</v>
      </c>
      <c r="C60" s="185"/>
      <c r="D60" s="15">
        <f>IF(F3="1",SUMIF(Data!A:A,'35'!$A$2,Data!DS:DS),0)</f>
        <v>54720</v>
      </c>
      <c r="E60" s="18">
        <f>IF(F3="1",SUMIF(Data!$A:$A,'35'!$A$2,Data!JM:JM),0)</f>
        <v>23</v>
      </c>
      <c r="F60" s="22">
        <f t="shared" si="3"/>
        <v>4.2032163742690057E-4</v>
      </c>
    </row>
    <row r="61" spans="1:6" x14ac:dyDescent="0.2">
      <c r="A61" s="20">
        <v>26</v>
      </c>
      <c r="B61" s="184" t="s">
        <v>23</v>
      </c>
      <c r="C61" s="185"/>
      <c r="D61" s="15">
        <f>IF(F3="1",SUMIF(Data!A:A,'35'!$A$2,Data!DT:DT),0)</f>
        <v>10128</v>
      </c>
      <c r="E61" s="18">
        <f>IF(F3="1",SUMIF(Data!$A:$A,'35'!$A$2,Data!JN:JN),0)</f>
        <v>696</v>
      </c>
      <c r="F61" s="22">
        <f t="shared" si="3"/>
        <v>6.8720379146919433E-2</v>
      </c>
    </row>
    <row r="62" spans="1:6" x14ac:dyDescent="0.2">
      <c r="A62" s="20">
        <v>28</v>
      </c>
      <c r="B62" s="184" t="s">
        <v>24</v>
      </c>
      <c r="C62" s="185"/>
      <c r="D62" s="15">
        <f>IF(F3="1",SUMIF(Data!A:A,'35'!$A$2,Data!DV:DV),0)</f>
        <v>0</v>
      </c>
      <c r="E62" s="18">
        <f>IF(F3="1",SUMIF(Data!$A:$A,'35'!$A$2,Data!JP:JP),0)</f>
        <v>0</v>
      </c>
      <c r="F62" s="22" t="str">
        <f t="shared" si="3"/>
        <v/>
      </c>
    </row>
    <row r="63" spans="1:6" ht="15.75" customHeight="1" thickBot="1" x14ac:dyDescent="0.25">
      <c r="A63" s="23">
        <v>29</v>
      </c>
      <c r="B63" s="186" t="s">
        <v>25</v>
      </c>
      <c r="C63" s="187"/>
      <c r="D63" s="24">
        <f>IF(F3="1",SUMIF(Data!A:A,'35'!$A$2,Data!DW:DW),0)</f>
        <v>0</v>
      </c>
      <c r="E63" s="25">
        <f>IF(F3="1",SUMIF(Data!$A:$A,'35'!$A$2,Data!JQ:JQ),0)</f>
        <v>0</v>
      </c>
      <c r="F63" s="26" t="str">
        <f t="shared" si="3"/>
        <v/>
      </c>
    </row>
    <row r="64" spans="1:6" x14ac:dyDescent="0.2">
      <c r="B64" s="31" t="s">
        <v>35</v>
      </c>
      <c r="C64" s="31"/>
      <c r="D64" s="61">
        <f>SUM(D36:D63)</f>
        <v>414961</v>
      </c>
      <c r="E64" s="32">
        <f>SUM(E36:E63)</f>
        <v>87345</v>
      </c>
      <c r="F64" s="33">
        <f t="shared" si="3"/>
        <v>0.21048966047411685</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1872</v>
      </c>
      <c r="E67" s="16">
        <f>IF(F3="1",SUMIF(Data!A:A,'35'!$A$2,Data!DY:DY),0)</f>
        <v>6210</v>
      </c>
      <c r="F67" s="21">
        <f>IFERROR(E67/D67,"")</f>
        <v>3.3173076923076925</v>
      </c>
    </row>
    <row r="68" spans="1:6" x14ac:dyDescent="0.2">
      <c r="A68" s="20">
        <v>2</v>
      </c>
      <c r="B68" s="184" t="s">
        <v>1</v>
      </c>
      <c r="C68" s="185"/>
      <c r="D68" s="15">
        <f t="shared" ref="D68:D94" si="4">D37</f>
        <v>18528</v>
      </c>
      <c r="E68" s="18">
        <f>IF(F3="1",SUMIF(Data!A:A,'35'!$A$2,Data!DZ:DZ),0)</f>
        <v>28404</v>
      </c>
      <c r="F68" s="22">
        <f t="shared" ref="F68:F95" si="5">IFERROR(E68/D68,"")</f>
        <v>1.5330310880829014</v>
      </c>
    </row>
    <row r="69" spans="1:6" ht="14.25" customHeight="1" x14ac:dyDescent="0.2">
      <c r="A69" s="20">
        <v>3</v>
      </c>
      <c r="B69" s="184" t="s">
        <v>2</v>
      </c>
      <c r="C69" s="185"/>
      <c r="D69" s="15">
        <f t="shared" si="4"/>
        <v>31008</v>
      </c>
      <c r="E69" s="18">
        <f>IF(F3="1",SUMIF(Data!A:A,'35'!$A$2,Data!EA:EA),0)</f>
        <v>56155</v>
      </c>
      <c r="F69" s="22">
        <f t="shared" si="5"/>
        <v>1.8109842621259029</v>
      </c>
    </row>
    <row r="70" spans="1:6" ht="14.25" customHeight="1" x14ac:dyDescent="0.2">
      <c r="A70" s="20">
        <v>4</v>
      </c>
      <c r="B70" s="184" t="s">
        <v>3</v>
      </c>
      <c r="C70" s="185"/>
      <c r="D70" s="15">
        <f t="shared" si="4"/>
        <v>8800</v>
      </c>
      <c r="E70" s="18">
        <f>IF(F3="1",SUMIF(Data!A:A,'35'!$A$2,Data!EB:EB),0)</f>
        <v>42384</v>
      </c>
      <c r="F70" s="22">
        <f t="shared" si="5"/>
        <v>4.8163636363636364</v>
      </c>
    </row>
    <row r="71" spans="1:6" x14ac:dyDescent="0.2">
      <c r="A71" s="20">
        <v>5</v>
      </c>
      <c r="B71" s="184" t="s">
        <v>4</v>
      </c>
      <c r="C71" s="185"/>
      <c r="D71" s="15">
        <f t="shared" si="4"/>
        <v>0</v>
      </c>
      <c r="E71" s="18">
        <f>IF(F3="1",SUMIF(Data!A:A,'35'!$A$2,Data!EC:EC),0)</f>
        <v>0</v>
      </c>
      <c r="F71" s="22" t="str">
        <f t="shared" si="5"/>
        <v/>
      </c>
    </row>
    <row r="72" spans="1:6" x14ac:dyDescent="0.2">
      <c r="A72" s="20">
        <v>6</v>
      </c>
      <c r="B72" s="184" t="s">
        <v>5</v>
      </c>
      <c r="C72" s="185"/>
      <c r="D72" s="15">
        <f t="shared" si="4"/>
        <v>0</v>
      </c>
      <c r="E72" s="18">
        <f>IF(F3="1",SUMIF(Data!A:A,'35'!$A$2,Data!ED:ED),0)</f>
        <v>0</v>
      </c>
      <c r="F72" s="22" t="str">
        <f t="shared" si="5"/>
        <v/>
      </c>
    </row>
    <row r="73" spans="1:6" x14ac:dyDescent="0.2">
      <c r="A73" s="20">
        <v>7</v>
      </c>
      <c r="B73" s="184" t="s">
        <v>6</v>
      </c>
      <c r="C73" s="185"/>
      <c r="D73" s="15">
        <f t="shared" si="4"/>
        <v>28654</v>
      </c>
      <c r="E73" s="18">
        <f>IF(F3="1",SUMIF(Data!A:A,'35'!$A$2,Data!EE:EE),0)</f>
        <v>61726</v>
      </c>
      <c r="F73" s="22">
        <f t="shared" si="5"/>
        <v>2.1541844070635863</v>
      </c>
    </row>
    <row r="74" spans="1:6" x14ac:dyDescent="0.2">
      <c r="A74" s="20">
        <v>8</v>
      </c>
      <c r="B74" s="184" t="s">
        <v>7</v>
      </c>
      <c r="C74" s="185"/>
      <c r="D74" s="15">
        <f t="shared" si="4"/>
        <v>0</v>
      </c>
      <c r="E74" s="18">
        <f>IF(F3="1",SUMIF(Data!A:A,'35'!$A$2,Data!EF:EF),0)</f>
        <v>0</v>
      </c>
      <c r="F74" s="22" t="str">
        <f t="shared" si="5"/>
        <v/>
      </c>
    </row>
    <row r="75" spans="1:6" x14ac:dyDescent="0.2">
      <c r="A75" s="20">
        <v>9</v>
      </c>
      <c r="B75" s="184" t="s">
        <v>8</v>
      </c>
      <c r="C75" s="185"/>
      <c r="D75" s="15">
        <f t="shared" si="4"/>
        <v>40144</v>
      </c>
      <c r="E75" s="18">
        <f>IF(F3="1",SUMIF(Data!A:A,'35'!$A$2,Data!EG:EG),0)</f>
        <v>48580</v>
      </c>
      <c r="F75" s="22">
        <f t="shared" si="5"/>
        <v>1.2101434834595457</v>
      </c>
    </row>
    <row r="76" spans="1:6" x14ac:dyDescent="0.2">
      <c r="A76" s="20">
        <v>10</v>
      </c>
      <c r="B76" s="184" t="s">
        <v>9</v>
      </c>
      <c r="C76" s="185"/>
      <c r="D76" s="15">
        <f t="shared" si="4"/>
        <v>0</v>
      </c>
      <c r="E76" s="18">
        <f>IF(F3="1",SUMIF(Data!A:A,'35'!$A$2,Data!EH:EH),0)</f>
        <v>0</v>
      </c>
      <c r="F76" s="22" t="str">
        <f t="shared" si="5"/>
        <v/>
      </c>
    </row>
    <row r="77" spans="1:6" x14ac:dyDescent="0.2">
      <c r="A77" s="20">
        <v>11</v>
      </c>
      <c r="B77" s="184" t="s">
        <v>10</v>
      </c>
      <c r="C77" s="185"/>
      <c r="D77" s="15">
        <f t="shared" si="4"/>
        <v>0</v>
      </c>
      <c r="E77" s="18">
        <f>IF(F3="1",SUMIF(Data!A:A,'35'!$A$2,Data!EI:EI),0)</f>
        <v>0</v>
      </c>
      <c r="F77" s="22" t="str">
        <f t="shared" si="5"/>
        <v/>
      </c>
    </row>
    <row r="78" spans="1:6" ht="14.25" customHeight="1" x14ac:dyDescent="0.2">
      <c r="A78" s="20">
        <v>12</v>
      </c>
      <c r="B78" s="184" t="s">
        <v>11</v>
      </c>
      <c r="C78" s="185"/>
      <c r="D78" s="15">
        <f t="shared" si="4"/>
        <v>70444</v>
      </c>
      <c r="E78" s="18">
        <f>IF(F3="1",SUMIF(Data!A:A,'35'!$A$2,Data!EJ:EJ),0)</f>
        <v>192893</v>
      </c>
      <c r="F78" s="22">
        <f t="shared" si="5"/>
        <v>2.738245982624496</v>
      </c>
    </row>
    <row r="79" spans="1:6" x14ac:dyDescent="0.2">
      <c r="A79" s="20">
        <v>13</v>
      </c>
      <c r="B79" s="184" t="s">
        <v>12</v>
      </c>
      <c r="C79" s="185"/>
      <c r="D79" s="15">
        <f t="shared" si="4"/>
        <v>0</v>
      </c>
      <c r="E79" s="18">
        <f>IF(F3="1",SUMIF(Data!A:A,'35'!$A$2,Data!EK:EK),0)</f>
        <v>0</v>
      </c>
      <c r="F79" s="22" t="str">
        <f t="shared" si="5"/>
        <v/>
      </c>
    </row>
    <row r="80" spans="1:6" ht="14.25" customHeight="1" x14ac:dyDescent="0.2">
      <c r="A80" s="20">
        <v>14</v>
      </c>
      <c r="B80" s="184" t="s">
        <v>469</v>
      </c>
      <c r="C80" s="185"/>
      <c r="D80" s="15">
        <f t="shared" si="4"/>
        <v>0</v>
      </c>
      <c r="E80" s="18">
        <f>IF(F3="1",SUMIF(Data!A:A,'35'!$A$2,Data!EL:EL),0)</f>
        <v>0</v>
      </c>
      <c r="F80" s="22" t="str">
        <f t="shared" si="5"/>
        <v/>
      </c>
    </row>
    <row r="81" spans="1:6" x14ac:dyDescent="0.2">
      <c r="A81" s="20">
        <v>15</v>
      </c>
      <c r="B81" s="184" t="s">
        <v>13</v>
      </c>
      <c r="C81" s="185"/>
      <c r="D81" s="15">
        <f t="shared" si="4"/>
        <v>0</v>
      </c>
      <c r="E81" s="18">
        <f>IF(F3="1",SUMIF(Data!A:A,'35'!$A$2,Data!EM:EM),0)</f>
        <v>0</v>
      </c>
      <c r="F81" s="22" t="str">
        <f t="shared" si="5"/>
        <v/>
      </c>
    </row>
    <row r="82" spans="1:6" x14ac:dyDescent="0.2">
      <c r="A82" s="20">
        <v>16</v>
      </c>
      <c r="B82" s="184" t="s">
        <v>14</v>
      </c>
      <c r="C82" s="185"/>
      <c r="D82" s="15">
        <f t="shared" si="4"/>
        <v>10879</v>
      </c>
      <c r="E82" s="18">
        <f>IF(F3="1",SUMIF(Data!A:A,'35'!$A$2,Data!EN:EN),0)</f>
        <v>13508</v>
      </c>
      <c r="F82" s="22">
        <f t="shared" si="5"/>
        <v>1.2416582406471184</v>
      </c>
    </row>
    <row r="83" spans="1:6" x14ac:dyDescent="0.2">
      <c r="A83" s="20">
        <v>17</v>
      </c>
      <c r="B83" s="184" t="s">
        <v>15</v>
      </c>
      <c r="C83" s="185"/>
      <c r="D83" s="15">
        <f t="shared" si="4"/>
        <v>0</v>
      </c>
      <c r="E83" s="18">
        <f>IF(F3="1",SUMIF(Data!A:A,'35'!$A$2,Data!EO:EO),0)</f>
        <v>0</v>
      </c>
      <c r="F83" s="22" t="str">
        <f t="shared" si="5"/>
        <v/>
      </c>
    </row>
    <row r="84" spans="1:6" x14ac:dyDescent="0.2">
      <c r="A84" s="20">
        <v>18</v>
      </c>
      <c r="B84" s="184" t="s">
        <v>16</v>
      </c>
      <c r="C84" s="185"/>
      <c r="D84" s="15">
        <f t="shared" si="4"/>
        <v>79200</v>
      </c>
      <c r="E84" s="18">
        <f>IF(F3="1",SUMIF(Data!A:A,'35'!$A$2,Data!EP:EP),0)</f>
        <v>157177</v>
      </c>
      <c r="F84" s="22">
        <f t="shared" si="5"/>
        <v>1.9845580808080807</v>
      </c>
    </row>
    <row r="85" spans="1:6" x14ac:dyDescent="0.2">
      <c r="A85" s="20">
        <v>19</v>
      </c>
      <c r="B85" s="184" t="s">
        <v>17</v>
      </c>
      <c r="C85" s="185"/>
      <c r="D85" s="15">
        <f t="shared" si="4"/>
        <v>31080</v>
      </c>
      <c r="E85" s="18">
        <f>IF(F3="1",SUMIF(Data!A:A,'35'!$A$2,Data!EQ:EQ),0)</f>
        <v>92467</v>
      </c>
      <c r="F85" s="22">
        <f t="shared" si="5"/>
        <v>2.9751287001287001</v>
      </c>
    </row>
    <row r="86" spans="1:6" x14ac:dyDescent="0.2">
      <c r="A86" s="20">
        <v>20</v>
      </c>
      <c r="B86" s="184" t="s">
        <v>18</v>
      </c>
      <c r="C86" s="185"/>
      <c r="D86" s="15">
        <f t="shared" si="4"/>
        <v>0</v>
      </c>
      <c r="E86" s="18">
        <f>IF(F3="1",SUMIF(Data!A:A,'35'!$A$2,Data!ER:ER),0)</f>
        <v>0</v>
      </c>
      <c r="F86" s="22" t="str">
        <f t="shared" si="5"/>
        <v/>
      </c>
    </row>
    <row r="87" spans="1:6" ht="14.25" customHeight="1" x14ac:dyDescent="0.2">
      <c r="A87" s="20">
        <v>21</v>
      </c>
      <c r="B87" s="184" t="s">
        <v>466</v>
      </c>
      <c r="C87" s="185"/>
      <c r="D87" s="15">
        <f t="shared" si="4"/>
        <v>0</v>
      </c>
      <c r="E87" s="18">
        <f>IF(F3="1",SUMIF(Data!A:A,'35'!$A$2,Data!ES:ES),0)</f>
        <v>0</v>
      </c>
      <c r="F87" s="22" t="str">
        <f t="shared" si="5"/>
        <v/>
      </c>
    </row>
    <row r="88" spans="1:6" x14ac:dyDescent="0.2">
      <c r="A88" s="20">
        <v>22</v>
      </c>
      <c r="B88" s="184" t="s">
        <v>19</v>
      </c>
      <c r="C88" s="185"/>
      <c r="D88" s="15">
        <f t="shared" si="4"/>
        <v>128</v>
      </c>
      <c r="E88" s="18">
        <f>IF(F3="1",SUMIF(Data!A:A,'35'!$A$2,Data!ET:ET),0)</f>
        <v>1500</v>
      </c>
      <c r="F88" s="22">
        <f t="shared" si="5"/>
        <v>11.71875</v>
      </c>
    </row>
    <row r="89" spans="1:6" x14ac:dyDescent="0.2">
      <c r="A89" s="20">
        <v>23</v>
      </c>
      <c r="B89" s="184" t="s">
        <v>20</v>
      </c>
      <c r="C89" s="185"/>
      <c r="D89" s="15">
        <f t="shared" si="4"/>
        <v>29376</v>
      </c>
      <c r="E89" s="18">
        <f>IF(F3="1",SUMIF(Data!A:A,'35'!$A$2,Data!EU:EU),0)</f>
        <v>374494</v>
      </c>
      <c r="F89" s="22">
        <f t="shared" si="5"/>
        <v>12.748297930283224</v>
      </c>
    </row>
    <row r="90" spans="1:6" x14ac:dyDescent="0.2">
      <c r="A90" s="20">
        <v>24</v>
      </c>
      <c r="B90" s="184" t="s">
        <v>21</v>
      </c>
      <c r="C90" s="185"/>
      <c r="D90" s="15">
        <f t="shared" si="4"/>
        <v>0</v>
      </c>
      <c r="E90" s="18">
        <f>IF(F3="1",SUMIF(Data!A:A,'35'!$A$2,Data!EV:EV),0)</f>
        <v>0</v>
      </c>
      <c r="F90" s="22" t="str">
        <f t="shared" si="5"/>
        <v/>
      </c>
    </row>
    <row r="91" spans="1:6" x14ac:dyDescent="0.2">
      <c r="A91" s="20">
        <v>25</v>
      </c>
      <c r="B91" s="184" t="s">
        <v>22</v>
      </c>
      <c r="C91" s="185"/>
      <c r="D91" s="15">
        <f t="shared" si="4"/>
        <v>54720</v>
      </c>
      <c r="E91" s="18">
        <f>IF(F3="1",SUMIF(Data!A:A,'35'!$A$2,Data!EW:EW),0)</f>
        <v>86021</v>
      </c>
      <c r="F91" s="22">
        <f t="shared" si="5"/>
        <v>1.5720211988304094</v>
      </c>
    </row>
    <row r="92" spans="1:6" x14ac:dyDescent="0.2">
      <c r="A92" s="20">
        <v>26</v>
      </c>
      <c r="B92" s="184" t="s">
        <v>23</v>
      </c>
      <c r="C92" s="185"/>
      <c r="D92" s="15">
        <f t="shared" si="4"/>
        <v>10128</v>
      </c>
      <c r="E92" s="18">
        <f>IF(F3="1",SUMIF(Data!A:A,'35'!$A$2,Data!EX:EX),0)</f>
        <v>50569</v>
      </c>
      <c r="F92" s="22">
        <f t="shared" si="5"/>
        <v>4.9929897314375991</v>
      </c>
    </row>
    <row r="93" spans="1:6" x14ac:dyDescent="0.2">
      <c r="A93" s="20">
        <v>28</v>
      </c>
      <c r="B93" s="184" t="s">
        <v>24</v>
      </c>
      <c r="C93" s="185"/>
      <c r="D93" s="15">
        <f t="shared" si="4"/>
        <v>0</v>
      </c>
      <c r="E93" s="18">
        <f>IF(F3="1",SUMIF(Data!A:A,'35'!$A$2,Data!EZ:EZ),0)</f>
        <v>0</v>
      </c>
      <c r="F93" s="22" t="str">
        <f t="shared" si="5"/>
        <v/>
      </c>
    </row>
    <row r="94" spans="1:6" ht="15.75" customHeight="1" thickBot="1" x14ac:dyDescent="0.25">
      <c r="A94" s="23">
        <v>29</v>
      </c>
      <c r="B94" s="186" t="s">
        <v>25</v>
      </c>
      <c r="C94" s="187"/>
      <c r="D94" s="24">
        <f t="shared" si="4"/>
        <v>0</v>
      </c>
      <c r="E94" s="25">
        <f>IF(F3="1",SUMIF(Data!A:A,'35'!$A$2,Data!FA:FA),0)</f>
        <v>0</v>
      </c>
      <c r="F94" s="26" t="str">
        <f t="shared" si="5"/>
        <v/>
      </c>
    </row>
    <row r="95" spans="1:6" x14ac:dyDescent="0.2">
      <c r="B95" s="31" t="s">
        <v>35</v>
      </c>
      <c r="C95" s="31"/>
      <c r="D95" s="61">
        <f>SUM(D67:D94)</f>
        <v>414961</v>
      </c>
      <c r="E95" s="32">
        <f>SUM(E67:E94)</f>
        <v>1212088</v>
      </c>
      <c r="F95" s="33">
        <f t="shared" si="5"/>
        <v>2.9209684765556281</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IF(F3="1",SUMIF(Data!A:A,'35'!$A$2,Data!AH:AH),0)</f>
        <v>648793</v>
      </c>
      <c r="F98" s="21">
        <f t="shared" ref="F98:F105" si="6">IFERROR(E98/$D$95,0)</f>
        <v>1.5635035581657071</v>
      </c>
    </row>
    <row r="99" spans="2:6" x14ac:dyDescent="0.2">
      <c r="B99" s="190" t="s">
        <v>31</v>
      </c>
      <c r="C99" s="191"/>
      <c r="D99" s="37"/>
      <c r="E99" s="18">
        <f>IF(F3="1",SUMIF(Data!A:A,'35'!$A$2,Data!AI:AI),0)</f>
        <v>223346</v>
      </c>
      <c r="F99" s="22">
        <f t="shared" si="6"/>
        <v>0.53823371352970517</v>
      </c>
    </row>
    <row r="100" spans="2:6" x14ac:dyDescent="0.2">
      <c r="B100" s="190" t="s">
        <v>32</v>
      </c>
      <c r="C100" s="191"/>
      <c r="D100" s="37"/>
      <c r="E100" s="18">
        <f>IF(F3="1",SUMIF(Data!A:A,'35'!$A$2,Data!AJ:AJ),0)</f>
        <v>235087</v>
      </c>
      <c r="F100" s="22">
        <f t="shared" si="6"/>
        <v>0.56652793877014951</v>
      </c>
    </row>
    <row r="101" spans="2:6" x14ac:dyDescent="0.2">
      <c r="B101" s="190" t="s">
        <v>28</v>
      </c>
      <c r="C101" s="191"/>
      <c r="D101" s="37"/>
      <c r="E101" s="18">
        <f>IF(F3="1",SUMIF(Data!A:A,'35'!$A$2,Data!AK:AK),0)</f>
        <v>0</v>
      </c>
      <c r="F101" s="22">
        <f t="shared" si="6"/>
        <v>0</v>
      </c>
    </row>
    <row r="102" spans="2:6" x14ac:dyDescent="0.2">
      <c r="B102" s="190" t="s">
        <v>33</v>
      </c>
      <c r="C102" s="191"/>
      <c r="D102" s="37"/>
      <c r="E102" s="18">
        <f>IF(F3="1",SUMIF(Data!A:A,'35'!$A$2,Data!AL:AL),0)</f>
        <v>127776</v>
      </c>
      <c r="F102" s="22">
        <f t="shared" si="6"/>
        <v>0.30792291323762955</v>
      </c>
    </row>
    <row r="103" spans="2:6" x14ac:dyDescent="0.2">
      <c r="B103" s="192" t="s">
        <v>34</v>
      </c>
      <c r="C103" s="193"/>
      <c r="D103" s="37"/>
      <c r="E103" s="18">
        <f>IF(F3="1",SUMIF(Data!A:A,'35'!$A$2,Data!AM:AM),0)</f>
        <v>214890</v>
      </c>
      <c r="F103" s="22">
        <f t="shared" si="6"/>
        <v>0.51785589489132711</v>
      </c>
    </row>
    <row r="104" spans="2:6" ht="15.75" customHeight="1" thickBot="1" x14ac:dyDescent="0.25">
      <c r="B104" s="182" t="s">
        <v>29</v>
      </c>
      <c r="C104" s="183"/>
      <c r="D104" s="38"/>
      <c r="E104" s="25">
        <f>IF(F3="1",SUMIF(Data!A:A,'35'!$A$2,Data!Q:Q),0)</f>
        <v>27821</v>
      </c>
      <c r="F104" s="26">
        <f t="shared" si="6"/>
        <v>6.7044854817681659E-2</v>
      </c>
    </row>
    <row r="105" spans="2:6" x14ac:dyDescent="0.2">
      <c r="B105" s="31" t="s">
        <v>35</v>
      </c>
      <c r="C105" s="31"/>
      <c r="D105" s="35">
        <f>D95</f>
        <v>414961</v>
      </c>
      <c r="E105" s="32">
        <f>SUM(E98:E104)</f>
        <v>1477713</v>
      </c>
      <c r="F105" s="33">
        <f t="shared" si="6"/>
        <v>3.5610888734122002</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1212088</v>
      </c>
      <c r="D109" s="16">
        <f>IF(F3="1",SUMIF(Data!$A:$A,$A$2,Data!HJ:HJ),0)</f>
        <v>0</v>
      </c>
      <c r="E109" s="16">
        <f>IF(F3="1",SUMIF(Data!$A:$A,$A$2,Data!IN:IN),0)</f>
        <v>0</v>
      </c>
      <c r="F109" s="48">
        <f>SUM(C109:E109)</f>
        <v>1212088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127776</v>
      </c>
      <c r="F116" s="49">
        <f t="shared" si="7"/>
        <v>127776</v>
      </c>
    </row>
    <row r="117" spans="1:6" ht="15" thickBot="1" x14ac:dyDescent="0.25">
      <c r="B117" s="44" t="s">
        <v>941</v>
      </c>
      <c r="C117" s="53"/>
      <c r="D117" s="53">
        <f>IF(F3="1",SUMIF(Data!A:A,$A$2,Data!Q:Q),0)</f>
        <v>27821</v>
      </c>
      <c r="E117" s="53"/>
      <c r="F117" s="50">
        <f>SUM(C117:E117)</f>
        <v>27821</v>
      </c>
    </row>
    <row r="118" spans="1:6" x14ac:dyDescent="0.2">
      <c r="B118" s="14" t="s">
        <v>35</v>
      </c>
      <c r="C118" s="5">
        <f>SUM(C109:C116)</f>
        <v>1212088</v>
      </c>
      <c r="D118" s="5">
        <f>SUM(D109:D116)</f>
        <v>0</v>
      </c>
      <c r="E118" s="5">
        <f>SUM(E109:E116)</f>
        <v>127776</v>
      </c>
      <c r="F118" s="5">
        <f>SUM(F109:F116)</f>
        <v>1339864</v>
      </c>
    </row>
    <row r="119" spans="1:6" ht="15" thickBot="1" x14ac:dyDescent="0.25"/>
    <row r="120" spans="1:6" ht="15" thickBot="1" x14ac:dyDescent="0.25">
      <c r="B120" s="57" t="s">
        <v>942</v>
      </c>
      <c r="C120" s="55"/>
      <c r="D120" s="55"/>
      <c r="E120" s="55">
        <f>IF(F3="1",SUMIF(Data!A:A,'35'!$A$2,Data!AM:AM),0)</f>
        <v>214890</v>
      </c>
      <c r="F120" s="56">
        <f>SUM(C120:E120)</f>
        <v>214890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396</v>
      </c>
      <c r="B2" s="60" t="str">
        <f>VLOOKUP(A2,Data!A:G,7,0)</f>
        <v>San Jacinto College District</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15840</v>
      </c>
      <c r="E5" s="16">
        <f>E36+E67+IFERROR($E$105/$D$105*D5,0)</f>
        <v>98578.857770820468</v>
      </c>
      <c r="F5" s="21">
        <f>IFERROR(E5/D5,"")</f>
        <v>6.2234127380568474</v>
      </c>
    </row>
    <row r="6" spans="1:6" x14ac:dyDescent="0.2">
      <c r="A6" s="20">
        <v>2</v>
      </c>
      <c r="B6" s="184" t="s">
        <v>1</v>
      </c>
      <c r="C6" s="185"/>
      <c r="D6" s="15">
        <f t="shared" ref="D6:D32" si="0">D37</f>
        <v>259656</v>
      </c>
      <c r="E6" s="18">
        <f t="shared" ref="E6:E32" si="1">E37+E68+IFERROR($E$105/$D$105*D6,0)</f>
        <v>1865833.9882159191</v>
      </c>
      <c r="F6" s="22">
        <f t="shared" ref="F6:F33" si="2">IFERROR(E6/D6,"")</f>
        <v>7.1857919255319311</v>
      </c>
    </row>
    <row r="7" spans="1:6" ht="14.25" customHeight="1" x14ac:dyDescent="0.2">
      <c r="A7" s="20">
        <v>3</v>
      </c>
      <c r="B7" s="184" t="s">
        <v>2</v>
      </c>
      <c r="C7" s="185"/>
      <c r="D7" s="15">
        <f t="shared" si="0"/>
        <v>1490930</v>
      </c>
      <c r="E7" s="18">
        <f t="shared" si="1"/>
        <v>10338813.714409681</v>
      </c>
      <c r="F7" s="22">
        <f t="shared" si="2"/>
        <v>6.9344729225447743</v>
      </c>
    </row>
    <row r="8" spans="1:6" ht="14.25" customHeight="1" x14ac:dyDescent="0.2">
      <c r="A8" s="20">
        <v>4</v>
      </c>
      <c r="B8" s="184" t="s">
        <v>3</v>
      </c>
      <c r="C8" s="185"/>
      <c r="D8" s="15">
        <f t="shared" si="0"/>
        <v>595845</v>
      </c>
      <c r="E8" s="18">
        <f t="shared" si="1"/>
        <v>4279810.2094983915</v>
      </c>
      <c r="F8" s="22">
        <f t="shared" si="2"/>
        <v>7.1827576122958012</v>
      </c>
    </row>
    <row r="9" spans="1:6" x14ac:dyDescent="0.2">
      <c r="A9" s="20">
        <v>5</v>
      </c>
      <c r="B9" s="184" t="s">
        <v>4</v>
      </c>
      <c r="C9" s="185"/>
      <c r="D9" s="15">
        <f t="shared" si="0"/>
        <v>34784</v>
      </c>
      <c r="E9" s="18">
        <f t="shared" si="1"/>
        <v>967981.13817551883</v>
      </c>
      <c r="F9" s="22">
        <f t="shared" si="2"/>
        <v>27.828344588762615</v>
      </c>
    </row>
    <row r="10" spans="1:6" x14ac:dyDescent="0.2">
      <c r="A10" s="20">
        <v>6</v>
      </c>
      <c r="B10" s="184" t="s">
        <v>5</v>
      </c>
      <c r="C10" s="185"/>
      <c r="D10" s="15">
        <f t="shared" si="0"/>
        <v>105634</v>
      </c>
      <c r="E10" s="18">
        <f t="shared" si="1"/>
        <v>707731.49758603843</v>
      </c>
      <c r="F10" s="22">
        <f t="shared" si="2"/>
        <v>6.6998456707692453</v>
      </c>
    </row>
    <row r="11" spans="1:6" x14ac:dyDescent="0.2">
      <c r="A11" s="20">
        <v>7</v>
      </c>
      <c r="B11" s="184" t="s">
        <v>6</v>
      </c>
      <c r="C11" s="185"/>
      <c r="D11" s="15">
        <f t="shared" si="0"/>
        <v>234892</v>
      </c>
      <c r="E11" s="18">
        <f t="shared" si="1"/>
        <v>2581176.1653726995</v>
      </c>
      <c r="F11" s="22">
        <f t="shared" si="2"/>
        <v>10.988778525333768</v>
      </c>
    </row>
    <row r="12" spans="1:6" x14ac:dyDescent="0.2">
      <c r="A12" s="20">
        <v>8</v>
      </c>
      <c r="B12" s="184" t="s">
        <v>7</v>
      </c>
      <c r="C12" s="185"/>
      <c r="D12" s="15">
        <f t="shared" si="0"/>
        <v>64541</v>
      </c>
      <c r="E12" s="18">
        <f t="shared" si="1"/>
        <v>876894.72912793711</v>
      </c>
      <c r="F12" s="22">
        <f t="shared" si="2"/>
        <v>13.586630655365381</v>
      </c>
    </row>
    <row r="13" spans="1:6" x14ac:dyDescent="0.2">
      <c r="A13" s="20">
        <v>9</v>
      </c>
      <c r="B13" s="184" t="s">
        <v>8</v>
      </c>
      <c r="C13" s="185"/>
      <c r="D13" s="15">
        <f t="shared" si="0"/>
        <v>681970</v>
      </c>
      <c r="E13" s="18">
        <f t="shared" si="1"/>
        <v>5417776.3619928304</v>
      </c>
      <c r="F13" s="22">
        <f t="shared" si="2"/>
        <v>7.9443030661067651</v>
      </c>
    </row>
    <row r="14" spans="1:6" x14ac:dyDescent="0.2">
      <c r="A14" s="20">
        <v>10</v>
      </c>
      <c r="B14" s="184" t="s">
        <v>9</v>
      </c>
      <c r="C14" s="185"/>
      <c r="D14" s="15">
        <f t="shared" si="0"/>
        <v>128128</v>
      </c>
      <c r="E14" s="18">
        <f t="shared" si="1"/>
        <v>1295777.5384128587</v>
      </c>
      <c r="F14" s="22">
        <f t="shared" si="2"/>
        <v>10.113148869980478</v>
      </c>
    </row>
    <row r="15" spans="1:6" x14ac:dyDescent="0.2">
      <c r="A15" s="20">
        <v>11</v>
      </c>
      <c r="B15" s="184" t="s">
        <v>10</v>
      </c>
      <c r="C15" s="185"/>
      <c r="D15" s="15">
        <f t="shared" si="0"/>
        <v>186396</v>
      </c>
      <c r="E15" s="18">
        <f t="shared" si="1"/>
        <v>1990230.5210258744</v>
      </c>
      <c r="F15" s="22">
        <f t="shared" si="2"/>
        <v>10.677431495449872</v>
      </c>
    </row>
    <row r="16" spans="1:6" ht="14.25" customHeight="1" x14ac:dyDescent="0.2">
      <c r="A16" s="20">
        <v>12</v>
      </c>
      <c r="B16" s="184" t="s">
        <v>11</v>
      </c>
      <c r="C16" s="185"/>
      <c r="D16" s="15">
        <f t="shared" si="0"/>
        <v>1474776</v>
      </c>
      <c r="E16" s="18">
        <f t="shared" si="1"/>
        <v>10565403.425998706</v>
      </c>
      <c r="F16" s="22">
        <f t="shared" si="2"/>
        <v>7.1640733413065485</v>
      </c>
    </row>
    <row r="17" spans="1:6" x14ac:dyDescent="0.2">
      <c r="A17" s="20">
        <v>13</v>
      </c>
      <c r="B17" s="184" t="s">
        <v>12</v>
      </c>
      <c r="C17" s="185"/>
      <c r="D17" s="15">
        <f t="shared" si="0"/>
        <v>135618</v>
      </c>
      <c r="E17" s="18">
        <f t="shared" si="1"/>
        <v>1050735.4667400965</v>
      </c>
      <c r="F17" s="22">
        <f t="shared" si="2"/>
        <v>7.7477581644036668</v>
      </c>
    </row>
    <row r="18" spans="1:6" ht="14.25" customHeight="1" x14ac:dyDescent="0.2">
      <c r="A18" s="20">
        <v>14</v>
      </c>
      <c r="B18" s="184" t="s">
        <v>469</v>
      </c>
      <c r="C18" s="185"/>
      <c r="D18" s="15">
        <f t="shared" si="0"/>
        <v>356032</v>
      </c>
      <c r="E18" s="18">
        <f t="shared" si="1"/>
        <v>3835566.0435518147</v>
      </c>
      <c r="F18" s="22">
        <f t="shared" si="2"/>
        <v>10.773093552129625</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596132</v>
      </c>
      <c r="E20" s="18">
        <f t="shared" si="1"/>
        <v>6374137.7273127995</v>
      </c>
      <c r="F20" s="22">
        <f t="shared" si="2"/>
        <v>10.692493822362831</v>
      </c>
    </row>
    <row r="21" spans="1:6" x14ac:dyDescent="0.2">
      <c r="A21" s="20">
        <v>17</v>
      </c>
      <c r="B21" s="184" t="s">
        <v>15</v>
      </c>
      <c r="C21" s="185"/>
      <c r="D21" s="15">
        <f t="shared" si="0"/>
        <v>57440</v>
      </c>
      <c r="E21" s="18">
        <f t="shared" si="1"/>
        <v>598563.6559568136</v>
      </c>
      <c r="F21" s="22">
        <f t="shared" si="2"/>
        <v>10.420676461643691</v>
      </c>
    </row>
    <row r="22" spans="1:6" x14ac:dyDescent="0.2">
      <c r="A22" s="20">
        <v>18</v>
      </c>
      <c r="B22" s="184" t="s">
        <v>16</v>
      </c>
      <c r="C22" s="185"/>
      <c r="D22" s="15">
        <f t="shared" si="0"/>
        <v>247184</v>
      </c>
      <c r="E22" s="18">
        <f t="shared" si="1"/>
        <v>2794879.3673751568</v>
      </c>
      <c r="F22" s="22">
        <f t="shared" si="2"/>
        <v>11.306878144925063</v>
      </c>
    </row>
    <row r="23" spans="1:6" x14ac:dyDescent="0.2">
      <c r="A23" s="20">
        <v>19</v>
      </c>
      <c r="B23" s="184" t="s">
        <v>17</v>
      </c>
      <c r="C23" s="185"/>
      <c r="D23" s="15">
        <f t="shared" si="0"/>
        <v>1246064</v>
      </c>
      <c r="E23" s="18">
        <f t="shared" si="1"/>
        <v>9247291.6407411378</v>
      </c>
      <c r="F23" s="22">
        <f t="shared" si="2"/>
        <v>7.421201190902825</v>
      </c>
    </row>
    <row r="24" spans="1:6" x14ac:dyDescent="0.2">
      <c r="A24" s="20">
        <v>20</v>
      </c>
      <c r="B24" s="184" t="s">
        <v>18</v>
      </c>
      <c r="C24" s="185"/>
      <c r="D24" s="15">
        <f t="shared" si="0"/>
        <v>259988</v>
      </c>
      <c r="E24" s="18">
        <f t="shared" si="1"/>
        <v>2647128.3607399035</v>
      </c>
      <c r="F24" s="22">
        <f t="shared" si="2"/>
        <v>10.181732852054338</v>
      </c>
    </row>
    <row r="25" spans="1:6" ht="14.25" customHeight="1" x14ac:dyDescent="0.2">
      <c r="A25" s="20">
        <v>21</v>
      </c>
      <c r="B25" s="184" t="s">
        <v>466</v>
      </c>
      <c r="C25" s="185"/>
      <c r="D25" s="15">
        <f t="shared" si="0"/>
        <v>43060</v>
      </c>
      <c r="E25" s="18">
        <f t="shared" si="1"/>
        <v>582786.1954300208</v>
      </c>
      <c r="F25" s="22">
        <f t="shared" si="2"/>
        <v>13.534282290525333</v>
      </c>
    </row>
    <row r="26" spans="1:6" x14ac:dyDescent="0.2">
      <c r="A26" s="20">
        <v>22</v>
      </c>
      <c r="B26" s="184" t="s">
        <v>19</v>
      </c>
      <c r="C26" s="185"/>
      <c r="D26" s="15">
        <f t="shared" si="0"/>
        <v>14926</v>
      </c>
      <c r="E26" s="18">
        <f t="shared" si="1"/>
        <v>128862.03100298397</v>
      </c>
      <c r="F26" s="22">
        <f t="shared" si="2"/>
        <v>8.6333934746739907</v>
      </c>
    </row>
    <row r="27" spans="1:6" x14ac:dyDescent="0.2">
      <c r="A27" s="20">
        <v>23</v>
      </c>
      <c r="B27" s="184" t="s">
        <v>20</v>
      </c>
      <c r="C27" s="185"/>
      <c r="D27" s="15">
        <f t="shared" si="0"/>
        <v>473664</v>
      </c>
      <c r="E27" s="18">
        <f t="shared" si="1"/>
        <v>3968222.3590377467</v>
      </c>
      <c r="F27" s="22">
        <f t="shared" si="2"/>
        <v>8.3777157627300092</v>
      </c>
    </row>
    <row r="28" spans="1:6" x14ac:dyDescent="0.2">
      <c r="A28" s="20">
        <v>24</v>
      </c>
      <c r="B28" s="184" t="s">
        <v>21</v>
      </c>
      <c r="C28" s="185"/>
      <c r="D28" s="15">
        <f t="shared" si="0"/>
        <v>134136</v>
      </c>
      <c r="E28" s="18">
        <f t="shared" si="1"/>
        <v>1369604.9183047204</v>
      </c>
      <c r="F28" s="22">
        <f t="shared" si="2"/>
        <v>10.210569260338167</v>
      </c>
    </row>
    <row r="29" spans="1:6" x14ac:dyDescent="0.2">
      <c r="A29" s="20">
        <v>25</v>
      </c>
      <c r="B29" s="184" t="s">
        <v>22</v>
      </c>
      <c r="C29" s="185"/>
      <c r="D29" s="15">
        <f t="shared" si="0"/>
        <v>1717776</v>
      </c>
      <c r="E29" s="18">
        <f t="shared" si="1"/>
        <v>12326675.857710157</v>
      </c>
      <c r="F29" s="22">
        <f t="shared" si="2"/>
        <v>7.1759506814102405</v>
      </c>
    </row>
    <row r="30" spans="1:6" x14ac:dyDescent="0.2">
      <c r="A30" s="20">
        <v>26</v>
      </c>
      <c r="B30" s="184" t="s">
        <v>23</v>
      </c>
      <c r="C30" s="185"/>
      <c r="D30" s="15">
        <f t="shared" si="0"/>
        <v>588096</v>
      </c>
      <c r="E30" s="18">
        <f t="shared" si="1"/>
        <v>5591806.2285093702</v>
      </c>
      <c r="F30" s="22">
        <f t="shared" si="2"/>
        <v>9.5083221591532165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11143508</v>
      </c>
      <c r="E33" s="32">
        <f>SUM(E5:E32)</f>
        <v>91502267.999999985</v>
      </c>
      <c r="F33" s="33">
        <f t="shared" si="2"/>
        <v>8.211262378059045</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IF(F3="1",SUMIF(Data!A:A,'36'!$A$2,Data!CU:CU),0)</f>
        <v>15840</v>
      </c>
      <c r="E36" s="16">
        <f>IF(F3="1",SUMIF(Data!$A:$A,'36'!$A$2,Data!IO:IO),0)</f>
        <v>2000</v>
      </c>
      <c r="F36" s="21">
        <f t="shared" ref="F36:F64" si="3">IFERROR(E36/D36,"")</f>
        <v>0.12626262626262627</v>
      </c>
    </row>
    <row r="37" spans="1:6" x14ac:dyDescent="0.2">
      <c r="A37" s="20">
        <v>2</v>
      </c>
      <c r="B37" s="184" t="s">
        <v>1</v>
      </c>
      <c r="C37" s="185"/>
      <c r="D37" s="15">
        <f>IF(F3="1",SUMIF(Data!A:A,'36'!$A$2,Data!CV:CV),0)</f>
        <v>259656</v>
      </c>
      <c r="E37" s="18">
        <f>IF(F3="1",SUMIF(Data!$A:$A,'36'!$A$2,Data!IP:IP),0)</f>
        <v>382415</v>
      </c>
      <c r="F37" s="22">
        <f t="shared" si="3"/>
        <v>1.4727755183781619</v>
      </c>
    </row>
    <row r="38" spans="1:6" ht="14.25" customHeight="1" x14ac:dyDescent="0.2">
      <c r="A38" s="20">
        <v>3</v>
      </c>
      <c r="B38" s="184" t="s">
        <v>2</v>
      </c>
      <c r="C38" s="185"/>
      <c r="D38" s="15">
        <f>IF(F3="1",SUMIF(Data!A:A,'36'!$A$2,Data!CW:CW),0)</f>
        <v>1490930</v>
      </c>
      <c r="E38" s="18">
        <f>IF(F3="1",SUMIF(Data!$A:$A,'36'!$A$2,Data!IQ:IQ),0)</f>
        <v>1248407</v>
      </c>
      <c r="F38" s="22">
        <f t="shared" si="3"/>
        <v>0.83733441543197873</v>
      </c>
    </row>
    <row r="39" spans="1:6" ht="14.25" customHeight="1" x14ac:dyDescent="0.2">
      <c r="A39" s="20">
        <v>4</v>
      </c>
      <c r="B39" s="184" t="s">
        <v>3</v>
      </c>
      <c r="C39" s="185"/>
      <c r="D39" s="15">
        <f>IF(F3="1",SUMIF(Data!A:A,'36'!$A$2,Data!CX:CX),0)</f>
        <v>595845</v>
      </c>
      <c r="E39" s="18">
        <f>IF(F3="1",SUMIF(Data!$A:$A,'36'!$A$2,Data!IR:IR),0)</f>
        <v>407598</v>
      </c>
      <c r="F39" s="22">
        <f t="shared" si="3"/>
        <v>0.68406716511844523</v>
      </c>
    </row>
    <row r="40" spans="1:6" x14ac:dyDescent="0.2">
      <c r="A40" s="20">
        <v>5</v>
      </c>
      <c r="B40" s="184" t="s">
        <v>4</v>
      </c>
      <c r="C40" s="185"/>
      <c r="D40" s="15">
        <f>IF(F3="1",SUMIF(Data!A:A,'36'!$A$2,Data!CY:CY),0)</f>
        <v>34784</v>
      </c>
      <c r="E40" s="18">
        <f>IF(F3="1",SUMIF(Data!$A:$A,'36'!$A$2,Data!IS:IS),0)</f>
        <v>623167</v>
      </c>
      <c r="F40" s="22">
        <f t="shared" si="3"/>
        <v>17.915334636614535</v>
      </c>
    </row>
    <row r="41" spans="1:6" x14ac:dyDescent="0.2">
      <c r="A41" s="20">
        <v>6</v>
      </c>
      <c r="B41" s="184" t="s">
        <v>5</v>
      </c>
      <c r="C41" s="185"/>
      <c r="D41" s="15">
        <f>IF(F3="1",SUMIF(Data!A:A,'36'!$A$2,Data!CZ:CZ),0)</f>
        <v>105634</v>
      </c>
      <c r="E41" s="18">
        <f>IF(F3="1",SUMIF(Data!$A:$A,'36'!$A$2,Data!IT:IT),0)</f>
        <v>110952</v>
      </c>
      <c r="F41" s="22">
        <f t="shared" si="3"/>
        <v>1.0503436393585399</v>
      </c>
    </row>
    <row r="42" spans="1:6" x14ac:dyDescent="0.2">
      <c r="A42" s="20">
        <v>7</v>
      </c>
      <c r="B42" s="184" t="s">
        <v>6</v>
      </c>
      <c r="C42" s="185"/>
      <c r="D42" s="15">
        <f>IF(F3="1",SUMIF(Data!A:A,'36'!$A$2,Data!DA:DA),0)</f>
        <v>234892</v>
      </c>
      <c r="E42" s="18">
        <f>IF(F3="1",SUMIF(Data!$A:$A,'36'!$A$2,Data!IU:IU),0)</f>
        <v>585666</v>
      </c>
      <c r="F42" s="22">
        <f t="shared" si="3"/>
        <v>2.4933416208299986</v>
      </c>
    </row>
    <row r="43" spans="1:6" x14ac:dyDescent="0.2">
      <c r="A43" s="20">
        <v>8</v>
      </c>
      <c r="B43" s="184" t="s">
        <v>7</v>
      </c>
      <c r="C43" s="185"/>
      <c r="D43" s="15">
        <f>IF(F3="1",SUMIF(Data!A:A,'36'!$A$2,Data!DB:DB),0)</f>
        <v>64541</v>
      </c>
      <c r="E43" s="18">
        <f>IF(F3="1",SUMIF(Data!$A:$A,'36'!$A$2,Data!IV:IV),0)</f>
        <v>507118</v>
      </c>
      <c r="F43" s="22">
        <f t="shared" si="3"/>
        <v>7.8573000108458189</v>
      </c>
    </row>
    <row r="44" spans="1:6" x14ac:dyDescent="0.2">
      <c r="A44" s="20">
        <v>9</v>
      </c>
      <c r="B44" s="184" t="s">
        <v>8</v>
      </c>
      <c r="C44" s="185"/>
      <c r="D44" s="15">
        <f>IF(F3="1",SUMIF(Data!A:A,'36'!$A$2,Data!DC:DC),0)</f>
        <v>681970</v>
      </c>
      <c r="E44" s="18">
        <f>IF(F3="1",SUMIF(Data!$A:$A,'36'!$A$2,Data!IW:IW),0)</f>
        <v>742775</v>
      </c>
      <c r="F44" s="22">
        <f t="shared" si="3"/>
        <v>1.0891608135255217</v>
      </c>
    </row>
    <row r="45" spans="1:6" x14ac:dyDescent="0.2">
      <c r="A45" s="20">
        <v>10</v>
      </c>
      <c r="B45" s="184" t="s">
        <v>9</v>
      </c>
      <c r="C45" s="185"/>
      <c r="D45" s="15">
        <f>IF(F3="1",SUMIF(Data!A:A,'36'!$A$2,Data!DD:DD),0)</f>
        <v>128128</v>
      </c>
      <c r="E45" s="18">
        <f>IF(F3="1",SUMIF(Data!$A:$A,'36'!$A$2,Data!IX:IX),0)</f>
        <v>257016</v>
      </c>
      <c r="F45" s="22">
        <f t="shared" si="3"/>
        <v>2.0059315684315684</v>
      </c>
    </row>
    <row r="46" spans="1:6" x14ac:dyDescent="0.2">
      <c r="A46" s="20">
        <v>11</v>
      </c>
      <c r="B46" s="184" t="s">
        <v>10</v>
      </c>
      <c r="C46" s="185"/>
      <c r="D46" s="15">
        <f>IF(F3="1",SUMIF(Data!A:A,'36'!$A$2,Data!DE:DE),0)</f>
        <v>186396</v>
      </c>
      <c r="E46" s="18">
        <f>IF(F3="1",SUMIF(Data!$A:$A,'36'!$A$2,Data!IY:IY),0)</f>
        <v>479082</v>
      </c>
      <c r="F46" s="22">
        <f t="shared" si="3"/>
        <v>2.5702375587458959</v>
      </c>
    </row>
    <row r="47" spans="1:6" ht="14.25" customHeight="1" x14ac:dyDescent="0.2">
      <c r="A47" s="20">
        <v>12</v>
      </c>
      <c r="B47" s="184" t="s">
        <v>11</v>
      </c>
      <c r="C47" s="185"/>
      <c r="D47" s="15">
        <f>IF(F3="1",SUMIF(Data!A:A,'36'!$A$2,Data!DF:DF),0)</f>
        <v>1474776</v>
      </c>
      <c r="E47" s="18">
        <f>IF(F3="1",SUMIF(Data!$A:$A,'36'!$A$2,Data!IZ:IZ),0)</f>
        <v>912778</v>
      </c>
      <c r="F47" s="22">
        <f t="shared" si="3"/>
        <v>0.61892653528400243</v>
      </c>
    </row>
    <row r="48" spans="1:6" x14ac:dyDescent="0.2">
      <c r="A48" s="20">
        <v>13</v>
      </c>
      <c r="B48" s="184" t="s">
        <v>12</v>
      </c>
      <c r="C48" s="185"/>
      <c r="D48" s="15">
        <f>IF(F3="1",SUMIF(Data!A:A,'36'!$A$2,Data!DG:DG),0)</f>
        <v>135618</v>
      </c>
      <c r="E48" s="18">
        <f>IF(F3="1",SUMIF(Data!$A:$A,'36'!$A$2,Data!JA:JA),0)</f>
        <v>75970</v>
      </c>
      <c r="F48" s="22">
        <f t="shared" si="3"/>
        <v>0.56017637776696305</v>
      </c>
    </row>
    <row r="49" spans="1:6" ht="14.25" customHeight="1" x14ac:dyDescent="0.2">
      <c r="A49" s="20">
        <v>14</v>
      </c>
      <c r="B49" s="184" t="s">
        <v>469</v>
      </c>
      <c r="C49" s="185"/>
      <c r="D49" s="15">
        <f>IF(F3="1",SUMIF(Data!A:A,'36'!$A$2,Data!DH:DH),0)</f>
        <v>356032</v>
      </c>
      <c r="E49" s="18">
        <f>IF(F3="1",SUMIF(Data!$A:$A,'36'!$A$2,Data!JB:JB),0)</f>
        <v>632514</v>
      </c>
      <c r="F49" s="22">
        <f t="shared" si="3"/>
        <v>1.7765650278626641</v>
      </c>
    </row>
    <row r="50" spans="1:6" x14ac:dyDescent="0.2">
      <c r="A50" s="20">
        <v>15</v>
      </c>
      <c r="B50" s="184" t="s">
        <v>13</v>
      </c>
      <c r="C50" s="185"/>
      <c r="D50" s="15">
        <f>IF(F3="1",SUMIF(Data!A:A,'36'!$A$2,Data!DI:DI),0)</f>
        <v>0</v>
      </c>
      <c r="E50" s="18">
        <f>IF(F3="1",SUMIF(Data!$A:$A,'36'!$A$2,Data!JC:JC),0)</f>
        <v>0</v>
      </c>
      <c r="F50" s="22" t="str">
        <f t="shared" si="3"/>
        <v/>
      </c>
    </row>
    <row r="51" spans="1:6" x14ac:dyDescent="0.2">
      <c r="A51" s="20">
        <v>16</v>
      </c>
      <c r="B51" s="184" t="s">
        <v>14</v>
      </c>
      <c r="C51" s="185"/>
      <c r="D51" s="15">
        <f>IF(F3="1",SUMIF(Data!A:A,'36'!$A$2,Data!DJ:DJ),0)</f>
        <v>596132</v>
      </c>
      <c r="E51" s="18">
        <f>IF(F3="1",SUMIF(Data!$A:$A,'36'!$A$2,Data!JD:JD),0)</f>
        <v>885077</v>
      </c>
      <c r="F51" s="22">
        <f t="shared" si="3"/>
        <v>1.4846996973824589</v>
      </c>
    </row>
    <row r="52" spans="1:6" x14ac:dyDescent="0.2">
      <c r="A52" s="20">
        <v>17</v>
      </c>
      <c r="B52" s="184" t="s">
        <v>15</v>
      </c>
      <c r="C52" s="185"/>
      <c r="D52" s="15">
        <f>IF(F3="1",SUMIF(Data!A:A,'36'!$A$2,Data!DK:DK),0)</f>
        <v>57440</v>
      </c>
      <c r="E52" s="18">
        <f>IF(F3="1",SUMIF(Data!$A:$A,'36'!$A$2,Data!JE:JE),0)</f>
        <v>52589</v>
      </c>
      <c r="F52" s="22">
        <f t="shared" si="3"/>
        <v>0.91554665738161556</v>
      </c>
    </row>
    <row r="53" spans="1:6" x14ac:dyDescent="0.2">
      <c r="A53" s="20">
        <v>18</v>
      </c>
      <c r="B53" s="184" t="s">
        <v>16</v>
      </c>
      <c r="C53" s="185"/>
      <c r="D53" s="15">
        <f>IF(F3="1",SUMIF(Data!A:A,'36'!$A$2,Data!DL:DL),0)</f>
        <v>247184</v>
      </c>
      <c r="E53" s="18">
        <f>IF(F3="1",SUMIF(Data!$A:$A,'36'!$A$2,Data!JF:JF),0)</f>
        <v>364570</v>
      </c>
      <c r="F53" s="22">
        <f t="shared" si="3"/>
        <v>1.4748931969706778</v>
      </c>
    </row>
    <row r="54" spans="1:6" x14ac:dyDescent="0.2">
      <c r="A54" s="20">
        <v>19</v>
      </c>
      <c r="B54" s="184" t="s">
        <v>17</v>
      </c>
      <c r="C54" s="185"/>
      <c r="D54" s="15">
        <f>IF(F3="1",SUMIF(Data!A:A,'36'!$A$2,Data!DM:DM),0)</f>
        <v>1246064</v>
      </c>
      <c r="E54" s="18">
        <f>IF(F3="1",SUMIF(Data!$A:$A,'36'!$A$2,Data!JG:JG),0)</f>
        <v>917561</v>
      </c>
      <c r="F54" s="22">
        <f t="shared" si="3"/>
        <v>0.73636747390182211</v>
      </c>
    </row>
    <row r="55" spans="1:6" x14ac:dyDescent="0.2">
      <c r="A55" s="20">
        <v>20</v>
      </c>
      <c r="B55" s="184" t="s">
        <v>18</v>
      </c>
      <c r="C55" s="185"/>
      <c r="D55" s="15">
        <f>IF(F3="1",SUMIF(Data!A:A,'36'!$A$2,Data!DN:DN),0)</f>
        <v>259988</v>
      </c>
      <c r="E55" s="18">
        <f>IF(F3="1",SUMIF(Data!$A:$A,'36'!$A$2,Data!JH:JH),0)</f>
        <v>508486</v>
      </c>
      <c r="F55" s="22">
        <f t="shared" si="3"/>
        <v>1.9558056525685801</v>
      </c>
    </row>
    <row r="56" spans="1:6" ht="14.25" customHeight="1" x14ac:dyDescent="0.2">
      <c r="A56" s="20">
        <v>21</v>
      </c>
      <c r="B56" s="184" t="s">
        <v>466</v>
      </c>
      <c r="C56" s="185"/>
      <c r="D56" s="15">
        <f>IF(F3="1",SUMIF(Data!A:A,'36'!$A$2,Data!DO:DO),0)</f>
        <v>43060</v>
      </c>
      <c r="E56" s="18">
        <f>IF(F3="1",SUMIF(Data!$A:$A,'36'!$A$2,Data!JI:JI),0)</f>
        <v>221376</v>
      </c>
      <c r="F56" s="22">
        <f t="shared" si="3"/>
        <v>5.141105434277752</v>
      </c>
    </row>
    <row r="57" spans="1:6" x14ac:dyDescent="0.2">
      <c r="A57" s="20">
        <v>22</v>
      </c>
      <c r="B57" s="184" t="s">
        <v>19</v>
      </c>
      <c r="C57" s="185"/>
      <c r="D57" s="15">
        <f>IF(F3="1",SUMIF(Data!A:A,'36'!$A$2,Data!DP:DP),0)</f>
        <v>14926</v>
      </c>
      <c r="E57" s="18">
        <f>IF(F3="1",SUMIF(Data!$A:$A,'36'!$A$2,Data!JJ:JJ),0)</f>
        <v>3585</v>
      </c>
      <c r="F57" s="22">
        <f t="shared" si="3"/>
        <v>0.24018491223368618</v>
      </c>
    </row>
    <row r="58" spans="1:6" x14ac:dyDescent="0.2">
      <c r="A58" s="20">
        <v>23</v>
      </c>
      <c r="B58" s="184" t="s">
        <v>20</v>
      </c>
      <c r="C58" s="185"/>
      <c r="D58" s="15">
        <f>IF(F3="1",SUMIF(Data!A:A,'36'!$A$2,Data!DQ:DQ),0)</f>
        <v>473664</v>
      </c>
      <c r="E58" s="18">
        <f>IF(F3="1",SUMIF(Data!$A:$A,'36'!$A$2,Data!JK:JK),0)</f>
        <v>464893</v>
      </c>
      <c r="F58" s="22">
        <f t="shared" si="3"/>
        <v>0.98148265437103099</v>
      </c>
    </row>
    <row r="59" spans="1:6" x14ac:dyDescent="0.2">
      <c r="A59" s="20">
        <v>24</v>
      </c>
      <c r="B59" s="184" t="s">
        <v>21</v>
      </c>
      <c r="C59" s="185"/>
      <c r="D59" s="15">
        <f>IF(F3="1",SUMIF(Data!A:A,'36'!$A$2,Data!DR:DR),0)</f>
        <v>134136</v>
      </c>
      <c r="E59" s="18">
        <f>IF(F3="1",SUMIF(Data!$A:$A,'36'!$A$2,Data!JL:JL),0)</f>
        <v>217011</v>
      </c>
      <c r="F59" s="22">
        <f t="shared" si="3"/>
        <v>1.6178430846305243</v>
      </c>
    </row>
    <row r="60" spans="1:6" x14ac:dyDescent="0.2">
      <c r="A60" s="20">
        <v>25</v>
      </c>
      <c r="B60" s="184" t="s">
        <v>22</v>
      </c>
      <c r="C60" s="185"/>
      <c r="D60" s="15">
        <f>IF(F3="1",SUMIF(Data!A:A,'36'!$A$2,Data!DS:DS),0)</f>
        <v>1717776</v>
      </c>
      <c r="E60" s="18">
        <f>IF(F3="1",SUMIF(Data!$A:$A,'36'!$A$2,Data!JM:JM),0)</f>
        <v>957999</v>
      </c>
      <c r="F60" s="22">
        <f t="shared" si="3"/>
        <v>0.55769727834129712</v>
      </c>
    </row>
    <row r="61" spans="1:6" x14ac:dyDescent="0.2">
      <c r="A61" s="20">
        <v>26</v>
      </c>
      <c r="B61" s="184" t="s">
        <v>23</v>
      </c>
      <c r="C61" s="185"/>
      <c r="D61" s="15">
        <f>IF(F3="1",SUMIF(Data!A:A,'36'!$A$2,Data!DT:DT),0)</f>
        <v>588096</v>
      </c>
      <c r="E61" s="18">
        <f>IF(F3="1",SUMIF(Data!$A:$A,'36'!$A$2,Data!JN:JN),0)</f>
        <v>924799</v>
      </c>
      <c r="F61" s="22">
        <f t="shared" si="3"/>
        <v>1.5725306752639026</v>
      </c>
    </row>
    <row r="62" spans="1:6" x14ac:dyDescent="0.2">
      <c r="A62" s="20">
        <v>28</v>
      </c>
      <c r="B62" s="184" t="s">
        <v>24</v>
      </c>
      <c r="C62" s="185"/>
      <c r="D62" s="15">
        <f>IF(F3="1",SUMIF(Data!A:A,'36'!$A$2,Data!DV:DV),0)</f>
        <v>0</v>
      </c>
      <c r="E62" s="18">
        <f>IF(F3="1",SUMIF(Data!$A:$A,'36'!$A$2,Data!JP:JP),0)</f>
        <v>0</v>
      </c>
      <c r="F62" s="22" t="str">
        <f t="shared" si="3"/>
        <v/>
      </c>
    </row>
    <row r="63" spans="1:6" ht="15.75" customHeight="1" thickBot="1" x14ac:dyDescent="0.25">
      <c r="A63" s="23">
        <v>29</v>
      </c>
      <c r="B63" s="186" t="s">
        <v>25</v>
      </c>
      <c r="C63" s="187"/>
      <c r="D63" s="24">
        <f>IF(F3="1",SUMIF(Data!A:A,'36'!$A$2,Data!DW:DW),0)</f>
        <v>0</v>
      </c>
      <c r="E63" s="25">
        <f>IF(F3="1",SUMIF(Data!$A:$A,'36'!$A$2,Data!JQ:JQ),0)</f>
        <v>0</v>
      </c>
      <c r="F63" s="26" t="str">
        <f t="shared" si="3"/>
        <v/>
      </c>
    </row>
    <row r="64" spans="1:6" x14ac:dyDescent="0.2">
      <c r="B64" s="31" t="s">
        <v>35</v>
      </c>
      <c r="C64" s="31"/>
      <c r="D64" s="61">
        <f>SUM(D36:D63)</f>
        <v>11143508</v>
      </c>
      <c r="E64" s="32">
        <f>SUM(E36:E63)</f>
        <v>12485404</v>
      </c>
      <c r="F64" s="33">
        <f t="shared" si="3"/>
        <v>1.1204195303669187</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15840</v>
      </c>
      <c r="E67" s="16">
        <f>IF(F3="1",SUMIF(Data!A:A,'36'!$A$2,Data!DY:DY),0)</f>
        <v>40310</v>
      </c>
      <c r="F67" s="21">
        <f>IFERROR(E67/D67,"")</f>
        <v>2.5448232323232323</v>
      </c>
    </row>
    <row r="68" spans="1:6" x14ac:dyDescent="0.2">
      <c r="A68" s="20">
        <v>2</v>
      </c>
      <c r="B68" s="184" t="s">
        <v>1</v>
      </c>
      <c r="C68" s="185"/>
      <c r="D68" s="15">
        <f t="shared" ref="D68:D94" si="4">D37</f>
        <v>259656</v>
      </c>
      <c r="E68" s="18">
        <f>IF(F3="1",SUMIF(Data!A:A,'36'!$A$2,Data!DZ:DZ),0)</f>
        <v>561036</v>
      </c>
      <c r="F68" s="22">
        <f t="shared" ref="F68:F95" si="5">IFERROR(E68/D68,"")</f>
        <v>2.1606895276827802</v>
      </c>
    </row>
    <row r="69" spans="1:6" ht="14.25" customHeight="1" x14ac:dyDescent="0.2">
      <c r="A69" s="20">
        <v>3</v>
      </c>
      <c r="B69" s="184" t="s">
        <v>2</v>
      </c>
      <c r="C69" s="185"/>
      <c r="D69" s="15">
        <f t="shared" si="4"/>
        <v>1490930</v>
      </c>
      <c r="E69" s="18">
        <f>IF(F3="1",SUMIF(Data!A:A,'36'!$A$2,Data!EA:EA),0)</f>
        <v>3794136</v>
      </c>
      <c r="F69" s="22">
        <f t="shared" si="5"/>
        <v>2.5448116276418076</v>
      </c>
    </row>
    <row r="70" spans="1:6" ht="14.25" customHeight="1" x14ac:dyDescent="0.2">
      <c r="A70" s="20">
        <v>4</v>
      </c>
      <c r="B70" s="184" t="s">
        <v>3</v>
      </c>
      <c r="C70" s="185"/>
      <c r="D70" s="15">
        <f t="shared" si="4"/>
        <v>595845</v>
      </c>
      <c r="E70" s="18">
        <f>IF(F3="1",SUMIF(Data!A:A,'36'!$A$2,Data!EB:EB),0)</f>
        <v>1755576</v>
      </c>
      <c r="F70" s="22">
        <f t="shared" si="5"/>
        <v>2.9463635677063666</v>
      </c>
    </row>
    <row r="71" spans="1:6" x14ac:dyDescent="0.2">
      <c r="A71" s="20">
        <v>5</v>
      </c>
      <c r="B71" s="184" t="s">
        <v>4</v>
      </c>
      <c r="C71" s="185"/>
      <c r="D71" s="15">
        <f t="shared" si="4"/>
        <v>34784</v>
      </c>
      <c r="E71" s="18">
        <f>IF(F3="1",SUMIF(Data!A:A,'36'!$A$2,Data!EC:EC),0)</f>
        <v>221250</v>
      </c>
      <c r="F71" s="22">
        <f t="shared" si="5"/>
        <v>6.3606830726770927</v>
      </c>
    </row>
    <row r="72" spans="1:6" x14ac:dyDescent="0.2">
      <c r="A72" s="20">
        <v>6</v>
      </c>
      <c r="B72" s="184" t="s">
        <v>5</v>
      </c>
      <c r="C72" s="185"/>
      <c r="D72" s="15">
        <f t="shared" si="4"/>
        <v>105634</v>
      </c>
      <c r="E72" s="18">
        <f>IF(F3="1",SUMIF(Data!A:A,'36'!$A$2,Data!ED:ED),0)</f>
        <v>221533</v>
      </c>
      <c r="F72" s="22">
        <f t="shared" si="5"/>
        <v>2.0971751519397164</v>
      </c>
    </row>
    <row r="73" spans="1:6" x14ac:dyDescent="0.2">
      <c r="A73" s="20">
        <v>7</v>
      </c>
      <c r="B73" s="184" t="s">
        <v>6</v>
      </c>
      <c r="C73" s="185"/>
      <c r="D73" s="15">
        <f t="shared" si="4"/>
        <v>234892</v>
      </c>
      <c r="E73" s="18">
        <f>IF(F3="1",SUMIF(Data!A:A,'36'!$A$2,Data!EE:EE),0)</f>
        <v>1161097</v>
      </c>
      <c r="F73" s="22">
        <f t="shared" si="5"/>
        <v>4.9431100250327811</v>
      </c>
    </row>
    <row r="74" spans="1:6" x14ac:dyDescent="0.2">
      <c r="A74" s="20">
        <v>8</v>
      </c>
      <c r="B74" s="184" t="s">
        <v>7</v>
      </c>
      <c r="C74" s="185"/>
      <c r="D74" s="15">
        <f t="shared" si="4"/>
        <v>64541</v>
      </c>
      <c r="E74" s="18">
        <f>IF(F3="1",SUMIF(Data!A:A,'36'!$A$2,Data!EF:EF),0)</f>
        <v>140506</v>
      </c>
      <c r="F74" s="22">
        <f t="shared" si="5"/>
        <v>2.1770037650485738</v>
      </c>
    </row>
    <row r="75" spans="1:6" x14ac:dyDescent="0.2">
      <c r="A75" s="20">
        <v>9</v>
      </c>
      <c r="B75" s="184" t="s">
        <v>8</v>
      </c>
      <c r="C75" s="185"/>
      <c r="D75" s="15">
        <f t="shared" si="4"/>
        <v>681970</v>
      </c>
      <c r="E75" s="18">
        <f>IF(F3="1",SUMIF(Data!A:A,'36'!$A$2,Data!EG:EG),0)</f>
        <v>2252421</v>
      </c>
      <c r="F75" s="22">
        <f t="shared" si="5"/>
        <v>3.3028153731102541</v>
      </c>
    </row>
    <row r="76" spans="1:6" x14ac:dyDescent="0.2">
      <c r="A76" s="20">
        <v>10</v>
      </c>
      <c r="B76" s="184" t="s">
        <v>9</v>
      </c>
      <c r="C76" s="185"/>
      <c r="D76" s="15">
        <f t="shared" si="4"/>
        <v>128128</v>
      </c>
      <c r="E76" s="18">
        <f>IF(F3="1",SUMIF(Data!A:A,'36'!$A$2,Data!EH:EH),0)</f>
        <v>583609</v>
      </c>
      <c r="F76" s="22">
        <f t="shared" si="5"/>
        <v>4.5548904220779223</v>
      </c>
    </row>
    <row r="77" spans="1:6" x14ac:dyDescent="0.2">
      <c r="A77" s="20">
        <v>11</v>
      </c>
      <c r="B77" s="184" t="s">
        <v>10</v>
      </c>
      <c r="C77" s="185"/>
      <c r="D77" s="15">
        <f t="shared" si="4"/>
        <v>186396</v>
      </c>
      <c r="E77" s="18">
        <f>IF(F3="1",SUMIF(Data!A:A,'36'!$A$2,Data!EI:EI),0)</f>
        <v>849009</v>
      </c>
      <c r="F77" s="22">
        <f t="shared" si="5"/>
        <v>4.5548670572329879</v>
      </c>
    </row>
    <row r="78" spans="1:6" ht="14.25" customHeight="1" x14ac:dyDescent="0.2">
      <c r="A78" s="20">
        <v>12</v>
      </c>
      <c r="B78" s="184" t="s">
        <v>11</v>
      </c>
      <c r="C78" s="185"/>
      <c r="D78" s="15">
        <f t="shared" si="4"/>
        <v>1474776</v>
      </c>
      <c r="E78" s="18">
        <f>IF(F3="1",SUMIF(Data!A:A,'36'!$A$2,Data!EJ:EJ),0)</f>
        <v>4413739</v>
      </c>
      <c r="F78" s="22">
        <f t="shared" si="5"/>
        <v>2.9928199265515576</v>
      </c>
    </row>
    <row r="79" spans="1:6" x14ac:dyDescent="0.2">
      <c r="A79" s="20">
        <v>13</v>
      </c>
      <c r="B79" s="184" t="s">
        <v>12</v>
      </c>
      <c r="C79" s="185"/>
      <c r="D79" s="15">
        <f t="shared" si="4"/>
        <v>135618</v>
      </c>
      <c r="E79" s="18">
        <f>IF(F3="1",SUMIF(Data!A:A,'36'!$A$2,Data!EK:EK),0)</f>
        <v>493006</v>
      </c>
      <c r="F79" s="22">
        <f t="shared" si="5"/>
        <v>3.6352549071657156</v>
      </c>
    </row>
    <row r="80" spans="1:6" ht="14.25" customHeight="1" x14ac:dyDescent="0.2">
      <c r="A80" s="20">
        <v>14</v>
      </c>
      <c r="B80" s="184" t="s">
        <v>469</v>
      </c>
      <c r="C80" s="185"/>
      <c r="D80" s="15">
        <f t="shared" si="4"/>
        <v>356032</v>
      </c>
      <c r="E80" s="18">
        <f>IF(F3="1",SUMIF(Data!A:A,'36'!$A$2,Data!EL:EL),0)</f>
        <v>1938310</v>
      </c>
      <c r="F80" s="22">
        <f t="shared" si="5"/>
        <v>5.4442016447959736</v>
      </c>
    </row>
    <row r="81" spans="1:6" x14ac:dyDescent="0.2">
      <c r="A81" s="20">
        <v>15</v>
      </c>
      <c r="B81" s="184" t="s">
        <v>13</v>
      </c>
      <c r="C81" s="185"/>
      <c r="D81" s="15">
        <f t="shared" si="4"/>
        <v>0</v>
      </c>
      <c r="E81" s="18">
        <f>IF(F3="1",SUMIF(Data!A:A,'36'!$A$2,Data!EM:EM),0)</f>
        <v>0</v>
      </c>
      <c r="F81" s="22" t="str">
        <f t="shared" si="5"/>
        <v/>
      </c>
    </row>
    <row r="82" spans="1:6" x14ac:dyDescent="0.2">
      <c r="A82" s="20">
        <v>16</v>
      </c>
      <c r="B82" s="184" t="s">
        <v>14</v>
      </c>
      <c r="C82" s="185"/>
      <c r="D82" s="15">
        <f t="shared" si="4"/>
        <v>596132</v>
      </c>
      <c r="E82" s="18">
        <f>IF(F3="1",SUMIF(Data!A:A,'36'!$A$2,Data!EN:EN),0)</f>
        <v>3371405</v>
      </c>
      <c r="F82" s="22">
        <f t="shared" si="5"/>
        <v>5.6554672455093842</v>
      </c>
    </row>
    <row r="83" spans="1:6" x14ac:dyDescent="0.2">
      <c r="A83" s="20">
        <v>17</v>
      </c>
      <c r="B83" s="184" t="s">
        <v>15</v>
      </c>
      <c r="C83" s="185"/>
      <c r="D83" s="15">
        <f t="shared" si="4"/>
        <v>57440</v>
      </c>
      <c r="E83" s="18">
        <f>IF(F3="1",SUMIF(Data!A:A,'36'!$A$2,Data!EO:EO),0)</f>
        <v>341929</v>
      </c>
      <c r="F83" s="22">
        <f t="shared" si="5"/>
        <v>5.9528029247910865</v>
      </c>
    </row>
    <row r="84" spans="1:6" x14ac:dyDescent="0.2">
      <c r="A84" s="20">
        <v>18</v>
      </c>
      <c r="B84" s="184" t="s">
        <v>16</v>
      </c>
      <c r="C84" s="185"/>
      <c r="D84" s="15">
        <f t="shared" si="4"/>
        <v>247184</v>
      </c>
      <c r="E84" s="18">
        <f>IF(F3="1",SUMIF(Data!A:A,'36'!$A$2,Data!EP:EP),0)</f>
        <v>1552231</v>
      </c>
      <c r="F84" s="22">
        <f t="shared" si="5"/>
        <v>6.2796580684833971</v>
      </c>
    </row>
    <row r="85" spans="1:6" x14ac:dyDescent="0.2">
      <c r="A85" s="20">
        <v>19</v>
      </c>
      <c r="B85" s="184" t="s">
        <v>17</v>
      </c>
      <c r="C85" s="185"/>
      <c r="D85" s="15">
        <f t="shared" si="4"/>
        <v>1246064</v>
      </c>
      <c r="E85" s="18">
        <f>IF(F3="1",SUMIF(Data!A:A,'36'!$A$2,Data!EQ:EQ),0)</f>
        <v>3903304</v>
      </c>
      <c r="F85" s="22">
        <f t="shared" si="5"/>
        <v>3.1325068375300145</v>
      </c>
    </row>
    <row r="86" spans="1:6" x14ac:dyDescent="0.2">
      <c r="A86" s="20">
        <v>20</v>
      </c>
      <c r="B86" s="184" t="s">
        <v>18</v>
      </c>
      <c r="C86" s="185"/>
      <c r="D86" s="15">
        <f t="shared" si="4"/>
        <v>259988</v>
      </c>
      <c r="E86" s="18">
        <f>IF(F3="1",SUMIF(Data!A:A,'36'!$A$2,Data!ER:ER),0)</f>
        <v>1215080</v>
      </c>
      <c r="F86" s="22">
        <f t="shared" si="5"/>
        <v>4.6736003200147698</v>
      </c>
    </row>
    <row r="87" spans="1:6" ht="14.25" customHeight="1" x14ac:dyDescent="0.2">
      <c r="A87" s="20">
        <v>21</v>
      </c>
      <c r="B87" s="184" t="s">
        <v>466</v>
      </c>
      <c r="C87" s="185"/>
      <c r="D87" s="15">
        <f t="shared" si="4"/>
        <v>43060</v>
      </c>
      <c r="E87" s="18">
        <f>IF(F3="1",SUMIF(Data!A:A,'36'!$A$2,Data!ES:ES),0)</f>
        <v>208447</v>
      </c>
      <c r="F87" s="22">
        <f t="shared" si="5"/>
        <v>4.8408499767765907</v>
      </c>
    </row>
    <row r="88" spans="1:6" x14ac:dyDescent="0.2">
      <c r="A88" s="20">
        <v>22</v>
      </c>
      <c r="B88" s="184" t="s">
        <v>19</v>
      </c>
      <c r="C88" s="185"/>
      <c r="D88" s="15">
        <f t="shared" si="4"/>
        <v>14926</v>
      </c>
      <c r="E88" s="18">
        <f>IF(F3="1",SUMIF(Data!A:A,'36'!$A$2,Data!ET:ET),0)</f>
        <v>72255</v>
      </c>
      <c r="F88" s="22">
        <f t="shared" si="5"/>
        <v>4.8408816829693153</v>
      </c>
    </row>
    <row r="89" spans="1:6" x14ac:dyDescent="0.2">
      <c r="A89" s="20">
        <v>23</v>
      </c>
      <c r="B89" s="184" t="s">
        <v>20</v>
      </c>
      <c r="C89" s="185"/>
      <c r="D89" s="15">
        <f t="shared" si="4"/>
        <v>473664</v>
      </c>
      <c r="E89" s="18">
        <f>IF(F3="1",SUMIF(Data!A:A,'36'!$A$2,Data!EU:EU),0)</f>
        <v>1820720</v>
      </c>
      <c r="F89" s="22">
        <f t="shared" si="5"/>
        <v>3.8439062288879882</v>
      </c>
    </row>
    <row r="90" spans="1:6" x14ac:dyDescent="0.2">
      <c r="A90" s="20">
        <v>24</v>
      </c>
      <c r="B90" s="184" t="s">
        <v>21</v>
      </c>
      <c r="C90" s="185"/>
      <c r="D90" s="15">
        <f t="shared" si="4"/>
        <v>134136</v>
      </c>
      <c r="E90" s="18">
        <f>IF(F3="1",SUMIF(Data!A:A,'36'!$A$2,Data!EV:EV),0)</f>
        <v>676099</v>
      </c>
      <c r="F90" s="22">
        <f t="shared" si="5"/>
        <v>5.0403992962366555</v>
      </c>
    </row>
    <row r="91" spans="1:6" x14ac:dyDescent="0.2">
      <c r="A91" s="20">
        <v>25</v>
      </c>
      <c r="B91" s="184" t="s">
        <v>22</v>
      </c>
      <c r="C91" s="185"/>
      <c r="D91" s="15">
        <f t="shared" si="4"/>
        <v>1717776</v>
      </c>
      <c r="E91" s="18">
        <f>IF(F3="1",SUMIF(Data!A:A,'36'!$A$2,Data!EW:EW),0)</f>
        <v>5266575</v>
      </c>
      <c r="F91" s="22">
        <f t="shared" si="5"/>
        <v>3.0659265235979545</v>
      </c>
    </row>
    <row r="92" spans="1:6" x14ac:dyDescent="0.2">
      <c r="A92" s="20">
        <v>26</v>
      </c>
      <c r="B92" s="184" t="s">
        <v>23</v>
      </c>
      <c r="C92" s="185"/>
      <c r="D92" s="15">
        <f t="shared" si="4"/>
        <v>588096</v>
      </c>
      <c r="E92" s="18">
        <f>IF(F3="1",SUMIF(Data!A:A,'36'!$A$2,Data!EX:EX),0)</f>
        <v>2577898</v>
      </c>
      <c r="F92" s="22">
        <f t="shared" si="5"/>
        <v>4.3834646044183261</v>
      </c>
    </row>
    <row r="93" spans="1:6" x14ac:dyDescent="0.2">
      <c r="A93" s="20">
        <v>28</v>
      </c>
      <c r="B93" s="184" t="s">
        <v>24</v>
      </c>
      <c r="C93" s="185"/>
      <c r="D93" s="15">
        <f t="shared" si="4"/>
        <v>0</v>
      </c>
      <c r="E93" s="18">
        <f>IF(F3="1",SUMIF(Data!A:A,'36'!$A$2,Data!EZ:EZ),0)</f>
        <v>0</v>
      </c>
      <c r="F93" s="22" t="str">
        <f t="shared" si="5"/>
        <v/>
      </c>
    </row>
    <row r="94" spans="1:6" ht="15.75" customHeight="1" thickBot="1" x14ac:dyDescent="0.25">
      <c r="A94" s="23">
        <v>29</v>
      </c>
      <c r="B94" s="186" t="s">
        <v>25</v>
      </c>
      <c r="C94" s="187"/>
      <c r="D94" s="24">
        <f t="shared" si="4"/>
        <v>0</v>
      </c>
      <c r="E94" s="25">
        <f>IF(F3="1",SUMIF(Data!A:A,'36'!$A$2,Data!FA:FA),0)</f>
        <v>0</v>
      </c>
      <c r="F94" s="26" t="str">
        <f t="shared" si="5"/>
        <v/>
      </c>
    </row>
    <row r="95" spans="1:6" x14ac:dyDescent="0.2">
      <c r="B95" s="31" t="s">
        <v>35</v>
      </c>
      <c r="C95" s="31"/>
      <c r="D95" s="61">
        <f>SUM(D67:D94)</f>
        <v>11143508</v>
      </c>
      <c r="E95" s="32">
        <f>SUM(E67:E94)</f>
        <v>39431481</v>
      </c>
      <c r="F95" s="33">
        <f t="shared" si="5"/>
        <v>3.5385159682211382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IF(F3="1",SUMIF(Data!A:A,'36'!$A$2,Data!AH:AH),0)</f>
        <v>16241788</v>
      </c>
      <c r="F98" s="21">
        <f t="shared" ref="F98:F105" si="6">IFERROR(E98/$D$95,0)</f>
        <v>1.4575112253699642</v>
      </c>
    </row>
    <row r="99" spans="2:6" x14ac:dyDescent="0.2">
      <c r="B99" s="190" t="s">
        <v>31</v>
      </c>
      <c r="C99" s="191"/>
      <c r="D99" s="37"/>
      <c r="E99" s="18">
        <f>IF(F3="1",SUMIF(Data!A:A,'36'!$A$2,Data!AI:AI),0)</f>
        <v>9698284</v>
      </c>
      <c r="F99" s="22">
        <f t="shared" si="6"/>
        <v>0.87030798560022571</v>
      </c>
    </row>
    <row r="100" spans="2:6" x14ac:dyDescent="0.2">
      <c r="B100" s="190" t="s">
        <v>32</v>
      </c>
      <c r="C100" s="191"/>
      <c r="D100" s="37"/>
      <c r="E100" s="18">
        <f>IF(F3="1",SUMIF(Data!A:A,'36'!$A$2,Data!AJ:AJ),0)</f>
        <v>8895786</v>
      </c>
      <c r="F100" s="22">
        <f t="shared" si="6"/>
        <v>0.79829314072372903</v>
      </c>
    </row>
    <row r="101" spans="2:6" x14ac:dyDescent="0.2">
      <c r="B101" s="190" t="s">
        <v>28</v>
      </c>
      <c r="C101" s="191"/>
      <c r="D101" s="37"/>
      <c r="E101" s="18">
        <f>IF(F3="1",SUMIF(Data!A:A,'36'!$A$2,Data!AK:AK),0)</f>
        <v>0</v>
      </c>
      <c r="F101" s="22">
        <f t="shared" si="6"/>
        <v>0</v>
      </c>
    </row>
    <row r="102" spans="2:6" x14ac:dyDescent="0.2">
      <c r="B102" s="190" t="s">
        <v>33</v>
      </c>
      <c r="C102" s="191"/>
      <c r="D102" s="37"/>
      <c r="E102" s="18">
        <f>IF(F3="1",SUMIF(Data!A:A,'36'!$A$2,Data!AL:AL),0)</f>
        <v>0</v>
      </c>
      <c r="F102" s="22">
        <f t="shared" si="6"/>
        <v>0</v>
      </c>
    </row>
    <row r="103" spans="2:6" x14ac:dyDescent="0.2">
      <c r="B103" s="192" t="s">
        <v>34</v>
      </c>
      <c r="C103" s="193"/>
      <c r="D103" s="37"/>
      <c r="E103" s="18">
        <f>IF(F3="1",SUMIF(Data!A:A,'36'!$A$2,Data!AM:AM),0)</f>
        <v>2681931</v>
      </c>
      <c r="F103" s="22">
        <f t="shared" si="6"/>
        <v>0.24067205766801622</v>
      </c>
    </row>
    <row r="104" spans="2:6" ht="15.75" customHeight="1" thickBot="1" x14ac:dyDescent="0.25">
      <c r="B104" s="182" t="s">
        <v>29</v>
      </c>
      <c r="C104" s="183"/>
      <c r="D104" s="38"/>
      <c r="E104" s="25">
        <f>IF(F3="1",SUMIF(Data!A:A,'36'!$A$2,Data!Q:Q),0)</f>
        <v>2067594</v>
      </c>
      <c r="F104" s="26">
        <f t="shared" si="6"/>
        <v>0.18554247010905364</v>
      </c>
    </row>
    <row r="105" spans="2:6" x14ac:dyDescent="0.2">
      <c r="B105" s="31" t="s">
        <v>35</v>
      </c>
      <c r="C105" s="31"/>
      <c r="D105" s="35">
        <f>D95</f>
        <v>11143508</v>
      </c>
      <c r="E105" s="32">
        <f>SUM(E98:E104)</f>
        <v>39585383</v>
      </c>
      <c r="F105" s="33">
        <f t="shared" si="6"/>
        <v>3.5523268794709888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39431481</v>
      </c>
      <c r="D109" s="16">
        <f>IF(F3="1",SUMIF(Data!$A:$A,$A$2,Data!HJ:HJ),0)</f>
        <v>0</v>
      </c>
      <c r="E109" s="16">
        <f>IF(F3="1",SUMIF(Data!$A:$A,$A$2,Data!IN:IN),0)</f>
        <v>0</v>
      </c>
      <c r="F109" s="48">
        <f>SUM(C109:E109)</f>
        <v>39431481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2067594</v>
      </c>
      <c r="E117" s="53"/>
      <c r="F117" s="50">
        <f>SUM(C117:E117)</f>
        <v>2067594</v>
      </c>
    </row>
    <row r="118" spans="1:6" x14ac:dyDescent="0.2">
      <c r="B118" s="14" t="s">
        <v>35</v>
      </c>
      <c r="C118" s="5">
        <f>SUM(C109:C116)</f>
        <v>39431481</v>
      </c>
      <c r="D118" s="5">
        <f>SUM(D109:D116)</f>
        <v>0</v>
      </c>
      <c r="E118" s="5">
        <f>SUM(E109:E116)</f>
        <v>0</v>
      </c>
      <c r="F118" s="5">
        <f>SUM(F109:F116)</f>
        <v>39431481</v>
      </c>
    </row>
    <row r="119" spans="1:6" ht="15" thickBot="1" x14ac:dyDescent="0.25"/>
    <row r="120" spans="1:6" ht="15" thickBot="1" x14ac:dyDescent="0.25">
      <c r="B120" s="57" t="s">
        <v>942</v>
      </c>
      <c r="C120" s="55"/>
      <c r="D120" s="55"/>
      <c r="E120" s="55">
        <f>IF(F3="1",SUMIF(Data!A:A,'36'!$A$2,Data!AM:AM),0)</f>
        <v>2681931</v>
      </c>
      <c r="F120" s="56">
        <f>SUM(C120:E120)</f>
        <v>2681931</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398</v>
      </c>
      <c r="B2" s="60" t="str">
        <f>VLOOKUP(A2,Data!A:G,7,0)</f>
        <v>South Plains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26768</v>
      </c>
      <c r="E5" s="16">
        <f>E36+E67+IFERROR($E$105/$D$105*D5,0)</f>
        <v>377158.57349214226</v>
      </c>
      <c r="F5" s="21">
        <f>IFERROR(E5/D5,"")</f>
        <v>14.089904867458991</v>
      </c>
    </row>
    <row r="6" spans="1:6" x14ac:dyDescent="0.2">
      <c r="A6" s="20">
        <v>2</v>
      </c>
      <c r="B6" s="184" t="s">
        <v>1</v>
      </c>
      <c r="C6" s="185"/>
      <c r="D6" s="15">
        <f t="shared" ref="D6:D32" si="0">D37</f>
        <v>71144</v>
      </c>
      <c r="E6" s="18">
        <f t="shared" ref="E6:E32" si="1">E37+E68+IFERROR($E$105/$D$105*D6,0)</f>
        <v>451540.77527364634</v>
      </c>
      <c r="F6" s="22">
        <f t="shared" ref="F6:F33" si="2">IFERROR(E6/D6,"")</f>
        <v>6.3468567310475423</v>
      </c>
    </row>
    <row r="7" spans="1:6" ht="14.25" customHeight="1" x14ac:dyDescent="0.2">
      <c r="A7" s="20">
        <v>3</v>
      </c>
      <c r="B7" s="184" t="s">
        <v>2</v>
      </c>
      <c r="C7" s="185"/>
      <c r="D7" s="15">
        <f t="shared" si="0"/>
        <v>481168</v>
      </c>
      <c r="E7" s="18">
        <f t="shared" si="1"/>
        <v>2757943.4970885795</v>
      </c>
      <c r="F7" s="22">
        <f t="shared" si="2"/>
        <v>5.7317683160321957</v>
      </c>
    </row>
    <row r="8" spans="1:6" ht="14.25" customHeight="1" x14ac:dyDescent="0.2">
      <c r="A8" s="20">
        <v>4</v>
      </c>
      <c r="B8" s="184" t="s">
        <v>3</v>
      </c>
      <c r="C8" s="185"/>
      <c r="D8" s="15">
        <f t="shared" si="0"/>
        <v>165871</v>
      </c>
      <c r="E8" s="18">
        <f t="shared" si="1"/>
        <v>1054872.9318482936</v>
      </c>
      <c r="F8" s="22">
        <f t="shared" si="2"/>
        <v>6.3595983134381155</v>
      </c>
    </row>
    <row r="9" spans="1:6" x14ac:dyDescent="0.2">
      <c r="A9" s="20">
        <v>5</v>
      </c>
      <c r="B9" s="184" t="s">
        <v>4</v>
      </c>
      <c r="C9" s="185"/>
      <c r="D9" s="15">
        <f t="shared" si="0"/>
        <v>1296</v>
      </c>
      <c r="E9" s="18">
        <f t="shared" si="1"/>
        <v>6461.2411553278662</v>
      </c>
      <c r="F9" s="22">
        <f t="shared" si="2"/>
        <v>4.9855255828147111</v>
      </c>
    </row>
    <row r="10" spans="1:6" x14ac:dyDescent="0.2">
      <c r="A10" s="20">
        <v>6</v>
      </c>
      <c r="B10" s="184" t="s">
        <v>5</v>
      </c>
      <c r="C10" s="185"/>
      <c r="D10" s="15">
        <f t="shared" si="0"/>
        <v>126230</v>
      </c>
      <c r="E10" s="18">
        <f t="shared" si="1"/>
        <v>693110.6782693183</v>
      </c>
      <c r="F10" s="22">
        <f t="shared" si="2"/>
        <v>5.4908554089306687</v>
      </c>
    </row>
    <row r="11" spans="1:6" x14ac:dyDescent="0.2">
      <c r="A11" s="20">
        <v>7</v>
      </c>
      <c r="B11" s="184" t="s">
        <v>6</v>
      </c>
      <c r="C11" s="185"/>
      <c r="D11" s="15">
        <f t="shared" si="0"/>
        <v>203559</v>
      </c>
      <c r="E11" s="18">
        <f t="shared" si="1"/>
        <v>1390843.5928529205</v>
      </c>
      <c r="F11" s="22">
        <f t="shared" si="2"/>
        <v>6.8326312904510269</v>
      </c>
    </row>
    <row r="12" spans="1:6" x14ac:dyDescent="0.2">
      <c r="A12" s="20">
        <v>8</v>
      </c>
      <c r="B12" s="184" t="s">
        <v>7</v>
      </c>
      <c r="C12" s="185"/>
      <c r="D12" s="15">
        <f t="shared" si="0"/>
        <v>12132</v>
      </c>
      <c r="E12" s="18">
        <f t="shared" si="1"/>
        <v>123479.17414848585</v>
      </c>
      <c r="F12" s="22">
        <f t="shared" si="2"/>
        <v>10.177973470861016</v>
      </c>
    </row>
    <row r="13" spans="1:6" x14ac:dyDescent="0.2">
      <c r="A13" s="20">
        <v>9</v>
      </c>
      <c r="B13" s="184" t="s">
        <v>8</v>
      </c>
      <c r="C13" s="185"/>
      <c r="D13" s="15">
        <f t="shared" si="0"/>
        <v>161312</v>
      </c>
      <c r="E13" s="18">
        <f t="shared" si="1"/>
        <v>922717.49787673517</v>
      </c>
      <c r="F13" s="22">
        <f t="shared" si="2"/>
        <v>5.7200797081229862</v>
      </c>
    </row>
    <row r="14" spans="1:6" x14ac:dyDescent="0.2">
      <c r="A14" s="20">
        <v>10</v>
      </c>
      <c r="B14" s="184" t="s">
        <v>9</v>
      </c>
      <c r="C14" s="185"/>
      <c r="D14" s="15">
        <f t="shared" si="0"/>
        <v>2304</v>
      </c>
      <c r="E14" s="18">
        <f t="shared" si="1"/>
        <v>105496.09538724954</v>
      </c>
      <c r="F14" s="22">
        <f t="shared" si="2"/>
        <v>45.788235845160393</v>
      </c>
    </row>
    <row r="15" spans="1:6" x14ac:dyDescent="0.2">
      <c r="A15" s="20">
        <v>11</v>
      </c>
      <c r="B15" s="184" t="s">
        <v>10</v>
      </c>
      <c r="C15" s="185"/>
      <c r="D15" s="15">
        <f t="shared" si="0"/>
        <v>43064</v>
      </c>
      <c r="E15" s="18">
        <f t="shared" si="1"/>
        <v>315002.55024154263</v>
      </c>
      <c r="F15" s="22">
        <f t="shared" si="2"/>
        <v>7.3147536281242482</v>
      </c>
    </row>
    <row r="16" spans="1:6" ht="14.25" customHeight="1" x14ac:dyDescent="0.2">
      <c r="A16" s="20">
        <v>12</v>
      </c>
      <c r="B16" s="184" t="s">
        <v>11</v>
      </c>
      <c r="C16" s="185"/>
      <c r="D16" s="15">
        <f t="shared" si="0"/>
        <v>439888</v>
      </c>
      <c r="E16" s="18">
        <f t="shared" si="1"/>
        <v>2859634.7047336916</v>
      </c>
      <c r="F16" s="22">
        <f t="shared" si="2"/>
        <v>6.5008245388228181</v>
      </c>
    </row>
    <row r="17" spans="1:6" x14ac:dyDescent="0.2">
      <c r="A17" s="20">
        <v>13</v>
      </c>
      <c r="B17" s="184" t="s">
        <v>12</v>
      </c>
      <c r="C17" s="185"/>
      <c r="D17" s="15">
        <f t="shared" si="0"/>
        <v>144144</v>
      </c>
      <c r="E17" s="18">
        <f t="shared" si="1"/>
        <v>809447.15516479942</v>
      </c>
      <c r="F17" s="22">
        <f t="shared" si="2"/>
        <v>5.6155452545010505</v>
      </c>
    </row>
    <row r="18" spans="1:6" ht="14.25" customHeight="1" x14ac:dyDescent="0.2">
      <c r="A18" s="20">
        <v>14</v>
      </c>
      <c r="B18" s="184" t="s">
        <v>469</v>
      </c>
      <c r="C18" s="185"/>
      <c r="D18" s="15">
        <f t="shared" si="0"/>
        <v>111184</v>
      </c>
      <c r="E18" s="18">
        <f t="shared" si="1"/>
        <v>728407.76281942404</v>
      </c>
      <c r="F18" s="22">
        <f t="shared" si="2"/>
        <v>6.5513721652344223</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155592</v>
      </c>
      <c r="E20" s="18">
        <f t="shared" si="1"/>
        <v>1396609.7853701955</v>
      </c>
      <c r="F20" s="22">
        <f t="shared" si="2"/>
        <v>8.9761027904403541</v>
      </c>
    </row>
    <row r="21" spans="1:6" x14ac:dyDescent="0.2">
      <c r="A21" s="20">
        <v>17</v>
      </c>
      <c r="B21" s="184" t="s">
        <v>15</v>
      </c>
      <c r="C21" s="185"/>
      <c r="D21" s="15">
        <f t="shared" si="0"/>
        <v>20096</v>
      </c>
      <c r="E21" s="18">
        <f t="shared" si="1"/>
        <v>170724.44309989875</v>
      </c>
      <c r="F21" s="22">
        <f t="shared" si="2"/>
        <v>8.4954440236812676</v>
      </c>
    </row>
    <row r="22" spans="1:6" x14ac:dyDescent="0.2">
      <c r="A22" s="20">
        <v>18</v>
      </c>
      <c r="B22" s="184" t="s">
        <v>16</v>
      </c>
      <c r="C22" s="185"/>
      <c r="D22" s="15">
        <f t="shared" si="0"/>
        <v>203472</v>
      </c>
      <c r="E22" s="18">
        <f t="shared" si="1"/>
        <v>1272022.8613864749</v>
      </c>
      <c r="F22" s="22">
        <f t="shared" si="2"/>
        <v>6.2515867607654858</v>
      </c>
    </row>
    <row r="23" spans="1:6" x14ac:dyDescent="0.2">
      <c r="A23" s="20">
        <v>19</v>
      </c>
      <c r="B23" s="184" t="s">
        <v>17</v>
      </c>
      <c r="C23" s="185"/>
      <c r="D23" s="15">
        <f t="shared" si="0"/>
        <v>506648</v>
      </c>
      <c r="E23" s="18">
        <f t="shared" si="1"/>
        <v>2703377.0346177104</v>
      </c>
      <c r="F23" s="22">
        <f t="shared" si="2"/>
        <v>5.335809150766825</v>
      </c>
    </row>
    <row r="24" spans="1:6" x14ac:dyDescent="0.2">
      <c r="A24" s="20">
        <v>20</v>
      </c>
      <c r="B24" s="184" t="s">
        <v>18</v>
      </c>
      <c r="C24" s="185"/>
      <c r="D24" s="15">
        <f t="shared" si="0"/>
        <v>64816</v>
      </c>
      <c r="E24" s="18">
        <f t="shared" si="1"/>
        <v>419571.46815102699</v>
      </c>
      <c r="F24" s="22">
        <f t="shared" si="2"/>
        <v>6.4732699973930359</v>
      </c>
    </row>
    <row r="25" spans="1:6" ht="14.25" customHeight="1" x14ac:dyDescent="0.2">
      <c r="A25" s="20">
        <v>21</v>
      </c>
      <c r="B25" s="184" t="s">
        <v>466</v>
      </c>
      <c r="C25" s="185"/>
      <c r="D25" s="15">
        <f t="shared" si="0"/>
        <v>36764</v>
      </c>
      <c r="E25" s="18">
        <f t="shared" si="1"/>
        <v>221183.96129203215</v>
      </c>
      <c r="F25" s="22">
        <f t="shared" si="2"/>
        <v>6.0163192604730753</v>
      </c>
    </row>
    <row r="26" spans="1:6" x14ac:dyDescent="0.2">
      <c r="A26" s="20">
        <v>22</v>
      </c>
      <c r="B26" s="184" t="s">
        <v>19</v>
      </c>
      <c r="C26" s="185"/>
      <c r="D26" s="15">
        <f t="shared" si="0"/>
        <v>6496</v>
      </c>
      <c r="E26" s="18">
        <f t="shared" si="1"/>
        <v>126298.61616127301</v>
      </c>
      <c r="F26" s="22">
        <f t="shared" si="2"/>
        <v>19.4425209607871</v>
      </c>
    </row>
    <row r="27" spans="1:6" x14ac:dyDescent="0.2">
      <c r="A27" s="20">
        <v>23</v>
      </c>
      <c r="B27" s="184" t="s">
        <v>20</v>
      </c>
      <c r="C27" s="185"/>
      <c r="D27" s="15">
        <f t="shared" si="0"/>
        <v>108240</v>
      </c>
      <c r="E27" s="18">
        <f t="shared" si="1"/>
        <v>1195397.2520468272</v>
      </c>
      <c r="F27" s="22">
        <f t="shared" si="2"/>
        <v>11.043950961260414</v>
      </c>
    </row>
    <row r="28" spans="1:6" x14ac:dyDescent="0.2">
      <c r="A28" s="20">
        <v>24</v>
      </c>
      <c r="B28" s="184" t="s">
        <v>21</v>
      </c>
      <c r="C28" s="185"/>
      <c r="D28" s="15">
        <f t="shared" si="0"/>
        <v>232440</v>
      </c>
      <c r="E28" s="18">
        <f t="shared" si="1"/>
        <v>895592.86276574782</v>
      </c>
      <c r="F28" s="22">
        <f t="shared" si="2"/>
        <v>3.8530066372644458</v>
      </c>
    </row>
    <row r="29" spans="1:6" x14ac:dyDescent="0.2">
      <c r="A29" s="20">
        <v>25</v>
      </c>
      <c r="B29" s="184" t="s">
        <v>22</v>
      </c>
      <c r="C29" s="185"/>
      <c r="D29" s="15">
        <f t="shared" si="0"/>
        <v>801232</v>
      </c>
      <c r="E29" s="18">
        <f t="shared" si="1"/>
        <v>4335456.831300661</v>
      </c>
      <c r="F29" s="22">
        <f t="shared" si="2"/>
        <v>5.4109881174249921</v>
      </c>
    </row>
    <row r="30" spans="1:6" x14ac:dyDescent="0.2">
      <c r="A30" s="20">
        <v>26</v>
      </c>
      <c r="B30" s="184" t="s">
        <v>23</v>
      </c>
      <c r="C30" s="185"/>
      <c r="D30" s="15">
        <f t="shared" si="0"/>
        <v>289510</v>
      </c>
      <c r="E30" s="18">
        <f t="shared" si="1"/>
        <v>3036753.653455996</v>
      </c>
      <c r="F30" s="22">
        <f t="shared" si="2"/>
        <v>10.489287601312549</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4415370</v>
      </c>
      <c r="E33" s="32">
        <f>SUM(E5:E32)</f>
        <v>28369104.999999996</v>
      </c>
      <c r="F33" s="33">
        <f t="shared" si="2"/>
        <v>6.4250798913794309</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IF(F3="1",SUMIF(Data!A:A,'37'!$A$2,Data!CU:CU),0)</f>
        <v>26768</v>
      </c>
      <c r="E36" s="16">
        <f>IF(F3="1",SUMIF(Data!$A:$A,'37'!$A$2,Data!IO:IO),0)</f>
        <v>32420</v>
      </c>
      <c r="F36" s="21">
        <f t="shared" ref="F36:F64" si="3">IFERROR(E36/D36,"")</f>
        <v>1.2111476389719067</v>
      </c>
    </row>
    <row r="37" spans="1:6" x14ac:dyDescent="0.2">
      <c r="A37" s="20">
        <v>2</v>
      </c>
      <c r="B37" s="184" t="s">
        <v>1</v>
      </c>
      <c r="C37" s="185"/>
      <c r="D37" s="15">
        <f>IF(F3="1",SUMIF(Data!A:A,'37'!$A$2,Data!CV:CV),0)</f>
        <v>71144</v>
      </c>
      <c r="E37" s="18">
        <f>IF(F3="1",SUMIF(Data!$A:$A,'37'!$A$2,Data!IP:IP),0)</f>
        <v>80058</v>
      </c>
      <c r="F37" s="22">
        <f t="shared" si="3"/>
        <v>1.1252951759811087</v>
      </c>
    </row>
    <row r="38" spans="1:6" ht="14.25" customHeight="1" x14ac:dyDescent="0.2">
      <c r="A38" s="20">
        <v>3</v>
      </c>
      <c r="B38" s="184" t="s">
        <v>2</v>
      </c>
      <c r="C38" s="185"/>
      <c r="D38" s="15">
        <f>IF(F3="1",SUMIF(Data!A:A,'37'!$A$2,Data!CW:CW),0)</f>
        <v>481168</v>
      </c>
      <c r="E38" s="18">
        <f>IF(F3="1",SUMIF(Data!$A:$A,'37'!$A$2,Data!IQ:IQ),0)</f>
        <v>198977</v>
      </c>
      <c r="F38" s="22">
        <f t="shared" si="3"/>
        <v>0.41352916237156251</v>
      </c>
    </row>
    <row r="39" spans="1:6" ht="14.25" customHeight="1" x14ac:dyDescent="0.2">
      <c r="A39" s="20">
        <v>4</v>
      </c>
      <c r="B39" s="184" t="s">
        <v>3</v>
      </c>
      <c r="C39" s="185"/>
      <c r="D39" s="15">
        <f>IF(F3="1",SUMIF(Data!A:A,'37'!$A$2,Data!CX:CX),0)</f>
        <v>165871</v>
      </c>
      <c r="E39" s="18">
        <f>IF(F3="1",SUMIF(Data!$A:$A,'37'!$A$2,Data!IR:IR),0)</f>
        <v>37725</v>
      </c>
      <c r="F39" s="22">
        <f t="shared" si="3"/>
        <v>0.22743577840611076</v>
      </c>
    </row>
    <row r="40" spans="1:6" x14ac:dyDescent="0.2">
      <c r="A40" s="20">
        <v>5</v>
      </c>
      <c r="B40" s="184" t="s">
        <v>4</v>
      </c>
      <c r="C40" s="185"/>
      <c r="D40" s="15">
        <f>IF(F3="1",SUMIF(Data!A:A,'37'!$A$2,Data!CY:CY),0)</f>
        <v>1296</v>
      </c>
      <c r="E40" s="18">
        <f>IF(F3="1",SUMIF(Data!$A:$A,'37'!$A$2,Data!IS:IS),0)</f>
        <v>325</v>
      </c>
      <c r="F40" s="22">
        <f t="shared" si="3"/>
        <v>0.25077160493827161</v>
      </c>
    </row>
    <row r="41" spans="1:6" x14ac:dyDescent="0.2">
      <c r="A41" s="20">
        <v>6</v>
      </c>
      <c r="B41" s="184" t="s">
        <v>5</v>
      </c>
      <c r="C41" s="185"/>
      <c r="D41" s="15">
        <f>IF(F3="1",SUMIF(Data!A:A,'37'!$A$2,Data!CZ:CZ),0)</f>
        <v>126230</v>
      </c>
      <c r="E41" s="18">
        <f>IF(F3="1",SUMIF(Data!$A:$A,'37'!$A$2,Data!IT:IT),0)</f>
        <v>131605</v>
      </c>
      <c r="F41" s="22">
        <f t="shared" si="3"/>
        <v>1.0425810029311575</v>
      </c>
    </row>
    <row r="42" spans="1:6" x14ac:dyDescent="0.2">
      <c r="A42" s="20">
        <v>7</v>
      </c>
      <c r="B42" s="184" t="s">
        <v>6</v>
      </c>
      <c r="C42" s="185"/>
      <c r="D42" s="15">
        <f>IF(F3="1",SUMIF(Data!A:A,'37'!$A$2,Data!DA:DA),0)</f>
        <v>203559</v>
      </c>
      <c r="E42" s="18">
        <f>IF(F3="1",SUMIF(Data!$A:$A,'37'!$A$2,Data!IU:IU),0)</f>
        <v>107788</v>
      </c>
      <c r="F42" s="22">
        <f t="shared" si="3"/>
        <v>0.52951724070171302</v>
      </c>
    </row>
    <row r="43" spans="1:6" x14ac:dyDescent="0.2">
      <c r="A43" s="20">
        <v>8</v>
      </c>
      <c r="B43" s="184" t="s">
        <v>7</v>
      </c>
      <c r="C43" s="185"/>
      <c r="D43" s="15">
        <f>IF(F3="1",SUMIF(Data!A:A,'37'!$A$2,Data!DB:DB),0)</f>
        <v>12132</v>
      </c>
      <c r="E43" s="18">
        <f>IF(F3="1",SUMIF(Data!$A:$A,'37'!$A$2,Data!IV:IV),0)</f>
        <v>5287</v>
      </c>
      <c r="F43" s="22">
        <f t="shared" si="3"/>
        <v>0.43578964721397956</v>
      </c>
    </row>
    <row r="44" spans="1:6" x14ac:dyDescent="0.2">
      <c r="A44" s="20">
        <v>9</v>
      </c>
      <c r="B44" s="184" t="s">
        <v>8</v>
      </c>
      <c r="C44" s="185"/>
      <c r="D44" s="15">
        <f>IF(F3="1",SUMIF(Data!A:A,'37'!$A$2,Data!DC:DC),0)</f>
        <v>161312</v>
      </c>
      <c r="E44" s="18">
        <f>IF(F3="1",SUMIF(Data!$A:$A,'37'!$A$2,Data!IW:IW),0)</f>
        <v>82453</v>
      </c>
      <c r="F44" s="22">
        <f t="shared" si="3"/>
        <v>0.51113990279706412</v>
      </c>
    </row>
    <row r="45" spans="1:6" x14ac:dyDescent="0.2">
      <c r="A45" s="20">
        <v>10</v>
      </c>
      <c r="B45" s="184" t="s">
        <v>9</v>
      </c>
      <c r="C45" s="185"/>
      <c r="D45" s="15">
        <f>IF(F3="1",SUMIF(Data!A:A,'37'!$A$2,Data!DD:DD),0)</f>
        <v>2304</v>
      </c>
      <c r="E45" s="18">
        <f>IF(F3="1",SUMIF(Data!$A:$A,'37'!$A$2,Data!IX:IX),0)</f>
        <v>2461</v>
      </c>
      <c r="F45" s="22">
        <f t="shared" si="3"/>
        <v>1.0681423611111112</v>
      </c>
    </row>
    <row r="46" spans="1:6" x14ac:dyDescent="0.2">
      <c r="A46" s="20">
        <v>11</v>
      </c>
      <c r="B46" s="184" t="s">
        <v>10</v>
      </c>
      <c r="C46" s="185"/>
      <c r="D46" s="15">
        <f>IF(F3="1",SUMIF(Data!A:A,'37'!$A$2,Data!DE:DE),0)</f>
        <v>43064</v>
      </c>
      <c r="E46" s="18">
        <f>IF(F3="1",SUMIF(Data!$A:$A,'37'!$A$2,Data!IY:IY),0)</f>
        <v>19732</v>
      </c>
      <c r="F46" s="22">
        <f t="shared" si="3"/>
        <v>0.45820174623815718</v>
      </c>
    </row>
    <row r="47" spans="1:6" ht="14.25" customHeight="1" x14ac:dyDescent="0.2">
      <c r="A47" s="20">
        <v>12</v>
      </c>
      <c r="B47" s="184" t="s">
        <v>11</v>
      </c>
      <c r="C47" s="185"/>
      <c r="D47" s="15">
        <f>IF(F3="1",SUMIF(Data!A:A,'37'!$A$2,Data!DF:DF),0)</f>
        <v>439888</v>
      </c>
      <c r="E47" s="18">
        <f>IF(F3="1",SUMIF(Data!$A:$A,'37'!$A$2,Data!IZ:IZ),0)</f>
        <v>40161</v>
      </c>
      <c r="F47" s="22">
        <f t="shared" si="3"/>
        <v>9.1298239551885929E-2</v>
      </c>
    </row>
    <row r="48" spans="1:6" x14ac:dyDescent="0.2">
      <c r="A48" s="20">
        <v>13</v>
      </c>
      <c r="B48" s="184" t="s">
        <v>12</v>
      </c>
      <c r="C48" s="185"/>
      <c r="D48" s="15">
        <f>IF(F3="1",SUMIF(Data!A:A,'37'!$A$2,Data!DG:DG),0)</f>
        <v>144144</v>
      </c>
      <c r="E48" s="18">
        <f>IF(F3="1",SUMIF(Data!$A:$A,'37'!$A$2,Data!JA:JA),0)</f>
        <v>6534</v>
      </c>
      <c r="F48" s="22">
        <f t="shared" si="3"/>
        <v>4.5329670329670328E-2</v>
      </c>
    </row>
    <row r="49" spans="1:6" ht="14.25" customHeight="1" x14ac:dyDescent="0.2">
      <c r="A49" s="20">
        <v>14</v>
      </c>
      <c r="B49" s="184" t="s">
        <v>469</v>
      </c>
      <c r="C49" s="185"/>
      <c r="D49" s="15">
        <f>IF(F3="1",SUMIF(Data!A:A,'37'!$A$2,Data!DH:DH),0)</f>
        <v>111184</v>
      </c>
      <c r="E49" s="18">
        <f>IF(F3="1",SUMIF(Data!$A:$A,'37'!$A$2,Data!JB:JB),0)</f>
        <v>58760</v>
      </c>
      <c r="F49" s="22">
        <f t="shared" si="3"/>
        <v>0.52849330838969633</v>
      </c>
    </row>
    <row r="50" spans="1:6" x14ac:dyDescent="0.2">
      <c r="A50" s="20">
        <v>15</v>
      </c>
      <c r="B50" s="184" t="s">
        <v>13</v>
      </c>
      <c r="C50" s="185"/>
      <c r="D50" s="15">
        <f>IF(F3="1",SUMIF(Data!A:A,'37'!$A$2,Data!DI:DI),0)</f>
        <v>0</v>
      </c>
      <c r="E50" s="18">
        <f>IF(F3="1",SUMIF(Data!$A:$A,'37'!$A$2,Data!JC:JC),0)</f>
        <v>0</v>
      </c>
      <c r="F50" s="22" t="str">
        <f t="shared" si="3"/>
        <v/>
      </c>
    </row>
    <row r="51" spans="1:6" x14ac:dyDescent="0.2">
      <c r="A51" s="20">
        <v>16</v>
      </c>
      <c r="B51" s="184" t="s">
        <v>14</v>
      </c>
      <c r="C51" s="185"/>
      <c r="D51" s="15">
        <f>IF(F3="1",SUMIF(Data!A:A,'37'!$A$2,Data!DJ:DJ),0)</f>
        <v>155592</v>
      </c>
      <c r="E51" s="18">
        <f>IF(F3="1",SUMIF(Data!$A:$A,'37'!$A$2,Data!JD:JD),0)</f>
        <v>53261</v>
      </c>
      <c r="F51" s="22">
        <f t="shared" si="3"/>
        <v>0.34231194405882048</v>
      </c>
    </row>
    <row r="52" spans="1:6" x14ac:dyDescent="0.2">
      <c r="A52" s="20">
        <v>17</v>
      </c>
      <c r="B52" s="184" t="s">
        <v>15</v>
      </c>
      <c r="C52" s="185"/>
      <c r="D52" s="15">
        <f>IF(F3="1",SUMIF(Data!A:A,'37'!$A$2,Data!DK:DK),0)</f>
        <v>20096</v>
      </c>
      <c r="E52" s="18">
        <f>IF(F3="1",SUMIF(Data!$A:$A,'37'!$A$2,Data!JE:JE),0)</f>
        <v>25236</v>
      </c>
      <c r="F52" s="22">
        <f t="shared" si="3"/>
        <v>1.2557722929936306</v>
      </c>
    </row>
    <row r="53" spans="1:6" x14ac:dyDescent="0.2">
      <c r="A53" s="20">
        <v>18</v>
      </c>
      <c r="B53" s="184" t="s">
        <v>16</v>
      </c>
      <c r="C53" s="185"/>
      <c r="D53" s="15">
        <f>IF(F3="1",SUMIF(Data!A:A,'37'!$A$2,Data!DL:DL),0)</f>
        <v>203472</v>
      </c>
      <c r="E53" s="18">
        <f>IF(F3="1",SUMIF(Data!$A:$A,'37'!$A$2,Data!JF:JF),0)</f>
        <v>51741</v>
      </c>
      <c r="F53" s="22">
        <f t="shared" si="3"/>
        <v>0.25429051663128094</v>
      </c>
    </row>
    <row r="54" spans="1:6" x14ac:dyDescent="0.2">
      <c r="A54" s="20">
        <v>19</v>
      </c>
      <c r="B54" s="184" t="s">
        <v>17</v>
      </c>
      <c r="C54" s="185"/>
      <c r="D54" s="15">
        <f>IF(F3="1",SUMIF(Data!A:A,'37'!$A$2,Data!DM:DM),0)</f>
        <v>506648</v>
      </c>
      <c r="E54" s="18">
        <f>IF(F3="1",SUMIF(Data!$A:$A,'37'!$A$2,Data!JG:JG),0)</f>
        <v>36856</v>
      </c>
      <c r="F54" s="22">
        <f t="shared" si="3"/>
        <v>7.2744785334196524E-2</v>
      </c>
    </row>
    <row r="55" spans="1:6" x14ac:dyDescent="0.2">
      <c r="A55" s="20">
        <v>20</v>
      </c>
      <c r="B55" s="184" t="s">
        <v>18</v>
      </c>
      <c r="C55" s="185"/>
      <c r="D55" s="15">
        <f>IF(F3="1",SUMIF(Data!A:A,'37'!$A$2,Data!DN:DN),0)</f>
        <v>64816</v>
      </c>
      <c r="E55" s="18">
        <f>IF(F3="1",SUMIF(Data!$A:$A,'37'!$A$2,Data!JH:JH),0)</f>
        <v>19554</v>
      </c>
      <c r="F55" s="22">
        <f t="shared" si="3"/>
        <v>0.30168476919279191</v>
      </c>
    </row>
    <row r="56" spans="1:6" ht="14.25" customHeight="1" x14ac:dyDescent="0.2">
      <c r="A56" s="20">
        <v>21</v>
      </c>
      <c r="B56" s="184" t="s">
        <v>466</v>
      </c>
      <c r="C56" s="185"/>
      <c r="D56" s="15">
        <f>IF(F3="1",SUMIF(Data!A:A,'37'!$A$2,Data!DO:DO),0)</f>
        <v>36764</v>
      </c>
      <c r="E56" s="18">
        <f>IF(F3="1",SUMIF(Data!$A:$A,'37'!$A$2,Data!JI:JI),0)</f>
        <v>34340</v>
      </c>
      <c r="F56" s="22">
        <f t="shared" si="3"/>
        <v>0.93406593406593408</v>
      </c>
    </row>
    <row r="57" spans="1:6" x14ac:dyDescent="0.2">
      <c r="A57" s="20">
        <v>22</v>
      </c>
      <c r="B57" s="184" t="s">
        <v>19</v>
      </c>
      <c r="C57" s="185"/>
      <c r="D57" s="15">
        <f>IF(F3="1",SUMIF(Data!A:A,'37'!$A$2,Data!DP:DP),0)</f>
        <v>6496</v>
      </c>
      <c r="E57" s="18">
        <f>IF(F3="1",SUMIF(Data!$A:$A,'37'!$A$2,Data!JJ:JJ),0)</f>
        <v>21050</v>
      </c>
      <c r="F57" s="22">
        <f t="shared" si="3"/>
        <v>3.2404556650246303</v>
      </c>
    </row>
    <row r="58" spans="1:6" x14ac:dyDescent="0.2">
      <c r="A58" s="20">
        <v>23</v>
      </c>
      <c r="B58" s="184" t="s">
        <v>20</v>
      </c>
      <c r="C58" s="185"/>
      <c r="D58" s="15">
        <f>IF(F3="1",SUMIF(Data!A:A,'37'!$A$2,Data!DQ:DQ),0)</f>
        <v>108240</v>
      </c>
      <c r="E58" s="18">
        <f>IF(F3="1",SUMIF(Data!$A:$A,'37'!$A$2,Data!JK:JK),0)</f>
        <v>56119</v>
      </c>
      <c r="F58" s="22">
        <f t="shared" si="3"/>
        <v>0.51846821877309679</v>
      </c>
    </row>
    <row r="59" spans="1:6" x14ac:dyDescent="0.2">
      <c r="A59" s="20">
        <v>24</v>
      </c>
      <c r="B59" s="184" t="s">
        <v>21</v>
      </c>
      <c r="C59" s="185"/>
      <c r="D59" s="15">
        <f>IF(F3="1",SUMIF(Data!A:A,'37'!$A$2,Data!DR:DR),0)</f>
        <v>232440</v>
      </c>
      <c r="E59" s="18">
        <f>IF(F3="1",SUMIF(Data!$A:$A,'37'!$A$2,Data!JL:JL),0)</f>
        <v>6514</v>
      </c>
      <c r="F59" s="22">
        <f t="shared" si="3"/>
        <v>2.8024436413698159E-2</v>
      </c>
    </row>
    <row r="60" spans="1:6" x14ac:dyDescent="0.2">
      <c r="A60" s="20">
        <v>25</v>
      </c>
      <c r="B60" s="184" t="s">
        <v>22</v>
      </c>
      <c r="C60" s="185"/>
      <c r="D60" s="15">
        <f>IF(F3="1",SUMIF(Data!A:A,'37'!$A$2,Data!DS:DS),0)</f>
        <v>801232</v>
      </c>
      <c r="E60" s="18">
        <f>IF(F3="1",SUMIF(Data!$A:$A,'37'!$A$2,Data!JM:JM),0)</f>
        <v>72217</v>
      </c>
      <c r="F60" s="22">
        <f t="shared" si="3"/>
        <v>9.0132446033109007E-2</v>
      </c>
    </row>
    <row r="61" spans="1:6" x14ac:dyDescent="0.2">
      <c r="A61" s="20">
        <v>26</v>
      </c>
      <c r="B61" s="184" t="s">
        <v>23</v>
      </c>
      <c r="C61" s="185"/>
      <c r="D61" s="15">
        <f>IF(F3="1",SUMIF(Data!A:A,'37'!$A$2,Data!DT:DT),0)</f>
        <v>289510</v>
      </c>
      <c r="E61" s="18">
        <f>IF(F3="1",SUMIF(Data!$A:$A,'37'!$A$2,Data!JN:JN),0)</f>
        <v>123259</v>
      </c>
      <c r="F61" s="22">
        <f t="shared" si="3"/>
        <v>0.42575040585817414</v>
      </c>
    </row>
    <row r="62" spans="1:6" x14ac:dyDescent="0.2">
      <c r="A62" s="20">
        <v>28</v>
      </c>
      <c r="B62" s="184" t="s">
        <v>24</v>
      </c>
      <c r="C62" s="185"/>
      <c r="D62" s="15">
        <f>IF(F3="1",SUMIF(Data!A:A,'37'!$A$2,Data!DV:DV),0)</f>
        <v>0</v>
      </c>
      <c r="E62" s="18">
        <f>IF(F3="1",SUMIF(Data!$A:$A,'37'!$A$2,Data!JP:JP),0)</f>
        <v>0</v>
      </c>
      <c r="F62" s="22" t="str">
        <f t="shared" si="3"/>
        <v/>
      </c>
    </row>
    <row r="63" spans="1:6" ht="15.75" customHeight="1" thickBot="1" x14ac:dyDescent="0.25">
      <c r="A63" s="23">
        <v>29</v>
      </c>
      <c r="B63" s="186" t="s">
        <v>25</v>
      </c>
      <c r="C63" s="187"/>
      <c r="D63" s="24">
        <f>IF(F3="1",SUMIF(Data!A:A,'37'!$A$2,Data!DW:DW),0)</f>
        <v>0</v>
      </c>
      <c r="E63" s="25">
        <f>IF(F3="1",SUMIF(Data!$A:$A,'37'!$A$2,Data!JQ:JQ),0)</f>
        <v>0</v>
      </c>
      <c r="F63" s="26" t="str">
        <f t="shared" si="3"/>
        <v/>
      </c>
    </row>
    <row r="64" spans="1:6" x14ac:dyDescent="0.2">
      <c r="B64" s="31" t="s">
        <v>35</v>
      </c>
      <c r="C64" s="31"/>
      <c r="D64" s="61">
        <f>SUM(D36:D63)</f>
        <v>4415370</v>
      </c>
      <c r="E64" s="32">
        <f>SUM(E36:E63)</f>
        <v>1304433</v>
      </c>
      <c r="F64" s="33">
        <f t="shared" si="3"/>
        <v>0.29543005455941407</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26768</v>
      </c>
      <c r="E67" s="16">
        <f>IF(F3="1",SUMIF(Data!A:A,'37'!$A$2,Data!DY:DY),0)</f>
        <v>277132</v>
      </c>
      <c r="F67" s="21">
        <f>IFERROR(E67/D67,"")</f>
        <v>10.353108188882247</v>
      </c>
    </row>
    <row r="68" spans="1:6" x14ac:dyDescent="0.2">
      <c r="A68" s="20">
        <v>2</v>
      </c>
      <c r="B68" s="184" t="s">
        <v>1</v>
      </c>
      <c r="C68" s="185"/>
      <c r="D68" s="15">
        <f t="shared" ref="D68:D94" si="4">D37</f>
        <v>71144</v>
      </c>
      <c r="E68" s="18">
        <f>IF(F3="1",SUMIF(Data!A:A,'37'!$A$2,Data!DZ:DZ),0)</f>
        <v>191798</v>
      </c>
      <c r="F68" s="22">
        <f t="shared" ref="F68:F95" si="5">IFERROR(E68/D68,"")</f>
        <v>2.695912515461599</v>
      </c>
    </row>
    <row r="69" spans="1:6" ht="14.25" customHeight="1" x14ac:dyDescent="0.2">
      <c r="A69" s="20">
        <v>3</v>
      </c>
      <c r="B69" s="184" t="s">
        <v>2</v>
      </c>
      <c r="C69" s="185"/>
      <c r="D69" s="15">
        <f t="shared" si="4"/>
        <v>481168</v>
      </c>
      <c r="E69" s="18">
        <f>IF(F3="1",SUMIF(Data!A:A,'37'!$A$2,Data!EA:EA),0)</f>
        <v>1343705</v>
      </c>
      <c r="F69" s="22">
        <f t="shared" si="5"/>
        <v>2.7925901140557974</v>
      </c>
    </row>
    <row r="70" spans="1:6" ht="14.25" customHeight="1" x14ac:dyDescent="0.2">
      <c r="A70" s="20">
        <v>4</v>
      </c>
      <c r="B70" s="184" t="s">
        <v>3</v>
      </c>
      <c r="C70" s="185"/>
      <c r="D70" s="15">
        <f t="shared" si="4"/>
        <v>165871</v>
      </c>
      <c r="E70" s="18">
        <f>IF(F3="1",SUMIF(Data!A:A,'37'!$A$2,Data!EB:EB),0)</f>
        <v>598216</v>
      </c>
      <c r="F70" s="22">
        <f t="shared" si="5"/>
        <v>3.6065134954271691</v>
      </c>
    </row>
    <row r="71" spans="1:6" x14ac:dyDescent="0.2">
      <c r="A71" s="20">
        <v>5</v>
      </c>
      <c r="B71" s="184" t="s">
        <v>4</v>
      </c>
      <c r="C71" s="185"/>
      <c r="D71" s="15">
        <f t="shared" si="4"/>
        <v>1296</v>
      </c>
      <c r="E71" s="18">
        <f>IF(F3="1",SUMIF(Data!A:A,'37'!$A$2,Data!EC:EC),0)</f>
        <v>2863</v>
      </c>
      <c r="F71" s="22">
        <f t="shared" si="5"/>
        <v>2.2091049382716048</v>
      </c>
    </row>
    <row r="72" spans="1:6" x14ac:dyDescent="0.2">
      <c r="A72" s="20">
        <v>6</v>
      </c>
      <c r="B72" s="184" t="s">
        <v>5</v>
      </c>
      <c r="C72" s="185"/>
      <c r="D72" s="15">
        <f t="shared" si="4"/>
        <v>126230</v>
      </c>
      <c r="E72" s="18">
        <f>IF(F3="1",SUMIF(Data!A:A,'37'!$A$2,Data!ED:ED),0)</f>
        <v>242693</v>
      </c>
      <c r="F72" s="22">
        <f t="shared" si="5"/>
        <v>1.9226253663946764</v>
      </c>
    </row>
    <row r="73" spans="1:6" x14ac:dyDescent="0.2">
      <c r="A73" s="20">
        <v>7</v>
      </c>
      <c r="B73" s="184" t="s">
        <v>6</v>
      </c>
      <c r="C73" s="185"/>
      <c r="D73" s="15">
        <f t="shared" si="4"/>
        <v>203559</v>
      </c>
      <c r="E73" s="18">
        <f>IF(F3="1",SUMIF(Data!A:A,'37'!$A$2,Data!EE:EE),0)</f>
        <v>768937</v>
      </c>
      <c r="F73" s="22">
        <f t="shared" si="5"/>
        <v>3.7774650101444789</v>
      </c>
    </row>
    <row r="74" spans="1:6" x14ac:dyDescent="0.2">
      <c r="A74" s="20">
        <v>8</v>
      </c>
      <c r="B74" s="184" t="s">
        <v>7</v>
      </c>
      <c r="C74" s="185"/>
      <c r="D74" s="15">
        <f t="shared" si="4"/>
        <v>12132</v>
      </c>
      <c r="E74" s="18">
        <f>IF(F3="1",SUMIF(Data!A:A,'37'!$A$2,Data!EF:EF),0)</f>
        <v>87551</v>
      </c>
      <c r="F74" s="22">
        <f t="shared" si="5"/>
        <v>7.2165347840422021</v>
      </c>
    </row>
    <row r="75" spans="1:6" x14ac:dyDescent="0.2">
      <c r="A75" s="20">
        <v>9</v>
      </c>
      <c r="B75" s="184" t="s">
        <v>8</v>
      </c>
      <c r="C75" s="185"/>
      <c r="D75" s="15">
        <f t="shared" si="4"/>
        <v>161312</v>
      </c>
      <c r="E75" s="18">
        <f>IF(F3="1",SUMIF(Data!A:A,'37'!$A$2,Data!EG:EG),0)</f>
        <v>432847</v>
      </c>
      <c r="F75" s="22">
        <f t="shared" si="5"/>
        <v>2.6832907657210869</v>
      </c>
    </row>
    <row r="76" spans="1:6" x14ac:dyDescent="0.2">
      <c r="A76" s="20">
        <v>10</v>
      </c>
      <c r="B76" s="184" t="s">
        <v>9</v>
      </c>
      <c r="C76" s="185"/>
      <c r="D76" s="15">
        <f t="shared" si="4"/>
        <v>2304</v>
      </c>
      <c r="E76" s="18">
        <f>IF(F3="1",SUMIF(Data!A:A,'37'!$A$2,Data!EH:EH),0)</f>
        <v>97216</v>
      </c>
      <c r="F76" s="22">
        <f t="shared" si="5"/>
        <v>42.194444444444443</v>
      </c>
    </row>
    <row r="77" spans="1:6" x14ac:dyDescent="0.2">
      <c r="A77" s="20">
        <v>11</v>
      </c>
      <c r="B77" s="184" t="s">
        <v>10</v>
      </c>
      <c r="C77" s="185"/>
      <c r="D77" s="15">
        <f t="shared" si="4"/>
        <v>43064</v>
      </c>
      <c r="E77" s="18">
        <f>IF(F3="1",SUMIF(Data!A:A,'37'!$A$2,Data!EI:EI),0)</f>
        <v>186506</v>
      </c>
      <c r="F77" s="22">
        <f t="shared" si="5"/>
        <v>4.3309028422812554</v>
      </c>
    </row>
    <row r="78" spans="1:6" ht="14.25" customHeight="1" x14ac:dyDescent="0.2">
      <c r="A78" s="20">
        <v>12</v>
      </c>
      <c r="B78" s="184" t="s">
        <v>11</v>
      </c>
      <c r="C78" s="185"/>
      <c r="D78" s="15">
        <f t="shared" si="4"/>
        <v>439888</v>
      </c>
      <c r="E78" s="18">
        <f>IF(F3="1",SUMIF(Data!A:A,'37'!$A$2,Data!EJ:EJ),0)</f>
        <v>1708471</v>
      </c>
      <c r="F78" s="22">
        <f t="shared" si="5"/>
        <v>3.8838772596660966</v>
      </c>
    </row>
    <row r="79" spans="1:6" x14ac:dyDescent="0.2">
      <c r="A79" s="20">
        <v>13</v>
      </c>
      <c r="B79" s="184" t="s">
        <v>12</v>
      </c>
      <c r="C79" s="185"/>
      <c r="D79" s="15">
        <f t="shared" si="4"/>
        <v>144144</v>
      </c>
      <c r="E79" s="18">
        <f>IF(F3="1",SUMIF(Data!A:A,'37'!$A$2,Data!EK:EK),0)</f>
        <v>438856</v>
      </c>
      <c r="F79" s="22">
        <f t="shared" si="5"/>
        <v>3.0445665445665444</v>
      </c>
    </row>
    <row r="80" spans="1:6" ht="14.25" customHeight="1" x14ac:dyDescent="0.2">
      <c r="A80" s="20">
        <v>14</v>
      </c>
      <c r="B80" s="184" t="s">
        <v>469</v>
      </c>
      <c r="C80" s="185"/>
      <c r="D80" s="15">
        <f t="shared" si="4"/>
        <v>111184</v>
      </c>
      <c r="E80" s="18">
        <f>IF(F3="1",SUMIF(Data!A:A,'37'!$A$2,Data!EL:EL),0)</f>
        <v>388836</v>
      </c>
      <c r="F80" s="22">
        <f t="shared" si="5"/>
        <v>3.4972298172398908</v>
      </c>
    </row>
    <row r="81" spans="1:6" x14ac:dyDescent="0.2">
      <c r="A81" s="20">
        <v>15</v>
      </c>
      <c r="B81" s="184" t="s">
        <v>13</v>
      </c>
      <c r="C81" s="185"/>
      <c r="D81" s="15">
        <f t="shared" si="4"/>
        <v>0</v>
      </c>
      <c r="E81" s="18">
        <f>IF(F3="1",SUMIF(Data!A:A,'37'!$A$2,Data!EM:EM),0)</f>
        <v>0</v>
      </c>
      <c r="F81" s="22" t="str">
        <f t="shared" si="5"/>
        <v/>
      </c>
    </row>
    <row r="82" spans="1:6" x14ac:dyDescent="0.2">
      <c r="A82" s="20">
        <v>16</v>
      </c>
      <c r="B82" s="184" t="s">
        <v>14</v>
      </c>
      <c r="C82" s="185"/>
      <c r="D82" s="15">
        <f t="shared" si="4"/>
        <v>155592</v>
      </c>
      <c r="E82" s="18">
        <f>IF(F3="1",SUMIF(Data!A:A,'37'!$A$2,Data!EN:EN),0)</f>
        <v>950378</v>
      </c>
      <c r="F82" s="22">
        <f t="shared" si="5"/>
        <v>6.1081418067766977</v>
      </c>
    </row>
    <row r="83" spans="1:6" x14ac:dyDescent="0.2">
      <c r="A83" s="20">
        <v>17</v>
      </c>
      <c r="B83" s="184" t="s">
        <v>15</v>
      </c>
      <c r="C83" s="185"/>
      <c r="D83" s="15">
        <f t="shared" si="4"/>
        <v>20096</v>
      </c>
      <c r="E83" s="18">
        <f>IF(F3="1",SUMIF(Data!A:A,'37'!$A$2,Data!EO:EO),0)</f>
        <v>94733</v>
      </c>
      <c r="F83" s="22">
        <f t="shared" si="5"/>
        <v>4.7140226910828025</v>
      </c>
    </row>
    <row r="84" spans="1:6" x14ac:dyDescent="0.2">
      <c r="A84" s="20">
        <v>18</v>
      </c>
      <c r="B84" s="184" t="s">
        <v>16</v>
      </c>
      <c r="C84" s="185"/>
      <c r="D84" s="15">
        <f t="shared" si="4"/>
        <v>203472</v>
      </c>
      <c r="E84" s="18">
        <f>IF(F3="1",SUMIF(Data!A:A,'37'!$A$2,Data!EP:EP),0)</f>
        <v>706383</v>
      </c>
      <c r="F84" s="22">
        <f t="shared" si="5"/>
        <v>3.4716472045293703</v>
      </c>
    </row>
    <row r="85" spans="1:6" x14ac:dyDescent="0.2">
      <c r="A85" s="20">
        <v>19</v>
      </c>
      <c r="B85" s="184" t="s">
        <v>17</v>
      </c>
      <c r="C85" s="185"/>
      <c r="D85" s="15">
        <f t="shared" si="4"/>
        <v>506648</v>
      </c>
      <c r="E85" s="18">
        <f>IF(F3="1",SUMIF(Data!A:A,'37'!$A$2,Data!EQ:EQ),0)</f>
        <v>1386906</v>
      </c>
      <c r="F85" s="22">
        <f t="shared" si="5"/>
        <v>2.7374153258277936</v>
      </c>
    </row>
    <row r="86" spans="1:6" x14ac:dyDescent="0.2">
      <c r="A86" s="20">
        <v>20</v>
      </c>
      <c r="B86" s="184" t="s">
        <v>18</v>
      </c>
      <c r="C86" s="185"/>
      <c r="D86" s="15">
        <f t="shared" si="4"/>
        <v>64816</v>
      </c>
      <c r="E86" s="18">
        <f>IF(F3="1",SUMIF(Data!A:A,'37'!$A$2,Data!ER:ER),0)</f>
        <v>236315</v>
      </c>
      <c r="F86" s="22">
        <f t="shared" si="5"/>
        <v>3.6459361885954085</v>
      </c>
    </row>
    <row r="87" spans="1:6" ht="14.25" customHeight="1" x14ac:dyDescent="0.2">
      <c r="A87" s="20">
        <v>21</v>
      </c>
      <c r="B87" s="184" t="s">
        <v>466</v>
      </c>
      <c r="C87" s="185"/>
      <c r="D87" s="15">
        <f t="shared" si="4"/>
        <v>36764</v>
      </c>
      <c r="E87" s="18">
        <f>IF(F3="1",SUMIF(Data!A:A,'37'!$A$2,Data!ES:ES),0)</f>
        <v>93991</v>
      </c>
      <c r="F87" s="22">
        <f t="shared" si="5"/>
        <v>2.5566042868023064</v>
      </c>
    </row>
    <row r="88" spans="1:6" x14ac:dyDescent="0.2">
      <c r="A88" s="20">
        <v>22</v>
      </c>
      <c r="B88" s="184" t="s">
        <v>19</v>
      </c>
      <c r="C88" s="185"/>
      <c r="D88" s="15">
        <f t="shared" si="4"/>
        <v>6496</v>
      </c>
      <c r="E88" s="18">
        <f>IF(F3="1",SUMIF(Data!A:A,'37'!$A$2,Data!ET:ET),0)</f>
        <v>88842</v>
      </c>
      <c r="F88" s="22">
        <f t="shared" si="5"/>
        <v>13.676416256157635</v>
      </c>
    </row>
    <row r="89" spans="1:6" x14ac:dyDescent="0.2">
      <c r="A89" s="20">
        <v>23</v>
      </c>
      <c r="B89" s="184" t="s">
        <v>20</v>
      </c>
      <c r="C89" s="185"/>
      <c r="D89" s="15">
        <f t="shared" si="4"/>
        <v>108240</v>
      </c>
      <c r="E89" s="18">
        <f>IF(F3="1",SUMIF(Data!A:A,'37'!$A$2,Data!EU:EU),0)</f>
        <v>865902</v>
      </c>
      <c r="F89" s="22">
        <f t="shared" si="5"/>
        <v>7.9998337028824835</v>
      </c>
    </row>
    <row r="90" spans="1:6" x14ac:dyDescent="0.2">
      <c r="A90" s="20">
        <v>24</v>
      </c>
      <c r="B90" s="184" t="s">
        <v>21</v>
      </c>
      <c r="C90" s="185"/>
      <c r="D90" s="15">
        <f t="shared" si="4"/>
        <v>232440</v>
      </c>
      <c r="E90" s="18">
        <f>IF(F3="1",SUMIF(Data!A:A,'37'!$A$2,Data!EV:EV),0)</f>
        <v>302017</v>
      </c>
      <c r="F90" s="22">
        <f t="shared" si="5"/>
        <v>1.2993331612459129</v>
      </c>
    </row>
    <row r="91" spans="1:6" x14ac:dyDescent="0.2">
      <c r="A91" s="20">
        <v>25</v>
      </c>
      <c r="B91" s="184" t="s">
        <v>22</v>
      </c>
      <c r="C91" s="185"/>
      <c r="D91" s="15">
        <f t="shared" si="4"/>
        <v>801232</v>
      </c>
      <c r="E91" s="18">
        <f>IF(F3="1",SUMIF(Data!A:A,'37'!$A$2,Data!EW:EW),0)</f>
        <v>2239609</v>
      </c>
      <c r="F91" s="22">
        <f t="shared" si="5"/>
        <v>2.7952066317870479</v>
      </c>
    </row>
    <row r="92" spans="1:6" x14ac:dyDescent="0.2">
      <c r="A92" s="20">
        <v>26</v>
      </c>
      <c r="B92" s="184" t="s">
        <v>23</v>
      </c>
      <c r="C92" s="185"/>
      <c r="D92" s="15">
        <f t="shared" si="4"/>
        <v>289510</v>
      </c>
      <c r="E92" s="18">
        <f>IF(F3="1",SUMIF(Data!A:A,'37'!$A$2,Data!EX:EX),0)</f>
        <v>2182294</v>
      </c>
      <c r="F92" s="22">
        <f t="shared" si="5"/>
        <v>7.5378881558495392</v>
      </c>
    </row>
    <row r="93" spans="1:6" x14ac:dyDescent="0.2">
      <c r="A93" s="20">
        <v>28</v>
      </c>
      <c r="B93" s="184" t="s">
        <v>24</v>
      </c>
      <c r="C93" s="185"/>
      <c r="D93" s="15">
        <f t="shared" si="4"/>
        <v>0</v>
      </c>
      <c r="E93" s="18">
        <f>IF(F3="1",SUMIF(Data!A:A,'37'!$A$2,Data!EZ:EZ),0)</f>
        <v>0</v>
      </c>
      <c r="F93" s="22" t="str">
        <f t="shared" si="5"/>
        <v/>
      </c>
    </row>
    <row r="94" spans="1:6" ht="15.75" customHeight="1" thickBot="1" x14ac:dyDescent="0.25">
      <c r="A94" s="23">
        <v>29</v>
      </c>
      <c r="B94" s="186" t="s">
        <v>25</v>
      </c>
      <c r="C94" s="187"/>
      <c r="D94" s="24">
        <f t="shared" si="4"/>
        <v>0</v>
      </c>
      <c r="E94" s="25">
        <f>IF(F3="1",SUMIF(Data!A:A,'37'!$A$2,Data!FA:FA),0)</f>
        <v>0</v>
      </c>
      <c r="F94" s="26" t="str">
        <f t="shared" si="5"/>
        <v/>
      </c>
    </row>
    <row r="95" spans="1:6" x14ac:dyDescent="0.2">
      <c r="B95" s="31" t="s">
        <v>35</v>
      </c>
      <c r="C95" s="31"/>
      <c r="D95" s="61">
        <f>SUM(D67:D94)</f>
        <v>4415370</v>
      </c>
      <c r="E95" s="32">
        <f>SUM(E67:E94)</f>
        <v>15912997</v>
      </c>
      <c r="F95" s="33">
        <f t="shared" si="5"/>
        <v>3.6040007972151824</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IF(F3="1",SUMIF(Data!A:A,'37'!$A$2,Data!AH:AH),0)</f>
        <v>3378691</v>
      </c>
      <c r="F98" s="21">
        <f t="shared" ref="F98:F105" si="6">IFERROR(E98/$D$95,0)</f>
        <v>0.76521129599557913</v>
      </c>
    </row>
    <row r="99" spans="2:6" x14ac:dyDescent="0.2">
      <c r="B99" s="190" t="s">
        <v>31</v>
      </c>
      <c r="C99" s="191"/>
      <c r="D99" s="37"/>
      <c r="E99" s="18">
        <f>IF(F3="1",SUMIF(Data!A:A,'37'!$A$2,Data!AI:AI),0)</f>
        <v>3618245</v>
      </c>
      <c r="F99" s="22">
        <f t="shared" si="6"/>
        <v>0.81946586582777892</v>
      </c>
    </row>
    <row r="100" spans="2:6" x14ac:dyDescent="0.2">
      <c r="B100" s="190" t="s">
        <v>32</v>
      </c>
      <c r="C100" s="191"/>
      <c r="D100" s="37"/>
      <c r="E100" s="18">
        <f>IF(F3="1",SUMIF(Data!A:A,'37'!$A$2,Data!AJ:AJ),0)</f>
        <v>1818219</v>
      </c>
      <c r="F100" s="22">
        <f t="shared" si="6"/>
        <v>0.4117931226601621</v>
      </c>
    </row>
    <row r="101" spans="2:6" x14ac:dyDescent="0.2">
      <c r="B101" s="190" t="s">
        <v>28</v>
      </c>
      <c r="C101" s="191"/>
      <c r="D101" s="37"/>
      <c r="E101" s="18">
        <f>IF(F3="1",SUMIF(Data!A:A,'37'!$A$2,Data!AK:AK),0)</f>
        <v>0</v>
      </c>
      <c r="F101" s="22">
        <f t="shared" si="6"/>
        <v>0</v>
      </c>
    </row>
    <row r="102" spans="2:6" x14ac:dyDescent="0.2">
      <c r="B102" s="190" t="s">
        <v>33</v>
      </c>
      <c r="C102" s="191"/>
      <c r="D102" s="37"/>
      <c r="E102" s="18">
        <f>IF(F3="1",SUMIF(Data!A:A,'37'!$A$2,Data!AL:AL),0)</f>
        <v>87489</v>
      </c>
      <c r="F102" s="22">
        <f t="shared" si="6"/>
        <v>1.9814647470087446E-2</v>
      </c>
    </row>
    <row r="103" spans="2:6" x14ac:dyDescent="0.2">
      <c r="B103" s="192" t="s">
        <v>34</v>
      </c>
      <c r="C103" s="193"/>
      <c r="D103" s="37"/>
      <c r="E103" s="18">
        <f>IF(F3="1",SUMIF(Data!A:A,'37'!$A$2,Data!AM:AM),0)</f>
        <v>837464</v>
      </c>
      <c r="F103" s="22">
        <f t="shared" si="6"/>
        <v>0.18967017486643248</v>
      </c>
    </row>
    <row r="104" spans="2:6" ht="15.75" customHeight="1" thickBot="1" x14ac:dyDescent="0.25">
      <c r="B104" s="182" t="s">
        <v>29</v>
      </c>
      <c r="C104" s="183"/>
      <c r="D104" s="38"/>
      <c r="E104" s="25">
        <f>IF(F3="1",SUMIF(Data!A:A,'37'!$A$2,Data!Q:Q),0)</f>
        <v>1411567</v>
      </c>
      <c r="F104" s="26">
        <f t="shared" si="6"/>
        <v>0.31969393278479491</v>
      </c>
    </row>
    <row r="105" spans="2:6" x14ac:dyDescent="0.2">
      <c r="B105" s="31" t="s">
        <v>35</v>
      </c>
      <c r="C105" s="31"/>
      <c r="D105" s="35">
        <f>D95</f>
        <v>4415370</v>
      </c>
      <c r="E105" s="32">
        <f>SUM(E98:E104)</f>
        <v>11151675</v>
      </c>
      <c r="F105" s="33">
        <f t="shared" si="6"/>
        <v>2.525649039604835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15912997</v>
      </c>
      <c r="D109" s="16">
        <f>IF(F3="1",SUMIF(Data!$A:$A,$A$2,Data!HJ:HJ),0)</f>
        <v>0</v>
      </c>
      <c r="E109" s="16">
        <f>IF(F3="1",SUMIF(Data!$A:$A,$A$2,Data!IN:IN),0)</f>
        <v>0</v>
      </c>
      <c r="F109" s="48">
        <f>SUM(C109:E109)</f>
        <v>15912997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87489</v>
      </c>
      <c r="F116" s="49">
        <f t="shared" si="7"/>
        <v>87489</v>
      </c>
    </row>
    <row r="117" spans="1:6" ht="15" thickBot="1" x14ac:dyDescent="0.25">
      <c r="B117" s="44" t="s">
        <v>941</v>
      </c>
      <c r="C117" s="53"/>
      <c r="D117" s="53">
        <f>IF(F3="1",SUMIF(Data!A:A,$A$2,Data!Q:Q),0)</f>
        <v>1411567</v>
      </c>
      <c r="E117" s="53"/>
      <c r="F117" s="50">
        <f>SUM(C117:E117)</f>
        <v>1411567</v>
      </c>
    </row>
    <row r="118" spans="1:6" x14ac:dyDescent="0.2">
      <c r="B118" s="14" t="s">
        <v>35</v>
      </c>
      <c r="C118" s="5">
        <f>SUM(C109:C116)</f>
        <v>15912997</v>
      </c>
      <c r="D118" s="5">
        <f>SUM(D109:D116)</f>
        <v>0</v>
      </c>
      <c r="E118" s="5">
        <f>SUM(E109:E116)</f>
        <v>87489</v>
      </c>
      <c r="F118" s="5">
        <f>SUM(F109:F116)</f>
        <v>16000486</v>
      </c>
    </row>
    <row r="119" spans="1:6" ht="15" thickBot="1" x14ac:dyDescent="0.25"/>
    <row r="120" spans="1:6" ht="15" thickBot="1" x14ac:dyDescent="0.25">
      <c r="B120" s="57" t="s">
        <v>942</v>
      </c>
      <c r="C120" s="55"/>
      <c r="D120" s="55"/>
      <c r="E120" s="55">
        <f>IF(F3="1",SUMIF(Data!A:A,'37'!$A$2,Data!AM:AM),0)</f>
        <v>837464</v>
      </c>
      <c r="F120" s="56">
        <f>SUM(C120:E120)</f>
        <v>837464</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458</v>
      </c>
      <c r="B2" s="60" t="str">
        <f>VLOOKUP(A2,Data!A:G,7,0)</f>
        <v>South Texas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26544</v>
      </c>
      <c r="E5" s="16">
        <f>E36+E67+IFERROR($E$105/$D$105*D5,0)</f>
        <v>188146.24982056406</v>
      </c>
      <c r="F5" s="21">
        <f>IFERROR(E5/D5,"")</f>
        <v>7.0880895803407196</v>
      </c>
    </row>
    <row r="6" spans="1:6" x14ac:dyDescent="0.2">
      <c r="A6" s="20">
        <v>2</v>
      </c>
      <c r="B6" s="184" t="s">
        <v>1</v>
      </c>
      <c r="C6" s="185"/>
      <c r="D6" s="15">
        <f t="shared" ref="D6:D32" si="0">D37</f>
        <v>118832</v>
      </c>
      <c r="E6" s="18">
        <f t="shared" ref="E6:E32" si="1">E37+E68+IFERROR($E$105/$D$105*D6,0)</f>
        <v>1867736.0762009218</v>
      </c>
      <c r="F6" s="22">
        <f t="shared" ref="F6:F33" si="2">IFERROR(E6/D6,"")</f>
        <v>15.717450486408726</v>
      </c>
    </row>
    <row r="7" spans="1:6" ht="14.25" customHeight="1" x14ac:dyDescent="0.2">
      <c r="A7" s="20">
        <v>3</v>
      </c>
      <c r="B7" s="184" t="s">
        <v>2</v>
      </c>
      <c r="C7" s="185"/>
      <c r="D7" s="15">
        <f t="shared" si="0"/>
        <v>1126272</v>
      </c>
      <c r="E7" s="18">
        <f t="shared" si="1"/>
        <v>7983119.4733991222</v>
      </c>
      <c r="F7" s="22">
        <f t="shared" si="2"/>
        <v>7.0880919293022666</v>
      </c>
    </row>
    <row r="8" spans="1:6" ht="14.25" customHeight="1" x14ac:dyDescent="0.2">
      <c r="A8" s="20">
        <v>4</v>
      </c>
      <c r="B8" s="184" t="s">
        <v>3</v>
      </c>
      <c r="C8" s="185"/>
      <c r="D8" s="15">
        <f t="shared" si="0"/>
        <v>613340</v>
      </c>
      <c r="E8" s="18">
        <f t="shared" si="1"/>
        <v>3831772.8980163028</v>
      </c>
      <c r="F8" s="22">
        <f t="shared" si="2"/>
        <v>6.2473879055928245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11520</v>
      </c>
      <c r="E10" s="18">
        <f t="shared" si="1"/>
        <v>118140.30010295726</v>
      </c>
      <c r="F10" s="22">
        <f t="shared" si="2"/>
        <v>10.255234383937262</v>
      </c>
    </row>
    <row r="11" spans="1:6" x14ac:dyDescent="0.2">
      <c r="A11" s="20">
        <v>7</v>
      </c>
      <c r="B11" s="184" t="s">
        <v>6</v>
      </c>
      <c r="C11" s="185"/>
      <c r="D11" s="15">
        <f t="shared" si="0"/>
        <v>711144</v>
      </c>
      <c r="E11" s="18">
        <f t="shared" si="1"/>
        <v>5178283.8132306803</v>
      </c>
      <c r="F11" s="22">
        <f t="shared" si="2"/>
        <v>7.2816248372069232</v>
      </c>
    </row>
    <row r="12" spans="1:6" x14ac:dyDescent="0.2">
      <c r="A12" s="20">
        <v>8</v>
      </c>
      <c r="B12" s="184" t="s">
        <v>7</v>
      </c>
      <c r="C12" s="185"/>
      <c r="D12" s="15">
        <f t="shared" si="0"/>
        <v>36286</v>
      </c>
      <c r="E12" s="18">
        <f t="shared" si="1"/>
        <v>686273.5136749919</v>
      </c>
      <c r="F12" s="22">
        <f t="shared" si="2"/>
        <v>18.912900668990574</v>
      </c>
    </row>
    <row r="13" spans="1:6" x14ac:dyDescent="0.2">
      <c r="A13" s="20">
        <v>9</v>
      </c>
      <c r="B13" s="184" t="s">
        <v>8</v>
      </c>
      <c r="C13" s="185"/>
      <c r="D13" s="15">
        <f t="shared" si="0"/>
        <v>251416</v>
      </c>
      <c r="E13" s="18">
        <f t="shared" si="1"/>
        <v>2352338.3731497489</v>
      </c>
      <c r="F13" s="22">
        <f t="shared" si="2"/>
        <v>9.3563590747993324</v>
      </c>
    </row>
    <row r="14" spans="1:6" x14ac:dyDescent="0.2">
      <c r="A14" s="20">
        <v>10</v>
      </c>
      <c r="B14" s="184" t="s">
        <v>9</v>
      </c>
      <c r="C14" s="185"/>
      <c r="D14" s="15">
        <f t="shared" si="0"/>
        <v>16832</v>
      </c>
      <c r="E14" s="18">
        <f t="shared" si="1"/>
        <v>109670.96070598756</v>
      </c>
      <c r="F14" s="22">
        <f t="shared" si="2"/>
        <v>6.5156226655173217</v>
      </c>
    </row>
    <row r="15" spans="1:6" x14ac:dyDescent="0.2">
      <c r="A15" s="20">
        <v>11</v>
      </c>
      <c r="B15" s="184" t="s">
        <v>10</v>
      </c>
      <c r="C15" s="185"/>
      <c r="D15" s="15">
        <f t="shared" si="0"/>
        <v>235896</v>
      </c>
      <c r="E15" s="18">
        <f t="shared" si="1"/>
        <v>1581427.7743999311</v>
      </c>
      <c r="F15" s="22">
        <f t="shared" si="2"/>
        <v>6.703919415335279</v>
      </c>
    </row>
    <row r="16" spans="1:6" ht="14.25" customHeight="1" x14ac:dyDescent="0.2">
      <c r="A16" s="20">
        <v>12</v>
      </c>
      <c r="B16" s="184" t="s">
        <v>11</v>
      </c>
      <c r="C16" s="185"/>
      <c r="D16" s="15">
        <f t="shared" si="0"/>
        <v>1385752</v>
      </c>
      <c r="E16" s="18">
        <f t="shared" si="1"/>
        <v>13067023.656620942</v>
      </c>
      <c r="F16" s="22">
        <f t="shared" si="2"/>
        <v>9.4295542468067453</v>
      </c>
    </row>
    <row r="17" spans="1:6" x14ac:dyDescent="0.2">
      <c r="A17" s="20">
        <v>13</v>
      </c>
      <c r="B17" s="184" t="s">
        <v>12</v>
      </c>
      <c r="C17" s="185"/>
      <c r="D17" s="15">
        <f t="shared" si="0"/>
        <v>297472</v>
      </c>
      <c r="E17" s="18">
        <f t="shared" si="1"/>
        <v>2101788.9937696969</v>
      </c>
      <c r="F17" s="22">
        <f t="shared" si="2"/>
        <v>7.0655019422658167</v>
      </c>
    </row>
    <row r="18" spans="1:6" ht="14.25" customHeight="1" x14ac:dyDescent="0.2">
      <c r="A18" s="20">
        <v>14</v>
      </c>
      <c r="B18" s="184" t="s">
        <v>469</v>
      </c>
      <c r="C18" s="185"/>
      <c r="D18" s="15">
        <f t="shared" si="0"/>
        <v>310312</v>
      </c>
      <c r="E18" s="18">
        <f t="shared" si="1"/>
        <v>3429129.1824261174</v>
      </c>
      <c r="F18" s="22">
        <f t="shared" si="2"/>
        <v>11.050585160825612</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298881</v>
      </c>
      <c r="E20" s="18">
        <f t="shared" si="1"/>
        <v>4020704.2407180527</v>
      </c>
      <c r="F20" s="22">
        <f t="shared" si="2"/>
        <v>13.452525388760252</v>
      </c>
    </row>
    <row r="21" spans="1:6" x14ac:dyDescent="0.2">
      <c r="A21" s="20">
        <v>17</v>
      </c>
      <c r="B21" s="184" t="s">
        <v>15</v>
      </c>
      <c r="C21" s="185"/>
      <c r="D21" s="15">
        <f t="shared" si="0"/>
        <v>43008</v>
      </c>
      <c r="E21" s="18">
        <f t="shared" si="1"/>
        <v>556325.9870510404</v>
      </c>
      <c r="F21" s="22">
        <f t="shared" si="2"/>
        <v>12.935407064988848</v>
      </c>
    </row>
    <row r="22" spans="1:6" x14ac:dyDescent="0.2">
      <c r="A22" s="20">
        <v>18</v>
      </c>
      <c r="B22" s="184" t="s">
        <v>16</v>
      </c>
      <c r="C22" s="185"/>
      <c r="D22" s="15">
        <f t="shared" si="0"/>
        <v>289440</v>
      </c>
      <c r="E22" s="18">
        <f t="shared" si="1"/>
        <v>3346622.2900868012</v>
      </c>
      <c r="F22" s="22">
        <f t="shared" si="2"/>
        <v>11.562404263705091</v>
      </c>
    </row>
    <row r="23" spans="1:6" x14ac:dyDescent="0.2">
      <c r="A23" s="20">
        <v>19</v>
      </c>
      <c r="B23" s="184" t="s">
        <v>17</v>
      </c>
      <c r="C23" s="185"/>
      <c r="D23" s="15">
        <f t="shared" si="0"/>
        <v>1107684</v>
      </c>
      <c r="E23" s="18">
        <f t="shared" si="1"/>
        <v>7856641.9245871631</v>
      </c>
      <c r="F23" s="22">
        <f t="shared" si="2"/>
        <v>7.0928549338865263</v>
      </c>
    </row>
    <row r="24" spans="1:6" x14ac:dyDescent="0.2">
      <c r="A24" s="20">
        <v>20</v>
      </c>
      <c r="B24" s="184" t="s">
        <v>18</v>
      </c>
      <c r="C24" s="185"/>
      <c r="D24" s="15">
        <f t="shared" si="0"/>
        <v>142288</v>
      </c>
      <c r="E24" s="18">
        <f t="shared" si="1"/>
        <v>1453546.0594661096</v>
      </c>
      <c r="F24" s="22">
        <f t="shared" si="2"/>
        <v>10.215521052134472</v>
      </c>
    </row>
    <row r="25" spans="1:6" ht="14.25" customHeight="1" x14ac:dyDescent="0.2">
      <c r="A25" s="20">
        <v>21</v>
      </c>
      <c r="B25" s="184" t="s">
        <v>466</v>
      </c>
      <c r="C25" s="185"/>
      <c r="D25" s="15">
        <f t="shared" si="0"/>
        <v>70604</v>
      </c>
      <c r="E25" s="18">
        <f t="shared" si="1"/>
        <v>505306.48441572872</v>
      </c>
      <c r="F25" s="22">
        <f t="shared" si="2"/>
        <v>7.1569101526220713</v>
      </c>
    </row>
    <row r="26" spans="1:6" x14ac:dyDescent="0.2">
      <c r="A26" s="20">
        <v>22</v>
      </c>
      <c r="B26" s="184" t="s">
        <v>19</v>
      </c>
      <c r="C26" s="185"/>
      <c r="D26" s="15">
        <f t="shared" si="0"/>
        <v>115136</v>
      </c>
      <c r="E26" s="18">
        <f t="shared" si="1"/>
        <v>1099957.788251223</v>
      </c>
      <c r="F26" s="22">
        <f t="shared" si="2"/>
        <v>9.5535522186911397</v>
      </c>
    </row>
    <row r="27" spans="1:6" x14ac:dyDescent="0.2">
      <c r="A27" s="20">
        <v>23</v>
      </c>
      <c r="B27" s="184" t="s">
        <v>20</v>
      </c>
      <c r="C27" s="185"/>
      <c r="D27" s="15">
        <f t="shared" si="0"/>
        <v>79440</v>
      </c>
      <c r="E27" s="18">
        <f t="shared" si="1"/>
        <v>790242.11112664291</v>
      </c>
      <c r="F27" s="22">
        <f t="shared" si="2"/>
        <v>9.9476600091470662</v>
      </c>
    </row>
    <row r="28" spans="1:6" x14ac:dyDescent="0.2">
      <c r="A28" s="20">
        <v>24</v>
      </c>
      <c r="B28" s="184" t="s">
        <v>21</v>
      </c>
      <c r="C28" s="185"/>
      <c r="D28" s="15">
        <f t="shared" si="0"/>
        <v>115029</v>
      </c>
      <c r="E28" s="18">
        <f t="shared" si="1"/>
        <v>1039619.2450124194</v>
      </c>
      <c r="F28" s="22">
        <f t="shared" si="2"/>
        <v>9.0378882282939035</v>
      </c>
    </row>
    <row r="29" spans="1:6" x14ac:dyDescent="0.2">
      <c r="A29" s="20">
        <v>25</v>
      </c>
      <c r="B29" s="184" t="s">
        <v>22</v>
      </c>
      <c r="C29" s="185"/>
      <c r="D29" s="15">
        <f t="shared" si="0"/>
        <v>1243536</v>
      </c>
      <c r="E29" s="18">
        <f t="shared" si="1"/>
        <v>9480455.3365304749</v>
      </c>
      <c r="F29" s="22">
        <f t="shared" si="2"/>
        <v>7.6237884038182049</v>
      </c>
    </row>
    <row r="30" spans="1:6" x14ac:dyDescent="0.2">
      <c r="A30" s="20">
        <v>26</v>
      </c>
      <c r="B30" s="184" t="s">
        <v>23</v>
      </c>
      <c r="C30" s="185"/>
      <c r="D30" s="15">
        <f t="shared" si="0"/>
        <v>281312</v>
      </c>
      <c r="E30" s="18">
        <f t="shared" si="1"/>
        <v>2147230.2672363818</v>
      </c>
      <c r="F30" s="22">
        <f t="shared" si="2"/>
        <v>7.6329138722712919</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8927976</v>
      </c>
      <c r="E33" s="32">
        <f>SUM(E5:E32)</f>
        <v>74791503</v>
      </c>
      <c r="F33" s="33">
        <f t="shared" si="2"/>
        <v>8.377206995180094</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IF(F3="1",SUMIF(Data!A:A,'38'!$A$2,Data!CU:CU),0)</f>
        <v>26544</v>
      </c>
      <c r="E36" s="16">
        <f>IF(F3="1",SUMIF(Data!$A:$A,'38'!$A$2,Data!IO:IO),0)</f>
        <v>21551</v>
      </c>
      <c r="F36" s="21">
        <f t="shared" ref="F36:F64" si="3">IFERROR(E36/D36,"")</f>
        <v>0.81189722724532853</v>
      </c>
    </row>
    <row r="37" spans="1:6" x14ac:dyDescent="0.2">
      <c r="A37" s="20">
        <v>2</v>
      </c>
      <c r="B37" s="184" t="s">
        <v>1</v>
      </c>
      <c r="C37" s="185"/>
      <c r="D37" s="15">
        <f>IF(F3="1",SUMIF(Data!A:A,'38'!$A$2,Data!CV:CV),0)</f>
        <v>118832</v>
      </c>
      <c r="E37" s="18">
        <f>IF(F3="1",SUMIF(Data!$A:$A,'38'!$A$2,Data!IP:IP),0)</f>
        <v>649479</v>
      </c>
      <c r="F37" s="22">
        <f t="shared" si="3"/>
        <v>5.4655227548135183</v>
      </c>
    </row>
    <row r="38" spans="1:6" ht="14.25" customHeight="1" x14ac:dyDescent="0.2">
      <c r="A38" s="20">
        <v>3</v>
      </c>
      <c r="B38" s="184" t="s">
        <v>2</v>
      </c>
      <c r="C38" s="185"/>
      <c r="D38" s="15">
        <f>IF(F3="1",SUMIF(Data!A:A,'38'!$A$2,Data!CW:CW),0)</f>
        <v>1126272</v>
      </c>
      <c r="E38" s="18">
        <f>IF(F3="1",SUMIF(Data!$A:$A,'38'!$A$2,Data!IQ:IQ),0)</f>
        <v>914414</v>
      </c>
      <c r="F38" s="22">
        <f t="shared" si="3"/>
        <v>0.8118944624389135</v>
      </c>
    </row>
    <row r="39" spans="1:6" ht="14.25" customHeight="1" x14ac:dyDescent="0.2">
      <c r="A39" s="20">
        <v>4</v>
      </c>
      <c r="B39" s="184" t="s">
        <v>3</v>
      </c>
      <c r="C39" s="185"/>
      <c r="D39" s="15">
        <f>IF(F3="1",SUMIF(Data!A:A,'38'!$A$2,Data!CX:CX),0)</f>
        <v>613340</v>
      </c>
      <c r="E39" s="18">
        <f>IF(F3="1",SUMIF(Data!$A:$A,'38'!$A$2,Data!IR:IR),0)</f>
        <v>480080</v>
      </c>
      <c r="F39" s="22">
        <f t="shared" si="3"/>
        <v>0.78273062249323377</v>
      </c>
    </row>
    <row r="40" spans="1:6" x14ac:dyDescent="0.2">
      <c r="A40" s="20">
        <v>5</v>
      </c>
      <c r="B40" s="184" t="s">
        <v>4</v>
      </c>
      <c r="C40" s="185"/>
      <c r="D40" s="15">
        <f>IF(F3="1",SUMIF(Data!A:A,'38'!$A$2,Data!CY:CY),0)</f>
        <v>0</v>
      </c>
      <c r="E40" s="18">
        <f>IF(F3="1",SUMIF(Data!$A:$A,'38'!$A$2,Data!IS:IS),0)</f>
        <v>0</v>
      </c>
      <c r="F40" s="22" t="str">
        <f t="shared" si="3"/>
        <v/>
      </c>
    </row>
    <row r="41" spans="1:6" x14ac:dyDescent="0.2">
      <c r="A41" s="20">
        <v>6</v>
      </c>
      <c r="B41" s="184" t="s">
        <v>5</v>
      </c>
      <c r="C41" s="185"/>
      <c r="D41" s="15">
        <f>IF(F3="1",SUMIF(Data!A:A,'38'!$A$2,Data!CZ:CZ),0)</f>
        <v>11520</v>
      </c>
      <c r="E41" s="18">
        <f>IF(F3="1",SUMIF(Data!$A:$A,'38'!$A$2,Data!IT:IT),0)</f>
        <v>47091</v>
      </c>
      <c r="F41" s="22">
        <f t="shared" si="3"/>
        <v>4.0877604166666668</v>
      </c>
    </row>
    <row r="42" spans="1:6" x14ac:dyDescent="0.2">
      <c r="A42" s="20">
        <v>7</v>
      </c>
      <c r="B42" s="184" t="s">
        <v>6</v>
      </c>
      <c r="C42" s="185"/>
      <c r="D42" s="15">
        <f>IF(F3="1",SUMIF(Data!A:A,'38'!$A$2,Data!DA:DA),0)</f>
        <v>711144</v>
      </c>
      <c r="E42" s="18">
        <f>IF(F3="1",SUMIF(Data!$A:$A,'38'!$A$2,Data!IU:IU),0)</f>
        <v>792332</v>
      </c>
      <c r="F42" s="22">
        <f t="shared" si="3"/>
        <v>1.1141653448528006</v>
      </c>
    </row>
    <row r="43" spans="1:6" x14ac:dyDescent="0.2">
      <c r="A43" s="20">
        <v>8</v>
      </c>
      <c r="B43" s="184" t="s">
        <v>7</v>
      </c>
      <c r="C43" s="185"/>
      <c r="D43" s="15">
        <f>IF(F3="1",SUMIF(Data!A:A,'38'!$A$2,Data!DB:DB),0)</f>
        <v>36286</v>
      </c>
      <c r="E43" s="18">
        <f>IF(F3="1",SUMIF(Data!$A:$A,'38'!$A$2,Data!IV:IV),0)</f>
        <v>299396</v>
      </c>
      <c r="F43" s="22">
        <f t="shared" si="3"/>
        <v>8.2510058975913569</v>
      </c>
    </row>
    <row r="44" spans="1:6" x14ac:dyDescent="0.2">
      <c r="A44" s="20">
        <v>9</v>
      </c>
      <c r="B44" s="184" t="s">
        <v>8</v>
      </c>
      <c r="C44" s="185"/>
      <c r="D44" s="15">
        <f>IF(F3="1",SUMIF(Data!A:A,'38'!$A$2,Data!DC:DC),0)</f>
        <v>251416</v>
      </c>
      <c r="E44" s="18">
        <f>IF(F3="1",SUMIF(Data!$A:$A,'38'!$A$2,Data!IW:IW),0)</f>
        <v>566045</v>
      </c>
      <c r="F44" s="22">
        <f t="shared" si="3"/>
        <v>2.2514279123047061</v>
      </c>
    </row>
    <row r="45" spans="1:6" x14ac:dyDescent="0.2">
      <c r="A45" s="20">
        <v>10</v>
      </c>
      <c r="B45" s="184" t="s">
        <v>9</v>
      </c>
      <c r="C45" s="185"/>
      <c r="D45" s="15">
        <f>IF(F3="1",SUMIF(Data!A:A,'38'!$A$2,Data!DD:DD),0)</f>
        <v>16832</v>
      </c>
      <c r="E45" s="18">
        <f>IF(F3="1",SUMIF(Data!$A:$A,'38'!$A$2,Data!IX:IX),0)</f>
        <v>15671</v>
      </c>
      <c r="F45" s="22">
        <f t="shared" si="3"/>
        <v>0.93102423954372626</v>
      </c>
    </row>
    <row r="46" spans="1:6" x14ac:dyDescent="0.2">
      <c r="A46" s="20">
        <v>11</v>
      </c>
      <c r="B46" s="184" t="s">
        <v>10</v>
      </c>
      <c r="C46" s="185"/>
      <c r="D46" s="15">
        <f>IF(F3="1",SUMIF(Data!A:A,'38'!$A$2,Data!DE:DE),0)</f>
        <v>235896</v>
      </c>
      <c r="E46" s="18">
        <f>IF(F3="1",SUMIF(Data!$A:$A,'38'!$A$2,Data!IY:IY),0)</f>
        <v>448451</v>
      </c>
      <c r="F46" s="22">
        <f t="shared" si="3"/>
        <v>1.9010538542408519</v>
      </c>
    </row>
    <row r="47" spans="1:6" ht="14.25" customHeight="1" x14ac:dyDescent="0.2">
      <c r="A47" s="20">
        <v>12</v>
      </c>
      <c r="B47" s="184" t="s">
        <v>11</v>
      </c>
      <c r="C47" s="185"/>
      <c r="D47" s="15">
        <f>IF(F3="1",SUMIF(Data!A:A,'38'!$A$2,Data!DF:DF),0)</f>
        <v>1385752</v>
      </c>
      <c r="E47" s="18">
        <f>IF(F3="1",SUMIF(Data!$A:$A,'38'!$A$2,Data!IZ:IZ),0)</f>
        <v>2197392</v>
      </c>
      <c r="F47" s="22">
        <f t="shared" si="3"/>
        <v>1.5857036468285812</v>
      </c>
    </row>
    <row r="48" spans="1:6" x14ac:dyDescent="0.2">
      <c r="A48" s="20">
        <v>13</v>
      </c>
      <c r="B48" s="184" t="s">
        <v>12</v>
      </c>
      <c r="C48" s="185"/>
      <c r="D48" s="15">
        <f>IF(F3="1",SUMIF(Data!A:A,'38'!$A$2,Data!DG:DG),0)</f>
        <v>297472</v>
      </c>
      <c r="E48" s="18">
        <f>IF(F3="1",SUMIF(Data!$A:$A,'38'!$A$2,Data!JA:JA),0)</f>
        <v>144633</v>
      </c>
      <c r="F48" s="22">
        <f t="shared" si="3"/>
        <v>0.48620710520654042</v>
      </c>
    </row>
    <row r="49" spans="1:6" ht="14.25" customHeight="1" x14ac:dyDescent="0.2">
      <c r="A49" s="20">
        <v>14</v>
      </c>
      <c r="B49" s="184" t="s">
        <v>469</v>
      </c>
      <c r="C49" s="185"/>
      <c r="D49" s="15">
        <f>IF(F3="1",SUMIF(Data!A:A,'38'!$A$2,Data!DH:DH),0)</f>
        <v>310312</v>
      </c>
      <c r="E49" s="18">
        <f>IF(F3="1",SUMIF(Data!$A:$A,'38'!$A$2,Data!JB:JB),0)</f>
        <v>773374</v>
      </c>
      <c r="F49" s="22">
        <f t="shared" si="3"/>
        <v>2.4922465131867284</v>
      </c>
    </row>
    <row r="50" spans="1:6" x14ac:dyDescent="0.2">
      <c r="A50" s="20">
        <v>15</v>
      </c>
      <c r="B50" s="184" t="s">
        <v>13</v>
      </c>
      <c r="C50" s="185"/>
      <c r="D50" s="15">
        <f>IF(F3="1",SUMIF(Data!A:A,'38'!$A$2,Data!DI:DI),0)</f>
        <v>0</v>
      </c>
      <c r="E50" s="18">
        <f>IF(F3="1",SUMIF(Data!$A:$A,'38'!$A$2,Data!JC:JC),0)</f>
        <v>0</v>
      </c>
      <c r="F50" s="22" t="str">
        <f t="shared" si="3"/>
        <v/>
      </c>
    </row>
    <row r="51" spans="1:6" x14ac:dyDescent="0.2">
      <c r="A51" s="20">
        <v>16</v>
      </c>
      <c r="B51" s="184" t="s">
        <v>14</v>
      </c>
      <c r="C51" s="185"/>
      <c r="D51" s="15">
        <f>IF(F3="1",SUMIF(Data!A:A,'38'!$A$2,Data!DJ:DJ),0)</f>
        <v>298881</v>
      </c>
      <c r="E51" s="18">
        <f>IF(F3="1",SUMIF(Data!$A:$A,'38'!$A$2,Data!JD:JD),0)</f>
        <v>1048809</v>
      </c>
      <c r="F51" s="22">
        <f t="shared" si="3"/>
        <v>3.5091190139219286</v>
      </c>
    </row>
    <row r="52" spans="1:6" x14ac:dyDescent="0.2">
      <c r="A52" s="20">
        <v>17</v>
      </c>
      <c r="B52" s="184" t="s">
        <v>15</v>
      </c>
      <c r="C52" s="185"/>
      <c r="D52" s="15">
        <f>IF(F3="1",SUMIF(Data!A:A,'38'!$A$2,Data!DK:DK),0)</f>
        <v>43008</v>
      </c>
      <c r="E52" s="18">
        <f>IF(F3="1",SUMIF(Data!$A:$A,'38'!$A$2,Data!JE:JE),0)</f>
        <v>153471</v>
      </c>
      <c r="F52" s="22">
        <f t="shared" si="3"/>
        <v>3.5684291294642856</v>
      </c>
    </row>
    <row r="53" spans="1:6" x14ac:dyDescent="0.2">
      <c r="A53" s="20">
        <v>18</v>
      </c>
      <c r="B53" s="184" t="s">
        <v>16</v>
      </c>
      <c r="C53" s="185"/>
      <c r="D53" s="15">
        <f>IF(F3="1",SUMIF(Data!A:A,'38'!$A$2,Data!DL:DL),0)</f>
        <v>289440</v>
      </c>
      <c r="E53" s="18">
        <f>IF(F3="1",SUMIF(Data!$A:$A,'38'!$A$2,Data!JF:JF),0)</f>
        <v>599085</v>
      </c>
      <c r="F53" s="22">
        <f t="shared" si="3"/>
        <v>2.0698072139303481</v>
      </c>
    </row>
    <row r="54" spans="1:6" x14ac:dyDescent="0.2">
      <c r="A54" s="20">
        <v>19</v>
      </c>
      <c r="B54" s="184" t="s">
        <v>17</v>
      </c>
      <c r="C54" s="185"/>
      <c r="D54" s="15">
        <f>IF(F3="1",SUMIF(Data!A:A,'38'!$A$2,Data!DM:DM),0)</f>
        <v>1107684</v>
      </c>
      <c r="E54" s="18">
        <f>IF(F3="1",SUMIF(Data!$A:$A,'38'!$A$2,Data!JG:JG),0)</f>
        <v>550896</v>
      </c>
      <c r="F54" s="22">
        <f t="shared" si="3"/>
        <v>0.49734039671964209</v>
      </c>
    </row>
    <row r="55" spans="1:6" x14ac:dyDescent="0.2">
      <c r="A55" s="20">
        <v>20</v>
      </c>
      <c r="B55" s="184" t="s">
        <v>18</v>
      </c>
      <c r="C55" s="185"/>
      <c r="D55" s="15">
        <f>IF(F3="1",SUMIF(Data!A:A,'38'!$A$2,Data!DN:DN),0)</f>
        <v>142288</v>
      </c>
      <c r="E55" s="18">
        <f>IF(F3="1",SUMIF(Data!$A:$A,'38'!$A$2,Data!JH:JH),0)</f>
        <v>239433</v>
      </c>
      <c r="F55" s="22">
        <f t="shared" si="3"/>
        <v>1.682735016304959</v>
      </c>
    </row>
    <row r="56" spans="1:6" ht="14.25" customHeight="1" x14ac:dyDescent="0.2">
      <c r="A56" s="20">
        <v>21</v>
      </c>
      <c r="B56" s="184" t="s">
        <v>466</v>
      </c>
      <c r="C56" s="185"/>
      <c r="D56" s="15">
        <f>IF(F3="1",SUMIF(Data!A:A,'38'!$A$2,Data!DO:DO),0)</f>
        <v>70604</v>
      </c>
      <c r="E56" s="18">
        <f>IF(F3="1",SUMIF(Data!$A:$A,'38'!$A$2,Data!JI:JI),0)</f>
        <v>148128</v>
      </c>
      <c r="F56" s="22">
        <f t="shared" si="3"/>
        <v>2.0980114441108153</v>
      </c>
    </row>
    <row r="57" spans="1:6" x14ac:dyDescent="0.2">
      <c r="A57" s="20">
        <v>22</v>
      </c>
      <c r="B57" s="184" t="s">
        <v>19</v>
      </c>
      <c r="C57" s="185"/>
      <c r="D57" s="15">
        <f>IF(F3="1",SUMIF(Data!A:A,'38'!$A$2,Data!DP:DP),0)</f>
        <v>115136</v>
      </c>
      <c r="E57" s="18">
        <f>IF(F3="1",SUMIF(Data!$A:$A,'38'!$A$2,Data!JJ:JJ),0)</f>
        <v>186941</v>
      </c>
      <c r="F57" s="22">
        <f t="shared" si="3"/>
        <v>1.6236537659811006</v>
      </c>
    </row>
    <row r="58" spans="1:6" x14ac:dyDescent="0.2">
      <c r="A58" s="20">
        <v>23</v>
      </c>
      <c r="B58" s="184" t="s">
        <v>20</v>
      </c>
      <c r="C58" s="185"/>
      <c r="D58" s="15">
        <f>IF(F3="1",SUMIF(Data!A:A,'38'!$A$2,Data!DQ:DQ),0)</f>
        <v>79440</v>
      </c>
      <c r="E58" s="18">
        <f>IF(F3="1",SUMIF(Data!$A:$A,'38'!$A$2,Data!JK:JK),0)</f>
        <v>100829</v>
      </c>
      <c r="F58" s="22">
        <f t="shared" si="3"/>
        <v>1.2692472306143001</v>
      </c>
    </row>
    <row r="59" spans="1:6" x14ac:dyDescent="0.2">
      <c r="A59" s="20">
        <v>24</v>
      </c>
      <c r="B59" s="184" t="s">
        <v>21</v>
      </c>
      <c r="C59" s="185"/>
      <c r="D59" s="15">
        <f>IF(F3="1",SUMIF(Data!A:A,'38'!$A$2,Data!DR:DR),0)</f>
        <v>115029</v>
      </c>
      <c r="E59" s="18">
        <f>IF(F3="1",SUMIF(Data!$A:$A,'38'!$A$2,Data!JL:JL),0)</f>
        <v>74233</v>
      </c>
      <c r="F59" s="22">
        <f t="shared" si="3"/>
        <v>0.64534160950716779</v>
      </c>
    </row>
    <row r="60" spans="1:6" x14ac:dyDescent="0.2">
      <c r="A60" s="20">
        <v>25</v>
      </c>
      <c r="B60" s="184" t="s">
        <v>22</v>
      </c>
      <c r="C60" s="185"/>
      <c r="D60" s="15">
        <f>IF(F3="1",SUMIF(Data!A:A,'38'!$A$2,Data!DS:DS),0)</f>
        <v>1243536</v>
      </c>
      <c r="E60" s="18">
        <f>IF(F3="1",SUMIF(Data!$A:$A,'38'!$A$2,Data!JM:JM),0)</f>
        <v>667202</v>
      </c>
      <c r="F60" s="22">
        <f t="shared" si="3"/>
        <v>0.53653613566474956</v>
      </c>
    </row>
    <row r="61" spans="1:6" x14ac:dyDescent="0.2">
      <c r="A61" s="20">
        <v>26</v>
      </c>
      <c r="B61" s="184" t="s">
        <v>23</v>
      </c>
      <c r="C61" s="185"/>
      <c r="D61" s="15">
        <f>IF(F3="1",SUMIF(Data!A:A,'38'!$A$2,Data!DT:DT),0)</f>
        <v>281312</v>
      </c>
      <c r="E61" s="18">
        <f>IF(F3="1",SUMIF(Data!$A:$A,'38'!$A$2,Data!JN:JN),0)</f>
        <v>219007</v>
      </c>
      <c r="F61" s="22">
        <f t="shared" si="3"/>
        <v>0.77851993516096007</v>
      </c>
    </row>
    <row r="62" spans="1:6" x14ac:dyDescent="0.2">
      <c r="A62" s="20">
        <v>28</v>
      </c>
      <c r="B62" s="184" t="s">
        <v>24</v>
      </c>
      <c r="C62" s="185"/>
      <c r="D62" s="15">
        <f>IF(F3="1",SUMIF(Data!A:A,'38'!$A$2,Data!DV:DV),0)</f>
        <v>0</v>
      </c>
      <c r="E62" s="18">
        <f>IF(F3="1",SUMIF(Data!$A:$A,'38'!$A$2,Data!JP:JP),0)</f>
        <v>0</v>
      </c>
      <c r="F62" s="22" t="str">
        <f t="shared" si="3"/>
        <v/>
      </c>
    </row>
    <row r="63" spans="1:6" ht="15.75" customHeight="1" thickBot="1" x14ac:dyDescent="0.25">
      <c r="A63" s="23">
        <v>29</v>
      </c>
      <c r="B63" s="186" t="s">
        <v>25</v>
      </c>
      <c r="C63" s="187"/>
      <c r="D63" s="24">
        <f>IF(F3="1",SUMIF(Data!A:A,'38'!$A$2,Data!DW:DW),0)</f>
        <v>0</v>
      </c>
      <c r="E63" s="25">
        <f>IF(F3="1",SUMIF(Data!$A:$A,'38'!$A$2,Data!JQ:JQ),0)</f>
        <v>0</v>
      </c>
      <c r="F63" s="26" t="str">
        <f t="shared" si="3"/>
        <v/>
      </c>
    </row>
    <row r="64" spans="1:6" x14ac:dyDescent="0.2">
      <c r="B64" s="31" t="s">
        <v>35</v>
      </c>
      <c r="C64" s="31"/>
      <c r="D64" s="61">
        <f>SUM(D36:D63)</f>
        <v>8927976</v>
      </c>
      <c r="E64" s="32">
        <f>SUM(E36:E63)</f>
        <v>11337943</v>
      </c>
      <c r="F64" s="33">
        <f t="shared" si="3"/>
        <v>1.2699343053789571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26544</v>
      </c>
      <c r="E67" s="16">
        <f>IF(F3="1",SUMIF(Data!A:A,'38'!$A$2,Data!DY:DY),0)</f>
        <v>71944</v>
      </c>
      <c r="F67" s="21">
        <f>IFERROR(E67/D67,"")</f>
        <v>2.7103676913803496</v>
      </c>
    </row>
    <row r="68" spans="1:6" x14ac:dyDescent="0.2">
      <c r="A68" s="20">
        <v>2</v>
      </c>
      <c r="B68" s="184" t="s">
        <v>1</v>
      </c>
      <c r="C68" s="185"/>
      <c r="D68" s="15">
        <f t="shared" ref="D68:D94" si="4">D37</f>
        <v>118832</v>
      </c>
      <c r="E68" s="18">
        <f>IF(F3="1",SUMIF(Data!A:A,'38'!$A$2,Data!DZ:DZ),0)</f>
        <v>794523</v>
      </c>
      <c r="F68" s="22">
        <f t="shared" ref="F68:F95" si="5">IFERROR(E68/D68,"")</f>
        <v>6.6861030698801667</v>
      </c>
    </row>
    <row r="69" spans="1:6" ht="14.25" customHeight="1" x14ac:dyDescent="0.2">
      <c r="A69" s="20">
        <v>3</v>
      </c>
      <c r="B69" s="184" t="s">
        <v>2</v>
      </c>
      <c r="C69" s="185"/>
      <c r="D69" s="15">
        <f t="shared" si="4"/>
        <v>1126272</v>
      </c>
      <c r="E69" s="18">
        <f>IF(F3="1",SUMIF(Data!A:A,'38'!$A$2,Data!EA:EA),0)</f>
        <v>3052617</v>
      </c>
      <c r="F69" s="22">
        <f t="shared" si="5"/>
        <v>2.7103728051483125</v>
      </c>
    </row>
    <row r="70" spans="1:6" ht="14.25" customHeight="1" x14ac:dyDescent="0.2">
      <c r="A70" s="20">
        <v>4</v>
      </c>
      <c r="B70" s="184" t="s">
        <v>3</v>
      </c>
      <c r="C70" s="185"/>
      <c r="D70" s="15">
        <f t="shared" si="4"/>
        <v>613340</v>
      </c>
      <c r="E70" s="18">
        <f>IF(F3="1",SUMIF(Data!A:A,'38'!$A$2,Data!EB:EB),0)</f>
        <v>1164630</v>
      </c>
      <c r="F70" s="22">
        <f t="shared" si="5"/>
        <v>1.8988326213845501</v>
      </c>
    </row>
    <row r="71" spans="1:6" x14ac:dyDescent="0.2">
      <c r="A71" s="20">
        <v>5</v>
      </c>
      <c r="B71" s="184" t="s">
        <v>4</v>
      </c>
      <c r="C71" s="185"/>
      <c r="D71" s="15">
        <f t="shared" si="4"/>
        <v>0</v>
      </c>
      <c r="E71" s="18">
        <f>IF(F3="1",SUMIF(Data!A:A,'38'!$A$2,Data!EC:EC),0)</f>
        <v>0</v>
      </c>
      <c r="F71" s="22" t="str">
        <f t="shared" si="5"/>
        <v/>
      </c>
    </row>
    <row r="72" spans="1:6" x14ac:dyDescent="0.2">
      <c r="A72" s="20">
        <v>6</v>
      </c>
      <c r="B72" s="184" t="s">
        <v>5</v>
      </c>
      <c r="C72" s="185"/>
      <c r="D72" s="15">
        <f t="shared" si="4"/>
        <v>11520</v>
      </c>
      <c r="E72" s="18">
        <f>IF(F3="1",SUMIF(Data!A:A,'38'!$A$2,Data!ED:ED),0)</f>
        <v>29971</v>
      </c>
      <c r="F72" s="22">
        <f t="shared" si="5"/>
        <v>2.6016493055555556</v>
      </c>
    </row>
    <row r="73" spans="1:6" x14ac:dyDescent="0.2">
      <c r="A73" s="20">
        <v>7</v>
      </c>
      <c r="B73" s="184" t="s">
        <v>6</v>
      </c>
      <c r="C73" s="185"/>
      <c r="D73" s="15">
        <f t="shared" si="4"/>
        <v>711144</v>
      </c>
      <c r="E73" s="18">
        <f>IF(F3="1",SUMIF(Data!A:A,'38'!$A$2,Data!EE:EE),0)</f>
        <v>1850137</v>
      </c>
      <c r="F73" s="22">
        <f t="shared" si="5"/>
        <v>2.6016348306390831</v>
      </c>
    </row>
    <row r="74" spans="1:6" x14ac:dyDescent="0.2">
      <c r="A74" s="20">
        <v>8</v>
      </c>
      <c r="B74" s="184" t="s">
        <v>7</v>
      </c>
      <c r="C74" s="185"/>
      <c r="D74" s="15">
        <f t="shared" si="4"/>
        <v>36286</v>
      </c>
      <c r="E74" s="18">
        <f>IF(F3="1",SUMIF(Data!A:A,'38'!$A$2,Data!EF:EF),0)</f>
        <v>257488</v>
      </c>
      <c r="F74" s="22">
        <f t="shared" si="5"/>
        <v>7.0960701096841756</v>
      </c>
    </row>
    <row r="75" spans="1:6" x14ac:dyDescent="0.2">
      <c r="A75" s="20">
        <v>9</v>
      </c>
      <c r="B75" s="184" t="s">
        <v>8</v>
      </c>
      <c r="C75" s="185"/>
      <c r="D75" s="15">
        <f t="shared" si="4"/>
        <v>251416</v>
      </c>
      <c r="E75" s="18">
        <f>IF(F3="1",SUMIF(Data!A:A,'38'!$A$2,Data!EG:EG),0)</f>
        <v>889788</v>
      </c>
      <c r="F75" s="22">
        <f t="shared" si="5"/>
        <v>3.5391065007795843</v>
      </c>
    </row>
    <row r="76" spans="1:6" x14ac:dyDescent="0.2">
      <c r="A76" s="20">
        <v>10</v>
      </c>
      <c r="B76" s="184" t="s">
        <v>9</v>
      </c>
      <c r="C76" s="185"/>
      <c r="D76" s="15">
        <f t="shared" si="4"/>
        <v>16832</v>
      </c>
      <c r="E76" s="18">
        <f>IF(F3="1",SUMIF(Data!A:A,'38'!$A$2,Data!EH:EH),0)</f>
        <v>33980</v>
      </c>
      <c r="F76" s="22">
        <f t="shared" si="5"/>
        <v>2.018773764258555</v>
      </c>
    </row>
    <row r="77" spans="1:6" x14ac:dyDescent="0.2">
      <c r="A77" s="20">
        <v>11</v>
      </c>
      <c r="B77" s="184" t="s">
        <v>10</v>
      </c>
      <c r="C77" s="185"/>
      <c r="D77" s="15">
        <f t="shared" si="4"/>
        <v>235896</v>
      </c>
      <c r="E77" s="18">
        <f>IF(F3="1",SUMIF(Data!A:A,'38'!$A$2,Data!EI:EI),0)</f>
        <v>291813</v>
      </c>
      <c r="F77" s="22">
        <f t="shared" si="5"/>
        <v>1.2370408993793875</v>
      </c>
    </row>
    <row r="78" spans="1:6" ht="14.25" customHeight="1" x14ac:dyDescent="0.2">
      <c r="A78" s="20">
        <v>12</v>
      </c>
      <c r="B78" s="184" t="s">
        <v>11</v>
      </c>
      <c r="C78" s="185"/>
      <c r="D78" s="15">
        <f t="shared" si="4"/>
        <v>1385752</v>
      </c>
      <c r="E78" s="18">
        <f>IF(F3="1",SUMIF(Data!A:A,'38'!$A$2,Data!EJ:EJ),0)</f>
        <v>5928283</v>
      </c>
      <c r="F78" s="22">
        <f t="shared" si="5"/>
        <v>4.2780259382631236</v>
      </c>
    </row>
    <row r="79" spans="1:6" x14ac:dyDescent="0.2">
      <c r="A79" s="20">
        <v>13</v>
      </c>
      <c r="B79" s="184" t="s">
        <v>12</v>
      </c>
      <c r="C79" s="185"/>
      <c r="D79" s="15">
        <f t="shared" si="4"/>
        <v>297472</v>
      </c>
      <c r="E79" s="18">
        <f>IF(F3="1",SUMIF(Data!A:A,'38'!$A$2,Data!EK:EK),0)</f>
        <v>896423</v>
      </c>
      <c r="F79" s="22">
        <f t="shared" si="5"/>
        <v>3.0134701753442341</v>
      </c>
    </row>
    <row r="80" spans="1:6" ht="14.25" customHeight="1" x14ac:dyDescent="0.2">
      <c r="A80" s="20">
        <v>14</v>
      </c>
      <c r="B80" s="184" t="s">
        <v>469</v>
      </c>
      <c r="C80" s="185"/>
      <c r="D80" s="15">
        <f t="shared" si="4"/>
        <v>310312</v>
      </c>
      <c r="E80" s="18">
        <f>IF(F3="1",SUMIF(Data!A:A,'38'!$A$2,Data!EL:EL),0)</f>
        <v>1549237</v>
      </c>
      <c r="F80" s="22">
        <f t="shared" si="5"/>
        <v>4.9925139859238445</v>
      </c>
    </row>
    <row r="81" spans="1:6" x14ac:dyDescent="0.2">
      <c r="A81" s="20">
        <v>15</v>
      </c>
      <c r="B81" s="184" t="s">
        <v>13</v>
      </c>
      <c r="C81" s="185"/>
      <c r="D81" s="15">
        <f t="shared" si="4"/>
        <v>0</v>
      </c>
      <c r="E81" s="18">
        <f>IF(F3="1",SUMIF(Data!A:A,'38'!$A$2,Data!EM:EM),0)</f>
        <v>0</v>
      </c>
      <c r="F81" s="22" t="str">
        <f t="shared" si="5"/>
        <v/>
      </c>
    </row>
    <row r="82" spans="1:6" x14ac:dyDescent="0.2">
      <c r="A82" s="20">
        <v>16</v>
      </c>
      <c r="B82" s="184" t="s">
        <v>14</v>
      </c>
      <c r="C82" s="185"/>
      <c r="D82" s="15">
        <f t="shared" si="4"/>
        <v>298881</v>
      </c>
      <c r="E82" s="18">
        <f>IF(F3="1",SUMIF(Data!A:A,'38'!$A$2,Data!EN:EN),0)</f>
        <v>1906138</v>
      </c>
      <c r="F82" s="22">
        <f t="shared" si="5"/>
        <v>6.3775817131232833</v>
      </c>
    </row>
    <row r="83" spans="1:6" x14ac:dyDescent="0.2">
      <c r="A83" s="20">
        <v>17</v>
      </c>
      <c r="B83" s="184" t="s">
        <v>15</v>
      </c>
      <c r="C83" s="185"/>
      <c r="D83" s="15">
        <f t="shared" si="4"/>
        <v>43008</v>
      </c>
      <c r="E83" s="18">
        <f>IF(F3="1",SUMIF(Data!A:A,'38'!$A$2,Data!EO:EO),0)</f>
        <v>249496</v>
      </c>
      <c r="F83" s="22">
        <f t="shared" si="5"/>
        <v>5.8011532738095237</v>
      </c>
    </row>
    <row r="84" spans="1:6" x14ac:dyDescent="0.2">
      <c r="A84" s="20">
        <v>18</v>
      </c>
      <c r="B84" s="184" t="s">
        <v>16</v>
      </c>
      <c r="C84" s="185"/>
      <c r="D84" s="15">
        <f t="shared" si="4"/>
        <v>289440</v>
      </c>
      <c r="E84" s="18">
        <f>IF(F3="1",SUMIF(Data!A:A,'38'!$A$2,Data!EP:EP),0)</f>
        <v>1715445</v>
      </c>
      <c r="F84" s="22">
        <f t="shared" si="5"/>
        <v>5.9267723880597014</v>
      </c>
    </row>
    <row r="85" spans="1:6" x14ac:dyDescent="0.2">
      <c r="A85" s="20">
        <v>19</v>
      </c>
      <c r="B85" s="184" t="s">
        <v>17</v>
      </c>
      <c r="C85" s="185"/>
      <c r="D85" s="15">
        <f t="shared" si="4"/>
        <v>1107684</v>
      </c>
      <c r="E85" s="18">
        <f>IF(F3="1",SUMIF(Data!A:A,'38'!$A$2,Data!EQ:EQ),0)</f>
        <v>3355939</v>
      </c>
      <c r="F85" s="22">
        <f t="shared" si="5"/>
        <v>3.0296898754518438</v>
      </c>
    </row>
    <row r="86" spans="1:6" x14ac:dyDescent="0.2">
      <c r="A86" s="20">
        <v>20</v>
      </c>
      <c r="B86" s="184" t="s">
        <v>18</v>
      </c>
      <c r="C86" s="185"/>
      <c r="D86" s="15">
        <f t="shared" si="4"/>
        <v>142288</v>
      </c>
      <c r="E86" s="18">
        <f>IF(F3="1",SUMIF(Data!A:A,'38'!$A$2,Data!ER:ER),0)</f>
        <v>706739</v>
      </c>
      <c r="F86" s="22">
        <f t="shared" si="5"/>
        <v>4.9669613741144722</v>
      </c>
    </row>
    <row r="87" spans="1:6" ht="14.25" customHeight="1" x14ac:dyDescent="0.2">
      <c r="A87" s="20">
        <v>21</v>
      </c>
      <c r="B87" s="184" t="s">
        <v>466</v>
      </c>
      <c r="C87" s="185"/>
      <c r="D87" s="15">
        <f t="shared" si="4"/>
        <v>70604</v>
      </c>
      <c r="E87" s="18">
        <f>IF(F3="1",SUMIF(Data!A:A,'38'!$A$2,Data!ES:ES),0)</f>
        <v>105417</v>
      </c>
      <c r="F87" s="22">
        <f t="shared" si="5"/>
        <v>1.4930740467962156</v>
      </c>
    </row>
    <row r="88" spans="1:6" x14ac:dyDescent="0.2">
      <c r="A88" s="20">
        <v>22</v>
      </c>
      <c r="B88" s="184" t="s">
        <v>19</v>
      </c>
      <c r="C88" s="185"/>
      <c r="D88" s="15">
        <f t="shared" si="4"/>
        <v>115136</v>
      </c>
      <c r="E88" s="18">
        <f>IF(F3="1",SUMIF(Data!A:A,'38'!$A$2,Data!ET:ET),0)</f>
        <v>502462</v>
      </c>
      <c r="F88" s="22">
        <f t="shared" si="5"/>
        <v>4.3640737909949969</v>
      </c>
    </row>
    <row r="89" spans="1:6" x14ac:dyDescent="0.2">
      <c r="A89" s="20">
        <v>23</v>
      </c>
      <c r="B89" s="184" t="s">
        <v>20</v>
      </c>
      <c r="C89" s="185"/>
      <c r="D89" s="15">
        <f t="shared" si="4"/>
        <v>79440</v>
      </c>
      <c r="E89" s="18">
        <f>IF(F3="1",SUMIF(Data!A:A,'38'!$A$2,Data!EU:EU),0)</f>
        <v>406144</v>
      </c>
      <c r="F89" s="22">
        <f t="shared" si="5"/>
        <v>5.1125881168177241</v>
      </c>
    </row>
    <row r="90" spans="1:6" x14ac:dyDescent="0.2">
      <c r="A90" s="20">
        <v>24</v>
      </c>
      <c r="B90" s="184" t="s">
        <v>21</v>
      </c>
      <c r="C90" s="185"/>
      <c r="D90" s="15">
        <f t="shared" si="4"/>
        <v>115029</v>
      </c>
      <c r="E90" s="18">
        <f>IF(F3="1",SUMIF(Data!A:A,'38'!$A$2,Data!EV:EV),0)</f>
        <v>555213</v>
      </c>
      <c r="F90" s="22">
        <f t="shared" si="5"/>
        <v>4.8267219570716948</v>
      </c>
    </row>
    <row r="91" spans="1:6" x14ac:dyDescent="0.2">
      <c r="A91" s="20">
        <v>25</v>
      </c>
      <c r="B91" s="184" t="s">
        <v>22</v>
      </c>
      <c r="C91" s="185"/>
      <c r="D91" s="15">
        <f t="shared" si="4"/>
        <v>1243536</v>
      </c>
      <c r="E91" s="18">
        <f>IF(F3="1",SUMIF(Data!A:A,'38'!$A$2,Data!EW:EW),0)</f>
        <v>4379022</v>
      </c>
      <c r="F91" s="22">
        <f t="shared" si="5"/>
        <v>3.5214276064384142</v>
      </c>
    </row>
    <row r="92" spans="1:6" x14ac:dyDescent="0.2">
      <c r="A92" s="20">
        <v>26</v>
      </c>
      <c r="B92" s="184" t="s">
        <v>23</v>
      </c>
      <c r="C92" s="185"/>
      <c r="D92" s="15">
        <f t="shared" si="4"/>
        <v>281312</v>
      </c>
      <c r="E92" s="18">
        <f>IF(F3="1",SUMIF(Data!A:A,'38'!$A$2,Data!EX:EX),0)</f>
        <v>925114</v>
      </c>
      <c r="F92" s="22">
        <f t="shared" si="5"/>
        <v>3.2885692753952904</v>
      </c>
    </row>
    <row r="93" spans="1:6" x14ac:dyDescent="0.2">
      <c r="A93" s="20">
        <v>28</v>
      </c>
      <c r="B93" s="184" t="s">
        <v>24</v>
      </c>
      <c r="C93" s="185"/>
      <c r="D93" s="15">
        <f t="shared" si="4"/>
        <v>0</v>
      </c>
      <c r="E93" s="18">
        <f>IF(F3="1",SUMIF(Data!A:A,'38'!$A$2,Data!EZ:EZ),0)</f>
        <v>0</v>
      </c>
      <c r="F93" s="22" t="str">
        <f t="shared" si="5"/>
        <v/>
      </c>
    </row>
    <row r="94" spans="1:6" ht="15.75" customHeight="1" thickBot="1" x14ac:dyDescent="0.25">
      <c r="A94" s="23">
        <v>29</v>
      </c>
      <c r="B94" s="186" t="s">
        <v>25</v>
      </c>
      <c r="C94" s="187"/>
      <c r="D94" s="24">
        <f t="shared" si="4"/>
        <v>0</v>
      </c>
      <c r="E94" s="25">
        <f>IF(F3="1",SUMIF(Data!A:A,'38'!$A$2,Data!FA:FA),0)</f>
        <v>0</v>
      </c>
      <c r="F94" s="26" t="str">
        <f t="shared" si="5"/>
        <v/>
      </c>
    </row>
    <row r="95" spans="1:6" x14ac:dyDescent="0.2">
      <c r="B95" s="31" t="s">
        <v>35</v>
      </c>
      <c r="C95" s="31"/>
      <c r="D95" s="61">
        <f>SUM(D67:D94)</f>
        <v>8927976</v>
      </c>
      <c r="E95" s="32">
        <f>SUM(E67:E94)</f>
        <v>31617963</v>
      </c>
      <c r="F95" s="33">
        <f t="shared" si="5"/>
        <v>3.5414480280860969</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IF(F3="1",SUMIF(Data!A:A,'38'!$A$2,Data!AH:AH),0)</f>
        <v>14643946</v>
      </c>
      <c r="F98" s="21">
        <f t="shared" ref="F98:F105" si="6">IFERROR(E98/$D$95,0)</f>
        <v>1.6402313357473184</v>
      </c>
    </row>
    <row r="99" spans="2:6" x14ac:dyDescent="0.2">
      <c r="B99" s="190" t="s">
        <v>31</v>
      </c>
      <c r="C99" s="191"/>
      <c r="D99" s="37"/>
      <c r="E99" s="18">
        <f>IF(F3="1",SUMIF(Data!A:A,'38'!$A$2,Data!AI:AI),0)</f>
        <v>6858009</v>
      </c>
      <c r="F99" s="22">
        <f t="shared" si="6"/>
        <v>0.76814823426944701</v>
      </c>
    </row>
    <row r="100" spans="2:6" x14ac:dyDescent="0.2">
      <c r="B100" s="190" t="s">
        <v>32</v>
      </c>
      <c r="C100" s="191"/>
      <c r="D100" s="37"/>
      <c r="E100" s="18">
        <f>IF(F3="1",SUMIF(Data!A:A,'38'!$A$2,Data!AJ:AJ),0)</f>
        <v>5669832</v>
      </c>
      <c r="F100" s="22">
        <f t="shared" si="6"/>
        <v>0.63506353511702984</v>
      </c>
    </row>
    <row r="101" spans="2:6" x14ac:dyDescent="0.2">
      <c r="B101" s="190" t="s">
        <v>28</v>
      </c>
      <c r="C101" s="191"/>
      <c r="D101" s="37"/>
      <c r="E101" s="18">
        <f>IF(F3="1",SUMIF(Data!A:A,'38'!$A$2,Data!AK:AK),0)</f>
        <v>0</v>
      </c>
      <c r="F101" s="22">
        <f t="shared" si="6"/>
        <v>0</v>
      </c>
    </row>
    <row r="102" spans="2:6" x14ac:dyDescent="0.2">
      <c r="B102" s="190" t="s">
        <v>33</v>
      </c>
      <c r="C102" s="191"/>
      <c r="D102" s="37"/>
      <c r="E102" s="18">
        <f>IF(F3="1",SUMIF(Data!A:A,'38'!$A$2,Data!AL:AL),0)</f>
        <v>0</v>
      </c>
      <c r="F102" s="22">
        <f t="shared" si="6"/>
        <v>0</v>
      </c>
    </row>
    <row r="103" spans="2:6" x14ac:dyDescent="0.2">
      <c r="B103" s="192" t="s">
        <v>34</v>
      </c>
      <c r="C103" s="193"/>
      <c r="D103" s="37"/>
      <c r="E103" s="18">
        <f>IF(F3="1",SUMIF(Data!A:A,'38'!$A$2,Data!AM:AM),0)</f>
        <v>2328106</v>
      </c>
      <c r="F103" s="22">
        <f t="shared" si="6"/>
        <v>0.26076526191378652</v>
      </c>
    </row>
    <row r="104" spans="2:6" ht="15.75" customHeight="1" thickBot="1" x14ac:dyDescent="0.25">
      <c r="B104" s="182" t="s">
        <v>29</v>
      </c>
      <c r="C104" s="183"/>
      <c r="D104" s="38"/>
      <c r="E104" s="25">
        <f>IF(F3="1",SUMIF(Data!A:A,'38'!$A$2,Data!Q:Q),0)</f>
        <v>2335704</v>
      </c>
      <c r="F104" s="26">
        <f t="shared" si="6"/>
        <v>0.26161629466745878</v>
      </c>
    </row>
    <row r="105" spans="2:6" x14ac:dyDescent="0.2">
      <c r="B105" s="31" t="s">
        <v>35</v>
      </c>
      <c r="C105" s="31"/>
      <c r="D105" s="35">
        <f>D95</f>
        <v>8927976</v>
      </c>
      <c r="E105" s="32">
        <f>SUM(E98:E104)</f>
        <v>31835597</v>
      </c>
      <c r="F105" s="33">
        <f t="shared" si="6"/>
        <v>3.5658246617150406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31617963</v>
      </c>
      <c r="D109" s="16">
        <f>IF(F3="1",SUMIF(Data!$A:$A,$A$2,Data!HJ:HJ),0)</f>
        <v>0</v>
      </c>
      <c r="E109" s="16">
        <f>IF(F3="1",SUMIF(Data!$A:$A,$A$2,Data!IN:IN),0)</f>
        <v>0</v>
      </c>
      <c r="F109" s="48">
        <f>SUM(C109:E109)</f>
        <v>31617963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2335704</v>
      </c>
      <c r="E117" s="53"/>
      <c r="F117" s="50">
        <f>SUM(C117:E117)</f>
        <v>2335704</v>
      </c>
    </row>
    <row r="118" spans="1:6" x14ac:dyDescent="0.2">
      <c r="B118" s="14" t="s">
        <v>35</v>
      </c>
      <c r="C118" s="5">
        <f>SUM(C109:C116)</f>
        <v>31617963</v>
      </c>
      <c r="D118" s="5">
        <f>SUM(D109:D116)</f>
        <v>0</v>
      </c>
      <c r="E118" s="5">
        <f>SUM(E109:E116)</f>
        <v>0</v>
      </c>
      <c r="F118" s="5">
        <f>SUM(F109:F116)</f>
        <v>31617963</v>
      </c>
    </row>
    <row r="119" spans="1:6" ht="15" thickBot="1" x14ac:dyDescent="0.25"/>
    <row r="120" spans="1:6" ht="15" thickBot="1" x14ac:dyDescent="0.25">
      <c r="B120" s="57" t="s">
        <v>942</v>
      </c>
      <c r="C120" s="55"/>
      <c r="D120" s="55"/>
      <c r="E120" s="55">
        <f>IF(F3="1",SUMIF(Data!A:A,'38'!$A$2,Data!AM:AM),0)</f>
        <v>2328106</v>
      </c>
      <c r="F120" s="56">
        <f>SUM(C120:E120)</f>
        <v>2328106</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400</v>
      </c>
      <c r="B2" s="60" t="str">
        <f>VLOOKUP(A2,Data!A:G,7,0)</f>
        <v>Southwest Texas Junior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23104</v>
      </c>
      <c r="E5" s="16">
        <f>E36+E67+IFERROR($E$105/$D$105*D5,0)</f>
        <v>174131.64688270347</v>
      </c>
      <c r="F5" s="21">
        <f>IFERROR(E5/D5,"")</f>
        <v>7.5368614474854345</v>
      </c>
    </row>
    <row r="6" spans="1:6" x14ac:dyDescent="0.2">
      <c r="A6" s="20">
        <v>2</v>
      </c>
      <c r="B6" s="184" t="s">
        <v>1</v>
      </c>
      <c r="C6" s="185"/>
      <c r="D6" s="15">
        <f t="shared" ref="D6:D32" si="0">D37</f>
        <v>11536</v>
      </c>
      <c r="E6" s="18">
        <f t="shared" ref="E6:E32" si="1">E37+E68+IFERROR($E$105/$D$105*D6,0)</f>
        <v>109268.61177453547</v>
      </c>
      <c r="F6" s="22">
        <f t="shared" ref="F6:F33" si="2">IFERROR(E6/D6,"")</f>
        <v>9.4719670400949614</v>
      </c>
    </row>
    <row r="7" spans="1:6" ht="14.25" customHeight="1" x14ac:dyDescent="0.2">
      <c r="A7" s="20">
        <v>3</v>
      </c>
      <c r="B7" s="184" t="s">
        <v>2</v>
      </c>
      <c r="C7" s="185"/>
      <c r="D7" s="15">
        <f t="shared" si="0"/>
        <v>232656</v>
      </c>
      <c r="E7" s="18">
        <f t="shared" si="1"/>
        <v>1583832.8471754787</v>
      </c>
      <c r="F7" s="22">
        <f t="shared" si="2"/>
        <v>6.8076165977902079</v>
      </c>
    </row>
    <row r="8" spans="1:6" ht="14.25" customHeight="1" x14ac:dyDescent="0.2">
      <c r="A8" s="20">
        <v>4</v>
      </c>
      <c r="B8" s="184" t="s">
        <v>3</v>
      </c>
      <c r="C8" s="185"/>
      <c r="D8" s="15">
        <f t="shared" si="0"/>
        <v>112478</v>
      </c>
      <c r="E8" s="18">
        <f t="shared" si="1"/>
        <v>989243.6162600728</v>
      </c>
      <c r="F8" s="22">
        <f t="shared" si="2"/>
        <v>8.7949964994049754</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5856</v>
      </c>
      <c r="E10" s="18">
        <f t="shared" si="1"/>
        <v>56412.470054757257</v>
      </c>
      <c r="F10" s="22">
        <f t="shared" si="2"/>
        <v>9.6332769902249407</v>
      </c>
    </row>
    <row r="11" spans="1:6" x14ac:dyDescent="0.2">
      <c r="A11" s="20">
        <v>7</v>
      </c>
      <c r="B11" s="184" t="s">
        <v>6</v>
      </c>
      <c r="C11" s="185"/>
      <c r="D11" s="15">
        <f t="shared" si="0"/>
        <v>110848</v>
      </c>
      <c r="E11" s="18">
        <f t="shared" si="1"/>
        <v>587748.42770316463</v>
      </c>
      <c r="F11" s="22">
        <f t="shared" si="2"/>
        <v>5.3022916760172905</v>
      </c>
    </row>
    <row r="12" spans="1:6" x14ac:dyDescent="0.2">
      <c r="A12" s="20">
        <v>8</v>
      </c>
      <c r="B12" s="184" t="s">
        <v>7</v>
      </c>
      <c r="C12" s="185"/>
      <c r="D12" s="15">
        <f t="shared" si="0"/>
        <v>15360</v>
      </c>
      <c r="E12" s="18">
        <f t="shared" si="1"/>
        <v>97360.200143625581</v>
      </c>
      <c r="F12" s="22">
        <f t="shared" si="2"/>
        <v>6.3385546968506237</v>
      </c>
    </row>
    <row r="13" spans="1:6" x14ac:dyDescent="0.2">
      <c r="A13" s="20">
        <v>9</v>
      </c>
      <c r="B13" s="184" t="s">
        <v>8</v>
      </c>
      <c r="C13" s="185"/>
      <c r="D13" s="15">
        <f t="shared" si="0"/>
        <v>97653</v>
      </c>
      <c r="E13" s="18">
        <f t="shared" si="1"/>
        <v>656883.80622561648</v>
      </c>
      <c r="F13" s="22">
        <f t="shared" si="2"/>
        <v>6.7267140407935901</v>
      </c>
    </row>
    <row r="14" spans="1:6" x14ac:dyDescent="0.2">
      <c r="A14" s="20">
        <v>10</v>
      </c>
      <c r="B14" s="184" t="s">
        <v>9</v>
      </c>
      <c r="C14" s="185"/>
      <c r="D14" s="15">
        <f t="shared" si="0"/>
        <v>1056</v>
      </c>
      <c r="E14" s="18">
        <f t="shared" si="1"/>
        <v>9724.9700098742578</v>
      </c>
      <c r="F14" s="22">
        <f t="shared" si="2"/>
        <v>9.2092519032900171</v>
      </c>
    </row>
    <row r="15" spans="1:6" x14ac:dyDescent="0.2">
      <c r="A15" s="20">
        <v>11</v>
      </c>
      <c r="B15" s="184" t="s">
        <v>10</v>
      </c>
      <c r="C15" s="185"/>
      <c r="D15" s="15">
        <f t="shared" si="0"/>
        <v>16256</v>
      </c>
      <c r="E15" s="18">
        <f t="shared" si="1"/>
        <v>179061.05348533706</v>
      </c>
      <c r="F15" s="22">
        <f t="shared" si="2"/>
        <v>11.015074648458235</v>
      </c>
    </row>
    <row r="16" spans="1:6" ht="14.25" customHeight="1" x14ac:dyDescent="0.2">
      <c r="A16" s="20">
        <v>12</v>
      </c>
      <c r="B16" s="184" t="s">
        <v>11</v>
      </c>
      <c r="C16" s="185"/>
      <c r="D16" s="15">
        <f t="shared" si="0"/>
        <v>380192</v>
      </c>
      <c r="E16" s="18">
        <f t="shared" si="1"/>
        <v>2601110.6268883655</v>
      </c>
      <c r="F16" s="22">
        <f t="shared" si="2"/>
        <v>6.8415711716405543</v>
      </c>
    </row>
    <row r="17" spans="1:6" x14ac:dyDescent="0.2">
      <c r="A17" s="20">
        <v>13</v>
      </c>
      <c r="B17" s="184" t="s">
        <v>12</v>
      </c>
      <c r="C17" s="185"/>
      <c r="D17" s="15">
        <f t="shared" si="0"/>
        <v>30784</v>
      </c>
      <c r="E17" s="18">
        <f t="shared" si="1"/>
        <v>127225.24695451627</v>
      </c>
      <c r="F17" s="22">
        <f t="shared" si="2"/>
        <v>4.1328367643748791</v>
      </c>
    </row>
    <row r="18" spans="1:6" ht="14.25" customHeight="1" x14ac:dyDescent="0.2">
      <c r="A18" s="20">
        <v>14</v>
      </c>
      <c r="B18" s="184" t="s">
        <v>469</v>
      </c>
      <c r="C18" s="185"/>
      <c r="D18" s="15">
        <f t="shared" si="0"/>
        <v>24000</v>
      </c>
      <c r="E18" s="18">
        <f t="shared" si="1"/>
        <v>266164.50022441498</v>
      </c>
      <c r="F18" s="22">
        <f t="shared" si="2"/>
        <v>11.090187509350624</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32413</v>
      </c>
      <c r="E20" s="18">
        <f t="shared" si="1"/>
        <v>239780.23478224844</v>
      </c>
      <c r="F20" s="22">
        <f t="shared" si="2"/>
        <v>7.3976563348733055</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102640</v>
      </c>
      <c r="E22" s="18">
        <f t="shared" si="1"/>
        <v>980658.84262641473</v>
      </c>
      <c r="F22" s="22">
        <f t="shared" si="2"/>
        <v>9.5543534940219672</v>
      </c>
    </row>
    <row r="23" spans="1:6" x14ac:dyDescent="0.2">
      <c r="A23" s="20">
        <v>19</v>
      </c>
      <c r="B23" s="184" t="s">
        <v>17</v>
      </c>
      <c r="C23" s="185"/>
      <c r="D23" s="15">
        <f t="shared" si="0"/>
        <v>235456</v>
      </c>
      <c r="E23" s="18">
        <f t="shared" si="1"/>
        <v>1791558.8888683273</v>
      </c>
      <c r="F23" s="22">
        <f t="shared" si="2"/>
        <v>7.6088903611219392</v>
      </c>
    </row>
    <row r="24" spans="1:6" x14ac:dyDescent="0.2">
      <c r="A24" s="20">
        <v>20</v>
      </c>
      <c r="B24" s="184" t="s">
        <v>18</v>
      </c>
      <c r="C24" s="185"/>
      <c r="D24" s="15">
        <f t="shared" si="0"/>
        <v>42112</v>
      </c>
      <c r="E24" s="18">
        <f t="shared" si="1"/>
        <v>408045.10706044012</v>
      </c>
      <c r="F24" s="22">
        <f t="shared" si="2"/>
        <v>9.6895209693303599</v>
      </c>
    </row>
    <row r="25" spans="1:6" ht="14.25" customHeight="1" x14ac:dyDescent="0.2">
      <c r="A25" s="20">
        <v>21</v>
      </c>
      <c r="B25" s="184" t="s">
        <v>466</v>
      </c>
      <c r="C25" s="185"/>
      <c r="D25" s="15">
        <f t="shared" si="0"/>
        <v>27090</v>
      </c>
      <c r="E25" s="18">
        <f t="shared" si="1"/>
        <v>474083.75337830838</v>
      </c>
      <c r="F25" s="22">
        <f t="shared" si="2"/>
        <v>17.500323122122865</v>
      </c>
    </row>
    <row r="26" spans="1:6" x14ac:dyDescent="0.2">
      <c r="A26" s="20">
        <v>22</v>
      </c>
      <c r="B26" s="184" t="s">
        <v>19</v>
      </c>
      <c r="C26" s="185"/>
      <c r="D26" s="15">
        <f t="shared" si="0"/>
        <v>5376</v>
      </c>
      <c r="E26" s="18">
        <f t="shared" si="1"/>
        <v>50515.120050268953</v>
      </c>
      <c r="F26" s="22">
        <f t="shared" si="2"/>
        <v>9.3964136998268142</v>
      </c>
    </row>
    <row r="27" spans="1:6" x14ac:dyDescent="0.2">
      <c r="A27" s="20">
        <v>23</v>
      </c>
      <c r="B27" s="184" t="s">
        <v>20</v>
      </c>
      <c r="C27" s="185"/>
      <c r="D27" s="15">
        <f t="shared" si="0"/>
        <v>70048</v>
      </c>
      <c r="E27" s="18">
        <f t="shared" si="1"/>
        <v>581924.67732165917</v>
      </c>
      <c r="F27" s="22">
        <f t="shared" si="2"/>
        <v>8.3075130956152812</v>
      </c>
    </row>
    <row r="28" spans="1:6" x14ac:dyDescent="0.2">
      <c r="A28" s="20">
        <v>24</v>
      </c>
      <c r="B28" s="184" t="s">
        <v>21</v>
      </c>
      <c r="C28" s="185"/>
      <c r="D28" s="15">
        <f t="shared" si="0"/>
        <v>109769</v>
      </c>
      <c r="E28" s="18">
        <f t="shared" si="1"/>
        <v>684305.84092224203</v>
      </c>
      <c r="F28" s="22">
        <f t="shared" si="2"/>
        <v>6.2340537029784553</v>
      </c>
    </row>
    <row r="29" spans="1:6" x14ac:dyDescent="0.2">
      <c r="A29" s="20">
        <v>25</v>
      </c>
      <c r="B29" s="184" t="s">
        <v>22</v>
      </c>
      <c r="C29" s="185"/>
      <c r="D29" s="15">
        <f t="shared" si="0"/>
        <v>410512</v>
      </c>
      <c r="E29" s="18">
        <f t="shared" si="1"/>
        <v>2588199.7355052102</v>
      </c>
      <c r="F29" s="22">
        <f t="shared" si="2"/>
        <v>6.3048089593122985</v>
      </c>
    </row>
    <row r="30" spans="1:6" x14ac:dyDescent="0.2">
      <c r="A30" s="20">
        <v>26</v>
      </c>
      <c r="B30" s="184" t="s">
        <v>23</v>
      </c>
      <c r="C30" s="185"/>
      <c r="D30" s="15">
        <f t="shared" si="0"/>
        <v>75120</v>
      </c>
      <c r="E30" s="18">
        <f t="shared" si="1"/>
        <v>472359.77570241888</v>
      </c>
      <c r="F30" s="22">
        <f t="shared" si="2"/>
        <v>6.2880694316083448</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2172315</v>
      </c>
      <c r="E33" s="32">
        <f>SUM(E5:E32)</f>
        <v>15709600.000000002</v>
      </c>
      <c r="F33" s="33">
        <f t="shared" si="2"/>
        <v>7.2317320462271821</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IF(F3="1",SUMIF(Data!A:A,'39'!$A$2,Data!CU:CU),0)</f>
        <v>23104</v>
      </c>
      <c r="E36" s="16">
        <f>IF(F3="1",SUMIF(Data!$A:$A,'39'!$A$2,Data!IO:IO),0)</f>
        <v>12595</v>
      </c>
      <c r="F36" s="21">
        <f t="shared" ref="F36:F64" si="3">IFERROR(E36/D36,"")</f>
        <v>0.54514369806094187</v>
      </c>
    </row>
    <row r="37" spans="1:6" x14ac:dyDescent="0.2">
      <c r="A37" s="20">
        <v>2</v>
      </c>
      <c r="B37" s="184" t="s">
        <v>1</v>
      </c>
      <c r="C37" s="185"/>
      <c r="D37" s="15">
        <f>IF(F3="1",SUMIF(Data!A:A,'39'!$A$2,Data!CV:CV),0)</f>
        <v>11536</v>
      </c>
      <c r="E37" s="18">
        <f>IF(F3="1",SUMIF(Data!$A:$A,'39'!$A$2,Data!IP:IP),0)</f>
        <v>18140</v>
      </c>
      <c r="F37" s="22">
        <f t="shared" si="3"/>
        <v>1.5724687933425798</v>
      </c>
    </row>
    <row r="38" spans="1:6" ht="14.25" customHeight="1" x14ac:dyDescent="0.2">
      <c r="A38" s="20">
        <v>3</v>
      </c>
      <c r="B38" s="184" t="s">
        <v>2</v>
      </c>
      <c r="C38" s="185"/>
      <c r="D38" s="15">
        <f>IF(F3="1",SUMIF(Data!A:A,'39'!$A$2,Data!CW:CW),0)</f>
        <v>232656</v>
      </c>
      <c r="E38" s="18">
        <f>IF(F3="1",SUMIF(Data!$A:$A,'39'!$A$2,Data!IQ:IQ),0)</f>
        <v>122652</v>
      </c>
      <c r="F38" s="22">
        <f t="shared" si="3"/>
        <v>0.52718176191458632</v>
      </c>
    </row>
    <row r="39" spans="1:6" ht="14.25" customHeight="1" x14ac:dyDescent="0.2">
      <c r="A39" s="20">
        <v>4</v>
      </c>
      <c r="B39" s="184" t="s">
        <v>3</v>
      </c>
      <c r="C39" s="185"/>
      <c r="D39" s="15">
        <f>IF(F3="1",SUMIF(Data!A:A,'39'!$A$2,Data!CX:CX),0)</f>
        <v>112478</v>
      </c>
      <c r="E39" s="18">
        <f>IF(F3="1",SUMIF(Data!$A:$A,'39'!$A$2,Data!IR:IR),0)</f>
        <v>124274</v>
      </c>
      <c r="F39" s="22">
        <f t="shared" si="3"/>
        <v>1.104873841995768</v>
      </c>
    </row>
    <row r="40" spans="1:6" x14ac:dyDescent="0.2">
      <c r="A40" s="20">
        <v>5</v>
      </c>
      <c r="B40" s="184" t="s">
        <v>4</v>
      </c>
      <c r="C40" s="185"/>
      <c r="D40" s="15">
        <f>IF(F3="1",SUMIF(Data!A:A,'39'!$A$2,Data!CY:CY),0)</f>
        <v>0</v>
      </c>
      <c r="E40" s="18">
        <f>IF(F3="1",SUMIF(Data!$A:$A,'39'!$A$2,Data!IS:IS),0)</f>
        <v>0</v>
      </c>
      <c r="F40" s="22" t="str">
        <f t="shared" si="3"/>
        <v/>
      </c>
    </row>
    <row r="41" spans="1:6" x14ac:dyDescent="0.2">
      <c r="A41" s="20">
        <v>6</v>
      </c>
      <c r="B41" s="184" t="s">
        <v>5</v>
      </c>
      <c r="C41" s="185"/>
      <c r="D41" s="15">
        <f>IF(F3="1",SUMIF(Data!A:A,'39'!$A$2,Data!CZ:CZ),0)</f>
        <v>5856</v>
      </c>
      <c r="E41" s="18">
        <f>IF(F3="1",SUMIF(Data!$A:$A,'39'!$A$2,Data!IT:IT),0)</f>
        <v>6079</v>
      </c>
      <c r="F41" s="22">
        <f t="shared" si="3"/>
        <v>1.0380806010928962</v>
      </c>
    </row>
    <row r="42" spans="1:6" x14ac:dyDescent="0.2">
      <c r="A42" s="20">
        <v>7</v>
      </c>
      <c r="B42" s="184" t="s">
        <v>6</v>
      </c>
      <c r="C42" s="185"/>
      <c r="D42" s="15">
        <f>IF(F3="1",SUMIF(Data!A:A,'39'!$A$2,Data!DA:DA),0)</f>
        <v>110848</v>
      </c>
      <c r="E42" s="18">
        <f>IF(F3="1",SUMIF(Data!$A:$A,'39'!$A$2,Data!IU:IU),0)</f>
        <v>20976</v>
      </c>
      <c r="F42" s="22">
        <f t="shared" si="3"/>
        <v>0.18923210161662818</v>
      </c>
    </row>
    <row r="43" spans="1:6" x14ac:dyDescent="0.2">
      <c r="A43" s="20">
        <v>8</v>
      </c>
      <c r="B43" s="184" t="s">
        <v>7</v>
      </c>
      <c r="C43" s="185"/>
      <c r="D43" s="15">
        <f>IF(F3="1",SUMIF(Data!A:A,'39'!$A$2,Data!DB:DB),0)</f>
        <v>15360</v>
      </c>
      <c r="E43" s="18">
        <f>IF(F3="1",SUMIF(Data!$A:$A,'39'!$A$2,Data!IV:IV),0)</f>
        <v>13377</v>
      </c>
      <c r="F43" s="22">
        <f t="shared" si="3"/>
        <v>0.87089843749999996</v>
      </c>
    </row>
    <row r="44" spans="1:6" x14ac:dyDescent="0.2">
      <c r="A44" s="20">
        <v>9</v>
      </c>
      <c r="B44" s="184" t="s">
        <v>8</v>
      </c>
      <c r="C44" s="185"/>
      <c r="D44" s="15">
        <f>IF(F3="1",SUMIF(Data!A:A,'39'!$A$2,Data!DC:DC),0)</f>
        <v>97653</v>
      </c>
      <c r="E44" s="18">
        <f>IF(F3="1",SUMIF(Data!$A:$A,'39'!$A$2,Data!IW:IW),0)</f>
        <v>55999</v>
      </c>
      <c r="F44" s="22">
        <f t="shared" si="3"/>
        <v>0.57344884437754085</v>
      </c>
    </row>
    <row r="45" spans="1:6" x14ac:dyDescent="0.2">
      <c r="A45" s="20">
        <v>10</v>
      </c>
      <c r="B45" s="184" t="s">
        <v>9</v>
      </c>
      <c r="C45" s="185"/>
      <c r="D45" s="15">
        <f>IF(F3="1",SUMIF(Data!A:A,'39'!$A$2,Data!DD:DD),0)</f>
        <v>1056</v>
      </c>
      <c r="E45" s="18">
        <f>IF(F3="1",SUMIF(Data!$A:$A,'39'!$A$2,Data!IX:IX),0)</f>
        <v>6345</v>
      </c>
      <c r="F45" s="22">
        <f t="shared" si="3"/>
        <v>6.0085227272727275</v>
      </c>
    </row>
    <row r="46" spans="1:6" x14ac:dyDescent="0.2">
      <c r="A46" s="20">
        <v>11</v>
      </c>
      <c r="B46" s="184" t="s">
        <v>10</v>
      </c>
      <c r="C46" s="185"/>
      <c r="D46" s="15">
        <f>IF(F3="1",SUMIF(Data!A:A,'39'!$A$2,Data!DE:DE),0)</f>
        <v>16256</v>
      </c>
      <c r="E46" s="18">
        <f>IF(F3="1",SUMIF(Data!$A:$A,'39'!$A$2,Data!IY:IY),0)</f>
        <v>-18886</v>
      </c>
      <c r="F46" s="22">
        <f t="shared" si="3"/>
        <v>-1.1617864173228347</v>
      </c>
    </row>
    <row r="47" spans="1:6" ht="14.25" customHeight="1" x14ac:dyDescent="0.2">
      <c r="A47" s="20">
        <v>12</v>
      </c>
      <c r="B47" s="184" t="s">
        <v>11</v>
      </c>
      <c r="C47" s="185"/>
      <c r="D47" s="15">
        <f>IF(F3="1",SUMIF(Data!A:A,'39'!$A$2,Data!DF:DF),0)</f>
        <v>380192</v>
      </c>
      <c r="E47" s="18">
        <f>IF(F3="1",SUMIF(Data!$A:$A,'39'!$A$2,Data!IZ:IZ),0)</f>
        <v>244921</v>
      </c>
      <c r="F47" s="22">
        <f t="shared" si="3"/>
        <v>0.64420345509637233</v>
      </c>
    </row>
    <row r="48" spans="1:6" x14ac:dyDescent="0.2">
      <c r="A48" s="20">
        <v>13</v>
      </c>
      <c r="B48" s="184" t="s">
        <v>12</v>
      </c>
      <c r="C48" s="185"/>
      <c r="D48" s="15">
        <f>IF(F3="1",SUMIF(Data!A:A,'39'!$A$2,Data!DG:DG),0)</f>
        <v>30784</v>
      </c>
      <c r="E48" s="18">
        <f>IF(F3="1",SUMIF(Data!$A:$A,'39'!$A$2,Data!JA:JA),0)</f>
        <v>4549</v>
      </c>
      <c r="F48" s="22">
        <f t="shared" si="3"/>
        <v>0.14777156964656965</v>
      </c>
    </row>
    <row r="49" spans="1:6" ht="14.25" customHeight="1" x14ac:dyDescent="0.2">
      <c r="A49" s="20">
        <v>14</v>
      </c>
      <c r="B49" s="184" t="s">
        <v>469</v>
      </c>
      <c r="C49" s="185"/>
      <c r="D49" s="15">
        <f>IF(F3="1",SUMIF(Data!A:A,'39'!$A$2,Data!DH:DH),0)</f>
        <v>24000</v>
      </c>
      <c r="E49" s="18">
        <f>IF(F3="1",SUMIF(Data!$A:$A,'39'!$A$2,Data!JB:JB),0)</f>
        <v>25609</v>
      </c>
      <c r="F49" s="22">
        <f t="shared" si="3"/>
        <v>1.0670416666666667</v>
      </c>
    </row>
    <row r="50" spans="1:6" x14ac:dyDescent="0.2">
      <c r="A50" s="20">
        <v>15</v>
      </c>
      <c r="B50" s="184" t="s">
        <v>13</v>
      </c>
      <c r="C50" s="185"/>
      <c r="D50" s="15">
        <f>IF(F3="1",SUMIF(Data!A:A,'39'!$A$2,Data!DI:DI),0)</f>
        <v>0</v>
      </c>
      <c r="E50" s="18">
        <f>IF(F3="1",SUMIF(Data!$A:$A,'39'!$A$2,Data!JC:JC),0)</f>
        <v>0</v>
      </c>
      <c r="F50" s="22" t="str">
        <f t="shared" si="3"/>
        <v/>
      </c>
    </row>
    <row r="51" spans="1:6" x14ac:dyDescent="0.2">
      <c r="A51" s="20">
        <v>16</v>
      </c>
      <c r="B51" s="184" t="s">
        <v>14</v>
      </c>
      <c r="C51" s="185"/>
      <c r="D51" s="15">
        <f>IF(F3="1",SUMIF(Data!A:A,'39'!$A$2,Data!DJ:DJ),0)</f>
        <v>32413</v>
      </c>
      <c r="E51" s="18">
        <f>IF(F3="1",SUMIF(Data!$A:$A,'39'!$A$2,Data!JD:JD),0)</f>
        <v>62115</v>
      </c>
      <c r="F51" s="22">
        <f t="shared" si="3"/>
        <v>1.9163607194644123</v>
      </c>
    </row>
    <row r="52" spans="1:6" x14ac:dyDescent="0.2">
      <c r="A52" s="20">
        <v>17</v>
      </c>
      <c r="B52" s="184" t="s">
        <v>15</v>
      </c>
      <c r="C52" s="185"/>
      <c r="D52" s="15">
        <f>IF(F3="1",SUMIF(Data!A:A,'39'!$A$2,Data!DK:DK),0)</f>
        <v>0</v>
      </c>
      <c r="E52" s="18">
        <f>IF(F3="1",SUMIF(Data!$A:$A,'39'!$A$2,Data!JE:JE),0)</f>
        <v>0</v>
      </c>
      <c r="F52" s="22" t="str">
        <f t="shared" si="3"/>
        <v/>
      </c>
    </row>
    <row r="53" spans="1:6" x14ac:dyDescent="0.2">
      <c r="A53" s="20">
        <v>18</v>
      </c>
      <c r="B53" s="184" t="s">
        <v>16</v>
      </c>
      <c r="C53" s="185"/>
      <c r="D53" s="15">
        <f>IF(F3="1",SUMIF(Data!A:A,'39'!$A$2,Data!DL:DL),0)</f>
        <v>102640</v>
      </c>
      <c r="E53" s="18">
        <f>IF(F3="1",SUMIF(Data!$A:$A,'39'!$A$2,Data!JF:JF),0)</f>
        <v>135708</v>
      </c>
      <c r="F53" s="22">
        <f t="shared" si="3"/>
        <v>1.322174590802806</v>
      </c>
    </row>
    <row r="54" spans="1:6" x14ac:dyDescent="0.2">
      <c r="A54" s="20">
        <v>19</v>
      </c>
      <c r="B54" s="184" t="s">
        <v>17</v>
      </c>
      <c r="C54" s="185"/>
      <c r="D54" s="15">
        <f>IF(F3="1",SUMIF(Data!A:A,'39'!$A$2,Data!DM:DM),0)</f>
        <v>235456</v>
      </c>
      <c r="E54" s="18">
        <f>IF(F3="1",SUMIF(Data!$A:$A,'39'!$A$2,Data!JG:JG),0)</f>
        <v>204029</v>
      </c>
      <c r="F54" s="22">
        <f t="shared" si="3"/>
        <v>0.86652707936939388</v>
      </c>
    </row>
    <row r="55" spans="1:6" x14ac:dyDescent="0.2">
      <c r="A55" s="20">
        <v>20</v>
      </c>
      <c r="B55" s="184" t="s">
        <v>18</v>
      </c>
      <c r="C55" s="185"/>
      <c r="D55" s="15">
        <f>IF(F3="1",SUMIF(Data!A:A,'39'!$A$2,Data!DN:DN),0)</f>
        <v>42112</v>
      </c>
      <c r="E55" s="18">
        <f>IF(F3="1",SUMIF(Data!$A:$A,'39'!$A$2,Data!JH:JH),0)</f>
        <v>58967</v>
      </c>
      <c r="F55" s="22">
        <f t="shared" si="3"/>
        <v>1.4002422112462005</v>
      </c>
    </row>
    <row r="56" spans="1:6" ht="14.25" customHeight="1" x14ac:dyDescent="0.2">
      <c r="A56" s="20">
        <v>21</v>
      </c>
      <c r="B56" s="184" t="s">
        <v>466</v>
      </c>
      <c r="C56" s="185"/>
      <c r="D56" s="15">
        <f>IF(F3="1",SUMIF(Data!A:A,'39'!$A$2,Data!DO:DO),0)</f>
        <v>27090</v>
      </c>
      <c r="E56" s="18">
        <f>IF(F3="1",SUMIF(Data!$A:$A,'39'!$A$2,Data!JI:JI),0)</f>
        <v>337587</v>
      </c>
      <c r="F56" s="22">
        <f t="shared" si="3"/>
        <v>12.461683277962347</v>
      </c>
    </row>
    <row r="57" spans="1:6" x14ac:dyDescent="0.2">
      <c r="A57" s="20">
        <v>22</v>
      </c>
      <c r="B57" s="184" t="s">
        <v>19</v>
      </c>
      <c r="C57" s="185"/>
      <c r="D57" s="15">
        <f>IF(F3="1",SUMIF(Data!A:A,'39'!$A$2,Data!DP:DP),0)</f>
        <v>5376</v>
      </c>
      <c r="E57" s="18">
        <f>IF(F3="1",SUMIF(Data!$A:$A,'39'!$A$2,Data!JJ:JJ),0)</f>
        <v>33308</v>
      </c>
      <c r="F57" s="22">
        <f t="shared" si="3"/>
        <v>6.1956845238095237</v>
      </c>
    </row>
    <row r="58" spans="1:6" x14ac:dyDescent="0.2">
      <c r="A58" s="20">
        <v>23</v>
      </c>
      <c r="B58" s="184" t="s">
        <v>20</v>
      </c>
      <c r="C58" s="185"/>
      <c r="D58" s="15">
        <f>IF(F3="1",SUMIF(Data!A:A,'39'!$A$2,Data!DQ:DQ),0)</f>
        <v>70048</v>
      </c>
      <c r="E58" s="18">
        <f>IF(F3="1",SUMIF(Data!$A:$A,'39'!$A$2,Data!JK:JK),0)</f>
        <v>115982</v>
      </c>
      <c r="F58" s="22">
        <f t="shared" si="3"/>
        <v>1.655750342622202</v>
      </c>
    </row>
    <row r="59" spans="1:6" x14ac:dyDescent="0.2">
      <c r="A59" s="20">
        <v>24</v>
      </c>
      <c r="B59" s="184" t="s">
        <v>21</v>
      </c>
      <c r="C59" s="185"/>
      <c r="D59" s="15">
        <f>IF(F3="1",SUMIF(Data!A:A,'39'!$A$2,Data!DR:DR),0)</f>
        <v>109769</v>
      </c>
      <c r="E59" s="18">
        <f>IF(F3="1",SUMIF(Data!$A:$A,'39'!$A$2,Data!JL:JL),0)</f>
        <v>155136</v>
      </c>
      <c r="F59" s="22">
        <f t="shared" si="3"/>
        <v>1.4132951926317996</v>
      </c>
    </row>
    <row r="60" spans="1:6" x14ac:dyDescent="0.2">
      <c r="A60" s="20">
        <v>25</v>
      </c>
      <c r="B60" s="184" t="s">
        <v>22</v>
      </c>
      <c r="C60" s="185"/>
      <c r="D60" s="15">
        <f>IF(F3="1",SUMIF(Data!A:A,'39'!$A$2,Data!DS:DS),0)</f>
        <v>410512</v>
      </c>
      <c r="E60" s="18">
        <f>IF(F3="1",SUMIF(Data!$A:$A,'39'!$A$2,Data!JM:JM),0)</f>
        <v>112859</v>
      </c>
      <c r="F60" s="22">
        <f t="shared" si="3"/>
        <v>0.27492253576022141</v>
      </c>
    </row>
    <row r="61" spans="1:6" x14ac:dyDescent="0.2">
      <c r="A61" s="20">
        <v>26</v>
      </c>
      <c r="B61" s="184" t="s">
        <v>23</v>
      </c>
      <c r="C61" s="185"/>
      <c r="D61" s="15">
        <f>IF(F3="1",SUMIF(Data!A:A,'39'!$A$2,Data!DT:DT),0)</f>
        <v>75120</v>
      </c>
      <c r="E61" s="18">
        <f>IF(F3="1",SUMIF(Data!$A:$A,'39'!$A$2,Data!JN:JN),0)</f>
        <v>28690</v>
      </c>
      <c r="F61" s="22">
        <f t="shared" si="3"/>
        <v>0.38192225772097976</v>
      </c>
    </row>
    <row r="62" spans="1:6" x14ac:dyDescent="0.2">
      <c r="A62" s="20">
        <v>28</v>
      </c>
      <c r="B62" s="184" t="s">
        <v>24</v>
      </c>
      <c r="C62" s="185"/>
      <c r="D62" s="15">
        <f>IF(F3="1",SUMIF(Data!A:A,'39'!$A$2,Data!DV:DV),0)</f>
        <v>0</v>
      </c>
      <c r="E62" s="18">
        <f>IF(F3="1",SUMIF(Data!$A:$A,'39'!$A$2,Data!JP:JP),0)</f>
        <v>0</v>
      </c>
      <c r="F62" s="22" t="str">
        <f t="shared" si="3"/>
        <v/>
      </c>
    </row>
    <row r="63" spans="1:6" ht="15.75" customHeight="1" thickBot="1" x14ac:dyDescent="0.25">
      <c r="A63" s="23">
        <v>29</v>
      </c>
      <c r="B63" s="186" t="s">
        <v>25</v>
      </c>
      <c r="C63" s="187"/>
      <c r="D63" s="24">
        <f>IF(F3="1",SUMIF(Data!A:A,'39'!$A$2,Data!DW:DW),0)</f>
        <v>0</v>
      </c>
      <c r="E63" s="25">
        <f>IF(F3="1",SUMIF(Data!$A:$A,'39'!$A$2,Data!JQ:JQ),0)</f>
        <v>0</v>
      </c>
      <c r="F63" s="26" t="str">
        <f t="shared" si="3"/>
        <v/>
      </c>
    </row>
    <row r="64" spans="1:6" x14ac:dyDescent="0.2">
      <c r="B64" s="31" t="s">
        <v>35</v>
      </c>
      <c r="C64" s="31"/>
      <c r="D64" s="61">
        <f>SUM(D36:D63)</f>
        <v>2172315</v>
      </c>
      <c r="E64" s="32">
        <f>SUM(E36:E63)</f>
        <v>1881011</v>
      </c>
      <c r="F64" s="33">
        <f t="shared" si="3"/>
        <v>0.86590158425458552</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23104</v>
      </c>
      <c r="E67" s="16">
        <f>IF(F3="1",SUMIF(Data!A:A,'39'!$A$2,Data!DY:DY),0)</f>
        <v>87587</v>
      </c>
      <c r="F67" s="21">
        <f>IFERROR(E67/D67,"")</f>
        <v>3.7909885734072022</v>
      </c>
    </row>
    <row r="68" spans="1:6" x14ac:dyDescent="0.2">
      <c r="A68" s="20">
        <v>2</v>
      </c>
      <c r="B68" s="184" t="s">
        <v>1</v>
      </c>
      <c r="C68" s="185"/>
      <c r="D68" s="15">
        <f t="shared" ref="D68:D94" si="4">D37</f>
        <v>11536</v>
      </c>
      <c r="E68" s="18">
        <f>IF(F3="1",SUMIF(Data!A:A,'39'!$A$2,Data!DZ:DZ),0)</f>
        <v>54205</v>
      </c>
      <c r="F68" s="22">
        <f t="shared" ref="F68:F95" si="5">IFERROR(E68/D68,"")</f>
        <v>4.6987690707350902</v>
      </c>
    </row>
    <row r="69" spans="1:6" ht="14.25" customHeight="1" x14ac:dyDescent="0.2">
      <c r="A69" s="20">
        <v>3</v>
      </c>
      <c r="B69" s="184" t="s">
        <v>2</v>
      </c>
      <c r="C69" s="185"/>
      <c r="D69" s="15">
        <f t="shared" si="4"/>
        <v>232656</v>
      </c>
      <c r="E69" s="18">
        <f>IF(F3="1",SUMIF(Data!A:A,'39'!$A$2,Data!EA:EA),0)</f>
        <v>716512</v>
      </c>
      <c r="F69" s="22">
        <f t="shared" si="5"/>
        <v>3.0797056598583317</v>
      </c>
    </row>
    <row r="70" spans="1:6" ht="14.25" customHeight="1" x14ac:dyDescent="0.2">
      <c r="A70" s="20">
        <v>4</v>
      </c>
      <c r="B70" s="184" t="s">
        <v>3</v>
      </c>
      <c r="C70" s="185"/>
      <c r="D70" s="15">
        <f t="shared" si="4"/>
        <v>112478</v>
      </c>
      <c r="E70" s="18">
        <f>IF(F3="1",SUMIF(Data!A:A,'39'!$A$2,Data!EB:EB),0)</f>
        <v>504958</v>
      </c>
      <c r="F70" s="22">
        <f t="shared" si="5"/>
        <v>4.4893934813919163</v>
      </c>
    </row>
    <row r="71" spans="1:6" x14ac:dyDescent="0.2">
      <c r="A71" s="20">
        <v>5</v>
      </c>
      <c r="B71" s="184" t="s">
        <v>4</v>
      </c>
      <c r="C71" s="185"/>
      <c r="D71" s="15">
        <f t="shared" si="4"/>
        <v>0</v>
      </c>
      <c r="E71" s="18">
        <f>IF(F3="1",SUMIF(Data!A:A,'39'!$A$2,Data!EC:EC),0)</f>
        <v>0</v>
      </c>
      <c r="F71" s="22" t="str">
        <f t="shared" si="5"/>
        <v/>
      </c>
    </row>
    <row r="72" spans="1:6" x14ac:dyDescent="0.2">
      <c r="A72" s="20">
        <v>6</v>
      </c>
      <c r="B72" s="184" t="s">
        <v>5</v>
      </c>
      <c r="C72" s="185"/>
      <c r="D72" s="15">
        <f t="shared" si="4"/>
        <v>5856</v>
      </c>
      <c r="E72" s="18">
        <f>IF(F3="1",SUMIF(Data!A:A,'39'!$A$2,Data!ED:ED),0)</f>
        <v>31590</v>
      </c>
      <c r="F72" s="22">
        <f t="shared" si="5"/>
        <v>5.394467213114754</v>
      </c>
    </row>
    <row r="73" spans="1:6" x14ac:dyDescent="0.2">
      <c r="A73" s="20">
        <v>7</v>
      </c>
      <c r="B73" s="184" t="s">
        <v>6</v>
      </c>
      <c r="C73" s="185"/>
      <c r="D73" s="15">
        <f t="shared" si="4"/>
        <v>110848</v>
      </c>
      <c r="E73" s="18">
        <f>IF(F3="1",SUMIF(Data!A:A,'39'!$A$2,Data!EE:EE),0)</f>
        <v>211978</v>
      </c>
      <c r="F73" s="22">
        <f t="shared" si="5"/>
        <v>1.9123303983833719</v>
      </c>
    </row>
    <row r="74" spans="1:6" x14ac:dyDescent="0.2">
      <c r="A74" s="20">
        <v>8</v>
      </c>
      <c r="B74" s="184" t="s">
        <v>7</v>
      </c>
      <c r="C74" s="185"/>
      <c r="D74" s="15">
        <f t="shared" si="4"/>
        <v>15360</v>
      </c>
      <c r="E74" s="18">
        <f>IF(F3="1",SUMIF(Data!A:A,'39'!$A$2,Data!EF:EF),0)</f>
        <v>34820</v>
      </c>
      <c r="F74" s="22">
        <f t="shared" si="5"/>
        <v>2.2669270833333335</v>
      </c>
    </row>
    <row r="75" spans="1:6" x14ac:dyDescent="0.2">
      <c r="A75" s="20">
        <v>9</v>
      </c>
      <c r="B75" s="184" t="s">
        <v>8</v>
      </c>
      <c r="C75" s="185"/>
      <c r="D75" s="15">
        <f t="shared" si="4"/>
        <v>97653</v>
      </c>
      <c r="E75" s="18">
        <f>IF(F3="1",SUMIF(Data!A:A,'39'!$A$2,Data!EG:EG),0)</f>
        <v>288324</v>
      </c>
      <c r="F75" s="22">
        <f t="shared" si="5"/>
        <v>2.952536020398759</v>
      </c>
    </row>
    <row r="76" spans="1:6" x14ac:dyDescent="0.2">
      <c r="A76" s="20">
        <v>10</v>
      </c>
      <c r="B76" s="184" t="s">
        <v>9</v>
      </c>
      <c r="C76" s="185"/>
      <c r="D76" s="15">
        <f t="shared" si="4"/>
        <v>1056</v>
      </c>
      <c r="E76" s="18">
        <f>IF(F3="1",SUMIF(Data!A:A,'39'!$A$2,Data!EH:EH),0)</f>
        <v>0</v>
      </c>
      <c r="F76" s="22">
        <f t="shared" si="5"/>
        <v>0</v>
      </c>
    </row>
    <row r="77" spans="1:6" x14ac:dyDescent="0.2">
      <c r="A77" s="20">
        <v>11</v>
      </c>
      <c r="B77" s="184" t="s">
        <v>10</v>
      </c>
      <c r="C77" s="185"/>
      <c r="D77" s="15">
        <f t="shared" si="4"/>
        <v>16256</v>
      </c>
      <c r="E77" s="18">
        <f>IF(F3="1",SUMIF(Data!A:A,'39'!$A$2,Data!EI:EI),0)</f>
        <v>145916</v>
      </c>
      <c r="F77" s="22">
        <f t="shared" si="5"/>
        <v>8.9761318897637796</v>
      </c>
    </row>
    <row r="78" spans="1:6" ht="14.25" customHeight="1" x14ac:dyDescent="0.2">
      <c r="A78" s="20">
        <v>12</v>
      </c>
      <c r="B78" s="184" t="s">
        <v>11</v>
      </c>
      <c r="C78" s="185"/>
      <c r="D78" s="15">
        <f t="shared" si="4"/>
        <v>380192</v>
      </c>
      <c r="E78" s="18">
        <f>IF(F3="1",SUMIF(Data!A:A,'39'!$A$2,Data!EJ:EJ),0)</f>
        <v>1139298</v>
      </c>
      <c r="F78" s="22">
        <f t="shared" si="5"/>
        <v>2.9966385405268916</v>
      </c>
    </row>
    <row r="79" spans="1:6" x14ac:dyDescent="0.2">
      <c r="A79" s="20">
        <v>13</v>
      </c>
      <c r="B79" s="184" t="s">
        <v>12</v>
      </c>
      <c r="C79" s="185"/>
      <c r="D79" s="15">
        <f t="shared" si="4"/>
        <v>30784</v>
      </c>
      <c r="E79" s="18">
        <f>IF(F3="1",SUMIF(Data!A:A,'39'!$A$2,Data!EK:EK),0)</f>
        <v>24145</v>
      </c>
      <c r="F79" s="22">
        <f t="shared" si="5"/>
        <v>0.78433601871101866</v>
      </c>
    </row>
    <row r="80" spans="1:6" ht="14.25" customHeight="1" x14ac:dyDescent="0.2">
      <c r="A80" s="20">
        <v>14</v>
      </c>
      <c r="B80" s="184" t="s">
        <v>469</v>
      </c>
      <c r="C80" s="185"/>
      <c r="D80" s="15">
        <f t="shared" si="4"/>
        <v>24000</v>
      </c>
      <c r="E80" s="18">
        <f>IF(F3="1",SUMIF(Data!A:A,'39'!$A$2,Data!EL:EL),0)</f>
        <v>163738</v>
      </c>
      <c r="F80" s="22">
        <f t="shared" si="5"/>
        <v>6.8224166666666664</v>
      </c>
    </row>
    <row r="81" spans="1:6" x14ac:dyDescent="0.2">
      <c r="A81" s="20">
        <v>15</v>
      </c>
      <c r="B81" s="184" t="s">
        <v>13</v>
      </c>
      <c r="C81" s="185"/>
      <c r="D81" s="15">
        <f t="shared" si="4"/>
        <v>0</v>
      </c>
      <c r="E81" s="18">
        <f>IF(F3="1",SUMIF(Data!A:A,'39'!$A$2,Data!EM:EM),0)</f>
        <v>0</v>
      </c>
      <c r="F81" s="22" t="str">
        <f t="shared" si="5"/>
        <v/>
      </c>
    </row>
    <row r="82" spans="1:6" x14ac:dyDescent="0.2">
      <c r="A82" s="20">
        <v>16</v>
      </c>
      <c r="B82" s="184" t="s">
        <v>14</v>
      </c>
      <c r="C82" s="185"/>
      <c r="D82" s="15">
        <f t="shared" si="4"/>
        <v>32413</v>
      </c>
      <c r="E82" s="18">
        <f>IF(F3="1",SUMIF(Data!A:A,'39'!$A$2,Data!EN:EN),0)</f>
        <v>73920</v>
      </c>
      <c r="F82" s="22">
        <f t="shared" si="5"/>
        <v>2.2805664393916021</v>
      </c>
    </row>
    <row r="83" spans="1:6" x14ac:dyDescent="0.2">
      <c r="A83" s="20">
        <v>17</v>
      </c>
      <c r="B83" s="184" t="s">
        <v>15</v>
      </c>
      <c r="C83" s="185"/>
      <c r="D83" s="15">
        <f t="shared" si="4"/>
        <v>0</v>
      </c>
      <c r="E83" s="18">
        <f>IF(F3="1",SUMIF(Data!A:A,'39'!$A$2,Data!EO:EO),0)</f>
        <v>0</v>
      </c>
      <c r="F83" s="22" t="str">
        <f t="shared" si="5"/>
        <v/>
      </c>
    </row>
    <row r="84" spans="1:6" x14ac:dyDescent="0.2">
      <c r="A84" s="20">
        <v>18</v>
      </c>
      <c r="B84" s="184" t="s">
        <v>16</v>
      </c>
      <c r="C84" s="185"/>
      <c r="D84" s="15">
        <f t="shared" si="4"/>
        <v>102640</v>
      </c>
      <c r="E84" s="18">
        <f>IF(F3="1",SUMIF(Data!A:A,'39'!$A$2,Data!EP:EP),0)</f>
        <v>516428</v>
      </c>
      <c r="F84" s="22">
        <f t="shared" si="5"/>
        <v>5.0314497272018706</v>
      </c>
    </row>
    <row r="85" spans="1:6" x14ac:dyDescent="0.2">
      <c r="A85" s="20">
        <v>19</v>
      </c>
      <c r="B85" s="184" t="s">
        <v>17</v>
      </c>
      <c r="C85" s="185"/>
      <c r="D85" s="15">
        <f t="shared" si="4"/>
        <v>235456</v>
      </c>
      <c r="E85" s="18">
        <f>IF(F3="1",SUMIF(Data!A:A,'39'!$A$2,Data!EQ:EQ),0)</f>
        <v>833899</v>
      </c>
      <c r="F85" s="22">
        <f t="shared" si="5"/>
        <v>3.5416341057352541</v>
      </c>
    </row>
    <row r="86" spans="1:6" x14ac:dyDescent="0.2">
      <c r="A86" s="20">
        <v>20</v>
      </c>
      <c r="B86" s="184" t="s">
        <v>18</v>
      </c>
      <c r="C86" s="185"/>
      <c r="D86" s="15">
        <f t="shared" si="4"/>
        <v>42112</v>
      </c>
      <c r="E86" s="18">
        <f>IF(F3="1",SUMIF(Data!A:A,'39'!$A$2,Data!ER:ER),0)</f>
        <v>214289</v>
      </c>
      <c r="F86" s="22">
        <f t="shared" si="5"/>
        <v>5.0885495820668689</v>
      </c>
    </row>
    <row r="87" spans="1:6" ht="14.25" customHeight="1" x14ac:dyDescent="0.2">
      <c r="A87" s="20">
        <v>21</v>
      </c>
      <c r="B87" s="184" t="s">
        <v>466</v>
      </c>
      <c r="C87" s="185"/>
      <c r="D87" s="15">
        <f t="shared" si="4"/>
        <v>27090</v>
      </c>
      <c r="E87" s="18">
        <f>IF(F3="1",SUMIF(Data!A:A,'39'!$A$2,Data!ES:ES),0)</f>
        <v>49789</v>
      </c>
      <c r="F87" s="22">
        <f t="shared" si="5"/>
        <v>1.8379106681432262</v>
      </c>
    </row>
    <row r="88" spans="1:6" x14ac:dyDescent="0.2">
      <c r="A88" s="20">
        <v>22</v>
      </c>
      <c r="B88" s="184" t="s">
        <v>19</v>
      </c>
      <c r="C88" s="185"/>
      <c r="D88" s="15">
        <f t="shared" si="4"/>
        <v>5376</v>
      </c>
      <c r="E88" s="18">
        <f>IF(F3="1",SUMIF(Data!A:A,'39'!$A$2,Data!ET:ET),0)</f>
        <v>0</v>
      </c>
      <c r="F88" s="22">
        <f t="shared" si="5"/>
        <v>0</v>
      </c>
    </row>
    <row r="89" spans="1:6" x14ac:dyDescent="0.2">
      <c r="A89" s="20">
        <v>23</v>
      </c>
      <c r="B89" s="184" t="s">
        <v>20</v>
      </c>
      <c r="C89" s="185"/>
      <c r="D89" s="15">
        <f t="shared" si="4"/>
        <v>70048</v>
      </c>
      <c r="E89" s="18">
        <f>IF(F3="1",SUMIF(Data!A:A,'39'!$A$2,Data!EU:EU),0)</f>
        <v>241738</v>
      </c>
      <c r="F89" s="22">
        <f t="shared" si="5"/>
        <v>3.4510335769757878</v>
      </c>
    </row>
    <row r="90" spans="1:6" x14ac:dyDescent="0.2">
      <c r="A90" s="20">
        <v>24</v>
      </c>
      <c r="B90" s="184" t="s">
        <v>21</v>
      </c>
      <c r="C90" s="185"/>
      <c r="D90" s="15">
        <f t="shared" si="4"/>
        <v>109769</v>
      </c>
      <c r="E90" s="18">
        <f>IF(F3="1",SUMIF(Data!A:A,'39'!$A$2,Data!EV:EV),0)</f>
        <v>177829</v>
      </c>
      <c r="F90" s="22">
        <f t="shared" si="5"/>
        <v>1.6200293343293644</v>
      </c>
    </row>
    <row r="91" spans="1:6" x14ac:dyDescent="0.2">
      <c r="A91" s="20">
        <v>25</v>
      </c>
      <c r="B91" s="184" t="s">
        <v>22</v>
      </c>
      <c r="C91" s="185"/>
      <c r="D91" s="15">
        <f t="shared" si="4"/>
        <v>410512</v>
      </c>
      <c r="E91" s="18">
        <f>IF(F3="1",SUMIF(Data!A:A,'39'!$A$2,Data!EW:EW),0)</f>
        <v>1161403</v>
      </c>
      <c r="F91" s="22">
        <f t="shared" si="5"/>
        <v>2.8291572475347859</v>
      </c>
    </row>
    <row r="92" spans="1:6" x14ac:dyDescent="0.2">
      <c r="A92" s="20">
        <v>26</v>
      </c>
      <c r="B92" s="184" t="s">
        <v>23</v>
      </c>
      <c r="C92" s="185"/>
      <c r="D92" s="15">
        <f t="shared" si="4"/>
        <v>75120</v>
      </c>
      <c r="E92" s="18">
        <f>IF(F3="1",SUMIF(Data!A:A,'39'!$A$2,Data!EX:EX),0)</f>
        <v>203231</v>
      </c>
      <c r="F92" s="22">
        <f t="shared" si="5"/>
        <v>2.7054179978700748</v>
      </c>
    </row>
    <row r="93" spans="1:6" x14ac:dyDescent="0.2">
      <c r="A93" s="20">
        <v>28</v>
      </c>
      <c r="B93" s="184" t="s">
        <v>24</v>
      </c>
      <c r="C93" s="185"/>
      <c r="D93" s="15">
        <f t="shared" si="4"/>
        <v>0</v>
      </c>
      <c r="E93" s="18">
        <f>IF(F3="1",SUMIF(Data!A:A,'39'!$A$2,Data!EZ:EZ),0)</f>
        <v>0</v>
      </c>
      <c r="F93" s="22" t="str">
        <f t="shared" si="5"/>
        <v/>
      </c>
    </row>
    <row r="94" spans="1:6" ht="15.75" customHeight="1" thickBot="1" x14ac:dyDescent="0.25">
      <c r="A94" s="23">
        <v>29</v>
      </c>
      <c r="B94" s="186" t="s">
        <v>25</v>
      </c>
      <c r="C94" s="187"/>
      <c r="D94" s="24">
        <f t="shared" si="4"/>
        <v>0</v>
      </c>
      <c r="E94" s="25">
        <f>IF(F3="1",SUMIF(Data!A:A,'39'!$A$2,Data!FA:FA),0)</f>
        <v>0</v>
      </c>
      <c r="F94" s="26" t="str">
        <f t="shared" si="5"/>
        <v/>
      </c>
    </row>
    <row r="95" spans="1:6" x14ac:dyDescent="0.2">
      <c r="B95" s="31" t="s">
        <v>35</v>
      </c>
      <c r="C95" s="31"/>
      <c r="D95" s="61">
        <f>SUM(D67:D94)</f>
        <v>2172315</v>
      </c>
      <c r="E95" s="32">
        <f>SUM(E67:E94)</f>
        <v>6875597</v>
      </c>
      <c r="F95" s="33">
        <f t="shared" si="5"/>
        <v>3.1651012859553056</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IF(F3="1",SUMIF(Data!A:A,'39'!$A$2,Data!AH:AH),0)</f>
        <v>3161648</v>
      </c>
      <c r="F98" s="21">
        <f t="shared" ref="F98:F105" si="6">IFERROR(E98/$D$95,0)</f>
        <v>1.4554279650971429</v>
      </c>
    </row>
    <row r="99" spans="2:6" x14ac:dyDescent="0.2">
      <c r="B99" s="190" t="s">
        <v>31</v>
      </c>
      <c r="C99" s="191"/>
      <c r="D99" s="37"/>
      <c r="E99" s="18">
        <f>IF(F3="1",SUMIF(Data!A:A,'39'!$A$2,Data!AI:AI),0)</f>
        <v>1408929</v>
      </c>
      <c r="F99" s="22">
        <f t="shared" si="6"/>
        <v>0.64858411418233541</v>
      </c>
    </row>
    <row r="100" spans="2:6" x14ac:dyDescent="0.2">
      <c r="B100" s="190" t="s">
        <v>32</v>
      </c>
      <c r="C100" s="191"/>
      <c r="D100" s="37"/>
      <c r="E100" s="18">
        <f>IF(F3="1",SUMIF(Data!A:A,'39'!$A$2,Data!AJ:AJ),0)</f>
        <v>1851305</v>
      </c>
      <c r="F100" s="22">
        <f t="shared" si="6"/>
        <v>0.85222677190002372</v>
      </c>
    </row>
    <row r="101" spans="2:6" x14ac:dyDescent="0.2">
      <c r="B101" s="190" t="s">
        <v>28</v>
      </c>
      <c r="C101" s="191"/>
      <c r="D101" s="37"/>
      <c r="E101" s="18">
        <f>IF(F3="1",SUMIF(Data!A:A,'39'!$A$2,Data!AK:AK),0)</f>
        <v>0</v>
      </c>
      <c r="F101" s="22">
        <f t="shared" si="6"/>
        <v>0</v>
      </c>
    </row>
    <row r="102" spans="2:6" x14ac:dyDescent="0.2">
      <c r="B102" s="190" t="s">
        <v>33</v>
      </c>
      <c r="C102" s="191"/>
      <c r="D102" s="37"/>
      <c r="E102" s="18">
        <f>IF(F3="1",SUMIF(Data!A:A,'39'!$A$2,Data!AL:AL),0)</f>
        <v>0</v>
      </c>
      <c r="F102" s="22">
        <f t="shared" si="6"/>
        <v>0</v>
      </c>
    </row>
    <row r="103" spans="2:6" x14ac:dyDescent="0.2">
      <c r="B103" s="192" t="s">
        <v>34</v>
      </c>
      <c r="C103" s="193"/>
      <c r="D103" s="37"/>
      <c r="E103" s="18">
        <f>IF(F3="1",SUMIF(Data!A:A,'39'!$A$2,Data!AM:AM),0)</f>
        <v>246260</v>
      </c>
      <c r="F103" s="22">
        <f t="shared" si="6"/>
        <v>0.11336293309211601</v>
      </c>
    </row>
    <row r="104" spans="2:6" ht="15.75" customHeight="1" thickBot="1" x14ac:dyDescent="0.25">
      <c r="B104" s="182" t="s">
        <v>29</v>
      </c>
      <c r="C104" s="183"/>
      <c r="D104" s="38"/>
      <c r="E104" s="25">
        <f>IF(F3="1",SUMIF(Data!A:A,'39'!$A$2,Data!Q:Q),0)</f>
        <v>284850</v>
      </c>
      <c r="F104" s="26">
        <f t="shared" si="6"/>
        <v>0.13112739174567226</v>
      </c>
    </row>
    <row r="105" spans="2:6" x14ac:dyDescent="0.2">
      <c r="B105" s="31" t="s">
        <v>35</v>
      </c>
      <c r="C105" s="31"/>
      <c r="D105" s="35">
        <f>D95</f>
        <v>2172315</v>
      </c>
      <c r="E105" s="32">
        <f>SUM(E98:E104)</f>
        <v>6952992</v>
      </c>
      <c r="F105" s="33">
        <f t="shared" si="6"/>
        <v>3.2007291760172905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6875597</v>
      </c>
      <c r="D109" s="16">
        <f>IF(F3="1",SUMIF(Data!$A:$A,$A$2,Data!HJ:HJ),0)</f>
        <v>0</v>
      </c>
      <c r="E109" s="16">
        <f>IF(F3="1",SUMIF(Data!$A:$A,$A$2,Data!IN:IN),0)</f>
        <v>0</v>
      </c>
      <c r="F109" s="48">
        <f>SUM(C109:E109)</f>
        <v>6875597</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284850</v>
      </c>
      <c r="E117" s="53"/>
      <c r="F117" s="50">
        <f>SUM(C117:E117)</f>
        <v>284850</v>
      </c>
    </row>
    <row r="118" spans="1:6" x14ac:dyDescent="0.2">
      <c r="B118" s="14" t="s">
        <v>35</v>
      </c>
      <c r="C118" s="5">
        <f>SUM(C109:C116)</f>
        <v>6875597</v>
      </c>
      <c r="D118" s="5">
        <f>SUM(D109:D116)</f>
        <v>0</v>
      </c>
      <c r="E118" s="5">
        <f>SUM(E109:E116)</f>
        <v>0</v>
      </c>
      <c r="F118" s="5">
        <f>SUM(F109:F116)</f>
        <v>6875597</v>
      </c>
    </row>
    <row r="119" spans="1:6" ht="15" thickBot="1" x14ac:dyDescent="0.25"/>
    <row r="120" spans="1:6" ht="15" thickBot="1" x14ac:dyDescent="0.25">
      <c r="B120" s="57" t="s">
        <v>942</v>
      </c>
      <c r="C120" s="55"/>
      <c r="D120" s="55"/>
      <c r="E120" s="55">
        <f>IF(F3="1",SUMIF(Data!A:A,'39'!$A$2,Data!AM:AM),0)</f>
        <v>246260</v>
      </c>
      <c r="F120" s="56">
        <f>SUM(C120:E120)</f>
        <v>246260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2" width="13.42578125" style="11" bestFit="1" customWidth="1"/>
    <col min="13" max="13" width="13.5703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402</v>
      </c>
      <c r="B2" s="60" t="str">
        <f>VLOOKUP(A2,Data!A:G,7,0)</f>
        <v>Tarrant County College District</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33696</v>
      </c>
      <c r="E5" s="16">
        <f>E36+E67+IFERROR($E$105/$D$105*D5,0)</f>
        <v>285506.50755100331</v>
      </c>
      <c r="F5" s="21">
        <f>IFERROR(E5/D5,"")</f>
        <v>8.4730088898089768</v>
      </c>
    </row>
    <row r="6" spans="1:6" x14ac:dyDescent="0.2">
      <c r="A6" s="20">
        <v>2</v>
      </c>
      <c r="B6" s="184" t="s">
        <v>1</v>
      </c>
      <c r="C6" s="185"/>
      <c r="D6" s="15">
        <f t="shared" ref="D6:D32" si="0">D37</f>
        <v>53434</v>
      </c>
      <c r="E6" s="18">
        <f t="shared" ref="E6:E32" si="1">E37+E68+IFERROR($E$105/$D$105*D6,0)</f>
        <v>819409.35661444417</v>
      </c>
      <c r="F6" s="22">
        <f t="shared" ref="F6:F33" si="2">IFERROR(E6/D6,"")</f>
        <v>15.334980660524089</v>
      </c>
    </row>
    <row r="7" spans="1:6" ht="14.25" customHeight="1" x14ac:dyDescent="0.2">
      <c r="A7" s="20">
        <v>3</v>
      </c>
      <c r="B7" s="184" t="s">
        <v>2</v>
      </c>
      <c r="C7" s="185"/>
      <c r="D7" s="15">
        <f t="shared" si="0"/>
        <v>2293728</v>
      </c>
      <c r="E7" s="18">
        <f t="shared" si="1"/>
        <v>16839182.381527413</v>
      </c>
      <c r="F7" s="22">
        <f t="shared" si="2"/>
        <v>7.3414033318368235</v>
      </c>
    </row>
    <row r="8" spans="1:6" ht="14.25" customHeight="1" x14ac:dyDescent="0.2">
      <c r="A8" s="20">
        <v>4</v>
      </c>
      <c r="B8" s="184" t="s">
        <v>3</v>
      </c>
      <c r="C8" s="185"/>
      <c r="D8" s="15">
        <f t="shared" si="0"/>
        <v>1157198</v>
      </c>
      <c r="E8" s="18">
        <f t="shared" si="1"/>
        <v>8285235.9584818948</v>
      </c>
      <c r="F8" s="22">
        <f t="shared" si="2"/>
        <v>7.1597392654341734</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337122</v>
      </c>
      <c r="E10" s="18">
        <f t="shared" si="1"/>
        <v>3185029.9241040284</v>
      </c>
      <c r="F10" s="22">
        <f t="shared" si="2"/>
        <v>9.4477071330379747</v>
      </c>
    </row>
    <row r="11" spans="1:6" x14ac:dyDescent="0.2">
      <c r="A11" s="20">
        <v>7</v>
      </c>
      <c r="B11" s="184" t="s">
        <v>6</v>
      </c>
      <c r="C11" s="185"/>
      <c r="D11" s="15">
        <f t="shared" si="0"/>
        <v>613083</v>
      </c>
      <c r="E11" s="18">
        <f t="shared" si="1"/>
        <v>5600492.2318047173</v>
      </c>
      <c r="F11" s="22">
        <f t="shared" si="2"/>
        <v>9.1349657906102717</v>
      </c>
    </row>
    <row r="12" spans="1:6" x14ac:dyDescent="0.2">
      <c r="A12" s="20">
        <v>8</v>
      </c>
      <c r="B12" s="184" t="s">
        <v>7</v>
      </c>
      <c r="C12" s="185"/>
      <c r="D12" s="15">
        <f t="shared" si="0"/>
        <v>37504</v>
      </c>
      <c r="E12" s="18">
        <f t="shared" si="1"/>
        <v>364203.24487158202</v>
      </c>
      <c r="F12" s="22">
        <f t="shared" si="2"/>
        <v>9.7110506845025064</v>
      </c>
    </row>
    <row r="13" spans="1:6" x14ac:dyDescent="0.2">
      <c r="A13" s="20">
        <v>9</v>
      </c>
      <c r="B13" s="184" t="s">
        <v>8</v>
      </c>
      <c r="C13" s="185"/>
      <c r="D13" s="15">
        <f t="shared" si="0"/>
        <v>237772</v>
      </c>
      <c r="E13" s="18">
        <f t="shared" si="1"/>
        <v>1929049.7400705472</v>
      </c>
      <c r="F13" s="22">
        <f t="shared" si="2"/>
        <v>8.113023148522732</v>
      </c>
    </row>
    <row r="14" spans="1:6" x14ac:dyDescent="0.2">
      <c r="A14" s="20">
        <v>10</v>
      </c>
      <c r="B14" s="184" t="s">
        <v>9</v>
      </c>
      <c r="C14" s="185"/>
      <c r="D14" s="15">
        <f t="shared" si="0"/>
        <v>13184</v>
      </c>
      <c r="E14" s="18">
        <f t="shared" si="1"/>
        <v>140212.04853847422</v>
      </c>
      <c r="F14" s="22">
        <f t="shared" si="2"/>
        <v>10.635015817542037</v>
      </c>
    </row>
    <row r="15" spans="1:6" x14ac:dyDescent="0.2">
      <c r="A15" s="20">
        <v>11</v>
      </c>
      <c r="B15" s="184" t="s">
        <v>10</v>
      </c>
      <c r="C15" s="185"/>
      <c r="D15" s="15">
        <f t="shared" si="0"/>
        <v>218322</v>
      </c>
      <c r="E15" s="18">
        <f t="shared" si="1"/>
        <v>2303574.9551742091</v>
      </c>
      <c r="F15" s="22">
        <f t="shared" si="2"/>
        <v>10.551272685181562</v>
      </c>
    </row>
    <row r="16" spans="1:6" ht="14.25" customHeight="1" x14ac:dyDescent="0.2">
      <c r="A16" s="20">
        <v>12</v>
      </c>
      <c r="B16" s="184" t="s">
        <v>11</v>
      </c>
      <c r="C16" s="185"/>
      <c r="D16" s="15">
        <f t="shared" si="0"/>
        <v>2553947</v>
      </c>
      <c r="E16" s="18">
        <f t="shared" si="1"/>
        <v>19087684.105483212</v>
      </c>
      <c r="F16" s="22">
        <f t="shared" si="2"/>
        <v>7.4737980488566178</v>
      </c>
    </row>
    <row r="17" spans="1:6" x14ac:dyDescent="0.2">
      <c r="A17" s="20">
        <v>13</v>
      </c>
      <c r="B17" s="184" t="s">
        <v>12</v>
      </c>
      <c r="C17" s="185"/>
      <c r="D17" s="15">
        <f t="shared" si="0"/>
        <v>489928</v>
      </c>
      <c r="E17" s="18">
        <f t="shared" si="1"/>
        <v>3415176.9627091628</v>
      </c>
      <c r="F17" s="22">
        <f t="shared" si="2"/>
        <v>6.9707731803635697</v>
      </c>
    </row>
    <row r="18" spans="1:6" ht="14.25" customHeight="1" x14ac:dyDescent="0.2">
      <c r="A18" s="20">
        <v>14</v>
      </c>
      <c r="B18" s="184" t="s">
        <v>469</v>
      </c>
      <c r="C18" s="185"/>
      <c r="D18" s="15">
        <f t="shared" si="0"/>
        <v>305590</v>
      </c>
      <c r="E18" s="18">
        <f t="shared" si="1"/>
        <v>3984517.5792530598</v>
      </c>
      <c r="F18" s="22">
        <f t="shared" si="2"/>
        <v>13.038769525354429</v>
      </c>
    </row>
    <row r="19" spans="1:6" x14ac:dyDescent="0.2">
      <c r="A19" s="20">
        <v>15</v>
      </c>
      <c r="B19" s="184" t="s">
        <v>13</v>
      </c>
      <c r="C19" s="185"/>
      <c r="D19" s="15">
        <f t="shared" si="0"/>
        <v>39220</v>
      </c>
      <c r="E19" s="18">
        <f t="shared" si="1"/>
        <v>704899.08553390158</v>
      </c>
      <c r="F19" s="22">
        <f t="shared" si="2"/>
        <v>17.972949656652258</v>
      </c>
    </row>
    <row r="20" spans="1:6" x14ac:dyDescent="0.2">
      <c r="A20" s="20">
        <v>16</v>
      </c>
      <c r="B20" s="184" t="s">
        <v>14</v>
      </c>
      <c r="C20" s="185"/>
      <c r="D20" s="15">
        <f t="shared" si="0"/>
        <v>335161</v>
      </c>
      <c r="E20" s="18">
        <f t="shared" si="1"/>
        <v>4159949.7198273335</v>
      </c>
      <c r="F20" s="22">
        <f t="shared" si="2"/>
        <v>12.41179528592925</v>
      </c>
    </row>
    <row r="21" spans="1:6" x14ac:dyDescent="0.2">
      <c r="A21" s="20">
        <v>17</v>
      </c>
      <c r="B21" s="184" t="s">
        <v>15</v>
      </c>
      <c r="C21" s="185"/>
      <c r="D21" s="15">
        <f t="shared" si="0"/>
        <v>46512</v>
      </c>
      <c r="E21" s="18">
        <f t="shared" si="1"/>
        <v>695974.86298706871</v>
      </c>
      <c r="F21" s="22">
        <f t="shared" si="2"/>
        <v>14.963339847503198</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1522984</v>
      </c>
      <c r="E23" s="18">
        <f t="shared" si="1"/>
        <v>11470663.130106162</v>
      </c>
      <c r="F23" s="22">
        <f t="shared" si="2"/>
        <v>7.5317029792211621</v>
      </c>
    </row>
    <row r="24" spans="1:6" x14ac:dyDescent="0.2">
      <c r="A24" s="20">
        <v>20</v>
      </c>
      <c r="B24" s="184" t="s">
        <v>18</v>
      </c>
      <c r="C24" s="185"/>
      <c r="D24" s="15">
        <f t="shared" si="0"/>
        <v>110576</v>
      </c>
      <c r="E24" s="18">
        <f t="shared" si="1"/>
        <v>1126931.9143803343</v>
      </c>
      <c r="F24" s="22">
        <f t="shared" si="2"/>
        <v>10.191469345792346</v>
      </c>
    </row>
    <row r="25" spans="1:6" ht="14.25" customHeight="1" x14ac:dyDescent="0.2">
      <c r="A25" s="20">
        <v>21</v>
      </c>
      <c r="B25" s="184" t="s">
        <v>466</v>
      </c>
      <c r="C25" s="185"/>
      <c r="D25" s="15">
        <f t="shared" si="0"/>
        <v>168656</v>
      </c>
      <c r="E25" s="18">
        <f t="shared" si="1"/>
        <v>1882349.5214126904</v>
      </c>
      <c r="F25" s="22">
        <f t="shared" si="2"/>
        <v>11.160880854595689</v>
      </c>
    </row>
    <row r="26" spans="1:6" x14ac:dyDescent="0.2">
      <c r="A26" s="20">
        <v>22</v>
      </c>
      <c r="B26" s="184" t="s">
        <v>19</v>
      </c>
      <c r="C26" s="185"/>
      <c r="D26" s="15">
        <f t="shared" si="0"/>
        <v>36724</v>
      </c>
      <c r="E26" s="18">
        <f t="shared" si="1"/>
        <v>161052.86275234586</v>
      </c>
      <c r="F26" s="22">
        <f t="shared" si="2"/>
        <v>4.3854934852506773</v>
      </c>
    </row>
    <row r="27" spans="1:6" x14ac:dyDescent="0.2">
      <c r="A27" s="20">
        <v>23</v>
      </c>
      <c r="B27" s="184" t="s">
        <v>20</v>
      </c>
      <c r="C27" s="185"/>
      <c r="D27" s="15">
        <f t="shared" si="0"/>
        <v>543984</v>
      </c>
      <c r="E27" s="18">
        <f t="shared" si="1"/>
        <v>4328239.0342956129</v>
      </c>
      <c r="F27" s="22">
        <f t="shared" si="2"/>
        <v>7.9565557705660694</v>
      </c>
    </row>
    <row r="28" spans="1:6" x14ac:dyDescent="0.2">
      <c r="A28" s="20">
        <v>24</v>
      </c>
      <c r="B28" s="184" t="s">
        <v>21</v>
      </c>
      <c r="C28" s="185"/>
      <c r="D28" s="15">
        <f t="shared" si="0"/>
        <v>379024</v>
      </c>
      <c r="E28" s="18">
        <f t="shared" si="1"/>
        <v>5233202.1696940726</v>
      </c>
      <c r="F28" s="22">
        <f t="shared" si="2"/>
        <v>13.80704696719488</v>
      </c>
    </row>
    <row r="29" spans="1:6" x14ac:dyDescent="0.2">
      <c r="A29" s="20">
        <v>25</v>
      </c>
      <c r="B29" s="184" t="s">
        <v>22</v>
      </c>
      <c r="C29" s="185"/>
      <c r="D29" s="15">
        <f t="shared" si="0"/>
        <v>3297776</v>
      </c>
      <c r="E29" s="18">
        <f t="shared" si="1"/>
        <v>21724897.696982354</v>
      </c>
      <c r="F29" s="22">
        <f t="shared" si="2"/>
        <v>6.5877420713178685</v>
      </c>
    </row>
    <row r="30" spans="1:6" x14ac:dyDescent="0.2">
      <c r="A30" s="20">
        <v>26</v>
      </c>
      <c r="B30" s="184" t="s">
        <v>23</v>
      </c>
      <c r="C30" s="185"/>
      <c r="D30" s="15">
        <f t="shared" si="0"/>
        <v>1125603</v>
      </c>
      <c r="E30" s="18">
        <f t="shared" si="1"/>
        <v>9960769.0058443733</v>
      </c>
      <c r="F30" s="22">
        <f t="shared" si="2"/>
        <v>8.8492736833895904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15950728</v>
      </c>
      <c r="E33" s="32">
        <f>SUM(E5:E32)</f>
        <v>127688204</v>
      </c>
      <c r="F33" s="33">
        <f t="shared" si="2"/>
        <v>8.005164654553699</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IF(F3="1",SUMIF(Data!A:A,'40'!$A$2,Data!CU:CU),0)</f>
        <v>33696</v>
      </c>
      <c r="E36" s="16">
        <f>IF(F3="1",SUMIF(Data!$A:$A,'40'!$A$2,Data!IO:IO),0)</f>
        <v>73583</v>
      </c>
      <c r="F36" s="21">
        <f t="shared" ref="F36:F64" si="3">IFERROR(E36/D36,"")</f>
        <v>2.1837310066476734</v>
      </c>
    </row>
    <row r="37" spans="1:6" x14ac:dyDescent="0.2">
      <c r="A37" s="20">
        <v>2</v>
      </c>
      <c r="B37" s="184" t="s">
        <v>1</v>
      </c>
      <c r="C37" s="185"/>
      <c r="D37" s="15">
        <f>IF(F3="1",SUMIF(Data!A:A,'40'!$A$2,Data!CV:CV),0)</f>
        <v>53434</v>
      </c>
      <c r="E37" s="18">
        <f>IF(F3="1",SUMIF(Data!$A:$A,'40'!$A$2,Data!IP:IP),0)</f>
        <v>216862</v>
      </c>
      <c r="F37" s="22">
        <f t="shared" si="3"/>
        <v>4.0585020773290417</v>
      </c>
    </row>
    <row r="38" spans="1:6" ht="14.25" customHeight="1" x14ac:dyDescent="0.2">
      <c r="A38" s="20">
        <v>3</v>
      </c>
      <c r="B38" s="184" t="s">
        <v>2</v>
      </c>
      <c r="C38" s="185"/>
      <c r="D38" s="15">
        <f>IF(F3="1",SUMIF(Data!A:A,'40'!$A$2,Data!CW:CW),0)</f>
        <v>2293728</v>
      </c>
      <c r="E38" s="18">
        <f>IF(F3="1",SUMIF(Data!$A:$A,'40'!$A$2,Data!IQ:IQ),0)</f>
        <v>2719699</v>
      </c>
      <c r="F38" s="22">
        <f t="shared" si="3"/>
        <v>1.1857112090012416</v>
      </c>
    </row>
    <row r="39" spans="1:6" ht="14.25" customHeight="1" x14ac:dyDescent="0.2">
      <c r="A39" s="20">
        <v>4</v>
      </c>
      <c r="B39" s="184" t="s">
        <v>3</v>
      </c>
      <c r="C39" s="185"/>
      <c r="D39" s="15">
        <f>IF(F3="1",SUMIF(Data!A:A,'40'!$A$2,Data!CX:CX),0)</f>
        <v>1157198</v>
      </c>
      <c r="E39" s="18">
        <f>IF(F3="1",SUMIF(Data!$A:$A,'40'!$A$2,Data!IR:IR),0)</f>
        <v>1540620</v>
      </c>
      <c r="F39" s="22">
        <f t="shared" si="3"/>
        <v>1.3313365560604149</v>
      </c>
    </row>
    <row r="40" spans="1:6" x14ac:dyDescent="0.2">
      <c r="A40" s="20">
        <v>5</v>
      </c>
      <c r="B40" s="184" t="s">
        <v>4</v>
      </c>
      <c r="C40" s="185"/>
      <c r="D40" s="15">
        <f>IF(F3="1",SUMIF(Data!A:A,'40'!$A$2,Data!CY:CY),0)</f>
        <v>0</v>
      </c>
      <c r="E40" s="18">
        <f>IF(F3="1",SUMIF(Data!$A:$A,'40'!$A$2,Data!IS:IS),0)</f>
        <v>0</v>
      </c>
      <c r="F40" s="22" t="str">
        <f t="shared" si="3"/>
        <v/>
      </c>
    </row>
    <row r="41" spans="1:6" x14ac:dyDescent="0.2">
      <c r="A41" s="20">
        <v>6</v>
      </c>
      <c r="B41" s="184" t="s">
        <v>5</v>
      </c>
      <c r="C41" s="185"/>
      <c r="D41" s="15">
        <f>IF(F3="1",SUMIF(Data!A:A,'40'!$A$2,Data!CZ:CZ),0)</f>
        <v>337122</v>
      </c>
      <c r="E41" s="18">
        <f>IF(F3="1",SUMIF(Data!$A:$A,'40'!$A$2,Data!IT:IT),0)</f>
        <v>1385316</v>
      </c>
      <c r="F41" s="22">
        <f t="shared" si="3"/>
        <v>4.1092423514336058</v>
      </c>
    </row>
    <row r="42" spans="1:6" x14ac:dyDescent="0.2">
      <c r="A42" s="20">
        <v>7</v>
      </c>
      <c r="B42" s="184" t="s">
        <v>6</v>
      </c>
      <c r="C42" s="185"/>
      <c r="D42" s="15">
        <f>IF(F3="1",SUMIF(Data!A:A,'40'!$A$2,Data!DA:DA),0)</f>
        <v>613083</v>
      </c>
      <c r="E42" s="18">
        <f>IF(F3="1",SUMIF(Data!$A:$A,'40'!$A$2,Data!IU:IU),0)</f>
        <v>1039035</v>
      </c>
      <c r="F42" s="22">
        <f t="shared" si="3"/>
        <v>1.6947705286233674</v>
      </c>
    </row>
    <row r="43" spans="1:6" x14ac:dyDescent="0.2">
      <c r="A43" s="20">
        <v>8</v>
      </c>
      <c r="B43" s="184" t="s">
        <v>7</v>
      </c>
      <c r="C43" s="185"/>
      <c r="D43" s="15">
        <f>IF(F3="1",SUMIF(Data!A:A,'40'!$A$2,Data!DB:DB),0)</f>
        <v>37504</v>
      </c>
      <c r="E43" s="18">
        <f>IF(F3="1",SUMIF(Data!$A:$A,'40'!$A$2,Data!IV:IV),0)</f>
        <v>185687</v>
      </c>
      <c r="F43" s="22">
        <f t="shared" si="3"/>
        <v>4.9511252133105801</v>
      </c>
    </row>
    <row r="44" spans="1:6" x14ac:dyDescent="0.2">
      <c r="A44" s="20">
        <v>9</v>
      </c>
      <c r="B44" s="184" t="s">
        <v>8</v>
      </c>
      <c r="C44" s="185"/>
      <c r="D44" s="15">
        <f>IF(F3="1",SUMIF(Data!A:A,'40'!$A$2,Data!DC:DC),0)</f>
        <v>237772</v>
      </c>
      <c r="E44" s="18">
        <f>IF(F3="1",SUMIF(Data!$A:$A,'40'!$A$2,Data!IW:IW),0)</f>
        <v>317205</v>
      </c>
      <c r="F44" s="22">
        <f t="shared" si="3"/>
        <v>1.3340721363322847</v>
      </c>
    </row>
    <row r="45" spans="1:6" x14ac:dyDescent="0.2">
      <c r="A45" s="20">
        <v>10</v>
      </c>
      <c r="B45" s="184" t="s">
        <v>9</v>
      </c>
      <c r="C45" s="185"/>
      <c r="D45" s="15">
        <f>IF(F3="1",SUMIF(Data!A:A,'40'!$A$2,Data!DD:DD),0)</f>
        <v>13184</v>
      </c>
      <c r="E45" s="18">
        <f>IF(F3="1",SUMIF(Data!$A:$A,'40'!$A$2,Data!IX:IX),0)</f>
        <v>29038</v>
      </c>
      <c r="F45" s="22">
        <f t="shared" si="3"/>
        <v>2.202518203883495</v>
      </c>
    </row>
    <row r="46" spans="1:6" x14ac:dyDescent="0.2">
      <c r="A46" s="20">
        <v>11</v>
      </c>
      <c r="B46" s="184" t="s">
        <v>10</v>
      </c>
      <c r="C46" s="185"/>
      <c r="D46" s="15">
        <f>IF(F3="1",SUMIF(Data!A:A,'40'!$A$2,Data!DE:DE),0)</f>
        <v>218322</v>
      </c>
      <c r="E46" s="18">
        <f>IF(F3="1",SUMIF(Data!$A:$A,'40'!$A$2,Data!IY:IY),0)</f>
        <v>467986</v>
      </c>
      <c r="F46" s="22">
        <f t="shared" si="3"/>
        <v>2.1435585969348026</v>
      </c>
    </row>
    <row r="47" spans="1:6" ht="14.25" customHeight="1" x14ac:dyDescent="0.2">
      <c r="A47" s="20">
        <v>12</v>
      </c>
      <c r="B47" s="184" t="s">
        <v>11</v>
      </c>
      <c r="C47" s="185"/>
      <c r="D47" s="15">
        <f>IF(F3="1",SUMIF(Data!A:A,'40'!$A$2,Data!DF:DF),0)</f>
        <v>2553947</v>
      </c>
      <c r="E47" s="18">
        <f>IF(F3="1",SUMIF(Data!$A:$A,'40'!$A$2,Data!IZ:IZ),0)</f>
        <v>2550451</v>
      </c>
      <c r="F47" s="22">
        <f t="shared" si="3"/>
        <v>0.99863113839089068</v>
      </c>
    </row>
    <row r="48" spans="1:6" x14ac:dyDescent="0.2">
      <c r="A48" s="20">
        <v>13</v>
      </c>
      <c r="B48" s="184" t="s">
        <v>12</v>
      </c>
      <c r="C48" s="185"/>
      <c r="D48" s="15">
        <f>IF(F3="1",SUMIF(Data!A:A,'40'!$A$2,Data!DG:DG),0)</f>
        <v>489928</v>
      </c>
      <c r="E48" s="18">
        <f>IF(F3="1",SUMIF(Data!$A:$A,'40'!$A$2,Data!JA:JA),0)</f>
        <v>469297</v>
      </c>
      <c r="F48" s="22">
        <f t="shared" si="3"/>
        <v>0.95788973073594486</v>
      </c>
    </row>
    <row r="49" spans="1:6" ht="14.25" customHeight="1" x14ac:dyDescent="0.2">
      <c r="A49" s="20">
        <v>14</v>
      </c>
      <c r="B49" s="184" t="s">
        <v>469</v>
      </c>
      <c r="C49" s="185"/>
      <c r="D49" s="15">
        <f>IF(F3="1",SUMIF(Data!A:A,'40'!$A$2,Data!DH:DH),0)</f>
        <v>305590</v>
      </c>
      <c r="E49" s="18">
        <f>IF(F3="1",SUMIF(Data!$A:$A,'40'!$A$2,Data!JB:JB),0)</f>
        <v>877756</v>
      </c>
      <c r="F49" s="22">
        <f t="shared" si="3"/>
        <v>2.8723322098236199</v>
      </c>
    </row>
    <row r="50" spans="1:6" x14ac:dyDescent="0.2">
      <c r="A50" s="20">
        <v>15</v>
      </c>
      <c r="B50" s="184" t="s">
        <v>13</v>
      </c>
      <c r="C50" s="185"/>
      <c r="D50" s="15">
        <f>IF(F3="1",SUMIF(Data!A:A,'40'!$A$2,Data!DI:DI),0)</f>
        <v>39220</v>
      </c>
      <c r="E50" s="18">
        <f>IF(F3="1",SUMIF(Data!$A:$A,'40'!$A$2,Data!JC:JC),0)</f>
        <v>130813</v>
      </c>
      <c r="F50" s="22">
        <f t="shared" si="3"/>
        <v>3.3353646098929119</v>
      </c>
    </row>
    <row r="51" spans="1:6" x14ac:dyDescent="0.2">
      <c r="A51" s="20">
        <v>16</v>
      </c>
      <c r="B51" s="184" t="s">
        <v>14</v>
      </c>
      <c r="C51" s="185"/>
      <c r="D51" s="15">
        <f>IF(F3="1",SUMIF(Data!A:A,'40'!$A$2,Data!DJ:DJ),0)</f>
        <v>335161</v>
      </c>
      <c r="E51" s="18">
        <f>IF(F3="1",SUMIF(Data!$A:$A,'40'!$A$2,Data!JD:JD),0)</f>
        <v>1353878</v>
      </c>
      <c r="F51" s="22">
        <f t="shared" si="3"/>
        <v>4.0394855009980279</v>
      </c>
    </row>
    <row r="52" spans="1:6" x14ac:dyDescent="0.2">
      <c r="A52" s="20">
        <v>17</v>
      </c>
      <c r="B52" s="184" t="s">
        <v>15</v>
      </c>
      <c r="C52" s="185"/>
      <c r="D52" s="15">
        <f>IF(F3="1",SUMIF(Data!A:A,'40'!$A$2,Data!DK:DK),0)</f>
        <v>46512</v>
      </c>
      <c r="E52" s="18">
        <f>IF(F3="1",SUMIF(Data!$A:$A,'40'!$A$2,Data!JE:JE),0)</f>
        <v>121662</v>
      </c>
      <c r="F52" s="22">
        <f t="shared" si="3"/>
        <v>2.6157120743034055</v>
      </c>
    </row>
    <row r="53" spans="1:6" x14ac:dyDescent="0.2">
      <c r="A53" s="20">
        <v>18</v>
      </c>
      <c r="B53" s="184" t="s">
        <v>16</v>
      </c>
      <c r="C53" s="185"/>
      <c r="D53" s="15">
        <f>IF(F3="1",SUMIF(Data!A:A,'40'!$A$2,Data!DL:DL),0)</f>
        <v>0</v>
      </c>
      <c r="E53" s="18">
        <f>IF(F3="1",SUMIF(Data!$A:$A,'40'!$A$2,Data!JF:JF),0)</f>
        <v>0</v>
      </c>
      <c r="F53" s="22" t="str">
        <f t="shared" si="3"/>
        <v/>
      </c>
    </row>
    <row r="54" spans="1:6" x14ac:dyDescent="0.2">
      <c r="A54" s="20">
        <v>19</v>
      </c>
      <c r="B54" s="184" t="s">
        <v>17</v>
      </c>
      <c r="C54" s="185"/>
      <c r="D54" s="15">
        <f>IF(F3="1",SUMIF(Data!A:A,'40'!$A$2,Data!DM:DM),0)</f>
        <v>1522984</v>
      </c>
      <c r="E54" s="18">
        <f>IF(F3="1",SUMIF(Data!$A:$A,'40'!$A$2,Data!JG:JG),0)</f>
        <v>1542305</v>
      </c>
      <c r="F54" s="22">
        <f t="shared" si="3"/>
        <v>1.0126862790416709</v>
      </c>
    </row>
    <row r="55" spans="1:6" x14ac:dyDescent="0.2">
      <c r="A55" s="20">
        <v>20</v>
      </c>
      <c r="B55" s="184" t="s">
        <v>18</v>
      </c>
      <c r="C55" s="185"/>
      <c r="D55" s="15">
        <f>IF(F3="1",SUMIF(Data!A:A,'40'!$A$2,Data!DN:DN),0)</f>
        <v>110576</v>
      </c>
      <c r="E55" s="18">
        <f>IF(F3="1",SUMIF(Data!$A:$A,'40'!$A$2,Data!JH:JH),0)</f>
        <v>250865</v>
      </c>
      <c r="F55" s="22">
        <f t="shared" si="3"/>
        <v>2.268711112718854</v>
      </c>
    </row>
    <row r="56" spans="1:6" ht="14.25" customHeight="1" x14ac:dyDescent="0.2">
      <c r="A56" s="20">
        <v>21</v>
      </c>
      <c r="B56" s="184" t="s">
        <v>466</v>
      </c>
      <c r="C56" s="185"/>
      <c r="D56" s="15">
        <f>IF(F3="1",SUMIF(Data!A:A,'40'!$A$2,Data!DO:DO),0)</f>
        <v>168656</v>
      </c>
      <c r="E56" s="18">
        <f>IF(F3="1",SUMIF(Data!$A:$A,'40'!$A$2,Data!JI:JI),0)</f>
        <v>514788</v>
      </c>
      <c r="F56" s="22">
        <f t="shared" si="3"/>
        <v>3.052295797362679</v>
      </c>
    </row>
    <row r="57" spans="1:6" x14ac:dyDescent="0.2">
      <c r="A57" s="20">
        <v>22</v>
      </c>
      <c r="B57" s="184" t="s">
        <v>19</v>
      </c>
      <c r="C57" s="185"/>
      <c r="D57" s="15">
        <f>IF(F3="1",SUMIF(Data!A:A,'40'!$A$2,Data!DP:DP),0)</f>
        <v>36724</v>
      </c>
      <c r="E57" s="18">
        <f>IF(F3="1",SUMIF(Data!$A:$A,'40'!$A$2,Data!JJ:JJ),0)</f>
        <v>34957</v>
      </c>
      <c r="F57" s="22">
        <f t="shared" si="3"/>
        <v>0.95188432632610831</v>
      </c>
    </row>
    <row r="58" spans="1:6" x14ac:dyDescent="0.2">
      <c r="A58" s="20">
        <v>23</v>
      </c>
      <c r="B58" s="184" t="s">
        <v>20</v>
      </c>
      <c r="C58" s="185"/>
      <c r="D58" s="15">
        <f>IF(F3="1",SUMIF(Data!A:A,'40'!$A$2,Data!DQ:DQ),0)</f>
        <v>543984</v>
      </c>
      <c r="E58" s="18">
        <f>IF(F3="1",SUMIF(Data!$A:$A,'40'!$A$2,Data!JK:JK),0)</f>
        <v>683934</v>
      </c>
      <c r="F58" s="22">
        <f t="shared" si="3"/>
        <v>1.2572685961351804</v>
      </c>
    </row>
    <row r="59" spans="1:6" x14ac:dyDescent="0.2">
      <c r="A59" s="20">
        <v>24</v>
      </c>
      <c r="B59" s="184" t="s">
        <v>21</v>
      </c>
      <c r="C59" s="185"/>
      <c r="D59" s="15">
        <f>IF(F3="1",SUMIF(Data!A:A,'40'!$A$2,Data!DR:DR),0)</f>
        <v>379024</v>
      </c>
      <c r="E59" s="18">
        <f>IF(F3="1",SUMIF(Data!$A:$A,'40'!$A$2,Data!JL:JL),0)</f>
        <v>2564835</v>
      </c>
      <c r="F59" s="22">
        <f t="shared" si="3"/>
        <v>6.7669461564439191</v>
      </c>
    </row>
    <row r="60" spans="1:6" x14ac:dyDescent="0.2">
      <c r="A60" s="20">
        <v>25</v>
      </c>
      <c r="B60" s="184" t="s">
        <v>22</v>
      </c>
      <c r="C60" s="185"/>
      <c r="D60" s="15">
        <f>IF(F3="1",SUMIF(Data!A:A,'40'!$A$2,Data!DS:DS),0)</f>
        <v>3297776</v>
      </c>
      <c r="E60" s="18">
        <f>IF(F3="1",SUMIF(Data!$A:$A,'40'!$A$2,Data!JM:JM),0)</f>
        <v>2900461</v>
      </c>
      <c r="F60" s="22">
        <f t="shared" si="3"/>
        <v>0.87952031914841999</v>
      </c>
    </row>
    <row r="61" spans="1:6" x14ac:dyDescent="0.2">
      <c r="A61" s="20">
        <v>26</v>
      </c>
      <c r="B61" s="184" t="s">
        <v>23</v>
      </c>
      <c r="C61" s="185"/>
      <c r="D61" s="15">
        <f>IF(F3="1",SUMIF(Data!A:A,'40'!$A$2,Data!DT:DT),0)</f>
        <v>1125603</v>
      </c>
      <c r="E61" s="18">
        <f>IF(F3="1",SUMIF(Data!$A:$A,'40'!$A$2,Data!JN:JN),0)</f>
        <v>1564072</v>
      </c>
      <c r="F61" s="22">
        <f t="shared" si="3"/>
        <v>1.3895414280168052</v>
      </c>
    </row>
    <row r="62" spans="1:6" x14ac:dyDescent="0.2">
      <c r="A62" s="20">
        <v>28</v>
      </c>
      <c r="B62" s="184" t="s">
        <v>24</v>
      </c>
      <c r="C62" s="185"/>
      <c r="D62" s="15">
        <f>IF(F3="1",SUMIF(Data!A:A,'40'!$A$2,Data!DV:DV),0)</f>
        <v>0</v>
      </c>
      <c r="E62" s="18">
        <f>IF(F3="1",SUMIF(Data!$A:$A,'40'!$A$2,Data!JP:JP),0)</f>
        <v>0</v>
      </c>
      <c r="F62" s="22" t="str">
        <f t="shared" si="3"/>
        <v/>
      </c>
    </row>
    <row r="63" spans="1:6" ht="15.75" customHeight="1" thickBot="1" x14ac:dyDescent="0.25">
      <c r="A63" s="23">
        <v>29</v>
      </c>
      <c r="B63" s="186" t="s">
        <v>25</v>
      </c>
      <c r="C63" s="187"/>
      <c r="D63" s="24">
        <f>IF(F3="1",SUMIF(Data!A:A,'40'!$A$2,Data!DW:DW),0)</f>
        <v>0</v>
      </c>
      <c r="E63" s="25">
        <f>IF(F3="1",SUMIF(Data!$A:$A,'40'!$A$2,Data!JQ:JQ),0)</f>
        <v>0</v>
      </c>
      <c r="F63" s="26" t="str">
        <f t="shared" si="3"/>
        <v/>
      </c>
    </row>
    <row r="64" spans="1:6" x14ac:dyDescent="0.2">
      <c r="B64" s="31" t="s">
        <v>35</v>
      </c>
      <c r="C64" s="31"/>
      <c r="D64" s="61">
        <f>SUM(D36:D63)</f>
        <v>15950728</v>
      </c>
      <c r="E64" s="32">
        <f>SUM(E36:E63)</f>
        <v>23535105</v>
      </c>
      <c r="F64" s="33">
        <f t="shared" si="3"/>
        <v>1.4754878272640597</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33696</v>
      </c>
      <c r="E67" s="16">
        <f>IF(F3="1",SUMIF(Data!A:A,'40'!$A$2,Data!DY:DY),0)</f>
        <v>100883</v>
      </c>
      <c r="F67" s="21">
        <f>IFERROR(E67/D67,"")</f>
        <v>2.9939161918328585</v>
      </c>
    </row>
    <row r="68" spans="1:6" x14ac:dyDescent="0.2">
      <c r="A68" s="20">
        <v>2</v>
      </c>
      <c r="B68" s="184" t="s">
        <v>1</v>
      </c>
      <c r="C68" s="185"/>
      <c r="D68" s="15">
        <f t="shared" ref="D68:D94" si="4">D37</f>
        <v>53434</v>
      </c>
      <c r="E68" s="18">
        <f>IF(F3="1",SUMIF(Data!A:A,'40'!$A$2,Data!DZ:DZ),0)</f>
        <v>426463</v>
      </c>
      <c r="F68" s="22">
        <f t="shared" ref="F68:F95" si="5">IFERROR(E68/D68,"")</f>
        <v>7.981116891866602</v>
      </c>
    </row>
    <row r="69" spans="1:6" ht="14.25" customHeight="1" x14ac:dyDescent="0.2">
      <c r="A69" s="20">
        <v>3</v>
      </c>
      <c r="B69" s="184" t="s">
        <v>2</v>
      </c>
      <c r="C69" s="185"/>
      <c r="D69" s="15">
        <f t="shared" si="4"/>
        <v>2293728</v>
      </c>
      <c r="E69" s="18">
        <f>IF(F3="1",SUMIF(Data!A:A,'40'!$A$2,Data!EA:EA),0)</f>
        <v>6560820</v>
      </c>
      <c r="F69" s="22">
        <f t="shared" si="5"/>
        <v>2.8603304315071361</v>
      </c>
    </row>
    <row r="70" spans="1:6" ht="14.25" customHeight="1" x14ac:dyDescent="0.2">
      <c r="A70" s="20">
        <v>4</v>
      </c>
      <c r="B70" s="184" t="s">
        <v>3</v>
      </c>
      <c r="C70" s="185"/>
      <c r="D70" s="15">
        <f t="shared" si="4"/>
        <v>1157198</v>
      </c>
      <c r="E70" s="18">
        <f>IF(F3="1",SUMIF(Data!A:A,'40'!$A$2,Data!EB:EB),0)</f>
        <v>2931230</v>
      </c>
      <c r="F70" s="22">
        <f t="shared" si="5"/>
        <v>2.5330410180453131</v>
      </c>
    </row>
    <row r="71" spans="1:6" x14ac:dyDescent="0.2">
      <c r="A71" s="20">
        <v>5</v>
      </c>
      <c r="B71" s="184" t="s">
        <v>4</v>
      </c>
      <c r="C71" s="185"/>
      <c r="D71" s="15">
        <f t="shared" si="4"/>
        <v>0</v>
      </c>
      <c r="E71" s="18">
        <f>IF(F3="1",SUMIF(Data!A:A,'40'!$A$2,Data!EC:EC),0)</f>
        <v>0</v>
      </c>
      <c r="F71" s="22" t="str">
        <f t="shared" si="5"/>
        <v/>
      </c>
    </row>
    <row r="72" spans="1:6" x14ac:dyDescent="0.2">
      <c r="A72" s="20">
        <v>6</v>
      </c>
      <c r="B72" s="184" t="s">
        <v>5</v>
      </c>
      <c r="C72" s="185"/>
      <c r="D72" s="15">
        <f t="shared" si="4"/>
        <v>337122</v>
      </c>
      <c r="E72" s="18">
        <f>IF(F3="1",SUMIF(Data!A:A,'40'!$A$2,Data!ED:ED),0)</f>
        <v>688775</v>
      </c>
      <c r="F72" s="22">
        <f t="shared" si="5"/>
        <v>2.043103090275924</v>
      </c>
    </row>
    <row r="73" spans="1:6" x14ac:dyDescent="0.2">
      <c r="A73" s="20">
        <v>7</v>
      </c>
      <c r="B73" s="184" t="s">
        <v>6</v>
      </c>
      <c r="C73" s="185"/>
      <c r="D73" s="15">
        <f t="shared" si="4"/>
        <v>613083</v>
      </c>
      <c r="E73" s="18">
        <f>IF(F3="1",SUMIF(Data!A:A,'40'!$A$2,Data!EE:EE),0)</f>
        <v>2541127</v>
      </c>
      <c r="F73" s="22">
        <f t="shared" si="5"/>
        <v>4.1448335706584594</v>
      </c>
    </row>
    <row r="74" spans="1:6" x14ac:dyDescent="0.2">
      <c r="A74" s="20">
        <v>8</v>
      </c>
      <c r="B74" s="184" t="s">
        <v>7</v>
      </c>
      <c r="C74" s="185"/>
      <c r="D74" s="15">
        <f t="shared" si="4"/>
        <v>37504</v>
      </c>
      <c r="E74" s="18">
        <f>IF(F3="1",SUMIF(Data!A:A,'40'!$A$2,Data!EF:EF),0)</f>
        <v>54927</v>
      </c>
      <c r="F74" s="22">
        <f t="shared" si="5"/>
        <v>1.4645637798634812</v>
      </c>
    </row>
    <row r="75" spans="1:6" x14ac:dyDescent="0.2">
      <c r="A75" s="20">
        <v>9</v>
      </c>
      <c r="B75" s="184" t="s">
        <v>8</v>
      </c>
      <c r="C75" s="185"/>
      <c r="D75" s="15">
        <f t="shared" si="4"/>
        <v>237772</v>
      </c>
      <c r="E75" s="18">
        <f>IF(F3="1",SUMIF(Data!A:A,'40'!$A$2,Data!EG:EG),0)</f>
        <v>828300</v>
      </c>
      <c r="F75" s="22">
        <f t="shared" si="5"/>
        <v>3.4835893208620021</v>
      </c>
    </row>
    <row r="76" spans="1:6" x14ac:dyDescent="0.2">
      <c r="A76" s="20">
        <v>10</v>
      </c>
      <c r="B76" s="184" t="s">
        <v>9</v>
      </c>
      <c r="C76" s="185"/>
      <c r="D76" s="15">
        <f t="shared" si="4"/>
        <v>13184</v>
      </c>
      <c r="E76" s="18">
        <f>IF(F3="1",SUMIF(Data!A:A,'40'!$A$2,Data!EH:EH),0)</f>
        <v>67728</v>
      </c>
      <c r="F76" s="22">
        <f t="shared" si="5"/>
        <v>5.1371359223300974</v>
      </c>
    </row>
    <row r="77" spans="1:6" x14ac:dyDescent="0.2">
      <c r="A77" s="20">
        <v>11</v>
      </c>
      <c r="B77" s="184" t="s">
        <v>10</v>
      </c>
      <c r="C77" s="185"/>
      <c r="D77" s="15">
        <f t="shared" si="4"/>
        <v>218322</v>
      </c>
      <c r="E77" s="18">
        <f>IF(F3="1",SUMIF(Data!A:A,'40'!$A$2,Data!EI:EI),0)</f>
        <v>1116139</v>
      </c>
      <c r="F77" s="22">
        <f t="shared" si="5"/>
        <v>5.1123523969183129</v>
      </c>
    </row>
    <row r="78" spans="1:6" ht="14.25" customHeight="1" x14ac:dyDescent="0.2">
      <c r="A78" s="20">
        <v>12</v>
      </c>
      <c r="B78" s="184" t="s">
        <v>11</v>
      </c>
      <c r="C78" s="185"/>
      <c r="D78" s="15">
        <f t="shared" si="4"/>
        <v>2553947</v>
      </c>
      <c r="E78" s="18">
        <f>IF(F3="1",SUMIF(Data!A:A,'40'!$A$2,Data!EJ:EJ),0)</f>
        <v>8121054</v>
      </c>
      <c r="F78" s="22">
        <f t="shared" si="5"/>
        <v>3.1798052191372803</v>
      </c>
    </row>
    <row r="79" spans="1:6" x14ac:dyDescent="0.2">
      <c r="A79" s="20">
        <v>13</v>
      </c>
      <c r="B79" s="184" t="s">
        <v>12</v>
      </c>
      <c r="C79" s="185"/>
      <c r="D79" s="15">
        <f t="shared" si="4"/>
        <v>489928</v>
      </c>
      <c r="E79" s="18">
        <f>IF(F3="1",SUMIF(Data!A:A,'40'!$A$2,Data!EK:EK),0)</f>
        <v>1331390</v>
      </c>
      <c r="F79" s="22">
        <f t="shared" si="5"/>
        <v>2.7175217582991786</v>
      </c>
    </row>
    <row r="80" spans="1:6" ht="14.25" customHeight="1" x14ac:dyDescent="0.2">
      <c r="A80" s="20">
        <v>14</v>
      </c>
      <c r="B80" s="184" t="s">
        <v>469</v>
      </c>
      <c r="C80" s="185"/>
      <c r="D80" s="15">
        <f t="shared" si="4"/>
        <v>305590</v>
      </c>
      <c r="E80" s="18">
        <f>IF(F3="1",SUMIF(Data!A:A,'40'!$A$2,Data!EL:EL),0)</f>
        <v>2099732</v>
      </c>
      <c r="F80" s="22">
        <f t="shared" si="5"/>
        <v>6.871075624202363</v>
      </c>
    </row>
    <row r="81" spans="1:6" x14ac:dyDescent="0.2">
      <c r="A81" s="20">
        <v>15</v>
      </c>
      <c r="B81" s="184" t="s">
        <v>13</v>
      </c>
      <c r="C81" s="185"/>
      <c r="D81" s="15">
        <f t="shared" si="4"/>
        <v>39220</v>
      </c>
      <c r="E81" s="18">
        <f>IF(F3="1",SUMIF(Data!A:A,'40'!$A$2,Data!EM:EM),0)</f>
        <v>444842</v>
      </c>
      <c r="F81" s="22">
        <f t="shared" si="5"/>
        <v>11.342223355430903</v>
      </c>
    </row>
    <row r="82" spans="1:6" x14ac:dyDescent="0.2">
      <c r="A82" s="20">
        <v>16</v>
      </c>
      <c r="B82" s="184" t="s">
        <v>14</v>
      </c>
      <c r="C82" s="185"/>
      <c r="D82" s="15">
        <f t="shared" si="4"/>
        <v>335161</v>
      </c>
      <c r="E82" s="18">
        <f>IF(F3="1",SUMIF(Data!A:A,'40'!$A$2,Data!EN:EN),0)</f>
        <v>1701595</v>
      </c>
      <c r="F82" s="22">
        <f t="shared" si="5"/>
        <v>5.076948093602776</v>
      </c>
    </row>
    <row r="83" spans="1:6" x14ac:dyDescent="0.2">
      <c r="A83" s="20">
        <v>17</v>
      </c>
      <c r="B83" s="184" t="s">
        <v>15</v>
      </c>
      <c r="C83" s="185"/>
      <c r="D83" s="15">
        <f t="shared" si="4"/>
        <v>46512</v>
      </c>
      <c r="E83" s="18">
        <f>IF(F3="1",SUMIF(Data!A:A,'40'!$A$2,Data!EO:EO),0)</f>
        <v>421039</v>
      </c>
      <c r="F83" s="22">
        <f t="shared" si="5"/>
        <v>9.0522660818713447</v>
      </c>
    </row>
    <row r="84" spans="1:6" x14ac:dyDescent="0.2">
      <c r="A84" s="20">
        <v>18</v>
      </c>
      <c r="B84" s="184" t="s">
        <v>16</v>
      </c>
      <c r="C84" s="185"/>
      <c r="D84" s="15">
        <f t="shared" si="4"/>
        <v>0</v>
      </c>
      <c r="E84" s="18">
        <f>IF(F3="1",SUMIF(Data!A:A,'40'!$A$2,Data!EP:EP),0)</f>
        <v>0</v>
      </c>
      <c r="F84" s="22" t="str">
        <f t="shared" si="5"/>
        <v/>
      </c>
    </row>
    <row r="85" spans="1:6" x14ac:dyDescent="0.2">
      <c r="A85" s="20">
        <v>19</v>
      </c>
      <c r="B85" s="184" t="s">
        <v>17</v>
      </c>
      <c r="C85" s="185"/>
      <c r="D85" s="15">
        <f t="shared" si="4"/>
        <v>1522984</v>
      </c>
      <c r="E85" s="18">
        <f>IF(F3="1",SUMIF(Data!A:A,'40'!$A$2,Data!EQ:EQ),0)</f>
        <v>4909575</v>
      </c>
      <c r="F85" s="22">
        <f t="shared" si="5"/>
        <v>3.2236550088510452</v>
      </c>
    </row>
    <row r="86" spans="1:6" x14ac:dyDescent="0.2">
      <c r="A86" s="20">
        <v>20</v>
      </c>
      <c r="B86" s="184" t="s">
        <v>18</v>
      </c>
      <c r="C86" s="185"/>
      <c r="D86" s="15">
        <f t="shared" si="4"/>
        <v>110576</v>
      </c>
      <c r="E86" s="18">
        <f>IF(F3="1",SUMIF(Data!A:A,'40'!$A$2,Data!ER:ER),0)</f>
        <v>511679</v>
      </c>
      <c r="F86" s="22">
        <f t="shared" si="5"/>
        <v>4.6273965417450444</v>
      </c>
    </row>
    <row r="87" spans="1:6" ht="14.25" customHeight="1" x14ac:dyDescent="0.2">
      <c r="A87" s="20">
        <v>21</v>
      </c>
      <c r="B87" s="184" t="s">
        <v>466</v>
      </c>
      <c r="C87" s="185"/>
      <c r="D87" s="15">
        <f t="shared" si="4"/>
        <v>168656</v>
      </c>
      <c r="E87" s="18">
        <f>IF(F3="1",SUMIF(Data!A:A,'40'!$A$2,Data!ES:ES),0)</f>
        <v>811779</v>
      </c>
      <c r="F87" s="22">
        <f t="shared" si="5"/>
        <v>4.8132233659045633</v>
      </c>
    </row>
    <row r="88" spans="1:6" x14ac:dyDescent="0.2">
      <c r="A88" s="20">
        <v>22</v>
      </c>
      <c r="B88" s="184" t="s">
        <v>19</v>
      </c>
      <c r="C88" s="185"/>
      <c r="D88" s="15">
        <f t="shared" si="4"/>
        <v>36724</v>
      </c>
      <c r="E88" s="18">
        <f>IF(F3="1",SUMIF(Data!A:A,'40'!$A$2,Data!ET:ET),0)</f>
        <v>5077</v>
      </c>
      <c r="F88" s="22">
        <f t="shared" si="5"/>
        <v>0.13824746759612241</v>
      </c>
    </row>
    <row r="89" spans="1:6" x14ac:dyDescent="0.2">
      <c r="A89" s="20">
        <v>23</v>
      </c>
      <c r="B89" s="184" t="s">
        <v>20</v>
      </c>
      <c r="C89" s="185"/>
      <c r="D89" s="15">
        <f t="shared" si="4"/>
        <v>543984</v>
      </c>
      <c r="E89" s="18">
        <f>IF(F3="1",SUMIF(Data!A:A,'40'!$A$2,Data!EU:EU),0)</f>
        <v>1851681</v>
      </c>
      <c r="F89" s="22">
        <f t="shared" si="5"/>
        <v>3.4039254831024444</v>
      </c>
    </row>
    <row r="90" spans="1:6" x14ac:dyDescent="0.2">
      <c r="A90" s="20">
        <v>24</v>
      </c>
      <c r="B90" s="184" t="s">
        <v>21</v>
      </c>
      <c r="C90" s="185"/>
      <c r="D90" s="15">
        <f t="shared" si="4"/>
        <v>379024</v>
      </c>
      <c r="E90" s="18">
        <f>IF(F3="1",SUMIF(Data!A:A,'40'!$A$2,Data!EV:EV),0)</f>
        <v>1419346</v>
      </c>
      <c r="F90" s="22">
        <f t="shared" si="5"/>
        <v>3.7447391194225168</v>
      </c>
    </row>
    <row r="91" spans="1:6" x14ac:dyDescent="0.2">
      <c r="A91" s="20">
        <v>25</v>
      </c>
      <c r="B91" s="184" t="s">
        <v>22</v>
      </c>
      <c r="C91" s="185"/>
      <c r="D91" s="15">
        <f t="shared" si="4"/>
        <v>3297776</v>
      </c>
      <c r="E91" s="18">
        <f>IF(F3="1",SUMIF(Data!A:A,'40'!$A$2,Data!EW:EW),0)</f>
        <v>7957072</v>
      </c>
      <c r="F91" s="22">
        <f t="shared" si="5"/>
        <v>2.4128600608410031</v>
      </c>
    </row>
    <row r="92" spans="1:6" x14ac:dyDescent="0.2">
      <c r="A92" s="20">
        <v>26</v>
      </c>
      <c r="B92" s="184" t="s">
        <v>23</v>
      </c>
      <c r="C92" s="185"/>
      <c r="D92" s="15">
        <f t="shared" si="4"/>
        <v>1125603</v>
      </c>
      <c r="E92" s="18">
        <f>IF(F3="1",SUMIF(Data!A:A,'40'!$A$2,Data!EX:EX),0)</f>
        <v>4687428</v>
      </c>
      <c r="F92" s="22">
        <f t="shared" si="5"/>
        <v>4.1643705640443391</v>
      </c>
    </row>
    <row r="93" spans="1:6" x14ac:dyDescent="0.2">
      <c r="A93" s="20">
        <v>28</v>
      </c>
      <c r="B93" s="184" t="s">
        <v>24</v>
      </c>
      <c r="C93" s="185"/>
      <c r="D93" s="15">
        <f t="shared" si="4"/>
        <v>0</v>
      </c>
      <c r="E93" s="18">
        <f>IF(F3="1",SUMIF(Data!A:A,'40'!$A$2,Data!EZ:EZ),0)</f>
        <v>0</v>
      </c>
      <c r="F93" s="22" t="str">
        <f t="shared" si="5"/>
        <v/>
      </c>
    </row>
    <row r="94" spans="1:6" ht="15.75" customHeight="1" thickBot="1" x14ac:dyDescent="0.25">
      <c r="A94" s="23">
        <v>29</v>
      </c>
      <c r="B94" s="186" t="s">
        <v>25</v>
      </c>
      <c r="C94" s="187"/>
      <c r="D94" s="24">
        <f t="shared" si="4"/>
        <v>0</v>
      </c>
      <c r="E94" s="25">
        <f>IF(F3="1",SUMIF(Data!A:A,'40'!$A$2,Data!FA:FA),0)</f>
        <v>0</v>
      </c>
      <c r="F94" s="26" t="str">
        <f t="shared" si="5"/>
        <v/>
      </c>
    </row>
    <row r="95" spans="1:6" x14ac:dyDescent="0.2">
      <c r="B95" s="31" t="s">
        <v>35</v>
      </c>
      <c r="C95" s="31"/>
      <c r="D95" s="61">
        <f>SUM(D67:D94)</f>
        <v>15950728</v>
      </c>
      <c r="E95" s="32">
        <f>SUM(E67:E94)</f>
        <v>51589681</v>
      </c>
      <c r="F95" s="33">
        <f t="shared" si="5"/>
        <v>3.2343151359611926</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IF(F3="1",SUMIF(Data!A:A,'40'!$A$2,Data!AH:AH),0)</f>
        <v>19358103</v>
      </c>
      <c r="F98" s="21">
        <f t="shared" ref="F98:F105" si="6">IFERROR(E98/$D$95,0)</f>
        <v>1.2136187765223003</v>
      </c>
    </row>
    <row r="99" spans="2:6" x14ac:dyDescent="0.2">
      <c r="B99" s="190" t="s">
        <v>31</v>
      </c>
      <c r="C99" s="191"/>
      <c r="D99" s="37"/>
      <c r="E99" s="18">
        <f>IF(F3="1",SUMIF(Data!A:A,'40'!$A$2,Data!AI:AI),0)</f>
        <v>13164664</v>
      </c>
      <c r="F99" s="22">
        <f t="shared" si="6"/>
        <v>0.82533311332247661</v>
      </c>
    </row>
    <row r="100" spans="2:6" x14ac:dyDescent="0.2">
      <c r="B100" s="190" t="s">
        <v>32</v>
      </c>
      <c r="C100" s="191"/>
      <c r="D100" s="37"/>
      <c r="E100" s="18">
        <f>IF(F3="1",SUMIF(Data!A:A,'40'!$A$2,Data!AJ:AJ),0)</f>
        <v>11644335</v>
      </c>
      <c r="F100" s="22">
        <f t="shared" si="6"/>
        <v>0.73001903110629185</v>
      </c>
    </row>
    <row r="101" spans="2:6" x14ac:dyDescent="0.2">
      <c r="B101" s="190" t="s">
        <v>28</v>
      </c>
      <c r="C101" s="191"/>
      <c r="D101" s="37"/>
      <c r="E101" s="18">
        <f>IF(F3="1",SUMIF(Data!A:A,'40'!$A$2,Data!AK:AK),0)</f>
        <v>0</v>
      </c>
      <c r="F101" s="22">
        <f t="shared" si="6"/>
        <v>0</v>
      </c>
    </row>
    <row r="102" spans="2:6" x14ac:dyDescent="0.2">
      <c r="B102" s="190" t="s">
        <v>33</v>
      </c>
      <c r="C102" s="191"/>
      <c r="D102" s="37"/>
      <c r="E102" s="18">
        <f>IF(F3="1",SUMIF(Data!A:A,'40'!$A$2,Data!AL:AL),0)</f>
        <v>578017</v>
      </c>
      <c r="F102" s="22">
        <f t="shared" si="6"/>
        <v>3.6237656362769148E-2</v>
      </c>
    </row>
    <row r="103" spans="2:6" x14ac:dyDescent="0.2">
      <c r="B103" s="192" t="s">
        <v>34</v>
      </c>
      <c r="C103" s="193"/>
      <c r="D103" s="37"/>
      <c r="E103" s="18">
        <f>IF(F3="1",SUMIF(Data!A:A,'40'!$A$2,Data!AM:AM),0)</f>
        <v>2938375</v>
      </c>
      <c r="F103" s="22">
        <f t="shared" si="6"/>
        <v>0.18421572984004242</v>
      </c>
    </row>
    <row r="104" spans="2:6" ht="15.75" customHeight="1" thickBot="1" x14ac:dyDescent="0.25">
      <c r="B104" s="182" t="s">
        <v>29</v>
      </c>
      <c r="C104" s="183"/>
      <c r="D104" s="38"/>
      <c r="E104" s="25">
        <f>IF(F3="1",SUMIF(Data!A:A,'40'!$A$2,Data!Q:Q),0)</f>
        <v>4879924</v>
      </c>
      <c r="F104" s="26">
        <f t="shared" si="6"/>
        <v>0.30593738417456556</v>
      </c>
    </row>
    <row r="105" spans="2:6" x14ac:dyDescent="0.2">
      <c r="B105" s="31" t="s">
        <v>35</v>
      </c>
      <c r="C105" s="31"/>
      <c r="D105" s="35">
        <f>D95</f>
        <v>15950728</v>
      </c>
      <c r="E105" s="32">
        <f>SUM(E98:E104)</f>
        <v>52563418</v>
      </c>
      <c r="F105" s="33">
        <f t="shared" si="6"/>
        <v>3.2953616913284458</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51589681</v>
      </c>
      <c r="D109" s="16">
        <f>IF(F3="1",SUMIF(Data!$A:$A,$A$2,Data!HJ:HJ),0)</f>
        <v>0</v>
      </c>
      <c r="E109" s="16">
        <f>IF(F3="1",SUMIF(Data!$A:$A,$A$2,Data!IN:IN),0)</f>
        <v>0</v>
      </c>
      <c r="F109" s="48">
        <f>SUM(C109:E109)</f>
        <v>51589681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578017</v>
      </c>
      <c r="F116" s="49">
        <f t="shared" si="7"/>
        <v>578017</v>
      </c>
    </row>
    <row r="117" spans="1:6" ht="15" thickBot="1" x14ac:dyDescent="0.25">
      <c r="B117" s="44" t="s">
        <v>941</v>
      </c>
      <c r="C117" s="53"/>
      <c r="D117" s="53">
        <f>IF(F3="1",SUMIF(Data!A:A,$A$2,Data!Q:Q),0)</f>
        <v>4879924</v>
      </c>
      <c r="E117" s="53"/>
      <c r="F117" s="50">
        <f>SUM(C117:E117)</f>
        <v>4879924</v>
      </c>
    </row>
    <row r="118" spans="1:6" x14ac:dyDescent="0.2">
      <c r="B118" s="14" t="s">
        <v>35</v>
      </c>
      <c r="C118" s="5">
        <f>SUM(C109:C116)</f>
        <v>51589681</v>
      </c>
      <c r="D118" s="5">
        <f>SUM(D109:D116)</f>
        <v>0</v>
      </c>
      <c r="E118" s="5">
        <f>SUM(E109:E116)</f>
        <v>578017</v>
      </c>
      <c r="F118" s="5">
        <f>SUM(F109:F116)</f>
        <v>52167698</v>
      </c>
    </row>
    <row r="119" spans="1:6" ht="15" thickBot="1" x14ac:dyDescent="0.25"/>
    <row r="120" spans="1:6" ht="15" thickBot="1" x14ac:dyDescent="0.25">
      <c r="B120" s="57" t="s">
        <v>942</v>
      </c>
      <c r="C120" s="55"/>
      <c r="D120" s="55"/>
      <c r="E120" s="55">
        <f>IF(F3="1",SUMIF(Data!A:A,'40'!$A$2,Data!AM:AM),0)</f>
        <v>2938375</v>
      </c>
      <c r="F120" s="56">
        <f>SUM(C120:E120)</f>
        <v>2938375</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404</v>
      </c>
      <c r="B2" s="60" t="str">
        <f>VLOOKUP(A2,Data!A:G,7,0)</f>
        <v>Temple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19264</v>
      </c>
      <c r="E5" s="16">
        <f>E36+E67+IFERROR($E$105/$D$105*D5,0)</f>
        <v>147509.04034859955</v>
      </c>
      <c r="F5" s="21">
        <f>IFERROR(E5/D5,"")</f>
        <v>7.6572383901889305</v>
      </c>
    </row>
    <row r="6" spans="1:6" x14ac:dyDescent="0.2">
      <c r="A6" s="20">
        <v>2</v>
      </c>
      <c r="B6" s="184" t="s">
        <v>1</v>
      </c>
      <c r="C6" s="185"/>
      <c r="D6" s="15">
        <f t="shared" ref="D6:D32" si="0">D37</f>
        <v>4080</v>
      </c>
      <c r="E6" s="18">
        <f t="shared" ref="E6:E32" si="1">E37+E68+IFERROR($E$105/$D$105*D6,0)</f>
        <v>32103.329974163527</v>
      </c>
      <c r="F6" s="22">
        <f t="shared" ref="F6:F33" si="2">IFERROR(E6/D6,"")</f>
        <v>7.868463228961649</v>
      </c>
    </row>
    <row r="7" spans="1:6" ht="14.25" customHeight="1" x14ac:dyDescent="0.2">
      <c r="A7" s="20">
        <v>3</v>
      </c>
      <c r="B7" s="184" t="s">
        <v>2</v>
      </c>
      <c r="C7" s="185"/>
      <c r="D7" s="15">
        <f t="shared" si="0"/>
        <v>279360</v>
      </c>
      <c r="E7" s="18">
        <f t="shared" si="1"/>
        <v>2055692.2994074321</v>
      </c>
      <c r="F7" s="22">
        <f t="shared" si="2"/>
        <v>7.3585778186119422</v>
      </c>
    </row>
    <row r="8" spans="1:6" ht="14.25" customHeight="1" x14ac:dyDescent="0.2">
      <c r="A8" s="20">
        <v>4</v>
      </c>
      <c r="B8" s="184" t="s">
        <v>3</v>
      </c>
      <c r="C8" s="185"/>
      <c r="D8" s="15">
        <f t="shared" si="0"/>
        <v>201295</v>
      </c>
      <c r="E8" s="18">
        <f t="shared" si="1"/>
        <v>1224761.0042032469</v>
      </c>
      <c r="F8" s="22">
        <f t="shared" si="2"/>
        <v>6.0844084761332713</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1744</v>
      </c>
      <c r="E10" s="18">
        <f t="shared" si="1"/>
        <v>17363.682224250293</v>
      </c>
      <c r="F10" s="22">
        <f t="shared" si="2"/>
        <v>9.9562398074829659</v>
      </c>
    </row>
    <row r="11" spans="1:6" x14ac:dyDescent="0.2">
      <c r="A11" s="20">
        <v>7</v>
      </c>
      <c r="B11" s="184" t="s">
        <v>6</v>
      </c>
      <c r="C11" s="185"/>
      <c r="D11" s="15">
        <f t="shared" si="0"/>
        <v>95982</v>
      </c>
      <c r="E11" s="18">
        <f t="shared" si="1"/>
        <v>744563.18764219701</v>
      </c>
      <c r="F11" s="22">
        <f t="shared" si="2"/>
        <v>7.7573210356337334</v>
      </c>
    </row>
    <row r="12" spans="1:6" x14ac:dyDescent="0.2">
      <c r="A12" s="20">
        <v>8</v>
      </c>
      <c r="B12" s="184" t="s">
        <v>7</v>
      </c>
      <c r="C12" s="185"/>
      <c r="D12" s="15">
        <f t="shared" si="0"/>
        <v>248</v>
      </c>
      <c r="E12" s="18">
        <f t="shared" si="1"/>
        <v>1714.6612337236654</v>
      </c>
      <c r="F12" s="22">
        <f t="shared" si="2"/>
        <v>6.9139565875954254</v>
      </c>
    </row>
    <row r="13" spans="1:6" x14ac:dyDescent="0.2">
      <c r="A13" s="20">
        <v>9</v>
      </c>
      <c r="B13" s="184" t="s">
        <v>8</v>
      </c>
      <c r="C13" s="185"/>
      <c r="D13" s="15">
        <f t="shared" si="0"/>
        <v>32890</v>
      </c>
      <c r="E13" s="18">
        <f t="shared" si="1"/>
        <v>240098.06442407804</v>
      </c>
      <c r="F13" s="22">
        <f t="shared" si="2"/>
        <v>7.3000323631522663</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37046</v>
      </c>
      <c r="E15" s="18">
        <f t="shared" si="1"/>
        <v>233744.4034859956</v>
      </c>
      <c r="F15" s="22">
        <f t="shared" si="2"/>
        <v>6.3095719777032766</v>
      </c>
    </row>
    <row r="16" spans="1:6" ht="14.25" customHeight="1" x14ac:dyDescent="0.2">
      <c r="A16" s="20">
        <v>12</v>
      </c>
      <c r="B16" s="184" t="s">
        <v>11</v>
      </c>
      <c r="C16" s="185"/>
      <c r="D16" s="15">
        <f t="shared" si="0"/>
        <v>359616</v>
      </c>
      <c r="E16" s="18">
        <f t="shared" si="1"/>
        <v>2434885.8960756841</v>
      </c>
      <c r="F16" s="22">
        <f t="shared" si="2"/>
        <v>6.7707941139317604</v>
      </c>
    </row>
    <row r="17" spans="1:6" x14ac:dyDescent="0.2">
      <c r="A17" s="20">
        <v>13</v>
      </c>
      <c r="B17" s="184" t="s">
        <v>12</v>
      </c>
      <c r="C17" s="185"/>
      <c r="D17" s="15">
        <f t="shared" si="0"/>
        <v>21344</v>
      </c>
      <c r="E17" s="18">
        <f t="shared" si="1"/>
        <v>174574.97327660449</v>
      </c>
      <c r="F17" s="22">
        <f t="shared" si="2"/>
        <v>8.1791123161827439</v>
      </c>
    </row>
    <row r="18" spans="1:6" ht="14.25" customHeight="1" x14ac:dyDescent="0.2">
      <c r="A18" s="20">
        <v>14</v>
      </c>
      <c r="B18" s="184" t="s">
        <v>469</v>
      </c>
      <c r="C18" s="185"/>
      <c r="D18" s="15">
        <f t="shared" si="0"/>
        <v>105460</v>
      </c>
      <c r="E18" s="18">
        <f t="shared" si="1"/>
        <v>1013961.9262439426</v>
      </c>
      <c r="F18" s="22">
        <f t="shared" si="2"/>
        <v>9.6146588871983933</v>
      </c>
    </row>
    <row r="19" spans="1:6" x14ac:dyDescent="0.2">
      <c r="A19" s="20">
        <v>15</v>
      </c>
      <c r="B19" s="184" t="s">
        <v>13</v>
      </c>
      <c r="C19" s="185"/>
      <c r="D19" s="15">
        <f t="shared" si="0"/>
        <v>18555</v>
      </c>
      <c r="E19" s="18">
        <f t="shared" si="1"/>
        <v>440358.41609573632</v>
      </c>
      <c r="F19" s="22">
        <f t="shared" si="2"/>
        <v>23.732601244717667</v>
      </c>
    </row>
    <row r="20" spans="1:6" x14ac:dyDescent="0.2">
      <c r="A20" s="20">
        <v>16</v>
      </c>
      <c r="B20" s="184" t="s">
        <v>14</v>
      </c>
      <c r="C20" s="185"/>
      <c r="D20" s="15">
        <f t="shared" si="0"/>
        <v>164042</v>
      </c>
      <c r="E20" s="18">
        <f t="shared" si="1"/>
        <v>1488739.5891229738</v>
      </c>
      <c r="F20" s="22">
        <f t="shared" si="2"/>
        <v>9.0753562448822489</v>
      </c>
    </row>
    <row r="21" spans="1:6" x14ac:dyDescent="0.2">
      <c r="A21" s="20">
        <v>17</v>
      </c>
      <c r="B21" s="184" t="s">
        <v>15</v>
      </c>
      <c r="C21" s="185"/>
      <c r="D21" s="15">
        <f t="shared" si="0"/>
        <v>33776</v>
      </c>
      <c r="E21" s="18">
        <f t="shared" si="1"/>
        <v>346603.24931552634</v>
      </c>
      <c r="F21" s="22">
        <f t="shared" si="2"/>
        <v>10.261820503183513</v>
      </c>
    </row>
    <row r="22" spans="1:6" x14ac:dyDescent="0.2">
      <c r="A22" s="20">
        <v>18</v>
      </c>
      <c r="B22" s="184" t="s">
        <v>16</v>
      </c>
      <c r="C22" s="185"/>
      <c r="D22" s="15">
        <f t="shared" si="0"/>
        <v>123504</v>
      </c>
      <c r="E22" s="18">
        <f t="shared" si="1"/>
        <v>1104706.2943943853</v>
      </c>
      <c r="F22" s="22">
        <f t="shared" si="2"/>
        <v>8.9447005311114243</v>
      </c>
    </row>
    <row r="23" spans="1:6" x14ac:dyDescent="0.2">
      <c r="A23" s="20">
        <v>19</v>
      </c>
      <c r="B23" s="184" t="s">
        <v>17</v>
      </c>
      <c r="C23" s="185"/>
      <c r="D23" s="15">
        <f t="shared" si="0"/>
        <v>213945</v>
      </c>
      <c r="E23" s="18">
        <f t="shared" si="1"/>
        <v>1538778.4905202</v>
      </c>
      <c r="F23" s="22">
        <f t="shared" si="2"/>
        <v>7.1924022086059498</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6536</v>
      </c>
      <c r="E26" s="18">
        <f t="shared" si="1"/>
        <v>51516.78154684628</v>
      </c>
      <c r="F26" s="22">
        <f t="shared" si="2"/>
        <v>7.8820045206313161</v>
      </c>
    </row>
    <row r="27" spans="1:6" x14ac:dyDescent="0.2">
      <c r="A27" s="20">
        <v>23</v>
      </c>
      <c r="B27" s="184" t="s">
        <v>20</v>
      </c>
      <c r="C27" s="185"/>
      <c r="D27" s="15">
        <f t="shared" si="0"/>
        <v>60816</v>
      </c>
      <c r="E27" s="18">
        <f t="shared" si="1"/>
        <v>417813.37737959047</v>
      </c>
      <c r="F27" s="22">
        <f t="shared" si="2"/>
        <v>6.8701226220006326</v>
      </c>
    </row>
    <row r="28" spans="1:6" x14ac:dyDescent="0.2">
      <c r="A28" s="20">
        <v>24</v>
      </c>
      <c r="B28" s="184" t="s">
        <v>21</v>
      </c>
      <c r="C28" s="185"/>
      <c r="D28" s="15">
        <f t="shared" si="0"/>
        <v>64791</v>
      </c>
      <c r="E28" s="18">
        <f t="shared" si="1"/>
        <v>533099.62900883064</v>
      </c>
      <c r="F28" s="22">
        <f t="shared" si="2"/>
        <v>8.2279889029160014</v>
      </c>
    </row>
    <row r="29" spans="1:6" x14ac:dyDescent="0.2">
      <c r="A29" s="20">
        <v>25</v>
      </c>
      <c r="B29" s="184" t="s">
        <v>22</v>
      </c>
      <c r="C29" s="185"/>
      <c r="D29" s="15">
        <f t="shared" si="0"/>
        <v>340128</v>
      </c>
      <c r="E29" s="18">
        <f t="shared" si="1"/>
        <v>2168084.3552579149</v>
      </c>
      <c r="F29" s="22">
        <f t="shared" si="2"/>
        <v>6.3743189483309664</v>
      </c>
    </row>
    <row r="30" spans="1:6" x14ac:dyDescent="0.2">
      <c r="A30" s="20">
        <v>26</v>
      </c>
      <c r="B30" s="184" t="s">
        <v>23</v>
      </c>
      <c r="C30" s="185"/>
      <c r="D30" s="15">
        <f t="shared" si="0"/>
        <v>149488</v>
      </c>
      <c r="E30" s="18">
        <f t="shared" si="1"/>
        <v>1442707.3488180777</v>
      </c>
      <c r="F30" s="22">
        <f t="shared" si="2"/>
        <v>9.6509910415423157</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2333910</v>
      </c>
      <c r="E33" s="32">
        <f>SUM(E5:E32)</f>
        <v>17853380</v>
      </c>
      <c r="F33" s="33">
        <f t="shared" si="2"/>
        <v>7.6495580377992294</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IF(F3="1",SUMIF(Data!A:A,'41'!$A$2,Data!CU:CU),0)</f>
        <v>19264</v>
      </c>
      <c r="E36" s="16">
        <f>IF(F3="1",SUMIF(Data!$A:$A,'41'!$A$2,Data!IO:IO),0)</f>
        <v>13178</v>
      </c>
      <c r="F36" s="21">
        <f t="shared" ref="F36:F64" si="3">IFERROR(E36/D36,"")</f>
        <v>0.68407392026578073</v>
      </c>
    </row>
    <row r="37" spans="1:6" x14ac:dyDescent="0.2">
      <c r="A37" s="20">
        <v>2</v>
      </c>
      <c r="B37" s="184" t="s">
        <v>1</v>
      </c>
      <c r="C37" s="185"/>
      <c r="D37" s="15">
        <f>IF(F3="1",SUMIF(Data!A:A,'41'!$A$2,Data!CV:CV),0)</f>
        <v>4080</v>
      </c>
      <c r="E37" s="18">
        <f>IF(F3="1",SUMIF(Data!$A:$A,'41'!$A$2,Data!IP:IP),0)</f>
        <v>18306</v>
      </c>
      <c r="F37" s="22">
        <f t="shared" si="3"/>
        <v>4.4867647058823525</v>
      </c>
    </row>
    <row r="38" spans="1:6" ht="14.25" customHeight="1" x14ac:dyDescent="0.2">
      <c r="A38" s="20">
        <v>3</v>
      </c>
      <c r="B38" s="184" t="s">
        <v>2</v>
      </c>
      <c r="C38" s="185"/>
      <c r="D38" s="15">
        <f>IF(F3="1",SUMIF(Data!A:A,'41'!$A$2,Data!CW:CW),0)</f>
        <v>279360</v>
      </c>
      <c r="E38" s="18">
        <f>IF(F3="1",SUMIF(Data!$A:$A,'41'!$A$2,Data!IQ:IQ),0)</f>
        <v>293259</v>
      </c>
      <c r="F38" s="22">
        <f t="shared" si="3"/>
        <v>1.0497530068728522</v>
      </c>
    </row>
    <row r="39" spans="1:6" ht="14.25" customHeight="1" x14ac:dyDescent="0.2">
      <c r="A39" s="20">
        <v>4</v>
      </c>
      <c r="B39" s="184" t="s">
        <v>3</v>
      </c>
      <c r="C39" s="185"/>
      <c r="D39" s="15">
        <f>IF(F3="1",SUMIF(Data!A:A,'41'!$A$2,Data!CX:CX),0)</f>
        <v>201295</v>
      </c>
      <c r="E39" s="18">
        <f>IF(F3="1",SUMIF(Data!$A:$A,'41'!$A$2,Data!IR:IR),0)</f>
        <v>126814</v>
      </c>
      <c r="F39" s="22">
        <f t="shared" si="3"/>
        <v>0.62999080950843289</v>
      </c>
    </row>
    <row r="40" spans="1:6" x14ac:dyDescent="0.2">
      <c r="A40" s="20">
        <v>5</v>
      </c>
      <c r="B40" s="184" t="s">
        <v>4</v>
      </c>
      <c r="C40" s="185"/>
      <c r="D40" s="15">
        <f>IF(F3="1",SUMIF(Data!A:A,'41'!$A$2,Data!CY:CY),0)</f>
        <v>0</v>
      </c>
      <c r="E40" s="18">
        <f>IF(F3="1",SUMIF(Data!$A:$A,'41'!$A$2,Data!IS:IS),0)</f>
        <v>0</v>
      </c>
      <c r="F40" s="22" t="str">
        <f t="shared" si="3"/>
        <v/>
      </c>
    </row>
    <row r="41" spans="1:6" x14ac:dyDescent="0.2">
      <c r="A41" s="20">
        <v>6</v>
      </c>
      <c r="B41" s="184" t="s">
        <v>5</v>
      </c>
      <c r="C41" s="185"/>
      <c r="D41" s="15">
        <f>IF(F3="1",SUMIF(Data!A:A,'41'!$A$2,Data!CZ:CZ),0)</f>
        <v>1744</v>
      </c>
      <c r="E41" s="18">
        <f>IF(F3="1",SUMIF(Data!$A:$A,'41'!$A$2,Data!IT:IT),0)</f>
        <v>3398</v>
      </c>
      <c r="F41" s="22">
        <f t="shared" si="3"/>
        <v>1.948394495412844</v>
      </c>
    </row>
    <row r="42" spans="1:6" x14ac:dyDescent="0.2">
      <c r="A42" s="20">
        <v>7</v>
      </c>
      <c r="B42" s="184" t="s">
        <v>6</v>
      </c>
      <c r="C42" s="185"/>
      <c r="D42" s="15">
        <f>IF(F3="1",SUMIF(Data!A:A,'41'!$A$2,Data!DA:DA),0)</f>
        <v>95982</v>
      </c>
      <c r="E42" s="18">
        <f>IF(F3="1",SUMIF(Data!$A:$A,'41'!$A$2,Data!IU:IU),0)</f>
        <v>123711</v>
      </c>
      <c r="F42" s="22">
        <f t="shared" si="3"/>
        <v>1.2888979183596925</v>
      </c>
    </row>
    <row r="43" spans="1:6" x14ac:dyDescent="0.2">
      <c r="A43" s="20">
        <v>8</v>
      </c>
      <c r="B43" s="184" t="s">
        <v>7</v>
      </c>
      <c r="C43" s="185"/>
      <c r="D43" s="15">
        <f>IF(F3="1",SUMIF(Data!A:A,'41'!$A$2,Data!DB:DB),0)</f>
        <v>248</v>
      </c>
      <c r="E43" s="18">
        <f>IF(F3="1",SUMIF(Data!$A:$A,'41'!$A$2,Data!IV:IV),0)</f>
        <v>876</v>
      </c>
      <c r="F43" s="22">
        <f t="shared" si="3"/>
        <v>3.532258064516129</v>
      </c>
    </row>
    <row r="44" spans="1:6" x14ac:dyDescent="0.2">
      <c r="A44" s="20">
        <v>9</v>
      </c>
      <c r="B44" s="184" t="s">
        <v>8</v>
      </c>
      <c r="C44" s="185"/>
      <c r="D44" s="15">
        <f>IF(F3="1",SUMIF(Data!A:A,'41'!$A$2,Data!DC:DC),0)</f>
        <v>32890</v>
      </c>
      <c r="E44" s="18">
        <f>IF(F3="1",SUMIF(Data!$A:$A,'41'!$A$2,Data!IW:IW),0)</f>
        <v>25805</v>
      </c>
      <c r="F44" s="22">
        <f t="shared" si="3"/>
        <v>0.78458498023715417</v>
      </c>
    </row>
    <row r="45" spans="1:6" x14ac:dyDescent="0.2">
      <c r="A45" s="20">
        <v>10</v>
      </c>
      <c r="B45" s="184" t="s">
        <v>9</v>
      </c>
      <c r="C45" s="185"/>
      <c r="D45" s="15">
        <f>IF(F3="1",SUMIF(Data!A:A,'41'!$A$2,Data!DD:DD),0)</f>
        <v>0</v>
      </c>
      <c r="E45" s="18">
        <f>IF(F3="1",SUMIF(Data!$A:$A,'41'!$A$2,Data!IX:IX),0)</f>
        <v>0</v>
      </c>
      <c r="F45" s="22" t="str">
        <f t="shared" si="3"/>
        <v/>
      </c>
    </row>
    <row r="46" spans="1:6" x14ac:dyDescent="0.2">
      <c r="A46" s="20">
        <v>11</v>
      </c>
      <c r="B46" s="184" t="s">
        <v>10</v>
      </c>
      <c r="C46" s="185"/>
      <c r="D46" s="15">
        <f>IF(F3="1",SUMIF(Data!A:A,'41'!$A$2,Data!DE:DE),0)</f>
        <v>37046</v>
      </c>
      <c r="E46" s="18">
        <f>IF(F3="1",SUMIF(Data!$A:$A,'41'!$A$2,Data!IY:IY),0)</f>
        <v>41142</v>
      </c>
      <c r="F46" s="22">
        <f t="shared" si="3"/>
        <v>1.1105652432111428</v>
      </c>
    </row>
    <row r="47" spans="1:6" ht="14.25" customHeight="1" x14ac:dyDescent="0.2">
      <c r="A47" s="20">
        <v>12</v>
      </c>
      <c r="B47" s="184" t="s">
        <v>11</v>
      </c>
      <c r="C47" s="185"/>
      <c r="D47" s="15">
        <f>IF(F3="1",SUMIF(Data!A:A,'41'!$A$2,Data!DF:DF),0)</f>
        <v>359616</v>
      </c>
      <c r="E47" s="18">
        <f>IF(F3="1",SUMIF(Data!$A:$A,'41'!$A$2,Data!IZ:IZ),0)</f>
        <v>155339</v>
      </c>
      <c r="F47" s="22">
        <f t="shared" si="3"/>
        <v>0.43195797739811354</v>
      </c>
    </row>
    <row r="48" spans="1:6" x14ac:dyDescent="0.2">
      <c r="A48" s="20">
        <v>13</v>
      </c>
      <c r="B48" s="184" t="s">
        <v>12</v>
      </c>
      <c r="C48" s="185"/>
      <c r="D48" s="15">
        <f>IF(F3="1",SUMIF(Data!A:A,'41'!$A$2,Data!DG:DG),0)</f>
        <v>21344</v>
      </c>
      <c r="E48" s="18">
        <f>IF(F3="1",SUMIF(Data!$A:$A,'41'!$A$2,Data!JA:JA),0)</f>
        <v>14558</v>
      </c>
      <c r="F48" s="22">
        <f t="shared" si="3"/>
        <v>0.68206521739130432</v>
      </c>
    </row>
    <row r="49" spans="1:6" ht="14.25" customHeight="1" x14ac:dyDescent="0.2">
      <c r="A49" s="20">
        <v>14</v>
      </c>
      <c r="B49" s="184" t="s">
        <v>469</v>
      </c>
      <c r="C49" s="185"/>
      <c r="D49" s="15">
        <f>IF(F3="1",SUMIF(Data!A:A,'41'!$A$2,Data!DH:DH),0)</f>
        <v>105460</v>
      </c>
      <c r="E49" s="18">
        <f>IF(F3="1",SUMIF(Data!$A:$A,'41'!$A$2,Data!JB:JB),0)</f>
        <v>127049</v>
      </c>
      <c r="F49" s="22">
        <f t="shared" si="3"/>
        <v>1.2047126872747962</v>
      </c>
    </row>
    <row r="50" spans="1:6" x14ac:dyDescent="0.2">
      <c r="A50" s="20">
        <v>15</v>
      </c>
      <c r="B50" s="184" t="s">
        <v>13</v>
      </c>
      <c r="C50" s="185"/>
      <c r="D50" s="15">
        <f>IF(F3="1",SUMIF(Data!A:A,'41'!$A$2,Data!DI:DI),0)</f>
        <v>18555</v>
      </c>
      <c r="E50" s="18">
        <f>IF(F3="1",SUMIF(Data!$A:$A,'41'!$A$2,Data!JC:JC),0)</f>
        <v>108694</v>
      </c>
      <c r="F50" s="22">
        <f t="shared" si="3"/>
        <v>5.8579358663433041</v>
      </c>
    </row>
    <row r="51" spans="1:6" x14ac:dyDescent="0.2">
      <c r="A51" s="20">
        <v>16</v>
      </c>
      <c r="B51" s="184" t="s">
        <v>14</v>
      </c>
      <c r="C51" s="185"/>
      <c r="D51" s="15">
        <f>IF(F3="1",SUMIF(Data!A:A,'41'!$A$2,Data!DJ:DJ),0)</f>
        <v>164042</v>
      </c>
      <c r="E51" s="18">
        <f>IF(F3="1",SUMIF(Data!$A:$A,'41'!$A$2,Data!JD:JD),0)</f>
        <v>378988</v>
      </c>
      <c r="F51" s="22">
        <f t="shared" si="3"/>
        <v>2.310310774070055</v>
      </c>
    </row>
    <row r="52" spans="1:6" x14ac:dyDescent="0.2">
      <c r="A52" s="20">
        <v>17</v>
      </c>
      <c r="B52" s="184" t="s">
        <v>15</v>
      </c>
      <c r="C52" s="185"/>
      <c r="D52" s="15">
        <f>IF(F3="1",SUMIF(Data!A:A,'41'!$A$2,Data!DK:DK),0)</f>
        <v>33776</v>
      </c>
      <c r="E52" s="18">
        <f>IF(F3="1",SUMIF(Data!$A:$A,'41'!$A$2,Data!JE:JE),0)</f>
        <v>45770</v>
      </c>
      <c r="F52" s="22">
        <f t="shared" si="3"/>
        <v>1.3551042160113691</v>
      </c>
    </row>
    <row r="53" spans="1:6" x14ac:dyDescent="0.2">
      <c r="A53" s="20">
        <v>18</v>
      </c>
      <c r="B53" s="184" t="s">
        <v>16</v>
      </c>
      <c r="C53" s="185"/>
      <c r="D53" s="15">
        <f>IF(F3="1",SUMIF(Data!A:A,'41'!$A$2,Data!DL:DL),0)</f>
        <v>123504</v>
      </c>
      <c r="E53" s="18">
        <f>IF(F3="1",SUMIF(Data!$A:$A,'41'!$A$2,Data!JF:JF),0)</f>
        <v>121259</v>
      </c>
      <c r="F53" s="22">
        <f t="shared" si="3"/>
        <v>0.98182245109470134</v>
      </c>
    </row>
    <row r="54" spans="1:6" x14ac:dyDescent="0.2">
      <c r="A54" s="20">
        <v>19</v>
      </c>
      <c r="B54" s="184" t="s">
        <v>17</v>
      </c>
      <c r="C54" s="185"/>
      <c r="D54" s="15">
        <f>IF(F3="1",SUMIF(Data!A:A,'41'!$A$2,Data!DM:DM),0)</f>
        <v>213945</v>
      </c>
      <c r="E54" s="18">
        <f>IF(F3="1",SUMIF(Data!$A:$A,'41'!$A$2,Data!JG:JG),0)</f>
        <v>152053</v>
      </c>
      <c r="F54" s="22">
        <f t="shared" si="3"/>
        <v>0.71071069667437892</v>
      </c>
    </row>
    <row r="55" spans="1:6" x14ac:dyDescent="0.2">
      <c r="A55" s="20">
        <v>20</v>
      </c>
      <c r="B55" s="184" t="s">
        <v>18</v>
      </c>
      <c r="C55" s="185"/>
      <c r="D55" s="15">
        <f>IF(F3="1",SUMIF(Data!A:A,'41'!$A$2,Data!DN:DN),0)</f>
        <v>0</v>
      </c>
      <c r="E55" s="18">
        <f>IF(F3="1",SUMIF(Data!$A:$A,'41'!$A$2,Data!JH:JH),0)</f>
        <v>0</v>
      </c>
      <c r="F55" s="22" t="str">
        <f t="shared" si="3"/>
        <v/>
      </c>
    </row>
    <row r="56" spans="1:6" ht="14.25" customHeight="1" x14ac:dyDescent="0.2">
      <c r="A56" s="20">
        <v>21</v>
      </c>
      <c r="B56" s="184" t="s">
        <v>466</v>
      </c>
      <c r="C56" s="185"/>
      <c r="D56" s="15">
        <f>IF(F3="1",SUMIF(Data!A:A,'41'!$A$2,Data!DO:DO),0)</f>
        <v>0</v>
      </c>
      <c r="E56" s="18">
        <f>IF(F3="1",SUMIF(Data!$A:$A,'41'!$A$2,Data!JI:JI),0)</f>
        <v>0</v>
      </c>
      <c r="F56" s="22" t="str">
        <f t="shared" si="3"/>
        <v/>
      </c>
    </row>
    <row r="57" spans="1:6" x14ac:dyDescent="0.2">
      <c r="A57" s="20">
        <v>22</v>
      </c>
      <c r="B57" s="184" t="s">
        <v>19</v>
      </c>
      <c r="C57" s="185"/>
      <c r="D57" s="15">
        <f>IF(F3="1",SUMIF(Data!A:A,'41'!$A$2,Data!DP:DP),0)</f>
        <v>6536</v>
      </c>
      <c r="E57" s="18">
        <f>IF(F3="1",SUMIF(Data!$A:$A,'41'!$A$2,Data!JJ:JJ),0)</f>
        <v>6085</v>
      </c>
      <c r="F57" s="22">
        <f t="shared" si="3"/>
        <v>0.9309975520195839</v>
      </c>
    </row>
    <row r="58" spans="1:6" x14ac:dyDescent="0.2">
      <c r="A58" s="20">
        <v>23</v>
      </c>
      <c r="B58" s="184" t="s">
        <v>20</v>
      </c>
      <c r="C58" s="185"/>
      <c r="D58" s="15">
        <f>IF(F3="1",SUMIF(Data!A:A,'41'!$A$2,Data!DQ:DQ),0)</f>
        <v>60816</v>
      </c>
      <c r="E58" s="18">
        <f>IF(F3="1",SUMIF(Data!$A:$A,'41'!$A$2,Data!JK:JK),0)</f>
        <v>23471</v>
      </c>
      <c r="F58" s="22">
        <f t="shared" si="3"/>
        <v>0.38593462246777166</v>
      </c>
    </row>
    <row r="59" spans="1:6" x14ac:dyDescent="0.2">
      <c r="A59" s="20">
        <v>24</v>
      </c>
      <c r="B59" s="184" t="s">
        <v>21</v>
      </c>
      <c r="C59" s="185"/>
      <c r="D59" s="15">
        <f>IF(F3="1",SUMIF(Data!A:A,'41'!$A$2,Data!DR:DR),0)</f>
        <v>64791</v>
      </c>
      <c r="E59" s="18">
        <f>IF(F3="1",SUMIF(Data!$A:$A,'41'!$A$2,Data!JL:JL),0)</f>
        <v>161712</v>
      </c>
      <c r="F59" s="22">
        <f t="shared" si="3"/>
        <v>2.4959022086400888</v>
      </c>
    </row>
    <row r="60" spans="1:6" x14ac:dyDescent="0.2">
      <c r="A60" s="20">
        <v>25</v>
      </c>
      <c r="B60" s="184" t="s">
        <v>22</v>
      </c>
      <c r="C60" s="185"/>
      <c r="D60" s="15">
        <f>IF(F3="1",SUMIF(Data!A:A,'41'!$A$2,Data!DS:DS),0)</f>
        <v>340128</v>
      </c>
      <c r="E60" s="18">
        <f>IF(F3="1",SUMIF(Data!$A:$A,'41'!$A$2,Data!JM:JM),0)</f>
        <v>134182</v>
      </c>
      <c r="F60" s="22">
        <f t="shared" si="3"/>
        <v>0.39450442186470974</v>
      </c>
    </row>
    <row r="61" spans="1:6" x14ac:dyDescent="0.2">
      <c r="A61" s="20">
        <v>26</v>
      </c>
      <c r="B61" s="184" t="s">
        <v>23</v>
      </c>
      <c r="C61" s="185"/>
      <c r="D61" s="15">
        <f>IF(F3="1",SUMIF(Data!A:A,'41'!$A$2,Data!DT:DT),0)</f>
        <v>149488</v>
      </c>
      <c r="E61" s="18">
        <f>IF(F3="1",SUMIF(Data!$A:$A,'41'!$A$2,Data!JN:JN),0)</f>
        <v>273821</v>
      </c>
      <c r="F61" s="22">
        <f t="shared" si="3"/>
        <v>1.831725623461415</v>
      </c>
    </row>
    <row r="62" spans="1:6" x14ac:dyDescent="0.2">
      <c r="A62" s="20">
        <v>28</v>
      </c>
      <c r="B62" s="184" t="s">
        <v>24</v>
      </c>
      <c r="C62" s="185"/>
      <c r="D62" s="15">
        <f>IF(F3="1",SUMIF(Data!A:A,'41'!$A$2,Data!DV:DV),0)</f>
        <v>0</v>
      </c>
      <c r="E62" s="18">
        <f>IF(F3="1",SUMIF(Data!$A:$A,'41'!$A$2,Data!JP:JP),0)</f>
        <v>0</v>
      </c>
      <c r="F62" s="22" t="str">
        <f t="shared" si="3"/>
        <v/>
      </c>
    </row>
    <row r="63" spans="1:6" ht="15.75" customHeight="1" thickBot="1" x14ac:dyDescent="0.25">
      <c r="A63" s="23">
        <v>29</v>
      </c>
      <c r="B63" s="186" t="s">
        <v>25</v>
      </c>
      <c r="C63" s="187"/>
      <c r="D63" s="24">
        <f>IF(F3="1",SUMIF(Data!A:A,'41'!$A$2,Data!DW:DW),0)</f>
        <v>0</v>
      </c>
      <c r="E63" s="25">
        <f>IF(F3="1",SUMIF(Data!$A:$A,'41'!$A$2,Data!JQ:JQ),0)</f>
        <v>0</v>
      </c>
      <c r="F63" s="26" t="str">
        <f t="shared" si="3"/>
        <v/>
      </c>
    </row>
    <row r="64" spans="1:6" x14ac:dyDescent="0.2">
      <c r="B64" s="31" t="s">
        <v>35</v>
      </c>
      <c r="C64" s="31"/>
      <c r="D64" s="61">
        <f>SUM(D36:D63)</f>
        <v>2333910</v>
      </c>
      <c r="E64" s="32">
        <f>SUM(E36:E63)</f>
        <v>2349470</v>
      </c>
      <c r="F64" s="33">
        <f t="shared" si="3"/>
        <v>1.0066669237459884</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19264</v>
      </c>
      <c r="E67" s="16">
        <f>IF(F3="1",SUMIF(Data!A:A,'41'!$A$2,Data!DY:DY),0)</f>
        <v>69186</v>
      </c>
      <c r="F67" s="21">
        <f>IFERROR(E67/D67,"")</f>
        <v>3.5914659468438539</v>
      </c>
    </row>
    <row r="68" spans="1:6" x14ac:dyDescent="0.2">
      <c r="A68" s="20">
        <v>2</v>
      </c>
      <c r="B68" s="184" t="s">
        <v>1</v>
      </c>
      <c r="C68" s="185"/>
      <c r="D68" s="15">
        <f t="shared" ref="D68:D94" si="4">D37</f>
        <v>4080</v>
      </c>
      <c r="E68" s="18">
        <f>IF(F3="1",SUMIF(Data!A:A,'41'!$A$2,Data!DZ:DZ),0)</f>
        <v>0</v>
      </c>
      <c r="F68" s="22">
        <f t="shared" ref="F68:F95" si="5">IFERROR(E68/D68,"")</f>
        <v>0</v>
      </c>
    </row>
    <row r="69" spans="1:6" ht="14.25" customHeight="1" x14ac:dyDescent="0.2">
      <c r="A69" s="20">
        <v>3</v>
      </c>
      <c r="B69" s="184" t="s">
        <v>2</v>
      </c>
      <c r="C69" s="185"/>
      <c r="D69" s="15">
        <f t="shared" si="4"/>
        <v>279360</v>
      </c>
      <c r="E69" s="18">
        <f>IF(F3="1",SUMIF(Data!A:A,'41'!$A$2,Data!EA:EA),0)</f>
        <v>817722</v>
      </c>
      <c r="F69" s="22">
        <f t="shared" si="5"/>
        <v>2.9271262886597937</v>
      </c>
    </row>
    <row r="70" spans="1:6" ht="14.25" customHeight="1" x14ac:dyDescent="0.2">
      <c r="A70" s="20">
        <v>4</v>
      </c>
      <c r="B70" s="184" t="s">
        <v>3</v>
      </c>
      <c r="C70" s="185"/>
      <c r="D70" s="15">
        <f t="shared" si="4"/>
        <v>201295</v>
      </c>
      <c r="E70" s="18">
        <f>IF(F3="1",SUMIF(Data!A:A,'41'!$A$2,Data!EB:EB),0)</f>
        <v>417228</v>
      </c>
      <c r="F70" s="22">
        <f t="shared" si="5"/>
        <v>2.0727191435455428</v>
      </c>
    </row>
    <row r="71" spans="1:6" x14ac:dyDescent="0.2">
      <c r="A71" s="20">
        <v>5</v>
      </c>
      <c r="B71" s="184" t="s">
        <v>4</v>
      </c>
      <c r="C71" s="185"/>
      <c r="D71" s="15">
        <f t="shared" si="4"/>
        <v>0</v>
      </c>
      <c r="E71" s="18">
        <f>IF(F3="1",SUMIF(Data!A:A,'41'!$A$2,Data!EC:EC),0)</f>
        <v>0</v>
      </c>
      <c r="F71" s="22" t="str">
        <f t="shared" si="5"/>
        <v/>
      </c>
    </row>
    <row r="72" spans="1:6" x14ac:dyDescent="0.2">
      <c r="A72" s="20">
        <v>6</v>
      </c>
      <c r="B72" s="184" t="s">
        <v>5</v>
      </c>
      <c r="C72" s="185"/>
      <c r="D72" s="15">
        <f t="shared" si="4"/>
        <v>1744</v>
      </c>
      <c r="E72" s="18">
        <f>IF(F3="1",SUMIF(Data!A:A,'41'!$A$2,Data!ED:ED),0)</f>
        <v>8068</v>
      </c>
      <c r="F72" s="22">
        <f t="shared" si="5"/>
        <v>4.6261467889908259</v>
      </c>
    </row>
    <row r="73" spans="1:6" x14ac:dyDescent="0.2">
      <c r="A73" s="20">
        <v>7</v>
      </c>
      <c r="B73" s="184" t="s">
        <v>6</v>
      </c>
      <c r="C73" s="185"/>
      <c r="D73" s="15">
        <f t="shared" si="4"/>
        <v>95982</v>
      </c>
      <c r="E73" s="18">
        <f>IF(F3="1",SUMIF(Data!A:A,'41'!$A$2,Data!EE:EE),0)</f>
        <v>296270</v>
      </c>
      <c r="F73" s="22">
        <f t="shared" si="5"/>
        <v>3.0867245941947448</v>
      </c>
    </row>
    <row r="74" spans="1:6" x14ac:dyDescent="0.2">
      <c r="A74" s="20">
        <v>8</v>
      </c>
      <c r="B74" s="184" t="s">
        <v>7</v>
      </c>
      <c r="C74" s="185"/>
      <c r="D74" s="15">
        <f t="shared" si="4"/>
        <v>248</v>
      </c>
      <c r="E74" s="18">
        <f>IF(F3="1",SUMIF(Data!A:A,'41'!$A$2,Data!EF:EF),0)</f>
        <v>0</v>
      </c>
      <c r="F74" s="22">
        <f t="shared" si="5"/>
        <v>0</v>
      </c>
    </row>
    <row r="75" spans="1:6" x14ac:dyDescent="0.2">
      <c r="A75" s="20">
        <v>9</v>
      </c>
      <c r="B75" s="184" t="s">
        <v>8</v>
      </c>
      <c r="C75" s="185"/>
      <c r="D75" s="15">
        <f t="shared" si="4"/>
        <v>32890</v>
      </c>
      <c r="E75" s="18">
        <f>IF(F3="1",SUMIF(Data!A:A,'41'!$A$2,Data!EG:EG),0)</f>
        <v>103069</v>
      </c>
      <c r="F75" s="22">
        <f t="shared" si="5"/>
        <v>3.1337488598358165</v>
      </c>
    </row>
    <row r="76" spans="1:6" x14ac:dyDescent="0.2">
      <c r="A76" s="20">
        <v>10</v>
      </c>
      <c r="B76" s="184" t="s">
        <v>9</v>
      </c>
      <c r="C76" s="185"/>
      <c r="D76" s="15">
        <f t="shared" si="4"/>
        <v>0</v>
      </c>
      <c r="E76" s="18">
        <f>IF(F3="1",SUMIF(Data!A:A,'41'!$A$2,Data!EH:EH),0)</f>
        <v>0</v>
      </c>
      <c r="F76" s="22" t="str">
        <f t="shared" si="5"/>
        <v/>
      </c>
    </row>
    <row r="77" spans="1:6" x14ac:dyDescent="0.2">
      <c r="A77" s="20">
        <v>11</v>
      </c>
      <c r="B77" s="184" t="s">
        <v>10</v>
      </c>
      <c r="C77" s="185"/>
      <c r="D77" s="15">
        <f t="shared" si="4"/>
        <v>37046</v>
      </c>
      <c r="E77" s="18">
        <f>IF(F3="1",SUMIF(Data!A:A,'41'!$A$2,Data!EI:EI),0)</f>
        <v>67324</v>
      </c>
      <c r="F77" s="22">
        <f t="shared" si="5"/>
        <v>1.817308211412838</v>
      </c>
    </row>
    <row r="78" spans="1:6" ht="14.25" customHeight="1" x14ac:dyDescent="0.2">
      <c r="A78" s="20">
        <v>12</v>
      </c>
      <c r="B78" s="184" t="s">
        <v>11</v>
      </c>
      <c r="C78" s="185"/>
      <c r="D78" s="15">
        <f t="shared" si="4"/>
        <v>359616</v>
      </c>
      <c r="E78" s="18">
        <f>IF(F3="1",SUMIF(Data!A:A,'41'!$A$2,Data!EJ:EJ),0)</f>
        <v>1063434</v>
      </c>
      <c r="F78" s="22">
        <f t="shared" si="5"/>
        <v>2.9571376134543512</v>
      </c>
    </row>
    <row r="79" spans="1:6" x14ac:dyDescent="0.2">
      <c r="A79" s="20">
        <v>13</v>
      </c>
      <c r="B79" s="184" t="s">
        <v>12</v>
      </c>
      <c r="C79" s="185"/>
      <c r="D79" s="15">
        <f t="shared" si="4"/>
        <v>21344</v>
      </c>
      <c r="E79" s="18">
        <f>IF(F3="1",SUMIF(Data!A:A,'41'!$A$2,Data!EK:EK),0)</f>
        <v>87838</v>
      </c>
      <c r="F79" s="22">
        <f t="shared" si="5"/>
        <v>4.1153485757121437</v>
      </c>
    </row>
    <row r="80" spans="1:6" ht="14.25" customHeight="1" x14ac:dyDescent="0.2">
      <c r="A80" s="20">
        <v>14</v>
      </c>
      <c r="B80" s="184" t="s">
        <v>469</v>
      </c>
      <c r="C80" s="185"/>
      <c r="D80" s="15">
        <f t="shared" si="4"/>
        <v>105460</v>
      </c>
      <c r="E80" s="18">
        <f>IF(F3="1",SUMIF(Data!A:A,'41'!$A$2,Data!EL:EL),0)</f>
        <v>530279</v>
      </c>
      <c r="F80" s="22">
        <f t="shared" si="5"/>
        <v>5.028247676844301</v>
      </c>
    </row>
    <row r="81" spans="1:6" x14ac:dyDescent="0.2">
      <c r="A81" s="20">
        <v>15</v>
      </c>
      <c r="B81" s="184" t="s">
        <v>13</v>
      </c>
      <c r="C81" s="185"/>
      <c r="D81" s="15">
        <f t="shared" si="4"/>
        <v>18555</v>
      </c>
      <c r="E81" s="18">
        <f>IF(F3="1",SUMIF(Data!A:A,'41'!$A$2,Data!EM:EM),0)</f>
        <v>268917</v>
      </c>
      <c r="F81" s="22">
        <f t="shared" si="5"/>
        <v>14.492966855295069</v>
      </c>
    </row>
    <row r="82" spans="1:6" x14ac:dyDescent="0.2">
      <c r="A82" s="20">
        <v>16</v>
      </c>
      <c r="B82" s="184" t="s">
        <v>14</v>
      </c>
      <c r="C82" s="185"/>
      <c r="D82" s="15">
        <f t="shared" si="4"/>
        <v>164042</v>
      </c>
      <c r="E82" s="18">
        <f>IF(F3="1",SUMIF(Data!A:A,'41'!$A$2,Data!EN:EN),0)</f>
        <v>555011</v>
      </c>
      <c r="F82" s="22">
        <f t="shared" si="5"/>
        <v>3.3833469477328975</v>
      </c>
    </row>
    <row r="83" spans="1:6" x14ac:dyDescent="0.2">
      <c r="A83" s="20">
        <v>17</v>
      </c>
      <c r="B83" s="184" t="s">
        <v>15</v>
      </c>
      <c r="C83" s="185"/>
      <c r="D83" s="15">
        <f t="shared" si="4"/>
        <v>33776</v>
      </c>
      <c r="E83" s="18">
        <f>IF(F3="1",SUMIF(Data!A:A,'41'!$A$2,Data!EO:EO),0)</f>
        <v>186613</v>
      </c>
      <c r="F83" s="22">
        <f t="shared" si="5"/>
        <v>5.5250177640928468</v>
      </c>
    </row>
    <row r="84" spans="1:6" x14ac:dyDescent="0.2">
      <c r="A84" s="20">
        <v>18</v>
      </c>
      <c r="B84" s="184" t="s">
        <v>16</v>
      </c>
      <c r="C84" s="185"/>
      <c r="D84" s="15">
        <f t="shared" si="4"/>
        <v>123504</v>
      </c>
      <c r="E84" s="18">
        <f>IF(F3="1",SUMIF(Data!A:A,'41'!$A$2,Data!EP:EP),0)</f>
        <v>565794</v>
      </c>
      <c r="F84" s="22">
        <f t="shared" si="5"/>
        <v>4.5811795569374274</v>
      </c>
    </row>
    <row r="85" spans="1:6" x14ac:dyDescent="0.2">
      <c r="A85" s="20">
        <v>19</v>
      </c>
      <c r="B85" s="184" t="s">
        <v>17</v>
      </c>
      <c r="C85" s="185"/>
      <c r="D85" s="15">
        <f t="shared" si="4"/>
        <v>213945</v>
      </c>
      <c r="E85" s="18">
        <f>IF(F3="1",SUMIF(Data!A:A,'41'!$A$2,Data!EQ:EQ),0)</f>
        <v>663228</v>
      </c>
      <c r="F85" s="22">
        <f t="shared" si="5"/>
        <v>3.099992988852275</v>
      </c>
    </row>
    <row r="86" spans="1:6" x14ac:dyDescent="0.2">
      <c r="A86" s="20">
        <v>20</v>
      </c>
      <c r="B86" s="184" t="s">
        <v>18</v>
      </c>
      <c r="C86" s="185"/>
      <c r="D86" s="15">
        <f t="shared" si="4"/>
        <v>0</v>
      </c>
      <c r="E86" s="18">
        <f>IF(F3="1",SUMIF(Data!A:A,'41'!$A$2,Data!ER:ER),0)</f>
        <v>0</v>
      </c>
      <c r="F86" s="22" t="str">
        <f t="shared" si="5"/>
        <v/>
      </c>
    </row>
    <row r="87" spans="1:6" ht="14.25" customHeight="1" x14ac:dyDescent="0.2">
      <c r="A87" s="20">
        <v>21</v>
      </c>
      <c r="B87" s="184" t="s">
        <v>466</v>
      </c>
      <c r="C87" s="185"/>
      <c r="D87" s="15">
        <f t="shared" si="4"/>
        <v>0</v>
      </c>
      <c r="E87" s="18">
        <f>IF(F3="1",SUMIF(Data!A:A,'41'!$A$2,Data!ES:ES),0)</f>
        <v>0</v>
      </c>
      <c r="F87" s="22" t="str">
        <f t="shared" si="5"/>
        <v/>
      </c>
    </row>
    <row r="88" spans="1:6" x14ac:dyDescent="0.2">
      <c r="A88" s="20">
        <v>22</v>
      </c>
      <c r="B88" s="184" t="s">
        <v>19</v>
      </c>
      <c r="C88" s="185"/>
      <c r="D88" s="15">
        <f t="shared" si="4"/>
        <v>6536</v>
      </c>
      <c r="E88" s="18">
        <f>IF(F3="1",SUMIF(Data!A:A,'41'!$A$2,Data!ET:ET),0)</f>
        <v>23329</v>
      </c>
      <c r="F88" s="22">
        <f t="shared" si="5"/>
        <v>3.5693084455324358</v>
      </c>
    </row>
    <row r="89" spans="1:6" x14ac:dyDescent="0.2">
      <c r="A89" s="20">
        <v>23</v>
      </c>
      <c r="B89" s="184" t="s">
        <v>20</v>
      </c>
      <c r="C89" s="185"/>
      <c r="D89" s="15">
        <f t="shared" si="4"/>
        <v>60816</v>
      </c>
      <c r="E89" s="18">
        <f>IF(F3="1",SUMIF(Data!A:A,'41'!$A$2,Data!EU:EU),0)</f>
        <v>188681</v>
      </c>
      <c r="F89" s="22">
        <f t="shared" si="5"/>
        <v>3.1024894764535649</v>
      </c>
    </row>
    <row r="90" spans="1:6" x14ac:dyDescent="0.2">
      <c r="A90" s="20">
        <v>24</v>
      </c>
      <c r="B90" s="184" t="s">
        <v>21</v>
      </c>
      <c r="C90" s="185"/>
      <c r="D90" s="15">
        <f t="shared" si="4"/>
        <v>64791</v>
      </c>
      <c r="E90" s="18">
        <f>IF(F3="1",SUMIF(Data!A:A,'41'!$A$2,Data!EV:EV),0)</f>
        <v>152284</v>
      </c>
      <c r="F90" s="22">
        <f t="shared" si="5"/>
        <v>2.350388171196617</v>
      </c>
    </row>
    <row r="91" spans="1:6" x14ac:dyDescent="0.2">
      <c r="A91" s="20">
        <v>25</v>
      </c>
      <c r="B91" s="184" t="s">
        <v>22</v>
      </c>
      <c r="C91" s="185"/>
      <c r="D91" s="15">
        <f t="shared" si="4"/>
        <v>340128</v>
      </c>
      <c r="E91" s="18">
        <f>IF(F3="1",SUMIF(Data!A:A,'41'!$A$2,Data!EW:EW),0)</f>
        <v>883692</v>
      </c>
      <c r="F91" s="22">
        <f t="shared" si="5"/>
        <v>2.5981160033869601</v>
      </c>
    </row>
    <row r="92" spans="1:6" x14ac:dyDescent="0.2">
      <c r="A92" s="20">
        <v>26</v>
      </c>
      <c r="B92" s="184" t="s">
        <v>23</v>
      </c>
      <c r="C92" s="185"/>
      <c r="D92" s="15">
        <f t="shared" si="4"/>
        <v>149488</v>
      </c>
      <c r="E92" s="18">
        <f>IF(F3="1",SUMIF(Data!A:A,'41'!$A$2,Data!EX:EX),0)</f>
        <v>663363</v>
      </c>
      <c r="F92" s="22">
        <f t="shared" si="5"/>
        <v>4.4375668950016056</v>
      </c>
    </row>
    <row r="93" spans="1:6" x14ac:dyDescent="0.2">
      <c r="A93" s="20">
        <v>28</v>
      </c>
      <c r="B93" s="184" t="s">
        <v>24</v>
      </c>
      <c r="C93" s="185"/>
      <c r="D93" s="15">
        <f t="shared" si="4"/>
        <v>0</v>
      </c>
      <c r="E93" s="18">
        <f>IF(F3="1",SUMIF(Data!A:A,'41'!$A$2,Data!EZ:EZ),0)</f>
        <v>0</v>
      </c>
      <c r="F93" s="22" t="str">
        <f t="shared" si="5"/>
        <v/>
      </c>
    </row>
    <row r="94" spans="1:6" ht="15.75" customHeight="1" thickBot="1" x14ac:dyDescent="0.25">
      <c r="A94" s="23">
        <v>29</v>
      </c>
      <c r="B94" s="186" t="s">
        <v>25</v>
      </c>
      <c r="C94" s="187"/>
      <c r="D94" s="24">
        <f t="shared" si="4"/>
        <v>0</v>
      </c>
      <c r="E94" s="25">
        <f>IF(F3="1",SUMIF(Data!A:A,'41'!$A$2,Data!FA:FA),0)</f>
        <v>0</v>
      </c>
      <c r="F94" s="26" t="str">
        <f t="shared" si="5"/>
        <v/>
      </c>
    </row>
    <row r="95" spans="1:6" x14ac:dyDescent="0.2">
      <c r="B95" s="31" t="s">
        <v>35</v>
      </c>
      <c r="C95" s="31"/>
      <c r="D95" s="61">
        <f>SUM(D67:D94)</f>
        <v>2333910</v>
      </c>
      <c r="E95" s="32">
        <f>SUM(E67:E94)</f>
        <v>7611330</v>
      </c>
      <c r="F95" s="33">
        <f t="shared" si="5"/>
        <v>3.2611925909739452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IF(F3="1",SUMIF(Data!A:A,'41'!$A$2,Data!AH:AH),0)</f>
        <v>4090396</v>
      </c>
      <c r="F98" s="21">
        <f t="shared" ref="F98:F105" si="6">IFERROR(E98/$D$95,0)</f>
        <v>1.7525937161244436</v>
      </c>
    </row>
    <row r="99" spans="2:6" x14ac:dyDescent="0.2">
      <c r="B99" s="190" t="s">
        <v>31</v>
      </c>
      <c r="C99" s="191"/>
      <c r="D99" s="37"/>
      <c r="E99" s="18">
        <f>IF(F3="1",SUMIF(Data!A:A,'41'!$A$2,Data!AI:AI),0)</f>
        <v>1248411</v>
      </c>
      <c r="F99" s="22">
        <f t="shared" si="6"/>
        <v>0.5349010887309279</v>
      </c>
    </row>
    <row r="100" spans="2:6" x14ac:dyDescent="0.2">
      <c r="B100" s="190" t="s">
        <v>32</v>
      </c>
      <c r="C100" s="191"/>
      <c r="D100" s="37"/>
      <c r="E100" s="18">
        <f>IF(F3="1",SUMIF(Data!A:A,'41'!$A$2,Data!AJ:AJ),0)</f>
        <v>1605144</v>
      </c>
      <c r="F100" s="22">
        <f t="shared" si="6"/>
        <v>0.68774888491844155</v>
      </c>
    </row>
    <row r="101" spans="2:6" x14ac:dyDescent="0.2">
      <c r="B101" s="190" t="s">
        <v>28</v>
      </c>
      <c r="C101" s="191"/>
      <c r="D101" s="37"/>
      <c r="E101" s="18">
        <f>IF(F3="1",SUMIF(Data!A:A,'41'!$A$2,Data!AK:AK),0)</f>
        <v>0</v>
      </c>
      <c r="F101" s="22">
        <f t="shared" si="6"/>
        <v>0</v>
      </c>
    </row>
    <row r="102" spans="2:6" x14ac:dyDescent="0.2">
      <c r="B102" s="190" t="s">
        <v>33</v>
      </c>
      <c r="C102" s="191"/>
      <c r="D102" s="37"/>
      <c r="E102" s="18">
        <f>IF(F3="1",SUMIF(Data!A:A,'41'!$A$2,Data!AL:AL),0)</f>
        <v>0</v>
      </c>
      <c r="F102" s="22">
        <f t="shared" si="6"/>
        <v>0</v>
      </c>
    </row>
    <row r="103" spans="2:6" x14ac:dyDescent="0.2">
      <c r="B103" s="192" t="s">
        <v>34</v>
      </c>
      <c r="C103" s="193"/>
      <c r="D103" s="37"/>
      <c r="E103" s="18">
        <f>IF(F3="1",SUMIF(Data!A:A,'41'!$A$2,Data!AM:AM),0)</f>
        <v>261028</v>
      </c>
      <c r="F103" s="22">
        <f t="shared" si="6"/>
        <v>0.11184150202878432</v>
      </c>
    </row>
    <row r="104" spans="2:6" ht="15.75" customHeight="1" thickBot="1" x14ac:dyDescent="0.25">
      <c r="B104" s="182" t="s">
        <v>29</v>
      </c>
      <c r="C104" s="183"/>
      <c r="D104" s="38"/>
      <c r="E104" s="25">
        <f>IF(F3="1",SUMIF(Data!A:A,'41'!$A$2,Data!Q:Q),0)</f>
        <v>687601</v>
      </c>
      <c r="F104" s="26">
        <f t="shared" si="6"/>
        <v>0.29461333127669875</v>
      </c>
    </row>
    <row r="105" spans="2:6" x14ac:dyDescent="0.2">
      <c r="B105" s="31" t="s">
        <v>35</v>
      </c>
      <c r="C105" s="31"/>
      <c r="D105" s="35">
        <f>D95</f>
        <v>2333910</v>
      </c>
      <c r="E105" s="32">
        <f>SUM(E98:E104)</f>
        <v>7892580</v>
      </c>
      <c r="F105" s="33">
        <f t="shared" si="6"/>
        <v>3.381698523079296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7611330</v>
      </c>
      <c r="D109" s="16">
        <f>IF(F3="1",SUMIF(Data!$A:$A,$A$2,Data!HJ:HJ),0)</f>
        <v>0</v>
      </c>
      <c r="E109" s="16">
        <f>IF(F3="1",SUMIF(Data!$A:$A,$A$2,Data!IN:IN),0)</f>
        <v>0</v>
      </c>
      <c r="F109" s="48">
        <f>SUM(C109:E109)</f>
        <v>7611330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687601</v>
      </c>
      <c r="E117" s="53"/>
      <c r="F117" s="50">
        <f>SUM(C117:E117)</f>
        <v>687601</v>
      </c>
    </row>
    <row r="118" spans="1:6" x14ac:dyDescent="0.2">
      <c r="B118" s="14" t="s">
        <v>35</v>
      </c>
      <c r="C118" s="5">
        <f>SUM(C109:C116)</f>
        <v>7611330</v>
      </c>
      <c r="D118" s="5">
        <f>SUM(D109:D116)</f>
        <v>0</v>
      </c>
      <c r="E118" s="5">
        <f>SUM(E109:E116)</f>
        <v>0</v>
      </c>
      <c r="F118" s="5">
        <f>SUM(F109:F116)</f>
        <v>7611330</v>
      </c>
    </row>
    <row r="119" spans="1:6" ht="15" thickBot="1" x14ac:dyDescent="0.25"/>
    <row r="120" spans="1:6" ht="15" thickBot="1" x14ac:dyDescent="0.25">
      <c r="B120" s="57" t="s">
        <v>942</v>
      </c>
      <c r="C120" s="55"/>
      <c r="D120" s="55"/>
      <c r="E120" s="55">
        <f>IF(F3="1",SUMIF(Data!A:A,'41'!$A$2,Data!AM:AM),0)</f>
        <v>261028</v>
      </c>
      <c r="F120" s="56">
        <f>SUM(C120:E120)</f>
        <v>261028</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406</v>
      </c>
      <c r="B2" s="60" t="str">
        <f>VLOOKUP(A2,Data!A:G,7,0)</f>
        <v>Texarkana</v>
      </c>
      <c r="C2" s="60"/>
    </row>
    <row r="3" spans="1:6" ht="15" thickBot="1" x14ac:dyDescent="0.25">
      <c r="A3" s="4"/>
      <c r="F3" s="58">
        <f>IFERROR(VLOOKUP(A2,Data!A:C,3,0),"0")</f>
        <v>0</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0</v>
      </c>
      <c r="E6" s="18">
        <f t="shared" ref="E6:E32" si="1">E37+E68+IFERROR($E$105/$D$105*D6,0)</f>
        <v>0</v>
      </c>
      <c r="F6" s="22" t="str">
        <f t="shared" ref="F6:F33" si="2">IFERROR(E6/D6,"")</f>
        <v/>
      </c>
    </row>
    <row r="7" spans="1:6" ht="14.25" customHeight="1" x14ac:dyDescent="0.2">
      <c r="A7" s="20">
        <v>3</v>
      </c>
      <c r="B7" s="184" t="s">
        <v>2</v>
      </c>
      <c r="C7" s="185"/>
      <c r="D7" s="15">
        <f t="shared" si="0"/>
        <v>0</v>
      </c>
      <c r="E7" s="18">
        <f t="shared" si="1"/>
        <v>0</v>
      </c>
      <c r="F7" s="22" t="str">
        <f t="shared" si="2"/>
        <v/>
      </c>
    </row>
    <row r="8" spans="1:6" ht="14.25" customHeight="1" x14ac:dyDescent="0.2">
      <c r="A8" s="20">
        <v>4</v>
      </c>
      <c r="B8" s="184" t="s">
        <v>3</v>
      </c>
      <c r="C8" s="185"/>
      <c r="D8" s="15">
        <f t="shared" si="0"/>
        <v>0</v>
      </c>
      <c r="E8" s="18">
        <f t="shared" si="1"/>
        <v>0</v>
      </c>
      <c r="F8" s="22" t="str">
        <f t="shared" si="2"/>
        <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0</v>
      </c>
      <c r="E11" s="18">
        <f t="shared" si="1"/>
        <v>0</v>
      </c>
      <c r="F11" s="22" t="str">
        <f t="shared" si="2"/>
        <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0</v>
      </c>
      <c r="E13" s="18">
        <f t="shared" si="1"/>
        <v>0</v>
      </c>
      <c r="F13" s="22" t="str">
        <f t="shared" si="2"/>
        <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0</v>
      </c>
      <c r="E15" s="18">
        <f t="shared" si="1"/>
        <v>0</v>
      </c>
      <c r="F15" s="22" t="str">
        <f t="shared" si="2"/>
        <v/>
      </c>
    </row>
    <row r="16" spans="1:6" ht="14.25" customHeight="1" x14ac:dyDescent="0.2">
      <c r="A16" s="20">
        <v>12</v>
      </c>
      <c r="B16" s="184" t="s">
        <v>11</v>
      </c>
      <c r="C16" s="185"/>
      <c r="D16" s="15">
        <f t="shared" si="0"/>
        <v>0</v>
      </c>
      <c r="E16" s="18">
        <f t="shared" si="1"/>
        <v>0</v>
      </c>
      <c r="F16" s="22" t="str">
        <f t="shared" si="2"/>
        <v/>
      </c>
    </row>
    <row r="17" spans="1:6" x14ac:dyDescent="0.2">
      <c r="A17" s="20">
        <v>13</v>
      </c>
      <c r="B17" s="184" t="s">
        <v>12</v>
      </c>
      <c r="C17" s="185"/>
      <c r="D17" s="15">
        <f t="shared" si="0"/>
        <v>0</v>
      </c>
      <c r="E17" s="18">
        <f t="shared" si="1"/>
        <v>0</v>
      </c>
      <c r="F17" s="22" t="str">
        <f t="shared" si="2"/>
        <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0</v>
      </c>
      <c r="E20" s="18">
        <f t="shared" si="1"/>
        <v>0</v>
      </c>
      <c r="F20" s="22" t="str">
        <f t="shared" si="2"/>
        <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0</v>
      </c>
      <c r="E23" s="18">
        <f t="shared" si="1"/>
        <v>0</v>
      </c>
      <c r="F23" s="22" t="str">
        <f t="shared" si="2"/>
        <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0</v>
      </c>
      <c r="E26" s="18">
        <f t="shared" si="1"/>
        <v>0</v>
      </c>
      <c r="F26" s="22" t="str">
        <f t="shared" si="2"/>
        <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0</v>
      </c>
      <c r="E28" s="18">
        <f t="shared" si="1"/>
        <v>0</v>
      </c>
      <c r="F28" s="22" t="str">
        <f t="shared" si="2"/>
        <v/>
      </c>
    </row>
    <row r="29" spans="1:6" x14ac:dyDescent="0.2">
      <c r="A29" s="20">
        <v>25</v>
      </c>
      <c r="B29" s="184" t="s">
        <v>22</v>
      </c>
      <c r="C29" s="185"/>
      <c r="D29" s="15">
        <f t="shared" si="0"/>
        <v>0</v>
      </c>
      <c r="E29" s="18">
        <f t="shared" si="1"/>
        <v>0</v>
      </c>
      <c r="F29" s="22" t="str">
        <f t="shared" si="2"/>
        <v/>
      </c>
    </row>
    <row r="30" spans="1:6" x14ac:dyDescent="0.2">
      <c r="A30" s="20">
        <v>26</v>
      </c>
      <c r="B30" s="184" t="s">
        <v>23</v>
      </c>
      <c r="C30" s="185"/>
      <c r="D30" s="15">
        <f t="shared" si="0"/>
        <v>0</v>
      </c>
      <c r="E30" s="18">
        <f t="shared" si="1"/>
        <v>0</v>
      </c>
      <c r="F30" s="22" t="str">
        <f t="shared" si="2"/>
        <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IF(F3="1",SUMIF(Data!A:A,'42'!$A$2,Data!CU:CU),0)</f>
        <v>0</v>
      </c>
      <c r="E36" s="16">
        <f>IF(F3="1",SUMIF(Data!$A:$A,'42'!$A$2,Data!IO:IO),0)</f>
        <v>0</v>
      </c>
      <c r="F36" s="21" t="str">
        <f t="shared" ref="F36:F64" si="3">IFERROR(E36/D36,"")</f>
        <v/>
      </c>
    </row>
    <row r="37" spans="1:6" x14ac:dyDescent="0.2">
      <c r="A37" s="20">
        <v>2</v>
      </c>
      <c r="B37" s="184" t="s">
        <v>1</v>
      </c>
      <c r="C37" s="185"/>
      <c r="D37" s="15">
        <f>IF(F3="1",SUMIF(Data!A:A,'42'!$A$2,Data!CV:CV),0)</f>
        <v>0</v>
      </c>
      <c r="E37" s="18">
        <f>IF(F3="1",SUMIF(Data!$A:$A,'42'!$A$2,Data!IP:IP),0)</f>
        <v>0</v>
      </c>
      <c r="F37" s="22" t="str">
        <f t="shared" si="3"/>
        <v/>
      </c>
    </row>
    <row r="38" spans="1:6" ht="14.25" customHeight="1" x14ac:dyDescent="0.2">
      <c r="A38" s="20">
        <v>3</v>
      </c>
      <c r="B38" s="184" t="s">
        <v>2</v>
      </c>
      <c r="C38" s="185"/>
      <c r="D38" s="15">
        <f>IF(F3="1",SUMIF(Data!A:A,'42'!$A$2,Data!CW:CW),0)</f>
        <v>0</v>
      </c>
      <c r="E38" s="18">
        <f>IF(F3="1",SUMIF(Data!$A:$A,'42'!$A$2,Data!IQ:IQ),0)</f>
        <v>0</v>
      </c>
      <c r="F38" s="22" t="str">
        <f t="shared" si="3"/>
        <v/>
      </c>
    </row>
    <row r="39" spans="1:6" ht="14.25" customHeight="1" x14ac:dyDescent="0.2">
      <c r="A39" s="20">
        <v>4</v>
      </c>
      <c r="B39" s="184" t="s">
        <v>3</v>
      </c>
      <c r="C39" s="185"/>
      <c r="D39" s="15">
        <f>IF(F3="1",SUMIF(Data!A:A,'42'!$A$2,Data!CX:CX),0)</f>
        <v>0</v>
      </c>
      <c r="E39" s="18">
        <f>IF(F3="1",SUMIF(Data!$A:$A,'42'!$A$2,Data!IR:IR),0)</f>
        <v>0</v>
      </c>
      <c r="F39" s="22" t="str">
        <f t="shared" si="3"/>
        <v/>
      </c>
    </row>
    <row r="40" spans="1:6" x14ac:dyDescent="0.2">
      <c r="A40" s="20">
        <v>5</v>
      </c>
      <c r="B40" s="184" t="s">
        <v>4</v>
      </c>
      <c r="C40" s="185"/>
      <c r="D40" s="15">
        <f>IF(F3="1",SUMIF(Data!A:A,'42'!$A$2,Data!CY:CY),0)</f>
        <v>0</v>
      </c>
      <c r="E40" s="18">
        <f>IF(F3="1",SUMIF(Data!$A:$A,'42'!$A$2,Data!IS:IS),0)</f>
        <v>0</v>
      </c>
      <c r="F40" s="22" t="str">
        <f t="shared" si="3"/>
        <v/>
      </c>
    </row>
    <row r="41" spans="1:6" x14ac:dyDescent="0.2">
      <c r="A41" s="20">
        <v>6</v>
      </c>
      <c r="B41" s="184" t="s">
        <v>5</v>
      </c>
      <c r="C41" s="185"/>
      <c r="D41" s="15">
        <f>IF(F3="1",SUMIF(Data!A:A,'42'!$A$2,Data!CZ:CZ),0)</f>
        <v>0</v>
      </c>
      <c r="E41" s="18">
        <f>IF(F3="1",SUMIF(Data!$A:$A,'42'!$A$2,Data!IT:IT),0)</f>
        <v>0</v>
      </c>
      <c r="F41" s="22" t="str">
        <f t="shared" si="3"/>
        <v/>
      </c>
    </row>
    <row r="42" spans="1:6" x14ac:dyDescent="0.2">
      <c r="A42" s="20">
        <v>7</v>
      </c>
      <c r="B42" s="184" t="s">
        <v>6</v>
      </c>
      <c r="C42" s="185"/>
      <c r="D42" s="15">
        <f>IF(F3="1",SUMIF(Data!A:A,'42'!$A$2,Data!DA:DA),0)</f>
        <v>0</v>
      </c>
      <c r="E42" s="18">
        <f>IF(F3="1",SUMIF(Data!$A:$A,'42'!$A$2,Data!IU:IU),0)</f>
        <v>0</v>
      </c>
      <c r="F42" s="22" t="str">
        <f t="shared" si="3"/>
        <v/>
      </c>
    </row>
    <row r="43" spans="1:6" x14ac:dyDescent="0.2">
      <c r="A43" s="20">
        <v>8</v>
      </c>
      <c r="B43" s="184" t="s">
        <v>7</v>
      </c>
      <c r="C43" s="185"/>
      <c r="D43" s="15">
        <f>IF(F3="1",SUMIF(Data!A:A,'42'!$A$2,Data!DB:DB),0)</f>
        <v>0</v>
      </c>
      <c r="E43" s="18">
        <f>IF(F3="1",SUMIF(Data!$A:$A,'42'!$A$2,Data!IV:IV),0)</f>
        <v>0</v>
      </c>
      <c r="F43" s="22" t="str">
        <f t="shared" si="3"/>
        <v/>
      </c>
    </row>
    <row r="44" spans="1:6" x14ac:dyDescent="0.2">
      <c r="A44" s="20">
        <v>9</v>
      </c>
      <c r="B44" s="184" t="s">
        <v>8</v>
      </c>
      <c r="C44" s="185"/>
      <c r="D44" s="15">
        <f>IF(F3="1",SUMIF(Data!A:A,'42'!$A$2,Data!DC:DC),0)</f>
        <v>0</v>
      </c>
      <c r="E44" s="18">
        <f>IF(F3="1",SUMIF(Data!$A:$A,'42'!$A$2,Data!IW:IW),0)</f>
        <v>0</v>
      </c>
      <c r="F44" s="22" t="str">
        <f t="shared" si="3"/>
        <v/>
      </c>
    </row>
    <row r="45" spans="1:6" x14ac:dyDescent="0.2">
      <c r="A45" s="20">
        <v>10</v>
      </c>
      <c r="B45" s="184" t="s">
        <v>9</v>
      </c>
      <c r="C45" s="185"/>
      <c r="D45" s="15">
        <f>IF(F3="1",SUMIF(Data!A:A,'42'!$A$2,Data!DD:DD),0)</f>
        <v>0</v>
      </c>
      <c r="E45" s="18">
        <f>IF(F3="1",SUMIF(Data!$A:$A,'42'!$A$2,Data!IX:IX),0)</f>
        <v>0</v>
      </c>
      <c r="F45" s="22" t="str">
        <f t="shared" si="3"/>
        <v/>
      </c>
    </row>
    <row r="46" spans="1:6" x14ac:dyDescent="0.2">
      <c r="A46" s="20">
        <v>11</v>
      </c>
      <c r="B46" s="184" t="s">
        <v>10</v>
      </c>
      <c r="C46" s="185"/>
      <c r="D46" s="15">
        <f>IF(F3="1",SUMIF(Data!A:A,'42'!$A$2,Data!DE:DE),0)</f>
        <v>0</v>
      </c>
      <c r="E46" s="18">
        <f>IF(F3="1",SUMIF(Data!$A:$A,'42'!$A$2,Data!IY:IY),0)</f>
        <v>0</v>
      </c>
      <c r="F46" s="22" t="str">
        <f t="shared" si="3"/>
        <v/>
      </c>
    </row>
    <row r="47" spans="1:6" ht="14.25" customHeight="1" x14ac:dyDescent="0.2">
      <c r="A47" s="20">
        <v>12</v>
      </c>
      <c r="B47" s="184" t="s">
        <v>11</v>
      </c>
      <c r="C47" s="185"/>
      <c r="D47" s="15">
        <f>IF(F3="1",SUMIF(Data!A:A,'42'!$A$2,Data!DF:DF),0)</f>
        <v>0</v>
      </c>
      <c r="E47" s="18">
        <f>IF(F3="1",SUMIF(Data!$A:$A,'42'!$A$2,Data!IZ:IZ),0)</f>
        <v>0</v>
      </c>
      <c r="F47" s="22" t="str">
        <f t="shared" si="3"/>
        <v/>
      </c>
    </row>
    <row r="48" spans="1:6" x14ac:dyDescent="0.2">
      <c r="A48" s="20">
        <v>13</v>
      </c>
      <c r="B48" s="184" t="s">
        <v>12</v>
      </c>
      <c r="C48" s="185"/>
      <c r="D48" s="15">
        <f>IF(F3="1",SUMIF(Data!A:A,'42'!$A$2,Data!DG:DG),0)</f>
        <v>0</v>
      </c>
      <c r="E48" s="18">
        <f>IF(F3="1",SUMIF(Data!$A:$A,'42'!$A$2,Data!JA:JA),0)</f>
        <v>0</v>
      </c>
      <c r="F48" s="22" t="str">
        <f t="shared" si="3"/>
        <v/>
      </c>
    </row>
    <row r="49" spans="1:6" ht="14.25" customHeight="1" x14ac:dyDescent="0.2">
      <c r="A49" s="20">
        <v>14</v>
      </c>
      <c r="B49" s="184" t="s">
        <v>469</v>
      </c>
      <c r="C49" s="185"/>
      <c r="D49" s="15">
        <f>IF(F3="1",SUMIF(Data!A:A,'42'!$A$2,Data!DH:DH),0)</f>
        <v>0</v>
      </c>
      <c r="E49" s="18">
        <f>IF(F3="1",SUMIF(Data!$A:$A,'42'!$A$2,Data!JB:JB),0)</f>
        <v>0</v>
      </c>
      <c r="F49" s="22" t="str">
        <f t="shared" si="3"/>
        <v/>
      </c>
    </row>
    <row r="50" spans="1:6" x14ac:dyDescent="0.2">
      <c r="A50" s="20">
        <v>15</v>
      </c>
      <c r="B50" s="184" t="s">
        <v>13</v>
      </c>
      <c r="C50" s="185"/>
      <c r="D50" s="15">
        <f>IF(F3="1",SUMIF(Data!A:A,'42'!$A$2,Data!DI:DI),0)</f>
        <v>0</v>
      </c>
      <c r="E50" s="18">
        <f>IF(F3="1",SUMIF(Data!$A:$A,'42'!$A$2,Data!JC:JC),0)</f>
        <v>0</v>
      </c>
      <c r="F50" s="22" t="str">
        <f t="shared" si="3"/>
        <v/>
      </c>
    </row>
    <row r="51" spans="1:6" x14ac:dyDescent="0.2">
      <c r="A51" s="20">
        <v>16</v>
      </c>
      <c r="B51" s="184" t="s">
        <v>14</v>
      </c>
      <c r="C51" s="185"/>
      <c r="D51" s="15">
        <f>IF(F3="1",SUMIF(Data!A:A,'42'!$A$2,Data!DJ:DJ),0)</f>
        <v>0</v>
      </c>
      <c r="E51" s="18">
        <f>IF(F3="1",SUMIF(Data!$A:$A,'42'!$A$2,Data!JD:JD),0)</f>
        <v>0</v>
      </c>
      <c r="F51" s="22" t="str">
        <f t="shared" si="3"/>
        <v/>
      </c>
    </row>
    <row r="52" spans="1:6" x14ac:dyDescent="0.2">
      <c r="A52" s="20">
        <v>17</v>
      </c>
      <c r="B52" s="184" t="s">
        <v>15</v>
      </c>
      <c r="C52" s="185"/>
      <c r="D52" s="15">
        <f>IF(F3="1",SUMIF(Data!A:A,'42'!$A$2,Data!DK:DK),0)</f>
        <v>0</v>
      </c>
      <c r="E52" s="18">
        <f>IF(F3="1",SUMIF(Data!$A:$A,'42'!$A$2,Data!JE:JE),0)</f>
        <v>0</v>
      </c>
      <c r="F52" s="22" t="str">
        <f t="shared" si="3"/>
        <v/>
      </c>
    </row>
    <row r="53" spans="1:6" x14ac:dyDescent="0.2">
      <c r="A53" s="20">
        <v>18</v>
      </c>
      <c r="B53" s="184" t="s">
        <v>16</v>
      </c>
      <c r="C53" s="185"/>
      <c r="D53" s="15">
        <f>IF(F3="1",SUMIF(Data!A:A,'42'!$A$2,Data!DL:DL),0)</f>
        <v>0</v>
      </c>
      <c r="E53" s="18">
        <f>IF(F3="1",SUMIF(Data!$A:$A,'42'!$A$2,Data!JF:JF),0)</f>
        <v>0</v>
      </c>
      <c r="F53" s="22" t="str">
        <f t="shared" si="3"/>
        <v/>
      </c>
    </row>
    <row r="54" spans="1:6" x14ac:dyDescent="0.2">
      <c r="A54" s="20">
        <v>19</v>
      </c>
      <c r="B54" s="184" t="s">
        <v>17</v>
      </c>
      <c r="C54" s="185"/>
      <c r="D54" s="15">
        <f>IF(F3="1",SUMIF(Data!A:A,'42'!$A$2,Data!DM:DM),0)</f>
        <v>0</v>
      </c>
      <c r="E54" s="18">
        <f>IF(F3="1",SUMIF(Data!$A:$A,'42'!$A$2,Data!JG:JG),0)</f>
        <v>0</v>
      </c>
      <c r="F54" s="22" t="str">
        <f t="shared" si="3"/>
        <v/>
      </c>
    </row>
    <row r="55" spans="1:6" x14ac:dyDescent="0.2">
      <c r="A55" s="20">
        <v>20</v>
      </c>
      <c r="B55" s="184" t="s">
        <v>18</v>
      </c>
      <c r="C55" s="185"/>
      <c r="D55" s="15">
        <f>IF(F3="1",SUMIF(Data!A:A,'42'!$A$2,Data!DN:DN),0)</f>
        <v>0</v>
      </c>
      <c r="E55" s="18">
        <f>IF(F3="1",SUMIF(Data!$A:$A,'42'!$A$2,Data!JH:JH),0)</f>
        <v>0</v>
      </c>
      <c r="F55" s="22" t="str">
        <f t="shared" si="3"/>
        <v/>
      </c>
    </row>
    <row r="56" spans="1:6" ht="14.25" customHeight="1" x14ac:dyDescent="0.2">
      <c r="A56" s="20">
        <v>21</v>
      </c>
      <c r="B56" s="184" t="s">
        <v>466</v>
      </c>
      <c r="C56" s="185"/>
      <c r="D56" s="15">
        <f>IF(F3="1",SUMIF(Data!A:A,'42'!$A$2,Data!DO:DO),0)</f>
        <v>0</v>
      </c>
      <c r="E56" s="18">
        <f>IF(F3="1",SUMIF(Data!$A:$A,'42'!$A$2,Data!JI:JI),0)</f>
        <v>0</v>
      </c>
      <c r="F56" s="22" t="str">
        <f t="shared" si="3"/>
        <v/>
      </c>
    </row>
    <row r="57" spans="1:6" x14ac:dyDescent="0.2">
      <c r="A57" s="20">
        <v>22</v>
      </c>
      <c r="B57" s="184" t="s">
        <v>19</v>
      </c>
      <c r="C57" s="185"/>
      <c r="D57" s="15">
        <f>IF(F3="1",SUMIF(Data!A:A,'42'!$A$2,Data!DP:DP),0)</f>
        <v>0</v>
      </c>
      <c r="E57" s="18">
        <f>IF(F3="1",SUMIF(Data!$A:$A,'42'!$A$2,Data!JJ:JJ),0)</f>
        <v>0</v>
      </c>
      <c r="F57" s="22" t="str">
        <f t="shared" si="3"/>
        <v/>
      </c>
    </row>
    <row r="58" spans="1:6" x14ac:dyDescent="0.2">
      <c r="A58" s="20">
        <v>23</v>
      </c>
      <c r="B58" s="184" t="s">
        <v>20</v>
      </c>
      <c r="C58" s="185"/>
      <c r="D58" s="15">
        <f>IF(F3="1",SUMIF(Data!A:A,'42'!$A$2,Data!DQ:DQ),0)</f>
        <v>0</v>
      </c>
      <c r="E58" s="18">
        <f>IF(F3="1",SUMIF(Data!$A:$A,'42'!$A$2,Data!JK:JK),0)</f>
        <v>0</v>
      </c>
      <c r="F58" s="22" t="str">
        <f t="shared" si="3"/>
        <v/>
      </c>
    </row>
    <row r="59" spans="1:6" x14ac:dyDescent="0.2">
      <c r="A59" s="20">
        <v>24</v>
      </c>
      <c r="B59" s="184" t="s">
        <v>21</v>
      </c>
      <c r="C59" s="185"/>
      <c r="D59" s="15">
        <f>IF(F3="1",SUMIF(Data!A:A,'42'!$A$2,Data!DR:DR),0)</f>
        <v>0</v>
      </c>
      <c r="E59" s="18">
        <f>IF(F3="1",SUMIF(Data!$A:$A,'42'!$A$2,Data!JL:JL),0)</f>
        <v>0</v>
      </c>
      <c r="F59" s="22" t="str">
        <f t="shared" si="3"/>
        <v/>
      </c>
    </row>
    <row r="60" spans="1:6" x14ac:dyDescent="0.2">
      <c r="A60" s="20">
        <v>25</v>
      </c>
      <c r="B60" s="184" t="s">
        <v>22</v>
      </c>
      <c r="C60" s="185"/>
      <c r="D60" s="15">
        <f>IF(F3="1",SUMIF(Data!A:A,'42'!$A$2,Data!DS:DS),0)</f>
        <v>0</v>
      </c>
      <c r="E60" s="18">
        <f>IF(F3="1",SUMIF(Data!$A:$A,'42'!$A$2,Data!JM:JM),0)</f>
        <v>0</v>
      </c>
      <c r="F60" s="22" t="str">
        <f t="shared" si="3"/>
        <v/>
      </c>
    </row>
    <row r="61" spans="1:6" x14ac:dyDescent="0.2">
      <c r="A61" s="20">
        <v>26</v>
      </c>
      <c r="B61" s="184" t="s">
        <v>23</v>
      </c>
      <c r="C61" s="185"/>
      <c r="D61" s="15">
        <f>IF(F3="1",SUMIF(Data!A:A,'42'!$A$2,Data!DT:DT),0)</f>
        <v>0</v>
      </c>
      <c r="E61" s="18">
        <f>IF(F3="1",SUMIF(Data!$A:$A,'42'!$A$2,Data!JN:JN),0)</f>
        <v>0</v>
      </c>
      <c r="F61" s="22" t="str">
        <f t="shared" si="3"/>
        <v/>
      </c>
    </row>
    <row r="62" spans="1:6" x14ac:dyDescent="0.2">
      <c r="A62" s="20">
        <v>28</v>
      </c>
      <c r="B62" s="184" t="s">
        <v>24</v>
      </c>
      <c r="C62" s="185"/>
      <c r="D62" s="15">
        <f>IF(F3="1",SUMIF(Data!A:A,'42'!$A$2,Data!DV:DV),0)</f>
        <v>0</v>
      </c>
      <c r="E62" s="18">
        <f>IF(F3="1",SUMIF(Data!$A:$A,'42'!$A$2,Data!JP:JP),0)</f>
        <v>0</v>
      </c>
      <c r="F62" s="22" t="str">
        <f t="shared" si="3"/>
        <v/>
      </c>
    </row>
    <row r="63" spans="1:6" ht="15.75" customHeight="1" thickBot="1" x14ac:dyDescent="0.25">
      <c r="A63" s="23">
        <v>29</v>
      </c>
      <c r="B63" s="186" t="s">
        <v>25</v>
      </c>
      <c r="C63" s="187"/>
      <c r="D63" s="24">
        <f>IF(F3="1",SUMIF(Data!A:A,'42'!$A$2,Data!DW:DW),0)</f>
        <v>0</v>
      </c>
      <c r="E63" s="25">
        <f>IF(F3="1",SUMIF(Data!$A:$A,'42'!$A$2,Data!JQ:JQ),0)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IF(F3="1",SUMIF(Data!A:A,'42'!$A$2,Data!DY:DY),0)</f>
        <v>0</v>
      </c>
      <c r="F67" s="21" t="str">
        <f>IFERROR(E67/D67,"")</f>
        <v/>
      </c>
    </row>
    <row r="68" spans="1:6" x14ac:dyDescent="0.2">
      <c r="A68" s="20">
        <v>2</v>
      </c>
      <c r="B68" s="184" t="s">
        <v>1</v>
      </c>
      <c r="C68" s="185"/>
      <c r="D68" s="15">
        <f t="shared" ref="D68:D94" si="4">D37</f>
        <v>0</v>
      </c>
      <c r="E68" s="18">
        <f>IF(F3="1",SUMIF(Data!A:A,'42'!$A$2,Data!DZ:DZ),0)</f>
        <v>0</v>
      </c>
      <c r="F68" s="22" t="str">
        <f t="shared" ref="F68:F95" si="5">IFERROR(E68/D68,"")</f>
        <v/>
      </c>
    </row>
    <row r="69" spans="1:6" ht="14.25" customHeight="1" x14ac:dyDescent="0.2">
      <c r="A69" s="20">
        <v>3</v>
      </c>
      <c r="B69" s="184" t="s">
        <v>2</v>
      </c>
      <c r="C69" s="185"/>
      <c r="D69" s="15">
        <f t="shared" si="4"/>
        <v>0</v>
      </c>
      <c r="E69" s="18">
        <f>IF(F3="1",SUMIF(Data!A:A,'42'!$A$2,Data!EA:EA),0)</f>
        <v>0</v>
      </c>
      <c r="F69" s="22" t="str">
        <f t="shared" si="5"/>
        <v/>
      </c>
    </row>
    <row r="70" spans="1:6" ht="14.25" customHeight="1" x14ac:dyDescent="0.2">
      <c r="A70" s="20">
        <v>4</v>
      </c>
      <c r="B70" s="184" t="s">
        <v>3</v>
      </c>
      <c r="C70" s="185"/>
      <c r="D70" s="15">
        <f t="shared" si="4"/>
        <v>0</v>
      </c>
      <c r="E70" s="18">
        <f>IF(F3="1",SUMIF(Data!A:A,'42'!$A$2,Data!EB:EB),0)</f>
        <v>0</v>
      </c>
      <c r="F70" s="22" t="str">
        <f t="shared" si="5"/>
        <v/>
      </c>
    </row>
    <row r="71" spans="1:6" x14ac:dyDescent="0.2">
      <c r="A71" s="20">
        <v>5</v>
      </c>
      <c r="B71" s="184" t="s">
        <v>4</v>
      </c>
      <c r="C71" s="185"/>
      <c r="D71" s="15">
        <f t="shared" si="4"/>
        <v>0</v>
      </c>
      <c r="E71" s="18">
        <f>IF(F3="1",SUMIF(Data!A:A,'42'!$A$2,Data!EC:EC),0)</f>
        <v>0</v>
      </c>
      <c r="F71" s="22" t="str">
        <f t="shared" si="5"/>
        <v/>
      </c>
    </row>
    <row r="72" spans="1:6" x14ac:dyDescent="0.2">
      <c r="A72" s="20">
        <v>6</v>
      </c>
      <c r="B72" s="184" t="s">
        <v>5</v>
      </c>
      <c r="C72" s="185"/>
      <c r="D72" s="15">
        <f t="shared" si="4"/>
        <v>0</v>
      </c>
      <c r="E72" s="18">
        <f>IF(F3="1",SUMIF(Data!A:A,'42'!$A$2,Data!ED:ED),0)</f>
        <v>0</v>
      </c>
      <c r="F72" s="22" t="str">
        <f t="shared" si="5"/>
        <v/>
      </c>
    </row>
    <row r="73" spans="1:6" x14ac:dyDescent="0.2">
      <c r="A73" s="20">
        <v>7</v>
      </c>
      <c r="B73" s="184" t="s">
        <v>6</v>
      </c>
      <c r="C73" s="185"/>
      <c r="D73" s="15">
        <f t="shared" si="4"/>
        <v>0</v>
      </c>
      <c r="E73" s="18">
        <f>IF(F3="1",SUMIF(Data!A:A,'42'!$A$2,Data!EE:EE),0)</f>
        <v>0</v>
      </c>
      <c r="F73" s="22" t="str">
        <f t="shared" si="5"/>
        <v/>
      </c>
    </row>
    <row r="74" spans="1:6" x14ac:dyDescent="0.2">
      <c r="A74" s="20">
        <v>8</v>
      </c>
      <c r="B74" s="184" t="s">
        <v>7</v>
      </c>
      <c r="C74" s="185"/>
      <c r="D74" s="15">
        <f t="shared" si="4"/>
        <v>0</v>
      </c>
      <c r="E74" s="18">
        <f>IF(F3="1",SUMIF(Data!A:A,'42'!$A$2,Data!EF:EF),0)</f>
        <v>0</v>
      </c>
      <c r="F74" s="22" t="str">
        <f t="shared" si="5"/>
        <v/>
      </c>
    </row>
    <row r="75" spans="1:6" x14ac:dyDescent="0.2">
      <c r="A75" s="20">
        <v>9</v>
      </c>
      <c r="B75" s="184" t="s">
        <v>8</v>
      </c>
      <c r="C75" s="185"/>
      <c r="D75" s="15">
        <f t="shared" si="4"/>
        <v>0</v>
      </c>
      <c r="E75" s="18">
        <f>IF(F3="1",SUMIF(Data!A:A,'42'!$A$2,Data!EG:EG),0)</f>
        <v>0</v>
      </c>
      <c r="F75" s="22" t="str">
        <f t="shared" si="5"/>
        <v/>
      </c>
    </row>
    <row r="76" spans="1:6" x14ac:dyDescent="0.2">
      <c r="A76" s="20">
        <v>10</v>
      </c>
      <c r="B76" s="184" t="s">
        <v>9</v>
      </c>
      <c r="C76" s="185"/>
      <c r="D76" s="15">
        <f t="shared" si="4"/>
        <v>0</v>
      </c>
      <c r="E76" s="18">
        <f>IF(F3="1",SUMIF(Data!A:A,'42'!$A$2,Data!EH:EH),0)</f>
        <v>0</v>
      </c>
      <c r="F76" s="22" t="str">
        <f t="shared" si="5"/>
        <v/>
      </c>
    </row>
    <row r="77" spans="1:6" x14ac:dyDescent="0.2">
      <c r="A77" s="20">
        <v>11</v>
      </c>
      <c r="B77" s="184" t="s">
        <v>10</v>
      </c>
      <c r="C77" s="185"/>
      <c r="D77" s="15">
        <f t="shared" si="4"/>
        <v>0</v>
      </c>
      <c r="E77" s="18">
        <f>IF(F3="1",SUMIF(Data!A:A,'42'!$A$2,Data!EI:EI),0)</f>
        <v>0</v>
      </c>
      <c r="F77" s="22" t="str">
        <f t="shared" si="5"/>
        <v/>
      </c>
    </row>
    <row r="78" spans="1:6" ht="14.25" customHeight="1" x14ac:dyDescent="0.2">
      <c r="A78" s="20">
        <v>12</v>
      </c>
      <c r="B78" s="184" t="s">
        <v>11</v>
      </c>
      <c r="C78" s="185"/>
      <c r="D78" s="15">
        <f t="shared" si="4"/>
        <v>0</v>
      </c>
      <c r="E78" s="18">
        <f>IF(F3="1",SUMIF(Data!A:A,'42'!$A$2,Data!EJ:EJ),0)</f>
        <v>0</v>
      </c>
      <c r="F78" s="22" t="str">
        <f t="shared" si="5"/>
        <v/>
      </c>
    </row>
    <row r="79" spans="1:6" x14ac:dyDescent="0.2">
      <c r="A79" s="20">
        <v>13</v>
      </c>
      <c r="B79" s="184" t="s">
        <v>12</v>
      </c>
      <c r="C79" s="185"/>
      <c r="D79" s="15">
        <f t="shared" si="4"/>
        <v>0</v>
      </c>
      <c r="E79" s="18">
        <f>IF(F3="1",SUMIF(Data!A:A,'42'!$A$2,Data!EK:EK),0)</f>
        <v>0</v>
      </c>
      <c r="F79" s="22" t="str">
        <f t="shared" si="5"/>
        <v/>
      </c>
    </row>
    <row r="80" spans="1:6" ht="14.25" customHeight="1" x14ac:dyDescent="0.2">
      <c r="A80" s="20">
        <v>14</v>
      </c>
      <c r="B80" s="184" t="s">
        <v>469</v>
      </c>
      <c r="C80" s="185"/>
      <c r="D80" s="15">
        <f t="shared" si="4"/>
        <v>0</v>
      </c>
      <c r="E80" s="18">
        <f>IF(F3="1",SUMIF(Data!A:A,'42'!$A$2,Data!EL:EL),0)</f>
        <v>0</v>
      </c>
      <c r="F80" s="22" t="str">
        <f t="shared" si="5"/>
        <v/>
      </c>
    </row>
    <row r="81" spans="1:6" x14ac:dyDescent="0.2">
      <c r="A81" s="20">
        <v>15</v>
      </c>
      <c r="B81" s="184" t="s">
        <v>13</v>
      </c>
      <c r="C81" s="185"/>
      <c r="D81" s="15">
        <f t="shared" si="4"/>
        <v>0</v>
      </c>
      <c r="E81" s="18">
        <f>IF(F3="1",SUMIF(Data!A:A,'42'!$A$2,Data!EM:EM),0)</f>
        <v>0</v>
      </c>
      <c r="F81" s="22" t="str">
        <f t="shared" si="5"/>
        <v/>
      </c>
    </row>
    <row r="82" spans="1:6" x14ac:dyDescent="0.2">
      <c r="A82" s="20">
        <v>16</v>
      </c>
      <c r="B82" s="184" t="s">
        <v>14</v>
      </c>
      <c r="C82" s="185"/>
      <c r="D82" s="15">
        <f t="shared" si="4"/>
        <v>0</v>
      </c>
      <c r="E82" s="18">
        <f>IF(F3="1",SUMIF(Data!A:A,'42'!$A$2,Data!EN:EN),0)</f>
        <v>0</v>
      </c>
      <c r="F82" s="22" t="str">
        <f t="shared" si="5"/>
        <v/>
      </c>
    </row>
    <row r="83" spans="1:6" x14ac:dyDescent="0.2">
      <c r="A83" s="20">
        <v>17</v>
      </c>
      <c r="B83" s="184" t="s">
        <v>15</v>
      </c>
      <c r="C83" s="185"/>
      <c r="D83" s="15">
        <f t="shared" si="4"/>
        <v>0</v>
      </c>
      <c r="E83" s="18">
        <f>IF(F3="1",SUMIF(Data!A:A,'42'!$A$2,Data!EO:EO),0)</f>
        <v>0</v>
      </c>
      <c r="F83" s="22" t="str">
        <f t="shared" si="5"/>
        <v/>
      </c>
    </row>
    <row r="84" spans="1:6" x14ac:dyDescent="0.2">
      <c r="A84" s="20">
        <v>18</v>
      </c>
      <c r="B84" s="184" t="s">
        <v>16</v>
      </c>
      <c r="C84" s="185"/>
      <c r="D84" s="15">
        <f t="shared" si="4"/>
        <v>0</v>
      </c>
      <c r="E84" s="18">
        <f>IF(F3="1",SUMIF(Data!A:A,'42'!$A$2,Data!EP:EP),0)</f>
        <v>0</v>
      </c>
      <c r="F84" s="22" t="str">
        <f t="shared" si="5"/>
        <v/>
      </c>
    </row>
    <row r="85" spans="1:6" x14ac:dyDescent="0.2">
      <c r="A85" s="20">
        <v>19</v>
      </c>
      <c r="B85" s="184" t="s">
        <v>17</v>
      </c>
      <c r="C85" s="185"/>
      <c r="D85" s="15">
        <f t="shared" si="4"/>
        <v>0</v>
      </c>
      <c r="E85" s="18">
        <f>IF(F3="1",SUMIF(Data!A:A,'42'!$A$2,Data!EQ:EQ),0)</f>
        <v>0</v>
      </c>
      <c r="F85" s="22" t="str">
        <f t="shared" si="5"/>
        <v/>
      </c>
    </row>
    <row r="86" spans="1:6" x14ac:dyDescent="0.2">
      <c r="A86" s="20">
        <v>20</v>
      </c>
      <c r="B86" s="184" t="s">
        <v>18</v>
      </c>
      <c r="C86" s="185"/>
      <c r="D86" s="15">
        <f t="shared" si="4"/>
        <v>0</v>
      </c>
      <c r="E86" s="18">
        <f>IF(F3="1",SUMIF(Data!A:A,'42'!$A$2,Data!ER:ER),0)</f>
        <v>0</v>
      </c>
      <c r="F86" s="22" t="str">
        <f t="shared" si="5"/>
        <v/>
      </c>
    </row>
    <row r="87" spans="1:6" ht="14.25" customHeight="1" x14ac:dyDescent="0.2">
      <c r="A87" s="20">
        <v>21</v>
      </c>
      <c r="B87" s="184" t="s">
        <v>466</v>
      </c>
      <c r="C87" s="185"/>
      <c r="D87" s="15">
        <f t="shared" si="4"/>
        <v>0</v>
      </c>
      <c r="E87" s="18">
        <f>IF(F3="1",SUMIF(Data!A:A,'42'!$A$2,Data!ES:ES),0)</f>
        <v>0</v>
      </c>
      <c r="F87" s="22" t="str">
        <f t="shared" si="5"/>
        <v/>
      </c>
    </row>
    <row r="88" spans="1:6" x14ac:dyDescent="0.2">
      <c r="A88" s="20">
        <v>22</v>
      </c>
      <c r="B88" s="184" t="s">
        <v>19</v>
      </c>
      <c r="C88" s="185"/>
      <c r="D88" s="15">
        <f t="shared" si="4"/>
        <v>0</v>
      </c>
      <c r="E88" s="18">
        <f>IF(F3="1",SUMIF(Data!A:A,'42'!$A$2,Data!ET:ET),0)</f>
        <v>0</v>
      </c>
      <c r="F88" s="22" t="str">
        <f t="shared" si="5"/>
        <v/>
      </c>
    </row>
    <row r="89" spans="1:6" x14ac:dyDescent="0.2">
      <c r="A89" s="20">
        <v>23</v>
      </c>
      <c r="B89" s="184" t="s">
        <v>20</v>
      </c>
      <c r="C89" s="185"/>
      <c r="D89" s="15">
        <f t="shared" si="4"/>
        <v>0</v>
      </c>
      <c r="E89" s="18">
        <f>IF(F3="1",SUMIF(Data!A:A,'42'!$A$2,Data!EU:EU),0)</f>
        <v>0</v>
      </c>
      <c r="F89" s="22" t="str">
        <f t="shared" si="5"/>
        <v/>
      </c>
    </row>
    <row r="90" spans="1:6" x14ac:dyDescent="0.2">
      <c r="A90" s="20">
        <v>24</v>
      </c>
      <c r="B90" s="184" t="s">
        <v>21</v>
      </c>
      <c r="C90" s="185"/>
      <c r="D90" s="15">
        <f t="shared" si="4"/>
        <v>0</v>
      </c>
      <c r="E90" s="18">
        <f>IF(F3="1",SUMIF(Data!A:A,'42'!$A$2,Data!EV:EV),0)</f>
        <v>0</v>
      </c>
      <c r="F90" s="22" t="str">
        <f t="shared" si="5"/>
        <v/>
      </c>
    </row>
    <row r="91" spans="1:6" x14ac:dyDescent="0.2">
      <c r="A91" s="20">
        <v>25</v>
      </c>
      <c r="B91" s="184" t="s">
        <v>22</v>
      </c>
      <c r="C91" s="185"/>
      <c r="D91" s="15">
        <f t="shared" si="4"/>
        <v>0</v>
      </c>
      <c r="E91" s="18">
        <f>IF(F3="1",SUMIF(Data!A:A,'42'!$A$2,Data!EW:EW),0)</f>
        <v>0</v>
      </c>
      <c r="F91" s="22" t="str">
        <f t="shared" si="5"/>
        <v/>
      </c>
    </row>
    <row r="92" spans="1:6" x14ac:dyDescent="0.2">
      <c r="A92" s="20">
        <v>26</v>
      </c>
      <c r="B92" s="184" t="s">
        <v>23</v>
      </c>
      <c r="C92" s="185"/>
      <c r="D92" s="15">
        <f t="shared" si="4"/>
        <v>0</v>
      </c>
      <c r="E92" s="18">
        <f>IF(F3="1",SUMIF(Data!A:A,'42'!$A$2,Data!EX:EX),0)</f>
        <v>0</v>
      </c>
      <c r="F92" s="22" t="str">
        <f t="shared" si="5"/>
        <v/>
      </c>
    </row>
    <row r="93" spans="1:6" x14ac:dyDescent="0.2">
      <c r="A93" s="20">
        <v>28</v>
      </c>
      <c r="B93" s="184" t="s">
        <v>24</v>
      </c>
      <c r="C93" s="185"/>
      <c r="D93" s="15">
        <f t="shared" si="4"/>
        <v>0</v>
      </c>
      <c r="E93" s="18">
        <f>IF(F3="1",SUMIF(Data!A:A,'42'!$A$2,Data!EZ:EZ),0)</f>
        <v>0</v>
      </c>
      <c r="F93" s="22" t="str">
        <f t="shared" si="5"/>
        <v/>
      </c>
    </row>
    <row r="94" spans="1:6" ht="15.75" customHeight="1" thickBot="1" x14ac:dyDescent="0.25">
      <c r="A94" s="23">
        <v>29</v>
      </c>
      <c r="B94" s="186" t="s">
        <v>25</v>
      </c>
      <c r="C94" s="187"/>
      <c r="D94" s="24">
        <f t="shared" si="4"/>
        <v>0</v>
      </c>
      <c r="E94" s="25">
        <f>IF(F3="1",SUMIF(Data!A:A,'42'!$A$2,Data!FA:FA),0)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IF(F3="1",SUMIF(Data!A:A,'42'!$A$2,Data!AH:AH),0)</f>
        <v>0</v>
      </c>
      <c r="F98" s="21">
        <f t="shared" ref="F98:F105" si="6">IFERROR(E98/$D$95,0)</f>
        <v>0</v>
      </c>
    </row>
    <row r="99" spans="2:6" x14ac:dyDescent="0.2">
      <c r="B99" s="190" t="s">
        <v>31</v>
      </c>
      <c r="C99" s="191"/>
      <c r="D99" s="37"/>
      <c r="E99" s="18">
        <f>IF(F3="1",SUMIF(Data!A:A,'42'!$A$2,Data!AI:AI),0)</f>
        <v>0</v>
      </c>
      <c r="F99" s="22">
        <f t="shared" si="6"/>
        <v>0</v>
      </c>
    </row>
    <row r="100" spans="2:6" x14ac:dyDescent="0.2">
      <c r="B100" s="190" t="s">
        <v>32</v>
      </c>
      <c r="C100" s="191"/>
      <c r="D100" s="37"/>
      <c r="E100" s="18">
        <f>IF(F3="1",SUMIF(Data!A:A,'42'!$A$2,Data!AJ:AJ),0)</f>
        <v>0</v>
      </c>
      <c r="F100" s="22">
        <f t="shared" si="6"/>
        <v>0</v>
      </c>
    </row>
    <row r="101" spans="2:6" x14ac:dyDescent="0.2">
      <c r="B101" s="190" t="s">
        <v>28</v>
      </c>
      <c r="C101" s="191"/>
      <c r="D101" s="37"/>
      <c r="E101" s="18">
        <f>IF(F3="1",SUMIF(Data!A:A,'42'!$A$2,Data!AK:AK),0)</f>
        <v>0</v>
      </c>
      <c r="F101" s="22">
        <f t="shared" si="6"/>
        <v>0</v>
      </c>
    </row>
    <row r="102" spans="2:6" x14ac:dyDescent="0.2">
      <c r="B102" s="190" t="s">
        <v>33</v>
      </c>
      <c r="C102" s="191"/>
      <c r="D102" s="37"/>
      <c r="E102" s="18">
        <f>IF(F3="1",SUMIF(Data!A:A,'42'!$A$2,Data!AL:AL),0)</f>
        <v>0</v>
      </c>
      <c r="F102" s="22">
        <f t="shared" si="6"/>
        <v>0</v>
      </c>
    </row>
    <row r="103" spans="2:6" x14ac:dyDescent="0.2">
      <c r="B103" s="192" t="s">
        <v>34</v>
      </c>
      <c r="C103" s="193"/>
      <c r="D103" s="37"/>
      <c r="E103" s="18">
        <f>IF(F3="1",SUMIF(Data!A:A,'42'!$A$2,Data!AM:AM),0)</f>
        <v>0</v>
      </c>
      <c r="F103" s="22">
        <f t="shared" si="6"/>
        <v>0</v>
      </c>
    </row>
    <row r="104" spans="2:6" ht="15.75" customHeight="1" thickBot="1" x14ac:dyDescent="0.25">
      <c r="B104" s="182" t="s">
        <v>29</v>
      </c>
      <c r="C104" s="183"/>
      <c r="D104" s="38"/>
      <c r="E104" s="25">
        <f>IF(F3="1",SUMIF(Data!A:A,'42'!$A$2,Data!Q:Q),0)</f>
        <v>0</v>
      </c>
      <c r="F104" s="26">
        <f t="shared" si="6"/>
        <v>0</v>
      </c>
    </row>
    <row r="105" spans="2:6" x14ac:dyDescent="0.2">
      <c r="B105" s="31" t="s">
        <v>35</v>
      </c>
      <c r="C105" s="31"/>
      <c r="D105" s="35">
        <f>D95</f>
        <v>0</v>
      </c>
      <c r="E105" s="32">
        <f>SUM(E98:E104)</f>
        <v>0</v>
      </c>
      <c r="F105" s="33">
        <f t="shared" si="6"/>
        <v>0</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IF(F3="1",SUMIF(Data!A:A,'42'!$A$2,Data!AM:AM),0)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410</v>
      </c>
      <c r="B2" s="60" t="str">
        <f>VLOOKUP(A2,Data!A:G,7,0)</f>
        <v>Texas Southmost</v>
      </c>
      <c r="C2" s="60"/>
    </row>
    <row r="3" spans="1:6" ht="15" thickBot="1" x14ac:dyDescent="0.25">
      <c r="A3" s="4"/>
      <c r="F3" s="58">
        <f>IFERROR(VLOOKUP(A2,Data!A:C,3,0),"0")</f>
        <v>0</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0</v>
      </c>
      <c r="E6" s="18">
        <f t="shared" ref="E6:E32" si="1">E37+E68+IFERROR($E$105/$D$105*D6,0)</f>
        <v>0</v>
      </c>
      <c r="F6" s="22" t="str">
        <f t="shared" ref="F6:F33" si="2">IFERROR(E6/D6,"")</f>
        <v/>
      </c>
    </row>
    <row r="7" spans="1:6" ht="14.25" customHeight="1" x14ac:dyDescent="0.2">
      <c r="A7" s="20">
        <v>3</v>
      </c>
      <c r="B7" s="184" t="s">
        <v>2</v>
      </c>
      <c r="C7" s="185"/>
      <c r="D7" s="15">
        <f t="shared" si="0"/>
        <v>0</v>
      </c>
      <c r="E7" s="18">
        <f t="shared" si="1"/>
        <v>0</v>
      </c>
      <c r="F7" s="22" t="str">
        <f t="shared" si="2"/>
        <v/>
      </c>
    </row>
    <row r="8" spans="1:6" ht="14.25" customHeight="1" x14ac:dyDescent="0.2">
      <c r="A8" s="20">
        <v>4</v>
      </c>
      <c r="B8" s="184" t="s">
        <v>3</v>
      </c>
      <c r="C8" s="185"/>
      <c r="D8" s="15">
        <f t="shared" si="0"/>
        <v>0</v>
      </c>
      <c r="E8" s="18">
        <f t="shared" si="1"/>
        <v>0</v>
      </c>
      <c r="F8" s="22" t="str">
        <f t="shared" si="2"/>
        <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0</v>
      </c>
      <c r="E11" s="18">
        <f t="shared" si="1"/>
        <v>0</v>
      </c>
      <c r="F11" s="22" t="str">
        <f t="shared" si="2"/>
        <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0</v>
      </c>
      <c r="E13" s="18">
        <f t="shared" si="1"/>
        <v>0</v>
      </c>
      <c r="F13" s="22" t="str">
        <f t="shared" si="2"/>
        <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0</v>
      </c>
      <c r="E15" s="18">
        <f t="shared" si="1"/>
        <v>0</v>
      </c>
      <c r="F15" s="22" t="str">
        <f t="shared" si="2"/>
        <v/>
      </c>
    </row>
    <row r="16" spans="1:6" ht="14.25" customHeight="1" x14ac:dyDescent="0.2">
      <c r="A16" s="20">
        <v>12</v>
      </c>
      <c r="B16" s="184" t="s">
        <v>11</v>
      </c>
      <c r="C16" s="185"/>
      <c r="D16" s="15">
        <f t="shared" si="0"/>
        <v>0</v>
      </c>
      <c r="E16" s="18">
        <f t="shared" si="1"/>
        <v>0</v>
      </c>
      <c r="F16" s="22" t="str">
        <f t="shared" si="2"/>
        <v/>
      </c>
    </row>
    <row r="17" spans="1:6" x14ac:dyDescent="0.2">
      <c r="A17" s="20">
        <v>13</v>
      </c>
      <c r="B17" s="184" t="s">
        <v>12</v>
      </c>
      <c r="C17" s="185"/>
      <c r="D17" s="15">
        <f t="shared" si="0"/>
        <v>0</v>
      </c>
      <c r="E17" s="18">
        <f t="shared" si="1"/>
        <v>0</v>
      </c>
      <c r="F17" s="22" t="str">
        <f t="shared" si="2"/>
        <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0</v>
      </c>
      <c r="E20" s="18">
        <f t="shared" si="1"/>
        <v>0</v>
      </c>
      <c r="F20" s="22" t="str">
        <f t="shared" si="2"/>
        <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0</v>
      </c>
      <c r="E23" s="18">
        <f t="shared" si="1"/>
        <v>0</v>
      </c>
      <c r="F23" s="22" t="str">
        <f t="shared" si="2"/>
        <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0</v>
      </c>
      <c r="E26" s="18">
        <f t="shared" si="1"/>
        <v>0</v>
      </c>
      <c r="F26" s="22" t="str">
        <f t="shared" si="2"/>
        <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0</v>
      </c>
      <c r="E28" s="18">
        <f t="shared" si="1"/>
        <v>0</v>
      </c>
      <c r="F28" s="22" t="str">
        <f t="shared" si="2"/>
        <v/>
      </c>
    </row>
    <row r="29" spans="1:6" x14ac:dyDescent="0.2">
      <c r="A29" s="20">
        <v>25</v>
      </c>
      <c r="B29" s="184" t="s">
        <v>22</v>
      </c>
      <c r="C29" s="185"/>
      <c r="D29" s="15">
        <f t="shared" si="0"/>
        <v>0</v>
      </c>
      <c r="E29" s="18">
        <f t="shared" si="1"/>
        <v>0</v>
      </c>
      <c r="F29" s="22" t="str">
        <f t="shared" si="2"/>
        <v/>
      </c>
    </row>
    <row r="30" spans="1:6" x14ac:dyDescent="0.2">
      <c r="A30" s="20">
        <v>26</v>
      </c>
      <c r="B30" s="184" t="s">
        <v>23</v>
      </c>
      <c r="C30" s="185"/>
      <c r="D30" s="15">
        <f t="shared" si="0"/>
        <v>0</v>
      </c>
      <c r="E30" s="18">
        <f t="shared" si="1"/>
        <v>0</v>
      </c>
      <c r="F30" s="22" t="str">
        <f t="shared" si="2"/>
        <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IF(F3="1",SUMIF(Data!A:A,'43'!$A$2,Data!CU:CU),0)</f>
        <v>0</v>
      </c>
      <c r="E36" s="16">
        <f>IF(F3="1",SUMIF(Data!$A:$A,'43'!$A$2,Data!IO:IO),0)</f>
        <v>0</v>
      </c>
      <c r="F36" s="21" t="str">
        <f t="shared" ref="F36:F64" si="3">IFERROR(E36/D36,"")</f>
        <v/>
      </c>
    </row>
    <row r="37" spans="1:6" x14ac:dyDescent="0.2">
      <c r="A37" s="20">
        <v>2</v>
      </c>
      <c r="B37" s="184" t="s">
        <v>1</v>
      </c>
      <c r="C37" s="185"/>
      <c r="D37" s="15">
        <f>IF(F3="1",SUMIF(Data!A:A,'43'!$A$2,Data!CV:CV),0)</f>
        <v>0</v>
      </c>
      <c r="E37" s="18">
        <f>IF(F3="1",SUMIF(Data!$A:$A,'43'!$A$2,Data!IP:IP),0)</f>
        <v>0</v>
      </c>
      <c r="F37" s="22" t="str">
        <f t="shared" si="3"/>
        <v/>
      </c>
    </row>
    <row r="38" spans="1:6" ht="14.25" customHeight="1" x14ac:dyDescent="0.2">
      <c r="A38" s="20">
        <v>3</v>
      </c>
      <c r="B38" s="184" t="s">
        <v>2</v>
      </c>
      <c r="C38" s="185"/>
      <c r="D38" s="15">
        <f>IF(F3="1",SUMIF(Data!A:A,'43'!$A$2,Data!CW:CW),0)</f>
        <v>0</v>
      </c>
      <c r="E38" s="18">
        <f>IF(F3="1",SUMIF(Data!$A:$A,'43'!$A$2,Data!IQ:IQ),0)</f>
        <v>0</v>
      </c>
      <c r="F38" s="22" t="str">
        <f t="shared" si="3"/>
        <v/>
      </c>
    </row>
    <row r="39" spans="1:6" ht="14.25" customHeight="1" x14ac:dyDescent="0.2">
      <c r="A39" s="20">
        <v>4</v>
      </c>
      <c r="B39" s="184" t="s">
        <v>3</v>
      </c>
      <c r="C39" s="185"/>
      <c r="D39" s="15">
        <f>IF(F3="1",SUMIF(Data!A:A,'43'!$A$2,Data!CX:CX),0)</f>
        <v>0</v>
      </c>
      <c r="E39" s="18">
        <f>IF(F3="1",SUMIF(Data!$A:$A,'43'!$A$2,Data!IR:IR),0)</f>
        <v>0</v>
      </c>
      <c r="F39" s="22" t="str">
        <f t="shared" si="3"/>
        <v/>
      </c>
    </row>
    <row r="40" spans="1:6" x14ac:dyDescent="0.2">
      <c r="A40" s="20">
        <v>5</v>
      </c>
      <c r="B40" s="184" t="s">
        <v>4</v>
      </c>
      <c r="C40" s="185"/>
      <c r="D40" s="15">
        <f>IF(F3="1",SUMIF(Data!A:A,'43'!$A$2,Data!CY:CY),0)</f>
        <v>0</v>
      </c>
      <c r="E40" s="18">
        <f>IF(F3="1",SUMIF(Data!$A:$A,'43'!$A$2,Data!IS:IS),0)</f>
        <v>0</v>
      </c>
      <c r="F40" s="22" t="str">
        <f t="shared" si="3"/>
        <v/>
      </c>
    </row>
    <row r="41" spans="1:6" x14ac:dyDescent="0.2">
      <c r="A41" s="20">
        <v>6</v>
      </c>
      <c r="B41" s="184" t="s">
        <v>5</v>
      </c>
      <c r="C41" s="185"/>
      <c r="D41" s="15">
        <f>IF(F3="1",SUMIF(Data!A:A,'43'!$A$2,Data!CZ:CZ),0)</f>
        <v>0</v>
      </c>
      <c r="E41" s="18">
        <f>IF(F3="1",SUMIF(Data!$A:$A,'43'!$A$2,Data!IT:IT),0)</f>
        <v>0</v>
      </c>
      <c r="F41" s="22" t="str">
        <f t="shared" si="3"/>
        <v/>
      </c>
    </row>
    <row r="42" spans="1:6" x14ac:dyDescent="0.2">
      <c r="A42" s="20">
        <v>7</v>
      </c>
      <c r="B42" s="184" t="s">
        <v>6</v>
      </c>
      <c r="C42" s="185"/>
      <c r="D42" s="15">
        <f>IF(F3="1",SUMIF(Data!A:A,'43'!$A$2,Data!DA:DA),0)</f>
        <v>0</v>
      </c>
      <c r="E42" s="18">
        <f>IF(F3="1",SUMIF(Data!$A:$A,'43'!$A$2,Data!IU:IU),0)</f>
        <v>0</v>
      </c>
      <c r="F42" s="22" t="str">
        <f t="shared" si="3"/>
        <v/>
      </c>
    </row>
    <row r="43" spans="1:6" x14ac:dyDescent="0.2">
      <c r="A43" s="20">
        <v>8</v>
      </c>
      <c r="B43" s="184" t="s">
        <v>7</v>
      </c>
      <c r="C43" s="185"/>
      <c r="D43" s="15">
        <f>IF(F3="1",SUMIF(Data!A:A,'43'!$A$2,Data!DB:DB),0)</f>
        <v>0</v>
      </c>
      <c r="E43" s="18">
        <f>IF(F3="1",SUMIF(Data!$A:$A,'43'!$A$2,Data!IV:IV),0)</f>
        <v>0</v>
      </c>
      <c r="F43" s="22" t="str">
        <f t="shared" si="3"/>
        <v/>
      </c>
    </row>
    <row r="44" spans="1:6" x14ac:dyDescent="0.2">
      <c r="A44" s="20">
        <v>9</v>
      </c>
      <c r="B44" s="184" t="s">
        <v>8</v>
      </c>
      <c r="C44" s="185"/>
      <c r="D44" s="15">
        <f>IF(F3="1",SUMIF(Data!A:A,'43'!$A$2,Data!DC:DC),0)</f>
        <v>0</v>
      </c>
      <c r="E44" s="18">
        <f>IF(F3="1",SUMIF(Data!$A:$A,'43'!$A$2,Data!IW:IW),0)</f>
        <v>0</v>
      </c>
      <c r="F44" s="22" t="str">
        <f t="shared" si="3"/>
        <v/>
      </c>
    </row>
    <row r="45" spans="1:6" x14ac:dyDescent="0.2">
      <c r="A45" s="20">
        <v>10</v>
      </c>
      <c r="B45" s="184" t="s">
        <v>9</v>
      </c>
      <c r="C45" s="185"/>
      <c r="D45" s="15">
        <f>IF(F3="1",SUMIF(Data!A:A,'43'!$A$2,Data!DD:DD),0)</f>
        <v>0</v>
      </c>
      <c r="E45" s="18">
        <f>IF(F3="1",SUMIF(Data!$A:$A,'43'!$A$2,Data!IX:IX),0)</f>
        <v>0</v>
      </c>
      <c r="F45" s="22" t="str">
        <f t="shared" si="3"/>
        <v/>
      </c>
    </row>
    <row r="46" spans="1:6" x14ac:dyDescent="0.2">
      <c r="A46" s="20">
        <v>11</v>
      </c>
      <c r="B46" s="184" t="s">
        <v>10</v>
      </c>
      <c r="C46" s="185"/>
      <c r="D46" s="15">
        <f>IF(F3="1",SUMIF(Data!A:A,'43'!$A$2,Data!DE:DE),0)</f>
        <v>0</v>
      </c>
      <c r="E46" s="18">
        <f>IF(F3="1",SUMIF(Data!$A:$A,'43'!$A$2,Data!IY:IY),0)</f>
        <v>0</v>
      </c>
      <c r="F46" s="22" t="str">
        <f t="shared" si="3"/>
        <v/>
      </c>
    </row>
    <row r="47" spans="1:6" ht="14.25" customHeight="1" x14ac:dyDescent="0.2">
      <c r="A47" s="20">
        <v>12</v>
      </c>
      <c r="B47" s="184" t="s">
        <v>11</v>
      </c>
      <c r="C47" s="185"/>
      <c r="D47" s="15">
        <f>IF(F3="1",SUMIF(Data!A:A,'43'!$A$2,Data!DF:DF),0)</f>
        <v>0</v>
      </c>
      <c r="E47" s="18">
        <f>IF(F3="1",SUMIF(Data!$A:$A,'43'!$A$2,Data!IZ:IZ),0)</f>
        <v>0</v>
      </c>
      <c r="F47" s="22" t="str">
        <f t="shared" si="3"/>
        <v/>
      </c>
    </row>
    <row r="48" spans="1:6" x14ac:dyDescent="0.2">
      <c r="A48" s="20">
        <v>13</v>
      </c>
      <c r="B48" s="184" t="s">
        <v>12</v>
      </c>
      <c r="C48" s="185"/>
      <c r="D48" s="15">
        <f>IF(F3="1",SUMIF(Data!A:A,'43'!$A$2,Data!DG:DG),0)</f>
        <v>0</v>
      </c>
      <c r="E48" s="18">
        <f>IF(F3="1",SUMIF(Data!$A:$A,'43'!$A$2,Data!JA:JA),0)</f>
        <v>0</v>
      </c>
      <c r="F48" s="22" t="str">
        <f t="shared" si="3"/>
        <v/>
      </c>
    </row>
    <row r="49" spans="1:6" ht="14.25" customHeight="1" x14ac:dyDescent="0.2">
      <c r="A49" s="20">
        <v>14</v>
      </c>
      <c r="B49" s="184" t="s">
        <v>469</v>
      </c>
      <c r="C49" s="185"/>
      <c r="D49" s="15">
        <f>IF(F3="1",SUMIF(Data!A:A,'43'!$A$2,Data!DH:DH),0)</f>
        <v>0</v>
      </c>
      <c r="E49" s="18">
        <f>IF(F3="1",SUMIF(Data!$A:$A,'43'!$A$2,Data!JB:JB),0)</f>
        <v>0</v>
      </c>
      <c r="F49" s="22" t="str">
        <f t="shared" si="3"/>
        <v/>
      </c>
    </row>
    <row r="50" spans="1:6" x14ac:dyDescent="0.2">
      <c r="A50" s="20">
        <v>15</v>
      </c>
      <c r="B50" s="184" t="s">
        <v>13</v>
      </c>
      <c r="C50" s="185"/>
      <c r="D50" s="15">
        <f>IF(F3="1",SUMIF(Data!A:A,'43'!$A$2,Data!DI:DI),0)</f>
        <v>0</v>
      </c>
      <c r="E50" s="18">
        <f>IF(F3="1",SUMIF(Data!$A:$A,'43'!$A$2,Data!JC:JC),0)</f>
        <v>0</v>
      </c>
      <c r="F50" s="22" t="str">
        <f t="shared" si="3"/>
        <v/>
      </c>
    </row>
    <row r="51" spans="1:6" x14ac:dyDescent="0.2">
      <c r="A51" s="20">
        <v>16</v>
      </c>
      <c r="B51" s="184" t="s">
        <v>14</v>
      </c>
      <c r="C51" s="185"/>
      <c r="D51" s="15">
        <f>IF(F3="1",SUMIF(Data!A:A,'43'!$A$2,Data!DJ:DJ),0)</f>
        <v>0</v>
      </c>
      <c r="E51" s="18">
        <f>IF(F3="1",SUMIF(Data!$A:$A,'43'!$A$2,Data!JD:JD),0)</f>
        <v>0</v>
      </c>
      <c r="F51" s="22" t="str">
        <f t="shared" si="3"/>
        <v/>
      </c>
    </row>
    <row r="52" spans="1:6" x14ac:dyDescent="0.2">
      <c r="A52" s="20">
        <v>17</v>
      </c>
      <c r="B52" s="184" t="s">
        <v>15</v>
      </c>
      <c r="C52" s="185"/>
      <c r="D52" s="15">
        <f>IF(F3="1",SUMIF(Data!A:A,'43'!$A$2,Data!DK:DK),0)</f>
        <v>0</v>
      </c>
      <c r="E52" s="18">
        <f>IF(F3="1",SUMIF(Data!$A:$A,'43'!$A$2,Data!JE:JE),0)</f>
        <v>0</v>
      </c>
      <c r="F52" s="22" t="str">
        <f t="shared" si="3"/>
        <v/>
      </c>
    </row>
    <row r="53" spans="1:6" x14ac:dyDescent="0.2">
      <c r="A53" s="20">
        <v>18</v>
      </c>
      <c r="B53" s="184" t="s">
        <v>16</v>
      </c>
      <c r="C53" s="185"/>
      <c r="D53" s="15">
        <f>IF(F3="1",SUMIF(Data!A:A,'43'!$A$2,Data!DL:DL),0)</f>
        <v>0</v>
      </c>
      <c r="E53" s="18">
        <f>IF(F3="1",SUMIF(Data!$A:$A,'43'!$A$2,Data!JF:JF),0)</f>
        <v>0</v>
      </c>
      <c r="F53" s="22" t="str">
        <f t="shared" si="3"/>
        <v/>
      </c>
    </row>
    <row r="54" spans="1:6" x14ac:dyDescent="0.2">
      <c r="A54" s="20">
        <v>19</v>
      </c>
      <c r="B54" s="184" t="s">
        <v>17</v>
      </c>
      <c r="C54" s="185"/>
      <c r="D54" s="15">
        <f>IF(F3="1",SUMIF(Data!A:A,'43'!$A$2,Data!DM:DM),0)</f>
        <v>0</v>
      </c>
      <c r="E54" s="18">
        <f>IF(F3="1",SUMIF(Data!$A:$A,'43'!$A$2,Data!JG:JG),0)</f>
        <v>0</v>
      </c>
      <c r="F54" s="22" t="str">
        <f t="shared" si="3"/>
        <v/>
      </c>
    </row>
    <row r="55" spans="1:6" x14ac:dyDescent="0.2">
      <c r="A55" s="20">
        <v>20</v>
      </c>
      <c r="B55" s="184" t="s">
        <v>18</v>
      </c>
      <c r="C55" s="185"/>
      <c r="D55" s="15">
        <f>IF(F3="1",SUMIF(Data!A:A,'43'!$A$2,Data!DN:DN),0)</f>
        <v>0</v>
      </c>
      <c r="E55" s="18">
        <f>IF(F3="1",SUMIF(Data!$A:$A,'43'!$A$2,Data!JH:JH),0)</f>
        <v>0</v>
      </c>
      <c r="F55" s="22" t="str">
        <f t="shared" si="3"/>
        <v/>
      </c>
    </row>
    <row r="56" spans="1:6" ht="14.25" customHeight="1" x14ac:dyDescent="0.2">
      <c r="A56" s="20">
        <v>21</v>
      </c>
      <c r="B56" s="184" t="s">
        <v>466</v>
      </c>
      <c r="C56" s="185"/>
      <c r="D56" s="15">
        <f>IF(F3="1",SUMIF(Data!A:A,'43'!$A$2,Data!DO:DO),0)</f>
        <v>0</v>
      </c>
      <c r="E56" s="18">
        <f>IF(F3="1",SUMIF(Data!$A:$A,'43'!$A$2,Data!JI:JI),0)</f>
        <v>0</v>
      </c>
      <c r="F56" s="22" t="str">
        <f t="shared" si="3"/>
        <v/>
      </c>
    </row>
    <row r="57" spans="1:6" x14ac:dyDescent="0.2">
      <c r="A57" s="20">
        <v>22</v>
      </c>
      <c r="B57" s="184" t="s">
        <v>19</v>
      </c>
      <c r="C57" s="185"/>
      <c r="D57" s="15">
        <f>IF(F3="1",SUMIF(Data!A:A,'43'!$A$2,Data!DP:DP),0)</f>
        <v>0</v>
      </c>
      <c r="E57" s="18">
        <f>IF(F3="1",SUMIF(Data!$A:$A,'43'!$A$2,Data!JJ:JJ),0)</f>
        <v>0</v>
      </c>
      <c r="F57" s="22" t="str">
        <f t="shared" si="3"/>
        <v/>
      </c>
    </row>
    <row r="58" spans="1:6" x14ac:dyDescent="0.2">
      <c r="A58" s="20">
        <v>23</v>
      </c>
      <c r="B58" s="184" t="s">
        <v>20</v>
      </c>
      <c r="C58" s="185"/>
      <c r="D58" s="15">
        <f>IF(F3="1",SUMIF(Data!A:A,'43'!$A$2,Data!DQ:DQ),0)</f>
        <v>0</v>
      </c>
      <c r="E58" s="18">
        <f>IF(F3="1",SUMIF(Data!$A:$A,'43'!$A$2,Data!JK:JK),0)</f>
        <v>0</v>
      </c>
      <c r="F58" s="22" t="str">
        <f t="shared" si="3"/>
        <v/>
      </c>
    </row>
    <row r="59" spans="1:6" x14ac:dyDescent="0.2">
      <c r="A59" s="20">
        <v>24</v>
      </c>
      <c r="B59" s="184" t="s">
        <v>21</v>
      </c>
      <c r="C59" s="185"/>
      <c r="D59" s="15">
        <f>IF(F3="1",SUMIF(Data!A:A,'43'!$A$2,Data!DR:DR),0)</f>
        <v>0</v>
      </c>
      <c r="E59" s="18">
        <f>IF(F3="1",SUMIF(Data!$A:$A,'43'!$A$2,Data!JL:JL),0)</f>
        <v>0</v>
      </c>
      <c r="F59" s="22" t="str">
        <f t="shared" si="3"/>
        <v/>
      </c>
    </row>
    <row r="60" spans="1:6" x14ac:dyDescent="0.2">
      <c r="A60" s="20">
        <v>25</v>
      </c>
      <c r="B60" s="184" t="s">
        <v>22</v>
      </c>
      <c r="C60" s="185"/>
      <c r="D60" s="15">
        <f>IF(F3="1",SUMIF(Data!A:A,'43'!$A$2,Data!DS:DS),0)</f>
        <v>0</v>
      </c>
      <c r="E60" s="18">
        <f>IF(F3="1",SUMIF(Data!$A:$A,'43'!$A$2,Data!JM:JM),0)</f>
        <v>0</v>
      </c>
      <c r="F60" s="22" t="str">
        <f t="shared" si="3"/>
        <v/>
      </c>
    </row>
    <row r="61" spans="1:6" x14ac:dyDescent="0.2">
      <c r="A61" s="20">
        <v>26</v>
      </c>
      <c r="B61" s="184" t="s">
        <v>23</v>
      </c>
      <c r="C61" s="185"/>
      <c r="D61" s="15">
        <f>IF(F3="1",SUMIF(Data!A:A,'43'!$A$2,Data!DT:DT),0)</f>
        <v>0</v>
      </c>
      <c r="E61" s="18">
        <f>IF(F3="1",SUMIF(Data!$A:$A,'43'!$A$2,Data!JN:JN),0)</f>
        <v>0</v>
      </c>
      <c r="F61" s="22" t="str">
        <f t="shared" si="3"/>
        <v/>
      </c>
    </row>
    <row r="62" spans="1:6" x14ac:dyDescent="0.2">
      <c r="A62" s="20">
        <v>28</v>
      </c>
      <c r="B62" s="184" t="s">
        <v>24</v>
      </c>
      <c r="C62" s="185"/>
      <c r="D62" s="15">
        <f>IF(F3="1",SUMIF(Data!A:A,'43'!$A$2,Data!DV:DV),0)</f>
        <v>0</v>
      </c>
      <c r="E62" s="18">
        <f>IF(F3="1",SUMIF(Data!$A:$A,'43'!$A$2,Data!JP:JP),0)</f>
        <v>0</v>
      </c>
      <c r="F62" s="22" t="str">
        <f t="shared" si="3"/>
        <v/>
      </c>
    </row>
    <row r="63" spans="1:6" ht="15.75" customHeight="1" thickBot="1" x14ac:dyDescent="0.25">
      <c r="A63" s="23">
        <v>29</v>
      </c>
      <c r="B63" s="186" t="s">
        <v>25</v>
      </c>
      <c r="C63" s="187"/>
      <c r="D63" s="24">
        <f>IF(F3="1",SUMIF(Data!A:A,'43'!$A$2,Data!DW:DW),0)</f>
        <v>0</v>
      </c>
      <c r="E63" s="25">
        <f>IF(F3="1",SUMIF(Data!$A:$A,'43'!$A$2,Data!JQ:JQ),0)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IF(F3="1",SUMIF(Data!A:A,'43'!$A$2,Data!DY:DY),0)</f>
        <v>0</v>
      </c>
      <c r="F67" s="21" t="str">
        <f>IFERROR(E67/D67,"")</f>
        <v/>
      </c>
    </row>
    <row r="68" spans="1:6" x14ac:dyDescent="0.2">
      <c r="A68" s="20">
        <v>2</v>
      </c>
      <c r="B68" s="184" t="s">
        <v>1</v>
      </c>
      <c r="C68" s="185"/>
      <c r="D68" s="15">
        <f t="shared" ref="D68:D94" si="4">D37</f>
        <v>0</v>
      </c>
      <c r="E68" s="18">
        <f>IF(F3="1",SUMIF(Data!A:A,'43'!$A$2,Data!DZ:DZ),0)</f>
        <v>0</v>
      </c>
      <c r="F68" s="22" t="str">
        <f t="shared" ref="F68:F95" si="5">IFERROR(E68/D68,"")</f>
        <v/>
      </c>
    </row>
    <row r="69" spans="1:6" ht="14.25" customHeight="1" x14ac:dyDescent="0.2">
      <c r="A69" s="20">
        <v>3</v>
      </c>
      <c r="B69" s="184" t="s">
        <v>2</v>
      </c>
      <c r="C69" s="185"/>
      <c r="D69" s="15">
        <f t="shared" si="4"/>
        <v>0</v>
      </c>
      <c r="E69" s="18">
        <f>IF(F3="1",SUMIF(Data!A:A,'43'!$A$2,Data!EA:EA),0)</f>
        <v>0</v>
      </c>
      <c r="F69" s="22" t="str">
        <f t="shared" si="5"/>
        <v/>
      </c>
    </row>
    <row r="70" spans="1:6" ht="14.25" customHeight="1" x14ac:dyDescent="0.2">
      <c r="A70" s="20">
        <v>4</v>
      </c>
      <c r="B70" s="184" t="s">
        <v>3</v>
      </c>
      <c r="C70" s="185"/>
      <c r="D70" s="15">
        <f t="shared" si="4"/>
        <v>0</v>
      </c>
      <c r="E70" s="18">
        <f>IF(F3="1",SUMIF(Data!A:A,'43'!$A$2,Data!EB:EB),0)</f>
        <v>0</v>
      </c>
      <c r="F70" s="22" t="str">
        <f t="shared" si="5"/>
        <v/>
      </c>
    </row>
    <row r="71" spans="1:6" x14ac:dyDescent="0.2">
      <c r="A71" s="20">
        <v>5</v>
      </c>
      <c r="B71" s="184" t="s">
        <v>4</v>
      </c>
      <c r="C71" s="185"/>
      <c r="D71" s="15">
        <f t="shared" si="4"/>
        <v>0</v>
      </c>
      <c r="E71" s="18">
        <f>IF(F3="1",SUMIF(Data!A:A,'43'!$A$2,Data!EC:EC),0)</f>
        <v>0</v>
      </c>
      <c r="F71" s="22" t="str">
        <f t="shared" si="5"/>
        <v/>
      </c>
    </row>
    <row r="72" spans="1:6" x14ac:dyDescent="0.2">
      <c r="A72" s="20">
        <v>6</v>
      </c>
      <c r="B72" s="184" t="s">
        <v>5</v>
      </c>
      <c r="C72" s="185"/>
      <c r="D72" s="15">
        <f t="shared" si="4"/>
        <v>0</v>
      </c>
      <c r="E72" s="18">
        <f>IF(F3="1",SUMIF(Data!A:A,'43'!$A$2,Data!ED:ED),0)</f>
        <v>0</v>
      </c>
      <c r="F72" s="22" t="str">
        <f t="shared" si="5"/>
        <v/>
      </c>
    </row>
    <row r="73" spans="1:6" x14ac:dyDescent="0.2">
      <c r="A73" s="20">
        <v>7</v>
      </c>
      <c r="B73" s="184" t="s">
        <v>6</v>
      </c>
      <c r="C73" s="185"/>
      <c r="D73" s="15">
        <f t="shared" si="4"/>
        <v>0</v>
      </c>
      <c r="E73" s="18">
        <f>IF(F3="1",SUMIF(Data!A:A,'43'!$A$2,Data!EE:EE),0)</f>
        <v>0</v>
      </c>
      <c r="F73" s="22" t="str">
        <f t="shared" si="5"/>
        <v/>
      </c>
    </row>
    <row r="74" spans="1:6" x14ac:dyDescent="0.2">
      <c r="A74" s="20">
        <v>8</v>
      </c>
      <c r="B74" s="184" t="s">
        <v>7</v>
      </c>
      <c r="C74" s="185"/>
      <c r="D74" s="15">
        <f t="shared" si="4"/>
        <v>0</v>
      </c>
      <c r="E74" s="18">
        <f>IF(F3="1",SUMIF(Data!A:A,'43'!$A$2,Data!EF:EF),0)</f>
        <v>0</v>
      </c>
      <c r="F74" s="22" t="str">
        <f t="shared" si="5"/>
        <v/>
      </c>
    </row>
    <row r="75" spans="1:6" x14ac:dyDescent="0.2">
      <c r="A75" s="20">
        <v>9</v>
      </c>
      <c r="B75" s="184" t="s">
        <v>8</v>
      </c>
      <c r="C75" s="185"/>
      <c r="D75" s="15">
        <f t="shared" si="4"/>
        <v>0</v>
      </c>
      <c r="E75" s="18">
        <f>IF(F3="1",SUMIF(Data!A:A,'43'!$A$2,Data!EG:EG),0)</f>
        <v>0</v>
      </c>
      <c r="F75" s="22" t="str">
        <f t="shared" si="5"/>
        <v/>
      </c>
    </row>
    <row r="76" spans="1:6" x14ac:dyDescent="0.2">
      <c r="A76" s="20">
        <v>10</v>
      </c>
      <c r="B76" s="184" t="s">
        <v>9</v>
      </c>
      <c r="C76" s="185"/>
      <c r="D76" s="15">
        <f t="shared" si="4"/>
        <v>0</v>
      </c>
      <c r="E76" s="18">
        <f>IF(F3="1",SUMIF(Data!A:A,'43'!$A$2,Data!EH:EH),0)</f>
        <v>0</v>
      </c>
      <c r="F76" s="22" t="str">
        <f t="shared" si="5"/>
        <v/>
      </c>
    </row>
    <row r="77" spans="1:6" x14ac:dyDescent="0.2">
      <c r="A77" s="20">
        <v>11</v>
      </c>
      <c r="B77" s="184" t="s">
        <v>10</v>
      </c>
      <c r="C77" s="185"/>
      <c r="D77" s="15">
        <f t="shared" si="4"/>
        <v>0</v>
      </c>
      <c r="E77" s="18">
        <f>IF(F3="1",SUMIF(Data!A:A,'43'!$A$2,Data!EI:EI),0)</f>
        <v>0</v>
      </c>
      <c r="F77" s="22" t="str">
        <f t="shared" si="5"/>
        <v/>
      </c>
    </row>
    <row r="78" spans="1:6" ht="14.25" customHeight="1" x14ac:dyDescent="0.2">
      <c r="A78" s="20">
        <v>12</v>
      </c>
      <c r="B78" s="184" t="s">
        <v>11</v>
      </c>
      <c r="C78" s="185"/>
      <c r="D78" s="15">
        <f t="shared" si="4"/>
        <v>0</v>
      </c>
      <c r="E78" s="18">
        <f>IF(F3="1",SUMIF(Data!A:A,'43'!$A$2,Data!EJ:EJ),0)</f>
        <v>0</v>
      </c>
      <c r="F78" s="22" t="str">
        <f t="shared" si="5"/>
        <v/>
      </c>
    </row>
    <row r="79" spans="1:6" x14ac:dyDescent="0.2">
      <c r="A79" s="20">
        <v>13</v>
      </c>
      <c r="B79" s="184" t="s">
        <v>12</v>
      </c>
      <c r="C79" s="185"/>
      <c r="D79" s="15">
        <f t="shared" si="4"/>
        <v>0</v>
      </c>
      <c r="E79" s="18">
        <f>IF(F3="1",SUMIF(Data!A:A,'43'!$A$2,Data!EK:EK),0)</f>
        <v>0</v>
      </c>
      <c r="F79" s="22" t="str">
        <f t="shared" si="5"/>
        <v/>
      </c>
    </row>
    <row r="80" spans="1:6" ht="14.25" customHeight="1" x14ac:dyDescent="0.2">
      <c r="A80" s="20">
        <v>14</v>
      </c>
      <c r="B80" s="184" t="s">
        <v>469</v>
      </c>
      <c r="C80" s="185"/>
      <c r="D80" s="15">
        <f t="shared" si="4"/>
        <v>0</v>
      </c>
      <c r="E80" s="18">
        <f>IF(F3="1",SUMIF(Data!A:A,'43'!$A$2,Data!EL:EL),0)</f>
        <v>0</v>
      </c>
      <c r="F80" s="22" t="str">
        <f t="shared" si="5"/>
        <v/>
      </c>
    </row>
    <row r="81" spans="1:6" x14ac:dyDescent="0.2">
      <c r="A81" s="20">
        <v>15</v>
      </c>
      <c r="B81" s="184" t="s">
        <v>13</v>
      </c>
      <c r="C81" s="185"/>
      <c r="D81" s="15">
        <f t="shared" si="4"/>
        <v>0</v>
      </c>
      <c r="E81" s="18">
        <f>IF(F3="1",SUMIF(Data!A:A,'43'!$A$2,Data!EM:EM),0)</f>
        <v>0</v>
      </c>
      <c r="F81" s="22" t="str">
        <f t="shared" si="5"/>
        <v/>
      </c>
    </row>
    <row r="82" spans="1:6" x14ac:dyDescent="0.2">
      <c r="A82" s="20">
        <v>16</v>
      </c>
      <c r="B82" s="184" t="s">
        <v>14</v>
      </c>
      <c r="C82" s="185"/>
      <c r="D82" s="15">
        <f t="shared" si="4"/>
        <v>0</v>
      </c>
      <c r="E82" s="18">
        <f>IF(F3="1",SUMIF(Data!A:A,'43'!$A$2,Data!EN:EN),0)</f>
        <v>0</v>
      </c>
      <c r="F82" s="22" t="str">
        <f t="shared" si="5"/>
        <v/>
      </c>
    </row>
    <row r="83" spans="1:6" x14ac:dyDescent="0.2">
      <c r="A83" s="20">
        <v>17</v>
      </c>
      <c r="B83" s="184" t="s">
        <v>15</v>
      </c>
      <c r="C83" s="185"/>
      <c r="D83" s="15">
        <f t="shared" si="4"/>
        <v>0</v>
      </c>
      <c r="E83" s="18">
        <f>IF(F3="1",SUMIF(Data!A:A,'43'!$A$2,Data!EO:EO),0)</f>
        <v>0</v>
      </c>
      <c r="F83" s="22" t="str">
        <f t="shared" si="5"/>
        <v/>
      </c>
    </row>
    <row r="84" spans="1:6" x14ac:dyDescent="0.2">
      <c r="A84" s="20">
        <v>18</v>
      </c>
      <c r="B84" s="184" t="s">
        <v>16</v>
      </c>
      <c r="C84" s="185"/>
      <c r="D84" s="15">
        <f t="shared" si="4"/>
        <v>0</v>
      </c>
      <c r="E84" s="18">
        <f>IF(F3="1",SUMIF(Data!A:A,'43'!$A$2,Data!EP:EP),0)</f>
        <v>0</v>
      </c>
      <c r="F84" s="22" t="str">
        <f t="shared" si="5"/>
        <v/>
      </c>
    </row>
    <row r="85" spans="1:6" x14ac:dyDescent="0.2">
      <c r="A85" s="20">
        <v>19</v>
      </c>
      <c r="B85" s="184" t="s">
        <v>17</v>
      </c>
      <c r="C85" s="185"/>
      <c r="D85" s="15">
        <f t="shared" si="4"/>
        <v>0</v>
      </c>
      <c r="E85" s="18">
        <f>IF(F3="1",SUMIF(Data!A:A,'43'!$A$2,Data!EQ:EQ),0)</f>
        <v>0</v>
      </c>
      <c r="F85" s="22" t="str">
        <f t="shared" si="5"/>
        <v/>
      </c>
    </row>
    <row r="86" spans="1:6" x14ac:dyDescent="0.2">
      <c r="A86" s="20">
        <v>20</v>
      </c>
      <c r="B86" s="184" t="s">
        <v>18</v>
      </c>
      <c r="C86" s="185"/>
      <c r="D86" s="15">
        <f t="shared" si="4"/>
        <v>0</v>
      </c>
      <c r="E86" s="18">
        <f>IF(F3="1",SUMIF(Data!A:A,'43'!$A$2,Data!ER:ER),0)</f>
        <v>0</v>
      </c>
      <c r="F86" s="22" t="str">
        <f t="shared" si="5"/>
        <v/>
      </c>
    </row>
    <row r="87" spans="1:6" ht="14.25" customHeight="1" x14ac:dyDescent="0.2">
      <c r="A87" s="20">
        <v>21</v>
      </c>
      <c r="B87" s="184" t="s">
        <v>466</v>
      </c>
      <c r="C87" s="185"/>
      <c r="D87" s="15">
        <f t="shared" si="4"/>
        <v>0</v>
      </c>
      <c r="E87" s="18">
        <f>IF(F3="1",SUMIF(Data!A:A,'43'!$A$2,Data!ES:ES),0)</f>
        <v>0</v>
      </c>
      <c r="F87" s="22" t="str">
        <f t="shared" si="5"/>
        <v/>
      </c>
    </row>
    <row r="88" spans="1:6" x14ac:dyDescent="0.2">
      <c r="A88" s="20">
        <v>22</v>
      </c>
      <c r="B88" s="184" t="s">
        <v>19</v>
      </c>
      <c r="C88" s="185"/>
      <c r="D88" s="15">
        <f t="shared" si="4"/>
        <v>0</v>
      </c>
      <c r="E88" s="18">
        <f>IF(F3="1",SUMIF(Data!A:A,'43'!$A$2,Data!ET:ET),0)</f>
        <v>0</v>
      </c>
      <c r="F88" s="22" t="str">
        <f t="shared" si="5"/>
        <v/>
      </c>
    </row>
    <row r="89" spans="1:6" x14ac:dyDescent="0.2">
      <c r="A89" s="20">
        <v>23</v>
      </c>
      <c r="B89" s="184" t="s">
        <v>20</v>
      </c>
      <c r="C89" s="185"/>
      <c r="D89" s="15">
        <f t="shared" si="4"/>
        <v>0</v>
      </c>
      <c r="E89" s="18">
        <f>IF(F3="1",SUMIF(Data!A:A,'43'!$A$2,Data!EU:EU),0)</f>
        <v>0</v>
      </c>
      <c r="F89" s="22" t="str">
        <f t="shared" si="5"/>
        <v/>
      </c>
    </row>
    <row r="90" spans="1:6" x14ac:dyDescent="0.2">
      <c r="A90" s="20">
        <v>24</v>
      </c>
      <c r="B90" s="184" t="s">
        <v>21</v>
      </c>
      <c r="C90" s="185"/>
      <c r="D90" s="15">
        <f t="shared" si="4"/>
        <v>0</v>
      </c>
      <c r="E90" s="18">
        <f>IF(F3="1",SUMIF(Data!A:A,'43'!$A$2,Data!EV:EV),0)</f>
        <v>0</v>
      </c>
      <c r="F90" s="22" t="str">
        <f t="shared" si="5"/>
        <v/>
      </c>
    </row>
    <row r="91" spans="1:6" x14ac:dyDescent="0.2">
      <c r="A91" s="20">
        <v>25</v>
      </c>
      <c r="B91" s="184" t="s">
        <v>22</v>
      </c>
      <c r="C91" s="185"/>
      <c r="D91" s="15">
        <f t="shared" si="4"/>
        <v>0</v>
      </c>
      <c r="E91" s="18">
        <f>IF(F3="1",SUMIF(Data!A:A,'43'!$A$2,Data!EW:EW),0)</f>
        <v>0</v>
      </c>
      <c r="F91" s="22" t="str">
        <f t="shared" si="5"/>
        <v/>
      </c>
    </row>
    <row r="92" spans="1:6" x14ac:dyDescent="0.2">
      <c r="A92" s="20">
        <v>26</v>
      </c>
      <c r="B92" s="184" t="s">
        <v>23</v>
      </c>
      <c r="C92" s="185"/>
      <c r="D92" s="15">
        <f t="shared" si="4"/>
        <v>0</v>
      </c>
      <c r="E92" s="18">
        <f>IF(F3="1",SUMIF(Data!A:A,'43'!$A$2,Data!EX:EX),0)</f>
        <v>0</v>
      </c>
      <c r="F92" s="22" t="str">
        <f t="shared" si="5"/>
        <v/>
      </c>
    </row>
    <row r="93" spans="1:6" x14ac:dyDescent="0.2">
      <c r="A93" s="20">
        <v>28</v>
      </c>
      <c r="B93" s="184" t="s">
        <v>24</v>
      </c>
      <c r="C93" s="185"/>
      <c r="D93" s="15">
        <f t="shared" si="4"/>
        <v>0</v>
      </c>
      <c r="E93" s="18">
        <f>IF(F3="1",SUMIF(Data!A:A,'43'!$A$2,Data!EZ:EZ),0)</f>
        <v>0</v>
      </c>
      <c r="F93" s="22" t="str">
        <f t="shared" si="5"/>
        <v/>
      </c>
    </row>
    <row r="94" spans="1:6" ht="15.75" customHeight="1" thickBot="1" x14ac:dyDescent="0.25">
      <c r="A94" s="23">
        <v>29</v>
      </c>
      <c r="B94" s="186" t="s">
        <v>25</v>
      </c>
      <c r="C94" s="187"/>
      <c r="D94" s="24">
        <f t="shared" si="4"/>
        <v>0</v>
      </c>
      <c r="E94" s="25">
        <f>IF(F3="1",SUMIF(Data!A:A,'43'!$A$2,Data!FA:FA),0)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IF(F3="1",SUMIF(Data!A:A,'43'!$A$2,Data!AH:AH),0)</f>
        <v>0</v>
      </c>
      <c r="F98" s="21">
        <f t="shared" ref="F98:F105" si="6">IFERROR(E98/$D$95,0)</f>
        <v>0</v>
      </c>
    </row>
    <row r="99" spans="2:6" x14ac:dyDescent="0.2">
      <c r="B99" s="190" t="s">
        <v>31</v>
      </c>
      <c r="C99" s="191"/>
      <c r="D99" s="37"/>
      <c r="E99" s="18">
        <f>IF(F3="1",SUMIF(Data!A:A,'43'!$A$2,Data!AI:AI),0)</f>
        <v>0</v>
      </c>
      <c r="F99" s="22">
        <f t="shared" si="6"/>
        <v>0</v>
      </c>
    </row>
    <row r="100" spans="2:6" x14ac:dyDescent="0.2">
      <c r="B100" s="190" t="s">
        <v>32</v>
      </c>
      <c r="C100" s="191"/>
      <c r="D100" s="37"/>
      <c r="E100" s="18">
        <f>IF(F3="1",SUMIF(Data!A:A,'43'!$A$2,Data!AJ:AJ),0)</f>
        <v>0</v>
      </c>
      <c r="F100" s="22">
        <f t="shared" si="6"/>
        <v>0</v>
      </c>
    </row>
    <row r="101" spans="2:6" x14ac:dyDescent="0.2">
      <c r="B101" s="190" t="s">
        <v>28</v>
      </c>
      <c r="C101" s="191"/>
      <c r="D101" s="37"/>
      <c r="E101" s="18">
        <f>IF(F3="1",SUMIF(Data!A:A,'43'!$A$2,Data!AK:AK),0)</f>
        <v>0</v>
      </c>
      <c r="F101" s="22">
        <f t="shared" si="6"/>
        <v>0</v>
      </c>
    </row>
    <row r="102" spans="2:6" x14ac:dyDescent="0.2">
      <c r="B102" s="190" t="s">
        <v>33</v>
      </c>
      <c r="C102" s="191"/>
      <c r="D102" s="37"/>
      <c r="E102" s="18">
        <f>IF(F3="1",SUMIF(Data!A:A,'43'!$A$2,Data!AL:AL),0)</f>
        <v>0</v>
      </c>
      <c r="F102" s="22">
        <f t="shared" si="6"/>
        <v>0</v>
      </c>
    </row>
    <row r="103" spans="2:6" x14ac:dyDescent="0.2">
      <c r="B103" s="192" t="s">
        <v>34</v>
      </c>
      <c r="C103" s="193"/>
      <c r="D103" s="37"/>
      <c r="E103" s="18">
        <f>IF(F3="1",SUMIF(Data!A:A,'43'!$A$2,Data!AM:AM),0)</f>
        <v>0</v>
      </c>
      <c r="F103" s="22">
        <f t="shared" si="6"/>
        <v>0</v>
      </c>
    </row>
    <row r="104" spans="2:6" ht="15.75" customHeight="1" thickBot="1" x14ac:dyDescent="0.25">
      <c r="B104" s="182" t="s">
        <v>29</v>
      </c>
      <c r="C104" s="183"/>
      <c r="D104" s="38"/>
      <c r="E104" s="25">
        <f>IF(F3="1",SUMIF(Data!A:A,'43'!$A$2,Data!Q:Q),0)</f>
        <v>0</v>
      </c>
      <c r="F104" s="26">
        <f t="shared" si="6"/>
        <v>0</v>
      </c>
    </row>
    <row r="105" spans="2:6" x14ac:dyDescent="0.2">
      <c r="B105" s="31" t="s">
        <v>35</v>
      </c>
      <c r="C105" s="31"/>
      <c r="D105" s="35">
        <f>D95</f>
        <v>0</v>
      </c>
      <c r="E105" s="32">
        <f>SUM(E98:E104)</f>
        <v>0</v>
      </c>
      <c r="F105" s="33">
        <f t="shared" si="6"/>
        <v>0</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IF(F3="1",SUMIF(Data!A:A,'43'!$A$2,Data!AM:AM),0)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370</v>
      </c>
      <c r="B2" s="60" t="str">
        <f>VLOOKUP(A2,Data!A:G,7,0)</f>
        <v>Trinity Valley Community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73120</v>
      </c>
      <c r="E5" s="16">
        <f>E36+E67+IFERROR($E$105/$D$105*D5,0)</f>
        <v>472032.5091719568</v>
      </c>
      <c r="F5" s="21">
        <f>IFERROR(E5/D5,"")</f>
        <v>6.4555868322204155</v>
      </c>
    </row>
    <row r="6" spans="1:6" x14ac:dyDescent="0.2">
      <c r="A6" s="20">
        <v>2</v>
      </c>
      <c r="B6" s="184" t="s">
        <v>1</v>
      </c>
      <c r="C6" s="185"/>
      <c r="D6" s="15">
        <f t="shared" ref="D6:D32" si="0">D37</f>
        <v>99808</v>
      </c>
      <c r="E6" s="18">
        <f t="shared" ref="E6:E32" si="1">E37+E68+IFERROR($E$105/$D$105*D6,0)</f>
        <v>488915.55890911736</v>
      </c>
      <c r="F6" s="22">
        <f t="shared" ref="F6:F33" si="2">IFERROR(E6/D6,"")</f>
        <v>4.8985608258768574</v>
      </c>
    </row>
    <row r="7" spans="1:6" ht="14.25" customHeight="1" x14ac:dyDescent="0.2">
      <c r="A7" s="20">
        <v>3</v>
      </c>
      <c r="B7" s="184" t="s">
        <v>2</v>
      </c>
      <c r="C7" s="185"/>
      <c r="D7" s="15">
        <f t="shared" si="0"/>
        <v>308312</v>
      </c>
      <c r="E7" s="18">
        <f t="shared" si="1"/>
        <v>1786432.2655337027</v>
      </c>
      <c r="F7" s="22">
        <f t="shared" si="2"/>
        <v>5.7942352731444204</v>
      </c>
    </row>
    <row r="8" spans="1:6" ht="14.25" customHeight="1" x14ac:dyDescent="0.2">
      <c r="A8" s="20">
        <v>4</v>
      </c>
      <c r="B8" s="184" t="s">
        <v>3</v>
      </c>
      <c r="C8" s="185"/>
      <c r="D8" s="15">
        <f t="shared" si="0"/>
        <v>190286</v>
      </c>
      <c r="E8" s="18">
        <f t="shared" si="1"/>
        <v>1538683.7279033777</v>
      </c>
      <c r="F8" s="22">
        <f t="shared" si="2"/>
        <v>8.0861636058531783</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36814</v>
      </c>
      <c r="E10" s="18">
        <f t="shared" si="1"/>
        <v>163751.66970263154</v>
      </c>
      <c r="F10" s="22">
        <f t="shared" si="2"/>
        <v>4.4480814283324692</v>
      </c>
    </row>
    <row r="11" spans="1:6" x14ac:dyDescent="0.2">
      <c r="A11" s="20">
        <v>7</v>
      </c>
      <c r="B11" s="184" t="s">
        <v>6</v>
      </c>
      <c r="C11" s="185"/>
      <c r="D11" s="15">
        <f t="shared" si="0"/>
        <v>269757</v>
      </c>
      <c r="E11" s="18">
        <f t="shared" si="1"/>
        <v>1210665.0851299171</v>
      </c>
      <c r="F11" s="22">
        <f t="shared" si="2"/>
        <v>4.4879839452911963</v>
      </c>
    </row>
    <row r="12" spans="1:6" x14ac:dyDescent="0.2">
      <c r="A12" s="20">
        <v>8</v>
      </c>
      <c r="B12" s="184" t="s">
        <v>7</v>
      </c>
      <c r="C12" s="185"/>
      <c r="D12" s="15">
        <f t="shared" si="0"/>
        <v>55500</v>
      </c>
      <c r="E12" s="18">
        <f t="shared" si="1"/>
        <v>339929.6731269639</v>
      </c>
      <c r="F12" s="22">
        <f t="shared" si="2"/>
        <v>6.1248589752606106</v>
      </c>
    </row>
    <row r="13" spans="1:6" x14ac:dyDescent="0.2">
      <c r="A13" s="20">
        <v>9</v>
      </c>
      <c r="B13" s="184" t="s">
        <v>8</v>
      </c>
      <c r="C13" s="185"/>
      <c r="D13" s="15">
        <f t="shared" si="0"/>
        <v>222064</v>
      </c>
      <c r="E13" s="18">
        <f t="shared" si="1"/>
        <v>1216637.7813561461</v>
      </c>
      <c r="F13" s="22">
        <f t="shared" si="2"/>
        <v>5.4787709009841583</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148816</v>
      </c>
      <c r="E15" s="18">
        <f t="shared" si="1"/>
        <v>795201.09448760841</v>
      </c>
      <c r="F15" s="22">
        <f t="shared" si="2"/>
        <v>5.3435188050183342</v>
      </c>
    </row>
    <row r="16" spans="1:6" ht="14.25" customHeight="1" x14ac:dyDescent="0.2">
      <c r="A16" s="20">
        <v>12</v>
      </c>
      <c r="B16" s="184" t="s">
        <v>11</v>
      </c>
      <c r="C16" s="185"/>
      <c r="D16" s="15">
        <f t="shared" si="0"/>
        <v>363748</v>
      </c>
      <c r="E16" s="18">
        <f t="shared" si="1"/>
        <v>2201407.8498123763</v>
      </c>
      <c r="F16" s="22">
        <f t="shared" si="2"/>
        <v>6.0520136188030627</v>
      </c>
    </row>
    <row r="17" spans="1:6" x14ac:dyDescent="0.2">
      <c r="A17" s="20">
        <v>13</v>
      </c>
      <c r="B17" s="184" t="s">
        <v>12</v>
      </c>
      <c r="C17" s="185"/>
      <c r="D17" s="15">
        <f t="shared" si="0"/>
        <v>43216</v>
      </c>
      <c r="E17" s="18">
        <f t="shared" si="1"/>
        <v>227440.49480819592</v>
      </c>
      <c r="F17" s="22">
        <f t="shared" si="2"/>
        <v>5.2628770549841706</v>
      </c>
    </row>
    <row r="18" spans="1:6" ht="14.25" customHeight="1" x14ac:dyDescent="0.2">
      <c r="A18" s="20">
        <v>14</v>
      </c>
      <c r="B18" s="184" t="s">
        <v>469</v>
      </c>
      <c r="C18" s="185"/>
      <c r="D18" s="15">
        <f t="shared" si="0"/>
        <v>188034</v>
      </c>
      <c r="E18" s="18">
        <f t="shared" si="1"/>
        <v>1459140.9765541537</v>
      </c>
      <c r="F18" s="22">
        <f t="shared" si="2"/>
        <v>7.759984771659135</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132892</v>
      </c>
      <c r="E20" s="18">
        <f t="shared" si="1"/>
        <v>720742.61292231514</v>
      </c>
      <c r="F20" s="22">
        <f t="shared" si="2"/>
        <v>5.4235214529265505</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80576</v>
      </c>
      <c r="E22" s="18">
        <f t="shared" si="1"/>
        <v>505080.85999780626</v>
      </c>
      <c r="F22" s="22">
        <f t="shared" si="2"/>
        <v>6.2683784253103436</v>
      </c>
    </row>
    <row r="23" spans="1:6" x14ac:dyDescent="0.2">
      <c r="A23" s="20">
        <v>19</v>
      </c>
      <c r="B23" s="184" t="s">
        <v>17</v>
      </c>
      <c r="C23" s="185"/>
      <c r="D23" s="15">
        <f t="shared" si="0"/>
        <v>260912</v>
      </c>
      <c r="E23" s="18">
        <f t="shared" si="1"/>
        <v>1554745.7122685118</v>
      </c>
      <c r="F23" s="22">
        <f t="shared" si="2"/>
        <v>5.9588892510444582</v>
      </c>
    </row>
    <row r="24" spans="1:6" x14ac:dyDescent="0.2">
      <c r="A24" s="20">
        <v>20</v>
      </c>
      <c r="B24" s="184" t="s">
        <v>18</v>
      </c>
      <c r="C24" s="185"/>
      <c r="D24" s="15">
        <f t="shared" si="0"/>
        <v>66352</v>
      </c>
      <c r="E24" s="18">
        <f t="shared" si="1"/>
        <v>419575.6134652308</v>
      </c>
      <c r="F24" s="22">
        <f t="shared" si="2"/>
        <v>6.3234810324516335</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13056</v>
      </c>
      <c r="E26" s="18">
        <f t="shared" si="1"/>
        <v>64996.125051272815</v>
      </c>
      <c r="F26" s="22">
        <f t="shared" si="2"/>
        <v>4.9782571270889102</v>
      </c>
    </row>
    <row r="27" spans="1:6" x14ac:dyDescent="0.2">
      <c r="A27" s="20">
        <v>23</v>
      </c>
      <c r="B27" s="184" t="s">
        <v>20</v>
      </c>
      <c r="C27" s="185"/>
      <c r="D27" s="15">
        <f t="shared" si="0"/>
        <v>56136</v>
      </c>
      <c r="E27" s="18">
        <f t="shared" si="1"/>
        <v>481982.68105685129</v>
      </c>
      <c r="F27" s="22">
        <f t="shared" si="2"/>
        <v>8.5859819199239578</v>
      </c>
    </row>
    <row r="28" spans="1:6" x14ac:dyDescent="0.2">
      <c r="A28" s="20">
        <v>24</v>
      </c>
      <c r="B28" s="184" t="s">
        <v>21</v>
      </c>
      <c r="C28" s="185"/>
      <c r="D28" s="15">
        <f t="shared" si="0"/>
        <v>47522</v>
      </c>
      <c r="E28" s="18">
        <f t="shared" si="1"/>
        <v>270142.91013224469</v>
      </c>
      <c r="F28" s="22">
        <f t="shared" si="2"/>
        <v>5.6845862996558374</v>
      </c>
    </row>
    <row r="29" spans="1:6" x14ac:dyDescent="0.2">
      <c r="A29" s="20">
        <v>25</v>
      </c>
      <c r="B29" s="184" t="s">
        <v>22</v>
      </c>
      <c r="C29" s="185"/>
      <c r="D29" s="15">
        <f t="shared" si="0"/>
        <v>449808</v>
      </c>
      <c r="E29" s="18">
        <f t="shared" si="1"/>
        <v>2469990.947998079</v>
      </c>
      <c r="F29" s="22">
        <f t="shared" si="2"/>
        <v>5.4912116903169332</v>
      </c>
    </row>
    <row r="30" spans="1:6" x14ac:dyDescent="0.2">
      <c r="A30" s="20">
        <v>26</v>
      </c>
      <c r="B30" s="184" t="s">
        <v>23</v>
      </c>
      <c r="C30" s="185"/>
      <c r="D30" s="15">
        <f t="shared" si="0"/>
        <v>147920</v>
      </c>
      <c r="E30" s="18">
        <f t="shared" si="1"/>
        <v>1085349.8506115405</v>
      </c>
      <c r="F30" s="22">
        <f t="shared" si="2"/>
        <v>7.3374111047291812</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3254649</v>
      </c>
      <c r="E33" s="32">
        <f>SUM(E5:E32)</f>
        <v>19472846.000000004</v>
      </c>
      <c r="F33" s="33">
        <f t="shared" si="2"/>
        <v>5.9830863481745666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IF(F3="1",SUMIF(Data!A:A,'44'!$A$2,Data!CU:CU),0)</f>
        <v>73120</v>
      </c>
      <c r="E36" s="16">
        <f>IF(F3="1",SUMIF(Data!$A:$A,'44'!$A$2,Data!IO:IO),0)</f>
        <v>62639</v>
      </c>
      <c r="F36" s="21">
        <f t="shared" ref="F36:F64" si="3">IFERROR(E36/D36,"")</f>
        <v>0.85666028446389497</v>
      </c>
    </row>
    <row r="37" spans="1:6" x14ac:dyDescent="0.2">
      <c r="A37" s="20">
        <v>2</v>
      </c>
      <c r="B37" s="184" t="s">
        <v>1</v>
      </c>
      <c r="C37" s="185"/>
      <c r="D37" s="15">
        <f>IF(F3="1",SUMIF(Data!A:A,'44'!$A$2,Data!CV:CV),0)</f>
        <v>99808</v>
      </c>
      <c r="E37" s="18">
        <f>IF(F3="1",SUMIF(Data!$A:$A,'44'!$A$2,Data!IP:IP),0)</f>
        <v>69498</v>
      </c>
      <c r="F37" s="22">
        <f t="shared" si="3"/>
        <v>0.6963169285027252</v>
      </c>
    </row>
    <row r="38" spans="1:6" ht="14.25" customHeight="1" x14ac:dyDescent="0.2">
      <c r="A38" s="20">
        <v>3</v>
      </c>
      <c r="B38" s="184" t="s">
        <v>2</v>
      </c>
      <c r="C38" s="185"/>
      <c r="D38" s="15">
        <f>IF(F3="1",SUMIF(Data!A:A,'44'!$A$2,Data!CW:CW),0)</f>
        <v>308312</v>
      </c>
      <c r="E38" s="18">
        <f>IF(F3="1",SUMIF(Data!$A:$A,'44'!$A$2,Data!IQ:IQ),0)</f>
        <v>177070</v>
      </c>
      <c r="F38" s="22">
        <f t="shared" si="3"/>
        <v>0.5743208178728042</v>
      </c>
    </row>
    <row r="39" spans="1:6" ht="14.25" customHeight="1" x14ac:dyDescent="0.2">
      <c r="A39" s="20">
        <v>4</v>
      </c>
      <c r="B39" s="184" t="s">
        <v>3</v>
      </c>
      <c r="C39" s="185"/>
      <c r="D39" s="15">
        <f>IF(F3="1",SUMIF(Data!A:A,'44'!$A$2,Data!CX:CX),0)</f>
        <v>190286</v>
      </c>
      <c r="E39" s="18">
        <f>IF(F3="1",SUMIF(Data!$A:$A,'44'!$A$2,Data!IR:IR),0)</f>
        <v>215707</v>
      </c>
      <c r="F39" s="22">
        <f t="shared" si="3"/>
        <v>1.133593643252788</v>
      </c>
    </row>
    <row r="40" spans="1:6" x14ac:dyDescent="0.2">
      <c r="A40" s="20">
        <v>5</v>
      </c>
      <c r="B40" s="184" t="s">
        <v>4</v>
      </c>
      <c r="C40" s="185"/>
      <c r="D40" s="15">
        <f>IF(F3="1",SUMIF(Data!A:A,'44'!$A$2,Data!CY:CY),0)</f>
        <v>0</v>
      </c>
      <c r="E40" s="18">
        <f>IF(F3="1",SUMIF(Data!$A:$A,'44'!$A$2,Data!IS:IS),0)</f>
        <v>0</v>
      </c>
      <c r="F40" s="22" t="str">
        <f t="shared" si="3"/>
        <v/>
      </c>
    </row>
    <row r="41" spans="1:6" x14ac:dyDescent="0.2">
      <c r="A41" s="20">
        <v>6</v>
      </c>
      <c r="B41" s="184" t="s">
        <v>5</v>
      </c>
      <c r="C41" s="185"/>
      <c r="D41" s="15">
        <f>IF(F3="1",SUMIF(Data!A:A,'44'!$A$2,Data!CZ:CZ),0)</f>
        <v>36814</v>
      </c>
      <c r="E41" s="18">
        <f>IF(F3="1",SUMIF(Data!$A:$A,'44'!$A$2,Data!IT:IT),0)</f>
        <v>19616</v>
      </c>
      <c r="F41" s="22">
        <f t="shared" si="3"/>
        <v>0.53284076709947303</v>
      </c>
    </row>
    <row r="42" spans="1:6" x14ac:dyDescent="0.2">
      <c r="A42" s="20">
        <v>7</v>
      </c>
      <c r="B42" s="184" t="s">
        <v>6</v>
      </c>
      <c r="C42" s="185"/>
      <c r="D42" s="15">
        <f>IF(F3="1",SUMIF(Data!A:A,'44'!$A$2,Data!DA:DA),0)</f>
        <v>269757</v>
      </c>
      <c r="E42" s="18">
        <f>IF(F3="1",SUMIF(Data!$A:$A,'44'!$A$2,Data!IU:IU),0)</f>
        <v>63448</v>
      </c>
      <c r="F42" s="22">
        <f t="shared" si="3"/>
        <v>0.23520427644138983</v>
      </c>
    </row>
    <row r="43" spans="1:6" x14ac:dyDescent="0.2">
      <c r="A43" s="20">
        <v>8</v>
      </c>
      <c r="B43" s="184" t="s">
        <v>7</v>
      </c>
      <c r="C43" s="185"/>
      <c r="D43" s="15">
        <f>IF(F3="1",SUMIF(Data!A:A,'44'!$A$2,Data!DB:DB),0)</f>
        <v>55500</v>
      </c>
      <c r="E43" s="18">
        <f>IF(F3="1",SUMIF(Data!$A:$A,'44'!$A$2,Data!IV:IV),0)</f>
        <v>29941</v>
      </c>
      <c r="F43" s="22">
        <f t="shared" si="3"/>
        <v>0.53947747747747743</v>
      </c>
    </row>
    <row r="44" spans="1:6" x14ac:dyDescent="0.2">
      <c r="A44" s="20">
        <v>9</v>
      </c>
      <c r="B44" s="184" t="s">
        <v>8</v>
      </c>
      <c r="C44" s="185"/>
      <c r="D44" s="15">
        <f>IF(F3="1",SUMIF(Data!A:A,'44'!$A$2,Data!DC:DC),0)</f>
        <v>222064</v>
      </c>
      <c r="E44" s="18">
        <f>IF(F3="1",SUMIF(Data!$A:$A,'44'!$A$2,Data!IW:IW),0)</f>
        <v>150179</v>
      </c>
      <c r="F44" s="22">
        <f t="shared" si="3"/>
        <v>0.67628701635564525</v>
      </c>
    </row>
    <row r="45" spans="1:6" x14ac:dyDescent="0.2">
      <c r="A45" s="20">
        <v>10</v>
      </c>
      <c r="B45" s="184" t="s">
        <v>9</v>
      </c>
      <c r="C45" s="185"/>
      <c r="D45" s="15">
        <f>IF(F3="1",SUMIF(Data!A:A,'44'!$A$2,Data!DD:DD),0)</f>
        <v>0</v>
      </c>
      <c r="E45" s="18">
        <f>IF(F3="1",SUMIF(Data!$A:$A,'44'!$A$2,Data!IX:IX),0)</f>
        <v>0</v>
      </c>
      <c r="F45" s="22" t="str">
        <f t="shared" si="3"/>
        <v/>
      </c>
    </row>
    <row r="46" spans="1:6" x14ac:dyDescent="0.2">
      <c r="A46" s="20">
        <v>11</v>
      </c>
      <c r="B46" s="184" t="s">
        <v>10</v>
      </c>
      <c r="C46" s="185"/>
      <c r="D46" s="15">
        <f>IF(F3="1",SUMIF(Data!A:A,'44'!$A$2,Data!DE:DE),0)</f>
        <v>148816</v>
      </c>
      <c r="E46" s="18">
        <f>IF(F3="1",SUMIF(Data!$A:$A,'44'!$A$2,Data!IY:IY),0)</f>
        <v>86909</v>
      </c>
      <c r="F46" s="22">
        <f t="shared" si="3"/>
        <v>0.5840030641866466</v>
      </c>
    </row>
    <row r="47" spans="1:6" ht="14.25" customHeight="1" x14ac:dyDescent="0.2">
      <c r="A47" s="20">
        <v>12</v>
      </c>
      <c r="B47" s="184" t="s">
        <v>11</v>
      </c>
      <c r="C47" s="185"/>
      <c r="D47" s="15">
        <f>IF(F3="1",SUMIF(Data!A:A,'44'!$A$2,Data!DF:DF),0)</f>
        <v>363748</v>
      </c>
      <c r="E47" s="18">
        <f>IF(F3="1",SUMIF(Data!$A:$A,'44'!$A$2,Data!IZ:IZ),0)</f>
        <v>214419</v>
      </c>
      <c r="F47" s="22">
        <f t="shared" si="3"/>
        <v>0.58947128231632884</v>
      </c>
    </row>
    <row r="48" spans="1:6" x14ac:dyDescent="0.2">
      <c r="A48" s="20">
        <v>13</v>
      </c>
      <c r="B48" s="184" t="s">
        <v>12</v>
      </c>
      <c r="C48" s="185"/>
      <c r="D48" s="15">
        <f>IF(F3="1",SUMIF(Data!A:A,'44'!$A$2,Data!DG:DG),0)</f>
        <v>43216</v>
      </c>
      <c r="E48" s="18">
        <f>IF(F3="1",SUMIF(Data!$A:$A,'44'!$A$2,Data!JA:JA),0)</f>
        <v>14989</v>
      </c>
      <c r="F48" s="22">
        <f t="shared" si="3"/>
        <v>0.34683913365420216</v>
      </c>
    </row>
    <row r="49" spans="1:6" ht="14.25" customHeight="1" x14ac:dyDescent="0.2">
      <c r="A49" s="20">
        <v>14</v>
      </c>
      <c r="B49" s="184" t="s">
        <v>469</v>
      </c>
      <c r="C49" s="185"/>
      <c r="D49" s="15">
        <f>IF(F3="1",SUMIF(Data!A:A,'44'!$A$2,Data!DH:DH),0)</f>
        <v>188034</v>
      </c>
      <c r="E49" s="18">
        <f>IF(F3="1",SUMIF(Data!$A:$A,'44'!$A$2,Data!JB:JB),0)</f>
        <v>190443</v>
      </c>
      <c r="F49" s="22">
        <f t="shared" si="3"/>
        <v>1.0128115128115127</v>
      </c>
    </row>
    <row r="50" spans="1:6" x14ac:dyDescent="0.2">
      <c r="A50" s="20">
        <v>15</v>
      </c>
      <c r="B50" s="184" t="s">
        <v>13</v>
      </c>
      <c r="C50" s="185"/>
      <c r="D50" s="15">
        <f>IF(F3="1",SUMIF(Data!A:A,'44'!$A$2,Data!DI:DI),0)</f>
        <v>0</v>
      </c>
      <c r="E50" s="18">
        <f>IF(F3="1",SUMIF(Data!$A:$A,'44'!$A$2,Data!JC:JC),0)</f>
        <v>0</v>
      </c>
      <c r="F50" s="22" t="str">
        <f t="shared" si="3"/>
        <v/>
      </c>
    </row>
    <row r="51" spans="1:6" x14ac:dyDescent="0.2">
      <c r="A51" s="20">
        <v>16</v>
      </c>
      <c r="B51" s="184" t="s">
        <v>14</v>
      </c>
      <c r="C51" s="185"/>
      <c r="D51" s="15">
        <f>IF(F3="1",SUMIF(Data!A:A,'44'!$A$2,Data!DJ:DJ),0)</f>
        <v>132892</v>
      </c>
      <c r="E51" s="18">
        <f>IF(F3="1",SUMIF(Data!$A:$A,'44'!$A$2,Data!JD:JD),0)</f>
        <v>96511</v>
      </c>
      <c r="F51" s="22">
        <f t="shared" si="3"/>
        <v>0.72623634229298983</v>
      </c>
    </row>
    <row r="52" spans="1:6" x14ac:dyDescent="0.2">
      <c r="A52" s="20">
        <v>17</v>
      </c>
      <c r="B52" s="184" t="s">
        <v>15</v>
      </c>
      <c r="C52" s="185"/>
      <c r="D52" s="15">
        <f>IF(F3="1",SUMIF(Data!A:A,'44'!$A$2,Data!DK:DK),0)</f>
        <v>0</v>
      </c>
      <c r="E52" s="18">
        <f>IF(F3="1",SUMIF(Data!$A:$A,'44'!$A$2,Data!JE:JE),0)</f>
        <v>0</v>
      </c>
      <c r="F52" s="22" t="str">
        <f t="shared" si="3"/>
        <v/>
      </c>
    </row>
    <row r="53" spans="1:6" x14ac:dyDescent="0.2">
      <c r="A53" s="20">
        <v>18</v>
      </c>
      <c r="B53" s="184" t="s">
        <v>16</v>
      </c>
      <c r="C53" s="185"/>
      <c r="D53" s="15">
        <f>IF(F3="1",SUMIF(Data!A:A,'44'!$A$2,Data!DL:DL),0)</f>
        <v>80576</v>
      </c>
      <c r="E53" s="18">
        <f>IF(F3="1",SUMIF(Data!$A:$A,'44'!$A$2,Data!JF:JF),0)</f>
        <v>73316</v>
      </c>
      <c r="F53" s="22">
        <f t="shared" si="3"/>
        <v>0.90989872915011916</v>
      </c>
    </row>
    <row r="54" spans="1:6" x14ac:dyDescent="0.2">
      <c r="A54" s="20">
        <v>19</v>
      </c>
      <c r="B54" s="184" t="s">
        <v>17</v>
      </c>
      <c r="C54" s="185"/>
      <c r="D54" s="15">
        <f>IF(F3="1",SUMIF(Data!A:A,'44'!$A$2,Data!DM:DM),0)</f>
        <v>260912</v>
      </c>
      <c r="E54" s="18">
        <f>IF(F3="1",SUMIF(Data!$A:$A,'44'!$A$2,Data!JG:JG),0)</f>
        <v>149864</v>
      </c>
      <c r="F54" s="22">
        <f t="shared" si="3"/>
        <v>0.5743852333353775</v>
      </c>
    </row>
    <row r="55" spans="1:6" x14ac:dyDescent="0.2">
      <c r="A55" s="20">
        <v>20</v>
      </c>
      <c r="B55" s="184" t="s">
        <v>18</v>
      </c>
      <c r="C55" s="185"/>
      <c r="D55" s="15">
        <f>IF(F3="1",SUMIF(Data!A:A,'44'!$A$2,Data!DN:DN),0)</f>
        <v>66352</v>
      </c>
      <c r="E55" s="18">
        <f>IF(F3="1",SUMIF(Data!$A:$A,'44'!$A$2,Data!JH:JH),0)</f>
        <v>57091</v>
      </c>
      <c r="F55" s="22">
        <f t="shared" si="3"/>
        <v>0.86042621171931521</v>
      </c>
    </row>
    <row r="56" spans="1:6" ht="14.25" customHeight="1" x14ac:dyDescent="0.2">
      <c r="A56" s="20">
        <v>21</v>
      </c>
      <c r="B56" s="184" t="s">
        <v>466</v>
      </c>
      <c r="C56" s="185"/>
      <c r="D56" s="15">
        <f>IF(F3="1",SUMIF(Data!A:A,'44'!$A$2,Data!DO:DO),0)</f>
        <v>0</v>
      </c>
      <c r="E56" s="18">
        <f>IF(F3="1",SUMIF(Data!$A:$A,'44'!$A$2,Data!JI:JI),0)</f>
        <v>0</v>
      </c>
      <c r="F56" s="22" t="str">
        <f t="shared" si="3"/>
        <v/>
      </c>
    </row>
    <row r="57" spans="1:6" x14ac:dyDescent="0.2">
      <c r="A57" s="20">
        <v>22</v>
      </c>
      <c r="B57" s="184" t="s">
        <v>19</v>
      </c>
      <c r="C57" s="185"/>
      <c r="D57" s="15">
        <f>IF(F3="1",SUMIF(Data!A:A,'44'!$A$2,Data!DP:DP),0)</f>
        <v>13056</v>
      </c>
      <c r="E57" s="18">
        <f>IF(F3="1",SUMIF(Data!$A:$A,'44'!$A$2,Data!JJ:JJ),0)</f>
        <v>3602</v>
      </c>
      <c r="F57" s="22">
        <f t="shared" si="3"/>
        <v>0.27588848039215685</v>
      </c>
    </row>
    <row r="58" spans="1:6" x14ac:dyDescent="0.2">
      <c r="A58" s="20">
        <v>23</v>
      </c>
      <c r="B58" s="184" t="s">
        <v>20</v>
      </c>
      <c r="C58" s="185"/>
      <c r="D58" s="15">
        <f>IF(F3="1",SUMIF(Data!A:A,'44'!$A$2,Data!DQ:DQ),0)</f>
        <v>56136</v>
      </c>
      <c r="E58" s="18">
        <f>IF(F3="1",SUMIF(Data!$A:$A,'44'!$A$2,Data!JK:JK),0)</f>
        <v>52066</v>
      </c>
      <c r="F58" s="22">
        <f t="shared" si="3"/>
        <v>0.92749750605671943</v>
      </c>
    </row>
    <row r="59" spans="1:6" x14ac:dyDescent="0.2">
      <c r="A59" s="20">
        <v>24</v>
      </c>
      <c r="B59" s="184" t="s">
        <v>21</v>
      </c>
      <c r="C59" s="185"/>
      <c r="D59" s="15">
        <f>IF(F3="1",SUMIF(Data!A:A,'44'!$A$2,Data!DR:DR),0)</f>
        <v>47522</v>
      </c>
      <c r="E59" s="18">
        <f>IF(F3="1",SUMIF(Data!$A:$A,'44'!$A$2,Data!JL:JL),0)</f>
        <v>19743</v>
      </c>
      <c r="F59" s="22">
        <f t="shared" si="3"/>
        <v>0.41544968646100755</v>
      </c>
    </row>
    <row r="60" spans="1:6" x14ac:dyDescent="0.2">
      <c r="A60" s="20">
        <v>25</v>
      </c>
      <c r="B60" s="184" t="s">
        <v>22</v>
      </c>
      <c r="C60" s="185"/>
      <c r="D60" s="15">
        <f>IF(F3="1",SUMIF(Data!A:A,'44'!$A$2,Data!DS:DS),0)</f>
        <v>449808</v>
      </c>
      <c r="E60" s="18">
        <f>IF(F3="1",SUMIF(Data!$A:$A,'44'!$A$2,Data!JM:JM),0)</f>
        <v>193893</v>
      </c>
      <c r="F60" s="22">
        <f t="shared" si="3"/>
        <v>0.4310572510938</v>
      </c>
    </row>
    <row r="61" spans="1:6" x14ac:dyDescent="0.2">
      <c r="A61" s="20">
        <v>26</v>
      </c>
      <c r="B61" s="184" t="s">
        <v>23</v>
      </c>
      <c r="C61" s="185"/>
      <c r="D61" s="15">
        <f>IF(F3="1",SUMIF(Data!A:A,'44'!$A$2,Data!DT:DT),0)</f>
        <v>147920</v>
      </c>
      <c r="E61" s="18">
        <f>IF(F3="1",SUMIF(Data!$A:$A,'44'!$A$2,Data!JN:JN),0)</f>
        <v>167008</v>
      </c>
      <c r="F61" s="22">
        <f t="shared" si="3"/>
        <v>1.1290427257977285</v>
      </c>
    </row>
    <row r="62" spans="1:6" x14ac:dyDescent="0.2">
      <c r="A62" s="20">
        <v>28</v>
      </c>
      <c r="B62" s="184" t="s">
        <v>24</v>
      </c>
      <c r="C62" s="185"/>
      <c r="D62" s="15">
        <f>IF(F3="1",SUMIF(Data!A:A,'44'!$A$2,Data!DV:DV),0)</f>
        <v>0</v>
      </c>
      <c r="E62" s="18">
        <f>IF(F3="1",SUMIF(Data!$A:$A,'44'!$A$2,Data!JP:JP),0)</f>
        <v>0</v>
      </c>
      <c r="F62" s="22" t="str">
        <f t="shared" si="3"/>
        <v/>
      </c>
    </row>
    <row r="63" spans="1:6" ht="15.75" customHeight="1" thickBot="1" x14ac:dyDescent="0.25">
      <c r="A63" s="23">
        <v>29</v>
      </c>
      <c r="B63" s="186" t="s">
        <v>25</v>
      </c>
      <c r="C63" s="187"/>
      <c r="D63" s="24">
        <f>IF(F3="1",SUMIF(Data!A:A,'44'!$A$2,Data!DW:DW),0)</f>
        <v>0</v>
      </c>
      <c r="E63" s="25">
        <f>IF(F3="1",SUMIF(Data!$A:$A,'44'!$A$2,Data!JQ:JQ),0)</f>
        <v>0</v>
      </c>
      <c r="F63" s="26" t="str">
        <f t="shared" si="3"/>
        <v/>
      </c>
    </row>
    <row r="64" spans="1:6" x14ac:dyDescent="0.2">
      <c r="B64" s="31" t="s">
        <v>35</v>
      </c>
      <c r="C64" s="31"/>
      <c r="D64" s="61">
        <f>SUM(D36:D63)</f>
        <v>3254649</v>
      </c>
      <c r="E64" s="32">
        <f>SUM(E36:E63)</f>
        <v>2107952</v>
      </c>
      <c r="F64" s="33">
        <f t="shared" si="3"/>
        <v>0.64767414243440691</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73120</v>
      </c>
      <c r="E67" s="16">
        <f>IF(F3="1",SUMIF(Data!A:A,'44'!$A$2,Data!DY:DY),0)</f>
        <v>228777</v>
      </c>
      <c r="F67" s="21">
        <f>IFERROR(E67/D67,"")</f>
        <v>3.1287882932166302</v>
      </c>
    </row>
    <row r="68" spans="1:6" x14ac:dyDescent="0.2">
      <c r="A68" s="20">
        <v>2</v>
      </c>
      <c r="B68" s="184" t="s">
        <v>1</v>
      </c>
      <c r="C68" s="185"/>
      <c r="D68" s="15">
        <f t="shared" ref="D68:D94" si="4">D37</f>
        <v>99808</v>
      </c>
      <c r="E68" s="18">
        <f>IF(F3="1",SUMIF(Data!A:A,'44'!$A$2,Data!DZ:DZ),0)</f>
        <v>172878</v>
      </c>
      <c r="F68" s="22">
        <f t="shared" ref="F68:F95" si="5">IFERROR(E68/D68,"")</f>
        <v>1.7321056428342418</v>
      </c>
    </row>
    <row r="69" spans="1:6" ht="14.25" customHeight="1" x14ac:dyDescent="0.2">
      <c r="A69" s="20">
        <v>3</v>
      </c>
      <c r="B69" s="184" t="s">
        <v>2</v>
      </c>
      <c r="C69" s="185"/>
      <c r="D69" s="15">
        <f t="shared" si="4"/>
        <v>308312</v>
      </c>
      <c r="E69" s="18">
        <f>IF(F3="1",SUMIF(Data!A:A,'44'!$A$2,Data!EA:EA),0)</f>
        <v>847789</v>
      </c>
      <c r="F69" s="22">
        <f t="shared" si="5"/>
        <v>2.7497762007317261</v>
      </c>
    </row>
    <row r="70" spans="1:6" ht="14.25" customHeight="1" x14ac:dyDescent="0.2">
      <c r="A70" s="20">
        <v>4</v>
      </c>
      <c r="B70" s="184" t="s">
        <v>3</v>
      </c>
      <c r="C70" s="185"/>
      <c r="D70" s="15">
        <f t="shared" si="4"/>
        <v>190286</v>
      </c>
      <c r="E70" s="18">
        <f>IF(F3="1",SUMIF(Data!A:A,'44'!$A$2,Data!EB:EB),0)</f>
        <v>852944</v>
      </c>
      <c r="F70" s="22">
        <f t="shared" si="5"/>
        <v>4.4824317080604983</v>
      </c>
    </row>
    <row r="71" spans="1:6" x14ac:dyDescent="0.2">
      <c r="A71" s="20">
        <v>5</v>
      </c>
      <c r="B71" s="184" t="s">
        <v>4</v>
      </c>
      <c r="C71" s="185"/>
      <c r="D71" s="15">
        <f t="shared" si="4"/>
        <v>0</v>
      </c>
      <c r="E71" s="18">
        <f>IF(F3="1",SUMIF(Data!A:A,'44'!$A$2,Data!EC:EC),0)</f>
        <v>0</v>
      </c>
      <c r="F71" s="22" t="str">
        <f t="shared" si="5"/>
        <v/>
      </c>
    </row>
    <row r="72" spans="1:6" x14ac:dyDescent="0.2">
      <c r="A72" s="20">
        <v>6</v>
      </c>
      <c r="B72" s="184" t="s">
        <v>5</v>
      </c>
      <c r="C72" s="185"/>
      <c r="D72" s="15">
        <f t="shared" si="4"/>
        <v>36814</v>
      </c>
      <c r="E72" s="18">
        <f>IF(F3="1",SUMIF(Data!A:A,'44'!$A$2,Data!ED:ED),0)</f>
        <v>53200</v>
      </c>
      <c r="F72" s="22">
        <f t="shared" si="5"/>
        <v>1.445102406693106</v>
      </c>
    </row>
    <row r="73" spans="1:6" x14ac:dyDescent="0.2">
      <c r="A73" s="20">
        <v>7</v>
      </c>
      <c r="B73" s="184" t="s">
        <v>6</v>
      </c>
      <c r="C73" s="185"/>
      <c r="D73" s="15">
        <f t="shared" si="4"/>
        <v>269757</v>
      </c>
      <c r="E73" s="18">
        <f>IF(F3="1",SUMIF(Data!A:A,'44'!$A$2,Data!EE:EE),0)</f>
        <v>480880</v>
      </c>
      <c r="F73" s="22">
        <f t="shared" si="5"/>
        <v>1.7826414143099159</v>
      </c>
    </row>
    <row r="74" spans="1:6" x14ac:dyDescent="0.2">
      <c r="A74" s="20">
        <v>8</v>
      </c>
      <c r="B74" s="184" t="s">
        <v>7</v>
      </c>
      <c r="C74" s="185"/>
      <c r="D74" s="15">
        <f t="shared" si="4"/>
        <v>55500</v>
      </c>
      <c r="E74" s="18">
        <f>IF(F3="1",SUMIF(Data!A:A,'44'!$A$2,Data!EF:EF),0)</f>
        <v>172896</v>
      </c>
      <c r="F74" s="22">
        <f t="shared" si="5"/>
        <v>3.1152432432432433</v>
      </c>
    </row>
    <row r="75" spans="1:6" x14ac:dyDescent="0.2">
      <c r="A75" s="20">
        <v>9</v>
      </c>
      <c r="B75" s="184" t="s">
        <v>8</v>
      </c>
      <c r="C75" s="185"/>
      <c r="D75" s="15">
        <f t="shared" si="4"/>
        <v>222064</v>
      </c>
      <c r="E75" s="18">
        <f>IF(F3="1",SUMIF(Data!A:A,'44'!$A$2,Data!EG:EG),0)</f>
        <v>517930</v>
      </c>
      <c r="F75" s="22">
        <f t="shared" si="5"/>
        <v>2.3323456300886232</v>
      </c>
    </row>
    <row r="76" spans="1:6" x14ac:dyDescent="0.2">
      <c r="A76" s="20">
        <v>10</v>
      </c>
      <c r="B76" s="184" t="s">
        <v>9</v>
      </c>
      <c r="C76" s="185"/>
      <c r="D76" s="15">
        <f t="shared" si="4"/>
        <v>0</v>
      </c>
      <c r="E76" s="18">
        <f>IF(F3="1",SUMIF(Data!A:A,'44'!$A$2,Data!EH:EH),0)</f>
        <v>0</v>
      </c>
      <c r="F76" s="22" t="str">
        <f t="shared" si="5"/>
        <v/>
      </c>
    </row>
    <row r="77" spans="1:6" x14ac:dyDescent="0.2">
      <c r="A77" s="20">
        <v>11</v>
      </c>
      <c r="B77" s="184" t="s">
        <v>10</v>
      </c>
      <c r="C77" s="185"/>
      <c r="D77" s="15">
        <f t="shared" si="4"/>
        <v>148816</v>
      </c>
      <c r="E77" s="18">
        <f>IF(F3="1",SUMIF(Data!A:A,'44'!$A$2,Data!EI:EI),0)</f>
        <v>340696</v>
      </c>
      <c r="F77" s="22">
        <f t="shared" si="5"/>
        <v>2.2893774862917966</v>
      </c>
    </row>
    <row r="78" spans="1:6" ht="14.25" customHeight="1" x14ac:dyDescent="0.2">
      <c r="A78" s="20">
        <v>12</v>
      </c>
      <c r="B78" s="184" t="s">
        <v>11</v>
      </c>
      <c r="C78" s="185"/>
      <c r="D78" s="15">
        <f t="shared" si="4"/>
        <v>363748</v>
      </c>
      <c r="E78" s="18">
        <f>IF(F3="1",SUMIF(Data!A:A,'44'!$A$2,Data!EJ:EJ),0)</f>
        <v>1088481</v>
      </c>
      <c r="F78" s="22">
        <f t="shared" si="5"/>
        <v>2.9924040819468423</v>
      </c>
    </row>
    <row r="79" spans="1:6" x14ac:dyDescent="0.2">
      <c r="A79" s="20">
        <v>13</v>
      </c>
      <c r="B79" s="184" t="s">
        <v>12</v>
      </c>
      <c r="C79" s="185"/>
      <c r="D79" s="15">
        <f t="shared" si="4"/>
        <v>43216</v>
      </c>
      <c r="E79" s="18">
        <f>IF(F3="1",SUMIF(Data!A:A,'44'!$A$2,Data!EK:EK),0)</f>
        <v>105702</v>
      </c>
      <c r="F79" s="22">
        <f t="shared" si="5"/>
        <v>2.4458996667900776</v>
      </c>
    </row>
    <row r="80" spans="1:6" ht="14.25" customHeight="1" x14ac:dyDescent="0.2">
      <c r="A80" s="20">
        <v>14</v>
      </c>
      <c r="B80" s="184" t="s">
        <v>469</v>
      </c>
      <c r="C80" s="185"/>
      <c r="D80" s="15">
        <f t="shared" si="4"/>
        <v>188034</v>
      </c>
      <c r="E80" s="18">
        <f>IF(F3="1",SUMIF(Data!A:A,'44'!$A$2,Data!EL:EL),0)</f>
        <v>804228</v>
      </c>
      <c r="F80" s="22">
        <f t="shared" si="5"/>
        <v>4.2770350043077316</v>
      </c>
    </row>
    <row r="81" spans="1:6" x14ac:dyDescent="0.2">
      <c r="A81" s="20">
        <v>15</v>
      </c>
      <c r="B81" s="184" t="s">
        <v>13</v>
      </c>
      <c r="C81" s="185"/>
      <c r="D81" s="15">
        <f t="shared" si="4"/>
        <v>0</v>
      </c>
      <c r="E81" s="18">
        <f>IF(F3="1",SUMIF(Data!A:A,'44'!$A$2,Data!EM:EM),0)</f>
        <v>0</v>
      </c>
      <c r="F81" s="22" t="str">
        <f t="shared" si="5"/>
        <v/>
      </c>
    </row>
    <row r="82" spans="1:6" x14ac:dyDescent="0.2">
      <c r="A82" s="20">
        <v>16</v>
      </c>
      <c r="B82" s="184" t="s">
        <v>14</v>
      </c>
      <c r="C82" s="185"/>
      <c r="D82" s="15">
        <f t="shared" si="4"/>
        <v>132892</v>
      </c>
      <c r="E82" s="18">
        <f>IF(F3="1",SUMIF(Data!A:A,'44'!$A$2,Data!EN:EN),0)</f>
        <v>295970</v>
      </c>
      <c r="F82" s="22">
        <f t="shared" si="5"/>
        <v>2.22714685609367</v>
      </c>
    </row>
    <row r="83" spans="1:6" x14ac:dyDescent="0.2">
      <c r="A83" s="20">
        <v>17</v>
      </c>
      <c r="B83" s="184" t="s">
        <v>15</v>
      </c>
      <c r="C83" s="185"/>
      <c r="D83" s="15">
        <f t="shared" si="4"/>
        <v>0</v>
      </c>
      <c r="E83" s="18">
        <f>IF(F3="1",SUMIF(Data!A:A,'44'!$A$2,Data!EO:EO),0)</f>
        <v>0</v>
      </c>
      <c r="F83" s="22" t="str">
        <f t="shared" si="5"/>
        <v/>
      </c>
    </row>
    <row r="84" spans="1:6" x14ac:dyDescent="0.2">
      <c r="A84" s="20">
        <v>18</v>
      </c>
      <c r="B84" s="184" t="s">
        <v>16</v>
      </c>
      <c r="C84" s="185"/>
      <c r="D84" s="15">
        <f t="shared" si="4"/>
        <v>80576</v>
      </c>
      <c r="E84" s="18">
        <f>IF(F3="1",SUMIF(Data!A:A,'44'!$A$2,Data!EP:EP),0)</f>
        <v>232731</v>
      </c>
      <c r="F84" s="22">
        <f t="shared" si="5"/>
        <v>2.8883414416203337</v>
      </c>
    </row>
    <row r="85" spans="1:6" x14ac:dyDescent="0.2">
      <c r="A85" s="20">
        <v>19</v>
      </c>
      <c r="B85" s="184" t="s">
        <v>17</v>
      </c>
      <c r="C85" s="185"/>
      <c r="D85" s="15">
        <f t="shared" si="4"/>
        <v>260912</v>
      </c>
      <c r="E85" s="18">
        <f>IF(F3="1",SUMIF(Data!A:A,'44'!$A$2,Data!EQ:EQ),0)</f>
        <v>760393</v>
      </c>
      <c r="F85" s="22">
        <f t="shared" si="5"/>
        <v>2.914365763169191</v>
      </c>
    </row>
    <row r="86" spans="1:6" x14ac:dyDescent="0.2">
      <c r="A86" s="20">
        <v>20</v>
      </c>
      <c r="B86" s="184" t="s">
        <v>18</v>
      </c>
      <c r="C86" s="185"/>
      <c r="D86" s="15">
        <f t="shared" si="4"/>
        <v>66352</v>
      </c>
      <c r="E86" s="18">
        <f>IF(F3="1",SUMIF(Data!A:A,'44'!$A$2,Data!ER:ER),0)</f>
        <v>198586</v>
      </c>
      <c r="F86" s="22">
        <f t="shared" si="5"/>
        <v>2.9929165661924282</v>
      </c>
    </row>
    <row r="87" spans="1:6" ht="14.25" customHeight="1" x14ac:dyDescent="0.2">
      <c r="A87" s="20">
        <v>21</v>
      </c>
      <c r="B87" s="184" t="s">
        <v>466</v>
      </c>
      <c r="C87" s="185"/>
      <c r="D87" s="15">
        <f t="shared" si="4"/>
        <v>0</v>
      </c>
      <c r="E87" s="18">
        <f>IF(F3="1",SUMIF(Data!A:A,'44'!$A$2,Data!ES:ES),0)</f>
        <v>0</v>
      </c>
      <c r="F87" s="22" t="str">
        <f t="shared" si="5"/>
        <v/>
      </c>
    </row>
    <row r="88" spans="1:6" x14ac:dyDescent="0.2">
      <c r="A88" s="20">
        <v>22</v>
      </c>
      <c r="B88" s="184" t="s">
        <v>19</v>
      </c>
      <c r="C88" s="185"/>
      <c r="D88" s="15">
        <f t="shared" si="4"/>
        <v>13056</v>
      </c>
      <c r="E88" s="18">
        <f>IF(F3="1",SUMIF(Data!A:A,'44'!$A$2,Data!ET:ET),0)</f>
        <v>29144</v>
      </c>
      <c r="F88" s="22">
        <f t="shared" si="5"/>
        <v>2.2322303921568629</v>
      </c>
    </row>
    <row r="89" spans="1:6" x14ac:dyDescent="0.2">
      <c r="A89" s="20">
        <v>23</v>
      </c>
      <c r="B89" s="184" t="s">
        <v>20</v>
      </c>
      <c r="C89" s="185"/>
      <c r="D89" s="15">
        <f t="shared" si="4"/>
        <v>56136</v>
      </c>
      <c r="E89" s="18">
        <f>IF(F3="1",SUMIF(Data!A:A,'44'!$A$2,Data!EU:EU),0)</f>
        <v>291253</v>
      </c>
      <c r="F89" s="22">
        <f t="shared" si="5"/>
        <v>5.1883461593273479</v>
      </c>
    </row>
    <row r="90" spans="1:6" x14ac:dyDescent="0.2">
      <c r="A90" s="20">
        <v>24</v>
      </c>
      <c r="B90" s="184" t="s">
        <v>21</v>
      </c>
      <c r="C90" s="185"/>
      <c r="D90" s="15">
        <f t="shared" si="4"/>
        <v>47522</v>
      </c>
      <c r="E90" s="18">
        <f>IF(F3="1",SUMIF(Data!A:A,'44'!$A$2,Data!EV:EV),0)</f>
        <v>133014</v>
      </c>
      <c r="F90" s="22">
        <f t="shared" si="5"/>
        <v>2.7989983586549387</v>
      </c>
    </row>
    <row r="91" spans="1:6" x14ac:dyDescent="0.2">
      <c r="A91" s="20">
        <v>25</v>
      </c>
      <c r="B91" s="184" t="s">
        <v>22</v>
      </c>
      <c r="C91" s="185"/>
      <c r="D91" s="15">
        <f t="shared" si="4"/>
        <v>449808</v>
      </c>
      <c r="E91" s="18">
        <f>IF(F3="1",SUMIF(Data!A:A,'44'!$A$2,Data!EW:EW),0)</f>
        <v>1165010</v>
      </c>
      <c r="F91" s="22">
        <f t="shared" si="5"/>
        <v>2.5900161846832428</v>
      </c>
    </row>
    <row r="92" spans="1:6" x14ac:dyDescent="0.2">
      <c r="A92" s="20">
        <v>26</v>
      </c>
      <c r="B92" s="184" t="s">
        <v>23</v>
      </c>
      <c r="C92" s="185"/>
      <c r="D92" s="15">
        <f t="shared" si="4"/>
        <v>147920</v>
      </c>
      <c r="E92" s="18">
        <f>IF(F3="1",SUMIF(Data!A:A,'44'!$A$2,Data!EX:EX),0)</f>
        <v>552959</v>
      </c>
      <c r="F92" s="22">
        <f t="shared" si="5"/>
        <v>3.738230124391563</v>
      </c>
    </row>
    <row r="93" spans="1:6" x14ac:dyDescent="0.2">
      <c r="A93" s="20">
        <v>28</v>
      </c>
      <c r="B93" s="184" t="s">
        <v>24</v>
      </c>
      <c r="C93" s="185"/>
      <c r="D93" s="15">
        <f t="shared" si="4"/>
        <v>0</v>
      </c>
      <c r="E93" s="18">
        <f>IF(F3="1",SUMIF(Data!A:A,'44'!$A$2,Data!EZ:EZ),0)</f>
        <v>0</v>
      </c>
      <c r="F93" s="22" t="str">
        <f t="shared" si="5"/>
        <v/>
      </c>
    </row>
    <row r="94" spans="1:6" ht="15.75" customHeight="1" thickBot="1" x14ac:dyDescent="0.25">
      <c r="A94" s="23">
        <v>29</v>
      </c>
      <c r="B94" s="186" t="s">
        <v>25</v>
      </c>
      <c r="C94" s="187"/>
      <c r="D94" s="24">
        <f t="shared" si="4"/>
        <v>0</v>
      </c>
      <c r="E94" s="25">
        <f>IF(F3="1",SUMIF(Data!A:A,'44'!$A$2,Data!FA:FA),0)</f>
        <v>0</v>
      </c>
      <c r="F94" s="26" t="str">
        <f t="shared" si="5"/>
        <v/>
      </c>
    </row>
    <row r="95" spans="1:6" x14ac:dyDescent="0.2">
      <c r="B95" s="31" t="s">
        <v>35</v>
      </c>
      <c r="C95" s="31"/>
      <c r="D95" s="61">
        <f>SUM(D67:D94)</f>
        <v>3254649</v>
      </c>
      <c r="E95" s="32">
        <f>SUM(E67:E94)</f>
        <v>9325461</v>
      </c>
      <c r="F95" s="33">
        <f t="shared" si="5"/>
        <v>2.8652739512002676</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IF(F3="1",SUMIF(Data!A:A,'44'!$A$2,Data!AH:AH),0)</f>
        <v>2404908</v>
      </c>
      <c r="F98" s="21">
        <f t="shared" ref="F98:F105" si="6">IFERROR(E98/$D$95,0)</f>
        <v>0.73891470324449737</v>
      </c>
    </row>
    <row r="99" spans="2:6" x14ac:dyDescent="0.2">
      <c r="B99" s="190" t="s">
        <v>31</v>
      </c>
      <c r="C99" s="191"/>
      <c r="D99" s="37"/>
      <c r="E99" s="18">
        <f>IF(F3="1",SUMIF(Data!A:A,'44'!$A$2,Data!AI:AI),0)</f>
        <v>1741394</v>
      </c>
      <c r="F99" s="22">
        <f t="shared" si="6"/>
        <v>0.53504817262936799</v>
      </c>
    </row>
    <row r="100" spans="2:6" x14ac:dyDescent="0.2">
      <c r="B100" s="190" t="s">
        <v>32</v>
      </c>
      <c r="C100" s="191"/>
      <c r="D100" s="37"/>
      <c r="E100" s="18">
        <f>IF(F3="1",SUMIF(Data!A:A,'44'!$A$2,Data!AJ:AJ),0)</f>
        <v>2701938</v>
      </c>
      <c r="F100" s="22">
        <f t="shared" si="6"/>
        <v>0.83017800076137238</v>
      </c>
    </row>
    <row r="101" spans="2:6" x14ac:dyDescent="0.2">
      <c r="B101" s="190" t="s">
        <v>28</v>
      </c>
      <c r="C101" s="191"/>
      <c r="D101" s="37"/>
      <c r="E101" s="18">
        <f>IF(F3="1",SUMIF(Data!A:A,'44'!$A$2,Data!AK:AK),0)</f>
        <v>0</v>
      </c>
      <c r="F101" s="22">
        <f t="shared" si="6"/>
        <v>0</v>
      </c>
    </row>
    <row r="102" spans="2:6" x14ac:dyDescent="0.2">
      <c r="B102" s="190" t="s">
        <v>33</v>
      </c>
      <c r="C102" s="191"/>
      <c r="D102" s="37"/>
      <c r="E102" s="18">
        <f>IF(F3="1",SUMIF(Data!A:A,'44'!$A$2,Data!AL:AL),0)</f>
        <v>363</v>
      </c>
      <c r="F102" s="22">
        <f t="shared" si="6"/>
        <v>1.1153276436260869E-4</v>
      </c>
    </row>
    <row r="103" spans="2:6" x14ac:dyDescent="0.2">
      <c r="B103" s="192" t="s">
        <v>34</v>
      </c>
      <c r="C103" s="193"/>
      <c r="D103" s="37"/>
      <c r="E103" s="18">
        <f>IF(F3="1",SUMIF(Data!A:A,'44'!$A$2,Data!AM:AM),0)</f>
        <v>410239</v>
      </c>
      <c r="F103" s="22">
        <f t="shared" si="6"/>
        <v>0.12604707911667279</v>
      </c>
    </row>
    <row r="104" spans="2:6" ht="15.75" customHeight="1" thickBot="1" x14ac:dyDescent="0.25">
      <c r="B104" s="182" t="s">
        <v>29</v>
      </c>
      <c r="C104" s="183"/>
      <c r="D104" s="38"/>
      <c r="E104" s="25">
        <f>IF(F3="1",SUMIF(Data!A:A,'44'!$A$2,Data!Q:Q),0)</f>
        <v>780591</v>
      </c>
      <c r="F104" s="26">
        <f t="shared" si="6"/>
        <v>0.23983876602361728</v>
      </c>
    </row>
    <row r="105" spans="2:6" x14ac:dyDescent="0.2">
      <c r="B105" s="31" t="s">
        <v>35</v>
      </c>
      <c r="C105" s="31"/>
      <c r="D105" s="35">
        <f>D95</f>
        <v>3254649</v>
      </c>
      <c r="E105" s="32">
        <f>SUM(E98:E104)</f>
        <v>8039433</v>
      </c>
      <c r="F105" s="33">
        <f t="shared" si="6"/>
        <v>2.4701382545398904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9325461</v>
      </c>
      <c r="D109" s="16">
        <f>IF(F3="1",SUMIF(Data!$A:$A,$A$2,Data!HJ:HJ),0)</f>
        <v>0</v>
      </c>
      <c r="E109" s="16">
        <f>IF(F3="1",SUMIF(Data!$A:$A,$A$2,Data!IN:IN),0)</f>
        <v>0</v>
      </c>
      <c r="F109" s="48">
        <f>SUM(C109:E109)</f>
        <v>9325461</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363</v>
      </c>
      <c r="F116" s="49">
        <f t="shared" si="7"/>
        <v>363</v>
      </c>
    </row>
    <row r="117" spans="1:6" ht="15" thickBot="1" x14ac:dyDescent="0.25">
      <c r="B117" s="44" t="s">
        <v>941</v>
      </c>
      <c r="C117" s="53"/>
      <c r="D117" s="53">
        <f>IF(F3="1",SUMIF(Data!A:A,$A$2,Data!Q:Q),0)</f>
        <v>780591</v>
      </c>
      <c r="E117" s="53"/>
      <c r="F117" s="50">
        <f>SUM(C117:E117)</f>
        <v>780591</v>
      </c>
    </row>
    <row r="118" spans="1:6" x14ac:dyDescent="0.2">
      <c r="B118" s="14" t="s">
        <v>35</v>
      </c>
      <c r="C118" s="5">
        <f>SUM(C109:C116)</f>
        <v>9325461</v>
      </c>
      <c r="D118" s="5">
        <f>SUM(D109:D116)</f>
        <v>0</v>
      </c>
      <c r="E118" s="5">
        <f>SUM(E109:E116)</f>
        <v>363</v>
      </c>
      <c r="F118" s="5">
        <f>SUM(F109:F116)</f>
        <v>9325824</v>
      </c>
    </row>
    <row r="119" spans="1:6" ht="15" thickBot="1" x14ac:dyDescent="0.25"/>
    <row r="120" spans="1:6" ht="15" thickBot="1" x14ac:dyDescent="0.25">
      <c r="B120" s="57" t="s">
        <v>942</v>
      </c>
      <c r="C120" s="55"/>
      <c r="D120" s="55"/>
      <c r="E120" s="55">
        <f>IF(F3="1",SUMIF(Data!A:A,'44'!$A$2,Data!AM:AM),0)</f>
        <v>410239</v>
      </c>
      <c r="F120" s="56">
        <f>SUM(C120:E120)</f>
        <v>410239</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412</v>
      </c>
      <c r="B2" s="60" t="str">
        <f>VLOOKUP(A2,Data!A:G,7,0)</f>
        <v>Tyler Junior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34568</v>
      </c>
      <c r="E5" s="16">
        <f>E36+E67+IFERROR($E$105/$D$105*D5,0)</f>
        <v>183977.79973919861</v>
      </c>
      <c r="F5" s="21">
        <f>IFERROR(E5/D5,"")</f>
        <v>5.3221997147419176</v>
      </c>
    </row>
    <row r="6" spans="1:6" x14ac:dyDescent="0.2">
      <c r="A6" s="20">
        <v>2</v>
      </c>
      <c r="B6" s="184" t="s">
        <v>1</v>
      </c>
      <c r="C6" s="185"/>
      <c r="D6" s="15">
        <f t="shared" ref="D6:D32" si="0">D37</f>
        <v>40712</v>
      </c>
      <c r="E6" s="18">
        <f t="shared" ref="E6:E32" si="1">E37+E68+IFERROR($E$105/$D$105*D6,0)</f>
        <v>367746.89906798932</v>
      </c>
      <c r="F6" s="22">
        <f t="shared" ref="F6:F33" si="2">IFERROR(E6/D6,"")</f>
        <v>9.0328870865589828</v>
      </c>
    </row>
    <row r="7" spans="1:6" ht="14.25" customHeight="1" x14ac:dyDescent="0.2">
      <c r="A7" s="20">
        <v>3</v>
      </c>
      <c r="B7" s="184" t="s">
        <v>2</v>
      </c>
      <c r="C7" s="185"/>
      <c r="D7" s="15">
        <f t="shared" si="0"/>
        <v>668000</v>
      </c>
      <c r="E7" s="18">
        <f t="shared" si="1"/>
        <v>4465176.2317109657</v>
      </c>
      <c r="F7" s="22">
        <f t="shared" si="2"/>
        <v>6.6843955564535413</v>
      </c>
    </row>
    <row r="8" spans="1:6" ht="14.25" customHeight="1" x14ac:dyDescent="0.2">
      <c r="A8" s="20">
        <v>4</v>
      </c>
      <c r="B8" s="184" t="s">
        <v>3</v>
      </c>
      <c r="C8" s="185"/>
      <c r="D8" s="15">
        <f t="shared" si="0"/>
        <v>478112</v>
      </c>
      <c r="E8" s="18">
        <f t="shared" si="1"/>
        <v>2514926.5055805286</v>
      </c>
      <c r="F8" s="22">
        <f t="shared" si="2"/>
        <v>5.2601200253926459</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55856</v>
      </c>
      <c r="E10" s="18">
        <f t="shared" si="1"/>
        <v>958905.01499168819</v>
      </c>
      <c r="F10" s="22">
        <f t="shared" si="2"/>
        <v>17.167448707241626</v>
      </c>
    </row>
    <row r="11" spans="1:6" x14ac:dyDescent="0.2">
      <c r="A11" s="20">
        <v>7</v>
      </c>
      <c r="B11" s="184" t="s">
        <v>6</v>
      </c>
      <c r="C11" s="185"/>
      <c r="D11" s="15">
        <f t="shared" si="0"/>
        <v>60778</v>
      </c>
      <c r="E11" s="18">
        <f t="shared" si="1"/>
        <v>1297433.5180672591</v>
      </c>
      <c r="F11" s="22">
        <f t="shared" si="2"/>
        <v>21.347091349949967</v>
      </c>
    </row>
    <row r="12" spans="1:6" x14ac:dyDescent="0.2">
      <c r="A12" s="20">
        <v>8</v>
      </c>
      <c r="B12" s="184" t="s">
        <v>7</v>
      </c>
      <c r="C12" s="185"/>
      <c r="D12" s="15">
        <f t="shared" si="0"/>
        <v>8000</v>
      </c>
      <c r="E12" s="18">
        <f t="shared" si="1"/>
        <v>30252.014751029532</v>
      </c>
      <c r="F12" s="22">
        <f t="shared" si="2"/>
        <v>3.7815018438786914</v>
      </c>
    </row>
    <row r="13" spans="1:6" x14ac:dyDescent="0.2">
      <c r="A13" s="20">
        <v>9</v>
      </c>
      <c r="B13" s="184" t="s">
        <v>8</v>
      </c>
      <c r="C13" s="185"/>
      <c r="D13" s="15">
        <f t="shared" si="0"/>
        <v>102073</v>
      </c>
      <c r="E13" s="18">
        <f t="shared" si="1"/>
        <v>737832.05921022967</v>
      </c>
      <c r="F13" s="22">
        <f t="shared" si="2"/>
        <v>7.2284743194598935</v>
      </c>
    </row>
    <row r="14" spans="1:6" x14ac:dyDescent="0.2">
      <c r="A14" s="20">
        <v>10</v>
      </c>
      <c r="B14" s="184" t="s">
        <v>9</v>
      </c>
      <c r="C14" s="185"/>
      <c r="D14" s="15">
        <f t="shared" si="0"/>
        <v>2768</v>
      </c>
      <c r="E14" s="18">
        <f t="shared" si="1"/>
        <v>10467.141103856218</v>
      </c>
      <c r="F14" s="22">
        <f t="shared" si="2"/>
        <v>3.7814816126648187</v>
      </c>
    </row>
    <row r="15" spans="1:6" x14ac:dyDescent="0.2">
      <c r="A15" s="20">
        <v>11</v>
      </c>
      <c r="B15" s="184" t="s">
        <v>10</v>
      </c>
      <c r="C15" s="185"/>
      <c r="D15" s="15">
        <f t="shared" si="0"/>
        <v>176232</v>
      </c>
      <c r="E15" s="18">
        <f t="shared" si="1"/>
        <v>1246265.1889504297</v>
      </c>
      <c r="F15" s="22">
        <f t="shared" si="2"/>
        <v>7.0717303835309684</v>
      </c>
    </row>
    <row r="16" spans="1:6" ht="14.25" customHeight="1" x14ac:dyDescent="0.2">
      <c r="A16" s="20">
        <v>12</v>
      </c>
      <c r="B16" s="184" t="s">
        <v>11</v>
      </c>
      <c r="C16" s="185"/>
      <c r="D16" s="15">
        <f t="shared" si="0"/>
        <v>670752</v>
      </c>
      <c r="E16" s="18">
        <f t="shared" si="1"/>
        <v>4568503.1407853197</v>
      </c>
      <c r="F16" s="22">
        <f t="shared" si="2"/>
        <v>6.8110168002261933</v>
      </c>
    </row>
    <row r="17" spans="1:6" x14ac:dyDescent="0.2">
      <c r="A17" s="20">
        <v>13</v>
      </c>
      <c r="B17" s="184" t="s">
        <v>12</v>
      </c>
      <c r="C17" s="185"/>
      <c r="D17" s="15">
        <f t="shared" si="0"/>
        <v>110165</v>
      </c>
      <c r="E17" s="18">
        <f t="shared" si="1"/>
        <v>644285.15813089604</v>
      </c>
      <c r="F17" s="22">
        <f t="shared" si="2"/>
        <v>5.848365253309999</v>
      </c>
    </row>
    <row r="18" spans="1:6" ht="14.25" customHeight="1" x14ac:dyDescent="0.2">
      <c r="A18" s="20">
        <v>14</v>
      </c>
      <c r="B18" s="184" t="s">
        <v>469</v>
      </c>
      <c r="C18" s="185"/>
      <c r="D18" s="15">
        <f t="shared" si="0"/>
        <v>165964</v>
      </c>
      <c r="E18" s="18">
        <f t="shared" si="1"/>
        <v>1828393.5340174832</v>
      </c>
      <c r="F18" s="22">
        <f t="shared" si="2"/>
        <v>11.016808066915013</v>
      </c>
    </row>
    <row r="19" spans="1:6" x14ac:dyDescent="0.2">
      <c r="A19" s="20">
        <v>15</v>
      </c>
      <c r="B19" s="184" t="s">
        <v>13</v>
      </c>
      <c r="C19" s="185"/>
      <c r="D19" s="15">
        <f t="shared" si="0"/>
        <v>31248</v>
      </c>
      <c r="E19" s="18">
        <f t="shared" si="1"/>
        <v>518456.15361752134</v>
      </c>
      <c r="F19" s="22">
        <f t="shared" si="2"/>
        <v>16.591658781922725</v>
      </c>
    </row>
    <row r="20" spans="1:6" x14ac:dyDescent="0.2">
      <c r="A20" s="20">
        <v>16</v>
      </c>
      <c r="B20" s="184" t="s">
        <v>14</v>
      </c>
      <c r="C20" s="185"/>
      <c r="D20" s="15">
        <f t="shared" si="0"/>
        <v>305897</v>
      </c>
      <c r="E20" s="18">
        <f t="shared" si="1"/>
        <v>2480789.8830369599</v>
      </c>
      <c r="F20" s="22">
        <f t="shared" si="2"/>
        <v>8.109886278835555</v>
      </c>
    </row>
    <row r="21" spans="1:6" x14ac:dyDescent="0.2">
      <c r="A21" s="20">
        <v>17</v>
      </c>
      <c r="B21" s="184" t="s">
        <v>15</v>
      </c>
      <c r="C21" s="185"/>
      <c r="D21" s="15">
        <f t="shared" si="0"/>
        <v>37967</v>
      </c>
      <c r="E21" s="18">
        <f t="shared" si="1"/>
        <v>401893.27900654229</v>
      </c>
      <c r="F21" s="22">
        <f t="shared" si="2"/>
        <v>10.585331445901501</v>
      </c>
    </row>
    <row r="22" spans="1:6" x14ac:dyDescent="0.2">
      <c r="A22" s="20">
        <v>18</v>
      </c>
      <c r="B22" s="184" t="s">
        <v>16</v>
      </c>
      <c r="C22" s="185"/>
      <c r="D22" s="15">
        <f t="shared" si="0"/>
        <v>248550</v>
      </c>
      <c r="E22" s="18">
        <f t="shared" si="1"/>
        <v>1812503.3082960488</v>
      </c>
      <c r="F22" s="22">
        <f t="shared" si="2"/>
        <v>7.292308623198748</v>
      </c>
    </row>
    <row r="23" spans="1:6" x14ac:dyDescent="0.2">
      <c r="A23" s="20">
        <v>19</v>
      </c>
      <c r="B23" s="184" t="s">
        <v>17</v>
      </c>
      <c r="C23" s="185"/>
      <c r="D23" s="15">
        <f t="shared" si="0"/>
        <v>562554</v>
      </c>
      <c r="E23" s="18">
        <f t="shared" si="1"/>
        <v>3791395.1952813333</v>
      </c>
      <c r="F23" s="22">
        <f t="shared" si="2"/>
        <v>6.7396111222768535</v>
      </c>
    </row>
    <row r="24" spans="1:6" x14ac:dyDescent="0.2">
      <c r="A24" s="20">
        <v>20</v>
      </c>
      <c r="B24" s="184" t="s">
        <v>18</v>
      </c>
      <c r="C24" s="185"/>
      <c r="D24" s="15">
        <f t="shared" si="0"/>
        <v>60456</v>
      </c>
      <c r="E24" s="18">
        <f t="shared" si="1"/>
        <v>703786.22347353015</v>
      </c>
      <c r="F24" s="22">
        <f t="shared" si="2"/>
        <v>11.641296537540198</v>
      </c>
    </row>
    <row r="25" spans="1:6" ht="14.25" customHeight="1" x14ac:dyDescent="0.2">
      <c r="A25" s="20">
        <v>21</v>
      </c>
      <c r="B25" s="184" t="s">
        <v>466</v>
      </c>
      <c r="C25" s="185"/>
      <c r="D25" s="15">
        <f t="shared" si="0"/>
        <v>16331</v>
      </c>
      <c r="E25" s="18">
        <f t="shared" si="1"/>
        <v>61756.267112382913</v>
      </c>
      <c r="F25" s="22">
        <f t="shared" si="2"/>
        <v>3.7815361651082551</v>
      </c>
    </row>
    <row r="26" spans="1:6" x14ac:dyDescent="0.2">
      <c r="A26" s="20">
        <v>22</v>
      </c>
      <c r="B26" s="184" t="s">
        <v>19</v>
      </c>
      <c r="C26" s="185"/>
      <c r="D26" s="15">
        <f t="shared" si="0"/>
        <v>35531</v>
      </c>
      <c r="E26" s="18">
        <f t="shared" si="1"/>
        <v>134361.70251485379</v>
      </c>
      <c r="F26" s="22">
        <f t="shared" si="2"/>
        <v>3.7815345054981226</v>
      </c>
    </row>
    <row r="27" spans="1:6" x14ac:dyDescent="0.2">
      <c r="A27" s="20">
        <v>23</v>
      </c>
      <c r="B27" s="184" t="s">
        <v>20</v>
      </c>
      <c r="C27" s="185"/>
      <c r="D27" s="15">
        <f t="shared" si="0"/>
        <v>110442</v>
      </c>
      <c r="E27" s="18">
        <f t="shared" si="1"/>
        <v>1367624.7376416505</v>
      </c>
      <c r="F27" s="22">
        <f t="shared" si="2"/>
        <v>12.383194234454741</v>
      </c>
    </row>
    <row r="28" spans="1:6" x14ac:dyDescent="0.2">
      <c r="A28" s="20">
        <v>24</v>
      </c>
      <c r="B28" s="184" t="s">
        <v>21</v>
      </c>
      <c r="C28" s="185"/>
      <c r="D28" s="15">
        <f t="shared" si="0"/>
        <v>68451</v>
      </c>
      <c r="E28" s="18">
        <f t="shared" si="1"/>
        <v>462109.60321534029</v>
      </c>
      <c r="F28" s="22">
        <f t="shared" si="2"/>
        <v>6.7509547444937299</v>
      </c>
    </row>
    <row r="29" spans="1:6" x14ac:dyDescent="0.2">
      <c r="A29" s="20">
        <v>25</v>
      </c>
      <c r="B29" s="184" t="s">
        <v>22</v>
      </c>
      <c r="C29" s="185"/>
      <c r="D29" s="15">
        <f t="shared" si="0"/>
        <v>718288</v>
      </c>
      <c r="E29" s="18">
        <f t="shared" si="1"/>
        <v>4543553.5004359372</v>
      </c>
      <c r="F29" s="22">
        <f t="shared" si="2"/>
        <v>6.3255316814925733</v>
      </c>
    </row>
    <row r="30" spans="1:6" x14ac:dyDescent="0.2">
      <c r="A30" s="20">
        <v>26</v>
      </c>
      <c r="B30" s="184" t="s">
        <v>23</v>
      </c>
      <c r="C30" s="185"/>
      <c r="D30" s="15">
        <f t="shared" si="0"/>
        <v>353744</v>
      </c>
      <c r="E30" s="18">
        <f t="shared" si="1"/>
        <v>2676807.9402610241</v>
      </c>
      <c r="F30" s="22">
        <f t="shared" si="2"/>
        <v>7.5670765871958929</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5123439</v>
      </c>
      <c r="E33" s="32">
        <f>SUM(E5:E32)</f>
        <v>37809202</v>
      </c>
      <c r="F33" s="33">
        <f t="shared" si="2"/>
        <v>7.3796530026023532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IF(F3="1",SUMIF(Data!A:A,'45'!$A$2,Data!CU:CU),0)</f>
        <v>34568</v>
      </c>
      <c r="E36" s="16">
        <f>IF(F3="1",SUMIF(Data!$A:$A,'45'!$A$2,Data!IO:IO),0)</f>
        <v>21048</v>
      </c>
      <c r="F36" s="21">
        <f t="shared" ref="F36:F64" si="3">IFERROR(E36/D36,"")</f>
        <v>0.60888683175190927</v>
      </c>
    </row>
    <row r="37" spans="1:6" x14ac:dyDescent="0.2">
      <c r="A37" s="20">
        <v>2</v>
      </c>
      <c r="B37" s="184" t="s">
        <v>1</v>
      </c>
      <c r="C37" s="185"/>
      <c r="D37" s="15">
        <f>IF(F3="1",SUMIF(Data!A:A,'45'!$A$2,Data!CV:CV),0)</f>
        <v>40712</v>
      </c>
      <c r="E37" s="18">
        <f>IF(F3="1",SUMIF(Data!$A:$A,'45'!$A$2,Data!IP:IP),0)</f>
        <v>98205</v>
      </c>
      <c r="F37" s="22">
        <f t="shared" si="3"/>
        <v>2.4121880526626058</v>
      </c>
    </row>
    <row r="38" spans="1:6" ht="14.25" customHeight="1" x14ac:dyDescent="0.2">
      <c r="A38" s="20">
        <v>3</v>
      </c>
      <c r="B38" s="184" t="s">
        <v>2</v>
      </c>
      <c r="C38" s="185"/>
      <c r="D38" s="15">
        <f>IF(F3="1",SUMIF(Data!A:A,'45'!$A$2,Data!CW:CW),0)</f>
        <v>668000</v>
      </c>
      <c r="E38" s="18">
        <f>IF(F3="1",SUMIF(Data!$A:$A,'45'!$A$2,Data!IQ:IQ),0)</f>
        <v>776333</v>
      </c>
      <c r="F38" s="22">
        <f t="shared" si="3"/>
        <v>1.1621751497005988</v>
      </c>
    </row>
    <row r="39" spans="1:6" ht="14.25" customHeight="1" x14ac:dyDescent="0.2">
      <c r="A39" s="20">
        <v>4</v>
      </c>
      <c r="B39" s="184" t="s">
        <v>3</v>
      </c>
      <c r="C39" s="185"/>
      <c r="D39" s="15">
        <f>IF(F3="1",SUMIF(Data!A:A,'45'!$A$2,Data!CX:CX),0)</f>
        <v>478112</v>
      </c>
      <c r="E39" s="18">
        <f>IF(F3="1",SUMIF(Data!$A:$A,'45'!$A$2,Data!IR:IR),0)</f>
        <v>226735</v>
      </c>
      <c r="F39" s="22">
        <f t="shared" si="3"/>
        <v>0.47422988755772705</v>
      </c>
    </row>
    <row r="40" spans="1:6" x14ac:dyDescent="0.2">
      <c r="A40" s="20">
        <v>5</v>
      </c>
      <c r="B40" s="184" t="s">
        <v>4</v>
      </c>
      <c r="C40" s="185"/>
      <c r="D40" s="15">
        <f>IF(F3="1",SUMIF(Data!A:A,'45'!$A$2,Data!CY:CY),0)</f>
        <v>0</v>
      </c>
      <c r="E40" s="18">
        <f>IF(F3="1",SUMIF(Data!$A:$A,'45'!$A$2,Data!IS:IS),0)</f>
        <v>0</v>
      </c>
      <c r="F40" s="22" t="str">
        <f t="shared" si="3"/>
        <v/>
      </c>
    </row>
    <row r="41" spans="1:6" x14ac:dyDescent="0.2">
      <c r="A41" s="20">
        <v>6</v>
      </c>
      <c r="B41" s="184" t="s">
        <v>5</v>
      </c>
      <c r="C41" s="185"/>
      <c r="D41" s="15">
        <f>IF(F3="1",SUMIF(Data!A:A,'45'!$A$2,Data!CZ:CZ),0)</f>
        <v>55856</v>
      </c>
      <c r="E41" s="18">
        <f>IF(F3="1",SUMIF(Data!$A:$A,'45'!$A$2,Data!IT:IT),0)</f>
        <v>171471</v>
      </c>
      <c r="F41" s="22">
        <f t="shared" si="3"/>
        <v>3.0698761099971357</v>
      </c>
    </row>
    <row r="42" spans="1:6" x14ac:dyDescent="0.2">
      <c r="A42" s="20">
        <v>7</v>
      </c>
      <c r="B42" s="184" t="s">
        <v>6</v>
      </c>
      <c r="C42" s="185"/>
      <c r="D42" s="15">
        <f>IF(F3="1",SUMIF(Data!A:A,'45'!$A$2,Data!DA:DA),0)</f>
        <v>60778</v>
      </c>
      <c r="E42" s="18">
        <f>IF(F3="1",SUMIF(Data!$A:$A,'45'!$A$2,Data!IU:IU),0)</f>
        <v>110230</v>
      </c>
      <c r="F42" s="22">
        <f t="shared" si="3"/>
        <v>1.8136496758695582</v>
      </c>
    </row>
    <row r="43" spans="1:6" x14ac:dyDescent="0.2">
      <c r="A43" s="20">
        <v>8</v>
      </c>
      <c r="B43" s="184" t="s">
        <v>7</v>
      </c>
      <c r="C43" s="185"/>
      <c r="D43" s="15">
        <f>IF(F3="1",SUMIF(Data!A:A,'45'!$A$2,Data!DB:DB),0)</f>
        <v>8000</v>
      </c>
      <c r="E43" s="18">
        <f>IF(F3="1",SUMIF(Data!$A:$A,'45'!$A$2,Data!IV:IV),0)</f>
        <v>2905</v>
      </c>
      <c r="F43" s="22">
        <f t="shared" si="3"/>
        <v>0.36312499999999998</v>
      </c>
    </row>
    <row r="44" spans="1:6" x14ac:dyDescent="0.2">
      <c r="A44" s="20">
        <v>9</v>
      </c>
      <c r="B44" s="184" t="s">
        <v>8</v>
      </c>
      <c r="C44" s="185"/>
      <c r="D44" s="15">
        <f>IF(F3="1",SUMIF(Data!A:A,'45'!$A$2,Data!DC:DC),0)</f>
        <v>102073</v>
      </c>
      <c r="E44" s="18">
        <f>IF(F3="1",SUMIF(Data!$A:$A,'45'!$A$2,Data!IW:IW),0)</f>
        <v>253494</v>
      </c>
      <c r="F44" s="22">
        <f t="shared" si="3"/>
        <v>2.4834579173728608</v>
      </c>
    </row>
    <row r="45" spans="1:6" x14ac:dyDescent="0.2">
      <c r="A45" s="20">
        <v>10</v>
      </c>
      <c r="B45" s="184" t="s">
        <v>9</v>
      </c>
      <c r="C45" s="185"/>
      <c r="D45" s="15">
        <f>IF(F3="1",SUMIF(Data!A:A,'45'!$A$2,Data!DD:DD),0)</f>
        <v>2768</v>
      </c>
      <c r="E45" s="18">
        <f>IF(F3="1",SUMIF(Data!$A:$A,'45'!$A$2,Data!IX:IX),0)</f>
        <v>1005</v>
      </c>
      <c r="F45" s="22">
        <f t="shared" si="3"/>
        <v>0.36307803468208094</v>
      </c>
    </row>
    <row r="46" spans="1:6" x14ac:dyDescent="0.2">
      <c r="A46" s="20">
        <v>11</v>
      </c>
      <c r="B46" s="184" t="s">
        <v>10</v>
      </c>
      <c r="C46" s="185"/>
      <c r="D46" s="15">
        <f>IF(F3="1",SUMIF(Data!A:A,'45'!$A$2,Data!DE:DE),0)</f>
        <v>176232</v>
      </c>
      <c r="E46" s="18">
        <f>IF(F3="1",SUMIF(Data!$A:$A,'45'!$A$2,Data!IY:IY),0)</f>
        <v>200893</v>
      </c>
      <c r="F46" s="22">
        <f t="shared" si="3"/>
        <v>1.1399348585954878</v>
      </c>
    </row>
    <row r="47" spans="1:6" ht="14.25" customHeight="1" x14ac:dyDescent="0.2">
      <c r="A47" s="20">
        <v>12</v>
      </c>
      <c r="B47" s="184" t="s">
        <v>11</v>
      </c>
      <c r="C47" s="185"/>
      <c r="D47" s="15">
        <f>IF(F3="1",SUMIF(Data!A:A,'45'!$A$2,Data!DF:DF),0)</f>
        <v>670752</v>
      </c>
      <c r="E47" s="18">
        <f>IF(F3="1",SUMIF(Data!$A:$A,'45'!$A$2,Data!IZ:IZ),0)</f>
        <v>466537</v>
      </c>
      <c r="F47" s="22">
        <f t="shared" si="3"/>
        <v>0.69554321120175566</v>
      </c>
    </row>
    <row r="48" spans="1:6" x14ac:dyDescent="0.2">
      <c r="A48" s="20">
        <v>13</v>
      </c>
      <c r="B48" s="184" t="s">
        <v>12</v>
      </c>
      <c r="C48" s="185"/>
      <c r="D48" s="15">
        <f>IF(F3="1",SUMIF(Data!A:A,'45'!$A$2,Data!DG:DG),0)</f>
        <v>110165</v>
      </c>
      <c r="E48" s="18">
        <f>IF(F3="1",SUMIF(Data!$A:$A,'45'!$A$2,Data!JA:JA),0)</f>
        <v>80430</v>
      </c>
      <c r="F48" s="22">
        <f t="shared" si="3"/>
        <v>0.73008668814959377</v>
      </c>
    </row>
    <row r="49" spans="1:6" ht="14.25" customHeight="1" x14ac:dyDescent="0.2">
      <c r="A49" s="20">
        <v>14</v>
      </c>
      <c r="B49" s="184" t="s">
        <v>469</v>
      </c>
      <c r="C49" s="185"/>
      <c r="D49" s="15">
        <f>IF(F3="1",SUMIF(Data!A:A,'45'!$A$2,Data!DH:DH),0)</f>
        <v>165964</v>
      </c>
      <c r="E49" s="18">
        <f>IF(F3="1",SUMIF(Data!$A:$A,'45'!$A$2,Data!JB:JB),0)</f>
        <v>215368</v>
      </c>
      <c r="F49" s="22">
        <f t="shared" si="3"/>
        <v>1.2976790147260853</v>
      </c>
    </row>
    <row r="50" spans="1:6" x14ac:dyDescent="0.2">
      <c r="A50" s="20">
        <v>15</v>
      </c>
      <c r="B50" s="184" t="s">
        <v>13</v>
      </c>
      <c r="C50" s="185"/>
      <c r="D50" s="15">
        <f>IF(F3="1",SUMIF(Data!A:A,'45'!$A$2,Data!DI:DI),0)</f>
        <v>31248</v>
      </c>
      <c r="E50" s="18">
        <f>IF(F3="1",SUMIF(Data!$A:$A,'45'!$A$2,Data!JC:JC),0)</f>
        <v>108375</v>
      </c>
      <c r="F50" s="22">
        <f t="shared" si="3"/>
        <v>3.4682219662058373</v>
      </c>
    </row>
    <row r="51" spans="1:6" x14ac:dyDescent="0.2">
      <c r="A51" s="20">
        <v>16</v>
      </c>
      <c r="B51" s="184" t="s">
        <v>14</v>
      </c>
      <c r="C51" s="185"/>
      <c r="D51" s="15">
        <f>IF(F3="1",SUMIF(Data!A:A,'45'!$A$2,Data!DJ:DJ),0)</f>
        <v>305897</v>
      </c>
      <c r="E51" s="18">
        <f>IF(F3="1",SUMIF(Data!$A:$A,'45'!$A$2,Data!JD:JD),0)</f>
        <v>295435</v>
      </c>
      <c r="F51" s="22">
        <f t="shared" si="3"/>
        <v>0.96579894539665312</v>
      </c>
    </row>
    <row r="52" spans="1:6" x14ac:dyDescent="0.2">
      <c r="A52" s="20">
        <v>17</v>
      </c>
      <c r="B52" s="184" t="s">
        <v>15</v>
      </c>
      <c r="C52" s="185"/>
      <c r="D52" s="15">
        <f>IF(F3="1",SUMIF(Data!A:A,'45'!$A$2,Data!DK:DK),0)</f>
        <v>37967</v>
      </c>
      <c r="E52" s="18">
        <f>IF(F3="1",SUMIF(Data!$A:$A,'45'!$A$2,Data!JE:JE),0)</f>
        <v>42565</v>
      </c>
      <c r="F52" s="22">
        <f t="shared" si="3"/>
        <v>1.1211051702794532</v>
      </c>
    </row>
    <row r="53" spans="1:6" x14ac:dyDescent="0.2">
      <c r="A53" s="20">
        <v>18</v>
      </c>
      <c r="B53" s="184" t="s">
        <v>16</v>
      </c>
      <c r="C53" s="185"/>
      <c r="D53" s="15">
        <f>IF(F3="1",SUMIF(Data!A:A,'45'!$A$2,Data!DL:DL),0)</f>
        <v>248550</v>
      </c>
      <c r="E53" s="18">
        <f>IF(F3="1",SUMIF(Data!$A:$A,'45'!$A$2,Data!JF:JF),0)</f>
        <v>208697</v>
      </c>
      <c r="F53" s="22">
        <f t="shared" si="3"/>
        <v>0.83965801649567495</v>
      </c>
    </row>
    <row r="54" spans="1:6" x14ac:dyDescent="0.2">
      <c r="A54" s="20">
        <v>19</v>
      </c>
      <c r="B54" s="184" t="s">
        <v>17</v>
      </c>
      <c r="C54" s="185"/>
      <c r="D54" s="15">
        <f>IF(F3="1",SUMIF(Data!A:A,'45'!$A$2,Data!DM:DM),0)</f>
        <v>562554</v>
      </c>
      <c r="E54" s="18">
        <f>IF(F3="1",SUMIF(Data!$A:$A,'45'!$A$2,Data!JG:JG),0)</f>
        <v>456556</v>
      </c>
      <c r="F54" s="22">
        <f t="shared" si="3"/>
        <v>0.81157719969993991</v>
      </c>
    </row>
    <row r="55" spans="1:6" x14ac:dyDescent="0.2">
      <c r="A55" s="20">
        <v>20</v>
      </c>
      <c r="B55" s="184" t="s">
        <v>18</v>
      </c>
      <c r="C55" s="185"/>
      <c r="D55" s="15">
        <f>IF(F3="1",SUMIF(Data!A:A,'45'!$A$2,Data!DN:DN),0)</f>
        <v>60456</v>
      </c>
      <c r="E55" s="18">
        <f>IF(F3="1",SUMIF(Data!$A:$A,'45'!$A$2,Data!JH:JH),0)</f>
        <v>188070</v>
      </c>
      <c r="F55" s="22">
        <f t="shared" si="3"/>
        <v>3.1108574831282256</v>
      </c>
    </row>
    <row r="56" spans="1:6" ht="14.25" customHeight="1" x14ac:dyDescent="0.2">
      <c r="A56" s="20">
        <v>21</v>
      </c>
      <c r="B56" s="184" t="s">
        <v>466</v>
      </c>
      <c r="C56" s="185"/>
      <c r="D56" s="15">
        <f>IF(F3="1",SUMIF(Data!A:A,'45'!$A$2,Data!DO:DO),0)</f>
        <v>16331</v>
      </c>
      <c r="E56" s="18">
        <f>IF(F3="1",SUMIF(Data!$A:$A,'45'!$A$2,Data!JI:JI),0)</f>
        <v>5930</v>
      </c>
      <c r="F56" s="22">
        <f t="shared" si="3"/>
        <v>0.36311309778948014</v>
      </c>
    </row>
    <row r="57" spans="1:6" x14ac:dyDescent="0.2">
      <c r="A57" s="20">
        <v>22</v>
      </c>
      <c r="B57" s="184" t="s">
        <v>19</v>
      </c>
      <c r="C57" s="185"/>
      <c r="D57" s="15">
        <f>IF(F3="1",SUMIF(Data!A:A,'45'!$A$2,Data!DP:DP),0)</f>
        <v>35531</v>
      </c>
      <c r="E57" s="18">
        <f>IF(F3="1",SUMIF(Data!$A:$A,'45'!$A$2,Data!JJ:JJ),0)</f>
        <v>12902</v>
      </c>
      <c r="F57" s="22">
        <f t="shared" si="3"/>
        <v>0.36311952942500914</v>
      </c>
    </row>
    <row r="58" spans="1:6" x14ac:dyDescent="0.2">
      <c r="A58" s="20">
        <v>23</v>
      </c>
      <c r="B58" s="184" t="s">
        <v>20</v>
      </c>
      <c r="C58" s="185"/>
      <c r="D58" s="15">
        <f>IF(F3="1",SUMIF(Data!A:A,'45'!$A$2,Data!DQ:DQ),0)</f>
        <v>110442</v>
      </c>
      <c r="E58" s="18">
        <f>IF(F3="1",SUMIF(Data!$A:$A,'45'!$A$2,Data!JK:JK),0)</f>
        <v>103163</v>
      </c>
      <c r="F58" s="22">
        <f t="shared" si="3"/>
        <v>0.93409210264211084</v>
      </c>
    </row>
    <row r="59" spans="1:6" x14ac:dyDescent="0.2">
      <c r="A59" s="20">
        <v>24</v>
      </c>
      <c r="B59" s="184" t="s">
        <v>21</v>
      </c>
      <c r="C59" s="185"/>
      <c r="D59" s="15">
        <f>IF(F3="1",SUMIF(Data!A:A,'45'!$A$2,Data!DR:DR),0)</f>
        <v>68451</v>
      </c>
      <c r="E59" s="18">
        <f>IF(F3="1",SUMIF(Data!$A:$A,'45'!$A$2,Data!JL:JL),0)</f>
        <v>108523</v>
      </c>
      <c r="F59" s="22">
        <f t="shared" si="3"/>
        <v>1.5854114622138464</v>
      </c>
    </row>
    <row r="60" spans="1:6" x14ac:dyDescent="0.2">
      <c r="A60" s="20">
        <v>25</v>
      </c>
      <c r="B60" s="184" t="s">
        <v>22</v>
      </c>
      <c r="C60" s="185"/>
      <c r="D60" s="15">
        <f>IF(F3="1",SUMIF(Data!A:A,'45'!$A$2,Data!DS:DS),0)</f>
        <v>718288</v>
      </c>
      <c r="E60" s="18">
        <f>IF(F3="1",SUMIF(Data!$A:$A,'45'!$A$2,Data!JM:JM),0)</f>
        <v>385340</v>
      </c>
      <c r="F60" s="22">
        <f t="shared" si="3"/>
        <v>0.53647005101017975</v>
      </c>
    </row>
    <row r="61" spans="1:6" x14ac:dyDescent="0.2">
      <c r="A61" s="20">
        <v>26</v>
      </c>
      <c r="B61" s="184" t="s">
        <v>23</v>
      </c>
      <c r="C61" s="185"/>
      <c r="D61" s="15">
        <f>IF(F3="1",SUMIF(Data!A:A,'45'!$A$2,Data!DT:DT),0)</f>
        <v>353744</v>
      </c>
      <c r="E61" s="18">
        <f>IF(F3="1",SUMIF(Data!$A:$A,'45'!$A$2,Data!JN:JN),0)</f>
        <v>432101</v>
      </c>
      <c r="F61" s="22">
        <f t="shared" si="3"/>
        <v>1.2215076439459043</v>
      </c>
    </row>
    <row r="62" spans="1:6" x14ac:dyDescent="0.2">
      <c r="A62" s="20">
        <v>28</v>
      </c>
      <c r="B62" s="184" t="s">
        <v>24</v>
      </c>
      <c r="C62" s="185"/>
      <c r="D62" s="15">
        <f>IF(F3="1",SUMIF(Data!A:A,'45'!$A$2,Data!DV:DV),0)</f>
        <v>0</v>
      </c>
      <c r="E62" s="18">
        <f>IF(F3="1",SUMIF(Data!$A:$A,'45'!$A$2,Data!JP:JP),0)</f>
        <v>0</v>
      </c>
      <c r="F62" s="22" t="str">
        <f t="shared" si="3"/>
        <v/>
      </c>
    </row>
    <row r="63" spans="1:6" ht="15.75" customHeight="1" thickBot="1" x14ac:dyDescent="0.25">
      <c r="A63" s="23">
        <v>29</v>
      </c>
      <c r="B63" s="186" t="s">
        <v>25</v>
      </c>
      <c r="C63" s="187"/>
      <c r="D63" s="24">
        <f>IF(F3="1",SUMIF(Data!A:A,'45'!$A$2,Data!DW:DW),0)</f>
        <v>0</v>
      </c>
      <c r="E63" s="25">
        <f>IF(F3="1",SUMIF(Data!$A:$A,'45'!$A$2,Data!JQ:JQ),0)</f>
        <v>0</v>
      </c>
      <c r="F63" s="26" t="str">
        <f t="shared" si="3"/>
        <v/>
      </c>
    </row>
    <row r="64" spans="1:6" x14ac:dyDescent="0.2">
      <c r="B64" s="31" t="s">
        <v>35</v>
      </c>
      <c r="C64" s="31"/>
      <c r="D64" s="61">
        <f>SUM(D36:D63)</f>
        <v>5123439</v>
      </c>
      <c r="E64" s="32">
        <f>SUM(E36:E63)</f>
        <v>4972311</v>
      </c>
      <c r="F64" s="33">
        <f t="shared" si="3"/>
        <v>0.97050262528742903</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34568</v>
      </c>
      <c r="E67" s="16">
        <f>IF(F3="1",SUMIF(Data!A:A,'45'!$A$2,Data!DY:DY),0)</f>
        <v>47922</v>
      </c>
      <c r="F67" s="21">
        <f>IFERROR(E67/D67,"")</f>
        <v>1.3863110391113169</v>
      </c>
    </row>
    <row r="68" spans="1:6" x14ac:dyDescent="0.2">
      <c r="A68" s="20">
        <v>2</v>
      </c>
      <c r="B68" s="184" t="s">
        <v>1</v>
      </c>
      <c r="C68" s="185"/>
      <c r="D68" s="15">
        <f t="shared" ref="D68:D94" si="4">D37</f>
        <v>40712</v>
      </c>
      <c r="E68" s="18">
        <f>IF(F3="1",SUMIF(Data!A:A,'45'!$A$2,Data!DZ:DZ),0)</f>
        <v>134093</v>
      </c>
      <c r="F68" s="22">
        <f t="shared" ref="F68:F95" si="5">IFERROR(E68/D68,"")</f>
        <v>3.293697190017685</v>
      </c>
    </row>
    <row r="69" spans="1:6" ht="14.25" customHeight="1" x14ac:dyDescent="0.2">
      <c r="A69" s="20">
        <v>3</v>
      </c>
      <c r="B69" s="184" t="s">
        <v>2</v>
      </c>
      <c r="C69" s="185"/>
      <c r="D69" s="15">
        <f t="shared" si="4"/>
        <v>668000</v>
      </c>
      <c r="E69" s="18">
        <f>IF(F3="1",SUMIF(Data!A:A,'45'!$A$2,Data!EA:EA),0)</f>
        <v>1466406</v>
      </c>
      <c r="F69" s="22">
        <f t="shared" si="5"/>
        <v>2.1952185628742513</v>
      </c>
    </row>
    <row r="70" spans="1:6" ht="14.25" customHeight="1" x14ac:dyDescent="0.2">
      <c r="A70" s="20">
        <v>4</v>
      </c>
      <c r="B70" s="184" t="s">
        <v>3</v>
      </c>
      <c r="C70" s="185"/>
      <c r="D70" s="15">
        <f t="shared" si="4"/>
        <v>478112</v>
      </c>
      <c r="E70" s="18">
        <f>IF(F3="1",SUMIF(Data!A:A,'45'!$A$2,Data!EB:EB),0)</f>
        <v>697512</v>
      </c>
      <c r="F70" s="22">
        <f t="shared" si="5"/>
        <v>1.4588882939562278</v>
      </c>
    </row>
    <row r="71" spans="1:6" x14ac:dyDescent="0.2">
      <c r="A71" s="20">
        <v>5</v>
      </c>
      <c r="B71" s="184" t="s">
        <v>4</v>
      </c>
      <c r="C71" s="185"/>
      <c r="D71" s="15">
        <f t="shared" si="4"/>
        <v>0</v>
      </c>
      <c r="E71" s="18">
        <f>IF(F3="1",SUMIF(Data!A:A,'45'!$A$2,Data!EC:EC),0)</f>
        <v>0</v>
      </c>
      <c r="F71" s="22" t="str">
        <f t="shared" si="5"/>
        <v/>
      </c>
    </row>
    <row r="72" spans="1:6" x14ac:dyDescent="0.2">
      <c r="A72" s="20">
        <v>6</v>
      </c>
      <c r="B72" s="184" t="s">
        <v>5</v>
      </c>
      <c r="C72" s="185"/>
      <c r="D72" s="15">
        <f t="shared" si="4"/>
        <v>55856</v>
      </c>
      <c r="E72" s="18">
        <f>IF(F3="1",SUMIF(Data!A:A,'45'!$A$2,Data!ED:ED),0)</f>
        <v>601601</v>
      </c>
      <c r="F72" s="22">
        <f t="shared" si="5"/>
        <v>10.770570753365798</v>
      </c>
    </row>
    <row r="73" spans="1:6" x14ac:dyDescent="0.2">
      <c r="A73" s="20">
        <v>7</v>
      </c>
      <c r="B73" s="184" t="s">
        <v>6</v>
      </c>
      <c r="C73" s="185"/>
      <c r="D73" s="15">
        <f t="shared" si="4"/>
        <v>60778</v>
      </c>
      <c r="E73" s="18">
        <f>IF(F3="1",SUMIF(Data!A:A,'45'!$A$2,Data!EE:EE),0)</f>
        <v>984995</v>
      </c>
      <c r="F73" s="22">
        <f t="shared" si="5"/>
        <v>16.206439830201717</v>
      </c>
    </row>
    <row r="74" spans="1:6" x14ac:dyDescent="0.2">
      <c r="A74" s="20">
        <v>8</v>
      </c>
      <c r="B74" s="184" t="s">
        <v>7</v>
      </c>
      <c r="C74" s="185"/>
      <c r="D74" s="15">
        <f t="shared" si="4"/>
        <v>8000</v>
      </c>
      <c r="E74" s="18">
        <f>IF(F3="1",SUMIF(Data!A:A,'45'!$A$2,Data!EF:EF),0)</f>
        <v>731</v>
      </c>
      <c r="F74" s="22">
        <f t="shared" si="5"/>
        <v>9.1374999999999998E-2</v>
      </c>
    </row>
    <row r="75" spans="1:6" x14ac:dyDescent="0.2">
      <c r="A75" s="20">
        <v>9</v>
      </c>
      <c r="B75" s="184" t="s">
        <v>8</v>
      </c>
      <c r="C75" s="185"/>
      <c r="D75" s="15">
        <f t="shared" si="4"/>
        <v>102073</v>
      </c>
      <c r="E75" s="18">
        <f>IF(F3="1",SUMIF(Data!A:A,'45'!$A$2,Data!EG:EG),0)</f>
        <v>144741</v>
      </c>
      <c r="F75" s="22">
        <f t="shared" si="5"/>
        <v>1.418014558208341</v>
      </c>
    </row>
    <row r="76" spans="1:6" x14ac:dyDescent="0.2">
      <c r="A76" s="20">
        <v>10</v>
      </c>
      <c r="B76" s="184" t="s">
        <v>9</v>
      </c>
      <c r="C76" s="185"/>
      <c r="D76" s="15">
        <f t="shared" si="4"/>
        <v>2768</v>
      </c>
      <c r="E76" s="18">
        <f>IF(F3="1",SUMIF(Data!A:A,'45'!$A$2,Data!EH:EH),0)</f>
        <v>253</v>
      </c>
      <c r="F76" s="22">
        <f t="shared" si="5"/>
        <v>9.1401734104046242E-2</v>
      </c>
    </row>
    <row r="77" spans="1:6" x14ac:dyDescent="0.2">
      <c r="A77" s="20">
        <v>11</v>
      </c>
      <c r="B77" s="184" t="s">
        <v>10</v>
      </c>
      <c r="C77" s="185"/>
      <c r="D77" s="15">
        <f t="shared" si="4"/>
        <v>176232</v>
      </c>
      <c r="E77" s="18">
        <f>IF(F3="1",SUMIF(Data!A:A,'45'!$A$2,Data!EI:EI),0)</f>
        <v>459048</v>
      </c>
      <c r="F77" s="22">
        <f t="shared" si="5"/>
        <v>2.6047936810567887</v>
      </c>
    </row>
    <row r="78" spans="1:6" ht="14.25" customHeight="1" x14ac:dyDescent="0.2">
      <c r="A78" s="20">
        <v>12</v>
      </c>
      <c r="B78" s="184" t="s">
        <v>11</v>
      </c>
      <c r="C78" s="185"/>
      <c r="D78" s="15">
        <f t="shared" si="4"/>
        <v>670752</v>
      </c>
      <c r="E78" s="18">
        <f>IF(F3="1",SUMIF(Data!A:A,'45'!$A$2,Data!EJ:EJ),0)</f>
        <v>1870373</v>
      </c>
      <c r="F78" s="22">
        <f t="shared" si="5"/>
        <v>2.7884717451457468</v>
      </c>
    </row>
    <row r="79" spans="1:6" x14ac:dyDescent="0.2">
      <c r="A79" s="20">
        <v>13</v>
      </c>
      <c r="B79" s="184" t="s">
        <v>12</v>
      </c>
      <c r="C79" s="185"/>
      <c r="D79" s="15">
        <f t="shared" si="4"/>
        <v>110165</v>
      </c>
      <c r="E79" s="18">
        <f>IF(F3="1",SUMIF(Data!A:A,'45'!$A$2,Data!EK:EK),0)</f>
        <v>197336</v>
      </c>
      <c r="F79" s="22">
        <f t="shared" si="5"/>
        <v>1.7912767212817138</v>
      </c>
    </row>
    <row r="80" spans="1:6" ht="14.25" customHeight="1" x14ac:dyDescent="0.2">
      <c r="A80" s="20">
        <v>14</v>
      </c>
      <c r="B80" s="184" t="s">
        <v>469</v>
      </c>
      <c r="C80" s="185"/>
      <c r="D80" s="15">
        <f t="shared" si="4"/>
        <v>165964</v>
      </c>
      <c r="E80" s="18">
        <f>IF(F3="1",SUMIF(Data!A:A,'45'!$A$2,Data!EL:EL),0)</f>
        <v>1060863</v>
      </c>
      <c r="F80" s="22">
        <f t="shared" si="5"/>
        <v>6.3921272083102361</v>
      </c>
    </row>
    <row r="81" spans="1:6" x14ac:dyDescent="0.2">
      <c r="A81" s="20">
        <v>15</v>
      </c>
      <c r="B81" s="184" t="s">
        <v>13</v>
      </c>
      <c r="C81" s="185"/>
      <c r="D81" s="15">
        <f t="shared" si="4"/>
        <v>31248</v>
      </c>
      <c r="E81" s="18">
        <f>IF(F3="1",SUMIF(Data!A:A,'45'!$A$2,Data!EM:EM),0)</f>
        <v>306119</v>
      </c>
      <c r="F81" s="22">
        <f t="shared" si="5"/>
        <v>9.7964349718381971</v>
      </c>
    </row>
    <row r="82" spans="1:6" x14ac:dyDescent="0.2">
      <c r="A82" s="20">
        <v>16</v>
      </c>
      <c r="B82" s="184" t="s">
        <v>14</v>
      </c>
      <c r="C82" s="185"/>
      <c r="D82" s="15">
        <f t="shared" si="4"/>
        <v>305897</v>
      </c>
      <c r="E82" s="18">
        <f>IF(F3="1",SUMIF(Data!A:A,'45'!$A$2,Data!EN:EN),0)</f>
        <v>1167635</v>
      </c>
      <c r="F82" s="22">
        <f t="shared" si="5"/>
        <v>3.8170854895602115</v>
      </c>
    </row>
    <row r="83" spans="1:6" x14ac:dyDescent="0.2">
      <c r="A83" s="20">
        <v>17</v>
      </c>
      <c r="B83" s="184" t="s">
        <v>15</v>
      </c>
      <c r="C83" s="185"/>
      <c r="D83" s="15">
        <f t="shared" si="4"/>
        <v>37967</v>
      </c>
      <c r="E83" s="18">
        <f>IF(F3="1",SUMIF(Data!A:A,'45'!$A$2,Data!EO:EO),0)</f>
        <v>233012</v>
      </c>
      <c r="F83" s="22">
        <f t="shared" si="5"/>
        <v>6.1372244317433564</v>
      </c>
    </row>
    <row r="84" spans="1:6" x14ac:dyDescent="0.2">
      <c r="A84" s="20">
        <v>18</v>
      </c>
      <c r="B84" s="184" t="s">
        <v>16</v>
      </c>
      <c r="C84" s="185"/>
      <c r="D84" s="15">
        <f t="shared" si="4"/>
        <v>248550</v>
      </c>
      <c r="E84" s="18">
        <f>IF(F3="1",SUMIF(Data!A:A,'45'!$A$2,Data!EP:EP),0)</f>
        <v>776880</v>
      </c>
      <c r="F84" s="22">
        <f t="shared" si="5"/>
        <v>3.1256487628243814</v>
      </c>
    </row>
    <row r="85" spans="1:6" x14ac:dyDescent="0.2">
      <c r="A85" s="20">
        <v>19</v>
      </c>
      <c r="B85" s="184" t="s">
        <v>17</v>
      </c>
      <c r="C85" s="185"/>
      <c r="D85" s="15">
        <f t="shared" si="4"/>
        <v>562554</v>
      </c>
      <c r="E85" s="18">
        <f>IF(F3="1",SUMIF(Data!A:A,'45'!$A$2,Data!EQ:EQ),0)</f>
        <v>1463221</v>
      </c>
      <c r="F85" s="22">
        <f t="shared" si="5"/>
        <v>2.6010320786982226</v>
      </c>
    </row>
    <row r="86" spans="1:6" x14ac:dyDescent="0.2">
      <c r="A86" s="20">
        <v>20</v>
      </c>
      <c r="B86" s="184" t="s">
        <v>18</v>
      </c>
      <c r="C86" s="185"/>
      <c r="D86" s="15">
        <f t="shared" si="4"/>
        <v>60456</v>
      </c>
      <c r="E86" s="18">
        <f>IF(F3="1",SUMIF(Data!A:A,'45'!$A$2,Data!ER:ER),0)</f>
        <v>314579</v>
      </c>
      <c r="F86" s="22">
        <f t="shared" si="5"/>
        <v>5.2034372105332807</v>
      </c>
    </row>
    <row r="87" spans="1:6" ht="14.25" customHeight="1" x14ac:dyDescent="0.2">
      <c r="A87" s="20">
        <v>21</v>
      </c>
      <c r="B87" s="184" t="s">
        <v>466</v>
      </c>
      <c r="C87" s="185"/>
      <c r="D87" s="15">
        <f t="shared" si="4"/>
        <v>16331</v>
      </c>
      <c r="E87" s="18">
        <f>IF(F3="1",SUMIF(Data!A:A,'45'!$A$2,Data!ES:ES),0)</f>
        <v>1493</v>
      </c>
      <c r="F87" s="22">
        <f t="shared" si="5"/>
        <v>9.1421223440083271E-2</v>
      </c>
    </row>
    <row r="88" spans="1:6" x14ac:dyDescent="0.2">
      <c r="A88" s="20">
        <v>22</v>
      </c>
      <c r="B88" s="184" t="s">
        <v>19</v>
      </c>
      <c r="C88" s="185"/>
      <c r="D88" s="15">
        <f t="shared" si="4"/>
        <v>35531</v>
      </c>
      <c r="E88" s="18">
        <f>IF(F3="1",SUMIF(Data!A:A,'45'!$A$2,Data!ET:ET),0)</f>
        <v>3248</v>
      </c>
      <c r="F88" s="22">
        <f t="shared" si="5"/>
        <v>9.1413132194421778E-2</v>
      </c>
    </row>
    <row r="89" spans="1:6" x14ac:dyDescent="0.2">
      <c r="A89" s="20">
        <v>23</v>
      </c>
      <c r="B89" s="184" t="s">
        <v>20</v>
      </c>
      <c r="C89" s="185"/>
      <c r="D89" s="15">
        <f t="shared" si="4"/>
        <v>110442</v>
      </c>
      <c r="E89" s="18">
        <f>IF(F3="1",SUMIF(Data!A:A,'45'!$A$2,Data!EU:EU),0)</f>
        <v>897021</v>
      </c>
      <c r="F89" s="22">
        <f t="shared" si="5"/>
        <v>8.1221002879339377</v>
      </c>
    </row>
    <row r="90" spans="1:6" x14ac:dyDescent="0.2">
      <c r="A90" s="20">
        <v>24</v>
      </c>
      <c r="B90" s="184" t="s">
        <v>21</v>
      </c>
      <c r="C90" s="185"/>
      <c r="D90" s="15">
        <f t="shared" si="4"/>
        <v>68451</v>
      </c>
      <c r="E90" s="18">
        <f>IF(F3="1",SUMIF(Data!A:A,'45'!$A$2,Data!EV:EV),0)</f>
        <v>125850</v>
      </c>
      <c r="F90" s="22">
        <f t="shared" si="5"/>
        <v>1.838541438401192</v>
      </c>
    </row>
    <row r="91" spans="1:6" x14ac:dyDescent="0.2">
      <c r="A91" s="20">
        <v>25</v>
      </c>
      <c r="B91" s="184" t="s">
        <v>22</v>
      </c>
      <c r="C91" s="185"/>
      <c r="D91" s="15">
        <f t="shared" si="4"/>
        <v>718288</v>
      </c>
      <c r="E91" s="18">
        <f>IF(F3="1",SUMIF(Data!A:A,'45'!$A$2,Data!EW:EW),0)</f>
        <v>1768468</v>
      </c>
      <c r="F91" s="22">
        <f t="shared" si="5"/>
        <v>2.4620597866037022</v>
      </c>
    </row>
    <row r="92" spans="1:6" x14ac:dyDescent="0.2">
      <c r="A92" s="20">
        <v>26</v>
      </c>
      <c r="B92" s="184" t="s">
        <v>23</v>
      </c>
      <c r="C92" s="185"/>
      <c r="D92" s="15">
        <f t="shared" si="4"/>
        <v>353744</v>
      </c>
      <c r="E92" s="18">
        <f>IF(F3="1",SUMIF(Data!A:A,'45'!$A$2,Data!EX:EX),0)</f>
        <v>1067800</v>
      </c>
      <c r="F92" s="22">
        <f t="shared" si="5"/>
        <v>3.018567099371297</v>
      </c>
    </row>
    <row r="93" spans="1:6" x14ac:dyDescent="0.2">
      <c r="A93" s="20">
        <v>28</v>
      </c>
      <c r="B93" s="184" t="s">
        <v>24</v>
      </c>
      <c r="C93" s="185"/>
      <c r="D93" s="15">
        <f t="shared" si="4"/>
        <v>0</v>
      </c>
      <c r="E93" s="18">
        <f>IF(F3="1",SUMIF(Data!A:A,'45'!$A$2,Data!EZ:EZ),0)</f>
        <v>0</v>
      </c>
      <c r="F93" s="22" t="str">
        <f t="shared" si="5"/>
        <v/>
      </c>
    </row>
    <row r="94" spans="1:6" ht="15.75" customHeight="1" thickBot="1" x14ac:dyDescent="0.25">
      <c r="A94" s="23">
        <v>29</v>
      </c>
      <c r="B94" s="186" t="s">
        <v>25</v>
      </c>
      <c r="C94" s="187"/>
      <c r="D94" s="24">
        <f t="shared" si="4"/>
        <v>0</v>
      </c>
      <c r="E94" s="25">
        <f>IF(F3="1",SUMIF(Data!A:A,'45'!$A$2,Data!FA:FA),0)</f>
        <v>0</v>
      </c>
      <c r="F94" s="26" t="str">
        <f t="shared" si="5"/>
        <v/>
      </c>
    </row>
    <row r="95" spans="1:6" x14ac:dyDescent="0.2">
      <c r="B95" s="31" t="s">
        <v>35</v>
      </c>
      <c r="C95" s="31"/>
      <c r="D95" s="61">
        <f>SUM(D67:D94)</f>
        <v>5123439</v>
      </c>
      <c r="E95" s="32">
        <f>SUM(E67:E94)</f>
        <v>15791200</v>
      </c>
      <c r="F95" s="33">
        <f t="shared" si="5"/>
        <v>3.0821485334362331</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IF(F3="1",SUMIF(Data!A:A,'45'!$A$2,Data!AH:AH),0)</f>
        <v>7115771</v>
      </c>
      <c r="F98" s="21">
        <f t="shared" ref="F98:F105" si="6">IFERROR(E98/$D$95,0)</f>
        <v>1.3888661502557169</v>
      </c>
    </row>
    <row r="99" spans="2:6" x14ac:dyDescent="0.2">
      <c r="B99" s="190" t="s">
        <v>31</v>
      </c>
      <c r="C99" s="191"/>
      <c r="D99" s="37"/>
      <c r="E99" s="18">
        <f>IF(F3="1",SUMIF(Data!A:A,'45'!$A$2,Data!AI:AI),0)</f>
        <v>5431335</v>
      </c>
      <c r="F99" s="22">
        <f t="shared" si="6"/>
        <v>1.0600955725246266</v>
      </c>
    </row>
    <row r="100" spans="2:6" x14ac:dyDescent="0.2">
      <c r="B100" s="190" t="s">
        <v>32</v>
      </c>
      <c r="C100" s="191"/>
      <c r="D100" s="37"/>
      <c r="E100" s="18">
        <f>IF(F3="1",SUMIF(Data!A:A,'45'!$A$2,Data!AJ:AJ),0)</f>
        <v>1843441</v>
      </c>
      <c r="F100" s="22">
        <f t="shared" si="6"/>
        <v>0.35980539633632802</v>
      </c>
    </row>
    <row r="101" spans="2:6" x14ac:dyDescent="0.2">
      <c r="B101" s="190" t="s">
        <v>28</v>
      </c>
      <c r="C101" s="191"/>
      <c r="D101" s="37"/>
      <c r="E101" s="18">
        <f>IF(F3="1",SUMIF(Data!A:A,'45'!$A$2,Data!AK:AK),0)</f>
        <v>0</v>
      </c>
      <c r="F101" s="22">
        <f t="shared" si="6"/>
        <v>0</v>
      </c>
    </row>
    <row r="102" spans="2:6" x14ac:dyDescent="0.2">
      <c r="B102" s="190" t="s">
        <v>33</v>
      </c>
      <c r="C102" s="191"/>
      <c r="D102" s="37"/>
      <c r="E102" s="18">
        <f>IF(F3="1",SUMIF(Data!A:A,'45'!$A$2,Data!AL:AL),0)</f>
        <v>767792</v>
      </c>
      <c r="F102" s="22">
        <f t="shared" si="6"/>
        <v>0.14985871794316277</v>
      </c>
    </row>
    <row r="103" spans="2:6" x14ac:dyDescent="0.2">
      <c r="B103" s="192" t="s">
        <v>34</v>
      </c>
      <c r="C103" s="193"/>
      <c r="D103" s="37"/>
      <c r="E103" s="18">
        <f>IF(F3="1",SUMIF(Data!A:A,'45'!$A$2,Data!AM:AM),0)</f>
        <v>711180</v>
      </c>
      <c r="F103" s="22">
        <f t="shared" si="6"/>
        <v>0.13880910849138636</v>
      </c>
    </row>
    <row r="104" spans="2:6" ht="15.75" customHeight="1" thickBot="1" x14ac:dyDescent="0.25">
      <c r="B104" s="182" t="s">
        <v>29</v>
      </c>
      <c r="C104" s="183"/>
      <c r="D104" s="38"/>
      <c r="E104" s="25">
        <f>IF(F3="1",SUMIF(Data!A:A,'45'!$A$2,Data!Q:Q),0)</f>
        <v>1176172</v>
      </c>
      <c r="F104" s="26">
        <f t="shared" si="6"/>
        <v>0.22956689832747107</v>
      </c>
    </row>
    <row r="105" spans="2:6" x14ac:dyDescent="0.2">
      <c r="B105" s="31" t="s">
        <v>35</v>
      </c>
      <c r="C105" s="31"/>
      <c r="D105" s="35">
        <f>D95</f>
        <v>5123439</v>
      </c>
      <c r="E105" s="32">
        <f>SUM(E98:E104)</f>
        <v>17045691</v>
      </c>
      <c r="F105" s="33">
        <f t="shared" si="6"/>
        <v>3.3270018438786915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15791200</v>
      </c>
      <c r="D109" s="16">
        <f>IF(F3="1",SUMIF(Data!$A:$A,$A$2,Data!HJ:HJ),0)</f>
        <v>0</v>
      </c>
      <c r="E109" s="16">
        <f>IF(F3="1",SUMIF(Data!$A:$A,$A$2,Data!IN:IN),0)</f>
        <v>0</v>
      </c>
      <c r="F109" s="48">
        <f>SUM(C109:E109)</f>
        <v>15791200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767792</v>
      </c>
      <c r="F116" s="49">
        <f t="shared" si="7"/>
        <v>767792</v>
      </c>
    </row>
    <row r="117" spans="1:6" ht="15" thickBot="1" x14ac:dyDescent="0.25">
      <c r="B117" s="44" t="s">
        <v>941</v>
      </c>
      <c r="C117" s="53"/>
      <c r="D117" s="53">
        <f>IF(F3="1",SUMIF(Data!A:A,$A$2,Data!Q:Q),0)</f>
        <v>1176172</v>
      </c>
      <c r="E117" s="53"/>
      <c r="F117" s="50">
        <f>SUM(C117:E117)</f>
        <v>1176172</v>
      </c>
    </row>
    <row r="118" spans="1:6" x14ac:dyDescent="0.2">
      <c r="B118" s="14" t="s">
        <v>35</v>
      </c>
      <c r="C118" s="5">
        <f>SUM(C109:C116)</f>
        <v>15791200</v>
      </c>
      <c r="D118" s="5">
        <f>SUM(D109:D116)</f>
        <v>0</v>
      </c>
      <c r="E118" s="5">
        <f>SUM(E109:E116)</f>
        <v>767792</v>
      </c>
      <c r="F118" s="5">
        <f>SUM(F109:F116)</f>
        <v>16558992</v>
      </c>
    </row>
    <row r="119" spans="1:6" ht="15" thickBot="1" x14ac:dyDescent="0.25"/>
    <row r="120" spans="1:6" ht="15" thickBot="1" x14ac:dyDescent="0.25">
      <c r="B120" s="57" t="s">
        <v>942</v>
      </c>
      <c r="C120" s="55"/>
      <c r="D120" s="55"/>
      <c r="E120" s="55">
        <f>IF(F3="1",SUMIF(Data!A:A,'45'!$A$2,Data!AM:AM),0)</f>
        <v>711180</v>
      </c>
      <c r="F120" s="56">
        <f>SUM(C120:E120)</f>
        <v>711180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1406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438</v>
      </c>
      <c r="B2" s="60" t="str">
        <f>VLOOKUP(A2,Data!A:G,7,0)</f>
        <v>Vernon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7680</v>
      </c>
      <c r="E5" s="16">
        <f>E36+E67+IFERROR($E$105/$D$105*D5,0)</f>
        <v>96628.993518104311</v>
      </c>
      <c r="F5" s="21">
        <f>IFERROR(E5/D5,"")</f>
        <v>12.581900197669832</v>
      </c>
    </row>
    <row r="6" spans="1:6" x14ac:dyDescent="0.2">
      <c r="A6" s="20">
        <v>2</v>
      </c>
      <c r="B6" s="184" t="s">
        <v>1</v>
      </c>
      <c r="C6" s="185"/>
      <c r="D6" s="15">
        <f t="shared" ref="D6:D32" si="0">D37</f>
        <v>47744</v>
      </c>
      <c r="E6" s="18">
        <f t="shared" ref="E6:E32" si="1">E37+E68+IFERROR($E$105/$D$105*D6,0)</f>
        <v>300542.57637088187</v>
      </c>
      <c r="F6" s="22">
        <f t="shared" ref="F6:F33" si="2">IFERROR(E6/D6,"")</f>
        <v>6.2948763482507095</v>
      </c>
    </row>
    <row r="7" spans="1:6" ht="14.25" customHeight="1" x14ac:dyDescent="0.2">
      <c r="A7" s="20">
        <v>3</v>
      </c>
      <c r="B7" s="184" t="s">
        <v>2</v>
      </c>
      <c r="C7" s="185"/>
      <c r="D7" s="15">
        <f t="shared" si="0"/>
        <v>108096</v>
      </c>
      <c r="E7" s="18">
        <f t="shared" si="1"/>
        <v>681274.08376731828</v>
      </c>
      <c r="F7" s="22">
        <f t="shared" si="2"/>
        <v>6.3024911538569262</v>
      </c>
    </row>
    <row r="8" spans="1:6" ht="14.25" customHeight="1" x14ac:dyDescent="0.2">
      <c r="A8" s="20">
        <v>4</v>
      </c>
      <c r="B8" s="184" t="s">
        <v>3</v>
      </c>
      <c r="C8" s="185"/>
      <c r="D8" s="15">
        <f t="shared" si="0"/>
        <v>40560</v>
      </c>
      <c r="E8" s="18">
        <f t="shared" si="1"/>
        <v>264532.37201748841</v>
      </c>
      <c r="F8" s="22">
        <f t="shared" si="2"/>
        <v>6.5220012824824556</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96544</v>
      </c>
      <c r="E11" s="18">
        <f t="shared" si="1"/>
        <v>561081.63935050298</v>
      </c>
      <c r="F11" s="22">
        <f t="shared" si="2"/>
        <v>5.8116676266832012</v>
      </c>
    </row>
    <row r="12" spans="1:6" x14ac:dyDescent="0.2">
      <c r="A12" s="20">
        <v>8</v>
      </c>
      <c r="B12" s="184" t="s">
        <v>7</v>
      </c>
      <c r="C12" s="185"/>
      <c r="D12" s="15">
        <f t="shared" si="0"/>
        <v>10960</v>
      </c>
      <c r="E12" s="18">
        <f t="shared" si="1"/>
        <v>53371.792833128035</v>
      </c>
      <c r="F12" s="22">
        <f t="shared" si="2"/>
        <v>4.8696891271102221</v>
      </c>
    </row>
    <row r="13" spans="1:6" x14ac:dyDescent="0.2">
      <c r="A13" s="20">
        <v>9</v>
      </c>
      <c r="B13" s="184" t="s">
        <v>8</v>
      </c>
      <c r="C13" s="185"/>
      <c r="D13" s="15">
        <f t="shared" si="0"/>
        <v>81870</v>
      </c>
      <c r="E13" s="18">
        <f t="shared" si="1"/>
        <v>554918.23168322921</v>
      </c>
      <c r="F13" s="22">
        <f t="shared" si="2"/>
        <v>6.7780411833788836</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36432</v>
      </c>
      <c r="E15" s="18">
        <f t="shared" si="1"/>
        <v>177412.28800150735</v>
      </c>
      <c r="F15" s="22">
        <f t="shared" si="2"/>
        <v>4.8696829161590731</v>
      </c>
    </row>
    <row r="16" spans="1:6" ht="14.25" customHeight="1" x14ac:dyDescent="0.2">
      <c r="A16" s="20">
        <v>12</v>
      </c>
      <c r="B16" s="184" t="s">
        <v>11</v>
      </c>
      <c r="C16" s="185"/>
      <c r="D16" s="15">
        <f t="shared" si="0"/>
        <v>149416</v>
      </c>
      <c r="E16" s="18">
        <f t="shared" si="1"/>
        <v>989788.61660170241</v>
      </c>
      <c r="F16" s="22">
        <f t="shared" si="2"/>
        <v>6.6243817034434223</v>
      </c>
    </row>
    <row r="17" spans="1:6" x14ac:dyDescent="0.2">
      <c r="A17" s="20">
        <v>13</v>
      </c>
      <c r="B17" s="184" t="s">
        <v>12</v>
      </c>
      <c r="C17" s="185"/>
      <c r="D17" s="15">
        <f t="shared" si="0"/>
        <v>21328</v>
      </c>
      <c r="E17" s="18">
        <f t="shared" si="1"/>
        <v>131248.93408256886</v>
      </c>
      <c r="F17" s="22">
        <f t="shared" si="2"/>
        <v>6.1538322431812107</v>
      </c>
    </row>
    <row r="18" spans="1:6" ht="14.25" customHeight="1" x14ac:dyDescent="0.2">
      <c r="A18" s="20">
        <v>14</v>
      </c>
      <c r="B18" s="184" t="s">
        <v>469</v>
      </c>
      <c r="C18" s="185"/>
      <c r="D18" s="15">
        <f t="shared" si="0"/>
        <v>137296</v>
      </c>
      <c r="E18" s="18">
        <f t="shared" si="1"/>
        <v>990667.73620594409</v>
      </c>
      <c r="F18" s="22">
        <f t="shared" si="2"/>
        <v>7.2155615327900602</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96494</v>
      </c>
      <c r="E20" s="18">
        <f t="shared" si="1"/>
        <v>572392.27350728621</v>
      </c>
      <c r="F20" s="22">
        <f t="shared" si="2"/>
        <v>5.9318949728199284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204928</v>
      </c>
      <c r="E22" s="18">
        <f t="shared" si="1"/>
        <v>1349823.3103747503</v>
      </c>
      <c r="F22" s="22">
        <f t="shared" si="2"/>
        <v>6.5868173718318159</v>
      </c>
    </row>
    <row r="23" spans="1:6" x14ac:dyDescent="0.2">
      <c r="A23" s="20">
        <v>19</v>
      </c>
      <c r="B23" s="184" t="s">
        <v>17</v>
      </c>
      <c r="C23" s="185"/>
      <c r="D23" s="15">
        <f t="shared" si="0"/>
        <v>93936</v>
      </c>
      <c r="E23" s="18">
        <f t="shared" si="1"/>
        <v>644305.87696831347</v>
      </c>
      <c r="F23" s="22">
        <f t="shared" si="2"/>
        <v>6.8589877892215281</v>
      </c>
    </row>
    <row r="24" spans="1:6" x14ac:dyDescent="0.2">
      <c r="A24" s="20">
        <v>20</v>
      </c>
      <c r="B24" s="184" t="s">
        <v>18</v>
      </c>
      <c r="C24" s="185"/>
      <c r="D24" s="15">
        <f t="shared" si="0"/>
        <v>9520</v>
      </c>
      <c r="E24" s="18">
        <f t="shared" si="1"/>
        <v>75636.856548483483</v>
      </c>
      <c r="F24" s="22">
        <f t="shared" si="2"/>
        <v>7.9450479567734753</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9744</v>
      </c>
      <c r="E26" s="18">
        <f t="shared" si="1"/>
        <v>132180.53552609484</v>
      </c>
      <c r="F26" s="22">
        <f t="shared" si="2"/>
        <v>13.565325895535185</v>
      </c>
    </row>
    <row r="27" spans="1:6" x14ac:dyDescent="0.2">
      <c r="A27" s="20">
        <v>23</v>
      </c>
      <c r="B27" s="184" t="s">
        <v>20</v>
      </c>
      <c r="C27" s="185"/>
      <c r="D27" s="15">
        <f t="shared" si="0"/>
        <v>25968</v>
      </c>
      <c r="E27" s="18">
        <f t="shared" si="1"/>
        <v>170370.28433309024</v>
      </c>
      <c r="F27" s="22">
        <f t="shared" si="2"/>
        <v>6.5607780473309552</v>
      </c>
    </row>
    <row r="28" spans="1:6" x14ac:dyDescent="0.2">
      <c r="A28" s="20">
        <v>24</v>
      </c>
      <c r="B28" s="184" t="s">
        <v>21</v>
      </c>
      <c r="C28" s="185"/>
      <c r="D28" s="15">
        <f t="shared" si="0"/>
        <v>133622</v>
      </c>
      <c r="E28" s="18">
        <f t="shared" si="1"/>
        <v>726081.81404637173</v>
      </c>
      <c r="F28" s="22">
        <f t="shared" si="2"/>
        <v>5.4338493215665959</v>
      </c>
    </row>
    <row r="29" spans="1:6" x14ac:dyDescent="0.2">
      <c r="A29" s="20">
        <v>25</v>
      </c>
      <c r="B29" s="184" t="s">
        <v>22</v>
      </c>
      <c r="C29" s="185"/>
      <c r="D29" s="15">
        <f t="shared" si="0"/>
        <v>212208</v>
      </c>
      <c r="E29" s="18">
        <f t="shared" si="1"/>
        <v>1224794.37714712</v>
      </c>
      <c r="F29" s="22">
        <f t="shared" si="2"/>
        <v>5.7716691978960259</v>
      </c>
    </row>
    <row r="30" spans="1:6" x14ac:dyDescent="0.2">
      <c r="A30" s="20">
        <v>26</v>
      </c>
      <c r="B30" s="184" t="s">
        <v>23</v>
      </c>
      <c r="C30" s="185"/>
      <c r="D30" s="15">
        <f t="shared" si="0"/>
        <v>36000</v>
      </c>
      <c r="E30" s="18">
        <f t="shared" si="1"/>
        <v>251072.40711611399</v>
      </c>
      <c r="F30" s="22">
        <f t="shared" si="2"/>
        <v>6.9742335310031667</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1560346</v>
      </c>
      <c r="E33" s="32">
        <f>SUM(E5:E32)</f>
        <v>9948124.9999999981</v>
      </c>
      <c r="F33" s="33">
        <f t="shared" si="2"/>
        <v>6.3755891321540208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IF(F3="1",SUMIF(Data!A:A,'46'!$A$2,Data!CU:CU),0)</f>
        <v>7680</v>
      </c>
      <c r="E36" s="16">
        <f>IF(F3="1",SUMIF(Data!$A:$A,'46'!$A$2,Data!IO:IO),0)</f>
        <v>721</v>
      </c>
      <c r="F36" s="21">
        <f t="shared" ref="F36:F64" si="3">IFERROR(E36/D36,"")</f>
        <v>9.388020833333334E-2</v>
      </c>
    </row>
    <row r="37" spans="1:6" x14ac:dyDescent="0.2">
      <c r="A37" s="20">
        <v>2</v>
      </c>
      <c r="B37" s="184" t="s">
        <v>1</v>
      </c>
      <c r="C37" s="185"/>
      <c r="D37" s="15">
        <f>IF(F3="1",SUMIF(Data!A:A,'46'!$A$2,Data!CV:CV),0)</f>
        <v>47744</v>
      </c>
      <c r="E37" s="18">
        <f>IF(F3="1",SUMIF(Data!$A:$A,'46'!$A$2,Data!IP:IP),0)</f>
        <v>17338</v>
      </c>
      <c r="F37" s="22">
        <f t="shared" si="3"/>
        <v>0.36314510723860588</v>
      </c>
    </row>
    <row r="38" spans="1:6" ht="14.25" customHeight="1" x14ac:dyDescent="0.2">
      <c r="A38" s="20">
        <v>3</v>
      </c>
      <c r="B38" s="184" t="s">
        <v>2</v>
      </c>
      <c r="C38" s="185"/>
      <c r="D38" s="15">
        <f>IF(F3="1",SUMIF(Data!A:A,'46'!$A$2,Data!CW:CW),0)</f>
        <v>108096</v>
      </c>
      <c r="E38" s="18">
        <f>IF(F3="1",SUMIF(Data!$A:$A,'46'!$A$2,Data!IQ:IQ),0)</f>
        <v>21161</v>
      </c>
      <c r="F38" s="22">
        <f t="shared" si="3"/>
        <v>0.19576117525162817</v>
      </c>
    </row>
    <row r="39" spans="1:6" ht="14.25" customHeight="1" x14ac:dyDescent="0.2">
      <c r="A39" s="20">
        <v>4</v>
      </c>
      <c r="B39" s="184" t="s">
        <v>3</v>
      </c>
      <c r="C39" s="185"/>
      <c r="D39" s="15">
        <f>IF(F3="1",SUMIF(Data!A:A,'46'!$A$2,Data!CX:CX),0)</f>
        <v>40560</v>
      </c>
      <c r="E39" s="18">
        <f>IF(F3="1",SUMIF(Data!$A:$A,'46'!$A$2,Data!IR:IR),0)</f>
        <v>11437</v>
      </c>
      <c r="F39" s="22">
        <f t="shared" si="3"/>
        <v>0.28197731755424066</v>
      </c>
    </row>
    <row r="40" spans="1:6" x14ac:dyDescent="0.2">
      <c r="A40" s="20">
        <v>5</v>
      </c>
      <c r="B40" s="184" t="s">
        <v>4</v>
      </c>
      <c r="C40" s="185"/>
      <c r="D40" s="15">
        <f>IF(F3="1",SUMIF(Data!A:A,'46'!$A$2,Data!CY:CY),0)</f>
        <v>0</v>
      </c>
      <c r="E40" s="18">
        <f>IF(F3="1",SUMIF(Data!$A:$A,'46'!$A$2,Data!IS:IS),0)</f>
        <v>0</v>
      </c>
      <c r="F40" s="22" t="str">
        <f t="shared" si="3"/>
        <v/>
      </c>
    </row>
    <row r="41" spans="1:6" x14ac:dyDescent="0.2">
      <c r="A41" s="20">
        <v>6</v>
      </c>
      <c r="B41" s="184" t="s">
        <v>5</v>
      </c>
      <c r="C41" s="185"/>
      <c r="D41" s="15">
        <f>IF(F3="1",SUMIF(Data!A:A,'46'!$A$2,Data!CZ:CZ),0)</f>
        <v>0</v>
      </c>
      <c r="E41" s="18">
        <f>IF(F3="1",SUMIF(Data!$A:$A,'46'!$A$2,Data!IT:IT),0)</f>
        <v>0</v>
      </c>
      <c r="F41" s="22" t="str">
        <f t="shared" si="3"/>
        <v/>
      </c>
    </row>
    <row r="42" spans="1:6" x14ac:dyDescent="0.2">
      <c r="A42" s="20">
        <v>7</v>
      </c>
      <c r="B42" s="184" t="s">
        <v>6</v>
      </c>
      <c r="C42" s="185"/>
      <c r="D42" s="15">
        <f>IF(F3="1",SUMIF(Data!A:A,'46'!$A$2,Data!DA:DA),0)</f>
        <v>96544</v>
      </c>
      <c r="E42" s="18">
        <f>IF(F3="1",SUMIF(Data!$A:$A,'46'!$A$2,Data!IU:IU),0)</f>
        <v>11028</v>
      </c>
      <c r="F42" s="22">
        <f t="shared" si="3"/>
        <v>0.11422770964534305</v>
      </c>
    </row>
    <row r="43" spans="1:6" x14ac:dyDescent="0.2">
      <c r="A43" s="20">
        <v>8</v>
      </c>
      <c r="B43" s="184" t="s">
        <v>7</v>
      </c>
      <c r="C43" s="185"/>
      <c r="D43" s="15">
        <f>IF(F3="1",SUMIF(Data!A:A,'46'!$A$2,Data!DB:DB),0)</f>
        <v>10960</v>
      </c>
      <c r="E43" s="18">
        <f>IF(F3="1",SUMIF(Data!$A:$A,'46'!$A$2,Data!IV:IV),0)</f>
        <v>1438</v>
      </c>
      <c r="F43" s="22">
        <f t="shared" si="3"/>
        <v>0.13120437956204378</v>
      </c>
    </row>
    <row r="44" spans="1:6" x14ac:dyDescent="0.2">
      <c r="A44" s="20">
        <v>9</v>
      </c>
      <c r="B44" s="184" t="s">
        <v>8</v>
      </c>
      <c r="C44" s="185"/>
      <c r="D44" s="15">
        <f>IF(F3="1",SUMIF(Data!A:A,'46'!$A$2,Data!DC:DC),0)</f>
        <v>81870</v>
      </c>
      <c r="E44" s="18">
        <f>IF(F3="1",SUMIF(Data!$A:$A,'46'!$A$2,Data!IW:IW),0)</f>
        <v>17646</v>
      </c>
      <c r="F44" s="22">
        <f t="shared" si="3"/>
        <v>0.21553682667643825</v>
      </c>
    </row>
    <row r="45" spans="1:6" x14ac:dyDescent="0.2">
      <c r="A45" s="20">
        <v>10</v>
      </c>
      <c r="B45" s="184" t="s">
        <v>9</v>
      </c>
      <c r="C45" s="185"/>
      <c r="D45" s="15">
        <f>IF(F3="1",SUMIF(Data!A:A,'46'!$A$2,Data!DD:DD),0)</f>
        <v>0</v>
      </c>
      <c r="E45" s="18">
        <f>IF(F3="1",SUMIF(Data!$A:$A,'46'!$A$2,Data!IX:IX),0)</f>
        <v>0</v>
      </c>
      <c r="F45" s="22" t="str">
        <f t="shared" si="3"/>
        <v/>
      </c>
    </row>
    <row r="46" spans="1:6" x14ac:dyDescent="0.2">
      <c r="A46" s="20">
        <v>11</v>
      </c>
      <c r="B46" s="184" t="s">
        <v>10</v>
      </c>
      <c r="C46" s="185"/>
      <c r="D46" s="15">
        <f>IF(F3="1",SUMIF(Data!A:A,'46'!$A$2,Data!DE:DE),0)</f>
        <v>36432</v>
      </c>
      <c r="E46" s="18">
        <f>IF(F3="1",SUMIF(Data!$A:$A,'46'!$A$2,Data!IY:IY),0)</f>
        <v>4780</v>
      </c>
      <c r="F46" s="22">
        <f t="shared" si="3"/>
        <v>0.13120333772507686</v>
      </c>
    </row>
    <row r="47" spans="1:6" ht="14.25" customHeight="1" x14ac:dyDescent="0.2">
      <c r="A47" s="20">
        <v>12</v>
      </c>
      <c r="B47" s="184" t="s">
        <v>11</v>
      </c>
      <c r="C47" s="185"/>
      <c r="D47" s="15">
        <f>IF(F3="1",SUMIF(Data!A:A,'46'!$A$2,Data!DF:DF),0)</f>
        <v>149416</v>
      </c>
      <c r="E47" s="18">
        <f>IF(F3="1",SUMIF(Data!$A:$A,'46'!$A$2,Data!IZ:IZ),0)</f>
        <v>12999</v>
      </c>
      <c r="F47" s="22">
        <f t="shared" si="3"/>
        <v>8.6998714997055207E-2</v>
      </c>
    </row>
    <row r="48" spans="1:6" x14ac:dyDescent="0.2">
      <c r="A48" s="20">
        <v>13</v>
      </c>
      <c r="B48" s="184" t="s">
        <v>12</v>
      </c>
      <c r="C48" s="185"/>
      <c r="D48" s="15">
        <f>IF(F3="1",SUMIF(Data!A:A,'46'!$A$2,Data!DG:DG),0)</f>
        <v>21328</v>
      </c>
      <c r="E48" s="18">
        <f>IF(F3="1",SUMIF(Data!$A:$A,'46'!$A$2,Data!JA:JA),0)</f>
        <v>401</v>
      </c>
      <c r="F48" s="22">
        <f t="shared" si="3"/>
        <v>1.8801575393848462E-2</v>
      </c>
    </row>
    <row r="49" spans="1:6" ht="14.25" customHeight="1" x14ac:dyDescent="0.2">
      <c r="A49" s="20">
        <v>14</v>
      </c>
      <c r="B49" s="184" t="s">
        <v>469</v>
      </c>
      <c r="C49" s="185"/>
      <c r="D49" s="15">
        <f>IF(F3="1",SUMIF(Data!A:A,'46'!$A$2,Data!DH:DH),0)</f>
        <v>137296</v>
      </c>
      <c r="E49" s="18">
        <f>IF(F3="1",SUMIF(Data!$A:$A,'46'!$A$2,Data!JB:JB),0)</f>
        <v>28123</v>
      </c>
      <c r="F49" s="22">
        <f t="shared" si="3"/>
        <v>0.20483480946276658</v>
      </c>
    </row>
    <row r="50" spans="1:6" x14ac:dyDescent="0.2">
      <c r="A50" s="20">
        <v>15</v>
      </c>
      <c r="B50" s="184" t="s">
        <v>13</v>
      </c>
      <c r="C50" s="185"/>
      <c r="D50" s="15">
        <f>IF(F3="1",SUMIF(Data!A:A,'46'!$A$2,Data!DI:DI),0)</f>
        <v>0</v>
      </c>
      <c r="E50" s="18">
        <f>IF(F3="1",SUMIF(Data!$A:$A,'46'!$A$2,Data!JC:JC),0)</f>
        <v>0</v>
      </c>
      <c r="F50" s="22" t="str">
        <f t="shared" si="3"/>
        <v/>
      </c>
    </row>
    <row r="51" spans="1:6" x14ac:dyDescent="0.2">
      <c r="A51" s="20">
        <v>16</v>
      </c>
      <c r="B51" s="184" t="s">
        <v>14</v>
      </c>
      <c r="C51" s="185"/>
      <c r="D51" s="15">
        <f>IF(F3="1",SUMIF(Data!A:A,'46'!$A$2,Data!DJ:DJ),0)</f>
        <v>96494</v>
      </c>
      <c r="E51" s="18">
        <f>IF(F3="1",SUMIF(Data!$A:$A,'46'!$A$2,Data!JD:JD),0)</f>
        <v>17786</v>
      </c>
      <c r="F51" s="22">
        <f t="shared" si="3"/>
        <v>0.18432234128546854</v>
      </c>
    </row>
    <row r="52" spans="1:6" x14ac:dyDescent="0.2">
      <c r="A52" s="20">
        <v>17</v>
      </c>
      <c r="B52" s="184" t="s">
        <v>15</v>
      </c>
      <c r="C52" s="185"/>
      <c r="D52" s="15">
        <f>IF(F3="1",SUMIF(Data!A:A,'46'!$A$2,Data!DK:DK),0)</f>
        <v>0</v>
      </c>
      <c r="E52" s="18">
        <f>IF(F3="1",SUMIF(Data!$A:$A,'46'!$A$2,Data!JE:JE),0)</f>
        <v>0</v>
      </c>
      <c r="F52" s="22" t="str">
        <f t="shared" si="3"/>
        <v/>
      </c>
    </row>
    <row r="53" spans="1:6" x14ac:dyDescent="0.2">
      <c r="A53" s="20">
        <v>18</v>
      </c>
      <c r="B53" s="184" t="s">
        <v>16</v>
      </c>
      <c r="C53" s="185"/>
      <c r="D53" s="15">
        <f>IF(F3="1",SUMIF(Data!A:A,'46'!$A$2,Data!DL:DL),0)</f>
        <v>204928</v>
      </c>
      <c r="E53" s="18">
        <f>IF(F3="1",SUMIF(Data!$A:$A,'46'!$A$2,Data!JF:JF),0)</f>
        <v>21973</v>
      </c>
      <c r="F53" s="22">
        <f t="shared" si="3"/>
        <v>0.10722302467207995</v>
      </c>
    </row>
    <row r="54" spans="1:6" x14ac:dyDescent="0.2">
      <c r="A54" s="20">
        <v>19</v>
      </c>
      <c r="B54" s="184" t="s">
        <v>17</v>
      </c>
      <c r="C54" s="185"/>
      <c r="D54" s="15">
        <f>IF(F3="1",SUMIF(Data!A:A,'46'!$A$2,Data!DM:DM),0)</f>
        <v>93936</v>
      </c>
      <c r="E54" s="18">
        <f>IF(F3="1",SUMIF(Data!$A:$A,'46'!$A$2,Data!JG:JG),0)</f>
        <v>5017</v>
      </c>
      <c r="F54" s="22">
        <f t="shared" si="3"/>
        <v>5.3408703798330778E-2</v>
      </c>
    </row>
    <row r="55" spans="1:6" x14ac:dyDescent="0.2">
      <c r="A55" s="20">
        <v>20</v>
      </c>
      <c r="B55" s="184" t="s">
        <v>18</v>
      </c>
      <c r="C55" s="185"/>
      <c r="D55" s="15">
        <f>IF(F3="1",SUMIF(Data!A:A,'46'!$A$2,Data!DN:DN),0)</f>
        <v>9520</v>
      </c>
      <c r="E55" s="18">
        <f>IF(F3="1",SUMIF(Data!$A:$A,'46'!$A$2,Data!JH:JH),0)</f>
        <v>3405</v>
      </c>
      <c r="F55" s="22">
        <f t="shared" si="3"/>
        <v>0.35766806722689076</v>
      </c>
    </row>
    <row r="56" spans="1:6" ht="14.25" customHeight="1" x14ac:dyDescent="0.2">
      <c r="A56" s="20">
        <v>21</v>
      </c>
      <c r="B56" s="184" t="s">
        <v>466</v>
      </c>
      <c r="C56" s="185"/>
      <c r="D56" s="15">
        <f>IF(F3="1",SUMIF(Data!A:A,'46'!$A$2,Data!DO:DO),0)</f>
        <v>0</v>
      </c>
      <c r="E56" s="18">
        <f>IF(F3="1",SUMIF(Data!$A:$A,'46'!$A$2,Data!JI:JI),0)</f>
        <v>0</v>
      </c>
      <c r="F56" s="22" t="str">
        <f t="shared" si="3"/>
        <v/>
      </c>
    </row>
    <row r="57" spans="1:6" x14ac:dyDescent="0.2">
      <c r="A57" s="20">
        <v>22</v>
      </c>
      <c r="B57" s="184" t="s">
        <v>19</v>
      </c>
      <c r="C57" s="185"/>
      <c r="D57" s="15">
        <f>IF(F3="1",SUMIF(Data!A:A,'46'!$A$2,Data!DP:DP),0)</f>
        <v>9744</v>
      </c>
      <c r="E57" s="18">
        <f>IF(F3="1",SUMIF(Data!$A:$A,'46'!$A$2,Data!JJ:JJ),0)</f>
        <v>10991</v>
      </c>
      <c r="F57" s="22">
        <f t="shared" si="3"/>
        <v>1.1279761904761905</v>
      </c>
    </row>
    <row r="58" spans="1:6" x14ac:dyDescent="0.2">
      <c r="A58" s="20">
        <v>23</v>
      </c>
      <c r="B58" s="184" t="s">
        <v>20</v>
      </c>
      <c r="C58" s="185"/>
      <c r="D58" s="15">
        <f>IF(F3="1",SUMIF(Data!A:A,'46'!$A$2,Data!DQ:DQ),0)</f>
        <v>25968</v>
      </c>
      <c r="E58" s="18">
        <f>IF(F3="1",SUMIF(Data!$A:$A,'46'!$A$2,Data!JK:JK),0)</f>
        <v>6467</v>
      </c>
      <c r="F58" s="22">
        <f t="shared" si="3"/>
        <v>0.24903727664818237</v>
      </c>
    </row>
    <row r="59" spans="1:6" x14ac:dyDescent="0.2">
      <c r="A59" s="20">
        <v>24</v>
      </c>
      <c r="B59" s="184" t="s">
        <v>21</v>
      </c>
      <c r="C59" s="185"/>
      <c r="D59" s="15">
        <f>IF(F3="1",SUMIF(Data!A:A,'46'!$A$2,Data!DR:DR),0)</f>
        <v>133622</v>
      </c>
      <c r="E59" s="18">
        <f>IF(F3="1",SUMIF(Data!$A:$A,'46'!$A$2,Data!JL:JL),0)</f>
        <v>42748</v>
      </c>
      <c r="F59" s="22">
        <f t="shared" si="3"/>
        <v>0.3199173788747362</v>
      </c>
    </row>
    <row r="60" spans="1:6" x14ac:dyDescent="0.2">
      <c r="A60" s="20">
        <v>25</v>
      </c>
      <c r="B60" s="184" t="s">
        <v>22</v>
      </c>
      <c r="C60" s="185"/>
      <c r="D60" s="15">
        <f>IF(F3="1",SUMIF(Data!A:A,'46'!$A$2,Data!DS:DS),0)</f>
        <v>212208</v>
      </c>
      <c r="E60" s="18">
        <f>IF(F3="1",SUMIF(Data!$A:$A,'46'!$A$2,Data!JM:JM),0)</f>
        <v>4392</v>
      </c>
      <c r="F60" s="22">
        <f t="shared" si="3"/>
        <v>2.0696674960416196E-2</v>
      </c>
    </row>
    <row r="61" spans="1:6" x14ac:dyDescent="0.2">
      <c r="A61" s="20">
        <v>26</v>
      </c>
      <c r="B61" s="184" t="s">
        <v>23</v>
      </c>
      <c r="C61" s="185"/>
      <c r="D61" s="15">
        <f>IF(F3="1",SUMIF(Data!A:A,'46'!$A$2,Data!DT:DT),0)</f>
        <v>36000</v>
      </c>
      <c r="E61" s="18">
        <f>IF(F3="1",SUMIF(Data!$A:$A,'46'!$A$2,Data!JN:JN),0)</f>
        <v>5741</v>
      </c>
      <c r="F61" s="22">
        <f t="shared" si="3"/>
        <v>0.15947222222222221</v>
      </c>
    </row>
    <row r="62" spans="1:6" x14ac:dyDescent="0.2">
      <c r="A62" s="20">
        <v>28</v>
      </c>
      <c r="B62" s="184" t="s">
        <v>24</v>
      </c>
      <c r="C62" s="185"/>
      <c r="D62" s="15">
        <f>IF(F3="1",SUMIF(Data!A:A,'46'!$A$2,Data!DV:DV),0)</f>
        <v>0</v>
      </c>
      <c r="E62" s="18">
        <f>IF(F3="1",SUMIF(Data!$A:$A,'46'!$A$2,Data!JP:JP),0)</f>
        <v>0</v>
      </c>
      <c r="F62" s="22" t="str">
        <f t="shared" si="3"/>
        <v/>
      </c>
    </row>
    <row r="63" spans="1:6" ht="15.75" customHeight="1" thickBot="1" x14ac:dyDescent="0.25">
      <c r="A63" s="23">
        <v>29</v>
      </c>
      <c r="B63" s="186" t="s">
        <v>25</v>
      </c>
      <c r="C63" s="187"/>
      <c r="D63" s="24">
        <f>IF(F3="1",SUMIF(Data!A:A,'46'!$A$2,Data!DW:DW),0)</f>
        <v>0</v>
      </c>
      <c r="E63" s="25">
        <f>IF(F3="1",SUMIF(Data!$A:$A,'46'!$A$2,Data!JQ:JQ),0)</f>
        <v>0</v>
      </c>
      <c r="F63" s="26" t="str">
        <f t="shared" si="3"/>
        <v/>
      </c>
    </row>
    <row r="64" spans="1:6" x14ac:dyDescent="0.2">
      <c r="B64" s="31" t="s">
        <v>35</v>
      </c>
      <c r="C64" s="31"/>
      <c r="D64" s="61">
        <f>SUM(D36:D63)</f>
        <v>1560346</v>
      </c>
      <c r="E64" s="32">
        <f>SUM(E36:E63)</f>
        <v>245592</v>
      </c>
      <c r="F64" s="33">
        <f t="shared" si="3"/>
        <v>0.15739585963626015</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7680</v>
      </c>
      <c r="E67" s="16">
        <f>IF(F3="1",SUMIF(Data!A:A,'46'!$A$2,Data!DY:DY),0)</f>
        <v>69279</v>
      </c>
      <c r="F67" s="21">
        <f>IFERROR(E67/D67,"")</f>
        <v>9.0207031250000007</v>
      </c>
    </row>
    <row r="68" spans="1:6" x14ac:dyDescent="0.2">
      <c r="A68" s="20">
        <v>2</v>
      </c>
      <c r="B68" s="184" t="s">
        <v>1</v>
      </c>
      <c r="C68" s="185"/>
      <c r="D68" s="15">
        <f t="shared" ref="D68:D94" si="4">D37</f>
        <v>47744</v>
      </c>
      <c r="E68" s="18">
        <f>IF(F3="1",SUMIF(Data!A:A,'46'!$A$2,Data!DZ:DZ),0)</f>
        <v>117661</v>
      </c>
      <c r="F68" s="22">
        <f t="shared" ref="F68:F95" si="5">IFERROR(E68/D68,"")</f>
        <v>2.4644143766756033</v>
      </c>
    </row>
    <row r="69" spans="1:6" ht="14.25" customHeight="1" x14ac:dyDescent="0.2">
      <c r="A69" s="20">
        <v>3</v>
      </c>
      <c r="B69" s="184" t="s">
        <v>2</v>
      </c>
      <c r="C69" s="185"/>
      <c r="D69" s="15">
        <f t="shared" si="4"/>
        <v>108096</v>
      </c>
      <c r="E69" s="18">
        <f>IF(F3="1",SUMIF(Data!A:A,'46'!$A$2,Data!EA:EA),0)</f>
        <v>285310</v>
      </c>
      <c r="F69" s="22">
        <f t="shared" si="5"/>
        <v>2.6394131142687982</v>
      </c>
    </row>
    <row r="70" spans="1:6" ht="14.25" customHeight="1" x14ac:dyDescent="0.2">
      <c r="A70" s="20">
        <v>4</v>
      </c>
      <c r="B70" s="184" t="s">
        <v>3</v>
      </c>
      <c r="C70" s="185"/>
      <c r="D70" s="15">
        <f t="shared" si="4"/>
        <v>40560</v>
      </c>
      <c r="E70" s="18">
        <f>IF(F3="1",SUMIF(Data!A:A,'46'!$A$2,Data!EB:EB),0)</f>
        <v>112461</v>
      </c>
      <c r="F70" s="22">
        <f t="shared" si="5"/>
        <v>2.7727071005917159</v>
      </c>
    </row>
    <row r="71" spans="1:6" x14ac:dyDescent="0.2">
      <c r="A71" s="20">
        <v>5</v>
      </c>
      <c r="B71" s="184" t="s">
        <v>4</v>
      </c>
      <c r="C71" s="185"/>
      <c r="D71" s="15">
        <f t="shared" si="4"/>
        <v>0</v>
      </c>
      <c r="E71" s="18">
        <f>IF(F3="1",SUMIF(Data!A:A,'46'!$A$2,Data!EC:EC),0)</f>
        <v>0</v>
      </c>
      <c r="F71" s="22" t="str">
        <f t="shared" si="5"/>
        <v/>
      </c>
    </row>
    <row r="72" spans="1:6" x14ac:dyDescent="0.2">
      <c r="A72" s="20">
        <v>6</v>
      </c>
      <c r="B72" s="184" t="s">
        <v>5</v>
      </c>
      <c r="C72" s="185"/>
      <c r="D72" s="15">
        <f t="shared" si="4"/>
        <v>0</v>
      </c>
      <c r="E72" s="18">
        <f>IF(F3="1",SUMIF(Data!A:A,'46'!$A$2,Data!ED:ED),0)</f>
        <v>0</v>
      </c>
      <c r="F72" s="22" t="str">
        <f t="shared" si="5"/>
        <v/>
      </c>
    </row>
    <row r="73" spans="1:6" x14ac:dyDescent="0.2">
      <c r="A73" s="20">
        <v>7</v>
      </c>
      <c r="B73" s="184" t="s">
        <v>6</v>
      </c>
      <c r="C73" s="185"/>
      <c r="D73" s="15">
        <f t="shared" si="4"/>
        <v>96544</v>
      </c>
      <c r="E73" s="18">
        <f>IF(F3="1",SUMIF(Data!A:A,'46'!$A$2,Data!EE:EE),0)</f>
        <v>215305</v>
      </c>
      <c r="F73" s="22">
        <f t="shared" si="5"/>
        <v>2.2301230527013591</v>
      </c>
    </row>
    <row r="74" spans="1:6" x14ac:dyDescent="0.2">
      <c r="A74" s="20">
        <v>8</v>
      </c>
      <c r="B74" s="184" t="s">
        <v>7</v>
      </c>
      <c r="C74" s="185"/>
      <c r="D74" s="15">
        <f t="shared" si="4"/>
        <v>10960</v>
      </c>
      <c r="E74" s="18">
        <f>IF(F3="1",SUMIF(Data!A:A,'46'!$A$2,Data!EF:EF),0)</f>
        <v>13932</v>
      </c>
      <c r="F74" s="22">
        <f t="shared" si="5"/>
        <v>1.2711678832116788</v>
      </c>
    </row>
    <row r="75" spans="1:6" x14ac:dyDescent="0.2">
      <c r="A75" s="20">
        <v>9</v>
      </c>
      <c r="B75" s="184" t="s">
        <v>8</v>
      </c>
      <c r="C75" s="185"/>
      <c r="D75" s="15">
        <f t="shared" si="4"/>
        <v>81870</v>
      </c>
      <c r="E75" s="18">
        <f>IF(F3="1",SUMIF(Data!A:A,'46'!$A$2,Data!EG:EG),0)</f>
        <v>253403</v>
      </c>
      <c r="F75" s="22">
        <f t="shared" si="5"/>
        <v>3.0951874923659459</v>
      </c>
    </row>
    <row r="76" spans="1:6" x14ac:dyDescent="0.2">
      <c r="A76" s="20">
        <v>10</v>
      </c>
      <c r="B76" s="184" t="s">
        <v>9</v>
      </c>
      <c r="C76" s="185"/>
      <c r="D76" s="15">
        <f t="shared" si="4"/>
        <v>0</v>
      </c>
      <c r="E76" s="18">
        <f>IF(F3="1",SUMIF(Data!A:A,'46'!$A$2,Data!EH:EH),0)</f>
        <v>0</v>
      </c>
      <c r="F76" s="22" t="str">
        <f t="shared" si="5"/>
        <v/>
      </c>
    </row>
    <row r="77" spans="1:6" x14ac:dyDescent="0.2">
      <c r="A77" s="20">
        <v>11</v>
      </c>
      <c r="B77" s="184" t="s">
        <v>10</v>
      </c>
      <c r="C77" s="185"/>
      <c r="D77" s="15">
        <f t="shared" si="4"/>
        <v>36432</v>
      </c>
      <c r="E77" s="18">
        <f>IF(F3="1",SUMIF(Data!A:A,'46'!$A$2,Data!EI:EI),0)</f>
        <v>46311</v>
      </c>
      <c r="F77" s="22">
        <f t="shared" si="5"/>
        <v>1.2711627140974968</v>
      </c>
    </row>
    <row r="78" spans="1:6" ht="14.25" customHeight="1" x14ac:dyDescent="0.2">
      <c r="A78" s="20">
        <v>12</v>
      </c>
      <c r="B78" s="184" t="s">
        <v>11</v>
      </c>
      <c r="C78" s="185"/>
      <c r="D78" s="15">
        <f t="shared" si="4"/>
        <v>149416</v>
      </c>
      <c r="E78" s="18">
        <f>IF(F3="1",SUMIF(Data!A:A,'46'!$A$2,Data!EJ:EJ),0)</f>
        <v>458717</v>
      </c>
      <c r="F78" s="22">
        <f t="shared" si="5"/>
        <v>3.0700661241098679</v>
      </c>
    </row>
    <row r="79" spans="1:6" x14ac:dyDescent="0.2">
      <c r="A79" s="20">
        <v>13</v>
      </c>
      <c r="B79" s="184" t="s">
        <v>12</v>
      </c>
      <c r="C79" s="185"/>
      <c r="D79" s="15">
        <f t="shared" si="4"/>
        <v>21328</v>
      </c>
      <c r="E79" s="18">
        <f>IF(F3="1",SUMIF(Data!A:A,'46'!$A$2,Data!EK:EK),0)</f>
        <v>56897</v>
      </c>
      <c r="F79" s="22">
        <f t="shared" si="5"/>
        <v>2.6677138034508627</v>
      </c>
    </row>
    <row r="80" spans="1:6" ht="14.25" customHeight="1" x14ac:dyDescent="0.2">
      <c r="A80" s="20">
        <v>14</v>
      </c>
      <c r="B80" s="184" t="s">
        <v>469</v>
      </c>
      <c r="C80" s="185"/>
      <c r="D80" s="15">
        <f t="shared" si="4"/>
        <v>137296</v>
      </c>
      <c r="E80" s="18">
        <f>IF(F3="1",SUMIF(Data!A:A,'46'!$A$2,Data!EL:EL),0)</f>
        <v>486496</v>
      </c>
      <c r="F80" s="22">
        <f t="shared" si="5"/>
        <v>3.5434098589907936</v>
      </c>
    </row>
    <row r="81" spans="1:6" x14ac:dyDescent="0.2">
      <c r="A81" s="20">
        <v>15</v>
      </c>
      <c r="B81" s="184" t="s">
        <v>13</v>
      </c>
      <c r="C81" s="185"/>
      <c r="D81" s="15">
        <f t="shared" si="4"/>
        <v>0</v>
      </c>
      <c r="E81" s="18">
        <f>IF(F3="1",SUMIF(Data!A:A,'46'!$A$2,Data!EM:EM),0)</f>
        <v>0</v>
      </c>
      <c r="F81" s="22" t="str">
        <f t="shared" si="5"/>
        <v/>
      </c>
    </row>
    <row r="82" spans="1:6" x14ac:dyDescent="0.2">
      <c r="A82" s="20">
        <v>16</v>
      </c>
      <c r="B82" s="184" t="s">
        <v>14</v>
      </c>
      <c r="C82" s="185"/>
      <c r="D82" s="15">
        <f t="shared" si="4"/>
        <v>96494</v>
      </c>
      <c r="E82" s="18">
        <f>IF(F3="1",SUMIF(Data!A:A,'46'!$A$2,Data!EN:EN),0)</f>
        <v>220031</v>
      </c>
      <c r="F82" s="22">
        <f t="shared" si="5"/>
        <v>2.2802557671979606</v>
      </c>
    </row>
    <row r="83" spans="1:6" x14ac:dyDescent="0.2">
      <c r="A83" s="20">
        <v>17</v>
      </c>
      <c r="B83" s="184" t="s">
        <v>15</v>
      </c>
      <c r="C83" s="185"/>
      <c r="D83" s="15">
        <f t="shared" si="4"/>
        <v>0</v>
      </c>
      <c r="E83" s="18">
        <f>IF(F3="1",SUMIF(Data!A:A,'46'!$A$2,Data!EO:EO),0)</f>
        <v>0</v>
      </c>
      <c r="F83" s="22" t="str">
        <f t="shared" si="5"/>
        <v/>
      </c>
    </row>
    <row r="84" spans="1:6" x14ac:dyDescent="0.2">
      <c r="A84" s="20">
        <v>18</v>
      </c>
      <c r="B84" s="184" t="s">
        <v>16</v>
      </c>
      <c r="C84" s="185"/>
      <c r="D84" s="15">
        <f t="shared" si="4"/>
        <v>204928</v>
      </c>
      <c r="E84" s="18">
        <f>IF(F3="1",SUMIF(Data!A:A,'46'!$A$2,Data!EP:EP),0)</f>
        <v>617300</v>
      </c>
      <c r="F84" s="22">
        <f t="shared" si="5"/>
        <v>3.0122774828232353</v>
      </c>
    </row>
    <row r="85" spans="1:6" x14ac:dyDescent="0.2">
      <c r="A85" s="20">
        <v>19</v>
      </c>
      <c r="B85" s="184" t="s">
        <v>17</v>
      </c>
      <c r="C85" s="185"/>
      <c r="D85" s="15">
        <f t="shared" si="4"/>
        <v>93936</v>
      </c>
      <c r="E85" s="18">
        <f>IF(F3="1",SUMIF(Data!A:A,'46'!$A$2,Data!EQ:EQ),0)</f>
        <v>313583</v>
      </c>
      <c r="F85" s="22">
        <f t="shared" si="5"/>
        <v>3.3382622210866972</v>
      </c>
    </row>
    <row r="86" spans="1:6" x14ac:dyDescent="0.2">
      <c r="A86" s="20">
        <v>20</v>
      </c>
      <c r="B86" s="184" t="s">
        <v>18</v>
      </c>
      <c r="C86" s="185"/>
      <c r="D86" s="15">
        <f t="shared" si="4"/>
        <v>9520</v>
      </c>
      <c r="E86" s="18">
        <f>IF(F3="1",SUMIF(Data!A:A,'46'!$A$2,Data!ER:ER),0)</f>
        <v>39223</v>
      </c>
      <c r="F86" s="22">
        <f t="shared" si="5"/>
        <v>4.1200630252100838</v>
      </c>
    </row>
    <row r="87" spans="1:6" ht="14.25" customHeight="1" x14ac:dyDescent="0.2">
      <c r="A87" s="20">
        <v>21</v>
      </c>
      <c r="B87" s="184" t="s">
        <v>466</v>
      </c>
      <c r="C87" s="185"/>
      <c r="D87" s="15">
        <f t="shared" si="4"/>
        <v>0</v>
      </c>
      <c r="E87" s="18">
        <f>IF(F3="1",SUMIF(Data!A:A,'46'!$A$2,Data!ES:ES),0)</f>
        <v>0</v>
      </c>
      <c r="F87" s="22" t="str">
        <f t="shared" si="5"/>
        <v/>
      </c>
    </row>
    <row r="88" spans="1:6" x14ac:dyDescent="0.2">
      <c r="A88" s="20">
        <v>22</v>
      </c>
      <c r="B88" s="184" t="s">
        <v>19</v>
      </c>
      <c r="C88" s="185"/>
      <c r="D88" s="15">
        <f t="shared" si="4"/>
        <v>9744</v>
      </c>
      <c r="E88" s="18">
        <f>IF(F3="1",SUMIF(Data!A:A,'46'!$A$2,Data!ET:ET),0)</f>
        <v>87404</v>
      </c>
      <c r="F88" s="22">
        <f t="shared" si="5"/>
        <v>8.9700328407224958</v>
      </c>
    </row>
    <row r="89" spans="1:6" x14ac:dyDescent="0.2">
      <c r="A89" s="20">
        <v>23</v>
      </c>
      <c r="B89" s="184" t="s">
        <v>20</v>
      </c>
      <c r="C89" s="185"/>
      <c r="D89" s="15">
        <f t="shared" si="4"/>
        <v>25968</v>
      </c>
      <c r="E89" s="18">
        <f>IF(F3="1",SUMIF(Data!A:A,'46'!$A$2,Data!EU:EU),0)</f>
        <v>73864</v>
      </c>
      <c r="F89" s="22">
        <f t="shared" si="5"/>
        <v>2.8444239063462722</v>
      </c>
    </row>
    <row r="90" spans="1:6" x14ac:dyDescent="0.2">
      <c r="A90" s="20">
        <v>24</v>
      </c>
      <c r="B90" s="184" t="s">
        <v>21</v>
      </c>
      <c r="C90" s="185"/>
      <c r="D90" s="15">
        <f t="shared" si="4"/>
        <v>133622</v>
      </c>
      <c r="E90" s="18">
        <f>IF(F3="1",SUMIF(Data!A:A,'46'!$A$2,Data!EV:EV),0)</f>
        <v>220024</v>
      </c>
      <c r="F90" s="22">
        <f t="shared" si="5"/>
        <v>1.6466150783553606</v>
      </c>
    </row>
    <row r="91" spans="1:6" x14ac:dyDescent="0.2">
      <c r="A91" s="20">
        <v>25</v>
      </c>
      <c r="B91" s="184" t="s">
        <v>22</v>
      </c>
      <c r="C91" s="185"/>
      <c r="D91" s="15">
        <f t="shared" si="4"/>
        <v>212208</v>
      </c>
      <c r="E91" s="18">
        <f>IF(F3="1",SUMIF(Data!A:A,'46'!$A$2,Data!EW:EW),0)</f>
        <v>484610</v>
      </c>
      <c r="F91" s="22">
        <f t="shared" si="5"/>
        <v>2.2836556585991103</v>
      </c>
    </row>
    <row r="92" spans="1:6" x14ac:dyDescent="0.2">
      <c r="A92" s="20">
        <v>26</v>
      </c>
      <c r="B92" s="184" t="s">
        <v>23</v>
      </c>
      <c r="C92" s="185"/>
      <c r="D92" s="15">
        <f t="shared" si="4"/>
        <v>36000</v>
      </c>
      <c r="E92" s="18">
        <f>IF(F3="1",SUMIF(Data!A:A,'46'!$A$2,Data!EX:EX),0)</f>
        <v>120508</v>
      </c>
      <c r="F92" s="22">
        <f t="shared" si="5"/>
        <v>3.3474444444444442</v>
      </c>
    </row>
    <row r="93" spans="1:6" x14ac:dyDescent="0.2">
      <c r="A93" s="20">
        <v>28</v>
      </c>
      <c r="B93" s="184" t="s">
        <v>24</v>
      </c>
      <c r="C93" s="185"/>
      <c r="D93" s="15">
        <f t="shared" si="4"/>
        <v>0</v>
      </c>
      <c r="E93" s="18">
        <f>IF(F3="1",SUMIF(Data!A:A,'46'!$A$2,Data!EZ:EZ),0)</f>
        <v>0</v>
      </c>
      <c r="F93" s="22" t="str">
        <f t="shared" si="5"/>
        <v/>
      </c>
    </row>
    <row r="94" spans="1:6" ht="15.75" customHeight="1" thickBot="1" x14ac:dyDescent="0.25">
      <c r="A94" s="23">
        <v>29</v>
      </c>
      <c r="B94" s="186" t="s">
        <v>25</v>
      </c>
      <c r="C94" s="187"/>
      <c r="D94" s="24">
        <f t="shared" si="4"/>
        <v>0</v>
      </c>
      <c r="E94" s="25">
        <f>IF(F3="1",SUMIF(Data!A:A,'46'!$A$2,Data!FA:FA),0)</f>
        <v>0</v>
      </c>
      <c r="F94" s="26" t="str">
        <f t="shared" si="5"/>
        <v/>
      </c>
    </row>
    <row r="95" spans="1:6" x14ac:dyDescent="0.2">
      <c r="B95" s="31" t="s">
        <v>35</v>
      </c>
      <c r="C95" s="31"/>
      <c r="D95" s="61">
        <f>SUM(D67:D94)</f>
        <v>1560346</v>
      </c>
      <c r="E95" s="32">
        <f>SUM(E67:E94)</f>
        <v>4292319</v>
      </c>
      <c r="F95" s="33">
        <f t="shared" si="5"/>
        <v>2.7508764081812624</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IF(F3="1",SUMIF(Data!A:A,'46'!$A$2,Data!AH:AH),0)</f>
        <v>2052394</v>
      </c>
      <c r="F98" s="21">
        <f t="shared" ref="F98:F105" si="6">IFERROR(E98/$D$95,0)</f>
        <v>1.3153454426133691</v>
      </c>
    </row>
    <row r="99" spans="2:6" x14ac:dyDescent="0.2">
      <c r="B99" s="190" t="s">
        <v>31</v>
      </c>
      <c r="C99" s="191"/>
      <c r="D99" s="37"/>
      <c r="E99" s="18">
        <f>IF(F3="1",SUMIF(Data!A:A,'46'!$A$2,Data!AI:AI),0)</f>
        <v>1163208</v>
      </c>
      <c r="F99" s="22">
        <f t="shared" si="6"/>
        <v>0.74548081002546873</v>
      </c>
    </row>
    <row r="100" spans="2:6" x14ac:dyDescent="0.2">
      <c r="B100" s="190" t="s">
        <v>32</v>
      </c>
      <c r="C100" s="191"/>
      <c r="D100" s="37"/>
      <c r="E100" s="18">
        <f>IF(F3="1",SUMIF(Data!A:A,'46'!$A$2,Data!AJ:AJ),0)</f>
        <v>1819355</v>
      </c>
      <c r="F100" s="22">
        <f t="shared" si="6"/>
        <v>1.1659945935068248</v>
      </c>
    </row>
    <row r="101" spans="2:6" x14ac:dyDescent="0.2">
      <c r="B101" s="190" t="s">
        <v>28</v>
      </c>
      <c r="C101" s="191"/>
      <c r="D101" s="37"/>
      <c r="E101" s="18">
        <f>IF(F3="1",SUMIF(Data!A:A,'46'!$A$2,Data!AK:AK),0)</f>
        <v>0</v>
      </c>
      <c r="F101" s="22">
        <f t="shared" si="6"/>
        <v>0</v>
      </c>
    </row>
    <row r="102" spans="2:6" x14ac:dyDescent="0.2">
      <c r="B102" s="190" t="s">
        <v>33</v>
      </c>
      <c r="C102" s="191"/>
      <c r="D102" s="37"/>
      <c r="E102" s="18">
        <f>IF(F3="1",SUMIF(Data!A:A,'46'!$A$2,Data!AL:AL),0)</f>
        <v>0</v>
      </c>
      <c r="F102" s="22">
        <f t="shared" si="6"/>
        <v>0</v>
      </c>
    </row>
    <row r="103" spans="2:6" x14ac:dyDescent="0.2">
      <c r="B103" s="192" t="s">
        <v>34</v>
      </c>
      <c r="C103" s="193"/>
      <c r="D103" s="37"/>
      <c r="E103" s="18">
        <f>IF(F3="1",SUMIF(Data!A:A,'46'!$A$2,Data!AM:AM),0)</f>
        <v>159285</v>
      </c>
      <c r="F103" s="22">
        <f t="shared" si="6"/>
        <v>0.10208312771654492</v>
      </c>
    </row>
    <row r="104" spans="2:6" ht="15.75" customHeight="1" thickBot="1" x14ac:dyDescent="0.25">
      <c r="B104" s="182" t="s">
        <v>29</v>
      </c>
      <c r="C104" s="183"/>
      <c r="D104" s="38"/>
      <c r="E104" s="25">
        <f>IF(F3="1",SUMIF(Data!A:A,'46'!$A$2,Data!Q:Q),0)</f>
        <v>215972</v>
      </c>
      <c r="F104" s="26">
        <f t="shared" si="6"/>
        <v>0.13841289047429223</v>
      </c>
    </row>
    <row r="105" spans="2:6" x14ac:dyDescent="0.2">
      <c r="B105" s="31" t="s">
        <v>35</v>
      </c>
      <c r="C105" s="31"/>
      <c r="D105" s="35">
        <f>D95</f>
        <v>1560346</v>
      </c>
      <c r="E105" s="32">
        <f>SUM(E98:E104)</f>
        <v>5410214</v>
      </c>
      <c r="F105" s="33">
        <f t="shared" si="6"/>
        <v>3.4673168643364995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4292319</v>
      </c>
      <c r="D109" s="16">
        <f>IF(F3="1",SUMIF(Data!$A:$A,$A$2,Data!HJ:HJ),0)</f>
        <v>0</v>
      </c>
      <c r="E109" s="16">
        <f>IF(F3="1",SUMIF(Data!$A:$A,$A$2,Data!IN:IN),0)</f>
        <v>0</v>
      </c>
      <c r="F109" s="48">
        <f>SUM(C109:E109)</f>
        <v>4292319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215972</v>
      </c>
      <c r="E117" s="53"/>
      <c r="F117" s="50">
        <f>SUM(C117:E117)</f>
        <v>215972</v>
      </c>
    </row>
    <row r="118" spans="1:6" x14ac:dyDescent="0.2">
      <c r="B118" s="14" t="s">
        <v>35</v>
      </c>
      <c r="C118" s="5">
        <f>SUM(C109:C116)</f>
        <v>4292319</v>
      </c>
      <c r="D118" s="5">
        <f>SUM(D109:D116)</f>
        <v>0</v>
      </c>
      <c r="E118" s="5">
        <f>SUM(E109:E116)</f>
        <v>0</v>
      </c>
      <c r="F118" s="5">
        <f>SUM(F109:F116)</f>
        <v>4292319</v>
      </c>
    </row>
    <row r="119" spans="1:6" ht="15" thickBot="1" x14ac:dyDescent="0.25"/>
    <row r="120" spans="1:6" ht="15" thickBot="1" x14ac:dyDescent="0.25">
      <c r="B120" s="57" t="s">
        <v>942</v>
      </c>
      <c r="C120" s="55"/>
      <c r="D120" s="55"/>
      <c r="E120" s="55">
        <f>IF(F3="1",SUMIF(Data!A:A,'46'!$A$2,Data!AM:AM),0)</f>
        <v>159285</v>
      </c>
      <c r="F120" s="56">
        <f>SUM(C120:E120)</f>
        <v>159285</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3" width="12.42578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414</v>
      </c>
      <c r="B2" s="60" t="str">
        <f>VLOOKUP(A2,Data!A:G,7,0)</f>
        <v>Victoria College, The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10560</v>
      </c>
      <c r="E5" s="16">
        <f>E36+E67+IFERROR($E$105/$D$105*D5,0)</f>
        <v>223908.40882035095</v>
      </c>
      <c r="F5" s="21">
        <f>IFERROR(E5/D5,"")</f>
        <v>21.203447804957477</v>
      </c>
    </row>
    <row r="6" spans="1:6" x14ac:dyDescent="0.2">
      <c r="A6" s="20">
        <v>2</v>
      </c>
      <c r="B6" s="184" t="s">
        <v>1</v>
      </c>
      <c r="C6" s="185"/>
      <c r="D6" s="15">
        <f t="shared" ref="D6:D32" si="0">D37</f>
        <v>25624</v>
      </c>
      <c r="E6" s="18">
        <f t="shared" ref="E6:E32" si="1">E37+E68+IFERROR($E$105/$D$105*D6,0)</f>
        <v>204095.51852392731</v>
      </c>
      <c r="F6" s="22">
        <f t="shared" ref="F6:F33" si="2">IFERROR(E6/D6,"")</f>
        <v>7.9650139917236693</v>
      </c>
    </row>
    <row r="7" spans="1:6" ht="14.25" customHeight="1" x14ac:dyDescent="0.2">
      <c r="A7" s="20">
        <v>3</v>
      </c>
      <c r="B7" s="184" t="s">
        <v>2</v>
      </c>
      <c r="C7" s="185"/>
      <c r="D7" s="15">
        <f t="shared" si="0"/>
        <v>224096</v>
      </c>
      <c r="E7" s="18">
        <f t="shared" si="1"/>
        <v>2014041.296875508</v>
      </c>
      <c r="F7" s="22">
        <f t="shared" si="2"/>
        <v>8.9874040450320756</v>
      </c>
    </row>
    <row r="8" spans="1:6" ht="14.25" customHeight="1" x14ac:dyDescent="0.2">
      <c r="A8" s="20">
        <v>4</v>
      </c>
      <c r="B8" s="184" t="s">
        <v>3</v>
      </c>
      <c r="C8" s="185"/>
      <c r="D8" s="15">
        <f t="shared" si="0"/>
        <v>106439</v>
      </c>
      <c r="E8" s="18">
        <f t="shared" si="1"/>
        <v>818010.11263535358</v>
      </c>
      <c r="F8" s="22">
        <f t="shared" si="2"/>
        <v>7.6852480071717473</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1048</v>
      </c>
      <c r="E10" s="18">
        <f t="shared" si="1"/>
        <v>8981.8398147469488</v>
      </c>
      <c r="F10" s="22">
        <f t="shared" si="2"/>
        <v>8.5704578384989976</v>
      </c>
    </row>
    <row r="11" spans="1:6" x14ac:dyDescent="0.2">
      <c r="A11" s="20">
        <v>7</v>
      </c>
      <c r="B11" s="184" t="s">
        <v>6</v>
      </c>
      <c r="C11" s="185"/>
      <c r="D11" s="15">
        <f t="shared" si="0"/>
        <v>82808</v>
      </c>
      <c r="E11" s="18">
        <f t="shared" si="1"/>
        <v>864956.74749958538</v>
      </c>
      <c r="F11" s="22">
        <f t="shared" si="2"/>
        <v>10.445328319722556</v>
      </c>
    </row>
    <row r="12" spans="1:6" x14ac:dyDescent="0.2">
      <c r="A12" s="20">
        <v>8</v>
      </c>
      <c r="B12" s="184" t="s">
        <v>7</v>
      </c>
      <c r="C12" s="185"/>
      <c r="D12" s="15">
        <f t="shared" si="0"/>
        <v>6818</v>
      </c>
      <c r="E12" s="18">
        <f t="shared" si="1"/>
        <v>210779.48459632127</v>
      </c>
      <c r="F12" s="22">
        <f t="shared" si="2"/>
        <v>30.915148811428757</v>
      </c>
    </row>
    <row r="13" spans="1:6" x14ac:dyDescent="0.2">
      <c r="A13" s="20">
        <v>9</v>
      </c>
      <c r="B13" s="184" t="s">
        <v>8</v>
      </c>
      <c r="C13" s="185"/>
      <c r="D13" s="15">
        <f t="shared" si="0"/>
        <v>32823</v>
      </c>
      <c r="E13" s="18">
        <f t="shared" si="1"/>
        <v>196993.8914498465</v>
      </c>
      <c r="F13" s="22">
        <f t="shared" si="2"/>
        <v>6.0017028135711694</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40601</v>
      </c>
      <c r="E15" s="18">
        <f t="shared" si="1"/>
        <v>486410.50412074511</v>
      </c>
      <c r="F15" s="22">
        <f t="shared" si="2"/>
        <v>11.980259208412233</v>
      </c>
    </row>
    <row r="16" spans="1:6" ht="14.25" customHeight="1" x14ac:dyDescent="0.2">
      <c r="A16" s="20">
        <v>12</v>
      </c>
      <c r="B16" s="184" t="s">
        <v>11</v>
      </c>
      <c r="C16" s="185"/>
      <c r="D16" s="15">
        <f t="shared" si="0"/>
        <v>217288</v>
      </c>
      <c r="E16" s="18">
        <f t="shared" si="1"/>
        <v>1803881.688613297</v>
      </c>
      <c r="F16" s="22">
        <f t="shared" si="2"/>
        <v>8.301800783353416</v>
      </c>
    </row>
    <row r="17" spans="1:6" x14ac:dyDescent="0.2">
      <c r="A17" s="20">
        <v>13</v>
      </c>
      <c r="B17" s="184" t="s">
        <v>12</v>
      </c>
      <c r="C17" s="185"/>
      <c r="D17" s="15">
        <f t="shared" si="0"/>
        <v>11396</v>
      </c>
      <c r="E17" s="18">
        <f t="shared" si="1"/>
        <v>124844.67035196206</v>
      </c>
      <c r="F17" s="22">
        <f t="shared" si="2"/>
        <v>10.95513077851545</v>
      </c>
    </row>
    <row r="18" spans="1:6" ht="14.25" customHeight="1" x14ac:dyDescent="0.2">
      <c r="A18" s="20">
        <v>14</v>
      </c>
      <c r="B18" s="184" t="s">
        <v>469</v>
      </c>
      <c r="C18" s="185"/>
      <c r="D18" s="15">
        <f t="shared" si="0"/>
        <v>130232</v>
      </c>
      <c r="E18" s="18">
        <f t="shared" si="1"/>
        <v>1879480.6743837069</v>
      </c>
      <c r="F18" s="22">
        <f t="shared" si="2"/>
        <v>14.431788457396852</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117412</v>
      </c>
      <c r="E20" s="18">
        <f t="shared" si="1"/>
        <v>904092.21405445505</v>
      </c>
      <c r="F20" s="22">
        <f t="shared" si="2"/>
        <v>7.7001687566386323</v>
      </c>
    </row>
    <row r="21" spans="1:6" x14ac:dyDescent="0.2">
      <c r="A21" s="20">
        <v>17</v>
      </c>
      <c r="B21" s="184" t="s">
        <v>15</v>
      </c>
      <c r="C21" s="185"/>
      <c r="D21" s="15">
        <f t="shared" si="0"/>
        <v>35760</v>
      </c>
      <c r="E21" s="18">
        <f t="shared" si="1"/>
        <v>416485.77077800658</v>
      </c>
      <c r="F21" s="22">
        <f t="shared" si="2"/>
        <v>11.646693813702646</v>
      </c>
    </row>
    <row r="22" spans="1:6" x14ac:dyDescent="0.2">
      <c r="A22" s="20">
        <v>18</v>
      </c>
      <c r="B22" s="184" t="s">
        <v>16</v>
      </c>
      <c r="C22" s="185"/>
      <c r="D22" s="15">
        <f t="shared" si="0"/>
        <v>209280</v>
      </c>
      <c r="E22" s="18">
        <f t="shared" si="1"/>
        <v>1927583.9202578641</v>
      </c>
      <c r="F22" s="22">
        <f t="shared" si="2"/>
        <v>9.2105500776847471</v>
      </c>
    </row>
    <row r="23" spans="1:6" x14ac:dyDescent="0.2">
      <c r="A23" s="20">
        <v>19</v>
      </c>
      <c r="B23" s="184" t="s">
        <v>17</v>
      </c>
      <c r="C23" s="185"/>
      <c r="D23" s="15">
        <f t="shared" si="0"/>
        <v>131872</v>
      </c>
      <c r="E23" s="18">
        <f t="shared" si="1"/>
        <v>1258457.3931777766</v>
      </c>
      <c r="F23" s="22">
        <f t="shared" si="2"/>
        <v>9.543021969620364</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224</v>
      </c>
      <c r="E25" s="18">
        <f t="shared" si="1"/>
        <v>2765.6298840680502</v>
      </c>
      <c r="F25" s="22">
        <f t="shared" si="2"/>
        <v>12.346561982446653</v>
      </c>
    </row>
    <row r="26" spans="1:6" x14ac:dyDescent="0.2">
      <c r="A26" s="20">
        <v>22</v>
      </c>
      <c r="B26" s="184" t="s">
        <v>19</v>
      </c>
      <c r="C26" s="185"/>
      <c r="D26" s="15">
        <f t="shared" si="0"/>
        <v>1920</v>
      </c>
      <c r="E26" s="18">
        <f t="shared" si="1"/>
        <v>10060.256149154717</v>
      </c>
      <c r="F26" s="22">
        <f t="shared" si="2"/>
        <v>5.2397167443514148</v>
      </c>
    </row>
    <row r="27" spans="1:6" x14ac:dyDescent="0.2">
      <c r="A27" s="20">
        <v>23</v>
      </c>
      <c r="B27" s="184" t="s">
        <v>20</v>
      </c>
      <c r="C27" s="185"/>
      <c r="D27" s="15">
        <f t="shared" si="0"/>
        <v>50592</v>
      </c>
      <c r="E27" s="18">
        <f t="shared" si="1"/>
        <v>415975.5495302268</v>
      </c>
      <c r="F27" s="22">
        <f t="shared" si="2"/>
        <v>8.2221606089940469</v>
      </c>
    </row>
    <row r="28" spans="1:6" x14ac:dyDescent="0.2">
      <c r="A28" s="20">
        <v>24</v>
      </c>
      <c r="B28" s="184" t="s">
        <v>21</v>
      </c>
      <c r="C28" s="185"/>
      <c r="D28" s="15">
        <f t="shared" si="0"/>
        <v>55246</v>
      </c>
      <c r="E28" s="18">
        <f t="shared" si="1"/>
        <v>686526.395425105</v>
      </c>
      <c r="F28" s="22">
        <f t="shared" si="2"/>
        <v>12.426716783569942</v>
      </c>
    </row>
    <row r="29" spans="1:6" x14ac:dyDescent="0.2">
      <c r="A29" s="20">
        <v>25</v>
      </c>
      <c r="B29" s="184" t="s">
        <v>22</v>
      </c>
      <c r="C29" s="185"/>
      <c r="D29" s="15">
        <f t="shared" si="0"/>
        <v>256896</v>
      </c>
      <c r="E29" s="18">
        <f t="shared" si="1"/>
        <v>1990451.672756901</v>
      </c>
      <c r="F29" s="22">
        <f t="shared" si="2"/>
        <v>7.748083554266711</v>
      </c>
    </row>
    <row r="30" spans="1:6" x14ac:dyDescent="0.2">
      <c r="A30" s="20">
        <v>26</v>
      </c>
      <c r="B30" s="184" t="s">
        <v>23</v>
      </c>
      <c r="C30" s="185"/>
      <c r="D30" s="15">
        <f t="shared" si="0"/>
        <v>65664</v>
      </c>
      <c r="E30" s="18">
        <f t="shared" si="1"/>
        <v>786792.36030109134</v>
      </c>
      <c r="F30" s="22">
        <f t="shared" si="2"/>
        <v>11.982096130316327</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1814599</v>
      </c>
      <c r="E33" s="32">
        <f>SUM(E5:E32)</f>
        <v>17235576</v>
      </c>
      <c r="F33" s="33">
        <f t="shared" si="2"/>
        <v>9.4982836428323836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IF(F3="1",SUMIF(Data!A:A,'47'!$A$2,Data!CU:CU),0)</f>
        <v>10560</v>
      </c>
      <c r="E36" s="16">
        <f>IF(F3="1",SUMIF(Data!$A:$A,'47'!$A$2,Data!IO:IO),0)</f>
        <v>184583</v>
      </c>
      <c r="F36" s="21">
        <f t="shared" ref="F36:F64" si="3">IFERROR(E36/D36,"")</f>
        <v>17.479450757575759</v>
      </c>
    </row>
    <row r="37" spans="1:6" x14ac:dyDescent="0.2">
      <c r="A37" s="20">
        <v>2</v>
      </c>
      <c r="B37" s="184" t="s">
        <v>1</v>
      </c>
      <c r="C37" s="185"/>
      <c r="D37" s="15">
        <f>IF(F3="1",SUMIF(Data!A:A,'47'!$A$2,Data!CV:CV),0)</f>
        <v>25624</v>
      </c>
      <c r="E37" s="18">
        <f>IF(F3="1",SUMIF(Data!$A:$A,'47'!$A$2,Data!IP:IP),0)</f>
        <v>39756</v>
      </c>
      <c r="F37" s="22">
        <f t="shared" si="3"/>
        <v>1.5515142054324071</v>
      </c>
    </row>
    <row r="38" spans="1:6" ht="14.25" customHeight="1" x14ac:dyDescent="0.2">
      <c r="A38" s="20">
        <v>3</v>
      </c>
      <c r="B38" s="184" t="s">
        <v>2</v>
      </c>
      <c r="C38" s="185"/>
      <c r="D38" s="15">
        <f>IF(F3="1",SUMIF(Data!A:A,'47'!$A$2,Data!CW:CW),0)</f>
        <v>224096</v>
      </c>
      <c r="E38" s="18">
        <f>IF(F3="1",SUMIF(Data!$A:$A,'47'!$A$2,Data!IQ:IQ),0)</f>
        <v>365951</v>
      </c>
      <c r="F38" s="22">
        <f t="shared" si="3"/>
        <v>1.6330099600171355</v>
      </c>
    </row>
    <row r="39" spans="1:6" ht="14.25" customHeight="1" x14ac:dyDescent="0.2">
      <c r="A39" s="20">
        <v>4</v>
      </c>
      <c r="B39" s="184" t="s">
        <v>3</v>
      </c>
      <c r="C39" s="185"/>
      <c r="D39" s="15">
        <f>IF(F3="1",SUMIF(Data!A:A,'47'!$A$2,Data!CX:CX),0)</f>
        <v>106439</v>
      </c>
      <c r="E39" s="18">
        <f>IF(F3="1",SUMIF(Data!$A:$A,'47'!$A$2,Data!IR:IR),0)</f>
        <v>172173</v>
      </c>
      <c r="F39" s="22">
        <f t="shared" si="3"/>
        <v>1.6175743853286859</v>
      </c>
    </row>
    <row r="40" spans="1:6" x14ac:dyDescent="0.2">
      <c r="A40" s="20">
        <v>5</v>
      </c>
      <c r="B40" s="184" t="s">
        <v>4</v>
      </c>
      <c r="C40" s="185"/>
      <c r="D40" s="15">
        <f>IF(F3="1",SUMIF(Data!A:A,'47'!$A$2,Data!CY:CY),0)</f>
        <v>0</v>
      </c>
      <c r="E40" s="18">
        <f>IF(F3="1",SUMIF(Data!$A:$A,'47'!$A$2,Data!IS:IS),0)</f>
        <v>0</v>
      </c>
      <c r="F40" s="22" t="str">
        <f t="shared" si="3"/>
        <v/>
      </c>
    </row>
    <row r="41" spans="1:6" x14ac:dyDescent="0.2">
      <c r="A41" s="20">
        <v>6</v>
      </c>
      <c r="B41" s="184" t="s">
        <v>5</v>
      </c>
      <c r="C41" s="185"/>
      <c r="D41" s="15">
        <f>IF(F3="1",SUMIF(Data!A:A,'47'!$A$2,Data!CZ:CZ),0)</f>
        <v>1048</v>
      </c>
      <c r="E41" s="18">
        <f>IF(F3="1",SUMIF(Data!$A:$A,'47'!$A$2,Data!IT:IT),0)</f>
        <v>525</v>
      </c>
      <c r="F41" s="22">
        <f t="shared" si="3"/>
        <v>0.50095419847328249</v>
      </c>
    </row>
    <row r="42" spans="1:6" x14ac:dyDescent="0.2">
      <c r="A42" s="20">
        <v>7</v>
      </c>
      <c r="B42" s="184" t="s">
        <v>6</v>
      </c>
      <c r="C42" s="185"/>
      <c r="D42" s="15">
        <f>IF(F3="1",SUMIF(Data!A:A,'47'!$A$2,Data!DA:DA),0)</f>
        <v>82808</v>
      </c>
      <c r="E42" s="18">
        <f>IF(F3="1",SUMIF(Data!$A:$A,'47'!$A$2,Data!IU:IU),0)</f>
        <v>205571</v>
      </c>
      <c r="F42" s="22">
        <f t="shared" si="3"/>
        <v>2.4825016906579074</v>
      </c>
    </row>
    <row r="43" spans="1:6" x14ac:dyDescent="0.2">
      <c r="A43" s="20">
        <v>8</v>
      </c>
      <c r="B43" s="184" t="s">
        <v>7</v>
      </c>
      <c r="C43" s="185"/>
      <c r="D43" s="15">
        <f>IF(F3="1",SUMIF(Data!A:A,'47'!$A$2,Data!DB:DB),0)</f>
        <v>6818</v>
      </c>
      <c r="E43" s="18">
        <f>IF(F3="1",SUMIF(Data!$A:$A,'47'!$A$2,Data!IV:IV),0)</f>
        <v>132586</v>
      </c>
      <c r="F43" s="22">
        <f t="shared" si="3"/>
        <v>19.446465239073042</v>
      </c>
    </row>
    <row r="44" spans="1:6" x14ac:dyDescent="0.2">
      <c r="A44" s="20">
        <v>9</v>
      </c>
      <c r="B44" s="184" t="s">
        <v>8</v>
      </c>
      <c r="C44" s="185"/>
      <c r="D44" s="15">
        <f>IF(F3="1",SUMIF(Data!A:A,'47'!$A$2,Data!DC:DC),0)</f>
        <v>32823</v>
      </c>
      <c r="E44" s="18">
        <f>IF(F3="1",SUMIF(Data!$A:$A,'47'!$A$2,Data!IW:IW),0)</f>
        <v>26861</v>
      </c>
      <c r="F44" s="22">
        <f t="shared" si="3"/>
        <v>0.81835907747615999</v>
      </c>
    </row>
    <row r="45" spans="1:6" x14ac:dyDescent="0.2">
      <c r="A45" s="20">
        <v>10</v>
      </c>
      <c r="B45" s="184" t="s">
        <v>9</v>
      </c>
      <c r="C45" s="185"/>
      <c r="D45" s="15">
        <f>IF(F3="1",SUMIF(Data!A:A,'47'!$A$2,Data!DD:DD),0)</f>
        <v>0</v>
      </c>
      <c r="E45" s="18">
        <f>IF(F3="1",SUMIF(Data!$A:$A,'47'!$A$2,Data!IX:IX),0)</f>
        <v>0</v>
      </c>
      <c r="F45" s="22" t="str">
        <f t="shared" si="3"/>
        <v/>
      </c>
    </row>
    <row r="46" spans="1:6" x14ac:dyDescent="0.2">
      <c r="A46" s="20">
        <v>11</v>
      </c>
      <c r="B46" s="184" t="s">
        <v>10</v>
      </c>
      <c r="C46" s="185"/>
      <c r="D46" s="15">
        <f>IF(F3="1",SUMIF(Data!A:A,'47'!$A$2,Data!DE:DE),0)</f>
        <v>40601</v>
      </c>
      <c r="E46" s="18">
        <f>IF(F3="1",SUMIF(Data!$A:$A,'47'!$A$2,Data!IY:IY),0)</f>
        <v>256357</v>
      </c>
      <c r="F46" s="22">
        <f t="shared" si="3"/>
        <v>6.3140563040319204</v>
      </c>
    </row>
    <row r="47" spans="1:6" ht="14.25" customHeight="1" x14ac:dyDescent="0.2">
      <c r="A47" s="20">
        <v>12</v>
      </c>
      <c r="B47" s="184" t="s">
        <v>11</v>
      </c>
      <c r="C47" s="185"/>
      <c r="D47" s="15">
        <f>IF(F3="1",SUMIF(Data!A:A,'47'!$A$2,Data!DF:DF),0)</f>
        <v>217288</v>
      </c>
      <c r="E47" s="18">
        <f>IF(F3="1",SUMIF(Data!$A:$A,'47'!$A$2,Data!IZ:IZ),0)</f>
        <v>210341</v>
      </c>
      <c r="F47" s="22">
        <f t="shared" si="3"/>
        <v>0.96802860719413863</v>
      </c>
    </row>
    <row r="48" spans="1:6" x14ac:dyDescent="0.2">
      <c r="A48" s="20">
        <v>13</v>
      </c>
      <c r="B48" s="184" t="s">
        <v>12</v>
      </c>
      <c r="C48" s="185"/>
      <c r="D48" s="15">
        <f>IF(F3="1",SUMIF(Data!A:A,'47'!$A$2,Data!DG:DG),0)</f>
        <v>11396</v>
      </c>
      <c r="E48" s="18">
        <f>IF(F3="1",SUMIF(Data!$A:$A,'47'!$A$2,Data!JA:JA),0)</f>
        <v>30082</v>
      </c>
      <c r="F48" s="22">
        <f t="shared" si="3"/>
        <v>2.6396981396981398</v>
      </c>
    </row>
    <row r="49" spans="1:6" ht="14.25" customHeight="1" x14ac:dyDescent="0.2">
      <c r="A49" s="20">
        <v>14</v>
      </c>
      <c r="B49" s="184" t="s">
        <v>469</v>
      </c>
      <c r="C49" s="185"/>
      <c r="D49" s="15">
        <f>IF(F3="1",SUMIF(Data!A:A,'47'!$A$2,Data!DH:DH),0)</f>
        <v>130232</v>
      </c>
      <c r="E49" s="18">
        <f>IF(F3="1",SUMIF(Data!$A:$A,'47'!$A$2,Data!JB:JB),0)</f>
        <v>324186</v>
      </c>
      <c r="F49" s="22">
        <f t="shared" si="3"/>
        <v>2.4892960255543954</v>
      </c>
    </row>
    <row r="50" spans="1:6" x14ac:dyDescent="0.2">
      <c r="A50" s="20">
        <v>15</v>
      </c>
      <c r="B50" s="184" t="s">
        <v>13</v>
      </c>
      <c r="C50" s="185"/>
      <c r="D50" s="15">
        <f>IF(F3="1",SUMIF(Data!A:A,'47'!$A$2,Data!DI:DI),0)</f>
        <v>0</v>
      </c>
      <c r="E50" s="18">
        <f>IF(F3="1",SUMIF(Data!$A:$A,'47'!$A$2,Data!JC:JC),0)</f>
        <v>0</v>
      </c>
      <c r="F50" s="22" t="str">
        <f t="shared" si="3"/>
        <v/>
      </c>
    </row>
    <row r="51" spans="1:6" x14ac:dyDescent="0.2">
      <c r="A51" s="20">
        <v>16</v>
      </c>
      <c r="B51" s="184" t="s">
        <v>14</v>
      </c>
      <c r="C51" s="185"/>
      <c r="D51" s="15">
        <f>IF(F3="1",SUMIF(Data!A:A,'47'!$A$2,Data!DJ:DJ),0)</f>
        <v>117412</v>
      </c>
      <c r="E51" s="18">
        <f>IF(F3="1",SUMIF(Data!$A:$A,'47'!$A$2,Data!JD:JD),0)</f>
        <v>129670</v>
      </c>
      <c r="F51" s="22">
        <f t="shared" si="3"/>
        <v>1.1044015943855825</v>
      </c>
    </row>
    <row r="52" spans="1:6" x14ac:dyDescent="0.2">
      <c r="A52" s="20">
        <v>17</v>
      </c>
      <c r="B52" s="184" t="s">
        <v>15</v>
      </c>
      <c r="C52" s="185"/>
      <c r="D52" s="15">
        <f>IF(F3="1",SUMIF(Data!A:A,'47'!$A$2,Data!DK:DK),0)</f>
        <v>35760</v>
      </c>
      <c r="E52" s="18">
        <f>IF(F3="1",SUMIF(Data!$A:$A,'47'!$A$2,Data!JE:JE),0)</f>
        <v>67074</v>
      </c>
      <c r="F52" s="22">
        <f t="shared" si="3"/>
        <v>1.8756711409395974</v>
      </c>
    </row>
    <row r="53" spans="1:6" x14ac:dyDescent="0.2">
      <c r="A53" s="20">
        <v>18</v>
      </c>
      <c r="B53" s="184" t="s">
        <v>16</v>
      </c>
      <c r="C53" s="185"/>
      <c r="D53" s="15">
        <f>IF(F3="1",SUMIF(Data!A:A,'47'!$A$2,Data!DL:DL),0)</f>
        <v>209280</v>
      </c>
      <c r="E53" s="18">
        <f>IF(F3="1",SUMIF(Data!$A:$A,'47'!$A$2,Data!JF:JF),0)</f>
        <v>350809</v>
      </c>
      <c r="F53" s="22">
        <f t="shared" si="3"/>
        <v>1.6762662461773701</v>
      </c>
    </row>
    <row r="54" spans="1:6" x14ac:dyDescent="0.2">
      <c r="A54" s="20">
        <v>19</v>
      </c>
      <c r="B54" s="184" t="s">
        <v>17</v>
      </c>
      <c r="C54" s="185"/>
      <c r="D54" s="15">
        <f>IF(F3="1",SUMIF(Data!A:A,'47'!$A$2,Data!DM:DM),0)</f>
        <v>131872</v>
      </c>
      <c r="E54" s="18">
        <f>IF(F3="1",SUMIF(Data!$A:$A,'47'!$A$2,Data!JG:JG),0)</f>
        <v>281051</v>
      </c>
      <c r="F54" s="22">
        <f t="shared" si="3"/>
        <v>2.1312409002669255</v>
      </c>
    </row>
    <row r="55" spans="1:6" x14ac:dyDescent="0.2">
      <c r="A55" s="20">
        <v>20</v>
      </c>
      <c r="B55" s="184" t="s">
        <v>18</v>
      </c>
      <c r="C55" s="185"/>
      <c r="D55" s="15">
        <f>IF(F3="1",SUMIF(Data!A:A,'47'!$A$2,Data!DN:DN),0)</f>
        <v>0</v>
      </c>
      <c r="E55" s="18">
        <f>IF(F3="1",SUMIF(Data!$A:$A,'47'!$A$2,Data!JH:JH),0)</f>
        <v>0</v>
      </c>
      <c r="F55" s="22" t="str">
        <f t="shared" si="3"/>
        <v/>
      </c>
    </row>
    <row r="56" spans="1:6" ht="14.25" customHeight="1" x14ac:dyDescent="0.2">
      <c r="A56" s="20">
        <v>21</v>
      </c>
      <c r="B56" s="184" t="s">
        <v>466</v>
      </c>
      <c r="C56" s="185"/>
      <c r="D56" s="15">
        <f>IF(F3="1",SUMIF(Data!A:A,'47'!$A$2,Data!DO:DO),0)</f>
        <v>224</v>
      </c>
      <c r="E56" s="18">
        <f>IF(F3="1",SUMIF(Data!$A:$A,'47'!$A$2,Data!JI:JI),0)</f>
        <v>197</v>
      </c>
      <c r="F56" s="22">
        <f t="shared" si="3"/>
        <v>0.8794642857142857</v>
      </c>
    </row>
    <row r="57" spans="1:6" x14ac:dyDescent="0.2">
      <c r="A57" s="20">
        <v>22</v>
      </c>
      <c r="B57" s="184" t="s">
        <v>19</v>
      </c>
      <c r="C57" s="185"/>
      <c r="D57" s="15">
        <f>IF(F3="1",SUMIF(Data!A:A,'47'!$A$2,Data!DP:DP),0)</f>
        <v>1920</v>
      </c>
      <c r="E57" s="18">
        <f>IF(F3="1",SUMIF(Data!$A:$A,'47'!$A$2,Data!JJ:JJ),0)</f>
        <v>442</v>
      </c>
      <c r="F57" s="22">
        <f t="shared" si="3"/>
        <v>0.23020833333333332</v>
      </c>
    </row>
    <row r="58" spans="1:6" x14ac:dyDescent="0.2">
      <c r="A58" s="20">
        <v>23</v>
      </c>
      <c r="B58" s="184" t="s">
        <v>20</v>
      </c>
      <c r="C58" s="185"/>
      <c r="D58" s="15">
        <f>IF(F3="1",SUMIF(Data!A:A,'47'!$A$2,Data!DQ:DQ),0)</f>
        <v>50592</v>
      </c>
      <c r="E58" s="18">
        <f>IF(F3="1",SUMIF(Data!$A:$A,'47'!$A$2,Data!JK:JK),0)</f>
        <v>48551</v>
      </c>
      <c r="F58" s="22">
        <f t="shared" si="3"/>
        <v>0.95965765338393427</v>
      </c>
    </row>
    <row r="59" spans="1:6" x14ac:dyDescent="0.2">
      <c r="A59" s="20">
        <v>24</v>
      </c>
      <c r="B59" s="184" t="s">
        <v>21</v>
      </c>
      <c r="C59" s="185"/>
      <c r="D59" s="15">
        <f>IF(F3="1",SUMIF(Data!A:A,'47'!$A$2,Data!DR:DR),0)</f>
        <v>55246</v>
      </c>
      <c r="E59" s="18">
        <f>IF(F3="1",SUMIF(Data!$A:$A,'47'!$A$2,Data!JL:JL),0)</f>
        <v>311987</v>
      </c>
      <c r="F59" s="22">
        <f t="shared" si="3"/>
        <v>5.6472323788147563</v>
      </c>
    </row>
    <row r="60" spans="1:6" x14ac:dyDescent="0.2">
      <c r="A60" s="20">
        <v>25</v>
      </c>
      <c r="B60" s="184" t="s">
        <v>22</v>
      </c>
      <c r="C60" s="185"/>
      <c r="D60" s="15">
        <f>IF(F3="1",SUMIF(Data!A:A,'47'!$A$2,Data!DS:DS),0)</f>
        <v>256896</v>
      </c>
      <c r="E60" s="18">
        <f>IF(F3="1",SUMIF(Data!$A:$A,'47'!$A$2,Data!JM:JM),0)</f>
        <v>208457</v>
      </c>
      <c r="F60" s="22">
        <f t="shared" si="3"/>
        <v>0.81144509840558043</v>
      </c>
    </row>
    <row r="61" spans="1:6" x14ac:dyDescent="0.2">
      <c r="A61" s="20">
        <v>26</v>
      </c>
      <c r="B61" s="184" t="s">
        <v>23</v>
      </c>
      <c r="C61" s="185"/>
      <c r="D61" s="15">
        <f>IF(F3="1",SUMIF(Data!A:A,'47'!$A$2,Data!DT:DT),0)</f>
        <v>65664</v>
      </c>
      <c r="E61" s="18">
        <f>IF(F3="1",SUMIF(Data!$A:$A,'47'!$A$2,Data!JN:JN),0)</f>
        <v>181357</v>
      </c>
      <c r="F61" s="22">
        <f t="shared" si="3"/>
        <v>2.7618938840155947</v>
      </c>
    </row>
    <row r="62" spans="1:6" x14ac:dyDescent="0.2">
      <c r="A62" s="20">
        <v>28</v>
      </c>
      <c r="B62" s="184" t="s">
        <v>24</v>
      </c>
      <c r="C62" s="185"/>
      <c r="D62" s="15">
        <f>IF(F3="1",SUMIF(Data!A:A,'47'!$A$2,Data!DV:DV),0)</f>
        <v>0</v>
      </c>
      <c r="E62" s="18">
        <f>IF(F3="1",SUMIF(Data!$A:$A,'47'!$A$2,Data!JP:JP),0)</f>
        <v>0</v>
      </c>
      <c r="F62" s="22" t="str">
        <f t="shared" si="3"/>
        <v/>
      </c>
    </row>
    <row r="63" spans="1:6" ht="15.75" customHeight="1" thickBot="1" x14ac:dyDescent="0.25">
      <c r="A63" s="23">
        <v>29</v>
      </c>
      <c r="B63" s="186" t="s">
        <v>25</v>
      </c>
      <c r="C63" s="187"/>
      <c r="D63" s="24">
        <f>IF(F3="1",SUMIF(Data!A:A,'47'!$A$2,Data!DW:DW),0)</f>
        <v>0</v>
      </c>
      <c r="E63" s="25">
        <f>IF(F3="1",SUMIF(Data!$A:$A,'47'!$A$2,Data!JQ:JQ),0)</f>
        <v>0</v>
      </c>
      <c r="F63" s="26" t="str">
        <f t="shared" si="3"/>
        <v/>
      </c>
    </row>
    <row r="64" spans="1:6" x14ac:dyDescent="0.2">
      <c r="B64" s="31" t="s">
        <v>35</v>
      </c>
      <c r="C64" s="31"/>
      <c r="D64" s="61">
        <f>SUM(D36:D63)</f>
        <v>1814599</v>
      </c>
      <c r="E64" s="32">
        <f>SUM(E36:E63)</f>
        <v>3528567</v>
      </c>
      <c r="F64" s="33">
        <f t="shared" si="3"/>
        <v>1.9445436705299628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10560</v>
      </c>
      <c r="E67" s="16">
        <f>IF(F3="1",SUMIF(Data!A:A,'47'!$A$2,Data!DY:DY),0)</f>
        <v>1440</v>
      </c>
      <c r="F67" s="21">
        <f>IFERROR(E67/D67,"")</f>
        <v>0.13636363636363635</v>
      </c>
    </row>
    <row r="68" spans="1:6" x14ac:dyDescent="0.2">
      <c r="A68" s="20">
        <v>2</v>
      </c>
      <c r="B68" s="184" t="s">
        <v>1</v>
      </c>
      <c r="C68" s="185"/>
      <c r="D68" s="15">
        <f t="shared" ref="D68:D94" si="4">D37</f>
        <v>25624</v>
      </c>
      <c r="E68" s="18">
        <f>IF(F3="1",SUMIF(Data!A:A,'47'!$A$2,Data!DZ:DZ),0)</f>
        <v>72410</v>
      </c>
      <c r="F68" s="22">
        <f t="shared" ref="F68:F95" si="5">IFERROR(E68/D68,"")</f>
        <v>2.8258663752731814</v>
      </c>
    </row>
    <row r="69" spans="1:6" ht="14.25" customHeight="1" x14ac:dyDescent="0.2">
      <c r="A69" s="20">
        <v>3</v>
      </c>
      <c r="B69" s="184" t="s">
        <v>2</v>
      </c>
      <c r="C69" s="185"/>
      <c r="D69" s="15">
        <f t="shared" si="4"/>
        <v>224096</v>
      </c>
      <c r="E69" s="18">
        <f>IF(F3="1",SUMIF(Data!A:A,'47'!$A$2,Data!EA:EA),0)</f>
        <v>844116</v>
      </c>
      <c r="F69" s="22">
        <f t="shared" si="5"/>
        <v>3.7667606739968584</v>
      </c>
    </row>
    <row r="70" spans="1:6" ht="14.25" customHeight="1" x14ac:dyDescent="0.2">
      <c r="A70" s="20">
        <v>4</v>
      </c>
      <c r="B70" s="184" t="s">
        <v>3</v>
      </c>
      <c r="C70" s="185"/>
      <c r="D70" s="15">
        <f t="shared" si="4"/>
        <v>106439</v>
      </c>
      <c r="E70" s="18">
        <f>IF(F3="1",SUMIF(Data!A:A,'47'!$A$2,Data!EB:EB),0)</f>
        <v>263973</v>
      </c>
      <c r="F70" s="22">
        <f t="shared" si="5"/>
        <v>2.4800402108249795</v>
      </c>
    </row>
    <row r="71" spans="1:6" x14ac:dyDescent="0.2">
      <c r="A71" s="20">
        <v>5</v>
      </c>
      <c r="B71" s="184" t="s">
        <v>4</v>
      </c>
      <c r="C71" s="185"/>
      <c r="D71" s="15">
        <f t="shared" si="4"/>
        <v>0</v>
      </c>
      <c r="E71" s="18">
        <f>IF(F3="1",SUMIF(Data!A:A,'47'!$A$2,Data!EC:EC),0)</f>
        <v>0</v>
      </c>
      <c r="F71" s="22" t="str">
        <f t="shared" si="5"/>
        <v/>
      </c>
    </row>
    <row r="72" spans="1:6" x14ac:dyDescent="0.2">
      <c r="A72" s="20">
        <v>6</v>
      </c>
      <c r="B72" s="184" t="s">
        <v>5</v>
      </c>
      <c r="C72" s="185"/>
      <c r="D72" s="15">
        <f t="shared" si="4"/>
        <v>1048</v>
      </c>
      <c r="E72" s="18">
        <f>IF(F3="1",SUMIF(Data!A:A,'47'!$A$2,Data!ED:ED),0)</f>
        <v>4697</v>
      </c>
      <c r="F72" s="22">
        <f t="shared" si="5"/>
        <v>4.481870229007634</v>
      </c>
    </row>
    <row r="73" spans="1:6" x14ac:dyDescent="0.2">
      <c r="A73" s="20">
        <v>7</v>
      </c>
      <c r="B73" s="184" t="s">
        <v>6</v>
      </c>
      <c r="C73" s="185"/>
      <c r="D73" s="15">
        <f t="shared" si="4"/>
        <v>82808</v>
      </c>
      <c r="E73" s="18">
        <f>IF(F3="1",SUMIF(Data!A:A,'47'!$A$2,Data!EE:EE),0)</f>
        <v>362301</v>
      </c>
      <c r="F73" s="22">
        <f t="shared" si="5"/>
        <v>4.3751932180465651</v>
      </c>
    </row>
    <row r="74" spans="1:6" x14ac:dyDescent="0.2">
      <c r="A74" s="20">
        <v>8</v>
      </c>
      <c r="B74" s="184" t="s">
        <v>7</v>
      </c>
      <c r="C74" s="185"/>
      <c r="D74" s="15">
        <f t="shared" si="4"/>
        <v>6818</v>
      </c>
      <c r="E74" s="18">
        <f>IF(F3="1",SUMIF(Data!A:A,'47'!$A$2,Data!EF:EF),0)</f>
        <v>53733</v>
      </c>
      <c r="F74" s="22">
        <f t="shared" si="5"/>
        <v>7.8810501613376358</v>
      </c>
    </row>
    <row r="75" spans="1:6" x14ac:dyDescent="0.2">
      <c r="A75" s="20">
        <v>9</v>
      </c>
      <c r="B75" s="184" t="s">
        <v>8</v>
      </c>
      <c r="C75" s="185"/>
      <c r="D75" s="15">
        <f t="shared" si="4"/>
        <v>32823</v>
      </c>
      <c r="E75" s="18">
        <f>IF(F3="1",SUMIF(Data!A:A,'47'!$A$2,Data!EG:EG),0)</f>
        <v>52376</v>
      </c>
      <c r="F75" s="22">
        <f t="shared" si="5"/>
        <v>1.5957103250769278</v>
      </c>
    </row>
    <row r="76" spans="1:6" x14ac:dyDescent="0.2">
      <c r="A76" s="20">
        <v>10</v>
      </c>
      <c r="B76" s="184" t="s">
        <v>9</v>
      </c>
      <c r="C76" s="185"/>
      <c r="D76" s="15">
        <f t="shared" si="4"/>
        <v>0</v>
      </c>
      <c r="E76" s="18">
        <f>IF(F3="1",SUMIF(Data!A:A,'47'!$A$2,Data!EH:EH),0)</f>
        <v>0</v>
      </c>
      <c r="F76" s="22" t="str">
        <f t="shared" si="5"/>
        <v/>
      </c>
    </row>
    <row r="77" spans="1:6" x14ac:dyDescent="0.2">
      <c r="A77" s="20">
        <v>11</v>
      </c>
      <c r="B77" s="184" t="s">
        <v>10</v>
      </c>
      <c r="C77" s="185"/>
      <c r="D77" s="15">
        <f t="shared" si="4"/>
        <v>40601</v>
      </c>
      <c r="E77" s="18">
        <f>IF(F3="1",SUMIF(Data!A:A,'47'!$A$2,Data!EI:EI),0)</f>
        <v>84392</v>
      </c>
      <c r="F77" s="22">
        <f t="shared" si="5"/>
        <v>2.0785694933622323</v>
      </c>
    </row>
    <row r="78" spans="1:6" ht="14.25" customHeight="1" x14ac:dyDescent="0.2">
      <c r="A78" s="20">
        <v>12</v>
      </c>
      <c r="B78" s="184" t="s">
        <v>11</v>
      </c>
      <c r="C78" s="185"/>
      <c r="D78" s="15">
        <f t="shared" si="4"/>
        <v>217288</v>
      </c>
      <c r="E78" s="18">
        <f>IF(F3="1",SUMIF(Data!A:A,'47'!$A$2,Data!EJ:EJ),0)</f>
        <v>813991</v>
      </c>
      <c r="F78" s="22">
        <f t="shared" si="5"/>
        <v>3.746138765141195</v>
      </c>
    </row>
    <row r="79" spans="1:6" x14ac:dyDescent="0.2">
      <c r="A79" s="20">
        <v>13</v>
      </c>
      <c r="B79" s="184" t="s">
        <v>12</v>
      </c>
      <c r="C79" s="185"/>
      <c r="D79" s="15">
        <f t="shared" si="4"/>
        <v>11396</v>
      </c>
      <c r="E79" s="18">
        <f>IF(F3="1",SUMIF(Data!A:A,'47'!$A$2,Data!EK:EK),0)</f>
        <v>53878</v>
      </c>
      <c r="F79" s="22">
        <f t="shared" si="5"/>
        <v>4.7277992277992276</v>
      </c>
    </row>
    <row r="80" spans="1:6" ht="14.25" customHeight="1" x14ac:dyDescent="0.2">
      <c r="A80" s="20">
        <v>14</v>
      </c>
      <c r="B80" s="184" t="s">
        <v>469</v>
      </c>
      <c r="C80" s="185"/>
      <c r="D80" s="15">
        <f t="shared" si="4"/>
        <v>130232</v>
      </c>
      <c r="E80" s="18">
        <f>IF(F3="1",SUMIF(Data!A:A,'47'!$A$2,Data!EL:EL),0)</f>
        <v>1088070</v>
      </c>
      <c r="F80" s="22">
        <f t="shared" si="5"/>
        <v>8.3548590208243745</v>
      </c>
    </row>
    <row r="81" spans="1:6" x14ac:dyDescent="0.2">
      <c r="A81" s="20">
        <v>15</v>
      </c>
      <c r="B81" s="184" t="s">
        <v>13</v>
      </c>
      <c r="C81" s="185"/>
      <c r="D81" s="15">
        <f t="shared" si="4"/>
        <v>0</v>
      </c>
      <c r="E81" s="18">
        <f>IF(F3="1",SUMIF(Data!A:A,'47'!$A$2,Data!EM:EM),0)</f>
        <v>0</v>
      </c>
      <c r="F81" s="22" t="str">
        <f t="shared" si="5"/>
        <v/>
      </c>
    </row>
    <row r="82" spans="1:6" x14ac:dyDescent="0.2">
      <c r="A82" s="20">
        <v>16</v>
      </c>
      <c r="B82" s="184" t="s">
        <v>14</v>
      </c>
      <c r="C82" s="185"/>
      <c r="D82" s="15">
        <f t="shared" si="4"/>
        <v>117412</v>
      </c>
      <c r="E82" s="18">
        <f>IF(F3="1",SUMIF(Data!A:A,'47'!$A$2,Data!EN:EN),0)</f>
        <v>353191</v>
      </c>
      <c r="F82" s="22">
        <f t="shared" si="5"/>
        <v>3.0081337512349675</v>
      </c>
    </row>
    <row r="83" spans="1:6" x14ac:dyDescent="0.2">
      <c r="A83" s="20">
        <v>17</v>
      </c>
      <c r="B83" s="184" t="s">
        <v>15</v>
      </c>
      <c r="C83" s="185"/>
      <c r="D83" s="15">
        <f t="shared" si="4"/>
        <v>35760</v>
      </c>
      <c r="E83" s="18">
        <f>IF(F3="1",SUMIF(Data!A:A,'47'!$A$2,Data!EO:EO),0)</f>
        <v>221118</v>
      </c>
      <c r="F83" s="22">
        <f t="shared" si="5"/>
        <v>6.1833892617449662</v>
      </c>
    </row>
    <row r="84" spans="1:6" x14ac:dyDescent="0.2">
      <c r="A84" s="20">
        <v>18</v>
      </c>
      <c r="B84" s="184" t="s">
        <v>16</v>
      </c>
      <c r="C84" s="185"/>
      <c r="D84" s="15">
        <f t="shared" si="4"/>
        <v>209280</v>
      </c>
      <c r="E84" s="18">
        <f>IF(F3="1",SUMIF(Data!A:A,'47'!$A$2,Data!EP:EP),0)</f>
        <v>825955</v>
      </c>
      <c r="F84" s="22">
        <f t="shared" si="5"/>
        <v>3.9466504204892967</v>
      </c>
    </row>
    <row r="85" spans="1:6" x14ac:dyDescent="0.2">
      <c r="A85" s="20">
        <v>19</v>
      </c>
      <c r="B85" s="184" t="s">
        <v>17</v>
      </c>
      <c r="C85" s="185"/>
      <c r="D85" s="15">
        <f t="shared" si="4"/>
        <v>131872</v>
      </c>
      <c r="E85" s="18">
        <f>IF(F3="1",SUMIF(Data!A:A,'47'!$A$2,Data!EQ:EQ),0)</f>
        <v>504298</v>
      </c>
      <c r="F85" s="22">
        <f t="shared" si="5"/>
        <v>3.8241476583353555</v>
      </c>
    </row>
    <row r="86" spans="1:6" x14ac:dyDescent="0.2">
      <c r="A86" s="20">
        <v>20</v>
      </c>
      <c r="B86" s="184" t="s">
        <v>18</v>
      </c>
      <c r="C86" s="185"/>
      <c r="D86" s="15">
        <f t="shared" si="4"/>
        <v>0</v>
      </c>
      <c r="E86" s="18">
        <f>IF(F3="1",SUMIF(Data!A:A,'47'!$A$2,Data!ER:ER),0)</f>
        <v>0</v>
      </c>
      <c r="F86" s="22" t="str">
        <f t="shared" si="5"/>
        <v/>
      </c>
    </row>
    <row r="87" spans="1:6" ht="14.25" customHeight="1" x14ac:dyDescent="0.2">
      <c r="A87" s="20">
        <v>21</v>
      </c>
      <c r="B87" s="184" t="s">
        <v>466</v>
      </c>
      <c r="C87" s="185"/>
      <c r="D87" s="15">
        <f t="shared" si="4"/>
        <v>224</v>
      </c>
      <c r="E87" s="18">
        <f>IF(F3="1",SUMIF(Data!A:A,'47'!$A$2,Data!ES:ES),0)</f>
        <v>1765</v>
      </c>
      <c r="F87" s="22">
        <f t="shared" si="5"/>
        <v>7.8794642857142856</v>
      </c>
    </row>
    <row r="88" spans="1:6" x14ac:dyDescent="0.2">
      <c r="A88" s="20">
        <v>22</v>
      </c>
      <c r="B88" s="184" t="s">
        <v>19</v>
      </c>
      <c r="C88" s="185"/>
      <c r="D88" s="15">
        <f t="shared" si="4"/>
        <v>1920</v>
      </c>
      <c r="E88" s="18">
        <f>IF(F3="1",SUMIF(Data!A:A,'47'!$A$2,Data!ET:ET),0)</f>
        <v>2730</v>
      </c>
      <c r="F88" s="22">
        <f t="shared" si="5"/>
        <v>1.421875</v>
      </c>
    </row>
    <row r="89" spans="1:6" x14ac:dyDescent="0.2">
      <c r="A89" s="20">
        <v>23</v>
      </c>
      <c r="B89" s="184" t="s">
        <v>20</v>
      </c>
      <c r="C89" s="185"/>
      <c r="D89" s="15">
        <f t="shared" si="4"/>
        <v>50592</v>
      </c>
      <c r="E89" s="18">
        <f>IF(F3="1",SUMIF(Data!A:A,'47'!$A$2,Data!EU:EU),0)</f>
        <v>185919</v>
      </c>
      <c r="F89" s="22">
        <f t="shared" si="5"/>
        <v>3.6748695445920303</v>
      </c>
    </row>
    <row r="90" spans="1:6" x14ac:dyDescent="0.2">
      <c r="A90" s="20">
        <v>24</v>
      </c>
      <c r="B90" s="184" t="s">
        <v>21</v>
      </c>
      <c r="C90" s="185"/>
      <c r="D90" s="15">
        <f t="shared" si="4"/>
        <v>55246</v>
      </c>
      <c r="E90" s="18">
        <f>IF(F3="1",SUMIF(Data!A:A,'47'!$A$2,Data!EV:EV),0)</f>
        <v>176337</v>
      </c>
      <c r="F90" s="22">
        <f t="shared" si="5"/>
        <v>3.1918509937371033</v>
      </c>
    </row>
    <row r="91" spans="1:6" x14ac:dyDescent="0.2">
      <c r="A91" s="20">
        <v>25</v>
      </c>
      <c r="B91" s="184" t="s">
        <v>22</v>
      </c>
      <c r="C91" s="185"/>
      <c r="D91" s="15">
        <f t="shared" si="4"/>
        <v>256896</v>
      </c>
      <c r="E91" s="18">
        <f>IF(F3="1",SUMIF(Data!A:A,'47'!$A$2,Data!EW:EW),0)</f>
        <v>860346</v>
      </c>
      <c r="F91" s="22">
        <f t="shared" si="5"/>
        <v>3.3490050448430493</v>
      </c>
    </row>
    <row r="92" spans="1:6" x14ac:dyDescent="0.2">
      <c r="A92" s="20">
        <v>26</v>
      </c>
      <c r="B92" s="184" t="s">
        <v>23</v>
      </c>
      <c r="C92" s="185"/>
      <c r="D92" s="15">
        <f t="shared" si="4"/>
        <v>65664</v>
      </c>
      <c r="E92" s="18">
        <f>IF(F3="1",SUMIF(Data!A:A,'47'!$A$2,Data!EX:EX),0)</f>
        <v>369857</v>
      </c>
      <c r="F92" s="22">
        <f t="shared" si="5"/>
        <v>5.6325688352826511</v>
      </c>
    </row>
    <row r="93" spans="1:6" x14ac:dyDescent="0.2">
      <c r="A93" s="20">
        <v>28</v>
      </c>
      <c r="B93" s="184" t="s">
        <v>24</v>
      </c>
      <c r="C93" s="185"/>
      <c r="D93" s="15">
        <f t="shared" si="4"/>
        <v>0</v>
      </c>
      <c r="E93" s="18">
        <f>IF(F3="1",SUMIF(Data!A:A,'47'!$A$2,Data!EZ:EZ),0)</f>
        <v>0</v>
      </c>
      <c r="F93" s="22" t="str">
        <f t="shared" si="5"/>
        <v/>
      </c>
    </row>
    <row r="94" spans="1:6" ht="15.75" customHeight="1" thickBot="1" x14ac:dyDescent="0.25">
      <c r="A94" s="23">
        <v>29</v>
      </c>
      <c r="B94" s="186" t="s">
        <v>25</v>
      </c>
      <c r="C94" s="187"/>
      <c r="D94" s="24">
        <f t="shared" si="4"/>
        <v>0</v>
      </c>
      <c r="E94" s="25">
        <f>IF(F3="1",SUMIF(Data!A:A,'47'!$A$2,Data!FA:FA),0)</f>
        <v>0</v>
      </c>
      <c r="F94" s="26" t="str">
        <f t="shared" si="5"/>
        <v/>
      </c>
    </row>
    <row r="95" spans="1:6" x14ac:dyDescent="0.2">
      <c r="B95" s="31" t="s">
        <v>35</v>
      </c>
      <c r="C95" s="31"/>
      <c r="D95" s="61">
        <f>SUM(D67:D94)</f>
        <v>1814599</v>
      </c>
      <c r="E95" s="32">
        <f>SUM(E67:E94)</f>
        <v>7196893</v>
      </c>
      <c r="F95" s="33">
        <f t="shared" si="5"/>
        <v>3.9661065612843389</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IF(F3="1",SUMIF(Data!A:A,'47'!$A$2,Data!AH:AH),0)</f>
        <v>2661091</v>
      </c>
      <c r="F98" s="21">
        <f t="shared" ref="F98:F105" si="6">IFERROR(E98/$D$95,0)</f>
        <v>1.4664898415572807</v>
      </c>
    </row>
    <row r="99" spans="2:6" x14ac:dyDescent="0.2">
      <c r="B99" s="190" t="s">
        <v>31</v>
      </c>
      <c r="C99" s="191"/>
      <c r="D99" s="37"/>
      <c r="E99" s="18">
        <f>IF(F3="1",SUMIF(Data!A:A,'47'!$A$2,Data!AI:AI),0)</f>
        <v>1546662</v>
      </c>
      <c r="F99" s="22">
        <f t="shared" si="6"/>
        <v>0.85234368585015197</v>
      </c>
    </row>
    <row r="100" spans="2:6" x14ac:dyDescent="0.2">
      <c r="B100" s="190" t="s">
        <v>32</v>
      </c>
      <c r="C100" s="191"/>
      <c r="D100" s="37"/>
      <c r="E100" s="18">
        <f>IF(F3="1",SUMIF(Data!A:A,'47'!$A$2,Data!AJ:AJ),0)</f>
        <v>1456103</v>
      </c>
      <c r="F100" s="22">
        <f t="shared" si="6"/>
        <v>0.80243789399200594</v>
      </c>
    </row>
    <row r="101" spans="2:6" x14ac:dyDescent="0.2">
      <c r="B101" s="190" t="s">
        <v>28</v>
      </c>
      <c r="C101" s="191"/>
      <c r="D101" s="37"/>
      <c r="E101" s="18">
        <f>IF(F3="1",SUMIF(Data!A:A,'47'!$A$2,Data!AK:AK),0)</f>
        <v>0</v>
      </c>
      <c r="F101" s="22">
        <f t="shared" si="6"/>
        <v>0</v>
      </c>
    </row>
    <row r="102" spans="2:6" x14ac:dyDescent="0.2">
      <c r="B102" s="190" t="s">
        <v>33</v>
      </c>
      <c r="C102" s="191"/>
      <c r="D102" s="37"/>
      <c r="E102" s="18">
        <f>IF(F3="1",SUMIF(Data!A:A,'47'!$A$2,Data!AL:AL),0)</f>
        <v>111543</v>
      </c>
      <c r="F102" s="22">
        <f t="shared" si="6"/>
        <v>6.1469779273547492E-2</v>
      </c>
    </row>
    <row r="103" spans="2:6" x14ac:dyDescent="0.2">
      <c r="B103" s="192" t="s">
        <v>34</v>
      </c>
      <c r="C103" s="193"/>
      <c r="D103" s="37"/>
      <c r="E103" s="18">
        <f>IF(F3="1",SUMIF(Data!A:A,'47'!$A$2,Data!AM:AM),0)</f>
        <v>249527</v>
      </c>
      <c r="F103" s="22">
        <f t="shared" si="6"/>
        <v>0.13751082195019396</v>
      </c>
    </row>
    <row r="104" spans="2:6" ht="15.75" customHeight="1" thickBot="1" x14ac:dyDescent="0.25">
      <c r="B104" s="182" t="s">
        <v>29</v>
      </c>
      <c r="C104" s="183"/>
      <c r="D104" s="38"/>
      <c r="E104" s="25">
        <f>IF(F3="1",SUMIF(Data!A:A,'47'!$A$2,Data!Q:Q),0)</f>
        <v>485190</v>
      </c>
      <c r="F104" s="26">
        <f t="shared" si="6"/>
        <v>0.26738138839490155</v>
      </c>
    </row>
    <row r="105" spans="2:6" x14ac:dyDescent="0.2">
      <c r="B105" s="31" t="s">
        <v>35</v>
      </c>
      <c r="C105" s="31"/>
      <c r="D105" s="35">
        <f>D95</f>
        <v>1814599</v>
      </c>
      <c r="E105" s="32">
        <f>SUM(E98:E104)</f>
        <v>6510116</v>
      </c>
      <c r="F105" s="33">
        <f t="shared" si="6"/>
        <v>3.5876334110180816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7196893</v>
      </c>
      <c r="D109" s="16">
        <f>IF(F3="1",SUMIF(Data!$A:$A,$A$2,Data!HJ:HJ),0)</f>
        <v>0</v>
      </c>
      <c r="E109" s="16">
        <f>IF(F3="1",SUMIF(Data!$A:$A,$A$2,Data!IN:IN),0)</f>
        <v>0</v>
      </c>
      <c r="F109" s="48">
        <f>SUM(C109:E109)</f>
        <v>7196893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111543</v>
      </c>
      <c r="F116" s="49">
        <f t="shared" si="7"/>
        <v>111543</v>
      </c>
    </row>
    <row r="117" spans="1:6" ht="15" thickBot="1" x14ac:dyDescent="0.25">
      <c r="B117" s="44" t="s">
        <v>941</v>
      </c>
      <c r="C117" s="53"/>
      <c r="D117" s="53">
        <f>IF(F3="1",SUMIF(Data!A:A,$A$2,Data!Q:Q),0)</f>
        <v>485190</v>
      </c>
      <c r="E117" s="53"/>
      <c r="F117" s="50">
        <f>SUM(C117:E117)</f>
        <v>485190</v>
      </c>
    </row>
    <row r="118" spans="1:6" x14ac:dyDescent="0.2">
      <c r="B118" s="14" t="s">
        <v>35</v>
      </c>
      <c r="C118" s="5">
        <f>SUM(C109:C116)</f>
        <v>7196893</v>
      </c>
      <c r="D118" s="5">
        <f>SUM(D109:D116)</f>
        <v>0</v>
      </c>
      <c r="E118" s="5">
        <f>SUM(E109:E116)</f>
        <v>111543</v>
      </c>
      <c r="F118" s="5">
        <f>SUM(F109:F116)</f>
        <v>7308436</v>
      </c>
    </row>
    <row r="119" spans="1:6" ht="15" thickBot="1" x14ac:dyDescent="0.25"/>
    <row r="120" spans="1:6" ht="15" thickBot="1" x14ac:dyDescent="0.25">
      <c r="B120" s="57" t="s">
        <v>942</v>
      </c>
      <c r="C120" s="55"/>
      <c r="D120" s="55"/>
      <c r="E120" s="55">
        <f>IF(F3="1",SUMIF(Data!A:A,'47'!$A$2,Data!AM:AM),0)</f>
        <v>249527</v>
      </c>
      <c r="F120" s="56">
        <f>SUM(C120:E120)</f>
        <v>249527</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140625" style="11" bestFit="1" customWidth="1"/>
    <col min="13"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416</v>
      </c>
      <c r="B2" s="60" t="str">
        <f>VLOOKUP(A2,Data!A:G,7,0)</f>
        <v>Weatherford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24396</v>
      </c>
      <c r="E5" s="16">
        <f>E36+E67+IFERROR($E$105/$D$105*D5,0)</f>
        <v>244426.80691544479</v>
      </c>
      <c r="F5" s="21">
        <f>IFERROR(E5/D5,"")</f>
        <v>10.019134567775241</v>
      </c>
    </row>
    <row r="6" spans="1:6" x14ac:dyDescent="0.2">
      <c r="A6" s="20">
        <v>2</v>
      </c>
      <c r="B6" s="184" t="s">
        <v>1</v>
      </c>
      <c r="C6" s="185"/>
      <c r="D6" s="15">
        <f t="shared" ref="D6:D32" si="0">D37</f>
        <v>9776</v>
      </c>
      <c r="E6" s="18">
        <f t="shared" ref="E6:E32" si="1">E37+E68+IFERROR($E$105/$D$105*D6,0)</f>
        <v>128237.01739651535</v>
      </c>
      <c r="F6" s="22">
        <f t="shared" ref="F6:F33" si="2">IFERROR(E6/D6,"")</f>
        <v>13.117534512736841</v>
      </c>
    </row>
    <row r="7" spans="1:6" ht="14.25" customHeight="1" x14ac:dyDescent="0.2">
      <c r="A7" s="20">
        <v>3</v>
      </c>
      <c r="B7" s="184" t="s">
        <v>2</v>
      </c>
      <c r="C7" s="185"/>
      <c r="D7" s="15">
        <f t="shared" si="0"/>
        <v>233472</v>
      </c>
      <c r="E7" s="18">
        <f t="shared" si="1"/>
        <v>1615570.7689851914</v>
      </c>
      <c r="F7" s="22">
        <f t="shared" si="2"/>
        <v>6.9197624082767586</v>
      </c>
    </row>
    <row r="8" spans="1:6" ht="14.25" customHeight="1" x14ac:dyDescent="0.2">
      <c r="A8" s="20">
        <v>4</v>
      </c>
      <c r="B8" s="184" t="s">
        <v>3</v>
      </c>
      <c r="C8" s="185"/>
      <c r="D8" s="15">
        <f t="shared" si="0"/>
        <v>74168</v>
      </c>
      <c r="E8" s="18">
        <f t="shared" si="1"/>
        <v>598618.87175375922</v>
      </c>
      <c r="F8" s="22">
        <f t="shared" si="2"/>
        <v>8.0711205877704568</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6112</v>
      </c>
      <c r="E10" s="18">
        <f t="shared" si="1"/>
        <v>87210.135262633165</v>
      </c>
      <c r="F10" s="22">
        <f t="shared" si="2"/>
        <v>14.268673963127155</v>
      </c>
    </row>
    <row r="11" spans="1:6" x14ac:dyDescent="0.2">
      <c r="A11" s="20">
        <v>7</v>
      </c>
      <c r="B11" s="184" t="s">
        <v>6</v>
      </c>
      <c r="C11" s="185"/>
      <c r="D11" s="15">
        <f t="shared" si="0"/>
        <v>108707</v>
      </c>
      <c r="E11" s="18">
        <f t="shared" si="1"/>
        <v>811261.89659605082</v>
      </c>
      <c r="F11" s="22">
        <f t="shared" si="2"/>
        <v>7.4628303291972991</v>
      </c>
    </row>
    <row r="12" spans="1:6" x14ac:dyDescent="0.2">
      <c r="A12" s="20">
        <v>8</v>
      </c>
      <c r="B12" s="184" t="s">
        <v>7</v>
      </c>
      <c r="C12" s="185"/>
      <c r="D12" s="15">
        <f t="shared" si="0"/>
        <v>928</v>
      </c>
      <c r="E12" s="18">
        <f t="shared" si="1"/>
        <v>12716.716872336972</v>
      </c>
      <c r="F12" s="22">
        <f t="shared" si="2"/>
        <v>13.703358698638979</v>
      </c>
    </row>
    <row r="13" spans="1:6" x14ac:dyDescent="0.2">
      <c r="A13" s="20">
        <v>9</v>
      </c>
      <c r="B13" s="184" t="s">
        <v>8</v>
      </c>
      <c r="C13" s="185"/>
      <c r="D13" s="15">
        <f t="shared" si="0"/>
        <v>121398</v>
      </c>
      <c r="E13" s="18">
        <f t="shared" si="1"/>
        <v>940511.0871422023</v>
      </c>
      <c r="F13" s="22">
        <f t="shared" si="2"/>
        <v>7.747335929275625</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2056</v>
      </c>
      <c r="E15" s="18">
        <f t="shared" si="1"/>
        <v>27742.87272578105</v>
      </c>
      <c r="F15" s="22">
        <f t="shared" si="2"/>
        <v>13.493615138998566</v>
      </c>
    </row>
    <row r="16" spans="1:6" ht="14.25" customHeight="1" x14ac:dyDescent="0.2">
      <c r="A16" s="20">
        <v>12</v>
      </c>
      <c r="B16" s="184" t="s">
        <v>11</v>
      </c>
      <c r="C16" s="185"/>
      <c r="D16" s="15">
        <f t="shared" si="0"/>
        <v>283584</v>
      </c>
      <c r="E16" s="18">
        <f t="shared" si="1"/>
        <v>2301666.4800913879</v>
      </c>
      <c r="F16" s="22">
        <f t="shared" si="2"/>
        <v>8.1163481722924704</v>
      </c>
    </row>
    <row r="17" spans="1:6" x14ac:dyDescent="0.2">
      <c r="A17" s="20">
        <v>13</v>
      </c>
      <c r="B17" s="184" t="s">
        <v>12</v>
      </c>
      <c r="C17" s="185"/>
      <c r="D17" s="15">
        <f t="shared" si="0"/>
        <v>14576</v>
      </c>
      <c r="E17" s="18">
        <f t="shared" si="1"/>
        <v>117450.55294308589</v>
      </c>
      <c r="F17" s="22">
        <f t="shared" si="2"/>
        <v>8.0578041261721935</v>
      </c>
    </row>
    <row r="18" spans="1:6" ht="14.25" customHeight="1" x14ac:dyDescent="0.2">
      <c r="A18" s="20">
        <v>14</v>
      </c>
      <c r="B18" s="184" t="s">
        <v>469</v>
      </c>
      <c r="C18" s="185"/>
      <c r="D18" s="15">
        <f t="shared" si="0"/>
        <v>105008</v>
      </c>
      <c r="E18" s="18">
        <f t="shared" si="1"/>
        <v>1143181.962640475</v>
      </c>
      <c r="F18" s="22">
        <f t="shared" si="2"/>
        <v>10.886617806647827</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135748</v>
      </c>
      <c r="E20" s="18">
        <f t="shared" si="1"/>
        <v>1409063.3340366371</v>
      </c>
      <c r="F20" s="22">
        <f t="shared" si="2"/>
        <v>10.379993326138411</v>
      </c>
    </row>
    <row r="21" spans="1:6" x14ac:dyDescent="0.2">
      <c r="A21" s="20">
        <v>17</v>
      </c>
      <c r="B21" s="184" t="s">
        <v>15</v>
      </c>
      <c r="C21" s="185"/>
      <c r="D21" s="15">
        <f t="shared" si="0"/>
        <v>44096</v>
      </c>
      <c r="E21" s="18">
        <f t="shared" si="1"/>
        <v>421259.54655449477</v>
      </c>
      <c r="F21" s="22">
        <f t="shared" si="2"/>
        <v>9.5532371769433677</v>
      </c>
    </row>
    <row r="22" spans="1:6" x14ac:dyDescent="0.2">
      <c r="A22" s="20">
        <v>18</v>
      </c>
      <c r="B22" s="184" t="s">
        <v>16</v>
      </c>
      <c r="C22" s="185"/>
      <c r="D22" s="15">
        <f t="shared" si="0"/>
        <v>101504</v>
      </c>
      <c r="E22" s="18">
        <f t="shared" si="1"/>
        <v>805965.03169147857</v>
      </c>
      <c r="F22" s="22">
        <f t="shared" si="2"/>
        <v>7.9402292687133373</v>
      </c>
    </row>
    <row r="23" spans="1:6" x14ac:dyDescent="0.2">
      <c r="A23" s="20">
        <v>19</v>
      </c>
      <c r="B23" s="184" t="s">
        <v>17</v>
      </c>
      <c r="C23" s="185"/>
      <c r="D23" s="15">
        <f t="shared" si="0"/>
        <v>233664</v>
      </c>
      <c r="E23" s="18">
        <f t="shared" si="1"/>
        <v>1967366.7104070541</v>
      </c>
      <c r="F23" s="22">
        <f t="shared" si="2"/>
        <v>8.4196397836511139</v>
      </c>
    </row>
    <row r="24" spans="1:6" x14ac:dyDescent="0.2">
      <c r="A24" s="20">
        <v>20</v>
      </c>
      <c r="B24" s="184" t="s">
        <v>18</v>
      </c>
      <c r="C24" s="185"/>
      <c r="D24" s="15">
        <f t="shared" si="0"/>
        <v>6816</v>
      </c>
      <c r="E24" s="18">
        <f t="shared" si="1"/>
        <v>89590.920476130181</v>
      </c>
      <c r="F24" s="22">
        <f t="shared" si="2"/>
        <v>13.144207816333653</v>
      </c>
    </row>
    <row r="25" spans="1:6" ht="14.25" customHeight="1" x14ac:dyDescent="0.2">
      <c r="A25" s="20">
        <v>21</v>
      </c>
      <c r="B25" s="184" t="s">
        <v>466</v>
      </c>
      <c r="C25" s="185"/>
      <c r="D25" s="15">
        <f t="shared" si="0"/>
        <v>26935</v>
      </c>
      <c r="E25" s="18">
        <f t="shared" si="1"/>
        <v>432177.59478059952</v>
      </c>
      <c r="F25" s="22">
        <f t="shared" si="2"/>
        <v>16.045204929667701</v>
      </c>
    </row>
    <row r="26" spans="1:6" x14ac:dyDescent="0.2">
      <c r="A26" s="20">
        <v>22</v>
      </c>
      <c r="B26" s="184" t="s">
        <v>19</v>
      </c>
      <c r="C26" s="185"/>
      <c r="D26" s="15">
        <f t="shared" si="0"/>
        <v>1276</v>
      </c>
      <c r="E26" s="18">
        <f t="shared" si="1"/>
        <v>9461.8606994633374</v>
      </c>
      <c r="F26" s="22">
        <f t="shared" si="2"/>
        <v>7.415251331867819</v>
      </c>
    </row>
    <row r="27" spans="1:6" x14ac:dyDescent="0.2">
      <c r="A27" s="20">
        <v>23</v>
      </c>
      <c r="B27" s="184" t="s">
        <v>20</v>
      </c>
      <c r="C27" s="185"/>
      <c r="D27" s="15">
        <f t="shared" si="0"/>
        <v>108624</v>
      </c>
      <c r="E27" s="18">
        <f t="shared" si="1"/>
        <v>768160.85941889137</v>
      </c>
      <c r="F27" s="22">
        <f t="shared" si="2"/>
        <v>7.0717415987156738</v>
      </c>
    </row>
    <row r="28" spans="1:6" x14ac:dyDescent="0.2">
      <c r="A28" s="20">
        <v>24</v>
      </c>
      <c r="B28" s="184" t="s">
        <v>21</v>
      </c>
      <c r="C28" s="185"/>
      <c r="D28" s="15">
        <f t="shared" si="0"/>
        <v>124256</v>
      </c>
      <c r="E28" s="18">
        <f t="shared" si="1"/>
        <v>1036332.0901822229</v>
      </c>
      <c r="F28" s="22">
        <f t="shared" si="2"/>
        <v>8.3402981762025412</v>
      </c>
    </row>
    <row r="29" spans="1:6" x14ac:dyDescent="0.2">
      <c r="A29" s="20">
        <v>25</v>
      </c>
      <c r="B29" s="184" t="s">
        <v>22</v>
      </c>
      <c r="C29" s="185"/>
      <c r="D29" s="15">
        <f t="shared" si="0"/>
        <v>390384</v>
      </c>
      <c r="E29" s="18">
        <f t="shared" si="1"/>
        <v>2582254.8960025823</v>
      </c>
      <c r="F29" s="22">
        <f t="shared" si="2"/>
        <v>6.6146535103963844</v>
      </c>
    </row>
    <row r="30" spans="1:6" x14ac:dyDescent="0.2">
      <c r="A30" s="20">
        <v>26</v>
      </c>
      <c r="B30" s="184" t="s">
        <v>23</v>
      </c>
      <c r="C30" s="185"/>
      <c r="D30" s="15">
        <f t="shared" si="0"/>
        <v>85264</v>
      </c>
      <c r="E30" s="18">
        <f t="shared" si="1"/>
        <v>878010.98642558139</v>
      </c>
      <c r="F30" s="22">
        <f t="shared" si="2"/>
        <v>10.297558013060394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2242748</v>
      </c>
      <c r="E33" s="32">
        <f>SUM(E5:E32)</f>
        <v>18428239</v>
      </c>
      <c r="F33" s="33">
        <f t="shared" si="2"/>
        <v>8.2168121429603325</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IF(F3="1",SUMIF(Data!A:A,'48'!$A$2,Data!CU:CU),0)</f>
        <v>24396</v>
      </c>
      <c r="E36" s="16">
        <f>IF(F3="1",SUMIF(Data!$A:$A,'48'!$A$2,Data!IO:IO),0)</f>
        <v>79086</v>
      </c>
      <c r="F36" s="21">
        <f t="shared" ref="F36:F64" si="3">IFERROR(E36/D36,"")</f>
        <v>3.2417609444171176</v>
      </c>
    </row>
    <row r="37" spans="1:6" x14ac:dyDescent="0.2">
      <c r="A37" s="20">
        <v>2</v>
      </c>
      <c r="B37" s="184" t="s">
        <v>1</v>
      </c>
      <c r="C37" s="185"/>
      <c r="D37" s="15">
        <f>IF(F3="1",SUMIF(Data!A:A,'48'!$A$2,Data!CV:CV),0)</f>
        <v>9776</v>
      </c>
      <c r="E37" s="18">
        <f>IF(F3="1",SUMIF(Data!$A:$A,'48'!$A$2,Data!IP:IP),0)</f>
        <v>69560</v>
      </c>
      <c r="F37" s="22">
        <f t="shared" si="3"/>
        <v>7.115384615384615</v>
      </c>
    </row>
    <row r="38" spans="1:6" ht="14.25" customHeight="1" x14ac:dyDescent="0.2">
      <c r="A38" s="20">
        <v>3</v>
      </c>
      <c r="B38" s="184" t="s">
        <v>2</v>
      </c>
      <c r="C38" s="185"/>
      <c r="D38" s="15">
        <f>IF(F3="1",SUMIF(Data!A:A,'48'!$A$2,Data!CW:CW),0)</f>
        <v>233472</v>
      </c>
      <c r="E38" s="18">
        <f>IF(F3="1",SUMIF(Data!$A:$A,'48'!$A$2,Data!IQ:IQ),0)</f>
        <v>208726</v>
      </c>
      <c r="F38" s="22">
        <f t="shared" si="3"/>
        <v>0.89400870339912286</v>
      </c>
    </row>
    <row r="39" spans="1:6" ht="14.25" customHeight="1" x14ac:dyDescent="0.2">
      <c r="A39" s="20">
        <v>4</v>
      </c>
      <c r="B39" s="184" t="s">
        <v>3</v>
      </c>
      <c r="C39" s="185"/>
      <c r="D39" s="15">
        <f>IF(F3="1",SUMIF(Data!A:A,'48'!$A$2,Data!CX:CX),0)</f>
        <v>74168</v>
      </c>
      <c r="E39" s="18">
        <f>IF(F3="1",SUMIF(Data!$A:$A,'48'!$A$2,Data!IR:IR),0)</f>
        <v>82551</v>
      </c>
      <c r="F39" s="22">
        <f t="shared" si="3"/>
        <v>1.1130271815338151</v>
      </c>
    </row>
    <row r="40" spans="1:6" x14ac:dyDescent="0.2">
      <c r="A40" s="20">
        <v>5</v>
      </c>
      <c r="B40" s="184" t="s">
        <v>4</v>
      </c>
      <c r="C40" s="185"/>
      <c r="D40" s="15">
        <f>IF(F3="1",SUMIF(Data!A:A,'48'!$A$2,Data!CY:CY),0)</f>
        <v>0</v>
      </c>
      <c r="E40" s="18">
        <f>IF(F3="1",SUMIF(Data!$A:$A,'48'!$A$2,Data!IS:IS),0)</f>
        <v>0</v>
      </c>
      <c r="F40" s="22" t="str">
        <f t="shared" si="3"/>
        <v/>
      </c>
    </row>
    <row r="41" spans="1:6" x14ac:dyDescent="0.2">
      <c r="A41" s="20">
        <v>6</v>
      </c>
      <c r="B41" s="184" t="s">
        <v>5</v>
      </c>
      <c r="C41" s="185"/>
      <c r="D41" s="15">
        <f>IF(F3="1",SUMIF(Data!A:A,'48'!$A$2,Data!CZ:CZ),0)</f>
        <v>6112</v>
      </c>
      <c r="E41" s="18">
        <f>IF(F3="1",SUMIF(Data!$A:$A,'48'!$A$2,Data!IT:IT),0)</f>
        <v>27950</v>
      </c>
      <c r="F41" s="22">
        <f t="shared" si="3"/>
        <v>4.572971204188482</v>
      </c>
    </row>
    <row r="42" spans="1:6" x14ac:dyDescent="0.2">
      <c r="A42" s="20">
        <v>7</v>
      </c>
      <c r="B42" s="184" t="s">
        <v>6</v>
      </c>
      <c r="C42" s="185"/>
      <c r="D42" s="15">
        <f>IF(F3="1",SUMIF(Data!A:A,'48'!$A$2,Data!DA:DA),0)</f>
        <v>108707</v>
      </c>
      <c r="E42" s="18">
        <f>IF(F3="1",SUMIF(Data!$A:$A,'48'!$A$2,Data!IU:IU),0)</f>
        <v>56105</v>
      </c>
      <c r="F42" s="22">
        <f t="shared" si="3"/>
        <v>0.51611211789489175</v>
      </c>
    </row>
    <row r="43" spans="1:6" x14ac:dyDescent="0.2">
      <c r="A43" s="20">
        <v>8</v>
      </c>
      <c r="B43" s="184" t="s">
        <v>7</v>
      </c>
      <c r="C43" s="185"/>
      <c r="D43" s="15">
        <f>IF(F3="1",SUMIF(Data!A:A,'48'!$A$2,Data!DB:DB),0)</f>
        <v>928</v>
      </c>
      <c r="E43" s="18">
        <f>IF(F3="1",SUMIF(Data!$A:$A,'48'!$A$2,Data!IV:IV),0)</f>
        <v>7013</v>
      </c>
      <c r="F43" s="22">
        <f t="shared" si="3"/>
        <v>7.5571120689655169</v>
      </c>
    </row>
    <row r="44" spans="1:6" x14ac:dyDescent="0.2">
      <c r="A44" s="20">
        <v>9</v>
      </c>
      <c r="B44" s="184" t="s">
        <v>8</v>
      </c>
      <c r="C44" s="185"/>
      <c r="D44" s="15">
        <f>IF(F3="1",SUMIF(Data!A:A,'48'!$A$2,Data!DC:DC),0)</f>
        <v>121398</v>
      </c>
      <c r="E44" s="18">
        <f>IF(F3="1",SUMIF(Data!$A:$A,'48'!$A$2,Data!IW:IW),0)</f>
        <v>215930</v>
      </c>
      <c r="F44" s="22">
        <f t="shared" si="3"/>
        <v>1.7786948714146855</v>
      </c>
    </row>
    <row r="45" spans="1:6" x14ac:dyDescent="0.2">
      <c r="A45" s="20">
        <v>10</v>
      </c>
      <c r="B45" s="184" t="s">
        <v>9</v>
      </c>
      <c r="C45" s="185"/>
      <c r="D45" s="15">
        <f>IF(F3="1",SUMIF(Data!A:A,'48'!$A$2,Data!DD:DD),0)</f>
        <v>0</v>
      </c>
      <c r="E45" s="18">
        <f>IF(F3="1",SUMIF(Data!$A:$A,'48'!$A$2,Data!IX:IX),0)</f>
        <v>0</v>
      </c>
      <c r="F45" s="22" t="str">
        <f t="shared" si="3"/>
        <v/>
      </c>
    </row>
    <row r="46" spans="1:6" x14ac:dyDescent="0.2">
      <c r="A46" s="20">
        <v>11</v>
      </c>
      <c r="B46" s="184" t="s">
        <v>10</v>
      </c>
      <c r="C46" s="185"/>
      <c r="D46" s="15">
        <f>IF(F3="1",SUMIF(Data!A:A,'48'!$A$2,Data!DE:DE),0)</f>
        <v>2056</v>
      </c>
      <c r="E46" s="18">
        <f>IF(F3="1",SUMIF(Data!$A:$A,'48'!$A$2,Data!IY:IY),0)</f>
        <v>15213</v>
      </c>
      <c r="F46" s="22">
        <f t="shared" si="3"/>
        <v>7.3993190661478598</v>
      </c>
    </row>
    <row r="47" spans="1:6" ht="14.25" customHeight="1" x14ac:dyDescent="0.2">
      <c r="A47" s="20">
        <v>12</v>
      </c>
      <c r="B47" s="184" t="s">
        <v>11</v>
      </c>
      <c r="C47" s="185"/>
      <c r="D47" s="15">
        <f>IF(F3="1",SUMIF(Data!A:A,'48'!$A$2,Data!DF:DF),0)</f>
        <v>283584</v>
      </c>
      <c r="E47" s="18">
        <f>IF(F3="1",SUMIF(Data!$A:$A,'48'!$A$2,Data!IZ:IZ),0)</f>
        <v>314041</v>
      </c>
      <c r="F47" s="22">
        <f t="shared" si="3"/>
        <v>1.1074002764612954</v>
      </c>
    </row>
    <row r="48" spans="1:6" x14ac:dyDescent="0.2">
      <c r="A48" s="20">
        <v>13</v>
      </c>
      <c r="B48" s="184" t="s">
        <v>12</v>
      </c>
      <c r="C48" s="185"/>
      <c r="D48" s="15">
        <f>IF(F3="1",SUMIF(Data!A:A,'48'!$A$2,Data!DG:DG),0)</f>
        <v>14576</v>
      </c>
      <c r="E48" s="18">
        <f>IF(F3="1",SUMIF(Data!$A:$A,'48'!$A$2,Data!JA:JA),0)</f>
        <v>12535</v>
      </c>
      <c r="F48" s="22">
        <f t="shared" si="3"/>
        <v>0.85997530186608118</v>
      </c>
    </row>
    <row r="49" spans="1:6" ht="14.25" customHeight="1" x14ac:dyDescent="0.2">
      <c r="A49" s="20">
        <v>14</v>
      </c>
      <c r="B49" s="184" t="s">
        <v>469</v>
      </c>
      <c r="C49" s="185"/>
      <c r="D49" s="15">
        <f>IF(F3="1",SUMIF(Data!A:A,'48'!$A$2,Data!DH:DH),0)</f>
        <v>105008</v>
      </c>
      <c r="E49" s="18">
        <f>IF(F3="1",SUMIF(Data!$A:$A,'48'!$A$2,Data!JB:JB),0)</f>
        <v>172085</v>
      </c>
      <c r="F49" s="22">
        <f t="shared" si="3"/>
        <v>1.6387799024836203</v>
      </c>
    </row>
    <row r="50" spans="1:6" x14ac:dyDescent="0.2">
      <c r="A50" s="20">
        <v>15</v>
      </c>
      <c r="B50" s="184" t="s">
        <v>13</v>
      </c>
      <c r="C50" s="185"/>
      <c r="D50" s="15">
        <f>IF(F3="1",SUMIF(Data!A:A,'48'!$A$2,Data!DI:DI),0)</f>
        <v>0</v>
      </c>
      <c r="E50" s="18">
        <f>IF(F3="1",SUMIF(Data!$A:$A,'48'!$A$2,Data!JC:JC),0)</f>
        <v>0</v>
      </c>
      <c r="F50" s="22" t="str">
        <f t="shared" si="3"/>
        <v/>
      </c>
    </row>
    <row r="51" spans="1:6" x14ac:dyDescent="0.2">
      <c r="A51" s="20">
        <v>16</v>
      </c>
      <c r="B51" s="184" t="s">
        <v>14</v>
      </c>
      <c r="C51" s="185"/>
      <c r="D51" s="15">
        <f>IF(F3="1",SUMIF(Data!A:A,'48'!$A$2,Data!DJ:DJ),0)</f>
        <v>135748</v>
      </c>
      <c r="E51" s="18">
        <f>IF(F3="1",SUMIF(Data!$A:$A,'48'!$A$2,Data!JD:JD),0)</f>
        <v>242966</v>
      </c>
      <c r="F51" s="22">
        <f t="shared" si="3"/>
        <v>1.7898311577334474</v>
      </c>
    </row>
    <row r="52" spans="1:6" x14ac:dyDescent="0.2">
      <c r="A52" s="20">
        <v>17</v>
      </c>
      <c r="B52" s="184" t="s">
        <v>15</v>
      </c>
      <c r="C52" s="185"/>
      <c r="D52" s="15">
        <f>IF(F3="1",SUMIF(Data!A:A,'48'!$A$2,Data!DK:DK),0)</f>
        <v>44096</v>
      </c>
      <c r="E52" s="18">
        <f>IF(F3="1",SUMIF(Data!$A:$A,'48'!$A$2,Data!JE:JE),0)</f>
        <v>35579</v>
      </c>
      <c r="F52" s="22">
        <f t="shared" si="3"/>
        <v>0.80685322931785197</v>
      </c>
    </row>
    <row r="53" spans="1:6" x14ac:dyDescent="0.2">
      <c r="A53" s="20">
        <v>18</v>
      </c>
      <c r="B53" s="184" t="s">
        <v>16</v>
      </c>
      <c r="C53" s="185"/>
      <c r="D53" s="15">
        <f>IF(F3="1",SUMIF(Data!A:A,'48'!$A$2,Data!DL:DL),0)</f>
        <v>101504</v>
      </c>
      <c r="E53" s="18">
        <f>IF(F3="1",SUMIF(Data!$A:$A,'48'!$A$2,Data!JF:JF),0)</f>
        <v>74739</v>
      </c>
      <c r="F53" s="22">
        <f t="shared" si="3"/>
        <v>0.73631581021437575</v>
      </c>
    </row>
    <row r="54" spans="1:6" x14ac:dyDescent="0.2">
      <c r="A54" s="20">
        <v>19</v>
      </c>
      <c r="B54" s="184" t="s">
        <v>17</v>
      </c>
      <c r="C54" s="185"/>
      <c r="D54" s="15">
        <f>IF(F3="1",SUMIF(Data!A:A,'48'!$A$2,Data!DM:DM),0)</f>
        <v>233664</v>
      </c>
      <c r="E54" s="18">
        <f>IF(F3="1",SUMIF(Data!$A:$A,'48'!$A$2,Data!JG:JG),0)</f>
        <v>261431</v>
      </c>
      <c r="F54" s="22">
        <f t="shared" si="3"/>
        <v>1.1188330251985756</v>
      </c>
    </row>
    <row r="55" spans="1:6" x14ac:dyDescent="0.2">
      <c r="A55" s="20">
        <v>20</v>
      </c>
      <c r="B55" s="184" t="s">
        <v>18</v>
      </c>
      <c r="C55" s="185"/>
      <c r="D55" s="15">
        <f>IF(F3="1",SUMIF(Data!A:A,'48'!$A$2,Data!DN:DN),0)</f>
        <v>6816</v>
      </c>
      <c r="E55" s="18">
        <f>IF(F3="1",SUMIF(Data!$A:$A,'48'!$A$2,Data!JH:JH),0)</f>
        <v>48635</v>
      </c>
      <c r="F55" s="22">
        <f t="shared" si="3"/>
        <v>7.135416666666667</v>
      </c>
    </row>
    <row r="56" spans="1:6" ht="14.25" customHeight="1" x14ac:dyDescent="0.2">
      <c r="A56" s="20">
        <v>21</v>
      </c>
      <c r="B56" s="184" t="s">
        <v>466</v>
      </c>
      <c r="C56" s="185"/>
      <c r="D56" s="15">
        <f>IF(F3="1",SUMIF(Data!A:A,'48'!$A$2,Data!DO:DO),0)</f>
        <v>26935</v>
      </c>
      <c r="E56" s="18">
        <f>IF(F3="1",SUMIF(Data!$A:$A,'48'!$A$2,Data!JI:JI),0)</f>
        <v>130010</v>
      </c>
      <c r="F56" s="22">
        <f t="shared" si="3"/>
        <v>4.8268052719509935</v>
      </c>
    </row>
    <row r="57" spans="1:6" x14ac:dyDescent="0.2">
      <c r="A57" s="20">
        <v>22</v>
      </c>
      <c r="B57" s="184" t="s">
        <v>19</v>
      </c>
      <c r="C57" s="185"/>
      <c r="D57" s="15">
        <f>IF(F3="1",SUMIF(Data!A:A,'48'!$A$2,Data!DP:DP),0)</f>
        <v>1276</v>
      </c>
      <c r="E57" s="18">
        <f>IF(F3="1",SUMIF(Data!$A:$A,'48'!$A$2,Data!JJ:JJ),0)</f>
        <v>611</v>
      </c>
      <c r="F57" s="22">
        <f t="shared" si="3"/>
        <v>0.4788401253918495</v>
      </c>
    </row>
    <row r="58" spans="1:6" x14ac:dyDescent="0.2">
      <c r="A58" s="20">
        <v>23</v>
      </c>
      <c r="B58" s="184" t="s">
        <v>20</v>
      </c>
      <c r="C58" s="185"/>
      <c r="D58" s="15">
        <f>IF(F3="1",SUMIF(Data!A:A,'48'!$A$2,Data!DQ:DQ),0)</f>
        <v>108624</v>
      </c>
      <c r="E58" s="18">
        <f>IF(F3="1",SUMIF(Data!$A:$A,'48'!$A$2,Data!JK:JK),0)</f>
        <v>36421</v>
      </c>
      <c r="F58" s="22">
        <f t="shared" si="3"/>
        <v>0.33529422595374869</v>
      </c>
    </row>
    <row r="59" spans="1:6" x14ac:dyDescent="0.2">
      <c r="A59" s="20">
        <v>24</v>
      </c>
      <c r="B59" s="184" t="s">
        <v>21</v>
      </c>
      <c r="C59" s="185"/>
      <c r="D59" s="15">
        <f>IF(F3="1",SUMIF(Data!A:A,'48'!$A$2,Data!DR:DR),0)</f>
        <v>124256</v>
      </c>
      <c r="E59" s="18">
        <f>IF(F3="1",SUMIF(Data!$A:$A,'48'!$A$2,Data!JL:JL),0)</f>
        <v>118549</v>
      </c>
      <c r="F59" s="22">
        <f t="shared" si="3"/>
        <v>0.95407062838011847</v>
      </c>
    </row>
    <row r="60" spans="1:6" x14ac:dyDescent="0.2">
      <c r="A60" s="20">
        <v>25</v>
      </c>
      <c r="B60" s="184" t="s">
        <v>22</v>
      </c>
      <c r="C60" s="185"/>
      <c r="D60" s="15">
        <f>IF(F3="1",SUMIF(Data!A:A,'48'!$A$2,Data!DS:DS),0)</f>
        <v>390384</v>
      </c>
      <c r="E60" s="18">
        <f>IF(F3="1",SUMIF(Data!$A:$A,'48'!$A$2,Data!JM:JM),0)</f>
        <v>133935</v>
      </c>
      <c r="F60" s="22">
        <f t="shared" si="3"/>
        <v>0.34308526988811017</v>
      </c>
    </row>
    <row r="61" spans="1:6" x14ac:dyDescent="0.2">
      <c r="A61" s="20">
        <v>26</v>
      </c>
      <c r="B61" s="184" t="s">
        <v>23</v>
      </c>
      <c r="C61" s="185"/>
      <c r="D61" s="15">
        <f>IF(F3="1",SUMIF(Data!A:A,'48'!$A$2,Data!DT:DT),0)</f>
        <v>85264</v>
      </c>
      <c r="E61" s="18">
        <f>IF(F3="1",SUMIF(Data!$A:$A,'48'!$A$2,Data!JN:JN),0)</f>
        <v>210429</v>
      </c>
      <c r="F61" s="22">
        <f t="shared" si="3"/>
        <v>2.4679700694314128</v>
      </c>
    </row>
    <row r="62" spans="1:6" x14ac:dyDescent="0.2">
      <c r="A62" s="20">
        <v>28</v>
      </c>
      <c r="B62" s="184" t="s">
        <v>24</v>
      </c>
      <c r="C62" s="185"/>
      <c r="D62" s="15">
        <f>IF(F3="1",SUMIF(Data!A:A,'48'!$A$2,Data!DV:DV),0)</f>
        <v>0</v>
      </c>
      <c r="E62" s="18">
        <f>IF(F3="1",SUMIF(Data!$A:$A,'48'!$A$2,Data!JP:JP),0)</f>
        <v>0</v>
      </c>
      <c r="F62" s="22" t="str">
        <f t="shared" si="3"/>
        <v/>
      </c>
    </row>
    <row r="63" spans="1:6" ht="15.75" customHeight="1" thickBot="1" x14ac:dyDescent="0.25">
      <c r="A63" s="23">
        <v>29</v>
      </c>
      <c r="B63" s="186" t="s">
        <v>25</v>
      </c>
      <c r="C63" s="187"/>
      <c r="D63" s="24">
        <f>IF(F3="1",SUMIF(Data!A:A,'48'!$A$2,Data!DW:DW),0)</f>
        <v>0</v>
      </c>
      <c r="E63" s="25">
        <f>IF(F3="1",SUMIF(Data!$A:$A,'48'!$A$2,Data!JQ:JQ),0)</f>
        <v>0</v>
      </c>
      <c r="F63" s="26" t="str">
        <f t="shared" si="3"/>
        <v/>
      </c>
    </row>
    <row r="64" spans="1:6" x14ac:dyDescent="0.2">
      <c r="B64" s="31" t="s">
        <v>35</v>
      </c>
      <c r="C64" s="31"/>
      <c r="D64" s="61">
        <f>SUM(D36:D63)</f>
        <v>2242748</v>
      </c>
      <c r="E64" s="32">
        <f>SUM(E36:E63)</f>
        <v>2554100</v>
      </c>
      <c r="F64" s="33">
        <f t="shared" si="3"/>
        <v>1.1388261186722717</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24396</v>
      </c>
      <c r="E67" s="16">
        <f>IF(F3="1",SUMIF(Data!A:A,'48'!$A$2,Data!DY:DY),0)</f>
        <v>75388</v>
      </c>
      <c r="F67" s="21">
        <f>IFERROR(E67/D67,"")</f>
        <v>3.0901787178225937</v>
      </c>
    </row>
    <row r="68" spans="1:6" x14ac:dyDescent="0.2">
      <c r="A68" s="20">
        <v>2</v>
      </c>
      <c r="B68" s="184" t="s">
        <v>1</v>
      </c>
      <c r="C68" s="185"/>
      <c r="D68" s="15">
        <f t="shared" ref="D68:D94" si="4">D37</f>
        <v>9776</v>
      </c>
      <c r="E68" s="18">
        <f>IF(F3="1",SUMIF(Data!A:A,'48'!$A$2,Data!DZ:DZ),0)</f>
        <v>22631</v>
      </c>
      <c r="F68" s="22">
        <f t="shared" ref="F68:F95" si="5">IFERROR(E68/D68,"")</f>
        <v>2.3149549918166938</v>
      </c>
    </row>
    <row r="69" spans="1:6" ht="14.25" customHeight="1" x14ac:dyDescent="0.2">
      <c r="A69" s="20">
        <v>3</v>
      </c>
      <c r="B69" s="184" t="s">
        <v>2</v>
      </c>
      <c r="C69" s="185"/>
      <c r="D69" s="15">
        <f t="shared" si="4"/>
        <v>233472</v>
      </c>
      <c r="E69" s="18">
        <f>IF(F3="1",SUMIF(Data!A:A,'48'!$A$2,Data!EA:EA),0)</f>
        <v>545988</v>
      </c>
      <c r="F69" s="22">
        <f t="shared" si="5"/>
        <v>2.3385587993421053</v>
      </c>
    </row>
    <row r="70" spans="1:6" ht="14.25" customHeight="1" x14ac:dyDescent="0.2">
      <c r="A70" s="20">
        <v>4</v>
      </c>
      <c r="B70" s="184" t="s">
        <v>3</v>
      </c>
      <c r="C70" s="185"/>
      <c r="D70" s="15">
        <f t="shared" si="4"/>
        <v>74168</v>
      </c>
      <c r="E70" s="18">
        <f>IF(F3="1",SUMIF(Data!A:A,'48'!$A$2,Data!EB:EB),0)</f>
        <v>242596</v>
      </c>
      <c r="F70" s="22">
        <f t="shared" si="5"/>
        <v>3.2708985007011111</v>
      </c>
    </row>
    <row r="71" spans="1:6" x14ac:dyDescent="0.2">
      <c r="A71" s="20">
        <v>5</v>
      </c>
      <c r="B71" s="184" t="s">
        <v>4</v>
      </c>
      <c r="C71" s="185"/>
      <c r="D71" s="15">
        <f t="shared" si="4"/>
        <v>0</v>
      </c>
      <c r="E71" s="18">
        <f>IF(F3="1",SUMIF(Data!A:A,'48'!$A$2,Data!EC:EC),0)</f>
        <v>0</v>
      </c>
      <c r="F71" s="22" t="str">
        <f t="shared" si="5"/>
        <v/>
      </c>
    </row>
    <row r="72" spans="1:6" x14ac:dyDescent="0.2">
      <c r="A72" s="20">
        <v>6</v>
      </c>
      <c r="B72" s="184" t="s">
        <v>5</v>
      </c>
      <c r="C72" s="185"/>
      <c r="D72" s="15">
        <f t="shared" si="4"/>
        <v>6112</v>
      </c>
      <c r="E72" s="18">
        <f>IF(F3="1",SUMIF(Data!A:A,'48'!$A$2,Data!ED:ED),0)</f>
        <v>36724</v>
      </c>
      <c r="F72" s="22">
        <f t="shared" si="5"/>
        <v>6.0085078534031418</v>
      </c>
    </row>
    <row r="73" spans="1:6" x14ac:dyDescent="0.2">
      <c r="A73" s="20">
        <v>7</v>
      </c>
      <c r="B73" s="184" t="s">
        <v>6</v>
      </c>
      <c r="C73" s="185"/>
      <c r="D73" s="15">
        <f t="shared" si="4"/>
        <v>108707</v>
      </c>
      <c r="E73" s="18">
        <f>IF(F3="1",SUMIF(Data!A:A,'48'!$A$2,Data!EE:EE),0)</f>
        <v>354333</v>
      </c>
      <c r="F73" s="22">
        <f t="shared" si="5"/>
        <v>3.2595233057668778</v>
      </c>
    </row>
    <row r="74" spans="1:6" x14ac:dyDescent="0.2">
      <c r="A74" s="20">
        <v>8</v>
      </c>
      <c r="B74" s="184" t="s">
        <v>7</v>
      </c>
      <c r="C74" s="185"/>
      <c r="D74" s="15">
        <f t="shared" si="4"/>
        <v>928</v>
      </c>
      <c r="E74" s="18">
        <f>IF(F3="1",SUMIF(Data!A:A,'48'!$A$2,Data!EF:EF),0)</f>
        <v>2282</v>
      </c>
      <c r="F74" s="22">
        <f t="shared" si="5"/>
        <v>2.459051724137931</v>
      </c>
    </row>
    <row r="75" spans="1:6" x14ac:dyDescent="0.2">
      <c r="A75" s="20">
        <v>9</v>
      </c>
      <c r="B75" s="184" t="s">
        <v>8</v>
      </c>
      <c r="C75" s="185"/>
      <c r="D75" s="15">
        <f t="shared" si="4"/>
        <v>121398</v>
      </c>
      <c r="E75" s="18">
        <f>IF(F3="1",SUMIF(Data!A:A,'48'!$A$2,Data!EG:EG),0)</f>
        <v>276963</v>
      </c>
      <c r="F75" s="22">
        <f t="shared" si="5"/>
        <v>2.281446152325409</v>
      </c>
    </row>
    <row r="76" spans="1:6" x14ac:dyDescent="0.2">
      <c r="A76" s="20">
        <v>10</v>
      </c>
      <c r="B76" s="184" t="s">
        <v>9</v>
      </c>
      <c r="C76" s="185"/>
      <c r="D76" s="15">
        <f t="shared" si="4"/>
        <v>0</v>
      </c>
      <c r="E76" s="18">
        <f>IF(F3="1",SUMIF(Data!A:A,'48'!$A$2,Data!EH:EH),0)</f>
        <v>0</v>
      </c>
      <c r="F76" s="22" t="str">
        <f t="shared" si="5"/>
        <v/>
      </c>
    </row>
    <row r="77" spans="1:6" x14ac:dyDescent="0.2">
      <c r="A77" s="20">
        <v>11</v>
      </c>
      <c r="B77" s="184" t="s">
        <v>10</v>
      </c>
      <c r="C77" s="185"/>
      <c r="D77" s="15">
        <f t="shared" si="4"/>
        <v>2056</v>
      </c>
      <c r="E77" s="18">
        <f>IF(F3="1",SUMIF(Data!A:A,'48'!$A$2,Data!EI:EI),0)</f>
        <v>4949</v>
      </c>
      <c r="F77" s="22">
        <f t="shared" si="5"/>
        <v>2.407101167315175</v>
      </c>
    </row>
    <row r="78" spans="1:6" ht="14.25" customHeight="1" x14ac:dyDescent="0.2">
      <c r="A78" s="20">
        <v>12</v>
      </c>
      <c r="B78" s="184" t="s">
        <v>11</v>
      </c>
      <c r="C78" s="185"/>
      <c r="D78" s="15">
        <f t="shared" si="4"/>
        <v>283584</v>
      </c>
      <c r="E78" s="18">
        <f>IF(F3="1",SUMIF(Data!A:A,'48'!$A$2,Data!EJ:EJ),0)</f>
        <v>941996</v>
      </c>
      <c r="F78" s="22">
        <f t="shared" si="5"/>
        <v>3.3217529902956442</v>
      </c>
    </row>
    <row r="79" spans="1:6" x14ac:dyDescent="0.2">
      <c r="A79" s="20">
        <v>13</v>
      </c>
      <c r="B79" s="184" t="s">
        <v>12</v>
      </c>
      <c r="C79" s="185"/>
      <c r="D79" s="15">
        <f t="shared" si="4"/>
        <v>14576</v>
      </c>
      <c r="E79" s="18">
        <f>IF(F3="1",SUMIF(Data!A:A,'48'!$A$2,Data!EK:EK),0)</f>
        <v>51171</v>
      </c>
      <c r="F79" s="22">
        <f t="shared" si="5"/>
        <v>3.5106339187705817</v>
      </c>
    </row>
    <row r="80" spans="1:6" ht="14.25" customHeight="1" x14ac:dyDescent="0.2">
      <c r="A80" s="20">
        <v>14</v>
      </c>
      <c r="B80" s="184" t="s">
        <v>469</v>
      </c>
      <c r="C80" s="185"/>
      <c r="D80" s="15">
        <f t="shared" si="4"/>
        <v>105008</v>
      </c>
      <c r="E80" s="18">
        <f>IF(F3="1",SUMIF(Data!A:A,'48'!$A$2,Data!EL:EL),0)</f>
        <v>583912</v>
      </c>
      <c r="F80" s="22">
        <f t="shared" si="5"/>
        <v>5.5606429986286763</v>
      </c>
    </row>
    <row r="81" spans="1:6" x14ac:dyDescent="0.2">
      <c r="A81" s="20">
        <v>15</v>
      </c>
      <c r="B81" s="184" t="s">
        <v>13</v>
      </c>
      <c r="C81" s="185"/>
      <c r="D81" s="15">
        <f t="shared" si="4"/>
        <v>0</v>
      </c>
      <c r="E81" s="18">
        <f>IF(F3="1",SUMIF(Data!A:A,'48'!$A$2,Data!EM:EM),0)</f>
        <v>0</v>
      </c>
      <c r="F81" s="22" t="str">
        <f t="shared" si="5"/>
        <v/>
      </c>
    </row>
    <row r="82" spans="1:6" x14ac:dyDescent="0.2">
      <c r="A82" s="20">
        <v>16</v>
      </c>
      <c r="B82" s="184" t="s">
        <v>14</v>
      </c>
      <c r="C82" s="185"/>
      <c r="D82" s="15">
        <f t="shared" si="4"/>
        <v>135748</v>
      </c>
      <c r="E82" s="18">
        <f>IF(F3="1",SUMIF(Data!A:A,'48'!$A$2,Data!EN:EN),0)</f>
        <v>665568</v>
      </c>
      <c r="F82" s="22">
        <f t="shared" si="5"/>
        <v>4.902967262869435</v>
      </c>
    </row>
    <row r="83" spans="1:6" x14ac:dyDescent="0.2">
      <c r="A83" s="20">
        <v>17</v>
      </c>
      <c r="B83" s="184" t="s">
        <v>15</v>
      </c>
      <c r="C83" s="185"/>
      <c r="D83" s="15">
        <f t="shared" si="4"/>
        <v>44096</v>
      </c>
      <c r="E83" s="18">
        <f>IF(F3="1",SUMIF(Data!A:A,'48'!$A$2,Data!EO:EO),0)</f>
        <v>223090</v>
      </c>
      <c r="F83" s="22">
        <f t="shared" si="5"/>
        <v>5.0591890420899857</v>
      </c>
    </row>
    <row r="84" spans="1:6" x14ac:dyDescent="0.2">
      <c r="A84" s="20">
        <v>18</v>
      </c>
      <c r="B84" s="184" t="s">
        <v>16</v>
      </c>
      <c r="C84" s="185"/>
      <c r="D84" s="15">
        <f t="shared" si="4"/>
        <v>101504</v>
      </c>
      <c r="E84" s="18">
        <f>IF(F3="1",SUMIF(Data!A:A,'48'!$A$2,Data!EP:EP),0)</f>
        <v>356961</v>
      </c>
      <c r="F84" s="22">
        <f t="shared" si="5"/>
        <v>3.5167185529634302</v>
      </c>
    </row>
    <row r="85" spans="1:6" x14ac:dyDescent="0.2">
      <c r="A85" s="20">
        <v>19</v>
      </c>
      <c r="B85" s="184" t="s">
        <v>17</v>
      </c>
      <c r="C85" s="185"/>
      <c r="D85" s="15">
        <f t="shared" si="4"/>
        <v>233664</v>
      </c>
      <c r="E85" s="18">
        <f>IF(F3="1",SUMIF(Data!A:A,'48'!$A$2,Data!EQ:EQ),0)</f>
        <v>844371</v>
      </c>
      <c r="F85" s="22">
        <f t="shared" si="5"/>
        <v>3.6136118529170091</v>
      </c>
    </row>
    <row r="86" spans="1:6" x14ac:dyDescent="0.2">
      <c r="A86" s="20">
        <v>20</v>
      </c>
      <c r="B86" s="184" t="s">
        <v>18</v>
      </c>
      <c r="C86" s="185"/>
      <c r="D86" s="15">
        <f t="shared" si="4"/>
        <v>6816</v>
      </c>
      <c r="E86" s="18">
        <f>IF(F3="1",SUMIF(Data!A:A,'48'!$A$2,Data!ER:ER),0)</f>
        <v>15824</v>
      </c>
      <c r="F86" s="22">
        <f t="shared" si="5"/>
        <v>2.3215962441314555</v>
      </c>
    </row>
    <row r="87" spans="1:6" ht="14.25" customHeight="1" x14ac:dyDescent="0.2">
      <c r="A87" s="20">
        <v>21</v>
      </c>
      <c r="B87" s="184" t="s">
        <v>466</v>
      </c>
      <c r="C87" s="185"/>
      <c r="D87" s="15">
        <f t="shared" si="4"/>
        <v>26935</v>
      </c>
      <c r="E87" s="18">
        <f>IF(F3="1",SUMIF(Data!A:A,'48'!$A$2,Data!ES:ES),0)</f>
        <v>202853</v>
      </c>
      <c r="F87" s="22">
        <f t="shared" si="5"/>
        <v>7.5312047521811767</v>
      </c>
    </row>
    <row r="88" spans="1:6" x14ac:dyDescent="0.2">
      <c r="A88" s="20">
        <v>22</v>
      </c>
      <c r="B88" s="184" t="s">
        <v>19</v>
      </c>
      <c r="C88" s="185"/>
      <c r="D88" s="15">
        <f t="shared" si="4"/>
        <v>1276</v>
      </c>
      <c r="E88" s="18">
        <f>IF(F3="1",SUMIF(Data!A:A,'48'!$A$2,Data!ET:ET),0)</f>
        <v>4146</v>
      </c>
      <c r="F88" s="22">
        <f t="shared" si="5"/>
        <v>3.2492163009404389</v>
      </c>
    </row>
    <row r="89" spans="1:6" x14ac:dyDescent="0.2">
      <c r="A89" s="20">
        <v>23</v>
      </c>
      <c r="B89" s="184" t="s">
        <v>20</v>
      </c>
      <c r="C89" s="185"/>
      <c r="D89" s="15">
        <f t="shared" si="4"/>
        <v>108624</v>
      </c>
      <c r="E89" s="18">
        <f>IF(F3="1",SUMIF(Data!A:A,'48'!$A$2,Data!EU:EU),0)</f>
        <v>331222</v>
      </c>
      <c r="F89" s="22">
        <f t="shared" si="5"/>
        <v>3.0492524672263954</v>
      </c>
    </row>
    <row r="90" spans="1:6" x14ac:dyDescent="0.2">
      <c r="A90" s="20">
        <v>24</v>
      </c>
      <c r="B90" s="184" t="s">
        <v>21</v>
      </c>
      <c r="C90" s="185"/>
      <c r="D90" s="15">
        <f t="shared" si="4"/>
        <v>124256</v>
      </c>
      <c r="E90" s="18">
        <f>IF(F3="1",SUMIF(Data!A:A,'48'!$A$2,Data!EV:EV),0)</f>
        <v>459627</v>
      </c>
      <c r="F90" s="22">
        <f t="shared" si="5"/>
        <v>3.6990326422868915</v>
      </c>
    </row>
    <row r="91" spans="1:6" x14ac:dyDescent="0.2">
      <c r="A91" s="20">
        <v>25</v>
      </c>
      <c r="B91" s="184" t="s">
        <v>22</v>
      </c>
      <c r="C91" s="185"/>
      <c r="D91" s="15">
        <f t="shared" si="4"/>
        <v>390384</v>
      </c>
      <c r="E91" s="18">
        <f>IF(F3="1",SUMIF(Data!A:A,'48'!$A$2,Data!EW:EW),0)</f>
        <v>1008898</v>
      </c>
      <c r="F91" s="22">
        <f t="shared" si="5"/>
        <v>2.5843733349727449</v>
      </c>
    </row>
    <row r="92" spans="1:6" x14ac:dyDescent="0.2">
      <c r="A92" s="20">
        <v>26</v>
      </c>
      <c r="B92" s="184" t="s">
        <v>23</v>
      </c>
      <c r="C92" s="185"/>
      <c r="D92" s="15">
        <f t="shared" si="4"/>
        <v>85264</v>
      </c>
      <c r="E92" s="18">
        <f>IF(F3="1",SUMIF(Data!A:A,'48'!$A$2,Data!EX:EX),0)</f>
        <v>353197</v>
      </c>
      <c r="F92" s="22">
        <f t="shared" si="5"/>
        <v>4.1423930380934513</v>
      </c>
    </row>
    <row r="93" spans="1:6" x14ac:dyDescent="0.2">
      <c r="A93" s="20">
        <v>28</v>
      </c>
      <c r="B93" s="184" t="s">
        <v>24</v>
      </c>
      <c r="C93" s="185"/>
      <c r="D93" s="15">
        <f t="shared" si="4"/>
        <v>0</v>
      </c>
      <c r="E93" s="18">
        <f>IF(F3="1",SUMIF(Data!A:A,'48'!$A$2,Data!EZ:EZ),0)</f>
        <v>0</v>
      </c>
      <c r="F93" s="22" t="str">
        <f t="shared" si="5"/>
        <v/>
      </c>
    </row>
    <row r="94" spans="1:6" ht="15.75" customHeight="1" thickBot="1" x14ac:dyDescent="0.25">
      <c r="A94" s="23">
        <v>29</v>
      </c>
      <c r="B94" s="186" t="s">
        <v>25</v>
      </c>
      <c r="C94" s="187"/>
      <c r="D94" s="24">
        <f t="shared" si="4"/>
        <v>0</v>
      </c>
      <c r="E94" s="25">
        <f>IF(F3="1",SUMIF(Data!A:A,'48'!$A$2,Data!FA:FA),0)</f>
        <v>0</v>
      </c>
      <c r="F94" s="26" t="str">
        <f t="shared" si="5"/>
        <v/>
      </c>
    </row>
    <row r="95" spans="1:6" x14ac:dyDescent="0.2">
      <c r="B95" s="31" t="s">
        <v>35</v>
      </c>
      <c r="C95" s="31"/>
      <c r="D95" s="61">
        <f>SUM(D67:D94)</f>
        <v>2242748</v>
      </c>
      <c r="E95" s="32">
        <f>SUM(E67:E94)</f>
        <v>7604690</v>
      </c>
      <c r="F95" s="33">
        <f t="shared" si="5"/>
        <v>3.3907911187525306</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IF(F3="1",SUMIF(Data!A:A,'48'!$A$2,Data!AH:AH),0)</f>
        <v>5084425</v>
      </c>
      <c r="F98" s="21">
        <f t="shared" ref="F98:F105" si="6">IFERROR(E98/$D$95,0)</f>
        <v>2.267051403010949</v>
      </c>
    </row>
    <row r="99" spans="2:6" x14ac:dyDescent="0.2">
      <c r="B99" s="190" t="s">
        <v>31</v>
      </c>
      <c r="C99" s="191"/>
      <c r="D99" s="37"/>
      <c r="E99" s="18">
        <f>IF(F3="1",SUMIF(Data!A:A,'48'!$A$2,Data!AI:AI),0)</f>
        <v>1510657</v>
      </c>
      <c r="F99" s="22">
        <f t="shared" si="6"/>
        <v>0.67357411532637634</v>
      </c>
    </row>
    <row r="100" spans="2:6" x14ac:dyDescent="0.2">
      <c r="B100" s="190" t="s">
        <v>32</v>
      </c>
      <c r="C100" s="191"/>
      <c r="D100" s="37"/>
      <c r="E100" s="18">
        <f>IF(F3="1",SUMIF(Data!A:A,'48'!$A$2,Data!AJ:AJ),0)</f>
        <v>1152110</v>
      </c>
      <c r="F100" s="22">
        <f t="shared" si="6"/>
        <v>0.51370461594436823</v>
      </c>
    </row>
    <row r="101" spans="2:6" x14ac:dyDescent="0.2">
      <c r="B101" s="190" t="s">
        <v>28</v>
      </c>
      <c r="C101" s="191"/>
      <c r="D101" s="37"/>
      <c r="E101" s="18">
        <f>IF(F3="1",SUMIF(Data!A:A,'48'!$A$2,Data!AK:AK),0)</f>
        <v>0</v>
      </c>
      <c r="F101" s="22">
        <f t="shared" si="6"/>
        <v>0</v>
      </c>
    </row>
    <row r="102" spans="2:6" x14ac:dyDescent="0.2">
      <c r="B102" s="190" t="s">
        <v>33</v>
      </c>
      <c r="C102" s="191"/>
      <c r="D102" s="37"/>
      <c r="E102" s="18">
        <f>IF(F3="1",SUMIF(Data!A:A,'48'!$A$2,Data!AL:AL),0)</f>
        <v>0</v>
      </c>
      <c r="F102" s="22">
        <f t="shared" si="6"/>
        <v>0</v>
      </c>
    </row>
    <row r="103" spans="2:6" x14ac:dyDescent="0.2">
      <c r="B103" s="192" t="s">
        <v>34</v>
      </c>
      <c r="C103" s="193"/>
      <c r="D103" s="37"/>
      <c r="E103" s="18">
        <f>IF(F3="1",SUMIF(Data!A:A,'48'!$A$2,Data!AM:AM),0)</f>
        <v>330617</v>
      </c>
      <c r="F103" s="22">
        <f t="shared" si="6"/>
        <v>0.14741602712386767</v>
      </c>
    </row>
    <row r="104" spans="2:6" ht="15.75" customHeight="1" thickBot="1" x14ac:dyDescent="0.25">
      <c r="B104" s="182" t="s">
        <v>29</v>
      </c>
      <c r="C104" s="183"/>
      <c r="D104" s="38"/>
      <c r="E104" s="25">
        <f>IF(F3="1",SUMIF(Data!A:A,'48'!$A$2,Data!Q:Q),0)</f>
        <v>191640</v>
      </c>
      <c r="F104" s="26">
        <f t="shared" si="6"/>
        <v>8.5448744129969126E-2</v>
      </c>
    </row>
    <row r="105" spans="2:6" x14ac:dyDescent="0.2">
      <c r="B105" s="31" t="s">
        <v>35</v>
      </c>
      <c r="C105" s="31"/>
      <c r="D105" s="35">
        <f>D95</f>
        <v>2242748</v>
      </c>
      <c r="E105" s="32">
        <f>SUM(E98:E104)</f>
        <v>8269449</v>
      </c>
      <c r="F105" s="33">
        <f t="shared" si="6"/>
        <v>3.6871949055355304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7604690</v>
      </c>
      <c r="D109" s="16">
        <f>IF(F3="1",SUMIF(Data!$A:$A,$A$2,Data!HJ:HJ),0)</f>
        <v>0</v>
      </c>
      <c r="E109" s="16">
        <f>IF(F3="1",SUMIF(Data!$A:$A,$A$2,Data!IN:IN),0)</f>
        <v>0</v>
      </c>
      <c r="F109" s="48">
        <f>SUM(C109:E109)</f>
        <v>7604690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191640</v>
      </c>
      <c r="E117" s="53"/>
      <c r="F117" s="50">
        <f>SUM(C117:E117)</f>
        <v>191640</v>
      </c>
    </row>
    <row r="118" spans="1:6" x14ac:dyDescent="0.2">
      <c r="B118" s="14" t="s">
        <v>35</v>
      </c>
      <c r="C118" s="5">
        <f>SUM(C109:C116)</f>
        <v>7604690</v>
      </c>
      <c r="D118" s="5">
        <f>SUM(D109:D116)</f>
        <v>0</v>
      </c>
      <c r="E118" s="5">
        <f>SUM(E109:E116)</f>
        <v>0</v>
      </c>
      <c r="F118" s="5">
        <f>SUM(F109:F116)</f>
        <v>7604690</v>
      </c>
    </row>
    <row r="119" spans="1:6" ht="15" thickBot="1" x14ac:dyDescent="0.25"/>
    <row r="120" spans="1:6" ht="15" thickBot="1" x14ac:dyDescent="0.25">
      <c r="B120" s="57" t="s">
        <v>942</v>
      </c>
      <c r="C120" s="55"/>
      <c r="D120" s="55"/>
      <c r="E120" s="55">
        <f>IF(F3="1",SUMIF(Data!A:A,'48'!$A$2,Data!AM:AM),0)</f>
        <v>330617</v>
      </c>
      <c r="F120" s="56">
        <f>SUM(C120:E120)</f>
        <v>330617</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140625" style="11" bestFit="1" customWidth="1"/>
    <col min="13" max="13" width="10.5703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432</v>
      </c>
      <c r="B2" s="60" t="str">
        <f>VLOOKUP(A2,Data!A:G,7,0)</f>
        <v>Western Texas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84832</v>
      </c>
      <c r="E5" s="16">
        <f>E36+E67+IFERROR($E$105/$D$105*D5,0)</f>
        <v>567155.20856194803</v>
      </c>
      <c r="F5" s="21">
        <f>IFERROR(E5/D5,"")</f>
        <v>6.685628165809459</v>
      </c>
    </row>
    <row r="6" spans="1:6" x14ac:dyDescent="0.2">
      <c r="A6" s="20">
        <v>2</v>
      </c>
      <c r="B6" s="184" t="s">
        <v>1</v>
      </c>
      <c r="C6" s="185"/>
      <c r="D6" s="15">
        <f t="shared" ref="D6:D32" si="0">D37</f>
        <v>30640</v>
      </c>
      <c r="E6" s="18">
        <f t="shared" ref="E6:E32" si="1">E37+E68+IFERROR($E$105/$D$105*D6,0)</f>
        <v>213025.51836969639</v>
      </c>
      <c r="F6" s="22">
        <f t="shared" ref="F6:F33" si="2">IFERROR(E6/D6,"")</f>
        <v>6.9525299729013179</v>
      </c>
    </row>
    <row r="7" spans="1:6" ht="14.25" customHeight="1" x14ac:dyDescent="0.2">
      <c r="A7" s="20">
        <v>3</v>
      </c>
      <c r="B7" s="184" t="s">
        <v>2</v>
      </c>
      <c r="C7" s="185"/>
      <c r="D7" s="15">
        <f t="shared" si="0"/>
        <v>118640</v>
      </c>
      <c r="E7" s="18">
        <f t="shared" si="1"/>
        <v>628636.44841321092</v>
      </c>
      <c r="F7" s="22">
        <f t="shared" si="2"/>
        <v>5.2986888773871454</v>
      </c>
    </row>
    <row r="8" spans="1:6" ht="14.25" customHeight="1" x14ac:dyDescent="0.2">
      <c r="A8" s="20">
        <v>4</v>
      </c>
      <c r="B8" s="184" t="s">
        <v>3</v>
      </c>
      <c r="C8" s="185"/>
      <c r="D8" s="15">
        <f t="shared" si="0"/>
        <v>169353</v>
      </c>
      <c r="E8" s="18">
        <f t="shared" si="1"/>
        <v>597217.8838597649</v>
      </c>
      <c r="F8" s="22">
        <f t="shared" si="2"/>
        <v>3.526467696821225</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2632</v>
      </c>
      <c r="E10" s="18">
        <f t="shared" si="1"/>
        <v>103460.16254402875</v>
      </c>
      <c r="F10" s="22">
        <f t="shared" si="2"/>
        <v>39.308572395147699</v>
      </c>
    </row>
    <row r="11" spans="1:6" x14ac:dyDescent="0.2">
      <c r="A11" s="20">
        <v>7</v>
      </c>
      <c r="B11" s="184" t="s">
        <v>6</v>
      </c>
      <c r="C11" s="185"/>
      <c r="D11" s="15">
        <f t="shared" si="0"/>
        <v>49806</v>
      </c>
      <c r="E11" s="18">
        <f t="shared" si="1"/>
        <v>209646.80306531003</v>
      </c>
      <c r="F11" s="22">
        <f t="shared" si="2"/>
        <v>4.2092680212285671</v>
      </c>
    </row>
    <row r="12" spans="1:6" x14ac:dyDescent="0.2">
      <c r="A12" s="20">
        <v>8</v>
      </c>
      <c r="B12" s="184" t="s">
        <v>7</v>
      </c>
      <c r="C12" s="185"/>
      <c r="D12" s="15">
        <f t="shared" si="0"/>
        <v>264</v>
      </c>
      <c r="E12" s="18">
        <f t="shared" si="1"/>
        <v>811.97679013054346</v>
      </c>
      <c r="F12" s="22">
        <f t="shared" si="2"/>
        <v>3.0756696595853921</v>
      </c>
    </row>
    <row r="13" spans="1:6" x14ac:dyDescent="0.2">
      <c r="A13" s="20">
        <v>9</v>
      </c>
      <c r="B13" s="184" t="s">
        <v>8</v>
      </c>
      <c r="C13" s="185"/>
      <c r="D13" s="15">
        <f t="shared" si="0"/>
        <v>17865</v>
      </c>
      <c r="E13" s="18">
        <f t="shared" si="1"/>
        <v>112662.83846849302</v>
      </c>
      <c r="F13" s="22">
        <f t="shared" si="2"/>
        <v>6.3063441628039758</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10140</v>
      </c>
      <c r="E15" s="18">
        <f t="shared" si="1"/>
        <v>125410.29034819588</v>
      </c>
      <c r="F15" s="22">
        <f t="shared" si="2"/>
        <v>12.367878732563696</v>
      </c>
    </row>
    <row r="16" spans="1:6" ht="14.25" customHeight="1" x14ac:dyDescent="0.2">
      <c r="A16" s="20">
        <v>12</v>
      </c>
      <c r="B16" s="184" t="s">
        <v>11</v>
      </c>
      <c r="C16" s="185"/>
      <c r="D16" s="15">
        <f t="shared" si="0"/>
        <v>121648</v>
      </c>
      <c r="E16" s="18">
        <f t="shared" si="1"/>
        <v>719659.06274924381</v>
      </c>
      <c r="F16" s="22">
        <f t="shared" si="2"/>
        <v>5.9159136422238241</v>
      </c>
    </row>
    <row r="17" spans="1:6" x14ac:dyDescent="0.2">
      <c r="A17" s="20">
        <v>13</v>
      </c>
      <c r="B17" s="184" t="s">
        <v>12</v>
      </c>
      <c r="C17" s="185"/>
      <c r="D17" s="15">
        <f t="shared" si="0"/>
        <v>22720</v>
      </c>
      <c r="E17" s="18">
        <f t="shared" si="1"/>
        <v>120083.21466578011</v>
      </c>
      <c r="F17" s="22">
        <f t="shared" si="2"/>
        <v>5.2853527581769413</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13772</v>
      </c>
      <c r="E20" s="18">
        <f t="shared" si="1"/>
        <v>63207.122551810018</v>
      </c>
      <c r="F20" s="22">
        <f t="shared" si="2"/>
        <v>4.5895383787256767</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30944</v>
      </c>
      <c r="E22" s="18">
        <f t="shared" si="1"/>
        <v>221918.52194621036</v>
      </c>
      <c r="F22" s="22">
        <f t="shared" si="2"/>
        <v>7.1716171776825997</v>
      </c>
    </row>
    <row r="23" spans="1:6" x14ac:dyDescent="0.2">
      <c r="A23" s="20">
        <v>19</v>
      </c>
      <c r="B23" s="184" t="s">
        <v>17</v>
      </c>
      <c r="C23" s="185"/>
      <c r="D23" s="15">
        <f t="shared" si="0"/>
        <v>242864</v>
      </c>
      <c r="E23" s="18">
        <f t="shared" si="1"/>
        <v>1172722.4362055466</v>
      </c>
      <c r="F23" s="22">
        <f t="shared" si="2"/>
        <v>4.8287207499075473</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32</v>
      </c>
      <c r="E25" s="18">
        <f t="shared" si="1"/>
        <v>185.42142910673255</v>
      </c>
      <c r="F25" s="22">
        <f t="shared" si="2"/>
        <v>5.7944196595853921</v>
      </c>
    </row>
    <row r="26" spans="1:6" x14ac:dyDescent="0.2">
      <c r="A26" s="20">
        <v>22</v>
      </c>
      <c r="B26" s="184" t="s">
        <v>19</v>
      </c>
      <c r="C26" s="185"/>
      <c r="D26" s="15">
        <f t="shared" si="0"/>
        <v>9888</v>
      </c>
      <c r="E26" s="18">
        <f t="shared" si="1"/>
        <v>82068.221593980357</v>
      </c>
      <c r="F26" s="22">
        <f t="shared" si="2"/>
        <v>8.299779691947851</v>
      </c>
    </row>
    <row r="27" spans="1:6" x14ac:dyDescent="0.2">
      <c r="A27" s="20">
        <v>23</v>
      </c>
      <c r="B27" s="184" t="s">
        <v>20</v>
      </c>
      <c r="C27" s="185"/>
      <c r="D27" s="15">
        <f t="shared" si="0"/>
        <v>41568</v>
      </c>
      <c r="E27" s="18">
        <f t="shared" si="1"/>
        <v>311140.4364096456</v>
      </c>
      <c r="F27" s="22">
        <f t="shared" si="2"/>
        <v>7.485095179215878</v>
      </c>
    </row>
    <row r="28" spans="1:6" x14ac:dyDescent="0.2">
      <c r="A28" s="20">
        <v>24</v>
      </c>
      <c r="B28" s="184" t="s">
        <v>21</v>
      </c>
      <c r="C28" s="185"/>
      <c r="D28" s="15">
        <f t="shared" si="0"/>
        <v>121818</v>
      </c>
      <c r="E28" s="18">
        <f t="shared" si="1"/>
        <v>496499.92659137328</v>
      </c>
      <c r="F28" s="22">
        <f t="shared" si="2"/>
        <v>4.0757517492601529</v>
      </c>
    </row>
    <row r="29" spans="1:6" x14ac:dyDescent="0.2">
      <c r="A29" s="20">
        <v>25</v>
      </c>
      <c r="B29" s="184" t="s">
        <v>22</v>
      </c>
      <c r="C29" s="185"/>
      <c r="D29" s="15">
        <f t="shared" si="0"/>
        <v>126432</v>
      </c>
      <c r="E29" s="18">
        <f t="shared" si="1"/>
        <v>795143.06640070025</v>
      </c>
      <c r="F29" s="22">
        <f t="shared" si="2"/>
        <v>6.2890966400966546</v>
      </c>
    </row>
    <row r="30" spans="1:6" x14ac:dyDescent="0.2">
      <c r="A30" s="20">
        <v>26</v>
      </c>
      <c r="B30" s="184" t="s">
        <v>23</v>
      </c>
      <c r="C30" s="185"/>
      <c r="D30" s="15">
        <f t="shared" si="0"/>
        <v>38436</v>
      </c>
      <c r="E30" s="18">
        <f t="shared" si="1"/>
        <v>299595.43903582415</v>
      </c>
      <c r="F30" s="22">
        <f t="shared" si="2"/>
        <v>7.7946570672240645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1254294</v>
      </c>
      <c r="E33" s="32">
        <f>SUM(E5:E32)</f>
        <v>6840250.0000000009</v>
      </c>
      <c r="F33" s="33">
        <f t="shared" si="2"/>
        <v>5.4534662527286271</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IF(F3="1",SUMIF(Data!A:A,'49'!$A$2,Data!CU:CU),0)</f>
        <v>84832</v>
      </c>
      <c r="E36" s="16">
        <f>IF(F3="1",SUMIF(Data!$A:$A,'49'!$A$2,Data!IO:IO),0)</f>
        <v>34769</v>
      </c>
      <c r="F36" s="21">
        <f t="shared" ref="F36:F64" si="3">IFERROR(E36/D36,"")</f>
        <v>0.40985712938513769</v>
      </c>
    </row>
    <row r="37" spans="1:6" x14ac:dyDescent="0.2">
      <c r="A37" s="20">
        <v>2</v>
      </c>
      <c r="B37" s="184" t="s">
        <v>1</v>
      </c>
      <c r="C37" s="185"/>
      <c r="D37" s="15">
        <f>IF(F3="1",SUMIF(Data!A:A,'49'!$A$2,Data!CV:CV),0)</f>
        <v>30640</v>
      </c>
      <c r="E37" s="18">
        <f>IF(F3="1",SUMIF(Data!$A:$A,'49'!$A$2,Data!IP:IP),0)</f>
        <v>20486</v>
      </c>
      <c r="F37" s="22">
        <f t="shared" si="3"/>
        <v>0.66860313315926889</v>
      </c>
    </row>
    <row r="38" spans="1:6" ht="14.25" customHeight="1" x14ac:dyDescent="0.2">
      <c r="A38" s="20">
        <v>3</v>
      </c>
      <c r="B38" s="184" t="s">
        <v>2</v>
      </c>
      <c r="C38" s="185"/>
      <c r="D38" s="15">
        <f>IF(F3="1",SUMIF(Data!A:A,'49'!$A$2,Data!CW:CW),0)</f>
        <v>118640</v>
      </c>
      <c r="E38" s="18">
        <f>IF(F3="1",SUMIF(Data!$A:$A,'49'!$A$2,Data!IQ:IQ),0)</f>
        <v>13241</v>
      </c>
      <c r="F38" s="22">
        <f t="shared" si="3"/>
        <v>0.11160654079568443</v>
      </c>
    </row>
    <row r="39" spans="1:6" ht="14.25" customHeight="1" x14ac:dyDescent="0.2">
      <c r="A39" s="20">
        <v>4</v>
      </c>
      <c r="B39" s="184" t="s">
        <v>3</v>
      </c>
      <c r="C39" s="185"/>
      <c r="D39" s="15">
        <f>IF(F3="1",SUMIF(Data!A:A,'49'!$A$2,Data!CX:CX),0)</f>
        <v>169353</v>
      </c>
      <c r="E39" s="18">
        <f>IF(F3="1",SUMIF(Data!$A:$A,'49'!$A$2,Data!IR:IR),0)</f>
        <v>5164</v>
      </c>
      <c r="F39" s="22">
        <f t="shared" si="3"/>
        <v>3.0492521537852889E-2</v>
      </c>
    </row>
    <row r="40" spans="1:6" x14ac:dyDescent="0.2">
      <c r="A40" s="20">
        <v>5</v>
      </c>
      <c r="B40" s="184" t="s">
        <v>4</v>
      </c>
      <c r="C40" s="185"/>
      <c r="D40" s="15">
        <f>IF(F3="1",SUMIF(Data!A:A,'49'!$A$2,Data!CY:CY),0)</f>
        <v>0</v>
      </c>
      <c r="E40" s="18">
        <f>IF(F3="1",SUMIF(Data!$A:$A,'49'!$A$2,Data!IS:IS),0)</f>
        <v>0</v>
      </c>
      <c r="F40" s="22" t="str">
        <f t="shared" si="3"/>
        <v/>
      </c>
    </row>
    <row r="41" spans="1:6" x14ac:dyDescent="0.2">
      <c r="A41" s="20">
        <v>6</v>
      </c>
      <c r="B41" s="184" t="s">
        <v>5</v>
      </c>
      <c r="C41" s="185"/>
      <c r="D41" s="15">
        <f>IF(F3="1",SUMIF(Data!A:A,'49'!$A$2,Data!CZ:CZ),0)</f>
        <v>2632</v>
      </c>
      <c r="E41" s="18">
        <f>IF(F3="1",SUMIF(Data!$A:$A,'49'!$A$2,Data!IT:IT),0)</f>
        <v>50623</v>
      </c>
      <c r="F41" s="22">
        <f t="shared" si="3"/>
        <v>19.233662613981764</v>
      </c>
    </row>
    <row r="42" spans="1:6" x14ac:dyDescent="0.2">
      <c r="A42" s="20">
        <v>7</v>
      </c>
      <c r="B42" s="184" t="s">
        <v>6</v>
      </c>
      <c r="C42" s="185"/>
      <c r="D42" s="15">
        <f>IF(F3="1",SUMIF(Data!A:A,'49'!$A$2,Data!DA:DA),0)</f>
        <v>49806</v>
      </c>
      <c r="E42" s="18">
        <f>IF(F3="1",SUMIF(Data!$A:$A,'49'!$A$2,Data!IU:IU),0)</f>
        <v>4417</v>
      </c>
      <c r="F42" s="22">
        <f t="shared" si="3"/>
        <v>8.8684094285829018E-2</v>
      </c>
    </row>
    <row r="43" spans="1:6" x14ac:dyDescent="0.2">
      <c r="A43" s="20">
        <v>8</v>
      </c>
      <c r="B43" s="184" t="s">
        <v>7</v>
      </c>
      <c r="C43" s="185"/>
      <c r="D43" s="15">
        <f>IF(F3="1",SUMIF(Data!A:A,'49'!$A$2,Data!DB:DB),0)</f>
        <v>264</v>
      </c>
      <c r="E43" s="18">
        <f>IF(F3="1",SUMIF(Data!$A:$A,'49'!$A$2,Data!IV:IV),0)</f>
        <v>0</v>
      </c>
      <c r="F43" s="22">
        <f t="shared" si="3"/>
        <v>0</v>
      </c>
    </row>
    <row r="44" spans="1:6" x14ac:dyDescent="0.2">
      <c r="A44" s="20">
        <v>9</v>
      </c>
      <c r="B44" s="184" t="s">
        <v>8</v>
      </c>
      <c r="C44" s="185"/>
      <c r="D44" s="15">
        <f>IF(F3="1",SUMIF(Data!A:A,'49'!$A$2,Data!DC:DC),0)</f>
        <v>17865</v>
      </c>
      <c r="E44" s="18">
        <f>IF(F3="1",SUMIF(Data!$A:$A,'49'!$A$2,Data!IW:IW),0)</f>
        <v>4217</v>
      </c>
      <c r="F44" s="22">
        <f t="shared" si="3"/>
        <v>0.23604813881891967</v>
      </c>
    </row>
    <row r="45" spans="1:6" x14ac:dyDescent="0.2">
      <c r="A45" s="20">
        <v>10</v>
      </c>
      <c r="B45" s="184" t="s">
        <v>9</v>
      </c>
      <c r="C45" s="185"/>
      <c r="D45" s="15">
        <f>IF(F3="1",SUMIF(Data!A:A,'49'!$A$2,Data!DD:DD),0)</f>
        <v>0</v>
      </c>
      <c r="E45" s="18">
        <f>IF(F3="1",SUMIF(Data!$A:$A,'49'!$A$2,Data!IX:IX),0)</f>
        <v>0</v>
      </c>
      <c r="F45" s="22" t="str">
        <f t="shared" si="3"/>
        <v/>
      </c>
    </row>
    <row r="46" spans="1:6" x14ac:dyDescent="0.2">
      <c r="A46" s="20">
        <v>11</v>
      </c>
      <c r="B46" s="184" t="s">
        <v>10</v>
      </c>
      <c r="C46" s="185"/>
      <c r="D46" s="15">
        <f>IF(F3="1",SUMIF(Data!A:A,'49'!$A$2,Data!DE:DE),0)</f>
        <v>10140</v>
      </c>
      <c r="E46" s="18">
        <f>IF(F3="1",SUMIF(Data!$A:$A,'49'!$A$2,Data!IY:IY),0)</f>
        <v>59255</v>
      </c>
      <c r="F46" s="22">
        <f t="shared" si="3"/>
        <v>5.8436883629191323</v>
      </c>
    </row>
    <row r="47" spans="1:6" ht="14.25" customHeight="1" x14ac:dyDescent="0.2">
      <c r="A47" s="20">
        <v>12</v>
      </c>
      <c r="B47" s="184" t="s">
        <v>11</v>
      </c>
      <c r="C47" s="185"/>
      <c r="D47" s="15">
        <f>IF(F3="1",SUMIF(Data!A:A,'49'!$A$2,Data!DF:DF),0)</f>
        <v>121648</v>
      </c>
      <c r="E47" s="18">
        <f>IF(F3="1",SUMIF(Data!$A:$A,'49'!$A$2,Data!IZ:IZ),0)</f>
        <v>19654</v>
      </c>
      <c r="F47" s="22">
        <f t="shared" si="3"/>
        <v>0.16156451400762856</v>
      </c>
    </row>
    <row r="48" spans="1:6" x14ac:dyDescent="0.2">
      <c r="A48" s="20">
        <v>13</v>
      </c>
      <c r="B48" s="184" t="s">
        <v>12</v>
      </c>
      <c r="C48" s="185"/>
      <c r="D48" s="15">
        <f>IF(F3="1",SUMIF(Data!A:A,'49'!$A$2,Data!DG:DG),0)</f>
        <v>22720</v>
      </c>
      <c r="E48" s="18">
        <f>IF(F3="1",SUMIF(Data!$A:$A,'49'!$A$2,Data!JA:JA),0)</f>
        <v>1451</v>
      </c>
      <c r="F48" s="22">
        <f t="shared" si="3"/>
        <v>6.3864436619718315E-2</v>
      </c>
    </row>
    <row r="49" spans="1:6" ht="14.25" customHeight="1" x14ac:dyDescent="0.2">
      <c r="A49" s="20">
        <v>14</v>
      </c>
      <c r="B49" s="184" t="s">
        <v>469</v>
      </c>
      <c r="C49" s="185"/>
      <c r="D49" s="15">
        <f>IF(F3="1",SUMIF(Data!A:A,'49'!$A$2,Data!DH:DH),0)</f>
        <v>0</v>
      </c>
      <c r="E49" s="18">
        <f>IF(F3="1",SUMIF(Data!$A:$A,'49'!$A$2,Data!JB:JB),0)</f>
        <v>0</v>
      </c>
      <c r="F49" s="22" t="str">
        <f t="shared" si="3"/>
        <v/>
      </c>
    </row>
    <row r="50" spans="1:6" x14ac:dyDescent="0.2">
      <c r="A50" s="20">
        <v>15</v>
      </c>
      <c r="B50" s="184" t="s">
        <v>13</v>
      </c>
      <c r="C50" s="185"/>
      <c r="D50" s="15">
        <f>IF(F3="1",SUMIF(Data!A:A,'49'!$A$2,Data!DI:DI),0)</f>
        <v>0</v>
      </c>
      <c r="E50" s="18">
        <f>IF(F3="1",SUMIF(Data!$A:$A,'49'!$A$2,Data!JC:JC),0)</f>
        <v>0</v>
      </c>
      <c r="F50" s="22" t="str">
        <f t="shared" si="3"/>
        <v/>
      </c>
    </row>
    <row r="51" spans="1:6" x14ac:dyDescent="0.2">
      <c r="A51" s="20">
        <v>16</v>
      </c>
      <c r="B51" s="184" t="s">
        <v>14</v>
      </c>
      <c r="C51" s="185"/>
      <c r="D51" s="15">
        <f>IF(F3="1",SUMIF(Data!A:A,'49'!$A$2,Data!DJ:DJ),0)</f>
        <v>13772</v>
      </c>
      <c r="E51" s="18">
        <f>IF(F3="1",SUMIF(Data!$A:$A,'49'!$A$2,Data!JD:JD),0)</f>
        <v>8992</v>
      </c>
      <c r="F51" s="22">
        <f t="shared" si="3"/>
        <v>0.65291896601800758</v>
      </c>
    </row>
    <row r="52" spans="1:6" x14ac:dyDescent="0.2">
      <c r="A52" s="20">
        <v>17</v>
      </c>
      <c r="B52" s="184" t="s">
        <v>15</v>
      </c>
      <c r="C52" s="185"/>
      <c r="D52" s="15">
        <f>IF(F3="1",SUMIF(Data!A:A,'49'!$A$2,Data!DK:DK),0)</f>
        <v>0</v>
      </c>
      <c r="E52" s="18">
        <f>IF(F3="1",SUMIF(Data!$A:$A,'49'!$A$2,Data!JE:JE),0)</f>
        <v>0</v>
      </c>
      <c r="F52" s="22" t="str">
        <f t="shared" si="3"/>
        <v/>
      </c>
    </row>
    <row r="53" spans="1:6" x14ac:dyDescent="0.2">
      <c r="A53" s="20">
        <v>18</v>
      </c>
      <c r="B53" s="184" t="s">
        <v>16</v>
      </c>
      <c r="C53" s="185"/>
      <c r="D53" s="15">
        <f>IF(F3="1",SUMIF(Data!A:A,'49'!$A$2,Data!DL:DL),0)</f>
        <v>30944</v>
      </c>
      <c r="E53" s="18">
        <f>IF(F3="1",SUMIF(Data!$A:$A,'49'!$A$2,Data!JF:JF),0)</f>
        <v>5468</v>
      </c>
      <c r="F53" s="22">
        <f t="shared" si="3"/>
        <v>0.1767063081695967</v>
      </c>
    </row>
    <row r="54" spans="1:6" x14ac:dyDescent="0.2">
      <c r="A54" s="20">
        <v>19</v>
      </c>
      <c r="B54" s="184" t="s">
        <v>17</v>
      </c>
      <c r="C54" s="185"/>
      <c r="D54" s="15">
        <f>IF(F3="1",SUMIF(Data!A:A,'49'!$A$2,Data!DM:DM),0)</f>
        <v>242864</v>
      </c>
      <c r="E54" s="18">
        <f>IF(F3="1",SUMIF(Data!$A:$A,'49'!$A$2,Data!JG:JG),0)</f>
        <v>18883</v>
      </c>
      <c r="F54" s="22">
        <f t="shared" si="3"/>
        <v>7.7751334079978918E-2</v>
      </c>
    </row>
    <row r="55" spans="1:6" x14ac:dyDescent="0.2">
      <c r="A55" s="20">
        <v>20</v>
      </c>
      <c r="B55" s="184" t="s">
        <v>18</v>
      </c>
      <c r="C55" s="185"/>
      <c r="D55" s="15">
        <f>IF(F3="1",SUMIF(Data!A:A,'49'!$A$2,Data!DN:DN),0)</f>
        <v>0</v>
      </c>
      <c r="E55" s="18">
        <f>IF(F3="1",SUMIF(Data!$A:$A,'49'!$A$2,Data!JH:JH),0)</f>
        <v>0</v>
      </c>
      <c r="F55" s="22" t="str">
        <f t="shared" si="3"/>
        <v/>
      </c>
    </row>
    <row r="56" spans="1:6" ht="14.25" customHeight="1" x14ac:dyDescent="0.2">
      <c r="A56" s="20">
        <v>21</v>
      </c>
      <c r="B56" s="184" t="s">
        <v>466</v>
      </c>
      <c r="C56" s="185"/>
      <c r="D56" s="15">
        <f>IF(F3="1",SUMIF(Data!A:A,'49'!$A$2,Data!DO:DO),0)</f>
        <v>32</v>
      </c>
      <c r="E56" s="18">
        <f>IF(F3="1",SUMIF(Data!$A:$A,'49'!$A$2,Data!JI:JI),0)</f>
        <v>87</v>
      </c>
      <c r="F56" s="22">
        <f t="shared" si="3"/>
        <v>2.71875</v>
      </c>
    </row>
    <row r="57" spans="1:6" x14ac:dyDescent="0.2">
      <c r="A57" s="20">
        <v>22</v>
      </c>
      <c r="B57" s="184" t="s">
        <v>19</v>
      </c>
      <c r="C57" s="185"/>
      <c r="D57" s="15">
        <f>IF(F3="1",SUMIF(Data!A:A,'49'!$A$2,Data!DP:DP),0)</f>
        <v>9888</v>
      </c>
      <c r="E57" s="18">
        <f>IF(F3="1",SUMIF(Data!$A:$A,'49'!$A$2,Data!JJ:JJ),0)</f>
        <v>2853</v>
      </c>
      <c r="F57" s="22">
        <f t="shared" si="3"/>
        <v>0.28853155339805825</v>
      </c>
    </row>
    <row r="58" spans="1:6" x14ac:dyDescent="0.2">
      <c r="A58" s="20">
        <v>23</v>
      </c>
      <c r="B58" s="184" t="s">
        <v>20</v>
      </c>
      <c r="C58" s="185"/>
      <c r="D58" s="15">
        <f>IF(F3="1",SUMIF(Data!A:A,'49'!$A$2,Data!DQ:DQ),0)</f>
        <v>41568</v>
      </c>
      <c r="E58" s="18">
        <f>IF(F3="1",SUMIF(Data!$A:$A,'49'!$A$2,Data!JK:JK),0)</f>
        <v>9105</v>
      </c>
      <c r="F58" s="22">
        <f t="shared" si="3"/>
        <v>0.21903868360277137</v>
      </c>
    </row>
    <row r="59" spans="1:6" x14ac:dyDescent="0.2">
      <c r="A59" s="20">
        <v>24</v>
      </c>
      <c r="B59" s="184" t="s">
        <v>21</v>
      </c>
      <c r="C59" s="185"/>
      <c r="D59" s="15">
        <f>IF(F3="1",SUMIF(Data!A:A,'49'!$A$2,Data!DR:DR),0)</f>
        <v>121818</v>
      </c>
      <c r="E59" s="18">
        <f>IF(F3="1",SUMIF(Data!$A:$A,'49'!$A$2,Data!JL:JL),0)</f>
        <v>35903</v>
      </c>
      <c r="F59" s="22">
        <f t="shared" si="3"/>
        <v>0.2947265592933721</v>
      </c>
    </row>
    <row r="60" spans="1:6" x14ac:dyDescent="0.2">
      <c r="A60" s="20">
        <v>25</v>
      </c>
      <c r="B60" s="184" t="s">
        <v>22</v>
      </c>
      <c r="C60" s="185"/>
      <c r="D60" s="15">
        <f>IF(F3="1",SUMIF(Data!A:A,'49'!$A$2,Data!DS:DS),0)</f>
        <v>126432</v>
      </c>
      <c r="E60" s="18">
        <f>IF(F3="1",SUMIF(Data!$A:$A,'49'!$A$2,Data!JM:JM),0)</f>
        <v>15826</v>
      </c>
      <c r="F60" s="22">
        <f t="shared" si="3"/>
        <v>0.12517400658061251</v>
      </c>
    </row>
    <row r="61" spans="1:6" x14ac:dyDescent="0.2">
      <c r="A61" s="20">
        <v>26</v>
      </c>
      <c r="B61" s="184" t="s">
        <v>23</v>
      </c>
      <c r="C61" s="185"/>
      <c r="D61" s="15">
        <f>IF(F3="1",SUMIF(Data!A:A,'49'!$A$2,Data!DT:DT),0)</f>
        <v>38436</v>
      </c>
      <c r="E61" s="18">
        <f>IF(F3="1",SUMIF(Data!$A:$A,'49'!$A$2,Data!JN:JN),0)</f>
        <v>27603</v>
      </c>
      <c r="F61" s="22">
        <f t="shared" si="3"/>
        <v>0.71815485482360286</v>
      </c>
    </row>
    <row r="62" spans="1:6" x14ac:dyDescent="0.2">
      <c r="A62" s="20">
        <v>28</v>
      </c>
      <c r="B62" s="184" t="s">
        <v>24</v>
      </c>
      <c r="C62" s="185"/>
      <c r="D62" s="15">
        <f>IF(F3="1",SUMIF(Data!A:A,'49'!$A$2,Data!DV:DV),0)</f>
        <v>0</v>
      </c>
      <c r="E62" s="18">
        <f>IF(F3="1",SUMIF(Data!$A:$A,'49'!$A$2,Data!JP:JP),0)</f>
        <v>0</v>
      </c>
      <c r="F62" s="22" t="str">
        <f t="shared" si="3"/>
        <v/>
      </c>
    </row>
    <row r="63" spans="1:6" ht="15.75" customHeight="1" thickBot="1" x14ac:dyDescent="0.25">
      <c r="A63" s="23">
        <v>29</v>
      </c>
      <c r="B63" s="186" t="s">
        <v>25</v>
      </c>
      <c r="C63" s="187"/>
      <c r="D63" s="24">
        <f>IF(F3="1",SUMIF(Data!A:A,'49'!$A$2,Data!DW:DW),0)</f>
        <v>0</v>
      </c>
      <c r="E63" s="25">
        <f>IF(F3="1",SUMIF(Data!$A:$A,'49'!$A$2,Data!JQ:JQ),0)</f>
        <v>0</v>
      </c>
      <c r="F63" s="26" t="str">
        <f t="shared" si="3"/>
        <v/>
      </c>
    </row>
    <row r="64" spans="1:6" x14ac:dyDescent="0.2">
      <c r="B64" s="31" t="s">
        <v>35</v>
      </c>
      <c r="C64" s="31"/>
      <c r="D64" s="61">
        <f>SUM(D36:D63)</f>
        <v>1254294</v>
      </c>
      <c r="E64" s="32">
        <f>SUM(E36:E63)</f>
        <v>337997</v>
      </c>
      <c r="F64" s="33">
        <f t="shared" si="3"/>
        <v>0.26947191009444355</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84832</v>
      </c>
      <c r="E67" s="16">
        <f>IF(F3="1",SUMIF(Data!A:A,'49'!$A$2,Data!DY:DY),0)</f>
        <v>271471</v>
      </c>
      <c r="F67" s="21">
        <f>IFERROR(E67/D67,"")</f>
        <v>3.2001013768389286</v>
      </c>
    </row>
    <row r="68" spans="1:6" x14ac:dyDescent="0.2">
      <c r="A68" s="20">
        <v>2</v>
      </c>
      <c r="B68" s="184" t="s">
        <v>1</v>
      </c>
      <c r="C68" s="185"/>
      <c r="D68" s="15">
        <f t="shared" ref="D68:D94" si="4">D37</f>
        <v>30640</v>
      </c>
      <c r="E68" s="18">
        <f>IF(F3="1",SUMIF(Data!A:A,'49'!$A$2,Data!DZ:DZ),0)</f>
        <v>98301</v>
      </c>
      <c r="F68" s="22">
        <f t="shared" ref="F68:F95" si="5">IFERROR(E68/D68,"")</f>
        <v>3.2082571801566582</v>
      </c>
    </row>
    <row r="69" spans="1:6" ht="14.25" customHeight="1" x14ac:dyDescent="0.2">
      <c r="A69" s="20">
        <v>3</v>
      </c>
      <c r="B69" s="184" t="s">
        <v>2</v>
      </c>
      <c r="C69" s="185"/>
      <c r="D69" s="15">
        <f t="shared" si="4"/>
        <v>118640</v>
      </c>
      <c r="E69" s="18">
        <f>IF(F3="1",SUMIF(Data!A:A,'49'!$A$2,Data!EA:EA),0)</f>
        <v>250498</v>
      </c>
      <c r="F69" s="22">
        <f t="shared" si="5"/>
        <v>2.1114126770060686</v>
      </c>
    </row>
    <row r="70" spans="1:6" ht="14.25" customHeight="1" x14ac:dyDescent="0.2">
      <c r="A70" s="20">
        <v>4</v>
      </c>
      <c r="B70" s="184" t="s">
        <v>3</v>
      </c>
      <c r="C70" s="185"/>
      <c r="D70" s="15">
        <f t="shared" si="4"/>
        <v>169353</v>
      </c>
      <c r="E70" s="18">
        <f>IF(F3="1",SUMIF(Data!A:A,'49'!$A$2,Data!EB:EB),0)</f>
        <v>71180</v>
      </c>
      <c r="F70" s="22">
        <f t="shared" si="5"/>
        <v>0.42030551569797997</v>
      </c>
    </row>
    <row r="71" spans="1:6" x14ac:dyDescent="0.2">
      <c r="A71" s="20">
        <v>5</v>
      </c>
      <c r="B71" s="184" t="s">
        <v>4</v>
      </c>
      <c r="C71" s="185"/>
      <c r="D71" s="15">
        <f t="shared" si="4"/>
        <v>0</v>
      </c>
      <c r="E71" s="18">
        <f>IF(F3="1",SUMIF(Data!A:A,'49'!$A$2,Data!EC:EC),0)</f>
        <v>0</v>
      </c>
      <c r="F71" s="22" t="str">
        <f t="shared" si="5"/>
        <v/>
      </c>
    </row>
    <row r="72" spans="1:6" x14ac:dyDescent="0.2">
      <c r="A72" s="20">
        <v>6</v>
      </c>
      <c r="B72" s="184" t="s">
        <v>5</v>
      </c>
      <c r="C72" s="185"/>
      <c r="D72" s="15">
        <f t="shared" si="4"/>
        <v>2632</v>
      </c>
      <c r="E72" s="18">
        <f>IF(F3="1",SUMIF(Data!A:A,'49'!$A$2,Data!ED:ED),0)</f>
        <v>44742</v>
      </c>
      <c r="F72" s="22">
        <f t="shared" si="5"/>
        <v>16.999240121580549</v>
      </c>
    </row>
    <row r="73" spans="1:6" x14ac:dyDescent="0.2">
      <c r="A73" s="20">
        <v>7</v>
      </c>
      <c r="B73" s="184" t="s">
        <v>6</v>
      </c>
      <c r="C73" s="185"/>
      <c r="D73" s="15">
        <f t="shared" si="4"/>
        <v>49806</v>
      </c>
      <c r="E73" s="18">
        <f>IF(F3="1",SUMIF(Data!A:A,'49'!$A$2,Data!EE:EE),0)</f>
        <v>52043</v>
      </c>
      <c r="F73" s="22">
        <f t="shared" si="5"/>
        <v>1.0449142673573466</v>
      </c>
    </row>
    <row r="74" spans="1:6" x14ac:dyDescent="0.2">
      <c r="A74" s="20">
        <v>8</v>
      </c>
      <c r="B74" s="184" t="s">
        <v>7</v>
      </c>
      <c r="C74" s="185"/>
      <c r="D74" s="15">
        <f t="shared" si="4"/>
        <v>264</v>
      </c>
      <c r="E74" s="18">
        <f>IF(F3="1",SUMIF(Data!A:A,'49'!$A$2,Data!EF:EF),0)</f>
        <v>0</v>
      </c>
      <c r="F74" s="22">
        <f t="shared" si="5"/>
        <v>0</v>
      </c>
    </row>
    <row r="75" spans="1:6" x14ac:dyDescent="0.2">
      <c r="A75" s="20">
        <v>9</v>
      </c>
      <c r="B75" s="184" t="s">
        <v>8</v>
      </c>
      <c r="C75" s="185"/>
      <c r="D75" s="15">
        <f t="shared" si="4"/>
        <v>17865</v>
      </c>
      <c r="E75" s="18">
        <f>IF(F3="1",SUMIF(Data!A:A,'49'!$A$2,Data!EG:EG),0)</f>
        <v>53499</v>
      </c>
      <c r="F75" s="22">
        <f t="shared" si="5"/>
        <v>2.994626364399664</v>
      </c>
    </row>
    <row r="76" spans="1:6" x14ac:dyDescent="0.2">
      <c r="A76" s="20">
        <v>10</v>
      </c>
      <c r="B76" s="184" t="s">
        <v>9</v>
      </c>
      <c r="C76" s="185"/>
      <c r="D76" s="15">
        <f t="shared" si="4"/>
        <v>0</v>
      </c>
      <c r="E76" s="18">
        <f>IF(F3="1",SUMIF(Data!A:A,'49'!$A$2,Data!EH:EH),0)</f>
        <v>0</v>
      </c>
      <c r="F76" s="22" t="str">
        <f t="shared" si="5"/>
        <v/>
      </c>
    </row>
    <row r="77" spans="1:6" x14ac:dyDescent="0.2">
      <c r="A77" s="20">
        <v>11</v>
      </c>
      <c r="B77" s="184" t="s">
        <v>10</v>
      </c>
      <c r="C77" s="185"/>
      <c r="D77" s="15">
        <f t="shared" si="4"/>
        <v>10140</v>
      </c>
      <c r="E77" s="18">
        <f>IF(F3="1",SUMIF(Data!A:A,'49'!$A$2,Data!EI:EI),0)</f>
        <v>34968</v>
      </c>
      <c r="F77" s="22">
        <f t="shared" si="5"/>
        <v>3.4485207100591717</v>
      </c>
    </row>
    <row r="78" spans="1:6" ht="14.25" customHeight="1" x14ac:dyDescent="0.2">
      <c r="A78" s="20">
        <v>12</v>
      </c>
      <c r="B78" s="184" t="s">
        <v>11</v>
      </c>
      <c r="C78" s="185"/>
      <c r="D78" s="15">
        <f t="shared" si="4"/>
        <v>121648</v>
      </c>
      <c r="E78" s="18">
        <f>IF(F3="1",SUMIF(Data!A:A,'49'!$A$2,Data!EJ:EJ),0)</f>
        <v>325856</v>
      </c>
      <c r="F78" s="22">
        <f t="shared" si="5"/>
        <v>2.6786794686308038</v>
      </c>
    </row>
    <row r="79" spans="1:6" x14ac:dyDescent="0.2">
      <c r="A79" s="20">
        <v>13</v>
      </c>
      <c r="B79" s="184" t="s">
        <v>12</v>
      </c>
      <c r="C79" s="185"/>
      <c r="D79" s="15">
        <f t="shared" si="4"/>
        <v>22720</v>
      </c>
      <c r="E79" s="18">
        <f>IF(F3="1",SUMIF(Data!A:A,'49'!$A$2,Data!EK:EK),0)</f>
        <v>48753</v>
      </c>
      <c r="F79" s="22">
        <f t="shared" si="5"/>
        <v>2.1458186619718309</v>
      </c>
    </row>
    <row r="80" spans="1:6" ht="14.25" customHeight="1" x14ac:dyDescent="0.2">
      <c r="A80" s="20">
        <v>14</v>
      </c>
      <c r="B80" s="184" t="s">
        <v>469</v>
      </c>
      <c r="C80" s="185"/>
      <c r="D80" s="15">
        <f t="shared" si="4"/>
        <v>0</v>
      </c>
      <c r="E80" s="18">
        <f>IF(F3="1",SUMIF(Data!A:A,'49'!$A$2,Data!EL:EL),0)</f>
        <v>0</v>
      </c>
      <c r="F80" s="22" t="str">
        <f t="shared" si="5"/>
        <v/>
      </c>
    </row>
    <row r="81" spans="1:6" x14ac:dyDescent="0.2">
      <c r="A81" s="20">
        <v>15</v>
      </c>
      <c r="B81" s="184" t="s">
        <v>13</v>
      </c>
      <c r="C81" s="185"/>
      <c r="D81" s="15">
        <f t="shared" si="4"/>
        <v>0</v>
      </c>
      <c r="E81" s="18">
        <f>IF(F3="1",SUMIF(Data!A:A,'49'!$A$2,Data!EM:EM),0)</f>
        <v>0</v>
      </c>
      <c r="F81" s="22" t="str">
        <f t="shared" si="5"/>
        <v/>
      </c>
    </row>
    <row r="82" spans="1:6" x14ac:dyDescent="0.2">
      <c r="A82" s="20">
        <v>16</v>
      </c>
      <c r="B82" s="184" t="s">
        <v>14</v>
      </c>
      <c r="C82" s="185"/>
      <c r="D82" s="15">
        <f t="shared" si="4"/>
        <v>13772</v>
      </c>
      <c r="E82" s="18">
        <f>IF(F3="1",SUMIF(Data!A:A,'49'!$A$2,Data!EN:EN),0)</f>
        <v>11857</v>
      </c>
      <c r="F82" s="22">
        <f t="shared" si="5"/>
        <v>0.86094975312227706</v>
      </c>
    </row>
    <row r="83" spans="1:6" x14ac:dyDescent="0.2">
      <c r="A83" s="20">
        <v>17</v>
      </c>
      <c r="B83" s="184" t="s">
        <v>15</v>
      </c>
      <c r="C83" s="185"/>
      <c r="D83" s="15">
        <f t="shared" si="4"/>
        <v>0</v>
      </c>
      <c r="E83" s="18">
        <f>IF(F3="1",SUMIF(Data!A:A,'49'!$A$2,Data!EO:EO),0)</f>
        <v>0</v>
      </c>
      <c r="F83" s="22" t="str">
        <f t="shared" si="5"/>
        <v/>
      </c>
    </row>
    <row r="84" spans="1:6" x14ac:dyDescent="0.2">
      <c r="A84" s="20">
        <v>18</v>
      </c>
      <c r="B84" s="184" t="s">
        <v>16</v>
      </c>
      <c r="C84" s="185"/>
      <c r="D84" s="15">
        <f t="shared" si="4"/>
        <v>30944</v>
      </c>
      <c r="E84" s="18">
        <f>IF(F3="1",SUMIF(Data!A:A,'49'!$A$2,Data!EP:EP),0)</f>
        <v>121277</v>
      </c>
      <c r="F84" s="22">
        <f t="shared" si="5"/>
        <v>3.9192412099276113</v>
      </c>
    </row>
    <row r="85" spans="1:6" x14ac:dyDescent="0.2">
      <c r="A85" s="20">
        <v>19</v>
      </c>
      <c r="B85" s="184" t="s">
        <v>17</v>
      </c>
      <c r="C85" s="185"/>
      <c r="D85" s="15">
        <f t="shared" si="4"/>
        <v>242864</v>
      </c>
      <c r="E85" s="18">
        <f>IF(F3="1",SUMIF(Data!A:A,'49'!$A$2,Data!EQ:EQ),0)</f>
        <v>406870</v>
      </c>
      <c r="F85" s="22">
        <f t="shared" si="5"/>
        <v>1.6752997562421768</v>
      </c>
    </row>
    <row r="86" spans="1:6" x14ac:dyDescent="0.2">
      <c r="A86" s="20">
        <v>20</v>
      </c>
      <c r="B86" s="184" t="s">
        <v>18</v>
      </c>
      <c r="C86" s="185"/>
      <c r="D86" s="15">
        <f t="shared" si="4"/>
        <v>0</v>
      </c>
      <c r="E86" s="18">
        <f>IF(F3="1",SUMIF(Data!A:A,'49'!$A$2,Data!ER:ER),0)</f>
        <v>0</v>
      </c>
      <c r="F86" s="22" t="str">
        <f t="shared" si="5"/>
        <v/>
      </c>
    </row>
    <row r="87" spans="1:6" ht="14.25" customHeight="1" x14ac:dyDescent="0.2">
      <c r="A87" s="20">
        <v>21</v>
      </c>
      <c r="B87" s="184" t="s">
        <v>466</v>
      </c>
      <c r="C87" s="185"/>
      <c r="D87" s="15">
        <f t="shared" si="4"/>
        <v>32</v>
      </c>
      <c r="E87" s="18">
        <f>IF(F3="1",SUMIF(Data!A:A,'49'!$A$2,Data!ES:ES),0)</f>
        <v>0</v>
      </c>
      <c r="F87" s="22">
        <f t="shared" si="5"/>
        <v>0</v>
      </c>
    </row>
    <row r="88" spans="1:6" x14ac:dyDescent="0.2">
      <c r="A88" s="20">
        <v>22</v>
      </c>
      <c r="B88" s="184" t="s">
        <v>19</v>
      </c>
      <c r="C88" s="185"/>
      <c r="D88" s="15">
        <f t="shared" si="4"/>
        <v>9888</v>
      </c>
      <c r="E88" s="18">
        <f>IF(F3="1",SUMIF(Data!A:A,'49'!$A$2,Data!ET:ET),0)</f>
        <v>48803</v>
      </c>
      <c r="F88" s="22">
        <f t="shared" si="5"/>
        <v>4.9355784789644011</v>
      </c>
    </row>
    <row r="89" spans="1:6" x14ac:dyDescent="0.2">
      <c r="A89" s="20">
        <v>23</v>
      </c>
      <c r="B89" s="184" t="s">
        <v>20</v>
      </c>
      <c r="C89" s="185"/>
      <c r="D89" s="15">
        <f t="shared" si="4"/>
        <v>41568</v>
      </c>
      <c r="E89" s="18">
        <f>IF(F3="1",SUMIF(Data!A:A,'49'!$A$2,Data!EU:EU),0)</f>
        <v>174186</v>
      </c>
      <c r="F89" s="22">
        <f t="shared" si="5"/>
        <v>4.1903868360277139</v>
      </c>
    </row>
    <row r="90" spans="1:6" x14ac:dyDescent="0.2">
      <c r="A90" s="20">
        <v>24</v>
      </c>
      <c r="B90" s="184" t="s">
        <v>21</v>
      </c>
      <c r="C90" s="185"/>
      <c r="D90" s="15">
        <f t="shared" si="4"/>
        <v>121818</v>
      </c>
      <c r="E90" s="18">
        <f>IF(F3="1",SUMIF(Data!A:A,'49'!$A$2,Data!EV:EV),0)</f>
        <v>85925</v>
      </c>
      <c r="F90" s="22">
        <f t="shared" si="5"/>
        <v>0.70535553038138865</v>
      </c>
    </row>
    <row r="91" spans="1:6" x14ac:dyDescent="0.2">
      <c r="A91" s="20">
        <v>25</v>
      </c>
      <c r="B91" s="184" t="s">
        <v>22</v>
      </c>
      <c r="C91" s="185"/>
      <c r="D91" s="15">
        <f t="shared" si="4"/>
        <v>126432</v>
      </c>
      <c r="E91" s="18">
        <f>IF(F3="1",SUMIF(Data!A:A,'49'!$A$2,Data!EW:EW),0)</f>
        <v>390454</v>
      </c>
      <c r="F91" s="22">
        <f t="shared" si="5"/>
        <v>3.0882529739306506</v>
      </c>
    </row>
    <row r="92" spans="1:6" x14ac:dyDescent="0.2">
      <c r="A92" s="20">
        <v>26</v>
      </c>
      <c r="B92" s="184" t="s">
        <v>23</v>
      </c>
      <c r="C92" s="185"/>
      <c r="D92" s="15">
        <f t="shared" si="4"/>
        <v>38436</v>
      </c>
      <c r="E92" s="18">
        <f>IF(F3="1",SUMIF(Data!A:A,'49'!$A$2,Data!EX:EX),0)</f>
        <v>153776</v>
      </c>
      <c r="F92" s="22">
        <f t="shared" si="5"/>
        <v>4.0008325528150692</v>
      </c>
    </row>
    <row r="93" spans="1:6" x14ac:dyDescent="0.2">
      <c r="A93" s="20">
        <v>28</v>
      </c>
      <c r="B93" s="184" t="s">
        <v>24</v>
      </c>
      <c r="C93" s="185"/>
      <c r="D93" s="15">
        <f t="shared" si="4"/>
        <v>0</v>
      </c>
      <c r="E93" s="18">
        <f>IF(F3="1",SUMIF(Data!A:A,'49'!$A$2,Data!EZ:EZ),0)</f>
        <v>0</v>
      </c>
      <c r="F93" s="22" t="str">
        <f t="shared" si="5"/>
        <v/>
      </c>
    </row>
    <row r="94" spans="1:6" ht="15.75" customHeight="1" thickBot="1" x14ac:dyDescent="0.25">
      <c r="A94" s="23">
        <v>29</v>
      </c>
      <c r="B94" s="186" t="s">
        <v>25</v>
      </c>
      <c r="C94" s="187"/>
      <c r="D94" s="24">
        <f t="shared" si="4"/>
        <v>0</v>
      </c>
      <c r="E94" s="25">
        <f>IF(F3="1",SUMIF(Data!A:A,'49'!$A$2,Data!FA:FA),0)</f>
        <v>0</v>
      </c>
      <c r="F94" s="26" t="str">
        <f t="shared" si="5"/>
        <v/>
      </c>
    </row>
    <row r="95" spans="1:6" x14ac:dyDescent="0.2">
      <c r="B95" s="31" t="s">
        <v>35</v>
      </c>
      <c r="C95" s="31"/>
      <c r="D95" s="61">
        <f>SUM(D67:D94)</f>
        <v>1254294</v>
      </c>
      <c r="E95" s="32">
        <f>SUM(E67:E94)</f>
        <v>2644459</v>
      </c>
      <c r="F95" s="33">
        <f t="shared" si="5"/>
        <v>2.1083246830487909</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IF(F3="1",SUMIF(Data!A:A,'49'!$A$2,Data!AH:AH),0)</f>
        <v>2140554</v>
      </c>
      <c r="F98" s="21">
        <f t="shared" ref="F98:F105" si="6">IFERROR(E98/$D$95,0)</f>
        <v>1.706580753794565</v>
      </c>
    </row>
    <row r="99" spans="2:6" x14ac:dyDescent="0.2">
      <c r="B99" s="190" t="s">
        <v>31</v>
      </c>
      <c r="C99" s="191"/>
      <c r="D99" s="37"/>
      <c r="E99" s="18">
        <f>IF(F3="1",SUMIF(Data!A:A,'49'!$A$2,Data!AI:AI),0)</f>
        <v>401906</v>
      </c>
      <c r="F99" s="22">
        <f t="shared" si="6"/>
        <v>0.32042407920312144</v>
      </c>
    </row>
    <row r="100" spans="2:6" x14ac:dyDescent="0.2">
      <c r="B100" s="190" t="s">
        <v>32</v>
      </c>
      <c r="C100" s="191"/>
      <c r="D100" s="37"/>
      <c r="E100" s="18">
        <f>IF(F3="1",SUMIF(Data!A:A,'49'!$A$2,Data!AJ:AJ),0)</f>
        <v>668377</v>
      </c>
      <c r="F100" s="22">
        <f t="shared" si="6"/>
        <v>0.53287108126164995</v>
      </c>
    </row>
    <row r="101" spans="2:6" x14ac:dyDescent="0.2">
      <c r="B101" s="190" t="s">
        <v>28</v>
      </c>
      <c r="C101" s="191"/>
      <c r="D101" s="37"/>
      <c r="E101" s="18">
        <f>IF(F3="1",SUMIF(Data!A:A,'49'!$A$2,Data!AK:AK),0)</f>
        <v>0</v>
      </c>
      <c r="F101" s="22">
        <f t="shared" si="6"/>
        <v>0</v>
      </c>
    </row>
    <row r="102" spans="2:6" x14ac:dyDescent="0.2">
      <c r="B102" s="190" t="s">
        <v>33</v>
      </c>
      <c r="C102" s="191"/>
      <c r="D102" s="37"/>
      <c r="E102" s="18">
        <f>IF(F3="1",SUMIF(Data!A:A,'49'!$A$2,Data!AL:AL),0)</f>
        <v>366978</v>
      </c>
      <c r="F102" s="22">
        <f t="shared" si="6"/>
        <v>0.29257733832737781</v>
      </c>
    </row>
    <row r="103" spans="2:6" x14ac:dyDescent="0.2">
      <c r="B103" s="192" t="s">
        <v>34</v>
      </c>
      <c r="C103" s="193"/>
      <c r="D103" s="37"/>
      <c r="E103" s="18">
        <f>IF(F3="1",SUMIF(Data!A:A,'49'!$A$2,Data!AM:AM),0)</f>
        <v>205107</v>
      </c>
      <c r="F103" s="22">
        <f t="shared" si="6"/>
        <v>0.16352386282641868</v>
      </c>
    </row>
    <row r="104" spans="2:6" ht="15.75" customHeight="1" thickBot="1" x14ac:dyDescent="0.25">
      <c r="B104" s="182" t="s">
        <v>29</v>
      </c>
      <c r="C104" s="183"/>
      <c r="D104" s="38"/>
      <c r="E104" s="25">
        <f>IF(F3="1",SUMIF(Data!A:A,'49'!$A$2,Data!Q:Q),0)</f>
        <v>74872</v>
      </c>
      <c r="F104" s="26">
        <f t="shared" si="6"/>
        <v>5.9692544172259457E-2</v>
      </c>
    </row>
    <row r="105" spans="2:6" x14ac:dyDescent="0.2">
      <c r="B105" s="31" t="s">
        <v>35</v>
      </c>
      <c r="C105" s="31"/>
      <c r="D105" s="35">
        <f>D95</f>
        <v>1254294</v>
      </c>
      <c r="E105" s="32">
        <f>SUM(E98:E104)</f>
        <v>3857794</v>
      </c>
      <c r="F105" s="33">
        <f t="shared" si="6"/>
        <v>3.0756696595853921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2644459</v>
      </c>
      <c r="D109" s="16">
        <f>IF(F3="1",SUMIF(Data!$A:$A,$A$2,Data!HJ:HJ),0)</f>
        <v>0</v>
      </c>
      <c r="E109" s="16">
        <f>IF(F3="1",SUMIF(Data!$A:$A,$A$2,Data!IN:IN),0)</f>
        <v>0</v>
      </c>
      <c r="F109" s="48">
        <f>SUM(C109:E109)</f>
        <v>2644459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366978</v>
      </c>
      <c r="F116" s="49">
        <f t="shared" si="7"/>
        <v>366978</v>
      </c>
    </row>
    <row r="117" spans="1:6" ht="15" thickBot="1" x14ac:dyDescent="0.25">
      <c r="B117" s="44" t="s">
        <v>941</v>
      </c>
      <c r="C117" s="53"/>
      <c r="D117" s="53">
        <f>IF(F3="1",SUMIF(Data!A:A,$A$2,Data!Q:Q),0)</f>
        <v>74872</v>
      </c>
      <c r="E117" s="53"/>
      <c r="F117" s="50">
        <f>SUM(C117:E117)</f>
        <v>74872</v>
      </c>
    </row>
    <row r="118" spans="1:6" x14ac:dyDescent="0.2">
      <c r="B118" s="14" t="s">
        <v>35</v>
      </c>
      <c r="C118" s="5">
        <f>SUM(C109:C116)</f>
        <v>2644459</v>
      </c>
      <c r="D118" s="5">
        <f>SUM(D109:D116)</f>
        <v>0</v>
      </c>
      <c r="E118" s="5">
        <f>SUM(E109:E116)</f>
        <v>366978</v>
      </c>
      <c r="F118" s="5">
        <f>SUM(F109:F116)</f>
        <v>3011437</v>
      </c>
    </row>
    <row r="119" spans="1:6" ht="15" thickBot="1" x14ac:dyDescent="0.25"/>
    <row r="120" spans="1:6" ht="15" thickBot="1" x14ac:dyDescent="0.25">
      <c r="B120" s="57" t="s">
        <v>942</v>
      </c>
      <c r="C120" s="55"/>
      <c r="D120" s="55"/>
      <c r="E120" s="55">
        <f>IF(F3="1",SUMIF(Data!A:A,'49'!$A$2,Data!AM:AM),0)</f>
        <v>205107</v>
      </c>
      <c r="F120" s="56">
        <f>SUM(C120:E120)</f>
        <v>205107</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418</v>
      </c>
      <c r="B2" s="60" t="str">
        <f>VLOOKUP(A2,Data!A:G,7,0)</f>
        <v>Wharton County Junior College</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10704</v>
      </c>
      <c r="E5" s="16">
        <f>E36+E67+IFERROR($E$105/$D$105*D5,0)</f>
        <v>137765.00647011178</v>
      </c>
      <c r="F5" s="21">
        <f>IFERROR(E5/D5,"")</f>
        <v>12.870422876505211</v>
      </c>
    </row>
    <row r="6" spans="1:6" x14ac:dyDescent="0.2">
      <c r="A6" s="20">
        <v>2</v>
      </c>
      <c r="B6" s="184" t="s">
        <v>1</v>
      </c>
      <c r="C6" s="185"/>
      <c r="D6" s="15">
        <f t="shared" ref="D6:D32" si="0">D37</f>
        <v>39499</v>
      </c>
      <c r="E6" s="18">
        <f t="shared" ref="E6:E32" si="1">E37+E68+IFERROR($E$105/$D$105*D6,0)</f>
        <v>424332.23874840676</v>
      </c>
      <c r="F6" s="22">
        <f t="shared" ref="F6:F33" si="2">IFERROR(E6/D6,"")</f>
        <v>10.742860293891155</v>
      </c>
    </row>
    <row r="7" spans="1:6" ht="14.25" customHeight="1" x14ac:dyDescent="0.2">
      <c r="A7" s="20">
        <v>3</v>
      </c>
      <c r="B7" s="184" t="s">
        <v>2</v>
      </c>
      <c r="C7" s="185"/>
      <c r="D7" s="15">
        <f t="shared" si="0"/>
        <v>383792</v>
      </c>
      <c r="E7" s="18">
        <f t="shared" si="1"/>
        <v>3238757.0361712575</v>
      </c>
      <c r="F7" s="22">
        <f t="shared" si="2"/>
        <v>8.4388341501940047</v>
      </c>
    </row>
    <row r="8" spans="1:6" ht="14.25" customHeight="1" x14ac:dyDescent="0.2">
      <c r="A8" s="20">
        <v>4</v>
      </c>
      <c r="B8" s="184" t="s">
        <v>3</v>
      </c>
      <c r="C8" s="185"/>
      <c r="D8" s="15">
        <f t="shared" si="0"/>
        <v>104875</v>
      </c>
      <c r="E8" s="18">
        <f t="shared" si="1"/>
        <v>738497.54732370831</v>
      </c>
      <c r="F8" s="22">
        <f t="shared" si="2"/>
        <v>7.0416929422999601</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1056</v>
      </c>
      <c r="E10" s="18">
        <f t="shared" si="1"/>
        <v>4612.2472750782927</v>
      </c>
      <c r="F10" s="22">
        <f t="shared" si="2"/>
        <v>4.3676584044302018</v>
      </c>
    </row>
    <row r="11" spans="1:6" x14ac:dyDescent="0.2">
      <c r="A11" s="20">
        <v>7</v>
      </c>
      <c r="B11" s="184" t="s">
        <v>6</v>
      </c>
      <c r="C11" s="185"/>
      <c r="D11" s="15">
        <f t="shared" si="0"/>
        <v>75189</v>
      </c>
      <c r="E11" s="18">
        <f t="shared" si="1"/>
        <v>886056.95015706611</v>
      </c>
      <c r="F11" s="22">
        <f t="shared" si="2"/>
        <v>11.784395990863905</v>
      </c>
    </row>
    <row r="12" spans="1:6" x14ac:dyDescent="0.2">
      <c r="A12" s="20">
        <v>8</v>
      </c>
      <c r="B12" s="184" t="s">
        <v>7</v>
      </c>
      <c r="C12" s="185"/>
      <c r="D12" s="15">
        <f t="shared" si="0"/>
        <v>2784</v>
      </c>
      <c r="E12" s="18">
        <f t="shared" si="1"/>
        <v>144312.65190702458</v>
      </c>
      <c r="F12" s="22">
        <f t="shared" si="2"/>
        <v>51.836441058557682</v>
      </c>
    </row>
    <row r="13" spans="1:6" x14ac:dyDescent="0.2">
      <c r="A13" s="20">
        <v>9</v>
      </c>
      <c r="B13" s="184" t="s">
        <v>8</v>
      </c>
      <c r="C13" s="185"/>
      <c r="D13" s="15">
        <f t="shared" si="0"/>
        <v>98874</v>
      </c>
      <c r="E13" s="18">
        <f t="shared" si="1"/>
        <v>934790.34003417729</v>
      </c>
      <c r="F13" s="22">
        <f t="shared" si="2"/>
        <v>9.4543594881786639</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70123</v>
      </c>
      <c r="E15" s="18">
        <f t="shared" si="1"/>
        <v>532051.40972567722</v>
      </c>
      <c r="F15" s="22">
        <f t="shared" si="2"/>
        <v>7.5874022749408496</v>
      </c>
    </row>
    <row r="16" spans="1:6" ht="14.25" customHeight="1" x14ac:dyDescent="0.2">
      <c r="A16" s="20">
        <v>12</v>
      </c>
      <c r="B16" s="184" t="s">
        <v>11</v>
      </c>
      <c r="C16" s="185"/>
      <c r="D16" s="15">
        <f t="shared" si="0"/>
        <v>409896</v>
      </c>
      <c r="E16" s="18">
        <f t="shared" si="1"/>
        <v>3318648.7320695948</v>
      </c>
      <c r="F16" s="22">
        <f t="shared" si="2"/>
        <v>8.0963189005737917</v>
      </c>
    </row>
    <row r="17" spans="1:6" x14ac:dyDescent="0.2">
      <c r="A17" s="20">
        <v>13</v>
      </c>
      <c r="B17" s="184" t="s">
        <v>12</v>
      </c>
      <c r="C17" s="185"/>
      <c r="D17" s="15">
        <f t="shared" si="0"/>
        <v>11096</v>
      </c>
      <c r="E17" s="18">
        <f t="shared" si="1"/>
        <v>106284.5149282848</v>
      </c>
      <c r="F17" s="22">
        <f t="shared" si="2"/>
        <v>9.5786332848129785</v>
      </c>
    </row>
    <row r="18" spans="1:6" ht="14.25" customHeight="1" x14ac:dyDescent="0.2">
      <c r="A18" s="20">
        <v>14</v>
      </c>
      <c r="B18" s="184" t="s">
        <v>469</v>
      </c>
      <c r="C18" s="185"/>
      <c r="D18" s="15">
        <f t="shared" si="0"/>
        <v>53536</v>
      </c>
      <c r="E18" s="18">
        <f t="shared" si="1"/>
        <v>811014.86943048437</v>
      </c>
      <c r="F18" s="22">
        <f t="shared" si="2"/>
        <v>15.148962743396675</v>
      </c>
    </row>
    <row r="19" spans="1:6" x14ac:dyDescent="0.2">
      <c r="A19" s="20">
        <v>15</v>
      </c>
      <c r="B19" s="184" t="s">
        <v>13</v>
      </c>
      <c r="C19" s="185"/>
      <c r="D19" s="15">
        <f t="shared" si="0"/>
        <v>31557</v>
      </c>
      <c r="E19" s="18">
        <f t="shared" si="1"/>
        <v>586535.23320042202</v>
      </c>
      <c r="F19" s="22">
        <f t="shared" si="2"/>
        <v>18.586533358697658</v>
      </c>
    </row>
    <row r="20" spans="1:6" x14ac:dyDescent="0.2">
      <c r="A20" s="20">
        <v>16</v>
      </c>
      <c r="B20" s="184" t="s">
        <v>14</v>
      </c>
      <c r="C20" s="185"/>
      <c r="D20" s="15">
        <f t="shared" si="0"/>
        <v>139165</v>
      </c>
      <c r="E20" s="18">
        <f t="shared" si="1"/>
        <v>1379598.0142388926</v>
      </c>
      <c r="F20" s="22">
        <f t="shared" si="2"/>
        <v>9.9133978675593184</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50304</v>
      </c>
      <c r="E22" s="18">
        <f t="shared" si="1"/>
        <v>519752.77928554779</v>
      </c>
      <c r="F22" s="22">
        <f t="shared" si="2"/>
        <v>10.33223559330367</v>
      </c>
    </row>
    <row r="23" spans="1:6" x14ac:dyDescent="0.2">
      <c r="A23" s="20">
        <v>19</v>
      </c>
      <c r="B23" s="184" t="s">
        <v>17</v>
      </c>
      <c r="C23" s="185"/>
      <c r="D23" s="15">
        <f t="shared" si="0"/>
        <v>238064</v>
      </c>
      <c r="E23" s="18">
        <f t="shared" si="1"/>
        <v>1899318.9122104533</v>
      </c>
      <c r="F23" s="22">
        <f t="shared" si="2"/>
        <v>7.9781861693093177</v>
      </c>
    </row>
    <row r="24" spans="1:6" x14ac:dyDescent="0.2">
      <c r="A24" s="20">
        <v>20</v>
      </c>
      <c r="B24" s="184" t="s">
        <v>18</v>
      </c>
      <c r="C24" s="185"/>
      <c r="D24" s="15">
        <f t="shared" si="0"/>
        <v>14912</v>
      </c>
      <c r="E24" s="18">
        <f t="shared" si="1"/>
        <v>206398.15849049954</v>
      </c>
      <c r="F24" s="22">
        <f t="shared" si="2"/>
        <v>13.841078224953026</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4736</v>
      </c>
      <c r="E26" s="18">
        <f t="shared" si="1"/>
        <v>20685.77565792689</v>
      </c>
      <c r="F26" s="22">
        <f t="shared" si="2"/>
        <v>4.3677735764203733</v>
      </c>
    </row>
    <row r="27" spans="1:6" x14ac:dyDescent="0.2">
      <c r="A27" s="20">
        <v>23</v>
      </c>
      <c r="B27" s="184" t="s">
        <v>20</v>
      </c>
      <c r="C27" s="185"/>
      <c r="D27" s="15">
        <f t="shared" si="0"/>
        <v>43872</v>
      </c>
      <c r="E27" s="18">
        <f t="shared" si="1"/>
        <v>425967.27315552544</v>
      </c>
      <c r="F27" s="22">
        <f t="shared" si="2"/>
        <v>9.7093196835231002</v>
      </c>
    </row>
    <row r="28" spans="1:6" x14ac:dyDescent="0.2">
      <c r="A28" s="20">
        <v>24</v>
      </c>
      <c r="B28" s="184" t="s">
        <v>21</v>
      </c>
      <c r="C28" s="185"/>
      <c r="D28" s="15">
        <f t="shared" si="0"/>
        <v>73382</v>
      </c>
      <c r="E28" s="18">
        <f t="shared" si="1"/>
        <v>968923.66244298802</v>
      </c>
      <c r="F28" s="22">
        <f t="shared" si="2"/>
        <v>13.203832853328992</v>
      </c>
    </row>
    <row r="29" spans="1:6" x14ac:dyDescent="0.2">
      <c r="A29" s="20">
        <v>25</v>
      </c>
      <c r="B29" s="184" t="s">
        <v>22</v>
      </c>
      <c r="C29" s="185"/>
      <c r="D29" s="15">
        <f t="shared" si="0"/>
        <v>541728</v>
      </c>
      <c r="E29" s="18">
        <f t="shared" si="1"/>
        <v>3935100.8521151645</v>
      </c>
      <c r="F29" s="22">
        <f t="shared" si="2"/>
        <v>7.2639790671982336</v>
      </c>
    </row>
    <row r="30" spans="1:6" x14ac:dyDescent="0.2">
      <c r="A30" s="20">
        <v>26</v>
      </c>
      <c r="B30" s="184" t="s">
        <v>23</v>
      </c>
      <c r="C30" s="185"/>
      <c r="D30" s="15">
        <f t="shared" si="0"/>
        <v>97258</v>
      </c>
      <c r="E30" s="18">
        <f t="shared" si="1"/>
        <v>904854.79496170895</v>
      </c>
      <c r="F30" s="22">
        <f t="shared" si="2"/>
        <v>9.3036541463088795</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2496402</v>
      </c>
      <c r="E33" s="32">
        <f>SUM(E5:E32)</f>
        <v>22124259.000000004</v>
      </c>
      <c r="F33" s="33">
        <f t="shared" si="2"/>
        <v>8.8624584502015313</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IF(F3="1",SUMIF(Data!A:A,'50'!$A$2,Data!CU:CU),0)</f>
        <v>10704</v>
      </c>
      <c r="E36" s="16">
        <f>IF(F3="1",SUMIF(Data!$A:$A,'50'!$A$2,Data!IO:IO),0)</f>
        <v>11273</v>
      </c>
      <c r="F36" s="21">
        <f t="shared" ref="F36:F64" si="3">IFERROR(E36/D36,"")</f>
        <v>1.0531576980568012</v>
      </c>
    </row>
    <row r="37" spans="1:6" x14ac:dyDescent="0.2">
      <c r="A37" s="20">
        <v>2</v>
      </c>
      <c r="B37" s="184" t="s">
        <v>1</v>
      </c>
      <c r="C37" s="185"/>
      <c r="D37" s="15">
        <f>IF(F3="1",SUMIF(Data!A:A,'50'!$A$2,Data!CV:CV),0)</f>
        <v>39499</v>
      </c>
      <c r="E37" s="18">
        <f>IF(F3="1",SUMIF(Data!$A:$A,'50'!$A$2,Data!IP:IP),0)</f>
        <v>77084</v>
      </c>
      <c r="F37" s="22">
        <f t="shared" si="3"/>
        <v>1.9515430770399251</v>
      </c>
    </row>
    <row r="38" spans="1:6" ht="14.25" customHeight="1" x14ac:dyDescent="0.2">
      <c r="A38" s="20">
        <v>3</v>
      </c>
      <c r="B38" s="184" t="s">
        <v>2</v>
      </c>
      <c r="C38" s="185"/>
      <c r="D38" s="15">
        <f>IF(F3="1",SUMIF(Data!A:A,'50'!$A$2,Data!CW:CW),0)</f>
        <v>383792</v>
      </c>
      <c r="E38" s="18">
        <f>IF(F3="1",SUMIF(Data!$A:$A,'50'!$A$2,Data!IQ:IQ),0)</f>
        <v>260544</v>
      </c>
      <c r="F38" s="22">
        <f t="shared" si="3"/>
        <v>0.67886772001500817</v>
      </c>
    </row>
    <row r="39" spans="1:6" ht="14.25" customHeight="1" x14ac:dyDescent="0.2">
      <c r="A39" s="20">
        <v>4</v>
      </c>
      <c r="B39" s="184" t="s">
        <v>3</v>
      </c>
      <c r="C39" s="185"/>
      <c r="D39" s="15">
        <f>IF(F3="1",SUMIF(Data!A:A,'50'!$A$2,Data!CX:CX),0)</f>
        <v>104875</v>
      </c>
      <c r="E39" s="18">
        <f>IF(F3="1",SUMIF(Data!$A:$A,'50'!$A$2,Data!IR:IR),0)</f>
        <v>45279</v>
      </c>
      <c r="F39" s="22">
        <f t="shared" si="3"/>
        <v>0.43174255065554229</v>
      </c>
    </row>
    <row r="40" spans="1:6" x14ac:dyDescent="0.2">
      <c r="A40" s="20">
        <v>5</v>
      </c>
      <c r="B40" s="184" t="s">
        <v>4</v>
      </c>
      <c r="C40" s="185"/>
      <c r="D40" s="15">
        <f>IF(F3="1",SUMIF(Data!A:A,'50'!$A$2,Data!CY:CY),0)</f>
        <v>0</v>
      </c>
      <c r="E40" s="18">
        <f>IF(F3="1",SUMIF(Data!$A:$A,'50'!$A$2,Data!IS:IS),0)</f>
        <v>0</v>
      </c>
      <c r="F40" s="22" t="str">
        <f t="shared" si="3"/>
        <v/>
      </c>
    </row>
    <row r="41" spans="1:6" x14ac:dyDescent="0.2">
      <c r="A41" s="20">
        <v>6</v>
      </c>
      <c r="B41" s="184" t="s">
        <v>5</v>
      </c>
      <c r="C41" s="185"/>
      <c r="D41" s="15">
        <f>IF(F3="1",SUMIF(Data!A:A,'50'!$A$2,Data!CZ:CZ),0)</f>
        <v>1056</v>
      </c>
      <c r="E41" s="18">
        <f>IF(F3="1",SUMIF(Data!$A:$A,'50'!$A$2,Data!IT:IT),0)</f>
        <v>50</v>
      </c>
      <c r="F41" s="22">
        <f t="shared" si="3"/>
        <v>4.7348484848484848E-2</v>
      </c>
    </row>
    <row r="42" spans="1:6" x14ac:dyDescent="0.2">
      <c r="A42" s="20">
        <v>7</v>
      </c>
      <c r="B42" s="184" t="s">
        <v>6</v>
      </c>
      <c r="C42" s="185"/>
      <c r="D42" s="15">
        <f>IF(F3="1",SUMIF(Data!A:A,'50'!$A$2,Data!DA:DA),0)</f>
        <v>75189</v>
      </c>
      <c r="E42" s="18">
        <f>IF(F3="1",SUMIF(Data!$A:$A,'50'!$A$2,Data!IU:IU),0)</f>
        <v>122935</v>
      </c>
      <c r="F42" s="22">
        <f t="shared" si="3"/>
        <v>1.6350131003205257</v>
      </c>
    </row>
    <row r="43" spans="1:6" x14ac:dyDescent="0.2">
      <c r="A43" s="20">
        <v>8</v>
      </c>
      <c r="B43" s="184" t="s">
        <v>7</v>
      </c>
      <c r="C43" s="185"/>
      <c r="D43" s="15">
        <f>IF(F3="1",SUMIF(Data!A:A,'50'!$A$2,Data!DB:DB),0)</f>
        <v>2784</v>
      </c>
      <c r="E43" s="18">
        <f>IF(F3="1",SUMIF(Data!$A:$A,'50'!$A$2,Data!IV:IV),0)</f>
        <v>35217</v>
      </c>
      <c r="F43" s="22">
        <f t="shared" si="3"/>
        <v>12.649784482758621</v>
      </c>
    </row>
    <row r="44" spans="1:6" x14ac:dyDescent="0.2">
      <c r="A44" s="20">
        <v>9</v>
      </c>
      <c r="B44" s="184" t="s">
        <v>8</v>
      </c>
      <c r="C44" s="185"/>
      <c r="D44" s="15">
        <f>IF(F3="1",SUMIF(Data!A:A,'50'!$A$2,Data!DC:DC),0)</f>
        <v>98874</v>
      </c>
      <c r="E44" s="18">
        <f>IF(F3="1",SUMIF(Data!$A:$A,'50'!$A$2,Data!IW:IW),0)</f>
        <v>87656</v>
      </c>
      <c r="F44" s="22">
        <f t="shared" si="3"/>
        <v>0.88654246819184013</v>
      </c>
    </row>
    <row r="45" spans="1:6" x14ac:dyDescent="0.2">
      <c r="A45" s="20">
        <v>10</v>
      </c>
      <c r="B45" s="184" t="s">
        <v>9</v>
      </c>
      <c r="C45" s="185"/>
      <c r="D45" s="15">
        <f>IF(F3="1",SUMIF(Data!A:A,'50'!$A$2,Data!DD:DD),0)</f>
        <v>0</v>
      </c>
      <c r="E45" s="18">
        <f>IF(F3="1",SUMIF(Data!$A:$A,'50'!$A$2,Data!IX:IX),0)</f>
        <v>0</v>
      </c>
      <c r="F45" s="22" t="str">
        <f t="shared" si="3"/>
        <v/>
      </c>
    </row>
    <row r="46" spans="1:6" x14ac:dyDescent="0.2">
      <c r="A46" s="20">
        <v>11</v>
      </c>
      <c r="B46" s="184" t="s">
        <v>10</v>
      </c>
      <c r="C46" s="185"/>
      <c r="D46" s="15">
        <f>IF(F3="1",SUMIF(Data!A:A,'50'!$A$2,Data!DE:DE),0)</f>
        <v>70123</v>
      </c>
      <c r="E46" s="18">
        <f>IF(F3="1",SUMIF(Data!$A:$A,'50'!$A$2,Data!IY:IY),0)</f>
        <v>55182</v>
      </c>
      <c r="F46" s="22">
        <f t="shared" si="3"/>
        <v>0.78693153458922183</v>
      </c>
    </row>
    <row r="47" spans="1:6" ht="14.25" customHeight="1" x14ac:dyDescent="0.2">
      <c r="A47" s="20">
        <v>12</v>
      </c>
      <c r="B47" s="184" t="s">
        <v>11</v>
      </c>
      <c r="C47" s="185"/>
      <c r="D47" s="15">
        <f>IF(F3="1",SUMIF(Data!A:A,'50'!$A$2,Data!DF:DF),0)</f>
        <v>409896</v>
      </c>
      <c r="E47" s="18">
        <f>IF(F3="1",SUMIF(Data!$A:$A,'50'!$A$2,Data!IZ:IZ),0)</f>
        <v>211130</v>
      </c>
      <c r="F47" s="22">
        <f t="shared" si="3"/>
        <v>0.51508187442668385</v>
      </c>
    </row>
    <row r="48" spans="1:6" x14ac:dyDescent="0.2">
      <c r="A48" s="20">
        <v>13</v>
      </c>
      <c r="B48" s="184" t="s">
        <v>12</v>
      </c>
      <c r="C48" s="185"/>
      <c r="D48" s="15">
        <f>IF(F3="1",SUMIF(Data!A:A,'50'!$A$2,Data!DG:DG),0)</f>
        <v>11096</v>
      </c>
      <c r="E48" s="18">
        <f>IF(F3="1",SUMIF(Data!$A:$A,'50'!$A$2,Data!JA:JA),0)</f>
        <v>7794</v>
      </c>
      <c r="F48" s="22">
        <f t="shared" si="3"/>
        <v>0.70241528478731075</v>
      </c>
    </row>
    <row r="49" spans="1:6" ht="14.25" customHeight="1" x14ac:dyDescent="0.2">
      <c r="A49" s="20">
        <v>14</v>
      </c>
      <c r="B49" s="184" t="s">
        <v>469</v>
      </c>
      <c r="C49" s="185"/>
      <c r="D49" s="15">
        <f>IF(F3="1",SUMIF(Data!A:A,'50'!$A$2,Data!DH:DH),0)</f>
        <v>53536</v>
      </c>
      <c r="E49" s="18">
        <f>IF(F3="1",SUMIF(Data!$A:$A,'50'!$A$2,Data!JB:JB),0)</f>
        <v>99849</v>
      </c>
      <c r="F49" s="22">
        <f t="shared" si="3"/>
        <v>1.8650814405260012</v>
      </c>
    </row>
    <row r="50" spans="1:6" x14ac:dyDescent="0.2">
      <c r="A50" s="20">
        <v>15</v>
      </c>
      <c r="B50" s="184" t="s">
        <v>13</v>
      </c>
      <c r="C50" s="185"/>
      <c r="D50" s="15">
        <f>IF(F3="1",SUMIF(Data!A:A,'50'!$A$2,Data!DI:DI),0)</f>
        <v>31557</v>
      </c>
      <c r="E50" s="18">
        <f>IF(F3="1",SUMIF(Data!$A:$A,'50'!$A$2,Data!JC:JC),0)</f>
        <v>87449</v>
      </c>
      <c r="F50" s="22">
        <f t="shared" si="3"/>
        <v>2.7711442786069651</v>
      </c>
    </row>
    <row r="51" spans="1:6" x14ac:dyDescent="0.2">
      <c r="A51" s="20">
        <v>16</v>
      </c>
      <c r="B51" s="184" t="s">
        <v>14</v>
      </c>
      <c r="C51" s="185"/>
      <c r="D51" s="15">
        <f>IF(F3="1",SUMIF(Data!A:A,'50'!$A$2,Data!DJ:DJ),0)</f>
        <v>139165</v>
      </c>
      <c r="E51" s="18">
        <f>IF(F3="1",SUMIF(Data!$A:$A,'50'!$A$2,Data!JD:JD),0)</f>
        <v>166613</v>
      </c>
      <c r="F51" s="22">
        <f t="shared" si="3"/>
        <v>1.1972334998023928</v>
      </c>
    </row>
    <row r="52" spans="1:6" x14ac:dyDescent="0.2">
      <c r="A52" s="20">
        <v>17</v>
      </c>
      <c r="B52" s="184" t="s">
        <v>15</v>
      </c>
      <c r="C52" s="185"/>
      <c r="D52" s="15">
        <f>IF(F3="1",SUMIF(Data!A:A,'50'!$A$2,Data!DK:DK),0)</f>
        <v>0</v>
      </c>
      <c r="E52" s="18">
        <f>IF(F3="1",SUMIF(Data!$A:$A,'50'!$A$2,Data!JE:JE),0)</f>
        <v>0</v>
      </c>
      <c r="F52" s="22" t="str">
        <f t="shared" si="3"/>
        <v/>
      </c>
    </row>
    <row r="53" spans="1:6" x14ac:dyDescent="0.2">
      <c r="A53" s="20">
        <v>18</v>
      </c>
      <c r="B53" s="184" t="s">
        <v>16</v>
      </c>
      <c r="C53" s="185"/>
      <c r="D53" s="15">
        <f>IF(F3="1",SUMIF(Data!A:A,'50'!$A$2,Data!DL:DL),0)</f>
        <v>50304</v>
      </c>
      <c r="E53" s="18">
        <f>IF(F3="1",SUMIF(Data!$A:$A,'50'!$A$2,Data!JF:JF),0)</f>
        <v>45643</v>
      </c>
      <c r="F53" s="22">
        <f t="shared" si="3"/>
        <v>0.9073433524173028</v>
      </c>
    </row>
    <row r="54" spans="1:6" x14ac:dyDescent="0.2">
      <c r="A54" s="20">
        <v>19</v>
      </c>
      <c r="B54" s="184" t="s">
        <v>17</v>
      </c>
      <c r="C54" s="185"/>
      <c r="D54" s="15">
        <f>IF(F3="1",SUMIF(Data!A:A,'50'!$A$2,Data!DM:DM),0)</f>
        <v>238064</v>
      </c>
      <c r="E54" s="18">
        <f>IF(F3="1",SUMIF(Data!$A:$A,'50'!$A$2,Data!JG:JG),0)</f>
        <v>109326</v>
      </c>
      <c r="F54" s="22">
        <f t="shared" si="3"/>
        <v>0.45922945090395861</v>
      </c>
    </row>
    <row r="55" spans="1:6" x14ac:dyDescent="0.2">
      <c r="A55" s="20">
        <v>20</v>
      </c>
      <c r="B55" s="184" t="s">
        <v>18</v>
      </c>
      <c r="C55" s="185"/>
      <c r="D55" s="15">
        <f>IF(F3="1",SUMIF(Data!A:A,'50'!$A$2,Data!DN:DN),0)</f>
        <v>14912</v>
      </c>
      <c r="E55" s="18">
        <f>IF(F3="1",SUMIF(Data!$A:$A,'50'!$A$2,Data!JH:JH),0)</f>
        <v>30322</v>
      </c>
      <c r="F55" s="22">
        <f t="shared" si="3"/>
        <v>2.0333959227467813</v>
      </c>
    </row>
    <row r="56" spans="1:6" ht="14.25" customHeight="1" x14ac:dyDescent="0.2">
      <c r="A56" s="20">
        <v>21</v>
      </c>
      <c r="B56" s="184" t="s">
        <v>466</v>
      </c>
      <c r="C56" s="185"/>
      <c r="D56" s="15">
        <f>IF(F3="1",SUMIF(Data!A:A,'50'!$A$2,Data!DO:DO),0)</f>
        <v>0</v>
      </c>
      <c r="E56" s="18">
        <f>IF(F3="1",SUMIF(Data!$A:$A,'50'!$A$2,Data!JI:JI),0)</f>
        <v>0</v>
      </c>
      <c r="F56" s="22" t="str">
        <f t="shared" si="3"/>
        <v/>
      </c>
    </row>
    <row r="57" spans="1:6" x14ac:dyDescent="0.2">
      <c r="A57" s="20">
        <v>22</v>
      </c>
      <c r="B57" s="184" t="s">
        <v>19</v>
      </c>
      <c r="C57" s="185"/>
      <c r="D57" s="15">
        <f>IF(F3="1",SUMIF(Data!A:A,'50'!$A$2,Data!DP:DP),0)</f>
        <v>4736</v>
      </c>
      <c r="E57" s="18">
        <f>IF(F3="1",SUMIF(Data!$A:$A,'50'!$A$2,Data!JJ:JJ),0)</f>
        <v>224</v>
      </c>
      <c r="F57" s="22">
        <f t="shared" si="3"/>
        <v>4.72972972972973E-2</v>
      </c>
    </row>
    <row r="58" spans="1:6" x14ac:dyDescent="0.2">
      <c r="A58" s="20">
        <v>23</v>
      </c>
      <c r="B58" s="184" t="s">
        <v>20</v>
      </c>
      <c r="C58" s="185"/>
      <c r="D58" s="15">
        <f>IF(F3="1",SUMIF(Data!A:A,'50'!$A$2,Data!DQ:DQ),0)</f>
        <v>43872</v>
      </c>
      <c r="E58" s="18">
        <f>IF(F3="1",SUMIF(Data!$A:$A,'50'!$A$2,Data!JK:JK),0)</f>
        <v>52491</v>
      </c>
      <c r="F58" s="22">
        <f t="shared" si="3"/>
        <v>1.1964578774617067</v>
      </c>
    </row>
    <row r="59" spans="1:6" x14ac:dyDescent="0.2">
      <c r="A59" s="20">
        <v>24</v>
      </c>
      <c r="B59" s="184" t="s">
        <v>21</v>
      </c>
      <c r="C59" s="185"/>
      <c r="D59" s="15">
        <f>IF(F3="1",SUMIF(Data!A:A,'50'!$A$2,Data!DR:DR),0)</f>
        <v>73382</v>
      </c>
      <c r="E59" s="18">
        <f>IF(F3="1",SUMIF(Data!$A:$A,'50'!$A$2,Data!JL:JL),0)</f>
        <v>165276</v>
      </c>
      <c r="F59" s="22">
        <f t="shared" si="3"/>
        <v>2.2522689487885312</v>
      </c>
    </row>
    <row r="60" spans="1:6" x14ac:dyDescent="0.2">
      <c r="A60" s="20">
        <v>25</v>
      </c>
      <c r="B60" s="184" t="s">
        <v>22</v>
      </c>
      <c r="C60" s="185"/>
      <c r="D60" s="15">
        <f>IF(F3="1",SUMIF(Data!A:A,'50'!$A$2,Data!DS:DS),0)</f>
        <v>541728</v>
      </c>
      <c r="E60" s="18">
        <f>IF(F3="1",SUMIF(Data!$A:$A,'50'!$A$2,Data!JM:JM),0)</f>
        <v>226840</v>
      </c>
      <c r="F60" s="22">
        <f t="shared" si="3"/>
        <v>0.41873412487447575</v>
      </c>
    </row>
    <row r="61" spans="1:6" x14ac:dyDescent="0.2">
      <c r="A61" s="20">
        <v>26</v>
      </c>
      <c r="B61" s="184" t="s">
        <v>23</v>
      </c>
      <c r="C61" s="185"/>
      <c r="D61" s="15">
        <f>IF(F3="1",SUMIF(Data!A:A,'50'!$A$2,Data!DT:DT),0)</f>
        <v>97258</v>
      </c>
      <c r="E61" s="18">
        <f>IF(F3="1",SUMIF(Data!$A:$A,'50'!$A$2,Data!JN:JN),0)</f>
        <v>94703</v>
      </c>
      <c r="F61" s="22">
        <f t="shared" si="3"/>
        <v>0.97372966748236645</v>
      </c>
    </row>
    <row r="62" spans="1:6" x14ac:dyDescent="0.2">
      <c r="A62" s="20">
        <v>28</v>
      </c>
      <c r="B62" s="184" t="s">
        <v>24</v>
      </c>
      <c r="C62" s="185"/>
      <c r="D62" s="15">
        <f>IF(F3="1",SUMIF(Data!A:A,'50'!$A$2,Data!DV:DV),0)</f>
        <v>0</v>
      </c>
      <c r="E62" s="18">
        <f>IF(F3="1",SUMIF(Data!$A:$A,'50'!$A$2,Data!JP:JP),0)</f>
        <v>0</v>
      </c>
      <c r="F62" s="22" t="str">
        <f t="shared" si="3"/>
        <v/>
      </c>
    </row>
    <row r="63" spans="1:6" ht="15.75" customHeight="1" thickBot="1" x14ac:dyDescent="0.25">
      <c r="A63" s="23">
        <v>29</v>
      </c>
      <c r="B63" s="186" t="s">
        <v>25</v>
      </c>
      <c r="C63" s="187"/>
      <c r="D63" s="24">
        <f>IF(F3="1",SUMIF(Data!A:A,'50'!$A$2,Data!DW:DW),0)</f>
        <v>0</v>
      </c>
      <c r="E63" s="25">
        <f>IF(F3="1",SUMIF(Data!$A:$A,'50'!$A$2,Data!JQ:JQ),0)</f>
        <v>0</v>
      </c>
      <c r="F63" s="26" t="str">
        <f t="shared" si="3"/>
        <v/>
      </c>
    </row>
    <row r="64" spans="1:6" x14ac:dyDescent="0.2">
      <c r="B64" s="31" t="s">
        <v>35</v>
      </c>
      <c r="C64" s="31"/>
      <c r="D64" s="61">
        <f>SUM(D36:D63)</f>
        <v>2496402</v>
      </c>
      <c r="E64" s="32">
        <f>SUM(E36:E63)</f>
        <v>1992880</v>
      </c>
      <c r="F64" s="33">
        <f t="shared" si="3"/>
        <v>0.7983009146764023</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10704</v>
      </c>
      <c r="E67" s="16">
        <f>IF(F3="1",SUMIF(Data!A:A,'50'!$A$2,Data!DY:DY),0)</f>
        <v>80440</v>
      </c>
      <c r="F67" s="21">
        <f>IFERROR(E67/D67,"")</f>
        <v>7.514947683109118</v>
      </c>
    </row>
    <row r="68" spans="1:6" x14ac:dyDescent="0.2">
      <c r="A68" s="20">
        <v>2</v>
      </c>
      <c r="B68" s="184" t="s">
        <v>1</v>
      </c>
      <c r="C68" s="185"/>
      <c r="D68" s="15">
        <f t="shared" ref="D68:D94" si="4">D37</f>
        <v>39499</v>
      </c>
      <c r="E68" s="18">
        <f>IF(F3="1",SUMIF(Data!A:A,'50'!$A$2,Data!DZ:DZ),0)</f>
        <v>177311</v>
      </c>
      <c r="F68" s="22">
        <f t="shared" ref="F68:F95" si="5">IFERROR(E68/D68,"")</f>
        <v>4.488999721511937</v>
      </c>
    </row>
    <row r="69" spans="1:6" ht="14.25" customHeight="1" x14ac:dyDescent="0.2">
      <c r="A69" s="20">
        <v>3</v>
      </c>
      <c r="B69" s="184" t="s">
        <v>2</v>
      </c>
      <c r="C69" s="185"/>
      <c r="D69" s="15">
        <f t="shared" si="4"/>
        <v>383792</v>
      </c>
      <c r="E69" s="18">
        <f>IF(F3="1",SUMIF(Data!A:A,'50'!$A$2,Data!EA:EA),0)</f>
        <v>1327018</v>
      </c>
      <c r="F69" s="22">
        <f t="shared" si="5"/>
        <v>3.457648934839705</v>
      </c>
    </row>
    <row r="70" spans="1:6" ht="14.25" customHeight="1" x14ac:dyDescent="0.2">
      <c r="A70" s="20">
        <v>4</v>
      </c>
      <c r="B70" s="184" t="s">
        <v>3</v>
      </c>
      <c r="C70" s="185"/>
      <c r="D70" s="15">
        <f t="shared" si="4"/>
        <v>104875</v>
      </c>
      <c r="E70" s="18">
        <f>IF(F3="1",SUMIF(Data!A:A,'50'!$A$2,Data!EB:EB),0)</f>
        <v>242013</v>
      </c>
      <c r="F70" s="22">
        <f t="shared" si="5"/>
        <v>2.3076328963051251</v>
      </c>
    </row>
    <row r="71" spans="1:6" x14ac:dyDescent="0.2">
      <c r="A71" s="20">
        <v>5</v>
      </c>
      <c r="B71" s="184" t="s">
        <v>4</v>
      </c>
      <c r="C71" s="185"/>
      <c r="D71" s="15">
        <f t="shared" si="4"/>
        <v>0</v>
      </c>
      <c r="E71" s="18">
        <f>IF(F3="1",SUMIF(Data!A:A,'50'!$A$2,Data!EC:EC),0)</f>
        <v>0</v>
      </c>
      <c r="F71" s="22" t="str">
        <f t="shared" si="5"/>
        <v/>
      </c>
    </row>
    <row r="72" spans="1:6" x14ac:dyDescent="0.2">
      <c r="A72" s="20">
        <v>6</v>
      </c>
      <c r="B72" s="184" t="s">
        <v>5</v>
      </c>
      <c r="C72" s="185"/>
      <c r="D72" s="15">
        <f t="shared" si="4"/>
        <v>1056</v>
      </c>
      <c r="E72" s="18">
        <f>IF(F3="1",SUMIF(Data!A:A,'50'!$A$2,Data!ED:ED),0)</f>
        <v>19</v>
      </c>
      <c r="F72" s="22">
        <f t="shared" si="5"/>
        <v>1.7992424242424244E-2</v>
      </c>
    </row>
    <row r="73" spans="1:6" x14ac:dyDescent="0.2">
      <c r="A73" s="20">
        <v>7</v>
      </c>
      <c r="B73" s="184" t="s">
        <v>6</v>
      </c>
      <c r="C73" s="185"/>
      <c r="D73" s="15">
        <f t="shared" si="4"/>
        <v>75189</v>
      </c>
      <c r="E73" s="18">
        <f>IF(F3="1",SUMIF(Data!A:A,'50'!$A$2,Data!EE:EE),0)</f>
        <v>439635</v>
      </c>
      <c r="F73" s="22">
        <f t="shared" si="5"/>
        <v>5.8470653952040861</v>
      </c>
    </row>
    <row r="74" spans="1:6" x14ac:dyDescent="0.2">
      <c r="A74" s="20">
        <v>8</v>
      </c>
      <c r="B74" s="184" t="s">
        <v>7</v>
      </c>
      <c r="C74" s="185"/>
      <c r="D74" s="15">
        <f t="shared" si="4"/>
        <v>2784</v>
      </c>
      <c r="E74" s="18">
        <f>IF(F3="1",SUMIF(Data!A:A,'50'!$A$2,Data!EF:EF),0)</f>
        <v>97118</v>
      </c>
      <c r="F74" s="22">
        <f t="shared" si="5"/>
        <v>34.884339080459768</v>
      </c>
    </row>
    <row r="75" spans="1:6" x14ac:dyDescent="0.2">
      <c r="A75" s="20">
        <v>9</v>
      </c>
      <c r="B75" s="184" t="s">
        <v>8</v>
      </c>
      <c r="C75" s="185"/>
      <c r="D75" s="15">
        <f t="shared" si="4"/>
        <v>98874</v>
      </c>
      <c r="E75" s="18">
        <f>IF(F3="1",SUMIF(Data!A:A,'50'!$A$2,Data!EG:EG),0)</f>
        <v>421747</v>
      </c>
      <c r="F75" s="22">
        <f t="shared" si="5"/>
        <v>4.2654995246475309</v>
      </c>
    </row>
    <row r="76" spans="1:6" x14ac:dyDescent="0.2">
      <c r="A76" s="20">
        <v>10</v>
      </c>
      <c r="B76" s="184" t="s">
        <v>9</v>
      </c>
      <c r="C76" s="185"/>
      <c r="D76" s="15">
        <f t="shared" si="4"/>
        <v>0</v>
      </c>
      <c r="E76" s="18">
        <f>IF(F3="1",SUMIF(Data!A:A,'50'!$A$2,Data!EH:EH),0)</f>
        <v>0</v>
      </c>
      <c r="F76" s="22" t="str">
        <f t="shared" si="5"/>
        <v/>
      </c>
    </row>
    <row r="77" spans="1:6" x14ac:dyDescent="0.2">
      <c r="A77" s="20">
        <v>11</v>
      </c>
      <c r="B77" s="184" t="s">
        <v>10</v>
      </c>
      <c r="C77" s="185"/>
      <c r="D77" s="15">
        <f t="shared" si="4"/>
        <v>70123</v>
      </c>
      <c r="E77" s="18">
        <f>IF(F3="1",SUMIF(Data!A:A,'50'!$A$2,Data!EI:EI),0)</f>
        <v>175178</v>
      </c>
      <c r="F77" s="22">
        <f t="shared" si="5"/>
        <v>2.4981532450123356</v>
      </c>
    </row>
    <row r="78" spans="1:6" ht="14.25" customHeight="1" x14ac:dyDescent="0.2">
      <c r="A78" s="20">
        <v>12</v>
      </c>
      <c r="B78" s="184" t="s">
        <v>11</v>
      </c>
      <c r="C78" s="185"/>
      <c r="D78" s="15">
        <f t="shared" si="4"/>
        <v>409896</v>
      </c>
      <c r="E78" s="18">
        <f>IF(F3="1",SUMIF(Data!A:A,'50'!$A$2,Data!EJ:EJ),0)</f>
        <v>1344016</v>
      </c>
      <c r="F78" s="22">
        <f t="shared" si="5"/>
        <v>3.2789195308078147</v>
      </c>
    </row>
    <row r="79" spans="1:6" x14ac:dyDescent="0.2">
      <c r="A79" s="20">
        <v>13</v>
      </c>
      <c r="B79" s="184" t="s">
        <v>12</v>
      </c>
      <c r="C79" s="185"/>
      <c r="D79" s="15">
        <f t="shared" si="4"/>
        <v>11096</v>
      </c>
      <c r="E79" s="18">
        <f>IF(F3="1",SUMIF(Data!A:A,'50'!$A$2,Data!EK:EK),0)</f>
        <v>50752</v>
      </c>
      <c r="F79" s="22">
        <f t="shared" si="5"/>
        <v>4.5739005046863737</v>
      </c>
    </row>
    <row r="80" spans="1:6" ht="14.25" customHeight="1" x14ac:dyDescent="0.2">
      <c r="A80" s="20">
        <v>14</v>
      </c>
      <c r="B80" s="184" t="s">
        <v>469</v>
      </c>
      <c r="C80" s="185"/>
      <c r="D80" s="15">
        <f t="shared" si="4"/>
        <v>53536</v>
      </c>
      <c r="E80" s="18">
        <f>IF(F3="1",SUMIF(Data!A:A,'50'!$A$2,Data!EL:EL),0)</f>
        <v>480837</v>
      </c>
      <c r="F80" s="22">
        <f t="shared" si="5"/>
        <v>8.98156380753138</v>
      </c>
    </row>
    <row r="81" spans="1:6" x14ac:dyDescent="0.2">
      <c r="A81" s="20">
        <v>15</v>
      </c>
      <c r="B81" s="184" t="s">
        <v>13</v>
      </c>
      <c r="C81" s="185"/>
      <c r="D81" s="15">
        <f t="shared" si="4"/>
        <v>31557</v>
      </c>
      <c r="E81" s="18">
        <f>IF(F3="1",SUMIF(Data!A:A,'50'!$A$2,Data!EM:EM),0)</f>
        <v>363318</v>
      </c>
      <c r="F81" s="22">
        <f t="shared" si="5"/>
        <v>11.513071584751403</v>
      </c>
    </row>
    <row r="82" spans="1:6" x14ac:dyDescent="0.2">
      <c r="A82" s="20">
        <v>16</v>
      </c>
      <c r="B82" s="184" t="s">
        <v>14</v>
      </c>
      <c r="C82" s="185"/>
      <c r="D82" s="15">
        <f t="shared" si="4"/>
        <v>139165</v>
      </c>
      <c r="E82" s="18">
        <f>IF(F3="1",SUMIF(Data!A:A,'50'!$A$2,Data!EN:EN),0)</f>
        <v>614253</v>
      </c>
      <c r="F82" s="22">
        <f t="shared" si="5"/>
        <v>4.4138468724176336</v>
      </c>
    </row>
    <row r="83" spans="1:6" x14ac:dyDescent="0.2">
      <c r="A83" s="20">
        <v>17</v>
      </c>
      <c r="B83" s="184" t="s">
        <v>15</v>
      </c>
      <c r="C83" s="185"/>
      <c r="D83" s="15">
        <f t="shared" si="4"/>
        <v>0</v>
      </c>
      <c r="E83" s="18">
        <f>IF(F3="1",SUMIF(Data!A:A,'50'!$A$2,Data!EO:EO),0)</f>
        <v>0</v>
      </c>
      <c r="F83" s="22" t="str">
        <f t="shared" si="5"/>
        <v/>
      </c>
    </row>
    <row r="84" spans="1:6" x14ac:dyDescent="0.2">
      <c r="A84" s="20">
        <v>18</v>
      </c>
      <c r="B84" s="184" t="s">
        <v>16</v>
      </c>
      <c r="C84" s="185"/>
      <c r="D84" s="15">
        <f t="shared" si="4"/>
        <v>50304</v>
      </c>
      <c r="E84" s="18">
        <f>IF(F3="1",SUMIF(Data!A:A,'50'!$A$2,Data!EP:EP),0)</f>
        <v>257686</v>
      </c>
      <c r="F84" s="22">
        <f t="shared" si="5"/>
        <v>5.122574745547074</v>
      </c>
    </row>
    <row r="85" spans="1:6" x14ac:dyDescent="0.2">
      <c r="A85" s="20">
        <v>19</v>
      </c>
      <c r="B85" s="184" t="s">
        <v>17</v>
      </c>
      <c r="C85" s="185"/>
      <c r="D85" s="15">
        <f t="shared" si="4"/>
        <v>238064</v>
      </c>
      <c r="E85" s="18">
        <f>IF(F3="1",SUMIF(Data!A:A,'50'!$A$2,Data!EQ:EQ),0)</f>
        <v>765766</v>
      </c>
      <c r="F85" s="22">
        <f t="shared" si="5"/>
        <v>3.2166392230660663</v>
      </c>
    </row>
    <row r="86" spans="1:6" x14ac:dyDescent="0.2">
      <c r="A86" s="20">
        <v>20</v>
      </c>
      <c r="B86" s="184" t="s">
        <v>18</v>
      </c>
      <c r="C86" s="185"/>
      <c r="D86" s="15">
        <f t="shared" si="4"/>
        <v>14912</v>
      </c>
      <c r="E86" s="18">
        <f>IF(F3="1",SUMIF(Data!A:A,'50'!$A$2,Data!ER:ER),0)</f>
        <v>111920</v>
      </c>
      <c r="F86" s="22">
        <f t="shared" si="5"/>
        <v>7.505364806866953</v>
      </c>
    </row>
    <row r="87" spans="1:6" ht="14.25" customHeight="1" x14ac:dyDescent="0.2">
      <c r="A87" s="20">
        <v>21</v>
      </c>
      <c r="B87" s="184" t="s">
        <v>466</v>
      </c>
      <c r="C87" s="185"/>
      <c r="D87" s="15">
        <f t="shared" si="4"/>
        <v>0</v>
      </c>
      <c r="E87" s="18">
        <f>IF(F3="1",SUMIF(Data!A:A,'50'!$A$2,Data!ES:ES),0)</f>
        <v>0</v>
      </c>
      <c r="F87" s="22" t="str">
        <f t="shared" si="5"/>
        <v/>
      </c>
    </row>
    <row r="88" spans="1:6" x14ac:dyDescent="0.2">
      <c r="A88" s="20">
        <v>22</v>
      </c>
      <c r="B88" s="184" t="s">
        <v>19</v>
      </c>
      <c r="C88" s="185"/>
      <c r="D88" s="15">
        <f t="shared" si="4"/>
        <v>4736</v>
      </c>
      <c r="E88" s="18">
        <f>IF(F3="1",SUMIF(Data!A:A,'50'!$A$2,Data!ET:ET),0)</f>
        <v>86</v>
      </c>
      <c r="F88" s="22">
        <f t="shared" si="5"/>
        <v>1.8158783783783782E-2</v>
      </c>
    </row>
    <row r="89" spans="1:6" x14ac:dyDescent="0.2">
      <c r="A89" s="20">
        <v>23</v>
      </c>
      <c r="B89" s="184" t="s">
        <v>20</v>
      </c>
      <c r="C89" s="185"/>
      <c r="D89" s="15">
        <f t="shared" si="4"/>
        <v>43872</v>
      </c>
      <c r="E89" s="18">
        <f>IF(F3="1",SUMIF(Data!A:A,'50'!$A$2,Data!EU:EU),0)</f>
        <v>184725</v>
      </c>
      <c r="F89" s="22">
        <f t="shared" si="5"/>
        <v>4.210544310722101</v>
      </c>
    </row>
    <row r="90" spans="1:6" x14ac:dyDescent="0.2">
      <c r="A90" s="20">
        <v>24</v>
      </c>
      <c r="B90" s="184" t="s">
        <v>21</v>
      </c>
      <c r="C90" s="185"/>
      <c r="D90" s="15">
        <f t="shared" si="4"/>
        <v>73382</v>
      </c>
      <c r="E90" s="18">
        <f>IF(F3="1",SUMIF(Data!A:A,'50'!$A$2,Data!EV:EV),0)</f>
        <v>487935</v>
      </c>
      <c r="F90" s="22">
        <f t="shared" si="5"/>
        <v>6.6492464092011669</v>
      </c>
    </row>
    <row r="91" spans="1:6" x14ac:dyDescent="0.2">
      <c r="A91" s="20">
        <v>25</v>
      </c>
      <c r="B91" s="184" t="s">
        <v>22</v>
      </c>
      <c r="C91" s="185"/>
      <c r="D91" s="15">
        <f t="shared" si="4"/>
        <v>541728</v>
      </c>
      <c r="E91" s="18">
        <f>IF(F3="1",SUMIF(Data!A:A,'50'!$A$2,Data!EW:EW),0)</f>
        <v>1377575</v>
      </c>
      <c r="F91" s="22">
        <f t="shared" si="5"/>
        <v>2.5429274469844647</v>
      </c>
    </row>
    <row r="92" spans="1:6" x14ac:dyDescent="0.2">
      <c r="A92" s="20">
        <v>26</v>
      </c>
      <c r="B92" s="184" t="s">
        <v>23</v>
      </c>
      <c r="C92" s="185"/>
      <c r="D92" s="15">
        <f t="shared" si="4"/>
        <v>97258</v>
      </c>
      <c r="E92" s="18">
        <f>IF(F3="1",SUMIF(Data!A:A,'50'!$A$2,Data!EX:EX),0)</f>
        <v>391717</v>
      </c>
      <c r="F92" s="22">
        <f t="shared" si="5"/>
        <v>4.0276069834872192</v>
      </c>
    </row>
    <row r="93" spans="1:6" x14ac:dyDescent="0.2">
      <c r="A93" s="20">
        <v>28</v>
      </c>
      <c r="B93" s="184" t="s">
        <v>24</v>
      </c>
      <c r="C93" s="185"/>
      <c r="D93" s="15">
        <f t="shared" si="4"/>
        <v>0</v>
      </c>
      <c r="E93" s="18">
        <f>IF(F3="1",SUMIF(Data!A:A,'50'!$A$2,Data!EZ:EZ),0)</f>
        <v>0</v>
      </c>
      <c r="F93" s="22" t="str">
        <f t="shared" si="5"/>
        <v/>
      </c>
    </row>
    <row r="94" spans="1:6" ht="15.75" customHeight="1" thickBot="1" x14ac:dyDescent="0.25">
      <c r="A94" s="23">
        <v>29</v>
      </c>
      <c r="B94" s="186" t="s">
        <v>25</v>
      </c>
      <c r="C94" s="187"/>
      <c r="D94" s="24">
        <f t="shared" si="4"/>
        <v>0</v>
      </c>
      <c r="E94" s="25">
        <f>IF(F3="1",SUMIF(Data!A:A,'50'!$A$2,Data!FA:FA),0)</f>
        <v>0</v>
      </c>
      <c r="F94" s="26" t="str">
        <f t="shared" si="5"/>
        <v/>
      </c>
    </row>
    <row r="95" spans="1:6" x14ac:dyDescent="0.2">
      <c r="B95" s="31" t="s">
        <v>35</v>
      </c>
      <c r="C95" s="31"/>
      <c r="D95" s="61">
        <f>SUM(D67:D94)</f>
        <v>2496402</v>
      </c>
      <c r="E95" s="32">
        <f>SUM(E67:E94)</f>
        <v>9391065</v>
      </c>
      <c r="F95" s="33">
        <f t="shared" si="5"/>
        <v>3.7618400401858354</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IF(F3="1",SUMIF(Data!A:A,'50'!$A$2,Data!AH:AH),0)</f>
        <v>4886266</v>
      </c>
      <c r="F98" s="21">
        <f t="shared" ref="F98:F105" si="6">IFERROR(E98/$D$95,0)</f>
        <v>1.9573233798082199</v>
      </c>
    </row>
    <row r="99" spans="2:6" x14ac:dyDescent="0.2">
      <c r="B99" s="190" t="s">
        <v>31</v>
      </c>
      <c r="C99" s="191"/>
      <c r="D99" s="37"/>
      <c r="E99" s="18">
        <f>IF(F3="1",SUMIF(Data!A:A,'50'!$A$2,Data!AI:AI),0)</f>
        <v>1628557</v>
      </c>
      <c r="F99" s="22">
        <f t="shared" si="6"/>
        <v>0.65236167892831365</v>
      </c>
    </row>
    <row r="100" spans="2:6" x14ac:dyDescent="0.2">
      <c r="B100" s="190" t="s">
        <v>32</v>
      </c>
      <c r="C100" s="191"/>
      <c r="D100" s="37"/>
      <c r="E100" s="18">
        <f>IF(F3="1",SUMIF(Data!A:A,'50'!$A$2,Data!AJ:AJ),0)</f>
        <v>2381023</v>
      </c>
      <c r="F100" s="22">
        <f t="shared" si="6"/>
        <v>0.95378188288584931</v>
      </c>
    </row>
    <row r="101" spans="2:6" x14ac:dyDescent="0.2">
      <c r="B101" s="190" t="s">
        <v>28</v>
      </c>
      <c r="C101" s="191"/>
      <c r="D101" s="37"/>
      <c r="E101" s="18">
        <f>IF(F3="1",SUMIF(Data!A:A,'50'!$A$2,Data!AK:AK),0)</f>
        <v>0</v>
      </c>
      <c r="F101" s="22">
        <f t="shared" si="6"/>
        <v>0</v>
      </c>
    </row>
    <row r="102" spans="2:6" x14ac:dyDescent="0.2">
      <c r="B102" s="190" t="s">
        <v>33</v>
      </c>
      <c r="C102" s="191"/>
      <c r="D102" s="37"/>
      <c r="E102" s="18">
        <f>IF(F3="1",SUMIF(Data!A:A,'50'!$A$2,Data!AL:AL),0)</f>
        <v>601920</v>
      </c>
      <c r="F102" s="22">
        <f t="shared" si="6"/>
        <v>0.24111501272631572</v>
      </c>
    </row>
    <row r="103" spans="2:6" x14ac:dyDescent="0.2">
      <c r="B103" s="192" t="s">
        <v>34</v>
      </c>
      <c r="C103" s="193"/>
      <c r="D103" s="37"/>
      <c r="E103" s="18">
        <f>IF(F3="1",SUMIF(Data!A:A,'50'!$A$2,Data!AM:AM),0)</f>
        <v>539061</v>
      </c>
      <c r="F103" s="22">
        <f t="shared" si="6"/>
        <v>0.21593517390228018</v>
      </c>
    </row>
    <row r="104" spans="2:6" ht="15.75" customHeight="1" thickBot="1" x14ac:dyDescent="0.25">
      <c r="B104" s="182" t="s">
        <v>29</v>
      </c>
      <c r="C104" s="183"/>
      <c r="D104" s="38"/>
      <c r="E104" s="25">
        <f>IF(F3="1",SUMIF(Data!A:A,'50'!$A$2,Data!Q:Q),0)</f>
        <v>703487</v>
      </c>
      <c r="F104" s="26">
        <f t="shared" si="6"/>
        <v>0.28180036708831352</v>
      </c>
    </row>
    <row r="105" spans="2:6" x14ac:dyDescent="0.2">
      <c r="B105" s="31" t="s">
        <v>35</v>
      </c>
      <c r="C105" s="31"/>
      <c r="D105" s="35">
        <f>D95</f>
        <v>2496402</v>
      </c>
      <c r="E105" s="32">
        <f>SUM(E98:E104)</f>
        <v>10740314</v>
      </c>
      <c r="F105" s="33">
        <f t="shared" si="6"/>
        <v>4.3023174953392926</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9391065</v>
      </c>
      <c r="D109" s="16">
        <f>IF(F3="1",SUMIF(Data!$A:$A,$A$2,Data!HJ:HJ),0)</f>
        <v>0</v>
      </c>
      <c r="E109" s="16">
        <f>IF(F3="1",SUMIF(Data!$A:$A,$A$2,Data!IN:IN),0)</f>
        <v>0</v>
      </c>
      <c r="F109" s="48">
        <f>SUM(C109:E109)</f>
        <v>9391065</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601920</v>
      </c>
      <c r="F116" s="49">
        <f t="shared" si="7"/>
        <v>601920</v>
      </c>
    </row>
    <row r="117" spans="1:6" ht="15" thickBot="1" x14ac:dyDescent="0.25">
      <c r="B117" s="44" t="s">
        <v>941</v>
      </c>
      <c r="C117" s="53"/>
      <c r="D117" s="53">
        <f>IF(F3="1",SUMIF(Data!A:A,$A$2,Data!Q:Q),0)</f>
        <v>703487</v>
      </c>
      <c r="E117" s="53"/>
      <c r="F117" s="50">
        <f>SUM(C117:E117)</f>
        <v>703487</v>
      </c>
    </row>
    <row r="118" spans="1:6" x14ac:dyDescent="0.2">
      <c r="B118" s="14" t="s">
        <v>35</v>
      </c>
      <c r="C118" s="5">
        <f>SUM(C109:C116)</f>
        <v>9391065</v>
      </c>
      <c r="D118" s="5">
        <f>SUM(D109:D116)</f>
        <v>0</v>
      </c>
      <c r="E118" s="5">
        <f>SUM(E109:E116)</f>
        <v>601920</v>
      </c>
      <c r="F118" s="5">
        <f>SUM(F109:F116)</f>
        <v>9992985</v>
      </c>
    </row>
    <row r="119" spans="1:6" ht="15" thickBot="1" x14ac:dyDescent="0.25"/>
    <row r="120" spans="1:6" ht="15" thickBot="1" x14ac:dyDescent="0.25">
      <c r="B120" s="57" t="s">
        <v>942</v>
      </c>
      <c r="C120" s="55"/>
      <c r="D120" s="55"/>
      <c r="E120" s="55">
        <f>IF(F3="1",SUMIF(Data!A:A,'50'!$A$2,Data!AM:AM),0)</f>
        <v>539061</v>
      </c>
      <c r="F120" s="56">
        <f>SUM(C120:E120)</f>
        <v>539061</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3.42578125" style="11" bestFit="1" customWidth="1"/>
    <col min="13"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430</v>
      </c>
      <c r="B2" s="60" t="str">
        <f>VLOOKUP(A2,Data!A:G,7,0)</f>
        <v>Texas State Technical College-Harlingen</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26832</v>
      </c>
      <c r="E5" s="16">
        <f>E36+E67+IFERROR($E$105/$D$105*D5,0)</f>
        <v>288099.88274099014</v>
      </c>
      <c r="F5" s="21">
        <f>IFERROR(E5/D5,"")</f>
        <v>10.73717511706135</v>
      </c>
    </row>
    <row r="6" spans="1:6" x14ac:dyDescent="0.2">
      <c r="A6" s="20">
        <v>2</v>
      </c>
      <c r="B6" s="184" t="s">
        <v>1</v>
      </c>
      <c r="C6" s="185"/>
      <c r="D6" s="15">
        <f t="shared" ref="D6:D32" si="0">D37</f>
        <v>95244</v>
      </c>
      <c r="E6" s="18">
        <f t="shared" ref="E6:E32" si="1">E37+E68+IFERROR($E$105/$D$105*D6,0)</f>
        <v>1106808.7094433089</v>
      </c>
      <c r="F6" s="22">
        <f t="shared" ref="F6:F33" si="2">IFERROR(E6/D6,"")</f>
        <v>11.62077096135514</v>
      </c>
    </row>
    <row r="7" spans="1:6" ht="14.25" customHeight="1" x14ac:dyDescent="0.2">
      <c r="A7" s="20">
        <v>3</v>
      </c>
      <c r="B7" s="184" t="s">
        <v>2</v>
      </c>
      <c r="C7" s="185"/>
      <c r="D7" s="15">
        <f t="shared" si="0"/>
        <v>296256</v>
      </c>
      <c r="E7" s="18">
        <f t="shared" si="1"/>
        <v>1858956.5031795907</v>
      </c>
      <c r="F7" s="22">
        <f t="shared" si="2"/>
        <v>6.2748315753253632</v>
      </c>
    </row>
    <row r="8" spans="1:6" ht="14.25" customHeight="1" x14ac:dyDescent="0.2">
      <c r="A8" s="20">
        <v>4</v>
      </c>
      <c r="B8" s="184" t="s">
        <v>3</v>
      </c>
      <c r="C8" s="185"/>
      <c r="D8" s="15">
        <f t="shared" si="0"/>
        <v>170964</v>
      </c>
      <c r="E8" s="18">
        <f t="shared" si="1"/>
        <v>893555.77478125528</v>
      </c>
      <c r="F8" s="22">
        <f t="shared" si="2"/>
        <v>5.2265726982362093</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54544</v>
      </c>
      <c r="E10" s="18">
        <f t="shared" si="1"/>
        <v>848873.65847587085</v>
      </c>
      <c r="F10" s="22">
        <f t="shared" si="2"/>
        <v>15.56309875469109</v>
      </c>
    </row>
    <row r="11" spans="1:6" x14ac:dyDescent="0.2">
      <c r="A11" s="20">
        <v>7</v>
      </c>
      <c r="B11" s="184" t="s">
        <v>6</v>
      </c>
      <c r="C11" s="185"/>
      <c r="D11" s="15">
        <f t="shared" si="0"/>
        <v>125536</v>
      </c>
      <c r="E11" s="18">
        <f t="shared" si="1"/>
        <v>1400508.2623648234</v>
      </c>
      <c r="F11" s="22">
        <f t="shared" si="2"/>
        <v>11.156228192429449</v>
      </c>
    </row>
    <row r="12" spans="1:6" x14ac:dyDescent="0.2">
      <c r="A12" s="20">
        <v>8</v>
      </c>
      <c r="B12" s="184" t="s">
        <v>7</v>
      </c>
      <c r="C12" s="185"/>
      <c r="D12" s="15">
        <f t="shared" si="0"/>
        <v>12732</v>
      </c>
      <c r="E12" s="18">
        <f t="shared" si="1"/>
        <v>271252.96090706193</v>
      </c>
      <c r="F12" s="22">
        <f t="shared" si="2"/>
        <v>21.304819424054504</v>
      </c>
    </row>
    <row r="13" spans="1:6" x14ac:dyDescent="0.2">
      <c r="A13" s="20">
        <v>9</v>
      </c>
      <c r="B13" s="184" t="s">
        <v>8</v>
      </c>
      <c r="C13" s="185"/>
      <c r="D13" s="15">
        <f t="shared" si="0"/>
        <v>150932</v>
      </c>
      <c r="E13" s="18">
        <f t="shared" si="1"/>
        <v>1102595.4288112374</v>
      </c>
      <c r="F13" s="22">
        <f t="shared" si="2"/>
        <v>7.3052462619672269</v>
      </c>
    </row>
    <row r="14" spans="1:6" x14ac:dyDescent="0.2">
      <c r="A14" s="20">
        <v>10</v>
      </c>
      <c r="B14" s="184" t="s">
        <v>9</v>
      </c>
      <c r="C14" s="185"/>
      <c r="D14" s="15">
        <f t="shared" si="0"/>
        <v>288</v>
      </c>
      <c r="E14" s="18">
        <f t="shared" si="1"/>
        <v>1046.7286161823631</v>
      </c>
      <c r="F14" s="22">
        <f t="shared" si="2"/>
        <v>3.6344743617443163</v>
      </c>
    </row>
    <row r="15" spans="1:6" x14ac:dyDescent="0.2">
      <c r="A15" s="20">
        <v>11</v>
      </c>
      <c r="B15" s="184" t="s">
        <v>10</v>
      </c>
      <c r="C15" s="185"/>
      <c r="D15" s="15">
        <f t="shared" si="0"/>
        <v>205630</v>
      </c>
      <c r="E15" s="18">
        <f t="shared" si="1"/>
        <v>1241403.7685610391</v>
      </c>
      <c r="F15" s="22">
        <f t="shared" si="2"/>
        <v>6.037075176584346</v>
      </c>
    </row>
    <row r="16" spans="1:6" ht="14.25" customHeight="1" x14ac:dyDescent="0.2">
      <c r="A16" s="20">
        <v>12</v>
      </c>
      <c r="B16" s="184" t="s">
        <v>11</v>
      </c>
      <c r="C16" s="185"/>
      <c r="D16" s="15">
        <f t="shared" si="0"/>
        <v>335744</v>
      </c>
      <c r="E16" s="18">
        <f t="shared" si="1"/>
        <v>2269777.7378872614</v>
      </c>
      <c r="F16" s="22">
        <f t="shared" si="2"/>
        <v>6.7604416992925014</v>
      </c>
    </row>
    <row r="17" spans="1:6" x14ac:dyDescent="0.2">
      <c r="A17" s="20">
        <v>13</v>
      </c>
      <c r="B17" s="184" t="s">
        <v>12</v>
      </c>
      <c r="C17" s="185"/>
      <c r="D17" s="15">
        <f t="shared" si="0"/>
        <v>75026</v>
      </c>
      <c r="E17" s="18">
        <f t="shared" si="1"/>
        <v>465669.2679086735</v>
      </c>
      <c r="F17" s="22">
        <f t="shared" si="2"/>
        <v>6.206771891193366</v>
      </c>
    </row>
    <row r="18" spans="1:6" ht="14.25" customHeight="1" x14ac:dyDescent="0.2">
      <c r="A18" s="20">
        <v>14</v>
      </c>
      <c r="B18" s="184" t="s">
        <v>469</v>
      </c>
      <c r="C18" s="185"/>
      <c r="D18" s="15">
        <f t="shared" si="0"/>
        <v>41146</v>
      </c>
      <c r="E18" s="18">
        <f t="shared" si="1"/>
        <v>292648.3876438872</v>
      </c>
      <c r="F18" s="22">
        <f t="shared" si="2"/>
        <v>7.1124383328607204</v>
      </c>
    </row>
    <row r="19" spans="1:6" x14ac:dyDescent="0.2">
      <c r="A19" s="20">
        <v>15</v>
      </c>
      <c r="B19" s="184" t="s">
        <v>13</v>
      </c>
      <c r="C19" s="185"/>
      <c r="D19" s="15">
        <f t="shared" si="0"/>
        <v>46032</v>
      </c>
      <c r="E19" s="18">
        <f t="shared" si="1"/>
        <v>606110.45715314767</v>
      </c>
      <c r="F19" s="22">
        <f t="shared" si="2"/>
        <v>13.167154526267545</v>
      </c>
    </row>
    <row r="20" spans="1:6" x14ac:dyDescent="0.2">
      <c r="A20" s="20">
        <v>16</v>
      </c>
      <c r="B20" s="184" t="s">
        <v>14</v>
      </c>
      <c r="C20" s="185"/>
      <c r="D20" s="15">
        <f t="shared" si="0"/>
        <v>206389</v>
      </c>
      <c r="E20" s="18">
        <f t="shared" si="1"/>
        <v>2093288.12626827</v>
      </c>
      <c r="F20" s="22">
        <f t="shared" si="2"/>
        <v>10.14244037360649</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8736</v>
      </c>
      <c r="E22" s="18">
        <f t="shared" si="1"/>
        <v>115086.10135753168</v>
      </c>
      <c r="F22" s="22">
        <f t="shared" si="2"/>
        <v>13.173775338545292</v>
      </c>
    </row>
    <row r="23" spans="1:6" x14ac:dyDescent="0.2">
      <c r="A23" s="20">
        <v>19</v>
      </c>
      <c r="B23" s="184" t="s">
        <v>17</v>
      </c>
      <c r="C23" s="185"/>
      <c r="D23" s="15">
        <f t="shared" si="0"/>
        <v>266848</v>
      </c>
      <c r="E23" s="18">
        <f t="shared" si="1"/>
        <v>1912010.7700383028</v>
      </c>
      <c r="F23" s="22">
        <f t="shared" si="2"/>
        <v>7.1651680733537546</v>
      </c>
    </row>
    <row r="24" spans="1:6" x14ac:dyDescent="0.2">
      <c r="A24" s="20">
        <v>20</v>
      </c>
      <c r="B24" s="184" t="s">
        <v>18</v>
      </c>
      <c r="C24" s="185"/>
      <c r="D24" s="15">
        <f t="shared" si="0"/>
        <v>142570</v>
      </c>
      <c r="E24" s="18">
        <f t="shared" si="1"/>
        <v>1058791.9819761093</v>
      </c>
      <c r="F24" s="22">
        <f t="shared" si="2"/>
        <v>7.4264710807049825</v>
      </c>
    </row>
    <row r="25" spans="1:6" ht="14.25" customHeight="1" x14ac:dyDescent="0.2">
      <c r="A25" s="20">
        <v>21</v>
      </c>
      <c r="B25" s="184" t="s">
        <v>466</v>
      </c>
      <c r="C25" s="185"/>
      <c r="D25" s="15">
        <f t="shared" si="0"/>
        <v>45176</v>
      </c>
      <c r="E25" s="18">
        <f t="shared" si="1"/>
        <v>358091.12487727235</v>
      </c>
      <c r="F25" s="22">
        <f t="shared" si="2"/>
        <v>7.9265788223231883</v>
      </c>
    </row>
    <row r="26" spans="1:6" x14ac:dyDescent="0.2">
      <c r="A26" s="20">
        <v>22</v>
      </c>
      <c r="B26" s="184" t="s">
        <v>19</v>
      </c>
      <c r="C26" s="185"/>
      <c r="D26" s="15">
        <f t="shared" si="0"/>
        <v>84488</v>
      </c>
      <c r="E26" s="18">
        <f t="shared" si="1"/>
        <v>451459.58098616486</v>
      </c>
      <c r="F26" s="22">
        <f t="shared" si="2"/>
        <v>5.3434757715434715</v>
      </c>
    </row>
    <row r="27" spans="1:6" x14ac:dyDescent="0.2">
      <c r="A27" s="20">
        <v>23</v>
      </c>
      <c r="B27" s="184" t="s">
        <v>20</v>
      </c>
      <c r="C27" s="185"/>
      <c r="D27" s="15">
        <f t="shared" si="0"/>
        <v>13152</v>
      </c>
      <c r="E27" s="18">
        <f t="shared" si="1"/>
        <v>47841.273472327906</v>
      </c>
      <c r="F27" s="22">
        <f t="shared" si="2"/>
        <v>3.6375664136502364</v>
      </c>
    </row>
    <row r="28" spans="1:6" x14ac:dyDescent="0.2">
      <c r="A28" s="20">
        <v>24</v>
      </c>
      <c r="B28" s="184" t="s">
        <v>21</v>
      </c>
      <c r="C28" s="185"/>
      <c r="D28" s="15">
        <f t="shared" si="0"/>
        <v>75164</v>
      </c>
      <c r="E28" s="18">
        <f t="shared" si="1"/>
        <v>332314.2420372609</v>
      </c>
      <c r="F28" s="22">
        <f t="shared" si="2"/>
        <v>4.4211888941150139</v>
      </c>
    </row>
    <row r="29" spans="1:6" x14ac:dyDescent="0.2">
      <c r="A29" s="20">
        <v>25</v>
      </c>
      <c r="B29" s="184" t="s">
        <v>22</v>
      </c>
      <c r="C29" s="185"/>
      <c r="D29" s="15">
        <f t="shared" si="0"/>
        <v>357712</v>
      </c>
      <c r="E29" s="18">
        <f t="shared" si="1"/>
        <v>1963978.6484438383</v>
      </c>
      <c r="F29" s="22">
        <f t="shared" si="2"/>
        <v>5.4903907289770499</v>
      </c>
    </row>
    <row r="30" spans="1:6" x14ac:dyDescent="0.2">
      <c r="A30" s="20">
        <v>26</v>
      </c>
      <c r="B30" s="184" t="s">
        <v>23</v>
      </c>
      <c r="C30" s="185"/>
      <c r="D30" s="15">
        <f t="shared" si="0"/>
        <v>142016</v>
      </c>
      <c r="E30" s="18">
        <f t="shared" si="1"/>
        <v>639962.62206859188</v>
      </c>
      <c r="F30" s="22">
        <f t="shared" si="2"/>
        <v>4.5062712797754614</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2979157</v>
      </c>
      <c r="E33" s="32">
        <f>SUM(E5:E32)</f>
        <v>21620131.999999996</v>
      </c>
      <c r="F33" s="33">
        <f t="shared" si="2"/>
        <v>7.2571307923684438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IF(F3="1",SUMIF(Data!A:A,'51'!$A$2,Data!CU:CU),0)</f>
        <v>26832</v>
      </c>
      <c r="E36" s="16">
        <f>IF(F3="1",SUMIF(Data!$A:$A,'51'!$A$2,Data!IO:IO),0)</f>
        <v>132251</v>
      </c>
      <c r="F36" s="21">
        <f t="shared" ref="F36:F64" si="3">IFERROR(E36/D36,"")</f>
        <v>4.9288536076326777</v>
      </c>
    </row>
    <row r="37" spans="1:6" x14ac:dyDescent="0.2">
      <c r="A37" s="20">
        <v>2</v>
      </c>
      <c r="B37" s="184" t="s">
        <v>1</v>
      </c>
      <c r="C37" s="185"/>
      <c r="D37" s="15">
        <f>IF(F3="1",SUMIF(Data!A:A,'51'!$A$2,Data!CV:CV),0)</f>
        <v>95244</v>
      </c>
      <c r="E37" s="18">
        <f>IF(F3="1",SUMIF(Data!$A:$A,'51'!$A$2,Data!IP:IP),0)</f>
        <v>332831</v>
      </c>
      <c r="F37" s="22">
        <f t="shared" si="3"/>
        <v>3.4945088404518918</v>
      </c>
    </row>
    <row r="38" spans="1:6" ht="14.25" customHeight="1" x14ac:dyDescent="0.2">
      <c r="A38" s="20">
        <v>3</v>
      </c>
      <c r="B38" s="184" t="s">
        <v>2</v>
      </c>
      <c r="C38" s="185"/>
      <c r="D38" s="15">
        <f>IF(F3="1",SUMIF(Data!A:A,'51'!$A$2,Data!CW:CW),0)</f>
        <v>296256</v>
      </c>
      <c r="E38" s="18">
        <f>IF(F3="1",SUMIF(Data!$A:$A,'51'!$A$2,Data!IQ:IQ),0)</f>
        <v>441334</v>
      </c>
      <c r="F38" s="22">
        <f t="shared" si="3"/>
        <v>1.4897048498595808</v>
      </c>
    </row>
    <row r="39" spans="1:6" ht="14.25" customHeight="1" x14ac:dyDescent="0.2">
      <c r="A39" s="20">
        <v>4</v>
      </c>
      <c r="B39" s="184" t="s">
        <v>3</v>
      </c>
      <c r="C39" s="185"/>
      <c r="D39" s="15">
        <f>IF(F3="1",SUMIF(Data!A:A,'51'!$A$2,Data!CX:CX),0)</f>
        <v>170964</v>
      </c>
      <c r="E39" s="18">
        <f>IF(F3="1",SUMIF(Data!$A:$A,'51'!$A$2,Data!IR:IR),0)</f>
        <v>251315</v>
      </c>
      <c r="F39" s="22">
        <f t="shared" si="3"/>
        <v>1.4699878336959828</v>
      </c>
    </row>
    <row r="40" spans="1:6" x14ac:dyDescent="0.2">
      <c r="A40" s="20">
        <v>5</v>
      </c>
      <c r="B40" s="184" t="s">
        <v>4</v>
      </c>
      <c r="C40" s="185"/>
      <c r="D40" s="15">
        <f>IF(F3="1",SUMIF(Data!A:A,'51'!$A$2,Data!CY:CY),0)</f>
        <v>0</v>
      </c>
      <c r="E40" s="18">
        <f>IF(F3="1",SUMIF(Data!$A:$A,'51'!$A$2,Data!IS:IS),0)</f>
        <v>0</v>
      </c>
      <c r="F40" s="22" t="str">
        <f t="shared" si="3"/>
        <v/>
      </c>
    </row>
    <row r="41" spans="1:6" x14ac:dyDescent="0.2">
      <c r="A41" s="20">
        <v>6</v>
      </c>
      <c r="B41" s="184" t="s">
        <v>5</v>
      </c>
      <c r="C41" s="185"/>
      <c r="D41" s="15">
        <f>IF(F3="1",SUMIF(Data!A:A,'51'!$A$2,Data!CZ:CZ),0)</f>
        <v>54544</v>
      </c>
      <c r="E41" s="18">
        <f>IF(F3="1",SUMIF(Data!$A:$A,'51'!$A$2,Data!IT:IT),0)</f>
        <v>136699</v>
      </c>
      <c r="F41" s="22">
        <f t="shared" si="3"/>
        <v>2.5062151657377529</v>
      </c>
    </row>
    <row r="42" spans="1:6" x14ac:dyDescent="0.2">
      <c r="A42" s="20">
        <v>7</v>
      </c>
      <c r="B42" s="184" t="s">
        <v>6</v>
      </c>
      <c r="C42" s="185"/>
      <c r="D42" s="15">
        <f>IF(F3="1",SUMIF(Data!A:A,'51'!$A$2,Data!DA:DA),0)</f>
        <v>125536</v>
      </c>
      <c r="E42" s="18">
        <f>IF(F3="1",SUMIF(Data!$A:$A,'51'!$A$2,Data!IU:IU),0)</f>
        <v>336505</v>
      </c>
      <c r="F42" s="22">
        <f t="shared" si="3"/>
        <v>2.6805458195258729</v>
      </c>
    </row>
    <row r="43" spans="1:6" x14ac:dyDescent="0.2">
      <c r="A43" s="20">
        <v>8</v>
      </c>
      <c r="B43" s="184" t="s">
        <v>7</v>
      </c>
      <c r="C43" s="185"/>
      <c r="D43" s="15">
        <f>IF(F3="1",SUMIF(Data!A:A,'51'!$A$2,Data!DB:DB),0)</f>
        <v>12732</v>
      </c>
      <c r="E43" s="18">
        <f>IF(F3="1",SUMIF(Data!$A:$A,'51'!$A$2,Data!IV:IV),0)</f>
        <v>98987</v>
      </c>
      <c r="F43" s="22">
        <f t="shared" si="3"/>
        <v>7.7746622683003457</v>
      </c>
    </row>
    <row r="44" spans="1:6" x14ac:dyDescent="0.2">
      <c r="A44" s="20">
        <v>9</v>
      </c>
      <c r="B44" s="184" t="s">
        <v>8</v>
      </c>
      <c r="C44" s="185"/>
      <c r="D44" s="15">
        <f>IF(F3="1",SUMIF(Data!A:A,'51'!$A$2,Data!DC:DC),0)</f>
        <v>150932</v>
      </c>
      <c r="E44" s="18">
        <f>IF(F3="1",SUMIF(Data!$A:$A,'51'!$A$2,Data!IW:IW),0)</f>
        <v>363200</v>
      </c>
      <c r="F44" s="22">
        <f t="shared" si="3"/>
        <v>2.4063816818169772</v>
      </c>
    </row>
    <row r="45" spans="1:6" x14ac:dyDescent="0.2">
      <c r="A45" s="20">
        <v>10</v>
      </c>
      <c r="B45" s="184" t="s">
        <v>9</v>
      </c>
      <c r="C45" s="185"/>
      <c r="D45" s="15">
        <f>IF(F3="1",SUMIF(Data!A:A,'51'!$A$2,Data!DD:DD),0)</f>
        <v>288</v>
      </c>
      <c r="E45" s="18">
        <f>IF(F3="1",SUMIF(Data!$A:$A,'51'!$A$2,Data!IX:IX),0)</f>
        <v>257</v>
      </c>
      <c r="F45" s="22">
        <f t="shared" si="3"/>
        <v>0.89236111111111116</v>
      </c>
    </row>
    <row r="46" spans="1:6" x14ac:dyDescent="0.2">
      <c r="A46" s="20">
        <v>11</v>
      </c>
      <c r="B46" s="184" t="s">
        <v>10</v>
      </c>
      <c r="C46" s="185"/>
      <c r="D46" s="15">
        <f>IF(F3="1",SUMIF(Data!A:A,'51'!$A$2,Data!DE:DE),0)</f>
        <v>205630</v>
      </c>
      <c r="E46" s="18">
        <f>IF(F3="1",SUMIF(Data!$A:$A,'51'!$A$2,Data!IY:IY),0)</f>
        <v>364929</v>
      </c>
      <c r="F46" s="22">
        <f t="shared" si="3"/>
        <v>1.7746875455915965</v>
      </c>
    </row>
    <row r="47" spans="1:6" ht="14.25" customHeight="1" x14ac:dyDescent="0.2">
      <c r="A47" s="20">
        <v>12</v>
      </c>
      <c r="B47" s="184" t="s">
        <v>11</v>
      </c>
      <c r="C47" s="185"/>
      <c r="D47" s="15">
        <f>IF(F3="1",SUMIF(Data!A:A,'51'!$A$2,Data!DF:DF),0)</f>
        <v>335744</v>
      </c>
      <c r="E47" s="18">
        <f>IF(F3="1",SUMIF(Data!$A:$A,'51'!$A$2,Data!IZ:IZ),0)</f>
        <v>586393</v>
      </c>
      <c r="F47" s="22">
        <f t="shared" si="3"/>
        <v>1.746547965116279</v>
      </c>
    </row>
    <row r="48" spans="1:6" x14ac:dyDescent="0.2">
      <c r="A48" s="20">
        <v>13</v>
      </c>
      <c r="B48" s="184" t="s">
        <v>12</v>
      </c>
      <c r="C48" s="185"/>
      <c r="D48" s="15">
        <f>IF(F3="1",SUMIF(Data!A:A,'51'!$A$2,Data!DG:DG),0)</f>
        <v>75026</v>
      </c>
      <c r="E48" s="18">
        <f>IF(F3="1",SUMIF(Data!$A:$A,'51'!$A$2,Data!JA:JA),0)</f>
        <v>87303</v>
      </c>
      <c r="F48" s="22">
        <f t="shared" si="3"/>
        <v>1.1636366059765948</v>
      </c>
    </row>
    <row r="49" spans="1:6" ht="14.25" customHeight="1" x14ac:dyDescent="0.2">
      <c r="A49" s="20">
        <v>14</v>
      </c>
      <c r="B49" s="184" t="s">
        <v>469</v>
      </c>
      <c r="C49" s="185"/>
      <c r="D49" s="15">
        <f>IF(F3="1",SUMIF(Data!A:A,'51'!$A$2,Data!DH:DH),0)</f>
        <v>41146</v>
      </c>
      <c r="E49" s="18">
        <f>IF(F3="1",SUMIF(Data!$A:$A,'51'!$A$2,Data!JB:JB),0)</f>
        <v>62035</v>
      </c>
      <c r="F49" s="22">
        <f t="shared" si="3"/>
        <v>1.5076799688912652</v>
      </c>
    </row>
    <row r="50" spans="1:6" x14ac:dyDescent="0.2">
      <c r="A50" s="20">
        <v>15</v>
      </c>
      <c r="B50" s="184" t="s">
        <v>13</v>
      </c>
      <c r="C50" s="185"/>
      <c r="D50" s="15">
        <f>IF(F3="1",SUMIF(Data!A:A,'51'!$A$2,Data!DI:DI),0)</f>
        <v>46032</v>
      </c>
      <c r="E50" s="18">
        <f>IF(F3="1",SUMIF(Data!$A:$A,'51'!$A$2,Data!JC:JC),0)</f>
        <v>179174</v>
      </c>
      <c r="F50" s="22">
        <f t="shared" si="3"/>
        <v>3.8923792144595066</v>
      </c>
    </row>
    <row r="51" spans="1:6" x14ac:dyDescent="0.2">
      <c r="A51" s="20">
        <v>16</v>
      </c>
      <c r="B51" s="184" t="s">
        <v>14</v>
      </c>
      <c r="C51" s="185"/>
      <c r="D51" s="15">
        <f>IF(F3="1",SUMIF(Data!A:A,'51'!$A$2,Data!DJ:DJ),0)</f>
        <v>206389</v>
      </c>
      <c r="E51" s="18">
        <f>IF(F3="1",SUMIF(Data!$A:$A,'51'!$A$2,Data!JD:JD),0)</f>
        <v>648806</v>
      </c>
      <c r="F51" s="22">
        <f t="shared" si="3"/>
        <v>3.1436074596998873</v>
      </c>
    </row>
    <row r="52" spans="1:6" x14ac:dyDescent="0.2">
      <c r="A52" s="20">
        <v>17</v>
      </c>
      <c r="B52" s="184" t="s">
        <v>15</v>
      </c>
      <c r="C52" s="185"/>
      <c r="D52" s="15">
        <f>IF(F3="1",SUMIF(Data!A:A,'51'!$A$2,Data!DK:DK),0)</f>
        <v>0</v>
      </c>
      <c r="E52" s="18">
        <f>IF(F3="1",SUMIF(Data!$A:$A,'51'!$A$2,Data!JE:JE),0)</f>
        <v>0</v>
      </c>
      <c r="F52" s="22" t="str">
        <f t="shared" si="3"/>
        <v/>
      </c>
    </row>
    <row r="53" spans="1:6" x14ac:dyDescent="0.2">
      <c r="A53" s="20">
        <v>18</v>
      </c>
      <c r="B53" s="184" t="s">
        <v>16</v>
      </c>
      <c r="C53" s="185"/>
      <c r="D53" s="15">
        <f>IF(F3="1",SUMIF(Data!A:A,'51'!$A$2,Data!DL:DL),0)</f>
        <v>8736</v>
      </c>
      <c r="E53" s="18">
        <f>IF(F3="1",SUMIF(Data!$A:$A,'51'!$A$2,Data!JF:JF),0)</f>
        <v>43287</v>
      </c>
      <c r="F53" s="22">
        <f t="shared" si="3"/>
        <v>4.9550137362637363</v>
      </c>
    </row>
    <row r="54" spans="1:6" x14ac:dyDescent="0.2">
      <c r="A54" s="20">
        <v>19</v>
      </c>
      <c r="B54" s="184" t="s">
        <v>17</v>
      </c>
      <c r="C54" s="185"/>
      <c r="D54" s="15">
        <f>IF(F3="1",SUMIF(Data!A:A,'51'!$A$2,Data!DM:DM),0)</f>
        <v>266848</v>
      </c>
      <c r="E54" s="18">
        <f>IF(F3="1",SUMIF(Data!$A:$A,'51'!$A$2,Data!JG:JG),0)</f>
        <v>418117</v>
      </c>
      <c r="F54" s="22">
        <f t="shared" si="3"/>
        <v>1.5668732761722028</v>
      </c>
    </row>
    <row r="55" spans="1:6" x14ac:dyDescent="0.2">
      <c r="A55" s="20">
        <v>20</v>
      </c>
      <c r="B55" s="184" t="s">
        <v>18</v>
      </c>
      <c r="C55" s="185"/>
      <c r="D55" s="15">
        <f>IF(F3="1",SUMIF(Data!A:A,'51'!$A$2,Data!DN:DN),0)</f>
        <v>142570</v>
      </c>
      <c r="E55" s="18">
        <f>IF(F3="1",SUMIF(Data!$A:$A,'51'!$A$2,Data!JH:JH),0)</f>
        <v>290281</v>
      </c>
      <c r="F55" s="22">
        <f t="shared" si="3"/>
        <v>2.0360594795539035</v>
      </c>
    </row>
    <row r="56" spans="1:6" ht="14.25" customHeight="1" x14ac:dyDescent="0.2">
      <c r="A56" s="20">
        <v>21</v>
      </c>
      <c r="B56" s="184" t="s">
        <v>466</v>
      </c>
      <c r="C56" s="185"/>
      <c r="D56" s="15">
        <f>IF(F3="1",SUMIF(Data!A:A,'51'!$A$2,Data!DO:DO),0)</f>
        <v>45176</v>
      </c>
      <c r="E56" s="18">
        <f>IF(F3="1",SUMIF(Data!$A:$A,'51'!$A$2,Data!JI:JI),0)</f>
        <v>108391</v>
      </c>
      <c r="F56" s="22">
        <f t="shared" si="3"/>
        <v>2.3993049406764655</v>
      </c>
    </row>
    <row r="57" spans="1:6" x14ac:dyDescent="0.2">
      <c r="A57" s="20">
        <v>22</v>
      </c>
      <c r="B57" s="184" t="s">
        <v>19</v>
      </c>
      <c r="C57" s="185"/>
      <c r="D57" s="15">
        <f>IF(F3="1",SUMIF(Data!A:A,'51'!$A$2,Data!DP:DP),0)</f>
        <v>84488</v>
      </c>
      <c r="E57" s="18">
        <f>IF(F3="1",SUMIF(Data!$A:$A,'51'!$A$2,Data!JJ:JJ),0)</f>
        <v>124351</v>
      </c>
      <c r="F57" s="22">
        <f t="shared" si="3"/>
        <v>1.4718184830981915</v>
      </c>
    </row>
    <row r="58" spans="1:6" x14ac:dyDescent="0.2">
      <c r="A58" s="20">
        <v>23</v>
      </c>
      <c r="B58" s="184" t="s">
        <v>20</v>
      </c>
      <c r="C58" s="185"/>
      <c r="D58" s="15">
        <f>IF(F3="1",SUMIF(Data!A:A,'51'!$A$2,Data!DQ:DQ),0)</f>
        <v>13152</v>
      </c>
      <c r="E58" s="18">
        <f>IF(F3="1",SUMIF(Data!$A:$A,'51'!$A$2,Data!JK:JK),0)</f>
        <v>11765</v>
      </c>
      <c r="F58" s="22">
        <f t="shared" si="3"/>
        <v>0.89454075425790758</v>
      </c>
    </row>
    <row r="59" spans="1:6" x14ac:dyDescent="0.2">
      <c r="A59" s="20">
        <v>24</v>
      </c>
      <c r="B59" s="184" t="s">
        <v>21</v>
      </c>
      <c r="C59" s="185"/>
      <c r="D59" s="15">
        <f>IF(F3="1",SUMIF(Data!A:A,'51'!$A$2,Data!DR:DR),0)</f>
        <v>75164</v>
      </c>
      <c r="E59" s="18">
        <f>IF(F3="1",SUMIF(Data!$A:$A,'51'!$A$2,Data!JL:JL),0)</f>
        <v>83241</v>
      </c>
      <c r="F59" s="22">
        <f t="shared" si="3"/>
        <v>1.1074583577244426</v>
      </c>
    </row>
    <row r="60" spans="1:6" x14ac:dyDescent="0.2">
      <c r="A60" s="20">
        <v>25</v>
      </c>
      <c r="B60" s="184" t="s">
        <v>22</v>
      </c>
      <c r="C60" s="185"/>
      <c r="D60" s="15">
        <f>IF(F3="1",SUMIF(Data!A:A,'51'!$A$2,Data!DS:DS),0)</f>
        <v>357712</v>
      </c>
      <c r="E60" s="18">
        <f>IF(F3="1",SUMIF(Data!$A:$A,'51'!$A$2,Data!JM:JM),0)</f>
        <v>431354</v>
      </c>
      <c r="F60" s="22">
        <f t="shared" si="3"/>
        <v>1.2058695263228518</v>
      </c>
    </row>
    <row r="61" spans="1:6" x14ac:dyDescent="0.2">
      <c r="A61" s="20">
        <v>26</v>
      </c>
      <c r="B61" s="184" t="s">
        <v>23</v>
      </c>
      <c r="C61" s="185"/>
      <c r="D61" s="15">
        <f>IF(F3="1",SUMIF(Data!A:A,'51'!$A$2,Data!DT:DT),0)</f>
        <v>142016</v>
      </c>
      <c r="E61" s="18">
        <f>IF(F3="1",SUMIF(Data!$A:$A,'51'!$A$2,Data!JN:JN),0)</f>
        <v>154004</v>
      </c>
      <c r="F61" s="22">
        <f t="shared" si="3"/>
        <v>1.0844130238846328</v>
      </c>
    </row>
    <row r="62" spans="1:6" x14ac:dyDescent="0.2">
      <c r="A62" s="20">
        <v>28</v>
      </c>
      <c r="B62" s="184" t="s">
        <v>24</v>
      </c>
      <c r="C62" s="185"/>
      <c r="D62" s="15">
        <f>IF(F3="1",SUMIF(Data!A:A,'51'!$A$2,Data!DV:DV),0)</f>
        <v>0</v>
      </c>
      <c r="E62" s="18">
        <f>IF(F3="1",SUMIF(Data!$A:$A,'51'!$A$2,Data!JP:JP),0)</f>
        <v>0</v>
      </c>
      <c r="F62" s="22" t="str">
        <f t="shared" si="3"/>
        <v/>
      </c>
    </row>
    <row r="63" spans="1:6" ht="15.75" customHeight="1" thickBot="1" x14ac:dyDescent="0.25">
      <c r="A63" s="23">
        <v>29</v>
      </c>
      <c r="B63" s="186" t="s">
        <v>25</v>
      </c>
      <c r="C63" s="187"/>
      <c r="D63" s="24">
        <f>IF(F3="1",SUMIF(Data!A:A,'51'!$A$2,Data!DW:DW),0)</f>
        <v>0</v>
      </c>
      <c r="E63" s="25">
        <f>IF(F3="1",SUMIF(Data!$A:$A,'51'!$A$2,Data!JQ:JQ),0)</f>
        <v>0</v>
      </c>
      <c r="F63" s="26" t="str">
        <f t="shared" si="3"/>
        <v/>
      </c>
    </row>
    <row r="64" spans="1:6" x14ac:dyDescent="0.2">
      <c r="B64" s="31" t="s">
        <v>35</v>
      </c>
      <c r="C64" s="31"/>
      <c r="D64" s="61">
        <f>SUM(D36:D63)</f>
        <v>2979157</v>
      </c>
      <c r="E64" s="32">
        <f>SUM(E36:E63)</f>
        <v>5686810</v>
      </c>
      <c r="F64" s="33">
        <f t="shared" si="3"/>
        <v>1.9088654945006256</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26832</v>
      </c>
      <c r="E67" s="16">
        <f>IF(F3="1",SUMIF(Data!A:A,'51'!$A$2,Data!DY:DY),0)</f>
        <v>82552</v>
      </c>
      <c r="F67" s="21">
        <f>IFERROR(E67/D67,"")</f>
        <v>3.0766249254621347</v>
      </c>
    </row>
    <row r="68" spans="1:6" x14ac:dyDescent="0.2">
      <c r="A68" s="20">
        <v>2</v>
      </c>
      <c r="B68" s="184" t="s">
        <v>1</v>
      </c>
      <c r="C68" s="185"/>
      <c r="D68" s="15">
        <f t="shared" ref="D68:D94" si="4">D37</f>
        <v>95244</v>
      </c>
      <c r="E68" s="18">
        <f>IF(F3="1",SUMIF(Data!A:A,'51'!$A$2,Data!DZ:DZ),0)</f>
        <v>513800</v>
      </c>
      <c r="F68" s="22">
        <f t="shared" ref="F68:F95" si="5">IFERROR(E68/D68,"")</f>
        <v>5.3945655369367103</v>
      </c>
    </row>
    <row r="69" spans="1:6" ht="14.25" customHeight="1" x14ac:dyDescent="0.2">
      <c r="A69" s="20">
        <v>3</v>
      </c>
      <c r="B69" s="184" t="s">
        <v>2</v>
      </c>
      <c r="C69" s="185"/>
      <c r="D69" s="15">
        <f t="shared" si="4"/>
        <v>296256</v>
      </c>
      <c r="E69" s="18">
        <f>IF(F3="1",SUMIF(Data!A:A,'51'!$A$2,Data!EA:EA),0)</f>
        <v>608341</v>
      </c>
      <c r="F69" s="22">
        <f t="shared" si="5"/>
        <v>2.053430141499244</v>
      </c>
    </row>
    <row r="70" spans="1:6" ht="14.25" customHeight="1" x14ac:dyDescent="0.2">
      <c r="A70" s="20">
        <v>4</v>
      </c>
      <c r="B70" s="184" t="s">
        <v>3</v>
      </c>
      <c r="C70" s="185"/>
      <c r="D70" s="15">
        <f t="shared" si="4"/>
        <v>170964</v>
      </c>
      <c r="E70" s="18">
        <f>IF(F3="1",SUMIF(Data!A:A,'51'!$A$2,Data!EB:EB),0)</f>
        <v>175219</v>
      </c>
      <c r="F70" s="22">
        <f t="shared" si="5"/>
        <v>1.0248882805736881</v>
      </c>
    </row>
    <row r="71" spans="1:6" x14ac:dyDescent="0.2">
      <c r="A71" s="20">
        <v>5</v>
      </c>
      <c r="B71" s="184" t="s">
        <v>4</v>
      </c>
      <c r="C71" s="185"/>
      <c r="D71" s="15">
        <f t="shared" si="4"/>
        <v>0</v>
      </c>
      <c r="E71" s="18">
        <f>IF(F3="1",SUMIF(Data!A:A,'51'!$A$2,Data!EC:EC),0)</f>
        <v>0</v>
      </c>
      <c r="F71" s="22" t="str">
        <f t="shared" si="5"/>
        <v/>
      </c>
    </row>
    <row r="72" spans="1:6" x14ac:dyDescent="0.2">
      <c r="A72" s="20">
        <v>6</v>
      </c>
      <c r="B72" s="184" t="s">
        <v>5</v>
      </c>
      <c r="C72" s="185"/>
      <c r="D72" s="15">
        <f t="shared" si="4"/>
        <v>54544</v>
      </c>
      <c r="E72" s="18">
        <f>IF(F3="1",SUMIF(Data!A:A,'51'!$A$2,Data!ED:ED),0)</f>
        <v>563177</v>
      </c>
      <c r="F72" s="22">
        <f t="shared" si="5"/>
        <v>10.3251870049868</v>
      </c>
    </row>
    <row r="73" spans="1:6" x14ac:dyDescent="0.2">
      <c r="A73" s="20">
        <v>7</v>
      </c>
      <c r="B73" s="184" t="s">
        <v>6</v>
      </c>
      <c r="C73" s="185"/>
      <c r="D73" s="15">
        <f t="shared" si="4"/>
        <v>125536</v>
      </c>
      <c r="E73" s="18">
        <f>IF(F3="1",SUMIF(Data!A:A,'51'!$A$2,Data!EE:EE),0)</f>
        <v>721077</v>
      </c>
      <c r="F73" s="22">
        <f t="shared" si="5"/>
        <v>5.7439857889370378</v>
      </c>
    </row>
    <row r="74" spans="1:6" x14ac:dyDescent="0.2">
      <c r="A74" s="20">
        <v>8</v>
      </c>
      <c r="B74" s="184" t="s">
        <v>7</v>
      </c>
      <c r="C74" s="185"/>
      <c r="D74" s="15">
        <f t="shared" si="4"/>
        <v>12732</v>
      </c>
      <c r="E74" s="18">
        <f>IF(F3="1",SUMIF(Data!A:A,'51'!$A$2,Data!EF:EF),0)</f>
        <v>137486</v>
      </c>
      <c r="F74" s="22">
        <f t="shared" si="5"/>
        <v>10.798460571787622</v>
      </c>
    </row>
    <row r="75" spans="1:6" x14ac:dyDescent="0.2">
      <c r="A75" s="20">
        <v>9</v>
      </c>
      <c r="B75" s="184" t="s">
        <v>8</v>
      </c>
      <c r="C75" s="185"/>
      <c r="D75" s="15">
        <f t="shared" si="4"/>
        <v>150932</v>
      </c>
      <c r="E75" s="18">
        <f>IF(F3="1",SUMIF(Data!A:A,'51'!$A$2,Data!EG:EG),0)</f>
        <v>327095</v>
      </c>
      <c r="F75" s="22">
        <f t="shared" si="5"/>
        <v>2.167167996183712</v>
      </c>
    </row>
    <row r="76" spans="1:6" x14ac:dyDescent="0.2">
      <c r="A76" s="20">
        <v>10</v>
      </c>
      <c r="B76" s="184" t="s">
        <v>9</v>
      </c>
      <c r="C76" s="185"/>
      <c r="D76" s="15">
        <f t="shared" si="4"/>
        <v>288</v>
      </c>
      <c r="E76" s="18">
        <f>IF(F3="1",SUMIF(Data!A:A,'51'!$A$2,Data!EH:EH),0)</f>
        <v>3</v>
      </c>
      <c r="F76" s="22">
        <f t="shared" si="5"/>
        <v>1.0416666666666666E-2</v>
      </c>
    </row>
    <row r="77" spans="1:6" x14ac:dyDescent="0.2">
      <c r="A77" s="20">
        <v>11</v>
      </c>
      <c r="B77" s="184" t="s">
        <v>10</v>
      </c>
      <c r="C77" s="185"/>
      <c r="D77" s="15">
        <f t="shared" si="4"/>
        <v>205630</v>
      </c>
      <c r="E77" s="18">
        <f>IF(F3="1",SUMIF(Data!A:A,'51'!$A$2,Data!EI:EI),0)</f>
        <v>314756</v>
      </c>
      <c r="F77" s="22">
        <f t="shared" si="5"/>
        <v>1.5306910470262121</v>
      </c>
    </row>
    <row r="78" spans="1:6" ht="14.25" customHeight="1" x14ac:dyDescent="0.2">
      <c r="A78" s="20">
        <v>12</v>
      </c>
      <c r="B78" s="184" t="s">
        <v>11</v>
      </c>
      <c r="C78" s="185"/>
      <c r="D78" s="15">
        <f t="shared" si="4"/>
        <v>335744</v>
      </c>
      <c r="E78" s="18">
        <f>IF(F3="1",SUMIF(Data!A:A,'51'!$A$2,Data!EJ:EJ),0)</f>
        <v>766234</v>
      </c>
      <c r="F78" s="22">
        <f t="shared" si="5"/>
        <v>2.2821971502096834</v>
      </c>
    </row>
    <row r="79" spans="1:6" x14ac:dyDescent="0.2">
      <c r="A79" s="20">
        <v>13</v>
      </c>
      <c r="B79" s="184" t="s">
        <v>12</v>
      </c>
      <c r="C79" s="185"/>
      <c r="D79" s="15">
        <f t="shared" si="4"/>
        <v>75026</v>
      </c>
      <c r="E79" s="18">
        <f>IF(F3="1",SUMIF(Data!A:A,'51'!$A$2,Data!EK:EK),0)</f>
        <v>173418</v>
      </c>
      <c r="F79" s="22">
        <f t="shared" si="5"/>
        <v>2.3114387012502333</v>
      </c>
    </row>
    <row r="80" spans="1:6" ht="14.25" customHeight="1" x14ac:dyDescent="0.2">
      <c r="A80" s="20">
        <v>14</v>
      </c>
      <c r="B80" s="184" t="s">
        <v>469</v>
      </c>
      <c r="C80" s="185"/>
      <c r="D80" s="15">
        <f t="shared" si="4"/>
        <v>41146</v>
      </c>
      <c r="E80" s="18">
        <f>IF(F3="1",SUMIF(Data!A:A,'51'!$A$2,Data!EL:EL),0)</f>
        <v>118215</v>
      </c>
      <c r="F80" s="22">
        <f t="shared" si="5"/>
        <v>2.8730617800029163</v>
      </c>
    </row>
    <row r="81" spans="1:6" x14ac:dyDescent="0.2">
      <c r="A81" s="20">
        <v>15</v>
      </c>
      <c r="B81" s="184" t="s">
        <v>13</v>
      </c>
      <c r="C81" s="185"/>
      <c r="D81" s="15">
        <f t="shared" si="4"/>
        <v>46032</v>
      </c>
      <c r="E81" s="18">
        <f>IF(F3="1",SUMIF(Data!A:A,'51'!$A$2,Data!EM:EM),0)</f>
        <v>301191</v>
      </c>
      <c r="F81" s="22">
        <f t="shared" si="5"/>
        <v>6.5430787278415012</v>
      </c>
    </row>
    <row r="82" spans="1:6" x14ac:dyDescent="0.2">
      <c r="A82" s="20">
        <v>16</v>
      </c>
      <c r="B82" s="184" t="s">
        <v>14</v>
      </c>
      <c r="C82" s="185"/>
      <c r="D82" s="15">
        <f t="shared" si="4"/>
        <v>206389</v>
      </c>
      <c r="E82" s="18">
        <f>IF(F3="1",SUMIF(Data!A:A,'51'!$A$2,Data!EN:EN),0)</f>
        <v>880690</v>
      </c>
      <c r="F82" s="22">
        <f t="shared" si="5"/>
        <v>4.2671363299400644</v>
      </c>
    </row>
    <row r="83" spans="1:6" x14ac:dyDescent="0.2">
      <c r="A83" s="20">
        <v>17</v>
      </c>
      <c r="B83" s="184" t="s">
        <v>15</v>
      </c>
      <c r="C83" s="185"/>
      <c r="D83" s="15">
        <f t="shared" si="4"/>
        <v>0</v>
      </c>
      <c r="E83" s="18">
        <f>IF(F3="1",SUMIF(Data!A:A,'51'!$A$2,Data!EO:EO),0)</f>
        <v>0</v>
      </c>
      <c r="F83" s="22" t="str">
        <f t="shared" si="5"/>
        <v/>
      </c>
    </row>
    <row r="84" spans="1:6" x14ac:dyDescent="0.2">
      <c r="A84" s="20">
        <v>18</v>
      </c>
      <c r="B84" s="184" t="s">
        <v>16</v>
      </c>
      <c r="C84" s="185"/>
      <c r="D84" s="15">
        <f t="shared" si="4"/>
        <v>8736</v>
      </c>
      <c r="E84" s="18">
        <f>IF(F3="1",SUMIF(Data!A:A,'51'!$A$2,Data!EP:EP),0)</f>
        <v>47935</v>
      </c>
      <c r="F84" s="22">
        <f t="shared" si="5"/>
        <v>5.4870650183150182</v>
      </c>
    </row>
    <row r="85" spans="1:6" x14ac:dyDescent="0.2">
      <c r="A85" s="20">
        <v>19</v>
      </c>
      <c r="B85" s="184" t="s">
        <v>17</v>
      </c>
      <c r="C85" s="185"/>
      <c r="D85" s="15">
        <f t="shared" si="4"/>
        <v>266848</v>
      </c>
      <c r="E85" s="18">
        <f>IF(F3="1",SUMIF(Data!A:A,'51'!$A$2,Data!EQ:EQ),0)</f>
        <v>764946</v>
      </c>
      <c r="F85" s="22">
        <f t="shared" si="5"/>
        <v>2.8665982132150138</v>
      </c>
    </row>
    <row r="86" spans="1:6" x14ac:dyDescent="0.2">
      <c r="A86" s="20">
        <v>20</v>
      </c>
      <c r="B86" s="184" t="s">
        <v>18</v>
      </c>
      <c r="C86" s="185"/>
      <c r="D86" s="15">
        <f t="shared" si="4"/>
        <v>142570</v>
      </c>
      <c r="E86" s="18">
        <f>IF(F3="1",SUMIF(Data!A:A,'51'!$A$2,Data!ER:ER),0)</f>
        <v>379053</v>
      </c>
      <c r="F86" s="22">
        <f t="shared" si="5"/>
        <v>2.6587150171845408</v>
      </c>
    </row>
    <row r="87" spans="1:6" ht="14.25" customHeight="1" x14ac:dyDescent="0.2">
      <c r="A87" s="20">
        <v>21</v>
      </c>
      <c r="B87" s="184" t="s">
        <v>466</v>
      </c>
      <c r="C87" s="185"/>
      <c r="D87" s="15">
        <f t="shared" si="4"/>
        <v>45176</v>
      </c>
      <c r="E87" s="18">
        <f>IF(F3="1",SUMIF(Data!A:A,'51'!$A$2,Data!ES:ES),0)</f>
        <v>126293</v>
      </c>
      <c r="F87" s="22">
        <f t="shared" si="5"/>
        <v>2.7955772976801843</v>
      </c>
    </row>
    <row r="88" spans="1:6" x14ac:dyDescent="0.2">
      <c r="A88" s="20">
        <v>22</v>
      </c>
      <c r="B88" s="184" t="s">
        <v>19</v>
      </c>
      <c r="C88" s="185"/>
      <c r="D88" s="15">
        <f t="shared" si="4"/>
        <v>84488</v>
      </c>
      <c r="E88" s="18">
        <f>IF(F3="1",SUMIF(Data!A:A,'51'!$A$2,Data!ET:ET),0)</f>
        <v>96313</v>
      </c>
      <c r="F88" s="22">
        <f t="shared" si="5"/>
        <v>1.1399607044787425</v>
      </c>
    </row>
    <row r="89" spans="1:6" x14ac:dyDescent="0.2">
      <c r="A89" s="20">
        <v>23</v>
      </c>
      <c r="B89" s="184" t="s">
        <v>20</v>
      </c>
      <c r="C89" s="185"/>
      <c r="D89" s="15">
        <f t="shared" si="4"/>
        <v>13152</v>
      </c>
      <c r="E89" s="18">
        <f>IF(F3="1",SUMIF(Data!A:A,'51'!$A$2,Data!EU:EU),0)</f>
        <v>149</v>
      </c>
      <c r="F89" s="22">
        <f t="shared" si="5"/>
        <v>1.1329075425790754E-2</v>
      </c>
    </row>
    <row r="90" spans="1:6" x14ac:dyDescent="0.2">
      <c r="A90" s="20">
        <v>24</v>
      </c>
      <c r="B90" s="184" t="s">
        <v>21</v>
      </c>
      <c r="C90" s="185"/>
      <c r="D90" s="15">
        <f t="shared" si="4"/>
        <v>75164</v>
      </c>
      <c r="E90" s="18">
        <f>IF(F3="1",SUMIF(Data!A:A,'51'!$A$2,Data!EV:EV),0)</f>
        <v>43748</v>
      </c>
      <c r="F90" s="22">
        <f t="shared" si="5"/>
        <v>0.58203395242403277</v>
      </c>
    </row>
    <row r="91" spans="1:6" x14ac:dyDescent="0.2">
      <c r="A91" s="20">
        <v>25</v>
      </c>
      <c r="B91" s="184" t="s">
        <v>22</v>
      </c>
      <c r="C91" s="185"/>
      <c r="D91" s="15">
        <f t="shared" si="4"/>
        <v>357712</v>
      </c>
      <c r="E91" s="18">
        <f>IF(F3="1",SUMIF(Data!A:A,'51'!$A$2,Data!EW:EW),0)</f>
        <v>555464</v>
      </c>
      <c r="F91" s="22">
        <f t="shared" si="5"/>
        <v>1.5528246186876593</v>
      </c>
    </row>
    <row r="92" spans="1:6" x14ac:dyDescent="0.2">
      <c r="A92" s="20">
        <v>26</v>
      </c>
      <c r="B92" s="184" t="s">
        <v>23</v>
      </c>
      <c r="C92" s="185"/>
      <c r="D92" s="15">
        <f t="shared" si="4"/>
        <v>142016</v>
      </c>
      <c r="E92" s="18">
        <f>IF(F3="1",SUMIF(Data!A:A,'51'!$A$2,Data!EX:EX),0)</f>
        <v>98014</v>
      </c>
      <c r="F92" s="22">
        <f t="shared" si="5"/>
        <v>0.69016167192429023</v>
      </c>
    </row>
    <row r="93" spans="1:6" x14ac:dyDescent="0.2">
      <c r="A93" s="20">
        <v>28</v>
      </c>
      <c r="B93" s="184" t="s">
        <v>24</v>
      </c>
      <c r="C93" s="185"/>
      <c r="D93" s="15">
        <f t="shared" si="4"/>
        <v>0</v>
      </c>
      <c r="E93" s="18">
        <f>IF(F3="1",SUMIF(Data!A:A,'51'!$A$2,Data!EZ:EZ),0)</f>
        <v>0</v>
      </c>
      <c r="F93" s="22" t="str">
        <f t="shared" si="5"/>
        <v/>
      </c>
    </row>
    <row r="94" spans="1:6" ht="15.75" customHeight="1" thickBot="1" x14ac:dyDescent="0.25">
      <c r="A94" s="23">
        <v>29</v>
      </c>
      <c r="B94" s="186" t="s">
        <v>25</v>
      </c>
      <c r="C94" s="187"/>
      <c r="D94" s="24">
        <f t="shared" si="4"/>
        <v>0</v>
      </c>
      <c r="E94" s="25">
        <f>IF(F3="1",SUMIF(Data!A:A,'51'!$A$2,Data!FA:FA),0)</f>
        <v>0</v>
      </c>
      <c r="F94" s="26" t="str">
        <f t="shared" si="5"/>
        <v/>
      </c>
    </row>
    <row r="95" spans="1:6" x14ac:dyDescent="0.2">
      <c r="B95" s="31" t="s">
        <v>35</v>
      </c>
      <c r="C95" s="31"/>
      <c r="D95" s="61">
        <f>SUM(D67:D94)</f>
        <v>2979157</v>
      </c>
      <c r="E95" s="32">
        <f>SUM(E67:E94)</f>
        <v>7795169</v>
      </c>
      <c r="F95" s="33">
        <f t="shared" si="5"/>
        <v>2.6165687139012817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IF(F3="1",SUMIF(Data!A:A,'51'!$A$2,Data!AH:AH),0)</f>
        <v>2917595</v>
      </c>
      <c r="F98" s="21">
        <f t="shared" ref="F98:F105" si="6">IFERROR(E98/$D$95,0)</f>
        <v>0.97933576511744769</v>
      </c>
    </row>
    <row r="99" spans="2:6" x14ac:dyDescent="0.2">
      <c r="B99" s="190" t="s">
        <v>31</v>
      </c>
      <c r="C99" s="191"/>
      <c r="D99" s="37"/>
      <c r="E99" s="18">
        <f>IF(F3="1",SUMIF(Data!A:A,'51'!$A$2,Data!AI:AI),0)</f>
        <v>2325335</v>
      </c>
      <c r="F99" s="22">
        <f t="shared" si="6"/>
        <v>0.7805345606156372</v>
      </c>
    </row>
    <row r="100" spans="2:6" x14ac:dyDescent="0.2">
      <c r="B100" s="190" t="s">
        <v>32</v>
      </c>
      <c r="C100" s="191"/>
      <c r="D100" s="37"/>
      <c r="E100" s="18">
        <f>IF(F3="1",SUMIF(Data!A:A,'51'!$A$2,Data!AJ:AJ),0)</f>
        <v>1265817</v>
      </c>
      <c r="F100" s="22">
        <f t="shared" si="6"/>
        <v>0.42489100104492644</v>
      </c>
    </row>
    <row r="101" spans="2:6" x14ac:dyDescent="0.2">
      <c r="B101" s="190" t="s">
        <v>28</v>
      </c>
      <c r="C101" s="191"/>
      <c r="D101" s="37"/>
      <c r="E101" s="18">
        <f>IF(F3="1",SUMIF(Data!A:A,'51'!$A$2,Data!AK:AK),0)</f>
        <v>288457</v>
      </c>
      <c r="F101" s="22">
        <f t="shared" si="6"/>
        <v>9.6825041446288326E-2</v>
      </c>
    </row>
    <row r="102" spans="2:6" x14ac:dyDescent="0.2">
      <c r="B102" s="190" t="s">
        <v>33</v>
      </c>
      <c r="C102" s="191"/>
      <c r="D102" s="37"/>
      <c r="E102" s="18">
        <f>IF(F3="1",SUMIF(Data!A:A,'51'!$A$2,Data!AL:AL),0)</f>
        <v>579774</v>
      </c>
      <c r="F102" s="22">
        <f t="shared" si="6"/>
        <v>0.19461008600755181</v>
      </c>
    </row>
    <row r="103" spans="2:6" x14ac:dyDescent="0.2">
      <c r="B103" s="192" t="s">
        <v>34</v>
      </c>
      <c r="C103" s="193"/>
      <c r="D103" s="37"/>
      <c r="E103" s="18">
        <f>IF(F3="1",SUMIF(Data!A:A,'51'!$A$2,Data!AM:AM),0)</f>
        <v>583508</v>
      </c>
      <c r="F103" s="22">
        <f t="shared" si="6"/>
        <v>0.19586346070381655</v>
      </c>
    </row>
    <row r="104" spans="2:6" ht="15.75" customHeight="1" thickBot="1" x14ac:dyDescent="0.25">
      <c r="B104" s="182" t="s">
        <v>29</v>
      </c>
      <c r="C104" s="183"/>
      <c r="D104" s="38"/>
      <c r="E104" s="25">
        <f>IF(F3="1",SUMIF(Data!A:A,'51'!$A$2,Data!Q:Q),0)</f>
        <v>177667</v>
      </c>
      <c r="F104" s="26">
        <f t="shared" si="6"/>
        <v>5.9636669030870143E-2</v>
      </c>
    </row>
    <row r="105" spans="2:6" x14ac:dyDescent="0.2">
      <c r="B105" s="31" t="s">
        <v>35</v>
      </c>
      <c r="C105" s="31"/>
      <c r="D105" s="35">
        <f>D95</f>
        <v>2979157</v>
      </c>
      <c r="E105" s="32">
        <f>SUM(E98:E104)</f>
        <v>8138153</v>
      </c>
      <c r="F105" s="33">
        <f t="shared" si="6"/>
        <v>2.7316965839665381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7795169</v>
      </c>
      <c r="D109" s="16">
        <f>IF(F3="1",SUMIF(Data!$A:$A,$A$2,Data!HJ:HJ),0)</f>
        <v>0</v>
      </c>
      <c r="E109" s="16">
        <f>IF(F3="1",SUMIF(Data!$A:$A,$A$2,Data!IN:IN),0)</f>
        <v>0</v>
      </c>
      <c r="F109" s="48">
        <f>SUM(C109:E109)</f>
        <v>7795169</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579774</v>
      </c>
      <c r="F116" s="49">
        <f t="shared" si="7"/>
        <v>579774</v>
      </c>
    </row>
    <row r="117" spans="1:6" ht="15" thickBot="1" x14ac:dyDescent="0.25">
      <c r="B117" s="44" t="s">
        <v>941</v>
      </c>
      <c r="C117" s="53"/>
      <c r="D117" s="53">
        <f>IF(F3="1",SUMIF(Data!A:A,$A$2,Data!Q:Q),0)</f>
        <v>177667</v>
      </c>
      <c r="E117" s="53"/>
      <c r="F117" s="50">
        <f>SUM(C117:E117)</f>
        <v>177667</v>
      </c>
    </row>
    <row r="118" spans="1:6" x14ac:dyDescent="0.2">
      <c r="B118" s="14" t="s">
        <v>35</v>
      </c>
      <c r="C118" s="5">
        <f>SUM(C109:C116)</f>
        <v>7795169</v>
      </c>
      <c r="D118" s="5">
        <f>SUM(D109:D116)</f>
        <v>0</v>
      </c>
      <c r="E118" s="5">
        <f>SUM(E109:E116)</f>
        <v>579774</v>
      </c>
      <c r="F118" s="5">
        <f>SUM(F109:F116)</f>
        <v>8374943</v>
      </c>
    </row>
    <row r="119" spans="1:6" ht="15" thickBot="1" x14ac:dyDescent="0.25"/>
    <row r="120" spans="1:6" ht="15" thickBot="1" x14ac:dyDescent="0.25">
      <c r="B120" s="57" t="s">
        <v>942</v>
      </c>
      <c r="C120" s="55"/>
      <c r="D120" s="55"/>
      <c r="E120" s="55">
        <f>IF(F3="1",SUMIF(Data!A:A,'51'!$A$2,Data!AM:AM),0)</f>
        <v>583508</v>
      </c>
      <c r="F120" s="56">
        <f>SUM(C120:E120)</f>
        <v>583508</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436</v>
      </c>
      <c r="B2" s="60" t="str">
        <f>VLOOKUP(A2,Data!A:G,7,0)</f>
        <v>Texas State Technical College-West Texas</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2768</v>
      </c>
      <c r="E5" s="16">
        <f>E36+E67+IFERROR($E$105/$D$105*D5,0)</f>
        <v>32183.912687203439</v>
      </c>
      <c r="F5" s="21">
        <f>IFERROR(E5/D5,"")</f>
        <v>11.627136086417428</v>
      </c>
    </row>
    <row r="6" spans="1:6" x14ac:dyDescent="0.2">
      <c r="A6" s="20">
        <v>2</v>
      </c>
      <c r="B6" s="184" t="s">
        <v>1</v>
      </c>
      <c r="C6" s="185"/>
      <c r="D6" s="15">
        <f t="shared" ref="D6:D32" si="0">D37</f>
        <v>45392</v>
      </c>
      <c r="E6" s="18">
        <f t="shared" ref="E6:E32" si="1">E37+E68+IFERROR($E$105/$D$105*D6,0)</f>
        <v>527793.0884022899</v>
      </c>
      <c r="F6" s="22">
        <f t="shared" ref="F6:F33" si="2">IFERROR(E6/D6,"")</f>
        <v>11.627447312352174</v>
      </c>
    </row>
    <row r="7" spans="1:6" ht="14.25" customHeight="1" x14ac:dyDescent="0.2">
      <c r="A7" s="20">
        <v>3</v>
      </c>
      <c r="B7" s="184" t="s">
        <v>2</v>
      </c>
      <c r="C7" s="185"/>
      <c r="D7" s="15">
        <f t="shared" si="0"/>
        <v>1968</v>
      </c>
      <c r="E7" s="18">
        <f t="shared" si="1"/>
        <v>19672.995725583947</v>
      </c>
      <c r="F7" s="22">
        <f t="shared" si="2"/>
        <v>9.9964409174715172</v>
      </c>
    </row>
    <row r="8" spans="1:6" ht="14.25" customHeight="1" x14ac:dyDescent="0.2">
      <c r="A8" s="20">
        <v>4</v>
      </c>
      <c r="B8" s="184" t="s">
        <v>3</v>
      </c>
      <c r="C8" s="185"/>
      <c r="D8" s="15">
        <f t="shared" si="0"/>
        <v>285240</v>
      </c>
      <c r="E8" s="18">
        <f t="shared" si="1"/>
        <v>2582121.39266543</v>
      </c>
      <c r="F8" s="22">
        <f t="shared" si="2"/>
        <v>9.0524519445569691</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6816</v>
      </c>
      <c r="E10" s="18">
        <f t="shared" si="1"/>
        <v>79252.692512998066</v>
      </c>
      <c r="F10" s="22">
        <f t="shared" si="2"/>
        <v>11.627449018925773</v>
      </c>
    </row>
    <row r="11" spans="1:6" x14ac:dyDescent="0.2">
      <c r="A11" s="20">
        <v>7</v>
      </c>
      <c r="B11" s="184" t="s">
        <v>6</v>
      </c>
      <c r="C11" s="185"/>
      <c r="D11" s="15">
        <f t="shared" si="0"/>
        <v>122096</v>
      </c>
      <c r="E11" s="18">
        <f t="shared" si="1"/>
        <v>1105267.7266823668</v>
      </c>
      <c r="F11" s="22">
        <f t="shared" si="2"/>
        <v>9.0524482921829286</v>
      </c>
    </row>
    <row r="12" spans="1:6" x14ac:dyDescent="0.2">
      <c r="A12" s="20">
        <v>8</v>
      </c>
      <c r="B12" s="184" t="s">
        <v>7</v>
      </c>
      <c r="C12" s="185"/>
      <c r="D12" s="15">
        <f t="shared" si="0"/>
        <v>15232</v>
      </c>
      <c r="E12" s="18">
        <f t="shared" si="1"/>
        <v>177109.2189492351</v>
      </c>
      <c r="F12" s="22">
        <f t="shared" si="2"/>
        <v>11.627443470931926</v>
      </c>
    </row>
    <row r="13" spans="1:6" x14ac:dyDescent="0.2">
      <c r="A13" s="20">
        <v>9</v>
      </c>
      <c r="B13" s="184" t="s">
        <v>8</v>
      </c>
      <c r="C13" s="185"/>
      <c r="D13" s="15">
        <f t="shared" si="0"/>
        <v>28912</v>
      </c>
      <c r="E13" s="18">
        <f t="shared" si="1"/>
        <v>336171.79899292841</v>
      </c>
      <c r="F13" s="22">
        <f t="shared" si="2"/>
        <v>11.627414187635875</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113420</v>
      </c>
      <c r="E15" s="18">
        <f t="shared" si="1"/>
        <v>1545358.2272336034</v>
      </c>
      <c r="F15" s="22">
        <f t="shared" si="2"/>
        <v>13.625094579735526</v>
      </c>
    </row>
    <row r="16" spans="1:6" ht="14.25" customHeight="1" x14ac:dyDescent="0.2">
      <c r="A16" s="20">
        <v>12</v>
      </c>
      <c r="B16" s="184" t="s">
        <v>11</v>
      </c>
      <c r="C16" s="185"/>
      <c r="D16" s="15">
        <f t="shared" si="0"/>
        <v>75456</v>
      </c>
      <c r="E16" s="18">
        <f t="shared" si="1"/>
        <v>754318.5678199504</v>
      </c>
      <c r="F16" s="22">
        <f t="shared" si="2"/>
        <v>9.9968003580888247</v>
      </c>
    </row>
    <row r="17" spans="1:6" x14ac:dyDescent="0.2">
      <c r="A17" s="20">
        <v>13</v>
      </c>
      <c r="B17" s="184" t="s">
        <v>12</v>
      </c>
      <c r="C17" s="185"/>
      <c r="D17" s="15">
        <f t="shared" si="0"/>
        <v>6336</v>
      </c>
      <c r="E17" s="18">
        <f t="shared" si="1"/>
        <v>63339.742336026371</v>
      </c>
      <c r="F17" s="22">
        <f t="shared" si="2"/>
        <v>9.9968027676809292</v>
      </c>
    </row>
    <row r="18" spans="1:6" ht="14.25" customHeight="1" x14ac:dyDescent="0.2">
      <c r="A18" s="20">
        <v>14</v>
      </c>
      <c r="B18" s="184" t="s">
        <v>469</v>
      </c>
      <c r="C18" s="185"/>
      <c r="D18" s="15">
        <f t="shared" si="0"/>
        <v>22800</v>
      </c>
      <c r="E18" s="18">
        <f t="shared" si="1"/>
        <v>269778.63340615551</v>
      </c>
      <c r="F18" s="22">
        <f t="shared" si="2"/>
        <v>11.832396202024364</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109611</v>
      </c>
      <c r="E20" s="18">
        <f t="shared" si="1"/>
        <v>1296960.7726000925</v>
      </c>
      <c r="F20" s="22">
        <f t="shared" si="2"/>
        <v>11.832396133600573</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132400</v>
      </c>
      <c r="E22" s="18">
        <f t="shared" si="1"/>
        <v>1566608.2571480258</v>
      </c>
      <c r="F22" s="22">
        <f t="shared" si="2"/>
        <v>11.832388649154273</v>
      </c>
    </row>
    <row r="23" spans="1:6" x14ac:dyDescent="0.2">
      <c r="A23" s="20">
        <v>19</v>
      </c>
      <c r="B23" s="184" t="s">
        <v>17</v>
      </c>
      <c r="C23" s="185"/>
      <c r="D23" s="15">
        <f t="shared" si="0"/>
        <v>69792</v>
      </c>
      <c r="E23" s="18">
        <f t="shared" si="1"/>
        <v>697695.55573168444</v>
      </c>
      <c r="F23" s="22">
        <f t="shared" si="2"/>
        <v>9.9967840974851629</v>
      </c>
    </row>
    <row r="24" spans="1:6" x14ac:dyDescent="0.2">
      <c r="A24" s="20">
        <v>20</v>
      </c>
      <c r="B24" s="184" t="s">
        <v>18</v>
      </c>
      <c r="C24" s="185"/>
      <c r="D24" s="15">
        <f t="shared" si="0"/>
        <v>33280</v>
      </c>
      <c r="E24" s="18">
        <f t="shared" si="1"/>
        <v>476280.54560337088</v>
      </c>
      <c r="F24" s="22">
        <f t="shared" si="2"/>
        <v>14.311314471255134</v>
      </c>
    </row>
    <row r="25" spans="1:6" ht="14.25" customHeight="1" x14ac:dyDescent="0.2">
      <c r="A25" s="20">
        <v>21</v>
      </c>
      <c r="B25" s="184" t="s">
        <v>466</v>
      </c>
      <c r="C25" s="185"/>
      <c r="D25" s="15">
        <f t="shared" si="0"/>
        <v>39248</v>
      </c>
      <c r="E25" s="18">
        <f t="shared" si="1"/>
        <v>561689.1261370522</v>
      </c>
      <c r="F25" s="22">
        <f t="shared" si="2"/>
        <v>14.31128022159224</v>
      </c>
    </row>
    <row r="26" spans="1:6" x14ac:dyDescent="0.2">
      <c r="A26" s="20">
        <v>22</v>
      </c>
      <c r="B26" s="184" t="s">
        <v>19</v>
      </c>
      <c r="C26" s="185"/>
      <c r="D26" s="15">
        <f t="shared" si="0"/>
        <v>440</v>
      </c>
      <c r="E26" s="18">
        <f t="shared" si="1"/>
        <v>5116.9543288907207</v>
      </c>
      <c r="F26" s="22">
        <f t="shared" si="2"/>
        <v>11.629441656569821</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22996</v>
      </c>
      <c r="E28" s="18">
        <f t="shared" si="1"/>
        <v>208169.01306175228</v>
      </c>
      <c r="F28" s="22">
        <f t="shared" si="2"/>
        <v>9.0524009854649634</v>
      </c>
    </row>
    <row r="29" spans="1:6" x14ac:dyDescent="0.2">
      <c r="A29" s="20">
        <v>25</v>
      </c>
      <c r="B29" s="184" t="s">
        <v>22</v>
      </c>
      <c r="C29" s="185"/>
      <c r="D29" s="15">
        <f t="shared" si="0"/>
        <v>31296</v>
      </c>
      <c r="E29" s="18">
        <f t="shared" si="1"/>
        <v>312860.15153855452</v>
      </c>
      <c r="F29" s="22">
        <f t="shared" si="2"/>
        <v>9.9968095455826465</v>
      </c>
    </row>
    <row r="30" spans="1:6" x14ac:dyDescent="0.2">
      <c r="A30" s="20">
        <v>26</v>
      </c>
      <c r="B30" s="184" t="s">
        <v>23</v>
      </c>
      <c r="C30" s="185"/>
      <c r="D30" s="15">
        <f t="shared" si="0"/>
        <v>67184</v>
      </c>
      <c r="E30" s="18">
        <f t="shared" si="1"/>
        <v>608182.62643680489</v>
      </c>
      <c r="F30" s="22">
        <f t="shared" si="2"/>
        <v>9.0524920581805919</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1232683</v>
      </c>
      <c r="E33" s="32">
        <f>SUM(E5:E32)</f>
        <v>13225930.999999998</v>
      </c>
      <c r="F33" s="33">
        <f t="shared" si="2"/>
        <v>10.729385413768178</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IF(F3="1",SUMIF(Data!A:A,'52'!$A$2,Data!CU:CU),0)</f>
        <v>2768</v>
      </c>
      <c r="E36" s="16">
        <f>IF(F3="1",SUMIF(Data!$A:$A,'52'!$A$2,Data!IO:IO),0)</f>
        <v>10732</v>
      </c>
      <c r="F36" s="21">
        <f t="shared" ref="F36:F64" si="3">IFERROR(E36/D36,"")</f>
        <v>3.8771676300578033</v>
      </c>
    </row>
    <row r="37" spans="1:6" x14ac:dyDescent="0.2">
      <c r="A37" s="20">
        <v>2</v>
      </c>
      <c r="B37" s="184" t="s">
        <v>1</v>
      </c>
      <c r="C37" s="185"/>
      <c r="D37" s="15">
        <f>IF(F3="1",SUMIF(Data!A:A,'52'!$A$2,Data!CV:CV),0)</f>
        <v>45392</v>
      </c>
      <c r="E37" s="18">
        <f>IF(F3="1",SUMIF(Data!$A:$A,'52'!$A$2,Data!IP:IP),0)</f>
        <v>176004</v>
      </c>
      <c r="F37" s="22">
        <f t="shared" si="3"/>
        <v>3.8774233345082836</v>
      </c>
    </row>
    <row r="38" spans="1:6" ht="14.25" customHeight="1" x14ac:dyDescent="0.2">
      <c r="A38" s="20">
        <v>3</v>
      </c>
      <c r="B38" s="184" t="s">
        <v>2</v>
      </c>
      <c r="C38" s="185"/>
      <c r="D38" s="15">
        <f>IF(F3="1",SUMIF(Data!A:A,'52'!$A$2,Data!CW:CW),0)</f>
        <v>1968</v>
      </c>
      <c r="E38" s="18">
        <f>IF(F3="1",SUMIF(Data!$A:$A,'52'!$A$2,Data!IQ:IQ),0)</f>
        <v>2277</v>
      </c>
      <c r="F38" s="22">
        <f t="shared" si="3"/>
        <v>1.1570121951219512</v>
      </c>
    </row>
    <row r="39" spans="1:6" ht="14.25" customHeight="1" x14ac:dyDescent="0.2">
      <c r="A39" s="20">
        <v>4</v>
      </c>
      <c r="B39" s="184" t="s">
        <v>3</v>
      </c>
      <c r="C39" s="185"/>
      <c r="D39" s="15">
        <f>IF(F3="1",SUMIF(Data!A:A,'52'!$A$2,Data!CX:CX),0)</f>
        <v>285240</v>
      </c>
      <c r="E39" s="18">
        <f>IF(F3="1",SUMIF(Data!$A:$A,'52'!$A$2,Data!IR:IR),0)</f>
        <v>316627</v>
      </c>
      <c r="F39" s="22">
        <f t="shared" si="3"/>
        <v>1.1100371616884028</v>
      </c>
    </row>
    <row r="40" spans="1:6" x14ac:dyDescent="0.2">
      <c r="A40" s="20">
        <v>5</v>
      </c>
      <c r="B40" s="184" t="s">
        <v>4</v>
      </c>
      <c r="C40" s="185"/>
      <c r="D40" s="15">
        <f>IF(F3="1",SUMIF(Data!A:A,'52'!$A$2,Data!CY:CY),0)</f>
        <v>0</v>
      </c>
      <c r="E40" s="18">
        <f>IF(F3="1",SUMIF(Data!$A:$A,'52'!$A$2,Data!IS:IS),0)</f>
        <v>0</v>
      </c>
      <c r="F40" s="22" t="str">
        <f t="shared" si="3"/>
        <v/>
      </c>
    </row>
    <row r="41" spans="1:6" x14ac:dyDescent="0.2">
      <c r="A41" s="20">
        <v>6</v>
      </c>
      <c r="B41" s="184" t="s">
        <v>5</v>
      </c>
      <c r="C41" s="185"/>
      <c r="D41" s="15">
        <f>IF(F3="1",SUMIF(Data!A:A,'52'!$A$2,Data!CZ:CZ),0)</f>
        <v>6816</v>
      </c>
      <c r="E41" s="18">
        <f>IF(F3="1",SUMIF(Data!$A:$A,'52'!$A$2,Data!IT:IT),0)</f>
        <v>26429</v>
      </c>
      <c r="F41" s="22">
        <f t="shared" si="3"/>
        <v>3.877494131455399</v>
      </c>
    </row>
    <row r="42" spans="1:6" x14ac:dyDescent="0.2">
      <c r="A42" s="20">
        <v>7</v>
      </c>
      <c r="B42" s="184" t="s">
        <v>6</v>
      </c>
      <c r="C42" s="185"/>
      <c r="D42" s="15">
        <f>IF(F3="1",SUMIF(Data!A:A,'52'!$A$2,Data!DA:DA),0)</f>
        <v>122096</v>
      </c>
      <c r="E42" s="18">
        <f>IF(F3="1",SUMIF(Data!$A:$A,'52'!$A$2,Data!IU:IU),0)</f>
        <v>135531</v>
      </c>
      <c r="F42" s="22">
        <f t="shared" si="3"/>
        <v>1.1100363648276765</v>
      </c>
    </row>
    <row r="43" spans="1:6" x14ac:dyDescent="0.2">
      <c r="A43" s="20">
        <v>8</v>
      </c>
      <c r="B43" s="184" t="s">
        <v>7</v>
      </c>
      <c r="C43" s="185"/>
      <c r="D43" s="15">
        <f>IF(F3="1",SUMIF(Data!A:A,'52'!$A$2,Data!DB:DB),0)</f>
        <v>15232</v>
      </c>
      <c r="E43" s="18">
        <f>IF(F3="1",SUMIF(Data!$A:$A,'52'!$A$2,Data!IV:IV),0)</f>
        <v>59060</v>
      </c>
      <c r="F43" s="22">
        <f t="shared" si="3"/>
        <v>3.8773634453781511</v>
      </c>
    </row>
    <row r="44" spans="1:6" x14ac:dyDescent="0.2">
      <c r="A44" s="20">
        <v>9</v>
      </c>
      <c r="B44" s="184" t="s">
        <v>8</v>
      </c>
      <c r="C44" s="185"/>
      <c r="D44" s="15">
        <f>IF(F3="1",SUMIF(Data!A:A,'52'!$A$2,Data!DC:DC),0)</f>
        <v>28912</v>
      </c>
      <c r="E44" s="18">
        <f>IF(F3="1",SUMIF(Data!$A:$A,'52'!$A$2,Data!IW:IW),0)</f>
        <v>112104</v>
      </c>
      <c r="F44" s="22">
        <f t="shared" si="3"/>
        <v>3.8774211400110681</v>
      </c>
    </row>
    <row r="45" spans="1:6" x14ac:dyDescent="0.2">
      <c r="A45" s="20">
        <v>10</v>
      </c>
      <c r="B45" s="184" t="s">
        <v>9</v>
      </c>
      <c r="C45" s="185"/>
      <c r="D45" s="15">
        <f>IF(F3="1",SUMIF(Data!A:A,'52'!$A$2,Data!DD:DD),0)</f>
        <v>0</v>
      </c>
      <c r="E45" s="18">
        <f>IF(F3="1",SUMIF(Data!$A:$A,'52'!$A$2,Data!IX:IX),0)</f>
        <v>0</v>
      </c>
      <c r="F45" s="22" t="str">
        <f t="shared" si="3"/>
        <v/>
      </c>
    </row>
    <row r="46" spans="1:6" x14ac:dyDescent="0.2">
      <c r="A46" s="20">
        <v>11</v>
      </c>
      <c r="B46" s="184" t="s">
        <v>10</v>
      </c>
      <c r="C46" s="185"/>
      <c r="D46" s="15">
        <f>IF(F3="1",SUMIF(Data!A:A,'52'!$A$2,Data!DE:DE),0)</f>
        <v>113420</v>
      </c>
      <c r="E46" s="18">
        <f>IF(F3="1",SUMIF(Data!$A:$A,'52'!$A$2,Data!IY:IY),0)</f>
        <v>226880</v>
      </c>
      <c r="F46" s="22">
        <f t="shared" si="3"/>
        <v>2.0003526714865103</v>
      </c>
    </row>
    <row r="47" spans="1:6" ht="14.25" customHeight="1" x14ac:dyDescent="0.2">
      <c r="A47" s="20">
        <v>12</v>
      </c>
      <c r="B47" s="184" t="s">
        <v>11</v>
      </c>
      <c r="C47" s="185"/>
      <c r="D47" s="15">
        <f>IF(F3="1",SUMIF(Data!A:A,'52'!$A$2,Data!DF:DF),0)</f>
        <v>75456</v>
      </c>
      <c r="E47" s="18">
        <f>IF(F3="1",SUMIF(Data!$A:$A,'52'!$A$2,Data!IZ:IZ),0)</f>
        <v>87333</v>
      </c>
      <c r="F47" s="22">
        <f t="shared" si="3"/>
        <v>1.1574029898218829</v>
      </c>
    </row>
    <row r="48" spans="1:6" x14ac:dyDescent="0.2">
      <c r="A48" s="20">
        <v>13</v>
      </c>
      <c r="B48" s="184" t="s">
        <v>12</v>
      </c>
      <c r="C48" s="185"/>
      <c r="D48" s="15">
        <f>IF(F3="1",SUMIF(Data!A:A,'52'!$A$2,Data!DG:DG),0)</f>
        <v>6336</v>
      </c>
      <c r="E48" s="18">
        <f>IF(F3="1",SUMIF(Data!$A:$A,'52'!$A$2,Data!JA:JA),0)</f>
        <v>7333</v>
      </c>
      <c r="F48" s="22">
        <f t="shared" si="3"/>
        <v>1.157354797979798</v>
      </c>
    </row>
    <row r="49" spans="1:6" ht="14.25" customHeight="1" x14ac:dyDescent="0.2">
      <c r="A49" s="20">
        <v>14</v>
      </c>
      <c r="B49" s="184" t="s">
        <v>469</v>
      </c>
      <c r="C49" s="185"/>
      <c r="D49" s="15">
        <f>IF(F3="1",SUMIF(Data!A:A,'52'!$A$2,Data!DH:DH),0)</f>
        <v>22800</v>
      </c>
      <c r="E49" s="18">
        <f>IF(F3="1",SUMIF(Data!$A:$A,'52'!$A$2,Data!JB:JB),0)</f>
        <v>34980</v>
      </c>
      <c r="F49" s="22">
        <f t="shared" si="3"/>
        <v>1.5342105263157895</v>
      </c>
    </row>
    <row r="50" spans="1:6" x14ac:dyDescent="0.2">
      <c r="A50" s="20">
        <v>15</v>
      </c>
      <c r="B50" s="184" t="s">
        <v>13</v>
      </c>
      <c r="C50" s="185"/>
      <c r="D50" s="15">
        <f>IF(F3="1",SUMIF(Data!A:A,'52'!$A$2,Data!DI:DI),0)</f>
        <v>0</v>
      </c>
      <c r="E50" s="18">
        <f>IF(F3="1",SUMIF(Data!$A:$A,'52'!$A$2,Data!JC:JC),0)</f>
        <v>0</v>
      </c>
      <c r="F50" s="22" t="str">
        <f t="shared" si="3"/>
        <v/>
      </c>
    </row>
    <row r="51" spans="1:6" x14ac:dyDescent="0.2">
      <c r="A51" s="20">
        <v>16</v>
      </c>
      <c r="B51" s="184" t="s">
        <v>14</v>
      </c>
      <c r="C51" s="185"/>
      <c r="D51" s="15">
        <f>IF(F3="1",SUMIF(Data!A:A,'52'!$A$2,Data!DJ:DJ),0)</f>
        <v>109611</v>
      </c>
      <c r="E51" s="18">
        <f>IF(F3="1",SUMIF(Data!$A:$A,'52'!$A$2,Data!JD:JD),0)</f>
        <v>168166</v>
      </c>
      <c r="F51" s="22">
        <f t="shared" si="3"/>
        <v>1.534207333205609</v>
      </c>
    </row>
    <row r="52" spans="1:6" x14ac:dyDescent="0.2">
      <c r="A52" s="20">
        <v>17</v>
      </c>
      <c r="B52" s="184" t="s">
        <v>15</v>
      </c>
      <c r="C52" s="185"/>
      <c r="D52" s="15">
        <f>IF(F3="1",SUMIF(Data!A:A,'52'!$A$2,Data!DK:DK),0)</f>
        <v>0</v>
      </c>
      <c r="E52" s="18">
        <f>IF(F3="1",SUMIF(Data!$A:$A,'52'!$A$2,Data!JE:JE),0)</f>
        <v>0</v>
      </c>
      <c r="F52" s="22" t="str">
        <f t="shared" si="3"/>
        <v/>
      </c>
    </row>
    <row r="53" spans="1:6" x14ac:dyDescent="0.2">
      <c r="A53" s="20">
        <v>18</v>
      </c>
      <c r="B53" s="184" t="s">
        <v>16</v>
      </c>
      <c r="C53" s="185"/>
      <c r="D53" s="15">
        <f>IF(F3="1",SUMIF(Data!A:A,'52'!$A$2,Data!DL:DL),0)</f>
        <v>132400</v>
      </c>
      <c r="E53" s="18">
        <f>IF(F3="1",SUMIF(Data!$A:$A,'52'!$A$2,Data!JF:JF),0)</f>
        <v>203127</v>
      </c>
      <c r="F53" s="22">
        <f t="shared" si="3"/>
        <v>1.5341918429003021</v>
      </c>
    </row>
    <row r="54" spans="1:6" x14ac:dyDescent="0.2">
      <c r="A54" s="20">
        <v>19</v>
      </c>
      <c r="B54" s="184" t="s">
        <v>17</v>
      </c>
      <c r="C54" s="185"/>
      <c r="D54" s="15">
        <f>IF(F3="1",SUMIF(Data!A:A,'52'!$A$2,Data!DM:DM),0)</f>
        <v>69792</v>
      </c>
      <c r="E54" s="18">
        <f>IF(F3="1",SUMIF(Data!$A:$A,'52'!$A$2,Data!JG:JG),0)</f>
        <v>80776</v>
      </c>
      <c r="F54" s="22">
        <f t="shared" si="3"/>
        <v>1.1573819348922512</v>
      </c>
    </row>
    <row r="55" spans="1:6" x14ac:dyDescent="0.2">
      <c r="A55" s="20">
        <v>20</v>
      </c>
      <c r="B55" s="184" t="s">
        <v>18</v>
      </c>
      <c r="C55" s="185"/>
      <c r="D55" s="15">
        <f>IF(F3="1",SUMIF(Data!A:A,'52'!$A$2,Data!DN:DN),0)</f>
        <v>33280</v>
      </c>
      <c r="E55" s="18">
        <f>IF(F3="1",SUMIF(Data!$A:$A,'52'!$A$2,Data!JH:JH),0)</f>
        <v>80756</v>
      </c>
      <c r="F55" s="22">
        <f t="shared" si="3"/>
        <v>2.4265625000000002</v>
      </c>
    </row>
    <row r="56" spans="1:6" ht="14.25" customHeight="1" x14ac:dyDescent="0.2">
      <c r="A56" s="20">
        <v>21</v>
      </c>
      <c r="B56" s="184" t="s">
        <v>466</v>
      </c>
      <c r="C56" s="185"/>
      <c r="D56" s="15">
        <f>IF(F3="1",SUMIF(Data!A:A,'52'!$A$2,Data!DO:DO),0)</f>
        <v>39248</v>
      </c>
      <c r="E56" s="18">
        <f>IF(F3="1",SUMIF(Data!$A:$A,'52'!$A$2,Data!JI:JI),0)</f>
        <v>95236</v>
      </c>
      <c r="F56" s="22">
        <f t="shared" si="3"/>
        <v>2.4265185487158583</v>
      </c>
    </row>
    <row r="57" spans="1:6" x14ac:dyDescent="0.2">
      <c r="A57" s="20">
        <v>22</v>
      </c>
      <c r="B57" s="184" t="s">
        <v>19</v>
      </c>
      <c r="C57" s="185"/>
      <c r="D57" s="15">
        <f>IF(F3="1",SUMIF(Data!A:A,'52'!$A$2,Data!DP:DP),0)</f>
        <v>440</v>
      </c>
      <c r="E57" s="18">
        <f>IF(F3="1",SUMIF(Data!$A:$A,'52'!$A$2,Data!JJ:JJ),0)</f>
        <v>1707</v>
      </c>
      <c r="F57" s="22">
        <f t="shared" si="3"/>
        <v>3.8795454545454544</v>
      </c>
    </row>
    <row r="58" spans="1:6" x14ac:dyDescent="0.2">
      <c r="A58" s="20">
        <v>23</v>
      </c>
      <c r="B58" s="184" t="s">
        <v>20</v>
      </c>
      <c r="C58" s="185"/>
      <c r="D58" s="15">
        <f>IF(F3="1",SUMIF(Data!A:A,'52'!$A$2,Data!DQ:DQ),0)</f>
        <v>0</v>
      </c>
      <c r="E58" s="18">
        <f>IF(F3="1",SUMIF(Data!$A:$A,'52'!$A$2,Data!JK:JK),0)</f>
        <v>0</v>
      </c>
      <c r="F58" s="22" t="str">
        <f t="shared" si="3"/>
        <v/>
      </c>
    </row>
    <row r="59" spans="1:6" x14ac:dyDescent="0.2">
      <c r="A59" s="20">
        <v>24</v>
      </c>
      <c r="B59" s="184" t="s">
        <v>21</v>
      </c>
      <c r="C59" s="185"/>
      <c r="D59" s="15">
        <f>IF(F3="1",SUMIF(Data!A:A,'52'!$A$2,Data!DR:DR),0)</f>
        <v>22996</v>
      </c>
      <c r="E59" s="18">
        <f>IF(F3="1",SUMIF(Data!$A:$A,'52'!$A$2,Data!JL:JL),0)</f>
        <v>25527</v>
      </c>
      <c r="F59" s="22">
        <f t="shared" si="3"/>
        <v>1.110062619586015</v>
      </c>
    </row>
    <row r="60" spans="1:6" x14ac:dyDescent="0.2">
      <c r="A60" s="20">
        <v>25</v>
      </c>
      <c r="B60" s="184" t="s">
        <v>22</v>
      </c>
      <c r="C60" s="185"/>
      <c r="D60" s="15">
        <f>IF(F3="1",SUMIF(Data!A:A,'52'!$A$2,Data!DS:DS),0)</f>
        <v>31296</v>
      </c>
      <c r="E60" s="18">
        <f>IF(F3="1",SUMIF(Data!$A:$A,'52'!$A$2,Data!JM:JM),0)</f>
        <v>36223</v>
      </c>
      <c r="F60" s="22">
        <f t="shared" si="3"/>
        <v>1.1574322597137015</v>
      </c>
    </row>
    <row r="61" spans="1:6" x14ac:dyDescent="0.2">
      <c r="A61" s="20">
        <v>26</v>
      </c>
      <c r="B61" s="184" t="s">
        <v>23</v>
      </c>
      <c r="C61" s="185"/>
      <c r="D61" s="15">
        <f>IF(F3="1",SUMIF(Data!A:A,'52'!$A$2,Data!DT:DT),0)</f>
        <v>67184</v>
      </c>
      <c r="E61" s="18">
        <f>IF(F3="1",SUMIF(Data!$A:$A,'52'!$A$2,Data!JN:JN),0)</f>
        <v>74579</v>
      </c>
      <c r="F61" s="22">
        <f t="shared" si="3"/>
        <v>1.1100708502024292</v>
      </c>
    </row>
    <row r="62" spans="1:6" x14ac:dyDescent="0.2">
      <c r="A62" s="20">
        <v>28</v>
      </c>
      <c r="B62" s="184" t="s">
        <v>24</v>
      </c>
      <c r="C62" s="185"/>
      <c r="D62" s="15">
        <f>IF(F3="1",SUMIF(Data!A:A,'52'!$A$2,Data!DV:DV),0)</f>
        <v>0</v>
      </c>
      <c r="E62" s="18">
        <f>IF(F3="1",SUMIF(Data!$A:$A,'52'!$A$2,Data!JP:JP),0)</f>
        <v>0</v>
      </c>
      <c r="F62" s="22" t="str">
        <f t="shared" si="3"/>
        <v/>
      </c>
    </row>
    <row r="63" spans="1:6" ht="15.75" customHeight="1" thickBot="1" x14ac:dyDescent="0.25">
      <c r="A63" s="23">
        <v>29</v>
      </c>
      <c r="B63" s="186" t="s">
        <v>25</v>
      </c>
      <c r="C63" s="187"/>
      <c r="D63" s="24">
        <f>IF(F3="1",SUMIF(Data!A:A,'52'!$A$2,Data!DW:DW),0)</f>
        <v>0</v>
      </c>
      <c r="E63" s="25">
        <f>IF(F3="1",SUMIF(Data!$A:$A,'52'!$A$2,Data!JQ:JQ),0)</f>
        <v>0</v>
      </c>
      <c r="F63" s="26" t="str">
        <f t="shared" si="3"/>
        <v/>
      </c>
    </row>
    <row r="64" spans="1:6" x14ac:dyDescent="0.2">
      <c r="B64" s="31" t="s">
        <v>35</v>
      </c>
      <c r="C64" s="31"/>
      <c r="D64" s="61">
        <f>SUM(D36:D63)</f>
        <v>1232683</v>
      </c>
      <c r="E64" s="32">
        <f>SUM(E36:E63)</f>
        <v>1961387</v>
      </c>
      <c r="F64" s="33">
        <f t="shared" si="3"/>
        <v>1.5911527943518327</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2768</v>
      </c>
      <c r="E67" s="16">
        <f>IF(F3="1",SUMIF(Data!A:A,'52'!$A$2,Data!DY:DY),0)</f>
        <v>5813</v>
      </c>
      <c r="F67" s="21">
        <f>IFERROR(E67/D67,"")</f>
        <v>2.1000722543352599</v>
      </c>
    </row>
    <row r="68" spans="1:6" x14ac:dyDescent="0.2">
      <c r="A68" s="20">
        <v>2</v>
      </c>
      <c r="B68" s="184" t="s">
        <v>1</v>
      </c>
      <c r="C68" s="185"/>
      <c r="D68" s="15">
        <f t="shared" ref="D68:D94" si="4">D37</f>
        <v>45392</v>
      </c>
      <c r="E68" s="18">
        <f>IF(F3="1",SUMIF(Data!A:A,'52'!$A$2,Data!DZ:DZ),0)</f>
        <v>95329</v>
      </c>
      <c r="F68" s="22">
        <f t="shared" ref="F68:F95" si="5">IFERROR(E68/D68,"")</f>
        <v>2.1001277758195278</v>
      </c>
    </row>
    <row r="69" spans="1:6" ht="14.25" customHeight="1" x14ac:dyDescent="0.2">
      <c r="A69" s="20">
        <v>3</v>
      </c>
      <c r="B69" s="184" t="s">
        <v>2</v>
      </c>
      <c r="C69" s="185"/>
      <c r="D69" s="15">
        <f t="shared" si="4"/>
        <v>1968</v>
      </c>
      <c r="E69" s="18">
        <f>IF(F3="1",SUMIF(Data!A:A,'52'!$A$2,Data!EA:EA),0)</f>
        <v>6277</v>
      </c>
      <c r="F69" s="22">
        <f t="shared" si="5"/>
        <v>3.1895325203252032</v>
      </c>
    </row>
    <row r="70" spans="1:6" ht="14.25" customHeight="1" x14ac:dyDescent="0.2">
      <c r="A70" s="20">
        <v>4</v>
      </c>
      <c r="B70" s="184" t="s">
        <v>3</v>
      </c>
      <c r="C70" s="185"/>
      <c r="D70" s="15">
        <f t="shared" si="4"/>
        <v>285240</v>
      </c>
      <c r="E70" s="18">
        <f>IF(F3="1",SUMIF(Data!A:A,'52'!$A$2,Data!EB:EB),0)</f>
        <v>653918</v>
      </c>
      <c r="F70" s="22">
        <f t="shared" si="5"/>
        <v>2.2925185808442015</v>
      </c>
    </row>
    <row r="71" spans="1:6" x14ac:dyDescent="0.2">
      <c r="A71" s="20">
        <v>5</v>
      </c>
      <c r="B71" s="184" t="s">
        <v>4</v>
      </c>
      <c r="C71" s="185"/>
      <c r="D71" s="15">
        <f t="shared" si="4"/>
        <v>0</v>
      </c>
      <c r="E71" s="18">
        <f>IF(F3="1",SUMIF(Data!A:A,'52'!$A$2,Data!EC:EC),0)</f>
        <v>0</v>
      </c>
      <c r="F71" s="22" t="str">
        <f t="shared" si="5"/>
        <v/>
      </c>
    </row>
    <row r="72" spans="1:6" x14ac:dyDescent="0.2">
      <c r="A72" s="20">
        <v>6</v>
      </c>
      <c r="B72" s="184" t="s">
        <v>5</v>
      </c>
      <c r="C72" s="185"/>
      <c r="D72" s="15">
        <f t="shared" si="4"/>
        <v>6816</v>
      </c>
      <c r="E72" s="18">
        <f>IF(F3="1",SUMIF(Data!A:A,'52'!$A$2,Data!ED:ED),0)</f>
        <v>14314</v>
      </c>
      <c r="F72" s="22">
        <f t="shared" si="5"/>
        <v>2.1000586854460095</v>
      </c>
    </row>
    <row r="73" spans="1:6" x14ac:dyDescent="0.2">
      <c r="A73" s="20">
        <v>7</v>
      </c>
      <c r="B73" s="184" t="s">
        <v>6</v>
      </c>
      <c r="C73" s="185"/>
      <c r="D73" s="15">
        <f t="shared" si="4"/>
        <v>122096</v>
      </c>
      <c r="E73" s="18">
        <f>IF(F3="1",SUMIF(Data!A:A,'52'!$A$2,Data!EE:EE),0)</f>
        <v>279907</v>
      </c>
      <c r="F73" s="22">
        <f t="shared" si="5"/>
        <v>2.2925157253308872</v>
      </c>
    </row>
    <row r="74" spans="1:6" x14ac:dyDescent="0.2">
      <c r="A74" s="20">
        <v>8</v>
      </c>
      <c r="B74" s="184" t="s">
        <v>7</v>
      </c>
      <c r="C74" s="185"/>
      <c r="D74" s="15">
        <f t="shared" si="4"/>
        <v>15232</v>
      </c>
      <c r="E74" s="18">
        <f>IF(F3="1",SUMIF(Data!A:A,'52'!$A$2,Data!EF:EF),0)</f>
        <v>31990</v>
      </c>
      <c r="F74" s="22">
        <f t="shared" si="5"/>
        <v>2.1001838235294117</v>
      </c>
    </row>
    <row r="75" spans="1:6" x14ac:dyDescent="0.2">
      <c r="A75" s="20">
        <v>9</v>
      </c>
      <c r="B75" s="184" t="s">
        <v>8</v>
      </c>
      <c r="C75" s="185"/>
      <c r="D75" s="15">
        <f t="shared" si="4"/>
        <v>28912</v>
      </c>
      <c r="E75" s="18">
        <f>IF(F3="1",SUMIF(Data!A:A,'52'!$A$2,Data!EG:EG),0)</f>
        <v>60718</v>
      </c>
      <c r="F75" s="22">
        <f t="shared" si="5"/>
        <v>2.1000968456004427</v>
      </c>
    </row>
    <row r="76" spans="1:6" x14ac:dyDescent="0.2">
      <c r="A76" s="20">
        <v>10</v>
      </c>
      <c r="B76" s="184" t="s">
        <v>9</v>
      </c>
      <c r="C76" s="185"/>
      <c r="D76" s="15">
        <f t="shared" si="4"/>
        <v>0</v>
      </c>
      <c r="E76" s="18">
        <f>IF(F3="1",SUMIF(Data!A:A,'52'!$A$2,Data!EH:EH),0)</f>
        <v>0</v>
      </c>
      <c r="F76" s="22" t="str">
        <f t="shared" si="5"/>
        <v/>
      </c>
    </row>
    <row r="77" spans="1:6" x14ac:dyDescent="0.2">
      <c r="A77" s="20">
        <v>11</v>
      </c>
      <c r="B77" s="184" t="s">
        <v>10</v>
      </c>
      <c r="C77" s="185"/>
      <c r="D77" s="15">
        <f t="shared" si="4"/>
        <v>113420</v>
      </c>
      <c r="E77" s="18">
        <f>IF(F3="1",SUMIF(Data!A:A,'52'!$A$2,Data!EI:EI),0)</f>
        <v>677667</v>
      </c>
      <c r="F77" s="22">
        <f t="shared" si="5"/>
        <v>5.9748457062246514</v>
      </c>
    </row>
    <row r="78" spans="1:6" ht="14.25" customHeight="1" x14ac:dyDescent="0.2">
      <c r="A78" s="20">
        <v>12</v>
      </c>
      <c r="B78" s="184" t="s">
        <v>11</v>
      </c>
      <c r="C78" s="185"/>
      <c r="D78" s="15">
        <f t="shared" si="4"/>
        <v>75456</v>
      </c>
      <c r="E78" s="18">
        <f>IF(F3="1",SUMIF(Data!A:A,'52'!$A$2,Data!EJ:EJ),0)</f>
        <v>240667</v>
      </c>
      <c r="F78" s="22">
        <f t="shared" si="5"/>
        <v>3.1895011662425783</v>
      </c>
    </row>
    <row r="79" spans="1:6" x14ac:dyDescent="0.2">
      <c r="A79" s="20">
        <v>13</v>
      </c>
      <c r="B79" s="184" t="s">
        <v>12</v>
      </c>
      <c r="C79" s="185"/>
      <c r="D79" s="15">
        <f t="shared" si="4"/>
        <v>6336</v>
      </c>
      <c r="E79" s="18">
        <f>IF(F3="1",SUMIF(Data!A:A,'52'!$A$2,Data!EK:EK),0)</f>
        <v>20209</v>
      </c>
      <c r="F79" s="22">
        <f t="shared" si="5"/>
        <v>3.1895517676767677</v>
      </c>
    </row>
    <row r="80" spans="1:6" ht="14.25" customHeight="1" x14ac:dyDescent="0.2">
      <c r="A80" s="20">
        <v>14</v>
      </c>
      <c r="B80" s="184" t="s">
        <v>469</v>
      </c>
      <c r="C80" s="185"/>
      <c r="D80" s="15">
        <f t="shared" si="4"/>
        <v>22800</v>
      </c>
      <c r="E80" s="18">
        <f>IF(F3="1",SUMIF(Data!A:A,'52'!$A$2,Data!EL:EL),0)</f>
        <v>105981</v>
      </c>
      <c r="F80" s="22">
        <f t="shared" si="5"/>
        <v>4.6482894736842102</v>
      </c>
    </row>
    <row r="81" spans="1:6" x14ac:dyDescent="0.2">
      <c r="A81" s="20">
        <v>15</v>
      </c>
      <c r="B81" s="184" t="s">
        <v>13</v>
      </c>
      <c r="C81" s="185"/>
      <c r="D81" s="15">
        <f t="shared" si="4"/>
        <v>0</v>
      </c>
      <c r="E81" s="18">
        <f>IF(F3="1",SUMIF(Data!A:A,'52'!$A$2,Data!EM:EM),0)</f>
        <v>0</v>
      </c>
      <c r="F81" s="22" t="str">
        <f t="shared" si="5"/>
        <v/>
      </c>
    </row>
    <row r="82" spans="1:6" x14ac:dyDescent="0.2">
      <c r="A82" s="20">
        <v>16</v>
      </c>
      <c r="B82" s="184" t="s">
        <v>14</v>
      </c>
      <c r="C82" s="185"/>
      <c r="D82" s="15">
        <f t="shared" si="4"/>
        <v>109611</v>
      </c>
      <c r="E82" s="18">
        <f>IF(F3="1",SUMIF(Data!A:A,'52'!$A$2,Data!EN:EN),0)</f>
        <v>509504</v>
      </c>
      <c r="F82" s="22">
        <f t="shared" si="5"/>
        <v>4.6482925983706016</v>
      </c>
    </row>
    <row r="83" spans="1:6" x14ac:dyDescent="0.2">
      <c r="A83" s="20">
        <v>17</v>
      </c>
      <c r="B83" s="184" t="s">
        <v>15</v>
      </c>
      <c r="C83" s="185"/>
      <c r="D83" s="15">
        <f t="shared" si="4"/>
        <v>0</v>
      </c>
      <c r="E83" s="18">
        <f>IF(F3="1",SUMIF(Data!A:A,'52'!$A$2,Data!EO:EO),0)</f>
        <v>0</v>
      </c>
      <c r="F83" s="22" t="str">
        <f t="shared" si="5"/>
        <v/>
      </c>
    </row>
    <row r="84" spans="1:6" x14ac:dyDescent="0.2">
      <c r="A84" s="20">
        <v>18</v>
      </c>
      <c r="B84" s="184" t="s">
        <v>16</v>
      </c>
      <c r="C84" s="185"/>
      <c r="D84" s="15">
        <f t="shared" si="4"/>
        <v>132400</v>
      </c>
      <c r="E84" s="18">
        <f>IF(F3="1",SUMIF(Data!A:A,'52'!$A$2,Data!EP:EP),0)</f>
        <v>615435</v>
      </c>
      <c r="F84" s="22">
        <f t="shared" si="5"/>
        <v>4.6483006042296076</v>
      </c>
    </row>
    <row r="85" spans="1:6" x14ac:dyDescent="0.2">
      <c r="A85" s="20">
        <v>19</v>
      </c>
      <c r="B85" s="184" t="s">
        <v>17</v>
      </c>
      <c r="C85" s="185"/>
      <c r="D85" s="15">
        <f t="shared" si="4"/>
        <v>69792</v>
      </c>
      <c r="E85" s="18">
        <f>IF(F3="1",SUMIF(Data!A:A,'52'!$A$2,Data!EQ:EQ),0)</f>
        <v>222602</v>
      </c>
      <c r="F85" s="22">
        <f t="shared" si="5"/>
        <v>3.1895059605685465</v>
      </c>
    </row>
    <row r="86" spans="1:6" x14ac:dyDescent="0.2">
      <c r="A86" s="20">
        <v>20</v>
      </c>
      <c r="B86" s="184" t="s">
        <v>18</v>
      </c>
      <c r="C86" s="185"/>
      <c r="D86" s="15">
        <f t="shared" si="4"/>
        <v>33280</v>
      </c>
      <c r="E86" s="18">
        <f>IF(F3="1",SUMIF(Data!A:A,'52'!$A$2,Data!ER:ER),0)</f>
        <v>207496</v>
      </c>
      <c r="F86" s="22">
        <f t="shared" si="5"/>
        <v>6.2348557692307693</v>
      </c>
    </row>
    <row r="87" spans="1:6" ht="14.25" customHeight="1" x14ac:dyDescent="0.2">
      <c r="A87" s="20">
        <v>21</v>
      </c>
      <c r="B87" s="184" t="s">
        <v>466</v>
      </c>
      <c r="C87" s="185"/>
      <c r="D87" s="15">
        <f t="shared" si="4"/>
        <v>39248</v>
      </c>
      <c r="E87" s="18">
        <f>IF(F3="1",SUMIF(Data!A:A,'52'!$A$2,Data!ES:ES),0)</f>
        <v>244706</v>
      </c>
      <c r="F87" s="22">
        <f t="shared" si="5"/>
        <v>6.2348654708520179</v>
      </c>
    </row>
    <row r="88" spans="1:6" x14ac:dyDescent="0.2">
      <c r="A88" s="20">
        <v>22</v>
      </c>
      <c r="B88" s="184" t="s">
        <v>19</v>
      </c>
      <c r="C88" s="185"/>
      <c r="D88" s="15">
        <f t="shared" si="4"/>
        <v>440</v>
      </c>
      <c r="E88" s="18">
        <f>IF(F3="1",SUMIF(Data!A:A,'52'!$A$2,Data!ET:ET),0)</f>
        <v>924</v>
      </c>
      <c r="F88" s="22">
        <f t="shared" si="5"/>
        <v>2.1</v>
      </c>
    </row>
    <row r="89" spans="1:6" x14ac:dyDescent="0.2">
      <c r="A89" s="20">
        <v>23</v>
      </c>
      <c r="B89" s="184" t="s">
        <v>20</v>
      </c>
      <c r="C89" s="185"/>
      <c r="D89" s="15">
        <f t="shared" si="4"/>
        <v>0</v>
      </c>
      <c r="E89" s="18">
        <f>IF(F3="1",SUMIF(Data!A:A,'52'!$A$2,Data!EU:EU),0)</f>
        <v>0</v>
      </c>
      <c r="F89" s="22" t="str">
        <f t="shared" si="5"/>
        <v/>
      </c>
    </row>
    <row r="90" spans="1:6" x14ac:dyDescent="0.2">
      <c r="A90" s="20">
        <v>24</v>
      </c>
      <c r="B90" s="184" t="s">
        <v>21</v>
      </c>
      <c r="C90" s="185"/>
      <c r="D90" s="15">
        <f t="shared" si="4"/>
        <v>22996</v>
      </c>
      <c r="E90" s="18">
        <f>IF(F3="1",SUMIF(Data!A:A,'52'!$A$2,Data!EV:EV),0)</f>
        <v>52717</v>
      </c>
      <c r="F90" s="22">
        <f t="shared" si="5"/>
        <v>2.2924421638545835</v>
      </c>
    </row>
    <row r="91" spans="1:6" x14ac:dyDescent="0.2">
      <c r="A91" s="20">
        <v>25</v>
      </c>
      <c r="B91" s="184" t="s">
        <v>22</v>
      </c>
      <c r="C91" s="185"/>
      <c r="D91" s="15">
        <f t="shared" si="4"/>
        <v>31296</v>
      </c>
      <c r="E91" s="18">
        <f>IF(F3="1",SUMIF(Data!A:A,'52'!$A$2,Data!EW:EW),0)</f>
        <v>99818</v>
      </c>
      <c r="F91" s="22">
        <f t="shared" si="5"/>
        <v>3.1894810838445808</v>
      </c>
    </row>
    <row r="92" spans="1:6" x14ac:dyDescent="0.2">
      <c r="A92" s="20">
        <v>26</v>
      </c>
      <c r="B92" s="184" t="s">
        <v>23</v>
      </c>
      <c r="C92" s="185"/>
      <c r="D92" s="15">
        <f t="shared" si="4"/>
        <v>67184</v>
      </c>
      <c r="E92" s="18">
        <f>IF(F3="1",SUMIF(Data!A:A,'52'!$A$2,Data!EX:EX),0)</f>
        <v>154021</v>
      </c>
      <c r="F92" s="22">
        <f t="shared" si="5"/>
        <v>2.2925250059537987</v>
      </c>
    </row>
    <row r="93" spans="1:6" x14ac:dyDescent="0.2">
      <c r="A93" s="20">
        <v>28</v>
      </c>
      <c r="B93" s="184" t="s">
        <v>24</v>
      </c>
      <c r="C93" s="185"/>
      <c r="D93" s="15">
        <f t="shared" si="4"/>
        <v>0</v>
      </c>
      <c r="E93" s="18">
        <f>IF(F3="1",SUMIF(Data!A:A,'52'!$A$2,Data!EZ:EZ),0)</f>
        <v>0</v>
      </c>
      <c r="F93" s="22" t="str">
        <f t="shared" si="5"/>
        <v/>
      </c>
    </row>
    <row r="94" spans="1:6" ht="15.75" customHeight="1" thickBot="1" x14ac:dyDescent="0.25">
      <c r="A94" s="23">
        <v>29</v>
      </c>
      <c r="B94" s="186" t="s">
        <v>25</v>
      </c>
      <c r="C94" s="187"/>
      <c r="D94" s="24">
        <f t="shared" si="4"/>
        <v>0</v>
      </c>
      <c r="E94" s="25">
        <f>IF(F3="1",SUMIF(Data!A:A,'52'!$A$2,Data!FA:FA),0)</f>
        <v>0</v>
      </c>
      <c r="F94" s="26" t="str">
        <f t="shared" si="5"/>
        <v/>
      </c>
    </row>
    <row r="95" spans="1:6" x14ac:dyDescent="0.2">
      <c r="B95" s="31" t="s">
        <v>35</v>
      </c>
      <c r="C95" s="31"/>
      <c r="D95" s="61">
        <f>SUM(D67:D94)</f>
        <v>1232683</v>
      </c>
      <c r="E95" s="32">
        <f>SUM(E67:E94)</f>
        <v>4300013</v>
      </c>
      <c r="F95" s="33">
        <f t="shared" si="5"/>
        <v>3.4883364173919817</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IF(F3="1",SUMIF(Data!A:A,'52'!$A$2,Data!AH:AH),0)</f>
        <v>1769270</v>
      </c>
      <c r="F98" s="21">
        <f t="shared" ref="F98:F105" si="6">IFERROR(E98/$D$95,0)</f>
        <v>1.4353000730925956</v>
      </c>
    </row>
    <row r="99" spans="2:6" x14ac:dyDescent="0.2">
      <c r="B99" s="190" t="s">
        <v>31</v>
      </c>
      <c r="C99" s="191"/>
      <c r="D99" s="37"/>
      <c r="E99" s="18">
        <f>IF(F3="1",SUMIF(Data!A:A,'52'!$A$2,Data!AI:AI),0)</f>
        <v>2043214</v>
      </c>
      <c r="F99" s="22">
        <f t="shared" si="6"/>
        <v>1.6575340132053415</v>
      </c>
    </row>
    <row r="100" spans="2:6" x14ac:dyDescent="0.2">
      <c r="B100" s="190" t="s">
        <v>32</v>
      </c>
      <c r="C100" s="191"/>
      <c r="D100" s="37"/>
      <c r="E100" s="18">
        <f>IF(F3="1",SUMIF(Data!A:A,'52'!$A$2,Data!AJ:AJ),0)</f>
        <v>2334754</v>
      </c>
      <c r="F100" s="22">
        <f t="shared" si="6"/>
        <v>1.8940425072788381</v>
      </c>
    </row>
    <row r="101" spans="2:6" x14ac:dyDescent="0.2">
      <c r="B101" s="190" t="s">
        <v>28</v>
      </c>
      <c r="C101" s="191"/>
      <c r="D101" s="37"/>
      <c r="E101" s="18">
        <f>IF(F3="1",SUMIF(Data!A:A,'52'!$A$2,Data!AK:AK),0)</f>
        <v>489</v>
      </c>
      <c r="F101" s="22">
        <f t="shared" si="6"/>
        <v>3.9669566303745569E-4</v>
      </c>
    </row>
    <row r="102" spans="2:6" x14ac:dyDescent="0.2">
      <c r="B102" s="190" t="s">
        <v>33</v>
      </c>
      <c r="C102" s="191"/>
      <c r="D102" s="37"/>
      <c r="E102" s="18">
        <f>IF(F3="1",SUMIF(Data!A:A,'52'!$A$2,Data!AL:AL),0)</f>
        <v>474623</v>
      </c>
      <c r="F102" s="22">
        <f t="shared" si="6"/>
        <v>0.38503248604872459</v>
      </c>
    </row>
    <row r="103" spans="2:6" x14ac:dyDescent="0.2">
      <c r="B103" s="192" t="s">
        <v>34</v>
      </c>
      <c r="C103" s="193"/>
      <c r="D103" s="37"/>
      <c r="E103" s="18">
        <f>IF(F3="1",SUMIF(Data!A:A,'52'!$A$2,Data!AM:AM),0)</f>
        <v>201778</v>
      </c>
      <c r="F103" s="22">
        <f t="shared" si="6"/>
        <v>0.16369009712959456</v>
      </c>
    </row>
    <row r="104" spans="2:6" ht="15.75" customHeight="1" thickBot="1" x14ac:dyDescent="0.25">
      <c r="B104" s="182" t="s">
        <v>29</v>
      </c>
      <c r="C104" s="183"/>
      <c r="D104" s="38"/>
      <c r="E104" s="25">
        <f>IF(F3="1",SUMIF(Data!A:A,'52'!$A$2,Data!Q:Q),0)</f>
        <v>140403</v>
      </c>
      <c r="F104" s="26">
        <f t="shared" si="6"/>
        <v>0.11390032960623291</v>
      </c>
    </row>
    <row r="105" spans="2:6" x14ac:dyDescent="0.2">
      <c r="B105" s="31" t="s">
        <v>35</v>
      </c>
      <c r="C105" s="31"/>
      <c r="D105" s="35">
        <f>D95</f>
        <v>1232683</v>
      </c>
      <c r="E105" s="32">
        <f>SUM(E98:E104)</f>
        <v>6964531</v>
      </c>
      <c r="F105" s="33">
        <f t="shared" si="6"/>
        <v>5.6498962020243644</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4300013</v>
      </c>
      <c r="D109" s="16">
        <f>IF(F3="1",SUMIF(Data!$A:$A,$A$2,Data!HJ:HJ),0)</f>
        <v>0</v>
      </c>
      <c r="E109" s="16">
        <f>IF(F3="1",SUMIF(Data!$A:$A,$A$2,Data!IN:IN),0)</f>
        <v>0</v>
      </c>
      <c r="F109" s="48">
        <f>SUM(C109:E109)</f>
        <v>4300013</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474623</v>
      </c>
      <c r="F116" s="49">
        <f t="shared" si="7"/>
        <v>474623</v>
      </c>
    </row>
    <row r="117" spans="1:6" ht="15" thickBot="1" x14ac:dyDescent="0.25">
      <c r="B117" s="44" t="s">
        <v>941</v>
      </c>
      <c r="C117" s="53"/>
      <c r="D117" s="53">
        <f>IF(F3="1",SUMIF(Data!A:A,$A$2,Data!Q:Q),0)</f>
        <v>140403</v>
      </c>
      <c r="E117" s="53"/>
      <c r="F117" s="50">
        <f>SUM(C117:E117)</f>
        <v>140403</v>
      </c>
    </row>
    <row r="118" spans="1:6" x14ac:dyDescent="0.2">
      <c r="B118" s="14" t="s">
        <v>35</v>
      </c>
      <c r="C118" s="5">
        <f>SUM(C109:C116)</f>
        <v>4300013</v>
      </c>
      <c r="D118" s="5">
        <f>SUM(D109:D116)</f>
        <v>0</v>
      </c>
      <c r="E118" s="5">
        <f>SUM(E109:E116)</f>
        <v>474623</v>
      </c>
      <c r="F118" s="5">
        <f>SUM(F109:F116)</f>
        <v>4774636</v>
      </c>
    </row>
    <row r="119" spans="1:6" ht="15" thickBot="1" x14ac:dyDescent="0.25"/>
    <row r="120" spans="1:6" ht="15" thickBot="1" x14ac:dyDescent="0.25">
      <c r="B120" s="57" t="s">
        <v>942</v>
      </c>
      <c r="C120" s="55"/>
      <c r="D120" s="55"/>
      <c r="E120" s="55">
        <f>IF(F3="1",SUMIF(Data!A:A,'52'!$A$2,Data!AM:AM),0)</f>
        <v>201778</v>
      </c>
      <c r="F120" s="56">
        <f>SUM(C120:E120)</f>
        <v>201778</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2" width="12.42578125" style="11" bestFit="1" customWidth="1"/>
    <col min="13" max="13" width="10.5703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460</v>
      </c>
      <c r="B2" s="60" t="str">
        <f>VLOOKUP(A2,Data!A:G,7,0)</f>
        <v>Texas State Technical Collage-Marshall</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912</v>
      </c>
      <c r="E5" s="16">
        <f>E36+E67+IFERROR($E$105/$D$105*D5,0)</f>
        <v>8089.5404218698177</v>
      </c>
      <c r="F5" s="21">
        <f>IFERROR(E5/D5,"")</f>
        <v>8.8701101116993613</v>
      </c>
    </row>
    <row r="6" spans="1:6" x14ac:dyDescent="0.2">
      <c r="A6" s="20">
        <v>2</v>
      </c>
      <c r="B6" s="184" t="s">
        <v>1</v>
      </c>
      <c r="C6" s="185"/>
      <c r="D6" s="15">
        <f t="shared" ref="D6:D32" si="0">D37</f>
        <v>48685</v>
      </c>
      <c r="E6" s="18">
        <f t="shared" ref="E6:E32" si="1">E37+E68+IFERROR($E$105/$D$105*D6,0)</f>
        <v>683631.13754246943</v>
      </c>
      <c r="F6" s="22">
        <f t="shared" ref="F6:F33" si="2">IFERROR(E6/D6,"")</f>
        <v>14.041925388568746</v>
      </c>
    </row>
    <row r="7" spans="1:6" ht="14.25" customHeight="1" x14ac:dyDescent="0.2">
      <c r="A7" s="20">
        <v>3</v>
      </c>
      <c r="B7" s="184" t="s">
        <v>2</v>
      </c>
      <c r="C7" s="185"/>
      <c r="D7" s="15">
        <f t="shared" si="0"/>
        <v>16328</v>
      </c>
      <c r="E7" s="18">
        <f t="shared" si="1"/>
        <v>133276.19299154647</v>
      </c>
      <c r="F7" s="22">
        <f t="shared" si="2"/>
        <v>8.162432201834056</v>
      </c>
    </row>
    <row r="8" spans="1:6" ht="14.25" customHeight="1" x14ac:dyDescent="0.2">
      <c r="A8" s="20">
        <v>4</v>
      </c>
      <c r="B8" s="184" t="s">
        <v>3</v>
      </c>
      <c r="C8" s="185"/>
      <c r="D8" s="15">
        <f t="shared" si="0"/>
        <v>46894</v>
      </c>
      <c r="E8" s="18">
        <f t="shared" si="1"/>
        <v>395089.1321745211</v>
      </c>
      <c r="F8" s="22">
        <f t="shared" si="2"/>
        <v>8.4251531576432193</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4032</v>
      </c>
      <c r="E10" s="18">
        <f t="shared" si="1"/>
        <v>35762.494496687614</v>
      </c>
      <c r="F10" s="22">
        <f t="shared" si="2"/>
        <v>8.8696662938213322</v>
      </c>
    </row>
    <row r="11" spans="1:6" x14ac:dyDescent="0.2">
      <c r="A11" s="20">
        <v>7</v>
      </c>
      <c r="B11" s="184" t="s">
        <v>6</v>
      </c>
      <c r="C11" s="185"/>
      <c r="D11" s="15">
        <f t="shared" si="0"/>
        <v>118086</v>
      </c>
      <c r="E11" s="18">
        <f t="shared" si="1"/>
        <v>994892.62528170971</v>
      </c>
      <c r="F11" s="22">
        <f t="shared" si="2"/>
        <v>8.4251530687948595</v>
      </c>
    </row>
    <row r="12" spans="1:6" x14ac:dyDescent="0.2">
      <c r="A12" s="20">
        <v>8</v>
      </c>
      <c r="B12" s="184" t="s">
        <v>7</v>
      </c>
      <c r="C12" s="185"/>
      <c r="D12" s="15">
        <f t="shared" si="0"/>
        <v>33104</v>
      </c>
      <c r="E12" s="18">
        <f t="shared" si="1"/>
        <v>293627.10759383603</v>
      </c>
      <c r="F12" s="22">
        <f t="shared" si="2"/>
        <v>8.8698377112686089</v>
      </c>
    </row>
    <row r="13" spans="1:6" x14ac:dyDescent="0.2">
      <c r="A13" s="20">
        <v>9</v>
      </c>
      <c r="B13" s="184" t="s">
        <v>8</v>
      </c>
      <c r="C13" s="185"/>
      <c r="D13" s="15">
        <f t="shared" si="0"/>
        <v>0</v>
      </c>
      <c r="E13" s="18">
        <f t="shared" si="1"/>
        <v>0</v>
      </c>
      <c r="F13" s="22" t="str">
        <f t="shared" si="2"/>
        <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135950</v>
      </c>
      <c r="E15" s="18">
        <f t="shared" si="1"/>
        <v>1374514.1495100898</v>
      </c>
      <c r="F15" s="22">
        <f t="shared" si="2"/>
        <v>10.110438760647957</v>
      </c>
    </row>
    <row r="16" spans="1:6" ht="14.25" customHeight="1" x14ac:dyDescent="0.2">
      <c r="A16" s="20">
        <v>12</v>
      </c>
      <c r="B16" s="184" t="s">
        <v>11</v>
      </c>
      <c r="C16" s="185"/>
      <c r="D16" s="15">
        <f t="shared" si="0"/>
        <v>46640</v>
      </c>
      <c r="E16" s="18">
        <f t="shared" si="1"/>
        <v>445103.33911843016</v>
      </c>
      <c r="F16" s="22">
        <f t="shared" si="2"/>
        <v>9.5433820565701151</v>
      </c>
    </row>
    <row r="17" spans="1:6" x14ac:dyDescent="0.2">
      <c r="A17" s="20">
        <v>13</v>
      </c>
      <c r="B17" s="184" t="s">
        <v>12</v>
      </c>
      <c r="C17" s="185"/>
      <c r="D17" s="15">
        <f t="shared" si="0"/>
        <v>0</v>
      </c>
      <c r="E17" s="18">
        <f t="shared" si="1"/>
        <v>0</v>
      </c>
      <c r="F17" s="22" t="str">
        <f t="shared" si="2"/>
        <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480</v>
      </c>
      <c r="E20" s="18">
        <f t="shared" si="1"/>
        <v>4257.9160115104305</v>
      </c>
      <c r="F20" s="22">
        <f t="shared" si="2"/>
        <v>8.8706583573133972</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39456</v>
      </c>
      <c r="E23" s="18">
        <f t="shared" si="1"/>
        <v>370372.69614615734</v>
      </c>
      <c r="F23" s="22">
        <f t="shared" si="2"/>
        <v>9.3869803362266158</v>
      </c>
    </row>
    <row r="24" spans="1:6" x14ac:dyDescent="0.2">
      <c r="A24" s="20">
        <v>20</v>
      </c>
      <c r="B24" s="184" t="s">
        <v>18</v>
      </c>
      <c r="C24" s="185"/>
      <c r="D24" s="15">
        <f t="shared" si="0"/>
        <v>2208</v>
      </c>
      <c r="E24" s="18">
        <f t="shared" si="1"/>
        <v>21049.41365294798</v>
      </c>
      <c r="F24" s="22">
        <f t="shared" si="2"/>
        <v>9.5332489370235418</v>
      </c>
    </row>
    <row r="25" spans="1:6" ht="14.25" customHeight="1" x14ac:dyDescent="0.2">
      <c r="A25" s="20">
        <v>21</v>
      </c>
      <c r="B25" s="184" t="s">
        <v>466</v>
      </c>
      <c r="C25" s="185"/>
      <c r="D25" s="15">
        <f t="shared" si="0"/>
        <v>31924</v>
      </c>
      <c r="E25" s="18">
        <f t="shared" si="1"/>
        <v>304341.43906553951</v>
      </c>
      <c r="F25" s="22">
        <f t="shared" si="2"/>
        <v>9.5333115858144186</v>
      </c>
    </row>
    <row r="26" spans="1:6" x14ac:dyDescent="0.2">
      <c r="A26" s="20">
        <v>22</v>
      </c>
      <c r="B26" s="184" t="s">
        <v>19</v>
      </c>
      <c r="C26" s="185"/>
      <c r="D26" s="15">
        <f t="shared" si="0"/>
        <v>8160</v>
      </c>
      <c r="E26" s="18">
        <f t="shared" si="1"/>
        <v>72376.57219567732</v>
      </c>
      <c r="F26" s="22">
        <f t="shared" si="2"/>
        <v>8.8696779651565336</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0</v>
      </c>
      <c r="E28" s="18">
        <f t="shared" si="1"/>
        <v>0</v>
      </c>
      <c r="F28" s="22" t="str">
        <f t="shared" si="2"/>
        <v/>
      </c>
    </row>
    <row r="29" spans="1:6" x14ac:dyDescent="0.2">
      <c r="A29" s="20">
        <v>25</v>
      </c>
      <c r="B29" s="184" t="s">
        <v>22</v>
      </c>
      <c r="C29" s="185"/>
      <c r="D29" s="15">
        <f t="shared" si="0"/>
        <v>19712</v>
      </c>
      <c r="E29" s="18">
        <f t="shared" si="1"/>
        <v>126445.750872695</v>
      </c>
      <c r="F29" s="22">
        <f t="shared" si="2"/>
        <v>6.4146586278761673</v>
      </c>
    </row>
    <row r="30" spans="1:6" x14ac:dyDescent="0.2">
      <c r="A30" s="20">
        <v>26</v>
      </c>
      <c r="B30" s="184" t="s">
        <v>23</v>
      </c>
      <c r="C30" s="185"/>
      <c r="D30" s="15">
        <f t="shared" si="0"/>
        <v>5184</v>
      </c>
      <c r="E30" s="18">
        <f t="shared" si="1"/>
        <v>43675.492924312653</v>
      </c>
      <c r="F30" s="22">
        <f t="shared" si="2"/>
        <v>8.4250565054615461</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557755</v>
      </c>
      <c r="E33" s="32">
        <f>SUM(E5:E32)</f>
        <v>5306505</v>
      </c>
      <c r="F33" s="33">
        <f t="shared" si="2"/>
        <v>9.5140429041424994</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IF(F3="1",SUMIF(Data!A:A,'53'!$A$2,Data!CU:CU),0)</f>
        <v>912</v>
      </c>
      <c r="E36" s="16">
        <f>IF(F3="1",SUMIF(Data!$A:$A,'53'!$A$2,Data!IO:IO),0)</f>
        <v>513</v>
      </c>
      <c r="F36" s="21">
        <f t="shared" ref="F36:F64" si="3">IFERROR(E36/D36,"")</f>
        <v>0.5625</v>
      </c>
    </row>
    <row r="37" spans="1:6" x14ac:dyDescent="0.2">
      <c r="A37" s="20">
        <v>2</v>
      </c>
      <c r="B37" s="184" t="s">
        <v>1</v>
      </c>
      <c r="C37" s="185"/>
      <c r="D37" s="15">
        <f>IF(F3="1",SUMIF(Data!A:A,'53'!$A$2,Data!CV:CV),0)</f>
        <v>48685</v>
      </c>
      <c r="E37" s="18">
        <f>IF(F3="1",SUMIF(Data!$A:$A,'53'!$A$2,Data!IP:IP),0)</f>
        <v>109685</v>
      </c>
      <c r="F37" s="22">
        <f t="shared" si="3"/>
        <v>2.2529526548218137</v>
      </c>
    </row>
    <row r="38" spans="1:6" ht="14.25" customHeight="1" x14ac:dyDescent="0.2">
      <c r="A38" s="20">
        <v>3</v>
      </c>
      <c r="B38" s="184" t="s">
        <v>2</v>
      </c>
      <c r="C38" s="185"/>
      <c r="D38" s="15">
        <f>IF(F3="1",SUMIF(Data!A:A,'53'!$A$2,Data!CW:CW),0)</f>
        <v>16328</v>
      </c>
      <c r="E38" s="18">
        <f>IF(F3="1",SUMIF(Data!$A:$A,'53'!$A$2,Data!IQ:IQ),0)</f>
        <v>10600</v>
      </c>
      <c r="F38" s="22">
        <f t="shared" si="3"/>
        <v>0.64919157275845174</v>
      </c>
    </row>
    <row r="39" spans="1:6" ht="14.25" customHeight="1" x14ac:dyDescent="0.2">
      <c r="A39" s="20">
        <v>4</v>
      </c>
      <c r="B39" s="184" t="s">
        <v>3</v>
      </c>
      <c r="C39" s="185"/>
      <c r="D39" s="15">
        <f>IF(F3="1",SUMIF(Data!A:A,'53'!$A$2,Data!CX:CX),0)</f>
        <v>46894</v>
      </c>
      <c r="E39" s="18">
        <f>IF(F3="1",SUMIF(Data!$A:$A,'53'!$A$2,Data!IR:IR),0)</f>
        <v>92873</v>
      </c>
      <c r="F39" s="22">
        <f t="shared" si="3"/>
        <v>1.9804879089009255</v>
      </c>
    </row>
    <row r="40" spans="1:6" x14ac:dyDescent="0.2">
      <c r="A40" s="20">
        <v>5</v>
      </c>
      <c r="B40" s="184" t="s">
        <v>4</v>
      </c>
      <c r="C40" s="185"/>
      <c r="D40" s="15">
        <f>IF(F3="1",SUMIF(Data!A:A,'53'!$A$2,Data!CY:CY),0)</f>
        <v>0</v>
      </c>
      <c r="E40" s="18">
        <f>IF(F3="1",SUMIF(Data!$A:$A,'53'!$A$2,Data!IS:IS),0)</f>
        <v>0</v>
      </c>
      <c r="F40" s="22" t="str">
        <f t="shared" si="3"/>
        <v/>
      </c>
    </row>
    <row r="41" spans="1:6" x14ac:dyDescent="0.2">
      <c r="A41" s="20">
        <v>6</v>
      </c>
      <c r="B41" s="184" t="s">
        <v>5</v>
      </c>
      <c r="C41" s="185"/>
      <c r="D41" s="15">
        <f>IF(F3="1",SUMIF(Data!A:A,'53'!$A$2,Data!CZ:CZ),0)</f>
        <v>4032</v>
      </c>
      <c r="E41" s="18">
        <f>IF(F3="1",SUMIF(Data!$A:$A,'53'!$A$2,Data!IT:IT),0)</f>
        <v>2267</v>
      </c>
      <c r="F41" s="22">
        <f t="shared" si="3"/>
        <v>0.56225198412698407</v>
      </c>
    </row>
    <row r="42" spans="1:6" x14ac:dyDescent="0.2">
      <c r="A42" s="20">
        <v>7</v>
      </c>
      <c r="B42" s="184" t="s">
        <v>6</v>
      </c>
      <c r="C42" s="185"/>
      <c r="D42" s="15">
        <f>IF(F3="1",SUMIF(Data!A:A,'53'!$A$2,Data!DA:DA),0)</f>
        <v>118086</v>
      </c>
      <c r="E42" s="18">
        <f>IF(F3="1",SUMIF(Data!$A:$A,'53'!$A$2,Data!IU:IU),0)</f>
        <v>233868</v>
      </c>
      <c r="F42" s="22">
        <f t="shared" si="3"/>
        <v>1.9804887963010009</v>
      </c>
    </row>
    <row r="43" spans="1:6" x14ac:dyDescent="0.2">
      <c r="A43" s="20">
        <v>8</v>
      </c>
      <c r="B43" s="184" t="s">
        <v>7</v>
      </c>
      <c r="C43" s="185"/>
      <c r="D43" s="15">
        <f>IF(F3="1",SUMIF(Data!A:A,'53'!$A$2,Data!DB:DB),0)</f>
        <v>33104</v>
      </c>
      <c r="E43" s="18">
        <f>IF(F3="1",SUMIF(Data!$A:$A,'53'!$A$2,Data!IV:IV),0)</f>
        <v>18612</v>
      </c>
      <c r="F43" s="22">
        <f t="shared" si="3"/>
        <v>0.56222812953117451</v>
      </c>
    </row>
    <row r="44" spans="1:6" x14ac:dyDescent="0.2">
      <c r="A44" s="20">
        <v>9</v>
      </c>
      <c r="B44" s="184" t="s">
        <v>8</v>
      </c>
      <c r="C44" s="185"/>
      <c r="D44" s="15">
        <f>IF(F3="1",SUMIF(Data!A:A,'53'!$A$2,Data!DC:DC),0)</f>
        <v>0</v>
      </c>
      <c r="E44" s="18">
        <f>IF(F3="1",SUMIF(Data!$A:$A,'53'!$A$2,Data!IW:IW),0)</f>
        <v>0</v>
      </c>
      <c r="F44" s="22" t="str">
        <f t="shared" si="3"/>
        <v/>
      </c>
    </row>
    <row r="45" spans="1:6" x14ac:dyDescent="0.2">
      <c r="A45" s="20">
        <v>10</v>
      </c>
      <c r="B45" s="184" t="s">
        <v>9</v>
      </c>
      <c r="C45" s="185"/>
      <c r="D45" s="15">
        <f>IF(F3="1",SUMIF(Data!A:A,'53'!$A$2,Data!DD:DD),0)</f>
        <v>0</v>
      </c>
      <c r="E45" s="18">
        <f>IF(F3="1",SUMIF(Data!$A:$A,'53'!$A$2,Data!IX:IX),0)</f>
        <v>0</v>
      </c>
      <c r="F45" s="22" t="str">
        <f t="shared" si="3"/>
        <v/>
      </c>
    </row>
    <row r="46" spans="1:6" x14ac:dyDescent="0.2">
      <c r="A46" s="20">
        <v>11</v>
      </c>
      <c r="B46" s="184" t="s">
        <v>10</v>
      </c>
      <c r="C46" s="185"/>
      <c r="D46" s="15">
        <f>IF(F3="1",SUMIF(Data!A:A,'53'!$A$2,Data!DE:DE),0)</f>
        <v>135950</v>
      </c>
      <c r="E46" s="18">
        <f>IF(F3="1",SUMIF(Data!$A:$A,'53'!$A$2,Data!IY:IY),0)</f>
        <v>134524</v>
      </c>
      <c r="F46" s="22">
        <f t="shared" si="3"/>
        <v>0.98951084957705038</v>
      </c>
    </row>
    <row r="47" spans="1:6" ht="14.25" customHeight="1" x14ac:dyDescent="0.2">
      <c r="A47" s="20">
        <v>12</v>
      </c>
      <c r="B47" s="184" t="s">
        <v>11</v>
      </c>
      <c r="C47" s="185"/>
      <c r="D47" s="15">
        <f>IF(F3="1",SUMIF(Data!A:A,'53'!$A$2,Data!DF:DF),0)</f>
        <v>46640</v>
      </c>
      <c r="E47" s="18">
        <f>IF(F3="1",SUMIF(Data!$A:$A,'53'!$A$2,Data!IZ:IZ),0)</f>
        <v>32639</v>
      </c>
      <c r="F47" s="22">
        <f t="shared" si="3"/>
        <v>0.6998070325900515</v>
      </c>
    </row>
    <row r="48" spans="1:6" x14ac:dyDescent="0.2">
      <c r="A48" s="20">
        <v>13</v>
      </c>
      <c r="B48" s="184" t="s">
        <v>12</v>
      </c>
      <c r="C48" s="185"/>
      <c r="D48" s="15">
        <f>IF(F3="1",SUMIF(Data!A:A,'53'!$A$2,Data!DG:DG),0)</f>
        <v>0</v>
      </c>
      <c r="E48" s="18">
        <f>IF(F3="1",SUMIF(Data!$A:$A,'53'!$A$2,Data!JA:JA),0)</f>
        <v>0</v>
      </c>
      <c r="F48" s="22" t="str">
        <f t="shared" si="3"/>
        <v/>
      </c>
    </row>
    <row r="49" spans="1:6" ht="14.25" customHeight="1" x14ac:dyDescent="0.2">
      <c r="A49" s="20">
        <v>14</v>
      </c>
      <c r="B49" s="184" t="s">
        <v>469</v>
      </c>
      <c r="C49" s="185"/>
      <c r="D49" s="15">
        <f>IF(F3="1",SUMIF(Data!A:A,'53'!$A$2,Data!DH:DH),0)</f>
        <v>0</v>
      </c>
      <c r="E49" s="18">
        <f>IF(F3="1",SUMIF(Data!$A:$A,'53'!$A$2,Data!JB:JB),0)</f>
        <v>0</v>
      </c>
      <c r="F49" s="22" t="str">
        <f t="shared" si="3"/>
        <v/>
      </c>
    </row>
    <row r="50" spans="1:6" x14ac:dyDescent="0.2">
      <c r="A50" s="20">
        <v>15</v>
      </c>
      <c r="B50" s="184" t="s">
        <v>13</v>
      </c>
      <c r="C50" s="185"/>
      <c r="D50" s="15">
        <f>IF(F3="1",SUMIF(Data!A:A,'53'!$A$2,Data!DI:DI),0)</f>
        <v>0</v>
      </c>
      <c r="E50" s="18">
        <f>IF(F3="1",SUMIF(Data!$A:$A,'53'!$A$2,Data!JC:JC),0)</f>
        <v>0</v>
      </c>
      <c r="F50" s="22" t="str">
        <f t="shared" si="3"/>
        <v/>
      </c>
    </row>
    <row r="51" spans="1:6" x14ac:dyDescent="0.2">
      <c r="A51" s="20">
        <v>16</v>
      </c>
      <c r="B51" s="184" t="s">
        <v>14</v>
      </c>
      <c r="C51" s="185"/>
      <c r="D51" s="15">
        <f>IF(F3="1",SUMIF(Data!A:A,'53'!$A$2,Data!DJ:DJ),0)</f>
        <v>480</v>
      </c>
      <c r="E51" s="18">
        <f>IF(F3="1",SUMIF(Data!$A:$A,'53'!$A$2,Data!JD:JD),0)</f>
        <v>270</v>
      </c>
      <c r="F51" s="22">
        <f t="shared" si="3"/>
        <v>0.5625</v>
      </c>
    </row>
    <row r="52" spans="1:6" x14ac:dyDescent="0.2">
      <c r="A52" s="20">
        <v>17</v>
      </c>
      <c r="B52" s="184" t="s">
        <v>15</v>
      </c>
      <c r="C52" s="185"/>
      <c r="D52" s="15">
        <f>IF(F3="1",SUMIF(Data!A:A,'53'!$A$2,Data!DK:DK),0)</f>
        <v>0</v>
      </c>
      <c r="E52" s="18">
        <f>IF(F3="1",SUMIF(Data!$A:$A,'53'!$A$2,Data!JE:JE),0)</f>
        <v>0</v>
      </c>
      <c r="F52" s="22" t="str">
        <f t="shared" si="3"/>
        <v/>
      </c>
    </row>
    <row r="53" spans="1:6" x14ac:dyDescent="0.2">
      <c r="A53" s="20">
        <v>18</v>
      </c>
      <c r="B53" s="184" t="s">
        <v>16</v>
      </c>
      <c r="C53" s="185"/>
      <c r="D53" s="15">
        <f>IF(F3="1",SUMIF(Data!A:A,'53'!$A$2,Data!DL:DL),0)</f>
        <v>0</v>
      </c>
      <c r="E53" s="18">
        <f>IF(F3="1",SUMIF(Data!$A:$A,'53'!$A$2,Data!JF:JF),0)</f>
        <v>0</v>
      </c>
      <c r="F53" s="22" t="str">
        <f t="shared" si="3"/>
        <v/>
      </c>
    </row>
    <row r="54" spans="1:6" x14ac:dyDescent="0.2">
      <c r="A54" s="20">
        <v>19</v>
      </c>
      <c r="B54" s="184" t="s">
        <v>17</v>
      </c>
      <c r="C54" s="185"/>
      <c r="D54" s="15">
        <f>IF(F3="1",SUMIF(Data!A:A,'53'!$A$2,Data!DM:DM),0)</f>
        <v>39456</v>
      </c>
      <c r="E54" s="18">
        <f>IF(F3="1",SUMIF(Data!$A:$A,'53'!$A$2,Data!JG:JG),0)</f>
        <v>27977</v>
      </c>
      <c r="F54" s="22">
        <f t="shared" si="3"/>
        <v>0.70906832927818331</v>
      </c>
    </row>
    <row r="55" spans="1:6" x14ac:dyDescent="0.2">
      <c r="A55" s="20">
        <v>20</v>
      </c>
      <c r="B55" s="184" t="s">
        <v>18</v>
      </c>
      <c r="C55" s="185"/>
      <c r="D55" s="15">
        <f>IF(F3="1",SUMIF(Data!A:A,'53'!$A$2,Data!DN:DN),0)</f>
        <v>2208</v>
      </c>
      <c r="E55" s="18">
        <f>IF(F3="1",SUMIF(Data!$A:$A,'53'!$A$2,Data!JH:JH),0)</f>
        <v>4054</v>
      </c>
      <c r="F55" s="22">
        <f t="shared" si="3"/>
        <v>1.8360507246376812</v>
      </c>
    </row>
    <row r="56" spans="1:6" ht="14.25" customHeight="1" x14ac:dyDescent="0.2">
      <c r="A56" s="20">
        <v>21</v>
      </c>
      <c r="B56" s="184" t="s">
        <v>466</v>
      </c>
      <c r="C56" s="185"/>
      <c r="D56" s="15">
        <f>IF(F3="1",SUMIF(Data!A:A,'53'!$A$2,Data!DO:DO),0)</f>
        <v>31924</v>
      </c>
      <c r="E56" s="18">
        <f>IF(F3="1",SUMIF(Data!$A:$A,'53'!$A$2,Data!JI:JI),0)</f>
        <v>58619</v>
      </c>
      <c r="F56" s="22">
        <f t="shared" si="3"/>
        <v>1.8362047362485905</v>
      </c>
    </row>
    <row r="57" spans="1:6" x14ac:dyDescent="0.2">
      <c r="A57" s="20">
        <v>22</v>
      </c>
      <c r="B57" s="184" t="s">
        <v>19</v>
      </c>
      <c r="C57" s="185"/>
      <c r="D57" s="15">
        <f>IF(F3="1",SUMIF(Data!A:A,'53'!$A$2,Data!DP:DP),0)</f>
        <v>8160</v>
      </c>
      <c r="E57" s="18">
        <f>IF(F3="1",SUMIF(Data!$A:$A,'53'!$A$2,Data!JJ:JJ),0)</f>
        <v>4587</v>
      </c>
      <c r="F57" s="22">
        <f t="shared" si="3"/>
        <v>0.56213235294117647</v>
      </c>
    </row>
    <row r="58" spans="1:6" x14ac:dyDescent="0.2">
      <c r="A58" s="20">
        <v>23</v>
      </c>
      <c r="B58" s="184" t="s">
        <v>20</v>
      </c>
      <c r="C58" s="185"/>
      <c r="D58" s="15">
        <f>IF(F3="1",SUMIF(Data!A:A,'53'!$A$2,Data!DQ:DQ),0)</f>
        <v>0</v>
      </c>
      <c r="E58" s="18">
        <f>IF(F3="1",SUMIF(Data!$A:$A,'53'!$A$2,Data!JK:JK),0)</f>
        <v>0</v>
      </c>
      <c r="F58" s="22" t="str">
        <f t="shared" si="3"/>
        <v/>
      </c>
    </row>
    <row r="59" spans="1:6" x14ac:dyDescent="0.2">
      <c r="A59" s="20">
        <v>24</v>
      </c>
      <c r="B59" s="184" t="s">
        <v>21</v>
      </c>
      <c r="C59" s="185"/>
      <c r="D59" s="15">
        <f>IF(F3="1",SUMIF(Data!A:A,'53'!$A$2,Data!DR:DR),0)</f>
        <v>0</v>
      </c>
      <c r="E59" s="18">
        <f>IF(F3="1",SUMIF(Data!$A:$A,'53'!$A$2,Data!JL:JL),0)</f>
        <v>0</v>
      </c>
      <c r="F59" s="22" t="str">
        <f t="shared" si="3"/>
        <v/>
      </c>
    </row>
    <row r="60" spans="1:6" x14ac:dyDescent="0.2">
      <c r="A60" s="20">
        <v>25</v>
      </c>
      <c r="B60" s="184" t="s">
        <v>22</v>
      </c>
      <c r="C60" s="185"/>
      <c r="D60" s="15">
        <f>IF(F3="1",SUMIF(Data!A:A,'53'!$A$2,Data!DS:DS),0)</f>
        <v>19712</v>
      </c>
      <c r="E60" s="18">
        <f>IF(F3="1",SUMIF(Data!$A:$A,'53'!$A$2,Data!JM:JM),0)</f>
        <v>7769</v>
      </c>
      <c r="F60" s="22">
        <f t="shared" si="3"/>
        <v>0.39412540584415584</v>
      </c>
    </row>
    <row r="61" spans="1:6" x14ac:dyDescent="0.2">
      <c r="A61" s="20">
        <v>26</v>
      </c>
      <c r="B61" s="184" t="s">
        <v>23</v>
      </c>
      <c r="C61" s="185"/>
      <c r="D61" s="15">
        <f>IF(F3="1",SUMIF(Data!A:A,'53'!$A$2,Data!DT:DT),0)</f>
        <v>5184</v>
      </c>
      <c r="E61" s="18">
        <f>IF(F3="1",SUMIF(Data!$A:$A,'53'!$A$2,Data!JN:JN),0)</f>
        <v>10266</v>
      </c>
      <c r="F61" s="22">
        <f t="shared" si="3"/>
        <v>1.9803240740740742</v>
      </c>
    </row>
    <row r="62" spans="1:6" x14ac:dyDescent="0.2">
      <c r="A62" s="20">
        <v>28</v>
      </c>
      <c r="B62" s="184" t="s">
        <v>24</v>
      </c>
      <c r="C62" s="185"/>
      <c r="D62" s="15">
        <f>IF(F3="1",SUMIF(Data!A:A,'53'!$A$2,Data!DV:DV),0)</f>
        <v>0</v>
      </c>
      <c r="E62" s="18">
        <f>IF(F3="1",SUMIF(Data!$A:$A,'53'!$A$2,Data!JP:JP),0)</f>
        <v>0</v>
      </c>
      <c r="F62" s="22" t="str">
        <f t="shared" si="3"/>
        <v/>
      </c>
    </row>
    <row r="63" spans="1:6" ht="15.75" customHeight="1" thickBot="1" x14ac:dyDescent="0.25">
      <c r="A63" s="23">
        <v>29</v>
      </c>
      <c r="B63" s="186" t="s">
        <v>25</v>
      </c>
      <c r="C63" s="187"/>
      <c r="D63" s="24">
        <f>IF(F3="1",SUMIF(Data!A:A,'53'!$A$2,Data!DW:DW),0)</f>
        <v>0</v>
      </c>
      <c r="E63" s="25">
        <f>IF(F3="1",SUMIF(Data!$A:$A,'53'!$A$2,Data!JQ:JQ),0)</f>
        <v>0</v>
      </c>
      <c r="F63" s="26" t="str">
        <f t="shared" si="3"/>
        <v/>
      </c>
    </row>
    <row r="64" spans="1:6" x14ac:dyDescent="0.2">
      <c r="B64" s="31" t="s">
        <v>35</v>
      </c>
      <c r="C64" s="31"/>
      <c r="D64" s="61">
        <f>SUM(D36:D63)</f>
        <v>557755</v>
      </c>
      <c r="E64" s="32">
        <f>SUM(E36:E63)</f>
        <v>749123</v>
      </c>
      <c r="F64" s="33">
        <f t="shared" si="3"/>
        <v>1.3431040510618462</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912</v>
      </c>
      <c r="E67" s="16">
        <f>IF(F3="1",SUMIF(Data!A:A,'53'!$A$2,Data!DY:DY),0)</f>
        <v>3125</v>
      </c>
      <c r="F67" s="21">
        <f>IFERROR(E67/D67,"")</f>
        <v>3.4265350877192984</v>
      </c>
    </row>
    <row r="68" spans="1:6" x14ac:dyDescent="0.2">
      <c r="A68" s="20">
        <v>2</v>
      </c>
      <c r="B68" s="184" t="s">
        <v>1</v>
      </c>
      <c r="C68" s="185"/>
      <c r="D68" s="15">
        <f t="shared" ref="D68:D94" si="4">D37</f>
        <v>48685</v>
      </c>
      <c r="E68" s="18">
        <f>IF(F3="1",SUMIF(Data!A:A,'53'!$A$2,Data!DZ:DZ),0)</f>
        <v>336311</v>
      </c>
      <c r="F68" s="22">
        <f t="shared" ref="F68:F95" si="5">IFERROR(E68/D68,"")</f>
        <v>6.9078977097668686</v>
      </c>
    </row>
    <row r="69" spans="1:6" ht="14.25" customHeight="1" x14ac:dyDescent="0.2">
      <c r="A69" s="20">
        <v>3</v>
      </c>
      <c r="B69" s="184" t="s">
        <v>2</v>
      </c>
      <c r="C69" s="185"/>
      <c r="D69" s="15">
        <f t="shared" si="4"/>
        <v>16328</v>
      </c>
      <c r="E69" s="18">
        <f>IF(F3="1",SUMIF(Data!A:A,'53'!$A$2,Data!EA:EA),0)</f>
        <v>42978</v>
      </c>
      <c r="F69" s="22">
        <f t="shared" si="5"/>
        <v>2.6321656050955413</v>
      </c>
    </row>
    <row r="70" spans="1:6" ht="14.25" customHeight="1" x14ac:dyDescent="0.2">
      <c r="A70" s="20">
        <v>4</v>
      </c>
      <c r="B70" s="184" t="s">
        <v>3</v>
      </c>
      <c r="C70" s="185"/>
      <c r="D70" s="15">
        <f t="shared" si="4"/>
        <v>46894</v>
      </c>
      <c r="E70" s="18">
        <f>IF(F3="1",SUMIF(Data!A:A,'53'!$A$2,Data!EB:EB),0)</f>
        <v>73323</v>
      </c>
      <c r="F70" s="22">
        <f t="shared" si="5"/>
        <v>1.5635902247622298</v>
      </c>
    </row>
    <row r="71" spans="1:6" x14ac:dyDescent="0.2">
      <c r="A71" s="20">
        <v>5</v>
      </c>
      <c r="B71" s="184" t="s">
        <v>4</v>
      </c>
      <c r="C71" s="185"/>
      <c r="D71" s="15">
        <f t="shared" si="4"/>
        <v>0</v>
      </c>
      <c r="E71" s="18">
        <f>IF(F3="1",SUMIF(Data!A:A,'53'!$A$2,Data!EC:EC),0)</f>
        <v>0</v>
      </c>
      <c r="F71" s="22" t="str">
        <f t="shared" si="5"/>
        <v/>
      </c>
    </row>
    <row r="72" spans="1:6" x14ac:dyDescent="0.2">
      <c r="A72" s="20">
        <v>6</v>
      </c>
      <c r="B72" s="184" t="s">
        <v>5</v>
      </c>
      <c r="C72" s="185"/>
      <c r="D72" s="15">
        <f t="shared" si="4"/>
        <v>4032</v>
      </c>
      <c r="E72" s="18">
        <f>IF(F3="1",SUMIF(Data!A:A,'53'!$A$2,Data!ED:ED),0)</f>
        <v>13815</v>
      </c>
      <c r="F72" s="22">
        <f t="shared" si="5"/>
        <v>3.4263392857142856</v>
      </c>
    </row>
    <row r="73" spans="1:6" x14ac:dyDescent="0.2">
      <c r="A73" s="20">
        <v>7</v>
      </c>
      <c r="B73" s="184" t="s">
        <v>6</v>
      </c>
      <c r="C73" s="185"/>
      <c r="D73" s="15">
        <f t="shared" si="4"/>
        <v>118086</v>
      </c>
      <c r="E73" s="18">
        <f>IF(F3="1",SUMIF(Data!A:A,'53'!$A$2,Data!EE:EE),0)</f>
        <v>184638</v>
      </c>
      <c r="F73" s="22">
        <f t="shared" si="5"/>
        <v>1.563589248513795</v>
      </c>
    </row>
    <row r="74" spans="1:6" x14ac:dyDescent="0.2">
      <c r="A74" s="20">
        <v>8</v>
      </c>
      <c r="B74" s="184" t="s">
        <v>7</v>
      </c>
      <c r="C74" s="185"/>
      <c r="D74" s="15">
        <f t="shared" si="4"/>
        <v>33104</v>
      </c>
      <c r="E74" s="18">
        <f>IF(F3="1",SUMIF(Data!A:A,'53'!$A$2,Data!EF:EF),0)</f>
        <v>113432</v>
      </c>
      <c r="F74" s="22">
        <f t="shared" si="5"/>
        <v>3.4265345577573707</v>
      </c>
    </row>
    <row r="75" spans="1:6" x14ac:dyDescent="0.2">
      <c r="A75" s="20">
        <v>9</v>
      </c>
      <c r="B75" s="184" t="s">
        <v>8</v>
      </c>
      <c r="C75" s="185"/>
      <c r="D75" s="15">
        <f t="shared" si="4"/>
        <v>0</v>
      </c>
      <c r="E75" s="18">
        <f>IF(F3="1",SUMIF(Data!A:A,'53'!$A$2,Data!EG:EG),0)</f>
        <v>0</v>
      </c>
      <c r="F75" s="22" t="str">
        <f t="shared" si="5"/>
        <v/>
      </c>
    </row>
    <row r="76" spans="1:6" x14ac:dyDescent="0.2">
      <c r="A76" s="20">
        <v>10</v>
      </c>
      <c r="B76" s="184" t="s">
        <v>9</v>
      </c>
      <c r="C76" s="185"/>
      <c r="D76" s="15">
        <f t="shared" si="4"/>
        <v>0</v>
      </c>
      <c r="E76" s="18">
        <f>IF(F3="1",SUMIF(Data!A:A,'53'!$A$2,Data!EH:EH),0)</f>
        <v>0</v>
      </c>
      <c r="F76" s="22" t="str">
        <f t="shared" si="5"/>
        <v/>
      </c>
    </row>
    <row r="77" spans="1:6" x14ac:dyDescent="0.2">
      <c r="A77" s="20">
        <v>11</v>
      </c>
      <c r="B77" s="184" t="s">
        <v>10</v>
      </c>
      <c r="C77" s="185"/>
      <c r="D77" s="15">
        <f t="shared" si="4"/>
        <v>135950</v>
      </c>
      <c r="E77" s="18">
        <f>IF(F3="1",SUMIF(Data!A:A,'53'!$A$2,Data!EI:EI),0)</f>
        <v>576408</v>
      </c>
      <c r="F77" s="22">
        <f t="shared" si="5"/>
        <v>4.2398528870908425</v>
      </c>
    </row>
    <row r="78" spans="1:6" ht="14.25" customHeight="1" x14ac:dyDescent="0.2">
      <c r="A78" s="20">
        <v>12</v>
      </c>
      <c r="B78" s="184" t="s">
        <v>11</v>
      </c>
      <c r="C78" s="185"/>
      <c r="D78" s="15">
        <f t="shared" si="4"/>
        <v>46640</v>
      </c>
      <c r="E78" s="18">
        <f>IF(F3="1",SUMIF(Data!A:A,'53'!$A$2,Data!EJ:EJ),0)</f>
        <v>184811</v>
      </c>
      <c r="F78" s="22">
        <f t="shared" si="5"/>
        <v>3.9624999999999999</v>
      </c>
    </row>
    <row r="79" spans="1:6" x14ac:dyDescent="0.2">
      <c r="A79" s="20">
        <v>13</v>
      </c>
      <c r="B79" s="184" t="s">
        <v>12</v>
      </c>
      <c r="C79" s="185"/>
      <c r="D79" s="15">
        <f t="shared" si="4"/>
        <v>0</v>
      </c>
      <c r="E79" s="18">
        <f>IF(F3="1",SUMIF(Data!A:A,'53'!$A$2,Data!EK:EK),0)</f>
        <v>0</v>
      </c>
      <c r="F79" s="22" t="str">
        <f t="shared" si="5"/>
        <v/>
      </c>
    </row>
    <row r="80" spans="1:6" ht="14.25" customHeight="1" x14ac:dyDescent="0.2">
      <c r="A80" s="20">
        <v>14</v>
      </c>
      <c r="B80" s="184" t="s">
        <v>469</v>
      </c>
      <c r="C80" s="185"/>
      <c r="D80" s="15">
        <f t="shared" si="4"/>
        <v>0</v>
      </c>
      <c r="E80" s="18">
        <f>IF(F3="1",SUMIF(Data!A:A,'53'!$A$2,Data!EL:EL),0)</f>
        <v>0</v>
      </c>
      <c r="F80" s="22" t="str">
        <f t="shared" si="5"/>
        <v/>
      </c>
    </row>
    <row r="81" spans="1:6" x14ac:dyDescent="0.2">
      <c r="A81" s="20">
        <v>15</v>
      </c>
      <c r="B81" s="184" t="s">
        <v>13</v>
      </c>
      <c r="C81" s="185"/>
      <c r="D81" s="15">
        <f t="shared" si="4"/>
        <v>0</v>
      </c>
      <c r="E81" s="18">
        <f>IF(F3="1",SUMIF(Data!A:A,'53'!$A$2,Data!EM:EM),0)</f>
        <v>0</v>
      </c>
      <c r="F81" s="22" t="str">
        <f t="shared" si="5"/>
        <v/>
      </c>
    </row>
    <row r="82" spans="1:6" x14ac:dyDescent="0.2">
      <c r="A82" s="20">
        <v>16</v>
      </c>
      <c r="B82" s="184" t="s">
        <v>14</v>
      </c>
      <c r="C82" s="185"/>
      <c r="D82" s="15">
        <f t="shared" si="4"/>
        <v>480</v>
      </c>
      <c r="E82" s="18">
        <f>IF(F3="1",SUMIF(Data!A:A,'53'!$A$2,Data!EN:EN),0)</f>
        <v>1645</v>
      </c>
      <c r="F82" s="22">
        <f t="shared" si="5"/>
        <v>3.4270833333333335</v>
      </c>
    </row>
    <row r="83" spans="1:6" x14ac:dyDescent="0.2">
      <c r="A83" s="20">
        <v>17</v>
      </c>
      <c r="B83" s="184" t="s">
        <v>15</v>
      </c>
      <c r="C83" s="185"/>
      <c r="D83" s="15">
        <f t="shared" si="4"/>
        <v>0</v>
      </c>
      <c r="E83" s="18">
        <f>IF(F3="1",SUMIF(Data!A:A,'53'!$A$2,Data!EO:EO),0)</f>
        <v>0</v>
      </c>
      <c r="F83" s="22" t="str">
        <f t="shared" si="5"/>
        <v/>
      </c>
    </row>
    <row r="84" spans="1:6" x14ac:dyDescent="0.2">
      <c r="A84" s="20">
        <v>18</v>
      </c>
      <c r="B84" s="184" t="s">
        <v>16</v>
      </c>
      <c r="C84" s="185"/>
      <c r="D84" s="15">
        <f t="shared" si="4"/>
        <v>0</v>
      </c>
      <c r="E84" s="18">
        <f>IF(F3="1",SUMIF(Data!A:A,'53'!$A$2,Data!EP:EP),0)</f>
        <v>0</v>
      </c>
      <c r="F84" s="22" t="str">
        <f t="shared" si="5"/>
        <v/>
      </c>
    </row>
    <row r="85" spans="1:6" x14ac:dyDescent="0.2">
      <c r="A85" s="20">
        <v>19</v>
      </c>
      <c r="B85" s="184" t="s">
        <v>17</v>
      </c>
      <c r="C85" s="185"/>
      <c r="D85" s="15">
        <f t="shared" si="4"/>
        <v>39456</v>
      </c>
      <c r="E85" s="18">
        <f>IF(F3="1",SUMIF(Data!A:A,'53'!$A$2,Data!EQ:EQ),0)</f>
        <v>149808</v>
      </c>
      <c r="F85" s="22">
        <f t="shared" si="5"/>
        <v>3.7968369829683697</v>
      </c>
    </row>
    <row r="86" spans="1:6" x14ac:dyDescent="0.2">
      <c r="A86" s="20">
        <v>20</v>
      </c>
      <c r="B86" s="184" t="s">
        <v>18</v>
      </c>
      <c r="C86" s="185"/>
      <c r="D86" s="15">
        <f t="shared" si="4"/>
        <v>2208</v>
      </c>
      <c r="E86" s="18">
        <f>IF(F3="1",SUMIF(Data!A:A,'53'!$A$2,Data!ER:ER),0)</f>
        <v>6218</v>
      </c>
      <c r="F86" s="22">
        <f t="shared" si="5"/>
        <v>2.8161231884057969</v>
      </c>
    </row>
    <row r="87" spans="1:6" ht="14.25" customHeight="1" x14ac:dyDescent="0.2">
      <c r="A87" s="20">
        <v>21</v>
      </c>
      <c r="B87" s="184" t="s">
        <v>466</v>
      </c>
      <c r="C87" s="185"/>
      <c r="D87" s="15">
        <f t="shared" si="4"/>
        <v>31924</v>
      </c>
      <c r="E87" s="18">
        <f>IF(F3="1",SUMIF(Data!A:A,'53'!$A$2,Data!ES:ES),0)</f>
        <v>89899</v>
      </c>
      <c r="F87" s="22">
        <f t="shared" si="5"/>
        <v>2.8160318255857661</v>
      </c>
    </row>
    <row r="88" spans="1:6" x14ac:dyDescent="0.2">
      <c r="A88" s="20">
        <v>22</v>
      </c>
      <c r="B88" s="184" t="s">
        <v>19</v>
      </c>
      <c r="C88" s="185"/>
      <c r="D88" s="15">
        <f t="shared" si="4"/>
        <v>8160</v>
      </c>
      <c r="E88" s="18">
        <f>IF(F3="1",SUMIF(Data!A:A,'53'!$A$2,Data!ET:ET),0)</f>
        <v>27960</v>
      </c>
      <c r="F88" s="22">
        <f t="shared" si="5"/>
        <v>3.4264705882352939</v>
      </c>
    </row>
    <row r="89" spans="1:6" x14ac:dyDescent="0.2">
      <c r="A89" s="20">
        <v>23</v>
      </c>
      <c r="B89" s="184" t="s">
        <v>20</v>
      </c>
      <c r="C89" s="185"/>
      <c r="D89" s="15">
        <f t="shared" si="4"/>
        <v>0</v>
      </c>
      <c r="E89" s="18">
        <f>IF(F3="1",SUMIF(Data!A:A,'53'!$A$2,Data!EU:EU),0)</f>
        <v>0</v>
      </c>
      <c r="F89" s="22" t="str">
        <f t="shared" si="5"/>
        <v/>
      </c>
    </row>
    <row r="90" spans="1:6" x14ac:dyDescent="0.2">
      <c r="A90" s="20">
        <v>24</v>
      </c>
      <c r="B90" s="184" t="s">
        <v>21</v>
      </c>
      <c r="C90" s="185"/>
      <c r="D90" s="15">
        <f t="shared" si="4"/>
        <v>0</v>
      </c>
      <c r="E90" s="18">
        <f>IF(F3="1",SUMIF(Data!A:A,'53'!$A$2,Data!EV:EV),0)</f>
        <v>0</v>
      </c>
      <c r="F90" s="22" t="str">
        <f t="shared" si="5"/>
        <v/>
      </c>
    </row>
    <row r="91" spans="1:6" x14ac:dyDescent="0.2">
      <c r="A91" s="20">
        <v>25</v>
      </c>
      <c r="B91" s="184" t="s">
        <v>22</v>
      </c>
      <c r="C91" s="185"/>
      <c r="D91" s="15">
        <f t="shared" si="4"/>
        <v>19712</v>
      </c>
      <c r="E91" s="18">
        <f>IF(F3="1",SUMIF(Data!A:A,'53'!$A$2,Data!EW:EW),0)</f>
        <v>22461</v>
      </c>
      <c r="F91" s="22">
        <f t="shared" si="5"/>
        <v>1.139458198051948</v>
      </c>
    </row>
    <row r="92" spans="1:6" x14ac:dyDescent="0.2">
      <c r="A92" s="20">
        <v>26</v>
      </c>
      <c r="B92" s="184" t="s">
        <v>23</v>
      </c>
      <c r="C92" s="185"/>
      <c r="D92" s="15">
        <f t="shared" si="4"/>
        <v>5184</v>
      </c>
      <c r="E92" s="18">
        <f>IF(F3="1",SUMIF(Data!A:A,'53'!$A$2,Data!EX:EX),0)</f>
        <v>8106</v>
      </c>
      <c r="F92" s="22">
        <f t="shared" si="5"/>
        <v>1.5636574074074074</v>
      </c>
    </row>
    <row r="93" spans="1:6" x14ac:dyDescent="0.2">
      <c r="A93" s="20">
        <v>28</v>
      </c>
      <c r="B93" s="184" t="s">
        <v>24</v>
      </c>
      <c r="C93" s="185"/>
      <c r="D93" s="15">
        <f t="shared" si="4"/>
        <v>0</v>
      </c>
      <c r="E93" s="18">
        <f>IF(F3="1",SUMIF(Data!A:A,'53'!$A$2,Data!EZ:EZ),0)</f>
        <v>0</v>
      </c>
      <c r="F93" s="22" t="str">
        <f t="shared" si="5"/>
        <v/>
      </c>
    </row>
    <row r="94" spans="1:6" ht="15.75" customHeight="1" thickBot="1" x14ac:dyDescent="0.25">
      <c r="A94" s="23">
        <v>29</v>
      </c>
      <c r="B94" s="186" t="s">
        <v>25</v>
      </c>
      <c r="C94" s="187"/>
      <c r="D94" s="24">
        <f t="shared" si="4"/>
        <v>0</v>
      </c>
      <c r="E94" s="25">
        <f>IF(F3="1",SUMIF(Data!A:A,'53'!$A$2,Data!FA:FA),0)</f>
        <v>0</v>
      </c>
      <c r="F94" s="26" t="str">
        <f t="shared" si="5"/>
        <v/>
      </c>
    </row>
    <row r="95" spans="1:6" x14ac:dyDescent="0.2">
      <c r="B95" s="31" t="s">
        <v>35</v>
      </c>
      <c r="C95" s="31"/>
      <c r="D95" s="61">
        <f>SUM(D67:D94)</f>
        <v>557755</v>
      </c>
      <c r="E95" s="32">
        <f>SUM(E67:E94)</f>
        <v>1834938</v>
      </c>
      <c r="F95" s="33">
        <f t="shared" si="5"/>
        <v>3.2898638291005908</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IF(F3="1",SUMIF(Data!A:A,'53'!$A$2,Data!AH:AH),0)</f>
        <v>697618</v>
      </c>
      <c r="F98" s="21">
        <f t="shared" ref="F98:F105" si="6">IFERROR(E98/$D$95,0)</f>
        <v>1.2507606386316572</v>
      </c>
    </row>
    <row r="99" spans="2:6" x14ac:dyDescent="0.2">
      <c r="B99" s="190" t="s">
        <v>31</v>
      </c>
      <c r="C99" s="191"/>
      <c r="D99" s="37"/>
      <c r="E99" s="18">
        <f>IF(F3="1",SUMIF(Data!A:A,'53'!$A$2,Data!AI:AI),0)</f>
        <v>812831</v>
      </c>
      <c r="F99" s="22">
        <f t="shared" si="6"/>
        <v>1.4573262453944833</v>
      </c>
    </row>
    <row r="100" spans="2:6" x14ac:dyDescent="0.2">
      <c r="B100" s="190" t="s">
        <v>32</v>
      </c>
      <c r="C100" s="191"/>
      <c r="D100" s="37"/>
      <c r="E100" s="18">
        <f>IF(F3="1",SUMIF(Data!A:A,'53'!$A$2,Data!AJ:AJ),0)</f>
        <v>580913</v>
      </c>
      <c r="F100" s="22">
        <f t="shared" si="6"/>
        <v>1.0415200222319836</v>
      </c>
    </row>
    <row r="101" spans="2:6" x14ac:dyDescent="0.2">
      <c r="B101" s="190" t="s">
        <v>28</v>
      </c>
      <c r="C101" s="191"/>
      <c r="D101" s="37"/>
      <c r="E101" s="18">
        <f>IF(F3="1",SUMIF(Data!A:A,'53'!$A$2,Data!AK:AK),0)</f>
        <v>165057</v>
      </c>
      <c r="F101" s="22">
        <f t="shared" si="6"/>
        <v>0.29593100913483517</v>
      </c>
    </row>
    <row r="102" spans="2:6" x14ac:dyDescent="0.2">
      <c r="B102" s="190" t="s">
        <v>33</v>
      </c>
      <c r="C102" s="191"/>
      <c r="D102" s="37"/>
      <c r="E102" s="18">
        <f>IF(F3="1",SUMIF(Data!A:A,'53'!$A$2,Data!AL:AL),0)</f>
        <v>256075</v>
      </c>
      <c r="F102" s="22">
        <f t="shared" si="6"/>
        <v>0.45911735439395435</v>
      </c>
    </row>
    <row r="103" spans="2:6" x14ac:dyDescent="0.2">
      <c r="B103" s="192" t="s">
        <v>34</v>
      </c>
      <c r="C103" s="193"/>
      <c r="D103" s="37"/>
      <c r="E103" s="18">
        <f>IF(F3="1",SUMIF(Data!A:A,'53'!$A$2,Data!AM:AM),0)</f>
        <v>127431</v>
      </c>
      <c r="F103" s="22">
        <f t="shared" si="6"/>
        <v>0.22847128219379476</v>
      </c>
    </row>
    <row r="104" spans="2:6" ht="15.75" customHeight="1" thickBot="1" x14ac:dyDescent="0.25">
      <c r="B104" s="182" t="s">
        <v>29</v>
      </c>
      <c r="C104" s="183"/>
      <c r="D104" s="38"/>
      <c r="E104" s="25">
        <f>IF(F3="1",SUMIF(Data!A:A,'53'!$A$2,Data!Q:Q),0)</f>
        <v>82519</v>
      </c>
      <c r="F104" s="26">
        <f t="shared" si="6"/>
        <v>0.14794847199935454</v>
      </c>
    </row>
    <row r="105" spans="2:6" x14ac:dyDescent="0.2">
      <c r="B105" s="31" t="s">
        <v>35</v>
      </c>
      <c r="C105" s="31"/>
      <c r="D105" s="35">
        <f>D95</f>
        <v>557755</v>
      </c>
      <c r="E105" s="32">
        <f>SUM(E98:E104)</f>
        <v>2722444</v>
      </c>
      <c r="F105" s="33">
        <f t="shared" si="6"/>
        <v>4.8810750239800633</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1834938</v>
      </c>
      <c r="D109" s="16">
        <f>IF(F3="1",SUMIF(Data!$A:$A,$A$2,Data!HJ:HJ),0)</f>
        <v>0</v>
      </c>
      <c r="E109" s="16">
        <f>IF(F3="1",SUMIF(Data!$A:$A,$A$2,Data!IN:IN),0)</f>
        <v>0</v>
      </c>
      <c r="F109" s="48">
        <f>SUM(C109:E109)</f>
        <v>1834938</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256075</v>
      </c>
      <c r="F116" s="49">
        <f t="shared" si="7"/>
        <v>256075</v>
      </c>
    </row>
    <row r="117" spans="1:6" ht="15" thickBot="1" x14ac:dyDescent="0.25">
      <c r="B117" s="44" t="s">
        <v>941</v>
      </c>
      <c r="C117" s="53"/>
      <c r="D117" s="53">
        <f>IF(F3="1",SUMIF(Data!A:A,$A$2,Data!Q:Q),0)</f>
        <v>82519</v>
      </c>
      <c r="E117" s="53"/>
      <c r="F117" s="50">
        <f>SUM(C117:E117)</f>
        <v>82519</v>
      </c>
    </row>
    <row r="118" spans="1:6" x14ac:dyDescent="0.2">
      <c r="B118" s="14" t="s">
        <v>35</v>
      </c>
      <c r="C118" s="5">
        <f>SUM(C109:C116)</f>
        <v>1834938</v>
      </c>
      <c r="D118" s="5">
        <f>SUM(D109:D116)</f>
        <v>0</v>
      </c>
      <c r="E118" s="5">
        <f>SUM(E109:E116)</f>
        <v>256075</v>
      </c>
      <c r="F118" s="5">
        <f>SUM(F109:F116)</f>
        <v>2091013</v>
      </c>
    </row>
    <row r="119" spans="1:6" ht="15" thickBot="1" x14ac:dyDescent="0.25"/>
    <row r="120" spans="1:6" ht="15" thickBot="1" x14ac:dyDescent="0.25">
      <c r="B120" s="57" t="s">
        <v>942</v>
      </c>
      <c r="C120" s="55"/>
      <c r="D120" s="55"/>
      <c r="E120" s="55">
        <f>IF(F3="1",SUMIF(Data!A:A,'53'!$A$2,Data!AM:AM),0)</f>
        <v>127431</v>
      </c>
      <c r="F120" s="56">
        <f>SUM(C120:E120)</f>
        <v>127431</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408</v>
      </c>
      <c r="B2" s="60" t="str">
        <f>VLOOKUP(A2,Data!A:G,7,0)</f>
        <v>Texas State Technical College-Waco</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56704</v>
      </c>
      <c r="E5" s="16">
        <f>E36+E67+IFERROR($E$105/$D$105*D5,0)</f>
        <v>510998.05115914659</v>
      </c>
      <c r="F5" s="21">
        <f>IFERROR(E5/D5,"")</f>
        <v>9.0116755636136183</v>
      </c>
    </row>
    <row r="6" spans="1:6" x14ac:dyDescent="0.2">
      <c r="A6" s="20">
        <v>2</v>
      </c>
      <c r="B6" s="184" t="s">
        <v>1</v>
      </c>
      <c r="C6" s="185"/>
      <c r="D6" s="15">
        <f t="shared" ref="D6:D32" si="0">D37</f>
        <v>397696</v>
      </c>
      <c r="E6" s="18">
        <f t="shared" ref="E6:E32" si="1">E37+E68+IFERROR($E$105/$D$105*D6,0)</f>
        <v>2929042.0992132472</v>
      </c>
      <c r="F6" s="22">
        <f t="shared" ref="F6:F33" si="2">IFERROR(E6/D6,"")</f>
        <v>7.3650278082083984</v>
      </c>
    </row>
    <row r="7" spans="1:6" ht="14.25" customHeight="1" x14ac:dyDescent="0.2">
      <c r="A7" s="20">
        <v>3</v>
      </c>
      <c r="B7" s="184" t="s">
        <v>2</v>
      </c>
      <c r="C7" s="185"/>
      <c r="D7" s="15">
        <f t="shared" si="0"/>
        <v>87664</v>
      </c>
      <c r="E7" s="18">
        <f t="shared" si="1"/>
        <v>796215.42672149104</v>
      </c>
      <c r="F7" s="22">
        <f t="shared" si="2"/>
        <v>9.0825815240177388</v>
      </c>
    </row>
    <row r="8" spans="1:6" ht="14.25" customHeight="1" x14ac:dyDescent="0.2">
      <c r="A8" s="20">
        <v>4</v>
      </c>
      <c r="B8" s="184" t="s">
        <v>3</v>
      </c>
      <c r="C8" s="185"/>
      <c r="D8" s="15">
        <f t="shared" si="0"/>
        <v>131030</v>
      </c>
      <c r="E8" s="18">
        <f t="shared" si="1"/>
        <v>839072.66957151133</v>
      </c>
      <c r="F8" s="22">
        <f t="shared" si="2"/>
        <v>6.4036683932802516</v>
      </c>
    </row>
    <row r="9" spans="1:6" x14ac:dyDescent="0.2">
      <c r="A9" s="20">
        <v>5</v>
      </c>
      <c r="B9" s="184" t="s">
        <v>4</v>
      </c>
      <c r="C9" s="185"/>
      <c r="D9" s="15">
        <f t="shared" si="0"/>
        <v>36912</v>
      </c>
      <c r="E9" s="18">
        <f t="shared" si="1"/>
        <v>1297056.1190813067</v>
      </c>
      <c r="F9" s="22">
        <f t="shared" si="2"/>
        <v>35.139144968609308</v>
      </c>
    </row>
    <row r="10" spans="1:6" x14ac:dyDescent="0.2">
      <c r="A10" s="20">
        <v>6</v>
      </c>
      <c r="B10" s="184" t="s">
        <v>5</v>
      </c>
      <c r="C10" s="185"/>
      <c r="D10" s="15">
        <f t="shared" si="0"/>
        <v>179536</v>
      </c>
      <c r="E10" s="18">
        <f t="shared" si="1"/>
        <v>1176914.0807157969</v>
      </c>
      <c r="F10" s="22">
        <f t="shared" si="2"/>
        <v>6.5553096911805815</v>
      </c>
    </row>
    <row r="11" spans="1:6" x14ac:dyDescent="0.2">
      <c r="A11" s="20">
        <v>7</v>
      </c>
      <c r="B11" s="184" t="s">
        <v>6</v>
      </c>
      <c r="C11" s="185"/>
      <c r="D11" s="15">
        <f t="shared" si="0"/>
        <v>457494</v>
      </c>
      <c r="E11" s="18">
        <f t="shared" si="1"/>
        <v>3299149.0318320156</v>
      </c>
      <c r="F11" s="22">
        <f t="shared" si="2"/>
        <v>7.2113492894595677</v>
      </c>
    </row>
    <row r="12" spans="1:6" x14ac:dyDescent="0.2">
      <c r="A12" s="20">
        <v>8</v>
      </c>
      <c r="B12" s="184" t="s">
        <v>7</v>
      </c>
      <c r="C12" s="185"/>
      <c r="D12" s="15">
        <f t="shared" si="0"/>
        <v>137614</v>
      </c>
      <c r="E12" s="18">
        <f t="shared" si="1"/>
        <v>1110234.9396200408</v>
      </c>
      <c r="F12" s="22">
        <f t="shared" si="2"/>
        <v>8.0677470287909721</v>
      </c>
    </row>
    <row r="13" spans="1:6" x14ac:dyDescent="0.2">
      <c r="A13" s="20">
        <v>9</v>
      </c>
      <c r="B13" s="184" t="s">
        <v>8</v>
      </c>
      <c r="C13" s="185"/>
      <c r="D13" s="15">
        <f t="shared" si="0"/>
        <v>81308</v>
      </c>
      <c r="E13" s="18">
        <f t="shared" si="1"/>
        <v>749279.7516867927</v>
      </c>
      <c r="F13" s="22">
        <f t="shared" si="2"/>
        <v>9.2153263109016663</v>
      </c>
    </row>
    <row r="14" spans="1:6" x14ac:dyDescent="0.2">
      <c r="A14" s="20">
        <v>10</v>
      </c>
      <c r="B14" s="184" t="s">
        <v>9</v>
      </c>
      <c r="C14" s="185"/>
      <c r="D14" s="15">
        <f t="shared" si="0"/>
        <v>2480</v>
      </c>
      <c r="E14" s="18">
        <f t="shared" si="1"/>
        <v>18604.559799567643</v>
      </c>
      <c r="F14" s="22">
        <f t="shared" si="2"/>
        <v>7.5018386288579206</v>
      </c>
    </row>
    <row r="15" spans="1:6" x14ac:dyDescent="0.2">
      <c r="A15" s="20">
        <v>11</v>
      </c>
      <c r="B15" s="184" t="s">
        <v>10</v>
      </c>
      <c r="C15" s="185"/>
      <c r="D15" s="15">
        <f t="shared" si="0"/>
        <v>665544</v>
      </c>
      <c r="E15" s="18">
        <f t="shared" si="1"/>
        <v>5325197.9819530025</v>
      </c>
      <c r="F15" s="22">
        <f t="shared" si="2"/>
        <v>8.0012711134846111</v>
      </c>
    </row>
    <row r="16" spans="1:6" ht="14.25" customHeight="1" x14ac:dyDescent="0.2">
      <c r="A16" s="20">
        <v>12</v>
      </c>
      <c r="B16" s="184" t="s">
        <v>11</v>
      </c>
      <c r="C16" s="185"/>
      <c r="D16" s="15">
        <f t="shared" si="0"/>
        <v>334560</v>
      </c>
      <c r="E16" s="18">
        <f t="shared" si="1"/>
        <v>2111627.8413481251</v>
      </c>
      <c r="F16" s="22">
        <f t="shared" si="2"/>
        <v>6.3116566276546067</v>
      </c>
    </row>
    <row r="17" spans="1:6" x14ac:dyDescent="0.2">
      <c r="A17" s="20">
        <v>13</v>
      </c>
      <c r="B17" s="184" t="s">
        <v>12</v>
      </c>
      <c r="C17" s="185"/>
      <c r="D17" s="15">
        <f t="shared" si="0"/>
        <v>5964</v>
      </c>
      <c r="E17" s="18">
        <f t="shared" si="1"/>
        <v>38034.880098637674</v>
      </c>
      <c r="F17" s="22">
        <f t="shared" si="2"/>
        <v>6.3774111500063171</v>
      </c>
    </row>
    <row r="18" spans="1:6" ht="14.25" customHeight="1" x14ac:dyDescent="0.2">
      <c r="A18" s="20">
        <v>14</v>
      </c>
      <c r="B18" s="184" t="s">
        <v>469</v>
      </c>
      <c r="C18" s="185"/>
      <c r="D18" s="15">
        <f t="shared" si="0"/>
        <v>180152</v>
      </c>
      <c r="E18" s="18">
        <f t="shared" si="1"/>
        <v>1212730.7584724636</v>
      </c>
      <c r="F18" s="22">
        <f t="shared" si="2"/>
        <v>6.7317085487391957</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51008</v>
      </c>
      <c r="E20" s="18">
        <f t="shared" si="1"/>
        <v>350526.88800659124</v>
      </c>
      <c r="F20" s="22">
        <f t="shared" si="2"/>
        <v>6.8719982749096467</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219392</v>
      </c>
      <c r="E23" s="18">
        <f t="shared" si="1"/>
        <v>1550340.3740107841</v>
      </c>
      <c r="F23" s="22">
        <f t="shared" si="2"/>
        <v>7.0665310221465871</v>
      </c>
    </row>
    <row r="24" spans="1:6" x14ac:dyDescent="0.2">
      <c r="A24" s="20">
        <v>20</v>
      </c>
      <c r="B24" s="184" t="s">
        <v>18</v>
      </c>
      <c r="C24" s="185"/>
      <c r="D24" s="15">
        <f t="shared" si="0"/>
        <v>365562</v>
      </c>
      <c r="E24" s="18">
        <f t="shared" si="1"/>
        <v>2886725.694939333</v>
      </c>
      <c r="F24" s="22">
        <f t="shared" si="2"/>
        <v>7.896678798505679</v>
      </c>
    </row>
    <row r="25" spans="1:6" ht="14.25" customHeight="1" x14ac:dyDescent="0.2">
      <c r="A25" s="20">
        <v>21</v>
      </c>
      <c r="B25" s="184" t="s">
        <v>466</v>
      </c>
      <c r="C25" s="185"/>
      <c r="D25" s="15">
        <f t="shared" si="0"/>
        <v>299284</v>
      </c>
      <c r="E25" s="18">
        <f t="shared" si="1"/>
        <v>2923683.0092958882</v>
      </c>
      <c r="F25" s="22">
        <f t="shared" si="2"/>
        <v>9.7689251991282138</v>
      </c>
    </row>
    <row r="26" spans="1:6" x14ac:dyDescent="0.2">
      <c r="A26" s="20">
        <v>22</v>
      </c>
      <c r="B26" s="184" t="s">
        <v>19</v>
      </c>
      <c r="C26" s="185"/>
      <c r="D26" s="15">
        <f t="shared" si="0"/>
        <v>219920</v>
      </c>
      <c r="E26" s="18">
        <f t="shared" si="1"/>
        <v>1927013.3835164984</v>
      </c>
      <c r="F26" s="22">
        <f t="shared" si="2"/>
        <v>8.7623380480015385</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21688</v>
      </c>
      <c r="E28" s="18">
        <f t="shared" si="1"/>
        <v>147023.51166654154</v>
      </c>
      <c r="F28" s="22">
        <f t="shared" si="2"/>
        <v>6.779025805355106</v>
      </c>
    </row>
    <row r="29" spans="1:6" x14ac:dyDescent="0.2">
      <c r="A29" s="20">
        <v>25</v>
      </c>
      <c r="B29" s="184" t="s">
        <v>22</v>
      </c>
      <c r="C29" s="185"/>
      <c r="D29" s="15">
        <f t="shared" si="0"/>
        <v>60848</v>
      </c>
      <c r="E29" s="18">
        <f t="shared" si="1"/>
        <v>382565.88334035967</v>
      </c>
      <c r="F29" s="22">
        <f t="shared" si="2"/>
        <v>6.2872384193459059</v>
      </c>
    </row>
    <row r="30" spans="1:6" x14ac:dyDescent="0.2">
      <c r="A30" s="20">
        <v>26</v>
      </c>
      <c r="B30" s="184" t="s">
        <v>23</v>
      </c>
      <c r="C30" s="185"/>
      <c r="D30" s="15">
        <f t="shared" si="0"/>
        <v>163456</v>
      </c>
      <c r="E30" s="18">
        <f t="shared" si="1"/>
        <v>1182442.0639508583</v>
      </c>
      <c r="F30" s="22">
        <f t="shared" si="2"/>
        <v>7.2340083199812693</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4155816</v>
      </c>
      <c r="E33" s="32">
        <f>SUM(E5:E32)</f>
        <v>32764479</v>
      </c>
      <c r="F33" s="33">
        <f t="shared" si="2"/>
        <v>7.8840061735168252</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IF(F3="1",SUMIF(Data!A:A,'54'!$A$2,Data!CU:CU),0)</f>
        <v>56704</v>
      </c>
      <c r="E36" s="16">
        <f>IF(F3="1",SUMIF(Data!$A:$A,'54'!$A$2,Data!IO:IO),0)</f>
        <v>124315</v>
      </c>
      <c r="F36" s="21">
        <f t="shared" ref="F36:F64" si="3">IFERROR(E36/D36,"")</f>
        <v>2.1923497460496613</v>
      </c>
    </row>
    <row r="37" spans="1:6" x14ac:dyDescent="0.2">
      <c r="A37" s="20">
        <v>2</v>
      </c>
      <c r="B37" s="184" t="s">
        <v>1</v>
      </c>
      <c r="C37" s="185"/>
      <c r="D37" s="15">
        <f>IF(F3="1",SUMIF(Data!A:A,'54'!$A$2,Data!CV:CV),0)</f>
        <v>397696</v>
      </c>
      <c r="E37" s="18">
        <f>IF(F3="1",SUMIF(Data!$A:$A,'54'!$A$2,Data!IP:IP),0)</f>
        <v>454961</v>
      </c>
      <c r="F37" s="22">
        <f t="shared" si="3"/>
        <v>1.1439918933054394</v>
      </c>
    </row>
    <row r="38" spans="1:6" ht="14.25" customHeight="1" x14ac:dyDescent="0.2">
      <c r="A38" s="20">
        <v>3</v>
      </c>
      <c r="B38" s="184" t="s">
        <v>2</v>
      </c>
      <c r="C38" s="185"/>
      <c r="D38" s="15">
        <f>IF(F3="1",SUMIF(Data!A:A,'54'!$A$2,Data!CW:CW),0)</f>
        <v>87664</v>
      </c>
      <c r="E38" s="18">
        <f>IF(F3="1",SUMIF(Data!$A:$A,'54'!$A$2,Data!IQ:IQ),0)</f>
        <v>108735</v>
      </c>
      <c r="F38" s="22">
        <f t="shared" si="3"/>
        <v>1.240360923526191</v>
      </c>
    </row>
    <row r="39" spans="1:6" ht="14.25" customHeight="1" x14ac:dyDescent="0.2">
      <c r="A39" s="20">
        <v>4</v>
      </c>
      <c r="B39" s="184" t="s">
        <v>3</v>
      </c>
      <c r="C39" s="185"/>
      <c r="D39" s="15">
        <f>IF(F3="1",SUMIF(Data!A:A,'54'!$A$2,Data!CX:CX),0)</f>
        <v>131030</v>
      </c>
      <c r="E39" s="18">
        <f>IF(F3="1",SUMIF(Data!$A:$A,'54'!$A$2,Data!IR:IR),0)</f>
        <v>128591</v>
      </c>
      <c r="F39" s="22">
        <f t="shared" si="3"/>
        <v>0.98138594215065256</v>
      </c>
    </row>
    <row r="40" spans="1:6" x14ac:dyDescent="0.2">
      <c r="A40" s="20">
        <v>5</v>
      </c>
      <c r="B40" s="184" t="s">
        <v>4</v>
      </c>
      <c r="C40" s="185"/>
      <c r="D40" s="15">
        <f>IF(F3="1",SUMIF(Data!A:A,'54'!$A$2,Data!CY:CY),0)</f>
        <v>36912</v>
      </c>
      <c r="E40" s="18">
        <f>IF(F3="1",SUMIF(Data!$A:$A,'54'!$A$2,Data!IS:IS),0)</f>
        <v>825655</v>
      </c>
      <c r="F40" s="22">
        <f t="shared" si="3"/>
        <v>22.368200043346338</v>
      </c>
    </row>
    <row r="41" spans="1:6" x14ac:dyDescent="0.2">
      <c r="A41" s="20">
        <v>6</v>
      </c>
      <c r="B41" s="184" t="s">
        <v>5</v>
      </c>
      <c r="C41" s="185"/>
      <c r="D41" s="15">
        <f>IF(F3="1",SUMIF(Data!A:A,'54'!$A$2,Data!CZ:CZ),0)</f>
        <v>179536</v>
      </c>
      <c r="E41" s="18">
        <f>IF(F3="1",SUMIF(Data!$A:$A,'54'!$A$2,Data!IT:IT),0)</f>
        <v>146915</v>
      </c>
      <c r="F41" s="22">
        <f t="shared" si="3"/>
        <v>0.8183038499242492</v>
      </c>
    </row>
    <row r="42" spans="1:6" x14ac:dyDescent="0.2">
      <c r="A42" s="20">
        <v>7</v>
      </c>
      <c r="B42" s="184" t="s">
        <v>6</v>
      </c>
      <c r="C42" s="185"/>
      <c r="D42" s="15">
        <f>IF(F3="1",SUMIF(Data!A:A,'54'!$A$2,Data!DA:DA),0)</f>
        <v>457494</v>
      </c>
      <c r="E42" s="18">
        <f>IF(F3="1",SUMIF(Data!$A:$A,'54'!$A$2,Data!IU:IU),0)</f>
        <v>496700</v>
      </c>
      <c r="F42" s="22">
        <f t="shared" si="3"/>
        <v>1.0856972987623881</v>
      </c>
    </row>
    <row r="43" spans="1:6" x14ac:dyDescent="0.2">
      <c r="A43" s="20">
        <v>8</v>
      </c>
      <c r="B43" s="184" t="s">
        <v>7</v>
      </c>
      <c r="C43" s="185"/>
      <c r="D43" s="15">
        <f>IF(F3="1",SUMIF(Data!A:A,'54'!$A$2,Data!DB:DB),0)</f>
        <v>137614</v>
      </c>
      <c r="E43" s="18">
        <f>IF(F3="1",SUMIF(Data!$A:$A,'54'!$A$2,Data!IV:IV),0)</f>
        <v>302906</v>
      </c>
      <c r="F43" s="22">
        <f t="shared" si="3"/>
        <v>2.2011277922304417</v>
      </c>
    </row>
    <row r="44" spans="1:6" x14ac:dyDescent="0.2">
      <c r="A44" s="20">
        <v>9</v>
      </c>
      <c r="B44" s="184" t="s">
        <v>8</v>
      </c>
      <c r="C44" s="185"/>
      <c r="D44" s="15">
        <f>IF(F3="1",SUMIF(Data!A:A,'54'!$A$2,Data!DC:DC),0)</f>
        <v>81308</v>
      </c>
      <c r="E44" s="18">
        <f>IF(F3="1",SUMIF(Data!$A:$A,'54'!$A$2,Data!IW:IW),0)</f>
        <v>145789</v>
      </c>
      <c r="F44" s="22">
        <f t="shared" si="3"/>
        <v>1.7930461947163872</v>
      </c>
    </row>
    <row r="45" spans="1:6" x14ac:dyDescent="0.2">
      <c r="A45" s="20">
        <v>10</v>
      </c>
      <c r="B45" s="184" t="s">
        <v>9</v>
      </c>
      <c r="C45" s="185"/>
      <c r="D45" s="15">
        <f>IF(F3="1",SUMIF(Data!A:A,'54'!$A$2,Data!DD:DD),0)</f>
        <v>2480</v>
      </c>
      <c r="E45" s="18">
        <f>IF(F3="1",SUMIF(Data!$A:$A,'54'!$A$2,Data!IX:IX),0)</f>
        <v>3275</v>
      </c>
      <c r="F45" s="22">
        <f t="shared" si="3"/>
        <v>1.3205645161290323</v>
      </c>
    </row>
    <row r="46" spans="1:6" x14ac:dyDescent="0.2">
      <c r="A46" s="20">
        <v>11</v>
      </c>
      <c r="B46" s="184" t="s">
        <v>10</v>
      </c>
      <c r="C46" s="185"/>
      <c r="D46" s="15">
        <f>IF(F3="1",SUMIF(Data!A:A,'54'!$A$2,Data!DE:DE),0)</f>
        <v>665544</v>
      </c>
      <c r="E46" s="18">
        <f>IF(F3="1",SUMIF(Data!$A:$A,'54'!$A$2,Data!IY:IY),0)</f>
        <v>942599</v>
      </c>
      <c r="F46" s="22">
        <f t="shared" si="3"/>
        <v>1.4162835214501219</v>
      </c>
    </row>
    <row r="47" spans="1:6" ht="14.25" customHeight="1" x14ac:dyDescent="0.2">
      <c r="A47" s="20">
        <v>12</v>
      </c>
      <c r="B47" s="184" t="s">
        <v>11</v>
      </c>
      <c r="C47" s="185"/>
      <c r="D47" s="15">
        <f>IF(F3="1",SUMIF(Data!A:A,'54'!$A$2,Data!DF:DF),0)</f>
        <v>334560</v>
      </c>
      <c r="E47" s="18">
        <f>IF(F3="1",SUMIF(Data!$A:$A,'54'!$A$2,Data!IZ:IZ),0)</f>
        <v>157697</v>
      </c>
      <c r="F47" s="22">
        <f t="shared" si="3"/>
        <v>0.47135640841702536</v>
      </c>
    </row>
    <row r="48" spans="1:6" x14ac:dyDescent="0.2">
      <c r="A48" s="20">
        <v>13</v>
      </c>
      <c r="B48" s="184" t="s">
        <v>12</v>
      </c>
      <c r="C48" s="185"/>
      <c r="D48" s="15">
        <f>IF(F3="1",SUMIF(Data!A:A,'54'!$A$2,Data!DG:DG),0)</f>
        <v>5964</v>
      </c>
      <c r="E48" s="18">
        <f>IF(F3="1",SUMIF(Data!$A:$A,'54'!$A$2,Data!JA:JA),0)</f>
        <v>4151</v>
      </c>
      <c r="F48" s="22">
        <f t="shared" si="3"/>
        <v>0.6960093896713615</v>
      </c>
    </row>
    <row r="49" spans="1:6" ht="14.25" customHeight="1" x14ac:dyDescent="0.2">
      <c r="A49" s="20">
        <v>14</v>
      </c>
      <c r="B49" s="184" t="s">
        <v>469</v>
      </c>
      <c r="C49" s="185"/>
      <c r="D49" s="15">
        <f>IF(F3="1",SUMIF(Data!A:A,'54'!$A$2,Data!DH:DH),0)</f>
        <v>180152</v>
      </c>
      <c r="E49" s="18">
        <f>IF(F3="1",SUMIF(Data!$A:$A,'54'!$A$2,Data!JB:JB),0)</f>
        <v>245780</v>
      </c>
      <c r="F49" s="22">
        <f t="shared" si="3"/>
        <v>1.3642923753275011</v>
      </c>
    </row>
    <row r="50" spans="1:6" x14ac:dyDescent="0.2">
      <c r="A50" s="20">
        <v>15</v>
      </c>
      <c r="B50" s="184" t="s">
        <v>13</v>
      </c>
      <c r="C50" s="185"/>
      <c r="D50" s="15">
        <f>IF(F3="1",SUMIF(Data!A:A,'54'!$A$2,Data!DI:DI),0)</f>
        <v>0</v>
      </c>
      <c r="E50" s="18">
        <f>IF(F3="1",SUMIF(Data!$A:$A,'54'!$A$2,Data!JC:JC),0)</f>
        <v>0</v>
      </c>
      <c r="F50" s="22" t="str">
        <f t="shared" si="3"/>
        <v/>
      </c>
    </row>
    <row r="51" spans="1:6" x14ac:dyDescent="0.2">
      <c r="A51" s="20">
        <v>16</v>
      </c>
      <c r="B51" s="184" t="s">
        <v>14</v>
      </c>
      <c r="C51" s="185"/>
      <c r="D51" s="15">
        <f>IF(F3="1",SUMIF(Data!A:A,'54'!$A$2,Data!DJ:DJ),0)</f>
        <v>51008</v>
      </c>
      <c r="E51" s="18">
        <f>IF(F3="1",SUMIF(Data!$A:$A,'54'!$A$2,Data!JD:JD),0)</f>
        <v>24218</v>
      </c>
      <c r="F51" s="22">
        <f t="shared" si="3"/>
        <v>0.47478826850690087</v>
      </c>
    </row>
    <row r="52" spans="1:6" x14ac:dyDescent="0.2">
      <c r="A52" s="20">
        <v>17</v>
      </c>
      <c r="B52" s="184" t="s">
        <v>15</v>
      </c>
      <c r="C52" s="185"/>
      <c r="D52" s="15">
        <f>IF(F3="1",SUMIF(Data!A:A,'54'!$A$2,Data!DK:DK),0)</f>
        <v>0</v>
      </c>
      <c r="E52" s="18">
        <f>IF(F3="1",SUMIF(Data!$A:$A,'54'!$A$2,Data!JE:JE),0)</f>
        <v>0</v>
      </c>
      <c r="F52" s="22" t="str">
        <f t="shared" si="3"/>
        <v/>
      </c>
    </row>
    <row r="53" spans="1:6" x14ac:dyDescent="0.2">
      <c r="A53" s="20">
        <v>18</v>
      </c>
      <c r="B53" s="184" t="s">
        <v>16</v>
      </c>
      <c r="C53" s="185"/>
      <c r="D53" s="15">
        <f>IF(F3="1",SUMIF(Data!A:A,'54'!$A$2,Data!DL:DL),0)</f>
        <v>0</v>
      </c>
      <c r="E53" s="18">
        <f>IF(F3="1",SUMIF(Data!$A:$A,'54'!$A$2,Data!JF:JF),0)</f>
        <v>0</v>
      </c>
      <c r="F53" s="22" t="str">
        <f t="shared" si="3"/>
        <v/>
      </c>
    </row>
    <row r="54" spans="1:6" x14ac:dyDescent="0.2">
      <c r="A54" s="20">
        <v>19</v>
      </c>
      <c r="B54" s="184" t="s">
        <v>17</v>
      </c>
      <c r="C54" s="185"/>
      <c r="D54" s="15">
        <f>IF(F3="1",SUMIF(Data!A:A,'54'!$A$2,Data!DM:DM),0)</f>
        <v>219392</v>
      </c>
      <c r="E54" s="18">
        <f>IF(F3="1",SUMIF(Data!$A:$A,'54'!$A$2,Data!JG:JG),0)</f>
        <v>164704</v>
      </c>
      <c r="F54" s="22">
        <f t="shared" si="3"/>
        <v>0.75072928821470242</v>
      </c>
    </row>
    <row r="55" spans="1:6" x14ac:dyDescent="0.2">
      <c r="A55" s="20">
        <v>20</v>
      </c>
      <c r="B55" s="184" t="s">
        <v>18</v>
      </c>
      <c r="C55" s="185"/>
      <c r="D55" s="15">
        <f>IF(F3="1",SUMIF(Data!A:A,'54'!$A$2,Data!DN:DN),0)</f>
        <v>365562</v>
      </c>
      <c r="E55" s="18">
        <f>IF(F3="1",SUMIF(Data!$A:$A,'54'!$A$2,Data!JH:JH),0)</f>
        <v>456118</v>
      </c>
      <c r="F55" s="22">
        <f t="shared" si="3"/>
        <v>1.2477172134959322</v>
      </c>
    </row>
    <row r="56" spans="1:6" ht="14.25" customHeight="1" x14ac:dyDescent="0.2">
      <c r="A56" s="20">
        <v>21</v>
      </c>
      <c r="B56" s="184" t="s">
        <v>466</v>
      </c>
      <c r="C56" s="185"/>
      <c r="D56" s="15">
        <f>IF(F3="1",SUMIF(Data!A:A,'54'!$A$2,Data!DO:DO),0)</f>
        <v>299284</v>
      </c>
      <c r="E56" s="18">
        <f>IF(F3="1",SUMIF(Data!$A:$A,'54'!$A$2,Data!JI:JI),0)</f>
        <v>619232</v>
      </c>
      <c r="F56" s="22">
        <f t="shared" si="3"/>
        <v>2.0690447868913808</v>
      </c>
    </row>
    <row r="57" spans="1:6" x14ac:dyDescent="0.2">
      <c r="A57" s="20">
        <v>22</v>
      </c>
      <c r="B57" s="184" t="s">
        <v>19</v>
      </c>
      <c r="C57" s="185"/>
      <c r="D57" s="15">
        <f>IF(F3="1",SUMIF(Data!A:A,'54'!$A$2,Data!DP:DP),0)</f>
        <v>219920</v>
      </c>
      <c r="E57" s="18">
        <f>IF(F3="1",SUMIF(Data!$A:$A,'54'!$A$2,Data!JJ:JJ),0)</f>
        <v>253268</v>
      </c>
      <c r="F57" s="22">
        <f t="shared" si="3"/>
        <v>1.1516369588941433</v>
      </c>
    </row>
    <row r="58" spans="1:6" x14ac:dyDescent="0.2">
      <c r="A58" s="20">
        <v>23</v>
      </c>
      <c r="B58" s="184" t="s">
        <v>20</v>
      </c>
      <c r="C58" s="185"/>
      <c r="D58" s="15">
        <f>IF(F3="1",SUMIF(Data!A:A,'54'!$A$2,Data!DQ:DQ),0)</f>
        <v>0</v>
      </c>
      <c r="E58" s="18">
        <f>IF(F3="1",SUMIF(Data!$A:$A,'54'!$A$2,Data!JK:JK),0)</f>
        <v>0</v>
      </c>
      <c r="F58" s="22" t="str">
        <f t="shared" si="3"/>
        <v/>
      </c>
    </row>
    <row r="59" spans="1:6" x14ac:dyDescent="0.2">
      <c r="A59" s="20">
        <v>24</v>
      </c>
      <c r="B59" s="184" t="s">
        <v>21</v>
      </c>
      <c r="C59" s="185"/>
      <c r="D59" s="15">
        <f>IF(F3="1",SUMIF(Data!A:A,'54'!$A$2,Data!DR:DR),0)</f>
        <v>21688</v>
      </c>
      <c r="E59" s="18">
        <f>IF(F3="1",SUMIF(Data!$A:$A,'54'!$A$2,Data!JL:JL),0)</f>
        <v>12961</v>
      </c>
      <c r="F59" s="22">
        <f t="shared" si="3"/>
        <v>0.59761158244190338</v>
      </c>
    </row>
    <row r="60" spans="1:6" x14ac:dyDescent="0.2">
      <c r="A60" s="20">
        <v>25</v>
      </c>
      <c r="B60" s="184" t="s">
        <v>22</v>
      </c>
      <c r="C60" s="185"/>
      <c r="D60" s="15">
        <f>IF(F3="1",SUMIF(Data!A:A,'54'!$A$2,Data!DS:DS),0)</f>
        <v>60848</v>
      </c>
      <c r="E60" s="18">
        <f>IF(F3="1",SUMIF(Data!$A:$A,'54'!$A$2,Data!JM:JM),0)</f>
        <v>71170</v>
      </c>
      <c r="F60" s="22">
        <f t="shared" si="3"/>
        <v>1.169635813831186</v>
      </c>
    </row>
    <row r="61" spans="1:6" x14ac:dyDescent="0.2">
      <c r="A61" s="20">
        <v>26</v>
      </c>
      <c r="B61" s="184" t="s">
        <v>23</v>
      </c>
      <c r="C61" s="185"/>
      <c r="D61" s="15">
        <f>IF(F3="1",SUMIF(Data!A:A,'54'!$A$2,Data!DT:DT),0)</f>
        <v>163456</v>
      </c>
      <c r="E61" s="18">
        <f>IF(F3="1",SUMIF(Data!$A:$A,'54'!$A$2,Data!JN:JN),0)</f>
        <v>261539</v>
      </c>
      <c r="F61" s="22">
        <f t="shared" si="3"/>
        <v>1.6000575078308537</v>
      </c>
    </row>
    <row r="62" spans="1:6" x14ac:dyDescent="0.2">
      <c r="A62" s="20">
        <v>28</v>
      </c>
      <c r="B62" s="184" t="s">
        <v>24</v>
      </c>
      <c r="C62" s="185"/>
      <c r="D62" s="15">
        <f>IF(F3="1",SUMIF(Data!A:A,'54'!$A$2,Data!DV:DV),0)</f>
        <v>0</v>
      </c>
      <c r="E62" s="18">
        <f>IF(F3="1",SUMIF(Data!$A:$A,'54'!$A$2,Data!JP:JP),0)</f>
        <v>0</v>
      </c>
      <c r="F62" s="22" t="str">
        <f t="shared" si="3"/>
        <v/>
      </c>
    </row>
    <row r="63" spans="1:6" ht="15.75" customHeight="1" thickBot="1" x14ac:dyDescent="0.25">
      <c r="A63" s="23">
        <v>29</v>
      </c>
      <c r="B63" s="186" t="s">
        <v>25</v>
      </c>
      <c r="C63" s="187"/>
      <c r="D63" s="24">
        <f>IF(F3="1",SUMIF(Data!A:A,'54'!$A$2,Data!DW:DW),0)</f>
        <v>0</v>
      </c>
      <c r="E63" s="25">
        <f>IF(F3="1",SUMIF(Data!$A:$A,'54'!$A$2,Data!JQ:JQ),0)</f>
        <v>0</v>
      </c>
      <c r="F63" s="26" t="str">
        <f t="shared" si="3"/>
        <v/>
      </c>
    </row>
    <row r="64" spans="1:6" x14ac:dyDescent="0.2">
      <c r="B64" s="31" t="s">
        <v>35</v>
      </c>
      <c r="C64" s="31"/>
      <c r="D64" s="61">
        <f>SUM(D36:D63)</f>
        <v>4155816</v>
      </c>
      <c r="E64" s="32">
        <f>SUM(E36:E63)</f>
        <v>5951279</v>
      </c>
      <c r="F64" s="33">
        <f t="shared" si="3"/>
        <v>1.4320362114203324</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56704</v>
      </c>
      <c r="E67" s="16">
        <f>IF(F3="1",SUMIF(Data!A:A,'54'!$A$2,Data!DY:DY),0)</f>
        <v>206475</v>
      </c>
      <c r="F67" s="21">
        <f>IFERROR(E67/D67,"")</f>
        <v>3.6412775112866815</v>
      </c>
    </row>
    <row r="68" spans="1:6" x14ac:dyDescent="0.2">
      <c r="A68" s="20">
        <v>2</v>
      </c>
      <c r="B68" s="184" t="s">
        <v>1</v>
      </c>
      <c r="C68" s="185"/>
      <c r="D68" s="15">
        <f t="shared" ref="D68:D94" si="4">D37</f>
        <v>397696</v>
      </c>
      <c r="E68" s="18">
        <f>IF(F3="1",SUMIF(Data!A:A,'54'!$A$2,Data!DZ:DZ),0)</f>
        <v>1210184</v>
      </c>
      <c r="F68" s="22">
        <f t="shared" ref="F68:F95" si="5">IFERROR(E68/D68,"")</f>
        <v>3.0429876086256837</v>
      </c>
    </row>
    <row r="69" spans="1:6" ht="14.25" customHeight="1" x14ac:dyDescent="0.2">
      <c r="A69" s="20">
        <v>3</v>
      </c>
      <c r="B69" s="184" t="s">
        <v>2</v>
      </c>
      <c r="C69" s="185"/>
      <c r="D69" s="15">
        <f t="shared" si="4"/>
        <v>87664</v>
      </c>
      <c r="E69" s="18">
        <f>IF(F3="1",SUMIF(Data!A:A,'54'!$A$2,Data!EA:EA),0)</f>
        <v>408880</v>
      </c>
      <c r="F69" s="22">
        <f t="shared" si="5"/>
        <v>4.6641722942142723</v>
      </c>
    </row>
    <row r="70" spans="1:6" ht="14.25" customHeight="1" x14ac:dyDescent="0.2">
      <c r="A70" s="20">
        <v>4</v>
      </c>
      <c r="B70" s="184" t="s">
        <v>3</v>
      </c>
      <c r="C70" s="185"/>
      <c r="D70" s="15">
        <f t="shared" si="4"/>
        <v>131030</v>
      </c>
      <c r="E70" s="18">
        <f>IF(F3="1",SUMIF(Data!A:A,'54'!$A$2,Data!EB:EB),0)</f>
        <v>294062</v>
      </c>
      <c r="F70" s="22">
        <f t="shared" si="5"/>
        <v>2.244234144852324</v>
      </c>
    </row>
    <row r="71" spans="1:6" x14ac:dyDescent="0.2">
      <c r="A71" s="20">
        <v>5</v>
      </c>
      <c r="B71" s="184" t="s">
        <v>4</v>
      </c>
      <c r="C71" s="185"/>
      <c r="D71" s="15">
        <f t="shared" si="4"/>
        <v>36912</v>
      </c>
      <c r="E71" s="18">
        <f>IF(F3="1",SUMIF(Data!A:A,'54'!$A$2,Data!EC:EC),0)</f>
        <v>354093</v>
      </c>
      <c r="F71" s="22">
        <f t="shared" si="5"/>
        <v>9.5928966189856961</v>
      </c>
    </row>
    <row r="72" spans="1:6" x14ac:dyDescent="0.2">
      <c r="A72" s="20">
        <v>6</v>
      </c>
      <c r="B72" s="184" t="s">
        <v>5</v>
      </c>
      <c r="C72" s="185"/>
      <c r="D72" s="15">
        <f t="shared" si="4"/>
        <v>179536</v>
      </c>
      <c r="E72" s="18">
        <f>IF(F3="1",SUMIF(Data!A:A,'54'!$A$2,Data!ED:ED),0)</f>
        <v>459425</v>
      </c>
      <c r="F72" s="22">
        <f t="shared" si="5"/>
        <v>2.558957534979057</v>
      </c>
    </row>
    <row r="73" spans="1:6" x14ac:dyDescent="0.2">
      <c r="A73" s="20">
        <v>7</v>
      </c>
      <c r="B73" s="184" t="s">
        <v>6</v>
      </c>
      <c r="C73" s="185"/>
      <c r="D73" s="15">
        <f t="shared" si="4"/>
        <v>457494</v>
      </c>
      <c r="E73" s="18">
        <f>IF(F3="1",SUMIF(Data!A:A,'54'!$A$2,Data!EE:EE),0)</f>
        <v>1348511</v>
      </c>
      <c r="F73" s="22">
        <f t="shared" si="5"/>
        <v>2.9476036844199052</v>
      </c>
    </row>
    <row r="74" spans="1:6" x14ac:dyDescent="0.2">
      <c r="A74" s="20">
        <v>8</v>
      </c>
      <c r="B74" s="184" t="s">
        <v>7</v>
      </c>
      <c r="C74" s="185"/>
      <c r="D74" s="15">
        <f t="shared" si="4"/>
        <v>137614</v>
      </c>
      <c r="E74" s="18">
        <f>IF(F3="1",SUMIF(Data!A:A,'54'!$A$2,Data!EF:EF),0)</f>
        <v>369985</v>
      </c>
      <c r="F74" s="22">
        <f t="shared" si="5"/>
        <v>2.6885709302832561</v>
      </c>
    </row>
    <row r="75" spans="1:6" x14ac:dyDescent="0.2">
      <c r="A75" s="20">
        <v>9</v>
      </c>
      <c r="B75" s="184" t="s">
        <v>8</v>
      </c>
      <c r="C75" s="185"/>
      <c r="D75" s="15">
        <f t="shared" si="4"/>
        <v>81308</v>
      </c>
      <c r="E75" s="18">
        <f>IF(F3="1",SUMIF(Data!A:A,'54'!$A$2,Data!EG:EG),0)</f>
        <v>345090</v>
      </c>
      <c r="F75" s="22">
        <f t="shared" si="5"/>
        <v>4.2442318099080039</v>
      </c>
    </row>
    <row r="76" spans="1:6" x14ac:dyDescent="0.2">
      <c r="A76" s="20">
        <v>10</v>
      </c>
      <c r="B76" s="184" t="s">
        <v>9</v>
      </c>
      <c r="C76" s="185"/>
      <c r="D76" s="15">
        <f t="shared" si="4"/>
        <v>2480</v>
      </c>
      <c r="E76" s="18">
        <f>IF(F3="1",SUMIF(Data!A:A,'54'!$A$2,Data!EH:EH),0)</f>
        <v>7448</v>
      </c>
      <c r="F76" s="22">
        <f t="shared" si="5"/>
        <v>3.0032258064516131</v>
      </c>
    </row>
    <row r="77" spans="1:6" x14ac:dyDescent="0.2">
      <c r="A77" s="20">
        <v>11</v>
      </c>
      <c r="B77" s="184" t="s">
        <v>10</v>
      </c>
      <c r="C77" s="185"/>
      <c r="D77" s="15">
        <f t="shared" si="4"/>
        <v>665544</v>
      </c>
      <c r="E77" s="18">
        <f>IF(F3="1",SUMIF(Data!A:A,'54'!$A$2,Data!EI:EI),0)</f>
        <v>2267468</v>
      </c>
      <c r="F77" s="22">
        <f t="shared" si="5"/>
        <v>3.4069392857572152</v>
      </c>
    </row>
    <row r="78" spans="1:6" ht="14.25" customHeight="1" x14ac:dyDescent="0.2">
      <c r="A78" s="20">
        <v>12</v>
      </c>
      <c r="B78" s="184" t="s">
        <v>11</v>
      </c>
      <c r="C78" s="185"/>
      <c r="D78" s="15">
        <f t="shared" si="4"/>
        <v>334560</v>
      </c>
      <c r="E78" s="18">
        <f>IF(F3="1",SUMIF(Data!A:A,'54'!$A$2,Data!EJ:EJ),0)</f>
        <v>890683</v>
      </c>
      <c r="F78" s="22">
        <f t="shared" si="5"/>
        <v>2.6622519129603059</v>
      </c>
    </row>
    <row r="79" spans="1:6" x14ac:dyDescent="0.2">
      <c r="A79" s="20">
        <v>13</v>
      </c>
      <c r="B79" s="184" t="s">
        <v>12</v>
      </c>
      <c r="C79" s="185"/>
      <c r="D79" s="15">
        <f t="shared" si="4"/>
        <v>5964</v>
      </c>
      <c r="E79" s="18">
        <f>IF(F3="1",SUMIF(Data!A:A,'54'!$A$2,Data!EK:EK),0)</f>
        <v>14930</v>
      </c>
      <c r="F79" s="22">
        <f t="shared" si="5"/>
        <v>2.5033534540576796</v>
      </c>
    </row>
    <row r="80" spans="1:6" ht="14.25" customHeight="1" x14ac:dyDescent="0.2">
      <c r="A80" s="20">
        <v>14</v>
      </c>
      <c r="B80" s="184" t="s">
        <v>469</v>
      </c>
      <c r="C80" s="185"/>
      <c r="D80" s="15">
        <f t="shared" si="4"/>
        <v>180152</v>
      </c>
      <c r="E80" s="18">
        <f>IF(F3="1",SUMIF(Data!A:A,'54'!$A$2,Data!EL:EL),0)</f>
        <v>394419</v>
      </c>
      <c r="F80" s="22">
        <f t="shared" si="5"/>
        <v>2.1893678671344197</v>
      </c>
    </row>
    <row r="81" spans="1:6" x14ac:dyDescent="0.2">
      <c r="A81" s="20">
        <v>15</v>
      </c>
      <c r="B81" s="184" t="s">
        <v>13</v>
      </c>
      <c r="C81" s="185"/>
      <c r="D81" s="15">
        <f t="shared" si="4"/>
        <v>0</v>
      </c>
      <c r="E81" s="18">
        <f>IF(F3="1",SUMIF(Data!A:A,'54'!$A$2,Data!EM:EM),0)</f>
        <v>0</v>
      </c>
      <c r="F81" s="22" t="str">
        <f t="shared" si="5"/>
        <v/>
      </c>
    </row>
    <row r="82" spans="1:6" x14ac:dyDescent="0.2">
      <c r="A82" s="20">
        <v>16</v>
      </c>
      <c r="B82" s="184" t="s">
        <v>14</v>
      </c>
      <c r="C82" s="185"/>
      <c r="D82" s="15">
        <f t="shared" si="4"/>
        <v>51008</v>
      </c>
      <c r="E82" s="18">
        <f>IF(F3="1",SUMIF(Data!A:A,'54'!$A$2,Data!EN:EN),0)</f>
        <v>164203</v>
      </c>
      <c r="F82" s="22">
        <f t="shared" si="5"/>
        <v>3.2191617001254706</v>
      </c>
    </row>
    <row r="83" spans="1:6" x14ac:dyDescent="0.2">
      <c r="A83" s="20">
        <v>17</v>
      </c>
      <c r="B83" s="184" t="s">
        <v>15</v>
      </c>
      <c r="C83" s="185"/>
      <c r="D83" s="15">
        <f t="shared" si="4"/>
        <v>0</v>
      </c>
      <c r="E83" s="18">
        <f>IF(F3="1",SUMIF(Data!A:A,'54'!$A$2,Data!EO:EO),0)</f>
        <v>0</v>
      </c>
      <c r="F83" s="22" t="str">
        <f t="shared" si="5"/>
        <v/>
      </c>
    </row>
    <row r="84" spans="1:6" x14ac:dyDescent="0.2">
      <c r="A84" s="20">
        <v>18</v>
      </c>
      <c r="B84" s="184" t="s">
        <v>16</v>
      </c>
      <c r="C84" s="185"/>
      <c r="D84" s="15">
        <f t="shared" si="4"/>
        <v>0</v>
      </c>
      <c r="E84" s="18">
        <f>IF(F3="1",SUMIF(Data!A:A,'54'!$A$2,Data!EP:EP),0)</f>
        <v>0</v>
      </c>
      <c r="F84" s="22" t="str">
        <f t="shared" si="5"/>
        <v/>
      </c>
    </row>
    <row r="85" spans="1:6" x14ac:dyDescent="0.2">
      <c r="A85" s="20">
        <v>19</v>
      </c>
      <c r="B85" s="184" t="s">
        <v>17</v>
      </c>
      <c r="C85" s="185"/>
      <c r="D85" s="15">
        <f t="shared" si="4"/>
        <v>219392</v>
      </c>
      <c r="E85" s="18">
        <f>IF(F3="1",SUMIF(Data!A:A,'54'!$A$2,Data!EQ:EQ),0)</f>
        <v>688398</v>
      </c>
      <c r="F85" s="22">
        <f t="shared" si="5"/>
        <v>3.1377534276546091</v>
      </c>
    </row>
    <row r="86" spans="1:6" x14ac:dyDescent="0.2">
      <c r="A86" s="20">
        <v>20</v>
      </c>
      <c r="B86" s="184" t="s">
        <v>18</v>
      </c>
      <c r="C86" s="185"/>
      <c r="D86" s="15">
        <f t="shared" si="4"/>
        <v>365562</v>
      </c>
      <c r="E86" s="18">
        <f>IF(F3="1",SUMIF(Data!A:A,'54'!$A$2,Data!ER:ER),0)</f>
        <v>1268834</v>
      </c>
      <c r="F86" s="22">
        <f t="shared" si="5"/>
        <v>3.4709132787324721</v>
      </c>
    </row>
    <row r="87" spans="1:6" ht="14.25" customHeight="1" x14ac:dyDescent="0.2">
      <c r="A87" s="20">
        <v>21</v>
      </c>
      <c r="B87" s="184" t="s">
        <v>466</v>
      </c>
      <c r="C87" s="185"/>
      <c r="D87" s="15">
        <f t="shared" si="4"/>
        <v>299284</v>
      </c>
      <c r="E87" s="18">
        <f>IF(F3="1",SUMIF(Data!A:A,'54'!$A$2,Data!ES:ES),0)</f>
        <v>1353312</v>
      </c>
      <c r="F87" s="22">
        <f t="shared" si="5"/>
        <v>4.5218321059595565</v>
      </c>
    </row>
    <row r="88" spans="1:6" x14ac:dyDescent="0.2">
      <c r="A88" s="20">
        <v>22</v>
      </c>
      <c r="B88" s="184" t="s">
        <v>19</v>
      </c>
      <c r="C88" s="185"/>
      <c r="D88" s="15">
        <f t="shared" si="4"/>
        <v>219920</v>
      </c>
      <c r="E88" s="18">
        <f>IF(F3="1",SUMIF(Data!A:A,'54'!$A$2,Data!ET:ET),0)</f>
        <v>974829</v>
      </c>
      <c r="F88" s="22">
        <f t="shared" si="5"/>
        <v>4.4326527828301199</v>
      </c>
    </row>
    <row r="89" spans="1:6" x14ac:dyDescent="0.2">
      <c r="A89" s="20">
        <v>23</v>
      </c>
      <c r="B89" s="184" t="s">
        <v>20</v>
      </c>
      <c r="C89" s="185"/>
      <c r="D89" s="15">
        <f t="shared" si="4"/>
        <v>0</v>
      </c>
      <c r="E89" s="18">
        <f>IF(F3="1",SUMIF(Data!A:A,'54'!$A$2,Data!EU:EU),0)</f>
        <v>0</v>
      </c>
      <c r="F89" s="22" t="str">
        <f t="shared" si="5"/>
        <v/>
      </c>
    </row>
    <row r="90" spans="1:6" x14ac:dyDescent="0.2">
      <c r="A90" s="20">
        <v>24</v>
      </c>
      <c r="B90" s="184" t="s">
        <v>21</v>
      </c>
      <c r="C90" s="185"/>
      <c r="D90" s="15">
        <f t="shared" si="4"/>
        <v>21688</v>
      </c>
      <c r="E90" s="18">
        <f>IF(F3="1",SUMIF(Data!A:A,'54'!$A$2,Data!EV:EV),0)</f>
        <v>65137</v>
      </c>
      <c r="F90" s="22">
        <f t="shared" si="5"/>
        <v>3.0033659166359277</v>
      </c>
    </row>
    <row r="91" spans="1:6" x14ac:dyDescent="0.2">
      <c r="A91" s="20">
        <v>25</v>
      </c>
      <c r="B91" s="184" t="s">
        <v>22</v>
      </c>
      <c r="C91" s="185"/>
      <c r="D91" s="15">
        <f t="shared" si="4"/>
        <v>60848</v>
      </c>
      <c r="E91" s="18">
        <f>IF(F3="1",SUMIF(Data!A:A,'54'!$A$2,Data!EW:EW),0)</f>
        <v>118018</v>
      </c>
      <c r="F91" s="22">
        <f t="shared" si="5"/>
        <v>1.9395542992374442</v>
      </c>
    </row>
    <row r="92" spans="1:6" x14ac:dyDescent="0.2">
      <c r="A92" s="20">
        <v>26</v>
      </c>
      <c r="B92" s="184" t="s">
        <v>23</v>
      </c>
      <c r="C92" s="185"/>
      <c r="D92" s="15">
        <f t="shared" si="4"/>
        <v>163456</v>
      </c>
      <c r="E92" s="18">
        <f>IF(F3="1",SUMIF(Data!A:A,'54'!$A$2,Data!EX:EX),0)</f>
        <v>401432</v>
      </c>
      <c r="F92" s="22">
        <f t="shared" si="5"/>
        <v>2.4559025058731403</v>
      </c>
    </row>
    <row r="93" spans="1:6" x14ac:dyDescent="0.2">
      <c r="A93" s="20">
        <v>28</v>
      </c>
      <c r="B93" s="184" t="s">
        <v>24</v>
      </c>
      <c r="C93" s="185"/>
      <c r="D93" s="15">
        <f t="shared" si="4"/>
        <v>0</v>
      </c>
      <c r="E93" s="18">
        <f>IF(F3="1",SUMIF(Data!A:A,'54'!$A$2,Data!EZ:EZ),0)</f>
        <v>0</v>
      </c>
      <c r="F93" s="22" t="str">
        <f t="shared" si="5"/>
        <v/>
      </c>
    </row>
    <row r="94" spans="1:6" ht="15.75" customHeight="1" thickBot="1" x14ac:dyDescent="0.25">
      <c r="A94" s="23">
        <v>29</v>
      </c>
      <c r="B94" s="186" t="s">
        <v>25</v>
      </c>
      <c r="C94" s="187"/>
      <c r="D94" s="24">
        <f t="shared" si="4"/>
        <v>0</v>
      </c>
      <c r="E94" s="25">
        <f>IF(F3="1",SUMIF(Data!A:A,'54'!$A$2,Data!FA:FA),0)</f>
        <v>0</v>
      </c>
      <c r="F94" s="26" t="str">
        <f t="shared" si="5"/>
        <v/>
      </c>
    </row>
    <row r="95" spans="1:6" x14ac:dyDescent="0.2">
      <c r="B95" s="31" t="s">
        <v>35</v>
      </c>
      <c r="C95" s="31"/>
      <c r="D95" s="61">
        <f>SUM(D67:D94)</f>
        <v>4155816</v>
      </c>
      <c r="E95" s="32">
        <f>SUM(E67:E94)</f>
        <v>13605816</v>
      </c>
      <c r="F95" s="33">
        <f t="shared" si="5"/>
        <v>3.2739216558192181</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IF(F3="1",SUMIF(Data!A:A,'54'!$A$2,Data!AH:AH),0)</f>
        <v>3629141</v>
      </c>
      <c r="F98" s="21">
        <f t="shared" ref="F98:F105" si="6">IFERROR(E98/$D$95,0)</f>
        <v>0.87326796951549346</v>
      </c>
    </row>
    <row r="99" spans="2:6" x14ac:dyDescent="0.2">
      <c r="B99" s="190" t="s">
        <v>31</v>
      </c>
      <c r="C99" s="191"/>
      <c r="D99" s="37"/>
      <c r="E99" s="18">
        <f>IF(F3="1",SUMIF(Data!A:A,'54'!$A$2,Data!AI:AI),0)</f>
        <v>2444025</v>
      </c>
      <c r="F99" s="22">
        <f t="shared" si="6"/>
        <v>0.58809749998556238</v>
      </c>
    </row>
    <row r="100" spans="2:6" x14ac:dyDescent="0.2">
      <c r="B100" s="190" t="s">
        <v>32</v>
      </c>
      <c r="C100" s="191"/>
      <c r="D100" s="37"/>
      <c r="E100" s="18">
        <f>IF(F3="1",SUMIF(Data!A:A,'54'!$A$2,Data!AJ:AJ),0)</f>
        <v>3717296</v>
      </c>
      <c r="F100" s="22">
        <f t="shared" si="6"/>
        <v>0.89448041010477841</v>
      </c>
    </row>
    <row r="101" spans="2:6" x14ac:dyDescent="0.2">
      <c r="B101" s="190" t="s">
        <v>28</v>
      </c>
      <c r="C101" s="191"/>
      <c r="D101" s="37"/>
      <c r="E101" s="18">
        <f>IF(F3="1",SUMIF(Data!A:A,'54'!$A$2,Data!AK:AK),0)</f>
        <v>239351</v>
      </c>
      <c r="F101" s="22">
        <f t="shared" si="6"/>
        <v>5.7594224575871503E-2</v>
      </c>
    </row>
    <row r="102" spans="2:6" x14ac:dyDescent="0.2">
      <c r="B102" s="190" t="s">
        <v>33</v>
      </c>
      <c r="C102" s="191"/>
      <c r="D102" s="37"/>
      <c r="E102" s="18">
        <f>IF(F3="1",SUMIF(Data!A:A,'54'!$A$2,Data!AL:AL),0)</f>
        <v>1879961</v>
      </c>
      <c r="F102" s="22">
        <f t="shared" si="6"/>
        <v>0.45236868042280987</v>
      </c>
    </row>
    <row r="103" spans="2:6" x14ac:dyDescent="0.2">
      <c r="B103" s="192" t="s">
        <v>34</v>
      </c>
      <c r="C103" s="193"/>
      <c r="D103" s="37"/>
      <c r="E103" s="18">
        <f>IF(F3="1",SUMIF(Data!A:A,'54'!$A$2,Data!AM:AM),0)</f>
        <v>1005312</v>
      </c>
      <c r="F103" s="22">
        <f t="shared" si="6"/>
        <v>0.24190483890528358</v>
      </c>
    </row>
    <row r="104" spans="2:6" ht="15.75" customHeight="1" thickBot="1" x14ac:dyDescent="0.25">
      <c r="B104" s="182" t="s">
        <v>29</v>
      </c>
      <c r="C104" s="183"/>
      <c r="D104" s="38"/>
      <c r="E104" s="25">
        <f>IF(F3="1",SUMIF(Data!A:A,'54'!$A$2,Data!Q:Q),0)</f>
        <v>292298</v>
      </c>
      <c r="F104" s="26">
        <f t="shared" si="6"/>
        <v>7.0334682767475745E-2</v>
      </c>
    </row>
    <row r="105" spans="2:6" x14ac:dyDescent="0.2">
      <c r="B105" s="31" t="s">
        <v>35</v>
      </c>
      <c r="C105" s="31"/>
      <c r="D105" s="35">
        <f>D95</f>
        <v>4155816</v>
      </c>
      <c r="E105" s="32">
        <f>SUM(E98:E104)</f>
        <v>13207384</v>
      </c>
      <c r="F105" s="33">
        <f t="shared" si="6"/>
        <v>3.1780483062772751</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13605816</v>
      </c>
      <c r="D109" s="16">
        <f>IF(F3="1",SUMIF(Data!$A:$A,$A$2,Data!HJ:HJ),0)</f>
        <v>0</v>
      </c>
      <c r="E109" s="16">
        <f>IF(F3="1",SUMIF(Data!$A:$A,$A$2,Data!IN:IN),0)</f>
        <v>0</v>
      </c>
      <c r="F109" s="48">
        <f>SUM(C109:E109)</f>
        <v>13605816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1879961</v>
      </c>
      <c r="F116" s="49">
        <f t="shared" si="7"/>
        <v>1879961</v>
      </c>
    </row>
    <row r="117" spans="1:6" ht="15" thickBot="1" x14ac:dyDescent="0.25">
      <c r="B117" s="44" t="s">
        <v>941</v>
      </c>
      <c r="C117" s="53"/>
      <c r="D117" s="53">
        <f>IF(F3="1",SUMIF(Data!A:A,$A$2,Data!Q:Q),0)</f>
        <v>292298</v>
      </c>
      <c r="E117" s="53"/>
      <c r="F117" s="50">
        <f>SUM(C117:E117)</f>
        <v>292298</v>
      </c>
    </row>
    <row r="118" spans="1:6" x14ac:dyDescent="0.2">
      <c r="B118" s="14" t="s">
        <v>35</v>
      </c>
      <c r="C118" s="5">
        <f>SUM(C109:C116)</f>
        <v>13605816</v>
      </c>
      <c r="D118" s="5">
        <f>SUM(D109:D116)</f>
        <v>0</v>
      </c>
      <c r="E118" s="5">
        <f>SUM(E109:E116)</f>
        <v>1879961</v>
      </c>
      <c r="F118" s="5">
        <f>SUM(F109:F116)</f>
        <v>15485777</v>
      </c>
    </row>
    <row r="119" spans="1:6" ht="15" thickBot="1" x14ac:dyDescent="0.25"/>
    <row r="120" spans="1:6" ht="15" thickBot="1" x14ac:dyDescent="0.25">
      <c r="B120" s="57" t="s">
        <v>942</v>
      </c>
      <c r="C120" s="55"/>
      <c r="D120" s="55"/>
      <c r="E120" s="55">
        <f>IF(F3="1",SUMIF(Data!A:A,'54'!$A$2,Data!AM:AM),0)</f>
        <v>1005312</v>
      </c>
      <c r="F120" s="56">
        <f>SUM(C120:E120)</f>
        <v>1005312</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462</v>
      </c>
      <c r="B2" s="60" t="str">
        <f>VLOOKUP(A2,Data!A:G,7,0)</f>
        <v>Lamar Institute of Technology</v>
      </c>
      <c r="C2" s="60"/>
    </row>
    <row r="3" spans="1:6" ht="15" thickBot="1" x14ac:dyDescent="0.25">
      <c r="A3" s="4"/>
      <c r="F3" s="58" t="str">
        <f>IFERROR(VLOOKUP(A2,Data!A:C,3,0),"0")</f>
        <v>1</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46832</v>
      </c>
      <c r="E6" s="18">
        <f t="shared" ref="E6:E32" si="1">E37+E68+IFERROR($E$105/$D$105*D6,0)</f>
        <v>603957.33130630339</v>
      </c>
      <c r="F6" s="22">
        <f t="shared" ref="F6:F33" si="2">IFERROR(E6/D6,"")</f>
        <v>12.896253230831555</v>
      </c>
    </row>
    <row r="7" spans="1:6" ht="14.25" customHeight="1" x14ac:dyDescent="0.2">
      <c r="A7" s="20">
        <v>3</v>
      </c>
      <c r="B7" s="184" t="s">
        <v>2</v>
      </c>
      <c r="C7" s="185"/>
      <c r="D7" s="15">
        <f t="shared" si="0"/>
        <v>232976</v>
      </c>
      <c r="E7" s="18">
        <f t="shared" si="1"/>
        <v>3004518.7311756355</v>
      </c>
      <c r="F7" s="22">
        <f t="shared" si="2"/>
        <v>12.896258546698524</v>
      </c>
    </row>
    <row r="8" spans="1:6" ht="14.25" customHeight="1" x14ac:dyDescent="0.2">
      <c r="A8" s="20">
        <v>4</v>
      </c>
      <c r="B8" s="184" t="s">
        <v>3</v>
      </c>
      <c r="C8" s="185"/>
      <c r="D8" s="15">
        <f t="shared" si="0"/>
        <v>128111</v>
      </c>
      <c r="E8" s="18">
        <f t="shared" si="1"/>
        <v>1652153.7721852972</v>
      </c>
      <c r="F8" s="22">
        <f t="shared" si="2"/>
        <v>12.896267862910268</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75619</v>
      </c>
      <c r="E11" s="18">
        <f t="shared" si="1"/>
        <v>975201.29432976083</v>
      </c>
      <c r="F11" s="22">
        <f t="shared" si="2"/>
        <v>12.896246899982291</v>
      </c>
    </row>
    <row r="12" spans="1:6" x14ac:dyDescent="0.2">
      <c r="A12" s="20">
        <v>8</v>
      </c>
      <c r="B12" s="184" t="s">
        <v>7</v>
      </c>
      <c r="C12" s="185"/>
      <c r="D12" s="15">
        <f t="shared" si="0"/>
        <v>25744</v>
      </c>
      <c r="E12" s="18">
        <f t="shared" si="1"/>
        <v>332001.9040218115</v>
      </c>
      <c r="F12" s="22">
        <f t="shared" si="2"/>
        <v>12.896282785185344</v>
      </c>
    </row>
    <row r="13" spans="1:6" x14ac:dyDescent="0.2">
      <c r="A13" s="20">
        <v>9</v>
      </c>
      <c r="B13" s="184" t="s">
        <v>8</v>
      </c>
      <c r="C13" s="185"/>
      <c r="D13" s="15">
        <f t="shared" si="0"/>
        <v>20556</v>
      </c>
      <c r="E13" s="18">
        <f t="shared" si="1"/>
        <v>265095.38312120718</v>
      </c>
      <c r="F13" s="22">
        <f t="shared" si="2"/>
        <v>12.896253313933022</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264868</v>
      </c>
      <c r="E15" s="18">
        <f t="shared" si="1"/>
        <v>3415806.8523325501</v>
      </c>
      <c r="F15" s="22">
        <f t="shared" si="2"/>
        <v>12.896260976533783</v>
      </c>
    </row>
    <row r="16" spans="1:6" ht="14.25" customHeight="1" x14ac:dyDescent="0.2">
      <c r="A16" s="20">
        <v>12</v>
      </c>
      <c r="B16" s="184" t="s">
        <v>11</v>
      </c>
      <c r="C16" s="185"/>
      <c r="D16" s="15">
        <f t="shared" si="0"/>
        <v>108912</v>
      </c>
      <c r="E16" s="18">
        <f t="shared" si="1"/>
        <v>1405742.6878038975</v>
      </c>
      <c r="F16" s="22">
        <f t="shared" si="2"/>
        <v>12.907142351659115</v>
      </c>
    </row>
    <row r="17" spans="1:6" x14ac:dyDescent="0.2">
      <c r="A17" s="20">
        <v>13</v>
      </c>
      <c r="B17" s="184" t="s">
        <v>12</v>
      </c>
      <c r="C17" s="185"/>
      <c r="D17" s="15">
        <f t="shared" si="0"/>
        <v>168</v>
      </c>
      <c r="E17" s="18">
        <f t="shared" si="1"/>
        <v>981.17184103730312</v>
      </c>
      <c r="F17" s="22">
        <f t="shared" si="2"/>
        <v>5.840308577602995</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39197</v>
      </c>
      <c r="E19" s="18">
        <f t="shared" si="1"/>
        <v>505493.57531630457</v>
      </c>
      <c r="F19" s="22">
        <f t="shared" si="2"/>
        <v>12.896231224744357</v>
      </c>
    </row>
    <row r="20" spans="1:6" x14ac:dyDescent="0.2">
      <c r="A20" s="20">
        <v>16</v>
      </c>
      <c r="B20" s="184" t="s">
        <v>14</v>
      </c>
      <c r="C20" s="185"/>
      <c r="D20" s="15">
        <f t="shared" si="0"/>
        <v>158028</v>
      </c>
      <c r="E20" s="18">
        <f t="shared" si="1"/>
        <v>2037970.283901446</v>
      </c>
      <c r="F20" s="22">
        <f t="shared" si="2"/>
        <v>12.896260687355698</v>
      </c>
    </row>
    <row r="21" spans="1:6" x14ac:dyDescent="0.2">
      <c r="A21" s="20">
        <v>17</v>
      </c>
      <c r="B21" s="184" t="s">
        <v>15</v>
      </c>
      <c r="C21" s="185"/>
      <c r="D21" s="15">
        <f t="shared" si="0"/>
        <v>45376</v>
      </c>
      <c r="E21" s="18">
        <f t="shared" si="1"/>
        <v>585179.84201731347</v>
      </c>
      <c r="F21" s="22">
        <f t="shared" si="2"/>
        <v>12.896241229224996</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100368</v>
      </c>
      <c r="E23" s="18">
        <f t="shared" si="1"/>
        <v>1294370.0913168574</v>
      </c>
      <c r="F23" s="22">
        <f t="shared" si="2"/>
        <v>12.896242739885794</v>
      </c>
    </row>
    <row r="24" spans="1:6" x14ac:dyDescent="0.2">
      <c r="A24" s="20">
        <v>20</v>
      </c>
      <c r="B24" s="184" t="s">
        <v>18</v>
      </c>
      <c r="C24" s="185"/>
      <c r="D24" s="15">
        <f t="shared" si="0"/>
        <v>432</v>
      </c>
      <c r="E24" s="18">
        <f t="shared" si="1"/>
        <v>5571.0133055244933</v>
      </c>
      <c r="F24" s="22">
        <f t="shared" si="2"/>
        <v>12.895864133158549</v>
      </c>
    </row>
    <row r="25" spans="1:6" ht="14.25" customHeight="1" x14ac:dyDescent="0.2">
      <c r="A25" s="20">
        <v>21</v>
      </c>
      <c r="B25" s="184" t="s">
        <v>466</v>
      </c>
      <c r="C25" s="185"/>
      <c r="D25" s="15">
        <f t="shared" si="0"/>
        <v>49887</v>
      </c>
      <c r="E25" s="18">
        <f t="shared" si="1"/>
        <v>643356.47401088057</v>
      </c>
      <c r="F25" s="22">
        <f t="shared" si="2"/>
        <v>12.896275061857409</v>
      </c>
    </row>
    <row r="26" spans="1:6" x14ac:dyDescent="0.2">
      <c r="A26" s="20">
        <v>22</v>
      </c>
      <c r="B26" s="184" t="s">
        <v>19</v>
      </c>
      <c r="C26" s="185"/>
      <c r="D26" s="15">
        <f t="shared" si="0"/>
        <v>34968</v>
      </c>
      <c r="E26" s="18">
        <f t="shared" si="1"/>
        <v>450956.91034162149</v>
      </c>
      <c r="F26" s="22">
        <f t="shared" si="2"/>
        <v>12.896274031732483</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250809</v>
      </c>
      <c r="E28" s="18">
        <f t="shared" si="1"/>
        <v>3234496.9540400296</v>
      </c>
      <c r="F28" s="22">
        <f t="shared" si="2"/>
        <v>12.896255533254507</v>
      </c>
    </row>
    <row r="29" spans="1:6" x14ac:dyDescent="0.2">
      <c r="A29" s="20">
        <v>25</v>
      </c>
      <c r="B29" s="184" t="s">
        <v>22</v>
      </c>
      <c r="C29" s="185"/>
      <c r="D29" s="15">
        <f t="shared" si="0"/>
        <v>46032</v>
      </c>
      <c r="E29" s="18">
        <f t="shared" si="1"/>
        <v>593641.08444422111</v>
      </c>
      <c r="F29" s="22">
        <f t="shared" si="2"/>
        <v>12.896269648162606</v>
      </c>
    </row>
    <row r="30" spans="1:6" x14ac:dyDescent="0.2">
      <c r="A30" s="20">
        <v>26</v>
      </c>
      <c r="B30" s="184" t="s">
        <v>23</v>
      </c>
      <c r="C30" s="185"/>
      <c r="D30" s="15">
        <f t="shared" si="0"/>
        <v>42528</v>
      </c>
      <c r="E30" s="18">
        <f t="shared" si="1"/>
        <v>548452.64318830019</v>
      </c>
      <c r="F30" s="22">
        <f t="shared" si="2"/>
        <v>12.896271707776059</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1671411</v>
      </c>
      <c r="E33" s="32">
        <f>SUM(E5:E32)</f>
        <v>21554948</v>
      </c>
      <c r="F33" s="33">
        <f t="shared" si="2"/>
        <v>12.896258311091646</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IF(F3="1",SUMIF(Data!A:A,'55'!$A$2,Data!CU:CU),0)</f>
        <v>0</v>
      </c>
      <c r="E36" s="16">
        <f>IF(F3="1",SUMIF(Data!$A:$A,'55'!$A$2,Data!IO:IO),0)</f>
        <v>0</v>
      </c>
      <c r="F36" s="21" t="str">
        <f t="shared" ref="F36:F64" si="3">IFERROR(E36/D36,"")</f>
        <v/>
      </c>
    </row>
    <row r="37" spans="1:6" x14ac:dyDescent="0.2">
      <c r="A37" s="20">
        <v>2</v>
      </c>
      <c r="B37" s="184" t="s">
        <v>1</v>
      </c>
      <c r="C37" s="185"/>
      <c r="D37" s="15">
        <f>IF(F3="1",SUMIF(Data!A:A,'55'!$A$2,Data!CV:CV),0)</f>
        <v>46832</v>
      </c>
      <c r="E37" s="18">
        <f>IF(F3="1",SUMIF(Data!$A:$A,'55'!$A$2,Data!IP:IP),0)</f>
        <v>173508</v>
      </c>
      <c r="F37" s="22">
        <f t="shared" si="3"/>
        <v>3.7049026306798769</v>
      </c>
    </row>
    <row r="38" spans="1:6" ht="14.25" customHeight="1" x14ac:dyDescent="0.2">
      <c r="A38" s="20">
        <v>3</v>
      </c>
      <c r="B38" s="184" t="s">
        <v>2</v>
      </c>
      <c r="C38" s="185"/>
      <c r="D38" s="15">
        <f>IF(F3="1",SUMIF(Data!A:A,'55'!$A$2,Data!CW:CW),0)</f>
        <v>232976</v>
      </c>
      <c r="E38" s="18">
        <f>IF(F3="1",SUMIF(Data!$A:$A,'55'!$A$2,Data!IQ:IQ),0)</f>
        <v>863152</v>
      </c>
      <c r="F38" s="22">
        <f t="shared" si="3"/>
        <v>3.7048966417141678</v>
      </c>
    </row>
    <row r="39" spans="1:6" ht="14.25" customHeight="1" x14ac:dyDescent="0.2">
      <c r="A39" s="20">
        <v>4</v>
      </c>
      <c r="B39" s="184" t="s">
        <v>3</v>
      </c>
      <c r="C39" s="185"/>
      <c r="D39" s="15">
        <f>IF(F3="1",SUMIF(Data!A:A,'55'!$A$2,Data!CX:CX),0)</f>
        <v>128111</v>
      </c>
      <c r="E39" s="18">
        <f>IF(F3="1",SUMIF(Data!$A:$A,'55'!$A$2,Data!IR:IR),0)</f>
        <v>474639</v>
      </c>
      <c r="F39" s="22">
        <f t="shared" si="3"/>
        <v>3.704904340766991</v>
      </c>
    </row>
    <row r="40" spans="1:6" x14ac:dyDescent="0.2">
      <c r="A40" s="20">
        <v>5</v>
      </c>
      <c r="B40" s="184" t="s">
        <v>4</v>
      </c>
      <c r="C40" s="185"/>
      <c r="D40" s="15">
        <f>IF(F3="1",SUMIF(Data!A:A,'55'!$A$2,Data!CY:CY),0)</f>
        <v>0</v>
      </c>
      <c r="E40" s="18">
        <f>IF(F3="1",SUMIF(Data!$A:$A,'55'!$A$2,Data!IS:IS),0)</f>
        <v>0</v>
      </c>
      <c r="F40" s="22" t="str">
        <f t="shared" si="3"/>
        <v/>
      </c>
    </row>
    <row r="41" spans="1:6" x14ac:dyDescent="0.2">
      <c r="A41" s="20">
        <v>6</v>
      </c>
      <c r="B41" s="184" t="s">
        <v>5</v>
      </c>
      <c r="C41" s="185"/>
      <c r="D41" s="15">
        <f>IF(F3="1",SUMIF(Data!A:A,'55'!$A$2,Data!CZ:CZ),0)</f>
        <v>0</v>
      </c>
      <c r="E41" s="18">
        <f>IF(F3="1",SUMIF(Data!$A:$A,'55'!$A$2,Data!IT:IT),0)</f>
        <v>0</v>
      </c>
      <c r="F41" s="22" t="str">
        <f t="shared" si="3"/>
        <v/>
      </c>
    </row>
    <row r="42" spans="1:6" x14ac:dyDescent="0.2">
      <c r="A42" s="20">
        <v>7</v>
      </c>
      <c r="B42" s="184" t="s">
        <v>6</v>
      </c>
      <c r="C42" s="185"/>
      <c r="D42" s="15">
        <f>IF(F3="1",SUMIF(Data!A:A,'55'!$A$2,Data!DA:DA),0)</f>
        <v>75619</v>
      </c>
      <c r="E42" s="18">
        <f>IF(F3="1",SUMIF(Data!$A:$A,'55'!$A$2,Data!IU:IU),0)</f>
        <v>280160</v>
      </c>
      <c r="F42" s="22">
        <f t="shared" si="3"/>
        <v>3.7048889829275713</v>
      </c>
    </row>
    <row r="43" spans="1:6" x14ac:dyDescent="0.2">
      <c r="A43" s="20">
        <v>8</v>
      </c>
      <c r="B43" s="184" t="s">
        <v>7</v>
      </c>
      <c r="C43" s="185"/>
      <c r="D43" s="15">
        <f>IF(F3="1",SUMIF(Data!A:A,'55'!$A$2,Data!DB:DB),0)</f>
        <v>25744</v>
      </c>
      <c r="E43" s="18">
        <f>IF(F3="1",SUMIF(Data!$A:$A,'55'!$A$2,Data!IV:IV),0)</f>
        <v>95380</v>
      </c>
      <c r="F43" s="22">
        <f t="shared" si="3"/>
        <v>3.7049409571162211</v>
      </c>
    </row>
    <row r="44" spans="1:6" x14ac:dyDescent="0.2">
      <c r="A44" s="20">
        <v>9</v>
      </c>
      <c r="B44" s="184" t="s">
        <v>8</v>
      </c>
      <c r="C44" s="185"/>
      <c r="D44" s="15">
        <f>IF(F3="1",SUMIF(Data!A:A,'55'!$A$2,Data!DC:DC),0)</f>
        <v>20556</v>
      </c>
      <c r="E44" s="18">
        <f>IF(F3="1",SUMIF(Data!$A:$A,'55'!$A$2,Data!IW:IW),0)</f>
        <v>76158</v>
      </c>
      <c r="F44" s="22">
        <f t="shared" si="3"/>
        <v>3.7049036777583186</v>
      </c>
    </row>
    <row r="45" spans="1:6" x14ac:dyDescent="0.2">
      <c r="A45" s="20">
        <v>10</v>
      </c>
      <c r="B45" s="184" t="s">
        <v>9</v>
      </c>
      <c r="C45" s="185"/>
      <c r="D45" s="15">
        <f>IF(F3="1",SUMIF(Data!A:A,'55'!$A$2,Data!DD:DD),0)</f>
        <v>0</v>
      </c>
      <c r="E45" s="18">
        <f>IF(F3="1",SUMIF(Data!$A:$A,'55'!$A$2,Data!IX:IX),0)</f>
        <v>0</v>
      </c>
      <c r="F45" s="22" t="str">
        <f t="shared" si="3"/>
        <v/>
      </c>
    </row>
    <row r="46" spans="1:6" x14ac:dyDescent="0.2">
      <c r="A46" s="20">
        <v>11</v>
      </c>
      <c r="B46" s="184" t="s">
        <v>10</v>
      </c>
      <c r="C46" s="185"/>
      <c r="D46" s="15">
        <f>IF(F3="1",SUMIF(Data!A:A,'55'!$A$2,Data!DE:DE),0)</f>
        <v>264868</v>
      </c>
      <c r="E46" s="18">
        <f>IF(F3="1",SUMIF(Data!$A:$A,'55'!$A$2,Data!IY:IY),0)</f>
        <v>981309</v>
      </c>
      <c r="F46" s="22">
        <f t="shared" si="3"/>
        <v>3.7048982889590287</v>
      </c>
    </row>
    <row r="47" spans="1:6" ht="14.25" customHeight="1" x14ac:dyDescent="0.2">
      <c r="A47" s="20">
        <v>12</v>
      </c>
      <c r="B47" s="184" t="s">
        <v>11</v>
      </c>
      <c r="C47" s="185"/>
      <c r="D47" s="15">
        <f>IF(F3="1",SUMIF(Data!A:A,'55'!$A$2,Data!DF:DF),0)</f>
        <v>108912</v>
      </c>
      <c r="E47" s="18">
        <f>IF(F3="1",SUMIF(Data!$A:$A,'55'!$A$2,Data!IZ:IZ),0)</f>
        <v>404130</v>
      </c>
      <c r="F47" s="22">
        <f t="shared" si="3"/>
        <v>3.7106104010577345</v>
      </c>
    </row>
    <row r="48" spans="1:6" x14ac:dyDescent="0.2">
      <c r="A48" s="20">
        <v>13</v>
      </c>
      <c r="B48" s="184" t="s">
        <v>12</v>
      </c>
      <c r="C48" s="185"/>
      <c r="D48" s="15">
        <f>IF(F3="1",SUMIF(Data!A:A,'55'!$A$2,Data!DG:DG),0)</f>
        <v>168</v>
      </c>
      <c r="E48" s="18">
        <f>IF(F3="1",SUMIF(Data!$A:$A,'55'!$A$2,Data!JA:JA),0)</f>
        <v>0</v>
      </c>
      <c r="F48" s="22">
        <f t="shared" si="3"/>
        <v>0</v>
      </c>
    </row>
    <row r="49" spans="1:6" ht="14.25" customHeight="1" x14ac:dyDescent="0.2">
      <c r="A49" s="20">
        <v>14</v>
      </c>
      <c r="B49" s="184" t="s">
        <v>469</v>
      </c>
      <c r="C49" s="185"/>
      <c r="D49" s="15">
        <f>IF(F3="1",SUMIF(Data!A:A,'55'!$A$2,Data!DH:DH),0)</f>
        <v>0</v>
      </c>
      <c r="E49" s="18">
        <f>IF(F3="1",SUMIF(Data!$A:$A,'55'!$A$2,Data!JB:JB),0)</f>
        <v>0</v>
      </c>
      <c r="F49" s="22" t="str">
        <f t="shared" si="3"/>
        <v/>
      </c>
    </row>
    <row r="50" spans="1:6" x14ac:dyDescent="0.2">
      <c r="A50" s="20">
        <v>15</v>
      </c>
      <c r="B50" s="184" t="s">
        <v>13</v>
      </c>
      <c r="C50" s="185"/>
      <c r="D50" s="15">
        <f>IF(F3="1",SUMIF(Data!A:A,'55'!$A$2,Data!DI:DI),0)</f>
        <v>39197</v>
      </c>
      <c r="E50" s="18">
        <f>IF(F3="1",SUMIF(Data!$A:$A,'55'!$A$2,Data!JC:JC),0)</f>
        <v>145220</v>
      </c>
      <c r="F50" s="22">
        <f t="shared" si="3"/>
        <v>3.7048753731152892</v>
      </c>
    </row>
    <row r="51" spans="1:6" x14ac:dyDescent="0.2">
      <c r="A51" s="20">
        <v>16</v>
      </c>
      <c r="B51" s="184" t="s">
        <v>14</v>
      </c>
      <c r="C51" s="185"/>
      <c r="D51" s="15">
        <f>IF(F3="1",SUMIF(Data!A:A,'55'!$A$2,Data!DJ:DJ),0)</f>
        <v>158028</v>
      </c>
      <c r="E51" s="18">
        <f>IF(F3="1",SUMIF(Data!$A:$A,'55'!$A$2,Data!JD:JD),0)</f>
        <v>585478</v>
      </c>
      <c r="F51" s="22">
        <f t="shared" si="3"/>
        <v>3.7049003973979295</v>
      </c>
    </row>
    <row r="52" spans="1:6" x14ac:dyDescent="0.2">
      <c r="A52" s="20">
        <v>17</v>
      </c>
      <c r="B52" s="184" t="s">
        <v>15</v>
      </c>
      <c r="C52" s="185"/>
      <c r="D52" s="15">
        <f>IF(F3="1",SUMIF(Data!A:A,'55'!$A$2,Data!DK:DK),0)</f>
        <v>45376</v>
      </c>
      <c r="E52" s="18">
        <f>IF(F3="1",SUMIF(Data!$A:$A,'55'!$A$2,Data!JE:JE),0)</f>
        <v>168113</v>
      </c>
      <c r="F52" s="22">
        <f t="shared" si="3"/>
        <v>3.7048880465444287</v>
      </c>
    </row>
    <row r="53" spans="1:6" x14ac:dyDescent="0.2">
      <c r="A53" s="20">
        <v>18</v>
      </c>
      <c r="B53" s="184" t="s">
        <v>16</v>
      </c>
      <c r="C53" s="185"/>
      <c r="D53" s="15">
        <f>IF(F3="1",SUMIF(Data!A:A,'55'!$A$2,Data!DL:DL),0)</f>
        <v>0</v>
      </c>
      <c r="E53" s="18">
        <f>IF(F3="1",SUMIF(Data!$A:$A,'55'!$A$2,Data!JF:JF),0)</f>
        <v>0</v>
      </c>
      <c r="F53" s="22" t="str">
        <f t="shared" si="3"/>
        <v/>
      </c>
    </row>
    <row r="54" spans="1:6" x14ac:dyDescent="0.2">
      <c r="A54" s="20">
        <v>19</v>
      </c>
      <c r="B54" s="184" t="s">
        <v>17</v>
      </c>
      <c r="C54" s="185"/>
      <c r="D54" s="15">
        <f>IF(F3="1",SUMIF(Data!A:A,'55'!$A$2,Data!DM:DM),0)</f>
        <v>100368</v>
      </c>
      <c r="E54" s="18">
        <f>IF(F3="1",SUMIF(Data!$A:$A,'55'!$A$2,Data!JG:JG),0)</f>
        <v>371852</v>
      </c>
      <c r="F54" s="22">
        <f t="shared" si="3"/>
        <v>3.7048860194484297</v>
      </c>
    </row>
    <row r="55" spans="1:6" x14ac:dyDescent="0.2">
      <c r="A55" s="20">
        <v>20</v>
      </c>
      <c r="B55" s="184" t="s">
        <v>18</v>
      </c>
      <c r="C55" s="185"/>
      <c r="D55" s="15">
        <f>IF(F3="1",SUMIF(Data!A:A,'55'!$A$2,Data!DN:DN),0)</f>
        <v>432</v>
      </c>
      <c r="E55" s="18">
        <f>IF(F3="1",SUMIF(Data!$A:$A,'55'!$A$2,Data!JH:JH),0)</f>
        <v>1600</v>
      </c>
      <c r="F55" s="22">
        <f t="shared" si="3"/>
        <v>3.7037037037037037</v>
      </c>
    </row>
    <row r="56" spans="1:6" ht="14.25" customHeight="1" x14ac:dyDescent="0.2">
      <c r="A56" s="20">
        <v>21</v>
      </c>
      <c r="B56" s="184" t="s">
        <v>466</v>
      </c>
      <c r="C56" s="185"/>
      <c r="D56" s="15">
        <f>IF(F3="1",SUMIF(Data!A:A,'55'!$A$2,Data!DO:DO),0)</f>
        <v>49887</v>
      </c>
      <c r="E56" s="18">
        <f>IF(F3="1",SUMIF(Data!$A:$A,'55'!$A$2,Data!JI:JI),0)</f>
        <v>184827</v>
      </c>
      <c r="F56" s="22">
        <f t="shared" si="3"/>
        <v>3.7049131036141678</v>
      </c>
    </row>
    <row r="57" spans="1:6" x14ac:dyDescent="0.2">
      <c r="A57" s="20">
        <v>22</v>
      </c>
      <c r="B57" s="184" t="s">
        <v>19</v>
      </c>
      <c r="C57" s="185"/>
      <c r="D57" s="15">
        <f>IF(F3="1",SUMIF(Data!A:A,'55'!$A$2,Data!DP:DP),0)</f>
        <v>34968</v>
      </c>
      <c r="E57" s="18">
        <f>IF(F3="1",SUMIF(Data!$A:$A,'55'!$A$2,Data!JJ:JJ),0)</f>
        <v>129553</v>
      </c>
      <c r="F57" s="22">
        <f t="shared" si="3"/>
        <v>3.7049016243422557</v>
      </c>
    </row>
    <row r="58" spans="1:6" x14ac:dyDescent="0.2">
      <c r="A58" s="20">
        <v>23</v>
      </c>
      <c r="B58" s="184" t="s">
        <v>20</v>
      </c>
      <c r="C58" s="185"/>
      <c r="D58" s="15">
        <f>IF(F3="1",SUMIF(Data!A:A,'55'!$A$2,Data!DQ:DQ),0)</f>
        <v>0</v>
      </c>
      <c r="E58" s="18">
        <f>IF(F3="1",SUMIF(Data!$A:$A,'55'!$A$2,Data!JK:JK),0)</f>
        <v>0</v>
      </c>
      <c r="F58" s="22" t="str">
        <f t="shared" si="3"/>
        <v/>
      </c>
    </row>
    <row r="59" spans="1:6" x14ac:dyDescent="0.2">
      <c r="A59" s="20">
        <v>24</v>
      </c>
      <c r="B59" s="184" t="s">
        <v>21</v>
      </c>
      <c r="C59" s="185"/>
      <c r="D59" s="15">
        <f>IF(F3="1",SUMIF(Data!A:A,'55'!$A$2,Data!DR:DR),0)</f>
        <v>250809</v>
      </c>
      <c r="E59" s="18">
        <f>IF(F3="1",SUMIF(Data!$A:$A,'55'!$A$2,Data!JL:JL),0)</f>
        <v>929221</v>
      </c>
      <c r="F59" s="22">
        <f t="shared" si="3"/>
        <v>3.7048949599097321</v>
      </c>
    </row>
    <row r="60" spans="1:6" x14ac:dyDescent="0.2">
      <c r="A60" s="20">
        <v>25</v>
      </c>
      <c r="B60" s="184" t="s">
        <v>22</v>
      </c>
      <c r="C60" s="185"/>
      <c r="D60" s="15">
        <f>IF(F3="1",SUMIF(Data!A:A,'55'!$A$2,Data!DS:DS),0)</f>
        <v>46032</v>
      </c>
      <c r="E60" s="18">
        <f>IF(F3="1",SUMIF(Data!$A:$A,'55'!$A$2,Data!JM:JM),0)</f>
        <v>170544</v>
      </c>
      <c r="F60" s="22">
        <f t="shared" si="3"/>
        <v>3.7049009384775808</v>
      </c>
    </row>
    <row r="61" spans="1:6" x14ac:dyDescent="0.2">
      <c r="A61" s="20">
        <v>26</v>
      </c>
      <c r="B61" s="184" t="s">
        <v>23</v>
      </c>
      <c r="C61" s="185"/>
      <c r="D61" s="15">
        <f>IF(F3="1",SUMIF(Data!A:A,'55'!$A$2,Data!DT:DT),0)</f>
        <v>42528</v>
      </c>
      <c r="E61" s="18">
        <f>IF(F3="1",SUMIF(Data!$A:$A,'55'!$A$2,Data!JN:JN),0)</f>
        <v>157562</v>
      </c>
      <c r="F61" s="22">
        <f t="shared" si="3"/>
        <v>3.7049003009781791</v>
      </c>
    </row>
    <row r="62" spans="1:6" x14ac:dyDescent="0.2">
      <c r="A62" s="20">
        <v>28</v>
      </c>
      <c r="B62" s="184" t="s">
        <v>24</v>
      </c>
      <c r="C62" s="185"/>
      <c r="D62" s="15">
        <f>IF(F3="1",SUMIF(Data!A:A,'55'!$A$2,Data!DV:DV),0)</f>
        <v>0</v>
      </c>
      <c r="E62" s="18">
        <f>IF(F3="1",SUMIF(Data!$A:$A,'55'!$A$2,Data!JP:JP),0)</f>
        <v>0</v>
      </c>
      <c r="F62" s="22" t="str">
        <f t="shared" si="3"/>
        <v/>
      </c>
    </row>
    <row r="63" spans="1:6" ht="15.75" customHeight="1" thickBot="1" x14ac:dyDescent="0.25">
      <c r="A63" s="23">
        <v>29</v>
      </c>
      <c r="B63" s="186" t="s">
        <v>25</v>
      </c>
      <c r="C63" s="187"/>
      <c r="D63" s="24">
        <f>IF(F3="1",SUMIF(Data!A:A,'55'!$A$2,Data!DW:DW),0)</f>
        <v>0</v>
      </c>
      <c r="E63" s="25">
        <f>IF(F3="1",SUMIF(Data!$A:$A,'55'!$A$2,Data!JQ:JQ),0)</f>
        <v>0</v>
      </c>
      <c r="F63" s="26" t="str">
        <f t="shared" si="3"/>
        <v/>
      </c>
    </row>
    <row r="64" spans="1:6" x14ac:dyDescent="0.2">
      <c r="B64" s="31" t="s">
        <v>35</v>
      </c>
      <c r="C64" s="31"/>
      <c r="D64" s="61">
        <f>SUM(D36:D63)</f>
        <v>1671411</v>
      </c>
      <c r="E64" s="32">
        <f>SUM(E36:E63)</f>
        <v>6192406</v>
      </c>
      <c r="F64" s="33">
        <f t="shared" si="3"/>
        <v>3.704897239517988</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IF(F3="1",SUMIF(Data!A:A,'55'!$A$2,Data!DY:DY),0)</f>
        <v>0</v>
      </c>
      <c r="F67" s="21" t="str">
        <f>IFERROR(E67/D67,"")</f>
        <v/>
      </c>
    </row>
    <row r="68" spans="1:6" x14ac:dyDescent="0.2">
      <c r="A68" s="20">
        <v>2</v>
      </c>
      <c r="B68" s="184" t="s">
        <v>1</v>
      </c>
      <c r="C68" s="185"/>
      <c r="D68" s="15">
        <f t="shared" ref="D68:D94" si="4">D37</f>
        <v>46832</v>
      </c>
      <c r="E68" s="18">
        <f>IF(F3="1",SUMIF(Data!A:A,'55'!$A$2,Data!DZ:DZ),0)</f>
        <v>156936</v>
      </c>
      <c r="F68" s="22">
        <f t="shared" ref="F68:F95" si="5">IFERROR(E68/D68,"")</f>
        <v>3.3510420225486848</v>
      </c>
    </row>
    <row r="69" spans="1:6" ht="14.25" customHeight="1" x14ac:dyDescent="0.2">
      <c r="A69" s="20">
        <v>3</v>
      </c>
      <c r="B69" s="184" t="s">
        <v>2</v>
      </c>
      <c r="C69" s="185"/>
      <c r="D69" s="15">
        <f t="shared" si="4"/>
        <v>232976</v>
      </c>
      <c r="E69" s="18">
        <f>IF(F3="1",SUMIF(Data!A:A,'55'!$A$2,Data!EA:EA),0)</f>
        <v>780715</v>
      </c>
      <c r="F69" s="22">
        <f t="shared" si="5"/>
        <v>3.351053327381361</v>
      </c>
    </row>
    <row r="70" spans="1:6" ht="14.25" customHeight="1" x14ac:dyDescent="0.2">
      <c r="A70" s="20">
        <v>4</v>
      </c>
      <c r="B70" s="184" t="s">
        <v>3</v>
      </c>
      <c r="C70" s="185"/>
      <c r="D70" s="15">
        <f t="shared" si="4"/>
        <v>128111</v>
      </c>
      <c r="E70" s="18">
        <f>IF(F3="1",SUMIF(Data!A:A,'55'!$A$2,Data!EB:EB),0)</f>
        <v>429307</v>
      </c>
      <c r="F70" s="22">
        <f t="shared" si="5"/>
        <v>3.3510549445402815</v>
      </c>
    </row>
    <row r="71" spans="1:6" x14ac:dyDescent="0.2">
      <c r="A71" s="20">
        <v>5</v>
      </c>
      <c r="B71" s="184" t="s">
        <v>4</v>
      </c>
      <c r="C71" s="185"/>
      <c r="D71" s="15">
        <f t="shared" si="4"/>
        <v>0</v>
      </c>
      <c r="E71" s="18">
        <f>IF(F3="1",SUMIF(Data!A:A,'55'!$A$2,Data!EC:EC),0)</f>
        <v>0</v>
      </c>
      <c r="F71" s="22" t="str">
        <f t="shared" si="5"/>
        <v/>
      </c>
    </row>
    <row r="72" spans="1:6" x14ac:dyDescent="0.2">
      <c r="A72" s="20">
        <v>6</v>
      </c>
      <c r="B72" s="184" t="s">
        <v>5</v>
      </c>
      <c r="C72" s="185"/>
      <c r="D72" s="15">
        <f t="shared" si="4"/>
        <v>0</v>
      </c>
      <c r="E72" s="18">
        <f>IF(F3="1",SUMIF(Data!A:A,'55'!$A$2,Data!ED:ED),0)</f>
        <v>0</v>
      </c>
      <c r="F72" s="22" t="str">
        <f t="shared" si="5"/>
        <v/>
      </c>
    </row>
    <row r="73" spans="1:6" x14ac:dyDescent="0.2">
      <c r="A73" s="20">
        <v>7</v>
      </c>
      <c r="B73" s="184" t="s">
        <v>6</v>
      </c>
      <c r="C73" s="185"/>
      <c r="D73" s="15">
        <f t="shared" si="4"/>
        <v>75619</v>
      </c>
      <c r="E73" s="18">
        <f>IF(F3="1",SUMIF(Data!A:A,'55'!$A$2,Data!EE:EE),0)</f>
        <v>253403</v>
      </c>
      <c r="F73" s="22">
        <f t="shared" si="5"/>
        <v>3.3510493394517251</v>
      </c>
    </row>
    <row r="74" spans="1:6" x14ac:dyDescent="0.2">
      <c r="A74" s="20">
        <v>8</v>
      </c>
      <c r="B74" s="184" t="s">
        <v>7</v>
      </c>
      <c r="C74" s="185"/>
      <c r="D74" s="15">
        <f t="shared" si="4"/>
        <v>25744</v>
      </c>
      <c r="E74" s="18">
        <f>IF(F3="1",SUMIF(Data!A:A,'55'!$A$2,Data!EF:EF),0)</f>
        <v>86269</v>
      </c>
      <c r="F74" s="22">
        <f t="shared" si="5"/>
        <v>3.351033250466128</v>
      </c>
    </row>
    <row r="75" spans="1:6" x14ac:dyDescent="0.2">
      <c r="A75" s="20">
        <v>9</v>
      </c>
      <c r="B75" s="184" t="s">
        <v>8</v>
      </c>
      <c r="C75" s="185"/>
      <c r="D75" s="15">
        <f t="shared" si="4"/>
        <v>20556</v>
      </c>
      <c r="E75" s="18">
        <f>IF(F3="1",SUMIF(Data!A:A,'55'!$A$2,Data!EG:EG),0)</f>
        <v>68884</v>
      </c>
      <c r="F75" s="22">
        <f t="shared" si="5"/>
        <v>3.3510410585717065</v>
      </c>
    </row>
    <row r="76" spans="1:6" x14ac:dyDescent="0.2">
      <c r="A76" s="20">
        <v>10</v>
      </c>
      <c r="B76" s="184" t="s">
        <v>9</v>
      </c>
      <c r="C76" s="185"/>
      <c r="D76" s="15">
        <f t="shared" si="4"/>
        <v>0</v>
      </c>
      <c r="E76" s="18">
        <f>IF(F3="1",SUMIF(Data!A:A,'55'!$A$2,Data!EH:EH),0)</f>
        <v>0</v>
      </c>
      <c r="F76" s="22" t="str">
        <f t="shared" si="5"/>
        <v/>
      </c>
    </row>
    <row r="77" spans="1:6" x14ac:dyDescent="0.2">
      <c r="A77" s="20">
        <v>11</v>
      </c>
      <c r="B77" s="184" t="s">
        <v>10</v>
      </c>
      <c r="C77" s="185"/>
      <c r="D77" s="15">
        <f t="shared" si="4"/>
        <v>264868</v>
      </c>
      <c r="E77" s="18">
        <f>IF(F3="1",SUMIF(Data!A:A,'55'!$A$2,Data!EI:EI),0)</f>
        <v>887587</v>
      </c>
      <c r="F77" s="22">
        <f t="shared" si="5"/>
        <v>3.3510541099717597</v>
      </c>
    </row>
    <row r="78" spans="1:6" ht="14.25" customHeight="1" x14ac:dyDescent="0.2">
      <c r="A78" s="20">
        <v>12</v>
      </c>
      <c r="B78" s="184" t="s">
        <v>11</v>
      </c>
      <c r="C78" s="185"/>
      <c r="D78" s="15">
        <f t="shared" si="4"/>
        <v>108912</v>
      </c>
      <c r="E78" s="18">
        <f>IF(F3="1",SUMIF(Data!A:A,'55'!$A$2,Data!EJ:EJ),0)</f>
        <v>365533</v>
      </c>
      <c r="F78" s="22">
        <f t="shared" si="5"/>
        <v>3.3562233729983841</v>
      </c>
    </row>
    <row r="79" spans="1:6" x14ac:dyDescent="0.2">
      <c r="A79" s="20">
        <v>13</v>
      </c>
      <c r="B79" s="184" t="s">
        <v>12</v>
      </c>
      <c r="C79" s="185"/>
      <c r="D79" s="15">
        <f t="shared" si="4"/>
        <v>168</v>
      </c>
      <c r="E79" s="18">
        <f>IF(F3="1",SUMIF(Data!A:A,'55'!$A$2,Data!EK:EK),0)</f>
        <v>0</v>
      </c>
      <c r="F79" s="22">
        <f t="shared" si="5"/>
        <v>0</v>
      </c>
    </row>
    <row r="80" spans="1:6" ht="14.25" customHeight="1" x14ac:dyDescent="0.2">
      <c r="A80" s="20">
        <v>14</v>
      </c>
      <c r="B80" s="184" t="s">
        <v>469</v>
      </c>
      <c r="C80" s="185"/>
      <c r="D80" s="15">
        <f t="shared" si="4"/>
        <v>0</v>
      </c>
      <c r="E80" s="18">
        <f>IF(F3="1",SUMIF(Data!A:A,'55'!$A$2,Data!EL:EL),0)</f>
        <v>0</v>
      </c>
      <c r="F80" s="22" t="str">
        <f t="shared" si="5"/>
        <v/>
      </c>
    </row>
    <row r="81" spans="1:6" x14ac:dyDescent="0.2">
      <c r="A81" s="20">
        <v>15</v>
      </c>
      <c r="B81" s="184" t="s">
        <v>13</v>
      </c>
      <c r="C81" s="185"/>
      <c r="D81" s="15">
        <f t="shared" si="4"/>
        <v>39197</v>
      </c>
      <c r="E81" s="18">
        <f>IF(F3="1",SUMIF(Data!A:A,'55'!$A$2,Data!EM:EM),0)</f>
        <v>131351</v>
      </c>
      <c r="F81" s="22">
        <f t="shared" si="5"/>
        <v>3.3510472740260733</v>
      </c>
    </row>
    <row r="82" spans="1:6" x14ac:dyDescent="0.2">
      <c r="A82" s="20">
        <v>16</v>
      </c>
      <c r="B82" s="184" t="s">
        <v>14</v>
      </c>
      <c r="C82" s="185"/>
      <c r="D82" s="15">
        <f t="shared" si="4"/>
        <v>158028</v>
      </c>
      <c r="E82" s="18">
        <f>IF(F3="1",SUMIF(Data!A:A,'55'!$A$2,Data!EN:EN),0)</f>
        <v>529560</v>
      </c>
      <c r="F82" s="22">
        <f t="shared" si="5"/>
        <v>3.3510517123547725</v>
      </c>
    </row>
    <row r="83" spans="1:6" x14ac:dyDescent="0.2">
      <c r="A83" s="20">
        <v>17</v>
      </c>
      <c r="B83" s="184" t="s">
        <v>15</v>
      </c>
      <c r="C83" s="185"/>
      <c r="D83" s="15">
        <f t="shared" si="4"/>
        <v>45376</v>
      </c>
      <c r="E83" s="18">
        <f>IF(F3="1",SUMIF(Data!A:A,'55'!$A$2,Data!EO:EO),0)</f>
        <v>152057</v>
      </c>
      <c r="F83" s="22">
        <f t="shared" si="5"/>
        <v>3.3510446050775742</v>
      </c>
    </row>
    <row r="84" spans="1:6" x14ac:dyDescent="0.2">
      <c r="A84" s="20">
        <v>18</v>
      </c>
      <c r="B84" s="184" t="s">
        <v>16</v>
      </c>
      <c r="C84" s="185"/>
      <c r="D84" s="15">
        <f t="shared" si="4"/>
        <v>0</v>
      </c>
      <c r="E84" s="18">
        <f>IF(F3="1",SUMIF(Data!A:A,'55'!$A$2,Data!EP:EP),0)</f>
        <v>0</v>
      </c>
      <c r="F84" s="22" t="str">
        <f t="shared" si="5"/>
        <v/>
      </c>
    </row>
    <row r="85" spans="1:6" x14ac:dyDescent="0.2">
      <c r="A85" s="20">
        <v>19</v>
      </c>
      <c r="B85" s="184" t="s">
        <v>17</v>
      </c>
      <c r="C85" s="185"/>
      <c r="D85" s="15">
        <f t="shared" si="4"/>
        <v>100368</v>
      </c>
      <c r="E85" s="18">
        <f>IF(F3="1",SUMIF(Data!A:A,'55'!$A$2,Data!EQ:EQ),0)</f>
        <v>336338</v>
      </c>
      <c r="F85" s="22">
        <f t="shared" si="5"/>
        <v>3.3510481428343697</v>
      </c>
    </row>
    <row r="86" spans="1:6" x14ac:dyDescent="0.2">
      <c r="A86" s="20">
        <v>20</v>
      </c>
      <c r="B86" s="184" t="s">
        <v>18</v>
      </c>
      <c r="C86" s="185"/>
      <c r="D86" s="15">
        <f t="shared" si="4"/>
        <v>432</v>
      </c>
      <c r="E86" s="18">
        <f>IF(F3="1",SUMIF(Data!A:A,'55'!$A$2,Data!ER:ER),0)</f>
        <v>1448</v>
      </c>
      <c r="F86" s="22">
        <f t="shared" si="5"/>
        <v>3.3518518518518516</v>
      </c>
    </row>
    <row r="87" spans="1:6" ht="14.25" customHeight="1" x14ac:dyDescent="0.2">
      <c r="A87" s="20">
        <v>21</v>
      </c>
      <c r="B87" s="184" t="s">
        <v>466</v>
      </c>
      <c r="C87" s="185"/>
      <c r="D87" s="15">
        <f t="shared" si="4"/>
        <v>49887</v>
      </c>
      <c r="E87" s="18">
        <f>IF(F3="1",SUMIF(Data!A:A,'55'!$A$2,Data!ES:ES),0)</f>
        <v>167174</v>
      </c>
      <c r="F87" s="22">
        <f t="shared" si="5"/>
        <v>3.3510533806402472</v>
      </c>
    </row>
    <row r="88" spans="1:6" x14ac:dyDescent="0.2">
      <c r="A88" s="20">
        <v>22</v>
      </c>
      <c r="B88" s="184" t="s">
        <v>19</v>
      </c>
      <c r="C88" s="185"/>
      <c r="D88" s="15">
        <f t="shared" si="4"/>
        <v>34968</v>
      </c>
      <c r="E88" s="18">
        <f>IF(F3="1",SUMIF(Data!A:A,'55'!$A$2,Data!ET:ET),0)</f>
        <v>117180</v>
      </c>
      <c r="F88" s="22">
        <f t="shared" si="5"/>
        <v>3.3510638297872339</v>
      </c>
    </row>
    <row r="89" spans="1:6" x14ac:dyDescent="0.2">
      <c r="A89" s="20">
        <v>23</v>
      </c>
      <c r="B89" s="184" t="s">
        <v>20</v>
      </c>
      <c r="C89" s="185"/>
      <c r="D89" s="15">
        <f t="shared" si="4"/>
        <v>0</v>
      </c>
      <c r="E89" s="18">
        <f>IF(F3="1",SUMIF(Data!A:A,'55'!$A$2,Data!EU:EU),0)</f>
        <v>0</v>
      </c>
      <c r="F89" s="22" t="str">
        <f t="shared" si="5"/>
        <v/>
      </c>
    </row>
    <row r="90" spans="1:6" x14ac:dyDescent="0.2">
      <c r="A90" s="20">
        <v>24</v>
      </c>
      <c r="B90" s="184" t="s">
        <v>21</v>
      </c>
      <c r="C90" s="185"/>
      <c r="D90" s="15">
        <f t="shared" si="4"/>
        <v>250809</v>
      </c>
      <c r="E90" s="18">
        <f>IF(F3="1",SUMIF(Data!A:A,'55'!$A$2,Data!EV:EV),0)</f>
        <v>840474</v>
      </c>
      <c r="F90" s="22">
        <f t="shared" si="5"/>
        <v>3.3510519957417797</v>
      </c>
    </row>
    <row r="91" spans="1:6" x14ac:dyDescent="0.2">
      <c r="A91" s="20">
        <v>25</v>
      </c>
      <c r="B91" s="184" t="s">
        <v>22</v>
      </c>
      <c r="C91" s="185"/>
      <c r="D91" s="15">
        <f t="shared" si="4"/>
        <v>46032</v>
      </c>
      <c r="E91" s="18">
        <f>IF(F3="1",SUMIF(Data!A:A,'55'!$A$2,Data!EW:EW),0)</f>
        <v>154256</v>
      </c>
      <c r="F91" s="22">
        <f t="shared" si="5"/>
        <v>3.3510601320820297</v>
      </c>
    </row>
    <row r="92" spans="1:6" x14ac:dyDescent="0.2">
      <c r="A92" s="20">
        <v>26</v>
      </c>
      <c r="B92" s="184" t="s">
        <v>23</v>
      </c>
      <c r="C92" s="185"/>
      <c r="D92" s="15">
        <f t="shared" si="4"/>
        <v>42528</v>
      </c>
      <c r="E92" s="18">
        <f>IF(F3="1",SUMIF(Data!A:A,'55'!$A$2,Data!EX:EX),0)</f>
        <v>142514</v>
      </c>
      <c r="F92" s="22">
        <f t="shared" si="5"/>
        <v>3.3510628291948832</v>
      </c>
    </row>
    <row r="93" spans="1:6" x14ac:dyDescent="0.2">
      <c r="A93" s="20">
        <v>28</v>
      </c>
      <c r="B93" s="184" t="s">
        <v>24</v>
      </c>
      <c r="C93" s="185"/>
      <c r="D93" s="15">
        <f t="shared" si="4"/>
        <v>0</v>
      </c>
      <c r="E93" s="18">
        <f>IF(F3="1",SUMIF(Data!A:A,'55'!$A$2,Data!EZ:EZ),0)</f>
        <v>0</v>
      </c>
      <c r="F93" s="22" t="str">
        <f t="shared" si="5"/>
        <v/>
      </c>
    </row>
    <row r="94" spans="1:6" ht="15.75" customHeight="1" thickBot="1" x14ac:dyDescent="0.25">
      <c r="A94" s="23">
        <v>29</v>
      </c>
      <c r="B94" s="186" t="s">
        <v>25</v>
      </c>
      <c r="C94" s="187"/>
      <c r="D94" s="24">
        <f t="shared" si="4"/>
        <v>0</v>
      </c>
      <c r="E94" s="25">
        <f>IF(F3="1",SUMIF(Data!A:A,'55'!$A$2,Data!FA:FA),0)</f>
        <v>0</v>
      </c>
      <c r="F94" s="26" t="str">
        <f t="shared" si="5"/>
        <v/>
      </c>
    </row>
    <row r="95" spans="1:6" x14ac:dyDescent="0.2">
      <c r="B95" s="31" t="s">
        <v>35</v>
      </c>
      <c r="C95" s="31"/>
      <c r="D95" s="61">
        <f>SUM(D67:D94)</f>
        <v>1671411</v>
      </c>
      <c r="E95" s="32">
        <f>SUM(E67:E94)</f>
        <v>5600986</v>
      </c>
      <c r="F95" s="33">
        <f t="shared" si="5"/>
        <v>3.3510524939706632</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IF(F3="1",SUMIF(Data!A:A,'55'!$A$2,Data!AH:AH),0)</f>
        <v>3128620</v>
      </c>
      <c r="F98" s="21">
        <f t="shared" ref="F98:F105" si="6">IFERROR(E98/$D$95,0)</f>
        <v>1.8718436099798315</v>
      </c>
    </row>
    <row r="99" spans="2:6" x14ac:dyDescent="0.2">
      <c r="B99" s="190" t="s">
        <v>31</v>
      </c>
      <c r="C99" s="191"/>
      <c r="D99" s="37"/>
      <c r="E99" s="18">
        <f>IF(F3="1",SUMIF(Data!A:A,'55'!$A$2,Data!AI:AI),0)</f>
        <v>1740832</v>
      </c>
      <c r="F99" s="22">
        <f t="shared" si="6"/>
        <v>1.0415343682672904</v>
      </c>
    </row>
    <row r="100" spans="2:6" x14ac:dyDescent="0.2">
      <c r="B100" s="190" t="s">
        <v>32</v>
      </c>
      <c r="C100" s="191"/>
      <c r="D100" s="37"/>
      <c r="E100" s="18">
        <f>IF(F3="1",SUMIF(Data!A:A,'55'!$A$2,Data!AJ:AJ),0)</f>
        <v>421825</v>
      </c>
      <c r="F100" s="22">
        <f t="shared" si="6"/>
        <v>0.25237658481366942</v>
      </c>
    </row>
    <row r="101" spans="2:6" x14ac:dyDescent="0.2">
      <c r="B101" s="190" t="s">
        <v>28</v>
      </c>
      <c r="C101" s="191"/>
      <c r="D101" s="37"/>
      <c r="E101" s="18">
        <f>IF(F3="1",SUMIF(Data!A:A,'55'!$A$2,Data!AK:AK),0)</f>
        <v>0</v>
      </c>
      <c r="F101" s="22">
        <f t="shared" si="6"/>
        <v>0</v>
      </c>
    </row>
    <row r="102" spans="2:6" x14ac:dyDescent="0.2">
      <c r="B102" s="190" t="s">
        <v>33</v>
      </c>
      <c r="C102" s="191"/>
      <c r="D102" s="37"/>
      <c r="E102" s="18">
        <f>IF(F3="1",SUMIF(Data!A:A,'55'!$A$2,Data!AL:AL),0)</f>
        <v>3072708</v>
      </c>
      <c r="F102" s="22">
        <f t="shared" si="6"/>
        <v>1.8383916343735922</v>
      </c>
    </row>
    <row r="103" spans="2:6" x14ac:dyDescent="0.2">
      <c r="B103" s="192" t="s">
        <v>34</v>
      </c>
      <c r="C103" s="193"/>
      <c r="D103" s="37"/>
      <c r="E103" s="18">
        <f>IF(F3="1",SUMIF(Data!A:A,'55'!$A$2,Data!AM:AM),0)</f>
        <v>940422</v>
      </c>
      <c r="F103" s="22">
        <f t="shared" si="6"/>
        <v>0.56265155608046136</v>
      </c>
    </row>
    <row r="104" spans="2:6" ht="15.75" customHeight="1" thickBot="1" x14ac:dyDescent="0.25">
      <c r="B104" s="182" t="s">
        <v>29</v>
      </c>
      <c r="C104" s="183"/>
      <c r="D104" s="38"/>
      <c r="E104" s="25">
        <f>IF(F3="1",SUMIF(Data!A:A,'55'!$A$2,Data!Q:Q),0)</f>
        <v>457149</v>
      </c>
      <c r="F104" s="26">
        <f t="shared" si="6"/>
        <v>0.27351082408815069</v>
      </c>
    </row>
    <row r="105" spans="2:6" x14ac:dyDescent="0.2">
      <c r="B105" s="31" t="s">
        <v>35</v>
      </c>
      <c r="C105" s="31"/>
      <c r="D105" s="35">
        <f>D95</f>
        <v>1671411</v>
      </c>
      <c r="E105" s="32">
        <f>SUM(E98:E104)</f>
        <v>9761556</v>
      </c>
      <c r="F105" s="33">
        <f t="shared" si="6"/>
        <v>5.840308577602995</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5600986</v>
      </c>
      <c r="D109" s="16">
        <f>IF(F3="1",SUMIF(Data!$A:$A,$A$2,Data!HJ:HJ),0)</f>
        <v>0</v>
      </c>
      <c r="E109" s="16">
        <f>IF(F3="1",SUMIF(Data!$A:$A,$A$2,Data!IN:IN),0)</f>
        <v>0</v>
      </c>
      <c r="F109" s="48">
        <f>SUM(C109:E109)</f>
        <v>5600986</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3072708</v>
      </c>
      <c r="F116" s="49">
        <f t="shared" si="7"/>
        <v>3072708</v>
      </c>
    </row>
    <row r="117" spans="1:6" ht="15" thickBot="1" x14ac:dyDescent="0.25">
      <c r="B117" s="44" t="s">
        <v>941</v>
      </c>
      <c r="C117" s="53"/>
      <c r="D117" s="53">
        <f>IF(F3="1",SUMIF(Data!A:A,$A$2,Data!Q:Q),0)</f>
        <v>457149</v>
      </c>
      <c r="E117" s="53"/>
      <c r="F117" s="50">
        <f>SUM(C117:E117)</f>
        <v>457149</v>
      </c>
    </row>
    <row r="118" spans="1:6" x14ac:dyDescent="0.2">
      <c r="B118" s="14" t="s">
        <v>35</v>
      </c>
      <c r="C118" s="5">
        <f>SUM(C109:C116)</f>
        <v>5600986</v>
      </c>
      <c r="D118" s="5">
        <f>SUM(D109:D116)</f>
        <v>0</v>
      </c>
      <c r="E118" s="5">
        <f>SUM(E109:E116)</f>
        <v>3072708</v>
      </c>
      <c r="F118" s="5">
        <f>SUM(F109:F116)</f>
        <v>8673694</v>
      </c>
    </row>
    <row r="119" spans="1:6" ht="15" thickBot="1" x14ac:dyDescent="0.25"/>
    <row r="120" spans="1:6" ht="15" thickBot="1" x14ac:dyDescent="0.25">
      <c r="B120" s="57" t="s">
        <v>942</v>
      </c>
      <c r="C120" s="55"/>
      <c r="D120" s="55"/>
      <c r="E120" s="55">
        <f>IF(F3="1",SUMIF(Data!A:A,'55'!$A$2,Data!AM:AM),0)</f>
        <v>940422</v>
      </c>
      <c r="F120" s="56">
        <f>SUM(C120:E120)</f>
        <v>940422</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2009</v>
      </c>
      <c r="B1" s="39"/>
      <c r="C1" s="39"/>
      <c r="D1" s="39"/>
      <c r="E1" s="39"/>
      <c r="F1" s="39"/>
    </row>
    <row r="2" spans="1:6" x14ac:dyDescent="0.2">
      <c r="A2" s="6" t="s">
        <v>452</v>
      </c>
      <c r="B2" s="60" t="str">
        <f>VLOOKUP(A2,Data!A:G,7,0)</f>
        <v>Lamar State College-Orange</v>
      </c>
      <c r="C2" s="60"/>
    </row>
    <row r="3" spans="1:6" ht="15" thickBot="1" x14ac:dyDescent="0.25">
      <c r="A3" s="4"/>
      <c r="F3" s="58">
        <f>IFERROR(VLOOKUP(A2,Data!A:C,3,0),"0")</f>
        <v>0</v>
      </c>
    </row>
    <row r="4" spans="1:6" ht="29.25" customHeight="1" x14ac:dyDescent="0.2">
      <c r="A4" s="27" t="s">
        <v>26</v>
      </c>
      <c r="B4" s="194" t="s">
        <v>470</v>
      </c>
      <c r="C4" s="195"/>
      <c r="D4" s="29" t="s">
        <v>27</v>
      </c>
      <c r="E4" s="29" t="s">
        <v>467</v>
      </c>
      <c r="F4" s="30" t="s">
        <v>468</v>
      </c>
    </row>
    <row r="5" spans="1:6" x14ac:dyDescent="0.2">
      <c r="A5" s="20">
        <v>1</v>
      </c>
      <c r="B5" s="184" t="s">
        <v>0</v>
      </c>
      <c r="C5" s="185"/>
      <c r="D5" s="15">
        <f>D36</f>
        <v>0</v>
      </c>
      <c r="E5" s="16">
        <f>E36+E67+IFERROR($E$105/$D$105*D5,0)</f>
        <v>0</v>
      </c>
      <c r="F5" s="21" t="str">
        <f>IFERROR(E5/D5,"")</f>
        <v/>
      </c>
    </row>
    <row r="6" spans="1:6" x14ac:dyDescent="0.2">
      <c r="A6" s="20">
        <v>2</v>
      </c>
      <c r="B6" s="184" t="s">
        <v>1</v>
      </c>
      <c r="C6" s="185"/>
      <c r="D6" s="15">
        <f t="shared" ref="D6:D32" si="0">D37</f>
        <v>0</v>
      </c>
      <c r="E6" s="18">
        <f t="shared" ref="E6:E32" si="1">E37+E68+IFERROR($E$105/$D$105*D6,0)</f>
        <v>0</v>
      </c>
      <c r="F6" s="22" t="str">
        <f t="shared" ref="F6:F33" si="2">IFERROR(E6/D6,"")</f>
        <v/>
      </c>
    </row>
    <row r="7" spans="1:6" ht="14.25" customHeight="1" x14ac:dyDescent="0.2">
      <c r="A7" s="20">
        <v>3</v>
      </c>
      <c r="B7" s="184" t="s">
        <v>2</v>
      </c>
      <c r="C7" s="185"/>
      <c r="D7" s="15">
        <f t="shared" si="0"/>
        <v>0</v>
      </c>
      <c r="E7" s="18">
        <f t="shared" si="1"/>
        <v>0</v>
      </c>
      <c r="F7" s="22" t="str">
        <f t="shared" si="2"/>
        <v/>
      </c>
    </row>
    <row r="8" spans="1:6" ht="14.25" customHeight="1" x14ac:dyDescent="0.2">
      <c r="A8" s="20">
        <v>4</v>
      </c>
      <c r="B8" s="184" t="s">
        <v>3</v>
      </c>
      <c r="C8" s="185"/>
      <c r="D8" s="15">
        <f t="shared" si="0"/>
        <v>0</v>
      </c>
      <c r="E8" s="18">
        <f t="shared" si="1"/>
        <v>0</v>
      </c>
      <c r="F8" s="22" t="str">
        <f t="shared" si="2"/>
        <v/>
      </c>
    </row>
    <row r="9" spans="1:6" x14ac:dyDescent="0.2">
      <c r="A9" s="20">
        <v>5</v>
      </c>
      <c r="B9" s="184" t="s">
        <v>4</v>
      </c>
      <c r="C9" s="185"/>
      <c r="D9" s="15">
        <f t="shared" si="0"/>
        <v>0</v>
      </c>
      <c r="E9" s="18">
        <f t="shared" si="1"/>
        <v>0</v>
      </c>
      <c r="F9" s="22" t="str">
        <f t="shared" si="2"/>
        <v/>
      </c>
    </row>
    <row r="10" spans="1:6" x14ac:dyDescent="0.2">
      <c r="A10" s="20">
        <v>6</v>
      </c>
      <c r="B10" s="184" t="s">
        <v>5</v>
      </c>
      <c r="C10" s="185"/>
      <c r="D10" s="15">
        <f t="shared" si="0"/>
        <v>0</v>
      </c>
      <c r="E10" s="18">
        <f t="shared" si="1"/>
        <v>0</v>
      </c>
      <c r="F10" s="22" t="str">
        <f t="shared" si="2"/>
        <v/>
      </c>
    </row>
    <row r="11" spans="1:6" x14ac:dyDescent="0.2">
      <c r="A11" s="20">
        <v>7</v>
      </c>
      <c r="B11" s="184" t="s">
        <v>6</v>
      </c>
      <c r="C11" s="185"/>
      <c r="D11" s="15">
        <f t="shared" si="0"/>
        <v>0</v>
      </c>
      <c r="E11" s="18">
        <f t="shared" si="1"/>
        <v>0</v>
      </c>
      <c r="F11" s="22" t="str">
        <f t="shared" si="2"/>
        <v/>
      </c>
    </row>
    <row r="12" spans="1:6" x14ac:dyDescent="0.2">
      <c r="A12" s="20">
        <v>8</v>
      </c>
      <c r="B12" s="184" t="s">
        <v>7</v>
      </c>
      <c r="C12" s="185"/>
      <c r="D12" s="15">
        <f t="shared" si="0"/>
        <v>0</v>
      </c>
      <c r="E12" s="18">
        <f t="shared" si="1"/>
        <v>0</v>
      </c>
      <c r="F12" s="22" t="str">
        <f t="shared" si="2"/>
        <v/>
      </c>
    </row>
    <row r="13" spans="1:6" x14ac:dyDescent="0.2">
      <c r="A13" s="20">
        <v>9</v>
      </c>
      <c r="B13" s="184" t="s">
        <v>8</v>
      </c>
      <c r="C13" s="185"/>
      <c r="D13" s="15">
        <f t="shared" si="0"/>
        <v>0</v>
      </c>
      <c r="E13" s="18">
        <f t="shared" si="1"/>
        <v>0</v>
      </c>
      <c r="F13" s="22" t="str">
        <f t="shared" si="2"/>
        <v/>
      </c>
    </row>
    <row r="14" spans="1:6" x14ac:dyDescent="0.2">
      <c r="A14" s="20">
        <v>10</v>
      </c>
      <c r="B14" s="184" t="s">
        <v>9</v>
      </c>
      <c r="C14" s="185"/>
      <c r="D14" s="15">
        <f t="shared" si="0"/>
        <v>0</v>
      </c>
      <c r="E14" s="18">
        <f t="shared" si="1"/>
        <v>0</v>
      </c>
      <c r="F14" s="22" t="str">
        <f t="shared" si="2"/>
        <v/>
      </c>
    </row>
    <row r="15" spans="1:6" x14ac:dyDescent="0.2">
      <c r="A15" s="20">
        <v>11</v>
      </c>
      <c r="B15" s="184" t="s">
        <v>10</v>
      </c>
      <c r="C15" s="185"/>
      <c r="D15" s="15">
        <f t="shared" si="0"/>
        <v>0</v>
      </c>
      <c r="E15" s="18">
        <f t="shared" si="1"/>
        <v>0</v>
      </c>
      <c r="F15" s="22" t="str">
        <f t="shared" si="2"/>
        <v/>
      </c>
    </row>
    <row r="16" spans="1:6" ht="14.25" customHeight="1" x14ac:dyDescent="0.2">
      <c r="A16" s="20">
        <v>12</v>
      </c>
      <c r="B16" s="184" t="s">
        <v>11</v>
      </c>
      <c r="C16" s="185"/>
      <c r="D16" s="15">
        <f t="shared" si="0"/>
        <v>0</v>
      </c>
      <c r="E16" s="18">
        <f t="shared" si="1"/>
        <v>0</v>
      </c>
      <c r="F16" s="22" t="str">
        <f t="shared" si="2"/>
        <v/>
      </c>
    </row>
    <row r="17" spans="1:6" x14ac:dyDescent="0.2">
      <c r="A17" s="20">
        <v>13</v>
      </c>
      <c r="B17" s="184" t="s">
        <v>12</v>
      </c>
      <c r="C17" s="185"/>
      <c r="D17" s="15">
        <f t="shared" si="0"/>
        <v>0</v>
      </c>
      <c r="E17" s="18">
        <f t="shared" si="1"/>
        <v>0</v>
      </c>
      <c r="F17" s="22" t="str">
        <f t="shared" si="2"/>
        <v/>
      </c>
    </row>
    <row r="18" spans="1:6" ht="14.25" customHeight="1" x14ac:dyDescent="0.2">
      <c r="A18" s="20">
        <v>14</v>
      </c>
      <c r="B18" s="184" t="s">
        <v>469</v>
      </c>
      <c r="C18" s="185"/>
      <c r="D18" s="15">
        <f t="shared" si="0"/>
        <v>0</v>
      </c>
      <c r="E18" s="18">
        <f t="shared" si="1"/>
        <v>0</v>
      </c>
      <c r="F18" s="22" t="str">
        <f t="shared" si="2"/>
        <v/>
      </c>
    </row>
    <row r="19" spans="1:6" x14ac:dyDescent="0.2">
      <c r="A19" s="20">
        <v>15</v>
      </c>
      <c r="B19" s="184" t="s">
        <v>13</v>
      </c>
      <c r="C19" s="185"/>
      <c r="D19" s="15">
        <f t="shared" si="0"/>
        <v>0</v>
      </c>
      <c r="E19" s="18">
        <f t="shared" si="1"/>
        <v>0</v>
      </c>
      <c r="F19" s="22" t="str">
        <f t="shared" si="2"/>
        <v/>
      </c>
    </row>
    <row r="20" spans="1:6" x14ac:dyDescent="0.2">
      <c r="A20" s="20">
        <v>16</v>
      </c>
      <c r="B20" s="184" t="s">
        <v>14</v>
      </c>
      <c r="C20" s="185"/>
      <c r="D20" s="15">
        <f t="shared" si="0"/>
        <v>0</v>
      </c>
      <c r="E20" s="18">
        <f t="shared" si="1"/>
        <v>0</v>
      </c>
      <c r="F20" s="22" t="str">
        <f t="shared" si="2"/>
        <v/>
      </c>
    </row>
    <row r="21" spans="1:6" x14ac:dyDescent="0.2">
      <c r="A21" s="20">
        <v>17</v>
      </c>
      <c r="B21" s="184" t="s">
        <v>15</v>
      </c>
      <c r="C21" s="185"/>
      <c r="D21" s="15">
        <f t="shared" si="0"/>
        <v>0</v>
      </c>
      <c r="E21" s="18">
        <f t="shared" si="1"/>
        <v>0</v>
      </c>
      <c r="F21" s="22" t="str">
        <f t="shared" si="2"/>
        <v/>
      </c>
    </row>
    <row r="22" spans="1:6" x14ac:dyDescent="0.2">
      <c r="A22" s="20">
        <v>18</v>
      </c>
      <c r="B22" s="184" t="s">
        <v>16</v>
      </c>
      <c r="C22" s="185"/>
      <c r="D22" s="15">
        <f t="shared" si="0"/>
        <v>0</v>
      </c>
      <c r="E22" s="18">
        <f t="shared" si="1"/>
        <v>0</v>
      </c>
      <c r="F22" s="22" t="str">
        <f t="shared" si="2"/>
        <v/>
      </c>
    </row>
    <row r="23" spans="1:6" x14ac:dyDescent="0.2">
      <c r="A23" s="20">
        <v>19</v>
      </c>
      <c r="B23" s="184" t="s">
        <v>17</v>
      </c>
      <c r="C23" s="185"/>
      <c r="D23" s="15">
        <f t="shared" si="0"/>
        <v>0</v>
      </c>
      <c r="E23" s="18">
        <f t="shared" si="1"/>
        <v>0</v>
      </c>
      <c r="F23" s="22" t="str">
        <f t="shared" si="2"/>
        <v/>
      </c>
    </row>
    <row r="24" spans="1:6" x14ac:dyDescent="0.2">
      <c r="A24" s="20">
        <v>20</v>
      </c>
      <c r="B24" s="184" t="s">
        <v>18</v>
      </c>
      <c r="C24" s="185"/>
      <c r="D24" s="15">
        <f t="shared" si="0"/>
        <v>0</v>
      </c>
      <c r="E24" s="18">
        <f t="shared" si="1"/>
        <v>0</v>
      </c>
      <c r="F24" s="22" t="str">
        <f t="shared" si="2"/>
        <v/>
      </c>
    </row>
    <row r="25" spans="1:6" ht="14.25" customHeight="1" x14ac:dyDescent="0.2">
      <c r="A25" s="20">
        <v>21</v>
      </c>
      <c r="B25" s="184" t="s">
        <v>466</v>
      </c>
      <c r="C25" s="185"/>
      <c r="D25" s="15">
        <f t="shared" si="0"/>
        <v>0</v>
      </c>
      <c r="E25" s="18">
        <f t="shared" si="1"/>
        <v>0</v>
      </c>
      <c r="F25" s="22" t="str">
        <f t="shared" si="2"/>
        <v/>
      </c>
    </row>
    <row r="26" spans="1:6" x14ac:dyDescent="0.2">
      <c r="A26" s="20">
        <v>22</v>
      </c>
      <c r="B26" s="184" t="s">
        <v>19</v>
      </c>
      <c r="C26" s="185"/>
      <c r="D26" s="15">
        <f t="shared" si="0"/>
        <v>0</v>
      </c>
      <c r="E26" s="18">
        <f t="shared" si="1"/>
        <v>0</v>
      </c>
      <c r="F26" s="22" t="str">
        <f t="shared" si="2"/>
        <v/>
      </c>
    </row>
    <row r="27" spans="1:6" x14ac:dyDescent="0.2">
      <c r="A27" s="20">
        <v>23</v>
      </c>
      <c r="B27" s="184" t="s">
        <v>20</v>
      </c>
      <c r="C27" s="185"/>
      <c r="D27" s="15">
        <f t="shared" si="0"/>
        <v>0</v>
      </c>
      <c r="E27" s="18">
        <f t="shared" si="1"/>
        <v>0</v>
      </c>
      <c r="F27" s="22" t="str">
        <f t="shared" si="2"/>
        <v/>
      </c>
    </row>
    <row r="28" spans="1:6" x14ac:dyDescent="0.2">
      <c r="A28" s="20">
        <v>24</v>
      </c>
      <c r="B28" s="184" t="s">
        <v>21</v>
      </c>
      <c r="C28" s="185"/>
      <c r="D28" s="15">
        <f t="shared" si="0"/>
        <v>0</v>
      </c>
      <c r="E28" s="18">
        <f t="shared" si="1"/>
        <v>0</v>
      </c>
      <c r="F28" s="22" t="str">
        <f t="shared" si="2"/>
        <v/>
      </c>
    </row>
    <row r="29" spans="1:6" x14ac:dyDescent="0.2">
      <c r="A29" s="20">
        <v>25</v>
      </c>
      <c r="B29" s="184" t="s">
        <v>22</v>
      </c>
      <c r="C29" s="185"/>
      <c r="D29" s="15">
        <f t="shared" si="0"/>
        <v>0</v>
      </c>
      <c r="E29" s="18">
        <f t="shared" si="1"/>
        <v>0</v>
      </c>
      <c r="F29" s="22" t="str">
        <f t="shared" si="2"/>
        <v/>
      </c>
    </row>
    <row r="30" spans="1:6" x14ac:dyDescent="0.2">
      <c r="A30" s="20">
        <v>26</v>
      </c>
      <c r="B30" s="184" t="s">
        <v>23</v>
      </c>
      <c r="C30" s="185"/>
      <c r="D30" s="15">
        <f t="shared" si="0"/>
        <v>0</v>
      </c>
      <c r="E30" s="18">
        <f t="shared" si="1"/>
        <v>0</v>
      </c>
      <c r="F30" s="22" t="str">
        <f t="shared" si="2"/>
        <v/>
      </c>
    </row>
    <row r="31" spans="1:6" x14ac:dyDescent="0.2">
      <c r="A31" s="20">
        <v>28</v>
      </c>
      <c r="B31" s="184" t="s">
        <v>24</v>
      </c>
      <c r="C31" s="185"/>
      <c r="D31" s="15">
        <f t="shared" si="0"/>
        <v>0</v>
      </c>
      <c r="E31" s="18">
        <f t="shared" si="1"/>
        <v>0</v>
      </c>
      <c r="F31" s="22" t="str">
        <f t="shared" si="2"/>
        <v/>
      </c>
    </row>
    <row r="32" spans="1:6" ht="15.75" customHeight="1" thickBot="1" x14ac:dyDescent="0.25">
      <c r="A32" s="23">
        <v>29</v>
      </c>
      <c r="B32" s="186" t="s">
        <v>25</v>
      </c>
      <c r="C32" s="187"/>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94" t="s">
        <v>471</v>
      </c>
      <c r="C35" s="195"/>
      <c r="D35" s="29" t="s">
        <v>27</v>
      </c>
      <c r="E35" s="29" t="s">
        <v>467</v>
      </c>
      <c r="F35" s="30" t="s">
        <v>468</v>
      </c>
    </row>
    <row r="36" spans="1:6" x14ac:dyDescent="0.2">
      <c r="A36" s="20">
        <v>1</v>
      </c>
      <c r="B36" s="184" t="s">
        <v>0</v>
      </c>
      <c r="C36" s="185"/>
      <c r="D36" s="15">
        <f>IF(F3="1",SUMIF(Data!A:A,'56'!$A$2,Data!CU:CU),0)</f>
        <v>0</v>
      </c>
      <c r="E36" s="16">
        <f>IF(F3="1",SUMIF(Data!$A:$A,'56'!$A$2,Data!IO:IO),0)</f>
        <v>0</v>
      </c>
      <c r="F36" s="21" t="str">
        <f t="shared" ref="F36:F64" si="3">IFERROR(E36/D36,"")</f>
        <v/>
      </c>
    </row>
    <row r="37" spans="1:6" x14ac:dyDescent="0.2">
      <c r="A37" s="20">
        <v>2</v>
      </c>
      <c r="B37" s="184" t="s">
        <v>1</v>
      </c>
      <c r="C37" s="185"/>
      <c r="D37" s="15">
        <f>IF(F3="1",SUMIF(Data!A:A,'56'!$A$2,Data!CV:CV),0)</f>
        <v>0</v>
      </c>
      <c r="E37" s="18">
        <f>IF(F3="1",SUMIF(Data!$A:$A,'56'!$A$2,Data!IP:IP),0)</f>
        <v>0</v>
      </c>
      <c r="F37" s="22" t="str">
        <f t="shared" si="3"/>
        <v/>
      </c>
    </row>
    <row r="38" spans="1:6" ht="14.25" customHeight="1" x14ac:dyDescent="0.2">
      <c r="A38" s="20">
        <v>3</v>
      </c>
      <c r="B38" s="184" t="s">
        <v>2</v>
      </c>
      <c r="C38" s="185"/>
      <c r="D38" s="15">
        <f>IF(F3="1",SUMIF(Data!A:A,'56'!$A$2,Data!CW:CW),0)</f>
        <v>0</v>
      </c>
      <c r="E38" s="18">
        <f>IF(F3="1",SUMIF(Data!$A:$A,'56'!$A$2,Data!IQ:IQ),0)</f>
        <v>0</v>
      </c>
      <c r="F38" s="22" t="str">
        <f t="shared" si="3"/>
        <v/>
      </c>
    </row>
    <row r="39" spans="1:6" ht="14.25" customHeight="1" x14ac:dyDescent="0.2">
      <c r="A39" s="20">
        <v>4</v>
      </c>
      <c r="B39" s="184" t="s">
        <v>3</v>
      </c>
      <c r="C39" s="185"/>
      <c r="D39" s="15">
        <f>IF(F3="1",SUMIF(Data!A:A,'56'!$A$2,Data!CX:CX),0)</f>
        <v>0</v>
      </c>
      <c r="E39" s="18">
        <f>IF(F3="1",SUMIF(Data!$A:$A,'56'!$A$2,Data!IR:IR),0)</f>
        <v>0</v>
      </c>
      <c r="F39" s="22" t="str">
        <f t="shared" si="3"/>
        <v/>
      </c>
    </row>
    <row r="40" spans="1:6" x14ac:dyDescent="0.2">
      <c r="A40" s="20">
        <v>5</v>
      </c>
      <c r="B40" s="184" t="s">
        <v>4</v>
      </c>
      <c r="C40" s="185"/>
      <c r="D40" s="15">
        <f>IF(F3="1",SUMIF(Data!A:A,'56'!$A$2,Data!CY:CY),0)</f>
        <v>0</v>
      </c>
      <c r="E40" s="18">
        <f>IF(F3="1",SUMIF(Data!$A:$A,'56'!$A$2,Data!IS:IS),0)</f>
        <v>0</v>
      </c>
      <c r="F40" s="22" t="str">
        <f t="shared" si="3"/>
        <v/>
      </c>
    </row>
    <row r="41" spans="1:6" x14ac:dyDescent="0.2">
      <c r="A41" s="20">
        <v>6</v>
      </c>
      <c r="B41" s="184" t="s">
        <v>5</v>
      </c>
      <c r="C41" s="185"/>
      <c r="D41" s="15">
        <f>IF(F3="1",SUMIF(Data!A:A,'56'!$A$2,Data!CZ:CZ),0)</f>
        <v>0</v>
      </c>
      <c r="E41" s="18">
        <f>IF(F3="1",SUMIF(Data!$A:$A,'56'!$A$2,Data!IT:IT),0)</f>
        <v>0</v>
      </c>
      <c r="F41" s="22" t="str">
        <f t="shared" si="3"/>
        <v/>
      </c>
    </row>
    <row r="42" spans="1:6" x14ac:dyDescent="0.2">
      <c r="A42" s="20">
        <v>7</v>
      </c>
      <c r="B42" s="184" t="s">
        <v>6</v>
      </c>
      <c r="C42" s="185"/>
      <c r="D42" s="15">
        <f>IF(F3="1",SUMIF(Data!A:A,'56'!$A$2,Data!DA:DA),0)</f>
        <v>0</v>
      </c>
      <c r="E42" s="18">
        <f>IF(F3="1",SUMIF(Data!$A:$A,'56'!$A$2,Data!IU:IU),0)</f>
        <v>0</v>
      </c>
      <c r="F42" s="22" t="str">
        <f t="shared" si="3"/>
        <v/>
      </c>
    </row>
    <row r="43" spans="1:6" x14ac:dyDescent="0.2">
      <c r="A43" s="20">
        <v>8</v>
      </c>
      <c r="B43" s="184" t="s">
        <v>7</v>
      </c>
      <c r="C43" s="185"/>
      <c r="D43" s="15">
        <f>IF(F3="1",SUMIF(Data!A:A,'56'!$A$2,Data!DB:DB),0)</f>
        <v>0</v>
      </c>
      <c r="E43" s="18">
        <f>IF(F3="1",SUMIF(Data!$A:$A,'56'!$A$2,Data!IV:IV),0)</f>
        <v>0</v>
      </c>
      <c r="F43" s="22" t="str">
        <f t="shared" si="3"/>
        <v/>
      </c>
    </row>
    <row r="44" spans="1:6" x14ac:dyDescent="0.2">
      <c r="A44" s="20">
        <v>9</v>
      </c>
      <c r="B44" s="184" t="s">
        <v>8</v>
      </c>
      <c r="C44" s="185"/>
      <c r="D44" s="15">
        <f>IF(F3="1",SUMIF(Data!A:A,'56'!$A$2,Data!DC:DC),0)</f>
        <v>0</v>
      </c>
      <c r="E44" s="18">
        <f>IF(F3="1",SUMIF(Data!$A:$A,'56'!$A$2,Data!IW:IW),0)</f>
        <v>0</v>
      </c>
      <c r="F44" s="22" t="str">
        <f t="shared" si="3"/>
        <v/>
      </c>
    </row>
    <row r="45" spans="1:6" x14ac:dyDescent="0.2">
      <c r="A45" s="20">
        <v>10</v>
      </c>
      <c r="B45" s="184" t="s">
        <v>9</v>
      </c>
      <c r="C45" s="185"/>
      <c r="D45" s="15">
        <f>IF(F3="1",SUMIF(Data!A:A,'56'!$A$2,Data!DD:DD),0)</f>
        <v>0</v>
      </c>
      <c r="E45" s="18">
        <f>IF(F3="1",SUMIF(Data!$A:$A,'56'!$A$2,Data!IX:IX),0)</f>
        <v>0</v>
      </c>
      <c r="F45" s="22" t="str">
        <f t="shared" si="3"/>
        <v/>
      </c>
    </row>
    <row r="46" spans="1:6" x14ac:dyDescent="0.2">
      <c r="A46" s="20">
        <v>11</v>
      </c>
      <c r="B46" s="184" t="s">
        <v>10</v>
      </c>
      <c r="C46" s="185"/>
      <c r="D46" s="15">
        <f>IF(F3="1",SUMIF(Data!A:A,'56'!$A$2,Data!DE:DE),0)</f>
        <v>0</v>
      </c>
      <c r="E46" s="18">
        <f>IF(F3="1",SUMIF(Data!$A:$A,'56'!$A$2,Data!IY:IY),0)</f>
        <v>0</v>
      </c>
      <c r="F46" s="22" t="str">
        <f t="shared" si="3"/>
        <v/>
      </c>
    </row>
    <row r="47" spans="1:6" ht="14.25" customHeight="1" x14ac:dyDescent="0.2">
      <c r="A47" s="20">
        <v>12</v>
      </c>
      <c r="B47" s="184" t="s">
        <v>11</v>
      </c>
      <c r="C47" s="185"/>
      <c r="D47" s="15">
        <f>IF(F3="1",SUMIF(Data!A:A,'56'!$A$2,Data!DF:DF),0)</f>
        <v>0</v>
      </c>
      <c r="E47" s="18">
        <f>IF(F3="1",SUMIF(Data!$A:$A,'56'!$A$2,Data!IZ:IZ),0)</f>
        <v>0</v>
      </c>
      <c r="F47" s="22" t="str">
        <f t="shared" si="3"/>
        <v/>
      </c>
    </row>
    <row r="48" spans="1:6" x14ac:dyDescent="0.2">
      <c r="A48" s="20">
        <v>13</v>
      </c>
      <c r="B48" s="184" t="s">
        <v>12</v>
      </c>
      <c r="C48" s="185"/>
      <c r="D48" s="15">
        <f>IF(F3="1",SUMIF(Data!A:A,'56'!$A$2,Data!DG:DG),0)</f>
        <v>0</v>
      </c>
      <c r="E48" s="18">
        <f>IF(F3="1",SUMIF(Data!$A:$A,'56'!$A$2,Data!JA:JA),0)</f>
        <v>0</v>
      </c>
      <c r="F48" s="22" t="str">
        <f t="shared" si="3"/>
        <v/>
      </c>
    </row>
    <row r="49" spans="1:6" ht="14.25" customHeight="1" x14ac:dyDescent="0.2">
      <c r="A49" s="20">
        <v>14</v>
      </c>
      <c r="B49" s="184" t="s">
        <v>469</v>
      </c>
      <c r="C49" s="185"/>
      <c r="D49" s="15">
        <f>IF(F3="1",SUMIF(Data!A:A,'56'!$A$2,Data!DH:DH),0)</f>
        <v>0</v>
      </c>
      <c r="E49" s="18">
        <f>IF(F3="1",SUMIF(Data!$A:$A,'56'!$A$2,Data!JB:JB),0)</f>
        <v>0</v>
      </c>
      <c r="F49" s="22" t="str">
        <f t="shared" si="3"/>
        <v/>
      </c>
    </row>
    <row r="50" spans="1:6" x14ac:dyDescent="0.2">
      <c r="A50" s="20">
        <v>15</v>
      </c>
      <c r="B50" s="184" t="s">
        <v>13</v>
      </c>
      <c r="C50" s="185"/>
      <c r="D50" s="15">
        <f>IF(F3="1",SUMIF(Data!A:A,'56'!$A$2,Data!DI:DI),0)</f>
        <v>0</v>
      </c>
      <c r="E50" s="18">
        <f>IF(F3="1",SUMIF(Data!$A:$A,'56'!$A$2,Data!JC:JC),0)</f>
        <v>0</v>
      </c>
      <c r="F50" s="22" t="str">
        <f t="shared" si="3"/>
        <v/>
      </c>
    </row>
    <row r="51" spans="1:6" x14ac:dyDescent="0.2">
      <c r="A51" s="20">
        <v>16</v>
      </c>
      <c r="B51" s="184" t="s">
        <v>14</v>
      </c>
      <c r="C51" s="185"/>
      <c r="D51" s="15">
        <f>IF(F3="1",SUMIF(Data!A:A,'56'!$A$2,Data!DJ:DJ),0)</f>
        <v>0</v>
      </c>
      <c r="E51" s="18">
        <f>IF(F3="1",SUMIF(Data!$A:$A,'56'!$A$2,Data!JD:JD),0)</f>
        <v>0</v>
      </c>
      <c r="F51" s="22" t="str">
        <f t="shared" si="3"/>
        <v/>
      </c>
    </row>
    <row r="52" spans="1:6" x14ac:dyDescent="0.2">
      <c r="A52" s="20">
        <v>17</v>
      </c>
      <c r="B52" s="184" t="s">
        <v>15</v>
      </c>
      <c r="C52" s="185"/>
      <c r="D52" s="15">
        <f>IF(F3="1",SUMIF(Data!A:A,'56'!$A$2,Data!DK:DK),0)</f>
        <v>0</v>
      </c>
      <c r="E52" s="18">
        <f>IF(F3="1",SUMIF(Data!$A:$A,'56'!$A$2,Data!JE:JE),0)</f>
        <v>0</v>
      </c>
      <c r="F52" s="22" t="str">
        <f t="shared" si="3"/>
        <v/>
      </c>
    </row>
    <row r="53" spans="1:6" x14ac:dyDescent="0.2">
      <c r="A53" s="20">
        <v>18</v>
      </c>
      <c r="B53" s="184" t="s">
        <v>16</v>
      </c>
      <c r="C53" s="185"/>
      <c r="D53" s="15">
        <f>IF(F3="1",SUMIF(Data!A:A,'56'!$A$2,Data!DL:DL),0)</f>
        <v>0</v>
      </c>
      <c r="E53" s="18">
        <f>IF(F3="1",SUMIF(Data!$A:$A,'56'!$A$2,Data!JF:JF),0)</f>
        <v>0</v>
      </c>
      <c r="F53" s="22" t="str">
        <f t="shared" si="3"/>
        <v/>
      </c>
    </row>
    <row r="54" spans="1:6" x14ac:dyDescent="0.2">
      <c r="A54" s="20">
        <v>19</v>
      </c>
      <c r="B54" s="184" t="s">
        <v>17</v>
      </c>
      <c r="C54" s="185"/>
      <c r="D54" s="15">
        <f>IF(F3="1",SUMIF(Data!A:A,'56'!$A$2,Data!DM:DM),0)</f>
        <v>0</v>
      </c>
      <c r="E54" s="18">
        <f>IF(F3="1",SUMIF(Data!$A:$A,'56'!$A$2,Data!JG:JG),0)</f>
        <v>0</v>
      </c>
      <c r="F54" s="22" t="str">
        <f t="shared" si="3"/>
        <v/>
      </c>
    </row>
    <row r="55" spans="1:6" x14ac:dyDescent="0.2">
      <c r="A55" s="20">
        <v>20</v>
      </c>
      <c r="B55" s="184" t="s">
        <v>18</v>
      </c>
      <c r="C55" s="185"/>
      <c r="D55" s="15">
        <f>IF(F3="1",SUMIF(Data!A:A,'56'!$A$2,Data!DN:DN),0)</f>
        <v>0</v>
      </c>
      <c r="E55" s="18">
        <f>IF(F3="1",SUMIF(Data!$A:$A,'56'!$A$2,Data!JH:JH),0)</f>
        <v>0</v>
      </c>
      <c r="F55" s="22" t="str">
        <f t="shared" si="3"/>
        <v/>
      </c>
    </row>
    <row r="56" spans="1:6" ht="14.25" customHeight="1" x14ac:dyDescent="0.2">
      <c r="A56" s="20">
        <v>21</v>
      </c>
      <c r="B56" s="184" t="s">
        <v>466</v>
      </c>
      <c r="C56" s="185"/>
      <c r="D56" s="15">
        <f>IF(F3="1",SUMIF(Data!A:A,'56'!$A$2,Data!DO:DO),0)</f>
        <v>0</v>
      </c>
      <c r="E56" s="18">
        <f>IF(F3="1",SUMIF(Data!$A:$A,'56'!$A$2,Data!JI:JI),0)</f>
        <v>0</v>
      </c>
      <c r="F56" s="22" t="str">
        <f t="shared" si="3"/>
        <v/>
      </c>
    </row>
    <row r="57" spans="1:6" x14ac:dyDescent="0.2">
      <c r="A57" s="20">
        <v>22</v>
      </c>
      <c r="B57" s="184" t="s">
        <v>19</v>
      </c>
      <c r="C57" s="185"/>
      <c r="D57" s="15">
        <f>IF(F3="1",SUMIF(Data!A:A,'56'!$A$2,Data!DP:DP),0)</f>
        <v>0</v>
      </c>
      <c r="E57" s="18">
        <f>IF(F3="1",SUMIF(Data!$A:$A,'56'!$A$2,Data!JJ:JJ),0)</f>
        <v>0</v>
      </c>
      <c r="F57" s="22" t="str">
        <f t="shared" si="3"/>
        <v/>
      </c>
    </row>
    <row r="58" spans="1:6" x14ac:dyDescent="0.2">
      <c r="A58" s="20">
        <v>23</v>
      </c>
      <c r="B58" s="184" t="s">
        <v>20</v>
      </c>
      <c r="C58" s="185"/>
      <c r="D58" s="15">
        <f>IF(F3="1",SUMIF(Data!A:A,'56'!$A$2,Data!DQ:DQ),0)</f>
        <v>0</v>
      </c>
      <c r="E58" s="18">
        <f>IF(F3="1",SUMIF(Data!$A:$A,'56'!$A$2,Data!JK:JK),0)</f>
        <v>0</v>
      </c>
      <c r="F58" s="22" t="str">
        <f t="shared" si="3"/>
        <v/>
      </c>
    </row>
    <row r="59" spans="1:6" x14ac:dyDescent="0.2">
      <c r="A59" s="20">
        <v>24</v>
      </c>
      <c r="B59" s="184" t="s">
        <v>21</v>
      </c>
      <c r="C59" s="185"/>
      <c r="D59" s="15">
        <f>IF(F3="1",SUMIF(Data!A:A,'56'!$A$2,Data!DR:DR),0)</f>
        <v>0</v>
      </c>
      <c r="E59" s="18">
        <f>IF(F3="1",SUMIF(Data!$A:$A,'56'!$A$2,Data!JL:JL),0)</f>
        <v>0</v>
      </c>
      <c r="F59" s="22" t="str">
        <f t="shared" si="3"/>
        <v/>
      </c>
    </row>
    <row r="60" spans="1:6" x14ac:dyDescent="0.2">
      <c r="A60" s="20">
        <v>25</v>
      </c>
      <c r="B60" s="184" t="s">
        <v>22</v>
      </c>
      <c r="C60" s="185"/>
      <c r="D60" s="15">
        <f>IF(F3="1",SUMIF(Data!A:A,'56'!$A$2,Data!DS:DS),0)</f>
        <v>0</v>
      </c>
      <c r="E60" s="18">
        <f>IF(F3="1",SUMIF(Data!$A:$A,'56'!$A$2,Data!JM:JM),0)</f>
        <v>0</v>
      </c>
      <c r="F60" s="22" t="str">
        <f t="shared" si="3"/>
        <v/>
      </c>
    </row>
    <row r="61" spans="1:6" x14ac:dyDescent="0.2">
      <c r="A61" s="20">
        <v>26</v>
      </c>
      <c r="B61" s="184" t="s">
        <v>23</v>
      </c>
      <c r="C61" s="185"/>
      <c r="D61" s="15">
        <f>IF(F3="1",SUMIF(Data!A:A,'56'!$A$2,Data!DT:DT),0)</f>
        <v>0</v>
      </c>
      <c r="E61" s="18">
        <f>IF(F3="1",SUMIF(Data!$A:$A,'56'!$A$2,Data!JN:JN),0)</f>
        <v>0</v>
      </c>
      <c r="F61" s="22" t="str">
        <f t="shared" si="3"/>
        <v/>
      </c>
    </row>
    <row r="62" spans="1:6" x14ac:dyDescent="0.2">
      <c r="A62" s="20">
        <v>28</v>
      </c>
      <c r="B62" s="184" t="s">
        <v>24</v>
      </c>
      <c r="C62" s="185"/>
      <c r="D62" s="15">
        <f>IF(F3="1",SUMIF(Data!A:A,'56'!$A$2,Data!DV:DV),0)</f>
        <v>0</v>
      </c>
      <c r="E62" s="18">
        <f>IF(F3="1",SUMIF(Data!$A:$A,'56'!$A$2,Data!JP:JP),0)</f>
        <v>0</v>
      </c>
      <c r="F62" s="22" t="str">
        <f t="shared" si="3"/>
        <v/>
      </c>
    </row>
    <row r="63" spans="1:6" ht="15.75" customHeight="1" thickBot="1" x14ac:dyDescent="0.25">
      <c r="A63" s="23">
        <v>29</v>
      </c>
      <c r="B63" s="186" t="s">
        <v>25</v>
      </c>
      <c r="C63" s="187"/>
      <c r="D63" s="24">
        <f>IF(F3="1",SUMIF(Data!A:A,'56'!$A$2,Data!DW:DW),0)</f>
        <v>0</v>
      </c>
      <c r="E63" s="25">
        <f>IF(F3="1",SUMIF(Data!$A:$A,'56'!$A$2,Data!JQ:JQ),0)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94" t="s">
        <v>472</v>
      </c>
      <c r="C66" s="195"/>
      <c r="D66" s="29" t="s">
        <v>27</v>
      </c>
      <c r="E66" s="29" t="s">
        <v>467</v>
      </c>
      <c r="F66" s="30" t="s">
        <v>468</v>
      </c>
    </row>
    <row r="67" spans="1:6" x14ac:dyDescent="0.2">
      <c r="A67" s="20">
        <v>1</v>
      </c>
      <c r="B67" s="184" t="s">
        <v>0</v>
      </c>
      <c r="C67" s="185"/>
      <c r="D67" s="15">
        <f>D36</f>
        <v>0</v>
      </c>
      <c r="E67" s="16">
        <f>IF(F3="1",SUMIF(Data!A:A,'56'!$A$2,Data!DY:DY),0)</f>
        <v>0</v>
      </c>
      <c r="F67" s="21" t="str">
        <f>IFERROR(E67/D67,"")</f>
        <v/>
      </c>
    </row>
    <row r="68" spans="1:6" x14ac:dyDescent="0.2">
      <c r="A68" s="20">
        <v>2</v>
      </c>
      <c r="B68" s="184" t="s">
        <v>1</v>
      </c>
      <c r="C68" s="185"/>
      <c r="D68" s="15">
        <f t="shared" ref="D68:D94" si="4">D37</f>
        <v>0</v>
      </c>
      <c r="E68" s="18">
        <f>IF(F3="1",SUMIF(Data!A:A,'56'!$A$2,Data!DZ:DZ),0)</f>
        <v>0</v>
      </c>
      <c r="F68" s="22" t="str">
        <f t="shared" ref="F68:F95" si="5">IFERROR(E68/D68,"")</f>
        <v/>
      </c>
    </row>
    <row r="69" spans="1:6" ht="14.25" customHeight="1" x14ac:dyDescent="0.2">
      <c r="A69" s="20">
        <v>3</v>
      </c>
      <c r="B69" s="184" t="s">
        <v>2</v>
      </c>
      <c r="C69" s="185"/>
      <c r="D69" s="15">
        <f t="shared" si="4"/>
        <v>0</v>
      </c>
      <c r="E69" s="18">
        <f>IF(F3="1",SUMIF(Data!A:A,'56'!$A$2,Data!EA:EA),0)</f>
        <v>0</v>
      </c>
      <c r="F69" s="22" t="str">
        <f t="shared" si="5"/>
        <v/>
      </c>
    </row>
    <row r="70" spans="1:6" ht="14.25" customHeight="1" x14ac:dyDescent="0.2">
      <c r="A70" s="20">
        <v>4</v>
      </c>
      <c r="B70" s="184" t="s">
        <v>3</v>
      </c>
      <c r="C70" s="185"/>
      <c r="D70" s="15">
        <f t="shared" si="4"/>
        <v>0</v>
      </c>
      <c r="E70" s="18">
        <f>IF(F3="1",SUMIF(Data!A:A,'56'!$A$2,Data!EB:EB),0)</f>
        <v>0</v>
      </c>
      <c r="F70" s="22" t="str">
        <f t="shared" si="5"/>
        <v/>
      </c>
    </row>
    <row r="71" spans="1:6" x14ac:dyDescent="0.2">
      <c r="A71" s="20">
        <v>5</v>
      </c>
      <c r="B71" s="184" t="s">
        <v>4</v>
      </c>
      <c r="C71" s="185"/>
      <c r="D71" s="15">
        <f t="shared" si="4"/>
        <v>0</v>
      </c>
      <c r="E71" s="18">
        <f>IF(F3="1",SUMIF(Data!A:A,'56'!$A$2,Data!EC:EC),0)</f>
        <v>0</v>
      </c>
      <c r="F71" s="22" t="str">
        <f t="shared" si="5"/>
        <v/>
      </c>
    </row>
    <row r="72" spans="1:6" x14ac:dyDescent="0.2">
      <c r="A72" s="20">
        <v>6</v>
      </c>
      <c r="B72" s="184" t="s">
        <v>5</v>
      </c>
      <c r="C72" s="185"/>
      <c r="D72" s="15">
        <f t="shared" si="4"/>
        <v>0</v>
      </c>
      <c r="E72" s="18">
        <f>IF(F3="1",SUMIF(Data!A:A,'56'!$A$2,Data!ED:ED),0)</f>
        <v>0</v>
      </c>
      <c r="F72" s="22" t="str">
        <f t="shared" si="5"/>
        <v/>
      </c>
    </row>
    <row r="73" spans="1:6" x14ac:dyDescent="0.2">
      <c r="A73" s="20">
        <v>7</v>
      </c>
      <c r="B73" s="184" t="s">
        <v>6</v>
      </c>
      <c r="C73" s="185"/>
      <c r="D73" s="15">
        <f t="shared" si="4"/>
        <v>0</v>
      </c>
      <c r="E73" s="18">
        <f>IF(F3="1",SUMIF(Data!A:A,'56'!$A$2,Data!EE:EE),0)</f>
        <v>0</v>
      </c>
      <c r="F73" s="22" t="str">
        <f t="shared" si="5"/>
        <v/>
      </c>
    </row>
    <row r="74" spans="1:6" x14ac:dyDescent="0.2">
      <c r="A74" s="20">
        <v>8</v>
      </c>
      <c r="B74" s="184" t="s">
        <v>7</v>
      </c>
      <c r="C74" s="185"/>
      <c r="D74" s="15">
        <f t="shared" si="4"/>
        <v>0</v>
      </c>
      <c r="E74" s="18">
        <f>IF(F3="1",SUMIF(Data!A:A,'56'!$A$2,Data!EF:EF),0)</f>
        <v>0</v>
      </c>
      <c r="F74" s="22" t="str">
        <f t="shared" si="5"/>
        <v/>
      </c>
    </row>
    <row r="75" spans="1:6" x14ac:dyDescent="0.2">
      <c r="A75" s="20">
        <v>9</v>
      </c>
      <c r="B75" s="184" t="s">
        <v>8</v>
      </c>
      <c r="C75" s="185"/>
      <c r="D75" s="15">
        <f t="shared" si="4"/>
        <v>0</v>
      </c>
      <c r="E75" s="18">
        <f>IF(F3="1",SUMIF(Data!A:A,'56'!$A$2,Data!EG:EG),0)</f>
        <v>0</v>
      </c>
      <c r="F75" s="22" t="str">
        <f t="shared" si="5"/>
        <v/>
      </c>
    </row>
    <row r="76" spans="1:6" x14ac:dyDescent="0.2">
      <c r="A76" s="20">
        <v>10</v>
      </c>
      <c r="B76" s="184" t="s">
        <v>9</v>
      </c>
      <c r="C76" s="185"/>
      <c r="D76" s="15">
        <f t="shared" si="4"/>
        <v>0</v>
      </c>
      <c r="E76" s="18">
        <f>IF(F3="1",SUMIF(Data!A:A,'56'!$A$2,Data!EH:EH),0)</f>
        <v>0</v>
      </c>
      <c r="F76" s="22" t="str">
        <f t="shared" si="5"/>
        <v/>
      </c>
    </row>
    <row r="77" spans="1:6" x14ac:dyDescent="0.2">
      <c r="A77" s="20">
        <v>11</v>
      </c>
      <c r="B77" s="184" t="s">
        <v>10</v>
      </c>
      <c r="C77" s="185"/>
      <c r="D77" s="15">
        <f t="shared" si="4"/>
        <v>0</v>
      </c>
      <c r="E77" s="18">
        <f>IF(F3="1",SUMIF(Data!A:A,'56'!$A$2,Data!EI:EI),0)</f>
        <v>0</v>
      </c>
      <c r="F77" s="22" t="str">
        <f t="shared" si="5"/>
        <v/>
      </c>
    </row>
    <row r="78" spans="1:6" ht="14.25" customHeight="1" x14ac:dyDescent="0.2">
      <c r="A78" s="20">
        <v>12</v>
      </c>
      <c r="B78" s="184" t="s">
        <v>11</v>
      </c>
      <c r="C78" s="185"/>
      <c r="D78" s="15">
        <f t="shared" si="4"/>
        <v>0</v>
      </c>
      <c r="E78" s="18">
        <f>IF(F3="1",SUMIF(Data!A:A,'56'!$A$2,Data!EJ:EJ),0)</f>
        <v>0</v>
      </c>
      <c r="F78" s="22" t="str">
        <f t="shared" si="5"/>
        <v/>
      </c>
    </row>
    <row r="79" spans="1:6" x14ac:dyDescent="0.2">
      <c r="A79" s="20">
        <v>13</v>
      </c>
      <c r="B79" s="184" t="s">
        <v>12</v>
      </c>
      <c r="C79" s="185"/>
      <c r="D79" s="15">
        <f t="shared" si="4"/>
        <v>0</v>
      </c>
      <c r="E79" s="18">
        <f>IF(F3="1",SUMIF(Data!A:A,'56'!$A$2,Data!EK:EK),0)</f>
        <v>0</v>
      </c>
      <c r="F79" s="22" t="str">
        <f t="shared" si="5"/>
        <v/>
      </c>
    </row>
    <row r="80" spans="1:6" ht="14.25" customHeight="1" x14ac:dyDescent="0.2">
      <c r="A80" s="20">
        <v>14</v>
      </c>
      <c r="B80" s="184" t="s">
        <v>469</v>
      </c>
      <c r="C80" s="185"/>
      <c r="D80" s="15">
        <f t="shared" si="4"/>
        <v>0</v>
      </c>
      <c r="E80" s="18">
        <f>IF(F3="1",SUMIF(Data!A:A,'56'!$A$2,Data!EL:EL),0)</f>
        <v>0</v>
      </c>
      <c r="F80" s="22" t="str">
        <f t="shared" si="5"/>
        <v/>
      </c>
    </row>
    <row r="81" spans="1:6" x14ac:dyDescent="0.2">
      <c r="A81" s="20">
        <v>15</v>
      </c>
      <c r="B81" s="184" t="s">
        <v>13</v>
      </c>
      <c r="C81" s="185"/>
      <c r="D81" s="15">
        <f t="shared" si="4"/>
        <v>0</v>
      </c>
      <c r="E81" s="18">
        <f>IF(F3="1",SUMIF(Data!A:A,'56'!$A$2,Data!EM:EM),0)</f>
        <v>0</v>
      </c>
      <c r="F81" s="22" t="str">
        <f t="shared" si="5"/>
        <v/>
      </c>
    </row>
    <row r="82" spans="1:6" x14ac:dyDescent="0.2">
      <c r="A82" s="20">
        <v>16</v>
      </c>
      <c r="B82" s="184" t="s">
        <v>14</v>
      </c>
      <c r="C82" s="185"/>
      <c r="D82" s="15">
        <f t="shared" si="4"/>
        <v>0</v>
      </c>
      <c r="E82" s="18">
        <f>IF(F3="1",SUMIF(Data!A:A,'56'!$A$2,Data!EN:EN),0)</f>
        <v>0</v>
      </c>
      <c r="F82" s="22" t="str">
        <f t="shared" si="5"/>
        <v/>
      </c>
    </row>
    <row r="83" spans="1:6" x14ac:dyDescent="0.2">
      <c r="A83" s="20">
        <v>17</v>
      </c>
      <c r="B83" s="184" t="s">
        <v>15</v>
      </c>
      <c r="C83" s="185"/>
      <c r="D83" s="15">
        <f t="shared" si="4"/>
        <v>0</v>
      </c>
      <c r="E83" s="18">
        <f>IF(F3="1",SUMIF(Data!A:A,'56'!$A$2,Data!EO:EO),0)</f>
        <v>0</v>
      </c>
      <c r="F83" s="22" t="str">
        <f t="shared" si="5"/>
        <v/>
      </c>
    </row>
    <row r="84" spans="1:6" x14ac:dyDescent="0.2">
      <c r="A84" s="20">
        <v>18</v>
      </c>
      <c r="B84" s="184" t="s">
        <v>16</v>
      </c>
      <c r="C84" s="185"/>
      <c r="D84" s="15">
        <f t="shared" si="4"/>
        <v>0</v>
      </c>
      <c r="E84" s="18">
        <f>IF(F3="1",SUMIF(Data!A:A,'56'!$A$2,Data!EP:EP),0)</f>
        <v>0</v>
      </c>
      <c r="F84" s="22" t="str">
        <f t="shared" si="5"/>
        <v/>
      </c>
    </row>
    <row r="85" spans="1:6" x14ac:dyDescent="0.2">
      <c r="A85" s="20">
        <v>19</v>
      </c>
      <c r="B85" s="184" t="s">
        <v>17</v>
      </c>
      <c r="C85" s="185"/>
      <c r="D85" s="15">
        <f t="shared" si="4"/>
        <v>0</v>
      </c>
      <c r="E85" s="18">
        <f>IF(F3="1",SUMIF(Data!A:A,'56'!$A$2,Data!EQ:EQ),0)</f>
        <v>0</v>
      </c>
      <c r="F85" s="22" t="str">
        <f t="shared" si="5"/>
        <v/>
      </c>
    </row>
    <row r="86" spans="1:6" x14ac:dyDescent="0.2">
      <c r="A86" s="20">
        <v>20</v>
      </c>
      <c r="B86" s="184" t="s">
        <v>18</v>
      </c>
      <c r="C86" s="185"/>
      <c r="D86" s="15">
        <f t="shared" si="4"/>
        <v>0</v>
      </c>
      <c r="E86" s="18">
        <f>IF(F3="1",SUMIF(Data!A:A,'56'!$A$2,Data!ER:ER),0)</f>
        <v>0</v>
      </c>
      <c r="F86" s="22" t="str">
        <f t="shared" si="5"/>
        <v/>
      </c>
    </row>
    <row r="87" spans="1:6" ht="14.25" customHeight="1" x14ac:dyDescent="0.2">
      <c r="A87" s="20">
        <v>21</v>
      </c>
      <c r="B87" s="184" t="s">
        <v>466</v>
      </c>
      <c r="C87" s="185"/>
      <c r="D87" s="15">
        <f t="shared" si="4"/>
        <v>0</v>
      </c>
      <c r="E87" s="18">
        <f>IF(F3="1",SUMIF(Data!A:A,'56'!$A$2,Data!ES:ES),0)</f>
        <v>0</v>
      </c>
      <c r="F87" s="22" t="str">
        <f t="shared" si="5"/>
        <v/>
      </c>
    </row>
    <row r="88" spans="1:6" x14ac:dyDescent="0.2">
      <c r="A88" s="20">
        <v>22</v>
      </c>
      <c r="B88" s="184" t="s">
        <v>19</v>
      </c>
      <c r="C88" s="185"/>
      <c r="D88" s="15">
        <f t="shared" si="4"/>
        <v>0</v>
      </c>
      <c r="E88" s="18">
        <f>IF(F3="1",SUMIF(Data!A:A,'56'!$A$2,Data!ET:ET),0)</f>
        <v>0</v>
      </c>
      <c r="F88" s="22" t="str">
        <f t="shared" si="5"/>
        <v/>
      </c>
    </row>
    <row r="89" spans="1:6" x14ac:dyDescent="0.2">
      <c r="A89" s="20">
        <v>23</v>
      </c>
      <c r="B89" s="184" t="s">
        <v>20</v>
      </c>
      <c r="C89" s="185"/>
      <c r="D89" s="15">
        <f t="shared" si="4"/>
        <v>0</v>
      </c>
      <c r="E89" s="18">
        <f>IF(F3="1",SUMIF(Data!A:A,'56'!$A$2,Data!EU:EU),0)</f>
        <v>0</v>
      </c>
      <c r="F89" s="22" t="str">
        <f t="shared" si="5"/>
        <v/>
      </c>
    </row>
    <row r="90" spans="1:6" x14ac:dyDescent="0.2">
      <c r="A90" s="20">
        <v>24</v>
      </c>
      <c r="B90" s="184" t="s">
        <v>21</v>
      </c>
      <c r="C90" s="185"/>
      <c r="D90" s="15">
        <f t="shared" si="4"/>
        <v>0</v>
      </c>
      <c r="E90" s="18">
        <f>IF(F3="1",SUMIF(Data!A:A,'56'!$A$2,Data!EV:EV),0)</f>
        <v>0</v>
      </c>
      <c r="F90" s="22" t="str">
        <f t="shared" si="5"/>
        <v/>
      </c>
    </row>
    <row r="91" spans="1:6" x14ac:dyDescent="0.2">
      <c r="A91" s="20">
        <v>25</v>
      </c>
      <c r="B91" s="184" t="s">
        <v>22</v>
      </c>
      <c r="C91" s="185"/>
      <c r="D91" s="15">
        <f t="shared" si="4"/>
        <v>0</v>
      </c>
      <c r="E91" s="18">
        <f>IF(F3="1",SUMIF(Data!A:A,'56'!$A$2,Data!EW:EW),0)</f>
        <v>0</v>
      </c>
      <c r="F91" s="22" t="str">
        <f t="shared" si="5"/>
        <v/>
      </c>
    </row>
    <row r="92" spans="1:6" x14ac:dyDescent="0.2">
      <c r="A92" s="20">
        <v>26</v>
      </c>
      <c r="B92" s="184" t="s">
        <v>23</v>
      </c>
      <c r="C92" s="185"/>
      <c r="D92" s="15">
        <f t="shared" si="4"/>
        <v>0</v>
      </c>
      <c r="E92" s="18">
        <f>IF(F3="1",SUMIF(Data!A:A,'56'!$A$2,Data!EX:EX),0)</f>
        <v>0</v>
      </c>
      <c r="F92" s="22" t="str">
        <f t="shared" si="5"/>
        <v/>
      </c>
    </row>
    <row r="93" spans="1:6" x14ac:dyDescent="0.2">
      <c r="A93" s="20">
        <v>28</v>
      </c>
      <c r="B93" s="184" t="s">
        <v>24</v>
      </c>
      <c r="C93" s="185"/>
      <c r="D93" s="15">
        <f t="shared" si="4"/>
        <v>0</v>
      </c>
      <c r="E93" s="18">
        <f>IF(F3="1",SUMIF(Data!A:A,'56'!$A$2,Data!EZ:EZ),0)</f>
        <v>0</v>
      </c>
      <c r="F93" s="22" t="str">
        <f t="shared" si="5"/>
        <v/>
      </c>
    </row>
    <row r="94" spans="1:6" ht="15.75" customHeight="1" thickBot="1" x14ac:dyDescent="0.25">
      <c r="A94" s="23">
        <v>29</v>
      </c>
      <c r="B94" s="186" t="s">
        <v>25</v>
      </c>
      <c r="C94" s="187"/>
      <c r="D94" s="24">
        <f t="shared" si="4"/>
        <v>0</v>
      </c>
      <c r="E94" s="25">
        <f>IF(F3="1",SUMIF(Data!A:A,'56'!$A$2,Data!FA:FA),0)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8" t="s">
        <v>473</v>
      </c>
      <c r="C97" s="189"/>
      <c r="D97" s="29" t="s">
        <v>27</v>
      </c>
      <c r="E97" s="34" t="s">
        <v>467</v>
      </c>
      <c r="F97" s="30" t="s">
        <v>468</v>
      </c>
    </row>
    <row r="98" spans="2:6" x14ac:dyDescent="0.2">
      <c r="B98" s="190" t="s">
        <v>30</v>
      </c>
      <c r="C98" s="191"/>
      <c r="D98" s="36"/>
      <c r="E98" s="16">
        <f>IF(F3="1",SUMIF(Data!A:A,'56'!$A$2,Data!AH:AH),0)</f>
        <v>0</v>
      </c>
      <c r="F98" s="21">
        <f t="shared" ref="F98:F105" si="6">IFERROR(E98/$D$95,0)</f>
        <v>0</v>
      </c>
    </row>
    <row r="99" spans="2:6" x14ac:dyDescent="0.2">
      <c r="B99" s="190" t="s">
        <v>31</v>
      </c>
      <c r="C99" s="191"/>
      <c r="D99" s="37"/>
      <c r="E99" s="18">
        <f>IF(F3="1",SUMIF(Data!A:A,'56'!$A$2,Data!AI:AI),0)</f>
        <v>0</v>
      </c>
      <c r="F99" s="22">
        <f t="shared" si="6"/>
        <v>0</v>
      </c>
    </row>
    <row r="100" spans="2:6" x14ac:dyDescent="0.2">
      <c r="B100" s="190" t="s">
        <v>32</v>
      </c>
      <c r="C100" s="191"/>
      <c r="D100" s="37"/>
      <c r="E100" s="18">
        <f>IF(F3="1",SUMIF(Data!A:A,'56'!$A$2,Data!AJ:AJ),0)</f>
        <v>0</v>
      </c>
      <c r="F100" s="22">
        <f t="shared" si="6"/>
        <v>0</v>
      </c>
    </row>
    <row r="101" spans="2:6" x14ac:dyDescent="0.2">
      <c r="B101" s="190" t="s">
        <v>28</v>
      </c>
      <c r="C101" s="191"/>
      <c r="D101" s="37"/>
      <c r="E101" s="18">
        <f>IF(F3="1",SUMIF(Data!A:A,'56'!$A$2,Data!AK:AK),0)</f>
        <v>0</v>
      </c>
      <c r="F101" s="22">
        <f t="shared" si="6"/>
        <v>0</v>
      </c>
    </row>
    <row r="102" spans="2:6" x14ac:dyDescent="0.2">
      <c r="B102" s="190" t="s">
        <v>33</v>
      </c>
      <c r="C102" s="191"/>
      <c r="D102" s="37"/>
      <c r="E102" s="18">
        <f>IF(F3="1",SUMIF(Data!A:A,'56'!$A$2,Data!AL:AL),0)</f>
        <v>0</v>
      </c>
      <c r="F102" s="22">
        <f t="shared" si="6"/>
        <v>0</v>
      </c>
    </row>
    <row r="103" spans="2:6" x14ac:dyDescent="0.2">
      <c r="B103" s="192" t="s">
        <v>34</v>
      </c>
      <c r="C103" s="193"/>
      <c r="D103" s="37"/>
      <c r="E103" s="18">
        <f>IF(F3="1",SUMIF(Data!A:A,'56'!$A$2,Data!AM:AM),0)</f>
        <v>0</v>
      </c>
      <c r="F103" s="22">
        <f t="shared" si="6"/>
        <v>0</v>
      </c>
    </row>
    <row r="104" spans="2:6" ht="15.75" customHeight="1" thickBot="1" x14ac:dyDescent="0.25">
      <c r="B104" s="182" t="s">
        <v>29</v>
      </c>
      <c r="C104" s="183"/>
      <c r="D104" s="38"/>
      <c r="E104" s="25">
        <f>IF(F3="1",SUMIF(Data!A:A,'56'!$A$2,Data!Q:Q),0)</f>
        <v>0</v>
      </c>
      <c r="F104" s="26">
        <f t="shared" si="6"/>
        <v>0</v>
      </c>
    </row>
    <row r="105" spans="2:6" x14ac:dyDescent="0.2">
      <c r="B105" s="31" t="s">
        <v>35</v>
      </c>
      <c r="C105" s="31"/>
      <c r="D105" s="35">
        <f>D95</f>
        <v>0</v>
      </c>
      <c r="E105" s="32">
        <f>SUM(E98:E104)</f>
        <v>0</v>
      </c>
      <c r="F105" s="33">
        <f t="shared" si="6"/>
        <v>0</v>
      </c>
    </row>
    <row r="107" spans="2:6" ht="15" thickBot="1" x14ac:dyDescent="0.25">
      <c r="B107" s="60" t="s">
        <v>940</v>
      </c>
    </row>
    <row r="108" spans="2:6" ht="28.5" x14ac:dyDescent="0.2">
      <c r="B108" s="46" t="s">
        <v>934</v>
      </c>
      <c r="C108" s="28" t="s">
        <v>938</v>
      </c>
      <c r="D108" s="28" t="s">
        <v>29</v>
      </c>
      <c r="E108" s="28" t="s">
        <v>939</v>
      </c>
      <c r="F108" s="47" t="s">
        <v>35</v>
      </c>
    </row>
    <row r="109" spans="2:6" x14ac:dyDescent="0.2">
      <c r="B109" s="43" t="s">
        <v>935</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936</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1021</v>
      </c>
      <c r="C114" s="51">
        <f>IF(F3="1",SUMIF(Data!A:A,$A$2,Data!T:T),0)</f>
        <v>0</v>
      </c>
      <c r="D114" s="52"/>
      <c r="E114" s="51">
        <f>IF(F3="1",SUMIF(Data!A:A,$A$2,Data!AA:AA),0)</f>
        <v>0</v>
      </c>
      <c r="F114" s="49">
        <f t="shared" si="7"/>
        <v>0</v>
      </c>
    </row>
    <row r="115" spans="1:6" x14ac:dyDescent="0.2">
      <c r="B115" s="43" t="s">
        <v>937</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941</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942</v>
      </c>
      <c r="C120" s="55"/>
      <c r="D120" s="55"/>
      <c r="E120" s="55">
        <f>IF(F3="1",SUMIF(Data!A:A,'56'!$A$2,Data!AM:AM),0)</f>
        <v>0</v>
      </c>
      <c r="F120" s="56">
        <f>SUM(C120:E120)</f>
        <v>0</v>
      </c>
    </row>
    <row r="122" spans="1:6" s="63" customFormat="1" ht="101.25" customHeight="1" x14ac:dyDescent="0.2">
      <c r="A122" s="196" t="s">
        <v>943</v>
      </c>
      <c r="B122" s="196"/>
      <c r="C122" s="196"/>
      <c r="D122" s="196"/>
      <c r="E122" s="196"/>
      <c r="F122" s="196"/>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7" customFormat="1" x14ac:dyDescent="0.2">
      <c r="A1" s="39" t="str">
        <f>Summary!A1</f>
        <v>Community and Technical Colleges, Report of Fundable Operating Expenses, Fiscal Year (FY) 2009</v>
      </c>
      <c r="B1" s="39"/>
      <c r="C1" s="39"/>
      <c r="D1" s="39"/>
      <c r="E1" s="39"/>
      <c r="F1" s="39"/>
      <c r="G1" s="59"/>
    </row>
    <row r="2" spans="1:7" s="7" customFormat="1" x14ac:dyDescent="0.2">
      <c r="A2" s="6" t="s">
        <v>450</v>
      </c>
      <c r="B2" s="60" t="str">
        <f>VLOOKUP(A2,Data!A:G,7,0)</f>
        <v>Lamar State College-Port Arthur</v>
      </c>
      <c r="C2" s="60"/>
      <c r="D2" s="59"/>
      <c r="E2" s="59"/>
      <c r="F2" s="59"/>
      <c r="G2" s="59"/>
    </row>
    <row r="3" spans="1:7" s="7" customFormat="1" ht="15" thickBot="1" x14ac:dyDescent="0.25">
      <c r="A3" s="4"/>
      <c r="B3" s="59"/>
      <c r="C3" s="59"/>
      <c r="D3" s="59"/>
      <c r="E3" s="59"/>
      <c r="F3" s="58" t="str">
        <f>IFERROR(VLOOKUP(A2,Data!A:C,3,0),"0")</f>
        <v>1</v>
      </c>
      <c r="G3" s="59"/>
    </row>
    <row r="4" spans="1:7" s="7" customFormat="1" ht="29.25" customHeight="1" x14ac:dyDescent="0.2">
      <c r="A4" s="27" t="s">
        <v>26</v>
      </c>
      <c r="B4" s="194" t="s">
        <v>470</v>
      </c>
      <c r="C4" s="195"/>
      <c r="D4" s="29" t="s">
        <v>27</v>
      </c>
      <c r="E4" s="29" t="s">
        <v>467</v>
      </c>
      <c r="F4" s="30" t="s">
        <v>468</v>
      </c>
      <c r="G4" s="59"/>
    </row>
    <row r="5" spans="1:7" s="7" customFormat="1" x14ac:dyDescent="0.2">
      <c r="A5" s="20">
        <v>1</v>
      </c>
      <c r="B5" s="184" t="s">
        <v>0</v>
      </c>
      <c r="C5" s="185"/>
      <c r="D5" s="15">
        <f>D36</f>
        <v>0</v>
      </c>
      <c r="E5" s="16">
        <f>E36+E67+IFERROR($E$105/$D$105*D5,0)</f>
        <v>0</v>
      </c>
      <c r="F5" s="21" t="str">
        <f>IFERROR(E5/D5,"")</f>
        <v/>
      </c>
      <c r="G5" s="59"/>
    </row>
    <row r="6" spans="1:7" s="7" customFormat="1" x14ac:dyDescent="0.2">
      <c r="A6" s="20">
        <v>2</v>
      </c>
      <c r="B6" s="184" t="s">
        <v>1</v>
      </c>
      <c r="C6" s="185"/>
      <c r="D6" s="15">
        <f t="shared" ref="D6:D32" si="0">D37</f>
        <v>0</v>
      </c>
      <c r="E6" s="18">
        <f t="shared" ref="E6:E32" si="1">E37+E68+IFERROR($E$105/$D$105*D6,0)</f>
        <v>0</v>
      </c>
      <c r="F6" s="22" t="str">
        <f t="shared" ref="F6:F33" si="2">IFERROR(E6/D6,"")</f>
        <v/>
      </c>
      <c r="G6" s="59"/>
    </row>
    <row r="7" spans="1:7" s="8" customFormat="1" ht="14.25" customHeight="1" x14ac:dyDescent="0.2">
      <c r="A7" s="20">
        <v>3</v>
      </c>
      <c r="B7" s="184" t="s">
        <v>2</v>
      </c>
      <c r="C7" s="185"/>
      <c r="D7" s="15">
        <f t="shared" si="0"/>
        <v>86880</v>
      </c>
      <c r="E7" s="18">
        <f t="shared" si="1"/>
        <v>1447820.2509269486</v>
      </c>
      <c r="F7" s="22">
        <f t="shared" si="2"/>
        <v>16.664597731663772</v>
      </c>
      <c r="G7" s="59"/>
    </row>
    <row r="8" spans="1:7" s="11" customFormat="1" ht="14.25" customHeight="1" x14ac:dyDescent="0.2">
      <c r="A8" s="20">
        <v>4</v>
      </c>
      <c r="B8" s="184" t="s">
        <v>3</v>
      </c>
      <c r="C8" s="185"/>
      <c r="D8" s="15">
        <f t="shared" si="0"/>
        <v>88811</v>
      </c>
      <c r="E8" s="18">
        <f t="shared" si="1"/>
        <v>1479998.7422199957</v>
      </c>
      <c r="F8" s="22">
        <f t="shared" si="2"/>
        <v>16.664588195381153</v>
      </c>
      <c r="G8" s="59"/>
    </row>
    <row r="9" spans="1:7" s="11" customFormat="1" x14ac:dyDescent="0.2">
      <c r="A9" s="20">
        <v>5</v>
      </c>
      <c r="B9" s="184" t="s">
        <v>4</v>
      </c>
      <c r="C9" s="185"/>
      <c r="D9" s="15">
        <f t="shared" si="0"/>
        <v>0</v>
      </c>
      <c r="E9" s="18">
        <f t="shared" si="1"/>
        <v>0</v>
      </c>
      <c r="F9" s="22" t="str">
        <f t="shared" si="2"/>
        <v/>
      </c>
      <c r="G9" s="59"/>
    </row>
    <row r="10" spans="1:7" s="11" customFormat="1" x14ac:dyDescent="0.2">
      <c r="A10" s="20">
        <v>6</v>
      </c>
      <c r="B10" s="184" t="s">
        <v>5</v>
      </c>
      <c r="C10" s="185"/>
      <c r="D10" s="15">
        <f t="shared" si="0"/>
        <v>16508</v>
      </c>
      <c r="E10" s="18">
        <f t="shared" si="1"/>
        <v>275099.17672999622</v>
      </c>
      <c r="F10" s="22">
        <f t="shared" si="2"/>
        <v>16.6645975726918</v>
      </c>
      <c r="G10" s="59"/>
    </row>
    <row r="11" spans="1:7" s="11" customFormat="1" x14ac:dyDescent="0.2">
      <c r="A11" s="20">
        <v>7</v>
      </c>
      <c r="B11" s="184" t="s">
        <v>6</v>
      </c>
      <c r="C11" s="185"/>
      <c r="D11" s="15">
        <f t="shared" si="0"/>
        <v>101628</v>
      </c>
      <c r="E11" s="18">
        <f t="shared" si="1"/>
        <v>1693589.5091298795</v>
      </c>
      <c r="F11" s="22">
        <f t="shared" si="2"/>
        <v>16.664595476934306</v>
      </c>
      <c r="G11" s="59"/>
    </row>
    <row r="12" spans="1:7" s="11" customFormat="1" x14ac:dyDescent="0.2">
      <c r="A12" s="20">
        <v>8</v>
      </c>
      <c r="B12" s="184" t="s">
        <v>7</v>
      </c>
      <c r="C12" s="185"/>
      <c r="D12" s="15">
        <f t="shared" si="0"/>
        <v>35520</v>
      </c>
      <c r="E12" s="18">
        <f t="shared" si="1"/>
        <v>591925.99209168064</v>
      </c>
      <c r="F12" s="22">
        <f t="shared" si="2"/>
        <v>16.664583110689208</v>
      </c>
      <c r="G12" s="59"/>
    </row>
    <row r="13" spans="1:7" s="11" customFormat="1" x14ac:dyDescent="0.2">
      <c r="A13" s="20">
        <v>9</v>
      </c>
      <c r="B13" s="184" t="s">
        <v>8</v>
      </c>
      <c r="C13" s="185"/>
      <c r="D13" s="15">
        <f t="shared" si="0"/>
        <v>110430</v>
      </c>
      <c r="E13" s="18">
        <f t="shared" si="1"/>
        <v>1840272.1493998957</v>
      </c>
      <c r="F13" s="22">
        <f t="shared" si="2"/>
        <v>16.664603363215573</v>
      </c>
      <c r="G13" s="59"/>
    </row>
    <row r="14" spans="1:7" s="11" customFormat="1" x14ac:dyDescent="0.2">
      <c r="A14" s="20">
        <v>10</v>
      </c>
      <c r="B14" s="184" t="s">
        <v>9</v>
      </c>
      <c r="C14" s="185"/>
      <c r="D14" s="15">
        <f t="shared" si="0"/>
        <v>0</v>
      </c>
      <c r="E14" s="18">
        <f t="shared" si="1"/>
        <v>0</v>
      </c>
      <c r="F14" s="22" t="str">
        <f t="shared" si="2"/>
        <v/>
      </c>
      <c r="G14" s="59"/>
    </row>
    <row r="15" spans="1:7" s="11" customFormat="1" x14ac:dyDescent="0.2">
      <c r="A15" s="20">
        <v>11</v>
      </c>
      <c r="B15" s="184" t="s">
        <v>10</v>
      </c>
      <c r="C15" s="185"/>
      <c r="D15" s="15">
        <f t="shared" si="0"/>
        <v>89488</v>
      </c>
      <c r="E15" s="18">
        <f t="shared" si="1"/>
        <v>1491281.366562509</v>
      </c>
      <c r="F15" s="22">
        <f t="shared" si="2"/>
        <v>16.66459599680973</v>
      </c>
      <c r="G15" s="59"/>
    </row>
    <row r="16" spans="1:7" s="11" customFormat="1" ht="14.25" customHeight="1" x14ac:dyDescent="0.2">
      <c r="A16" s="20">
        <v>12</v>
      </c>
      <c r="B16" s="184" t="s">
        <v>11</v>
      </c>
      <c r="C16" s="185"/>
      <c r="D16" s="15">
        <f t="shared" si="0"/>
        <v>97616</v>
      </c>
      <c r="E16" s="18">
        <f t="shared" si="1"/>
        <v>1626731.9539420467</v>
      </c>
      <c r="F16" s="22">
        <f t="shared" si="2"/>
        <v>16.664603691424016</v>
      </c>
      <c r="G16" s="59"/>
    </row>
    <row r="17" spans="1:7" s="11" customFormat="1" x14ac:dyDescent="0.2">
      <c r="A17" s="20">
        <v>13</v>
      </c>
      <c r="B17" s="184" t="s">
        <v>12</v>
      </c>
      <c r="C17" s="185"/>
      <c r="D17" s="15">
        <f t="shared" si="0"/>
        <v>4464</v>
      </c>
      <c r="E17" s="18">
        <f t="shared" si="1"/>
        <v>74391.320627738256</v>
      </c>
      <c r="F17" s="22">
        <f t="shared" si="2"/>
        <v>16.664722362844593</v>
      </c>
      <c r="G17" s="59"/>
    </row>
    <row r="18" spans="1:7" s="11" customFormat="1" ht="14.25" customHeight="1" x14ac:dyDescent="0.2">
      <c r="A18" s="20">
        <v>14</v>
      </c>
      <c r="B18" s="184" t="s">
        <v>469</v>
      </c>
      <c r="C18" s="185"/>
      <c r="D18" s="15">
        <f t="shared" si="0"/>
        <v>44352</v>
      </c>
      <c r="E18" s="18">
        <f t="shared" si="1"/>
        <v>739107.34688204457</v>
      </c>
      <c r="F18" s="22">
        <f t="shared" si="2"/>
        <v>16.664577626308724</v>
      </c>
      <c r="G18" s="59"/>
    </row>
    <row r="19" spans="1:7" s="11" customFormat="1" x14ac:dyDescent="0.2">
      <c r="A19" s="20">
        <v>15</v>
      </c>
      <c r="B19" s="184" t="s">
        <v>13</v>
      </c>
      <c r="C19" s="185"/>
      <c r="D19" s="15">
        <f t="shared" si="0"/>
        <v>0</v>
      </c>
      <c r="E19" s="18">
        <f t="shared" si="1"/>
        <v>0</v>
      </c>
      <c r="F19" s="22" t="str">
        <f t="shared" si="2"/>
        <v/>
      </c>
      <c r="G19" s="59"/>
    </row>
    <row r="20" spans="1:7" s="11" customFormat="1" x14ac:dyDescent="0.2">
      <c r="A20" s="20">
        <v>16</v>
      </c>
      <c r="B20" s="184" t="s">
        <v>14</v>
      </c>
      <c r="C20" s="185"/>
      <c r="D20" s="15">
        <f t="shared" si="0"/>
        <v>58964</v>
      </c>
      <c r="E20" s="18">
        <f t="shared" si="1"/>
        <v>982611.36592606583</v>
      </c>
      <c r="F20" s="22">
        <f t="shared" si="2"/>
        <v>16.664598160336237</v>
      </c>
      <c r="G20" s="59"/>
    </row>
    <row r="21" spans="1:7" s="11" customFormat="1" x14ac:dyDescent="0.2">
      <c r="A21" s="20">
        <v>17</v>
      </c>
      <c r="B21" s="184" t="s">
        <v>15</v>
      </c>
      <c r="C21" s="185"/>
      <c r="D21" s="15">
        <f t="shared" si="0"/>
        <v>0</v>
      </c>
      <c r="E21" s="18">
        <f t="shared" si="1"/>
        <v>0</v>
      </c>
      <c r="F21" s="22" t="str">
        <f t="shared" si="2"/>
        <v/>
      </c>
      <c r="G21" s="59"/>
    </row>
    <row r="22" spans="1:7" s="11" customFormat="1" x14ac:dyDescent="0.2">
      <c r="A22" s="20">
        <v>18</v>
      </c>
      <c r="B22" s="184" t="s">
        <v>16</v>
      </c>
      <c r="C22" s="185"/>
      <c r="D22" s="15">
        <f t="shared" si="0"/>
        <v>147296</v>
      </c>
      <c r="E22" s="18">
        <f t="shared" si="1"/>
        <v>2454628.1996378433</v>
      </c>
      <c r="F22" s="22">
        <f t="shared" si="2"/>
        <v>16.664595098562373</v>
      </c>
      <c r="G22" s="59"/>
    </row>
    <row r="23" spans="1:7" s="11" customFormat="1" x14ac:dyDescent="0.2">
      <c r="A23" s="20">
        <v>19</v>
      </c>
      <c r="B23" s="184" t="s">
        <v>17</v>
      </c>
      <c r="C23" s="185"/>
      <c r="D23" s="15">
        <f t="shared" si="0"/>
        <v>87520</v>
      </c>
      <c r="E23" s="18">
        <f t="shared" si="1"/>
        <v>1458485.4940276998</v>
      </c>
      <c r="F23" s="22">
        <f t="shared" si="2"/>
        <v>16.664596595380484</v>
      </c>
      <c r="G23" s="59"/>
    </row>
    <row r="24" spans="1:7" s="11" customFormat="1" x14ac:dyDescent="0.2">
      <c r="A24" s="20">
        <v>20</v>
      </c>
      <c r="B24" s="184" t="s">
        <v>18</v>
      </c>
      <c r="C24" s="185"/>
      <c r="D24" s="15">
        <f t="shared" si="0"/>
        <v>21328</v>
      </c>
      <c r="E24" s="18">
        <f t="shared" si="1"/>
        <v>355421.97633252718</v>
      </c>
      <c r="F24" s="22">
        <f t="shared" si="2"/>
        <v>16.664571283408062</v>
      </c>
      <c r="G24" s="59"/>
    </row>
    <row r="25" spans="1:7" s="11" customFormat="1" ht="14.25" customHeight="1" x14ac:dyDescent="0.2">
      <c r="A25" s="20">
        <v>21</v>
      </c>
      <c r="B25" s="184" t="s">
        <v>466</v>
      </c>
      <c r="C25" s="185"/>
      <c r="D25" s="15">
        <f t="shared" si="0"/>
        <v>38340</v>
      </c>
      <c r="E25" s="18">
        <f t="shared" si="1"/>
        <v>638920.15700436477</v>
      </c>
      <c r="F25" s="22">
        <f t="shared" si="2"/>
        <v>16.66458416808463</v>
      </c>
      <c r="G25" s="59"/>
    </row>
    <row r="26" spans="1:7" s="11" customFormat="1" x14ac:dyDescent="0.2">
      <c r="A26" s="20">
        <v>22</v>
      </c>
      <c r="B26" s="184" t="s">
        <v>19</v>
      </c>
      <c r="C26" s="185"/>
      <c r="D26" s="15">
        <f t="shared" si="0"/>
        <v>9840</v>
      </c>
      <c r="E26" s="18">
        <f t="shared" si="1"/>
        <v>163979.36267404666</v>
      </c>
      <c r="F26" s="22">
        <f t="shared" si="2"/>
        <v>16.664569377443765</v>
      </c>
      <c r="G26" s="59"/>
    </row>
    <row r="27" spans="1:7" s="11" customFormat="1" x14ac:dyDescent="0.2">
      <c r="A27" s="20">
        <v>23</v>
      </c>
      <c r="B27" s="184" t="s">
        <v>20</v>
      </c>
      <c r="C27" s="185"/>
      <c r="D27" s="15">
        <f t="shared" si="0"/>
        <v>9712</v>
      </c>
      <c r="E27" s="18">
        <f t="shared" si="1"/>
        <v>161846.31405389647</v>
      </c>
      <c r="F27" s="22">
        <f t="shared" si="2"/>
        <v>16.664571051677971</v>
      </c>
      <c r="G27" s="59"/>
    </row>
    <row r="28" spans="1:7" s="11" customFormat="1" x14ac:dyDescent="0.2">
      <c r="A28" s="20">
        <v>24</v>
      </c>
      <c r="B28" s="184" t="s">
        <v>21</v>
      </c>
      <c r="C28" s="185"/>
      <c r="D28" s="15">
        <f t="shared" si="0"/>
        <v>2016</v>
      </c>
      <c r="E28" s="18">
        <f t="shared" si="1"/>
        <v>33596.015767365658</v>
      </c>
      <c r="F28" s="22">
        <f t="shared" si="2"/>
        <v>16.664690360796456</v>
      </c>
      <c r="G28" s="59"/>
    </row>
    <row r="29" spans="1:7" s="11" customFormat="1" x14ac:dyDescent="0.2">
      <c r="A29" s="20">
        <v>25</v>
      </c>
      <c r="B29" s="184" t="s">
        <v>22</v>
      </c>
      <c r="C29" s="185"/>
      <c r="D29" s="15">
        <f t="shared" si="0"/>
        <v>114288</v>
      </c>
      <c r="E29" s="18">
        <f t="shared" si="1"/>
        <v>1904562.0367166104</v>
      </c>
      <c r="F29" s="22">
        <f t="shared" si="2"/>
        <v>16.664584529579749</v>
      </c>
      <c r="G29" s="59"/>
    </row>
    <row r="30" spans="1:7" s="11" customFormat="1" x14ac:dyDescent="0.2">
      <c r="A30" s="20">
        <v>26</v>
      </c>
      <c r="B30" s="184" t="s">
        <v>23</v>
      </c>
      <c r="C30" s="185"/>
      <c r="D30" s="15">
        <f t="shared" si="0"/>
        <v>52704</v>
      </c>
      <c r="E30" s="18">
        <f t="shared" si="1"/>
        <v>878289.2693468451</v>
      </c>
      <c r="F30" s="22">
        <f t="shared" si="2"/>
        <v>16.664565675220953</v>
      </c>
      <c r="G30" s="59"/>
    </row>
    <row r="31" spans="1:7" s="11" customFormat="1" x14ac:dyDescent="0.2">
      <c r="A31" s="20">
        <v>28</v>
      </c>
      <c r="B31" s="184" t="s">
        <v>24</v>
      </c>
      <c r="C31" s="185"/>
      <c r="D31" s="15">
        <f t="shared" si="0"/>
        <v>0</v>
      </c>
      <c r="E31" s="18">
        <f t="shared" si="1"/>
        <v>0</v>
      </c>
      <c r="F31" s="22" t="str">
        <f t="shared" si="2"/>
        <v/>
      </c>
      <c r="G31" s="59"/>
    </row>
    <row r="32" spans="1:7" s="11" customFormat="1" ht="15.75" customHeight="1" thickBot="1" x14ac:dyDescent="0.25">
      <c r="A32" s="23">
        <v>29</v>
      </c>
      <c r="B32" s="186" t="s">
        <v>25</v>
      </c>
      <c r="C32" s="187"/>
      <c r="D32" s="24">
        <f t="shared" si="0"/>
        <v>0</v>
      </c>
      <c r="E32" s="25">
        <f t="shared" si="1"/>
        <v>0</v>
      </c>
      <c r="F32" s="26" t="str">
        <f t="shared" si="2"/>
        <v/>
      </c>
      <c r="G32" s="59"/>
    </row>
    <row r="33" spans="1:7" s="11" customFormat="1" x14ac:dyDescent="0.2">
      <c r="B33" s="31" t="s">
        <v>35</v>
      </c>
      <c r="C33" s="31"/>
      <c r="D33" s="61">
        <f>SUM(D5:D32)</f>
        <v>1217705</v>
      </c>
      <c r="E33" s="32">
        <f>SUM(E5:E32)</f>
        <v>20292558.000000004</v>
      </c>
      <c r="F33" s="33">
        <f t="shared" si="2"/>
        <v>16.664592820100108</v>
      </c>
      <c r="G33" s="59"/>
    </row>
    <row r="34" spans="1:7" s="11" customFormat="1" ht="15" thickBot="1" x14ac:dyDescent="0.25">
      <c r="A34" s="1"/>
      <c r="B34" s="59"/>
      <c r="C34" s="59"/>
      <c r="D34" s="59"/>
      <c r="E34" s="59"/>
      <c r="F34" s="59"/>
      <c r="G34" s="59"/>
    </row>
    <row r="35" spans="1:7" s="11" customFormat="1" ht="29.25" customHeight="1" x14ac:dyDescent="0.2">
      <c r="A35" s="27" t="s">
        <v>26</v>
      </c>
      <c r="B35" s="194" t="s">
        <v>471</v>
      </c>
      <c r="C35" s="195"/>
      <c r="D35" s="29" t="s">
        <v>27</v>
      </c>
      <c r="E35" s="29" t="s">
        <v>467</v>
      </c>
      <c r="F35" s="30" t="s">
        <v>468</v>
      </c>
      <c r="G35" s="59"/>
    </row>
    <row r="36" spans="1:7" s="11" customFormat="1" x14ac:dyDescent="0.2">
      <c r="A36" s="20">
        <v>1</v>
      </c>
      <c r="B36" s="184" t="s">
        <v>0</v>
      </c>
      <c r="C36" s="185"/>
      <c r="D36" s="15">
        <f>IF(F3="1",SUMIF(Data!A:A,'57'!$A$2,Data!CU:CU),0)</f>
        <v>0</v>
      </c>
      <c r="E36" s="16">
        <f>IF(F3="1",SUMIF(Data!$A:$A,'57'!$A$2,Data!IO:IO),0)</f>
        <v>0</v>
      </c>
      <c r="F36" s="21" t="str">
        <f t="shared" ref="F36:F64" si="3">IFERROR(E36/D36,"")</f>
        <v/>
      </c>
      <c r="G36" s="59"/>
    </row>
    <row r="37" spans="1:7" s="11" customFormat="1" x14ac:dyDescent="0.2">
      <c r="A37" s="20">
        <v>2</v>
      </c>
      <c r="B37" s="184" t="s">
        <v>1</v>
      </c>
      <c r="C37" s="185"/>
      <c r="D37" s="15">
        <f>IF(F3="1",SUMIF(Data!A:A,'57'!$A$2,Data!CV:CV),0)</f>
        <v>0</v>
      </c>
      <c r="E37" s="18">
        <f>IF(F3="1",SUMIF(Data!$A:$A,'57'!$A$2,Data!IP:IP),0)</f>
        <v>0</v>
      </c>
      <c r="F37" s="22" t="str">
        <f t="shared" si="3"/>
        <v/>
      </c>
      <c r="G37" s="59"/>
    </row>
    <row r="38" spans="1:7" ht="14.25" customHeight="1" x14ac:dyDescent="0.2">
      <c r="A38" s="20">
        <v>3</v>
      </c>
      <c r="B38" s="184" t="s">
        <v>2</v>
      </c>
      <c r="C38" s="185"/>
      <c r="D38" s="15">
        <f>IF(F3="1",SUMIF(Data!A:A,'57'!$A$2,Data!CW:CW),0)</f>
        <v>86880</v>
      </c>
      <c r="E38" s="18">
        <f>IF(F3="1",SUMIF(Data!$A:$A,'57'!$A$2,Data!IQ:IQ),0)</f>
        <v>234333</v>
      </c>
      <c r="F38" s="22">
        <f t="shared" si="3"/>
        <v>2.6972030386740333</v>
      </c>
    </row>
    <row r="39" spans="1:7" s="11" customFormat="1" ht="14.25" customHeight="1" x14ac:dyDescent="0.2">
      <c r="A39" s="20">
        <v>4</v>
      </c>
      <c r="B39" s="184" t="s">
        <v>3</v>
      </c>
      <c r="C39" s="185"/>
      <c r="D39" s="15">
        <f>IF(F3="1",SUMIF(Data!A:A,'57'!$A$2,Data!CX:CX),0)</f>
        <v>88811</v>
      </c>
      <c r="E39" s="18">
        <f>IF(F3="1",SUMIF(Data!$A:$A,'57'!$A$2,Data!IR:IR),0)</f>
        <v>239540</v>
      </c>
      <c r="F39" s="22">
        <f t="shared" si="3"/>
        <v>2.6971884113454414</v>
      </c>
      <c r="G39" s="59"/>
    </row>
    <row r="40" spans="1:7" s="11" customFormat="1" x14ac:dyDescent="0.2">
      <c r="A40" s="20">
        <v>5</v>
      </c>
      <c r="B40" s="184" t="s">
        <v>4</v>
      </c>
      <c r="C40" s="185"/>
      <c r="D40" s="15">
        <f>IF(F3="1",SUMIF(Data!A:A,'57'!$A$2,Data!CY:CY),0)</f>
        <v>0</v>
      </c>
      <c r="E40" s="18">
        <f>IF(F3="1",SUMIF(Data!$A:$A,'57'!$A$2,Data!IS:IS),0)</f>
        <v>0</v>
      </c>
      <c r="F40" s="22" t="str">
        <f t="shared" si="3"/>
        <v/>
      </c>
      <c r="G40" s="59"/>
    </row>
    <row r="41" spans="1:7" s="11" customFormat="1" x14ac:dyDescent="0.2">
      <c r="A41" s="20">
        <v>6</v>
      </c>
      <c r="B41" s="184" t="s">
        <v>5</v>
      </c>
      <c r="C41" s="185"/>
      <c r="D41" s="15">
        <f>IF(F3="1",SUMIF(Data!A:A,'57'!$A$2,Data!CZ:CZ),0)</f>
        <v>16508</v>
      </c>
      <c r="E41" s="18">
        <f>IF(F3="1",SUMIF(Data!$A:$A,'57'!$A$2,Data!IT:IT),0)</f>
        <v>44525</v>
      </c>
      <c r="F41" s="22">
        <f t="shared" si="3"/>
        <v>2.6971771262418223</v>
      </c>
      <c r="G41" s="59"/>
    </row>
    <row r="42" spans="1:7" s="11" customFormat="1" x14ac:dyDescent="0.2">
      <c r="A42" s="20">
        <v>7</v>
      </c>
      <c r="B42" s="184" t="s">
        <v>6</v>
      </c>
      <c r="C42" s="185"/>
      <c r="D42" s="15">
        <f>IF(F3="1",SUMIF(Data!A:A,'57'!$A$2,Data!DA:DA),0)</f>
        <v>101628</v>
      </c>
      <c r="E42" s="18">
        <f>IF(F3="1",SUMIF(Data!$A:$A,'57'!$A$2,Data!IU:IU),0)</f>
        <v>274111</v>
      </c>
      <c r="F42" s="22">
        <f t="shared" si="3"/>
        <v>2.6971995906639901</v>
      </c>
      <c r="G42" s="59"/>
    </row>
    <row r="43" spans="1:7" s="11" customFormat="1" x14ac:dyDescent="0.2">
      <c r="A43" s="20">
        <v>8</v>
      </c>
      <c r="B43" s="184" t="s">
        <v>7</v>
      </c>
      <c r="C43" s="185"/>
      <c r="D43" s="15">
        <f>IF(F3="1",SUMIF(Data!A:A,'57'!$A$2,Data!DB:DB),0)</f>
        <v>35520</v>
      </c>
      <c r="E43" s="18">
        <f>IF(F3="1",SUMIF(Data!$A:$A,'57'!$A$2,Data!IV:IV),0)</f>
        <v>95804</v>
      </c>
      <c r="F43" s="22">
        <f t="shared" si="3"/>
        <v>2.6971846846846845</v>
      </c>
      <c r="G43" s="59"/>
    </row>
    <row r="44" spans="1:7" s="11" customFormat="1" x14ac:dyDescent="0.2">
      <c r="A44" s="20">
        <v>9</v>
      </c>
      <c r="B44" s="184" t="s">
        <v>8</v>
      </c>
      <c r="C44" s="185"/>
      <c r="D44" s="15">
        <f>IF(F3="1",SUMIF(Data!A:A,'57'!$A$2,Data!DC:DC),0)</f>
        <v>110430</v>
      </c>
      <c r="E44" s="18">
        <f>IF(F3="1",SUMIF(Data!$A:$A,'57'!$A$2,Data!IW:IW),0)</f>
        <v>297852</v>
      </c>
      <c r="F44" s="22">
        <f t="shared" si="3"/>
        <v>2.6972018473240968</v>
      </c>
      <c r="G44" s="59"/>
    </row>
    <row r="45" spans="1:7" s="11" customFormat="1" x14ac:dyDescent="0.2">
      <c r="A45" s="20">
        <v>10</v>
      </c>
      <c r="B45" s="184" t="s">
        <v>9</v>
      </c>
      <c r="C45" s="185"/>
      <c r="D45" s="15">
        <f>IF(F3="1",SUMIF(Data!A:A,'57'!$A$2,Data!DD:DD),0)</f>
        <v>0</v>
      </c>
      <c r="E45" s="18">
        <f>IF(F3="1",SUMIF(Data!$A:$A,'57'!$A$2,Data!IX:IX),0)</f>
        <v>0</v>
      </c>
      <c r="F45" s="22" t="str">
        <f t="shared" si="3"/>
        <v/>
      </c>
      <c r="G45" s="59"/>
    </row>
    <row r="46" spans="1:7" s="11" customFormat="1" x14ac:dyDescent="0.2">
      <c r="A46" s="20">
        <v>11</v>
      </c>
      <c r="B46" s="184" t="s">
        <v>10</v>
      </c>
      <c r="C46" s="185"/>
      <c r="D46" s="15">
        <f>IF(F3="1",SUMIF(Data!A:A,'57'!$A$2,Data!DE:DE),0)</f>
        <v>89488</v>
      </c>
      <c r="E46" s="18">
        <f>IF(F3="1",SUMIF(Data!$A:$A,'57'!$A$2,Data!IY:IY),0)</f>
        <v>241367</v>
      </c>
      <c r="F46" s="22">
        <f t="shared" si="3"/>
        <v>2.6971996245306635</v>
      </c>
      <c r="G46" s="59"/>
    </row>
    <row r="47" spans="1:7" s="11" customFormat="1" ht="14.25" customHeight="1" x14ac:dyDescent="0.2">
      <c r="A47" s="20">
        <v>12</v>
      </c>
      <c r="B47" s="184" t="s">
        <v>11</v>
      </c>
      <c r="C47" s="185"/>
      <c r="D47" s="15">
        <f>IF(F3="1",SUMIF(Data!A:A,'57'!$A$2,Data!DF:DF),0)</f>
        <v>97616</v>
      </c>
      <c r="E47" s="18">
        <f>IF(F3="1",SUMIF(Data!$A:$A,'57'!$A$2,Data!IZ:IZ),0)</f>
        <v>263290</v>
      </c>
      <c r="F47" s="22">
        <f t="shared" si="3"/>
        <v>2.6972012784789379</v>
      </c>
      <c r="G47" s="59"/>
    </row>
    <row r="48" spans="1:7" s="11" customFormat="1" x14ac:dyDescent="0.2">
      <c r="A48" s="20">
        <v>13</v>
      </c>
      <c r="B48" s="184" t="s">
        <v>12</v>
      </c>
      <c r="C48" s="185"/>
      <c r="D48" s="15">
        <f>IF(F3="1",SUMIF(Data!A:A,'57'!$A$2,Data!DG:DG),0)</f>
        <v>4464</v>
      </c>
      <c r="E48" s="18">
        <f>IF(F3="1",SUMIF(Data!$A:$A,'57'!$A$2,Data!JA:JA),0)</f>
        <v>12041</v>
      </c>
      <c r="F48" s="22">
        <f t="shared" si="3"/>
        <v>2.6973566308243728</v>
      </c>
      <c r="G48" s="59"/>
    </row>
    <row r="49" spans="1:7" s="11" customFormat="1" ht="14.25" customHeight="1" x14ac:dyDescent="0.2">
      <c r="A49" s="20">
        <v>14</v>
      </c>
      <c r="B49" s="184" t="s">
        <v>469</v>
      </c>
      <c r="C49" s="185"/>
      <c r="D49" s="15">
        <f>IF(F3="1",SUMIF(Data!A:A,'57'!$A$2,Data!DH:DH),0)</f>
        <v>44352</v>
      </c>
      <c r="E49" s="18">
        <f>IF(F3="1",SUMIF(Data!$A:$A,'57'!$A$2,Data!JB:JB),0)</f>
        <v>119625</v>
      </c>
      <c r="F49" s="22">
        <f t="shared" si="3"/>
        <v>2.6971726190476191</v>
      </c>
      <c r="G49" s="59"/>
    </row>
    <row r="50" spans="1:7" s="11" customFormat="1" x14ac:dyDescent="0.2">
      <c r="A50" s="20">
        <v>15</v>
      </c>
      <c r="B50" s="184" t="s">
        <v>13</v>
      </c>
      <c r="C50" s="185"/>
      <c r="D50" s="15">
        <f>IF(F3="1",SUMIF(Data!A:A,'57'!$A$2,Data!DI:DI),0)</f>
        <v>0</v>
      </c>
      <c r="E50" s="18">
        <f>IF(F3="1",SUMIF(Data!$A:$A,'57'!$A$2,Data!JC:JC),0)</f>
        <v>0</v>
      </c>
      <c r="F50" s="22" t="str">
        <f t="shared" si="3"/>
        <v/>
      </c>
      <c r="G50" s="59"/>
    </row>
    <row r="51" spans="1:7" s="11" customFormat="1" x14ac:dyDescent="0.2">
      <c r="A51" s="20">
        <v>16</v>
      </c>
      <c r="B51" s="184" t="s">
        <v>14</v>
      </c>
      <c r="C51" s="185"/>
      <c r="D51" s="15">
        <f>IF(F3="1",SUMIF(Data!A:A,'57'!$A$2,Data!DJ:DJ),0)</f>
        <v>58964</v>
      </c>
      <c r="E51" s="18">
        <f>IF(F3="1",SUMIF(Data!$A:$A,'57'!$A$2,Data!JD:JD),0)</f>
        <v>159038</v>
      </c>
      <c r="F51" s="22">
        <f t="shared" si="3"/>
        <v>2.6972050742826132</v>
      </c>
      <c r="G51" s="59"/>
    </row>
    <row r="52" spans="1:7" s="11" customFormat="1" x14ac:dyDescent="0.2">
      <c r="A52" s="20">
        <v>17</v>
      </c>
      <c r="B52" s="184" t="s">
        <v>15</v>
      </c>
      <c r="C52" s="185"/>
      <c r="D52" s="15">
        <f>IF(F3="1",SUMIF(Data!A:A,'57'!$A$2,Data!DK:DK),0)</f>
        <v>0</v>
      </c>
      <c r="E52" s="18">
        <f>IF(F3="1",SUMIF(Data!$A:$A,'57'!$A$2,Data!JE:JE),0)</f>
        <v>0</v>
      </c>
      <c r="F52" s="22" t="str">
        <f t="shared" si="3"/>
        <v/>
      </c>
      <c r="G52" s="59"/>
    </row>
    <row r="53" spans="1:7" s="11" customFormat="1" x14ac:dyDescent="0.2">
      <c r="A53" s="20">
        <v>18</v>
      </c>
      <c r="B53" s="184" t="s">
        <v>16</v>
      </c>
      <c r="C53" s="185"/>
      <c r="D53" s="15">
        <f>IF(F3="1",SUMIF(Data!A:A,'57'!$A$2,Data!DL:DL),0)</f>
        <v>147296</v>
      </c>
      <c r="E53" s="18">
        <f>IF(F3="1",SUMIF(Data!$A:$A,'57'!$A$2,Data!JF:JF),0)</f>
        <v>397286</v>
      </c>
      <c r="F53" s="22">
        <f t="shared" si="3"/>
        <v>2.6971947642841627</v>
      </c>
      <c r="G53" s="59"/>
    </row>
    <row r="54" spans="1:7" s="11" customFormat="1" x14ac:dyDescent="0.2">
      <c r="A54" s="20">
        <v>19</v>
      </c>
      <c r="B54" s="184" t="s">
        <v>17</v>
      </c>
      <c r="C54" s="185"/>
      <c r="D54" s="15">
        <f>IF(F3="1",SUMIF(Data!A:A,'57'!$A$2,Data!DM:DM),0)</f>
        <v>87520</v>
      </c>
      <c r="E54" s="18">
        <f>IF(F3="1",SUMIF(Data!$A:$A,'57'!$A$2,Data!JG:JG),0)</f>
        <v>236059</v>
      </c>
      <c r="F54" s="22">
        <f t="shared" si="3"/>
        <v>2.6972006398537478</v>
      </c>
      <c r="G54" s="59"/>
    </row>
    <row r="55" spans="1:7" s="11" customFormat="1" x14ac:dyDescent="0.2">
      <c r="A55" s="20">
        <v>20</v>
      </c>
      <c r="B55" s="184" t="s">
        <v>18</v>
      </c>
      <c r="C55" s="185"/>
      <c r="D55" s="15">
        <f>IF(F3="1",SUMIF(Data!A:A,'57'!$A$2,Data!DN:DN),0)</f>
        <v>21328</v>
      </c>
      <c r="E55" s="18">
        <f>IF(F3="1",SUMIF(Data!$A:$A,'57'!$A$2,Data!JH:JH),0)</f>
        <v>57525</v>
      </c>
      <c r="F55" s="22">
        <f t="shared" si="3"/>
        <v>2.6971586646661665</v>
      </c>
      <c r="G55" s="59"/>
    </row>
    <row r="56" spans="1:7" s="11" customFormat="1" ht="14.25" customHeight="1" x14ac:dyDescent="0.2">
      <c r="A56" s="20">
        <v>21</v>
      </c>
      <c r="B56" s="184" t="s">
        <v>466</v>
      </c>
      <c r="C56" s="185"/>
      <c r="D56" s="15">
        <f>IF(F3="1",SUMIF(Data!A:A,'57'!$A$2,Data!DO:DO),0)</f>
        <v>38340</v>
      </c>
      <c r="E56" s="18">
        <f>IF(F3="1",SUMIF(Data!$A:$A,'57'!$A$2,Data!JI:JI),0)</f>
        <v>103410</v>
      </c>
      <c r="F56" s="22">
        <f t="shared" si="3"/>
        <v>2.6971830985915495</v>
      </c>
      <c r="G56" s="59"/>
    </row>
    <row r="57" spans="1:7" s="11" customFormat="1" x14ac:dyDescent="0.2">
      <c r="A57" s="20">
        <v>22</v>
      </c>
      <c r="B57" s="184" t="s">
        <v>19</v>
      </c>
      <c r="C57" s="185"/>
      <c r="D57" s="15">
        <f>IF(F3="1",SUMIF(Data!A:A,'57'!$A$2,Data!DP:DP),0)</f>
        <v>9840</v>
      </c>
      <c r="E57" s="18">
        <f>IF(F3="1",SUMIF(Data!$A:$A,'57'!$A$2,Data!JJ:JJ),0)</f>
        <v>26540</v>
      </c>
      <c r="F57" s="22">
        <f t="shared" si="3"/>
        <v>2.6971544715447155</v>
      </c>
      <c r="G57" s="59"/>
    </row>
    <row r="58" spans="1:7" s="11" customFormat="1" x14ac:dyDescent="0.2">
      <c r="A58" s="20">
        <v>23</v>
      </c>
      <c r="B58" s="184" t="s">
        <v>20</v>
      </c>
      <c r="C58" s="185"/>
      <c r="D58" s="15">
        <f>IF(F3="1",SUMIF(Data!A:A,'57'!$A$2,Data!DQ:DQ),0)</f>
        <v>9712</v>
      </c>
      <c r="E58" s="18">
        <f>IF(F3="1",SUMIF(Data!$A:$A,'57'!$A$2,Data!JK:JK),0)</f>
        <v>26195</v>
      </c>
      <c r="F58" s="22">
        <f t="shared" si="3"/>
        <v>2.6971787479406921</v>
      </c>
      <c r="G58" s="59"/>
    </row>
    <row r="59" spans="1:7" s="11" customFormat="1" x14ac:dyDescent="0.2">
      <c r="A59" s="20">
        <v>24</v>
      </c>
      <c r="B59" s="184" t="s">
        <v>21</v>
      </c>
      <c r="C59" s="185"/>
      <c r="D59" s="15">
        <f>IF(F3="1",SUMIF(Data!A:A,'57'!$A$2,Data!DR:DR),0)</f>
        <v>2016</v>
      </c>
      <c r="E59" s="18">
        <f>IF(F3="1",SUMIF(Data!$A:$A,'57'!$A$2,Data!JL:JL),0)</f>
        <v>5438</v>
      </c>
      <c r="F59" s="22">
        <f t="shared" si="3"/>
        <v>2.6974206349206349</v>
      </c>
      <c r="G59" s="59"/>
    </row>
    <row r="60" spans="1:7" s="11" customFormat="1" x14ac:dyDescent="0.2">
      <c r="A60" s="20">
        <v>25</v>
      </c>
      <c r="B60" s="184" t="s">
        <v>22</v>
      </c>
      <c r="C60" s="185"/>
      <c r="D60" s="15">
        <f>IF(F3="1",SUMIF(Data!A:A,'57'!$A$2,Data!DS:DS),0)</f>
        <v>114288</v>
      </c>
      <c r="E60" s="18">
        <f>IF(F3="1",SUMIF(Data!$A:$A,'57'!$A$2,Data!JM:JM),0)</f>
        <v>308256</v>
      </c>
      <c r="F60" s="22">
        <f t="shared" si="3"/>
        <v>2.6971860562788743</v>
      </c>
      <c r="G60" s="59"/>
    </row>
    <row r="61" spans="1:7" s="11" customFormat="1" x14ac:dyDescent="0.2">
      <c r="A61" s="20">
        <v>26</v>
      </c>
      <c r="B61" s="184" t="s">
        <v>23</v>
      </c>
      <c r="C61" s="185"/>
      <c r="D61" s="15">
        <f>IF(F3="1",SUMIF(Data!A:A,'57'!$A$2,Data!DT:DT),0)</f>
        <v>52704</v>
      </c>
      <c r="E61" s="18">
        <f>IF(F3="1",SUMIF(Data!$A:$A,'57'!$A$2,Data!JN:JN),0)</f>
        <v>142152</v>
      </c>
      <c r="F61" s="22">
        <f t="shared" si="3"/>
        <v>2.6971766848816028</v>
      </c>
      <c r="G61" s="59"/>
    </row>
    <row r="62" spans="1:7" s="11" customFormat="1" x14ac:dyDescent="0.2">
      <c r="A62" s="20">
        <v>28</v>
      </c>
      <c r="B62" s="184" t="s">
        <v>24</v>
      </c>
      <c r="C62" s="185"/>
      <c r="D62" s="15">
        <f>IF(F3="1",SUMIF(Data!A:A,'57'!$A$2,Data!DV:DV),0)</f>
        <v>0</v>
      </c>
      <c r="E62" s="18">
        <f>IF(F3="1",SUMIF(Data!$A:$A,'57'!$A$2,Data!JP:JP),0)</f>
        <v>0</v>
      </c>
      <c r="F62" s="22" t="str">
        <f t="shared" si="3"/>
        <v/>
      </c>
      <c r="G62" s="59"/>
    </row>
    <row r="63" spans="1:7" s="11" customFormat="1" ht="15.75" customHeight="1" thickBot="1" x14ac:dyDescent="0.25">
      <c r="A63" s="23">
        <v>29</v>
      </c>
      <c r="B63" s="186" t="s">
        <v>25</v>
      </c>
      <c r="C63" s="187"/>
      <c r="D63" s="24">
        <f>IF(F3="1",SUMIF(Data!A:A,'57'!$A$2,Data!DW:DW),0)</f>
        <v>0</v>
      </c>
      <c r="E63" s="25">
        <f>IF(F3="1",SUMIF(Data!$A:$A,'57'!$A$2,Data!JQ:JQ),0)</f>
        <v>0</v>
      </c>
      <c r="F63" s="26" t="str">
        <f t="shared" si="3"/>
        <v/>
      </c>
      <c r="G63" s="59"/>
    </row>
    <row r="64" spans="1:7" s="11" customFormat="1" x14ac:dyDescent="0.2">
      <c r="B64" s="31" t="s">
        <v>35</v>
      </c>
      <c r="C64" s="31"/>
      <c r="D64" s="61">
        <f>SUM(D36:D63)</f>
        <v>1217705</v>
      </c>
      <c r="E64" s="32">
        <f>SUM(E36:E63)</f>
        <v>3284387</v>
      </c>
      <c r="F64" s="33">
        <f t="shared" si="3"/>
        <v>2.6971943122513253</v>
      </c>
      <c r="G64" s="59"/>
    </row>
    <row r="65" spans="1:7" s="11" customFormat="1" ht="15" thickBot="1" x14ac:dyDescent="0.25">
      <c r="B65" s="59"/>
      <c r="C65" s="59"/>
      <c r="D65" s="59"/>
      <c r="E65" s="59"/>
      <c r="F65" s="59"/>
      <c r="G65" s="59"/>
    </row>
    <row r="66" spans="1:7" s="11" customFormat="1" ht="29.25" customHeight="1" x14ac:dyDescent="0.2">
      <c r="A66" s="27" t="s">
        <v>26</v>
      </c>
      <c r="B66" s="194" t="s">
        <v>472</v>
      </c>
      <c r="C66" s="195"/>
      <c r="D66" s="29" t="s">
        <v>27</v>
      </c>
      <c r="E66" s="29" t="s">
        <v>467</v>
      </c>
      <c r="F66" s="30" t="s">
        <v>468</v>
      </c>
      <c r="G66" s="59"/>
    </row>
    <row r="67" spans="1:7" s="11" customFormat="1" x14ac:dyDescent="0.2">
      <c r="A67" s="20">
        <v>1</v>
      </c>
      <c r="B67" s="184" t="s">
        <v>0</v>
      </c>
      <c r="C67" s="185"/>
      <c r="D67" s="15">
        <f>D36</f>
        <v>0</v>
      </c>
      <c r="E67" s="16">
        <f>IF(F3="1",SUMIF(Data!A:A,'57'!$A$2,Data!DY:DY),0)</f>
        <v>0</v>
      </c>
      <c r="F67" s="21" t="str">
        <f>IFERROR(E67/D67,"")</f>
        <v/>
      </c>
      <c r="G67" s="59"/>
    </row>
    <row r="68" spans="1:7" s="11" customFormat="1" x14ac:dyDescent="0.2">
      <c r="A68" s="20">
        <v>2</v>
      </c>
      <c r="B68" s="184" t="s">
        <v>1</v>
      </c>
      <c r="C68" s="185"/>
      <c r="D68" s="15">
        <f t="shared" ref="D68:D94" si="4">D37</f>
        <v>0</v>
      </c>
      <c r="E68" s="18">
        <f>IF(F3="1",SUMIF(Data!A:A,'57'!$A$2,Data!DZ:DZ),0)</f>
        <v>0</v>
      </c>
      <c r="F68" s="22" t="str">
        <f t="shared" ref="F68:F95" si="5">IFERROR(E68/D68,"")</f>
        <v/>
      </c>
      <c r="G68" s="59"/>
    </row>
    <row r="69" spans="1:7" s="11" customFormat="1" ht="14.25" customHeight="1" x14ac:dyDescent="0.2">
      <c r="A69" s="20">
        <v>3</v>
      </c>
      <c r="B69" s="184" t="s">
        <v>2</v>
      </c>
      <c r="C69" s="185"/>
      <c r="D69" s="15">
        <f t="shared" si="4"/>
        <v>86880</v>
      </c>
      <c r="E69" s="18">
        <f>IF(F3="1",SUMIF(Data!A:A,'57'!$A$2,Data!EA:EA),0)</f>
        <v>386058</v>
      </c>
      <c r="F69" s="22">
        <f t="shared" si="5"/>
        <v>4.4435773480662988</v>
      </c>
      <c r="G69" s="59"/>
    </row>
    <row r="70" spans="1:7" ht="14.25" customHeight="1" x14ac:dyDescent="0.2">
      <c r="A70" s="20">
        <v>4</v>
      </c>
      <c r="B70" s="184" t="s">
        <v>3</v>
      </c>
      <c r="C70" s="185"/>
      <c r="D70" s="15">
        <f t="shared" si="4"/>
        <v>88811</v>
      </c>
      <c r="E70" s="18">
        <f>IF(F3="1",SUMIF(Data!A:A,'57'!$A$2,Data!EB:EB),0)</f>
        <v>394639</v>
      </c>
      <c r="F70" s="22">
        <f t="shared" si="5"/>
        <v>4.443582439112272</v>
      </c>
    </row>
    <row r="71" spans="1:7" x14ac:dyDescent="0.2">
      <c r="A71" s="20">
        <v>5</v>
      </c>
      <c r="B71" s="184" t="s">
        <v>4</v>
      </c>
      <c r="C71" s="185"/>
      <c r="D71" s="15">
        <f t="shared" si="4"/>
        <v>0</v>
      </c>
      <c r="E71" s="18">
        <f>IF(F3="1",SUMIF(Data!A:A,'57'!$A$2,Data!EC:EC),0)</f>
        <v>0</v>
      </c>
      <c r="F71" s="22" t="str">
        <f t="shared" si="5"/>
        <v/>
      </c>
    </row>
    <row r="72" spans="1:7" x14ac:dyDescent="0.2">
      <c r="A72" s="20">
        <v>6</v>
      </c>
      <c r="B72" s="184" t="s">
        <v>5</v>
      </c>
      <c r="C72" s="185"/>
      <c r="D72" s="15">
        <f t="shared" si="4"/>
        <v>16508</v>
      </c>
      <c r="E72" s="18">
        <f>IF(F3="1",SUMIF(Data!A:A,'57'!$A$2,Data!ED:ED),0)</f>
        <v>73355</v>
      </c>
      <c r="F72" s="22">
        <f t="shared" si="5"/>
        <v>4.4436031015265325</v>
      </c>
    </row>
    <row r="73" spans="1:7" x14ac:dyDescent="0.2">
      <c r="A73" s="20">
        <v>7</v>
      </c>
      <c r="B73" s="184" t="s">
        <v>6</v>
      </c>
      <c r="C73" s="185"/>
      <c r="D73" s="15">
        <f t="shared" si="4"/>
        <v>101628</v>
      </c>
      <c r="E73" s="18">
        <f>IF(F3="1",SUMIF(Data!A:A,'57'!$A$2,Data!EE:EE),0)</f>
        <v>451592</v>
      </c>
      <c r="F73" s="22">
        <f t="shared" si="5"/>
        <v>4.4435785413468727</v>
      </c>
    </row>
    <row r="74" spans="1:7" x14ac:dyDescent="0.2">
      <c r="A74" s="20">
        <v>8</v>
      </c>
      <c r="B74" s="184" t="s">
        <v>7</v>
      </c>
      <c r="C74" s="185"/>
      <c r="D74" s="15">
        <f t="shared" si="4"/>
        <v>35520</v>
      </c>
      <c r="E74" s="18">
        <f>IF(F3="1",SUMIF(Data!A:A,'57'!$A$2,Data!EF:EF),0)</f>
        <v>157836</v>
      </c>
      <c r="F74" s="22">
        <f t="shared" si="5"/>
        <v>4.4435810810810814</v>
      </c>
    </row>
    <row r="75" spans="1:7" x14ac:dyDescent="0.2">
      <c r="A75" s="20">
        <v>9</v>
      </c>
      <c r="B75" s="184" t="s">
        <v>8</v>
      </c>
      <c r="C75" s="185"/>
      <c r="D75" s="15">
        <f t="shared" si="4"/>
        <v>110430</v>
      </c>
      <c r="E75" s="18">
        <f>IF(F3="1",SUMIF(Data!A:A,'57'!$A$2,Data!EG:EG),0)</f>
        <v>490705</v>
      </c>
      <c r="F75" s="22">
        <f t="shared" si="5"/>
        <v>4.4435841709680339</v>
      </c>
    </row>
    <row r="76" spans="1:7" x14ac:dyDescent="0.2">
      <c r="A76" s="20">
        <v>10</v>
      </c>
      <c r="B76" s="184" t="s">
        <v>9</v>
      </c>
      <c r="C76" s="185"/>
      <c r="D76" s="15">
        <f t="shared" si="4"/>
        <v>0</v>
      </c>
      <c r="E76" s="18">
        <f>IF(F3="1",SUMIF(Data!A:A,'57'!$A$2,Data!EH:EH),0)</f>
        <v>0</v>
      </c>
      <c r="F76" s="22" t="str">
        <f t="shared" si="5"/>
        <v/>
      </c>
    </row>
    <row r="77" spans="1:7" x14ac:dyDescent="0.2">
      <c r="A77" s="20">
        <v>11</v>
      </c>
      <c r="B77" s="184" t="s">
        <v>10</v>
      </c>
      <c r="C77" s="185"/>
      <c r="D77" s="15">
        <f t="shared" si="4"/>
        <v>89488</v>
      </c>
      <c r="E77" s="18">
        <f>IF(F3="1",SUMIF(Data!A:A,'57'!$A$2,Data!EI:EI),0)</f>
        <v>397647</v>
      </c>
      <c r="F77" s="22">
        <f t="shared" si="5"/>
        <v>4.4435790273556233</v>
      </c>
    </row>
    <row r="78" spans="1:7" ht="14.25" customHeight="1" x14ac:dyDescent="0.2">
      <c r="A78" s="20">
        <v>12</v>
      </c>
      <c r="B78" s="184" t="s">
        <v>11</v>
      </c>
      <c r="C78" s="185"/>
      <c r="D78" s="15">
        <f t="shared" si="4"/>
        <v>97616</v>
      </c>
      <c r="E78" s="18">
        <f>IF(F3="1",SUMIF(Data!A:A,'57'!$A$2,Data!EJ:EJ),0)</f>
        <v>433765</v>
      </c>
      <c r="F78" s="22">
        <f t="shared" si="5"/>
        <v>4.443585068021636</v>
      </c>
    </row>
    <row r="79" spans="1:7" x14ac:dyDescent="0.2">
      <c r="A79" s="20">
        <v>13</v>
      </c>
      <c r="B79" s="184" t="s">
        <v>12</v>
      </c>
      <c r="C79" s="185"/>
      <c r="D79" s="15">
        <f t="shared" si="4"/>
        <v>4464</v>
      </c>
      <c r="E79" s="18">
        <f>IF(F3="1",SUMIF(Data!A:A,'57'!$A$2,Data!EK:EK),0)</f>
        <v>19836</v>
      </c>
      <c r="F79" s="22">
        <f t="shared" si="5"/>
        <v>4.443548387096774</v>
      </c>
    </row>
    <row r="80" spans="1:7" ht="14.25" customHeight="1" x14ac:dyDescent="0.2">
      <c r="A80" s="20">
        <v>14</v>
      </c>
      <c r="B80" s="184" t="s">
        <v>469</v>
      </c>
      <c r="C80" s="185"/>
      <c r="D80" s="15">
        <f t="shared" si="4"/>
        <v>44352</v>
      </c>
      <c r="E80" s="18">
        <f>IF(F3="1",SUMIF(Data!A:A,'57'!$A$2,Data!EL:EL),0)</f>
        <v>197082</v>
      </c>
      <c r="F80" s="22">
        <f t="shared" si="5"/>
        <v>4.443587662337662</v>
      </c>
    </row>
    <row r="81" spans="1:6" x14ac:dyDescent="0.2">
      <c r="A81" s="20">
        <v>15</v>
      </c>
      <c r="B81" s="184" t="s">
        <v>13</v>
      </c>
      <c r="C81" s="185"/>
      <c r="D81" s="15">
        <f t="shared" si="4"/>
        <v>0</v>
      </c>
      <c r="E81" s="18">
        <f>IF(F3="1",SUMIF(Data!A:A,'57'!$A$2,Data!EM:EM),0)</f>
        <v>0</v>
      </c>
      <c r="F81" s="22" t="str">
        <f t="shared" si="5"/>
        <v/>
      </c>
    </row>
    <row r="82" spans="1:6" x14ac:dyDescent="0.2">
      <c r="A82" s="20">
        <v>16</v>
      </c>
      <c r="B82" s="184" t="s">
        <v>14</v>
      </c>
      <c r="C82" s="185"/>
      <c r="D82" s="15">
        <f t="shared" si="4"/>
        <v>58964</v>
      </c>
      <c r="E82" s="18">
        <f>IF(F3="1",SUMIF(Data!A:A,'57'!$A$2,Data!EN:EN),0)</f>
        <v>262011</v>
      </c>
      <c r="F82" s="22">
        <f t="shared" si="5"/>
        <v>4.4435757411301813</v>
      </c>
    </row>
    <row r="83" spans="1:6" x14ac:dyDescent="0.2">
      <c r="A83" s="20">
        <v>17</v>
      </c>
      <c r="B83" s="184" t="s">
        <v>15</v>
      </c>
      <c r="C83" s="185"/>
      <c r="D83" s="15">
        <f t="shared" si="4"/>
        <v>0</v>
      </c>
      <c r="E83" s="18">
        <f>IF(F3="1",SUMIF(Data!A:A,'57'!$A$2,Data!EO:EO),0)</f>
        <v>0</v>
      </c>
      <c r="F83" s="22" t="str">
        <f t="shared" si="5"/>
        <v/>
      </c>
    </row>
    <row r="84" spans="1:6" x14ac:dyDescent="0.2">
      <c r="A84" s="20">
        <v>18</v>
      </c>
      <c r="B84" s="184" t="s">
        <v>16</v>
      </c>
      <c r="C84" s="185"/>
      <c r="D84" s="15">
        <f t="shared" si="4"/>
        <v>147296</v>
      </c>
      <c r="E84" s="18">
        <f>IF(F3="1",SUMIF(Data!A:A,'57'!$A$2,Data!EP:EP),0)</f>
        <v>654522</v>
      </c>
      <c r="F84" s="22">
        <f t="shared" si="5"/>
        <v>4.4435829893547689</v>
      </c>
    </row>
    <row r="85" spans="1:6" x14ac:dyDescent="0.2">
      <c r="A85" s="20">
        <v>19</v>
      </c>
      <c r="B85" s="184" t="s">
        <v>17</v>
      </c>
      <c r="C85" s="185"/>
      <c r="D85" s="15">
        <f t="shared" si="4"/>
        <v>87520</v>
      </c>
      <c r="E85" s="18">
        <f>IF(F3="1",SUMIF(Data!A:A,'57'!$A$2,Data!EQ:EQ),0)</f>
        <v>388902</v>
      </c>
      <c r="F85" s="22">
        <f t="shared" si="5"/>
        <v>4.4435786106032911</v>
      </c>
    </row>
    <row r="86" spans="1:6" x14ac:dyDescent="0.2">
      <c r="A86" s="20">
        <v>20</v>
      </c>
      <c r="B86" s="184" t="s">
        <v>18</v>
      </c>
      <c r="C86" s="185"/>
      <c r="D86" s="15">
        <f t="shared" si="4"/>
        <v>21328</v>
      </c>
      <c r="E86" s="18">
        <f>IF(F3="1",SUMIF(Data!A:A,'57'!$A$2,Data!ER:ER),0)</f>
        <v>94773</v>
      </c>
      <c r="F86" s="22">
        <f t="shared" si="5"/>
        <v>4.4435952738184543</v>
      </c>
    </row>
    <row r="87" spans="1:6" ht="14.25" customHeight="1" x14ac:dyDescent="0.2">
      <c r="A87" s="20">
        <v>21</v>
      </c>
      <c r="B87" s="184" t="s">
        <v>466</v>
      </c>
      <c r="C87" s="185"/>
      <c r="D87" s="15">
        <f t="shared" si="4"/>
        <v>38340</v>
      </c>
      <c r="E87" s="18">
        <f>IF(F3="1",SUMIF(Data!A:A,'57'!$A$2,Data!ES:ES),0)</f>
        <v>170367</v>
      </c>
      <c r="F87" s="22">
        <f t="shared" si="5"/>
        <v>4.4435837245696401</v>
      </c>
    </row>
    <row r="88" spans="1:6" x14ac:dyDescent="0.2">
      <c r="A88" s="20">
        <v>22</v>
      </c>
      <c r="B88" s="184" t="s">
        <v>19</v>
      </c>
      <c r="C88" s="185"/>
      <c r="D88" s="15">
        <f t="shared" si="4"/>
        <v>9840</v>
      </c>
      <c r="E88" s="18">
        <f>IF(F3="1",SUMIF(Data!A:A,'57'!$A$2,Data!ET:ET),0)</f>
        <v>43725</v>
      </c>
      <c r="F88" s="22">
        <f t="shared" si="5"/>
        <v>4.4435975609756095</v>
      </c>
    </row>
    <row r="89" spans="1:6" x14ac:dyDescent="0.2">
      <c r="A89" s="20">
        <v>23</v>
      </c>
      <c r="B89" s="184" t="s">
        <v>20</v>
      </c>
      <c r="C89" s="185"/>
      <c r="D89" s="15">
        <f t="shared" si="4"/>
        <v>9712</v>
      </c>
      <c r="E89" s="18">
        <f>IF(F3="1",SUMIF(Data!A:A,'57'!$A$2,Data!EU:EU),0)</f>
        <v>43156</v>
      </c>
      <c r="F89" s="22">
        <f t="shared" si="5"/>
        <v>4.4435749588138389</v>
      </c>
    </row>
    <row r="90" spans="1:6" x14ac:dyDescent="0.2">
      <c r="A90" s="20">
        <v>24</v>
      </c>
      <c r="B90" s="184" t="s">
        <v>21</v>
      </c>
      <c r="C90" s="185"/>
      <c r="D90" s="15">
        <f t="shared" si="4"/>
        <v>2016</v>
      </c>
      <c r="E90" s="18">
        <f>IF(F3="1",SUMIF(Data!A:A,'57'!$A$2,Data!EV:EV),0)</f>
        <v>8958</v>
      </c>
      <c r="F90" s="22">
        <f t="shared" si="5"/>
        <v>4.4434523809523814</v>
      </c>
    </row>
    <row r="91" spans="1:6" x14ac:dyDescent="0.2">
      <c r="A91" s="20">
        <v>25</v>
      </c>
      <c r="B91" s="184" t="s">
        <v>22</v>
      </c>
      <c r="C91" s="185"/>
      <c r="D91" s="15">
        <f t="shared" si="4"/>
        <v>114288</v>
      </c>
      <c r="E91" s="18">
        <f>IF(F3="1",SUMIF(Data!A:A,'57'!$A$2,Data!EW:EW),0)</f>
        <v>507848</v>
      </c>
      <c r="F91" s="22">
        <f t="shared" si="5"/>
        <v>4.4435811283774322</v>
      </c>
    </row>
    <row r="92" spans="1:6" x14ac:dyDescent="0.2">
      <c r="A92" s="20">
        <v>26</v>
      </c>
      <c r="B92" s="184" t="s">
        <v>23</v>
      </c>
      <c r="C92" s="185"/>
      <c r="D92" s="15">
        <f t="shared" si="4"/>
        <v>52704</v>
      </c>
      <c r="E92" s="18">
        <f>IF(F3="1",SUMIF(Data!A:A,'57'!$A$2,Data!EX:EX),0)</f>
        <v>234194</v>
      </c>
      <c r="F92" s="22">
        <f t="shared" si="5"/>
        <v>4.4435716454159078</v>
      </c>
    </row>
    <row r="93" spans="1:6" x14ac:dyDescent="0.2">
      <c r="A93" s="20">
        <v>28</v>
      </c>
      <c r="B93" s="184" t="s">
        <v>24</v>
      </c>
      <c r="C93" s="185"/>
      <c r="D93" s="15">
        <f t="shared" si="4"/>
        <v>0</v>
      </c>
      <c r="E93" s="18">
        <f>IF(F3="1",SUMIF(Data!A:A,'57'!$A$2,Data!EZ:EZ),0)</f>
        <v>0</v>
      </c>
      <c r="F93" s="22" t="str">
        <f t="shared" si="5"/>
        <v/>
      </c>
    </row>
    <row r="94" spans="1:6" ht="15.75" customHeight="1" thickBot="1" x14ac:dyDescent="0.25">
      <c r="A94" s="23">
        <v>29</v>
      </c>
      <c r="B94" s="186" t="s">
        <v>25</v>
      </c>
      <c r="C94" s="187"/>
      <c r="D94" s="24">
        <f t="shared" si="4"/>
        <v>0</v>
      </c>
      <c r="E94" s="25">
        <f>IF(F3="1",SUMIF(Data!A:A,'57'!$A$2,Data!FA:FA),0)</f>
        <v>0</v>
      </c>
      <c r="F94" s="26" t="str">
        <f t="shared" si="5"/>
        <v/>
      </c>
    </row>
    <row r="95" spans="1:6" x14ac:dyDescent="0.2">
      <c r="B95" s="31" t="s">
        <v>35</v>
      </c>
      <c r="C95" s="31"/>
      <c r="D95" s="61">
        <f>SUM(D67:D94)</f>
        <v>1217705</v>
      </c>
      <c r="E95" s="32">
        <f>SUM(E67:E94)</f>
        <v>5410971</v>
      </c>
      <c r="F95" s="33">
        <f t="shared" si="5"/>
        <v>4.443581162925339</v>
      </c>
    </row>
    <row r="96" spans="1:6" ht="15" thickBot="1" x14ac:dyDescent="0.25"/>
    <row r="97" spans="2:7" ht="29.25" customHeight="1" x14ac:dyDescent="0.2">
      <c r="B97" s="188" t="s">
        <v>473</v>
      </c>
      <c r="C97" s="189"/>
      <c r="D97" s="29" t="s">
        <v>27</v>
      </c>
      <c r="E97" s="34" t="s">
        <v>467</v>
      </c>
      <c r="F97" s="30" t="s">
        <v>468</v>
      </c>
    </row>
    <row r="98" spans="2:7" x14ac:dyDescent="0.2">
      <c r="B98" s="190" t="s">
        <v>30</v>
      </c>
      <c r="C98" s="191"/>
      <c r="D98" s="36"/>
      <c r="E98" s="16">
        <f>IF(F3="1",SUMIF(Data!A:A,'57'!$A$2,Data!AH:AH),0)</f>
        <v>3157103</v>
      </c>
      <c r="F98" s="21">
        <f t="shared" ref="F98:F105" si="6">IFERROR(E98/$D$95,0)</f>
        <v>2.592666532534563</v>
      </c>
    </row>
    <row r="99" spans="2:7" x14ac:dyDescent="0.2">
      <c r="B99" s="190" t="s">
        <v>31</v>
      </c>
      <c r="C99" s="191"/>
      <c r="D99" s="37"/>
      <c r="E99" s="18">
        <f>IF(F3="1",SUMIF(Data!A:A,'57'!$A$2,Data!AI:AI),0)</f>
        <v>884509</v>
      </c>
      <c r="F99" s="22">
        <f t="shared" si="6"/>
        <v>0.72637379332432728</v>
      </c>
    </row>
    <row r="100" spans="2:7" x14ac:dyDescent="0.2">
      <c r="B100" s="190" t="s">
        <v>32</v>
      </c>
      <c r="C100" s="191"/>
      <c r="D100" s="37"/>
      <c r="E100" s="18">
        <f>IF(F3="1",SUMIF(Data!A:A,'57'!$A$2,Data!AJ:AJ),0)</f>
        <v>941544</v>
      </c>
      <c r="F100" s="22">
        <f t="shared" si="6"/>
        <v>0.77321190271863871</v>
      </c>
    </row>
    <row r="101" spans="2:7" x14ac:dyDescent="0.2">
      <c r="B101" s="190" t="s">
        <v>28</v>
      </c>
      <c r="C101" s="191"/>
      <c r="D101" s="37"/>
      <c r="E101" s="18">
        <f>IF(F3="1",SUMIF(Data!A:A,'57'!$A$2,Data!AK:AK),0)</f>
        <v>0</v>
      </c>
      <c r="F101" s="22">
        <f t="shared" si="6"/>
        <v>0</v>
      </c>
    </row>
    <row r="102" spans="2:7" x14ac:dyDescent="0.2">
      <c r="B102" s="190" t="s">
        <v>33</v>
      </c>
      <c r="C102" s="191"/>
      <c r="D102" s="37"/>
      <c r="E102" s="18">
        <f>IF(F3="1",SUMIF(Data!A:A,'57'!$A$2,Data!AL:AL),0)</f>
        <v>3991942</v>
      </c>
      <c r="F102" s="22">
        <f t="shared" si="6"/>
        <v>3.278250479385401</v>
      </c>
    </row>
    <row r="103" spans="2:7" x14ac:dyDescent="0.2">
      <c r="B103" s="192" t="s">
        <v>34</v>
      </c>
      <c r="C103" s="193"/>
      <c r="D103" s="37"/>
      <c r="E103" s="18">
        <f>IF(F3="1",SUMIF(Data!A:A,'57'!$A$2,Data!AM:AM),0)</f>
        <v>1291947</v>
      </c>
      <c r="F103" s="22">
        <f t="shared" si="6"/>
        <v>1.0609687896493813</v>
      </c>
    </row>
    <row r="104" spans="2:7" ht="15.75" customHeight="1" thickBot="1" x14ac:dyDescent="0.25">
      <c r="B104" s="182" t="s">
        <v>29</v>
      </c>
      <c r="C104" s="183"/>
      <c r="D104" s="38"/>
      <c r="E104" s="25">
        <f>IF(F3="1",SUMIF(Data!A:A,'57'!$A$2,Data!Q:Q),0)</f>
        <v>1330155</v>
      </c>
      <c r="F104" s="26">
        <f t="shared" si="6"/>
        <v>1.0923458473111303</v>
      </c>
    </row>
    <row r="105" spans="2:7" x14ac:dyDescent="0.2">
      <c r="B105" s="31" t="s">
        <v>35</v>
      </c>
      <c r="C105" s="31"/>
      <c r="D105" s="35">
        <f>D95</f>
        <v>1217705</v>
      </c>
      <c r="E105" s="32">
        <f>SUM(E98:E104)</f>
        <v>11597200</v>
      </c>
      <c r="F105" s="33">
        <f t="shared" si="6"/>
        <v>9.523817344923442</v>
      </c>
    </row>
    <row r="107" spans="2:7" ht="15" thickBot="1" x14ac:dyDescent="0.25">
      <c r="B107" s="60" t="s">
        <v>940</v>
      </c>
    </row>
    <row r="108" spans="2:7" ht="28.5" x14ac:dyDescent="0.2">
      <c r="B108" s="46" t="s">
        <v>934</v>
      </c>
      <c r="C108" s="28" t="s">
        <v>938</v>
      </c>
      <c r="D108" s="28" t="s">
        <v>29</v>
      </c>
      <c r="E108" s="28" t="s">
        <v>939</v>
      </c>
      <c r="F108" s="47" t="s">
        <v>35</v>
      </c>
    </row>
    <row r="109" spans="2:7" x14ac:dyDescent="0.2">
      <c r="B109" s="43" t="s">
        <v>935</v>
      </c>
      <c r="C109" s="16">
        <f>E95+IF(F3="1",SUMIF(Data!$A:$A,$A$2,Data!GF:GF),0)</f>
        <v>5410971</v>
      </c>
      <c r="D109" s="16">
        <f>IF(F3="1",SUMIF(Data!$A:$A,$A$2,Data!HJ:HJ),0)</f>
        <v>0</v>
      </c>
      <c r="E109" s="16">
        <f>IF(F3="1",SUMIF(Data!$A:$A,$A$2,Data!IN:IN),0)</f>
        <v>0</v>
      </c>
      <c r="F109" s="48">
        <f>SUM(C109:E109)</f>
        <v>5410971</v>
      </c>
    </row>
    <row r="110" spans="2:7" s="11" customFormat="1" x14ac:dyDescent="0.2">
      <c r="B110" s="43" t="s">
        <v>28</v>
      </c>
      <c r="C110" s="51">
        <f>IF(F3="1",SUMIF(Data!A:A,$A$2,Data!W:W),0)</f>
        <v>0</v>
      </c>
      <c r="D110" s="52"/>
      <c r="E110" s="51">
        <f>IF(F3="1",SUMIF(Data!A:A,$A$2,Data!W:W),0)</f>
        <v>0</v>
      </c>
      <c r="F110" s="49">
        <f t="shared" ref="F110:F116" si="7">SUM(C110:E110)</f>
        <v>0</v>
      </c>
      <c r="G110" s="59"/>
    </row>
    <row r="111" spans="2:7" x14ac:dyDescent="0.2">
      <c r="B111" s="43" t="s">
        <v>936</v>
      </c>
      <c r="C111" s="51">
        <f>IF(F3="1",SUMIF(Data!A:A,$A$2,Data!AS:AS),0)</f>
        <v>0</v>
      </c>
      <c r="D111" s="52"/>
      <c r="E111" s="51">
        <f>IF(F3="1",SUMIF(Data!A:A,$A$2,Data!AX:AX),0)</f>
        <v>0</v>
      </c>
      <c r="F111" s="49">
        <f t="shared" si="7"/>
        <v>0</v>
      </c>
    </row>
    <row r="112" spans="2:7" x14ac:dyDescent="0.2">
      <c r="B112" s="43" t="s">
        <v>32</v>
      </c>
      <c r="C112" s="51">
        <f>IF(F3="1",SUMIF(Data!A:A,$A$2,Data!V:V),0)</f>
        <v>0</v>
      </c>
      <c r="D112" s="52"/>
      <c r="E112" s="51">
        <f>IF(F3="1",SUMIF(Data!A:A,$A$2,Data!AC:AC),0)</f>
        <v>0</v>
      </c>
      <c r="F112" s="49">
        <f t="shared" si="7"/>
        <v>0</v>
      </c>
    </row>
    <row r="113" spans="1:7" x14ac:dyDescent="0.2">
      <c r="B113" s="43" t="s">
        <v>31</v>
      </c>
      <c r="C113" s="51">
        <f>IF(F3="1",SUMIF(Data!A:A,$A$2,Data!U:U),0)</f>
        <v>0</v>
      </c>
      <c r="D113" s="52"/>
      <c r="E113" s="51">
        <f>IF(F3="1",SUMIF(Data!A:A,$A$2,Data!AB:AB),0)</f>
        <v>0</v>
      </c>
      <c r="F113" s="49">
        <f t="shared" si="7"/>
        <v>0</v>
      </c>
    </row>
    <row r="114" spans="1:7" x14ac:dyDescent="0.2">
      <c r="B114" s="43" t="s">
        <v>1021</v>
      </c>
      <c r="C114" s="51">
        <f>IF(F3="1",SUMIF(Data!A:A,$A$2,Data!T:T),0)</f>
        <v>0</v>
      </c>
      <c r="D114" s="52"/>
      <c r="E114" s="51">
        <f>IF(F3="1",SUMIF(Data!A:A,$A$2,Data!AA:AA),0)</f>
        <v>0</v>
      </c>
      <c r="F114" s="49">
        <f t="shared" si="7"/>
        <v>0</v>
      </c>
    </row>
    <row r="115" spans="1:7" x14ac:dyDescent="0.2">
      <c r="B115" s="43" t="s">
        <v>937</v>
      </c>
      <c r="C115" s="51">
        <f>IF(F3="1",SUMIF(Data!A:A,$A$2,Data!BI:BI),0)</f>
        <v>0</v>
      </c>
      <c r="D115" s="51">
        <f>IF(F3="1",SUMIF(Data!A:A,$A$2,Data!BL:BL),0)</f>
        <v>0</v>
      </c>
      <c r="E115" s="51">
        <f>IF(F3="1",SUMIF(Data!A:A,$A$2,Data!BU:BU),0)</f>
        <v>0</v>
      </c>
      <c r="F115" s="49">
        <f t="shared" si="7"/>
        <v>0</v>
      </c>
    </row>
    <row r="116" spans="1:7" s="11" customFormat="1" x14ac:dyDescent="0.2">
      <c r="B116" s="43" t="s">
        <v>33</v>
      </c>
      <c r="C116" s="51">
        <f>IF(F3="1",SUMIF(Data!A:A,$A$2,Data!X:X),0)</f>
        <v>0</v>
      </c>
      <c r="D116" s="51"/>
      <c r="E116" s="51">
        <f>E102</f>
        <v>3991942</v>
      </c>
      <c r="F116" s="49">
        <f t="shared" si="7"/>
        <v>3991942</v>
      </c>
      <c r="G116" s="59"/>
    </row>
    <row r="117" spans="1:7" s="11" customFormat="1" ht="15" thickBot="1" x14ac:dyDescent="0.25">
      <c r="B117" s="44" t="s">
        <v>941</v>
      </c>
      <c r="C117" s="53"/>
      <c r="D117" s="53">
        <f>IF(F3="1",SUMIF(Data!A:A,$A$2,Data!Q:Q),0)</f>
        <v>1330155</v>
      </c>
      <c r="E117" s="53"/>
      <c r="F117" s="50">
        <f>SUM(C117:E117)</f>
        <v>1330155</v>
      </c>
      <c r="G117" s="59"/>
    </row>
    <row r="118" spans="1:7" x14ac:dyDescent="0.2">
      <c r="B118" s="14" t="s">
        <v>35</v>
      </c>
      <c r="C118" s="5">
        <f>SUM(C109:C116)</f>
        <v>5410971</v>
      </c>
      <c r="D118" s="5">
        <f>SUM(D109:D116)</f>
        <v>0</v>
      </c>
      <c r="E118" s="5">
        <f>SUM(E109:E116)</f>
        <v>3991942</v>
      </c>
      <c r="F118" s="5">
        <f>SUM(F109:F116)</f>
        <v>9402913</v>
      </c>
    </row>
    <row r="119" spans="1:7" ht="15" thickBot="1" x14ac:dyDescent="0.25"/>
    <row r="120" spans="1:7" s="11" customFormat="1" ht="15" thickBot="1" x14ac:dyDescent="0.25">
      <c r="B120" s="57" t="s">
        <v>942</v>
      </c>
      <c r="C120" s="55"/>
      <c r="D120" s="55"/>
      <c r="E120" s="55">
        <f>IF(F3="1",SUMIF(Data!A:A,'57'!$A$2,Data!AM:AM),0)</f>
        <v>1291947</v>
      </c>
      <c r="F120" s="56">
        <f>SUM(C120:E120)</f>
        <v>1291947</v>
      </c>
      <c r="G120" s="59"/>
    </row>
    <row r="122" spans="1:7" s="63" customFormat="1" ht="101.25" customHeight="1" x14ac:dyDescent="0.2">
      <c r="A122" s="196" t="s">
        <v>943</v>
      </c>
      <c r="B122" s="196"/>
      <c r="C122" s="196"/>
      <c r="D122" s="196"/>
      <c r="E122" s="196"/>
      <c r="F122" s="196"/>
    </row>
  </sheetData>
  <mergeCells count="96">
    <mergeCell ref="B10:C10"/>
    <mergeCell ref="B4:C4"/>
    <mergeCell ref="B5:C5"/>
    <mergeCell ref="B6:C6"/>
    <mergeCell ref="B7:C7"/>
    <mergeCell ref="B8:C8"/>
    <mergeCell ref="B9:C9"/>
    <mergeCell ref="B22:C22"/>
    <mergeCell ref="B11:C11"/>
    <mergeCell ref="B12:C12"/>
    <mergeCell ref="B13:C13"/>
    <mergeCell ref="B14:C14"/>
    <mergeCell ref="B15:C15"/>
    <mergeCell ref="B16:C16"/>
    <mergeCell ref="B17:C17"/>
    <mergeCell ref="B18:C18"/>
    <mergeCell ref="B19:C19"/>
    <mergeCell ref="B20:C20"/>
    <mergeCell ref="B21:C21"/>
    <mergeCell ref="B36:C36"/>
    <mergeCell ref="B23:C23"/>
    <mergeCell ref="B24:C24"/>
    <mergeCell ref="B25:C25"/>
    <mergeCell ref="B26:C26"/>
    <mergeCell ref="B27:C27"/>
    <mergeCell ref="B28:C28"/>
    <mergeCell ref="B29:C29"/>
    <mergeCell ref="B30:C30"/>
    <mergeCell ref="B31:C31"/>
    <mergeCell ref="B32:C32"/>
    <mergeCell ref="B35:C35"/>
    <mergeCell ref="B48:C48"/>
    <mergeCell ref="B37:C37"/>
    <mergeCell ref="B38:C38"/>
    <mergeCell ref="B39:C39"/>
    <mergeCell ref="B40:C40"/>
    <mergeCell ref="B41:C41"/>
    <mergeCell ref="B42:C42"/>
    <mergeCell ref="B43:C43"/>
    <mergeCell ref="B44:C44"/>
    <mergeCell ref="B45:C45"/>
    <mergeCell ref="B46:C46"/>
    <mergeCell ref="B47:C47"/>
    <mergeCell ref="B60:C60"/>
    <mergeCell ref="B61:C61"/>
    <mergeCell ref="B62:C62"/>
    <mergeCell ref="B66:C66"/>
    <mergeCell ref="B73:C73"/>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E201"/>
  <sheetViews>
    <sheetView showGridLines="0" zoomScale="70" zoomScaleNormal="70" workbookViewId="0">
      <pane xSplit="1" ySplit="4" topLeftCell="B5" activePane="bottomRight" state="frozen"/>
      <selection pane="topRight" activeCell="B1" sqref="B1"/>
      <selection pane="bottomLeft" activeCell="A2" sqref="A2"/>
      <selection pane="bottomRight" activeCell="B5" sqref="B5"/>
    </sheetView>
  </sheetViews>
  <sheetFormatPr defaultColWidth="27.7109375" defaultRowHeight="15" outlineLevelCol="1" x14ac:dyDescent="0.25"/>
  <cols>
    <col min="1" max="1" width="17.28515625" bestFit="1" customWidth="1"/>
    <col min="2" max="4" width="27.7109375" customWidth="1" outlineLevel="1"/>
    <col min="5" max="5" width="17.28515625" customWidth="1" outlineLevel="1"/>
    <col min="6" max="11" width="27.7109375" customWidth="1" outlineLevel="1"/>
    <col min="12" max="12" width="17.7109375" customWidth="1" outlineLevel="1" collapsed="1"/>
    <col min="13" max="13" width="16.85546875" customWidth="1" outlineLevel="1"/>
    <col min="14" max="14" width="16.85546875" customWidth="1" outlineLevel="1" collapsed="1"/>
    <col min="15" max="15" width="18.42578125" customWidth="1"/>
    <col min="16" max="16" width="15" customWidth="1"/>
    <col min="17" max="17" width="27.7109375" hidden="1" customWidth="1" outlineLevel="1"/>
    <col min="18" max="18" width="17.140625" hidden="1" customWidth="1" outlineLevel="1"/>
    <col min="19" max="19" width="18.28515625" customWidth="1" collapsed="1"/>
    <col min="20" max="25" width="27.7109375" hidden="1" customWidth="1" outlineLevel="1"/>
    <col min="26" max="26" width="27.7109375" collapsed="1"/>
    <col min="27" max="32" width="27.7109375" hidden="1" customWidth="1" outlineLevel="1"/>
    <col min="33" max="33" width="27.7109375" collapsed="1"/>
    <col min="34" max="39" width="27.7109375" customWidth="1" outlineLevel="1"/>
    <col min="41" max="44" width="27.7109375" customWidth="1" outlineLevel="1"/>
    <col min="46" max="49" width="27.7109375" customWidth="1" outlineLevel="1"/>
    <col min="51" max="54" width="27.7109375" customWidth="1" outlineLevel="1"/>
    <col min="56" max="56" width="27.7109375" customWidth="1" outlineLevel="1"/>
    <col min="57" max="57" width="28.7109375" customWidth="1" outlineLevel="1"/>
    <col min="58" max="60" width="27.7109375" customWidth="1" outlineLevel="1"/>
    <col min="62" max="66" width="27.7109375" customWidth="1" outlineLevel="1"/>
    <col min="68" max="72" width="27.7109375" customWidth="1" outlineLevel="1"/>
    <col min="74" max="78" width="27.7109375" customWidth="1" outlineLevel="1"/>
    <col min="80" max="94" width="27.7109375" customWidth="1" outlineLevel="1"/>
    <col min="96" max="96" width="27.7109375" customWidth="1" outlineLevel="1"/>
    <col min="99" max="127" width="27.7109375" customWidth="1" outlineLevel="1"/>
    <col min="129" max="157" width="27.7109375" customWidth="1" outlineLevel="1"/>
    <col min="159" max="187" width="27.7109375" customWidth="1" outlineLevel="1"/>
    <col min="189" max="217" width="27.7109375" customWidth="1" outlineLevel="1"/>
    <col min="219" max="247" width="27.7109375" customWidth="1" outlineLevel="1"/>
    <col min="249" max="277" width="27.7109375" customWidth="1" outlineLevel="1"/>
    <col min="279" max="307" width="27.7109375" customWidth="1" outlineLevel="1"/>
  </cols>
  <sheetData>
    <row r="1" spans="1:314" s="41" customFormat="1" ht="120" x14ac:dyDescent="0.25">
      <c r="A1" s="41" t="s">
        <v>721</v>
      </c>
      <c r="B1" s="41" t="s">
        <v>911</v>
      </c>
      <c r="C1" s="41" t="s">
        <v>912</v>
      </c>
      <c r="D1" s="41" t="s">
        <v>913</v>
      </c>
      <c r="E1" s="41" t="s">
        <v>914</v>
      </c>
      <c r="F1" s="41" t="s">
        <v>915</v>
      </c>
      <c r="G1" s="41" t="s">
        <v>916</v>
      </c>
      <c r="H1" s="41" t="s">
        <v>917</v>
      </c>
      <c r="I1" s="41" t="s">
        <v>918</v>
      </c>
      <c r="J1" s="41" t="s">
        <v>919</v>
      </c>
      <c r="K1" s="41" t="s">
        <v>920</v>
      </c>
      <c r="L1" s="41" t="s">
        <v>474</v>
      </c>
      <c r="M1" s="41" t="s">
        <v>474</v>
      </c>
      <c r="N1" s="41" t="s">
        <v>474</v>
      </c>
      <c r="O1" s="41" t="s">
        <v>720</v>
      </c>
      <c r="P1" s="41" t="s">
        <v>474</v>
      </c>
      <c r="Q1" s="41" t="s">
        <v>909</v>
      </c>
      <c r="R1" s="41" t="s">
        <v>474</v>
      </c>
      <c r="S1" s="41" t="s">
        <v>474</v>
      </c>
      <c r="T1" s="41" t="s">
        <v>475</v>
      </c>
      <c r="U1" s="41" t="s">
        <v>476</v>
      </c>
      <c r="V1" s="41" t="s">
        <v>477</v>
      </c>
      <c r="W1" s="41" t="s">
        <v>483</v>
      </c>
      <c r="X1" s="41" t="s">
        <v>478</v>
      </c>
      <c r="Y1" s="41" t="s">
        <v>474</v>
      </c>
      <c r="Z1" s="41" t="s">
        <v>479</v>
      </c>
      <c r="AA1" s="41" t="s">
        <v>480</v>
      </c>
      <c r="AB1" s="41" t="s">
        <v>481</v>
      </c>
      <c r="AC1" s="41" t="s">
        <v>482</v>
      </c>
      <c r="AD1" s="41" t="s">
        <v>483</v>
      </c>
      <c r="AE1" s="41" t="s">
        <v>484</v>
      </c>
      <c r="AF1" s="41" t="s">
        <v>485</v>
      </c>
      <c r="AG1" s="41" t="s">
        <v>486</v>
      </c>
      <c r="AH1" s="41" t="s">
        <v>903</v>
      </c>
      <c r="AI1" s="41" t="s">
        <v>904</v>
      </c>
      <c r="AJ1" s="41" t="s">
        <v>905</v>
      </c>
      <c r="AK1" s="41" t="s">
        <v>906</v>
      </c>
      <c r="AL1" s="41" t="s">
        <v>907</v>
      </c>
      <c r="AM1" s="41" t="s">
        <v>908</v>
      </c>
      <c r="AN1" s="41" t="s">
        <v>910</v>
      </c>
      <c r="AO1" s="41" t="s">
        <v>488</v>
      </c>
      <c r="AP1" s="41" t="s">
        <v>487</v>
      </c>
      <c r="AQ1" s="41" t="s">
        <v>489</v>
      </c>
      <c r="AR1" s="41" t="s">
        <v>474</v>
      </c>
      <c r="AS1" s="41" t="s">
        <v>490</v>
      </c>
      <c r="AT1" s="41" t="s">
        <v>491</v>
      </c>
      <c r="AU1" s="41" t="s">
        <v>492</v>
      </c>
      <c r="AV1" s="41" t="s">
        <v>493</v>
      </c>
      <c r="AW1" s="41" t="s">
        <v>494</v>
      </c>
      <c r="AX1" s="41" t="s">
        <v>495</v>
      </c>
      <c r="AY1" s="41" t="s">
        <v>496</v>
      </c>
      <c r="AZ1" s="41" t="s">
        <v>497</v>
      </c>
      <c r="BA1" s="41" t="s">
        <v>498</v>
      </c>
      <c r="BB1" s="41" t="s">
        <v>499</v>
      </c>
      <c r="BC1" s="41" t="s">
        <v>500</v>
      </c>
      <c r="BD1" s="41" t="s">
        <v>501</v>
      </c>
      <c r="BE1" s="41" t="s">
        <v>502</v>
      </c>
      <c r="BF1" s="41" t="s">
        <v>474</v>
      </c>
      <c r="BG1" s="41" t="s">
        <v>474</v>
      </c>
      <c r="BH1" s="41" t="s">
        <v>474</v>
      </c>
      <c r="BI1" s="41" t="s">
        <v>503</v>
      </c>
      <c r="BJ1" s="41" t="s">
        <v>474</v>
      </c>
      <c r="BK1" s="41" t="s">
        <v>474</v>
      </c>
      <c r="BL1" s="41" t="s">
        <v>504</v>
      </c>
      <c r="BM1" s="41" t="s">
        <v>474</v>
      </c>
      <c r="BN1" s="41" t="s">
        <v>474</v>
      </c>
      <c r="BO1" s="41" t="s">
        <v>504</v>
      </c>
      <c r="BP1" s="41" t="s">
        <v>505</v>
      </c>
      <c r="BQ1" s="41" t="s">
        <v>506</v>
      </c>
      <c r="BR1" s="41" t="s">
        <v>474</v>
      </c>
      <c r="BS1" s="41" t="s">
        <v>474</v>
      </c>
      <c r="BT1" s="41" t="s">
        <v>507</v>
      </c>
      <c r="BU1" s="41" t="s">
        <v>508</v>
      </c>
      <c r="BV1" s="41" t="s">
        <v>509</v>
      </c>
      <c r="BW1" s="41" t="s">
        <v>510</v>
      </c>
      <c r="BX1" s="41" t="s">
        <v>511</v>
      </c>
      <c r="BY1" s="41" t="s">
        <v>474</v>
      </c>
      <c r="BZ1" s="41" t="s">
        <v>512</v>
      </c>
      <c r="CA1" s="41" t="s">
        <v>513</v>
      </c>
      <c r="CB1" s="41" t="s">
        <v>474</v>
      </c>
      <c r="CC1" s="41" t="s">
        <v>474</v>
      </c>
      <c r="CD1" s="41" t="s">
        <v>474</v>
      </c>
      <c r="CE1" s="41" t="s">
        <v>474</v>
      </c>
      <c r="CF1" s="41" t="s">
        <v>474</v>
      </c>
      <c r="CG1" s="41" t="s">
        <v>474</v>
      </c>
      <c r="CH1" s="41" t="s">
        <v>474</v>
      </c>
      <c r="CI1" s="41" t="s">
        <v>474</v>
      </c>
      <c r="CJ1" s="41" t="s">
        <v>474</v>
      </c>
      <c r="CK1" s="41" t="s">
        <v>474</v>
      </c>
      <c r="CL1" s="41" t="s">
        <v>474</v>
      </c>
      <c r="CM1" s="41" t="s">
        <v>474</v>
      </c>
      <c r="CN1" s="41" t="s">
        <v>474</v>
      </c>
      <c r="CO1" s="41" t="s">
        <v>474</v>
      </c>
      <c r="CP1" s="41" t="s">
        <v>474</v>
      </c>
      <c r="CQ1" s="41" t="s">
        <v>474</v>
      </c>
      <c r="CR1" s="41" t="s">
        <v>921</v>
      </c>
      <c r="CS1" s="41" t="s">
        <v>514</v>
      </c>
      <c r="CT1" s="41" t="s">
        <v>474</v>
      </c>
      <c r="CU1" s="41" t="s">
        <v>515</v>
      </c>
      <c r="CV1" s="41" t="s">
        <v>516</v>
      </c>
      <c r="CW1" s="41" t="s">
        <v>517</v>
      </c>
      <c r="CX1" s="41" t="s">
        <v>518</v>
      </c>
      <c r="CY1" s="41" t="s">
        <v>519</v>
      </c>
      <c r="CZ1" s="41" t="s">
        <v>520</v>
      </c>
      <c r="DA1" s="41" t="s">
        <v>521</v>
      </c>
      <c r="DB1" s="41" t="s">
        <v>522</v>
      </c>
      <c r="DC1" s="41" t="s">
        <v>523</v>
      </c>
      <c r="DD1" s="41" t="s">
        <v>524</v>
      </c>
      <c r="DE1" s="41" t="s">
        <v>525</v>
      </c>
      <c r="DF1" s="41" t="s">
        <v>526</v>
      </c>
      <c r="DG1" s="41" t="s">
        <v>527</v>
      </c>
      <c r="DH1" s="41" t="s">
        <v>528</v>
      </c>
      <c r="DI1" s="41" t="s">
        <v>529</v>
      </c>
      <c r="DJ1" s="41" t="s">
        <v>530</v>
      </c>
      <c r="DK1" s="41" t="s">
        <v>531</v>
      </c>
      <c r="DL1" s="41" t="s">
        <v>532</v>
      </c>
      <c r="DM1" s="41" t="s">
        <v>533</v>
      </c>
      <c r="DN1" s="41" t="s">
        <v>534</v>
      </c>
      <c r="DO1" s="41" t="s">
        <v>535</v>
      </c>
      <c r="DP1" s="41" t="s">
        <v>536</v>
      </c>
      <c r="DQ1" s="41" t="s">
        <v>537</v>
      </c>
      <c r="DR1" s="41" t="s">
        <v>538</v>
      </c>
      <c r="DS1" s="41" t="s">
        <v>539</v>
      </c>
      <c r="DT1" s="41" t="s">
        <v>540</v>
      </c>
      <c r="DU1" s="41" t="s">
        <v>474</v>
      </c>
      <c r="DV1" s="41" t="s">
        <v>541</v>
      </c>
      <c r="DW1" s="41" t="s">
        <v>542</v>
      </c>
      <c r="DX1" s="41" t="s">
        <v>543</v>
      </c>
      <c r="DY1" s="41" t="s">
        <v>544</v>
      </c>
      <c r="DZ1" s="41" t="s">
        <v>545</v>
      </c>
      <c r="EA1" s="41" t="s">
        <v>546</v>
      </c>
      <c r="EB1" s="41" t="s">
        <v>547</v>
      </c>
      <c r="EC1" s="41" t="s">
        <v>548</v>
      </c>
      <c r="ED1" s="41" t="s">
        <v>549</v>
      </c>
      <c r="EE1" s="41" t="s">
        <v>550</v>
      </c>
      <c r="EF1" s="41" t="s">
        <v>551</v>
      </c>
      <c r="EG1" s="41" t="s">
        <v>552</v>
      </c>
      <c r="EH1" s="41" t="s">
        <v>553</v>
      </c>
      <c r="EI1" s="41" t="s">
        <v>554</v>
      </c>
      <c r="EJ1" s="41" t="s">
        <v>555</v>
      </c>
      <c r="EK1" s="41" t="s">
        <v>556</v>
      </c>
      <c r="EL1" s="41" t="s">
        <v>557</v>
      </c>
      <c r="EM1" s="41" t="s">
        <v>558</v>
      </c>
      <c r="EN1" s="41" t="s">
        <v>559</v>
      </c>
      <c r="EO1" s="41" t="s">
        <v>560</v>
      </c>
      <c r="EP1" s="41" t="s">
        <v>561</v>
      </c>
      <c r="EQ1" s="41" t="s">
        <v>562</v>
      </c>
      <c r="ER1" s="41" t="s">
        <v>563</v>
      </c>
      <c r="ES1" s="41" t="s">
        <v>564</v>
      </c>
      <c r="ET1" s="41" t="s">
        <v>565</v>
      </c>
      <c r="EU1" s="41" t="s">
        <v>566</v>
      </c>
      <c r="EV1" s="41" t="s">
        <v>567</v>
      </c>
      <c r="EW1" s="41" t="s">
        <v>568</v>
      </c>
      <c r="EX1" s="41" t="s">
        <v>569</v>
      </c>
      <c r="EY1" s="41" t="s">
        <v>474</v>
      </c>
      <c r="EZ1" s="41" t="s">
        <v>570</v>
      </c>
      <c r="FA1" s="41" t="s">
        <v>571</v>
      </c>
      <c r="FB1" s="41" t="s">
        <v>572</v>
      </c>
      <c r="FC1" s="41" t="s">
        <v>573</v>
      </c>
      <c r="FD1" s="41" t="s">
        <v>574</v>
      </c>
      <c r="FE1" s="41" t="s">
        <v>575</v>
      </c>
      <c r="FF1" s="41" t="s">
        <v>576</v>
      </c>
      <c r="FG1" s="41" t="s">
        <v>577</v>
      </c>
      <c r="FH1" s="41" t="s">
        <v>578</v>
      </c>
      <c r="FI1" s="41" t="s">
        <v>579</v>
      </c>
      <c r="FJ1" s="41" t="s">
        <v>580</v>
      </c>
      <c r="FK1" s="41" t="s">
        <v>581</v>
      </c>
      <c r="FL1" s="41" t="s">
        <v>582</v>
      </c>
      <c r="FM1" s="41" t="s">
        <v>583</v>
      </c>
      <c r="FN1" s="41" t="s">
        <v>584</v>
      </c>
      <c r="FO1" s="41" t="s">
        <v>585</v>
      </c>
      <c r="FP1" s="41" t="s">
        <v>586</v>
      </c>
      <c r="FQ1" s="41" t="s">
        <v>587</v>
      </c>
      <c r="FR1" s="41" t="s">
        <v>588</v>
      </c>
      <c r="FS1" s="41" t="s">
        <v>589</v>
      </c>
      <c r="FT1" s="41" t="s">
        <v>590</v>
      </c>
      <c r="FU1" s="41" t="s">
        <v>591</v>
      </c>
      <c r="FV1" s="41" t="s">
        <v>592</v>
      </c>
      <c r="FW1" s="41" t="s">
        <v>593</v>
      </c>
      <c r="FX1" s="41" t="s">
        <v>594</v>
      </c>
      <c r="FY1" s="41" t="s">
        <v>595</v>
      </c>
      <c r="FZ1" s="41" t="s">
        <v>596</v>
      </c>
      <c r="GA1" s="41" t="s">
        <v>597</v>
      </c>
      <c r="GB1" s="41" t="s">
        <v>598</v>
      </c>
      <c r="GC1" s="41" t="s">
        <v>474</v>
      </c>
      <c r="GD1" s="41" t="s">
        <v>599</v>
      </c>
      <c r="GE1" s="41" t="s">
        <v>600</v>
      </c>
      <c r="GF1" s="41" t="s">
        <v>601</v>
      </c>
      <c r="GG1" s="41" t="s">
        <v>602</v>
      </c>
      <c r="GH1" s="41" t="s">
        <v>603</v>
      </c>
      <c r="GI1" s="41" t="s">
        <v>604</v>
      </c>
      <c r="GJ1" s="41" t="s">
        <v>605</v>
      </c>
      <c r="GK1" s="41" t="s">
        <v>606</v>
      </c>
      <c r="GL1" s="41" t="s">
        <v>607</v>
      </c>
      <c r="GM1" s="41" t="s">
        <v>608</v>
      </c>
      <c r="GN1" s="41" t="s">
        <v>609</v>
      </c>
      <c r="GO1" s="41" t="s">
        <v>610</v>
      </c>
      <c r="GP1" s="41" t="s">
        <v>611</v>
      </c>
      <c r="GQ1" s="41" t="s">
        <v>612</v>
      </c>
      <c r="GR1" s="41" t="s">
        <v>613</v>
      </c>
      <c r="GS1" s="41" t="s">
        <v>614</v>
      </c>
      <c r="GT1" s="41" t="s">
        <v>615</v>
      </c>
      <c r="GU1" s="41" t="s">
        <v>616</v>
      </c>
      <c r="GV1" s="41" t="s">
        <v>617</v>
      </c>
      <c r="GW1" s="41" t="s">
        <v>618</v>
      </c>
      <c r="GX1" s="41" t="s">
        <v>619</v>
      </c>
      <c r="GY1" s="41" t="s">
        <v>620</v>
      </c>
      <c r="GZ1" s="41" t="s">
        <v>621</v>
      </c>
      <c r="HA1" s="41" t="s">
        <v>622</v>
      </c>
      <c r="HB1" s="41" t="s">
        <v>623</v>
      </c>
      <c r="HC1" s="41" t="s">
        <v>624</v>
      </c>
      <c r="HD1" s="41" t="s">
        <v>625</v>
      </c>
      <c r="HE1" s="41" t="s">
        <v>626</v>
      </c>
      <c r="HF1" s="41" t="s">
        <v>627</v>
      </c>
      <c r="HG1" s="41" t="s">
        <v>474</v>
      </c>
      <c r="HH1" s="41" t="s">
        <v>628</v>
      </c>
      <c r="HI1" s="41" t="s">
        <v>629</v>
      </c>
      <c r="HJ1" s="41" t="s">
        <v>630</v>
      </c>
      <c r="HK1" s="41" t="s">
        <v>631</v>
      </c>
      <c r="HL1" s="41" t="s">
        <v>632</v>
      </c>
      <c r="HM1" s="41" t="s">
        <v>633</v>
      </c>
      <c r="HN1" s="41" t="s">
        <v>634</v>
      </c>
      <c r="HO1" s="41" t="s">
        <v>635</v>
      </c>
      <c r="HP1" s="41" t="s">
        <v>636</v>
      </c>
      <c r="HQ1" s="41" t="s">
        <v>637</v>
      </c>
      <c r="HR1" s="41" t="s">
        <v>638</v>
      </c>
      <c r="HS1" s="41" t="s">
        <v>639</v>
      </c>
      <c r="HT1" s="41" t="s">
        <v>640</v>
      </c>
      <c r="HU1" s="41" t="s">
        <v>641</v>
      </c>
      <c r="HV1" s="41" t="s">
        <v>642</v>
      </c>
      <c r="HW1" s="41" t="s">
        <v>643</v>
      </c>
      <c r="HX1" s="41" t="s">
        <v>644</v>
      </c>
      <c r="HY1" s="41" t="s">
        <v>645</v>
      </c>
      <c r="HZ1" s="41" t="s">
        <v>646</v>
      </c>
      <c r="IA1" s="41" t="s">
        <v>647</v>
      </c>
      <c r="IB1" s="41" t="s">
        <v>648</v>
      </c>
      <c r="IC1" s="41" t="s">
        <v>649</v>
      </c>
      <c r="ID1" s="41" t="s">
        <v>650</v>
      </c>
      <c r="IE1" s="41" t="s">
        <v>651</v>
      </c>
      <c r="IF1" s="41" t="s">
        <v>652</v>
      </c>
      <c r="IG1" s="41" t="s">
        <v>653</v>
      </c>
      <c r="IH1" s="41" t="s">
        <v>654</v>
      </c>
      <c r="II1" s="41" t="s">
        <v>655</v>
      </c>
      <c r="IJ1" s="41" t="s">
        <v>656</v>
      </c>
      <c r="IK1" s="41" t="s">
        <v>474</v>
      </c>
      <c r="IL1" s="41" t="s">
        <v>657</v>
      </c>
      <c r="IM1" s="41" t="s">
        <v>658</v>
      </c>
      <c r="IN1" s="41" t="s">
        <v>659</v>
      </c>
      <c r="IO1" s="41" t="s">
        <v>660</v>
      </c>
      <c r="IP1" s="41" t="s">
        <v>661</v>
      </c>
      <c r="IQ1" s="41" t="s">
        <v>662</v>
      </c>
      <c r="IR1" s="41" t="s">
        <v>663</v>
      </c>
      <c r="IS1" s="41" t="s">
        <v>664</v>
      </c>
      <c r="IT1" s="41" t="s">
        <v>665</v>
      </c>
      <c r="IU1" s="41" t="s">
        <v>666</v>
      </c>
      <c r="IV1" s="41" t="s">
        <v>667</v>
      </c>
      <c r="IW1" s="41" t="s">
        <v>668</v>
      </c>
      <c r="IX1" s="41" t="s">
        <v>669</v>
      </c>
      <c r="IY1" s="41" t="s">
        <v>670</v>
      </c>
      <c r="IZ1" s="41" t="s">
        <v>671</v>
      </c>
      <c r="JA1" s="41" t="s">
        <v>672</v>
      </c>
      <c r="JB1" s="41" t="s">
        <v>673</v>
      </c>
      <c r="JC1" s="41" t="s">
        <v>674</v>
      </c>
      <c r="JD1" s="41" t="s">
        <v>675</v>
      </c>
      <c r="JE1" s="41" t="s">
        <v>676</v>
      </c>
      <c r="JF1" s="41" t="s">
        <v>677</v>
      </c>
      <c r="JG1" s="41" t="s">
        <v>678</v>
      </c>
      <c r="JH1" s="41" t="s">
        <v>679</v>
      </c>
      <c r="JI1" s="41" t="s">
        <v>680</v>
      </c>
      <c r="JJ1" s="41" t="s">
        <v>681</v>
      </c>
      <c r="JK1" s="41" t="s">
        <v>682</v>
      </c>
      <c r="JL1" s="41" t="s">
        <v>683</v>
      </c>
      <c r="JM1" s="41" t="s">
        <v>684</v>
      </c>
      <c r="JN1" s="41" t="s">
        <v>685</v>
      </c>
      <c r="JO1" s="41" t="s">
        <v>474</v>
      </c>
      <c r="JP1" s="41" t="s">
        <v>686</v>
      </c>
      <c r="JQ1" s="41" t="s">
        <v>687</v>
      </c>
      <c r="JR1" s="41" t="s">
        <v>688</v>
      </c>
      <c r="JS1" s="41" t="s">
        <v>689</v>
      </c>
      <c r="JT1" s="41" t="s">
        <v>690</v>
      </c>
      <c r="JU1" s="41" t="s">
        <v>691</v>
      </c>
      <c r="JV1" s="41" t="s">
        <v>692</v>
      </c>
      <c r="JW1" s="41" t="s">
        <v>693</v>
      </c>
      <c r="JX1" s="41" t="s">
        <v>694</v>
      </c>
      <c r="JY1" s="41" t="s">
        <v>695</v>
      </c>
      <c r="JZ1" s="41" t="s">
        <v>696</v>
      </c>
      <c r="KA1" s="41" t="s">
        <v>697</v>
      </c>
      <c r="KB1" s="41" t="s">
        <v>698</v>
      </c>
      <c r="KC1" s="41" t="s">
        <v>699</v>
      </c>
      <c r="KD1" s="41" t="s">
        <v>700</v>
      </c>
      <c r="KE1" s="41" t="s">
        <v>701</v>
      </c>
      <c r="KF1" s="41" t="s">
        <v>702</v>
      </c>
      <c r="KG1" s="41" t="s">
        <v>703</v>
      </c>
      <c r="KH1" s="41" t="s">
        <v>704</v>
      </c>
      <c r="KI1" s="41" t="s">
        <v>705</v>
      </c>
      <c r="KJ1" s="41" t="s">
        <v>706</v>
      </c>
      <c r="KK1" s="41" t="s">
        <v>707</v>
      </c>
      <c r="KL1" s="41" t="s">
        <v>708</v>
      </c>
      <c r="KM1" s="41" t="s">
        <v>709</v>
      </c>
      <c r="KN1" s="41" t="s">
        <v>710</v>
      </c>
      <c r="KO1" s="41" t="s">
        <v>711</v>
      </c>
      <c r="KP1" s="41" t="s">
        <v>712</v>
      </c>
      <c r="KQ1" s="41" t="s">
        <v>713</v>
      </c>
      <c r="KR1" s="41" t="s">
        <v>714</v>
      </c>
      <c r="KS1" s="41" t="s">
        <v>474</v>
      </c>
      <c r="KT1" s="41" t="s">
        <v>715</v>
      </c>
      <c r="KU1" s="41" t="s">
        <v>716</v>
      </c>
      <c r="KV1" s="41" t="s">
        <v>717</v>
      </c>
      <c r="KW1" s="41" t="s">
        <v>902</v>
      </c>
      <c r="KX1" s="41" t="s">
        <v>901</v>
      </c>
      <c r="KY1" s="41" t="s">
        <v>1022</v>
      </c>
      <c r="KZ1" s="41" t="s">
        <v>900</v>
      </c>
      <c r="LA1" s="41" t="s">
        <v>719</v>
      </c>
      <c r="LB1" s="41" t="s">
        <v>718</v>
      </c>
    </row>
    <row r="2" spans="1:314" s="41" customFormat="1" x14ac:dyDescent="0.25">
      <c r="A2" s="41" t="s">
        <v>722</v>
      </c>
      <c r="B2" s="41" t="s">
        <v>922</v>
      </c>
      <c r="C2" s="41" t="s">
        <v>923</v>
      </c>
      <c r="D2" s="41" t="s">
        <v>923</v>
      </c>
      <c r="E2" s="41" t="s">
        <v>923</v>
      </c>
      <c r="F2" s="41" t="s">
        <v>924</v>
      </c>
      <c r="G2" s="41" t="s">
        <v>923</v>
      </c>
      <c r="H2" s="41" t="s">
        <v>925</v>
      </c>
      <c r="I2" s="41" t="s">
        <v>925</v>
      </c>
      <c r="J2" s="41" t="s">
        <v>925</v>
      </c>
      <c r="K2" s="41" t="s">
        <v>925</v>
      </c>
      <c r="L2" s="41" t="s">
        <v>474</v>
      </c>
      <c r="M2" s="41" t="s">
        <v>474</v>
      </c>
      <c r="N2" s="41" t="s">
        <v>474</v>
      </c>
      <c r="O2" s="41" t="s">
        <v>926</v>
      </c>
      <c r="P2" s="41" t="s">
        <v>474</v>
      </c>
      <c r="Q2" s="41" t="s">
        <v>927</v>
      </c>
      <c r="R2" s="41" t="s">
        <v>474</v>
      </c>
      <c r="S2" s="41" t="s">
        <v>927</v>
      </c>
      <c r="T2" s="41" t="s">
        <v>928</v>
      </c>
      <c r="U2" s="41" t="s">
        <v>928</v>
      </c>
      <c r="V2" s="41" t="s">
        <v>928</v>
      </c>
      <c r="W2" s="41" t="s">
        <v>928</v>
      </c>
      <c r="X2" s="41" t="s">
        <v>928</v>
      </c>
      <c r="Y2" s="41" t="s">
        <v>928</v>
      </c>
      <c r="Z2" s="41" t="s">
        <v>928</v>
      </c>
      <c r="AA2" s="41" t="s">
        <v>928</v>
      </c>
      <c r="AB2" s="41" t="s">
        <v>928</v>
      </c>
      <c r="AC2" s="41" t="s">
        <v>928</v>
      </c>
      <c r="AD2" s="41" t="s">
        <v>928</v>
      </c>
      <c r="AE2" s="41" t="s">
        <v>928</v>
      </c>
      <c r="AF2" s="41" t="s">
        <v>928</v>
      </c>
      <c r="AG2" s="41" t="s">
        <v>928</v>
      </c>
      <c r="AH2" s="41" t="s">
        <v>928</v>
      </c>
      <c r="AI2" s="41" t="s">
        <v>928</v>
      </c>
      <c r="AJ2" s="41" t="s">
        <v>928</v>
      </c>
      <c r="AK2" s="41" t="s">
        <v>928</v>
      </c>
      <c r="AL2" s="41" t="s">
        <v>928</v>
      </c>
      <c r="AM2" s="41" t="s">
        <v>928</v>
      </c>
      <c r="AN2" s="41" t="s">
        <v>928</v>
      </c>
      <c r="AO2" s="41" t="s">
        <v>929</v>
      </c>
      <c r="AP2" s="41" t="s">
        <v>929</v>
      </c>
      <c r="AQ2" s="41" t="s">
        <v>929</v>
      </c>
      <c r="AR2" s="41" t="s">
        <v>929</v>
      </c>
      <c r="AS2" s="41" t="s">
        <v>929</v>
      </c>
      <c r="AT2" s="41" t="s">
        <v>929</v>
      </c>
      <c r="AU2" s="41" t="s">
        <v>929</v>
      </c>
      <c r="AV2" s="41" t="s">
        <v>929</v>
      </c>
      <c r="AW2" s="41" t="s">
        <v>929</v>
      </c>
      <c r="AX2" s="41" t="s">
        <v>929</v>
      </c>
      <c r="AY2" s="41" t="s">
        <v>929</v>
      </c>
      <c r="AZ2" s="41" t="s">
        <v>929</v>
      </c>
      <c r="BA2" s="41" t="s">
        <v>929</v>
      </c>
      <c r="BB2" s="41" t="s">
        <v>929</v>
      </c>
      <c r="BC2" s="41" t="s">
        <v>929</v>
      </c>
      <c r="BD2" s="41" t="s">
        <v>930</v>
      </c>
      <c r="BE2" s="41" t="s">
        <v>930</v>
      </c>
      <c r="BF2" s="41" t="s">
        <v>930</v>
      </c>
      <c r="BG2" s="41" t="s">
        <v>930</v>
      </c>
      <c r="BH2" s="41" t="s">
        <v>930</v>
      </c>
      <c r="BI2" s="41" t="s">
        <v>930</v>
      </c>
      <c r="BJ2" s="41" t="s">
        <v>930</v>
      </c>
      <c r="BK2" s="41" t="s">
        <v>930</v>
      </c>
      <c r="BL2" s="41" t="s">
        <v>930</v>
      </c>
      <c r="BM2" s="41" t="s">
        <v>930</v>
      </c>
      <c r="BN2" s="41" t="s">
        <v>930</v>
      </c>
      <c r="BO2" s="41" t="s">
        <v>930</v>
      </c>
      <c r="BP2" s="41" t="s">
        <v>930</v>
      </c>
      <c r="BQ2" s="41" t="s">
        <v>930</v>
      </c>
      <c r="BR2" s="41" t="s">
        <v>930</v>
      </c>
      <c r="BS2" s="41" t="s">
        <v>930</v>
      </c>
      <c r="BT2" s="41" t="s">
        <v>930</v>
      </c>
      <c r="BU2" s="41" t="s">
        <v>930</v>
      </c>
      <c r="BV2" s="41" t="s">
        <v>930</v>
      </c>
      <c r="BW2" s="41" t="s">
        <v>930</v>
      </c>
      <c r="BX2" s="41" t="s">
        <v>930</v>
      </c>
      <c r="BY2" s="41" t="s">
        <v>930</v>
      </c>
      <c r="BZ2" s="41" t="s">
        <v>930</v>
      </c>
      <c r="CA2" s="41" t="s">
        <v>930</v>
      </c>
      <c r="CB2" s="41" t="s">
        <v>474</v>
      </c>
      <c r="CC2" s="41" t="s">
        <v>474</v>
      </c>
      <c r="CD2" s="41" t="s">
        <v>474</v>
      </c>
      <c r="CE2" s="41" t="s">
        <v>474</v>
      </c>
      <c r="CF2" s="41" t="s">
        <v>474</v>
      </c>
      <c r="CG2" s="41" t="s">
        <v>474</v>
      </c>
      <c r="CH2" s="41" t="s">
        <v>474</v>
      </c>
      <c r="CI2" s="41" t="s">
        <v>474</v>
      </c>
      <c r="CJ2" s="41" t="s">
        <v>474</v>
      </c>
      <c r="CK2" s="41" t="s">
        <v>474</v>
      </c>
      <c r="CL2" s="41" t="s">
        <v>474</v>
      </c>
      <c r="CM2" s="41" t="s">
        <v>474</v>
      </c>
      <c r="CN2" s="41" t="s">
        <v>474</v>
      </c>
      <c r="CO2" s="41" t="s">
        <v>474</v>
      </c>
      <c r="CP2" s="41" t="s">
        <v>474</v>
      </c>
      <c r="CQ2" s="41" t="s">
        <v>474</v>
      </c>
      <c r="CR2" s="41" t="s">
        <v>923</v>
      </c>
      <c r="CS2" s="41" t="s">
        <v>926</v>
      </c>
      <c r="CT2" s="41" t="s">
        <v>474</v>
      </c>
      <c r="CU2" s="41" t="s">
        <v>926</v>
      </c>
      <c r="CV2" s="41" t="s">
        <v>926</v>
      </c>
      <c r="CW2" s="41" t="s">
        <v>926</v>
      </c>
      <c r="CX2" s="41" t="s">
        <v>926</v>
      </c>
      <c r="CY2" s="41" t="s">
        <v>926</v>
      </c>
      <c r="CZ2" s="41" t="s">
        <v>926</v>
      </c>
      <c r="DA2" s="41" t="s">
        <v>926</v>
      </c>
      <c r="DB2" s="41" t="s">
        <v>926</v>
      </c>
      <c r="DC2" s="41" t="s">
        <v>926</v>
      </c>
      <c r="DD2" s="41" t="s">
        <v>926</v>
      </c>
      <c r="DE2" s="41" t="s">
        <v>926</v>
      </c>
      <c r="DF2" s="41" t="s">
        <v>926</v>
      </c>
      <c r="DG2" s="41" t="s">
        <v>926</v>
      </c>
      <c r="DH2" s="41" t="s">
        <v>926</v>
      </c>
      <c r="DI2" s="41" t="s">
        <v>926</v>
      </c>
      <c r="DJ2" s="41" t="s">
        <v>926</v>
      </c>
      <c r="DK2" s="41" t="s">
        <v>926</v>
      </c>
      <c r="DL2" s="41" t="s">
        <v>926</v>
      </c>
      <c r="DM2" s="41" t="s">
        <v>926</v>
      </c>
      <c r="DN2" s="41" t="s">
        <v>926</v>
      </c>
      <c r="DO2" s="41" t="s">
        <v>926</v>
      </c>
      <c r="DP2" s="41" t="s">
        <v>926</v>
      </c>
      <c r="DQ2" s="41" t="s">
        <v>926</v>
      </c>
      <c r="DR2" s="41" t="s">
        <v>926</v>
      </c>
      <c r="DS2" s="41" t="s">
        <v>926</v>
      </c>
      <c r="DT2" s="41" t="s">
        <v>926</v>
      </c>
      <c r="DU2" s="41" t="s">
        <v>926</v>
      </c>
      <c r="DV2" s="41" t="s">
        <v>926</v>
      </c>
      <c r="DW2" s="41" t="s">
        <v>926</v>
      </c>
      <c r="DX2" s="41" t="s">
        <v>926</v>
      </c>
      <c r="DY2" s="41" t="s">
        <v>926</v>
      </c>
      <c r="DZ2" s="41" t="s">
        <v>926</v>
      </c>
      <c r="EA2" s="41" t="s">
        <v>926</v>
      </c>
      <c r="EB2" s="41" t="s">
        <v>926</v>
      </c>
      <c r="EC2" s="41" t="s">
        <v>926</v>
      </c>
      <c r="ED2" s="41" t="s">
        <v>926</v>
      </c>
      <c r="EE2" s="41" t="s">
        <v>926</v>
      </c>
      <c r="EF2" s="41" t="s">
        <v>926</v>
      </c>
      <c r="EG2" s="41" t="s">
        <v>926</v>
      </c>
      <c r="EH2" s="41" t="s">
        <v>926</v>
      </c>
      <c r="EI2" s="41" t="s">
        <v>926</v>
      </c>
      <c r="EJ2" s="41" t="s">
        <v>926</v>
      </c>
      <c r="EK2" s="41" t="s">
        <v>926</v>
      </c>
      <c r="EL2" s="41" t="s">
        <v>926</v>
      </c>
      <c r="EM2" s="41" t="s">
        <v>926</v>
      </c>
      <c r="EN2" s="41" t="s">
        <v>926</v>
      </c>
      <c r="EO2" s="41" t="s">
        <v>926</v>
      </c>
      <c r="EP2" s="41" t="s">
        <v>926</v>
      </c>
      <c r="EQ2" s="41" t="s">
        <v>926</v>
      </c>
      <c r="ER2" s="41" t="s">
        <v>926</v>
      </c>
      <c r="ES2" s="41" t="s">
        <v>926</v>
      </c>
      <c r="ET2" s="41" t="s">
        <v>926</v>
      </c>
      <c r="EU2" s="41" t="s">
        <v>926</v>
      </c>
      <c r="EV2" s="41" t="s">
        <v>926</v>
      </c>
      <c r="EW2" s="41" t="s">
        <v>926</v>
      </c>
      <c r="EX2" s="41" t="s">
        <v>926</v>
      </c>
      <c r="EY2" s="41" t="s">
        <v>926</v>
      </c>
      <c r="EZ2" s="41" t="s">
        <v>926</v>
      </c>
      <c r="FA2" s="41" t="s">
        <v>926</v>
      </c>
      <c r="FB2" s="41" t="s">
        <v>926</v>
      </c>
      <c r="FC2" s="41" t="s">
        <v>926</v>
      </c>
      <c r="FD2" s="41" t="s">
        <v>926</v>
      </c>
      <c r="FE2" s="41" t="s">
        <v>926</v>
      </c>
      <c r="FF2" s="41" t="s">
        <v>926</v>
      </c>
      <c r="FG2" s="41" t="s">
        <v>926</v>
      </c>
      <c r="FH2" s="41" t="s">
        <v>926</v>
      </c>
      <c r="FI2" s="41" t="s">
        <v>926</v>
      </c>
      <c r="FJ2" s="41" t="s">
        <v>926</v>
      </c>
      <c r="FK2" s="41" t="s">
        <v>926</v>
      </c>
      <c r="FL2" s="41" t="s">
        <v>926</v>
      </c>
      <c r="FM2" s="41" t="s">
        <v>926</v>
      </c>
      <c r="FN2" s="41" t="s">
        <v>926</v>
      </c>
      <c r="FO2" s="41" t="s">
        <v>926</v>
      </c>
      <c r="FP2" s="41" t="s">
        <v>926</v>
      </c>
      <c r="FQ2" s="41" t="s">
        <v>926</v>
      </c>
      <c r="FR2" s="41" t="s">
        <v>926</v>
      </c>
      <c r="FS2" s="41" t="s">
        <v>926</v>
      </c>
      <c r="FT2" s="41" t="s">
        <v>926</v>
      </c>
      <c r="FU2" s="41" t="s">
        <v>926</v>
      </c>
      <c r="FV2" s="41" t="s">
        <v>926</v>
      </c>
      <c r="FW2" s="41" t="s">
        <v>926</v>
      </c>
      <c r="FX2" s="41" t="s">
        <v>926</v>
      </c>
      <c r="FY2" s="41" t="s">
        <v>926</v>
      </c>
      <c r="FZ2" s="41" t="s">
        <v>926</v>
      </c>
      <c r="GA2" s="41" t="s">
        <v>926</v>
      </c>
      <c r="GB2" s="41" t="s">
        <v>926</v>
      </c>
      <c r="GC2" s="41" t="s">
        <v>926</v>
      </c>
      <c r="GD2" s="41" t="s">
        <v>926</v>
      </c>
      <c r="GE2" s="41" t="s">
        <v>926</v>
      </c>
      <c r="GF2" s="41" t="s">
        <v>926</v>
      </c>
      <c r="GG2" s="41" t="s">
        <v>926</v>
      </c>
      <c r="GH2" s="41" t="s">
        <v>926</v>
      </c>
      <c r="GI2" s="41" t="s">
        <v>926</v>
      </c>
      <c r="GJ2" s="41" t="s">
        <v>926</v>
      </c>
      <c r="GK2" s="41" t="s">
        <v>926</v>
      </c>
      <c r="GL2" s="41" t="s">
        <v>926</v>
      </c>
      <c r="GM2" s="41" t="s">
        <v>926</v>
      </c>
      <c r="GN2" s="41" t="s">
        <v>926</v>
      </c>
      <c r="GO2" s="41" t="s">
        <v>926</v>
      </c>
      <c r="GP2" s="41" t="s">
        <v>926</v>
      </c>
      <c r="GQ2" s="41" t="s">
        <v>926</v>
      </c>
      <c r="GR2" s="41" t="s">
        <v>926</v>
      </c>
      <c r="GS2" s="41" t="s">
        <v>926</v>
      </c>
      <c r="GT2" s="41" t="s">
        <v>926</v>
      </c>
      <c r="GU2" s="41" t="s">
        <v>926</v>
      </c>
      <c r="GV2" s="41" t="s">
        <v>926</v>
      </c>
      <c r="GW2" s="41" t="s">
        <v>926</v>
      </c>
      <c r="GX2" s="41" t="s">
        <v>926</v>
      </c>
      <c r="GY2" s="41" t="s">
        <v>926</v>
      </c>
      <c r="GZ2" s="41" t="s">
        <v>926</v>
      </c>
      <c r="HA2" s="41" t="s">
        <v>926</v>
      </c>
      <c r="HB2" s="41" t="s">
        <v>926</v>
      </c>
      <c r="HC2" s="41" t="s">
        <v>926</v>
      </c>
      <c r="HD2" s="41" t="s">
        <v>926</v>
      </c>
      <c r="HE2" s="41" t="s">
        <v>926</v>
      </c>
      <c r="HF2" s="41" t="s">
        <v>926</v>
      </c>
      <c r="HG2" s="41" t="s">
        <v>926</v>
      </c>
      <c r="HH2" s="41" t="s">
        <v>926</v>
      </c>
      <c r="HI2" s="41" t="s">
        <v>926</v>
      </c>
      <c r="HJ2" s="41" t="s">
        <v>926</v>
      </c>
      <c r="HK2" s="41" t="s">
        <v>926</v>
      </c>
      <c r="HL2" s="41" t="s">
        <v>926</v>
      </c>
      <c r="HM2" s="41" t="s">
        <v>926</v>
      </c>
      <c r="HN2" s="41" t="s">
        <v>926</v>
      </c>
      <c r="HO2" s="41" t="s">
        <v>926</v>
      </c>
      <c r="HP2" s="41" t="s">
        <v>926</v>
      </c>
      <c r="HQ2" s="41" t="s">
        <v>926</v>
      </c>
      <c r="HR2" s="41" t="s">
        <v>926</v>
      </c>
      <c r="HS2" s="41" t="s">
        <v>926</v>
      </c>
      <c r="HT2" s="41" t="s">
        <v>926</v>
      </c>
      <c r="HU2" s="41" t="s">
        <v>926</v>
      </c>
      <c r="HV2" s="41" t="s">
        <v>926</v>
      </c>
      <c r="HW2" s="41" t="s">
        <v>926</v>
      </c>
      <c r="HX2" s="41" t="s">
        <v>926</v>
      </c>
      <c r="HY2" s="41" t="s">
        <v>926</v>
      </c>
      <c r="HZ2" s="41" t="s">
        <v>926</v>
      </c>
      <c r="IA2" s="41" t="s">
        <v>926</v>
      </c>
      <c r="IB2" s="41" t="s">
        <v>926</v>
      </c>
      <c r="IC2" s="41" t="s">
        <v>926</v>
      </c>
      <c r="ID2" s="41" t="s">
        <v>926</v>
      </c>
      <c r="IE2" s="41" t="s">
        <v>926</v>
      </c>
      <c r="IF2" s="41" t="s">
        <v>926</v>
      </c>
      <c r="IG2" s="41" t="s">
        <v>926</v>
      </c>
      <c r="IH2" s="41" t="s">
        <v>926</v>
      </c>
      <c r="II2" s="41" t="s">
        <v>926</v>
      </c>
      <c r="IJ2" s="41" t="s">
        <v>926</v>
      </c>
      <c r="IK2" s="41" t="s">
        <v>926</v>
      </c>
      <c r="IL2" s="41" t="s">
        <v>926</v>
      </c>
      <c r="IM2" s="41" t="s">
        <v>926</v>
      </c>
      <c r="IN2" s="41" t="s">
        <v>926</v>
      </c>
      <c r="IO2" s="41" t="s">
        <v>926</v>
      </c>
      <c r="IP2" s="41" t="s">
        <v>926</v>
      </c>
      <c r="IQ2" s="41" t="s">
        <v>926</v>
      </c>
      <c r="IR2" s="41" t="s">
        <v>926</v>
      </c>
      <c r="IS2" s="41" t="s">
        <v>926</v>
      </c>
      <c r="IT2" s="41" t="s">
        <v>926</v>
      </c>
      <c r="IU2" s="41" t="s">
        <v>926</v>
      </c>
      <c r="IV2" s="41" t="s">
        <v>926</v>
      </c>
      <c r="IW2" s="41" t="s">
        <v>926</v>
      </c>
      <c r="IX2" s="41" t="s">
        <v>926</v>
      </c>
      <c r="IY2" s="41" t="s">
        <v>926</v>
      </c>
      <c r="IZ2" s="41" t="s">
        <v>926</v>
      </c>
      <c r="JA2" s="41" t="s">
        <v>926</v>
      </c>
      <c r="JB2" s="41" t="s">
        <v>926</v>
      </c>
      <c r="JC2" s="41" t="s">
        <v>926</v>
      </c>
      <c r="JD2" s="41" t="s">
        <v>926</v>
      </c>
      <c r="JE2" s="41" t="s">
        <v>926</v>
      </c>
      <c r="JF2" s="41" t="s">
        <v>926</v>
      </c>
      <c r="JG2" s="41" t="s">
        <v>926</v>
      </c>
      <c r="JH2" s="41" t="s">
        <v>926</v>
      </c>
      <c r="JI2" s="41" t="s">
        <v>926</v>
      </c>
      <c r="JJ2" s="41" t="s">
        <v>926</v>
      </c>
      <c r="JK2" s="41" t="s">
        <v>926</v>
      </c>
      <c r="JL2" s="41" t="s">
        <v>926</v>
      </c>
      <c r="JM2" s="41" t="s">
        <v>926</v>
      </c>
      <c r="JN2" s="41" t="s">
        <v>926</v>
      </c>
      <c r="JO2" s="41" t="s">
        <v>926</v>
      </c>
      <c r="JP2" s="41" t="s">
        <v>926</v>
      </c>
      <c r="JQ2" s="41" t="s">
        <v>926</v>
      </c>
      <c r="JR2" s="41" t="s">
        <v>926</v>
      </c>
      <c r="JS2" s="41" t="s">
        <v>926</v>
      </c>
      <c r="JT2" s="41" t="s">
        <v>926</v>
      </c>
      <c r="JU2" s="41" t="s">
        <v>926</v>
      </c>
      <c r="JV2" s="41" t="s">
        <v>926</v>
      </c>
      <c r="JW2" s="41" t="s">
        <v>926</v>
      </c>
      <c r="JX2" s="41" t="s">
        <v>926</v>
      </c>
      <c r="JY2" s="41" t="s">
        <v>926</v>
      </c>
      <c r="JZ2" s="41" t="s">
        <v>926</v>
      </c>
      <c r="KA2" s="41" t="s">
        <v>926</v>
      </c>
      <c r="KB2" s="41" t="s">
        <v>926</v>
      </c>
      <c r="KC2" s="41" t="s">
        <v>926</v>
      </c>
      <c r="KD2" s="41" t="s">
        <v>926</v>
      </c>
      <c r="KE2" s="41" t="s">
        <v>926</v>
      </c>
      <c r="KF2" s="41" t="s">
        <v>926</v>
      </c>
      <c r="KG2" s="41" t="s">
        <v>926</v>
      </c>
      <c r="KH2" s="41" t="s">
        <v>926</v>
      </c>
      <c r="KI2" s="41" t="s">
        <v>926</v>
      </c>
      <c r="KJ2" s="41" t="s">
        <v>926</v>
      </c>
      <c r="KK2" s="41" t="s">
        <v>926</v>
      </c>
      <c r="KL2" s="41" t="s">
        <v>926</v>
      </c>
      <c r="KM2" s="41" t="s">
        <v>926</v>
      </c>
      <c r="KN2" s="41" t="s">
        <v>926</v>
      </c>
      <c r="KO2" s="41" t="s">
        <v>926</v>
      </c>
      <c r="KP2" s="41" t="s">
        <v>926</v>
      </c>
      <c r="KQ2" s="41" t="s">
        <v>926</v>
      </c>
      <c r="KR2" s="41" t="s">
        <v>926</v>
      </c>
      <c r="KS2" s="41" t="s">
        <v>926</v>
      </c>
      <c r="KT2" s="41" t="s">
        <v>926</v>
      </c>
      <c r="KU2" s="41" t="s">
        <v>926</v>
      </c>
      <c r="KV2" s="41" t="s">
        <v>926</v>
      </c>
      <c r="KW2" s="41" t="s">
        <v>926</v>
      </c>
      <c r="KX2" s="41" t="s">
        <v>931</v>
      </c>
      <c r="KY2" s="41" t="s">
        <v>932</v>
      </c>
      <c r="KZ2" s="41" t="s">
        <v>933</v>
      </c>
      <c r="LA2" s="41" t="s">
        <v>933</v>
      </c>
      <c r="LB2" s="41" t="s">
        <v>933</v>
      </c>
    </row>
    <row r="3" spans="1:314" s="41" customFormat="1" x14ac:dyDescent="0.25">
      <c r="A3" s="41" t="s">
        <v>723</v>
      </c>
      <c r="B3" s="41" t="s">
        <v>474</v>
      </c>
      <c r="C3" s="41" t="s">
        <v>474</v>
      </c>
      <c r="D3" s="41" t="s">
        <v>474</v>
      </c>
      <c r="E3" s="41" t="s">
        <v>474</v>
      </c>
      <c r="F3" s="41" t="s">
        <v>474</v>
      </c>
      <c r="G3" s="41" t="s">
        <v>474</v>
      </c>
      <c r="H3" s="41" t="s">
        <v>474</v>
      </c>
      <c r="I3" s="41" t="s">
        <v>474</v>
      </c>
      <c r="J3" s="41" t="s">
        <v>474</v>
      </c>
      <c r="K3" s="41" t="s">
        <v>474</v>
      </c>
      <c r="L3" s="41" t="s">
        <v>474</v>
      </c>
      <c r="M3" s="41" t="s">
        <v>474</v>
      </c>
      <c r="N3" s="41" t="s">
        <v>474</v>
      </c>
      <c r="O3" s="41" t="s">
        <v>474</v>
      </c>
      <c r="P3" s="41" t="s">
        <v>474</v>
      </c>
      <c r="Q3" s="41" t="s">
        <v>724</v>
      </c>
      <c r="R3" s="41" t="s">
        <v>474</v>
      </c>
      <c r="S3" s="41" t="s">
        <v>474</v>
      </c>
      <c r="T3" s="41" t="s">
        <v>474</v>
      </c>
      <c r="U3" s="41" t="s">
        <v>474</v>
      </c>
      <c r="V3" s="41" t="s">
        <v>474</v>
      </c>
      <c r="W3" s="41" t="s">
        <v>474</v>
      </c>
      <c r="X3" s="41" t="s">
        <v>474</v>
      </c>
      <c r="Y3" s="41" t="s">
        <v>474</v>
      </c>
      <c r="Z3" s="41" t="s">
        <v>474</v>
      </c>
      <c r="AA3" s="41" t="s">
        <v>474</v>
      </c>
      <c r="AB3" s="41" t="s">
        <v>474</v>
      </c>
      <c r="AC3" s="41" t="s">
        <v>474</v>
      </c>
      <c r="AD3" s="41" t="s">
        <v>474</v>
      </c>
      <c r="AE3" s="41" t="s">
        <v>474</v>
      </c>
      <c r="AF3" s="41" t="s">
        <v>474</v>
      </c>
      <c r="AG3" s="41" t="s">
        <v>474</v>
      </c>
      <c r="AH3" s="41" t="s">
        <v>725</v>
      </c>
      <c r="AI3" s="41" t="s">
        <v>726</v>
      </c>
      <c r="AJ3" s="41" t="s">
        <v>727</v>
      </c>
      <c r="AK3" s="41" t="s">
        <v>728</v>
      </c>
      <c r="AL3" s="41" t="s">
        <v>729</v>
      </c>
      <c r="AM3" s="41" t="s">
        <v>730</v>
      </c>
      <c r="AN3" s="41" t="s">
        <v>474</v>
      </c>
      <c r="AO3" s="41" t="s">
        <v>474</v>
      </c>
      <c r="AP3" s="41" t="s">
        <v>474</v>
      </c>
      <c r="AQ3" s="41" t="s">
        <v>474</v>
      </c>
      <c r="AR3" s="41" t="s">
        <v>474</v>
      </c>
      <c r="AS3" s="41" t="s">
        <v>474</v>
      </c>
      <c r="AT3" s="41" t="s">
        <v>474</v>
      </c>
      <c r="AU3" s="41" t="s">
        <v>474</v>
      </c>
      <c r="AV3" s="41" t="s">
        <v>474</v>
      </c>
      <c r="AW3" s="41" t="s">
        <v>474</v>
      </c>
      <c r="AX3" s="41" t="s">
        <v>474</v>
      </c>
      <c r="AY3" s="41" t="s">
        <v>474</v>
      </c>
      <c r="AZ3" s="41" t="s">
        <v>474</v>
      </c>
      <c r="BA3" s="41" t="s">
        <v>474</v>
      </c>
      <c r="BB3" s="41" t="s">
        <v>474</v>
      </c>
      <c r="BC3" s="41" t="s">
        <v>474</v>
      </c>
      <c r="BD3" s="41" t="s">
        <v>474</v>
      </c>
      <c r="BE3" s="41" t="s">
        <v>474</v>
      </c>
      <c r="BF3" s="41" t="s">
        <v>474</v>
      </c>
      <c r="BG3" s="41" t="s">
        <v>474</v>
      </c>
      <c r="BH3" s="41" t="s">
        <v>474</v>
      </c>
      <c r="BI3" s="41" t="s">
        <v>474</v>
      </c>
      <c r="BJ3" s="41" t="s">
        <v>474</v>
      </c>
      <c r="BK3" s="41" t="s">
        <v>474</v>
      </c>
      <c r="BL3" s="41" t="s">
        <v>474</v>
      </c>
      <c r="BM3" s="41" t="s">
        <v>474</v>
      </c>
      <c r="BN3" s="41" t="s">
        <v>474</v>
      </c>
      <c r="BO3" s="41" t="s">
        <v>474</v>
      </c>
      <c r="BP3" s="41" t="s">
        <v>474</v>
      </c>
      <c r="BQ3" s="41" t="s">
        <v>474</v>
      </c>
      <c r="BR3" s="41" t="s">
        <v>474</v>
      </c>
      <c r="BS3" s="41" t="s">
        <v>474</v>
      </c>
      <c r="BT3" s="41" t="s">
        <v>474</v>
      </c>
      <c r="BU3" s="41" t="s">
        <v>474</v>
      </c>
      <c r="BV3" s="41" t="s">
        <v>474</v>
      </c>
      <c r="BW3" s="41" t="s">
        <v>474</v>
      </c>
      <c r="BX3" s="41" t="s">
        <v>474</v>
      </c>
      <c r="BY3" s="41" t="s">
        <v>474</v>
      </c>
      <c r="BZ3" s="41" t="s">
        <v>474</v>
      </c>
      <c r="CA3" s="41" t="s">
        <v>474</v>
      </c>
      <c r="CB3" s="41" t="s">
        <v>474</v>
      </c>
      <c r="CC3" s="41" t="s">
        <v>474</v>
      </c>
      <c r="CD3" s="41" t="s">
        <v>474</v>
      </c>
      <c r="CE3" s="41" t="s">
        <v>474</v>
      </c>
      <c r="CF3" s="41" t="s">
        <v>474</v>
      </c>
      <c r="CG3" s="41" t="s">
        <v>474</v>
      </c>
      <c r="CH3" s="41" t="s">
        <v>474</v>
      </c>
      <c r="CI3" s="41" t="s">
        <v>474</v>
      </c>
      <c r="CJ3" s="41" t="s">
        <v>474</v>
      </c>
      <c r="CK3" s="41" t="s">
        <v>474</v>
      </c>
      <c r="CL3" s="41" t="s">
        <v>474</v>
      </c>
      <c r="CM3" s="41" t="s">
        <v>474</v>
      </c>
      <c r="CN3" s="41" t="s">
        <v>474</v>
      </c>
      <c r="CO3" s="41" t="s">
        <v>474</v>
      </c>
      <c r="CP3" s="41" t="s">
        <v>474</v>
      </c>
      <c r="CQ3" s="41" t="s">
        <v>474</v>
      </c>
      <c r="CR3" s="41" t="s">
        <v>474</v>
      </c>
      <c r="CS3" s="41" t="s">
        <v>474</v>
      </c>
      <c r="CT3" s="41" t="s">
        <v>474</v>
      </c>
      <c r="CU3" s="41" t="s">
        <v>731</v>
      </c>
      <c r="CV3" s="41" t="s">
        <v>732</v>
      </c>
      <c r="CW3" s="41" t="s">
        <v>733</v>
      </c>
      <c r="CX3" s="41" t="s">
        <v>734</v>
      </c>
      <c r="CY3" s="41" t="s">
        <v>735</v>
      </c>
      <c r="CZ3" s="41" t="s">
        <v>736</v>
      </c>
      <c r="DA3" s="41" t="s">
        <v>737</v>
      </c>
      <c r="DB3" s="41" t="s">
        <v>738</v>
      </c>
      <c r="DC3" s="41" t="s">
        <v>739</v>
      </c>
      <c r="DD3" s="41" t="s">
        <v>740</v>
      </c>
      <c r="DE3" s="41" t="s">
        <v>741</v>
      </c>
      <c r="DF3" s="41" t="s">
        <v>742</v>
      </c>
      <c r="DG3" s="41" t="s">
        <v>743</v>
      </c>
      <c r="DH3" s="41" t="s">
        <v>744</v>
      </c>
      <c r="DI3" s="41" t="s">
        <v>745</v>
      </c>
      <c r="DJ3" s="41" t="s">
        <v>746</v>
      </c>
      <c r="DK3" s="41" t="s">
        <v>747</v>
      </c>
      <c r="DL3" s="41" t="s">
        <v>748</v>
      </c>
      <c r="DM3" s="41" t="s">
        <v>749</v>
      </c>
      <c r="DN3" s="41" t="s">
        <v>750</v>
      </c>
      <c r="DO3" s="41" t="s">
        <v>751</v>
      </c>
      <c r="DP3" s="41" t="s">
        <v>752</v>
      </c>
      <c r="DQ3" s="41" t="s">
        <v>753</v>
      </c>
      <c r="DR3" s="41" t="s">
        <v>754</v>
      </c>
      <c r="DS3" s="41" t="s">
        <v>755</v>
      </c>
      <c r="DT3" s="41" t="s">
        <v>756</v>
      </c>
      <c r="DU3" s="41" t="s">
        <v>474</v>
      </c>
      <c r="DV3" s="41" t="s">
        <v>757</v>
      </c>
      <c r="DW3" s="41" t="s">
        <v>758</v>
      </c>
      <c r="DX3" s="41" t="s">
        <v>474</v>
      </c>
      <c r="DY3" s="41" t="s">
        <v>759</v>
      </c>
      <c r="DZ3" s="41" t="s">
        <v>760</v>
      </c>
      <c r="EA3" s="41" t="s">
        <v>761</v>
      </c>
      <c r="EB3" s="41" t="s">
        <v>762</v>
      </c>
      <c r="EC3" s="41" t="s">
        <v>763</v>
      </c>
      <c r="ED3" s="41" t="s">
        <v>764</v>
      </c>
      <c r="EE3" s="41" t="s">
        <v>765</v>
      </c>
      <c r="EF3" s="41" t="s">
        <v>766</v>
      </c>
      <c r="EG3" s="41" t="s">
        <v>767</v>
      </c>
      <c r="EH3" s="41" t="s">
        <v>768</v>
      </c>
      <c r="EI3" s="41" t="s">
        <v>769</v>
      </c>
      <c r="EJ3" s="41" t="s">
        <v>770</v>
      </c>
      <c r="EK3" s="41" t="s">
        <v>771</v>
      </c>
      <c r="EL3" s="41" t="s">
        <v>772</v>
      </c>
      <c r="EM3" s="41" t="s">
        <v>773</v>
      </c>
      <c r="EN3" s="41" t="s">
        <v>774</v>
      </c>
      <c r="EO3" s="41" t="s">
        <v>775</v>
      </c>
      <c r="EP3" s="41" t="s">
        <v>776</v>
      </c>
      <c r="EQ3" s="41" t="s">
        <v>777</v>
      </c>
      <c r="ER3" s="41" t="s">
        <v>778</v>
      </c>
      <c r="ES3" s="41" t="s">
        <v>779</v>
      </c>
      <c r="ET3" s="41" t="s">
        <v>780</v>
      </c>
      <c r="EU3" s="41" t="s">
        <v>781</v>
      </c>
      <c r="EV3" s="41" t="s">
        <v>782</v>
      </c>
      <c r="EW3" s="41" t="s">
        <v>783</v>
      </c>
      <c r="EX3" s="41" t="s">
        <v>784</v>
      </c>
      <c r="EY3" s="41" t="s">
        <v>474</v>
      </c>
      <c r="EZ3" s="41" t="s">
        <v>785</v>
      </c>
      <c r="FA3" s="41" t="s">
        <v>786</v>
      </c>
      <c r="FB3" s="41" t="s">
        <v>474</v>
      </c>
      <c r="FC3" s="41" t="s">
        <v>787</v>
      </c>
      <c r="FD3" s="41" t="s">
        <v>788</v>
      </c>
      <c r="FE3" s="41" t="s">
        <v>789</v>
      </c>
      <c r="FF3" s="41" t="s">
        <v>790</v>
      </c>
      <c r="FG3" s="41" t="s">
        <v>791</v>
      </c>
      <c r="FH3" s="41" t="s">
        <v>792</v>
      </c>
      <c r="FI3" s="41" t="s">
        <v>793</v>
      </c>
      <c r="FJ3" s="41" t="s">
        <v>794</v>
      </c>
      <c r="FK3" s="41" t="s">
        <v>795</v>
      </c>
      <c r="FL3" s="41" t="s">
        <v>796</v>
      </c>
      <c r="FM3" s="41" t="s">
        <v>797</v>
      </c>
      <c r="FN3" s="41" t="s">
        <v>798</v>
      </c>
      <c r="FO3" s="41" t="s">
        <v>799</v>
      </c>
      <c r="FP3" s="41" t="s">
        <v>800</v>
      </c>
      <c r="FQ3" s="41" t="s">
        <v>801</v>
      </c>
      <c r="FR3" s="41" t="s">
        <v>802</v>
      </c>
      <c r="FS3" s="41" t="s">
        <v>803</v>
      </c>
      <c r="FT3" s="41" t="s">
        <v>804</v>
      </c>
      <c r="FU3" s="41" t="s">
        <v>805</v>
      </c>
      <c r="FV3" s="41" t="s">
        <v>806</v>
      </c>
      <c r="FW3" s="41" t="s">
        <v>807</v>
      </c>
      <c r="FX3" s="41" t="s">
        <v>808</v>
      </c>
      <c r="FY3" s="41" t="s">
        <v>809</v>
      </c>
      <c r="FZ3" s="41" t="s">
        <v>810</v>
      </c>
      <c r="GA3" s="41" t="s">
        <v>811</v>
      </c>
      <c r="GB3" s="41" t="s">
        <v>812</v>
      </c>
      <c r="GC3" s="41" t="s">
        <v>474</v>
      </c>
      <c r="GD3" s="41" t="s">
        <v>813</v>
      </c>
      <c r="GE3" s="41" t="s">
        <v>814</v>
      </c>
      <c r="GF3" s="41" t="s">
        <v>474</v>
      </c>
      <c r="GG3" s="41" t="s">
        <v>815</v>
      </c>
      <c r="GH3" s="41" t="s">
        <v>816</v>
      </c>
      <c r="GI3" s="41" t="s">
        <v>817</v>
      </c>
      <c r="GJ3" s="41" t="s">
        <v>818</v>
      </c>
      <c r="GK3" s="41" t="s">
        <v>819</v>
      </c>
      <c r="GL3" s="41" t="s">
        <v>820</v>
      </c>
      <c r="GM3" s="41" t="s">
        <v>821</v>
      </c>
      <c r="GN3" s="41" t="s">
        <v>822</v>
      </c>
      <c r="GO3" s="41" t="s">
        <v>823</v>
      </c>
      <c r="GP3" s="41" t="s">
        <v>824</v>
      </c>
      <c r="GQ3" s="41" t="s">
        <v>825</v>
      </c>
      <c r="GR3" s="41" t="s">
        <v>826</v>
      </c>
      <c r="GS3" s="41" t="s">
        <v>827</v>
      </c>
      <c r="GT3" s="41" t="s">
        <v>828</v>
      </c>
      <c r="GU3" s="41" t="s">
        <v>829</v>
      </c>
      <c r="GV3" s="41" t="s">
        <v>830</v>
      </c>
      <c r="GW3" s="41" t="s">
        <v>831</v>
      </c>
      <c r="GX3" s="41" t="s">
        <v>832</v>
      </c>
      <c r="GY3" s="41" t="s">
        <v>833</v>
      </c>
      <c r="GZ3" s="41" t="s">
        <v>834</v>
      </c>
      <c r="HA3" s="41" t="s">
        <v>835</v>
      </c>
      <c r="HB3" s="41" t="s">
        <v>836</v>
      </c>
      <c r="HC3" s="41" t="s">
        <v>837</v>
      </c>
      <c r="HD3" s="41" t="s">
        <v>838</v>
      </c>
      <c r="HE3" s="41" t="s">
        <v>839</v>
      </c>
      <c r="HF3" s="41" t="s">
        <v>840</v>
      </c>
      <c r="HG3" s="41" t="s">
        <v>841</v>
      </c>
      <c r="HH3" s="41" t="s">
        <v>842</v>
      </c>
      <c r="HI3" s="41" t="s">
        <v>843</v>
      </c>
      <c r="HJ3" s="41" t="s">
        <v>474</v>
      </c>
      <c r="HK3" s="41" t="s">
        <v>844</v>
      </c>
      <c r="HL3" s="41" t="s">
        <v>845</v>
      </c>
      <c r="HM3" s="41" t="s">
        <v>846</v>
      </c>
      <c r="HN3" s="41" t="s">
        <v>847</v>
      </c>
      <c r="HO3" s="41" t="s">
        <v>848</v>
      </c>
      <c r="HP3" s="41" t="s">
        <v>849</v>
      </c>
      <c r="HQ3" s="41" t="s">
        <v>850</v>
      </c>
      <c r="HR3" s="41" t="s">
        <v>851</v>
      </c>
      <c r="HS3" s="41" t="s">
        <v>852</v>
      </c>
      <c r="HT3" s="41" t="s">
        <v>853</v>
      </c>
      <c r="HU3" s="41" t="s">
        <v>854</v>
      </c>
      <c r="HV3" s="41" t="s">
        <v>855</v>
      </c>
      <c r="HW3" s="41" t="s">
        <v>856</v>
      </c>
      <c r="HX3" s="41" t="s">
        <v>857</v>
      </c>
      <c r="HY3" s="41" t="s">
        <v>858</v>
      </c>
      <c r="HZ3" s="41" t="s">
        <v>859</v>
      </c>
      <c r="IA3" s="41" t="s">
        <v>860</v>
      </c>
      <c r="IB3" s="41" t="s">
        <v>861</v>
      </c>
      <c r="IC3" s="41" t="s">
        <v>862</v>
      </c>
      <c r="ID3" s="41" t="s">
        <v>863</v>
      </c>
      <c r="IE3" s="41" t="s">
        <v>864</v>
      </c>
      <c r="IF3" s="41" t="s">
        <v>865</v>
      </c>
      <c r="IG3" s="41" t="s">
        <v>866</v>
      </c>
      <c r="IH3" s="41" t="s">
        <v>867</v>
      </c>
      <c r="II3" s="41" t="s">
        <v>868</v>
      </c>
      <c r="IJ3" s="41" t="s">
        <v>869</v>
      </c>
      <c r="IK3" s="41" t="s">
        <v>474</v>
      </c>
      <c r="IL3" s="41" t="s">
        <v>870</v>
      </c>
      <c r="IM3" s="41" t="s">
        <v>871</v>
      </c>
      <c r="IN3" s="41" t="s">
        <v>474</v>
      </c>
      <c r="IO3" s="41" t="s">
        <v>872</v>
      </c>
      <c r="IP3" s="41" t="s">
        <v>873</v>
      </c>
      <c r="IQ3" s="41" t="s">
        <v>874</v>
      </c>
      <c r="IR3" s="41" t="s">
        <v>875</v>
      </c>
      <c r="IS3" s="41" t="s">
        <v>876</v>
      </c>
      <c r="IT3" s="41" t="s">
        <v>877</v>
      </c>
      <c r="IU3" s="41" t="s">
        <v>878</v>
      </c>
      <c r="IV3" s="41" t="s">
        <v>879</v>
      </c>
      <c r="IW3" s="41" t="s">
        <v>880</v>
      </c>
      <c r="IX3" s="41" t="s">
        <v>881</v>
      </c>
      <c r="IY3" s="41" t="s">
        <v>882</v>
      </c>
      <c r="IZ3" s="41" t="s">
        <v>883</v>
      </c>
      <c r="JA3" s="41" t="s">
        <v>884</v>
      </c>
      <c r="JB3" s="41" t="s">
        <v>885</v>
      </c>
      <c r="JC3" s="41" t="s">
        <v>886</v>
      </c>
      <c r="JD3" s="41" t="s">
        <v>887</v>
      </c>
      <c r="JE3" s="41" t="s">
        <v>888</v>
      </c>
      <c r="JF3" s="41" t="s">
        <v>889</v>
      </c>
      <c r="JG3" s="41" t="s">
        <v>890</v>
      </c>
      <c r="JH3" s="41" t="s">
        <v>891</v>
      </c>
      <c r="JI3" s="41" t="s">
        <v>892</v>
      </c>
      <c r="JJ3" s="41" t="s">
        <v>893</v>
      </c>
      <c r="JK3" s="41" t="s">
        <v>894</v>
      </c>
      <c r="JL3" s="41" t="s">
        <v>895</v>
      </c>
      <c r="JM3" s="41" t="s">
        <v>896</v>
      </c>
      <c r="JN3" s="41" t="s">
        <v>897</v>
      </c>
      <c r="JO3" s="41" t="s">
        <v>474</v>
      </c>
      <c r="JP3" s="41" t="s">
        <v>898</v>
      </c>
      <c r="JQ3" s="41" t="s">
        <v>899</v>
      </c>
      <c r="JR3" s="41" t="s">
        <v>474</v>
      </c>
      <c r="JS3" s="41" t="s">
        <v>474</v>
      </c>
      <c r="JT3" s="41" t="s">
        <v>474</v>
      </c>
      <c r="JU3" s="41" t="s">
        <v>474</v>
      </c>
      <c r="JV3" s="41" t="s">
        <v>474</v>
      </c>
      <c r="JW3" s="41" t="s">
        <v>474</v>
      </c>
      <c r="JX3" s="41" t="s">
        <v>474</v>
      </c>
      <c r="JY3" s="41" t="s">
        <v>474</v>
      </c>
      <c r="JZ3" s="41" t="s">
        <v>474</v>
      </c>
      <c r="KA3" s="41" t="s">
        <v>474</v>
      </c>
      <c r="KB3" s="41" t="s">
        <v>474</v>
      </c>
      <c r="KC3" s="41" t="s">
        <v>474</v>
      </c>
      <c r="KD3" s="41" t="s">
        <v>474</v>
      </c>
      <c r="KE3" s="41" t="s">
        <v>474</v>
      </c>
      <c r="KF3" s="41" t="s">
        <v>474</v>
      </c>
      <c r="KG3" s="41" t="s">
        <v>474</v>
      </c>
      <c r="KH3" s="41" t="s">
        <v>474</v>
      </c>
      <c r="KI3" s="41" t="s">
        <v>474</v>
      </c>
      <c r="KJ3" s="41" t="s">
        <v>474</v>
      </c>
      <c r="KK3" s="41" t="s">
        <v>474</v>
      </c>
      <c r="KL3" s="41" t="s">
        <v>474</v>
      </c>
      <c r="KM3" s="41" t="s">
        <v>474</v>
      </c>
      <c r="KN3" s="41" t="s">
        <v>474</v>
      </c>
      <c r="KO3" s="41" t="s">
        <v>474</v>
      </c>
      <c r="KP3" s="41" t="s">
        <v>474</v>
      </c>
      <c r="KQ3" s="41" t="s">
        <v>474</v>
      </c>
      <c r="KR3" s="41" t="s">
        <v>474</v>
      </c>
      <c r="KS3" s="41" t="s">
        <v>474</v>
      </c>
      <c r="KT3" s="41" t="s">
        <v>474</v>
      </c>
      <c r="KU3" s="41" t="s">
        <v>474</v>
      </c>
      <c r="KV3" s="41" t="s">
        <v>474</v>
      </c>
      <c r="KW3" s="41" t="s">
        <v>474</v>
      </c>
      <c r="KX3" s="41" t="s">
        <v>474</v>
      </c>
      <c r="KY3" s="41" t="s">
        <v>474</v>
      </c>
      <c r="KZ3" s="41" t="s">
        <v>474</v>
      </c>
      <c r="LA3" s="41" t="s">
        <v>474</v>
      </c>
      <c r="LB3" s="41" t="s">
        <v>474</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x14ac:dyDescent="0.25">
      <c r="A5" t="s">
        <v>394</v>
      </c>
      <c r="C5" s="62" t="s">
        <v>1088</v>
      </c>
      <c r="E5" s="2"/>
      <c r="G5" t="s">
        <v>395</v>
      </c>
      <c r="Q5" s="69">
        <v>8206499</v>
      </c>
      <c r="AH5">
        <v>41105949</v>
      </c>
      <c r="AI5">
        <v>22112733</v>
      </c>
      <c r="AJ5">
        <v>20629575</v>
      </c>
      <c r="AK5">
        <v>0</v>
      </c>
      <c r="AL5">
        <v>509820</v>
      </c>
      <c r="AM5">
        <v>3850832</v>
      </c>
      <c r="CU5">
        <v>68847</v>
      </c>
      <c r="CV5">
        <v>179804</v>
      </c>
      <c r="CW5">
        <v>2330704</v>
      </c>
      <c r="CX5">
        <v>1128485</v>
      </c>
      <c r="CY5">
        <v>2992</v>
      </c>
      <c r="CZ5">
        <v>310847</v>
      </c>
      <c r="DA5">
        <v>800119</v>
      </c>
      <c r="DB5">
        <v>88658</v>
      </c>
      <c r="DC5">
        <v>775268</v>
      </c>
      <c r="DD5">
        <v>23168</v>
      </c>
      <c r="DE5">
        <v>397436</v>
      </c>
      <c r="DF5">
        <v>4053134</v>
      </c>
      <c r="DG5">
        <v>726212</v>
      </c>
      <c r="DH5">
        <v>460608</v>
      </c>
      <c r="DI5">
        <v>0</v>
      </c>
      <c r="DJ5">
        <v>686985</v>
      </c>
      <c r="DK5">
        <v>41360</v>
      </c>
      <c r="DL5">
        <v>190576</v>
      </c>
      <c r="DM5">
        <v>2889492</v>
      </c>
      <c r="DN5">
        <v>295925</v>
      </c>
      <c r="DO5">
        <v>187908</v>
      </c>
      <c r="DP5">
        <v>25880</v>
      </c>
      <c r="DQ5">
        <v>585216</v>
      </c>
      <c r="DR5">
        <v>540424</v>
      </c>
      <c r="DS5">
        <v>3607776</v>
      </c>
      <c r="DT5">
        <v>1077936</v>
      </c>
      <c r="DX5" s="69"/>
      <c r="DY5" s="69">
        <v>106176</v>
      </c>
      <c r="DZ5" s="69">
        <v>889126</v>
      </c>
      <c r="EA5" s="69">
        <v>8259968</v>
      </c>
      <c r="EB5" s="69">
        <v>4076581</v>
      </c>
      <c r="EC5" s="69">
        <v>45804</v>
      </c>
      <c r="ED5" s="69">
        <v>755899</v>
      </c>
      <c r="EE5" s="69">
        <v>3279355</v>
      </c>
      <c r="EF5" s="69">
        <v>355530</v>
      </c>
      <c r="EG5" s="69">
        <v>1974032</v>
      </c>
      <c r="EH5" s="69">
        <v>204909</v>
      </c>
      <c r="EI5" s="69">
        <v>1779286</v>
      </c>
      <c r="EJ5" s="69">
        <v>14366203</v>
      </c>
      <c r="EK5" s="69">
        <v>1736932</v>
      </c>
      <c r="EL5" s="69">
        <v>3435838</v>
      </c>
      <c r="EM5" s="69">
        <v>0</v>
      </c>
      <c r="EN5" s="69">
        <v>2555260</v>
      </c>
      <c r="EO5" s="69">
        <v>459818</v>
      </c>
      <c r="EP5" s="69">
        <v>1181238</v>
      </c>
      <c r="EQ5" s="69">
        <v>9614327</v>
      </c>
      <c r="ER5" s="69">
        <v>1105606</v>
      </c>
      <c r="ES5" s="69">
        <v>894163</v>
      </c>
      <c r="ET5" s="69">
        <v>7717</v>
      </c>
      <c r="EU5" s="69">
        <v>2456323</v>
      </c>
      <c r="EV5" s="69">
        <v>1351672</v>
      </c>
      <c r="EW5" s="69">
        <v>11993552</v>
      </c>
      <c r="EX5" s="69">
        <v>4508281</v>
      </c>
      <c r="EY5" s="69"/>
      <c r="EZ5" s="69"/>
      <c r="FA5" s="69"/>
      <c r="FB5" s="69"/>
      <c r="FC5" s="69"/>
      <c r="FD5" s="69"/>
      <c r="FE5" s="69"/>
      <c r="FF5" s="69"/>
      <c r="FG5" s="69"/>
      <c r="FH5" s="69"/>
      <c r="FI5" s="69"/>
      <c r="FJ5" s="69"/>
      <c r="FK5" s="69"/>
      <c r="FL5" s="69"/>
      <c r="FM5" s="69"/>
      <c r="FN5" s="69"/>
      <c r="FO5" s="69"/>
      <c r="FP5" s="69"/>
      <c r="FQ5" s="69"/>
      <c r="FR5" s="69"/>
      <c r="FS5" s="69"/>
      <c r="FT5" s="69"/>
      <c r="FU5" s="69"/>
      <c r="FV5" s="69"/>
      <c r="FW5" s="69"/>
      <c r="FX5" s="69"/>
      <c r="FY5" s="69"/>
      <c r="FZ5" s="69"/>
      <c r="GA5" s="69"/>
      <c r="GB5" s="69"/>
      <c r="GC5" s="69"/>
      <c r="GD5" s="69"/>
      <c r="GE5" s="69"/>
      <c r="GF5" s="69"/>
      <c r="GG5" s="69"/>
      <c r="GH5" s="69"/>
      <c r="GI5" s="69"/>
      <c r="GJ5" s="69"/>
      <c r="GK5" s="69"/>
      <c r="GL5" s="69"/>
      <c r="GM5" s="69"/>
      <c r="GN5" s="69"/>
      <c r="GO5" s="69"/>
      <c r="GP5" s="69"/>
      <c r="GQ5" s="69"/>
      <c r="GR5" s="69"/>
      <c r="GS5" s="69"/>
      <c r="GT5" s="69"/>
      <c r="GU5" s="69"/>
      <c r="GV5" s="69"/>
      <c r="GW5" s="69"/>
      <c r="GX5" s="69"/>
      <c r="GY5" s="69"/>
      <c r="GZ5" s="69"/>
      <c r="HA5" s="69"/>
      <c r="HB5" s="69"/>
      <c r="HC5" s="69"/>
      <c r="HD5" s="69"/>
      <c r="HE5" s="69"/>
      <c r="HF5" s="69"/>
      <c r="HG5" s="69"/>
      <c r="HH5" s="69"/>
      <c r="HI5" s="69"/>
      <c r="HJ5" s="69"/>
      <c r="HK5" s="69"/>
      <c r="HL5" s="69"/>
      <c r="HM5" s="69"/>
      <c r="HN5" s="69"/>
      <c r="HO5" s="69"/>
      <c r="HP5" s="69"/>
      <c r="HQ5" s="69"/>
      <c r="HR5" s="69"/>
      <c r="HS5" s="69"/>
      <c r="HT5" s="69"/>
      <c r="HU5" s="69"/>
      <c r="HV5" s="69"/>
      <c r="HW5" s="69"/>
      <c r="HX5" s="69"/>
      <c r="HY5" s="69"/>
      <c r="HZ5" s="69"/>
      <c r="IA5" s="69"/>
      <c r="IB5" s="69"/>
      <c r="IC5" s="69"/>
      <c r="ID5" s="69"/>
      <c r="IE5" s="69"/>
      <c r="IF5" s="69"/>
      <c r="IG5" s="69"/>
      <c r="IH5" s="69"/>
      <c r="II5" s="69"/>
      <c r="IJ5" s="69"/>
      <c r="IK5" s="69"/>
      <c r="IL5" s="69"/>
      <c r="IM5" s="69"/>
      <c r="IN5" s="69"/>
      <c r="IO5" s="69">
        <v>108188</v>
      </c>
      <c r="IP5" s="69">
        <v>479594</v>
      </c>
      <c r="IQ5" s="69">
        <v>3103606</v>
      </c>
      <c r="IR5" s="69">
        <v>1963966</v>
      </c>
      <c r="IS5" s="69">
        <v>260728</v>
      </c>
      <c r="IT5" s="69">
        <v>1303777</v>
      </c>
      <c r="IU5" s="69">
        <v>1907518</v>
      </c>
      <c r="IV5" s="69">
        <v>196901</v>
      </c>
      <c r="IW5" s="69">
        <v>2144377</v>
      </c>
      <c r="IX5" s="69">
        <v>111278</v>
      </c>
      <c r="IY5" s="69">
        <v>1681784</v>
      </c>
      <c r="IZ5" s="69">
        <v>4673136</v>
      </c>
      <c r="JA5" s="69">
        <v>779757</v>
      </c>
      <c r="JB5" s="69">
        <v>2799995</v>
      </c>
      <c r="JC5" s="69">
        <v>0</v>
      </c>
      <c r="JD5" s="69">
        <v>1925570</v>
      </c>
      <c r="JE5" s="69">
        <v>85935</v>
      </c>
      <c r="JF5" s="69">
        <v>388038</v>
      </c>
      <c r="JG5" s="69">
        <v>2863669</v>
      </c>
      <c r="JH5" s="69">
        <v>706020</v>
      </c>
      <c r="JI5" s="69">
        <v>531577</v>
      </c>
      <c r="JJ5" s="69">
        <v>14318</v>
      </c>
      <c r="JK5" s="69">
        <v>844503</v>
      </c>
      <c r="JL5" s="69">
        <v>1173018</v>
      </c>
      <c r="JM5" s="69">
        <v>2232871</v>
      </c>
      <c r="JN5" s="69">
        <v>2575342</v>
      </c>
      <c r="JO5" s="69"/>
      <c r="JP5" s="69"/>
      <c r="JQ5" s="69"/>
      <c r="JR5" s="69"/>
      <c r="JS5" s="69"/>
      <c r="JT5" s="69"/>
      <c r="JU5" s="69"/>
      <c r="JV5" s="69"/>
      <c r="JW5" s="69"/>
      <c r="JX5" s="69"/>
      <c r="JY5" s="69"/>
      <c r="JZ5" s="69"/>
      <c r="KA5" s="69"/>
      <c r="KB5" s="69"/>
      <c r="KC5" s="69"/>
      <c r="KD5" s="69"/>
      <c r="KE5" s="69"/>
      <c r="KF5" s="69"/>
      <c r="KG5" s="69"/>
      <c r="KH5" s="69"/>
      <c r="KI5" s="69"/>
      <c r="KJ5" s="69"/>
      <c r="KK5" s="69"/>
      <c r="KL5" s="69"/>
      <c r="KM5" s="69"/>
      <c r="KN5" s="69"/>
      <c r="KO5" s="69"/>
      <c r="KP5" s="69"/>
      <c r="KQ5" s="69"/>
      <c r="KR5" s="69"/>
      <c r="KS5" s="69"/>
      <c r="KT5" s="69"/>
      <c r="KU5" s="69"/>
      <c r="KV5" s="69"/>
      <c r="KW5" s="69"/>
    </row>
    <row r="6" spans="1:314" x14ac:dyDescent="0.25">
      <c r="A6" t="s">
        <v>350</v>
      </c>
      <c r="C6" t="s">
        <v>1088</v>
      </c>
      <c r="E6" s="2"/>
      <c r="G6" t="s">
        <v>351</v>
      </c>
      <c r="Q6" s="69">
        <v>286435</v>
      </c>
      <c r="AH6">
        <v>3176221</v>
      </c>
      <c r="AI6">
        <v>1824302</v>
      </c>
      <c r="AJ6">
        <v>2612791</v>
      </c>
      <c r="AK6">
        <v>0</v>
      </c>
      <c r="AL6">
        <v>0</v>
      </c>
      <c r="AM6">
        <v>350670</v>
      </c>
      <c r="CU6">
        <v>19296</v>
      </c>
      <c r="CV6">
        <v>28834</v>
      </c>
      <c r="CW6">
        <v>262568</v>
      </c>
      <c r="CX6">
        <v>233680</v>
      </c>
      <c r="CY6">
        <v>0</v>
      </c>
      <c r="CZ6">
        <v>38603</v>
      </c>
      <c r="DA6">
        <v>137354</v>
      </c>
      <c r="DB6">
        <v>6264</v>
      </c>
      <c r="DC6">
        <v>55336</v>
      </c>
      <c r="DD6">
        <v>0</v>
      </c>
      <c r="DE6">
        <v>91970</v>
      </c>
      <c r="DF6">
        <v>222512</v>
      </c>
      <c r="DG6">
        <v>52144</v>
      </c>
      <c r="DH6">
        <v>104762</v>
      </c>
      <c r="DI6">
        <v>0</v>
      </c>
      <c r="DJ6">
        <v>125660</v>
      </c>
      <c r="DK6">
        <v>51632</v>
      </c>
      <c r="DL6">
        <v>71312</v>
      </c>
      <c r="DM6">
        <v>213532</v>
      </c>
      <c r="DN6">
        <v>29080</v>
      </c>
      <c r="DO6">
        <v>496</v>
      </c>
      <c r="DP6">
        <v>17036</v>
      </c>
      <c r="DQ6">
        <v>51312</v>
      </c>
      <c r="DR6">
        <v>75008</v>
      </c>
      <c r="DS6">
        <v>290656</v>
      </c>
      <c r="DT6">
        <v>94480</v>
      </c>
      <c r="DX6" s="69"/>
      <c r="DY6" s="69">
        <v>73420</v>
      </c>
      <c r="DZ6" s="69">
        <v>84557</v>
      </c>
      <c r="EA6" s="69">
        <v>611832</v>
      </c>
      <c r="EB6" s="69">
        <v>1468821</v>
      </c>
      <c r="EC6" s="69">
        <v>0</v>
      </c>
      <c r="ED6" s="69">
        <v>185636</v>
      </c>
      <c r="EE6" s="69">
        <v>797735</v>
      </c>
      <c r="EF6" s="69">
        <v>9388</v>
      </c>
      <c r="EG6" s="69">
        <v>261375</v>
      </c>
      <c r="EH6" s="69">
        <v>0</v>
      </c>
      <c r="EI6" s="69">
        <v>412308</v>
      </c>
      <c r="EJ6" s="69">
        <v>982204</v>
      </c>
      <c r="EK6" s="69">
        <v>138125</v>
      </c>
      <c r="EL6" s="69">
        <v>745957</v>
      </c>
      <c r="EM6" s="69">
        <v>0</v>
      </c>
      <c r="EN6" s="69">
        <v>820159</v>
      </c>
      <c r="EO6" s="69">
        <v>434805</v>
      </c>
      <c r="EP6" s="69">
        <v>371319</v>
      </c>
      <c r="EQ6" s="69">
        <v>766687</v>
      </c>
      <c r="ER6" s="69">
        <v>62746</v>
      </c>
      <c r="ES6" s="69">
        <v>225</v>
      </c>
      <c r="ET6" s="69">
        <v>14788</v>
      </c>
      <c r="EU6" s="69">
        <v>378295</v>
      </c>
      <c r="EV6" s="69">
        <v>287090</v>
      </c>
      <c r="EW6" s="69">
        <v>1029701</v>
      </c>
      <c r="EX6" s="69">
        <v>925154</v>
      </c>
      <c r="EY6" s="69"/>
      <c r="EZ6" s="69"/>
      <c r="FA6" s="69"/>
      <c r="FB6" s="69"/>
      <c r="FC6" s="69"/>
      <c r="FD6" s="69"/>
      <c r="FE6" s="69"/>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c r="GO6" s="69"/>
      <c r="GP6" s="69"/>
      <c r="GQ6" s="69"/>
      <c r="GR6" s="69"/>
      <c r="GS6" s="69"/>
      <c r="GT6" s="69"/>
      <c r="GU6" s="69"/>
      <c r="GV6" s="69"/>
      <c r="GW6" s="69"/>
      <c r="GX6" s="69"/>
      <c r="GY6" s="69"/>
      <c r="GZ6" s="69"/>
      <c r="HA6" s="69"/>
      <c r="HB6" s="69"/>
      <c r="HC6" s="69"/>
      <c r="HD6" s="69"/>
      <c r="HE6" s="69"/>
      <c r="HF6" s="69"/>
      <c r="HG6" s="69"/>
      <c r="HH6" s="69"/>
      <c r="HI6" s="69"/>
      <c r="HJ6" s="69"/>
      <c r="HK6" s="69"/>
      <c r="HL6" s="69"/>
      <c r="HM6" s="69"/>
      <c r="HN6" s="69"/>
      <c r="HO6" s="69"/>
      <c r="HP6" s="69"/>
      <c r="HQ6" s="69"/>
      <c r="HR6" s="69"/>
      <c r="HS6" s="69"/>
      <c r="HT6" s="69"/>
      <c r="HU6" s="69"/>
      <c r="HV6" s="69"/>
      <c r="HW6" s="69"/>
      <c r="HX6" s="69"/>
      <c r="HY6" s="69"/>
      <c r="HZ6" s="69"/>
      <c r="IA6" s="69"/>
      <c r="IB6" s="69"/>
      <c r="IC6" s="69"/>
      <c r="ID6" s="69"/>
      <c r="IE6" s="69"/>
      <c r="IF6" s="69"/>
      <c r="IG6" s="69"/>
      <c r="IH6" s="69"/>
      <c r="II6" s="69"/>
      <c r="IJ6" s="69"/>
      <c r="IK6" s="69"/>
      <c r="IL6" s="69"/>
      <c r="IM6" s="69"/>
      <c r="IN6" s="69"/>
      <c r="IO6" s="69">
        <v>24188</v>
      </c>
      <c r="IP6" s="69">
        <v>51145</v>
      </c>
      <c r="IQ6" s="69">
        <v>59406</v>
      </c>
      <c r="IR6" s="69">
        <v>530511</v>
      </c>
      <c r="IS6" s="69">
        <v>0</v>
      </c>
      <c r="IT6" s="69">
        <v>58022</v>
      </c>
      <c r="IU6" s="69">
        <v>307087</v>
      </c>
      <c r="IV6" s="69">
        <v>22566</v>
      </c>
      <c r="IW6" s="69">
        <v>33120</v>
      </c>
      <c r="IX6" s="69">
        <v>0</v>
      </c>
      <c r="IY6" s="69">
        <v>249234</v>
      </c>
      <c r="IZ6" s="69">
        <v>110128</v>
      </c>
      <c r="JA6" s="69">
        <v>14482</v>
      </c>
      <c r="JB6" s="69">
        <v>65707</v>
      </c>
      <c r="JC6" s="69">
        <v>0</v>
      </c>
      <c r="JD6" s="69">
        <v>303747</v>
      </c>
      <c r="JE6" s="69">
        <v>51091</v>
      </c>
      <c r="JF6" s="69">
        <v>35125</v>
      </c>
      <c r="JG6" s="69">
        <v>83497</v>
      </c>
      <c r="JH6" s="69">
        <v>115009</v>
      </c>
      <c r="JI6" s="69">
        <v>17</v>
      </c>
      <c r="JJ6" s="69">
        <v>27708</v>
      </c>
      <c r="JK6" s="69">
        <v>33462</v>
      </c>
      <c r="JL6" s="69">
        <v>89285</v>
      </c>
      <c r="JM6" s="69">
        <v>107997</v>
      </c>
      <c r="JN6" s="69">
        <v>165397</v>
      </c>
      <c r="JO6" s="69"/>
      <c r="JP6" s="69"/>
      <c r="JQ6" s="69"/>
      <c r="JR6" s="69"/>
      <c r="JS6" s="69"/>
      <c r="JT6" s="69"/>
      <c r="JU6" s="69"/>
      <c r="JV6" s="69"/>
      <c r="JW6" s="69"/>
      <c r="JX6" s="69"/>
      <c r="JY6" s="69"/>
      <c r="JZ6" s="69"/>
      <c r="KA6" s="69"/>
      <c r="KB6" s="69"/>
      <c r="KC6" s="69"/>
      <c r="KD6" s="69"/>
      <c r="KE6" s="69"/>
      <c r="KF6" s="69"/>
      <c r="KG6" s="69"/>
      <c r="KH6" s="69"/>
      <c r="KI6" s="69"/>
      <c r="KJ6" s="69"/>
      <c r="KK6" s="69"/>
      <c r="KL6" s="69"/>
      <c r="KM6" s="69"/>
      <c r="KN6" s="69"/>
      <c r="KO6" s="69"/>
      <c r="KP6" s="69"/>
      <c r="KQ6" s="69"/>
      <c r="KR6" s="69"/>
      <c r="KS6" s="69"/>
      <c r="KT6" s="69"/>
      <c r="KU6" s="69"/>
      <c r="KV6" s="69"/>
      <c r="KW6" s="69"/>
    </row>
    <row r="7" spans="1:314" x14ac:dyDescent="0.25">
      <c r="A7" t="s">
        <v>352</v>
      </c>
      <c r="C7" t="s">
        <v>1088</v>
      </c>
      <c r="E7" s="2"/>
      <c r="G7" t="s">
        <v>353</v>
      </c>
      <c r="Q7" s="69">
        <v>1692765</v>
      </c>
      <c r="AH7">
        <v>8889447</v>
      </c>
      <c r="AI7">
        <v>2938366</v>
      </c>
      <c r="AJ7">
        <v>2743581</v>
      </c>
      <c r="AK7">
        <v>0</v>
      </c>
      <c r="AL7">
        <v>0</v>
      </c>
      <c r="AM7">
        <v>875149</v>
      </c>
      <c r="CU7">
        <v>10397</v>
      </c>
      <c r="CV7">
        <v>33432</v>
      </c>
      <c r="CW7">
        <v>454096</v>
      </c>
      <c r="CX7">
        <v>371081</v>
      </c>
      <c r="CY7">
        <v>448</v>
      </c>
      <c r="CZ7">
        <v>42028</v>
      </c>
      <c r="DA7">
        <v>70390</v>
      </c>
      <c r="DB7">
        <v>12620</v>
      </c>
      <c r="DC7">
        <v>183521</v>
      </c>
      <c r="DD7">
        <v>5760</v>
      </c>
      <c r="DE7">
        <v>127340</v>
      </c>
      <c r="DF7">
        <v>606556</v>
      </c>
      <c r="DG7">
        <v>56476</v>
      </c>
      <c r="DH7">
        <v>293231</v>
      </c>
      <c r="DI7">
        <v>49728</v>
      </c>
      <c r="DJ7">
        <v>308200</v>
      </c>
      <c r="DK7">
        <v>32672</v>
      </c>
      <c r="DL7">
        <v>119984</v>
      </c>
      <c r="DM7">
        <v>538191</v>
      </c>
      <c r="DN7">
        <v>44404</v>
      </c>
      <c r="DO7">
        <v>157143</v>
      </c>
      <c r="DP7">
        <v>11008</v>
      </c>
      <c r="DQ7">
        <v>81872</v>
      </c>
      <c r="DR7">
        <v>234237</v>
      </c>
      <c r="DS7">
        <v>559897</v>
      </c>
      <c r="DT7">
        <v>224548</v>
      </c>
      <c r="DX7" s="69"/>
      <c r="DY7" s="69">
        <v>30764</v>
      </c>
      <c r="DZ7" s="69">
        <v>124498</v>
      </c>
      <c r="EA7" s="69">
        <v>1317306</v>
      </c>
      <c r="EB7" s="69">
        <v>1262255</v>
      </c>
      <c r="EC7" s="69">
        <v>1720</v>
      </c>
      <c r="ED7" s="69">
        <v>137272</v>
      </c>
      <c r="EE7" s="69">
        <v>248021</v>
      </c>
      <c r="EF7" s="69">
        <v>48438</v>
      </c>
      <c r="EG7" s="69">
        <v>462624</v>
      </c>
      <c r="EH7" s="69">
        <v>16750</v>
      </c>
      <c r="EI7" s="69">
        <v>405366</v>
      </c>
      <c r="EJ7" s="69">
        <v>2011031</v>
      </c>
      <c r="EK7" s="69">
        <v>171546</v>
      </c>
      <c r="EL7" s="69">
        <v>1283890</v>
      </c>
      <c r="EM7" s="69">
        <v>178021</v>
      </c>
      <c r="EN7" s="69">
        <v>1030922</v>
      </c>
      <c r="EO7" s="69">
        <v>125501</v>
      </c>
      <c r="EP7" s="69">
        <v>600176</v>
      </c>
      <c r="EQ7" s="69">
        <v>1595233</v>
      </c>
      <c r="ER7" s="69">
        <v>170432</v>
      </c>
      <c r="ES7" s="69">
        <v>601612</v>
      </c>
      <c r="ET7" s="69">
        <v>39440</v>
      </c>
      <c r="EU7" s="69">
        <v>148795</v>
      </c>
      <c r="EV7" s="69">
        <v>350202</v>
      </c>
      <c r="EW7" s="69">
        <v>1088458</v>
      </c>
      <c r="EX7" s="69">
        <v>707483</v>
      </c>
      <c r="EY7" s="69"/>
      <c r="EZ7" s="69"/>
      <c r="FA7" s="69"/>
      <c r="FB7" s="69"/>
      <c r="FC7" s="69"/>
      <c r="FD7" s="69"/>
      <c r="FE7" s="69"/>
      <c r="FF7" s="69"/>
      <c r="FG7" s="69"/>
      <c r="FH7" s="69"/>
      <c r="FI7" s="69"/>
      <c r="FJ7" s="69"/>
      <c r="FK7" s="69"/>
      <c r="FL7" s="69"/>
      <c r="FM7" s="69"/>
      <c r="FN7" s="69"/>
      <c r="FO7" s="69"/>
      <c r="FP7" s="69"/>
      <c r="FQ7" s="69"/>
      <c r="FR7" s="69"/>
      <c r="FS7" s="69"/>
      <c r="FT7" s="69"/>
      <c r="FU7" s="69"/>
      <c r="FV7" s="69"/>
      <c r="FW7" s="69"/>
      <c r="FX7" s="69"/>
      <c r="FY7" s="69"/>
      <c r="FZ7" s="69"/>
      <c r="GA7" s="69"/>
      <c r="GB7" s="69"/>
      <c r="GC7" s="69"/>
      <c r="GD7" s="69"/>
      <c r="GE7" s="69"/>
      <c r="GF7" s="69"/>
      <c r="GG7" s="69"/>
      <c r="GH7" s="69"/>
      <c r="GI7" s="69"/>
      <c r="GJ7" s="69"/>
      <c r="GK7" s="69"/>
      <c r="GL7" s="69"/>
      <c r="GM7" s="69"/>
      <c r="GN7" s="69"/>
      <c r="GO7" s="69"/>
      <c r="GP7" s="69"/>
      <c r="GQ7" s="69"/>
      <c r="GR7" s="69"/>
      <c r="GS7" s="69"/>
      <c r="GT7" s="69"/>
      <c r="GU7" s="69"/>
      <c r="GV7" s="69"/>
      <c r="GW7" s="69"/>
      <c r="GX7" s="69"/>
      <c r="GY7" s="69"/>
      <c r="GZ7" s="69"/>
      <c r="HA7" s="69"/>
      <c r="HB7" s="69"/>
      <c r="HC7" s="69"/>
      <c r="HD7" s="69"/>
      <c r="HE7" s="69"/>
      <c r="HF7" s="69"/>
      <c r="HG7" s="69"/>
      <c r="HH7" s="69"/>
      <c r="HI7" s="69"/>
      <c r="HJ7" s="69"/>
      <c r="HK7" s="69"/>
      <c r="HL7" s="69"/>
      <c r="HM7" s="69"/>
      <c r="HN7" s="69"/>
      <c r="HO7" s="69"/>
      <c r="HP7" s="69"/>
      <c r="HQ7" s="69"/>
      <c r="HR7" s="69"/>
      <c r="HS7" s="69"/>
      <c r="HT7" s="69"/>
      <c r="HU7" s="69"/>
      <c r="HV7" s="69"/>
      <c r="HW7" s="69"/>
      <c r="HX7" s="69"/>
      <c r="HY7" s="69"/>
      <c r="HZ7" s="69"/>
      <c r="IA7" s="69"/>
      <c r="IB7" s="69"/>
      <c r="IC7" s="69"/>
      <c r="ID7" s="69"/>
      <c r="IE7" s="69"/>
      <c r="IF7" s="69"/>
      <c r="IG7" s="69"/>
      <c r="IH7" s="69"/>
      <c r="II7" s="69"/>
      <c r="IJ7" s="69"/>
      <c r="IK7" s="69"/>
      <c r="IL7" s="69"/>
      <c r="IM7" s="69"/>
      <c r="IN7" s="69"/>
      <c r="IO7" s="69">
        <v>14822</v>
      </c>
      <c r="IP7" s="69">
        <v>63331</v>
      </c>
      <c r="IQ7" s="69">
        <v>478385</v>
      </c>
      <c r="IR7" s="69">
        <v>536890</v>
      </c>
      <c r="IS7" s="69">
        <v>820</v>
      </c>
      <c r="IT7" s="69">
        <v>71877</v>
      </c>
      <c r="IU7" s="69">
        <v>83719</v>
      </c>
      <c r="IV7" s="69">
        <v>23067</v>
      </c>
      <c r="IW7" s="69">
        <v>189397</v>
      </c>
      <c r="IX7" s="69">
        <v>5837</v>
      </c>
      <c r="IY7" s="69">
        <v>200686</v>
      </c>
      <c r="IZ7" s="69">
        <v>1220950</v>
      </c>
      <c r="JA7" s="69">
        <v>73098</v>
      </c>
      <c r="JB7" s="69">
        <v>432929</v>
      </c>
      <c r="JC7" s="69">
        <v>70539</v>
      </c>
      <c r="JD7" s="69">
        <v>473990</v>
      </c>
      <c r="JE7" s="69">
        <v>40252</v>
      </c>
      <c r="JF7" s="69">
        <v>144666</v>
      </c>
      <c r="JG7" s="69">
        <v>658202</v>
      </c>
      <c r="JH7" s="69">
        <v>81162</v>
      </c>
      <c r="JI7" s="69">
        <v>288194</v>
      </c>
      <c r="JJ7" s="69">
        <v>16827</v>
      </c>
      <c r="JK7" s="69">
        <v>33595</v>
      </c>
      <c r="JL7" s="69">
        <v>743282</v>
      </c>
      <c r="JM7" s="69">
        <v>274106</v>
      </c>
      <c r="JN7" s="69">
        <v>260715</v>
      </c>
      <c r="JO7" s="69"/>
      <c r="JP7" s="69"/>
      <c r="JQ7" s="69"/>
      <c r="JR7" s="69"/>
      <c r="JS7" s="69"/>
      <c r="JT7" s="69"/>
      <c r="JU7" s="69"/>
      <c r="JV7" s="69"/>
      <c r="JW7" s="69"/>
      <c r="JX7" s="69"/>
      <c r="JY7" s="69"/>
      <c r="JZ7" s="69"/>
      <c r="KA7" s="69"/>
      <c r="KB7" s="69"/>
      <c r="KC7" s="69"/>
      <c r="KD7" s="69"/>
      <c r="KE7" s="69"/>
      <c r="KF7" s="69"/>
      <c r="KG7" s="69"/>
      <c r="KH7" s="69"/>
      <c r="KI7" s="69"/>
      <c r="KJ7" s="69"/>
      <c r="KK7" s="69"/>
      <c r="KL7" s="69"/>
      <c r="KM7" s="69"/>
      <c r="KN7" s="69"/>
      <c r="KO7" s="69"/>
      <c r="KP7" s="69"/>
      <c r="KQ7" s="69"/>
      <c r="KR7" s="69"/>
      <c r="KS7" s="69"/>
      <c r="KT7" s="69"/>
      <c r="KU7" s="69"/>
      <c r="KV7" s="69"/>
      <c r="KW7" s="69"/>
    </row>
    <row r="8" spans="1:314" x14ac:dyDescent="0.25">
      <c r="A8" t="s">
        <v>422</v>
      </c>
      <c r="C8" t="s">
        <v>1088</v>
      </c>
      <c r="E8" s="2"/>
      <c r="G8" t="s">
        <v>423</v>
      </c>
      <c r="Q8" s="69">
        <v>156595</v>
      </c>
      <c r="AH8">
        <v>2051976</v>
      </c>
      <c r="AI8">
        <v>981246</v>
      </c>
      <c r="AJ8">
        <v>1819097</v>
      </c>
      <c r="AK8">
        <v>0</v>
      </c>
      <c r="AL8">
        <v>0</v>
      </c>
      <c r="AM8">
        <v>301027</v>
      </c>
      <c r="CU8">
        <v>80</v>
      </c>
      <c r="CV8">
        <v>34912</v>
      </c>
      <c r="CW8">
        <v>195104</v>
      </c>
      <c r="CX8">
        <v>118137</v>
      </c>
      <c r="CY8">
        <v>0</v>
      </c>
      <c r="CZ8">
        <v>6704</v>
      </c>
      <c r="DA8">
        <v>42831</v>
      </c>
      <c r="DB8">
        <v>8784</v>
      </c>
      <c r="DC8">
        <v>57898</v>
      </c>
      <c r="DD8">
        <v>880</v>
      </c>
      <c r="DE8">
        <v>34902</v>
      </c>
      <c r="DF8">
        <v>394966</v>
      </c>
      <c r="DG8">
        <v>24840</v>
      </c>
      <c r="DH8">
        <v>131562</v>
      </c>
      <c r="DI8">
        <v>0</v>
      </c>
      <c r="DJ8">
        <v>198460</v>
      </c>
      <c r="DK8">
        <v>32464</v>
      </c>
      <c r="DL8">
        <v>71676</v>
      </c>
      <c r="DM8">
        <v>210224</v>
      </c>
      <c r="DN8">
        <v>10496</v>
      </c>
      <c r="DO8">
        <v>8832</v>
      </c>
      <c r="DP8">
        <v>1536</v>
      </c>
      <c r="DQ8">
        <v>53741</v>
      </c>
      <c r="DR8">
        <v>136440</v>
      </c>
      <c r="DS8">
        <v>326736</v>
      </c>
      <c r="DT8">
        <v>97292</v>
      </c>
      <c r="DX8" s="69"/>
      <c r="DY8" s="69">
        <v>149</v>
      </c>
      <c r="DZ8" s="69">
        <v>183815</v>
      </c>
      <c r="EA8" s="69">
        <v>517138</v>
      </c>
      <c r="EB8" s="69">
        <v>409427</v>
      </c>
      <c r="EC8" s="69">
        <v>0</v>
      </c>
      <c r="ED8" s="69">
        <v>49569</v>
      </c>
      <c r="EE8" s="69">
        <v>334225</v>
      </c>
      <c r="EF8" s="69">
        <v>35331</v>
      </c>
      <c r="EG8" s="69">
        <v>149187</v>
      </c>
      <c r="EH8" s="69">
        <v>7455</v>
      </c>
      <c r="EI8" s="69">
        <v>138724</v>
      </c>
      <c r="EJ8" s="69">
        <v>1075248</v>
      </c>
      <c r="EK8" s="69">
        <v>65268</v>
      </c>
      <c r="EL8" s="69">
        <v>919755</v>
      </c>
      <c r="EM8" s="69">
        <v>0</v>
      </c>
      <c r="EN8" s="69">
        <v>680640</v>
      </c>
      <c r="EO8" s="69">
        <v>206283</v>
      </c>
      <c r="EP8" s="69">
        <v>229216</v>
      </c>
      <c r="EQ8" s="69">
        <v>796807</v>
      </c>
      <c r="ER8" s="69">
        <v>63384</v>
      </c>
      <c r="ES8" s="69">
        <v>42063</v>
      </c>
      <c r="ET8" s="69">
        <v>6105</v>
      </c>
      <c r="EU8" s="69">
        <v>211405</v>
      </c>
      <c r="EV8" s="69">
        <v>280976</v>
      </c>
      <c r="EW8" s="69">
        <v>865824</v>
      </c>
      <c r="EX8" s="69">
        <v>435404</v>
      </c>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v>29</v>
      </c>
      <c r="IP8" s="69">
        <v>58255</v>
      </c>
      <c r="IQ8" s="69">
        <v>89810</v>
      </c>
      <c r="IR8" s="69">
        <v>45442</v>
      </c>
      <c r="IS8" s="69">
        <v>0</v>
      </c>
      <c r="IT8" s="69">
        <v>6622</v>
      </c>
      <c r="IU8" s="69">
        <v>33984</v>
      </c>
      <c r="IV8" s="69">
        <v>4121</v>
      </c>
      <c r="IW8" s="69">
        <v>75740</v>
      </c>
      <c r="IX8" s="69">
        <v>3595</v>
      </c>
      <c r="IY8" s="69">
        <v>13473</v>
      </c>
      <c r="IZ8" s="69">
        <v>105832</v>
      </c>
      <c r="JA8" s="69">
        <v>5355</v>
      </c>
      <c r="JB8" s="69">
        <v>160664</v>
      </c>
      <c r="JC8" s="69">
        <v>0</v>
      </c>
      <c r="JD8" s="69">
        <v>94901</v>
      </c>
      <c r="JE8" s="69">
        <v>21706</v>
      </c>
      <c r="JF8" s="69">
        <v>27316</v>
      </c>
      <c r="JG8" s="69">
        <v>83690</v>
      </c>
      <c r="JH8" s="69">
        <v>11241</v>
      </c>
      <c r="JI8" s="69">
        <v>9267</v>
      </c>
      <c r="JJ8" s="69">
        <v>592</v>
      </c>
      <c r="JK8" s="69">
        <v>37284</v>
      </c>
      <c r="JL8" s="69">
        <v>175361</v>
      </c>
      <c r="JM8" s="69">
        <v>78258</v>
      </c>
      <c r="JN8" s="69">
        <v>103280</v>
      </c>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row>
    <row r="9" spans="1:314" x14ac:dyDescent="0.25">
      <c r="A9" t="s">
        <v>446</v>
      </c>
      <c r="C9" t="s">
        <v>1088</v>
      </c>
      <c r="E9" s="2"/>
      <c r="G9" t="s">
        <v>447</v>
      </c>
      <c r="Q9" s="69">
        <v>3712390</v>
      </c>
      <c r="AH9">
        <v>26906537</v>
      </c>
      <c r="AI9">
        <v>17053869</v>
      </c>
      <c r="AJ9">
        <v>18485769</v>
      </c>
      <c r="AK9">
        <v>0</v>
      </c>
      <c r="AL9">
        <v>0</v>
      </c>
      <c r="AM9">
        <v>2282609</v>
      </c>
      <c r="CU9">
        <v>97409</v>
      </c>
      <c r="CV9">
        <v>135204</v>
      </c>
      <c r="CW9">
        <v>1533536</v>
      </c>
      <c r="CX9">
        <v>744176</v>
      </c>
      <c r="CY9">
        <v>0</v>
      </c>
      <c r="CZ9">
        <v>181376</v>
      </c>
      <c r="DA9">
        <v>429132</v>
      </c>
      <c r="DB9">
        <v>17944</v>
      </c>
      <c r="DC9">
        <v>176736</v>
      </c>
      <c r="DD9">
        <v>9152</v>
      </c>
      <c r="DE9">
        <v>336202</v>
      </c>
      <c r="DF9">
        <v>2119696</v>
      </c>
      <c r="DG9">
        <v>770860</v>
      </c>
      <c r="DH9">
        <v>426476</v>
      </c>
      <c r="DI9">
        <v>25184</v>
      </c>
      <c r="DJ9">
        <v>507760</v>
      </c>
      <c r="DK9">
        <v>0</v>
      </c>
      <c r="DL9">
        <v>93680</v>
      </c>
      <c r="DM9">
        <v>1837576</v>
      </c>
      <c r="DN9">
        <v>131832</v>
      </c>
      <c r="DO9">
        <v>17000</v>
      </c>
      <c r="DP9">
        <v>33692</v>
      </c>
      <c r="DQ9">
        <v>276544</v>
      </c>
      <c r="DR9">
        <v>252500</v>
      </c>
      <c r="DS9">
        <v>2989312</v>
      </c>
      <c r="DT9">
        <v>834504</v>
      </c>
      <c r="DX9" s="69"/>
      <c r="DY9" s="69">
        <v>202066</v>
      </c>
      <c r="DZ9" s="69">
        <v>1033209</v>
      </c>
      <c r="EA9" s="69">
        <v>6707036</v>
      </c>
      <c r="EB9" s="69">
        <v>3108471</v>
      </c>
      <c r="EC9" s="69">
        <v>0</v>
      </c>
      <c r="ED9" s="69">
        <v>448723</v>
      </c>
      <c r="EE9" s="69">
        <v>2878891</v>
      </c>
      <c r="EF9" s="69">
        <v>0</v>
      </c>
      <c r="EG9" s="69">
        <v>835489</v>
      </c>
      <c r="EH9" s="69">
        <v>97151</v>
      </c>
      <c r="EI9" s="69">
        <v>1906199</v>
      </c>
      <c r="EJ9" s="69">
        <v>9974679</v>
      </c>
      <c r="EK9" s="69">
        <v>3322251</v>
      </c>
      <c r="EL9" s="69">
        <v>3682278</v>
      </c>
      <c r="EM9" s="69">
        <v>424500</v>
      </c>
      <c r="EN9" s="69">
        <v>4027920</v>
      </c>
      <c r="EO9" s="69">
        <v>0</v>
      </c>
      <c r="EP9" s="69">
        <v>1103459</v>
      </c>
      <c r="EQ9" s="69">
        <v>7136321</v>
      </c>
      <c r="ER9" s="69">
        <v>921507</v>
      </c>
      <c r="ES9" s="69">
        <v>249711</v>
      </c>
      <c r="ET9" s="69">
        <v>630295</v>
      </c>
      <c r="EU9" s="69">
        <v>1109508</v>
      </c>
      <c r="EV9" s="69">
        <v>948700</v>
      </c>
      <c r="EW9" s="69">
        <v>9703399</v>
      </c>
      <c r="EX9" s="69">
        <v>6051814</v>
      </c>
      <c r="EY9" s="69"/>
      <c r="EZ9" s="69"/>
      <c r="FA9" s="69"/>
      <c r="FB9" s="69"/>
      <c r="FC9" s="69"/>
      <c r="FD9" s="69"/>
      <c r="FE9" s="69"/>
      <c r="FF9" s="69"/>
      <c r="FG9" s="69"/>
      <c r="FH9" s="69"/>
      <c r="FI9" s="69"/>
      <c r="FJ9" s="69"/>
      <c r="FK9" s="69"/>
      <c r="FL9" s="69"/>
      <c r="FM9" s="69"/>
      <c r="FN9" s="69"/>
      <c r="FO9" s="69"/>
      <c r="FP9" s="69"/>
      <c r="FQ9" s="69"/>
      <c r="FR9" s="69"/>
      <c r="FS9" s="69"/>
      <c r="FT9" s="69"/>
      <c r="FU9" s="69"/>
      <c r="FV9" s="69"/>
      <c r="FW9" s="69"/>
      <c r="FX9" s="69"/>
      <c r="FY9" s="69"/>
      <c r="FZ9" s="69"/>
      <c r="GA9" s="69"/>
      <c r="GB9" s="69"/>
      <c r="GC9" s="69"/>
      <c r="GD9" s="69"/>
      <c r="GE9" s="69"/>
      <c r="GF9" s="69"/>
      <c r="GG9" s="69"/>
      <c r="GH9" s="69"/>
      <c r="GI9" s="69"/>
      <c r="GJ9" s="69"/>
      <c r="GK9" s="69"/>
      <c r="GL9" s="69"/>
      <c r="GM9" s="69"/>
      <c r="GN9" s="69"/>
      <c r="GO9" s="69"/>
      <c r="GP9" s="69"/>
      <c r="GQ9" s="69"/>
      <c r="GR9" s="69"/>
      <c r="GS9" s="69"/>
      <c r="GT9" s="69"/>
      <c r="GU9" s="69"/>
      <c r="GV9" s="69"/>
      <c r="GW9" s="69"/>
      <c r="GX9" s="69"/>
      <c r="GY9" s="69"/>
      <c r="GZ9" s="69"/>
      <c r="HA9" s="69"/>
      <c r="HB9" s="69"/>
      <c r="HC9" s="69"/>
      <c r="HD9" s="69"/>
      <c r="HE9" s="69"/>
      <c r="HF9" s="69"/>
      <c r="HG9" s="69"/>
      <c r="HH9" s="69"/>
      <c r="HI9" s="69"/>
      <c r="HJ9" s="69"/>
      <c r="HK9" s="69"/>
      <c r="HL9" s="69"/>
      <c r="HM9" s="69"/>
      <c r="HN9" s="69"/>
      <c r="HO9" s="69"/>
      <c r="HP9" s="69"/>
      <c r="HQ9" s="69"/>
      <c r="HR9" s="69"/>
      <c r="HS9" s="69"/>
      <c r="HT9" s="69"/>
      <c r="HU9" s="69"/>
      <c r="HV9" s="69"/>
      <c r="HW9" s="69"/>
      <c r="HX9" s="69"/>
      <c r="HY9" s="69"/>
      <c r="HZ9" s="69"/>
      <c r="IA9" s="69"/>
      <c r="IB9" s="69"/>
      <c r="IC9" s="69"/>
      <c r="ID9" s="69"/>
      <c r="IE9" s="69"/>
      <c r="IF9" s="69"/>
      <c r="IG9" s="69"/>
      <c r="IH9" s="69"/>
      <c r="II9" s="69"/>
      <c r="IJ9" s="69"/>
      <c r="IK9" s="69"/>
      <c r="IL9" s="69"/>
      <c r="IM9" s="69"/>
      <c r="IN9" s="69"/>
      <c r="IO9" s="69">
        <v>29023</v>
      </c>
      <c r="IP9" s="69">
        <v>489406</v>
      </c>
      <c r="IQ9" s="69">
        <v>2869083</v>
      </c>
      <c r="IR9" s="69">
        <v>532812</v>
      </c>
      <c r="IS9" s="69">
        <v>0</v>
      </c>
      <c r="IT9" s="69">
        <v>231072</v>
      </c>
      <c r="IU9" s="69">
        <v>1872061</v>
      </c>
      <c r="IV9" s="69">
        <v>20680</v>
      </c>
      <c r="IW9" s="69">
        <v>922058</v>
      </c>
      <c r="IX9" s="69">
        <v>10123</v>
      </c>
      <c r="IY9" s="69">
        <v>718939</v>
      </c>
      <c r="IZ9" s="69">
        <v>868312</v>
      </c>
      <c r="JA9" s="69">
        <v>393305</v>
      </c>
      <c r="JB9" s="69">
        <v>853736</v>
      </c>
      <c r="JC9" s="69">
        <v>247574</v>
      </c>
      <c r="JD9" s="69">
        <v>1110524</v>
      </c>
      <c r="JE9" s="69">
        <v>0</v>
      </c>
      <c r="JF9" s="69">
        <v>181192</v>
      </c>
      <c r="JG9" s="69">
        <v>566403</v>
      </c>
      <c r="JH9" s="69">
        <v>422704</v>
      </c>
      <c r="JI9" s="69">
        <v>502638</v>
      </c>
      <c r="JJ9" s="69">
        <v>252979</v>
      </c>
      <c r="JK9" s="69">
        <v>264573</v>
      </c>
      <c r="JL9" s="69">
        <v>412782</v>
      </c>
      <c r="JM9" s="69">
        <v>954175</v>
      </c>
      <c r="JN9" s="69">
        <v>2098866</v>
      </c>
      <c r="JO9" s="69"/>
      <c r="JP9" s="69"/>
      <c r="JQ9" s="69"/>
      <c r="JR9" s="69"/>
      <c r="JS9" s="69"/>
      <c r="JT9" s="69"/>
      <c r="JU9" s="69"/>
      <c r="JV9" s="69"/>
      <c r="JW9" s="69"/>
      <c r="JX9" s="69"/>
      <c r="JY9" s="69"/>
      <c r="JZ9" s="69"/>
      <c r="KA9" s="69"/>
      <c r="KB9" s="69"/>
      <c r="KC9" s="69"/>
      <c r="KD9" s="69"/>
      <c r="KE9" s="69"/>
      <c r="KF9" s="69"/>
      <c r="KG9" s="69"/>
      <c r="KH9" s="69"/>
      <c r="KI9" s="69"/>
      <c r="KJ9" s="69"/>
      <c r="KK9" s="69"/>
      <c r="KL9" s="69"/>
      <c r="KM9" s="69"/>
      <c r="KN9" s="69"/>
      <c r="KO9" s="69"/>
      <c r="KP9" s="69"/>
      <c r="KQ9" s="69"/>
      <c r="KR9" s="69"/>
      <c r="KS9" s="69"/>
      <c r="KT9" s="69"/>
      <c r="KU9" s="69"/>
      <c r="KV9" s="69"/>
      <c r="KW9" s="69"/>
    </row>
    <row r="10" spans="1:314" x14ac:dyDescent="0.25">
      <c r="A10" t="s">
        <v>356</v>
      </c>
      <c r="C10" t="s">
        <v>1088</v>
      </c>
      <c r="E10" s="2"/>
      <c r="G10" t="s">
        <v>357</v>
      </c>
      <c r="Q10" s="69">
        <v>670898</v>
      </c>
      <c r="AH10">
        <v>6088267</v>
      </c>
      <c r="AI10">
        <v>3887200</v>
      </c>
      <c r="AJ10">
        <v>3129156</v>
      </c>
      <c r="AK10">
        <v>0</v>
      </c>
      <c r="AL10">
        <v>510820</v>
      </c>
      <c r="AM10">
        <v>325793</v>
      </c>
      <c r="CU10">
        <v>64176</v>
      </c>
      <c r="CV10">
        <v>20070</v>
      </c>
      <c r="CW10">
        <v>1307232</v>
      </c>
      <c r="CX10">
        <v>338762</v>
      </c>
      <c r="CY10">
        <v>0</v>
      </c>
      <c r="CZ10">
        <v>9280</v>
      </c>
      <c r="DA10">
        <v>113700</v>
      </c>
      <c r="DB10">
        <v>5564</v>
      </c>
      <c r="DC10">
        <v>100819</v>
      </c>
      <c r="DD10">
        <v>0</v>
      </c>
      <c r="DE10">
        <v>10114</v>
      </c>
      <c r="DF10">
        <v>1015240</v>
      </c>
      <c r="DG10">
        <v>146624</v>
      </c>
      <c r="DH10">
        <v>100416</v>
      </c>
      <c r="DI10">
        <v>18624</v>
      </c>
      <c r="DJ10">
        <v>272542</v>
      </c>
      <c r="DK10">
        <v>0</v>
      </c>
      <c r="DL10">
        <v>71656</v>
      </c>
      <c r="DM10">
        <v>873336</v>
      </c>
      <c r="DN10">
        <v>576</v>
      </c>
      <c r="DO10">
        <v>5700</v>
      </c>
      <c r="DP10">
        <v>4248</v>
      </c>
      <c r="DQ10">
        <v>231168</v>
      </c>
      <c r="DR10">
        <v>174432</v>
      </c>
      <c r="DS10">
        <v>1761984</v>
      </c>
      <c r="DT10">
        <v>314086</v>
      </c>
      <c r="DX10" s="69"/>
      <c r="DY10" s="69">
        <v>266974</v>
      </c>
      <c r="DZ10" s="69">
        <v>1848</v>
      </c>
      <c r="EA10" s="69">
        <v>2898292</v>
      </c>
      <c r="EB10" s="69">
        <v>1505318</v>
      </c>
      <c r="EC10" s="69">
        <v>0</v>
      </c>
      <c r="ED10" s="69">
        <v>15400</v>
      </c>
      <c r="EE10" s="69">
        <v>317884</v>
      </c>
      <c r="EF10" s="69">
        <v>512</v>
      </c>
      <c r="EG10" s="69">
        <v>117421</v>
      </c>
      <c r="EH10" s="69">
        <v>0</v>
      </c>
      <c r="EI10" s="69">
        <v>87427</v>
      </c>
      <c r="EJ10" s="69">
        <v>3546696</v>
      </c>
      <c r="EK10" s="69">
        <v>502462</v>
      </c>
      <c r="EL10" s="69">
        <v>938346</v>
      </c>
      <c r="EM10" s="69">
        <v>285418</v>
      </c>
      <c r="EN10" s="69">
        <v>744031</v>
      </c>
      <c r="EO10" s="69">
        <v>0</v>
      </c>
      <c r="EP10" s="69">
        <v>286735</v>
      </c>
      <c r="EQ10" s="69">
        <v>2793352</v>
      </c>
      <c r="ER10" s="69">
        <v>53</v>
      </c>
      <c r="ES10" s="69">
        <v>525</v>
      </c>
      <c r="ET10" s="69">
        <v>391</v>
      </c>
      <c r="EU10" s="69">
        <v>904235</v>
      </c>
      <c r="EV10" s="69">
        <v>279909</v>
      </c>
      <c r="EW10" s="69">
        <v>4170275</v>
      </c>
      <c r="EX10" s="69">
        <v>1052192</v>
      </c>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69"/>
      <c r="HU10" s="69"/>
      <c r="HV10" s="69"/>
      <c r="HW10" s="69"/>
      <c r="HX10" s="69"/>
      <c r="HY10" s="69"/>
      <c r="HZ10" s="69"/>
      <c r="IA10" s="69"/>
      <c r="IB10" s="69"/>
      <c r="IC10" s="69"/>
      <c r="ID10" s="69"/>
      <c r="IE10" s="69"/>
      <c r="IF10" s="69"/>
      <c r="IG10" s="69"/>
      <c r="IH10" s="69"/>
      <c r="II10" s="69"/>
      <c r="IJ10" s="69"/>
      <c r="IK10" s="69"/>
      <c r="IL10" s="69"/>
      <c r="IM10" s="69"/>
      <c r="IN10" s="69"/>
      <c r="IO10" s="69">
        <v>57683</v>
      </c>
      <c r="IP10" s="69">
        <v>181816</v>
      </c>
      <c r="IQ10" s="69">
        <v>602577</v>
      </c>
      <c r="IR10" s="69">
        <v>274173</v>
      </c>
      <c r="IS10" s="69">
        <v>0</v>
      </c>
      <c r="IT10" s="69">
        <v>2919</v>
      </c>
      <c r="IU10" s="69">
        <v>1187814</v>
      </c>
      <c r="IV10" s="69">
        <v>50405</v>
      </c>
      <c r="IW10" s="69">
        <v>36155</v>
      </c>
      <c r="IX10" s="69">
        <v>0</v>
      </c>
      <c r="IY10" s="69">
        <v>145418</v>
      </c>
      <c r="IZ10" s="69">
        <v>1020593</v>
      </c>
      <c r="JA10" s="69">
        <v>63267</v>
      </c>
      <c r="JB10" s="69">
        <v>260680</v>
      </c>
      <c r="JC10" s="69">
        <v>144877</v>
      </c>
      <c r="JD10" s="69">
        <v>704463</v>
      </c>
      <c r="JE10" s="69">
        <v>0</v>
      </c>
      <c r="JF10" s="69">
        <v>117665</v>
      </c>
      <c r="JG10" s="69">
        <v>332006</v>
      </c>
      <c r="JH10" s="69">
        <v>5218</v>
      </c>
      <c r="JI10" s="69">
        <v>51637</v>
      </c>
      <c r="JJ10" s="69">
        <v>38484</v>
      </c>
      <c r="JK10" s="69">
        <v>228450</v>
      </c>
      <c r="JL10" s="69">
        <v>379274</v>
      </c>
      <c r="JM10" s="69">
        <v>474683</v>
      </c>
      <c r="JN10" s="69">
        <v>369545</v>
      </c>
      <c r="JO10" s="69"/>
      <c r="JP10" s="69"/>
      <c r="JQ10" s="69"/>
      <c r="JR10" s="69"/>
      <c r="JS10" s="69"/>
      <c r="JT10" s="69"/>
      <c r="JU10" s="69"/>
      <c r="JV10" s="69"/>
      <c r="JW10" s="69"/>
      <c r="JX10" s="69"/>
      <c r="JY10" s="69"/>
      <c r="JZ10" s="69"/>
      <c r="KA10" s="69"/>
      <c r="KB10" s="69"/>
      <c r="KC10" s="69"/>
      <c r="KD10" s="69"/>
      <c r="KE10" s="69"/>
      <c r="KF10" s="69"/>
      <c r="KG10" s="69"/>
      <c r="KH10" s="69"/>
      <c r="KI10" s="69"/>
      <c r="KJ10" s="69"/>
      <c r="KK10" s="69"/>
      <c r="KL10" s="69"/>
      <c r="KM10" s="69"/>
      <c r="KN10" s="69"/>
      <c r="KO10" s="69"/>
      <c r="KP10" s="69"/>
      <c r="KQ10" s="69"/>
      <c r="KR10" s="69"/>
      <c r="KS10" s="69"/>
      <c r="KT10" s="69"/>
      <c r="KU10" s="69"/>
      <c r="KV10" s="69"/>
      <c r="KW10" s="69"/>
    </row>
    <row r="11" spans="1:314" x14ac:dyDescent="0.25">
      <c r="A11" t="s">
        <v>428</v>
      </c>
      <c r="C11" t="s">
        <v>1088</v>
      </c>
      <c r="E11" s="2"/>
      <c r="G11" t="s">
        <v>429</v>
      </c>
      <c r="Q11" s="69">
        <v>199098</v>
      </c>
      <c r="AH11">
        <v>3646021</v>
      </c>
      <c r="AI11">
        <v>1766793</v>
      </c>
      <c r="AJ11">
        <v>1517183</v>
      </c>
      <c r="AK11">
        <v>0</v>
      </c>
      <c r="AL11">
        <v>268621</v>
      </c>
      <c r="AM11">
        <v>316443</v>
      </c>
      <c r="CU11">
        <v>0</v>
      </c>
      <c r="CV11">
        <v>73264</v>
      </c>
      <c r="CW11">
        <v>234720</v>
      </c>
      <c r="CX11">
        <v>120283</v>
      </c>
      <c r="CY11">
        <v>0</v>
      </c>
      <c r="CZ11">
        <v>0</v>
      </c>
      <c r="DA11">
        <v>21769</v>
      </c>
      <c r="DB11">
        <v>64048</v>
      </c>
      <c r="DC11">
        <v>26257</v>
      </c>
      <c r="DD11">
        <v>0</v>
      </c>
      <c r="DE11">
        <v>129456</v>
      </c>
      <c r="DF11">
        <v>185504</v>
      </c>
      <c r="DG11">
        <v>10572</v>
      </c>
      <c r="DH11">
        <v>20516</v>
      </c>
      <c r="DI11">
        <v>0</v>
      </c>
      <c r="DJ11">
        <v>30237</v>
      </c>
      <c r="DK11">
        <v>0</v>
      </c>
      <c r="DL11">
        <v>20848</v>
      </c>
      <c r="DM11">
        <v>164016</v>
      </c>
      <c r="DN11">
        <v>20256</v>
      </c>
      <c r="DO11">
        <v>448</v>
      </c>
      <c r="DP11">
        <v>1708</v>
      </c>
      <c r="DQ11">
        <v>24640</v>
      </c>
      <c r="DR11">
        <v>33764</v>
      </c>
      <c r="DS11">
        <v>254352</v>
      </c>
      <c r="DT11">
        <v>55264</v>
      </c>
      <c r="DX11" s="69"/>
      <c r="DY11" s="69">
        <v>0</v>
      </c>
      <c r="DZ11" s="69">
        <v>306351</v>
      </c>
      <c r="EA11" s="69">
        <v>890555</v>
      </c>
      <c r="EB11" s="69">
        <v>717991</v>
      </c>
      <c r="EC11" s="69">
        <v>0</v>
      </c>
      <c r="ED11" s="69">
        <v>0</v>
      </c>
      <c r="EE11" s="69">
        <v>122426</v>
      </c>
      <c r="EF11" s="69">
        <v>295747</v>
      </c>
      <c r="EG11" s="69">
        <v>63194</v>
      </c>
      <c r="EH11" s="69">
        <v>0</v>
      </c>
      <c r="EI11" s="69">
        <v>124971</v>
      </c>
      <c r="EJ11" s="69">
        <v>694437</v>
      </c>
      <c r="EK11" s="69">
        <v>43630</v>
      </c>
      <c r="EL11" s="69">
        <v>284062</v>
      </c>
      <c r="EM11" s="69">
        <v>0</v>
      </c>
      <c r="EN11" s="69">
        <v>226181</v>
      </c>
      <c r="EO11" s="69">
        <v>0</v>
      </c>
      <c r="EP11" s="69">
        <v>170170</v>
      </c>
      <c r="EQ11" s="69">
        <v>567560</v>
      </c>
      <c r="ER11" s="69">
        <v>92910</v>
      </c>
      <c r="ES11" s="69">
        <v>8843</v>
      </c>
      <c r="ET11" s="69">
        <v>12095</v>
      </c>
      <c r="EU11" s="69">
        <v>141695</v>
      </c>
      <c r="EV11" s="69">
        <v>132806</v>
      </c>
      <c r="EW11" s="69">
        <v>799799</v>
      </c>
      <c r="EX11" s="69">
        <v>356549</v>
      </c>
      <c r="EY11" s="69"/>
      <c r="EZ11" s="69"/>
      <c r="FA11" s="69"/>
      <c r="FB11" s="69"/>
      <c r="FC11" s="69"/>
      <c r="FD11" s="69"/>
      <c r="FE11" s="69"/>
      <c r="FF11" s="69"/>
      <c r="FG11" s="69"/>
      <c r="FH11" s="69"/>
      <c r="FI11" s="69"/>
      <c r="FJ11" s="69"/>
      <c r="FK11" s="69"/>
      <c r="FL11" s="69"/>
      <c r="FM11" s="69"/>
      <c r="FN11" s="69"/>
      <c r="FO11" s="69"/>
      <c r="FP11" s="69"/>
      <c r="FQ11" s="69"/>
      <c r="FR11" s="69"/>
      <c r="FS11" s="69"/>
      <c r="FT11" s="69"/>
      <c r="FU11" s="69"/>
      <c r="FV11" s="69"/>
      <c r="FW11" s="69"/>
      <c r="FX11" s="69"/>
      <c r="FY11" s="69"/>
      <c r="FZ11" s="69"/>
      <c r="GA11" s="69"/>
      <c r="GB11" s="69"/>
      <c r="GC11" s="69"/>
      <c r="GD11" s="69"/>
      <c r="GE11" s="69"/>
      <c r="GF11" s="69"/>
      <c r="GG11" s="69"/>
      <c r="GH11" s="69"/>
      <c r="GI11" s="69"/>
      <c r="GJ11" s="69"/>
      <c r="GK11" s="69"/>
      <c r="GL11" s="69"/>
      <c r="GM11" s="69"/>
      <c r="GN11" s="69"/>
      <c r="GO11" s="69"/>
      <c r="GP11" s="69"/>
      <c r="GQ11" s="69"/>
      <c r="GR11" s="69"/>
      <c r="GS11" s="69"/>
      <c r="GT11" s="69"/>
      <c r="GU11" s="69"/>
      <c r="GV11" s="69"/>
      <c r="GW11" s="69"/>
      <c r="GX11" s="69"/>
      <c r="GY11" s="69"/>
      <c r="GZ11" s="69"/>
      <c r="HA11" s="69"/>
      <c r="HB11" s="69"/>
      <c r="HC11" s="69"/>
      <c r="HD11" s="69"/>
      <c r="HE11" s="69"/>
      <c r="HF11" s="69"/>
      <c r="HG11" s="69"/>
      <c r="HH11" s="69"/>
      <c r="HI11" s="69"/>
      <c r="HJ11" s="69"/>
      <c r="HK11" s="69"/>
      <c r="HL11" s="69"/>
      <c r="HM11" s="69"/>
      <c r="HN11" s="69"/>
      <c r="HO11" s="69"/>
      <c r="HP11" s="69"/>
      <c r="HQ11" s="69"/>
      <c r="HR11" s="69"/>
      <c r="HS11" s="69"/>
      <c r="HT11" s="69"/>
      <c r="HU11" s="69"/>
      <c r="HV11" s="69"/>
      <c r="HW11" s="69"/>
      <c r="HX11" s="69"/>
      <c r="HY11" s="69"/>
      <c r="HZ11" s="69"/>
      <c r="IA11" s="69"/>
      <c r="IB11" s="69"/>
      <c r="IC11" s="69"/>
      <c r="ID11" s="69"/>
      <c r="IE11" s="69"/>
      <c r="IF11" s="69"/>
      <c r="IG11" s="69"/>
      <c r="IH11" s="69"/>
      <c r="II11" s="69"/>
      <c r="IJ11" s="69"/>
      <c r="IK11" s="69"/>
      <c r="IL11" s="69"/>
      <c r="IM11" s="69"/>
      <c r="IN11" s="69"/>
      <c r="IO11" s="69">
        <v>0</v>
      </c>
      <c r="IP11" s="69">
        <v>126758</v>
      </c>
      <c r="IQ11" s="69">
        <v>438830</v>
      </c>
      <c r="IR11" s="69">
        <v>45961</v>
      </c>
      <c r="IS11" s="69">
        <v>0</v>
      </c>
      <c r="IT11" s="69">
        <v>0</v>
      </c>
      <c r="IU11" s="69">
        <v>7524</v>
      </c>
      <c r="IV11" s="69">
        <v>89514</v>
      </c>
      <c r="IW11" s="69">
        <v>6107</v>
      </c>
      <c r="IX11" s="69">
        <v>0</v>
      </c>
      <c r="IY11" s="69">
        <v>17847</v>
      </c>
      <c r="IZ11" s="69">
        <v>60611</v>
      </c>
      <c r="JA11" s="69">
        <v>2274</v>
      </c>
      <c r="JB11" s="69">
        <v>78018</v>
      </c>
      <c r="JC11" s="69">
        <v>0</v>
      </c>
      <c r="JD11" s="69">
        <v>170891</v>
      </c>
      <c r="JE11" s="69">
        <v>0</v>
      </c>
      <c r="JF11" s="69">
        <v>27819</v>
      </c>
      <c r="JG11" s="69">
        <v>29414</v>
      </c>
      <c r="JH11" s="69">
        <v>16551</v>
      </c>
      <c r="JI11" s="69">
        <v>2512</v>
      </c>
      <c r="JJ11" s="69">
        <v>473</v>
      </c>
      <c r="JK11" s="69">
        <v>10058</v>
      </c>
      <c r="JL11" s="69">
        <v>10824</v>
      </c>
      <c r="JM11" s="69">
        <v>34539</v>
      </c>
      <c r="JN11" s="69">
        <v>105500</v>
      </c>
      <c r="JO11" s="69"/>
      <c r="JP11" s="69"/>
      <c r="JQ11" s="69"/>
      <c r="JR11" s="69"/>
      <c r="JS11" s="69"/>
      <c r="JT11" s="69"/>
      <c r="JU11" s="69"/>
      <c r="JV11" s="69"/>
      <c r="JW11" s="69"/>
      <c r="JX11" s="69"/>
      <c r="JY11" s="69"/>
      <c r="JZ11" s="69"/>
      <c r="KA11" s="69"/>
      <c r="KB11" s="69"/>
      <c r="KC11" s="69"/>
      <c r="KD11" s="69"/>
      <c r="KE11" s="69"/>
      <c r="KF11" s="69"/>
      <c r="KG11" s="69"/>
      <c r="KH11" s="69"/>
      <c r="KI11" s="69"/>
      <c r="KJ11" s="69"/>
      <c r="KK11" s="69"/>
      <c r="KL11" s="69"/>
      <c r="KM11" s="69"/>
      <c r="KN11" s="69"/>
      <c r="KO11" s="69"/>
      <c r="KP11" s="69"/>
      <c r="KQ11" s="69"/>
      <c r="KR11" s="69"/>
      <c r="KS11" s="69"/>
      <c r="KT11" s="69"/>
      <c r="KU11" s="69"/>
      <c r="KV11" s="69"/>
      <c r="KW11" s="69"/>
    </row>
    <row r="12" spans="1:314" x14ac:dyDescent="0.25">
      <c r="A12" t="s">
        <v>420</v>
      </c>
      <c r="C12" t="s">
        <v>1088</v>
      </c>
      <c r="E12" s="2"/>
      <c r="G12" t="s">
        <v>421</v>
      </c>
      <c r="Q12" s="69">
        <v>1856579</v>
      </c>
      <c r="AH12">
        <v>8804560</v>
      </c>
      <c r="AI12">
        <v>4194267</v>
      </c>
      <c r="AJ12">
        <v>2614480</v>
      </c>
      <c r="AK12">
        <v>0</v>
      </c>
      <c r="AL12">
        <v>0</v>
      </c>
      <c r="AM12">
        <v>706092</v>
      </c>
      <c r="CU12">
        <v>72866</v>
      </c>
      <c r="CV12">
        <v>94430</v>
      </c>
      <c r="CW12">
        <v>284464</v>
      </c>
      <c r="CX12">
        <v>742128</v>
      </c>
      <c r="CY12">
        <v>18320</v>
      </c>
      <c r="CZ12">
        <v>39568</v>
      </c>
      <c r="DA12">
        <v>455316</v>
      </c>
      <c r="DB12">
        <v>17256</v>
      </c>
      <c r="DC12">
        <v>316356</v>
      </c>
      <c r="DD12">
        <v>256</v>
      </c>
      <c r="DE12">
        <v>118120</v>
      </c>
      <c r="DF12">
        <v>785272</v>
      </c>
      <c r="DG12">
        <v>67056</v>
      </c>
      <c r="DH12">
        <v>172904</v>
      </c>
      <c r="DI12">
        <v>0</v>
      </c>
      <c r="DJ12">
        <v>136854</v>
      </c>
      <c r="DK12">
        <v>0</v>
      </c>
      <c r="DL12">
        <v>112224</v>
      </c>
      <c r="DM12">
        <v>531237</v>
      </c>
      <c r="DN12">
        <v>43504</v>
      </c>
      <c r="DO12">
        <v>46254</v>
      </c>
      <c r="DP12">
        <v>6608</v>
      </c>
      <c r="DQ12">
        <v>142808</v>
      </c>
      <c r="DR12">
        <v>170068</v>
      </c>
      <c r="DS12">
        <v>1155264</v>
      </c>
      <c r="DT12">
        <v>184784</v>
      </c>
      <c r="DX12" s="69"/>
      <c r="DY12" s="69">
        <v>93149</v>
      </c>
      <c r="DZ12" s="69">
        <v>422395</v>
      </c>
      <c r="EA12" s="69">
        <v>953767</v>
      </c>
      <c r="EB12" s="69">
        <v>2158757</v>
      </c>
      <c r="EC12" s="69">
        <v>211575</v>
      </c>
      <c r="ED12" s="69">
        <v>145328</v>
      </c>
      <c r="EE12" s="69">
        <v>1640334</v>
      </c>
      <c r="EF12" s="69">
        <v>63294</v>
      </c>
      <c r="EG12" s="69">
        <v>314809</v>
      </c>
      <c r="EH12" s="69">
        <v>35089</v>
      </c>
      <c r="EI12" s="69">
        <v>36567</v>
      </c>
      <c r="EJ12" s="69">
        <v>2761232</v>
      </c>
      <c r="EK12" s="69">
        <v>256711</v>
      </c>
      <c r="EL12" s="69">
        <v>1420885</v>
      </c>
      <c r="EM12" s="69">
        <v>0</v>
      </c>
      <c r="EN12" s="69">
        <v>613775</v>
      </c>
      <c r="EO12" s="69">
        <v>0</v>
      </c>
      <c r="EP12" s="69">
        <v>531815</v>
      </c>
      <c r="EQ12" s="69">
        <v>1479369</v>
      </c>
      <c r="ER12" s="69">
        <v>105026</v>
      </c>
      <c r="ES12" s="69">
        <v>110137</v>
      </c>
      <c r="ET12" s="69">
        <v>98342</v>
      </c>
      <c r="EU12" s="69">
        <v>479667</v>
      </c>
      <c r="EV12" s="69">
        <v>771707</v>
      </c>
      <c r="EW12" s="69">
        <v>2919867</v>
      </c>
      <c r="EX12" s="69">
        <v>569584</v>
      </c>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v>57965</v>
      </c>
      <c r="IP12" s="69">
        <v>571078</v>
      </c>
      <c r="IQ12" s="69">
        <v>278300</v>
      </c>
      <c r="IR12" s="69">
        <v>751479</v>
      </c>
      <c r="IS12" s="69">
        <v>775878</v>
      </c>
      <c r="IT12" s="69">
        <v>20627</v>
      </c>
      <c r="IU12" s="69">
        <v>5072161</v>
      </c>
      <c r="IV12" s="69">
        <v>39732</v>
      </c>
      <c r="IW12" s="69">
        <v>505383</v>
      </c>
      <c r="IX12" s="69">
        <v>4575</v>
      </c>
      <c r="IY12" s="69">
        <v>169358</v>
      </c>
      <c r="IZ12" s="69">
        <v>391906</v>
      </c>
      <c r="JA12" s="69">
        <v>27164</v>
      </c>
      <c r="JB12" s="69">
        <v>391774</v>
      </c>
      <c r="JC12" s="69">
        <v>0</v>
      </c>
      <c r="JD12" s="69">
        <v>429115</v>
      </c>
      <c r="JE12" s="69">
        <v>0</v>
      </c>
      <c r="JF12" s="69">
        <v>160664</v>
      </c>
      <c r="JG12" s="69">
        <v>310050</v>
      </c>
      <c r="JH12" s="69">
        <v>141166</v>
      </c>
      <c r="JI12" s="69">
        <v>68308</v>
      </c>
      <c r="JJ12" s="69">
        <v>67150</v>
      </c>
      <c r="JK12" s="69">
        <v>296575</v>
      </c>
      <c r="JL12" s="69">
        <v>225573</v>
      </c>
      <c r="JM12" s="69">
        <v>341644</v>
      </c>
      <c r="JN12" s="69">
        <v>129273</v>
      </c>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row>
    <row r="13" spans="1:314" x14ac:dyDescent="0.25">
      <c r="A13" t="s">
        <v>358</v>
      </c>
      <c r="C13" t="s">
        <v>1088</v>
      </c>
      <c r="E13" s="2"/>
      <c r="G13" t="s">
        <v>359</v>
      </c>
      <c r="Q13" s="69">
        <v>191271</v>
      </c>
      <c r="AH13">
        <v>1954294</v>
      </c>
      <c r="AI13">
        <v>991093</v>
      </c>
      <c r="AJ13">
        <v>722845</v>
      </c>
      <c r="AK13">
        <v>0</v>
      </c>
      <c r="AL13">
        <v>0</v>
      </c>
      <c r="AM13">
        <v>301503</v>
      </c>
      <c r="CU13">
        <v>8000</v>
      </c>
      <c r="CV13">
        <v>22240</v>
      </c>
      <c r="CW13">
        <v>191184</v>
      </c>
      <c r="CX13">
        <v>116924</v>
      </c>
      <c r="CY13">
        <v>0</v>
      </c>
      <c r="CZ13">
        <v>0</v>
      </c>
      <c r="DA13">
        <v>9733</v>
      </c>
      <c r="DB13">
        <v>1728</v>
      </c>
      <c r="DC13">
        <v>58004</v>
      </c>
      <c r="DD13">
        <v>0</v>
      </c>
      <c r="DE13">
        <v>6144</v>
      </c>
      <c r="DF13">
        <v>237696</v>
      </c>
      <c r="DG13">
        <v>22128</v>
      </c>
      <c r="DH13">
        <v>59280</v>
      </c>
      <c r="DI13">
        <v>0</v>
      </c>
      <c r="DJ13">
        <v>77120</v>
      </c>
      <c r="DK13">
        <v>22042</v>
      </c>
      <c r="DL13">
        <v>104960</v>
      </c>
      <c r="DM13">
        <v>157040</v>
      </c>
      <c r="DN13">
        <v>16800</v>
      </c>
      <c r="DO13">
        <v>0</v>
      </c>
      <c r="DP13">
        <v>1472</v>
      </c>
      <c r="DQ13">
        <v>65712</v>
      </c>
      <c r="DR13">
        <v>30960</v>
      </c>
      <c r="DS13">
        <v>312480</v>
      </c>
      <c r="DT13">
        <v>83368</v>
      </c>
      <c r="DX13" s="69"/>
      <c r="DY13" s="69">
        <v>47366</v>
      </c>
      <c r="DZ13" s="69">
        <v>55359</v>
      </c>
      <c r="EA13" s="69">
        <v>370260</v>
      </c>
      <c r="EB13" s="69">
        <v>186747</v>
      </c>
      <c r="EC13" s="69">
        <v>0</v>
      </c>
      <c r="ED13" s="69">
        <v>0</v>
      </c>
      <c r="EE13" s="69">
        <v>148191</v>
      </c>
      <c r="EF13" s="69">
        <v>4745</v>
      </c>
      <c r="EG13" s="69">
        <v>130989</v>
      </c>
      <c r="EH13" s="69">
        <v>0</v>
      </c>
      <c r="EI13" s="69">
        <v>15026</v>
      </c>
      <c r="EJ13" s="69">
        <v>680288</v>
      </c>
      <c r="EK13" s="69">
        <v>60055</v>
      </c>
      <c r="EL13" s="69">
        <v>226482</v>
      </c>
      <c r="EM13" s="69">
        <v>0</v>
      </c>
      <c r="EN13" s="69">
        <v>121406</v>
      </c>
      <c r="EO13" s="69">
        <v>130646</v>
      </c>
      <c r="EP13" s="69">
        <v>320725</v>
      </c>
      <c r="EQ13" s="69">
        <v>446704</v>
      </c>
      <c r="ER13" s="69">
        <v>103318</v>
      </c>
      <c r="ES13" s="69">
        <v>0</v>
      </c>
      <c r="ET13" s="69">
        <v>3954</v>
      </c>
      <c r="EU13" s="69">
        <v>468208</v>
      </c>
      <c r="EV13" s="69">
        <v>106986</v>
      </c>
      <c r="EW13" s="69">
        <v>731204</v>
      </c>
      <c r="EX13" s="69">
        <v>207109</v>
      </c>
      <c r="EY13" s="69"/>
      <c r="EZ13" s="69"/>
      <c r="FA13" s="69"/>
      <c r="FB13" s="69"/>
      <c r="FC13" s="69"/>
      <c r="FD13" s="69"/>
      <c r="FE13" s="69"/>
      <c r="FF13" s="69"/>
      <c r="FG13" s="69"/>
      <c r="FH13" s="69"/>
      <c r="FI13" s="69"/>
      <c r="FJ13" s="69"/>
      <c r="FK13" s="69"/>
      <c r="FL13" s="69"/>
      <c r="FM13" s="69"/>
      <c r="FN13" s="69"/>
      <c r="FO13" s="69"/>
      <c r="FP13" s="69"/>
      <c r="FQ13" s="69"/>
      <c r="FR13" s="69"/>
      <c r="FS13" s="69"/>
      <c r="FT13" s="69"/>
      <c r="FU13" s="69"/>
      <c r="FV13" s="69"/>
      <c r="FW13" s="69"/>
      <c r="FX13" s="69"/>
      <c r="FY13" s="69"/>
      <c r="FZ13" s="69"/>
      <c r="GA13" s="69"/>
      <c r="GB13" s="69"/>
      <c r="GC13" s="69"/>
      <c r="GD13" s="69"/>
      <c r="GE13" s="69"/>
      <c r="GF13" s="69"/>
      <c r="GG13" s="69"/>
      <c r="GH13" s="69"/>
      <c r="GI13" s="69"/>
      <c r="GJ13" s="69"/>
      <c r="GK13" s="69"/>
      <c r="GL13" s="69"/>
      <c r="GM13" s="69"/>
      <c r="GN13" s="69"/>
      <c r="GO13" s="69"/>
      <c r="GP13" s="69"/>
      <c r="GQ13" s="69"/>
      <c r="GR13" s="69"/>
      <c r="GS13" s="69"/>
      <c r="GT13" s="69"/>
      <c r="GU13" s="69"/>
      <c r="GV13" s="69"/>
      <c r="GW13" s="69"/>
      <c r="GX13" s="69"/>
      <c r="GY13" s="69"/>
      <c r="GZ13" s="69"/>
      <c r="HA13" s="69"/>
      <c r="HB13" s="69"/>
      <c r="HC13" s="69"/>
      <c r="HD13" s="69"/>
      <c r="HE13" s="69"/>
      <c r="HF13" s="69"/>
      <c r="HG13" s="69"/>
      <c r="HH13" s="69"/>
      <c r="HI13" s="69"/>
      <c r="HJ13" s="69"/>
      <c r="HK13" s="69"/>
      <c r="HL13" s="69"/>
      <c r="HM13" s="69"/>
      <c r="HN13" s="69"/>
      <c r="HO13" s="69"/>
      <c r="HP13" s="69"/>
      <c r="HQ13" s="69"/>
      <c r="HR13" s="69"/>
      <c r="HS13" s="69"/>
      <c r="HT13" s="69"/>
      <c r="HU13" s="69"/>
      <c r="HV13" s="69"/>
      <c r="HW13" s="69"/>
      <c r="HX13" s="69"/>
      <c r="HY13" s="69"/>
      <c r="HZ13" s="69"/>
      <c r="IA13" s="69"/>
      <c r="IB13" s="69"/>
      <c r="IC13" s="69"/>
      <c r="ID13" s="69"/>
      <c r="IE13" s="69"/>
      <c r="IF13" s="69"/>
      <c r="IG13" s="69"/>
      <c r="IH13" s="69"/>
      <c r="II13" s="69"/>
      <c r="IJ13" s="69"/>
      <c r="IK13" s="69"/>
      <c r="IL13" s="69"/>
      <c r="IM13" s="69"/>
      <c r="IN13" s="69"/>
      <c r="IO13" s="69">
        <v>8291</v>
      </c>
      <c r="IP13" s="69">
        <v>16666</v>
      </c>
      <c r="IQ13" s="69">
        <v>76312</v>
      </c>
      <c r="IR13" s="69">
        <v>21048</v>
      </c>
      <c r="IS13" s="69">
        <v>0</v>
      </c>
      <c r="IT13" s="69">
        <v>0</v>
      </c>
      <c r="IU13" s="69">
        <v>14719</v>
      </c>
      <c r="IV13" s="69">
        <v>1428</v>
      </c>
      <c r="IW13" s="69">
        <v>27358</v>
      </c>
      <c r="IX13" s="69">
        <v>0</v>
      </c>
      <c r="IY13" s="69">
        <v>4523</v>
      </c>
      <c r="IZ13" s="69">
        <v>85159</v>
      </c>
      <c r="JA13" s="69">
        <v>7232</v>
      </c>
      <c r="JB13" s="69">
        <v>77247</v>
      </c>
      <c r="JC13" s="69">
        <v>0</v>
      </c>
      <c r="JD13" s="69">
        <v>24764</v>
      </c>
      <c r="JE13" s="69">
        <v>12062</v>
      </c>
      <c r="JF13" s="69">
        <v>40403</v>
      </c>
      <c r="JG13" s="69">
        <v>55457</v>
      </c>
      <c r="JH13" s="69">
        <v>24054</v>
      </c>
      <c r="JI13" s="69">
        <v>0</v>
      </c>
      <c r="JJ13" s="69">
        <v>1190</v>
      </c>
      <c r="JK13" s="69">
        <v>85031</v>
      </c>
      <c r="JL13" s="69">
        <v>12284</v>
      </c>
      <c r="JM13" s="69">
        <v>94812</v>
      </c>
      <c r="JN13" s="69">
        <v>104723</v>
      </c>
      <c r="JO13" s="69"/>
      <c r="JP13" s="69"/>
      <c r="JQ13" s="69"/>
      <c r="JR13" s="69"/>
      <c r="JS13" s="69"/>
      <c r="JT13" s="69"/>
      <c r="JU13" s="69"/>
      <c r="JV13" s="69"/>
      <c r="JW13" s="69"/>
      <c r="JX13" s="69"/>
      <c r="JY13" s="69"/>
      <c r="JZ13" s="69"/>
      <c r="KA13" s="69"/>
      <c r="KB13" s="69"/>
      <c r="KC13" s="69"/>
      <c r="KD13" s="69"/>
      <c r="KE13" s="69"/>
      <c r="KF13" s="69"/>
      <c r="KG13" s="69"/>
      <c r="KH13" s="69"/>
      <c r="KI13" s="69"/>
      <c r="KJ13" s="69"/>
      <c r="KK13" s="69"/>
      <c r="KL13" s="69"/>
      <c r="KM13" s="69"/>
      <c r="KN13" s="69"/>
      <c r="KO13" s="69"/>
      <c r="KP13" s="69"/>
      <c r="KQ13" s="69"/>
      <c r="KR13" s="69"/>
      <c r="KS13" s="69"/>
      <c r="KT13" s="69"/>
      <c r="KU13" s="69"/>
      <c r="KV13" s="69"/>
      <c r="KW13" s="69"/>
    </row>
    <row r="14" spans="1:314" x14ac:dyDescent="0.25">
      <c r="A14" t="s">
        <v>360</v>
      </c>
      <c r="C14" t="s">
        <v>1088</v>
      </c>
      <c r="E14" s="2"/>
      <c r="G14" t="s">
        <v>361</v>
      </c>
      <c r="Q14" s="69">
        <v>60845</v>
      </c>
      <c r="AH14">
        <v>846408</v>
      </c>
      <c r="AI14">
        <v>410958</v>
      </c>
      <c r="AJ14">
        <v>422070</v>
      </c>
      <c r="AK14">
        <v>0</v>
      </c>
      <c r="AL14">
        <v>0</v>
      </c>
      <c r="AM14">
        <v>263222</v>
      </c>
      <c r="CU14">
        <v>44448</v>
      </c>
      <c r="CV14">
        <v>1728</v>
      </c>
      <c r="CW14">
        <v>74560</v>
      </c>
      <c r="CX14">
        <v>38320</v>
      </c>
      <c r="CY14">
        <v>0</v>
      </c>
      <c r="CZ14">
        <v>432</v>
      </c>
      <c r="DA14">
        <v>29858</v>
      </c>
      <c r="DB14">
        <v>0</v>
      </c>
      <c r="DC14">
        <v>39040</v>
      </c>
      <c r="DD14">
        <v>0</v>
      </c>
      <c r="DE14">
        <v>18384</v>
      </c>
      <c r="DF14">
        <v>89136</v>
      </c>
      <c r="DG14">
        <v>13680</v>
      </c>
      <c r="DH14">
        <v>0</v>
      </c>
      <c r="DI14">
        <v>0</v>
      </c>
      <c r="DJ14">
        <v>8080</v>
      </c>
      <c r="DK14">
        <v>0</v>
      </c>
      <c r="DL14">
        <v>57520</v>
      </c>
      <c r="DM14">
        <v>50864</v>
      </c>
      <c r="DN14">
        <v>0</v>
      </c>
      <c r="DO14">
        <v>0</v>
      </c>
      <c r="DP14">
        <v>1440</v>
      </c>
      <c r="DQ14">
        <v>42368</v>
      </c>
      <c r="DR14">
        <v>17752</v>
      </c>
      <c r="DS14">
        <v>105760</v>
      </c>
      <c r="DT14">
        <v>34560</v>
      </c>
      <c r="DX14" s="69"/>
      <c r="DY14" s="69">
        <v>209424</v>
      </c>
      <c r="DZ14" s="69">
        <v>5917</v>
      </c>
      <c r="EA14" s="69">
        <v>170547</v>
      </c>
      <c r="EB14" s="69">
        <v>97998</v>
      </c>
      <c r="EC14" s="69">
        <v>0</v>
      </c>
      <c r="ED14" s="69">
        <v>648</v>
      </c>
      <c r="EE14" s="69">
        <v>149673</v>
      </c>
      <c r="EF14" s="69">
        <v>0</v>
      </c>
      <c r="EG14" s="69">
        <v>47077</v>
      </c>
      <c r="EH14" s="69">
        <v>0</v>
      </c>
      <c r="EI14" s="69">
        <v>68545</v>
      </c>
      <c r="EJ14" s="69">
        <v>236939</v>
      </c>
      <c r="EK14" s="69">
        <v>37933</v>
      </c>
      <c r="EL14" s="69">
        <v>0</v>
      </c>
      <c r="EM14" s="69">
        <v>0</v>
      </c>
      <c r="EN14" s="69">
        <v>3907</v>
      </c>
      <c r="EO14" s="69">
        <v>0</v>
      </c>
      <c r="EP14" s="69">
        <v>154404</v>
      </c>
      <c r="EQ14" s="69">
        <v>131941</v>
      </c>
      <c r="ER14" s="69">
        <v>0</v>
      </c>
      <c r="ES14" s="69">
        <v>0</v>
      </c>
      <c r="ET14" s="69">
        <v>9541</v>
      </c>
      <c r="EU14" s="69">
        <v>175259</v>
      </c>
      <c r="EV14" s="69">
        <v>5151</v>
      </c>
      <c r="EW14" s="69">
        <v>233012</v>
      </c>
      <c r="EX14" s="69">
        <v>55203</v>
      </c>
      <c r="EY14" s="69"/>
      <c r="EZ14" s="69"/>
      <c r="FA14" s="69"/>
      <c r="FB14" s="69"/>
      <c r="FC14" s="69"/>
      <c r="FD14" s="69"/>
      <c r="FE14" s="69"/>
      <c r="FF14" s="69"/>
      <c r="FG14" s="69"/>
      <c r="FH14" s="69"/>
      <c r="FI14" s="69"/>
      <c r="FJ14" s="69"/>
      <c r="FK14" s="69"/>
      <c r="FL14" s="69"/>
      <c r="FM14" s="69"/>
      <c r="FN14" s="69"/>
      <c r="FO14" s="69"/>
      <c r="FP14" s="69"/>
      <c r="FQ14" s="69"/>
      <c r="FR14" s="69"/>
      <c r="FS14" s="69"/>
      <c r="FT14" s="69"/>
      <c r="FU14" s="69"/>
      <c r="FV14" s="69"/>
      <c r="FW14" s="69"/>
      <c r="FX14" s="69"/>
      <c r="FY14" s="69"/>
      <c r="FZ14" s="69"/>
      <c r="GA14" s="69"/>
      <c r="GB14" s="69"/>
      <c r="GC14" s="69"/>
      <c r="GD14" s="69"/>
      <c r="GE14" s="69"/>
      <c r="GF14" s="69"/>
      <c r="GG14" s="69"/>
      <c r="GH14" s="69"/>
      <c r="GI14" s="69"/>
      <c r="GJ14" s="69"/>
      <c r="GK14" s="69"/>
      <c r="GL14" s="69"/>
      <c r="GM14" s="69"/>
      <c r="GN14" s="69"/>
      <c r="GO14" s="69"/>
      <c r="GP14" s="69"/>
      <c r="GQ14" s="69"/>
      <c r="GR14" s="69"/>
      <c r="GS14" s="69"/>
      <c r="GT14" s="69"/>
      <c r="GU14" s="69"/>
      <c r="GV14" s="69"/>
      <c r="GW14" s="69"/>
      <c r="GX14" s="69"/>
      <c r="GY14" s="69"/>
      <c r="GZ14" s="69"/>
      <c r="HA14" s="69"/>
      <c r="HB14" s="69"/>
      <c r="HC14" s="69"/>
      <c r="HD14" s="69"/>
      <c r="HE14" s="69"/>
      <c r="HF14" s="69"/>
      <c r="HG14" s="69"/>
      <c r="HH14" s="69"/>
      <c r="HI14" s="69"/>
      <c r="HJ14" s="69"/>
      <c r="HK14" s="69"/>
      <c r="HL14" s="69"/>
      <c r="HM14" s="69"/>
      <c r="HN14" s="69"/>
      <c r="HO14" s="69"/>
      <c r="HP14" s="69"/>
      <c r="HQ14" s="69"/>
      <c r="HR14" s="69"/>
      <c r="HS14" s="69"/>
      <c r="HT14" s="69"/>
      <c r="HU14" s="69"/>
      <c r="HV14" s="69"/>
      <c r="HW14" s="69"/>
      <c r="HX14" s="69"/>
      <c r="HY14" s="69"/>
      <c r="HZ14" s="69"/>
      <c r="IA14" s="69"/>
      <c r="IB14" s="69"/>
      <c r="IC14" s="69"/>
      <c r="ID14" s="69"/>
      <c r="IE14" s="69"/>
      <c r="IF14" s="69"/>
      <c r="IG14" s="69"/>
      <c r="IH14" s="69"/>
      <c r="II14" s="69"/>
      <c r="IJ14" s="69"/>
      <c r="IK14" s="69"/>
      <c r="IL14" s="69"/>
      <c r="IM14" s="69"/>
      <c r="IN14" s="69"/>
      <c r="IO14" s="69">
        <v>40076</v>
      </c>
      <c r="IP14" s="69">
        <v>0</v>
      </c>
      <c r="IQ14" s="69">
        <v>11996</v>
      </c>
      <c r="IR14" s="69">
        <v>5915</v>
      </c>
      <c r="IS14" s="69">
        <v>0</v>
      </c>
      <c r="IT14" s="69">
        <v>0</v>
      </c>
      <c r="IU14" s="69">
        <v>1953</v>
      </c>
      <c r="IV14" s="69">
        <v>0</v>
      </c>
      <c r="IW14" s="69">
        <v>38</v>
      </c>
      <c r="IX14" s="69">
        <v>0</v>
      </c>
      <c r="IY14" s="69">
        <v>2949</v>
      </c>
      <c r="IZ14" s="69">
        <v>4262</v>
      </c>
      <c r="JA14" s="69">
        <v>930</v>
      </c>
      <c r="JB14" s="69">
        <v>0</v>
      </c>
      <c r="JC14" s="69">
        <v>0</v>
      </c>
      <c r="JD14" s="69">
        <v>1986</v>
      </c>
      <c r="JE14" s="69">
        <v>0</v>
      </c>
      <c r="JF14" s="69">
        <v>26962</v>
      </c>
      <c r="JG14" s="69">
        <v>1027</v>
      </c>
      <c r="JH14" s="69">
        <v>0</v>
      </c>
      <c r="JI14" s="69">
        <v>0</v>
      </c>
      <c r="JJ14" s="69">
        <v>0</v>
      </c>
      <c r="JK14" s="69">
        <v>923</v>
      </c>
      <c r="JL14" s="69">
        <v>0</v>
      </c>
      <c r="JM14" s="69">
        <v>1994</v>
      </c>
      <c r="JN14" s="69">
        <v>3156</v>
      </c>
      <c r="JO14" s="69"/>
      <c r="JP14" s="69"/>
      <c r="JQ14" s="69"/>
      <c r="JR14" s="69"/>
      <c r="JS14" s="69"/>
      <c r="JT14" s="69"/>
      <c r="JU14" s="69"/>
      <c r="JV14" s="69"/>
      <c r="JW14" s="69"/>
      <c r="JX14" s="69"/>
      <c r="JY14" s="69"/>
      <c r="JZ14" s="69"/>
      <c r="KA14" s="69"/>
      <c r="KB14" s="69"/>
      <c r="KC14" s="69"/>
      <c r="KD14" s="69"/>
      <c r="KE14" s="69"/>
      <c r="KF14" s="69"/>
      <c r="KG14" s="69"/>
      <c r="KH14" s="69"/>
      <c r="KI14" s="69"/>
      <c r="KJ14" s="69"/>
      <c r="KK14" s="69"/>
      <c r="KL14" s="69"/>
      <c r="KM14" s="69"/>
      <c r="KN14" s="69"/>
      <c r="KO14" s="69"/>
      <c r="KP14" s="69"/>
      <c r="KQ14" s="69"/>
      <c r="KR14" s="69"/>
      <c r="KS14" s="69"/>
      <c r="KT14" s="69"/>
      <c r="KU14" s="69"/>
      <c r="KV14" s="69"/>
      <c r="KW14" s="69"/>
    </row>
    <row r="15" spans="1:314" x14ac:dyDescent="0.25">
      <c r="A15" t="s">
        <v>354</v>
      </c>
      <c r="C15" t="s">
        <v>1088</v>
      </c>
      <c r="E15" s="2"/>
      <c r="G15" t="s">
        <v>355</v>
      </c>
      <c r="Q15" s="69">
        <v>366134</v>
      </c>
      <c r="AH15">
        <v>4158506</v>
      </c>
      <c r="AI15">
        <v>1123151</v>
      </c>
      <c r="AJ15">
        <v>795200</v>
      </c>
      <c r="AK15">
        <v>0</v>
      </c>
      <c r="AL15">
        <v>0</v>
      </c>
      <c r="AM15">
        <v>256966</v>
      </c>
      <c r="CU15">
        <v>10272</v>
      </c>
      <c r="CV15">
        <v>86040</v>
      </c>
      <c r="CW15">
        <v>139704</v>
      </c>
      <c r="CX15">
        <v>106646</v>
      </c>
      <c r="CY15">
        <v>0</v>
      </c>
      <c r="CZ15">
        <v>16299</v>
      </c>
      <c r="DA15">
        <v>140512</v>
      </c>
      <c r="DB15">
        <v>14976</v>
      </c>
      <c r="DC15">
        <v>137189</v>
      </c>
      <c r="DD15">
        <v>1632</v>
      </c>
      <c r="DE15">
        <v>77924</v>
      </c>
      <c r="DF15">
        <v>287664</v>
      </c>
      <c r="DG15">
        <v>7184</v>
      </c>
      <c r="DH15">
        <v>19206</v>
      </c>
      <c r="DI15">
        <v>34624</v>
      </c>
      <c r="DJ15">
        <v>73156</v>
      </c>
      <c r="DK15">
        <v>0</v>
      </c>
      <c r="DL15">
        <v>128864</v>
      </c>
      <c r="DM15">
        <v>134368</v>
      </c>
      <c r="DN15">
        <v>25632</v>
      </c>
      <c r="DO15">
        <v>7757</v>
      </c>
      <c r="DP15">
        <v>2016</v>
      </c>
      <c r="DQ15">
        <v>35472</v>
      </c>
      <c r="DR15">
        <v>30577</v>
      </c>
      <c r="DS15">
        <v>241783</v>
      </c>
      <c r="DT15">
        <v>61054</v>
      </c>
      <c r="DX15" s="69"/>
      <c r="DY15" s="69">
        <v>24620</v>
      </c>
      <c r="DZ15" s="69">
        <v>201142</v>
      </c>
      <c r="EA15" s="69">
        <v>417244</v>
      </c>
      <c r="EB15" s="69">
        <v>527980</v>
      </c>
      <c r="EC15" s="69">
        <v>0</v>
      </c>
      <c r="ED15" s="69">
        <v>72389</v>
      </c>
      <c r="EE15" s="69">
        <v>422410</v>
      </c>
      <c r="EF15" s="69">
        <v>64936</v>
      </c>
      <c r="EG15" s="69">
        <v>447481</v>
      </c>
      <c r="EH15" s="69">
        <v>3475</v>
      </c>
      <c r="EI15" s="69">
        <v>252910</v>
      </c>
      <c r="EJ15" s="69">
        <v>1186565</v>
      </c>
      <c r="EK15" s="69">
        <v>53788</v>
      </c>
      <c r="EL15" s="69">
        <v>170422</v>
      </c>
      <c r="EM15" s="69">
        <v>246049</v>
      </c>
      <c r="EN15" s="69">
        <v>166840</v>
      </c>
      <c r="EO15" s="69">
        <v>0</v>
      </c>
      <c r="EP15" s="69">
        <v>534118</v>
      </c>
      <c r="EQ15" s="69">
        <v>582646</v>
      </c>
      <c r="ER15" s="69">
        <v>98488</v>
      </c>
      <c r="ES15" s="69">
        <v>37120</v>
      </c>
      <c r="ET15" s="69">
        <v>8065</v>
      </c>
      <c r="EU15" s="69">
        <v>103756</v>
      </c>
      <c r="EV15" s="69">
        <v>120156</v>
      </c>
      <c r="EW15" s="69">
        <v>119160</v>
      </c>
      <c r="EX15" s="69">
        <v>120663</v>
      </c>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69"/>
      <c r="GC15" s="69"/>
      <c r="GD15" s="69"/>
      <c r="GE15" s="69"/>
      <c r="GF15" s="69"/>
      <c r="GG15" s="69"/>
      <c r="GH15" s="69"/>
      <c r="GI15" s="69"/>
      <c r="GJ15" s="69"/>
      <c r="GK15" s="69"/>
      <c r="GL15" s="69"/>
      <c r="GM15" s="69"/>
      <c r="GN15" s="69"/>
      <c r="GO15" s="69"/>
      <c r="GP15" s="69"/>
      <c r="GQ15" s="69"/>
      <c r="GR15" s="69"/>
      <c r="GS15" s="69"/>
      <c r="GT15" s="69"/>
      <c r="GU15" s="69"/>
      <c r="GV15" s="69"/>
      <c r="GW15" s="69"/>
      <c r="GX15" s="69"/>
      <c r="GY15" s="69"/>
      <c r="GZ15" s="69"/>
      <c r="HA15" s="69"/>
      <c r="HB15" s="69"/>
      <c r="HC15" s="69"/>
      <c r="HD15" s="69"/>
      <c r="HE15" s="69"/>
      <c r="HF15" s="69"/>
      <c r="HG15" s="69"/>
      <c r="HH15" s="69"/>
      <c r="HI15" s="69"/>
      <c r="HJ15" s="69"/>
      <c r="HK15" s="69"/>
      <c r="HL15" s="69"/>
      <c r="HM15" s="69"/>
      <c r="HN15" s="69"/>
      <c r="HO15" s="69"/>
      <c r="HP15" s="69"/>
      <c r="HQ15" s="69"/>
      <c r="HR15" s="69"/>
      <c r="HS15" s="69"/>
      <c r="HT15" s="69"/>
      <c r="HU15" s="69"/>
      <c r="HV15" s="69"/>
      <c r="HW15" s="69"/>
      <c r="HX15" s="69"/>
      <c r="HY15" s="69"/>
      <c r="HZ15" s="69"/>
      <c r="IA15" s="69"/>
      <c r="IB15" s="69"/>
      <c r="IC15" s="69"/>
      <c r="ID15" s="69"/>
      <c r="IE15" s="69"/>
      <c r="IF15" s="69"/>
      <c r="IG15" s="69"/>
      <c r="IH15" s="69"/>
      <c r="II15" s="69"/>
      <c r="IJ15" s="69"/>
      <c r="IK15" s="69"/>
      <c r="IL15" s="69"/>
      <c r="IM15" s="69"/>
      <c r="IN15" s="69"/>
      <c r="IO15" s="69">
        <v>544</v>
      </c>
      <c r="IP15" s="69">
        <v>147350</v>
      </c>
      <c r="IQ15" s="69">
        <v>92557</v>
      </c>
      <c r="IR15" s="69">
        <v>111631</v>
      </c>
      <c r="IS15" s="69">
        <v>0</v>
      </c>
      <c r="IT15" s="69">
        <v>1600</v>
      </c>
      <c r="IU15" s="69">
        <v>86809</v>
      </c>
      <c r="IV15" s="69">
        <v>2659</v>
      </c>
      <c r="IW15" s="69">
        <v>108729</v>
      </c>
      <c r="IX15" s="69">
        <v>77</v>
      </c>
      <c r="IY15" s="69">
        <v>27607</v>
      </c>
      <c r="IZ15" s="69">
        <v>47349</v>
      </c>
      <c r="JA15" s="69">
        <v>3217</v>
      </c>
      <c r="JB15" s="69">
        <v>148597</v>
      </c>
      <c r="JC15" s="69">
        <v>155282</v>
      </c>
      <c r="JD15" s="69">
        <v>142862</v>
      </c>
      <c r="JE15" s="69">
        <v>0</v>
      </c>
      <c r="JF15" s="69">
        <v>202187</v>
      </c>
      <c r="JG15" s="69">
        <v>35780</v>
      </c>
      <c r="JH15" s="69">
        <v>12278</v>
      </c>
      <c r="JI15" s="69">
        <v>28270</v>
      </c>
      <c r="JJ15" s="69">
        <v>178</v>
      </c>
      <c r="JK15" s="69">
        <v>29604</v>
      </c>
      <c r="JL15" s="69">
        <v>51465</v>
      </c>
      <c r="JM15" s="69">
        <v>3367</v>
      </c>
      <c r="JN15" s="69">
        <v>16969</v>
      </c>
      <c r="JO15" s="69"/>
      <c r="JP15" s="69"/>
      <c r="JQ15" s="69"/>
      <c r="JR15" s="69"/>
      <c r="JS15" s="69"/>
      <c r="JT15" s="69"/>
      <c r="JU15" s="69"/>
      <c r="JV15" s="69"/>
      <c r="JW15" s="69"/>
      <c r="JX15" s="69"/>
      <c r="JY15" s="69"/>
      <c r="JZ15" s="69"/>
      <c r="KA15" s="69"/>
      <c r="KB15" s="69"/>
      <c r="KC15" s="69"/>
      <c r="KD15" s="69"/>
      <c r="KE15" s="69"/>
      <c r="KF15" s="69"/>
      <c r="KG15" s="69"/>
      <c r="KH15" s="69"/>
      <c r="KI15" s="69"/>
      <c r="KJ15" s="69"/>
      <c r="KK15" s="69"/>
      <c r="KL15" s="69"/>
      <c r="KM15" s="69"/>
      <c r="KN15" s="69"/>
      <c r="KO15" s="69"/>
      <c r="KP15" s="69"/>
      <c r="KQ15" s="69"/>
      <c r="KR15" s="69"/>
      <c r="KS15" s="69"/>
      <c r="KT15" s="69"/>
      <c r="KU15" s="69"/>
      <c r="KV15" s="69"/>
      <c r="KW15" s="69"/>
    </row>
    <row r="16" spans="1:314" x14ac:dyDescent="0.25">
      <c r="A16" t="s">
        <v>426</v>
      </c>
      <c r="E16" s="2"/>
      <c r="G16" t="s">
        <v>946</v>
      </c>
      <c r="Q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69"/>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row>
    <row r="17" spans="1:309" x14ac:dyDescent="0.25">
      <c r="A17" t="s">
        <v>454</v>
      </c>
      <c r="C17" t="s">
        <v>1088</v>
      </c>
      <c r="E17" s="2"/>
      <c r="G17" t="s">
        <v>455</v>
      </c>
      <c r="Q17" s="69">
        <v>688580</v>
      </c>
      <c r="AH17">
        <v>10354147</v>
      </c>
      <c r="AI17">
        <v>6650847</v>
      </c>
      <c r="AJ17">
        <v>9493586</v>
      </c>
      <c r="AK17">
        <v>0</v>
      </c>
      <c r="AL17">
        <v>6839746</v>
      </c>
      <c r="AM17">
        <v>2345569</v>
      </c>
      <c r="CU17">
        <v>92938</v>
      </c>
      <c r="CV17">
        <v>960</v>
      </c>
      <c r="CW17">
        <v>1100416</v>
      </c>
      <c r="CX17">
        <v>617467</v>
      </c>
      <c r="CY17">
        <v>417</v>
      </c>
      <c r="CZ17">
        <v>192253</v>
      </c>
      <c r="DA17">
        <v>332177</v>
      </c>
      <c r="DB17">
        <v>1616</v>
      </c>
      <c r="DC17">
        <v>209928</v>
      </c>
      <c r="DD17">
        <v>4256</v>
      </c>
      <c r="DE17">
        <v>52972</v>
      </c>
      <c r="DF17">
        <v>1748962</v>
      </c>
      <c r="DG17">
        <v>315056</v>
      </c>
      <c r="DH17">
        <v>120332</v>
      </c>
      <c r="DI17">
        <v>22528</v>
      </c>
      <c r="DJ17">
        <v>175923</v>
      </c>
      <c r="DK17">
        <v>48096</v>
      </c>
      <c r="DL17">
        <v>0</v>
      </c>
      <c r="DM17">
        <v>1289116</v>
      </c>
      <c r="DN17">
        <v>0</v>
      </c>
      <c r="DO17">
        <v>16</v>
      </c>
      <c r="DP17">
        <v>6144</v>
      </c>
      <c r="DQ17">
        <v>249084</v>
      </c>
      <c r="DR17">
        <v>275273</v>
      </c>
      <c r="DS17">
        <v>1798864</v>
      </c>
      <c r="DT17">
        <v>735348</v>
      </c>
      <c r="DX17" s="69"/>
      <c r="DY17" s="69">
        <v>10161</v>
      </c>
      <c r="DZ17" s="69">
        <v>105</v>
      </c>
      <c r="EA17" s="69">
        <v>3712552</v>
      </c>
      <c r="EB17" s="69">
        <v>822701</v>
      </c>
      <c r="EC17" s="69">
        <v>46</v>
      </c>
      <c r="ED17" s="69">
        <v>68009</v>
      </c>
      <c r="EE17" s="69">
        <v>1498608</v>
      </c>
      <c r="EF17" s="69">
        <v>177</v>
      </c>
      <c r="EG17" s="69">
        <v>874328</v>
      </c>
      <c r="EH17" s="69">
        <v>49016</v>
      </c>
      <c r="EI17" s="69">
        <v>288258</v>
      </c>
      <c r="EJ17" s="69">
        <v>5647928</v>
      </c>
      <c r="EK17" s="69">
        <v>593966</v>
      </c>
      <c r="EL17" s="69">
        <v>1309653</v>
      </c>
      <c r="EM17" s="69">
        <v>248600</v>
      </c>
      <c r="EN17" s="69">
        <v>460587</v>
      </c>
      <c r="EO17" s="69">
        <v>374533</v>
      </c>
      <c r="EP17" s="69">
        <v>0</v>
      </c>
      <c r="EQ17" s="69">
        <v>3037093</v>
      </c>
      <c r="ER17" s="69">
        <v>0</v>
      </c>
      <c r="ES17" s="69">
        <v>2</v>
      </c>
      <c r="ET17" s="69">
        <v>672</v>
      </c>
      <c r="EU17" s="69">
        <v>771671</v>
      </c>
      <c r="EV17" s="69">
        <v>879766</v>
      </c>
      <c r="EW17" s="69">
        <v>4841575</v>
      </c>
      <c r="EX17" s="69">
        <v>3089316</v>
      </c>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c r="HF17" s="69"/>
      <c r="HG17" s="69"/>
      <c r="HH17" s="69"/>
      <c r="HI17" s="69"/>
      <c r="HJ17" s="69"/>
      <c r="HK17" s="69"/>
      <c r="HL17" s="69"/>
      <c r="HM17" s="69"/>
      <c r="HN17" s="69"/>
      <c r="HO17" s="69"/>
      <c r="HP17" s="69"/>
      <c r="HQ17" s="69"/>
      <c r="HR17" s="69"/>
      <c r="HS17" s="69"/>
      <c r="HT17" s="69"/>
      <c r="HU17" s="69"/>
      <c r="HV17" s="69"/>
      <c r="HW17" s="69"/>
      <c r="HX17" s="69"/>
      <c r="HY17" s="69"/>
      <c r="HZ17" s="69"/>
      <c r="IA17" s="69"/>
      <c r="IB17" s="69"/>
      <c r="IC17" s="69"/>
      <c r="ID17" s="69"/>
      <c r="IE17" s="69"/>
      <c r="IF17" s="69"/>
      <c r="IG17" s="69"/>
      <c r="IH17" s="69"/>
      <c r="II17" s="69"/>
      <c r="IJ17" s="69"/>
      <c r="IK17" s="69"/>
      <c r="IL17" s="69"/>
      <c r="IM17" s="69"/>
      <c r="IN17" s="69"/>
      <c r="IO17" s="69">
        <v>72683</v>
      </c>
      <c r="IP17" s="69">
        <v>751</v>
      </c>
      <c r="IQ17" s="69">
        <v>2460347</v>
      </c>
      <c r="IR17" s="69">
        <v>599421</v>
      </c>
      <c r="IS17" s="69">
        <v>326</v>
      </c>
      <c r="IT17" s="69">
        <v>153689</v>
      </c>
      <c r="IU17" s="69">
        <v>412249</v>
      </c>
      <c r="IV17" s="69">
        <v>1264</v>
      </c>
      <c r="IW17" s="69">
        <v>439927</v>
      </c>
      <c r="IX17" s="69">
        <v>96978</v>
      </c>
      <c r="IY17" s="69">
        <v>68197</v>
      </c>
      <c r="IZ17" s="69">
        <v>2071197</v>
      </c>
      <c r="JA17" s="69">
        <v>283953</v>
      </c>
      <c r="JB17" s="69">
        <v>781663</v>
      </c>
      <c r="JC17" s="69">
        <v>235256</v>
      </c>
      <c r="JD17" s="69">
        <v>366068</v>
      </c>
      <c r="JE17" s="69">
        <v>194162</v>
      </c>
      <c r="JF17" s="69">
        <v>0</v>
      </c>
      <c r="JG17" s="69">
        <v>1952893</v>
      </c>
      <c r="JH17" s="69">
        <v>0</v>
      </c>
      <c r="JI17" s="69">
        <v>12</v>
      </c>
      <c r="JJ17" s="69">
        <v>4805</v>
      </c>
      <c r="JK17" s="69">
        <v>594867</v>
      </c>
      <c r="JL17" s="69">
        <v>1003749</v>
      </c>
      <c r="JM17" s="69">
        <v>1768740</v>
      </c>
      <c r="JN17" s="69">
        <v>1772874</v>
      </c>
      <c r="JO17" s="69"/>
      <c r="JP17" s="69"/>
      <c r="JQ17" s="69"/>
      <c r="JR17" s="69"/>
      <c r="JS17" s="69"/>
      <c r="JT17" s="69"/>
      <c r="JU17" s="69"/>
      <c r="JV17" s="69"/>
      <c r="JW17" s="69"/>
      <c r="JX17" s="69"/>
      <c r="JY17" s="69"/>
      <c r="JZ17" s="69"/>
      <c r="KA17" s="69"/>
      <c r="KB17" s="69"/>
      <c r="KC17" s="69"/>
      <c r="KD17" s="69"/>
      <c r="KE17" s="69"/>
      <c r="KF17" s="69"/>
      <c r="KG17" s="69"/>
      <c r="KH17" s="69"/>
      <c r="KI17" s="69"/>
      <c r="KJ17" s="69"/>
      <c r="KK17" s="69"/>
      <c r="KL17" s="69"/>
      <c r="KM17" s="69"/>
      <c r="KN17" s="69"/>
      <c r="KO17" s="69"/>
      <c r="KP17" s="69"/>
      <c r="KQ17" s="69"/>
      <c r="KR17" s="69"/>
      <c r="KS17" s="69"/>
      <c r="KT17" s="69"/>
      <c r="KU17" s="69"/>
      <c r="KV17" s="69"/>
      <c r="KW17" s="69"/>
    </row>
    <row r="18" spans="1:309" x14ac:dyDescent="0.25">
      <c r="A18" t="s">
        <v>456</v>
      </c>
      <c r="C18" t="s">
        <v>1088</v>
      </c>
      <c r="E18" s="2"/>
      <c r="G18" t="s">
        <v>457</v>
      </c>
      <c r="Q18" s="69">
        <v>4771968</v>
      </c>
      <c r="AH18">
        <v>52220010</v>
      </c>
      <c r="AI18">
        <v>26204338</v>
      </c>
      <c r="AJ18">
        <v>16440735</v>
      </c>
      <c r="AK18">
        <v>0</v>
      </c>
      <c r="AL18">
        <v>0</v>
      </c>
      <c r="AM18">
        <v>2983540</v>
      </c>
      <c r="CU18">
        <v>89893</v>
      </c>
      <c r="CV18">
        <v>132873</v>
      </c>
      <c r="CW18">
        <v>3300648</v>
      </c>
      <c r="CX18">
        <v>2600114</v>
      </c>
      <c r="CY18">
        <v>16800</v>
      </c>
      <c r="CZ18">
        <v>1137446</v>
      </c>
      <c r="DA18">
        <v>1747236</v>
      </c>
      <c r="DB18">
        <v>130276</v>
      </c>
      <c r="DC18">
        <v>659100</v>
      </c>
      <c r="DD18">
        <v>21792</v>
      </c>
      <c r="DE18">
        <v>682431</v>
      </c>
      <c r="DF18">
        <v>4950462</v>
      </c>
      <c r="DG18">
        <v>615145</v>
      </c>
      <c r="DH18">
        <v>523369</v>
      </c>
      <c r="DI18">
        <v>0</v>
      </c>
      <c r="DJ18">
        <v>1048241</v>
      </c>
      <c r="DK18">
        <v>21790</v>
      </c>
      <c r="DL18">
        <v>32612</v>
      </c>
      <c r="DM18">
        <v>2755902</v>
      </c>
      <c r="DN18">
        <v>434183</v>
      </c>
      <c r="DO18">
        <v>129117</v>
      </c>
      <c r="DP18">
        <v>157669</v>
      </c>
      <c r="DQ18">
        <v>627856</v>
      </c>
      <c r="DR18">
        <v>1008689</v>
      </c>
      <c r="DS18">
        <v>4591048</v>
      </c>
      <c r="DT18">
        <v>1647002</v>
      </c>
      <c r="DX18" s="69"/>
      <c r="DY18" s="69">
        <v>684743</v>
      </c>
      <c r="DZ18" s="69">
        <v>605171</v>
      </c>
      <c r="EA18" s="69">
        <v>8600770</v>
      </c>
      <c r="EB18" s="69">
        <v>6836464</v>
      </c>
      <c r="EC18" s="69">
        <v>157967</v>
      </c>
      <c r="ED18" s="69">
        <v>1878752</v>
      </c>
      <c r="EE18" s="69">
        <v>5864232</v>
      </c>
      <c r="EF18" s="69">
        <v>820086</v>
      </c>
      <c r="EG18" s="69">
        <v>1449608</v>
      </c>
      <c r="EH18" s="69">
        <v>143361</v>
      </c>
      <c r="EI18" s="69">
        <v>683391</v>
      </c>
      <c r="EJ18" s="69">
        <v>16950226</v>
      </c>
      <c r="EK18" s="69">
        <v>1847977</v>
      </c>
      <c r="EL18" s="69">
        <v>2600224</v>
      </c>
      <c r="EM18" s="69">
        <v>0</v>
      </c>
      <c r="EN18" s="69">
        <v>2096332</v>
      </c>
      <c r="EO18" s="69">
        <v>255949</v>
      </c>
      <c r="EP18" s="69">
        <v>252300</v>
      </c>
      <c r="EQ18" s="69">
        <v>8002207</v>
      </c>
      <c r="ER18" s="69">
        <v>1978150</v>
      </c>
      <c r="ES18" s="69">
        <v>119538</v>
      </c>
      <c r="ET18" s="69">
        <v>407736</v>
      </c>
      <c r="EU18" s="69">
        <v>2181865</v>
      </c>
      <c r="EV18" s="69">
        <v>1679908</v>
      </c>
      <c r="EW18" s="69">
        <v>12211372</v>
      </c>
      <c r="EX18" s="69">
        <v>5784365</v>
      </c>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c r="HT18" s="69"/>
      <c r="HU18" s="69"/>
      <c r="HV18" s="69"/>
      <c r="HW18" s="69"/>
      <c r="HX18" s="69"/>
      <c r="HY18" s="69"/>
      <c r="HZ18" s="69"/>
      <c r="IA18" s="69"/>
      <c r="IB18" s="69"/>
      <c r="IC18" s="69"/>
      <c r="ID18" s="69"/>
      <c r="IE18" s="69"/>
      <c r="IF18" s="69"/>
      <c r="IG18" s="69"/>
      <c r="IH18" s="69"/>
      <c r="II18" s="69"/>
      <c r="IJ18" s="69"/>
      <c r="IK18" s="69"/>
      <c r="IL18" s="69"/>
      <c r="IM18" s="69"/>
      <c r="IN18" s="69"/>
      <c r="IO18" s="69">
        <v>620297</v>
      </c>
      <c r="IP18" s="69">
        <v>326567</v>
      </c>
      <c r="IQ18" s="69">
        <v>5444428</v>
      </c>
      <c r="IR18" s="69">
        <v>4809044</v>
      </c>
      <c r="IS18" s="69">
        <v>34464</v>
      </c>
      <c r="IT18" s="69">
        <v>4591931</v>
      </c>
      <c r="IU18" s="69">
        <v>2543117</v>
      </c>
      <c r="IV18" s="69">
        <v>1010928</v>
      </c>
      <c r="IW18" s="69">
        <v>1003790</v>
      </c>
      <c r="IX18" s="69">
        <v>74959</v>
      </c>
      <c r="IY18" s="69">
        <v>795279</v>
      </c>
      <c r="IZ18" s="69">
        <v>6801152</v>
      </c>
      <c r="JA18" s="69">
        <v>553933</v>
      </c>
      <c r="JB18" s="69">
        <v>1686374</v>
      </c>
      <c r="JC18" s="69">
        <v>0</v>
      </c>
      <c r="JD18" s="69">
        <v>2532822</v>
      </c>
      <c r="JE18" s="69">
        <v>64416</v>
      </c>
      <c r="JF18" s="69">
        <v>65348</v>
      </c>
      <c r="JG18" s="69">
        <v>2722776</v>
      </c>
      <c r="JH18" s="69">
        <v>947701</v>
      </c>
      <c r="JI18" s="69">
        <v>148042</v>
      </c>
      <c r="JJ18" s="69">
        <v>159783</v>
      </c>
      <c r="JK18" s="69">
        <v>1334300</v>
      </c>
      <c r="JL18" s="69">
        <v>2141397</v>
      </c>
      <c r="JM18" s="69">
        <v>3558894</v>
      </c>
      <c r="JN18" s="69">
        <v>3172092</v>
      </c>
      <c r="JO18" s="69"/>
      <c r="JP18" s="69"/>
      <c r="JQ18" s="69"/>
      <c r="JR18" s="69"/>
      <c r="JS18" s="69"/>
      <c r="JT18" s="69"/>
      <c r="JU18" s="69"/>
      <c r="JV18" s="69"/>
      <c r="JW18" s="69"/>
      <c r="JX18" s="69"/>
      <c r="JY18" s="69"/>
      <c r="JZ18" s="69"/>
      <c r="KA18" s="69"/>
      <c r="KB18" s="69"/>
      <c r="KC18" s="69"/>
      <c r="KD18" s="69"/>
      <c r="KE18" s="69"/>
      <c r="KF18" s="69"/>
      <c r="KG18" s="69"/>
      <c r="KH18" s="69"/>
      <c r="KI18" s="69"/>
      <c r="KJ18" s="69"/>
      <c r="KK18" s="69"/>
      <c r="KL18" s="69"/>
      <c r="KM18" s="69"/>
      <c r="KN18" s="69"/>
      <c r="KO18" s="69"/>
      <c r="KP18" s="69"/>
      <c r="KQ18" s="69"/>
      <c r="KR18" s="69"/>
      <c r="KS18" s="69"/>
      <c r="KT18" s="69"/>
      <c r="KU18" s="69"/>
      <c r="KV18" s="69"/>
      <c r="KW18" s="69"/>
    </row>
    <row r="19" spans="1:309" x14ac:dyDescent="0.25">
      <c r="A19" t="s">
        <v>364</v>
      </c>
      <c r="C19" t="s">
        <v>1088</v>
      </c>
      <c r="E19" s="2"/>
      <c r="G19" t="s">
        <v>365</v>
      </c>
      <c r="Q19" s="69">
        <v>1877452</v>
      </c>
      <c r="AH19">
        <v>12158320</v>
      </c>
      <c r="AI19">
        <v>4855666</v>
      </c>
      <c r="AJ19">
        <v>4836229</v>
      </c>
      <c r="AK19">
        <v>0</v>
      </c>
      <c r="AL19">
        <v>0</v>
      </c>
      <c r="AM19">
        <v>0</v>
      </c>
      <c r="CU19">
        <v>744</v>
      </c>
      <c r="CV19">
        <v>145328</v>
      </c>
      <c r="CW19">
        <v>512432</v>
      </c>
      <c r="CX19">
        <v>326021</v>
      </c>
      <c r="CY19">
        <v>0</v>
      </c>
      <c r="CZ19">
        <v>38416</v>
      </c>
      <c r="DA19">
        <v>225909</v>
      </c>
      <c r="DB19">
        <v>5248</v>
      </c>
      <c r="DC19">
        <v>232366</v>
      </c>
      <c r="DD19">
        <v>1856</v>
      </c>
      <c r="DE19">
        <v>140682</v>
      </c>
      <c r="DF19">
        <v>735446</v>
      </c>
      <c r="DG19">
        <v>93992</v>
      </c>
      <c r="DH19">
        <v>334943</v>
      </c>
      <c r="DI19">
        <v>32784</v>
      </c>
      <c r="DJ19">
        <v>433769</v>
      </c>
      <c r="DK19">
        <v>18240</v>
      </c>
      <c r="DL19">
        <v>240</v>
      </c>
      <c r="DM19">
        <v>382992</v>
      </c>
      <c r="DN19">
        <v>83172</v>
      </c>
      <c r="DO19">
        <v>136378</v>
      </c>
      <c r="DP19">
        <v>28674</v>
      </c>
      <c r="DQ19">
        <v>127968</v>
      </c>
      <c r="DR19">
        <v>161874</v>
      </c>
      <c r="DS19">
        <v>581872</v>
      </c>
      <c r="DT19">
        <v>272402</v>
      </c>
      <c r="DX19" s="69"/>
      <c r="DY19" s="69">
        <v>1862</v>
      </c>
      <c r="DZ19" s="69">
        <v>700213</v>
      </c>
      <c r="EA19" s="69">
        <v>1716817</v>
      </c>
      <c r="EB19" s="69">
        <v>1757025</v>
      </c>
      <c r="EC19" s="69">
        <v>0</v>
      </c>
      <c r="ED19" s="69">
        <v>248339</v>
      </c>
      <c r="EE19" s="69">
        <v>1132780</v>
      </c>
      <c r="EF19" s="69">
        <v>16338</v>
      </c>
      <c r="EG19" s="69">
        <v>983324</v>
      </c>
      <c r="EH19" s="69">
        <v>11224</v>
      </c>
      <c r="EI19" s="69">
        <v>512168</v>
      </c>
      <c r="EJ19" s="69">
        <v>3711580</v>
      </c>
      <c r="EK19" s="69">
        <v>445029</v>
      </c>
      <c r="EL19" s="69">
        <v>2383265</v>
      </c>
      <c r="EM19" s="69">
        <v>352913</v>
      </c>
      <c r="EN19" s="69">
        <v>2110299</v>
      </c>
      <c r="EO19" s="69">
        <v>119493</v>
      </c>
      <c r="EP19" s="69">
        <v>7908</v>
      </c>
      <c r="EQ19" s="69">
        <v>2279714</v>
      </c>
      <c r="ER19" s="69">
        <v>459667</v>
      </c>
      <c r="ES19" s="69">
        <v>364123</v>
      </c>
      <c r="ET19" s="69">
        <v>156738</v>
      </c>
      <c r="EU19" s="69">
        <v>480083</v>
      </c>
      <c r="EV19" s="69">
        <v>831722</v>
      </c>
      <c r="EW19" s="69">
        <v>2266523</v>
      </c>
      <c r="EX19" s="69">
        <v>1995298</v>
      </c>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c r="HT19" s="69"/>
      <c r="HU19" s="69"/>
      <c r="HV19" s="69"/>
      <c r="HW19" s="69"/>
      <c r="HX19" s="69"/>
      <c r="HY19" s="69"/>
      <c r="HZ19" s="69"/>
      <c r="IA19" s="69"/>
      <c r="IB19" s="69"/>
      <c r="IC19" s="69"/>
      <c r="ID19" s="69"/>
      <c r="IE19" s="69"/>
      <c r="IF19" s="69"/>
      <c r="IG19" s="69"/>
      <c r="IH19" s="69"/>
      <c r="II19" s="69"/>
      <c r="IJ19" s="69"/>
      <c r="IK19" s="69"/>
      <c r="IL19" s="69"/>
      <c r="IM19" s="69"/>
      <c r="IN19" s="69"/>
      <c r="IO19" s="69">
        <v>2648</v>
      </c>
      <c r="IP19" s="69">
        <v>205584</v>
      </c>
      <c r="IQ19" s="69">
        <v>430857</v>
      </c>
      <c r="IR19" s="69">
        <v>427793</v>
      </c>
      <c r="IS19" s="69">
        <v>0</v>
      </c>
      <c r="IT19" s="69">
        <v>73831</v>
      </c>
      <c r="IU19" s="69">
        <v>189344</v>
      </c>
      <c r="IV19" s="69">
        <v>9753</v>
      </c>
      <c r="IW19" s="69">
        <v>355139</v>
      </c>
      <c r="IX19" s="69">
        <v>1415</v>
      </c>
      <c r="IY19" s="69">
        <v>163941</v>
      </c>
      <c r="IZ19" s="69">
        <v>586799</v>
      </c>
      <c r="JA19" s="69">
        <v>92141</v>
      </c>
      <c r="JB19" s="69">
        <v>376648</v>
      </c>
      <c r="JC19" s="69">
        <v>82013</v>
      </c>
      <c r="JD19" s="69">
        <v>461190</v>
      </c>
      <c r="JE19" s="69">
        <v>21635</v>
      </c>
      <c r="JF19" s="69">
        <v>881</v>
      </c>
      <c r="JG19" s="69">
        <v>334992</v>
      </c>
      <c r="JH19" s="69">
        <v>89923</v>
      </c>
      <c r="JI19" s="69">
        <v>95090</v>
      </c>
      <c r="JJ19" s="69">
        <v>51332</v>
      </c>
      <c r="JK19" s="69">
        <v>90897</v>
      </c>
      <c r="JL19" s="69">
        <v>218063</v>
      </c>
      <c r="JM19" s="69">
        <v>275260</v>
      </c>
      <c r="JN19" s="69">
        <v>417740</v>
      </c>
      <c r="JO19" s="69"/>
      <c r="JP19" s="69"/>
      <c r="JQ19" s="69"/>
      <c r="JR19" s="69"/>
      <c r="JS19" s="69"/>
      <c r="JT19" s="69"/>
      <c r="JU19" s="69"/>
      <c r="JV19" s="69"/>
      <c r="JW19" s="69"/>
      <c r="JX19" s="69"/>
      <c r="JY19" s="69"/>
      <c r="JZ19" s="69"/>
      <c r="KA19" s="69"/>
      <c r="KB19" s="69"/>
      <c r="KC19" s="69"/>
      <c r="KD19" s="69"/>
      <c r="KE19" s="69"/>
      <c r="KF19" s="69"/>
      <c r="KG19" s="69"/>
      <c r="KH19" s="69"/>
      <c r="KI19" s="69"/>
      <c r="KJ19" s="69"/>
      <c r="KK19" s="69"/>
      <c r="KL19" s="69"/>
      <c r="KM19" s="69"/>
      <c r="KN19" s="69"/>
      <c r="KO19" s="69"/>
      <c r="KP19" s="69"/>
      <c r="KQ19" s="69"/>
      <c r="KR19" s="69"/>
      <c r="KS19" s="69"/>
      <c r="KT19" s="69"/>
      <c r="KU19" s="69"/>
      <c r="KV19" s="69"/>
      <c r="KW19" s="69"/>
    </row>
    <row r="20" spans="1:309" x14ac:dyDescent="0.25">
      <c r="A20" t="s">
        <v>440</v>
      </c>
      <c r="C20" t="s">
        <v>1088</v>
      </c>
      <c r="E20" s="2"/>
      <c r="G20" t="s">
        <v>441</v>
      </c>
      <c r="Q20" s="69">
        <v>1626663</v>
      </c>
      <c r="AH20">
        <v>16890228</v>
      </c>
      <c r="AI20">
        <v>7804386</v>
      </c>
      <c r="AJ20">
        <v>13702548</v>
      </c>
      <c r="AK20">
        <v>45822</v>
      </c>
      <c r="AL20">
        <v>1526952</v>
      </c>
      <c r="AM20">
        <v>1349105</v>
      </c>
      <c r="CU20">
        <v>1904</v>
      </c>
      <c r="CV20">
        <v>81792</v>
      </c>
      <c r="CW20">
        <v>1330080</v>
      </c>
      <c r="CX20">
        <v>434395</v>
      </c>
      <c r="CY20">
        <v>0</v>
      </c>
      <c r="CZ20">
        <v>157831</v>
      </c>
      <c r="DA20">
        <v>279580</v>
      </c>
      <c r="DB20">
        <v>46602</v>
      </c>
      <c r="DC20">
        <v>373568</v>
      </c>
      <c r="DD20">
        <v>24832</v>
      </c>
      <c r="DE20">
        <v>163672</v>
      </c>
      <c r="DF20">
        <v>2182768</v>
      </c>
      <c r="DG20">
        <v>178784</v>
      </c>
      <c r="DH20">
        <v>282377</v>
      </c>
      <c r="DI20">
        <v>29750</v>
      </c>
      <c r="DJ20">
        <v>317731</v>
      </c>
      <c r="DK20">
        <v>21360</v>
      </c>
      <c r="DL20">
        <v>74449</v>
      </c>
      <c r="DM20">
        <v>1194088</v>
      </c>
      <c r="DN20">
        <v>96349</v>
      </c>
      <c r="DO20">
        <v>21065</v>
      </c>
      <c r="DP20">
        <v>12202</v>
      </c>
      <c r="DQ20">
        <v>31824</v>
      </c>
      <c r="DR20">
        <v>308724</v>
      </c>
      <c r="DS20">
        <v>2010864</v>
      </c>
      <c r="DT20">
        <v>383292</v>
      </c>
      <c r="DX20" s="69"/>
      <c r="DY20" s="69">
        <v>3275</v>
      </c>
      <c r="DZ20" s="69">
        <v>223892</v>
      </c>
      <c r="EA20" s="69">
        <v>3071871</v>
      </c>
      <c r="EB20" s="69">
        <v>1576579</v>
      </c>
      <c r="EC20" s="69">
        <v>0</v>
      </c>
      <c r="ED20" s="69">
        <v>1129744</v>
      </c>
      <c r="EE20" s="69">
        <v>977644</v>
      </c>
      <c r="EF20" s="69">
        <v>292795</v>
      </c>
      <c r="EG20" s="69">
        <v>1362588</v>
      </c>
      <c r="EH20" s="69">
        <v>75728</v>
      </c>
      <c r="EI20" s="69">
        <v>359683</v>
      </c>
      <c r="EJ20" s="69">
        <v>7221134</v>
      </c>
      <c r="EK20" s="69">
        <v>595055</v>
      </c>
      <c r="EL20" s="69">
        <v>2133035</v>
      </c>
      <c r="EM20" s="69">
        <v>419184</v>
      </c>
      <c r="EN20" s="69">
        <v>2077482</v>
      </c>
      <c r="EO20" s="69">
        <v>279759</v>
      </c>
      <c r="EP20" s="69">
        <v>312341</v>
      </c>
      <c r="EQ20" s="69">
        <v>2755179</v>
      </c>
      <c r="ER20" s="69">
        <v>337952</v>
      </c>
      <c r="ES20" s="69">
        <v>61261</v>
      </c>
      <c r="ET20" s="69">
        <v>85535</v>
      </c>
      <c r="EU20" s="69">
        <v>225466</v>
      </c>
      <c r="EV20" s="69">
        <v>1165824</v>
      </c>
      <c r="EW20" s="69">
        <v>4684025</v>
      </c>
      <c r="EX20" s="69">
        <v>1396262</v>
      </c>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c r="HJ20" s="69"/>
      <c r="HK20" s="69"/>
      <c r="HL20" s="69"/>
      <c r="HM20" s="69"/>
      <c r="HN20" s="69"/>
      <c r="HO20" s="69"/>
      <c r="HP20" s="69"/>
      <c r="HQ20" s="69"/>
      <c r="HR20" s="69"/>
      <c r="HS20" s="69"/>
      <c r="HT20" s="69"/>
      <c r="HU20" s="69"/>
      <c r="HV20" s="69"/>
      <c r="HW20" s="69"/>
      <c r="HX20" s="69"/>
      <c r="HY20" s="69"/>
      <c r="HZ20" s="69"/>
      <c r="IA20" s="69"/>
      <c r="IB20" s="69"/>
      <c r="IC20" s="69"/>
      <c r="ID20" s="69"/>
      <c r="IE20" s="69"/>
      <c r="IF20" s="69"/>
      <c r="IG20" s="69"/>
      <c r="IH20" s="69"/>
      <c r="II20" s="69"/>
      <c r="IJ20" s="69"/>
      <c r="IK20" s="69"/>
      <c r="IL20" s="69"/>
      <c r="IM20" s="69"/>
      <c r="IN20" s="69"/>
      <c r="IO20" s="69">
        <v>483</v>
      </c>
      <c r="IP20" s="69">
        <v>264177</v>
      </c>
      <c r="IQ20" s="69">
        <v>659024</v>
      </c>
      <c r="IR20" s="69">
        <v>975133</v>
      </c>
      <c r="IS20" s="69">
        <v>0</v>
      </c>
      <c r="IT20" s="69">
        <v>436983</v>
      </c>
      <c r="IU20" s="69">
        <v>160157</v>
      </c>
      <c r="IV20" s="69">
        <v>65559</v>
      </c>
      <c r="IW20" s="69">
        <v>244827</v>
      </c>
      <c r="IX20" s="69">
        <v>5706</v>
      </c>
      <c r="IY20" s="69">
        <v>91261</v>
      </c>
      <c r="IZ20" s="69">
        <v>1129449</v>
      </c>
      <c r="JA20" s="69">
        <v>74381</v>
      </c>
      <c r="JB20" s="69">
        <v>328001</v>
      </c>
      <c r="JC20" s="69">
        <v>37024</v>
      </c>
      <c r="JD20" s="69">
        <v>430331</v>
      </c>
      <c r="JE20" s="69">
        <v>21337</v>
      </c>
      <c r="JF20" s="69">
        <v>143190</v>
      </c>
      <c r="JG20" s="69">
        <v>351172</v>
      </c>
      <c r="JH20" s="69">
        <v>129173</v>
      </c>
      <c r="JI20" s="69">
        <v>140513</v>
      </c>
      <c r="JJ20" s="69">
        <v>18401</v>
      </c>
      <c r="JK20" s="69">
        <v>166066</v>
      </c>
      <c r="JL20" s="69">
        <v>272149</v>
      </c>
      <c r="JM20" s="69">
        <v>382848</v>
      </c>
      <c r="JN20" s="69">
        <v>288041</v>
      </c>
      <c r="JO20" s="69"/>
      <c r="JP20" s="69"/>
      <c r="JQ20" s="69"/>
      <c r="JR20" s="69"/>
      <c r="JS20" s="69"/>
      <c r="JT20" s="69"/>
      <c r="JU20" s="69"/>
      <c r="JV20" s="69"/>
      <c r="JW20" s="69"/>
      <c r="JX20" s="69"/>
      <c r="JY20" s="69"/>
      <c r="JZ20" s="69"/>
      <c r="KA20" s="69"/>
      <c r="KB20" s="69"/>
      <c r="KC20" s="69"/>
      <c r="KD20" s="69"/>
      <c r="KE20" s="69"/>
      <c r="KF20" s="69"/>
      <c r="KG20" s="69"/>
      <c r="KH20" s="69"/>
      <c r="KI20" s="69"/>
      <c r="KJ20" s="69"/>
      <c r="KK20" s="69"/>
      <c r="KL20" s="69"/>
      <c r="KM20" s="69"/>
      <c r="KN20" s="69"/>
      <c r="KO20" s="69"/>
      <c r="KP20" s="69"/>
      <c r="KQ20" s="69"/>
      <c r="KR20" s="69"/>
      <c r="KS20" s="69"/>
      <c r="KT20" s="69"/>
      <c r="KU20" s="69"/>
      <c r="KV20" s="69"/>
      <c r="KW20" s="69"/>
    </row>
    <row r="21" spans="1:309" x14ac:dyDescent="0.25">
      <c r="A21" t="s">
        <v>366</v>
      </c>
      <c r="C21" t="s">
        <v>1088</v>
      </c>
      <c r="E21" s="2"/>
      <c r="G21" t="s">
        <v>367</v>
      </c>
      <c r="Q21" s="69">
        <v>120858</v>
      </c>
      <c r="AH21">
        <v>1567009</v>
      </c>
      <c r="AI21">
        <v>644820</v>
      </c>
      <c r="AJ21">
        <v>175713</v>
      </c>
      <c r="AK21">
        <v>0</v>
      </c>
      <c r="AL21">
        <v>119114</v>
      </c>
      <c r="AM21">
        <v>369629</v>
      </c>
      <c r="CU21">
        <v>10488</v>
      </c>
      <c r="CV21">
        <v>81024</v>
      </c>
      <c r="CW21">
        <v>48208</v>
      </c>
      <c r="CX21">
        <v>26470</v>
      </c>
      <c r="CY21">
        <v>0</v>
      </c>
      <c r="CZ21">
        <v>0</v>
      </c>
      <c r="DA21">
        <v>40300</v>
      </c>
      <c r="DB21">
        <v>3544</v>
      </c>
      <c r="DC21">
        <v>35501</v>
      </c>
      <c r="DD21">
        <v>0</v>
      </c>
      <c r="DE21">
        <v>40373</v>
      </c>
      <c r="DF21">
        <v>83696</v>
      </c>
      <c r="DG21">
        <v>10785</v>
      </c>
      <c r="DH21">
        <v>768</v>
      </c>
      <c r="DI21">
        <v>0</v>
      </c>
      <c r="DJ21">
        <v>17472</v>
      </c>
      <c r="DK21">
        <v>0</v>
      </c>
      <c r="DL21">
        <v>41098</v>
      </c>
      <c r="DM21">
        <v>63952</v>
      </c>
      <c r="DN21">
        <v>0</v>
      </c>
      <c r="DO21">
        <v>933</v>
      </c>
      <c r="DP21">
        <v>1280</v>
      </c>
      <c r="DQ21">
        <v>31766</v>
      </c>
      <c r="DR21">
        <v>5384</v>
      </c>
      <c r="DS21">
        <v>89792</v>
      </c>
      <c r="DT21">
        <v>14824</v>
      </c>
      <c r="DX21" s="69"/>
      <c r="DY21" s="69">
        <v>70645</v>
      </c>
      <c r="DZ21" s="69">
        <v>185403</v>
      </c>
      <c r="EA21" s="69">
        <v>142580</v>
      </c>
      <c r="EB21" s="69">
        <v>78000</v>
      </c>
      <c r="EC21" s="69">
        <v>0</v>
      </c>
      <c r="ED21" s="69">
        <v>0</v>
      </c>
      <c r="EE21" s="69">
        <v>100000</v>
      </c>
      <c r="EF21" s="69">
        <v>2285</v>
      </c>
      <c r="EG21" s="69">
        <v>115395</v>
      </c>
      <c r="EH21" s="69">
        <v>0</v>
      </c>
      <c r="EI21" s="69">
        <v>180000</v>
      </c>
      <c r="EJ21" s="69">
        <v>209641</v>
      </c>
      <c r="EK21" s="69">
        <v>1000</v>
      </c>
      <c r="EL21" s="69">
        <v>500</v>
      </c>
      <c r="EM21" s="69">
        <v>0</v>
      </c>
      <c r="EN21" s="69">
        <v>91290</v>
      </c>
      <c r="EO21" s="69">
        <v>0</v>
      </c>
      <c r="EP21" s="69">
        <v>114112</v>
      </c>
      <c r="EQ21" s="69">
        <v>228000</v>
      </c>
      <c r="ER21" s="69">
        <v>0</v>
      </c>
      <c r="ES21" s="69">
        <v>1000</v>
      </c>
      <c r="ET21" s="69">
        <v>75</v>
      </c>
      <c r="EU21" s="69">
        <v>159757</v>
      </c>
      <c r="EV21" s="69">
        <v>1500</v>
      </c>
      <c r="EW21" s="69">
        <v>310000</v>
      </c>
      <c r="EX21" s="69">
        <v>25000</v>
      </c>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69"/>
      <c r="GC21" s="69"/>
      <c r="GD21" s="69"/>
      <c r="GE21" s="69"/>
      <c r="GF21" s="69"/>
      <c r="GG21" s="69"/>
      <c r="GH21" s="69"/>
      <c r="GI21" s="69"/>
      <c r="GJ21" s="69"/>
      <c r="GK21" s="69"/>
      <c r="GL21" s="69"/>
      <c r="GM21" s="69"/>
      <c r="GN21" s="69"/>
      <c r="GO21" s="69"/>
      <c r="GP21" s="69"/>
      <c r="GQ21" s="69"/>
      <c r="GR21" s="69"/>
      <c r="GS21" s="69"/>
      <c r="GT21" s="69"/>
      <c r="GU21" s="69"/>
      <c r="GV21" s="69"/>
      <c r="GW21" s="69"/>
      <c r="GX21" s="69"/>
      <c r="GY21" s="69"/>
      <c r="GZ21" s="69"/>
      <c r="HA21" s="69"/>
      <c r="HB21" s="69"/>
      <c r="HC21" s="69"/>
      <c r="HD21" s="69"/>
      <c r="HE21" s="69"/>
      <c r="HF21" s="69"/>
      <c r="HG21" s="69"/>
      <c r="HH21" s="69"/>
      <c r="HI21" s="69"/>
      <c r="HJ21" s="69"/>
      <c r="HK21" s="69"/>
      <c r="HL21" s="69"/>
      <c r="HM21" s="69"/>
      <c r="HN21" s="69"/>
      <c r="HO21" s="69"/>
      <c r="HP21" s="69"/>
      <c r="HQ21" s="69"/>
      <c r="HR21" s="69"/>
      <c r="HS21" s="69"/>
      <c r="HT21" s="69"/>
      <c r="HU21" s="69"/>
      <c r="HV21" s="69"/>
      <c r="HW21" s="69"/>
      <c r="HX21" s="69"/>
      <c r="HY21" s="69"/>
      <c r="HZ21" s="69"/>
      <c r="IA21" s="69"/>
      <c r="IB21" s="69"/>
      <c r="IC21" s="69"/>
      <c r="ID21" s="69"/>
      <c r="IE21" s="69"/>
      <c r="IF21" s="69"/>
      <c r="IG21" s="69"/>
      <c r="IH21" s="69"/>
      <c r="II21" s="69"/>
      <c r="IJ21" s="69"/>
      <c r="IK21" s="69"/>
      <c r="IL21" s="69"/>
      <c r="IM21" s="69"/>
      <c r="IN21" s="69"/>
      <c r="IO21" s="69">
        <v>41984</v>
      </c>
      <c r="IP21" s="69">
        <v>239083</v>
      </c>
      <c r="IQ21" s="69">
        <v>22760</v>
      </c>
      <c r="IR21" s="69">
        <v>23783</v>
      </c>
      <c r="IS21" s="69">
        <v>0</v>
      </c>
      <c r="IT21" s="69">
        <v>0</v>
      </c>
      <c r="IU21" s="69">
        <v>470816</v>
      </c>
      <c r="IV21" s="69">
        <v>11999</v>
      </c>
      <c r="IW21" s="69">
        <v>76630</v>
      </c>
      <c r="IX21" s="69">
        <v>0</v>
      </c>
      <c r="IY21" s="69">
        <v>8004</v>
      </c>
      <c r="IZ21" s="69">
        <v>22425</v>
      </c>
      <c r="JA21" s="69">
        <v>17</v>
      </c>
      <c r="JB21" s="69">
        <v>896</v>
      </c>
      <c r="JC21" s="69">
        <v>0</v>
      </c>
      <c r="JD21" s="69">
        <v>7917</v>
      </c>
      <c r="JE21" s="69">
        <v>0</v>
      </c>
      <c r="JF21" s="69">
        <v>32941</v>
      </c>
      <c r="JG21" s="69">
        <v>22934</v>
      </c>
      <c r="JH21" s="69">
        <v>0</v>
      </c>
      <c r="JI21" s="69">
        <v>1459</v>
      </c>
      <c r="JJ21" s="69">
        <v>1051</v>
      </c>
      <c r="JK21" s="69">
        <v>12651</v>
      </c>
      <c r="JL21" s="69">
        <v>3916</v>
      </c>
      <c r="JM21" s="69">
        <v>12257</v>
      </c>
      <c r="JN21" s="69">
        <v>9139</v>
      </c>
      <c r="JO21" s="69"/>
      <c r="JP21" s="69"/>
      <c r="JQ21" s="69"/>
      <c r="JR21" s="69"/>
      <c r="JS21" s="69"/>
      <c r="JT21" s="69"/>
      <c r="JU21" s="69"/>
      <c r="JV21" s="69"/>
      <c r="JW21" s="69"/>
      <c r="JX21" s="69"/>
      <c r="JY21" s="69"/>
      <c r="JZ21" s="69"/>
      <c r="KA21" s="69"/>
      <c r="KB21" s="69"/>
      <c r="KC21" s="69"/>
      <c r="KD21" s="69"/>
      <c r="KE21" s="69"/>
      <c r="KF21" s="69"/>
      <c r="KG21" s="69"/>
      <c r="KH21" s="69"/>
      <c r="KI21" s="69"/>
      <c r="KJ21" s="69"/>
      <c r="KK21" s="69"/>
      <c r="KL21" s="69"/>
      <c r="KM21" s="69"/>
      <c r="KN21" s="69"/>
      <c r="KO21" s="69"/>
      <c r="KP21" s="69"/>
      <c r="KQ21" s="69"/>
      <c r="KR21" s="69"/>
      <c r="KS21" s="69"/>
      <c r="KT21" s="69"/>
      <c r="KU21" s="69"/>
      <c r="KV21" s="69"/>
      <c r="KW21" s="69"/>
    </row>
    <row r="22" spans="1:309" x14ac:dyDescent="0.25">
      <c r="A22" t="s">
        <v>424</v>
      </c>
      <c r="C22" t="s">
        <v>1088</v>
      </c>
      <c r="E22" s="2"/>
      <c r="G22" t="s">
        <v>425</v>
      </c>
      <c r="Q22" s="69">
        <v>417560</v>
      </c>
      <c r="AH22">
        <v>3856364</v>
      </c>
      <c r="AI22">
        <v>1303551</v>
      </c>
      <c r="AJ22">
        <v>1430723</v>
      </c>
      <c r="AK22">
        <v>0</v>
      </c>
      <c r="AL22">
        <v>0</v>
      </c>
      <c r="AM22">
        <v>146544</v>
      </c>
      <c r="CU22">
        <v>6144</v>
      </c>
      <c r="CV22">
        <v>4464</v>
      </c>
      <c r="CW22">
        <v>112048</v>
      </c>
      <c r="CX22">
        <v>36904</v>
      </c>
      <c r="CY22">
        <v>0</v>
      </c>
      <c r="CZ22">
        <v>240</v>
      </c>
      <c r="DA22">
        <v>23368</v>
      </c>
      <c r="DB22">
        <v>0</v>
      </c>
      <c r="DC22">
        <v>23824</v>
      </c>
      <c r="DD22">
        <v>0</v>
      </c>
      <c r="DE22">
        <v>0</v>
      </c>
      <c r="DF22">
        <v>122208</v>
      </c>
      <c r="DG22">
        <v>11866</v>
      </c>
      <c r="DH22">
        <v>92736</v>
      </c>
      <c r="DI22">
        <v>0</v>
      </c>
      <c r="DJ22">
        <v>162446</v>
      </c>
      <c r="DK22">
        <v>0</v>
      </c>
      <c r="DL22">
        <v>39264</v>
      </c>
      <c r="DM22">
        <v>96992</v>
      </c>
      <c r="DN22">
        <v>0</v>
      </c>
      <c r="DO22">
        <v>0</v>
      </c>
      <c r="DP22">
        <v>320</v>
      </c>
      <c r="DQ22">
        <v>21600</v>
      </c>
      <c r="DR22">
        <v>13248</v>
      </c>
      <c r="DS22">
        <v>119184</v>
      </c>
      <c r="DT22">
        <v>43696</v>
      </c>
      <c r="DX22" s="69"/>
      <c r="DY22" s="69">
        <v>10789</v>
      </c>
      <c r="DZ22" s="69">
        <v>45249</v>
      </c>
      <c r="EA22" s="69">
        <v>483138</v>
      </c>
      <c r="EB22" s="69">
        <v>195706</v>
      </c>
      <c r="EC22" s="69">
        <v>0</v>
      </c>
      <c r="ED22" s="69">
        <v>2750</v>
      </c>
      <c r="EE22" s="69">
        <v>73278</v>
      </c>
      <c r="EF22" s="69">
        <v>0</v>
      </c>
      <c r="EG22" s="69">
        <v>69596</v>
      </c>
      <c r="EH22" s="69">
        <v>0</v>
      </c>
      <c r="EI22" s="69">
        <v>0</v>
      </c>
      <c r="EJ22" s="69">
        <v>392714</v>
      </c>
      <c r="EK22" s="69">
        <v>53166</v>
      </c>
      <c r="EL22" s="69">
        <v>1004578</v>
      </c>
      <c r="EM22" s="69">
        <v>0</v>
      </c>
      <c r="EN22" s="69">
        <v>361301</v>
      </c>
      <c r="EO22" s="69">
        <v>0</v>
      </c>
      <c r="EP22" s="69">
        <v>268807</v>
      </c>
      <c r="EQ22" s="69">
        <v>257756</v>
      </c>
      <c r="ER22" s="69">
        <v>0</v>
      </c>
      <c r="ES22" s="69">
        <v>0</v>
      </c>
      <c r="ET22" s="69">
        <v>2750</v>
      </c>
      <c r="EU22" s="69">
        <v>82141</v>
      </c>
      <c r="EV22" s="69">
        <v>74096</v>
      </c>
      <c r="EW22" s="69">
        <v>375901</v>
      </c>
      <c r="EX22" s="69">
        <v>221621</v>
      </c>
      <c r="EY22" s="69"/>
      <c r="EZ22" s="69"/>
      <c r="FA22" s="69"/>
      <c r="FB22" s="69"/>
      <c r="FC22" s="69"/>
      <c r="FD22" s="69"/>
      <c r="FE22" s="69"/>
      <c r="FF22" s="69"/>
      <c r="FG22" s="69"/>
      <c r="FH22" s="69"/>
      <c r="FI22" s="69"/>
      <c r="FJ22" s="69"/>
      <c r="FK22" s="69"/>
      <c r="FL22" s="69"/>
      <c r="FM22" s="69"/>
      <c r="FN22" s="69"/>
      <c r="FO22" s="69"/>
      <c r="FP22" s="69"/>
      <c r="FQ22" s="69"/>
      <c r="FR22" s="69"/>
      <c r="FS22" s="69"/>
      <c r="FT22" s="69"/>
      <c r="FU22" s="69"/>
      <c r="FV22" s="69"/>
      <c r="FW22" s="69"/>
      <c r="FX22" s="69"/>
      <c r="FY22" s="69"/>
      <c r="FZ22" s="69"/>
      <c r="GA22" s="69"/>
      <c r="GB22" s="69"/>
      <c r="GC22" s="69"/>
      <c r="GD22" s="69"/>
      <c r="GE22" s="69"/>
      <c r="GF22" s="69"/>
      <c r="GG22" s="69"/>
      <c r="GH22" s="69"/>
      <c r="GI22" s="69"/>
      <c r="GJ22" s="69"/>
      <c r="GK22" s="69"/>
      <c r="GL22" s="69"/>
      <c r="GM22" s="69"/>
      <c r="GN22" s="69"/>
      <c r="GO22" s="69"/>
      <c r="GP22" s="69"/>
      <c r="GQ22" s="69"/>
      <c r="GR22" s="69"/>
      <c r="GS22" s="69"/>
      <c r="GT22" s="69"/>
      <c r="GU22" s="69"/>
      <c r="GV22" s="69"/>
      <c r="GW22" s="69"/>
      <c r="GX22" s="69"/>
      <c r="GY22" s="69"/>
      <c r="GZ22" s="69"/>
      <c r="HA22" s="69"/>
      <c r="HB22" s="69"/>
      <c r="HC22" s="69"/>
      <c r="HD22" s="69"/>
      <c r="HE22" s="69"/>
      <c r="HF22" s="69"/>
      <c r="HG22" s="69"/>
      <c r="HH22" s="69"/>
      <c r="HI22" s="69"/>
      <c r="HJ22" s="69"/>
      <c r="HK22" s="69"/>
      <c r="HL22" s="69"/>
      <c r="HM22" s="69"/>
      <c r="HN22" s="69"/>
      <c r="HO22" s="69"/>
      <c r="HP22" s="69"/>
      <c r="HQ22" s="69"/>
      <c r="HR22" s="69"/>
      <c r="HS22" s="69"/>
      <c r="HT22" s="69"/>
      <c r="HU22" s="69"/>
      <c r="HV22" s="69"/>
      <c r="HW22" s="69"/>
      <c r="HX22" s="69"/>
      <c r="HY22" s="69"/>
      <c r="HZ22" s="69"/>
      <c r="IA22" s="69"/>
      <c r="IB22" s="69"/>
      <c r="IC22" s="69"/>
      <c r="ID22" s="69"/>
      <c r="IE22" s="69"/>
      <c r="IF22" s="69"/>
      <c r="IG22" s="69"/>
      <c r="IH22" s="69"/>
      <c r="II22" s="69"/>
      <c r="IJ22" s="69"/>
      <c r="IK22" s="69"/>
      <c r="IL22" s="69"/>
      <c r="IM22" s="69"/>
      <c r="IN22" s="69"/>
      <c r="IO22" s="69">
        <v>1170</v>
      </c>
      <c r="IP22" s="69">
        <v>13115</v>
      </c>
      <c r="IQ22" s="69">
        <v>80612</v>
      </c>
      <c r="IR22" s="69">
        <v>24411</v>
      </c>
      <c r="IS22" s="69">
        <v>0</v>
      </c>
      <c r="IT22" s="69">
        <v>298</v>
      </c>
      <c r="IU22" s="69">
        <v>10150</v>
      </c>
      <c r="IV22" s="69">
        <v>0</v>
      </c>
      <c r="IW22" s="69">
        <v>33772</v>
      </c>
      <c r="IX22" s="69">
        <v>0</v>
      </c>
      <c r="IY22" s="69">
        <v>0</v>
      </c>
      <c r="IZ22" s="69">
        <v>46910</v>
      </c>
      <c r="JA22" s="69">
        <v>5872</v>
      </c>
      <c r="JB22" s="69">
        <v>210279</v>
      </c>
      <c r="JC22" s="69">
        <v>0</v>
      </c>
      <c r="JD22" s="69">
        <v>54752</v>
      </c>
      <c r="JE22" s="69">
        <v>0</v>
      </c>
      <c r="JF22" s="69">
        <v>35529</v>
      </c>
      <c r="JG22" s="69">
        <v>35197</v>
      </c>
      <c r="JH22" s="69">
        <v>0</v>
      </c>
      <c r="JI22" s="69">
        <v>0</v>
      </c>
      <c r="JJ22" s="69">
        <v>298</v>
      </c>
      <c r="JK22" s="69">
        <v>258488</v>
      </c>
      <c r="JL22" s="69">
        <v>26997</v>
      </c>
      <c r="JM22" s="69">
        <v>46254</v>
      </c>
      <c r="JN22" s="69">
        <v>33394</v>
      </c>
      <c r="JO22" s="69"/>
      <c r="JP22" s="69"/>
      <c r="JQ22" s="69"/>
      <c r="JR22" s="69"/>
      <c r="JS22" s="69"/>
      <c r="JT22" s="69"/>
      <c r="JU22" s="69"/>
      <c r="JV22" s="69"/>
      <c r="JW22" s="69"/>
      <c r="JX22" s="69"/>
      <c r="JY22" s="69"/>
      <c r="JZ22" s="69"/>
      <c r="KA22" s="69"/>
      <c r="KB22" s="69"/>
      <c r="KC22" s="69"/>
      <c r="KD22" s="69"/>
      <c r="KE22" s="69"/>
      <c r="KF22" s="69"/>
      <c r="KG22" s="69"/>
      <c r="KH22" s="69"/>
      <c r="KI22" s="69"/>
      <c r="KJ22" s="69"/>
      <c r="KK22" s="69"/>
      <c r="KL22" s="69"/>
      <c r="KM22" s="69"/>
      <c r="KN22" s="69"/>
      <c r="KO22" s="69"/>
      <c r="KP22" s="69"/>
      <c r="KQ22" s="69"/>
      <c r="KR22" s="69"/>
      <c r="KS22" s="69"/>
      <c r="KT22" s="69"/>
      <c r="KU22" s="69"/>
      <c r="KV22" s="69"/>
      <c r="KW22" s="69"/>
    </row>
    <row r="23" spans="1:309" x14ac:dyDescent="0.25">
      <c r="A23" t="s">
        <v>368</v>
      </c>
      <c r="C23" t="s">
        <v>1088</v>
      </c>
      <c r="E23" s="2"/>
      <c r="G23" t="s">
        <v>369</v>
      </c>
      <c r="Q23" s="69">
        <v>376469</v>
      </c>
      <c r="AH23">
        <v>2747734</v>
      </c>
      <c r="AI23">
        <v>1416808</v>
      </c>
      <c r="AJ23">
        <v>1310128</v>
      </c>
      <c r="AK23">
        <v>0</v>
      </c>
      <c r="AL23">
        <v>0</v>
      </c>
      <c r="AM23">
        <v>238705</v>
      </c>
      <c r="CU23">
        <v>19136</v>
      </c>
      <c r="CV23">
        <v>34418</v>
      </c>
      <c r="CW23">
        <v>251296</v>
      </c>
      <c r="CX23">
        <v>94910</v>
      </c>
      <c r="CY23">
        <v>0</v>
      </c>
      <c r="CZ23">
        <v>0</v>
      </c>
      <c r="DA23">
        <v>69406</v>
      </c>
      <c r="DB23">
        <v>0</v>
      </c>
      <c r="DC23">
        <v>139472</v>
      </c>
      <c r="DD23">
        <v>816</v>
      </c>
      <c r="DE23">
        <v>46584</v>
      </c>
      <c r="DF23">
        <v>299264</v>
      </c>
      <c r="DG23">
        <v>21912</v>
      </c>
      <c r="DH23">
        <v>195346</v>
      </c>
      <c r="DI23">
        <v>0</v>
      </c>
      <c r="DJ23">
        <v>161879</v>
      </c>
      <c r="DK23">
        <v>0</v>
      </c>
      <c r="DL23">
        <v>90944</v>
      </c>
      <c r="DM23">
        <v>206304</v>
      </c>
      <c r="DN23">
        <v>20864</v>
      </c>
      <c r="DO23">
        <v>13186</v>
      </c>
      <c r="DP23">
        <v>11036</v>
      </c>
      <c r="DQ23">
        <v>18720</v>
      </c>
      <c r="DR23">
        <v>56039</v>
      </c>
      <c r="DS23">
        <v>318272</v>
      </c>
      <c r="DT23">
        <v>81328</v>
      </c>
      <c r="DX23" s="69"/>
      <c r="DY23" s="69">
        <v>27445</v>
      </c>
      <c r="DZ23" s="69">
        <v>192389</v>
      </c>
      <c r="EA23" s="69">
        <v>667071</v>
      </c>
      <c r="EB23" s="69">
        <v>258157</v>
      </c>
      <c r="EC23" s="69">
        <v>0</v>
      </c>
      <c r="ED23" s="69">
        <v>0</v>
      </c>
      <c r="EE23" s="69">
        <v>251622</v>
      </c>
      <c r="EF23" s="69">
        <v>0</v>
      </c>
      <c r="EG23" s="69">
        <v>227782</v>
      </c>
      <c r="EH23" s="69">
        <v>1605</v>
      </c>
      <c r="EI23" s="69">
        <v>154131</v>
      </c>
      <c r="EJ23" s="69">
        <v>658774</v>
      </c>
      <c r="EK23" s="69">
        <v>73373</v>
      </c>
      <c r="EL23" s="69">
        <v>1166792</v>
      </c>
      <c r="EM23" s="69">
        <v>0</v>
      </c>
      <c r="EN23" s="69">
        <v>415422</v>
      </c>
      <c r="EO23" s="69">
        <v>0</v>
      </c>
      <c r="EP23" s="69">
        <v>320430</v>
      </c>
      <c r="EQ23" s="69">
        <v>473310</v>
      </c>
      <c r="ER23" s="69">
        <v>63276</v>
      </c>
      <c r="ES23" s="69">
        <v>0</v>
      </c>
      <c r="ET23" s="69">
        <v>7070</v>
      </c>
      <c r="EU23" s="69">
        <v>268358</v>
      </c>
      <c r="EV23" s="69">
        <v>215805</v>
      </c>
      <c r="EW23" s="69">
        <v>786547</v>
      </c>
      <c r="EX23" s="69">
        <v>294641</v>
      </c>
      <c r="EY23" s="69"/>
      <c r="EZ23" s="69"/>
      <c r="FA23" s="69"/>
      <c r="FB23" s="69"/>
      <c r="FC23" s="69"/>
      <c r="FD23" s="69"/>
      <c r="FE23" s="69"/>
      <c r="FF23" s="69"/>
      <c r="FG23" s="69"/>
      <c r="FH23" s="69"/>
      <c r="FI23" s="69"/>
      <c r="FJ23" s="69"/>
      <c r="FK23" s="69"/>
      <c r="FL23" s="69"/>
      <c r="FM23" s="69"/>
      <c r="FN23" s="69"/>
      <c r="FO23" s="69"/>
      <c r="FP23" s="69"/>
      <c r="FQ23" s="69"/>
      <c r="FR23" s="69"/>
      <c r="FS23" s="69"/>
      <c r="FT23" s="69"/>
      <c r="FU23" s="69"/>
      <c r="FV23" s="69"/>
      <c r="FW23" s="69"/>
      <c r="FX23" s="69"/>
      <c r="FY23" s="69"/>
      <c r="FZ23" s="69"/>
      <c r="GA23" s="69"/>
      <c r="GB23" s="69"/>
      <c r="GC23" s="69"/>
      <c r="GD23" s="69"/>
      <c r="GE23" s="69"/>
      <c r="GF23" s="69"/>
      <c r="GG23" s="69"/>
      <c r="GH23" s="69"/>
      <c r="GI23" s="69"/>
      <c r="GJ23" s="69"/>
      <c r="GK23" s="69"/>
      <c r="GL23" s="69"/>
      <c r="GM23" s="69"/>
      <c r="GN23" s="69"/>
      <c r="GO23" s="69"/>
      <c r="GP23" s="69"/>
      <c r="GQ23" s="69"/>
      <c r="GR23" s="69"/>
      <c r="GS23" s="69"/>
      <c r="GT23" s="69"/>
      <c r="GU23" s="69"/>
      <c r="GV23" s="69"/>
      <c r="GW23" s="69"/>
      <c r="GX23" s="69"/>
      <c r="GY23" s="69"/>
      <c r="GZ23" s="69"/>
      <c r="HA23" s="69"/>
      <c r="HB23" s="69"/>
      <c r="HC23" s="69"/>
      <c r="HD23" s="69"/>
      <c r="HE23" s="69"/>
      <c r="HF23" s="69"/>
      <c r="HG23" s="69"/>
      <c r="HH23" s="69"/>
      <c r="HI23" s="69"/>
      <c r="HJ23" s="69"/>
      <c r="HK23" s="69"/>
      <c r="HL23" s="69"/>
      <c r="HM23" s="69"/>
      <c r="HN23" s="69"/>
      <c r="HO23" s="69"/>
      <c r="HP23" s="69"/>
      <c r="HQ23" s="69"/>
      <c r="HR23" s="69"/>
      <c r="HS23" s="69"/>
      <c r="HT23" s="69"/>
      <c r="HU23" s="69"/>
      <c r="HV23" s="69"/>
      <c r="HW23" s="69"/>
      <c r="HX23" s="69"/>
      <c r="HY23" s="69"/>
      <c r="HZ23" s="69"/>
      <c r="IA23" s="69"/>
      <c r="IB23" s="69"/>
      <c r="IC23" s="69"/>
      <c r="ID23" s="69"/>
      <c r="IE23" s="69"/>
      <c r="IF23" s="69"/>
      <c r="IG23" s="69"/>
      <c r="IH23" s="69"/>
      <c r="II23" s="69"/>
      <c r="IJ23" s="69"/>
      <c r="IK23" s="69"/>
      <c r="IL23" s="69"/>
      <c r="IM23" s="69"/>
      <c r="IN23" s="69"/>
      <c r="IO23" s="69">
        <v>41202</v>
      </c>
      <c r="IP23" s="69">
        <v>67386</v>
      </c>
      <c r="IQ23" s="69">
        <v>329397</v>
      </c>
      <c r="IR23" s="69">
        <v>127683</v>
      </c>
      <c r="IS23" s="69">
        <v>0</v>
      </c>
      <c r="IT23" s="69">
        <v>0</v>
      </c>
      <c r="IU23" s="69">
        <v>55006</v>
      </c>
      <c r="IV23" s="69">
        <v>0</v>
      </c>
      <c r="IW23" s="69">
        <v>62014</v>
      </c>
      <c r="IX23" s="69">
        <v>199</v>
      </c>
      <c r="IY23" s="69">
        <v>33052</v>
      </c>
      <c r="IZ23" s="69">
        <v>261846</v>
      </c>
      <c r="JA23" s="69">
        <v>9376</v>
      </c>
      <c r="JB23" s="69">
        <v>219550</v>
      </c>
      <c r="JC23" s="69">
        <v>0</v>
      </c>
      <c r="JD23" s="69">
        <v>151921</v>
      </c>
      <c r="JE23" s="69">
        <v>0</v>
      </c>
      <c r="JF23" s="69">
        <v>80353</v>
      </c>
      <c r="JG23" s="69">
        <v>64581</v>
      </c>
      <c r="JH23" s="69">
        <v>22908</v>
      </c>
      <c r="JI23" s="69">
        <v>0</v>
      </c>
      <c r="JJ23" s="69">
        <v>17946</v>
      </c>
      <c r="JK23" s="69">
        <v>37391</v>
      </c>
      <c r="JL23" s="69">
        <v>110892</v>
      </c>
      <c r="JM23" s="69">
        <v>106609</v>
      </c>
      <c r="JN23" s="69">
        <v>68574</v>
      </c>
      <c r="JO23" s="69"/>
      <c r="JP23" s="69"/>
      <c r="JQ23" s="69"/>
      <c r="JR23" s="69"/>
      <c r="JS23" s="69"/>
      <c r="JT23" s="69"/>
      <c r="JU23" s="69"/>
      <c r="JV23" s="69"/>
      <c r="JW23" s="69"/>
      <c r="JX23" s="69"/>
      <c r="JY23" s="69"/>
      <c r="JZ23" s="69"/>
      <c r="KA23" s="69"/>
      <c r="KB23" s="69"/>
      <c r="KC23" s="69"/>
      <c r="KD23" s="69"/>
      <c r="KE23" s="69"/>
      <c r="KF23" s="69"/>
      <c r="KG23" s="69"/>
      <c r="KH23" s="69"/>
      <c r="KI23" s="69"/>
      <c r="KJ23" s="69"/>
      <c r="KK23" s="69"/>
      <c r="KL23" s="69"/>
      <c r="KM23" s="69"/>
      <c r="KN23" s="69"/>
      <c r="KO23" s="69"/>
      <c r="KP23" s="69"/>
      <c r="KQ23" s="69"/>
      <c r="KR23" s="69"/>
      <c r="KS23" s="69"/>
      <c r="KT23" s="69"/>
      <c r="KU23" s="69"/>
      <c r="KV23" s="69"/>
      <c r="KW23" s="69"/>
    </row>
    <row r="24" spans="1:309" x14ac:dyDescent="0.25">
      <c r="A24" t="s">
        <v>372</v>
      </c>
      <c r="C24" t="s">
        <v>1088</v>
      </c>
      <c r="E24" s="2"/>
      <c r="G24" t="s">
        <v>373</v>
      </c>
      <c r="Q24" s="69">
        <v>340105</v>
      </c>
      <c r="AH24">
        <v>2597462</v>
      </c>
      <c r="AI24">
        <v>1504988</v>
      </c>
      <c r="AJ24">
        <v>850202</v>
      </c>
      <c r="AK24">
        <v>0</v>
      </c>
      <c r="AL24">
        <v>0</v>
      </c>
      <c r="AM24">
        <v>194748</v>
      </c>
      <c r="CU24">
        <v>9040</v>
      </c>
      <c r="CV24">
        <v>57564</v>
      </c>
      <c r="CW24">
        <v>201440</v>
      </c>
      <c r="CX24">
        <v>79274</v>
      </c>
      <c r="CY24">
        <v>0</v>
      </c>
      <c r="CZ24">
        <v>6528</v>
      </c>
      <c r="DA24">
        <v>117590</v>
      </c>
      <c r="DB24">
        <v>616</v>
      </c>
      <c r="DC24">
        <v>225988</v>
      </c>
      <c r="DD24">
        <v>0</v>
      </c>
      <c r="DE24">
        <v>19024</v>
      </c>
      <c r="DF24">
        <v>278944</v>
      </c>
      <c r="DG24">
        <v>39680</v>
      </c>
      <c r="DH24">
        <v>19000</v>
      </c>
      <c r="DI24">
        <v>0</v>
      </c>
      <c r="DJ24">
        <v>111392</v>
      </c>
      <c r="DK24">
        <v>0</v>
      </c>
      <c r="DL24">
        <v>145168</v>
      </c>
      <c r="DM24">
        <v>200608</v>
      </c>
      <c r="DN24">
        <v>12640</v>
      </c>
      <c r="DO24">
        <v>2100</v>
      </c>
      <c r="DP24">
        <v>2304</v>
      </c>
      <c r="DQ24">
        <v>76560</v>
      </c>
      <c r="DR24">
        <v>94032</v>
      </c>
      <c r="DS24">
        <v>252048</v>
      </c>
      <c r="DT24">
        <v>91696</v>
      </c>
      <c r="DX24" s="69"/>
      <c r="DY24" s="69">
        <v>60902</v>
      </c>
      <c r="DZ24" s="69">
        <v>172935</v>
      </c>
      <c r="EA24" s="69">
        <v>444825</v>
      </c>
      <c r="EB24" s="69">
        <v>72218</v>
      </c>
      <c r="EC24" s="69">
        <v>0</v>
      </c>
      <c r="ED24" s="69">
        <v>2500</v>
      </c>
      <c r="EE24" s="69">
        <v>377591</v>
      </c>
      <c r="EF24" s="69">
        <v>19328</v>
      </c>
      <c r="EG24" s="69">
        <v>541370</v>
      </c>
      <c r="EH24" s="69">
        <v>0</v>
      </c>
      <c r="EI24" s="69">
        <v>21872</v>
      </c>
      <c r="EJ24" s="69">
        <v>611613</v>
      </c>
      <c r="EK24" s="69">
        <v>32734</v>
      </c>
      <c r="EL24" s="69">
        <v>174614</v>
      </c>
      <c r="EM24" s="69">
        <v>0</v>
      </c>
      <c r="EN24" s="69">
        <v>201240</v>
      </c>
      <c r="EO24" s="69">
        <v>0</v>
      </c>
      <c r="EP24" s="69">
        <v>845947</v>
      </c>
      <c r="EQ24" s="69">
        <v>542748</v>
      </c>
      <c r="ER24" s="69">
        <v>41326</v>
      </c>
      <c r="ES24" s="69">
        <v>936</v>
      </c>
      <c r="ET24" s="69">
        <v>2500</v>
      </c>
      <c r="EU24" s="69">
        <v>547641</v>
      </c>
      <c r="EV24" s="69">
        <v>123453</v>
      </c>
      <c r="EW24" s="69">
        <v>536357</v>
      </c>
      <c r="EX24" s="69">
        <v>271095</v>
      </c>
      <c r="EY24" s="69"/>
      <c r="EZ24" s="69"/>
      <c r="FA24" s="69"/>
      <c r="FB24" s="69"/>
      <c r="FC24" s="69"/>
      <c r="FD24" s="69"/>
      <c r="FE24" s="69"/>
      <c r="FF24" s="69"/>
      <c r="FG24" s="69"/>
      <c r="FH24" s="69"/>
      <c r="FI24" s="69"/>
      <c r="FJ24" s="69"/>
      <c r="FK24" s="69"/>
      <c r="FL24" s="69"/>
      <c r="FM24" s="69"/>
      <c r="FN24" s="69"/>
      <c r="FO24" s="69"/>
      <c r="FP24" s="69"/>
      <c r="FQ24" s="69"/>
      <c r="FR24" s="69"/>
      <c r="FS24" s="69"/>
      <c r="FT24" s="69"/>
      <c r="FU24" s="69"/>
      <c r="FV24" s="69"/>
      <c r="FW24" s="69"/>
      <c r="FX24" s="69"/>
      <c r="FY24" s="69"/>
      <c r="FZ24" s="69"/>
      <c r="GA24" s="69"/>
      <c r="GB24" s="69"/>
      <c r="GC24" s="69"/>
      <c r="GD24" s="69"/>
      <c r="GE24" s="69"/>
      <c r="GF24" s="69"/>
      <c r="GG24" s="69"/>
      <c r="GH24" s="69"/>
      <c r="GI24" s="69"/>
      <c r="GJ24" s="69"/>
      <c r="GK24" s="69"/>
      <c r="GL24" s="69"/>
      <c r="GM24" s="69"/>
      <c r="GN24" s="69"/>
      <c r="GO24" s="69"/>
      <c r="GP24" s="69"/>
      <c r="GQ24" s="69"/>
      <c r="GR24" s="69"/>
      <c r="GS24" s="69"/>
      <c r="GT24" s="69"/>
      <c r="GU24" s="69"/>
      <c r="GV24" s="69"/>
      <c r="GW24" s="69"/>
      <c r="GX24" s="69"/>
      <c r="GY24" s="69"/>
      <c r="GZ24" s="69"/>
      <c r="HA24" s="69"/>
      <c r="HB24" s="69"/>
      <c r="HC24" s="69"/>
      <c r="HD24" s="69"/>
      <c r="HE24" s="69"/>
      <c r="HF24" s="69"/>
      <c r="HG24" s="69"/>
      <c r="HH24" s="69"/>
      <c r="HI24" s="69"/>
      <c r="HJ24" s="69"/>
      <c r="HK24" s="69"/>
      <c r="HL24" s="69"/>
      <c r="HM24" s="69"/>
      <c r="HN24" s="69"/>
      <c r="HO24" s="69"/>
      <c r="HP24" s="69"/>
      <c r="HQ24" s="69"/>
      <c r="HR24" s="69"/>
      <c r="HS24" s="69"/>
      <c r="HT24" s="69"/>
      <c r="HU24" s="69"/>
      <c r="HV24" s="69"/>
      <c r="HW24" s="69"/>
      <c r="HX24" s="69"/>
      <c r="HY24" s="69"/>
      <c r="HZ24" s="69"/>
      <c r="IA24" s="69"/>
      <c r="IB24" s="69"/>
      <c r="IC24" s="69"/>
      <c r="ID24" s="69"/>
      <c r="IE24" s="69"/>
      <c r="IF24" s="69"/>
      <c r="IG24" s="69"/>
      <c r="IH24" s="69"/>
      <c r="II24" s="69"/>
      <c r="IJ24" s="69"/>
      <c r="IK24" s="69"/>
      <c r="IL24" s="69"/>
      <c r="IM24" s="69"/>
      <c r="IN24" s="69"/>
      <c r="IO24" s="69">
        <v>10973</v>
      </c>
      <c r="IP24" s="69">
        <v>26654</v>
      </c>
      <c r="IQ24" s="69">
        <v>32891</v>
      </c>
      <c r="IR24" s="69">
        <v>4383</v>
      </c>
      <c r="IS24" s="69">
        <v>0</v>
      </c>
      <c r="IT24" s="69">
        <v>500</v>
      </c>
      <c r="IU24" s="69">
        <v>31283</v>
      </c>
      <c r="IV24" s="69">
        <v>6236</v>
      </c>
      <c r="IW24" s="69">
        <v>27754</v>
      </c>
      <c r="IX24" s="69">
        <v>0</v>
      </c>
      <c r="IY24" s="69">
        <v>2757</v>
      </c>
      <c r="IZ24" s="69">
        <v>10620</v>
      </c>
      <c r="JA24" s="69">
        <v>188</v>
      </c>
      <c r="JB24" s="69">
        <v>23520</v>
      </c>
      <c r="JC24" s="69">
        <v>0</v>
      </c>
      <c r="JD24" s="69">
        <v>40280</v>
      </c>
      <c r="JE24" s="69">
        <v>0</v>
      </c>
      <c r="JF24" s="69">
        <v>53570</v>
      </c>
      <c r="JG24" s="69">
        <v>5568</v>
      </c>
      <c r="JH24" s="69">
        <v>6652</v>
      </c>
      <c r="JI24" s="69">
        <v>188</v>
      </c>
      <c r="JJ24" s="69">
        <v>500</v>
      </c>
      <c r="JK24" s="69">
        <v>20182</v>
      </c>
      <c r="JL24" s="69">
        <v>79633</v>
      </c>
      <c r="JM24" s="69">
        <v>6047</v>
      </c>
      <c r="JN24" s="69">
        <v>27432</v>
      </c>
      <c r="JO24" s="69"/>
      <c r="JP24" s="69"/>
      <c r="JQ24" s="69"/>
      <c r="JR24" s="69"/>
      <c r="JS24" s="69"/>
      <c r="JT24" s="69"/>
      <c r="JU24" s="69"/>
      <c r="JV24" s="69"/>
      <c r="JW24" s="69"/>
      <c r="JX24" s="69"/>
      <c r="JY24" s="69"/>
      <c r="JZ24" s="69"/>
      <c r="KA24" s="69"/>
      <c r="KB24" s="69"/>
      <c r="KC24" s="69"/>
      <c r="KD24" s="69"/>
      <c r="KE24" s="69"/>
      <c r="KF24" s="69"/>
      <c r="KG24" s="69"/>
      <c r="KH24" s="69"/>
      <c r="KI24" s="69"/>
      <c r="KJ24" s="69"/>
      <c r="KK24" s="69"/>
      <c r="KL24" s="69"/>
      <c r="KM24" s="69"/>
      <c r="KN24" s="69"/>
      <c r="KO24" s="69"/>
      <c r="KP24" s="69"/>
      <c r="KQ24" s="69"/>
      <c r="KR24" s="69"/>
      <c r="KS24" s="69"/>
      <c r="KT24" s="69"/>
      <c r="KU24" s="69"/>
      <c r="KV24" s="69"/>
      <c r="KW24" s="69"/>
    </row>
    <row r="25" spans="1:309" x14ac:dyDescent="0.25">
      <c r="A25" t="s">
        <v>442</v>
      </c>
      <c r="C25" t="s">
        <v>1088</v>
      </c>
      <c r="E25" s="2"/>
      <c r="G25" t="s">
        <v>443</v>
      </c>
      <c r="Q25" s="69">
        <v>2176508</v>
      </c>
      <c r="AH25">
        <v>43684052</v>
      </c>
      <c r="AI25">
        <v>21894339</v>
      </c>
      <c r="AJ25">
        <v>17630830</v>
      </c>
      <c r="AK25">
        <v>0</v>
      </c>
      <c r="AL25">
        <v>0</v>
      </c>
      <c r="AM25">
        <v>2952896</v>
      </c>
      <c r="CU25">
        <v>89632</v>
      </c>
      <c r="CV25">
        <v>313558</v>
      </c>
      <c r="CW25">
        <v>2769952</v>
      </c>
      <c r="CX25">
        <v>1844315</v>
      </c>
      <c r="CY25">
        <v>0</v>
      </c>
      <c r="CZ25">
        <v>540123</v>
      </c>
      <c r="DA25">
        <v>305873</v>
      </c>
      <c r="DB25">
        <v>358239</v>
      </c>
      <c r="DC25">
        <v>859080</v>
      </c>
      <c r="DD25">
        <v>25664</v>
      </c>
      <c r="DE25">
        <v>615840</v>
      </c>
      <c r="DF25">
        <v>3756104</v>
      </c>
      <c r="DG25">
        <v>462136</v>
      </c>
      <c r="DH25">
        <v>383240</v>
      </c>
      <c r="DI25">
        <v>0</v>
      </c>
      <c r="DJ25">
        <v>763100</v>
      </c>
      <c r="DK25">
        <v>54064</v>
      </c>
      <c r="DL25">
        <v>95104</v>
      </c>
      <c r="DM25">
        <v>2266232</v>
      </c>
      <c r="DN25">
        <v>242578</v>
      </c>
      <c r="DO25">
        <v>218116</v>
      </c>
      <c r="DP25">
        <v>106204</v>
      </c>
      <c r="DQ25">
        <v>49424</v>
      </c>
      <c r="DR25">
        <v>309812</v>
      </c>
      <c r="DS25">
        <v>3843168</v>
      </c>
      <c r="DT25">
        <v>1093746</v>
      </c>
      <c r="DX25" s="69"/>
      <c r="DY25" s="69">
        <v>242735</v>
      </c>
      <c r="DZ25" s="69">
        <v>1586362</v>
      </c>
      <c r="EA25" s="69">
        <v>8397320</v>
      </c>
      <c r="EB25" s="69">
        <v>5691310</v>
      </c>
      <c r="EC25" s="69">
        <v>0</v>
      </c>
      <c r="ED25" s="69">
        <v>929972</v>
      </c>
      <c r="EE25" s="69">
        <v>3416272</v>
      </c>
      <c r="EF25" s="69">
        <v>1100700</v>
      </c>
      <c r="EG25" s="69">
        <v>2296439</v>
      </c>
      <c r="EH25" s="69">
        <v>53730</v>
      </c>
      <c r="EI25" s="69">
        <v>1289527</v>
      </c>
      <c r="EJ25" s="69">
        <v>15347902</v>
      </c>
      <c r="EK25" s="69">
        <v>1511877</v>
      </c>
      <c r="EL25" s="69">
        <v>2263047</v>
      </c>
      <c r="EM25" s="69">
        <v>0</v>
      </c>
      <c r="EN25" s="69">
        <v>4205570</v>
      </c>
      <c r="EO25" s="69">
        <v>468424</v>
      </c>
      <c r="EP25" s="69">
        <v>939673</v>
      </c>
      <c r="EQ25" s="69">
        <v>6844827</v>
      </c>
      <c r="ER25" s="69">
        <v>1191441</v>
      </c>
      <c r="ES25" s="69">
        <v>999238</v>
      </c>
      <c r="ET25" s="69">
        <v>556467</v>
      </c>
      <c r="EU25" s="69">
        <v>201889</v>
      </c>
      <c r="EV25" s="69">
        <v>1431083</v>
      </c>
      <c r="EW25" s="69">
        <v>10951073</v>
      </c>
      <c r="EX25" s="69">
        <v>4378680</v>
      </c>
      <c r="EY25" s="69"/>
      <c r="EZ25" s="69"/>
      <c r="FA25" s="69"/>
      <c r="FB25" s="69"/>
      <c r="FC25" s="69"/>
      <c r="FD25" s="69"/>
      <c r="FE25" s="69"/>
      <c r="FF25" s="69"/>
      <c r="FG25" s="69"/>
      <c r="FH25" s="69"/>
      <c r="FI25" s="69"/>
      <c r="FJ25" s="69"/>
      <c r="FK25" s="69"/>
      <c r="FL25" s="69"/>
      <c r="FM25" s="69"/>
      <c r="FN25" s="69"/>
      <c r="FO25" s="69"/>
      <c r="FP25" s="69"/>
      <c r="FQ25" s="69"/>
      <c r="FR25" s="69"/>
      <c r="FS25" s="69"/>
      <c r="FT25" s="69"/>
      <c r="FU25" s="69"/>
      <c r="FV25" s="69"/>
      <c r="FW25" s="69"/>
      <c r="FX25" s="69"/>
      <c r="FY25" s="69"/>
      <c r="FZ25" s="69"/>
      <c r="GA25" s="69"/>
      <c r="GB25" s="69"/>
      <c r="GC25" s="69"/>
      <c r="GD25" s="69"/>
      <c r="GE25" s="69"/>
      <c r="GF25" s="69"/>
      <c r="GG25" s="69"/>
      <c r="GH25" s="69"/>
      <c r="GI25" s="69"/>
      <c r="GJ25" s="69"/>
      <c r="GK25" s="69"/>
      <c r="GL25" s="69"/>
      <c r="GM25" s="69"/>
      <c r="GN25" s="69"/>
      <c r="GO25" s="69"/>
      <c r="GP25" s="69"/>
      <c r="GQ25" s="69"/>
      <c r="GR25" s="69"/>
      <c r="GS25" s="69"/>
      <c r="GT25" s="69"/>
      <c r="GU25" s="69"/>
      <c r="GV25" s="69"/>
      <c r="GW25" s="69"/>
      <c r="GX25" s="69"/>
      <c r="GY25" s="69"/>
      <c r="GZ25" s="69"/>
      <c r="HA25" s="69"/>
      <c r="HB25" s="69"/>
      <c r="HC25" s="69"/>
      <c r="HD25" s="69"/>
      <c r="HE25" s="69"/>
      <c r="HF25" s="69"/>
      <c r="HG25" s="69"/>
      <c r="HH25" s="69"/>
      <c r="HI25" s="69"/>
      <c r="HJ25" s="69"/>
      <c r="HK25" s="69"/>
      <c r="HL25" s="69"/>
      <c r="HM25" s="69"/>
      <c r="HN25" s="69"/>
      <c r="HO25" s="69"/>
      <c r="HP25" s="69"/>
      <c r="HQ25" s="69"/>
      <c r="HR25" s="69"/>
      <c r="HS25" s="69"/>
      <c r="HT25" s="69"/>
      <c r="HU25" s="69"/>
      <c r="HV25" s="69"/>
      <c r="HW25" s="69"/>
      <c r="HX25" s="69"/>
      <c r="HY25" s="69"/>
      <c r="HZ25" s="69"/>
      <c r="IA25" s="69"/>
      <c r="IB25" s="69"/>
      <c r="IC25" s="69"/>
      <c r="ID25" s="69"/>
      <c r="IE25" s="69"/>
      <c r="IF25" s="69"/>
      <c r="IG25" s="69"/>
      <c r="IH25" s="69"/>
      <c r="II25" s="69"/>
      <c r="IJ25" s="69"/>
      <c r="IK25" s="69"/>
      <c r="IL25" s="69"/>
      <c r="IM25" s="69"/>
      <c r="IN25" s="69"/>
      <c r="IO25" s="69">
        <v>65340</v>
      </c>
      <c r="IP25" s="69">
        <v>407595</v>
      </c>
      <c r="IQ25" s="69">
        <v>1643080</v>
      </c>
      <c r="IR25" s="69">
        <v>1303126</v>
      </c>
      <c r="IS25" s="69">
        <v>0</v>
      </c>
      <c r="IT25" s="69">
        <v>672074</v>
      </c>
      <c r="IU25" s="69">
        <v>789781</v>
      </c>
      <c r="IV25" s="69">
        <v>526405</v>
      </c>
      <c r="IW25" s="69">
        <v>671677</v>
      </c>
      <c r="IX25" s="69">
        <v>21318</v>
      </c>
      <c r="IY25" s="69">
        <v>511621</v>
      </c>
      <c r="IZ25" s="69">
        <v>2368452</v>
      </c>
      <c r="JA25" s="69">
        <v>295827</v>
      </c>
      <c r="JB25" s="69">
        <v>402677</v>
      </c>
      <c r="JC25" s="69">
        <v>0</v>
      </c>
      <c r="JD25" s="69">
        <v>1194124</v>
      </c>
      <c r="JE25" s="69">
        <v>85847</v>
      </c>
      <c r="JF25" s="69">
        <v>326655</v>
      </c>
      <c r="JG25" s="69">
        <v>869452</v>
      </c>
      <c r="JH25" s="69">
        <v>277724</v>
      </c>
      <c r="JI25" s="69">
        <v>558700</v>
      </c>
      <c r="JJ25" s="69">
        <v>71221</v>
      </c>
      <c r="JK25" s="69">
        <v>99095</v>
      </c>
      <c r="JL25" s="69">
        <v>660815</v>
      </c>
      <c r="JM25" s="69">
        <v>1331504</v>
      </c>
      <c r="JN25" s="69">
        <v>1182613</v>
      </c>
      <c r="JO25" s="69"/>
      <c r="JP25" s="69"/>
      <c r="JQ25" s="69"/>
      <c r="JR25" s="69"/>
      <c r="JS25" s="69"/>
      <c r="JT25" s="69"/>
      <c r="JU25" s="69"/>
      <c r="JV25" s="69"/>
      <c r="JW25" s="69"/>
      <c r="JX25" s="69"/>
      <c r="JY25" s="69"/>
      <c r="JZ25" s="69"/>
      <c r="KA25" s="69"/>
      <c r="KB25" s="69"/>
      <c r="KC25" s="69"/>
      <c r="KD25" s="69"/>
      <c r="KE25" s="69"/>
      <c r="KF25" s="69"/>
      <c r="KG25" s="69"/>
      <c r="KH25" s="69"/>
      <c r="KI25" s="69"/>
      <c r="KJ25" s="69"/>
      <c r="KK25" s="69"/>
      <c r="KL25" s="69"/>
      <c r="KM25" s="69"/>
      <c r="KN25" s="69"/>
      <c r="KO25" s="69"/>
      <c r="KP25" s="69"/>
      <c r="KQ25" s="69"/>
      <c r="KR25" s="69"/>
      <c r="KS25" s="69"/>
      <c r="KT25" s="69"/>
      <c r="KU25" s="69"/>
      <c r="KV25" s="69"/>
      <c r="KW25" s="69"/>
    </row>
    <row r="26" spans="1:309" ht="15" customHeight="1" x14ac:dyDescent="0.25">
      <c r="A26" t="s">
        <v>374</v>
      </c>
      <c r="C26" t="s">
        <v>1088</v>
      </c>
      <c r="E26" s="2"/>
      <c r="G26" t="s">
        <v>375</v>
      </c>
      <c r="Q26" s="69">
        <v>304488</v>
      </c>
      <c r="AH26">
        <v>3271612</v>
      </c>
      <c r="AI26">
        <v>1623120</v>
      </c>
      <c r="AJ26">
        <v>1227942</v>
      </c>
      <c r="AK26">
        <v>0</v>
      </c>
      <c r="AL26">
        <v>0</v>
      </c>
      <c r="AM26">
        <v>383078</v>
      </c>
      <c r="CU26">
        <v>79377</v>
      </c>
      <c r="CV26">
        <v>16822</v>
      </c>
      <c r="CW26">
        <v>167424</v>
      </c>
      <c r="CX26">
        <v>238948</v>
      </c>
      <c r="CY26">
        <v>378</v>
      </c>
      <c r="CZ26">
        <v>48318</v>
      </c>
      <c r="DA26">
        <v>126937</v>
      </c>
      <c r="DB26">
        <v>172446</v>
      </c>
      <c r="DC26">
        <v>221751</v>
      </c>
      <c r="DD26">
        <v>0</v>
      </c>
      <c r="DE26">
        <v>147567</v>
      </c>
      <c r="DF26">
        <v>184144</v>
      </c>
      <c r="DG26">
        <v>36846</v>
      </c>
      <c r="DH26">
        <v>23749</v>
      </c>
      <c r="DI26">
        <v>19664</v>
      </c>
      <c r="DJ26">
        <v>99048</v>
      </c>
      <c r="DK26">
        <v>17536</v>
      </c>
      <c r="DL26">
        <v>78000</v>
      </c>
      <c r="DM26">
        <v>122024</v>
      </c>
      <c r="DN26">
        <v>9650</v>
      </c>
      <c r="DO26">
        <v>6448</v>
      </c>
      <c r="DP26">
        <v>16635</v>
      </c>
      <c r="DQ26">
        <v>28752</v>
      </c>
      <c r="DR26">
        <v>146481</v>
      </c>
      <c r="DS26">
        <v>231164</v>
      </c>
      <c r="DT26">
        <v>60321</v>
      </c>
      <c r="DX26" s="69"/>
      <c r="DY26" s="69">
        <v>232766</v>
      </c>
      <c r="DZ26" s="69">
        <v>72829</v>
      </c>
      <c r="EA26" s="69">
        <v>450890</v>
      </c>
      <c r="EB26" s="69">
        <v>508775</v>
      </c>
      <c r="EC26" s="69">
        <v>0</v>
      </c>
      <c r="ED26" s="69">
        <v>69699</v>
      </c>
      <c r="EE26" s="69">
        <v>387671</v>
      </c>
      <c r="EF26" s="69">
        <v>406154</v>
      </c>
      <c r="EG26" s="69">
        <v>291313</v>
      </c>
      <c r="EH26" s="69">
        <v>0</v>
      </c>
      <c r="EI26" s="69">
        <v>210125</v>
      </c>
      <c r="EJ26" s="69">
        <v>851260</v>
      </c>
      <c r="EK26" s="69">
        <v>145026</v>
      </c>
      <c r="EL26" s="69">
        <v>166749</v>
      </c>
      <c r="EM26" s="69">
        <v>204182</v>
      </c>
      <c r="EN26" s="69">
        <v>483139</v>
      </c>
      <c r="EO26" s="69">
        <v>98736</v>
      </c>
      <c r="EP26" s="69">
        <v>374696</v>
      </c>
      <c r="EQ26" s="69">
        <v>444100</v>
      </c>
      <c r="ER26" s="69">
        <v>46295</v>
      </c>
      <c r="ES26" s="69">
        <v>16323</v>
      </c>
      <c r="ET26" s="69">
        <v>9530</v>
      </c>
      <c r="EU26" s="69">
        <v>480220</v>
      </c>
      <c r="EV26" s="69">
        <v>188096</v>
      </c>
      <c r="EW26" s="69">
        <v>621000</v>
      </c>
      <c r="EX26" s="69">
        <v>189003</v>
      </c>
      <c r="EY26" s="69"/>
      <c r="EZ26" s="69"/>
      <c r="FA26" s="69"/>
      <c r="FB26" s="69"/>
      <c r="FC26" s="69"/>
      <c r="FD26" s="69"/>
      <c r="FE26" s="69"/>
      <c r="FF26" s="69"/>
      <c r="FG26" s="69"/>
      <c r="FH26" s="69"/>
      <c r="FI26" s="69"/>
      <c r="FJ26" s="69"/>
      <c r="FK26" s="69"/>
      <c r="FL26" s="69"/>
      <c r="FM26" s="69"/>
      <c r="FN26" s="69"/>
      <c r="FO26" s="69"/>
      <c r="FP26" s="69"/>
      <c r="FQ26" s="69"/>
      <c r="FR26" s="69"/>
      <c r="FS26" s="69"/>
      <c r="FT26" s="69"/>
      <c r="FU26" s="69"/>
      <c r="FV26" s="69"/>
      <c r="FW26" s="69"/>
      <c r="FX26" s="69"/>
      <c r="FY26" s="69"/>
      <c r="FZ26" s="69"/>
      <c r="GA26" s="69"/>
      <c r="GB26" s="69"/>
      <c r="GC26" s="69"/>
      <c r="GD26" s="69"/>
      <c r="GE26" s="69"/>
      <c r="GF26" s="69"/>
      <c r="GG26" s="69"/>
      <c r="GH26" s="69"/>
      <c r="GI26" s="69"/>
      <c r="GJ26" s="69"/>
      <c r="GK26" s="69"/>
      <c r="GL26" s="69"/>
      <c r="GM26" s="69"/>
      <c r="GN26" s="69"/>
      <c r="GO26" s="69"/>
      <c r="GP26" s="69"/>
      <c r="GQ26" s="69"/>
      <c r="GR26" s="69"/>
      <c r="GS26" s="69"/>
      <c r="GT26" s="69"/>
      <c r="GU26" s="69"/>
      <c r="GV26" s="69"/>
      <c r="GW26" s="69"/>
      <c r="GX26" s="69"/>
      <c r="GY26" s="69"/>
      <c r="GZ26" s="69"/>
      <c r="HA26" s="69"/>
      <c r="HB26" s="69"/>
      <c r="HC26" s="69"/>
      <c r="HD26" s="69"/>
      <c r="HE26" s="69"/>
      <c r="HF26" s="69"/>
      <c r="HG26" s="69"/>
      <c r="HH26" s="69"/>
      <c r="HI26" s="69"/>
      <c r="HJ26" s="69"/>
      <c r="HK26" s="69"/>
      <c r="HL26" s="69"/>
      <c r="HM26" s="69"/>
      <c r="HN26" s="69"/>
      <c r="HO26" s="69"/>
      <c r="HP26" s="69"/>
      <c r="HQ26" s="69"/>
      <c r="HR26" s="69"/>
      <c r="HS26" s="69"/>
      <c r="HT26" s="69"/>
      <c r="HU26" s="69"/>
      <c r="HV26" s="69"/>
      <c r="HW26" s="69"/>
      <c r="HX26" s="69"/>
      <c r="HY26" s="69"/>
      <c r="HZ26" s="69"/>
      <c r="IA26" s="69"/>
      <c r="IB26" s="69"/>
      <c r="IC26" s="69"/>
      <c r="ID26" s="69"/>
      <c r="IE26" s="69"/>
      <c r="IF26" s="69"/>
      <c r="IG26" s="69"/>
      <c r="IH26" s="69"/>
      <c r="II26" s="69"/>
      <c r="IJ26" s="69"/>
      <c r="IK26" s="69"/>
      <c r="IL26" s="69"/>
      <c r="IM26" s="69"/>
      <c r="IN26" s="69"/>
      <c r="IO26" s="69">
        <v>70864</v>
      </c>
      <c r="IP26" s="69">
        <v>25781</v>
      </c>
      <c r="IQ26" s="69">
        <v>128157</v>
      </c>
      <c r="IR26" s="69">
        <v>116766</v>
      </c>
      <c r="IS26" s="69">
        <v>6000</v>
      </c>
      <c r="IT26" s="69">
        <v>38554</v>
      </c>
      <c r="IU26" s="69">
        <v>74375</v>
      </c>
      <c r="IV26" s="69">
        <v>74675</v>
      </c>
      <c r="IW26" s="69">
        <v>106771</v>
      </c>
      <c r="IX26" s="69">
        <v>0</v>
      </c>
      <c r="IY26" s="69">
        <v>70418</v>
      </c>
      <c r="IZ26" s="69">
        <v>293171</v>
      </c>
      <c r="JA26" s="69">
        <v>24387</v>
      </c>
      <c r="JB26" s="69">
        <v>102233</v>
      </c>
      <c r="JC26" s="69">
        <v>104171</v>
      </c>
      <c r="JD26" s="69">
        <v>268735</v>
      </c>
      <c r="JE26" s="69">
        <v>29197</v>
      </c>
      <c r="JF26" s="69">
        <v>67139</v>
      </c>
      <c r="JG26" s="69">
        <v>59669</v>
      </c>
      <c r="JH26" s="69">
        <v>36934</v>
      </c>
      <c r="JI26" s="69">
        <v>19416</v>
      </c>
      <c r="JJ26" s="69">
        <v>24234</v>
      </c>
      <c r="JK26" s="69">
        <v>41902</v>
      </c>
      <c r="JL26" s="69">
        <v>339007</v>
      </c>
      <c r="JM26" s="69">
        <v>78065</v>
      </c>
      <c r="JN26" s="69">
        <v>60670</v>
      </c>
      <c r="JO26" s="69"/>
      <c r="JP26" s="69"/>
      <c r="JQ26" s="69"/>
      <c r="JR26" s="69"/>
      <c r="JS26" s="69"/>
      <c r="JT26" s="69"/>
      <c r="JU26" s="69"/>
      <c r="JV26" s="69"/>
      <c r="JW26" s="69"/>
      <c r="JX26" s="69"/>
      <c r="JY26" s="69"/>
      <c r="JZ26" s="69"/>
      <c r="KA26" s="69"/>
      <c r="KB26" s="69"/>
      <c r="KC26" s="69"/>
      <c r="KD26" s="69"/>
      <c r="KE26" s="69"/>
      <c r="KF26" s="69"/>
      <c r="KG26" s="69"/>
      <c r="KH26" s="69"/>
      <c r="KI26" s="69"/>
      <c r="KJ26" s="69"/>
      <c r="KK26" s="69"/>
      <c r="KL26" s="69"/>
      <c r="KM26" s="69"/>
      <c r="KN26" s="69"/>
      <c r="KO26" s="69"/>
      <c r="KP26" s="69"/>
      <c r="KQ26" s="69"/>
      <c r="KR26" s="69"/>
      <c r="KS26" s="69"/>
      <c r="KT26" s="69"/>
      <c r="KU26" s="69"/>
      <c r="KV26" s="69"/>
      <c r="KW26" s="69"/>
    </row>
    <row r="27" spans="1:309" x14ac:dyDescent="0.25">
      <c r="A27" t="s">
        <v>376</v>
      </c>
      <c r="C27" t="s">
        <v>1088</v>
      </c>
      <c r="E27" s="2"/>
      <c r="G27" t="s">
        <v>377</v>
      </c>
      <c r="Q27" s="69">
        <v>889730</v>
      </c>
      <c r="AH27">
        <v>3806281</v>
      </c>
      <c r="AI27">
        <v>1375544</v>
      </c>
      <c r="AJ27">
        <v>2442780</v>
      </c>
      <c r="AK27">
        <v>0</v>
      </c>
      <c r="AL27">
        <v>90326</v>
      </c>
      <c r="AM27">
        <v>274653</v>
      </c>
      <c r="CU27">
        <v>9072</v>
      </c>
      <c r="CV27">
        <v>37396</v>
      </c>
      <c r="CW27">
        <v>300880</v>
      </c>
      <c r="CX27">
        <v>244369</v>
      </c>
      <c r="CY27">
        <v>0</v>
      </c>
      <c r="CZ27">
        <v>12376</v>
      </c>
      <c r="DA27">
        <v>215010</v>
      </c>
      <c r="DB27">
        <v>7402</v>
      </c>
      <c r="DC27">
        <v>160541</v>
      </c>
      <c r="DD27">
        <v>1840</v>
      </c>
      <c r="DE27">
        <v>180382</v>
      </c>
      <c r="DF27">
        <v>355792</v>
      </c>
      <c r="DG27">
        <v>19504</v>
      </c>
      <c r="DH27">
        <v>156720</v>
      </c>
      <c r="DI27">
        <v>0</v>
      </c>
      <c r="DJ27">
        <v>179557</v>
      </c>
      <c r="DK27">
        <v>0</v>
      </c>
      <c r="DL27">
        <v>97600</v>
      </c>
      <c r="DM27">
        <v>262384</v>
      </c>
      <c r="DN27">
        <v>40288</v>
      </c>
      <c r="DO27">
        <v>31596</v>
      </c>
      <c r="DP27">
        <v>7032</v>
      </c>
      <c r="DQ27">
        <v>121544</v>
      </c>
      <c r="DR27">
        <v>337789</v>
      </c>
      <c r="DS27">
        <v>425040</v>
      </c>
      <c r="DT27">
        <v>199030</v>
      </c>
      <c r="DX27" s="69"/>
      <c r="DY27" s="69">
        <v>63113</v>
      </c>
      <c r="DZ27" s="69">
        <v>161055</v>
      </c>
      <c r="EA27" s="69">
        <v>879629</v>
      </c>
      <c r="EB27" s="69">
        <v>700894</v>
      </c>
      <c r="EC27" s="69">
        <v>0</v>
      </c>
      <c r="ED27" s="69">
        <v>60135</v>
      </c>
      <c r="EE27" s="69">
        <v>431379</v>
      </c>
      <c r="EF27" s="69">
        <v>135337</v>
      </c>
      <c r="EG27" s="69">
        <v>411483</v>
      </c>
      <c r="EH27" s="69">
        <v>11955</v>
      </c>
      <c r="EI27" s="69">
        <v>499199</v>
      </c>
      <c r="EJ27" s="69">
        <v>999111</v>
      </c>
      <c r="EK27" s="69">
        <v>146640</v>
      </c>
      <c r="EL27" s="69">
        <v>653800</v>
      </c>
      <c r="EM27" s="69">
        <v>0</v>
      </c>
      <c r="EN27" s="69">
        <v>554189</v>
      </c>
      <c r="EO27" s="69">
        <v>0</v>
      </c>
      <c r="EP27" s="69">
        <v>299945</v>
      </c>
      <c r="EQ27" s="69">
        <v>710050</v>
      </c>
      <c r="ER27" s="69">
        <v>161217</v>
      </c>
      <c r="ES27" s="69">
        <v>65273</v>
      </c>
      <c r="ET27" s="69">
        <v>0</v>
      </c>
      <c r="EU27" s="69">
        <v>556265</v>
      </c>
      <c r="EV27" s="69">
        <v>788057</v>
      </c>
      <c r="EW27" s="69">
        <v>887877</v>
      </c>
      <c r="EX27" s="69">
        <v>741790</v>
      </c>
      <c r="EY27" s="69"/>
      <c r="EZ27" s="69"/>
      <c r="FA27" s="69"/>
      <c r="FB27" s="69"/>
      <c r="FC27" s="69"/>
      <c r="FD27" s="69"/>
      <c r="FE27" s="69"/>
      <c r="FF27" s="69"/>
      <c r="FG27" s="69"/>
      <c r="FH27" s="69"/>
      <c r="FI27" s="69"/>
      <c r="FJ27" s="69"/>
      <c r="FK27" s="69"/>
      <c r="FL27" s="69"/>
      <c r="FM27" s="69"/>
      <c r="FN27" s="69"/>
      <c r="FO27" s="69"/>
      <c r="FP27" s="69"/>
      <c r="FQ27" s="69"/>
      <c r="FR27" s="69"/>
      <c r="FS27" s="69"/>
      <c r="FT27" s="69"/>
      <c r="FU27" s="69"/>
      <c r="FV27" s="69"/>
      <c r="FW27" s="69"/>
      <c r="FX27" s="69"/>
      <c r="FY27" s="69"/>
      <c r="FZ27" s="69"/>
      <c r="GA27" s="69"/>
      <c r="GB27" s="69"/>
      <c r="GC27" s="69"/>
      <c r="GD27" s="69"/>
      <c r="GE27" s="69"/>
      <c r="GF27" s="69"/>
      <c r="GG27" s="69"/>
      <c r="GH27" s="69"/>
      <c r="GI27" s="69"/>
      <c r="GJ27" s="69"/>
      <c r="GK27" s="69"/>
      <c r="GL27" s="69"/>
      <c r="GM27" s="69"/>
      <c r="GN27" s="69"/>
      <c r="GO27" s="69"/>
      <c r="GP27" s="69"/>
      <c r="GQ27" s="69"/>
      <c r="GR27" s="69"/>
      <c r="GS27" s="69"/>
      <c r="GT27" s="69"/>
      <c r="GU27" s="69"/>
      <c r="GV27" s="69"/>
      <c r="GW27" s="69"/>
      <c r="GX27" s="69"/>
      <c r="GY27" s="69"/>
      <c r="GZ27" s="69"/>
      <c r="HA27" s="69"/>
      <c r="HB27" s="69"/>
      <c r="HC27" s="69"/>
      <c r="HD27" s="69"/>
      <c r="HE27" s="69"/>
      <c r="HF27" s="69"/>
      <c r="HG27" s="69"/>
      <c r="HH27" s="69"/>
      <c r="HI27" s="69"/>
      <c r="HJ27" s="69"/>
      <c r="HK27" s="69"/>
      <c r="HL27" s="69"/>
      <c r="HM27" s="69"/>
      <c r="HN27" s="69"/>
      <c r="HO27" s="69"/>
      <c r="HP27" s="69"/>
      <c r="HQ27" s="69"/>
      <c r="HR27" s="69"/>
      <c r="HS27" s="69"/>
      <c r="HT27" s="69"/>
      <c r="HU27" s="69"/>
      <c r="HV27" s="69"/>
      <c r="HW27" s="69"/>
      <c r="HX27" s="69"/>
      <c r="HY27" s="69"/>
      <c r="HZ27" s="69"/>
      <c r="IA27" s="69"/>
      <c r="IB27" s="69"/>
      <c r="IC27" s="69"/>
      <c r="ID27" s="69"/>
      <c r="IE27" s="69"/>
      <c r="IF27" s="69"/>
      <c r="IG27" s="69"/>
      <c r="IH27" s="69"/>
      <c r="II27" s="69"/>
      <c r="IJ27" s="69"/>
      <c r="IK27" s="69"/>
      <c r="IL27" s="69"/>
      <c r="IM27" s="69"/>
      <c r="IN27" s="69"/>
      <c r="IO27" s="69">
        <v>12003</v>
      </c>
      <c r="IP27" s="69">
        <v>22944</v>
      </c>
      <c r="IQ27" s="69">
        <v>294274</v>
      </c>
      <c r="IR27" s="69">
        <v>96324</v>
      </c>
      <c r="IS27" s="69">
        <v>0</v>
      </c>
      <c r="IT27" s="69">
        <v>28089</v>
      </c>
      <c r="IU27" s="69">
        <v>226072</v>
      </c>
      <c r="IV27" s="69">
        <v>78519</v>
      </c>
      <c r="IW27" s="69">
        <v>47190</v>
      </c>
      <c r="IX27" s="69">
        <v>961</v>
      </c>
      <c r="IY27" s="69">
        <v>210800</v>
      </c>
      <c r="IZ27" s="69">
        <v>90453</v>
      </c>
      <c r="JA27" s="69">
        <v>11910</v>
      </c>
      <c r="JB27" s="69">
        <v>226970</v>
      </c>
      <c r="JC27" s="69">
        <v>0</v>
      </c>
      <c r="JD27" s="69">
        <v>141230</v>
      </c>
      <c r="JE27" s="69">
        <v>0</v>
      </c>
      <c r="JF27" s="69">
        <v>37049</v>
      </c>
      <c r="JG27" s="69">
        <v>67785</v>
      </c>
      <c r="JH27" s="69">
        <v>59185</v>
      </c>
      <c r="JI27" s="69">
        <v>19692</v>
      </c>
      <c r="JJ27" s="69">
        <v>0</v>
      </c>
      <c r="JK27" s="69">
        <v>48096</v>
      </c>
      <c r="JL27" s="69">
        <v>759781</v>
      </c>
      <c r="JM27" s="69">
        <v>51067</v>
      </c>
      <c r="JN27" s="69">
        <v>146041</v>
      </c>
      <c r="JO27" s="69"/>
      <c r="JP27" s="69"/>
      <c r="JQ27" s="69"/>
      <c r="JR27" s="69"/>
      <c r="JS27" s="69"/>
      <c r="JT27" s="69"/>
      <c r="JU27" s="69"/>
      <c r="JV27" s="69"/>
      <c r="JW27" s="69"/>
      <c r="JX27" s="69"/>
      <c r="JY27" s="69"/>
      <c r="JZ27" s="69"/>
      <c r="KA27" s="69"/>
      <c r="KB27" s="69"/>
      <c r="KC27" s="69"/>
      <c r="KD27" s="69"/>
      <c r="KE27" s="69"/>
      <c r="KF27" s="69"/>
      <c r="KG27" s="69"/>
      <c r="KH27" s="69"/>
      <c r="KI27" s="69"/>
      <c r="KJ27" s="69"/>
      <c r="KK27" s="69"/>
      <c r="KL27" s="69"/>
      <c r="KM27" s="69"/>
      <c r="KN27" s="69"/>
      <c r="KO27" s="69"/>
      <c r="KP27" s="69"/>
      <c r="KQ27" s="69"/>
      <c r="KR27" s="69"/>
      <c r="KS27" s="69"/>
      <c r="KT27" s="69"/>
      <c r="KU27" s="69"/>
      <c r="KV27" s="69"/>
      <c r="KW27" s="69"/>
    </row>
    <row r="28" spans="1:309" x14ac:dyDescent="0.25">
      <c r="A28" t="s">
        <v>378</v>
      </c>
      <c r="C28" t="s">
        <v>1088</v>
      </c>
      <c r="E28" s="2"/>
      <c r="G28" t="s">
        <v>379</v>
      </c>
      <c r="Q28" s="69">
        <v>1579710</v>
      </c>
      <c r="AH28">
        <v>7334514</v>
      </c>
      <c r="AI28">
        <v>4136221</v>
      </c>
      <c r="AJ28">
        <v>2845997</v>
      </c>
      <c r="AK28">
        <v>0</v>
      </c>
      <c r="AL28">
        <v>287299</v>
      </c>
      <c r="AM28">
        <v>942848</v>
      </c>
      <c r="CU28">
        <v>0</v>
      </c>
      <c r="CV28">
        <v>17536</v>
      </c>
      <c r="CW28">
        <v>296928</v>
      </c>
      <c r="CX28">
        <v>160282</v>
      </c>
      <c r="CY28">
        <v>0</v>
      </c>
      <c r="CZ28">
        <v>14480</v>
      </c>
      <c r="DA28">
        <v>201202</v>
      </c>
      <c r="DB28">
        <v>19000</v>
      </c>
      <c r="DC28">
        <v>90874</v>
      </c>
      <c r="DD28">
        <v>0</v>
      </c>
      <c r="DE28">
        <v>93827</v>
      </c>
      <c r="DF28">
        <v>629232</v>
      </c>
      <c r="DG28">
        <v>16320</v>
      </c>
      <c r="DH28">
        <v>70272</v>
      </c>
      <c r="DI28">
        <v>0</v>
      </c>
      <c r="DJ28">
        <v>157232</v>
      </c>
      <c r="DK28">
        <v>0</v>
      </c>
      <c r="DL28">
        <v>84512</v>
      </c>
      <c r="DM28">
        <v>403424</v>
      </c>
      <c r="DN28">
        <v>52096</v>
      </c>
      <c r="DO28">
        <v>42613</v>
      </c>
      <c r="DP28">
        <v>24304</v>
      </c>
      <c r="DQ28">
        <v>100826</v>
      </c>
      <c r="DR28">
        <v>200064</v>
      </c>
      <c r="DS28">
        <v>602304</v>
      </c>
      <c r="DT28">
        <v>246352</v>
      </c>
      <c r="DX28" s="69"/>
      <c r="DY28" s="69">
        <v>0</v>
      </c>
      <c r="DZ28" s="69">
        <v>0</v>
      </c>
      <c r="EA28" s="69">
        <v>969118</v>
      </c>
      <c r="EB28" s="69">
        <v>920423</v>
      </c>
      <c r="EC28" s="69">
        <v>0</v>
      </c>
      <c r="ED28" s="69">
        <v>501614</v>
      </c>
      <c r="EE28" s="69">
        <v>1065170</v>
      </c>
      <c r="EF28" s="69">
        <v>377182</v>
      </c>
      <c r="EG28" s="69">
        <v>0</v>
      </c>
      <c r="EH28" s="69">
        <v>0</v>
      </c>
      <c r="EI28" s="69">
        <v>0</v>
      </c>
      <c r="EJ28" s="69">
        <v>2131927</v>
      </c>
      <c r="EK28" s="69">
        <v>375195</v>
      </c>
      <c r="EL28" s="69">
        <v>610830</v>
      </c>
      <c r="EM28" s="69">
        <v>0</v>
      </c>
      <c r="EN28" s="69">
        <v>706368</v>
      </c>
      <c r="EO28" s="69">
        <v>0</v>
      </c>
      <c r="EP28" s="69">
        <v>631389</v>
      </c>
      <c r="EQ28" s="69">
        <v>1268342</v>
      </c>
      <c r="ER28" s="69">
        <v>519354</v>
      </c>
      <c r="ES28" s="69">
        <v>0</v>
      </c>
      <c r="ET28" s="69">
        <v>210024</v>
      </c>
      <c r="EU28" s="69">
        <v>386421</v>
      </c>
      <c r="EV28" s="69">
        <v>538725</v>
      </c>
      <c r="EW28" s="69">
        <v>1254191</v>
      </c>
      <c r="EX28" s="69">
        <v>1176498</v>
      </c>
      <c r="EY28" s="69"/>
      <c r="EZ28" s="69"/>
      <c r="FA28" s="69"/>
      <c r="FB28" s="69"/>
      <c r="FC28" s="69"/>
      <c r="FD28" s="69"/>
      <c r="FE28" s="69"/>
      <c r="FF28" s="69"/>
      <c r="FG28" s="69"/>
      <c r="FH28" s="69"/>
      <c r="FI28" s="69"/>
      <c r="FJ28" s="69"/>
      <c r="FK28" s="69"/>
      <c r="FL28" s="69"/>
      <c r="FM28" s="69"/>
      <c r="FN28" s="69"/>
      <c r="FO28" s="69"/>
      <c r="FP28" s="69"/>
      <c r="FQ28" s="69"/>
      <c r="FR28" s="69"/>
      <c r="FS28" s="69"/>
      <c r="FT28" s="69"/>
      <c r="FU28" s="69"/>
      <c r="FV28" s="69"/>
      <c r="FW28" s="69"/>
      <c r="FX28" s="69"/>
      <c r="FY28" s="69"/>
      <c r="FZ28" s="69"/>
      <c r="GA28" s="69"/>
      <c r="GB28" s="69"/>
      <c r="GC28" s="69"/>
      <c r="GD28" s="69"/>
      <c r="GE28" s="69"/>
      <c r="GF28" s="69"/>
      <c r="GG28" s="69"/>
      <c r="GH28" s="69"/>
      <c r="GI28" s="69"/>
      <c r="GJ28" s="69"/>
      <c r="GK28" s="69"/>
      <c r="GL28" s="69"/>
      <c r="GM28" s="69"/>
      <c r="GN28" s="69"/>
      <c r="GO28" s="69"/>
      <c r="GP28" s="69"/>
      <c r="GQ28" s="69"/>
      <c r="GR28" s="69"/>
      <c r="GS28" s="69"/>
      <c r="GT28" s="69"/>
      <c r="GU28" s="69"/>
      <c r="GV28" s="69"/>
      <c r="GW28" s="69"/>
      <c r="GX28" s="69"/>
      <c r="GY28" s="69"/>
      <c r="GZ28" s="69"/>
      <c r="HA28" s="69"/>
      <c r="HB28" s="69"/>
      <c r="HC28" s="69"/>
      <c r="HD28" s="69"/>
      <c r="HE28" s="69"/>
      <c r="HF28" s="69"/>
      <c r="HG28" s="69"/>
      <c r="HH28" s="69"/>
      <c r="HI28" s="69"/>
      <c r="HJ28" s="69"/>
      <c r="HK28" s="69"/>
      <c r="HL28" s="69"/>
      <c r="HM28" s="69"/>
      <c r="HN28" s="69"/>
      <c r="HO28" s="69"/>
      <c r="HP28" s="69"/>
      <c r="HQ28" s="69"/>
      <c r="HR28" s="69"/>
      <c r="HS28" s="69"/>
      <c r="HT28" s="69"/>
      <c r="HU28" s="69"/>
      <c r="HV28" s="69"/>
      <c r="HW28" s="69"/>
      <c r="HX28" s="69"/>
      <c r="HY28" s="69"/>
      <c r="HZ28" s="69"/>
      <c r="IA28" s="69"/>
      <c r="IB28" s="69"/>
      <c r="IC28" s="69"/>
      <c r="ID28" s="69"/>
      <c r="IE28" s="69"/>
      <c r="IF28" s="69"/>
      <c r="IG28" s="69"/>
      <c r="IH28" s="69"/>
      <c r="II28" s="69"/>
      <c r="IJ28" s="69"/>
      <c r="IK28" s="69"/>
      <c r="IL28" s="69"/>
      <c r="IM28" s="69"/>
      <c r="IN28" s="69"/>
      <c r="IO28" s="69">
        <v>0</v>
      </c>
      <c r="IP28" s="69">
        <v>0</v>
      </c>
      <c r="IQ28" s="69">
        <v>269475</v>
      </c>
      <c r="IR28" s="69">
        <v>158266</v>
      </c>
      <c r="IS28" s="69">
        <v>0</v>
      </c>
      <c r="IT28" s="69">
        <v>103085</v>
      </c>
      <c r="IU28" s="69">
        <v>424456</v>
      </c>
      <c r="IV28" s="69">
        <v>156361</v>
      </c>
      <c r="IW28" s="69">
        <v>0</v>
      </c>
      <c r="IX28" s="69">
        <v>0</v>
      </c>
      <c r="IY28" s="69">
        <v>0</v>
      </c>
      <c r="IZ28" s="69">
        <v>1098967</v>
      </c>
      <c r="JA28" s="69">
        <v>150377</v>
      </c>
      <c r="JB28" s="69">
        <v>154223</v>
      </c>
      <c r="JC28" s="69">
        <v>0</v>
      </c>
      <c r="JD28" s="69">
        <v>255323</v>
      </c>
      <c r="JE28" s="69">
        <v>0</v>
      </c>
      <c r="JF28" s="69">
        <v>139202</v>
      </c>
      <c r="JG28" s="69">
        <v>217123</v>
      </c>
      <c r="JH28" s="69">
        <v>155796</v>
      </c>
      <c r="JI28" s="69">
        <v>0</v>
      </c>
      <c r="JJ28" s="69">
        <v>83693</v>
      </c>
      <c r="JK28" s="69">
        <v>109519</v>
      </c>
      <c r="JL28" s="69">
        <v>203049</v>
      </c>
      <c r="JM28" s="69">
        <v>226864</v>
      </c>
      <c r="JN28" s="69">
        <v>584517</v>
      </c>
      <c r="JO28" s="69"/>
      <c r="JP28" s="69"/>
      <c r="JQ28" s="69"/>
      <c r="JR28" s="69"/>
      <c r="JS28" s="69"/>
      <c r="JT28" s="69"/>
      <c r="JU28" s="69"/>
      <c r="JV28" s="69"/>
      <c r="JW28" s="69"/>
      <c r="JX28" s="69"/>
      <c r="JY28" s="69"/>
      <c r="JZ28" s="69"/>
      <c r="KA28" s="69"/>
      <c r="KB28" s="69"/>
      <c r="KC28" s="69"/>
      <c r="KD28" s="69"/>
      <c r="KE28" s="69"/>
      <c r="KF28" s="69"/>
      <c r="KG28" s="69"/>
      <c r="KH28" s="69"/>
      <c r="KI28" s="69"/>
      <c r="KJ28" s="69"/>
      <c r="KK28" s="69"/>
      <c r="KL28" s="69"/>
      <c r="KM28" s="69"/>
      <c r="KN28" s="69"/>
      <c r="KO28" s="69"/>
      <c r="KP28" s="69"/>
      <c r="KQ28" s="69"/>
      <c r="KR28" s="69"/>
      <c r="KS28" s="69"/>
      <c r="KT28" s="69"/>
      <c r="KU28" s="69"/>
      <c r="KV28" s="69"/>
      <c r="KW28" s="69"/>
    </row>
    <row r="29" spans="1:309" x14ac:dyDescent="0.25">
      <c r="A29" t="s">
        <v>380</v>
      </c>
      <c r="C29" t="s">
        <v>1088</v>
      </c>
      <c r="E29" s="2"/>
      <c r="G29" t="s">
        <v>381</v>
      </c>
      <c r="Q29" s="69">
        <v>977061</v>
      </c>
      <c r="AH29">
        <v>6919340</v>
      </c>
      <c r="AI29">
        <v>1906865</v>
      </c>
      <c r="AJ29">
        <v>2162751</v>
      </c>
      <c r="AK29">
        <v>0</v>
      </c>
      <c r="AL29">
        <v>0</v>
      </c>
      <c r="AM29">
        <v>679023</v>
      </c>
      <c r="CU29">
        <v>69088</v>
      </c>
      <c r="CV29">
        <v>138864</v>
      </c>
      <c r="CW29">
        <v>341920</v>
      </c>
      <c r="CX29">
        <v>272226</v>
      </c>
      <c r="CY29">
        <v>16464</v>
      </c>
      <c r="CZ29">
        <v>22391</v>
      </c>
      <c r="DA29">
        <v>154285</v>
      </c>
      <c r="DB29">
        <v>76172</v>
      </c>
      <c r="DC29">
        <v>181420</v>
      </c>
      <c r="DD29">
        <v>0</v>
      </c>
      <c r="DE29">
        <v>220070</v>
      </c>
      <c r="DF29">
        <v>299735</v>
      </c>
      <c r="DG29">
        <v>44704</v>
      </c>
      <c r="DH29">
        <v>138880</v>
      </c>
      <c r="DI29">
        <v>0</v>
      </c>
      <c r="DJ29">
        <v>30512</v>
      </c>
      <c r="DK29">
        <v>0</v>
      </c>
      <c r="DL29">
        <v>34952</v>
      </c>
      <c r="DM29">
        <v>199008</v>
      </c>
      <c r="DN29">
        <v>42824</v>
      </c>
      <c r="DO29">
        <v>47072</v>
      </c>
      <c r="DP29">
        <v>40460</v>
      </c>
      <c r="DQ29">
        <v>55314</v>
      </c>
      <c r="DR29">
        <v>28666</v>
      </c>
      <c r="DS29">
        <v>320384</v>
      </c>
      <c r="DT29">
        <v>120752</v>
      </c>
      <c r="DX29" s="69"/>
      <c r="DY29" s="69">
        <v>118964</v>
      </c>
      <c r="DZ29" s="69">
        <v>983973</v>
      </c>
      <c r="EA29" s="69">
        <v>1073688</v>
      </c>
      <c r="EB29" s="69">
        <v>919943</v>
      </c>
      <c r="EC29" s="69">
        <v>5033</v>
      </c>
      <c r="ED29" s="69">
        <v>120620</v>
      </c>
      <c r="EE29" s="69">
        <v>833838</v>
      </c>
      <c r="EF29" s="69">
        <v>527755</v>
      </c>
      <c r="EG29" s="69">
        <v>463306</v>
      </c>
      <c r="EH29" s="69">
        <v>0</v>
      </c>
      <c r="EI29" s="69">
        <v>569846</v>
      </c>
      <c r="EJ29" s="69">
        <v>1855804</v>
      </c>
      <c r="EK29" s="69">
        <v>165519</v>
      </c>
      <c r="EL29" s="69">
        <v>901046</v>
      </c>
      <c r="EM29" s="69">
        <v>0</v>
      </c>
      <c r="EN29" s="69">
        <v>272336</v>
      </c>
      <c r="EO29" s="69">
        <v>0</v>
      </c>
      <c r="EP29" s="69">
        <v>263233</v>
      </c>
      <c r="EQ29" s="69">
        <v>829438</v>
      </c>
      <c r="ER29" s="69">
        <v>37717</v>
      </c>
      <c r="ES29" s="69">
        <v>30000</v>
      </c>
      <c r="ET29" s="69">
        <v>124022</v>
      </c>
      <c r="EU29" s="69">
        <v>441666</v>
      </c>
      <c r="EV29" s="69">
        <v>63252</v>
      </c>
      <c r="EW29" s="69">
        <v>1140080</v>
      </c>
      <c r="EX29" s="69">
        <v>584749</v>
      </c>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69"/>
      <c r="GC29" s="69"/>
      <c r="GD29" s="69"/>
      <c r="GE29" s="69"/>
      <c r="GF29" s="69"/>
      <c r="GG29" s="69"/>
      <c r="GH29" s="69"/>
      <c r="GI29" s="69"/>
      <c r="GJ29" s="69"/>
      <c r="GK29" s="69"/>
      <c r="GL29" s="69"/>
      <c r="GM29" s="69"/>
      <c r="GN29" s="69"/>
      <c r="GO29" s="69"/>
      <c r="GP29" s="69"/>
      <c r="GQ29" s="69"/>
      <c r="GR29" s="69"/>
      <c r="GS29" s="69"/>
      <c r="GT29" s="69"/>
      <c r="GU29" s="69"/>
      <c r="GV29" s="69"/>
      <c r="GW29" s="69"/>
      <c r="GX29" s="69"/>
      <c r="GY29" s="69"/>
      <c r="GZ29" s="69"/>
      <c r="HA29" s="69"/>
      <c r="HB29" s="69"/>
      <c r="HC29" s="69"/>
      <c r="HD29" s="69"/>
      <c r="HE29" s="69"/>
      <c r="HF29" s="69"/>
      <c r="HG29" s="69"/>
      <c r="HH29" s="69"/>
      <c r="HI29" s="69"/>
      <c r="HJ29" s="69"/>
      <c r="HK29" s="69"/>
      <c r="HL29" s="69"/>
      <c r="HM29" s="69"/>
      <c r="HN29" s="69"/>
      <c r="HO29" s="69"/>
      <c r="HP29" s="69"/>
      <c r="HQ29" s="69"/>
      <c r="HR29" s="69"/>
      <c r="HS29" s="69"/>
      <c r="HT29" s="69"/>
      <c r="HU29" s="69"/>
      <c r="HV29" s="69"/>
      <c r="HW29" s="69"/>
      <c r="HX29" s="69"/>
      <c r="HY29" s="69"/>
      <c r="HZ29" s="69"/>
      <c r="IA29" s="69"/>
      <c r="IB29" s="69"/>
      <c r="IC29" s="69"/>
      <c r="ID29" s="69"/>
      <c r="IE29" s="69"/>
      <c r="IF29" s="69"/>
      <c r="IG29" s="69"/>
      <c r="IH29" s="69"/>
      <c r="II29" s="69"/>
      <c r="IJ29" s="69"/>
      <c r="IK29" s="69"/>
      <c r="IL29" s="69"/>
      <c r="IM29" s="69"/>
      <c r="IN29" s="69"/>
      <c r="IO29" s="69">
        <v>29501</v>
      </c>
      <c r="IP29" s="69">
        <v>256164</v>
      </c>
      <c r="IQ29" s="69">
        <v>370381</v>
      </c>
      <c r="IR29" s="69">
        <v>151544</v>
      </c>
      <c r="IS29" s="69">
        <v>139140</v>
      </c>
      <c r="IT29" s="69">
        <v>24053</v>
      </c>
      <c r="IU29" s="69">
        <v>314611</v>
      </c>
      <c r="IV29" s="69">
        <v>141664</v>
      </c>
      <c r="IW29" s="69">
        <v>139881</v>
      </c>
      <c r="IX29" s="69">
        <v>0</v>
      </c>
      <c r="IY29" s="69">
        <v>138777</v>
      </c>
      <c r="IZ29" s="69">
        <v>330628</v>
      </c>
      <c r="JA29" s="69">
        <v>21390</v>
      </c>
      <c r="JB29" s="69">
        <v>155601</v>
      </c>
      <c r="JC29" s="69">
        <v>0</v>
      </c>
      <c r="JD29" s="69">
        <v>253155</v>
      </c>
      <c r="JE29" s="69">
        <v>0</v>
      </c>
      <c r="JF29" s="69">
        <v>44097</v>
      </c>
      <c r="JG29" s="69">
        <v>264242</v>
      </c>
      <c r="JH29" s="69">
        <v>5232</v>
      </c>
      <c r="JI29" s="69">
        <v>3575</v>
      </c>
      <c r="JJ29" s="69">
        <v>57658</v>
      </c>
      <c r="JK29" s="69">
        <v>260806</v>
      </c>
      <c r="JL29" s="69">
        <v>9775</v>
      </c>
      <c r="JM29" s="69">
        <v>158666</v>
      </c>
      <c r="JN29" s="69">
        <v>203392</v>
      </c>
      <c r="JO29" s="69"/>
      <c r="JP29" s="69"/>
      <c r="JQ29" s="69"/>
      <c r="JR29" s="69"/>
      <c r="JS29" s="69"/>
      <c r="JT29" s="69"/>
      <c r="JU29" s="69"/>
      <c r="JV29" s="69"/>
      <c r="JW29" s="69"/>
      <c r="JX29" s="69"/>
      <c r="JY29" s="69"/>
      <c r="JZ29" s="69"/>
      <c r="KA29" s="69"/>
      <c r="KB29" s="69"/>
      <c r="KC29" s="69"/>
      <c r="KD29" s="69"/>
      <c r="KE29" s="69"/>
      <c r="KF29" s="69"/>
      <c r="KG29" s="69"/>
      <c r="KH29" s="69"/>
      <c r="KI29" s="69"/>
      <c r="KJ29" s="69"/>
      <c r="KK29" s="69"/>
      <c r="KL29" s="69"/>
      <c r="KM29" s="69"/>
      <c r="KN29" s="69"/>
      <c r="KO29" s="69"/>
      <c r="KP29" s="69"/>
      <c r="KQ29" s="69"/>
      <c r="KR29" s="69"/>
      <c r="KS29" s="69"/>
      <c r="KT29" s="69"/>
      <c r="KU29" s="69"/>
      <c r="KV29" s="69"/>
      <c r="KW29" s="69"/>
    </row>
    <row r="30" spans="1:309" x14ac:dyDescent="0.25">
      <c r="A30" t="s">
        <v>444</v>
      </c>
      <c r="C30" t="s">
        <v>1088</v>
      </c>
      <c r="E30" s="2"/>
      <c r="G30" t="s">
        <v>445</v>
      </c>
      <c r="Q30" s="69">
        <v>4722398</v>
      </c>
      <c r="AH30">
        <v>22152412</v>
      </c>
      <c r="AI30">
        <v>19409964</v>
      </c>
      <c r="AJ30">
        <v>38225105</v>
      </c>
      <c r="AK30">
        <v>0</v>
      </c>
      <c r="AL30">
        <v>0</v>
      </c>
      <c r="AM30">
        <v>2478963</v>
      </c>
      <c r="CU30">
        <v>41660</v>
      </c>
      <c r="CV30">
        <v>179637</v>
      </c>
      <c r="CW30">
        <v>2429056</v>
      </c>
      <c r="CX30">
        <v>989172</v>
      </c>
      <c r="CY30">
        <v>0</v>
      </c>
      <c r="CZ30">
        <v>179316</v>
      </c>
      <c r="DA30">
        <v>935061</v>
      </c>
      <c r="DB30">
        <v>12352</v>
      </c>
      <c r="DC30">
        <v>364056</v>
      </c>
      <c r="DD30">
        <v>552</v>
      </c>
      <c r="DE30">
        <v>349052</v>
      </c>
      <c r="DF30">
        <v>3404497</v>
      </c>
      <c r="DG30">
        <v>459730</v>
      </c>
      <c r="DH30">
        <v>550434</v>
      </c>
      <c r="DI30">
        <v>21096</v>
      </c>
      <c r="DJ30">
        <v>572337</v>
      </c>
      <c r="DK30">
        <v>76336</v>
      </c>
      <c r="DL30">
        <v>137648</v>
      </c>
      <c r="DM30">
        <v>2660056</v>
      </c>
      <c r="DN30">
        <v>58736</v>
      </c>
      <c r="DO30">
        <v>20429</v>
      </c>
      <c r="DP30">
        <v>21152</v>
      </c>
      <c r="DQ30">
        <v>412864</v>
      </c>
      <c r="DR30">
        <v>317889</v>
      </c>
      <c r="DS30">
        <v>3330312</v>
      </c>
      <c r="DT30">
        <v>929222</v>
      </c>
      <c r="DX30" s="69"/>
      <c r="DY30" s="69">
        <v>88031</v>
      </c>
      <c r="DZ30" s="69">
        <v>751109</v>
      </c>
      <c r="EA30" s="69">
        <v>7108661</v>
      </c>
      <c r="EB30" s="69">
        <v>3604091</v>
      </c>
      <c r="EC30" s="69">
        <v>0</v>
      </c>
      <c r="ED30" s="69">
        <v>217354</v>
      </c>
      <c r="EE30" s="69">
        <v>3370165</v>
      </c>
      <c r="EF30" s="69">
        <v>51530</v>
      </c>
      <c r="EG30" s="69">
        <v>986153</v>
      </c>
      <c r="EH30" s="69">
        <v>1815</v>
      </c>
      <c r="EI30" s="69">
        <v>1502225</v>
      </c>
      <c r="EJ30" s="69">
        <v>13154746</v>
      </c>
      <c r="EK30" s="69">
        <v>1412302</v>
      </c>
      <c r="EL30" s="69">
        <v>3812140</v>
      </c>
      <c r="EM30" s="69">
        <v>273325</v>
      </c>
      <c r="EN30" s="69">
        <v>2718924</v>
      </c>
      <c r="EO30" s="69">
        <v>609054</v>
      </c>
      <c r="EP30" s="69">
        <v>689221</v>
      </c>
      <c r="EQ30" s="69">
        <v>7616885</v>
      </c>
      <c r="ER30" s="69">
        <v>288079</v>
      </c>
      <c r="ES30" s="69">
        <v>173408</v>
      </c>
      <c r="ET30" s="69">
        <v>88160</v>
      </c>
      <c r="EU30" s="69">
        <v>1624333</v>
      </c>
      <c r="EV30" s="69">
        <v>643502</v>
      </c>
      <c r="EW30" s="69">
        <v>9663824</v>
      </c>
      <c r="EX30" s="69">
        <v>4756048</v>
      </c>
      <c r="EY30" s="69"/>
      <c r="EZ30" s="69"/>
      <c r="FA30" s="69"/>
      <c r="FB30" s="69"/>
      <c r="FC30" s="69"/>
      <c r="FD30" s="69"/>
      <c r="FE30" s="69"/>
      <c r="FF30" s="69"/>
      <c r="FG30" s="69"/>
      <c r="FH30" s="69"/>
      <c r="FI30" s="69"/>
      <c r="FJ30" s="69"/>
      <c r="FK30" s="69"/>
      <c r="FL30" s="69"/>
      <c r="FM30" s="69"/>
      <c r="FN30" s="69"/>
      <c r="FO30" s="69"/>
      <c r="FP30" s="69"/>
      <c r="FQ30" s="69"/>
      <c r="FR30" s="69"/>
      <c r="FS30" s="69"/>
      <c r="FT30" s="69"/>
      <c r="FU30" s="69"/>
      <c r="FV30" s="69"/>
      <c r="FW30" s="69"/>
      <c r="FX30" s="69"/>
      <c r="FY30" s="69"/>
      <c r="FZ30" s="69"/>
      <c r="GA30" s="69"/>
      <c r="GB30" s="69"/>
      <c r="GC30" s="69"/>
      <c r="GD30" s="69"/>
      <c r="GE30" s="69"/>
      <c r="GF30" s="69"/>
      <c r="GG30" s="69"/>
      <c r="GH30" s="69"/>
      <c r="GI30" s="69"/>
      <c r="GJ30" s="69"/>
      <c r="GK30" s="69"/>
      <c r="GL30" s="69"/>
      <c r="GM30" s="69"/>
      <c r="GN30" s="69"/>
      <c r="GO30" s="69"/>
      <c r="GP30" s="69"/>
      <c r="GQ30" s="69"/>
      <c r="GR30" s="69"/>
      <c r="GS30" s="69"/>
      <c r="GT30" s="69"/>
      <c r="GU30" s="69"/>
      <c r="GV30" s="69"/>
      <c r="GW30" s="69"/>
      <c r="GX30" s="69"/>
      <c r="GY30" s="69"/>
      <c r="GZ30" s="69"/>
      <c r="HA30" s="69"/>
      <c r="HB30" s="69"/>
      <c r="HC30" s="69"/>
      <c r="HD30" s="69"/>
      <c r="HE30" s="69"/>
      <c r="HF30" s="69"/>
      <c r="HG30" s="69"/>
      <c r="HH30" s="69"/>
      <c r="HI30" s="69"/>
      <c r="HJ30" s="69"/>
      <c r="HK30" s="69"/>
      <c r="HL30" s="69"/>
      <c r="HM30" s="69"/>
      <c r="HN30" s="69"/>
      <c r="HO30" s="69"/>
      <c r="HP30" s="69"/>
      <c r="HQ30" s="69"/>
      <c r="HR30" s="69"/>
      <c r="HS30" s="69"/>
      <c r="HT30" s="69"/>
      <c r="HU30" s="69"/>
      <c r="HV30" s="69"/>
      <c r="HW30" s="69"/>
      <c r="HX30" s="69"/>
      <c r="HY30" s="69"/>
      <c r="HZ30" s="69"/>
      <c r="IA30" s="69"/>
      <c r="IB30" s="69"/>
      <c r="IC30" s="69"/>
      <c r="ID30" s="69"/>
      <c r="IE30" s="69"/>
      <c r="IF30" s="69"/>
      <c r="IG30" s="69"/>
      <c r="IH30" s="69"/>
      <c r="II30" s="69"/>
      <c r="IJ30" s="69"/>
      <c r="IK30" s="69"/>
      <c r="IL30" s="69"/>
      <c r="IM30" s="69"/>
      <c r="IN30" s="69"/>
      <c r="IO30" s="69">
        <v>36919</v>
      </c>
      <c r="IP30" s="69">
        <v>190608</v>
      </c>
      <c r="IQ30" s="69">
        <v>2122625</v>
      </c>
      <c r="IR30" s="69">
        <v>493201</v>
      </c>
      <c r="IS30" s="69">
        <v>0</v>
      </c>
      <c r="IT30" s="69">
        <v>64927</v>
      </c>
      <c r="IU30" s="69">
        <v>560749</v>
      </c>
      <c r="IV30" s="69">
        <v>8732</v>
      </c>
      <c r="IW30" s="69">
        <v>135423</v>
      </c>
      <c r="IX30" s="69">
        <v>1754</v>
      </c>
      <c r="IY30" s="69">
        <v>440566</v>
      </c>
      <c r="IZ30" s="69">
        <v>2353006</v>
      </c>
      <c r="JA30" s="69">
        <v>212140</v>
      </c>
      <c r="JB30" s="69">
        <v>968816</v>
      </c>
      <c r="JC30" s="69">
        <v>146831</v>
      </c>
      <c r="JD30" s="69">
        <v>1128427</v>
      </c>
      <c r="JE30" s="69">
        <v>74287</v>
      </c>
      <c r="JF30" s="69">
        <v>100085</v>
      </c>
      <c r="JG30" s="69">
        <v>1614766</v>
      </c>
      <c r="JH30" s="69">
        <v>67374</v>
      </c>
      <c r="JI30" s="69">
        <v>140435</v>
      </c>
      <c r="JJ30" s="69">
        <v>16361</v>
      </c>
      <c r="JK30" s="69">
        <v>494415</v>
      </c>
      <c r="JL30" s="69">
        <v>518795</v>
      </c>
      <c r="JM30" s="69">
        <v>1448281</v>
      </c>
      <c r="JN30" s="69">
        <v>1331397</v>
      </c>
      <c r="JO30" s="69"/>
      <c r="JP30" s="69"/>
      <c r="JQ30" s="69"/>
      <c r="JR30" s="69"/>
      <c r="JS30" s="69"/>
      <c r="JT30" s="69"/>
      <c r="JU30" s="69"/>
      <c r="JV30" s="69"/>
      <c r="JW30" s="69"/>
      <c r="JX30" s="69"/>
      <c r="JY30" s="69"/>
      <c r="JZ30" s="69"/>
      <c r="KA30" s="69"/>
      <c r="KB30" s="69"/>
      <c r="KC30" s="69"/>
      <c r="KD30" s="69"/>
      <c r="KE30" s="69"/>
      <c r="KF30" s="69"/>
      <c r="KG30" s="69"/>
      <c r="KH30" s="69"/>
      <c r="KI30" s="69"/>
      <c r="KJ30" s="69"/>
      <c r="KK30" s="69"/>
      <c r="KL30" s="69"/>
      <c r="KM30" s="69"/>
      <c r="KN30" s="69"/>
      <c r="KO30" s="69"/>
      <c r="KP30" s="69"/>
      <c r="KQ30" s="69"/>
      <c r="KR30" s="69"/>
      <c r="KS30" s="69"/>
      <c r="KT30" s="69"/>
      <c r="KU30" s="69"/>
      <c r="KV30" s="69"/>
      <c r="KW30" s="69"/>
    </row>
    <row r="31" spans="1:309" x14ac:dyDescent="0.25">
      <c r="A31" t="s">
        <v>382</v>
      </c>
      <c r="C31" t="s">
        <v>1088</v>
      </c>
      <c r="E31" s="2"/>
      <c r="G31" t="s">
        <v>383</v>
      </c>
      <c r="Q31" s="69">
        <v>290310</v>
      </c>
      <c r="AH31">
        <v>7420171</v>
      </c>
      <c r="AI31">
        <v>2115731</v>
      </c>
      <c r="AJ31">
        <v>1692239</v>
      </c>
      <c r="AK31">
        <v>0</v>
      </c>
      <c r="AL31">
        <v>852915</v>
      </c>
      <c r="AM31">
        <v>0</v>
      </c>
      <c r="CU31">
        <v>31997</v>
      </c>
      <c r="CV31">
        <v>0</v>
      </c>
      <c r="CW31">
        <v>442880</v>
      </c>
      <c r="CX31">
        <v>328571</v>
      </c>
      <c r="CY31">
        <v>0</v>
      </c>
      <c r="CZ31">
        <v>16868</v>
      </c>
      <c r="DA31">
        <v>118047</v>
      </c>
      <c r="DB31">
        <v>0</v>
      </c>
      <c r="DC31">
        <v>154740</v>
      </c>
      <c r="DD31">
        <v>640</v>
      </c>
      <c r="DE31">
        <v>5430</v>
      </c>
      <c r="DF31">
        <v>539514</v>
      </c>
      <c r="DG31">
        <v>85817</v>
      </c>
      <c r="DH31">
        <v>193387</v>
      </c>
      <c r="DI31">
        <v>0</v>
      </c>
      <c r="DJ31">
        <v>330942</v>
      </c>
      <c r="DK31">
        <v>58432</v>
      </c>
      <c r="DL31">
        <v>73184</v>
      </c>
      <c r="DM31">
        <v>320295</v>
      </c>
      <c r="DN31">
        <v>0</v>
      </c>
      <c r="DO31">
        <v>62770</v>
      </c>
      <c r="DP31">
        <v>2760</v>
      </c>
      <c r="DQ31">
        <v>110930</v>
      </c>
      <c r="DR31">
        <v>149244</v>
      </c>
      <c r="DS31">
        <v>612480</v>
      </c>
      <c r="DT31">
        <v>282710</v>
      </c>
      <c r="DX31" s="69"/>
      <c r="DY31" s="69">
        <v>96261</v>
      </c>
      <c r="DZ31" s="69">
        <v>0</v>
      </c>
      <c r="EA31" s="69">
        <v>1223828</v>
      </c>
      <c r="EB31" s="69">
        <v>1202207</v>
      </c>
      <c r="EC31" s="69">
        <v>0</v>
      </c>
      <c r="ED31" s="69">
        <v>5634</v>
      </c>
      <c r="EE31" s="69">
        <v>1058706</v>
      </c>
      <c r="EF31" s="69">
        <v>0</v>
      </c>
      <c r="EG31" s="69">
        <v>403825</v>
      </c>
      <c r="EH31" s="69">
        <v>0</v>
      </c>
      <c r="EI31" s="69">
        <v>5165</v>
      </c>
      <c r="EJ31" s="69">
        <v>2509139</v>
      </c>
      <c r="EK31" s="69">
        <v>260649</v>
      </c>
      <c r="EL31" s="69">
        <v>1628708</v>
      </c>
      <c r="EM31" s="69">
        <v>0</v>
      </c>
      <c r="EN31" s="69">
        <v>1342909</v>
      </c>
      <c r="EO31" s="69">
        <v>329564</v>
      </c>
      <c r="EP31" s="69">
        <v>363365</v>
      </c>
      <c r="EQ31" s="69">
        <v>1103008</v>
      </c>
      <c r="ER31" s="69">
        <v>0</v>
      </c>
      <c r="ES31" s="69">
        <v>0</v>
      </c>
      <c r="ET31" s="69">
        <v>0</v>
      </c>
      <c r="EU31" s="69">
        <v>699249</v>
      </c>
      <c r="EV31" s="69">
        <v>275077</v>
      </c>
      <c r="EW31" s="69">
        <v>1571203</v>
      </c>
      <c r="EX31" s="69">
        <v>1802013</v>
      </c>
      <c r="EY31" s="69"/>
      <c r="EZ31" s="69"/>
      <c r="FA31" s="69"/>
      <c r="FB31" s="69"/>
      <c r="FC31" s="69"/>
      <c r="FD31" s="69"/>
      <c r="FE31" s="69"/>
      <c r="FF31" s="69"/>
      <c r="FG31" s="69"/>
      <c r="FH31" s="69"/>
      <c r="FI31" s="69"/>
      <c r="FJ31" s="69"/>
      <c r="FK31" s="69"/>
      <c r="FL31" s="69"/>
      <c r="FM31" s="69"/>
      <c r="FN31" s="69"/>
      <c r="FO31" s="69"/>
      <c r="FP31" s="69"/>
      <c r="FQ31" s="69"/>
      <c r="FR31" s="69"/>
      <c r="FS31" s="69"/>
      <c r="FT31" s="69"/>
      <c r="FU31" s="69"/>
      <c r="FV31" s="69"/>
      <c r="FW31" s="69"/>
      <c r="FX31" s="69"/>
      <c r="FY31" s="69"/>
      <c r="FZ31" s="69"/>
      <c r="GA31" s="69"/>
      <c r="GB31" s="69"/>
      <c r="GC31" s="69"/>
      <c r="GD31" s="69"/>
      <c r="GE31" s="69"/>
      <c r="GF31" s="69"/>
      <c r="GG31" s="69"/>
      <c r="GH31" s="69"/>
      <c r="GI31" s="69"/>
      <c r="GJ31" s="69"/>
      <c r="GK31" s="69"/>
      <c r="GL31" s="69"/>
      <c r="GM31" s="69"/>
      <c r="GN31" s="69"/>
      <c r="GO31" s="69"/>
      <c r="GP31" s="69"/>
      <c r="GQ31" s="69"/>
      <c r="GR31" s="69"/>
      <c r="GS31" s="69"/>
      <c r="GT31" s="69"/>
      <c r="GU31" s="69"/>
      <c r="GV31" s="69"/>
      <c r="GW31" s="69"/>
      <c r="GX31" s="69"/>
      <c r="GY31" s="69"/>
      <c r="GZ31" s="69"/>
      <c r="HA31" s="69"/>
      <c r="HB31" s="69"/>
      <c r="HC31" s="69"/>
      <c r="HD31" s="69"/>
      <c r="HE31" s="69"/>
      <c r="HF31" s="69"/>
      <c r="HG31" s="69"/>
      <c r="HH31" s="69"/>
      <c r="HI31" s="69"/>
      <c r="HJ31" s="69"/>
      <c r="HK31" s="69"/>
      <c r="HL31" s="69"/>
      <c r="HM31" s="69"/>
      <c r="HN31" s="69"/>
      <c r="HO31" s="69"/>
      <c r="HP31" s="69"/>
      <c r="HQ31" s="69"/>
      <c r="HR31" s="69"/>
      <c r="HS31" s="69"/>
      <c r="HT31" s="69"/>
      <c r="HU31" s="69"/>
      <c r="HV31" s="69"/>
      <c r="HW31" s="69"/>
      <c r="HX31" s="69"/>
      <c r="HY31" s="69"/>
      <c r="HZ31" s="69"/>
      <c r="IA31" s="69"/>
      <c r="IB31" s="69"/>
      <c r="IC31" s="69"/>
      <c r="ID31" s="69"/>
      <c r="IE31" s="69"/>
      <c r="IF31" s="69"/>
      <c r="IG31" s="69"/>
      <c r="IH31" s="69"/>
      <c r="II31" s="69"/>
      <c r="IJ31" s="69"/>
      <c r="IK31" s="69"/>
      <c r="IL31" s="69"/>
      <c r="IM31" s="69"/>
      <c r="IN31" s="69"/>
      <c r="IO31" s="69">
        <v>429002</v>
      </c>
      <c r="IP31" s="69">
        <v>0</v>
      </c>
      <c r="IQ31" s="69">
        <v>565940</v>
      </c>
      <c r="IR31" s="69">
        <v>616217</v>
      </c>
      <c r="IS31" s="69">
        <v>0</v>
      </c>
      <c r="IT31" s="69">
        <v>16730</v>
      </c>
      <c r="IU31" s="69">
        <v>238647</v>
      </c>
      <c r="IV31" s="69">
        <v>0</v>
      </c>
      <c r="IW31" s="69">
        <v>954597</v>
      </c>
      <c r="IX31" s="69">
        <v>627</v>
      </c>
      <c r="IY31" s="69">
        <v>5545</v>
      </c>
      <c r="IZ31" s="69">
        <v>784332</v>
      </c>
      <c r="JA31" s="69">
        <v>109888</v>
      </c>
      <c r="JB31" s="69">
        <v>483605</v>
      </c>
      <c r="JC31" s="69">
        <v>0</v>
      </c>
      <c r="JD31" s="69">
        <v>739690</v>
      </c>
      <c r="JE31" s="69">
        <v>108996</v>
      </c>
      <c r="JF31" s="69">
        <v>116279</v>
      </c>
      <c r="JG31" s="69">
        <v>472146</v>
      </c>
      <c r="JH31" s="69">
        <v>0</v>
      </c>
      <c r="JI31" s="69">
        <v>107411</v>
      </c>
      <c r="JJ31" s="69">
        <v>2703</v>
      </c>
      <c r="JK31" s="69">
        <v>210974</v>
      </c>
      <c r="JL31" s="69">
        <v>457795</v>
      </c>
      <c r="JM31" s="69">
        <v>803441</v>
      </c>
      <c r="JN31" s="69">
        <v>538276</v>
      </c>
      <c r="JO31" s="69"/>
      <c r="JP31" s="69"/>
      <c r="JQ31" s="69"/>
      <c r="JR31" s="69"/>
      <c r="JS31" s="69"/>
      <c r="JT31" s="69"/>
      <c r="JU31" s="69"/>
      <c r="JV31" s="69"/>
      <c r="JW31" s="69"/>
      <c r="JX31" s="69"/>
      <c r="JY31" s="69"/>
      <c r="JZ31" s="69"/>
      <c r="KA31" s="69"/>
      <c r="KB31" s="69"/>
      <c r="KC31" s="69"/>
      <c r="KD31" s="69"/>
      <c r="KE31" s="69"/>
      <c r="KF31" s="69"/>
      <c r="KG31" s="69"/>
      <c r="KH31" s="69"/>
      <c r="KI31" s="69"/>
      <c r="KJ31" s="69"/>
      <c r="KK31" s="69"/>
      <c r="KL31" s="69"/>
      <c r="KM31" s="69"/>
      <c r="KN31" s="69"/>
      <c r="KO31" s="69"/>
      <c r="KP31" s="69"/>
      <c r="KQ31" s="69"/>
      <c r="KR31" s="69"/>
      <c r="KS31" s="69"/>
      <c r="KT31" s="69"/>
      <c r="KU31" s="69"/>
      <c r="KV31" s="69"/>
      <c r="KW31" s="69"/>
    </row>
    <row r="32" spans="1:309" x14ac:dyDescent="0.25">
      <c r="A32" t="s">
        <v>434</v>
      </c>
      <c r="C32" t="s">
        <v>1088</v>
      </c>
      <c r="E32" s="2"/>
      <c r="G32" t="s">
        <v>435</v>
      </c>
      <c r="Q32" s="69">
        <v>1065088</v>
      </c>
      <c r="AH32">
        <v>4190665</v>
      </c>
      <c r="AI32">
        <v>2032962</v>
      </c>
      <c r="AJ32">
        <v>4284806</v>
      </c>
      <c r="AK32">
        <v>0</v>
      </c>
      <c r="AL32">
        <v>21696</v>
      </c>
      <c r="AM32">
        <v>568701</v>
      </c>
      <c r="CU32">
        <v>3792</v>
      </c>
      <c r="CV32">
        <v>37905</v>
      </c>
      <c r="CW32">
        <v>304208</v>
      </c>
      <c r="CX32">
        <v>150840</v>
      </c>
      <c r="CY32">
        <v>17498</v>
      </c>
      <c r="CZ32">
        <v>13572</v>
      </c>
      <c r="DA32">
        <v>36735</v>
      </c>
      <c r="DB32">
        <v>1756</v>
      </c>
      <c r="DC32">
        <v>104093</v>
      </c>
      <c r="DD32">
        <v>4311</v>
      </c>
      <c r="DE32">
        <v>59135</v>
      </c>
      <c r="DF32">
        <v>285226</v>
      </c>
      <c r="DG32">
        <v>318608</v>
      </c>
      <c r="DH32">
        <v>149548</v>
      </c>
      <c r="DI32">
        <v>0</v>
      </c>
      <c r="DJ32">
        <v>162526</v>
      </c>
      <c r="DK32">
        <v>28739</v>
      </c>
      <c r="DL32">
        <v>92976</v>
      </c>
      <c r="DM32">
        <v>200864</v>
      </c>
      <c r="DN32">
        <v>35113</v>
      </c>
      <c r="DO32">
        <v>41628</v>
      </c>
      <c r="DP32">
        <v>5472</v>
      </c>
      <c r="DQ32">
        <v>56032</v>
      </c>
      <c r="DR32">
        <v>99902</v>
      </c>
      <c r="DS32">
        <v>366528</v>
      </c>
      <c r="DT32">
        <v>111600</v>
      </c>
      <c r="DX32" s="69"/>
      <c r="DY32" s="69">
        <v>24696</v>
      </c>
      <c r="DZ32" s="69">
        <v>160210</v>
      </c>
      <c r="EA32" s="69">
        <v>974097</v>
      </c>
      <c r="EB32" s="69">
        <v>599447</v>
      </c>
      <c r="EC32" s="69">
        <v>331385</v>
      </c>
      <c r="ED32" s="69">
        <v>132210</v>
      </c>
      <c r="EE32" s="69">
        <v>347728</v>
      </c>
      <c r="EF32" s="69">
        <v>3514</v>
      </c>
      <c r="EG32" s="69">
        <v>305136</v>
      </c>
      <c r="EH32" s="69">
        <v>8626</v>
      </c>
      <c r="EI32" s="69">
        <v>381983</v>
      </c>
      <c r="EJ32" s="69">
        <v>1080476</v>
      </c>
      <c r="EK32" s="69">
        <v>465198</v>
      </c>
      <c r="EL32" s="69">
        <v>824930</v>
      </c>
      <c r="EM32" s="69">
        <v>0</v>
      </c>
      <c r="EN32" s="69">
        <v>780657</v>
      </c>
      <c r="EO32" s="69">
        <v>158661</v>
      </c>
      <c r="EP32" s="69">
        <v>462337</v>
      </c>
      <c r="EQ32" s="69">
        <v>825519</v>
      </c>
      <c r="ER32" s="69">
        <v>230187</v>
      </c>
      <c r="ES32" s="69">
        <v>395198</v>
      </c>
      <c r="ET32" s="69">
        <v>60474</v>
      </c>
      <c r="EU32" s="69">
        <v>324647</v>
      </c>
      <c r="EV32" s="69">
        <v>288589</v>
      </c>
      <c r="EW32" s="69">
        <v>1231354</v>
      </c>
      <c r="EX32" s="69">
        <v>565121</v>
      </c>
      <c r="EY32" s="69"/>
      <c r="EZ32" s="69"/>
      <c r="FA32" s="69"/>
      <c r="FB32" s="69"/>
      <c r="FC32" s="69"/>
      <c r="FD32" s="69"/>
      <c r="FE32" s="69"/>
      <c r="FF32" s="69"/>
      <c r="FG32" s="69"/>
      <c r="FH32" s="69"/>
      <c r="FI32" s="69"/>
      <c r="FJ32" s="69"/>
      <c r="FK32" s="69"/>
      <c r="FL32" s="69"/>
      <c r="FM32" s="69"/>
      <c r="FN32" s="69"/>
      <c r="FO32" s="69"/>
      <c r="FP32" s="69"/>
      <c r="FQ32" s="69"/>
      <c r="FR32" s="69"/>
      <c r="FS32" s="69"/>
      <c r="FT32" s="69"/>
      <c r="FU32" s="69"/>
      <c r="FV32" s="69"/>
      <c r="FW32" s="69"/>
      <c r="FX32" s="69"/>
      <c r="FY32" s="69"/>
      <c r="FZ32" s="69"/>
      <c r="GA32" s="69"/>
      <c r="GB32" s="69"/>
      <c r="GC32" s="69"/>
      <c r="GD32" s="69"/>
      <c r="GE32" s="69"/>
      <c r="GF32" s="69"/>
      <c r="GG32" s="69"/>
      <c r="GH32" s="69"/>
      <c r="GI32" s="69"/>
      <c r="GJ32" s="69"/>
      <c r="GK32" s="69"/>
      <c r="GL32" s="69"/>
      <c r="GM32" s="69"/>
      <c r="GN32" s="69"/>
      <c r="GO32" s="69"/>
      <c r="GP32" s="69"/>
      <c r="GQ32" s="69"/>
      <c r="GR32" s="69"/>
      <c r="GS32" s="69"/>
      <c r="GT32" s="69"/>
      <c r="GU32" s="69"/>
      <c r="GV32" s="69"/>
      <c r="GW32" s="69"/>
      <c r="GX32" s="69"/>
      <c r="GY32" s="69"/>
      <c r="GZ32" s="69"/>
      <c r="HA32" s="69"/>
      <c r="HB32" s="69"/>
      <c r="HC32" s="69"/>
      <c r="HD32" s="69"/>
      <c r="HE32" s="69"/>
      <c r="HF32" s="69"/>
      <c r="HG32" s="69"/>
      <c r="HH32" s="69"/>
      <c r="HI32" s="69"/>
      <c r="HJ32" s="69"/>
      <c r="HK32" s="69"/>
      <c r="HL32" s="69"/>
      <c r="HM32" s="69"/>
      <c r="HN32" s="69"/>
      <c r="HO32" s="69"/>
      <c r="HP32" s="69"/>
      <c r="HQ32" s="69"/>
      <c r="HR32" s="69"/>
      <c r="HS32" s="69"/>
      <c r="HT32" s="69"/>
      <c r="HU32" s="69"/>
      <c r="HV32" s="69"/>
      <c r="HW32" s="69"/>
      <c r="HX32" s="69"/>
      <c r="HY32" s="69"/>
      <c r="HZ32" s="69"/>
      <c r="IA32" s="69"/>
      <c r="IB32" s="69"/>
      <c r="IC32" s="69"/>
      <c r="ID32" s="69"/>
      <c r="IE32" s="69"/>
      <c r="IF32" s="69"/>
      <c r="IG32" s="69"/>
      <c r="IH32" s="69"/>
      <c r="II32" s="69"/>
      <c r="IJ32" s="69"/>
      <c r="IK32" s="69"/>
      <c r="IL32" s="69"/>
      <c r="IM32" s="69"/>
      <c r="IN32" s="69"/>
      <c r="IO32" s="69">
        <v>2708</v>
      </c>
      <c r="IP32" s="69">
        <v>64296</v>
      </c>
      <c r="IQ32" s="69">
        <v>249330</v>
      </c>
      <c r="IR32" s="69">
        <v>152574</v>
      </c>
      <c r="IS32" s="69">
        <v>575535</v>
      </c>
      <c r="IT32" s="69">
        <v>19587</v>
      </c>
      <c r="IU32" s="69">
        <v>169507</v>
      </c>
      <c r="IV32" s="69">
        <v>10007</v>
      </c>
      <c r="IW32" s="69">
        <v>83424</v>
      </c>
      <c r="IX32" s="69">
        <v>24569</v>
      </c>
      <c r="IY32" s="69">
        <v>708858</v>
      </c>
      <c r="IZ32" s="69">
        <v>497694</v>
      </c>
      <c r="JA32" s="69">
        <v>54548</v>
      </c>
      <c r="JB32" s="69">
        <v>198754</v>
      </c>
      <c r="JC32" s="69">
        <v>0</v>
      </c>
      <c r="JD32" s="69">
        <v>271512</v>
      </c>
      <c r="JE32" s="69">
        <v>31373</v>
      </c>
      <c r="JF32" s="69">
        <v>99507</v>
      </c>
      <c r="JG32" s="69">
        <v>153932</v>
      </c>
      <c r="JH32" s="69">
        <v>54151</v>
      </c>
      <c r="JI32" s="69">
        <v>268495</v>
      </c>
      <c r="JJ32" s="69">
        <v>6632</v>
      </c>
      <c r="JK32" s="69">
        <v>43073</v>
      </c>
      <c r="JL32" s="69">
        <v>420707</v>
      </c>
      <c r="JM32" s="69">
        <v>196007</v>
      </c>
      <c r="JN32" s="69">
        <v>101727</v>
      </c>
      <c r="JO32" s="69"/>
      <c r="JP32" s="69"/>
      <c r="JQ32" s="69"/>
      <c r="JR32" s="69"/>
      <c r="JS32" s="69"/>
      <c r="JT32" s="69"/>
      <c r="JU32" s="69"/>
      <c r="JV32" s="69"/>
      <c r="JW32" s="69"/>
      <c r="JX32" s="69"/>
      <c r="JY32" s="69"/>
      <c r="JZ32" s="69"/>
      <c r="KA32" s="69"/>
      <c r="KB32" s="69"/>
      <c r="KC32" s="69"/>
      <c r="KD32" s="69"/>
      <c r="KE32" s="69"/>
      <c r="KF32" s="69"/>
      <c r="KG32" s="69"/>
      <c r="KH32" s="69"/>
      <c r="KI32" s="69"/>
      <c r="KJ32" s="69"/>
      <c r="KK32" s="69"/>
      <c r="KL32" s="69"/>
      <c r="KM32" s="69"/>
      <c r="KN32" s="69"/>
      <c r="KO32" s="69"/>
      <c r="KP32" s="69"/>
      <c r="KQ32" s="69"/>
      <c r="KR32" s="69"/>
      <c r="KS32" s="69"/>
      <c r="KT32" s="69"/>
      <c r="KU32" s="69"/>
      <c r="KV32" s="69"/>
      <c r="KW32" s="69"/>
    </row>
    <row r="33" spans="1:309" ht="15" customHeight="1" x14ac:dyDescent="0.25">
      <c r="A33" t="s">
        <v>384</v>
      </c>
      <c r="C33" t="s">
        <v>1088</v>
      </c>
      <c r="E33" s="2"/>
      <c r="G33" t="s">
        <v>385</v>
      </c>
      <c r="Q33" s="69">
        <v>718134</v>
      </c>
      <c r="AH33">
        <v>3816959</v>
      </c>
      <c r="AI33">
        <v>2291059</v>
      </c>
      <c r="AJ33">
        <v>2516684</v>
      </c>
      <c r="AK33">
        <v>0</v>
      </c>
      <c r="AL33">
        <v>0</v>
      </c>
      <c r="AM33">
        <v>388557</v>
      </c>
      <c r="CU33">
        <v>15888</v>
      </c>
      <c r="CV33">
        <v>7232</v>
      </c>
      <c r="CW33">
        <v>405072</v>
      </c>
      <c r="CX33">
        <v>369657</v>
      </c>
      <c r="CY33">
        <v>0</v>
      </c>
      <c r="CZ33">
        <v>10056</v>
      </c>
      <c r="DA33">
        <v>340288</v>
      </c>
      <c r="DB33">
        <v>1600</v>
      </c>
      <c r="DC33">
        <v>406975</v>
      </c>
      <c r="DD33">
        <v>528</v>
      </c>
      <c r="DE33">
        <v>72226</v>
      </c>
      <c r="DF33">
        <v>617312</v>
      </c>
      <c r="DG33">
        <v>53776</v>
      </c>
      <c r="DH33">
        <v>122344</v>
      </c>
      <c r="DI33">
        <v>0</v>
      </c>
      <c r="DJ33">
        <v>205062</v>
      </c>
      <c r="DK33">
        <v>0</v>
      </c>
      <c r="DL33">
        <v>128944</v>
      </c>
      <c r="DM33">
        <v>423328</v>
      </c>
      <c r="DN33">
        <v>0</v>
      </c>
      <c r="DO33">
        <v>24216</v>
      </c>
      <c r="DP33">
        <v>5152</v>
      </c>
      <c r="DQ33">
        <v>161808</v>
      </c>
      <c r="DR33">
        <v>285723</v>
      </c>
      <c r="DS33">
        <v>547504</v>
      </c>
      <c r="DT33">
        <v>186744</v>
      </c>
      <c r="DX33" s="69"/>
      <c r="DY33" s="69">
        <v>11790</v>
      </c>
      <c r="DZ33" s="69">
        <v>6749</v>
      </c>
      <c r="EA33" s="69">
        <v>999874</v>
      </c>
      <c r="EB33" s="69">
        <v>983923</v>
      </c>
      <c r="EC33" s="69">
        <v>0</v>
      </c>
      <c r="ED33" s="69">
        <v>61893</v>
      </c>
      <c r="EE33" s="69">
        <v>551990</v>
      </c>
      <c r="EF33" s="69">
        <v>1400</v>
      </c>
      <c r="EG33" s="69">
        <v>324370</v>
      </c>
      <c r="EH33" s="69">
        <v>13312</v>
      </c>
      <c r="EI33" s="69">
        <v>88349</v>
      </c>
      <c r="EJ33" s="69">
        <v>1589231</v>
      </c>
      <c r="EK33" s="69">
        <v>89031</v>
      </c>
      <c r="EL33" s="69">
        <v>762268</v>
      </c>
      <c r="EM33" s="69">
        <v>0</v>
      </c>
      <c r="EN33" s="69">
        <v>449782</v>
      </c>
      <c r="EO33" s="69">
        <v>0</v>
      </c>
      <c r="EP33" s="69">
        <v>553128</v>
      </c>
      <c r="EQ33" s="69">
        <v>1094568</v>
      </c>
      <c r="ER33" s="69">
        <v>0</v>
      </c>
      <c r="ES33" s="69">
        <v>117314</v>
      </c>
      <c r="ET33" s="69">
        <v>1798</v>
      </c>
      <c r="EU33" s="69">
        <v>478623</v>
      </c>
      <c r="EV33" s="69">
        <v>427531</v>
      </c>
      <c r="EW33" s="69">
        <v>1392014</v>
      </c>
      <c r="EX33" s="69">
        <v>604248</v>
      </c>
      <c r="EY33" s="69"/>
      <c r="EZ33" s="69"/>
      <c r="FA33" s="69"/>
      <c r="FB33" s="69"/>
      <c r="FC33" s="69"/>
      <c r="FD33" s="69"/>
      <c r="FE33" s="69"/>
      <c r="FF33" s="69"/>
      <c r="FG33" s="69"/>
      <c r="FH33" s="69"/>
      <c r="FI33" s="69"/>
      <c r="FJ33" s="69"/>
      <c r="FK33" s="69"/>
      <c r="FL33" s="69"/>
      <c r="FM33" s="69"/>
      <c r="FN33" s="69"/>
      <c r="FO33" s="69"/>
      <c r="FP33" s="69"/>
      <c r="FQ33" s="69"/>
      <c r="FR33" s="69"/>
      <c r="FS33" s="69"/>
      <c r="FT33" s="69"/>
      <c r="FU33" s="69"/>
      <c r="FV33" s="69"/>
      <c r="FW33" s="69"/>
      <c r="FX33" s="69"/>
      <c r="FY33" s="69"/>
      <c r="FZ33" s="69"/>
      <c r="GA33" s="69"/>
      <c r="GB33" s="69"/>
      <c r="GC33" s="69"/>
      <c r="GD33" s="69"/>
      <c r="GE33" s="69"/>
      <c r="GF33" s="69"/>
      <c r="GG33" s="69"/>
      <c r="GH33" s="69"/>
      <c r="GI33" s="69"/>
      <c r="GJ33" s="69"/>
      <c r="GK33" s="69"/>
      <c r="GL33" s="69"/>
      <c r="GM33" s="69"/>
      <c r="GN33" s="69"/>
      <c r="GO33" s="69"/>
      <c r="GP33" s="69"/>
      <c r="GQ33" s="69"/>
      <c r="GR33" s="69"/>
      <c r="GS33" s="69"/>
      <c r="GT33" s="69"/>
      <c r="GU33" s="69"/>
      <c r="GV33" s="69"/>
      <c r="GW33" s="69"/>
      <c r="GX33" s="69"/>
      <c r="GY33" s="69"/>
      <c r="GZ33" s="69"/>
      <c r="HA33" s="69"/>
      <c r="HB33" s="69"/>
      <c r="HC33" s="69"/>
      <c r="HD33" s="69"/>
      <c r="HE33" s="69"/>
      <c r="HF33" s="69"/>
      <c r="HG33" s="69"/>
      <c r="HH33" s="69"/>
      <c r="HI33" s="69"/>
      <c r="HJ33" s="69"/>
      <c r="HK33" s="69"/>
      <c r="HL33" s="69"/>
      <c r="HM33" s="69"/>
      <c r="HN33" s="69"/>
      <c r="HO33" s="69"/>
      <c r="HP33" s="69"/>
      <c r="HQ33" s="69"/>
      <c r="HR33" s="69"/>
      <c r="HS33" s="69"/>
      <c r="HT33" s="69"/>
      <c r="HU33" s="69"/>
      <c r="HV33" s="69"/>
      <c r="HW33" s="69"/>
      <c r="HX33" s="69"/>
      <c r="HY33" s="69"/>
      <c r="HZ33" s="69"/>
      <c r="IA33" s="69"/>
      <c r="IB33" s="69"/>
      <c r="IC33" s="69"/>
      <c r="ID33" s="69"/>
      <c r="IE33" s="69"/>
      <c r="IF33" s="69"/>
      <c r="IG33" s="69"/>
      <c r="IH33" s="69"/>
      <c r="II33" s="69"/>
      <c r="IJ33" s="69"/>
      <c r="IK33" s="69"/>
      <c r="IL33" s="69"/>
      <c r="IM33" s="69"/>
      <c r="IN33" s="69"/>
      <c r="IO33" s="69">
        <v>22993</v>
      </c>
      <c r="IP33" s="69">
        <v>3517</v>
      </c>
      <c r="IQ33" s="69">
        <v>76684</v>
      </c>
      <c r="IR33" s="69">
        <v>81325</v>
      </c>
      <c r="IS33" s="69">
        <v>0</v>
      </c>
      <c r="IT33" s="69">
        <v>6671</v>
      </c>
      <c r="IU33" s="69">
        <v>23146</v>
      </c>
      <c r="IV33" s="69">
        <v>0</v>
      </c>
      <c r="IW33" s="69">
        <v>4447</v>
      </c>
      <c r="IX33" s="69">
        <v>239</v>
      </c>
      <c r="IY33" s="69">
        <v>60819</v>
      </c>
      <c r="IZ33" s="69">
        <v>32355</v>
      </c>
      <c r="JA33" s="69">
        <v>3823</v>
      </c>
      <c r="JB33" s="69">
        <v>98205</v>
      </c>
      <c r="JC33" s="69">
        <v>0</v>
      </c>
      <c r="JD33" s="69">
        <v>62343</v>
      </c>
      <c r="JE33" s="69">
        <v>0</v>
      </c>
      <c r="JF33" s="69">
        <v>69376</v>
      </c>
      <c r="JG33" s="69">
        <v>19708</v>
      </c>
      <c r="JH33" s="69">
        <v>0</v>
      </c>
      <c r="JI33" s="69">
        <v>15241</v>
      </c>
      <c r="JJ33" s="69">
        <v>133</v>
      </c>
      <c r="JK33" s="69">
        <v>38814</v>
      </c>
      <c r="JL33" s="69">
        <v>261562</v>
      </c>
      <c r="JM33" s="69">
        <v>26614</v>
      </c>
      <c r="JN33" s="69">
        <v>77961</v>
      </c>
      <c r="JO33" s="69"/>
      <c r="JP33" s="69"/>
      <c r="JQ33" s="69"/>
      <c r="JR33" s="69"/>
      <c r="JS33" s="69"/>
      <c r="JT33" s="69"/>
      <c r="JU33" s="69"/>
      <c r="JV33" s="69"/>
      <c r="JW33" s="69"/>
      <c r="JX33" s="69"/>
      <c r="JY33" s="69"/>
      <c r="JZ33" s="69"/>
      <c r="KA33" s="69"/>
      <c r="KB33" s="69"/>
      <c r="KC33" s="69"/>
      <c r="KD33" s="69"/>
      <c r="KE33" s="69"/>
      <c r="KF33" s="69"/>
      <c r="KG33" s="69"/>
      <c r="KH33" s="69"/>
      <c r="KI33" s="69"/>
      <c r="KJ33" s="69"/>
      <c r="KK33" s="69"/>
      <c r="KL33" s="69"/>
      <c r="KM33" s="69"/>
      <c r="KN33" s="69"/>
      <c r="KO33" s="69"/>
      <c r="KP33" s="69"/>
      <c r="KQ33" s="69"/>
      <c r="KR33" s="69"/>
      <c r="KS33" s="69"/>
      <c r="KT33" s="69"/>
      <c r="KU33" s="69"/>
      <c r="KV33" s="69"/>
      <c r="KW33" s="69"/>
    </row>
    <row r="34" spans="1:309" x14ac:dyDescent="0.25">
      <c r="A34" t="s">
        <v>362</v>
      </c>
      <c r="C34" t="s">
        <v>1088</v>
      </c>
      <c r="E34" s="2"/>
      <c r="G34" t="s">
        <v>363</v>
      </c>
      <c r="Q34" s="69">
        <v>236302</v>
      </c>
      <c r="AH34">
        <v>2954319</v>
      </c>
      <c r="AI34">
        <v>1330436</v>
      </c>
      <c r="AJ34">
        <v>2054453</v>
      </c>
      <c r="AK34">
        <v>85056</v>
      </c>
      <c r="AL34">
        <v>0</v>
      </c>
      <c r="AM34">
        <v>464026</v>
      </c>
      <c r="CU34">
        <v>66856</v>
      </c>
      <c r="CV34">
        <v>11049</v>
      </c>
      <c r="CW34">
        <v>292976</v>
      </c>
      <c r="CX34">
        <v>194083</v>
      </c>
      <c r="CY34">
        <v>0</v>
      </c>
      <c r="CZ34">
        <v>6156</v>
      </c>
      <c r="DA34">
        <v>27787</v>
      </c>
      <c r="DB34">
        <v>0</v>
      </c>
      <c r="DC34">
        <v>133871</v>
      </c>
      <c r="DD34">
        <v>0</v>
      </c>
      <c r="DE34">
        <v>35372</v>
      </c>
      <c r="DF34">
        <v>463872</v>
      </c>
      <c r="DG34">
        <v>75032</v>
      </c>
      <c r="DH34">
        <v>111238</v>
      </c>
      <c r="DI34">
        <v>0</v>
      </c>
      <c r="DJ34">
        <v>127850</v>
      </c>
      <c r="DK34">
        <v>0</v>
      </c>
      <c r="DL34">
        <v>190080</v>
      </c>
      <c r="DM34">
        <v>389136</v>
      </c>
      <c r="DN34">
        <v>0</v>
      </c>
      <c r="DO34">
        <v>107</v>
      </c>
      <c r="DP34">
        <v>1408</v>
      </c>
      <c r="DQ34">
        <v>81552</v>
      </c>
      <c r="DR34">
        <v>28992</v>
      </c>
      <c r="DS34">
        <v>735072</v>
      </c>
      <c r="DT34">
        <v>141168</v>
      </c>
      <c r="DX34" s="69"/>
      <c r="DY34" s="69">
        <v>254470</v>
      </c>
      <c r="DZ34" s="69">
        <v>88411</v>
      </c>
      <c r="EA34" s="69">
        <v>752267</v>
      </c>
      <c r="EB34" s="69">
        <v>293943</v>
      </c>
      <c r="EC34" s="69">
        <v>0</v>
      </c>
      <c r="ED34" s="69">
        <v>656</v>
      </c>
      <c r="EE34" s="69">
        <v>391211</v>
      </c>
      <c r="EF34" s="69">
        <v>0</v>
      </c>
      <c r="EG34" s="69">
        <v>377080</v>
      </c>
      <c r="EH34" s="69">
        <v>0</v>
      </c>
      <c r="EI34" s="69">
        <v>10858</v>
      </c>
      <c r="EJ34" s="69">
        <v>1406851</v>
      </c>
      <c r="EK34" s="69">
        <v>126806</v>
      </c>
      <c r="EL34" s="69">
        <v>540111</v>
      </c>
      <c r="EM34" s="69">
        <v>0</v>
      </c>
      <c r="EN34" s="69">
        <v>418095</v>
      </c>
      <c r="EO34" s="69">
        <v>0</v>
      </c>
      <c r="EP34" s="69">
        <v>555284</v>
      </c>
      <c r="EQ34" s="69">
        <v>918958</v>
      </c>
      <c r="ER34" s="69">
        <v>0</v>
      </c>
      <c r="ES34" s="69">
        <v>1614</v>
      </c>
      <c r="ET34" s="69">
        <v>21446</v>
      </c>
      <c r="EU34" s="69">
        <v>287837</v>
      </c>
      <c r="EV34" s="69">
        <v>112680</v>
      </c>
      <c r="EW34" s="69">
        <v>1589745</v>
      </c>
      <c r="EX34" s="69">
        <v>453826</v>
      </c>
      <c r="EY34" s="69"/>
      <c r="EZ34" s="69"/>
      <c r="FA34" s="69"/>
      <c r="FB34" s="69"/>
      <c r="FC34" s="69"/>
      <c r="FD34" s="69"/>
      <c r="FE34" s="69"/>
      <c r="FF34" s="69"/>
      <c r="FG34" s="69"/>
      <c r="FH34" s="69"/>
      <c r="FI34" s="69"/>
      <c r="FJ34" s="69"/>
      <c r="FK34" s="69"/>
      <c r="FL34" s="69"/>
      <c r="FM34" s="69"/>
      <c r="FN34" s="69"/>
      <c r="FO34" s="69"/>
      <c r="FP34" s="69"/>
      <c r="FQ34" s="69"/>
      <c r="FR34" s="69"/>
      <c r="FS34" s="69"/>
      <c r="FT34" s="69"/>
      <c r="FU34" s="69"/>
      <c r="FV34" s="69"/>
      <c r="FW34" s="69"/>
      <c r="FX34" s="69"/>
      <c r="FY34" s="69"/>
      <c r="FZ34" s="69"/>
      <c r="GA34" s="69"/>
      <c r="GB34" s="69"/>
      <c r="GC34" s="69"/>
      <c r="GD34" s="69"/>
      <c r="GE34" s="69"/>
      <c r="GF34" s="69"/>
      <c r="GG34" s="69"/>
      <c r="GH34" s="69"/>
      <c r="GI34" s="69"/>
      <c r="GJ34" s="69"/>
      <c r="GK34" s="69"/>
      <c r="GL34" s="69"/>
      <c r="GM34" s="69"/>
      <c r="GN34" s="69"/>
      <c r="GO34" s="69"/>
      <c r="GP34" s="69"/>
      <c r="GQ34" s="69"/>
      <c r="GR34" s="69"/>
      <c r="GS34" s="69"/>
      <c r="GT34" s="69"/>
      <c r="GU34" s="69"/>
      <c r="GV34" s="69"/>
      <c r="GW34" s="69"/>
      <c r="GX34" s="69"/>
      <c r="GY34" s="69"/>
      <c r="GZ34" s="69"/>
      <c r="HA34" s="69"/>
      <c r="HB34" s="69"/>
      <c r="HC34" s="69"/>
      <c r="HD34" s="69"/>
      <c r="HE34" s="69"/>
      <c r="HF34" s="69"/>
      <c r="HG34" s="69"/>
      <c r="HH34" s="69"/>
      <c r="HI34" s="69"/>
      <c r="HJ34" s="69"/>
      <c r="HK34" s="69"/>
      <c r="HL34" s="69"/>
      <c r="HM34" s="69"/>
      <c r="HN34" s="69"/>
      <c r="HO34" s="69"/>
      <c r="HP34" s="69"/>
      <c r="HQ34" s="69"/>
      <c r="HR34" s="69"/>
      <c r="HS34" s="69"/>
      <c r="HT34" s="69"/>
      <c r="HU34" s="69"/>
      <c r="HV34" s="69"/>
      <c r="HW34" s="69"/>
      <c r="HX34" s="69"/>
      <c r="HY34" s="69"/>
      <c r="HZ34" s="69"/>
      <c r="IA34" s="69"/>
      <c r="IB34" s="69"/>
      <c r="IC34" s="69"/>
      <c r="ID34" s="69"/>
      <c r="IE34" s="69"/>
      <c r="IF34" s="69"/>
      <c r="IG34" s="69"/>
      <c r="IH34" s="69"/>
      <c r="II34" s="69"/>
      <c r="IJ34" s="69"/>
      <c r="IK34" s="69"/>
      <c r="IL34" s="69"/>
      <c r="IM34" s="69"/>
      <c r="IN34" s="69"/>
      <c r="IO34" s="69">
        <v>223866</v>
      </c>
      <c r="IP34" s="69">
        <v>62186</v>
      </c>
      <c r="IQ34" s="69">
        <v>143651</v>
      </c>
      <c r="IR34" s="69">
        <v>52935</v>
      </c>
      <c r="IS34" s="69">
        <v>0</v>
      </c>
      <c r="IT34" s="69">
        <v>1943</v>
      </c>
      <c r="IU34" s="69">
        <v>818277</v>
      </c>
      <c r="IV34" s="69">
        <v>0</v>
      </c>
      <c r="IW34" s="69">
        <v>125465</v>
      </c>
      <c r="IX34" s="69">
        <v>0</v>
      </c>
      <c r="IY34" s="69">
        <v>32174</v>
      </c>
      <c r="IZ34" s="69">
        <v>236262</v>
      </c>
      <c r="JA34" s="69">
        <v>16677</v>
      </c>
      <c r="JB34" s="69">
        <v>126883</v>
      </c>
      <c r="JC34" s="69">
        <v>0</v>
      </c>
      <c r="JD34" s="69">
        <v>218653</v>
      </c>
      <c r="JE34" s="69">
        <v>0</v>
      </c>
      <c r="JF34" s="69">
        <v>122111</v>
      </c>
      <c r="JG34" s="69">
        <v>92498</v>
      </c>
      <c r="JH34" s="69">
        <v>0</v>
      </c>
      <c r="JI34" s="69">
        <v>84</v>
      </c>
      <c r="JJ34" s="69">
        <v>1645</v>
      </c>
      <c r="JK34" s="69">
        <v>59249</v>
      </c>
      <c r="JL34" s="69">
        <v>11700</v>
      </c>
      <c r="JM34" s="69">
        <v>134201</v>
      </c>
      <c r="JN34" s="69">
        <v>152755</v>
      </c>
      <c r="JO34" s="69"/>
      <c r="JP34" s="69"/>
      <c r="JQ34" s="69"/>
      <c r="JR34" s="69"/>
      <c r="JS34" s="69"/>
      <c r="JT34" s="69"/>
      <c r="JU34" s="69"/>
      <c r="JV34" s="69"/>
      <c r="JW34" s="69"/>
      <c r="JX34" s="69"/>
      <c r="JY34" s="69"/>
      <c r="JZ34" s="69"/>
      <c r="KA34" s="69"/>
      <c r="KB34" s="69"/>
      <c r="KC34" s="69"/>
      <c r="KD34" s="69"/>
      <c r="KE34" s="69"/>
      <c r="KF34" s="69"/>
      <c r="KG34" s="69"/>
      <c r="KH34" s="69"/>
      <c r="KI34" s="69"/>
      <c r="KJ34" s="69"/>
      <c r="KK34" s="69"/>
      <c r="KL34" s="69"/>
      <c r="KM34" s="69"/>
      <c r="KN34" s="69"/>
      <c r="KO34" s="69"/>
      <c r="KP34" s="69"/>
      <c r="KQ34" s="69"/>
      <c r="KR34" s="69"/>
      <c r="KS34" s="69"/>
      <c r="KT34" s="69"/>
      <c r="KU34" s="69"/>
      <c r="KV34" s="69"/>
      <c r="KW34" s="69"/>
    </row>
    <row r="35" spans="1:309" ht="15" customHeight="1" x14ac:dyDescent="0.25">
      <c r="A35" t="s">
        <v>448</v>
      </c>
      <c r="C35" t="s">
        <v>1088</v>
      </c>
      <c r="E35" s="2"/>
      <c r="G35" t="s">
        <v>449</v>
      </c>
      <c r="Q35" s="69">
        <v>146369</v>
      </c>
      <c r="AH35">
        <v>2115251</v>
      </c>
      <c r="AI35">
        <v>722639</v>
      </c>
      <c r="AJ35">
        <v>830127</v>
      </c>
      <c r="AK35">
        <v>0</v>
      </c>
      <c r="AL35">
        <v>0</v>
      </c>
      <c r="AM35">
        <v>0</v>
      </c>
      <c r="CU35">
        <v>11904</v>
      </c>
      <c r="CV35">
        <v>31264</v>
      </c>
      <c r="CW35">
        <v>151744</v>
      </c>
      <c r="CX35">
        <v>78420</v>
      </c>
      <c r="CY35">
        <v>0</v>
      </c>
      <c r="CZ35">
        <v>5704</v>
      </c>
      <c r="DA35">
        <v>13808</v>
      </c>
      <c r="DB35">
        <v>5260</v>
      </c>
      <c r="DC35">
        <v>49810</v>
      </c>
      <c r="DD35">
        <v>0</v>
      </c>
      <c r="DE35">
        <v>6480</v>
      </c>
      <c r="DF35">
        <v>191776</v>
      </c>
      <c r="DG35">
        <v>7152</v>
      </c>
      <c r="DH35">
        <v>45650</v>
      </c>
      <c r="DI35">
        <v>21152</v>
      </c>
      <c r="DJ35">
        <v>80334</v>
      </c>
      <c r="DK35">
        <v>0</v>
      </c>
      <c r="DL35">
        <v>27136</v>
      </c>
      <c r="DM35">
        <v>112656</v>
      </c>
      <c r="DN35">
        <v>14464</v>
      </c>
      <c r="DO35">
        <v>1440</v>
      </c>
      <c r="DP35">
        <v>704</v>
      </c>
      <c r="DQ35">
        <v>42624</v>
      </c>
      <c r="DR35">
        <v>42731</v>
      </c>
      <c r="DS35">
        <v>192416</v>
      </c>
      <c r="DT35">
        <v>41480</v>
      </c>
      <c r="DX35" s="69"/>
      <c r="DY35" s="69">
        <v>118350</v>
      </c>
      <c r="DZ35" s="69">
        <v>70716</v>
      </c>
      <c r="EA35" s="69">
        <v>579711</v>
      </c>
      <c r="EB35" s="69">
        <v>256007</v>
      </c>
      <c r="EC35" s="69">
        <v>0</v>
      </c>
      <c r="ED35" s="69">
        <v>0</v>
      </c>
      <c r="EE35" s="69">
        <v>173566</v>
      </c>
      <c r="EF35" s="69">
        <v>0</v>
      </c>
      <c r="EG35" s="69">
        <v>111833</v>
      </c>
      <c r="EH35" s="69">
        <v>0</v>
      </c>
      <c r="EI35" s="69">
        <v>0</v>
      </c>
      <c r="EJ35" s="69">
        <v>469132</v>
      </c>
      <c r="EK35" s="69">
        <v>63853</v>
      </c>
      <c r="EL35" s="69">
        <v>378459</v>
      </c>
      <c r="EM35" s="69">
        <v>213434</v>
      </c>
      <c r="EN35" s="69">
        <v>379215</v>
      </c>
      <c r="EO35" s="69">
        <v>0</v>
      </c>
      <c r="EP35" s="69">
        <v>167293</v>
      </c>
      <c r="EQ35" s="69">
        <v>414667</v>
      </c>
      <c r="ER35" s="69">
        <v>194283</v>
      </c>
      <c r="ES35" s="69">
        <v>12862</v>
      </c>
      <c r="ET35" s="69">
        <v>0</v>
      </c>
      <c r="EU35" s="69">
        <v>131591</v>
      </c>
      <c r="EV35" s="69">
        <v>217345</v>
      </c>
      <c r="EW35" s="69">
        <v>530913</v>
      </c>
      <c r="EX35" s="69">
        <v>273216</v>
      </c>
      <c r="EY35" s="69"/>
      <c r="EZ35" s="69"/>
      <c r="FA35" s="69"/>
      <c r="FB35" s="69"/>
      <c r="FC35" s="69"/>
      <c r="FD35" s="69"/>
      <c r="FE35" s="69"/>
      <c r="FF35" s="69"/>
      <c r="FG35" s="69"/>
      <c r="FH35" s="69"/>
      <c r="FI35" s="69"/>
      <c r="FJ35" s="69"/>
      <c r="FK35" s="69"/>
      <c r="FL35" s="69"/>
      <c r="FM35" s="69"/>
      <c r="FN35" s="69"/>
      <c r="FO35" s="69"/>
      <c r="FP35" s="69"/>
      <c r="FQ35" s="69"/>
      <c r="FR35" s="69"/>
      <c r="FS35" s="69"/>
      <c r="FT35" s="69"/>
      <c r="FU35" s="69"/>
      <c r="FV35" s="69"/>
      <c r="FW35" s="69"/>
      <c r="FX35" s="69"/>
      <c r="FY35" s="69"/>
      <c r="FZ35" s="69"/>
      <c r="GA35" s="69"/>
      <c r="GB35" s="69"/>
      <c r="GC35" s="69"/>
      <c r="GD35" s="69"/>
      <c r="GE35" s="69"/>
      <c r="GF35" s="69"/>
      <c r="GG35" s="69"/>
      <c r="GH35" s="69"/>
      <c r="GI35" s="69"/>
      <c r="GJ35" s="69"/>
      <c r="GK35" s="69"/>
      <c r="GL35" s="69"/>
      <c r="GM35" s="69"/>
      <c r="GN35" s="69"/>
      <c r="GO35" s="69"/>
      <c r="GP35" s="69"/>
      <c r="GQ35" s="69"/>
      <c r="GR35" s="69"/>
      <c r="GS35" s="69"/>
      <c r="GT35" s="69"/>
      <c r="GU35" s="69"/>
      <c r="GV35" s="69"/>
      <c r="GW35" s="69"/>
      <c r="GX35" s="69"/>
      <c r="GY35" s="69"/>
      <c r="GZ35" s="69"/>
      <c r="HA35" s="69"/>
      <c r="HB35" s="69"/>
      <c r="HC35" s="69"/>
      <c r="HD35" s="69"/>
      <c r="HE35" s="69"/>
      <c r="HF35" s="69"/>
      <c r="HG35" s="69"/>
      <c r="HH35" s="69"/>
      <c r="HI35" s="69"/>
      <c r="HJ35" s="69"/>
      <c r="HK35" s="69"/>
      <c r="HL35" s="69"/>
      <c r="HM35" s="69"/>
      <c r="HN35" s="69"/>
      <c r="HO35" s="69"/>
      <c r="HP35" s="69"/>
      <c r="HQ35" s="69"/>
      <c r="HR35" s="69"/>
      <c r="HS35" s="69"/>
      <c r="HT35" s="69"/>
      <c r="HU35" s="69"/>
      <c r="HV35" s="69"/>
      <c r="HW35" s="69"/>
      <c r="HX35" s="69"/>
      <c r="HY35" s="69"/>
      <c r="HZ35" s="69"/>
      <c r="IA35" s="69"/>
      <c r="IB35" s="69"/>
      <c r="IC35" s="69"/>
      <c r="ID35" s="69"/>
      <c r="IE35" s="69"/>
      <c r="IF35" s="69"/>
      <c r="IG35" s="69"/>
      <c r="IH35" s="69"/>
      <c r="II35" s="69"/>
      <c r="IJ35" s="69"/>
      <c r="IK35" s="69"/>
      <c r="IL35" s="69"/>
      <c r="IM35" s="69"/>
      <c r="IN35" s="69"/>
      <c r="IO35" s="69">
        <v>85716</v>
      </c>
      <c r="IP35" s="69">
        <v>22154</v>
      </c>
      <c r="IQ35" s="69">
        <v>79022</v>
      </c>
      <c r="IR35" s="69">
        <v>25282</v>
      </c>
      <c r="IS35" s="69">
        <v>0</v>
      </c>
      <c r="IT35" s="69">
        <v>26329</v>
      </c>
      <c r="IU35" s="69">
        <v>12758</v>
      </c>
      <c r="IV35" s="69">
        <v>3540</v>
      </c>
      <c r="IW35" s="69">
        <v>31171</v>
      </c>
      <c r="IX35" s="69">
        <v>0</v>
      </c>
      <c r="IY35" s="69">
        <v>0</v>
      </c>
      <c r="IZ35" s="69">
        <v>78311</v>
      </c>
      <c r="JA35" s="69">
        <v>5162</v>
      </c>
      <c r="JB35" s="69">
        <v>41426</v>
      </c>
      <c r="JC35" s="69">
        <v>60172</v>
      </c>
      <c r="JD35" s="69">
        <v>94707</v>
      </c>
      <c r="JE35" s="69">
        <v>0</v>
      </c>
      <c r="JF35" s="69">
        <v>18588</v>
      </c>
      <c r="JG35" s="69">
        <v>53738</v>
      </c>
      <c r="JH35" s="69">
        <v>30722</v>
      </c>
      <c r="JI35" s="69">
        <v>23194</v>
      </c>
      <c r="JJ35" s="69">
        <v>0</v>
      </c>
      <c r="JK35" s="69">
        <v>8403</v>
      </c>
      <c r="JL35" s="69">
        <v>25300</v>
      </c>
      <c r="JM35" s="69">
        <v>41528</v>
      </c>
      <c r="JN35" s="69">
        <v>28321</v>
      </c>
      <c r="JO35" s="69"/>
      <c r="JP35" s="69"/>
      <c r="JQ35" s="69"/>
      <c r="JR35" s="69"/>
      <c r="JS35" s="69"/>
      <c r="JT35" s="69"/>
      <c r="JU35" s="69"/>
      <c r="JV35" s="69"/>
      <c r="JW35" s="69"/>
      <c r="JX35" s="69"/>
      <c r="JY35" s="69"/>
      <c r="JZ35" s="69"/>
      <c r="KA35" s="69"/>
      <c r="KB35" s="69"/>
      <c r="KC35" s="69"/>
      <c r="KD35" s="69"/>
      <c r="KE35" s="69"/>
      <c r="KF35" s="69"/>
      <c r="KG35" s="69"/>
      <c r="KH35" s="69"/>
      <c r="KI35" s="69"/>
      <c r="KJ35" s="69"/>
      <c r="KK35" s="69"/>
      <c r="KL35" s="69"/>
      <c r="KM35" s="69"/>
      <c r="KN35" s="69"/>
      <c r="KO35" s="69"/>
      <c r="KP35" s="69"/>
      <c r="KQ35" s="69"/>
      <c r="KR35" s="69"/>
      <c r="KS35" s="69"/>
      <c r="KT35" s="69"/>
      <c r="KU35" s="69"/>
      <c r="KV35" s="69"/>
      <c r="KW35" s="69"/>
    </row>
    <row r="36" spans="1:309" x14ac:dyDescent="0.25">
      <c r="A36" t="s">
        <v>386</v>
      </c>
      <c r="C36" t="s">
        <v>1088</v>
      </c>
      <c r="E36" s="2"/>
      <c r="G36" t="s">
        <v>387</v>
      </c>
      <c r="Q36" s="69">
        <v>1084899</v>
      </c>
      <c r="AH36">
        <v>3878845</v>
      </c>
      <c r="AI36">
        <v>2220556</v>
      </c>
      <c r="AJ36">
        <v>2650347</v>
      </c>
      <c r="AK36">
        <v>0</v>
      </c>
      <c r="AL36">
        <v>595276</v>
      </c>
      <c r="AM36">
        <v>534319</v>
      </c>
      <c r="CU36">
        <v>8709</v>
      </c>
      <c r="CV36">
        <v>67526</v>
      </c>
      <c r="CW36">
        <v>187248</v>
      </c>
      <c r="CX36">
        <v>110678</v>
      </c>
      <c r="CY36">
        <v>0</v>
      </c>
      <c r="CZ36">
        <v>38563</v>
      </c>
      <c r="DA36">
        <v>60724</v>
      </c>
      <c r="DB36">
        <v>14014</v>
      </c>
      <c r="DC36">
        <v>145195</v>
      </c>
      <c r="DD36">
        <v>0</v>
      </c>
      <c r="DE36">
        <v>97367</v>
      </c>
      <c r="DF36">
        <v>261648</v>
      </c>
      <c r="DG36">
        <v>12464</v>
      </c>
      <c r="DH36">
        <v>135438</v>
      </c>
      <c r="DI36">
        <v>0</v>
      </c>
      <c r="DJ36">
        <v>130651</v>
      </c>
      <c r="DK36">
        <v>0</v>
      </c>
      <c r="DL36">
        <v>57993</v>
      </c>
      <c r="DM36">
        <v>197856</v>
      </c>
      <c r="DN36">
        <v>24512</v>
      </c>
      <c r="DO36">
        <v>42628</v>
      </c>
      <c r="DP36">
        <v>5272</v>
      </c>
      <c r="DQ36">
        <v>81960</v>
      </c>
      <c r="DR36">
        <v>78529</v>
      </c>
      <c r="DS36">
        <v>280512</v>
      </c>
      <c r="DT36">
        <v>96718</v>
      </c>
      <c r="DX36" s="69"/>
      <c r="DY36" s="69">
        <v>55270</v>
      </c>
      <c r="DZ36" s="69">
        <v>105132</v>
      </c>
      <c r="EA36" s="69">
        <v>539454</v>
      </c>
      <c r="EB36" s="69">
        <v>512474</v>
      </c>
      <c r="EC36" s="69">
        <v>0</v>
      </c>
      <c r="ED36" s="69">
        <v>21283</v>
      </c>
      <c r="EE36" s="69">
        <v>266544</v>
      </c>
      <c r="EF36" s="69">
        <v>0</v>
      </c>
      <c r="EG36" s="69">
        <v>513878</v>
      </c>
      <c r="EH36" s="69">
        <v>0</v>
      </c>
      <c r="EI36" s="69">
        <v>288004</v>
      </c>
      <c r="EJ36" s="69">
        <v>1006292</v>
      </c>
      <c r="EK36" s="69">
        <v>55405</v>
      </c>
      <c r="EL36" s="69">
        <v>714740</v>
      </c>
      <c r="EM36" s="69">
        <v>0</v>
      </c>
      <c r="EN36" s="69">
        <v>741581</v>
      </c>
      <c r="EO36" s="69">
        <v>0</v>
      </c>
      <c r="EP36" s="69">
        <v>253286</v>
      </c>
      <c r="EQ36" s="69">
        <v>689283</v>
      </c>
      <c r="ER36" s="69">
        <v>78100</v>
      </c>
      <c r="ES36" s="69">
        <v>119399</v>
      </c>
      <c r="ET36" s="69">
        <v>19961</v>
      </c>
      <c r="EU36" s="69">
        <v>311199</v>
      </c>
      <c r="EV36" s="69">
        <v>345651</v>
      </c>
      <c r="EW36" s="69">
        <v>886800</v>
      </c>
      <c r="EX36" s="69">
        <v>483772</v>
      </c>
      <c r="EY36" s="69"/>
      <c r="EZ36" s="69"/>
      <c r="FA36" s="69"/>
      <c r="FB36" s="69"/>
      <c r="FC36" s="69"/>
      <c r="FD36" s="69"/>
      <c r="FE36" s="69"/>
      <c r="FF36" s="69"/>
      <c r="FG36" s="69"/>
      <c r="FH36" s="69"/>
      <c r="FI36" s="69"/>
      <c r="FJ36" s="69"/>
      <c r="FK36" s="69"/>
      <c r="FL36" s="69"/>
      <c r="FM36" s="69"/>
      <c r="FN36" s="69"/>
      <c r="FO36" s="69"/>
      <c r="FP36" s="69"/>
      <c r="FQ36" s="69"/>
      <c r="FR36" s="69"/>
      <c r="FS36" s="69"/>
      <c r="FT36" s="69"/>
      <c r="FU36" s="69"/>
      <c r="FV36" s="69"/>
      <c r="FW36" s="69"/>
      <c r="FX36" s="69"/>
      <c r="FY36" s="69"/>
      <c r="FZ36" s="69"/>
      <c r="GA36" s="69"/>
      <c r="GB36" s="69"/>
      <c r="GC36" s="69"/>
      <c r="GD36" s="69"/>
      <c r="GE36" s="69"/>
      <c r="GF36" s="69"/>
      <c r="GG36" s="69"/>
      <c r="GH36" s="69"/>
      <c r="GI36" s="69"/>
      <c r="GJ36" s="69"/>
      <c r="GK36" s="69"/>
      <c r="GL36" s="69"/>
      <c r="GM36" s="69"/>
      <c r="GN36" s="69"/>
      <c r="GO36" s="69"/>
      <c r="GP36" s="69"/>
      <c r="GQ36" s="69"/>
      <c r="GR36" s="69"/>
      <c r="GS36" s="69"/>
      <c r="GT36" s="69"/>
      <c r="GU36" s="69"/>
      <c r="GV36" s="69"/>
      <c r="GW36" s="69"/>
      <c r="GX36" s="69"/>
      <c r="GY36" s="69"/>
      <c r="GZ36" s="69"/>
      <c r="HA36" s="69"/>
      <c r="HB36" s="69"/>
      <c r="HC36" s="69"/>
      <c r="HD36" s="69"/>
      <c r="HE36" s="69"/>
      <c r="HF36" s="69"/>
      <c r="HG36" s="69"/>
      <c r="HH36" s="69"/>
      <c r="HI36" s="69"/>
      <c r="HJ36" s="69"/>
      <c r="HK36" s="69"/>
      <c r="HL36" s="69"/>
      <c r="HM36" s="69"/>
      <c r="HN36" s="69"/>
      <c r="HO36" s="69"/>
      <c r="HP36" s="69"/>
      <c r="HQ36" s="69"/>
      <c r="HR36" s="69"/>
      <c r="HS36" s="69"/>
      <c r="HT36" s="69"/>
      <c r="HU36" s="69"/>
      <c r="HV36" s="69"/>
      <c r="HW36" s="69"/>
      <c r="HX36" s="69"/>
      <c r="HY36" s="69"/>
      <c r="HZ36" s="69"/>
      <c r="IA36" s="69"/>
      <c r="IB36" s="69"/>
      <c r="IC36" s="69"/>
      <c r="ID36" s="69"/>
      <c r="IE36" s="69"/>
      <c r="IF36" s="69"/>
      <c r="IG36" s="69"/>
      <c r="IH36" s="69"/>
      <c r="II36" s="69"/>
      <c r="IJ36" s="69"/>
      <c r="IK36" s="69"/>
      <c r="IL36" s="69"/>
      <c r="IM36" s="69"/>
      <c r="IN36" s="69"/>
      <c r="IO36" s="69">
        <v>8881</v>
      </c>
      <c r="IP36" s="69">
        <v>57721</v>
      </c>
      <c r="IQ36" s="69">
        <v>141924</v>
      </c>
      <c r="IR36" s="69">
        <v>57588</v>
      </c>
      <c r="IS36" s="69">
        <v>0</v>
      </c>
      <c r="IT36" s="69">
        <v>2842</v>
      </c>
      <c r="IU36" s="69">
        <v>102429</v>
      </c>
      <c r="IV36" s="69">
        <v>4266</v>
      </c>
      <c r="IW36" s="69">
        <v>134330</v>
      </c>
      <c r="IX36" s="69">
        <v>0</v>
      </c>
      <c r="IY36" s="69">
        <v>69632</v>
      </c>
      <c r="IZ36" s="69">
        <v>149686</v>
      </c>
      <c r="JA36" s="69">
        <v>8116</v>
      </c>
      <c r="JB36" s="69">
        <v>160334</v>
      </c>
      <c r="JC36" s="69">
        <v>0</v>
      </c>
      <c r="JD36" s="69">
        <v>176978</v>
      </c>
      <c r="JE36" s="69">
        <v>0</v>
      </c>
      <c r="JF36" s="69">
        <v>61279</v>
      </c>
      <c r="JG36" s="69">
        <v>139915</v>
      </c>
      <c r="JH36" s="69">
        <v>44750</v>
      </c>
      <c r="JI36" s="69">
        <v>304128</v>
      </c>
      <c r="JJ36" s="69">
        <v>5607</v>
      </c>
      <c r="JK36" s="69">
        <v>149979</v>
      </c>
      <c r="JL36" s="69">
        <v>118494</v>
      </c>
      <c r="JM36" s="69">
        <v>116940</v>
      </c>
      <c r="JN36" s="69">
        <v>111495</v>
      </c>
      <c r="JO36" s="69"/>
      <c r="JP36" s="69"/>
      <c r="JQ36" s="69"/>
      <c r="JR36" s="69"/>
      <c r="JS36" s="69"/>
      <c r="JT36" s="69"/>
      <c r="JU36" s="69"/>
      <c r="JV36" s="69"/>
      <c r="JW36" s="69"/>
      <c r="JX36" s="69"/>
      <c r="JY36" s="69"/>
      <c r="JZ36" s="69"/>
      <c r="KA36" s="69"/>
      <c r="KB36" s="69"/>
      <c r="KC36" s="69"/>
      <c r="KD36" s="69"/>
      <c r="KE36" s="69"/>
      <c r="KF36" s="69"/>
      <c r="KG36" s="69"/>
      <c r="KH36" s="69"/>
      <c r="KI36" s="69"/>
      <c r="KJ36" s="69"/>
      <c r="KK36" s="69"/>
      <c r="KL36" s="69"/>
      <c r="KM36" s="69"/>
      <c r="KN36" s="69"/>
      <c r="KO36" s="69"/>
      <c r="KP36" s="69"/>
      <c r="KQ36" s="69"/>
      <c r="KR36" s="69"/>
      <c r="KS36" s="69"/>
      <c r="KT36" s="69"/>
      <c r="KU36" s="69"/>
      <c r="KV36" s="69"/>
      <c r="KW36" s="69"/>
    </row>
    <row r="37" spans="1:309" x14ac:dyDescent="0.25">
      <c r="A37" t="s">
        <v>388</v>
      </c>
      <c r="C37" t="s">
        <v>1088</v>
      </c>
      <c r="E37" s="2"/>
      <c r="G37" t="s">
        <v>389</v>
      </c>
      <c r="Q37" s="69">
        <v>300242</v>
      </c>
      <c r="AH37">
        <v>1523029</v>
      </c>
      <c r="AI37">
        <v>798404</v>
      </c>
      <c r="AJ37">
        <v>1925992</v>
      </c>
      <c r="AK37">
        <v>0</v>
      </c>
      <c r="AL37">
        <v>0</v>
      </c>
      <c r="AM37">
        <v>195125</v>
      </c>
      <c r="CU37">
        <v>11464</v>
      </c>
      <c r="CV37">
        <v>19527</v>
      </c>
      <c r="CW37">
        <v>108336</v>
      </c>
      <c r="CX37">
        <v>50179</v>
      </c>
      <c r="CY37">
        <v>0</v>
      </c>
      <c r="CZ37">
        <v>5894</v>
      </c>
      <c r="DA37">
        <v>27136</v>
      </c>
      <c r="DB37">
        <v>6912</v>
      </c>
      <c r="DC37">
        <v>85750</v>
      </c>
      <c r="DD37">
        <v>0</v>
      </c>
      <c r="DE37">
        <v>28774</v>
      </c>
      <c r="DF37">
        <v>98544</v>
      </c>
      <c r="DG37">
        <v>7276</v>
      </c>
      <c r="DH37">
        <v>98958</v>
      </c>
      <c r="DI37">
        <v>0</v>
      </c>
      <c r="DJ37">
        <v>78558</v>
      </c>
      <c r="DK37">
        <v>0</v>
      </c>
      <c r="DL37">
        <v>100704</v>
      </c>
      <c r="DM37">
        <v>65080</v>
      </c>
      <c r="DN37">
        <v>0</v>
      </c>
      <c r="DO37">
        <v>1088</v>
      </c>
      <c r="DP37">
        <v>432</v>
      </c>
      <c r="DQ37">
        <v>42375</v>
      </c>
      <c r="DR37">
        <v>3840</v>
      </c>
      <c r="DS37">
        <v>112256</v>
      </c>
      <c r="DT37">
        <v>65582</v>
      </c>
      <c r="DX37" s="69"/>
      <c r="DY37" s="69">
        <v>11833</v>
      </c>
      <c r="DZ37" s="69">
        <v>77172</v>
      </c>
      <c r="EA37" s="69">
        <v>353861</v>
      </c>
      <c r="EB37" s="69">
        <v>166045</v>
      </c>
      <c r="EC37" s="69">
        <v>0</v>
      </c>
      <c r="ED37" s="69">
        <v>44066</v>
      </c>
      <c r="EE37" s="69">
        <v>274688</v>
      </c>
      <c r="EF37" s="69">
        <v>55443</v>
      </c>
      <c r="EG37" s="69">
        <v>215153</v>
      </c>
      <c r="EH37" s="69">
        <v>0</v>
      </c>
      <c r="EI37" s="69">
        <v>123060</v>
      </c>
      <c r="EJ37" s="69">
        <v>322282</v>
      </c>
      <c r="EK37" s="69">
        <v>47157</v>
      </c>
      <c r="EL37" s="69">
        <v>521337</v>
      </c>
      <c r="EM37" s="69">
        <v>0</v>
      </c>
      <c r="EN37" s="69">
        <v>302888</v>
      </c>
      <c r="EO37" s="69">
        <v>0</v>
      </c>
      <c r="EP37" s="69">
        <v>333493</v>
      </c>
      <c r="EQ37" s="69">
        <v>343140</v>
      </c>
      <c r="ER37" s="69">
        <v>0</v>
      </c>
      <c r="ES37" s="69">
        <v>2848</v>
      </c>
      <c r="ET37" s="69">
        <v>1131</v>
      </c>
      <c r="EU37" s="69">
        <v>177235</v>
      </c>
      <c r="EV37" s="69">
        <v>11671</v>
      </c>
      <c r="EW37" s="69">
        <v>260136</v>
      </c>
      <c r="EX37" s="69">
        <v>282765</v>
      </c>
      <c r="EY37" s="69"/>
      <c r="EZ37" s="69"/>
      <c r="FA37" s="69"/>
      <c r="FB37" s="69"/>
      <c r="FC37" s="69"/>
      <c r="FD37" s="69"/>
      <c r="FE37" s="69"/>
      <c r="FF37" s="69"/>
      <c r="FG37" s="69"/>
      <c r="FH37" s="69"/>
      <c r="FI37" s="69"/>
      <c r="FJ37" s="69"/>
      <c r="FK37" s="69"/>
      <c r="FL37" s="69"/>
      <c r="FM37" s="69"/>
      <c r="FN37" s="69"/>
      <c r="FO37" s="69"/>
      <c r="FP37" s="69"/>
      <c r="FQ37" s="69"/>
      <c r="FR37" s="69"/>
      <c r="FS37" s="69"/>
      <c r="FT37" s="69"/>
      <c r="FU37" s="69"/>
      <c r="FV37" s="69"/>
      <c r="FW37" s="69"/>
      <c r="FX37" s="69"/>
      <c r="FY37" s="69"/>
      <c r="FZ37" s="69"/>
      <c r="GA37" s="69"/>
      <c r="GB37" s="69"/>
      <c r="GC37" s="69"/>
      <c r="GD37" s="69"/>
      <c r="GE37" s="69"/>
      <c r="GF37" s="69"/>
      <c r="GG37" s="69"/>
      <c r="GH37" s="69"/>
      <c r="GI37" s="69"/>
      <c r="GJ37" s="69"/>
      <c r="GK37" s="69"/>
      <c r="GL37" s="69"/>
      <c r="GM37" s="69"/>
      <c r="GN37" s="69"/>
      <c r="GO37" s="69"/>
      <c r="GP37" s="69"/>
      <c r="GQ37" s="69"/>
      <c r="GR37" s="69"/>
      <c r="GS37" s="69"/>
      <c r="GT37" s="69"/>
      <c r="GU37" s="69"/>
      <c r="GV37" s="69"/>
      <c r="GW37" s="69"/>
      <c r="GX37" s="69"/>
      <c r="GY37" s="69"/>
      <c r="GZ37" s="69"/>
      <c r="HA37" s="69"/>
      <c r="HB37" s="69"/>
      <c r="HC37" s="69"/>
      <c r="HD37" s="69"/>
      <c r="HE37" s="69"/>
      <c r="HF37" s="69"/>
      <c r="HG37" s="69"/>
      <c r="HH37" s="69"/>
      <c r="HI37" s="69"/>
      <c r="HJ37" s="69"/>
      <c r="HK37" s="69"/>
      <c r="HL37" s="69"/>
      <c r="HM37" s="69"/>
      <c r="HN37" s="69"/>
      <c r="HO37" s="69"/>
      <c r="HP37" s="69"/>
      <c r="HQ37" s="69"/>
      <c r="HR37" s="69"/>
      <c r="HS37" s="69"/>
      <c r="HT37" s="69"/>
      <c r="HU37" s="69"/>
      <c r="HV37" s="69"/>
      <c r="HW37" s="69"/>
      <c r="HX37" s="69"/>
      <c r="HY37" s="69"/>
      <c r="HZ37" s="69"/>
      <c r="IA37" s="69"/>
      <c r="IB37" s="69"/>
      <c r="IC37" s="69"/>
      <c r="ID37" s="69"/>
      <c r="IE37" s="69"/>
      <c r="IF37" s="69"/>
      <c r="IG37" s="69"/>
      <c r="IH37" s="69"/>
      <c r="II37" s="69"/>
      <c r="IJ37" s="69"/>
      <c r="IK37" s="69"/>
      <c r="IL37" s="69"/>
      <c r="IM37" s="69"/>
      <c r="IN37" s="69"/>
      <c r="IO37" s="69">
        <v>13300</v>
      </c>
      <c r="IP37" s="69">
        <v>40215</v>
      </c>
      <c r="IQ37" s="69">
        <v>73967</v>
      </c>
      <c r="IR37" s="69">
        <v>27986</v>
      </c>
      <c r="IS37" s="69">
        <v>0</v>
      </c>
      <c r="IT37" s="69">
        <v>11688</v>
      </c>
      <c r="IU37" s="69">
        <v>40128</v>
      </c>
      <c r="IV37" s="69">
        <v>123628</v>
      </c>
      <c r="IW37" s="69">
        <v>39878</v>
      </c>
      <c r="IX37" s="69">
        <v>0</v>
      </c>
      <c r="IY37" s="69">
        <v>72906</v>
      </c>
      <c r="IZ37" s="69">
        <v>54645</v>
      </c>
      <c r="JA37" s="69">
        <v>4868</v>
      </c>
      <c r="JB37" s="69">
        <v>117007</v>
      </c>
      <c r="JC37" s="69">
        <v>0</v>
      </c>
      <c r="JD37" s="69">
        <v>105836</v>
      </c>
      <c r="JE37" s="69">
        <v>0</v>
      </c>
      <c r="JF37" s="69">
        <v>47449</v>
      </c>
      <c r="JG37" s="69">
        <v>73377</v>
      </c>
      <c r="JH37" s="69">
        <v>0</v>
      </c>
      <c r="JI37" s="69">
        <v>6365</v>
      </c>
      <c r="JJ37" s="69">
        <v>2528</v>
      </c>
      <c r="JK37" s="69">
        <v>49922</v>
      </c>
      <c r="JL37" s="69">
        <v>1794</v>
      </c>
      <c r="JM37" s="69">
        <v>62754</v>
      </c>
      <c r="JN37" s="69">
        <v>85139</v>
      </c>
      <c r="JO37" s="69"/>
      <c r="JP37" s="69"/>
      <c r="JQ37" s="69"/>
      <c r="JR37" s="69"/>
      <c r="JS37" s="69"/>
      <c r="JT37" s="69"/>
      <c r="JU37" s="69"/>
      <c r="JV37" s="69"/>
      <c r="JW37" s="69"/>
      <c r="JX37" s="69"/>
      <c r="JY37" s="69"/>
      <c r="JZ37" s="69"/>
      <c r="KA37" s="69"/>
      <c r="KB37" s="69"/>
      <c r="KC37" s="69"/>
      <c r="KD37" s="69"/>
      <c r="KE37" s="69"/>
      <c r="KF37" s="69"/>
      <c r="KG37" s="69"/>
      <c r="KH37" s="69"/>
      <c r="KI37" s="69"/>
      <c r="KJ37" s="69"/>
      <c r="KK37" s="69"/>
      <c r="KL37" s="69"/>
      <c r="KM37" s="69"/>
      <c r="KN37" s="69"/>
      <c r="KO37" s="69"/>
      <c r="KP37" s="69"/>
      <c r="KQ37" s="69"/>
      <c r="KR37" s="69"/>
      <c r="KS37" s="69"/>
      <c r="KT37" s="69"/>
      <c r="KU37" s="69"/>
      <c r="KV37" s="69"/>
      <c r="KW37" s="69"/>
    </row>
    <row r="38" spans="1:309" x14ac:dyDescent="0.25">
      <c r="A38" t="s">
        <v>390</v>
      </c>
      <c r="C38" t="s">
        <v>1088</v>
      </c>
      <c r="E38" s="2"/>
      <c r="G38" t="s">
        <v>391</v>
      </c>
      <c r="Q38" s="69">
        <v>351820</v>
      </c>
      <c r="AH38">
        <v>2265242</v>
      </c>
      <c r="AI38">
        <v>1275833</v>
      </c>
      <c r="AJ38">
        <v>972203</v>
      </c>
      <c r="AK38">
        <v>0</v>
      </c>
      <c r="AL38">
        <v>0</v>
      </c>
      <c r="AM38">
        <v>0</v>
      </c>
      <c r="CU38">
        <v>5456</v>
      </c>
      <c r="CV38">
        <v>171526</v>
      </c>
      <c r="CW38">
        <v>309768</v>
      </c>
      <c r="CX38">
        <v>101832</v>
      </c>
      <c r="CY38">
        <v>0</v>
      </c>
      <c r="CZ38">
        <v>9464</v>
      </c>
      <c r="DA38">
        <v>89808</v>
      </c>
      <c r="DB38">
        <v>44</v>
      </c>
      <c r="DC38">
        <v>74754</v>
      </c>
      <c r="DD38">
        <v>0</v>
      </c>
      <c r="DE38">
        <v>115948</v>
      </c>
      <c r="DF38">
        <v>371472</v>
      </c>
      <c r="DG38">
        <v>43424</v>
      </c>
      <c r="DH38">
        <v>53516</v>
      </c>
      <c r="DI38">
        <v>0</v>
      </c>
      <c r="DJ38">
        <v>121795</v>
      </c>
      <c r="DK38">
        <v>0</v>
      </c>
      <c r="DL38">
        <v>81449</v>
      </c>
      <c r="DM38">
        <v>354320</v>
      </c>
      <c r="DN38">
        <v>0</v>
      </c>
      <c r="DO38">
        <v>22600</v>
      </c>
      <c r="DP38">
        <v>2352</v>
      </c>
      <c r="DQ38">
        <v>84848</v>
      </c>
      <c r="DR38">
        <v>39874</v>
      </c>
      <c r="DS38">
        <v>342152</v>
      </c>
      <c r="DT38">
        <v>112896</v>
      </c>
      <c r="DX38" s="69"/>
      <c r="DY38" s="69">
        <v>42280</v>
      </c>
      <c r="DZ38" s="69">
        <v>580964</v>
      </c>
      <c r="EA38" s="69">
        <v>591780</v>
      </c>
      <c r="EB38" s="69">
        <v>234008</v>
      </c>
      <c r="EC38" s="69">
        <v>0</v>
      </c>
      <c r="ED38" s="69">
        <v>35202</v>
      </c>
      <c r="EE38" s="69">
        <v>254068</v>
      </c>
      <c r="EF38" s="69">
        <v>17</v>
      </c>
      <c r="EG38" s="69">
        <v>110477</v>
      </c>
      <c r="EH38" s="69">
        <v>0</v>
      </c>
      <c r="EI38" s="69">
        <v>247250</v>
      </c>
      <c r="EJ38" s="69">
        <v>942028</v>
      </c>
      <c r="EK38" s="69">
        <v>110256</v>
      </c>
      <c r="EL38" s="69">
        <v>367708</v>
      </c>
      <c r="EM38" s="69">
        <v>0</v>
      </c>
      <c r="EN38" s="69">
        <v>478894</v>
      </c>
      <c r="EO38" s="69">
        <v>0</v>
      </c>
      <c r="EP38" s="69">
        <v>438277</v>
      </c>
      <c r="EQ38" s="69">
        <v>660281</v>
      </c>
      <c r="ER38" s="69">
        <v>0</v>
      </c>
      <c r="ES38" s="69">
        <v>28220</v>
      </c>
      <c r="ET38" s="69">
        <v>10130</v>
      </c>
      <c r="EU38" s="69">
        <v>271506</v>
      </c>
      <c r="EV38" s="69">
        <v>90786</v>
      </c>
      <c r="EW38" s="69">
        <v>860090</v>
      </c>
      <c r="EX38" s="69">
        <v>362234</v>
      </c>
      <c r="EY38" s="69"/>
      <c r="EZ38" s="69"/>
      <c r="FA38" s="69"/>
      <c r="FB38" s="69"/>
      <c r="FC38" s="69"/>
      <c r="FD38" s="69"/>
      <c r="FE38" s="69"/>
      <c r="FF38" s="69"/>
      <c r="FG38" s="69"/>
      <c r="FH38" s="69"/>
      <c r="FI38" s="69"/>
      <c r="FJ38" s="69"/>
      <c r="FK38" s="69"/>
      <c r="FL38" s="69"/>
      <c r="FM38" s="69"/>
      <c r="FN38" s="69"/>
      <c r="FO38" s="69"/>
      <c r="FP38" s="69"/>
      <c r="FQ38" s="69"/>
      <c r="FR38" s="69"/>
      <c r="FS38" s="69"/>
      <c r="FT38" s="69"/>
      <c r="FU38" s="69"/>
      <c r="FV38" s="69"/>
      <c r="FW38" s="69"/>
      <c r="FX38" s="69"/>
      <c r="FY38" s="69"/>
      <c r="FZ38" s="69"/>
      <c r="GA38" s="69"/>
      <c r="GB38" s="69"/>
      <c r="GC38" s="69"/>
      <c r="GD38" s="69"/>
      <c r="GE38" s="69"/>
      <c r="GF38" s="69"/>
      <c r="GG38" s="69"/>
      <c r="GH38" s="69"/>
      <c r="GI38" s="69"/>
      <c r="GJ38" s="69"/>
      <c r="GK38" s="69"/>
      <c r="GL38" s="69"/>
      <c r="GM38" s="69"/>
      <c r="GN38" s="69"/>
      <c r="GO38" s="69"/>
      <c r="GP38" s="69"/>
      <c r="GQ38" s="69"/>
      <c r="GR38" s="69"/>
      <c r="GS38" s="69"/>
      <c r="GT38" s="69"/>
      <c r="GU38" s="69"/>
      <c r="GV38" s="69"/>
      <c r="GW38" s="69"/>
      <c r="GX38" s="69"/>
      <c r="GY38" s="69"/>
      <c r="GZ38" s="69"/>
      <c r="HA38" s="69"/>
      <c r="HB38" s="69"/>
      <c r="HC38" s="69"/>
      <c r="HD38" s="69"/>
      <c r="HE38" s="69"/>
      <c r="HF38" s="69"/>
      <c r="HG38" s="69"/>
      <c r="HH38" s="69"/>
      <c r="HI38" s="69"/>
      <c r="HJ38" s="69"/>
      <c r="HK38" s="69"/>
      <c r="HL38" s="69"/>
      <c r="HM38" s="69"/>
      <c r="HN38" s="69"/>
      <c r="HO38" s="69"/>
      <c r="HP38" s="69"/>
      <c r="HQ38" s="69"/>
      <c r="HR38" s="69"/>
      <c r="HS38" s="69"/>
      <c r="HT38" s="69"/>
      <c r="HU38" s="69"/>
      <c r="HV38" s="69"/>
      <c r="HW38" s="69"/>
      <c r="HX38" s="69"/>
      <c r="HY38" s="69"/>
      <c r="HZ38" s="69"/>
      <c r="IA38" s="69"/>
      <c r="IB38" s="69"/>
      <c r="IC38" s="69"/>
      <c r="ID38" s="69"/>
      <c r="IE38" s="69"/>
      <c r="IF38" s="69"/>
      <c r="IG38" s="69"/>
      <c r="IH38" s="69"/>
      <c r="II38" s="69"/>
      <c r="IJ38" s="69"/>
      <c r="IK38" s="69"/>
      <c r="IL38" s="69"/>
      <c r="IM38" s="69"/>
      <c r="IN38" s="69"/>
      <c r="IO38" s="69">
        <v>11565</v>
      </c>
      <c r="IP38" s="69">
        <v>187074</v>
      </c>
      <c r="IQ38" s="69">
        <v>107617</v>
      </c>
      <c r="IR38" s="69">
        <v>70178</v>
      </c>
      <c r="IS38" s="69">
        <v>0</v>
      </c>
      <c r="IT38" s="69">
        <v>8513</v>
      </c>
      <c r="IU38" s="69">
        <v>40063</v>
      </c>
      <c r="IV38" s="69">
        <v>117</v>
      </c>
      <c r="IW38" s="69">
        <v>59022</v>
      </c>
      <c r="IX38" s="69">
        <v>0</v>
      </c>
      <c r="IY38" s="69">
        <v>79532</v>
      </c>
      <c r="IZ38" s="69">
        <v>151618</v>
      </c>
      <c r="JA38" s="69">
        <v>19007</v>
      </c>
      <c r="JB38" s="69">
        <v>80966</v>
      </c>
      <c r="JC38" s="69">
        <v>0</v>
      </c>
      <c r="JD38" s="69">
        <v>161115</v>
      </c>
      <c r="JE38" s="69">
        <v>0</v>
      </c>
      <c r="JF38" s="69">
        <v>68989</v>
      </c>
      <c r="JG38" s="69">
        <v>93089</v>
      </c>
      <c r="JH38" s="69">
        <v>0</v>
      </c>
      <c r="JI38" s="69">
        <v>84251</v>
      </c>
      <c r="JJ38" s="69">
        <v>1115</v>
      </c>
      <c r="JK38" s="69">
        <v>60718</v>
      </c>
      <c r="JL38" s="69">
        <v>21955</v>
      </c>
      <c r="JM38" s="69">
        <v>111914</v>
      </c>
      <c r="JN38" s="69">
        <v>129943</v>
      </c>
      <c r="JO38" s="69"/>
      <c r="JP38" s="69"/>
      <c r="JQ38" s="69"/>
      <c r="JR38" s="69"/>
      <c r="JS38" s="69"/>
      <c r="JT38" s="69"/>
      <c r="JU38" s="69"/>
      <c r="JV38" s="69"/>
      <c r="JW38" s="69"/>
      <c r="JX38" s="69"/>
      <c r="JY38" s="69"/>
      <c r="JZ38" s="69"/>
      <c r="KA38" s="69"/>
      <c r="KB38" s="69"/>
      <c r="KC38" s="69"/>
      <c r="KD38" s="69"/>
      <c r="KE38" s="69"/>
      <c r="KF38" s="69"/>
      <c r="KG38" s="69"/>
      <c r="KH38" s="69"/>
      <c r="KI38" s="69"/>
      <c r="KJ38" s="69"/>
      <c r="KK38" s="69"/>
      <c r="KL38" s="69"/>
      <c r="KM38" s="69"/>
      <c r="KN38" s="69"/>
      <c r="KO38" s="69"/>
      <c r="KP38" s="69"/>
      <c r="KQ38" s="69"/>
      <c r="KR38" s="69"/>
      <c r="KS38" s="69"/>
      <c r="KT38" s="69"/>
      <c r="KU38" s="69"/>
      <c r="KV38" s="69"/>
      <c r="KW38" s="69"/>
    </row>
    <row r="39" spans="1:309" x14ac:dyDescent="0.25">
      <c r="A39" t="s">
        <v>392</v>
      </c>
      <c r="C39" t="s">
        <v>1088</v>
      </c>
      <c r="E39" s="2"/>
      <c r="G39" t="s">
        <v>393</v>
      </c>
      <c r="Q39" s="69">
        <v>27821</v>
      </c>
      <c r="AH39">
        <v>648793</v>
      </c>
      <c r="AI39">
        <v>223346</v>
      </c>
      <c r="AJ39">
        <v>235087</v>
      </c>
      <c r="AK39">
        <v>0</v>
      </c>
      <c r="AL39">
        <v>127776</v>
      </c>
      <c r="AM39">
        <v>214890</v>
      </c>
      <c r="CU39">
        <v>1872</v>
      </c>
      <c r="CV39">
        <v>18528</v>
      </c>
      <c r="CW39">
        <v>31008</v>
      </c>
      <c r="CX39">
        <v>8800</v>
      </c>
      <c r="CY39">
        <v>0</v>
      </c>
      <c r="CZ39">
        <v>0</v>
      </c>
      <c r="DA39">
        <v>28654</v>
      </c>
      <c r="DB39">
        <v>0</v>
      </c>
      <c r="DC39">
        <v>40144</v>
      </c>
      <c r="DD39">
        <v>0</v>
      </c>
      <c r="DE39">
        <v>0</v>
      </c>
      <c r="DF39">
        <v>70444</v>
      </c>
      <c r="DG39">
        <v>0</v>
      </c>
      <c r="DH39">
        <v>0</v>
      </c>
      <c r="DI39">
        <v>0</v>
      </c>
      <c r="DJ39">
        <v>10879</v>
      </c>
      <c r="DK39">
        <v>0</v>
      </c>
      <c r="DL39">
        <v>79200</v>
      </c>
      <c r="DM39">
        <v>31080</v>
      </c>
      <c r="DN39">
        <v>0</v>
      </c>
      <c r="DO39">
        <v>0</v>
      </c>
      <c r="DP39">
        <v>128</v>
      </c>
      <c r="DQ39">
        <v>29376</v>
      </c>
      <c r="DR39">
        <v>0</v>
      </c>
      <c r="DS39">
        <v>54720</v>
      </c>
      <c r="DT39">
        <v>10128</v>
      </c>
      <c r="DX39" s="69"/>
      <c r="DY39" s="69">
        <v>6210</v>
      </c>
      <c r="DZ39" s="69">
        <v>28404</v>
      </c>
      <c r="EA39" s="69">
        <v>56155</v>
      </c>
      <c r="EB39" s="69">
        <v>42384</v>
      </c>
      <c r="EC39" s="69">
        <v>0</v>
      </c>
      <c r="ED39" s="69">
        <v>0</v>
      </c>
      <c r="EE39" s="69">
        <v>61726</v>
      </c>
      <c r="EF39" s="69">
        <v>0</v>
      </c>
      <c r="EG39" s="69">
        <v>48580</v>
      </c>
      <c r="EH39" s="69">
        <v>0</v>
      </c>
      <c r="EI39" s="69">
        <v>0</v>
      </c>
      <c r="EJ39" s="69">
        <v>192893</v>
      </c>
      <c r="EK39" s="69">
        <v>0</v>
      </c>
      <c r="EL39" s="69">
        <v>0</v>
      </c>
      <c r="EM39" s="69">
        <v>0</v>
      </c>
      <c r="EN39" s="69">
        <v>13508</v>
      </c>
      <c r="EO39" s="69">
        <v>0</v>
      </c>
      <c r="EP39" s="69">
        <v>157177</v>
      </c>
      <c r="EQ39" s="69">
        <v>92467</v>
      </c>
      <c r="ER39" s="69">
        <v>0</v>
      </c>
      <c r="ES39" s="69">
        <v>0</v>
      </c>
      <c r="ET39" s="69">
        <v>1500</v>
      </c>
      <c r="EU39" s="69">
        <v>374494</v>
      </c>
      <c r="EV39" s="69">
        <v>0</v>
      </c>
      <c r="EW39" s="69">
        <v>86021</v>
      </c>
      <c r="EX39" s="69">
        <v>50569</v>
      </c>
      <c r="EY39" s="69"/>
      <c r="EZ39" s="69"/>
      <c r="FA39" s="69"/>
      <c r="FB39" s="69"/>
      <c r="FC39" s="69"/>
      <c r="FD39" s="69"/>
      <c r="FE39" s="69"/>
      <c r="FF39" s="69"/>
      <c r="FG39" s="69"/>
      <c r="FH39" s="69"/>
      <c r="FI39" s="69"/>
      <c r="FJ39" s="69"/>
      <c r="FK39" s="69"/>
      <c r="FL39" s="69"/>
      <c r="FM39" s="69"/>
      <c r="FN39" s="69"/>
      <c r="FO39" s="69"/>
      <c r="FP39" s="69"/>
      <c r="FQ39" s="69"/>
      <c r="FR39" s="69"/>
      <c r="FS39" s="69"/>
      <c r="FT39" s="69"/>
      <c r="FU39" s="69"/>
      <c r="FV39" s="69"/>
      <c r="FW39" s="69"/>
      <c r="FX39" s="69"/>
      <c r="FY39" s="69"/>
      <c r="FZ39" s="69"/>
      <c r="GA39" s="69"/>
      <c r="GB39" s="69"/>
      <c r="GC39" s="69"/>
      <c r="GD39" s="69"/>
      <c r="GE39" s="69"/>
      <c r="GF39" s="69"/>
      <c r="GG39" s="69"/>
      <c r="GH39" s="69"/>
      <c r="GI39" s="69"/>
      <c r="GJ39" s="69"/>
      <c r="GK39" s="69"/>
      <c r="GL39" s="69"/>
      <c r="GM39" s="69"/>
      <c r="GN39" s="69"/>
      <c r="GO39" s="69"/>
      <c r="GP39" s="69"/>
      <c r="GQ39" s="69"/>
      <c r="GR39" s="69"/>
      <c r="GS39" s="69"/>
      <c r="GT39" s="69"/>
      <c r="GU39" s="69"/>
      <c r="GV39" s="69"/>
      <c r="GW39" s="69"/>
      <c r="GX39" s="69"/>
      <c r="GY39" s="69"/>
      <c r="GZ39" s="69"/>
      <c r="HA39" s="69"/>
      <c r="HB39" s="69"/>
      <c r="HC39" s="69"/>
      <c r="HD39" s="69"/>
      <c r="HE39" s="69"/>
      <c r="HF39" s="69"/>
      <c r="HG39" s="69"/>
      <c r="HH39" s="69"/>
      <c r="HI39" s="69"/>
      <c r="HJ39" s="69"/>
      <c r="HK39" s="69"/>
      <c r="HL39" s="69"/>
      <c r="HM39" s="69"/>
      <c r="HN39" s="69"/>
      <c r="HO39" s="69"/>
      <c r="HP39" s="69"/>
      <c r="HQ39" s="69"/>
      <c r="HR39" s="69"/>
      <c r="HS39" s="69"/>
      <c r="HT39" s="69"/>
      <c r="HU39" s="69"/>
      <c r="HV39" s="69"/>
      <c r="HW39" s="69"/>
      <c r="HX39" s="69"/>
      <c r="HY39" s="69"/>
      <c r="HZ39" s="69"/>
      <c r="IA39" s="69"/>
      <c r="IB39" s="69"/>
      <c r="IC39" s="69"/>
      <c r="ID39" s="69"/>
      <c r="IE39" s="69"/>
      <c r="IF39" s="69"/>
      <c r="IG39" s="69"/>
      <c r="IH39" s="69"/>
      <c r="II39" s="69"/>
      <c r="IJ39" s="69"/>
      <c r="IK39" s="69"/>
      <c r="IL39" s="69"/>
      <c r="IM39" s="69"/>
      <c r="IN39" s="69"/>
      <c r="IO39" s="69">
        <v>4963</v>
      </c>
      <c r="IP39" s="69">
        <v>9351</v>
      </c>
      <c r="IQ39" s="69">
        <v>2621</v>
      </c>
      <c r="IR39" s="69">
        <v>1105</v>
      </c>
      <c r="IS39" s="69">
        <v>0</v>
      </c>
      <c r="IT39" s="69">
        <v>0</v>
      </c>
      <c r="IU39" s="69">
        <v>1205</v>
      </c>
      <c r="IV39" s="69">
        <v>0</v>
      </c>
      <c r="IW39" s="69">
        <v>33689</v>
      </c>
      <c r="IX39" s="69">
        <v>0</v>
      </c>
      <c r="IY39" s="69">
        <v>0</v>
      </c>
      <c r="IZ39" s="69">
        <v>4177</v>
      </c>
      <c r="JA39" s="69">
        <v>0</v>
      </c>
      <c r="JB39" s="69">
        <v>0</v>
      </c>
      <c r="JC39" s="69">
        <v>0</v>
      </c>
      <c r="JD39" s="69">
        <v>15790</v>
      </c>
      <c r="JE39" s="69">
        <v>0</v>
      </c>
      <c r="JF39" s="69">
        <v>9680</v>
      </c>
      <c r="JG39" s="69">
        <v>3165</v>
      </c>
      <c r="JH39" s="69">
        <v>0</v>
      </c>
      <c r="JI39" s="69">
        <v>0</v>
      </c>
      <c r="JJ39" s="69">
        <v>0</v>
      </c>
      <c r="JK39" s="69">
        <v>880</v>
      </c>
      <c r="JL39" s="69">
        <v>0</v>
      </c>
      <c r="JM39" s="69">
        <v>23</v>
      </c>
      <c r="JN39" s="69">
        <v>696</v>
      </c>
      <c r="JO39" s="69"/>
      <c r="JP39" s="69"/>
      <c r="JQ39" s="69"/>
      <c r="JR39" s="69"/>
      <c r="JS39" s="69"/>
      <c r="JT39" s="69"/>
      <c r="JU39" s="69"/>
      <c r="JV39" s="69"/>
      <c r="JW39" s="69"/>
      <c r="JX39" s="69"/>
      <c r="JY39" s="69"/>
      <c r="JZ39" s="69"/>
      <c r="KA39" s="69"/>
      <c r="KB39" s="69"/>
      <c r="KC39" s="69"/>
      <c r="KD39" s="69"/>
      <c r="KE39" s="69"/>
      <c r="KF39" s="69"/>
      <c r="KG39" s="69"/>
      <c r="KH39" s="69"/>
      <c r="KI39" s="69"/>
      <c r="KJ39" s="69"/>
      <c r="KK39" s="69"/>
      <c r="KL39" s="69"/>
      <c r="KM39" s="69"/>
      <c r="KN39" s="69"/>
      <c r="KO39" s="69"/>
      <c r="KP39" s="69"/>
      <c r="KQ39" s="69"/>
      <c r="KR39" s="69"/>
      <c r="KS39" s="69"/>
      <c r="KT39" s="69"/>
      <c r="KU39" s="69"/>
      <c r="KV39" s="69"/>
      <c r="KW39" s="69"/>
    </row>
    <row r="40" spans="1:309" x14ac:dyDescent="0.25">
      <c r="A40" t="s">
        <v>396</v>
      </c>
      <c r="C40" t="s">
        <v>1088</v>
      </c>
      <c r="E40" s="2"/>
      <c r="G40" t="s">
        <v>397</v>
      </c>
      <c r="Q40" s="69">
        <v>2067594</v>
      </c>
      <c r="AH40">
        <v>16241788</v>
      </c>
      <c r="AI40">
        <v>9698284</v>
      </c>
      <c r="AJ40">
        <v>8895786</v>
      </c>
      <c r="AK40">
        <v>0</v>
      </c>
      <c r="AL40">
        <v>0</v>
      </c>
      <c r="AM40">
        <v>2681931</v>
      </c>
      <c r="CU40">
        <v>15840</v>
      </c>
      <c r="CV40">
        <v>259656</v>
      </c>
      <c r="CW40">
        <v>1490930</v>
      </c>
      <c r="CX40">
        <v>595845</v>
      </c>
      <c r="CY40">
        <v>34784</v>
      </c>
      <c r="CZ40">
        <v>105634</v>
      </c>
      <c r="DA40">
        <v>234892</v>
      </c>
      <c r="DB40">
        <v>64541</v>
      </c>
      <c r="DC40">
        <v>681970</v>
      </c>
      <c r="DD40">
        <v>128128</v>
      </c>
      <c r="DE40">
        <v>186396</v>
      </c>
      <c r="DF40">
        <v>1474776</v>
      </c>
      <c r="DG40">
        <v>135618</v>
      </c>
      <c r="DH40">
        <v>356032</v>
      </c>
      <c r="DI40">
        <v>0</v>
      </c>
      <c r="DJ40">
        <v>596132</v>
      </c>
      <c r="DK40">
        <v>57440</v>
      </c>
      <c r="DL40">
        <v>247184</v>
      </c>
      <c r="DM40">
        <v>1246064</v>
      </c>
      <c r="DN40">
        <v>259988</v>
      </c>
      <c r="DO40">
        <v>43060</v>
      </c>
      <c r="DP40">
        <v>14926</v>
      </c>
      <c r="DQ40">
        <v>473664</v>
      </c>
      <c r="DR40">
        <v>134136</v>
      </c>
      <c r="DS40">
        <v>1717776</v>
      </c>
      <c r="DT40">
        <v>588096</v>
      </c>
      <c r="DX40" s="69"/>
      <c r="DY40" s="69">
        <v>40310</v>
      </c>
      <c r="DZ40" s="69">
        <v>561036</v>
      </c>
      <c r="EA40" s="69">
        <v>3794136</v>
      </c>
      <c r="EB40" s="69">
        <v>1755576</v>
      </c>
      <c r="EC40" s="69">
        <v>221250</v>
      </c>
      <c r="ED40" s="69">
        <v>221533</v>
      </c>
      <c r="EE40" s="69">
        <v>1161097</v>
      </c>
      <c r="EF40" s="69">
        <v>140506</v>
      </c>
      <c r="EG40" s="69">
        <v>2252421</v>
      </c>
      <c r="EH40" s="69">
        <v>583609</v>
      </c>
      <c r="EI40" s="69">
        <v>849009</v>
      </c>
      <c r="EJ40" s="69">
        <v>4413739</v>
      </c>
      <c r="EK40" s="69">
        <v>493006</v>
      </c>
      <c r="EL40" s="69">
        <v>1938310</v>
      </c>
      <c r="EM40" s="69">
        <v>0</v>
      </c>
      <c r="EN40" s="69">
        <v>3371405</v>
      </c>
      <c r="EO40" s="69">
        <v>341929</v>
      </c>
      <c r="EP40" s="69">
        <v>1552231</v>
      </c>
      <c r="EQ40" s="69">
        <v>3903304</v>
      </c>
      <c r="ER40" s="69">
        <v>1215080</v>
      </c>
      <c r="ES40" s="69">
        <v>208447</v>
      </c>
      <c r="ET40" s="69">
        <v>72255</v>
      </c>
      <c r="EU40" s="69">
        <v>1820720</v>
      </c>
      <c r="EV40" s="69">
        <v>676099</v>
      </c>
      <c r="EW40" s="69">
        <v>5266575</v>
      </c>
      <c r="EX40" s="69">
        <v>2577898</v>
      </c>
      <c r="EY40" s="69"/>
      <c r="EZ40" s="69"/>
      <c r="FA40" s="69"/>
      <c r="FB40" s="69"/>
      <c r="FC40" s="69"/>
      <c r="FD40" s="69"/>
      <c r="FE40" s="69"/>
      <c r="FF40" s="69"/>
      <c r="FG40" s="69"/>
      <c r="FH40" s="69"/>
      <c r="FI40" s="69"/>
      <c r="FJ40" s="69"/>
      <c r="FK40" s="69"/>
      <c r="FL40" s="69"/>
      <c r="FM40" s="69"/>
      <c r="FN40" s="69"/>
      <c r="FO40" s="69"/>
      <c r="FP40" s="69"/>
      <c r="FQ40" s="69"/>
      <c r="FR40" s="69"/>
      <c r="FS40" s="69"/>
      <c r="FT40" s="69"/>
      <c r="FU40" s="69"/>
      <c r="FV40" s="69"/>
      <c r="FW40" s="69"/>
      <c r="FX40" s="69"/>
      <c r="FY40" s="69"/>
      <c r="FZ40" s="69"/>
      <c r="GA40" s="69"/>
      <c r="GB40" s="69"/>
      <c r="GC40" s="69"/>
      <c r="GD40" s="69"/>
      <c r="GE40" s="69"/>
      <c r="GF40" s="69"/>
      <c r="GG40" s="69"/>
      <c r="GH40" s="69"/>
      <c r="GI40" s="69"/>
      <c r="GJ40" s="69"/>
      <c r="GK40" s="69"/>
      <c r="GL40" s="69"/>
      <c r="GM40" s="69"/>
      <c r="GN40" s="69"/>
      <c r="GO40" s="69"/>
      <c r="GP40" s="69"/>
      <c r="GQ40" s="69"/>
      <c r="GR40" s="69"/>
      <c r="GS40" s="69"/>
      <c r="GT40" s="69"/>
      <c r="GU40" s="69"/>
      <c r="GV40" s="69"/>
      <c r="GW40" s="69"/>
      <c r="GX40" s="69"/>
      <c r="GY40" s="69"/>
      <c r="GZ40" s="69"/>
      <c r="HA40" s="69"/>
      <c r="HB40" s="69"/>
      <c r="HC40" s="69"/>
      <c r="HD40" s="69"/>
      <c r="HE40" s="69"/>
      <c r="HF40" s="69"/>
      <c r="HG40" s="69"/>
      <c r="HH40" s="69"/>
      <c r="HI40" s="69"/>
      <c r="HJ40" s="69"/>
      <c r="HK40" s="69"/>
      <c r="HL40" s="69"/>
      <c r="HM40" s="69"/>
      <c r="HN40" s="69"/>
      <c r="HO40" s="69"/>
      <c r="HP40" s="69"/>
      <c r="HQ40" s="69"/>
      <c r="HR40" s="69"/>
      <c r="HS40" s="69"/>
      <c r="HT40" s="69"/>
      <c r="HU40" s="69"/>
      <c r="HV40" s="69"/>
      <c r="HW40" s="69"/>
      <c r="HX40" s="69"/>
      <c r="HY40" s="69"/>
      <c r="HZ40" s="69"/>
      <c r="IA40" s="69"/>
      <c r="IB40" s="69"/>
      <c r="IC40" s="69"/>
      <c r="ID40" s="69"/>
      <c r="IE40" s="69"/>
      <c r="IF40" s="69"/>
      <c r="IG40" s="69"/>
      <c r="IH40" s="69"/>
      <c r="II40" s="69"/>
      <c r="IJ40" s="69"/>
      <c r="IK40" s="69"/>
      <c r="IL40" s="69"/>
      <c r="IM40" s="69"/>
      <c r="IN40" s="69"/>
      <c r="IO40" s="69">
        <v>2000</v>
      </c>
      <c r="IP40" s="69">
        <v>382415</v>
      </c>
      <c r="IQ40" s="69">
        <v>1248407</v>
      </c>
      <c r="IR40" s="69">
        <v>407598</v>
      </c>
      <c r="IS40" s="69">
        <v>623167</v>
      </c>
      <c r="IT40" s="69">
        <v>110952</v>
      </c>
      <c r="IU40" s="69">
        <v>585666</v>
      </c>
      <c r="IV40" s="69">
        <v>507118</v>
      </c>
      <c r="IW40" s="69">
        <v>742775</v>
      </c>
      <c r="IX40" s="69">
        <v>257016</v>
      </c>
      <c r="IY40" s="69">
        <v>479082</v>
      </c>
      <c r="IZ40" s="69">
        <v>912778</v>
      </c>
      <c r="JA40" s="69">
        <v>75970</v>
      </c>
      <c r="JB40" s="69">
        <v>632514</v>
      </c>
      <c r="JC40" s="69">
        <v>0</v>
      </c>
      <c r="JD40" s="69">
        <v>885077</v>
      </c>
      <c r="JE40" s="69">
        <v>52589</v>
      </c>
      <c r="JF40" s="69">
        <v>364570</v>
      </c>
      <c r="JG40" s="69">
        <v>917561</v>
      </c>
      <c r="JH40" s="69">
        <v>508486</v>
      </c>
      <c r="JI40" s="69">
        <v>221376</v>
      </c>
      <c r="JJ40" s="69">
        <v>3585</v>
      </c>
      <c r="JK40" s="69">
        <v>464893</v>
      </c>
      <c r="JL40" s="69">
        <v>217011</v>
      </c>
      <c r="JM40" s="69">
        <v>957999</v>
      </c>
      <c r="JN40" s="69">
        <v>924799</v>
      </c>
      <c r="JO40" s="69"/>
      <c r="JP40" s="69"/>
      <c r="JQ40" s="69"/>
      <c r="JR40" s="69"/>
      <c r="JS40" s="69"/>
      <c r="JT40" s="69"/>
      <c r="JU40" s="69"/>
      <c r="JV40" s="69"/>
      <c r="JW40" s="69"/>
      <c r="JX40" s="69"/>
      <c r="JY40" s="69"/>
      <c r="JZ40" s="69"/>
      <c r="KA40" s="69"/>
      <c r="KB40" s="69"/>
      <c r="KC40" s="69"/>
      <c r="KD40" s="69"/>
      <c r="KE40" s="69"/>
      <c r="KF40" s="69"/>
      <c r="KG40" s="69"/>
      <c r="KH40" s="69"/>
      <c r="KI40" s="69"/>
      <c r="KJ40" s="69"/>
      <c r="KK40" s="69"/>
      <c r="KL40" s="69"/>
      <c r="KM40" s="69"/>
      <c r="KN40" s="69"/>
      <c r="KO40" s="69"/>
      <c r="KP40" s="69"/>
      <c r="KQ40" s="69"/>
      <c r="KR40" s="69"/>
      <c r="KS40" s="69"/>
      <c r="KT40" s="69"/>
      <c r="KU40" s="69"/>
      <c r="KV40" s="69"/>
      <c r="KW40" s="69"/>
    </row>
    <row r="41" spans="1:309" x14ac:dyDescent="0.25">
      <c r="A41" t="s">
        <v>398</v>
      </c>
      <c r="C41" t="s">
        <v>1088</v>
      </c>
      <c r="E41" s="2"/>
      <c r="G41" t="s">
        <v>399</v>
      </c>
      <c r="Q41" s="69">
        <v>1411567</v>
      </c>
      <c r="AH41">
        <v>3378691</v>
      </c>
      <c r="AI41">
        <v>3618245</v>
      </c>
      <c r="AJ41">
        <v>1818219</v>
      </c>
      <c r="AK41">
        <v>0</v>
      </c>
      <c r="AL41">
        <v>87489</v>
      </c>
      <c r="AM41">
        <v>837464</v>
      </c>
      <c r="CU41">
        <v>26768</v>
      </c>
      <c r="CV41">
        <v>71144</v>
      </c>
      <c r="CW41">
        <v>481168</v>
      </c>
      <c r="CX41">
        <v>165871</v>
      </c>
      <c r="CY41">
        <v>1296</v>
      </c>
      <c r="CZ41">
        <v>126230</v>
      </c>
      <c r="DA41">
        <v>203559</v>
      </c>
      <c r="DB41">
        <v>12132</v>
      </c>
      <c r="DC41">
        <v>161312</v>
      </c>
      <c r="DD41">
        <v>2304</v>
      </c>
      <c r="DE41">
        <v>43064</v>
      </c>
      <c r="DF41">
        <v>439888</v>
      </c>
      <c r="DG41">
        <v>144144</v>
      </c>
      <c r="DH41">
        <v>111184</v>
      </c>
      <c r="DI41">
        <v>0</v>
      </c>
      <c r="DJ41">
        <v>155592</v>
      </c>
      <c r="DK41">
        <v>20096</v>
      </c>
      <c r="DL41">
        <v>203472</v>
      </c>
      <c r="DM41">
        <v>506648</v>
      </c>
      <c r="DN41">
        <v>64816</v>
      </c>
      <c r="DO41">
        <v>36764</v>
      </c>
      <c r="DP41">
        <v>6496</v>
      </c>
      <c r="DQ41">
        <v>108240</v>
      </c>
      <c r="DR41">
        <v>232440</v>
      </c>
      <c r="DS41">
        <v>801232</v>
      </c>
      <c r="DT41">
        <v>289510</v>
      </c>
      <c r="DX41" s="69"/>
      <c r="DY41" s="69">
        <v>277132</v>
      </c>
      <c r="DZ41" s="69">
        <v>191798</v>
      </c>
      <c r="EA41" s="69">
        <v>1343705</v>
      </c>
      <c r="EB41" s="69">
        <v>598216</v>
      </c>
      <c r="EC41" s="69">
        <v>2863</v>
      </c>
      <c r="ED41" s="69">
        <v>242693</v>
      </c>
      <c r="EE41" s="69">
        <v>768937</v>
      </c>
      <c r="EF41" s="69">
        <v>87551</v>
      </c>
      <c r="EG41" s="69">
        <v>432847</v>
      </c>
      <c r="EH41" s="69">
        <v>97216</v>
      </c>
      <c r="EI41" s="69">
        <v>186506</v>
      </c>
      <c r="EJ41" s="69">
        <v>1708471</v>
      </c>
      <c r="EK41" s="69">
        <v>438856</v>
      </c>
      <c r="EL41" s="69">
        <v>388836</v>
      </c>
      <c r="EM41" s="69">
        <v>0</v>
      </c>
      <c r="EN41" s="69">
        <v>950378</v>
      </c>
      <c r="EO41" s="69">
        <v>94733</v>
      </c>
      <c r="EP41" s="69">
        <v>706383</v>
      </c>
      <c r="EQ41" s="69">
        <v>1386906</v>
      </c>
      <c r="ER41" s="69">
        <v>236315</v>
      </c>
      <c r="ES41" s="69">
        <v>93991</v>
      </c>
      <c r="ET41" s="69">
        <v>88842</v>
      </c>
      <c r="EU41" s="69">
        <v>865902</v>
      </c>
      <c r="EV41" s="69">
        <v>302017</v>
      </c>
      <c r="EW41" s="69">
        <v>2239609</v>
      </c>
      <c r="EX41" s="69">
        <v>2182294</v>
      </c>
      <c r="EY41" s="69"/>
      <c r="EZ41" s="69"/>
      <c r="FA41" s="69"/>
      <c r="FB41" s="69"/>
      <c r="FC41" s="69"/>
      <c r="FD41" s="69"/>
      <c r="FE41" s="69"/>
      <c r="FF41" s="69"/>
      <c r="FG41" s="69"/>
      <c r="FH41" s="69"/>
      <c r="FI41" s="69"/>
      <c r="FJ41" s="69"/>
      <c r="FK41" s="69"/>
      <c r="FL41" s="69"/>
      <c r="FM41" s="69"/>
      <c r="FN41" s="69"/>
      <c r="FO41" s="69"/>
      <c r="FP41" s="69"/>
      <c r="FQ41" s="69"/>
      <c r="FR41" s="69"/>
      <c r="FS41" s="69"/>
      <c r="FT41" s="69"/>
      <c r="FU41" s="69"/>
      <c r="FV41" s="69"/>
      <c r="FW41" s="69"/>
      <c r="FX41" s="69"/>
      <c r="FY41" s="69"/>
      <c r="FZ41" s="69"/>
      <c r="GA41" s="69"/>
      <c r="GB41" s="69"/>
      <c r="GC41" s="69"/>
      <c r="GD41" s="69"/>
      <c r="GE41" s="69"/>
      <c r="GF41" s="69"/>
      <c r="GG41" s="69"/>
      <c r="GH41" s="69"/>
      <c r="GI41" s="69"/>
      <c r="GJ41" s="69"/>
      <c r="GK41" s="69"/>
      <c r="GL41" s="69"/>
      <c r="GM41" s="69"/>
      <c r="GN41" s="69"/>
      <c r="GO41" s="69"/>
      <c r="GP41" s="69"/>
      <c r="GQ41" s="69"/>
      <c r="GR41" s="69"/>
      <c r="GS41" s="69"/>
      <c r="GT41" s="69"/>
      <c r="GU41" s="69"/>
      <c r="GV41" s="69"/>
      <c r="GW41" s="69"/>
      <c r="GX41" s="69"/>
      <c r="GY41" s="69"/>
      <c r="GZ41" s="69"/>
      <c r="HA41" s="69"/>
      <c r="HB41" s="69"/>
      <c r="HC41" s="69"/>
      <c r="HD41" s="69"/>
      <c r="HE41" s="69"/>
      <c r="HF41" s="69"/>
      <c r="HG41" s="69"/>
      <c r="HH41" s="69"/>
      <c r="HI41" s="69"/>
      <c r="HJ41" s="69"/>
      <c r="HK41" s="69"/>
      <c r="HL41" s="69"/>
      <c r="HM41" s="69"/>
      <c r="HN41" s="69"/>
      <c r="HO41" s="69"/>
      <c r="HP41" s="69"/>
      <c r="HQ41" s="69"/>
      <c r="HR41" s="69"/>
      <c r="HS41" s="69"/>
      <c r="HT41" s="69"/>
      <c r="HU41" s="69"/>
      <c r="HV41" s="69"/>
      <c r="HW41" s="69"/>
      <c r="HX41" s="69"/>
      <c r="HY41" s="69"/>
      <c r="HZ41" s="69"/>
      <c r="IA41" s="69"/>
      <c r="IB41" s="69"/>
      <c r="IC41" s="69"/>
      <c r="ID41" s="69"/>
      <c r="IE41" s="69"/>
      <c r="IF41" s="69"/>
      <c r="IG41" s="69"/>
      <c r="IH41" s="69"/>
      <c r="II41" s="69"/>
      <c r="IJ41" s="69"/>
      <c r="IK41" s="69"/>
      <c r="IL41" s="69"/>
      <c r="IM41" s="69"/>
      <c r="IN41" s="69"/>
      <c r="IO41" s="69">
        <v>32420</v>
      </c>
      <c r="IP41" s="69">
        <v>80058</v>
      </c>
      <c r="IQ41" s="69">
        <v>198977</v>
      </c>
      <c r="IR41" s="69">
        <v>37725</v>
      </c>
      <c r="IS41" s="69">
        <v>325</v>
      </c>
      <c r="IT41" s="69">
        <v>131605</v>
      </c>
      <c r="IU41" s="69">
        <v>107788</v>
      </c>
      <c r="IV41" s="69">
        <v>5287</v>
      </c>
      <c r="IW41" s="69">
        <v>82453</v>
      </c>
      <c r="IX41" s="69">
        <v>2461</v>
      </c>
      <c r="IY41" s="69">
        <v>19732</v>
      </c>
      <c r="IZ41" s="69">
        <v>40161</v>
      </c>
      <c r="JA41" s="69">
        <v>6534</v>
      </c>
      <c r="JB41" s="69">
        <v>58760</v>
      </c>
      <c r="JC41" s="69">
        <v>0</v>
      </c>
      <c r="JD41" s="69">
        <v>53261</v>
      </c>
      <c r="JE41" s="69">
        <v>25236</v>
      </c>
      <c r="JF41" s="69">
        <v>51741</v>
      </c>
      <c r="JG41" s="69">
        <v>36856</v>
      </c>
      <c r="JH41" s="69">
        <v>19554</v>
      </c>
      <c r="JI41" s="69">
        <v>34340</v>
      </c>
      <c r="JJ41" s="69">
        <v>21050</v>
      </c>
      <c r="JK41" s="69">
        <v>56119</v>
      </c>
      <c r="JL41" s="69">
        <v>6514</v>
      </c>
      <c r="JM41" s="69">
        <v>72217</v>
      </c>
      <c r="JN41" s="69">
        <v>123259</v>
      </c>
      <c r="JO41" s="69"/>
      <c r="JP41" s="69"/>
      <c r="JQ41" s="69"/>
      <c r="JR41" s="69"/>
      <c r="JS41" s="69"/>
      <c r="JT41" s="69"/>
      <c r="JU41" s="69"/>
      <c r="JV41" s="69"/>
      <c r="JW41" s="69"/>
      <c r="JX41" s="69"/>
      <c r="JY41" s="69"/>
      <c r="JZ41" s="69"/>
      <c r="KA41" s="69"/>
      <c r="KB41" s="69"/>
      <c r="KC41" s="69"/>
      <c r="KD41" s="69"/>
      <c r="KE41" s="69"/>
      <c r="KF41" s="69"/>
      <c r="KG41" s="69"/>
      <c r="KH41" s="69"/>
      <c r="KI41" s="69"/>
      <c r="KJ41" s="69"/>
      <c r="KK41" s="69"/>
      <c r="KL41" s="69"/>
      <c r="KM41" s="69"/>
      <c r="KN41" s="69"/>
      <c r="KO41" s="69"/>
      <c r="KP41" s="69"/>
      <c r="KQ41" s="69"/>
      <c r="KR41" s="69"/>
      <c r="KS41" s="69"/>
      <c r="KT41" s="69"/>
      <c r="KU41" s="69"/>
      <c r="KV41" s="69"/>
      <c r="KW41" s="69"/>
    </row>
    <row r="42" spans="1:309" x14ac:dyDescent="0.25">
      <c r="A42" t="s">
        <v>458</v>
      </c>
      <c r="C42" t="s">
        <v>1088</v>
      </c>
      <c r="E42" s="2"/>
      <c r="G42" t="s">
        <v>459</v>
      </c>
      <c r="Q42" s="69">
        <v>2335704</v>
      </c>
      <c r="AH42">
        <v>14643946</v>
      </c>
      <c r="AI42">
        <v>6858009</v>
      </c>
      <c r="AJ42">
        <v>5669832</v>
      </c>
      <c r="AK42">
        <v>0</v>
      </c>
      <c r="AL42">
        <v>0</v>
      </c>
      <c r="AM42">
        <v>2328106</v>
      </c>
      <c r="CU42">
        <v>26544</v>
      </c>
      <c r="CV42">
        <v>118832</v>
      </c>
      <c r="CW42">
        <v>1126272</v>
      </c>
      <c r="CX42">
        <v>613340</v>
      </c>
      <c r="CY42">
        <v>0</v>
      </c>
      <c r="CZ42">
        <v>11520</v>
      </c>
      <c r="DA42">
        <v>711144</v>
      </c>
      <c r="DB42">
        <v>36286</v>
      </c>
      <c r="DC42">
        <v>251416</v>
      </c>
      <c r="DD42">
        <v>16832</v>
      </c>
      <c r="DE42">
        <v>235896</v>
      </c>
      <c r="DF42">
        <v>1385752</v>
      </c>
      <c r="DG42">
        <v>297472</v>
      </c>
      <c r="DH42">
        <v>310312</v>
      </c>
      <c r="DI42">
        <v>0</v>
      </c>
      <c r="DJ42">
        <v>298881</v>
      </c>
      <c r="DK42">
        <v>43008</v>
      </c>
      <c r="DL42">
        <v>289440</v>
      </c>
      <c r="DM42">
        <v>1107684</v>
      </c>
      <c r="DN42">
        <v>142288</v>
      </c>
      <c r="DO42">
        <v>70604</v>
      </c>
      <c r="DP42">
        <v>115136</v>
      </c>
      <c r="DQ42">
        <v>79440</v>
      </c>
      <c r="DR42">
        <v>115029</v>
      </c>
      <c r="DS42">
        <v>1243536</v>
      </c>
      <c r="DT42">
        <v>281312</v>
      </c>
      <c r="DX42" s="69"/>
      <c r="DY42" s="69">
        <v>71944</v>
      </c>
      <c r="DZ42" s="69">
        <v>794523</v>
      </c>
      <c r="EA42" s="69">
        <v>3052617</v>
      </c>
      <c r="EB42" s="69">
        <v>1164630</v>
      </c>
      <c r="EC42" s="69">
        <v>0</v>
      </c>
      <c r="ED42" s="69">
        <v>29971</v>
      </c>
      <c r="EE42" s="69">
        <v>1850137</v>
      </c>
      <c r="EF42" s="69">
        <v>257488</v>
      </c>
      <c r="EG42" s="69">
        <v>889788</v>
      </c>
      <c r="EH42" s="69">
        <v>33980</v>
      </c>
      <c r="EI42" s="69">
        <v>291813</v>
      </c>
      <c r="EJ42" s="69">
        <v>5928283</v>
      </c>
      <c r="EK42" s="69">
        <v>896423</v>
      </c>
      <c r="EL42" s="69">
        <v>1549237</v>
      </c>
      <c r="EM42" s="69">
        <v>0</v>
      </c>
      <c r="EN42" s="69">
        <v>1906138</v>
      </c>
      <c r="EO42" s="69">
        <v>249496</v>
      </c>
      <c r="EP42" s="69">
        <v>1715445</v>
      </c>
      <c r="EQ42" s="69">
        <v>3355939</v>
      </c>
      <c r="ER42" s="69">
        <v>706739</v>
      </c>
      <c r="ES42" s="69">
        <v>105417</v>
      </c>
      <c r="ET42" s="69">
        <v>502462</v>
      </c>
      <c r="EU42" s="69">
        <v>406144</v>
      </c>
      <c r="EV42" s="69">
        <v>555213</v>
      </c>
      <c r="EW42" s="69">
        <v>4379022</v>
      </c>
      <c r="EX42" s="69">
        <v>925114</v>
      </c>
      <c r="EY42" s="69"/>
      <c r="EZ42" s="69"/>
      <c r="FA42" s="69"/>
      <c r="FB42" s="69"/>
      <c r="FC42" s="69"/>
      <c r="FD42" s="69"/>
      <c r="FE42" s="69"/>
      <c r="FF42" s="69"/>
      <c r="FG42" s="69"/>
      <c r="FH42" s="69"/>
      <c r="FI42" s="69"/>
      <c r="FJ42" s="69"/>
      <c r="FK42" s="69"/>
      <c r="FL42" s="69"/>
      <c r="FM42" s="69"/>
      <c r="FN42" s="69"/>
      <c r="FO42" s="69"/>
      <c r="FP42" s="69"/>
      <c r="FQ42" s="69"/>
      <c r="FR42" s="69"/>
      <c r="FS42" s="69"/>
      <c r="FT42" s="69"/>
      <c r="FU42" s="69"/>
      <c r="FV42" s="69"/>
      <c r="FW42" s="69"/>
      <c r="FX42" s="69"/>
      <c r="FY42" s="69"/>
      <c r="FZ42" s="69"/>
      <c r="GA42" s="69"/>
      <c r="GB42" s="69"/>
      <c r="GC42" s="69"/>
      <c r="GD42" s="69"/>
      <c r="GE42" s="69"/>
      <c r="GF42" s="69"/>
      <c r="GG42" s="69"/>
      <c r="GH42" s="69"/>
      <c r="GI42" s="69"/>
      <c r="GJ42" s="69"/>
      <c r="GK42" s="69"/>
      <c r="GL42" s="69"/>
      <c r="GM42" s="69"/>
      <c r="GN42" s="69"/>
      <c r="GO42" s="69"/>
      <c r="GP42" s="69"/>
      <c r="GQ42" s="69"/>
      <c r="GR42" s="69"/>
      <c r="GS42" s="69"/>
      <c r="GT42" s="69"/>
      <c r="GU42" s="69"/>
      <c r="GV42" s="69"/>
      <c r="GW42" s="69"/>
      <c r="GX42" s="69"/>
      <c r="GY42" s="69"/>
      <c r="GZ42" s="69"/>
      <c r="HA42" s="69"/>
      <c r="HB42" s="69"/>
      <c r="HC42" s="69"/>
      <c r="HD42" s="69"/>
      <c r="HE42" s="69"/>
      <c r="HF42" s="69"/>
      <c r="HG42" s="69"/>
      <c r="HH42" s="69"/>
      <c r="HI42" s="69"/>
      <c r="HJ42" s="69"/>
      <c r="HK42" s="69"/>
      <c r="HL42" s="69"/>
      <c r="HM42" s="69"/>
      <c r="HN42" s="69"/>
      <c r="HO42" s="69"/>
      <c r="HP42" s="69"/>
      <c r="HQ42" s="69"/>
      <c r="HR42" s="69"/>
      <c r="HS42" s="69"/>
      <c r="HT42" s="69"/>
      <c r="HU42" s="69"/>
      <c r="HV42" s="69"/>
      <c r="HW42" s="69"/>
      <c r="HX42" s="69"/>
      <c r="HY42" s="69"/>
      <c r="HZ42" s="69"/>
      <c r="IA42" s="69"/>
      <c r="IB42" s="69"/>
      <c r="IC42" s="69"/>
      <c r="ID42" s="69"/>
      <c r="IE42" s="69"/>
      <c r="IF42" s="69"/>
      <c r="IG42" s="69"/>
      <c r="IH42" s="69"/>
      <c r="II42" s="69"/>
      <c r="IJ42" s="69"/>
      <c r="IK42" s="69"/>
      <c r="IL42" s="69"/>
      <c r="IM42" s="69"/>
      <c r="IN42" s="69"/>
      <c r="IO42" s="69">
        <v>21551</v>
      </c>
      <c r="IP42" s="69">
        <v>649479</v>
      </c>
      <c r="IQ42" s="69">
        <v>914414</v>
      </c>
      <c r="IR42" s="69">
        <v>480080</v>
      </c>
      <c r="IS42" s="69">
        <v>0</v>
      </c>
      <c r="IT42" s="69">
        <v>47091</v>
      </c>
      <c r="IU42" s="69">
        <v>792332</v>
      </c>
      <c r="IV42" s="69">
        <v>299396</v>
      </c>
      <c r="IW42" s="69">
        <v>566045</v>
      </c>
      <c r="IX42" s="69">
        <v>15671</v>
      </c>
      <c r="IY42" s="69">
        <v>448451</v>
      </c>
      <c r="IZ42" s="69">
        <v>2197392</v>
      </c>
      <c r="JA42" s="69">
        <v>144633</v>
      </c>
      <c r="JB42" s="69">
        <v>773374</v>
      </c>
      <c r="JC42" s="69">
        <v>0</v>
      </c>
      <c r="JD42" s="69">
        <v>1048809</v>
      </c>
      <c r="JE42" s="69">
        <v>153471</v>
      </c>
      <c r="JF42" s="69">
        <v>599085</v>
      </c>
      <c r="JG42" s="69">
        <v>550896</v>
      </c>
      <c r="JH42" s="69">
        <v>239433</v>
      </c>
      <c r="JI42" s="69">
        <v>148128</v>
      </c>
      <c r="JJ42" s="69">
        <v>186941</v>
      </c>
      <c r="JK42" s="69">
        <v>100829</v>
      </c>
      <c r="JL42" s="69">
        <v>74233</v>
      </c>
      <c r="JM42" s="69">
        <v>667202</v>
      </c>
      <c r="JN42" s="69">
        <v>219007</v>
      </c>
      <c r="JO42" s="69"/>
      <c r="JP42" s="69"/>
      <c r="JQ42" s="69"/>
      <c r="JR42" s="69"/>
      <c r="JS42" s="69"/>
      <c r="JT42" s="69"/>
      <c r="JU42" s="69"/>
      <c r="JV42" s="69"/>
      <c r="JW42" s="69"/>
      <c r="JX42" s="69"/>
      <c r="JY42" s="69"/>
      <c r="JZ42" s="69"/>
      <c r="KA42" s="69"/>
      <c r="KB42" s="69"/>
      <c r="KC42" s="69"/>
      <c r="KD42" s="69"/>
      <c r="KE42" s="69"/>
      <c r="KF42" s="69"/>
      <c r="KG42" s="69"/>
      <c r="KH42" s="69"/>
      <c r="KI42" s="69"/>
      <c r="KJ42" s="69"/>
      <c r="KK42" s="69"/>
      <c r="KL42" s="69"/>
      <c r="KM42" s="69"/>
      <c r="KN42" s="69"/>
      <c r="KO42" s="69"/>
      <c r="KP42" s="69"/>
      <c r="KQ42" s="69"/>
      <c r="KR42" s="69"/>
      <c r="KS42" s="69"/>
      <c r="KT42" s="69"/>
      <c r="KU42" s="69"/>
      <c r="KV42" s="69"/>
      <c r="KW42" s="69"/>
    </row>
    <row r="43" spans="1:309" ht="15" customHeight="1" x14ac:dyDescent="0.25">
      <c r="A43" t="s">
        <v>400</v>
      </c>
      <c r="C43" t="s">
        <v>1088</v>
      </c>
      <c r="E43" s="2"/>
      <c r="G43" t="s">
        <v>401</v>
      </c>
      <c r="Q43" s="69">
        <v>284850</v>
      </c>
      <c r="AH43">
        <v>3161648</v>
      </c>
      <c r="AI43">
        <v>1408929</v>
      </c>
      <c r="AJ43">
        <v>1851305</v>
      </c>
      <c r="AK43">
        <v>0</v>
      </c>
      <c r="AL43">
        <v>0</v>
      </c>
      <c r="AM43">
        <v>246260</v>
      </c>
      <c r="CU43">
        <v>23104</v>
      </c>
      <c r="CV43">
        <v>11536</v>
      </c>
      <c r="CW43">
        <v>232656</v>
      </c>
      <c r="CX43">
        <v>112478</v>
      </c>
      <c r="CY43">
        <v>0</v>
      </c>
      <c r="CZ43">
        <v>5856</v>
      </c>
      <c r="DA43">
        <v>110848</v>
      </c>
      <c r="DB43">
        <v>15360</v>
      </c>
      <c r="DC43">
        <v>97653</v>
      </c>
      <c r="DD43">
        <v>1056</v>
      </c>
      <c r="DE43">
        <v>16256</v>
      </c>
      <c r="DF43">
        <v>380192</v>
      </c>
      <c r="DG43">
        <v>30784</v>
      </c>
      <c r="DH43">
        <v>24000</v>
      </c>
      <c r="DI43">
        <v>0</v>
      </c>
      <c r="DJ43">
        <v>32413</v>
      </c>
      <c r="DK43">
        <v>0</v>
      </c>
      <c r="DL43">
        <v>102640</v>
      </c>
      <c r="DM43">
        <v>235456</v>
      </c>
      <c r="DN43">
        <v>42112</v>
      </c>
      <c r="DO43">
        <v>27090</v>
      </c>
      <c r="DP43">
        <v>5376</v>
      </c>
      <c r="DQ43">
        <v>70048</v>
      </c>
      <c r="DR43">
        <v>109769</v>
      </c>
      <c r="DS43">
        <v>410512</v>
      </c>
      <c r="DT43">
        <v>75120</v>
      </c>
      <c r="DX43" s="69"/>
      <c r="DY43" s="69">
        <v>87587</v>
      </c>
      <c r="DZ43" s="69">
        <v>54205</v>
      </c>
      <c r="EA43" s="69">
        <v>716512</v>
      </c>
      <c r="EB43" s="69">
        <v>504958</v>
      </c>
      <c r="EC43" s="69">
        <v>0</v>
      </c>
      <c r="ED43" s="69">
        <v>31590</v>
      </c>
      <c r="EE43" s="69">
        <v>211978</v>
      </c>
      <c r="EF43" s="69">
        <v>34820</v>
      </c>
      <c r="EG43" s="69">
        <v>288324</v>
      </c>
      <c r="EH43" s="69">
        <v>0</v>
      </c>
      <c r="EI43" s="69">
        <v>145916</v>
      </c>
      <c r="EJ43" s="69">
        <v>1139298</v>
      </c>
      <c r="EK43" s="69">
        <v>24145</v>
      </c>
      <c r="EL43" s="69">
        <v>163738</v>
      </c>
      <c r="EM43" s="69">
        <v>0</v>
      </c>
      <c r="EN43" s="69">
        <v>73920</v>
      </c>
      <c r="EO43" s="69">
        <v>0</v>
      </c>
      <c r="EP43" s="69">
        <v>516428</v>
      </c>
      <c r="EQ43" s="69">
        <v>833899</v>
      </c>
      <c r="ER43" s="69">
        <v>214289</v>
      </c>
      <c r="ES43" s="69">
        <v>49789</v>
      </c>
      <c r="ET43" s="69">
        <v>0</v>
      </c>
      <c r="EU43" s="69">
        <v>241738</v>
      </c>
      <c r="EV43" s="69">
        <v>177829</v>
      </c>
      <c r="EW43" s="69">
        <v>1161403</v>
      </c>
      <c r="EX43" s="69">
        <v>203231</v>
      </c>
      <c r="EY43" s="69"/>
      <c r="EZ43" s="69"/>
      <c r="FA43" s="69"/>
      <c r="FB43" s="69"/>
      <c r="FC43" s="69"/>
      <c r="FD43" s="69"/>
      <c r="FE43" s="69"/>
      <c r="FF43" s="69"/>
      <c r="FG43" s="69"/>
      <c r="FH43" s="69"/>
      <c r="FI43" s="69"/>
      <c r="FJ43" s="69"/>
      <c r="FK43" s="69"/>
      <c r="FL43" s="69"/>
      <c r="FM43" s="69"/>
      <c r="FN43" s="69"/>
      <c r="FO43" s="69"/>
      <c r="FP43" s="69"/>
      <c r="FQ43" s="69"/>
      <c r="FR43" s="69"/>
      <c r="FS43" s="69"/>
      <c r="FT43" s="69"/>
      <c r="FU43" s="69"/>
      <c r="FV43" s="69"/>
      <c r="FW43" s="69"/>
      <c r="FX43" s="69"/>
      <c r="FY43" s="69"/>
      <c r="FZ43" s="69"/>
      <c r="GA43" s="69"/>
      <c r="GB43" s="69"/>
      <c r="GC43" s="69"/>
      <c r="GD43" s="69"/>
      <c r="GE43" s="69"/>
      <c r="GF43" s="69"/>
      <c r="GG43" s="69"/>
      <c r="GH43" s="69"/>
      <c r="GI43" s="69"/>
      <c r="GJ43" s="69"/>
      <c r="GK43" s="69"/>
      <c r="GL43" s="69"/>
      <c r="GM43" s="69"/>
      <c r="GN43" s="69"/>
      <c r="GO43" s="69"/>
      <c r="GP43" s="69"/>
      <c r="GQ43" s="69"/>
      <c r="GR43" s="69"/>
      <c r="GS43" s="69"/>
      <c r="GT43" s="69"/>
      <c r="GU43" s="69"/>
      <c r="GV43" s="69"/>
      <c r="GW43" s="69"/>
      <c r="GX43" s="69"/>
      <c r="GY43" s="69"/>
      <c r="GZ43" s="69"/>
      <c r="HA43" s="69"/>
      <c r="HB43" s="69"/>
      <c r="HC43" s="69"/>
      <c r="HD43" s="69"/>
      <c r="HE43" s="69"/>
      <c r="HF43" s="69"/>
      <c r="HG43" s="69"/>
      <c r="HH43" s="69"/>
      <c r="HI43" s="69"/>
      <c r="HJ43" s="69"/>
      <c r="HK43" s="69"/>
      <c r="HL43" s="69"/>
      <c r="HM43" s="69"/>
      <c r="HN43" s="69"/>
      <c r="HO43" s="69"/>
      <c r="HP43" s="69"/>
      <c r="HQ43" s="69"/>
      <c r="HR43" s="69"/>
      <c r="HS43" s="69"/>
      <c r="HT43" s="69"/>
      <c r="HU43" s="69"/>
      <c r="HV43" s="69"/>
      <c r="HW43" s="69"/>
      <c r="HX43" s="69"/>
      <c r="HY43" s="69"/>
      <c r="HZ43" s="69"/>
      <c r="IA43" s="69"/>
      <c r="IB43" s="69"/>
      <c r="IC43" s="69"/>
      <c r="ID43" s="69"/>
      <c r="IE43" s="69"/>
      <c r="IF43" s="69"/>
      <c r="IG43" s="69"/>
      <c r="IH43" s="69"/>
      <c r="II43" s="69"/>
      <c r="IJ43" s="69"/>
      <c r="IK43" s="69"/>
      <c r="IL43" s="69"/>
      <c r="IM43" s="69"/>
      <c r="IN43" s="69"/>
      <c r="IO43" s="69">
        <v>12595</v>
      </c>
      <c r="IP43" s="69">
        <v>18140</v>
      </c>
      <c r="IQ43" s="69">
        <v>122652</v>
      </c>
      <c r="IR43" s="69">
        <v>124274</v>
      </c>
      <c r="IS43" s="69">
        <v>0</v>
      </c>
      <c r="IT43" s="69">
        <v>6079</v>
      </c>
      <c r="IU43" s="69">
        <v>20976</v>
      </c>
      <c r="IV43" s="69">
        <v>13377</v>
      </c>
      <c r="IW43" s="69">
        <v>55999</v>
      </c>
      <c r="IX43" s="69">
        <v>6345</v>
      </c>
      <c r="IY43" s="69">
        <v>-18886</v>
      </c>
      <c r="IZ43" s="69">
        <v>244921</v>
      </c>
      <c r="JA43" s="69">
        <v>4549</v>
      </c>
      <c r="JB43" s="69">
        <v>25609</v>
      </c>
      <c r="JC43" s="69">
        <v>0</v>
      </c>
      <c r="JD43" s="69">
        <v>62115</v>
      </c>
      <c r="JE43" s="69">
        <v>0</v>
      </c>
      <c r="JF43" s="69">
        <v>135708</v>
      </c>
      <c r="JG43" s="69">
        <v>204029</v>
      </c>
      <c r="JH43" s="69">
        <v>58967</v>
      </c>
      <c r="JI43" s="69">
        <v>337587</v>
      </c>
      <c r="JJ43" s="69">
        <v>33308</v>
      </c>
      <c r="JK43" s="69">
        <v>115982</v>
      </c>
      <c r="JL43" s="69">
        <v>155136</v>
      </c>
      <c r="JM43" s="69">
        <v>112859</v>
      </c>
      <c r="JN43" s="69">
        <v>28690</v>
      </c>
      <c r="JO43" s="69"/>
      <c r="JP43" s="69"/>
      <c r="JQ43" s="69"/>
      <c r="JR43" s="69"/>
      <c r="JS43" s="69"/>
      <c r="JT43" s="69"/>
      <c r="JU43" s="69"/>
      <c r="JV43" s="69"/>
      <c r="JW43" s="69"/>
      <c r="JX43" s="69"/>
      <c r="JY43" s="69"/>
      <c r="JZ43" s="69"/>
      <c r="KA43" s="69"/>
      <c r="KB43" s="69"/>
      <c r="KC43" s="69"/>
      <c r="KD43" s="69"/>
      <c r="KE43" s="69"/>
      <c r="KF43" s="69"/>
      <c r="KG43" s="69"/>
      <c r="KH43" s="69"/>
      <c r="KI43" s="69"/>
      <c r="KJ43" s="69"/>
      <c r="KK43" s="69"/>
      <c r="KL43" s="69"/>
      <c r="KM43" s="69"/>
      <c r="KN43" s="69"/>
      <c r="KO43" s="69"/>
      <c r="KP43" s="69"/>
      <c r="KQ43" s="69"/>
      <c r="KR43" s="69"/>
      <c r="KS43" s="69"/>
      <c r="KT43" s="69"/>
      <c r="KU43" s="69"/>
      <c r="KV43" s="69"/>
      <c r="KW43" s="69"/>
    </row>
    <row r="44" spans="1:309" x14ac:dyDescent="0.25">
      <c r="A44" t="s">
        <v>402</v>
      </c>
      <c r="C44" t="s">
        <v>1088</v>
      </c>
      <c r="E44" s="2"/>
      <c r="G44" t="s">
        <v>403</v>
      </c>
      <c r="Q44" s="69">
        <v>4879924</v>
      </c>
      <c r="AH44">
        <v>19358103</v>
      </c>
      <c r="AI44">
        <v>13164664</v>
      </c>
      <c r="AJ44">
        <v>11644335</v>
      </c>
      <c r="AK44">
        <v>0</v>
      </c>
      <c r="AL44">
        <v>578017</v>
      </c>
      <c r="AM44">
        <v>2938375</v>
      </c>
      <c r="CU44">
        <v>33696</v>
      </c>
      <c r="CV44">
        <v>53434</v>
      </c>
      <c r="CW44">
        <v>2293728</v>
      </c>
      <c r="CX44">
        <v>1157198</v>
      </c>
      <c r="CY44">
        <v>0</v>
      </c>
      <c r="CZ44">
        <v>337122</v>
      </c>
      <c r="DA44">
        <v>613083</v>
      </c>
      <c r="DB44">
        <v>37504</v>
      </c>
      <c r="DC44">
        <v>237772</v>
      </c>
      <c r="DD44">
        <v>13184</v>
      </c>
      <c r="DE44">
        <v>218322</v>
      </c>
      <c r="DF44">
        <v>2553947</v>
      </c>
      <c r="DG44">
        <v>489928</v>
      </c>
      <c r="DH44">
        <v>305590</v>
      </c>
      <c r="DI44">
        <v>39220</v>
      </c>
      <c r="DJ44">
        <v>335161</v>
      </c>
      <c r="DK44">
        <v>46512</v>
      </c>
      <c r="DL44">
        <v>0</v>
      </c>
      <c r="DM44">
        <v>1522984</v>
      </c>
      <c r="DN44">
        <v>110576</v>
      </c>
      <c r="DO44">
        <v>168656</v>
      </c>
      <c r="DP44">
        <v>36724</v>
      </c>
      <c r="DQ44">
        <v>543984</v>
      </c>
      <c r="DR44">
        <v>379024</v>
      </c>
      <c r="DS44">
        <v>3297776</v>
      </c>
      <c r="DT44">
        <v>1125603</v>
      </c>
      <c r="DX44" s="69"/>
      <c r="DY44" s="69">
        <v>100883</v>
      </c>
      <c r="DZ44" s="69">
        <v>426463</v>
      </c>
      <c r="EA44" s="69">
        <v>6560820</v>
      </c>
      <c r="EB44" s="69">
        <v>2931230</v>
      </c>
      <c r="EC44" s="69">
        <v>0</v>
      </c>
      <c r="ED44" s="69">
        <v>688775</v>
      </c>
      <c r="EE44" s="69">
        <v>2541127</v>
      </c>
      <c r="EF44" s="69">
        <v>54927</v>
      </c>
      <c r="EG44" s="69">
        <v>828300</v>
      </c>
      <c r="EH44" s="69">
        <v>67728</v>
      </c>
      <c r="EI44" s="69">
        <v>1116139</v>
      </c>
      <c r="EJ44" s="69">
        <v>8121054</v>
      </c>
      <c r="EK44" s="69">
        <v>1331390</v>
      </c>
      <c r="EL44" s="69">
        <v>2099732</v>
      </c>
      <c r="EM44" s="69">
        <v>444842</v>
      </c>
      <c r="EN44" s="69">
        <v>1701595</v>
      </c>
      <c r="EO44" s="69">
        <v>421039</v>
      </c>
      <c r="EP44" s="69">
        <v>0</v>
      </c>
      <c r="EQ44" s="69">
        <v>4909575</v>
      </c>
      <c r="ER44" s="69">
        <v>511679</v>
      </c>
      <c r="ES44" s="69">
        <v>811779</v>
      </c>
      <c r="ET44" s="69">
        <v>5077</v>
      </c>
      <c r="EU44" s="69">
        <v>1851681</v>
      </c>
      <c r="EV44" s="69">
        <v>1419346</v>
      </c>
      <c r="EW44" s="69">
        <v>7957072</v>
      </c>
      <c r="EX44" s="69">
        <v>4687428</v>
      </c>
      <c r="EY44" s="69"/>
      <c r="EZ44" s="69"/>
      <c r="FA44" s="69"/>
      <c r="FB44" s="69"/>
      <c r="FC44" s="69"/>
      <c r="FD44" s="69"/>
      <c r="FE44" s="69"/>
      <c r="FF44" s="69"/>
      <c r="FG44" s="69"/>
      <c r="FH44" s="69"/>
      <c r="FI44" s="69"/>
      <c r="FJ44" s="69"/>
      <c r="FK44" s="69"/>
      <c r="FL44" s="69"/>
      <c r="FM44" s="69"/>
      <c r="FN44" s="69"/>
      <c r="FO44" s="69"/>
      <c r="FP44" s="69"/>
      <c r="FQ44" s="69"/>
      <c r="FR44" s="69"/>
      <c r="FS44" s="69"/>
      <c r="FT44" s="69"/>
      <c r="FU44" s="69"/>
      <c r="FV44" s="69"/>
      <c r="FW44" s="69"/>
      <c r="FX44" s="69"/>
      <c r="FY44" s="69"/>
      <c r="FZ44" s="69"/>
      <c r="GA44" s="69"/>
      <c r="GB44" s="69"/>
      <c r="GC44" s="69"/>
      <c r="GD44" s="69"/>
      <c r="GE44" s="69"/>
      <c r="GF44" s="69"/>
      <c r="GG44" s="69"/>
      <c r="GH44" s="69"/>
      <c r="GI44" s="69"/>
      <c r="GJ44" s="69"/>
      <c r="GK44" s="69"/>
      <c r="GL44" s="69"/>
      <c r="GM44" s="69"/>
      <c r="GN44" s="69"/>
      <c r="GO44" s="69"/>
      <c r="GP44" s="69"/>
      <c r="GQ44" s="69"/>
      <c r="GR44" s="69"/>
      <c r="GS44" s="69"/>
      <c r="GT44" s="69"/>
      <c r="GU44" s="69"/>
      <c r="GV44" s="69"/>
      <c r="GW44" s="69"/>
      <c r="GX44" s="69"/>
      <c r="GY44" s="69"/>
      <c r="GZ44" s="69"/>
      <c r="HA44" s="69"/>
      <c r="HB44" s="69"/>
      <c r="HC44" s="69"/>
      <c r="HD44" s="69"/>
      <c r="HE44" s="69"/>
      <c r="HF44" s="69"/>
      <c r="HG44" s="69"/>
      <c r="HH44" s="69"/>
      <c r="HI44" s="69"/>
      <c r="HJ44" s="69"/>
      <c r="HK44" s="69"/>
      <c r="HL44" s="69"/>
      <c r="HM44" s="69"/>
      <c r="HN44" s="69"/>
      <c r="HO44" s="69"/>
      <c r="HP44" s="69"/>
      <c r="HQ44" s="69"/>
      <c r="HR44" s="69"/>
      <c r="HS44" s="69"/>
      <c r="HT44" s="69"/>
      <c r="HU44" s="69"/>
      <c r="HV44" s="69"/>
      <c r="HW44" s="69"/>
      <c r="HX44" s="69"/>
      <c r="HY44" s="69"/>
      <c r="HZ44" s="69"/>
      <c r="IA44" s="69"/>
      <c r="IB44" s="69"/>
      <c r="IC44" s="69"/>
      <c r="ID44" s="69"/>
      <c r="IE44" s="69"/>
      <c r="IF44" s="69"/>
      <c r="IG44" s="69"/>
      <c r="IH44" s="69"/>
      <c r="II44" s="69"/>
      <c r="IJ44" s="69"/>
      <c r="IK44" s="69"/>
      <c r="IL44" s="69"/>
      <c r="IM44" s="69"/>
      <c r="IN44" s="69"/>
      <c r="IO44" s="69">
        <v>73583</v>
      </c>
      <c r="IP44" s="69">
        <v>216862</v>
      </c>
      <c r="IQ44" s="69">
        <v>2719699</v>
      </c>
      <c r="IR44" s="69">
        <v>1540620</v>
      </c>
      <c r="IS44" s="69">
        <v>0</v>
      </c>
      <c r="IT44" s="69">
        <v>1385316</v>
      </c>
      <c r="IU44" s="69">
        <v>1039035</v>
      </c>
      <c r="IV44" s="69">
        <v>185687</v>
      </c>
      <c r="IW44" s="69">
        <v>317205</v>
      </c>
      <c r="IX44" s="69">
        <v>29038</v>
      </c>
      <c r="IY44" s="69">
        <v>467986</v>
      </c>
      <c r="IZ44" s="69">
        <v>2550451</v>
      </c>
      <c r="JA44" s="69">
        <v>469297</v>
      </c>
      <c r="JB44" s="69">
        <v>877756</v>
      </c>
      <c r="JC44" s="69">
        <v>130813</v>
      </c>
      <c r="JD44" s="69">
        <v>1353878</v>
      </c>
      <c r="JE44" s="69">
        <v>121662</v>
      </c>
      <c r="JF44" s="69">
        <v>0</v>
      </c>
      <c r="JG44" s="69">
        <v>1542305</v>
      </c>
      <c r="JH44" s="69">
        <v>250865</v>
      </c>
      <c r="JI44" s="69">
        <v>514788</v>
      </c>
      <c r="JJ44" s="69">
        <v>34957</v>
      </c>
      <c r="JK44" s="69">
        <v>683934</v>
      </c>
      <c r="JL44" s="69">
        <v>2564835</v>
      </c>
      <c r="JM44" s="69">
        <v>2900461</v>
      </c>
      <c r="JN44" s="69">
        <v>1564072</v>
      </c>
      <c r="JO44" s="69"/>
      <c r="JP44" s="69"/>
      <c r="JQ44" s="69"/>
      <c r="JR44" s="69"/>
      <c r="JS44" s="69"/>
      <c r="JT44" s="69"/>
      <c r="JU44" s="69"/>
      <c r="JV44" s="69"/>
      <c r="JW44" s="69"/>
      <c r="JX44" s="69"/>
      <c r="JY44" s="69"/>
      <c r="JZ44" s="69"/>
      <c r="KA44" s="69"/>
      <c r="KB44" s="69"/>
      <c r="KC44" s="69"/>
      <c r="KD44" s="69"/>
      <c r="KE44" s="69"/>
      <c r="KF44" s="69"/>
      <c r="KG44" s="69"/>
      <c r="KH44" s="69"/>
      <c r="KI44" s="69"/>
      <c r="KJ44" s="69"/>
      <c r="KK44" s="69"/>
      <c r="KL44" s="69"/>
      <c r="KM44" s="69"/>
      <c r="KN44" s="69"/>
      <c r="KO44" s="69"/>
      <c r="KP44" s="69"/>
      <c r="KQ44" s="69"/>
      <c r="KR44" s="69"/>
      <c r="KS44" s="69"/>
      <c r="KT44" s="69"/>
      <c r="KU44" s="69"/>
      <c r="KV44" s="69"/>
      <c r="KW44" s="69"/>
    </row>
    <row r="45" spans="1:309" x14ac:dyDescent="0.25">
      <c r="A45" t="s">
        <v>404</v>
      </c>
      <c r="C45" t="s">
        <v>1088</v>
      </c>
      <c r="E45" s="2"/>
      <c r="G45" t="s">
        <v>405</v>
      </c>
      <c r="Q45" s="69">
        <v>687601</v>
      </c>
      <c r="AH45">
        <v>4090396</v>
      </c>
      <c r="AI45">
        <v>1248411</v>
      </c>
      <c r="AJ45">
        <v>1605144</v>
      </c>
      <c r="AK45">
        <v>0</v>
      </c>
      <c r="AL45">
        <v>0</v>
      </c>
      <c r="AM45">
        <v>261028</v>
      </c>
      <c r="CU45">
        <v>19264</v>
      </c>
      <c r="CV45">
        <v>4080</v>
      </c>
      <c r="CW45">
        <v>279360</v>
      </c>
      <c r="CX45">
        <v>201295</v>
      </c>
      <c r="CY45">
        <v>0</v>
      </c>
      <c r="CZ45">
        <v>1744</v>
      </c>
      <c r="DA45">
        <v>95982</v>
      </c>
      <c r="DB45">
        <v>248</v>
      </c>
      <c r="DC45">
        <v>32890</v>
      </c>
      <c r="DD45">
        <v>0</v>
      </c>
      <c r="DE45">
        <v>37046</v>
      </c>
      <c r="DF45">
        <v>359616</v>
      </c>
      <c r="DG45">
        <v>21344</v>
      </c>
      <c r="DH45">
        <v>105460</v>
      </c>
      <c r="DI45">
        <v>18555</v>
      </c>
      <c r="DJ45">
        <v>164042</v>
      </c>
      <c r="DK45">
        <v>33776</v>
      </c>
      <c r="DL45">
        <v>123504</v>
      </c>
      <c r="DM45">
        <v>213945</v>
      </c>
      <c r="DN45">
        <v>0</v>
      </c>
      <c r="DO45">
        <v>0</v>
      </c>
      <c r="DP45">
        <v>6536</v>
      </c>
      <c r="DQ45">
        <v>60816</v>
      </c>
      <c r="DR45">
        <v>64791</v>
      </c>
      <c r="DS45">
        <v>340128</v>
      </c>
      <c r="DT45">
        <v>149488</v>
      </c>
      <c r="DX45" s="69"/>
      <c r="DY45" s="69">
        <v>69186</v>
      </c>
      <c r="DZ45" s="69">
        <v>0</v>
      </c>
      <c r="EA45" s="69">
        <v>817722</v>
      </c>
      <c r="EB45" s="69">
        <v>417228</v>
      </c>
      <c r="EC45" s="69">
        <v>0</v>
      </c>
      <c r="ED45" s="69">
        <v>8068</v>
      </c>
      <c r="EE45" s="69">
        <v>296270</v>
      </c>
      <c r="EF45" s="69">
        <v>0</v>
      </c>
      <c r="EG45" s="69">
        <v>103069</v>
      </c>
      <c r="EH45" s="69">
        <v>0</v>
      </c>
      <c r="EI45" s="69">
        <v>67324</v>
      </c>
      <c r="EJ45" s="69">
        <v>1063434</v>
      </c>
      <c r="EK45" s="69">
        <v>87838</v>
      </c>
      <c r="EL45" s="69">
        <v>530279</v>
      </c>
      <c r="EM45" s="69">
        <v>268917</v>
      </c>
      <c r="EN45" s="69">
        <v>555011</v>
      </c>
      <c r="EO45" s="69">
        <v>186613</v>
      </c>
      <c r="EP45" s="69">
        <v>565794</v>
      </c>
      <c r="EQ45" s="69">
        <v>663228</v>
      </c>
      <c r="ER45" s="69">
        <v>0</v>
      </c>
      <c r="ES45" s="69">
        <v>0</v>
      </c>
      <c r="ET45" s="69">
        <v>23329</v>
      </c>
      <c r="EU45" s="69">
        <v>188681</v>
      </c>
      <c r="EV45" s="69">
        <v>152284</v>
      </c>
      <c r="EW45" s="69">
        <v>883692</v>
      </c>
      <c r="EX45" s="69">
        <v>663363</v>
      </c>
      <c r="EY45" s="69"/>
      <c r="EZ45" s="69"/>
      <c r="FA45" s="69"/>
      <c r="FB45" s="69"/>
      <c r="FC45" s="69"/>
      <c r="FD45" s="69"/>
      <c r="FE45" s="69"/>
      <c r="FF45" s="69"/>
      <c r="FG45" s="69"/>
      <c r="FH45" s="69"/>
      <c r="FI45" s="69"/>
      <c r="FJ45" s="69"/>
      <c r="FK45" s="69"/>
      <c r="FL45" s="69"/>
      <c r="FM45" s="69"/>
      <c r="FN45" s="69"/>
      <c r="FO45" s="69"/>
      <c r="FP45" s="69"/>
      <c r="FQ45" s="69"/>
      <c r="FR45" s="69"/>
      <c r="FS45" s="69"/>
      <c r="FT45" s="69"/>
      <c r="FU45" s="69"/>
      <c r="FV45" s="69"/>
      <c r="FW45" s="69"/>
      <c r="FX45" s="69"/>
      <c r="FY45" s="69"/>
      <c r="FZ45" s="69"/>
      <c r="GA45" s="69"/>
      <c r="GB45" s="69"/>
      <c r="GC45" s="69"/>
      <c r="GD45" s="69"/>
      <c r="GE45" s="69"/>
      <c r="GF45" s="69"/>
      <c r="GG45" s="69"/>
      <c r="GH45" s="69"/>
      <c r="GI45" s="69"/>
      <c r="GJ45" s="69"/>
      <c r="GK45" s="69"/>
      <c r="GL45" s="69"/>
      <c r="GM45" s="69"/>
      <c r="GN45" s="69"/>
      <c r="GO45" s="69"/>
      <c r="GP45" s="69"/>
      <c r="GQ45" s="69"/>
      <c r="GR45" s="69"/>
      <c r="GS45" s="69"/>
      <c r="GT45" s="69"/>
      <c r="GU45" s="69"/>
      <c r="GV45" s="69"/>
      <c r="GW45" s="69"/>
      <c r="GX45" s="69"/>
      <c r="GY45" s="69"/>
      <c r="GZ45" s="69"/>
      <c r="HA45" s="69"/>
      <c r="HB45" s="69"/>
      <c r="HC45" s="69"/>
      <c r="HD45" s="69"/>
      <c r="HE45" s="69"/>
      <c r="HF45" s="69"/>
      <c r="HG45" s="69"/>
      <c r="HH45" s="69"/>
      <c r="HI45" s="69"/>
      <c r="HJ45" s="69"/>
      <c r="HK45" s="69"/>
      <c r="HL45" s="69"/>
      <c r="HM45" s="69"/>
      <c r="HN45" s="69"/>
      <c r="HO45" s="69"/>
      <c r="HP45" s="69"/>
      <c r="HQ45" s="69"/>
      <c r="HR45" s="69"/>
      <c r="HS45" s="69"/>
      <c r="HT45" s="69"/>
      <c r="HU45" s="69"/>
      <c r="HV45" s="69"/>
      <c r="HW45" s="69"/>
      <c r="HX45" s="69"/>
      <c r="HY45" s="69"/>
      <c r="HZ45" s="69"/>
      <c r="IA45" s="69"/>
      <c r="IB45" s="69"/>
      <c r="IC45" s="69"/>
      <c r="ID45" s="69"/>
      <c r="IE45" s="69"/>
      <c r="IF45" s="69"/>
      <c r="IG45" s="69"/>
      <c r="IH45" s="69"/>
      <c r="II45" s="69"/>
      <c r="IJ45" s="69"/>
      <c r="IK45" s="69"/>
      <c r="IL45" s="69"/>
      <c r="IM45" s="69"/>
      <c r="IN45" s="69"/>
      <c r="IO45" s="69">
        <v>13178</v>
      </c>
      <c r="IP45" s="69">
        <v>18306</v>
      </c>
      <c r="IQ45" s="69">
        <v>293259</v>
      </c>
      <c r="IR45" s="69">
        <v>126814</v>
      </c>
      <c r="IS45" s="69">
        <v>0</v>
      </c>
      <c r="IT45" s="69">
        <v>3398</v>
      </c>
      <c r="IU45" s="69">
        <v>123711</v>
      </c>
      <c r="IV45" s="69">
        <v>876</v>
      </c>
      <c r="IW45" s="69">
        <v>25805</v>
      </c>
      <c r="IX45" s="69">
        <v>0</v>
      </c>
      <c r="IY45" s="69">
        <v>41142</v>
      </c>
      <c r="IZ45" s="69">
        <v>155339</v>
      </c>
      <c r="JA45" s="69">
        <v>14558</v>
      </c>
      <c r="JB45" s="69">
        <v>127049</v>
      </c>
      <c r="JC45" s="69">
        <v>108694</v>
      </c>
      <c r="JD45" s="69">
        <v>378988</v>
      </c>
      <c r="JE45" s="69">
        <v>45770</v>
      </c>
      <c r="JF45" s="69">
        <v>121259</v>
      </c>
      <c r="JG45" s="69">
        <v>152053</v>
      </c>
      <c r="JH45" s="69">
        <v>0</v>
      </c>
      <c r="JI45" s="69">
        <v>0</v>
      </c>
      <c r="JJ45" s="69">
        <v>6085</v>
      </c>
      <c r="JK45" s="69">
        <v>23471</v>
      </c>
      <c r="JL45" s="69">
        <v>161712</v>
      </c>
      <c r="JM45" s="69">
        <v>134182</v>
      </c>
      <c r="JN45" s="69">
        <v>273821</v>
      </c>
      <c r="JO45" s="69"/>
      <c r="JP45" s="69"/>
      <c r="JQ45" s="69"/>
      <c r="JR45" s="69"/>
      <c r="JS45" s="69"/>
      <c r="JT45" s="69"/>
      <c r="JU45" s="69"/>
      <c r="JV45" s="69"/>
      <c r="JW45" s="69"/>
      <c r="JX45" s="69"/>
      <c r="JY45" s="69"/>
      <c r="JZ45" s="69"/>
      <c r="KA45" s="69"/>
      <c r="KB45" s="69"/>
      <c r="KC45" s="69"/>
      <c r="KD45" s="69"/>
      <c r="KE45" s="69"/>
      <c r="KF45" s="69"/>
      <c r="KG45" s="69"/>
      <c r="KH45" s="69"/>
      <c r="KI45" s="69"/>
      <c r="KJ45" s="69"/>
      <c r="KK45" s="69"/>
      <c r="KL45" s="69"/>
      <c r="KM45" s="69"/>
      <c r="KN45" s="69"/>
      <c r="KO45" s="69"/>
      <c r="KP45" s="69"/>
      <c r="KQ45" s="69"/>
      <c r="KR45" s="69"/>
      <c r="KS45" s="69"/>
      <c r="KT45" s="69"/>
      <c r="KU45" s="69"/>
      <c r="KV45" s="69"/>
      <c r="KW45" s="69"/>
    </row>
    <row r="46" spans="1:309" x14ac:dyDescent="0.25">
      <c r="A46" t="s">
        <v>406</v>
      </c>
      <c r="E46" s="2"/>
      <c r="G46" t="s">
        <v>1068</v>
      </c>
      <c r="Q46" s="69"/>
      <c r="DX46" s="69"/>
      <c r="DY46" s="69"/>
      <c r="DZ46" s="69"/>
      <c r="EA46" s="69"/>
      <c r="EB46" s="69"/>
      <c r="EC46" s="69"/>
      <c r="ED46" s="69"/>
      <c r="EE46" s="69"/>
      <c r="EF46" s="69"/>
      <c r="EG46" s="69"/>
      <c r="EH46" s="69"/>
      <c r="EI46" s="69"/>
      <c r="EJ46" s="69"/>
      <c r="EK46" s="69"/>
      <c r="EL46" s="69"/>
      <c r="EM46" s="69"/>
      <c r="EN46" s="69"/>
      <c r="EO46" s="69"/>
      <c r="EP46" s="69"/>
      <c r="EQ46" s="69"/>
      <c r="ER46" s="69"/>
      <c r="ES46" s="69"/>
      <c r="ET46" s="69"/>
      <c r="EU46" s="69"/>
      <c r="EV46" s="69"/>
      <c r="EW46" s="69"/>
      <c r="EX46" s="69"/>
      <c r="EY46" s="69"/>
      <c r="EZ46" s="69"/>
      <c r="FA46" s="69"/>
      <c r="FB46" s="69"/>
      <c r="FC46" s="69"/>
      <c r="FD46" s="69"/>
      <c r="FE46" s="69"/>
      <c r="FF46" s="69"/>
      <c r="FG46" s="69"/>
      <c r="FH46" s="69"/>
      <c r="FI46" s="69"/>
      <c r="FJ46" s="69"/>
      <c r="FK46" s="69"/>
      <c r="FL46" s="69"/>
      <c r="FM46" s="69"/>
      <c r="FN46" s="69"/>
      <c r="FO46" s="69"/>
      <c r="FP46" s="69"/>
      <c r="FQ46" s="69"/>
      <c r="FR46" s="69"/>
      <c r="FS46" s="69"/>
      <c r="FT46" s="69"/>
      <c r="FU46" s="69"/>
      <c r="FV46" s="69"/>
      <c r="FW46" s="69"/>
      <c r="FX46" s="69"/>
      <c r="FY46" s="69"/>
      <c r="FZ46" s="69"/>
      <c r="GA46" s="69"/>
      <c r="GB46" s="69"/>
      <c r="GC46" s="69"/>
      <c r="GD46" s="69"/>
      <c r="GE46" s="69"/>
      <c r="GF46" s="69"/>
      <c r="GG46" s="69"/>
      <c r="GH46" s="69"/>
      <c r="GI46" s="69"/>
      <c r="GJ46" s="69"/>
      <c r="GK46" s="69"/>
      <c r="GL46" s="69"/>
      <c r="GM46" s="69"/>
      <c r="GN46" s="69"/>
      <c r="GO46" s="69"/>
      <c r="GP46" s="69"/>
      <c r="GQ46" s="69"/>
      <c r="GR46" s="69"/>
      <c r="GS46" s="69"/>
      <c r="GT46" s="69"/>
      <c r="GU46" s="69"/>
      <c r="GV46" s="69"/>
      <c r="GW46" s="69"/>
      <c r="GX46" s="69"/>
      <c r="GY46" s="69"/>
      <c r="GZ46" s="69"/>
      <c r="HA46" s="69"/>
      <c r="HB46" s="69"/>
      <c r="HC46" s="69"/>
      <c r="HD46" s="69"/>
      <c r="HE46" s="69"/>
      <c r="HF46" s="69"/>
      <c r="HG46" s="69"/>
      <c r="HH46" s="69"/>
      <c r="HI46" s="69"/>
      <c r="HJ46" s="69"/>
      <c r="HK46" s="69"/>
      <c r="HL46" s="69"/>
      <c r="HM46" s="69"/>
      <c r="HN46" s="69"/>
      <c r="HO46" s="69"/>
      <c r="HP46" s="69"/>
      <c r="HQ46" s="69"/>
      <c r="HR46" s="69"/>
      <c r="HS46" s="69"/>
      <c r="HT46" s="69"/>
      <c r="HU46" s="69"/>
      <c r="HV46" s="69"/>
      <c r="HW46" s="69"/>
      <c r="HX46" s="69"/>
      <c r="HY46" s="69"/>
      <c r="HZ46" s="69"/>
      <c r="IA46" s="69"/>
      <c r="IB46" s="69"/>
      <c r="IC46" s="69"/>
      <c r="ID46" s="69"/>
      <c r="IE46" s="69"/>
      <c r="IF46" s="69"/>
      <c r="IG46" s="69"/>
      <c r="IH46" s="69"/>
      <c r="II46" s="69"/>
      <c r="IJ46" s="69"/>
      <c r="IK46" s="69"/>
      <c r="IL46" s="69"/>
      <c r="IM46" s="69"/>
      <c r="IN46" s="69"/>
      <c r="IO46" s="69"/>
      <c r="IP46" s="69"/>
      <c r="IQ46" s="69"/>
      <c r="IR46" s="69"/>
      <c r="IS46" s="69"/>
      <c r="IT46" s="69"/>
      <c r="IU46" s="69"/>
      <c r="IV46" s="69"/>
      <c r="IW46" s="69"/>
      <c r="IX46" s="69"/>
      <c r="IY46" s="69"/>
      <c r="IZ46" s="69"/>
      <c r="JA46" s="69"/>
      <c r="JB46" s="69"/>
      <c r="JC46" s="69"/>
      <c r="JD46" s="69"/>
      <c r="JE46" s="69"/>
      <c r="JF46" s="69"/>
      <c r="JG46" s="69"/>
      <c r="JH46" s="69"/>
      <c r="JI46" s="69"/>
      <c r="JJ46" s="69"/>
      <c r="JK46" s="69"/>
      <c r="JL46" s="69"/>
      <c r="JM46" s="69"/>
      <c r="JN46" s="69"/>
      <c r="JO46" s="69"/>
      <c r="JP46" s="69"/>
      <c r="JQ46" s="69"/>
      <c r="JR46" s="69"/>
      <c r="JS46" s="69"/>
      <c r="JT46" s="69"/>
      <c r="JU46" s="69"/>
      <c r="JV46" s="69"/>
      <c r="JW46" s="69"/>
      <c r="JX46" s="69"/>
      <c r="JY46" s="69"/>
      <c r="JZ46" s="69"/>
      <c r="KA46" s="69"/>
      <c r="KB46" s="69"/>
      <c r="KC46" s="69"/>
      <c r="KD46" s="69"/>
      <c r="KE46" s="69"/>
      <c r="KF46" s="69"/>
      <c r="KG46" s="69"/>
      <c r="KH46" s="69"/>
      <c r="KI46" s="69"/>
      <c r="KJ46" s="69"/>
      <c r="KK46" s="69"/>
      <c r="KL46" s="69"/>
      <c r="KM46" s="69"/>
      <c r="KN46" s="69"/>
      <c r="KO46" s="69"/>
      <c r="KP46" s="69"/>
      <c r="KQ46" s="69"/>
      <c r="KR46" s="69"/>
      <c r="KS46" s="69"/>
      <c r="KT46" s="69"/>
      <c r="KU46" s="69"/>
      <c r="KV46" s="69"/>
      <c r="KW46" s="69"/>
    </row>
    <row r="47" spans="1:309" x14ac:dyDescent="0.25">
      <c r="A47" t="s">
        <v>410</v>
      </c>
      <c r="E47" s="2"/>
      <c r="G47" t="s">
        <v>1069</v>
      </c>
      <c r="Q47" s="69"/>
      <c r="DX47" s="69"/>
      <c r="DY47" s="69"/>
      <c r="DZ47" s="69"/>
      <c r="EA47" s="69"/>
      <c r="EB47" s="69"/>
      <c r="EC47" s="69"/>
      <c r="ED47" s="69"/>
      <c r="EE47" s="69"/>
      <c r="EF47" s="69"/>
      <c r="EG47" s="69"/>
      <c r="EH47" s="69"/>
      <c r="EI47" s="69"/>
      <c r="EJ47" s="69"/>
      <c r="EK47" s="69"/>
      <c r="EL47" s="69"/>
      <c r="EM47" s="69"/>
      <c r="EN47" s="69"/>
      <c r="EO47" s="69"/>
      <c r="EP47" s="69"/>
      <c r="EQ47" s="69"/>
      <c r="ER47" s="69"/>
      <c r="ES47" s="69"/>
      <c r="ET47" s="69"/>
      <c r="EU47" s="69"/>
      <c r="EV47" s="69"/>
      <c r="EW47" s="69"/>
      <c r="EX47" s="69"/>
      <c r="EY47" s="69"/>
      <c r="EZ47" s="69"/>
      <c r="FA47" s="69"/>
      <c r="FB47" s="69"/>
      <c r="FC47" s="69"/>
      <c r="FD47" s="69"/>
      <c r="FE47" s="69"/>
      <c r="FF47" s="69"/>
      <c r="FG47" s="69"/>
      <c r="FH47" s="69"/>
      <c r="FI47" s="69"/>
      <c r="FJ47" s="69"/>
      <c r="FK47" s="69"/>
      <c r="FL47" s="69"/>
      <c r="FM47" s="69"/>
      <c r="FN47" s="69"/>
      <c r="FO47" s="69"/>
      <c r="FP47" s="69"/>
      <c r="FQ47" s="69"/>
      <c r="FR47" s="69"/>
      <c r="FS47" s="69"/>
      <c r="FT47" s="69"/>
      <c r="FU47" s="69"/>
      <c r="FV47" s="69"/>
      <c r="FW47" s="69"/>
      <c r="FX47" s="69"/>
      <c r="FY47" s="69"/>
      <c r="FZ47" s="69"/>
      <c r="GA47" s="69"/>
      <c r="GB47" s="69"/>
      <c r="GC47" s="69"/>
      <c r="GD47" s="69"/>
      <c r="GE47" s="69"/>
      <c r="GF47" s="69"/>
      <c r="GG47" s="69"/>
      <c r="GH47" s="69"/>
      <c r="GI47" s="69"/>
      <c r="GJ47" s="69"/>
      <c r="GK47" s="69"/>
      <c r="GL47" s="69"/>
      <c r="GM47" s="69"/>
      <c r="GN47" s="69"/>
      <c r="GO47" s="69"/>
      <c r="GP47" s="69"/>
      <c r="GQ47" s="69"/>
      <c r="GR47" s="69"/>
      <c r="GS47" s="69"/>
      <c r="GT47" s="69"/>
      <c r="GU47" s="69"/>
      <c r="GV47" s="69"/>
      <c r="GW47" s="69"/>
      <c r="GX47" s="69"/>
      <c r="GY47" s="69"/>
      <c r="GZ47" s="69"/>
      <c r="HA47" s="69"/>
      <c r="HB47" s="69"/>
      <c r="HC47" s="69"/>
      <c r="HD47" s="69"/>
      <c r="HE47" s="69"/>
      <c r="HF47" s="69"/>
      <c r="HG47" s="69"/>
      <c r="HH47" s="69"/>
      <c r="HI47" s="69"/>
      <c r="HJ47" s="69"/>
      <c r="HK47" s="69"/>
      <c r="HL47" s="69"/>
      <c r="HM47" s="69"/>
      <c r="HN47" s="69"/>
      <c r="HO47" s="69"/>
      <c r="HP47" s="69"/>
      <c r="HQ47" s="69"/>
      <c r="HR47" s="69"/>
      <c r="HS47" s="69"/>
      <c r="HT47" s="69"/>
      <c r="HU47" s="69"/>
      <c r="HV47" s="69"/>
      <c r="HW47" s="69"/>
      <c r="HX47" s="69"/>
      <c r="HY47" s="69"/>
      <c r="HZ47" s="69"/>
      <c r="IA47" s="69"/>
      <c r="IB47" s="69"/>
      <c r="IC47" s="69"/>
      <c r="ID47" s="69"/>
      <c r="IE47" s="69"/>
      <c r="IF47" s="69"/>
      <c r="IG47" s="69"/>
      <c r="IH47" s="69"/>
      <c r="II47" s="69"/>
      <c r="IJ47" s="69"/>
      <c r="IK47" s="69"/>
      <c r="IL47" s="69"/>
      <c r="IM47" s="69"/>
      <c r="IN47" s="69"/>
      <c r="IO47" s="69"/>
      <c r="IP47" s="69"/>
      <c r="IQ47" s="69"/>
      <c r="IR47" s="69"/>
      <c r="IS47" s="69"/>
      <c r="IT47" s="69"/>
      <c r="IU47" s="69"/>
      <c r="IV47" s="69"/>
      <c r="IW47" s="69"/>
      <c r="IX47" s="69"/>
      <c r="IY47" s="69"/>
      <c r="IZ47" s="69"/>
      <c r="JA47" s="69"/>
      <c r="JB47" s="69"/>
      <c r="JC47" s="69"/>
      <c r="JD47" s="69"/>
      <c r="JE47" s="69"/>
      <c r="JF47" s="69"/>
      <c r="JG47" s="69"/>
      <c r="JH47" s="69"/>
      <c r="JI47" s="69"/>
      <c r="JJ47" s="69"/>
      <c r="JK47" s="69"/>
      <c r="JL47" s="69"/>
      <c r="JM47" s="69"/>
      <c r="JN47" s="69"/>
      <c r="JO47" s="69"/>
      <c r="JP47" s="69"/>
      <c r="JQ47" s="69"/>
      <c r="JR47" s="69"/>
      <c r="JS47" s="69"/>
      <c r="JT47" s="69"/>
      <c r="JU47" s="69"/>
      <c r="JV47" s="69"/>
      <c r="JW47" s="69"/>
      <c r="JX47" s="69"/>
      <c r="JY47" s="69"/>
      <c r="JZ47" s="69"/>
      <c r="KA47" s="69"/>
      <c r="KB47" s="69"/>
      <c r="KC47" s="69"/>
      <c r="KD47" s="69"/>
      <c r="KE47" s="69"/>
      <c r="KF47" s="69"/>
      <c r="KG47" s="69"/>
      <c r="KH47" s="69"/>
      <c r="KI47" s="69"/>
      <c r="KJ47" s="69"/>
      <c r="KK47" s="69"/>
      <c r="KL47" s="69"/>
      <c r="KM47" s="69"/>
      <c r="KN47" s="69"/>
      <c r="KO47" s="69"/>
      <c r="KP47" s="69"/>
      <c r="KQ47" s="69"/>
      <c r="KR47" s="69"/>
      <c r="KS47" s="69"/>
      <c r="KT47" s="69"/>
      <c r="KU47" s="69"/>
      <c r="KV47" s="69"/>
      <c r="KW47" s="69"/>
    </row>
    <row r="48" spans="1:309" x14ac:dyDescent="0.25">
      <c r="A48" t="s">
        <v>370</v>
      </c>
      <c r="C48" t="s">
        <v>1088</v>
      </c>
      <c r="E48" s="2"/>
      <c r="G48" t="s">
        <v>371</v>
      </c>
      <c r="Q48" s="69">
        <v>780591</v>
      </c>
      <c r="AH48">
        <v>2404908</v>
      </c>
      <c r="AI48">
        <v>1741394</v>
      </c>
      <c r="AJ48">
        <v>2701938</v>
      </c>
      <c r="AK48">
        <v>0</v>
      </c>
      <c r="AL48">
        <v>363</v>
      </c>
      <c r="AM48">
        <v>410239</v>
      </c>
      <c r="CU48">
        <v>73120</v>
      </c>
      <c r="CV48">
        <v>99808</v>
      </c>
      <c r="CW48">
        <v>308312</v>
      </c>
      <c r="CX48">
        <v>190286</v>
      </c>
      <c r="CY48">
        <v>0</v>
      </c>
      <c r="CZ48">
        <v>36814</v>
      </c>
      <c r="DA48">
        <v>269757</v>
      </c>
      <c r="DB48">
        <v>55500</v>
      </c>
      <c r="DC48">
        <v>222064</v>
      </c>
      <c r="DD48">
        <v>0</v>
      </c>
      <c r="DE48">
        <v>148816</v>
      </c>
      <c r="DF48">
        <v>363748</v>
      </c>
      <c r="DG48">
        <v>43216</v>
      </c>
      <c r="DH48">
        <v>188034</v>
      </c>
      <c r="DI48">
        <v>0</v>
      </c>
      <c r="DJ48">
        <v>132892</v>
      </c>
      <c r="DK48">
        <v>0</v>
      </c>
      <c r="DL48">
        <v>80576</v>
      </c>
      <c r="DM48">
        <v>260912</v>
      </c>
      <c r="DN48">
        <v>66352</v>
      </c>
      <c r="DO48">
        <v>0</v>
      </c>
      <c r="DP48">
        <v>13056</v>
      </c>
      <c r="DQ48">
        <v>56136</v>
      </c>
      <c r="DR48">
        <v>47522</v>
      </c>
      <c r="DS48">
        <v>449808</v>
      </c>
      <c r="DT48">
        <v>147920</v>
      </c>
      <c r="DX48" s="69"/>
      <c r="DY48" s="69">
        <v>228777</v>
      </c>
      <c r="DZ48" s="69">
        <v>172878</v>
      </c>
      <c r="EA48" s="69">
        <v>847789</v>
      </c>
      <c r="EB48" s="69">
        <v>852944</v>
      </c>
      <c r="EC48" s="69">
        <v>0</v>
      </c>
      <c r="ED48" s="69">
        <v>53200</v>
      </c>
      <c r="EE48" s="69">
        <v>480880</v>
      </c>
      <c r="EF48" s="69">
        <v>172896</v>
      </c>
      <c r="EG48" s="69">
        <v>517930</v>
      </c>
      <c r="EH48" s="69">
        <v>0</v>
      </c>
      <c r="EI48" s="69">
        <v>340696</v>
      </c>
      <c r="EJ48" s="69">
        <v>1088481</v>
      </c>
      <c r="EK48" s="69">
        <v>105702</v>
      </c>
      <c r="EL48" s="69">
        <v>804228</v>
      </c>
      <c r="EM48" s="69">
        <v>0</v>
      </c>
      <c r="EN48" s="69">
        <v>295970</v>
      </c>
      <c r="EO48" s="69">
        <v>0</v>
      </c>
      <c r="EP48" s="69">
        <v>232731</v>
      </c>
      <c r="EQ48" s="69">
        <v>760393</v>
      </c>
      <c r="ER48" s="69">
        <v>198586</v>
      </c>
      <c r="ES48" s="69">
        <v>0</v>
      </c>
      <c r="ET48" s="69">
        <v>29144</v>
      </c>
      <c r="EU48" s="69">
        <v>291253</v>
      </c>
      <c r="EV48" s="69">
        <v>133014</v>
      </c>
      <c r="EW48" s="69">
        <v>1165010</v>
      </c>
      <c r="EX48" s="69">
        <v>552959</v>
      </c>
      <c r="EY48" s="69"/>
      <c r="EZ48" s="69"/>
      <c r="FA48" s="69"/>
      <c r="FB48" s="69"/>
      <c r="FC48" s="69"/>
      <c r="FD48" s="69"/>
      <c r="FE48" s="69"/>
      <c r="FF48" s="69"/>
      <c r="FG48" s="69"/>
      <c r="FH48" s="69"/>
      <c r="FI48" s="69"/>
      <c r="FJ48" s="69"/>
      <c r="FK48" s="69"/>
      <c r="FL48" s="69"/>
      <c r="FM48" s="69"/>
      <c r="FN48" s="69"/>
      <c r="FO48" s="69"/>
      <c r="FP48" s="69"/>
      <c r="FQ48" s="69"/>
      <c r="FR48" s="69"/>
      <c r="FS48" s="69"/>
      <c r="FT48" s="69"/>
      <c r="FU48" s="69"/>
      <c r="FV48" s="69"/>
      <c r="FW48" s="69"/>
      <c r="FX48" s="69"/>
      <c r="FY48" s="69"/>
      <c r="FZ48" s="69"/>
      <c r="GA48" s="69"/>
      <c r="GB48" s="69"/>
      <c r="GC48" s="69"/>
      <c r="GD48" s="69"/>
      <c r="GE48" s="69"/>
      <c r="GF48" s="69"/>
      <c r="GG48" s="69"/>
      <c r="GH48" s="69"/>
      <c r="GI48" s="69"/>
      <c r="GJ48" s="69"/>
      <c r="GK48" s="69"/>
      <c r="GL48" s="69"/>
      <c r="GM48" s="69"/>
      <c r="GN48" s="69"/>
      <c r="GO48" s="69"/>
      <c r="GP48" s="69"/>
      <c r="GQ48" s="69"/>
      <c r="GR48" s="69"/>
      <c r="GS48" s="69"/>
      <c r="GT48" s="69"/>
      <c r="GU48" s="69"/>
      <c r="GV48" s="69"/>
      <c r="GW48" s="69"/>
      <c r="GX48" s="69"/>
      <c r="GY48" s="69"/>
      <c r="GZ48" s="69"/>
      <c r="HA48" s="69"/>
      <c r="HB48" s="69"/>
      <c r="HC48" s="69"/>
      <c r="HD48" s="69"/>
      <c r="HE48" s="69"/>
      <c r="HF48" s="69"/>
      <c r="HG48" s="69"/>
      <c r="HH48" s="69"/>
      <c r="HI48" s="69"/>
      <c r="HJ48" s="69"/>
      <c r="HK48" s="69"/>
      <c r="HL48" s="69"/>
      <c r="HM48" s="69"/>
      <c r="HN48" s="69"/>
      <c r="HO48" s="69"/>
      <c r="HP48" s="69"/>
      <c r="HQ48" s="69"/>
      <c r="HR48" s="69"/>
      <c r="HS48" s="69"/>
      <c r="HT48" s="69"/>
      <c r="HU48" s="69"/>
      <c r="HV48" s="69"/>
      <c r="HW48" s="69"/>
      <c r="HX48" s="69"/>
      <c r="HY48" s="69"/>
      <c r="HZ48" s="69"/>
      <c r="IA48" s="69"/>
      <c r="IB48" s="69"/>
      <c r="IC48" s="69"/>
      <c r="ID48" s="69"/>
      <c r="IE48" s="69"/>
      <c r="IF48" s="69"/>
      <c r="IG48" s="69"/>
      <c r="IH48" s="69"/>
      <c r="II48" s="69"/>
      <c r="IJ48" s="69"/>
      <c r="IK48" s="69"/>
      <c r="IL48" s="69"/>
      <c r="IM48" s="69"/>
      <c r="IN48" s="69"/>
      <c r="IO48" s="69">
        <v>62639</v>
      </c>
      <c r="IP48" s="69">
        <v>69498</v>
      </c>
      <c r="IQ48" s="69">
        <v>177070</v>
      </c>
      <c r="IR48" s="69">
        <v>215707</v>
      </c>
      <c r="IS48" s="69">
        <v>0</v>
      </c>
      <c r="IT48" s="69">
        <v>19616</v>
      </c>
      <c r="IU48" s="69">
        <v>63448</v>
      </c>
      <c r="IV48" s="69">
        <v>29941</v>
      </c>
      <c r="IW48" s="69">
        <v>150179</v>
      </c>
      <c r="IX48" s="69">
        <v>0</v>
      </c>
      <c r="IY48" s="69">
        <v>86909</v>
      </c>
      <c r="IZ48" s="69">
        <v>214419</v>
      </c>
      <c r="JA48" s="69">
        <v>14989</v>
      </c>
      <c r="JB48" s="69">
        <v>190443</v>
      </c>
      <c r="JC48" s="69">
        <v>0</v>
      </c>
      <c r="JD48" s="69">
        <v>96511</v>
      </c>
      <c r="JE48" s="69">
        <v>0</v>
      </c>
      <c r="JF48" s="69">
        <v>73316</v>
      </c>
      <c r="JG48" s="69">
        <v>149864</v>
      </c>
      <c r="JH48" s="69">
        <v>57091</v>
      </c>
      <c r="JI48" s="69">
        <v>0</v>
      </c>
      <c r="JJ48" s="69">
        <v>3602</v>
      </c>
      <c r="JK48" s="69">
        <v>52066</v>
      </c>
      <c r="JL48" s="69">
        <v>19743</v>
      </c>
      <c r="JM48" s="69">
        <v>193893</v>
      </c>
      <c r="JN48" s="69">
        <v>167008</v>
      </c>
      <c r="JO48" s="69"/>
      <c r="JP48" s="69"/>
      <c r="JQ48" s="69"/>
      <c r="JR48" s="69"/>
      <c r="JS48" s="69"/>
      <c r="JT48" s="69"/>
      <c r="JU48" s="69"/>
      <c r="JV48" s="69"/>
      <c r="JW48" s="69"/>
      <c r="JX48" s="69"/>
      <c r="JY48" s="69"/>
      <c r="JZ48" s="69"/>
      <c r="KA48" s="69"/>
      <c r="KB48" s="69"/>
      <c r="KC48" s="69"/>
      <c r="KD48" s="69"/>
      <c r="KE48" s="69"/>
      <c r="KF48" s="69"/>
      <c r="KG48" s="69"/>
      <c r="KH48" s="69"/>
      <c r="KI48" s="69"/>
      <c r="KJ48" s="69"/>
      <c r="KK48" s="69"/>
      <c r="KL48" s="69"/>
      <c r="KM48" s="69"/>
      <c r="KN48" s="69"/>
      <c r="KO48" s="69"/>
      <c r="KP48" s="69"/>
      <c r="KQ48" s="69"/>
      <c r="KR48" s="69"/>
      <c r="KS48" s="69"/>
      <c r="KT48" s="69"/>
      <c r="KU48" s="69"/>
      <c r="KV48" s="69"/>
      <c r="KW48" s="69"/>
    </row>
    <row r="49" spans="1:369" ht="15" customHeight="1" x14ac:dyDescent="0.25">
      <c r="A49" t="s">
        <v>412</v>
      </c>
      <c r="C49" s="62" t="s">
        <v>1088</v>
      </c>
      <c r="E49" s="2"/>
      <c r="G49" t="s">
        <v>413</v>
      </c>
      <c r="Q49" s="69">
        <v>1176172</v>
      </c>
      <c r="AH49">
        <v>7115771</v>
      </c>
      <c r="AI49">
        <v>5431335</v>
      </c>
      <c r="AJ49">
        <v>1843441</v>
      </c>
      <c r="AK49">
        <v>0</v>
      </c>
      <c r="AL49">
        <v>767792</v>
      </c>
      <c r="AM49">
        <v>711180</v>
      </c>
      <c r="CU49">
        <v>34568</v>
      </c>
      <c r="CV49">
        <v>40712</v>
      </c>
      <c r="CW49">
        <v>668000</v>
      </c>
      <c r="CX49">
        <v>478112</v>
      </c>
      <c r="CY49">
        <v>0</v>
      </c>
      <c r="CZ49">
        <v>55856</v>
      </c>
      <c r="DA49">
        <v>60778</v>
      </c>
      <c r="DB49">
        <v>8000</v>
      </c>
      <c r="DC49">
        <v>102073</v>
      </c>
      <c r="DD49">
        <v>2768</v>
      </c>
      <c r="DE49">
        <v>176232</v>
      </c>
      <c r="DF49">
        <v>670752</v>
      </c>
      <c r="DG49">
        <v>110165</v>
      </c>
      <c r="DH49">
        <v>165964</v>
      </c>
      <c r="DI49">
        <v>31248</v>
      </c>
      <c r="DJ49">
        <v>305897</v>
      </c>
      <c r="DK49">
        <v>37967</v>
      </c>
      <c r="DL49">
        <v>248550</v>
      </c>
      <c r="DM49">
        <v>562554</v>
      </c>
      <c r="DN49">
        <v>60456</v>
      </c>
      <c r="DO49">
        <v>16331</v>
      </c>
      <c r="DP49">
        <v>35531</v>
      </c>
      <c r="DQ49">
        <v>110442</v>
      </c>
      <c r="DR49">
        <v>68451</v>
      </c>
      <c r="DS49">
        <v>718288</v>
      </c>
      <c r="DT49">
        <v>353744</v>
      </c>
      <c r="DX49" s="69"/>
      <c r="DY49" s="69">
        <v>47922</v>
      </c>
      <c r="DZ49" s="69">
        <v>134093</v>
      </c>
      <c r="EA49" s="69">
        <v>1466406</v>
      </c>
      <c r="EB49" s="69">
        <v>697512</v>
      </c>
      <c r="EC49" s="69">
        <v>0</v>
      </c>
      <c r="ED49" s="69">
        <v>601601</v>
      </c>
      <c r="EE49" s="69">
        <v>984995</v>
      </c>
      <c r="EF49" s="69">
        <v>731</v>
      </c>
      <c r="EG49" s="69">
        <v>144741</v>
      </c>
      <c r="EH49" s="69">
        <v>253</v>
      </c>
      <c r="EI49" s="69">
        <v>459048</v>
      </c>
      <c r="EJ49" s="69">
        <v>1870373</v>
      </c>
      <c r="EK49" s="69">
        <v>197336</v>
      </c>
      <c r="EL49" s="69">
        <v>1060863</v>
      </c>
      <c r="EM49" s="69">
        <v>306119</v>
      </c>
      <c r="EN49" s="69">
        <v>1167635</v>
      </c>
      <c r="EO49" s="69">
        <v>233012</v>
      </c>
      <c r="EP49" s="69">
        <v>776880</v>
      </c>
      <c r="EQ49" s="69">
        <v>1463221</v>
      </c>
      <c r="ER49" s="69">
        <v>314579</v>
      </c>
      <c r="ES49" s="69">
        <v>1493</v>
      </c>
      <c r="ET49" s="69">
        <v>3248</v>
      </c>
      <c r="EU49" s="69">
        <v>897021</v>
      </c>
      <c r="EV49" s="69">
        <v>125850</v>
      </c>
      <c r="EW49" s="69">
        <v>1768468</v>
      </c>
      <c r="EX49" s="69">
        <v>1067800</v>
      </c>
      <c r="EY49" s="69"/>
      <c r="EZ49" s="69"/>
      <c r="FA49" s="69"/>
      <c r="FB49" s="69"/>
      <c r="FC49" s="69"/>
      <c r="FD49" s="69"/>
      <c r="FE49" s="69"/>
      <c r="FF49" s="69"/>
      <c r="FG49" s="69"/>
      <c r="FH49" s="69"/>
      <c r="FI49" s="69"/>
      <c r="FJ49" s="69"/>
      <c r="FK49" s="69"/>
      <c r="FL49" s="69"/>
      <c r="FM49" s="69"/>
      <c r="FN49" s="69"/>
      <c r="FO49" s="69"/>
      <c r="FP49" s="69"/>
      <c r="FQ49" s="69"/>
      <c r="FR49" s="69"/>
      <c r="FS49" s="69"/>
      <c r="FT49" s="69"/>
      <c r="FU49" s="69"/>
      <c r="FV49" s="69"/>
      <c r="FW49" s="69"/>
      <c r="FX49" s="69"/>
      <c r="FY49" s="69"/>
      <c r="FZ49" s="69"/>
      <c r="GA49" s="69"/>
      <c r="GB49" s="69"/>
      <c r="GC49" s="69"/>
      <c r="GD49" s="69"/>
      <c r="GE49" s="69"/>
      <c r="GF49" s="69"/>
      <c r="GG49" s="69"/>
      <c r="GH49" s="69"/>
      <c r="GI49" s="69"/>
      <c r="GJ49" s="69"/>
      <c r="GK49" s="69"/>
      <c r="GL49" s="69"/>
      <c r="GM49" s="69"/>
      <c r="GN49" s="69"/>
      <c r="GO49" s="69"/>
      <c r="GP49" s="69"/>
      <c r="GQ49" s="69"/>
      <c r="GR49" s="69"/>
      <c r="GS49" s="69"/>
      <c r="GT49" s="69"/>
      <c r="GU49" s="69"/>
      <c r="GV49" s="69"/>
      <c r="GW49" s="69"/>
      <c r="GX49" s="69"/>
      <c r="GY49" s="69"/>
      <c r="GZ49" s="69"/>
      <c r="HA49" s="69"/>
      <c r="HB49" s="69"/>
      <c r="HC49" s="69"/>
      <c r="HD49" s="69"/>
      <c r="HE49" s="69"/>
      <c r="HF49" s="69"/>
      <c r="HG49" s="69"/>
      <c r="HH49" s="69"/>
      <c r="HI49" s="69"/>
      <c r="HJ49" s="69"/>
      <c r="HK49" s="69"/>
      <c r="HL49" s="69"/>
      <c r="HM49" s="69"/>
      <c r="HN49" s="69"/>
      <c r="HO49" s="69"/>
      <c r="HP49" s="69"/>
      <c r="HQ49" s="69"/>
      <c r="HR49" s="69"/>
      <c r="HS49" s="69"/>
      <c r="HT49" s="69"/>
      <c r="HU49" s="69"/>
      <c r="HV49" s="69"/>
      <c r="HW49" s="69"/>
      <c r="HX49" s="69"/>
      <c r="HY49" s="69"/>
      <c r="HZ49" s="69"/>
      <c r="IA49" s="69"/>
      <c r="IB49" s="69"/>
      <c r="IC49" s="69"/>
      <c r="ID49" s="69"/>
      <c r="IE49" s="69"/>
      <c r="IF49" s="69"/>
      <c r="IG49" s="69"/>
      <c r="IH49" s="69"/>
      <c r="II49" s="69"/>
      <c r="IJ49" s="69"/>
      <c r="IK49" s="69"/>
      <c r="IL49" s="69"/>
      <c r="IM49" s="69"/>
      <c r="IN49" s="69"/>
      <c r="IO49" s="69">
        <v>21048</v>
      </c>
      <c r="IP49" s="69">
        <v>98205</v>
      </c>
      <c r="IQ49" s="69">
        <v>776333</v>
      </c>
      <c r="IR49" s="69">
        <v>226735</v>
      </c>
      <c r="IS49" s="69">
        <v>0</v>
      </c>
      <c r="IT49" s="69">
        <v>171471</v>
      </c>
      <c r="IU49" s="69">
        <v>110230</v>
      </c>
      <c r="IV49" s="69">
        <v>2905</v>
      </c>
      <c r="IW49" s="69">
        <v>253494</v>
      </c>
      <c r="IX49" s="69">
        <v>1005</v>
      </c>
      <c r="IY49" s="69">
        <v>200893</v>
      </c>
      <c r="IZ49" s="69">
        <v>466537</v>
      </c>
      <c r="JA49" s="69">
        <v>80430</v>
      </c>
      <c r="JB49" s="69">
        <v>215368</v>
      </c>
      <c r="JC49" s="69">
        <v>108375</v>
      </c>
      <c r="JD49" s="69">
        <v>295435</v>
      </c>
      <c r="JE49" s="69">
        <v>42565</v>
      </c>
      <c r="JF49" s="69">
        <v>208697</v>
      </c>
      <c r="JG49" s="69">
        <v>456556</v>
      </c>
      <c r="JH49" s="69">
        <v>188070</v>
      </c>
      <c r="JI49" s="69">
        <v>5930</v>
      </c>
      <c r="JJ49" s="69">
        <v>12902</v>
      </c>
      <c r="JK49" s="69">
        <v>103163</v>
      </c>
      <c r="JL49" s="69">
        <v>108523</v>
      </c>
      <c r="JM49" s="69">
        <v>385340</v>
      </c>
      <c r="JN49" s="69">
        <v>432101</v>
      </c>
      <c r="JO49" s="69"/>
      <c r="JP49" s="69"/>
      <c r="JQ49" s="69"/>
      <c r="JR49" s="69"/>
      <c r="JS49" s="69"/>
      <c r="JT49" s="69"/>
      <c r="JU49" s="69"/>
      <c r="JV49" s="69"/>
      <c r="JW49" s="69"/>
      <c r="JX49" s="69"/>
      <c r="JY49" s="69"/>
      <c r="JZ49" s="69"/>
      <c r="KA49" s="69"/>
      <c r="KB49" s="69"/>
      <c r="KC49" s="69"/>
      <c r="KD49" s="69"/>
      <c r="KE49" s="69"/>
      <c r="KF49" s="69"/>
      <c r="KG49" s="69"/>
      <c r="KH49" s="69"/>
      <c r="KI49" s="69"/>
      <c r="KJ49" s="69"/>
      <c r="KK49" s="69"/>
      <c r="KL49" s="69"/>
      <c r="KM49" s="69"/>
      <c r="KN49" s="69"/>
      <c r="KO49" s="69"/>
      <c r="KP49" s="69"/>
      <c r="KQ49" s="69"/>
      <c r="KR49" s="69"/>
      <c r="KS49" s="69"/>
      <c r="KT49" s="69"/>
      <c r="KU49" s="69"/>
      <c r="KV49" s="69"/>
      <c r="KW49" s="69"/>
    </row>
    <row r="50" spans="1:369" x14ac:dyDescent="0.25">
      <c r="A50" t="s">
        <v>438</v>
      </c>
      <c r="C50" t="s">
        <v>1088</v>
      </c>
      <c r="E50" s="2"/>
      <c r="G50" t="s">
        <v>439</v>
      </c>
      <c r="Q50" s="69">
        <v>215972</v>
      </c>
      <c r="AH50">
        <v>2052394</v>
      </c>
      <c r="AI50">
        <v>1163208</v>
      </c>
      <c r="AJ50">
        <v>1819355</v>
      </c>
      <c r="AK50">
        <v>0</v>
      </c>
      <c r="AL50">
        <v>0</v>
      </c>
      <c r="AM50">
        <v>159285</v>
      </c>
      <c r="CU50">
        <v>7680</v>
      </c>
      <c r="CV50">
        <v>47744</v>
      </c>
      <c r="CW50">
        <v>108096</v>
      </c>
      <c r="CX50">
        <v>40560</v>
      </c>
      <c r="CY50">
        <v>0</v>
      </c>
      <c r="CZ50">
        <v>0</v>
      </c>
      <c r="DA50">
        <v>96544</v>
      </c>
      <c r="DB50">
        <v>10960</v>
      </c>
      <c r="DC50">
        <v>81870</v>
      </c>
      <c r="DD50">
        <v>0</v>
      </c>
      <c r="DE50">
        <v>36432</v>
      </c>
      <c r="DF50">
        <v>149416</v>
      </c>
      <c r="DG50">
        <v>21328</v>
      </c>
      <c r="DH50">
        <v>137296</v>
      </c>
      <c r="DI50">
        <v>0</v>
      </c>
      <c r="DJ50">
        <v>96494</v>
      </c>
      <c r="DK50">
        <v>0</v>
      </c>
      <c r="DL50">
        <v>204928</v>
      </c>
      <c r="DM50">
        <v>93936</v>
      </c>
      <c r="DN50">
        <v>9520</v>
      </c>
      <c r="DO50">
        <v>0</v>
      </c>
      <c r="DP50">
        <v>9744</v>
      </c>
      <c r="DQ50">
        <v>25968</v>
      </c>
      <c r="DR50">
        <v>133622</v>
      </c>
      <c r="DS50">
        <v>212208</v>
      </c>
      <c r="DT50">
        <v>36000</v>
      </c>
      <c r="DX50" s="69"/>
      <c r="DY50" s="69">
        <v>69279</v>
      </c>
      <c r="DZ50" s="69">
        <v>117661</v>
      </c>
      <c r="EA50" s="69">
        <v>285310</v>
      </c>
      <c r="EB50" s="69">
        <v>112461</v>
      </c>
      <c r="EC50" s="69">
        <v>0</v>
      </c>
      <c r="ED50" s="69">
        <v>0</v>
      </c>
      <c r="EE50" s="69">
        <v>215305</v>
      </c>
      <c r="EF50" s="69">
        <v>13932</v>
      </c>
      <c r="EG50" s="69">
        <v>253403</v>
      </c>
      <c r="EH50" s="69">
        <v>0</v>
      </c>
      <c r="EI50" s="69">
        <v>46311</v>
      </c>
      <c r="EJ50" s="69">
        <v>458717</v>
      </c>
      <c r="EK50" s="69">
        <v>56897</v>
      </c>
      <c r="EL50" s="69">
        <v>486496</v>
      </c>
      <c r="EM50" s="69">
        <v>0</v>
      </c>
      <c r="EN50" s="69">
        <v>220031</v>
      </c>
      <c r="EO50" s="69">
        <v>0</v>
      </c>
      <c r="EP50" s="69">
        <v>617300</v>
      </c>
      <c r="EQ50" s="69">
        <v>313583</v>
      </c>
      <c r="ER50" s="69">
        <v>39223</v>
      </c>
      <c r="ES50" s="69">
        <v>0</v>
      </c>
      <c r="ET50" s="69">
        <v>87404</v>
      </c>
      <c r="EU50" s="69">
        <v>73864</v>
      </c>
      <c r="EV50" s="69">
        <v>220024</v>
      </c>
      <c r="EW50" s="69">
        <v>484610</v>
      </c>
      <c r="EX50" s="69">
        <v>120508</v>
      </c>
      <c r="EY50" s="69"/>
      <c r="EZ50" s="69"/>
      <c r="FA50" s="69"/>
      <c r="FB50" s="69"/>
      <c r="FC50" s="69"/>
      <c r="FD50" s="69"/>
      <c r="FE50" s="69"/>
      <c r="FF50" s="69"/>
      <c r="FG50" s="69"/>
      <c r="FH50" s="69"/>
      <c r="FI50" s="69"/>
      <c r="FJ50" s="69"/>
      <c r="FK50" s="69"/>
      <c r="FL50" s="69"/>
      <c r="FM50" s="69"/>
      <c r="FN50" s="69"/>
      <c r="FO50" s="69"/>
      <c r="FP50" s="69"/>
      <c r="FQ50" s="69"/>
      <c r="FR50" s="69"/>
      <c r="FS50" s="69"/>
      <c r="FT50" s="69"/>
      <c r="FU50" s="69"/>
      <c r="FV50" s="69"/>
      <c r="FW50" s="69"/>
      <c r="FX50" s="69"/>
      <c r="FY50" s="69"/>
      <c r="FZ50" s="69"/>
      <c r="GA50" s="69"/>
      <c r="GB50" s="69"/>
      <c r="GC50" s="69"/>
      <c r="GD50" s="69"/>
      <c r="GE50" s="69"/>
      <c r="GF50" s="69"/>
      <c r="GG50" s="69"/>
      <c r="GH50" s="69"/>
      <c r="GI50" s="69"/>
      <c r="GJ50" s="69"/>
      <c r="GK50" s="69"/>
      <c r="GL50" s="69"/>
      <c r="GM50" s="69"/>
      <c r="GN50" s="69"/>
      <c r="GO50" s="69"/>
      <c r="GP50" s="69"/>
      <c r="GQ50" s="69"/>
      <c r="GR50" s="69"/>
      <c r="GS50" s="69"/>
      <c r="GT50" s="69"/>
      <c r="GU50" s="69"/>
      <c r="GV50" s="69"/>
      <c r="GW50" s="69"/>
      <c r="GX50" s="69"/>
      <c r="GY50" s="69"/>
      <c r="GZ50" s="69"/>
      <c r="HA50" s="69"/>
      <c r="HB50" s="69"/>
      <c r="HC50" s="69"/>
      <c r="HD50" s="69"/>
      <c r="HE50" s="69"/>
      <c r="HF50" s="69"/>
      <c r="HG50" s="69"/>
      <c r="HH50" s="69"/>
      <c r="HI50" s="69"/>
      <c r="HJ50" s="69"/>
      <c r="HK50" s="69"/>
      <c r="HL50" s="69"/>
      <c r="HM50" s="69"/>
      <c r="HN50" s="69"/>
      <c r="HO50" s="69"/>
      <c r="HP50" s="69"/>
      <c r="HQ50" s="69"/>
      <c r="HR50" s="69"/>
      <c r="HS50" s="69"/>
      <c r="HT50" s="69"/>
      <c r="HU50" s="69"/>
      <c r="HV50" s="69"/>
      <c r="HW50" s="69"/>
      <c r="HX50" s="69"/>
      <c r="HY50" s="69"/>
      <c r="HZ50" s="69"/>
      <c r="IA50" s="69"/>
      <c r="IB50" s="69"/>
      <c r="IC50" s="69"/>
      <c r="ID50" s="69"/>
      <c r="IE50" s="69"/>
      <c r="IF50" s="69"/>
      <c r="IG50" s="69"/>
      <c r="IH50" s="69"/>
      <c r="II50" s="69"/>
      <c r="IJ50" s="69"/>
      <c r="IK50" s="69"/>
      <c r="IL50" s="69"/>
      <c r="IM50" s="69"/>
      <c r="IN50" s="69"/>
      <c r="IO50" s="69">
        <v>721</v>
      </c>
      <c r="IP50" s="69">
        <v>17338</v>
      </c>
      <c r="IQ50" s="69">
        <v>21161</v>
      </c>
      <c r="IR50" s="69">
        <v>11437</v>
      </c>
      <c r="IS50" s="69">
        <v>0</v>
      </c>
      <c r="IT50" s="69">
        <v>0</v>
      </c>
      <c r="IU50" s="69">
        <v>11028</v>
      </c>
      <c r="IV50" s="69">
        <v>1438</v>
      </c>
      <c r="IW50" s="69">
        <v>17646</v>
      </c>
      <c r="IX50" s="69">
        <v>0</v>
      </c>
      <c r="IY50" s="69">
        <v>4780</v>
      </c>
      <c r="IZ50" s="69">
        <v>12999</v>
      </c>
      <c r="JA50" s="69">
        <v>401</v>
      </c>
      <c r="JB50" s="69">
        <v>28123</v>
      </c>
      <c r="JC50" s="69">
        <v>0</v>
      </c>
      <c r="JD50" s="69">
        <v>17786</v>
      </c>
      <c r="JE50" s="69">
        <v>0</v>
      </c>
      <c r="JF50" s="69">
        <v>21973</v>
      </c>
      <c r="JG50" s="69">
        <v>5017</v>
      </c>
      <c r="JH50" s="69">
        <v>3405</v>
      </c>
      <c r="JI50" s="69">
        <v>0</v>
      </c>
      <c r="JJ50" s="69">
        <v>10991</v>
      </c>
      <c r="JK50" s="69">
        <v>6467</v>
      </c>
      <c r="JL50" s="69">
        <v>42748</v>
      </c>
      <c r="JM50" s="69">
        <v>4392</v>
      </c>
      <c r="JN50" s="69">
        <v>5741</v>
      </c>
      <c r="JO50" s="69"/>
      <c r="JP50" s="69"/>
      <c r="JQ50" s="69"/>
      <c r="JR50" s="69"/>
      <c r="JS50" s="69"/>
      <c r="JT50" s="69"/>
      <c r="JU50" s="69"/>
      <c r="JV50" s="69"/>
      <c r="JW50" s="69"/>
      <c r="JX50" s="69"/>
      <c r="JY50" s="69"/>
      <c r="JZ50" s="69"/>
      <c r="KA50" s="69"/>
      <c r="KB50" s="69"/>
      <c r="KC50" s="69"/>
      <c r="KD50" s="69"/>
      <c r="KE50" s="69"/>
      <c r="KF50" s="69"/>
      <c r="KG50" s="69"/>
      <c r="KH50" s="69"/>
      <c r="KI50" s="69"/>
      <c r="KJ50" s="69"/>
      <c r="KK50" s="69"/>
      <c r="KL50" s="69"/>
      <c r="KM50" s="69"/>
      <c r="KN50" s="69"/>
      <c r="KO50" s="69"/>
      <c r="KP50" s="69"/>
      <c r="KQ50" s="69"/>
      <c r="KR50" s="69"/>
      <c r="KS50" s="69"/>
      <c r="KT50" s="69"/>
      <c r="KU50" s="69"/>
      <c r="KV50" s="69"/>
      <c r="KW50" s="69"/>
    </row>
    <row r="51" spans="1:369" x14ac:dyDescent="0.25">
      <c r="A51" t="s">
        <v>414</v>
      </c>
      <c r="C51" t="s">
        <v>1088</v>
      </c>
      <c r="E51" s="2"/>
      <c r="G51" t="s">
        <v>415</v>
      </c>
      <c r="Q51" s="69">
        <v>485190</v>
      </c>
      <c r="AH51">
        <v>2661091</v>
      </c>
      <c r="AI51">
        <v>1546662</v>
      </c>
      <c r="AJ51">
        <v>1456103</v>
      </c>
      <c r="AK51">
        <v>0</v>
      </c>
      <c r="AL51">
        <v>111543</v>
      </c>
      <c r="AM51">
        <v>249527</v>
      </c>
      <c r="CU51">
        <v>10560</v>
      </c>
      <c r="CV51">
        <v>25624</v>
      </c>
      <c r="CW51">
        <v>224096</v>
      </c>
      <c r="CX51">
        <v>106439</v>
      </c>
      <c r="CY51">
        <v>0</v>
      </c>
      <c r="CZ51">
        <v>1048</v>
      </c>
      <c r="DA51">
        <v>82808</v>
      </c>
      <c r="DB51">
        <v>6818</v>
      </c>
      <c r="DC51">
        <v>32823</v>
      </c>
      <c r="DD51">
        <v>0</v>
      </c>
      <c r="DE51">
        <v>40601</v>
      </c>
      <c r="DF51">
        <v>217288</v>
      </c>
      <c r="DG51">
        <v>11396</v>
      </c>
      <c r="DH51">
        <v>130232</v>
      </c>
      <c r="DI51">
        <v>0</v>
      </c>
      <c r="DJ51">
        <v>117412</v>
      </c>
      <c r="DK51">
        <v>35760</v>
      </c>
      <c r="DL51">
        <v>209280</v>
      </c>
      <c r="DM51">
        <v>131872</v>
      </c>
      <c r="DN51">
        <v>0</v>
      </c>
      <c r="DO51">
        <v>224</v>
      </c>
      <c r="DP51">
        <v>1920</v>
      </c>
      <c r="DQ51">
        <v>50592</v>
      </c>
      <c r="DR51">
        <v>55246</v>
      </c>
      <c r="DS51">
        <v>256896</v>
      </c>
      <c r="DT51">
        <v>65664</v>
      </c>
      <c r="DX51" s="69"/>
      <c r="DY51" s="69">
        <v>1440</v>
      </c>
      <c r="DZ51" s="69">
        <v>72410</v>
      </c>
      <c r="EA51" s="69">
        <v>844116</v>
      </c>
      <c r="EB51" s="69">
        <v>263973</v>
      </c>
      <c r="EC51" s="69">
        <v>0</v>
      </c>
      <c r="ED51" s="69">
        <v>4697</v>
      </c>
      <c r="EE51" s="69">
        <v>362301</v>
      </c>
      <c r="EF51" s="69">
        <v>53733</v>
      </c>
      <c r="EG51" s="69">
        <v>52376</v>
      </c>
      <c r="EH51" s="69">
        <v>0</v>
      </c>
      <c r="EI51" s="69">
        <v>84392</v>
      </c>
      <c r="EJ51" s="69">
        <v>813991</v>
      </c>
      <c r="EK51" s="69">
        <v>53878</v>
      </c>
      <c r="EL51" s="69">
        <v>1088070</v>
      </c>
      <c r="EM51" s="69">
        <v>0</v>
      </c>
      <c r="EN51" s="69">
        <v>353191</v>
      </c>
      <c r="EO51" s="69">
        <v>221118</v>
      </c>
      <c r="EP51" s="69">
        <v>825955</v>
      </c>
      <c r="EQ51" s="69">
        <v>504298</v>
      </c>
      <c r="ER51" s="69">
        <v>0</v>
      </c>
      <c r="ES51" s="69">
        <v>1765</v>
      </c>
      <c r="ET51" s="69">
        <v>2730</v>
      </c>
      <c r="EU51" s="69">
        <v>185919</v>
      </c>
      <c r="EV51" s="69">
        <v>176337</v>
      </c>
      <c r="EW51" s="69">
        <v>860346</v>
      </c>
      <c r="EX51" s="69">
        <v>369857</v>
      </c>
      <c r="EY51" s="69"/>
      <c r="EZ51" s="69"/>
      <c r="FA51" s="69"/>
      <c r="FB51" s="69"/>
      <c r="FC51" s="69"/>
      <c r="FD51" s="69"/>
      <c r="FE51" s="69"/>
      <c r="FF51" s="69"/>
      <c r="FG51" s="69"/>
      <c r="FH51" s="69"/>
      <c r="FI51" s="69"/>
      <c r="FJ51" s="69"/>
      <c r="FK51" s="69"/>
      <c r="FL51" s="69"/>
      <c r="FM51" s="69"/>
      <c r="FN51" s="69"/>
      <c r="FO51" s="69"/>
      <c r="FP51" s="69"/>
      <c r="FQ51" s="69"/>
      <c r="FR51" s="69"/>
      <c r="FS51" s="69"/>
      <c r="FT51" s="69"/>
      <c r="FU51" s="69"/>
      <c r="FV51" s="69"/>
      <c r="FW51" s="69"/>
      <c r="FX51" s="69"/>
      <c r="FY51" s="69"/>
      <c r="FZ51" s="69"/>
      <c r="GA51" s="69"/>
      <c r="GB51" s="69"/>
      <c r="GC51" s="69"/>
      <c r="GD51" s="69"/>
      <c r="GE51" s="69"/>
      <c r="GF51" s="69"/>
      <c r="GG51" s="69"/>
      <c r="GH51" s="69"/>
      <c r="GI51" s="69"/>
      <c r="GJ51" s="69"/>
      <c r="GK51" s="69"/>
      <c r="GL51" s="69"/>
      <c r="GM51" s="69"/>
      <c r="GN51" s="69"/>
      <c r="GO51" s="69"/>
      <c r="GP51" s="69"/>
      <c r="GQ51" s="69"/>
      <c r="GR51" s="69"/>
      <c r="GS51" s="69"/>
      <c r="GT51" s="69"/>
      <c r="GU51" s="69"/>
      <c r="GV51" s="69"/>
      <c r="GW51" s="69"/>
      <c r="GX51" s="69"/>
      <c r="GY51" s="69"/>
      <c r="GZ51" s="69"/>
      <c r="HA51" s="69"/>
      <c r="HB51" s="69"/>
      <c r="HC51" s="69"/>
      <c r="HD51" s="69"/>
      <c r="HE51" s="69"/>
      <c r="HF51" s="69"/>
      <c r="HG51" s="69"/>
      <c r="HH51" s="69"/>
      <c r="HI51" s="69"/>
      <c r="HJ51" s="69"/>
      <c r="HK51" s="69"/>
      <c r="HL51" s="69"/>
      <c r="HM51" s="69"/>
      <c r="HN51" s="69"/>
      <c r="HO51" s="69"/>
      <c r="HP51" s="69"/>
      <c r="HQ51" s="69"/>
      <c r="HR51" s="69"/>
      <c r="HS51" s="69"/>
      <c r="HT51" s="69"/>
      <c r="HU51" s="69"/>
      <c r="HV51" s="69"/>
      <c r="HW51" s="69"/>
      <c r="HX51" s="69"/>
      <c r="HY51" s="69"/>
      <c r="HZ51" s="69"/>
      <c r="IA51" s="69"/>
      <c r="IB51" s="69"/>
      <c r="IC51" s="69"/>
      <c r="ID51" s="69"/>
      <c r="IE51" s="69"/>
      <c r="IF51" s="69"/>
      <c r="IG51" s="69"/>
      <c r="IH51" s="69"/>
      <c r="II51" s="69"/>
      <c r="IJ51" s="69"/>
      <c r="IK51" s="69"/>
      <c r="IL51" s="69"/>
      <c r="IM51" s="69"/>
      <c r="IN51" s="69"/>
      <c r="IO51" s="69">
        <v>184583</v>
      </c>
      <c r="IP51" s="69">
        <v>39756</v>
      </c>
      <c r="IQ51" s="69">
        <v>365951</v>
      </c>
      <c r="IR51" s="69">
        <v>172173</v>
      </c>
      <c r="IS51" s="69">
        <v>0</v>
      </c>
      <c r="IT51" s="69">
        <v>525</v>
      </c>
      <c r="IU51" s="69">
        <v>205571</v>
      </c>
      <c r="IV51" s="69">
        <v>132586</v>
      </c>
      <c r="IW51" s="69">
        <v>26861</v>
      </c>
      <c r="IX51" s="69">
        <v>0</v>
      </c>
      <c r="IY51" s="69">
        <v>256357</v>
      </c>
      <c r="IZ51" s="69">
        <v>210341</v>
      </c>
      <c r="JA51" s="69">
        <v>30082</v>
      </c>
      <c r="JB51" s="69">
        <v>324186</v>
      </c>
      <c r="JC51" s="69">
        <v>0</v>
      </c>
      <c r="JD51" s="69">
        <v>129670</v>
      </c>
      <c r="JE51" s="69">
        <v>67074</v>
      </c>
      <c r="JF51" s="69">
        <v>350809</v>
      </c>
      <c r="JG51" s="69">
        <v>281051</v>
      </c>
      <c r="JH51" s="69">
        <v>0</v>
      </c>
      <c r="JI51" s="69">
        <v>197</v>
      </c>
      <c r="JJ51" s="69">
        <v>442</v>
      </c>
      <c r="JK51" s="69">
        <v>48551</v>
      </c>
      <c r="JL51" s="69">
        <v>311987</v>
      </c>
      <c r="JM51" s="69">
        <v>208457</v>
      </c>
      <c r="JN51" s="69">
        <v>181357</v>
      </c>
      <c r="JO51" s="69"/>
      <c r="JP51" s="69"/>
      <c r="JQ51" s="69"/>
      <c r="JR51" s="69"/>
      <c r="JS51" s="69"/>
      <c r="JT51" s="69"/>
      <c r="JU51" s="69"/>
      <c r="JV51" s="69"/>
      <c r="JW51" s="69"/>
      <c r="JX51" s="69"/>
      <c r="JY51" s="69"/>
      <c r="JZ51" s="69"/>
      <c r="KA51" s="69"/>
      <c r="KB51" s="69"/>
      <c r="KC51" s="69"/>
      <c r="KD51" s="69"/>
      <c r="KE51" s="69"/>
      <c r="KF51" s="69"/>
      <c r="KG51" s="69"/>
      <c r="KH51" s="69"/>
      <c r="KI51" s="69"/>
      <c r="KJ51" s="69"/>
      <c r="KK51" s="69"/>
      <c r="KL51" s="69"/>
      <c r="KM51" s="69"/>
      <c r="KN51" s="69"/>
      <c r="KO51" s="69"/>
      <c r="KP51" s="69"/>
      <c r="KQ51" s="69"/>
      <c r="KR51" s="69"/>
      <c r="KS51" s="69"/>
      <c r="KT51" s="69"/>
      <c r="KU51" s="69"/>
      <c r="KV51" s="69"/>
      <c r="KW51" s="69"/>
    </row>
    <row r="52" spans="1:369" x14ac:dyDescent="0.25">
      <c r="A52" t="s">
        <v>416</v>
      </c>
      <c r="C52" t="s">
        <v>1088</v>
      </c>
      <c r="E52" s="2"/>
      <c r="G52" t="s">
        <v>417</v>
      </c>
      <c r="Q52" s="69">
        <v>191640</v>
      </c>
      <c r="AH52">
        <v>5084425</v>
      </c>
      <c r="AI52">
        <v>1510657</v>
      </c>
      <c r="AJ52">
        <v>1152110</v>
      </c>
      <c r="AK52">
        <v>0</v>
      </c>
      <c r="AL52">
        <v>0</v>
      </c>
      <c r="AM52">
        <v>330617</v>
      </c>
      <c r="CU52">
        <v>24396</v>
      </c>
      <c r="CV52">
        <v>9776</v>
      </c>
      <c r="CW52">
        <v>233472</v>
      </c>
      <c r="CX52">
        <v>74168</v>
      </c>
      <c r="CY52">
        <v>0</v>
      </c>
      <c r="CZ52">
        <v>6112</v>
      </c>
      <c r="DA52">
        <v>108707</v>
      </c>
      <c r="DB52">
        <v>928</v>
      </c>
      <c r="DC52">
        <v>121398</v>
      </c>
      <c r="DD52">
        <v>0</v>
      </c>
      <c r="DE52">
        <v>2056</v>
      </c>
      <c r="DF52">
        <v>283584</v>
      </c>
      <c r="DG52">
        <v>14576</v>
      </c>
      <c r="DH52">
        <v>105008</v>
      </c>
      <c r="DI52">
        <v>0</v>
      </c>
      <c r="DJ52">
        <v>135748</v>
      </c>
      <c r="DK52">
        <v>44096</v>
      </c>
      <c r="DL52">
        <v>101504</v>
      </c>
      <c r="DM52">
        <v>233664</v>
      </c>
      <c r="DN52">
        <v>6816</v>
      </c>
      <c r="DO52">
        <v>26935</v>
      </c>
      <c r="DP52">
        <v>1276</v>
      </c>
      <c r="DQ52">
        <v>108624</v>
      </c>
      <c r="DR52">
        <v>124256</v>
      </c>
      <c r="DS52">
        <v>390384</v>
      </c>
      <c r="DT52">
        <v>85264</v>
      </c>
      <c r="DX52" s="69"/>
      <c r="DY52" s="69">
        <v>75388</v>
      </c>
      <c r="DZ52" s="69">
        <v>22631</v>
      </c>
      <c r="EA52" s="69">
        <v>545988</v>
      </c>
      <c r="EB52" s="69">
        <v>242596</v>
      </c>
      <c r="EC52" s="69">
        <v>0</v>
      </c>
      <c r="ED52" s="69">
        <v>36724</v>
      </c>
      <c r="EE52" s="69">
        <v>354333</v>
      </c>
      <c r="EF52" s="69">
        <v>2282</v>
      </c>
      <c r="EG52" s="69">
        <v>276963</v>
      </c>
      <c r="EH52" s="69">
        <v>0</v>
      </c>
      <c r="EI52" s="69">
        <v>4949</v>
      </c>
      <c r="EJ52" s="69">
        <v>941996</v>
      </c>
      <c r="EK52" s="69">
        <v>51171</v>
      </c>
      <c r="EL52" s="69">
        <v>583912</v>
      </c>
      <c r="EM52" s="69">
        <v>0</v>
      </c>
      <c r="EN52" s="69">
        <v>665568</v>
      </c>
      <c r="EO52" s="69">
        <v>223090</v>
      </c>
      <c r="EP52" s="69">
        <v>356961</v>
      </c>
      <c r="EQ52" s="69">
        <v>844371</v>
      </c>
      <c r="ER52" s="69">
        <v>15824</v>
      </c>
      <c r="ES52" s="69">
        <v>202853</v>
      </c>
      <c r="ET52" s="69">
        <v>4146</v>
      </c>
      <c r="EU52" s="69">
        <v>331222</v>
      </c>
      <c r="EV52" s="69">
        <v>459627</v>
      </c>
      <c r="EW52" s="69">
        <v>1008898</v>
      </c>
      <c r="EX52" s="69">
        <v>353197</v>
      </c>
      <c r="EY52" s="69"/>
      <c r="EZ52" s="69"/>
      <c r="FA52" s="69"/>
      <c r="FB52" s="69"/>
      <c r="FC52" s="69"/>
      <c r="FD52" s="69"/>
      <c r="FE52" s="69"/>
      <c r="FF52" s="69"/>
      <c r="FG52" s="69"/>
      <c r="FH52" s="69"/>
      <c r="FI52" s="69"/>
      <c r="FJ52" s="69"/>
      <c r="FK52" s="69"/>
      <c r="FL52" s="69"/>
      <c r="FM52" s="69"/>
      <c r="FN52" s="69"/>
      <c r="FO52" s="69"/>
      <c r="FP52" s="69"/>
      <c r="FQ52" s="69"/>
      <c r="FR52" s="69"/>
      <c r="FS52" s="69"/>
      <c r="FT52" s="69"/>
      <c r="FU52" s="69"/>
      <c r="FV52" s="69"/>
      <c r="FW52" s="69"/>
      <c r="FX52" s="69"/>
      <c r="FY52" s="69"/>
      <c r="FZ52" s="69"/>
      <c r="GA52" s="69"/>
      <c r="GB52" s="69"/>
      <c r="GC52" s="69"/>
      <c r="GD52" s="69"/>
      <c r="GE52" s="69"/>
      <c r="GF52" s="69"/>
      <c r="GG52" s="69"/>
      <c r="GH52" s="69"/>
      <c r="GI52" s="69"/>
      <c r="GJ52" s="69"/>
      <c r="GK52" s="69"/>
      <c r="GL52" s="69"/>
      <c r="GM52" s="69"/>
      <c r="GN52" s="69"/>
      <c r="GO52" s="69"/>
      <c r="GP52" s="69"/>
      <c r="GQ52" s="69"/>
      <c r="GR52" s="69"/>
      <c r="GS52" s="69"/>
      <c r="GT52" s="69"/>
      <c r="GU52" s="69"/>
      <c r="GV52" s="69"/>
      <c r="GW52" s="69"/>
      <c r="GX52" s="69"/>
      <c r="GY52" s="69"/>
      <c r="GZ52" s="69"/>
      <c r="HA52" s="69"/>
      <c r="HB52" s="69"/>
      <c r="HC52" s="69"/>
      <c r="HD52" s="69"/>
      <c r="HE52" s="69"/>
      <c r="HF52" s="69"/>
      <c r="HG52" s="69"/>
      <c r="HH52" s="69"/>
      <c r="HI52" s="69"/>
      <c r="HJ52" s="69"/>
      <c r="HK52" s="69"/>
      <c r="HL52" s="69"/>
      <c r="HM52" s="69"/>
      <c r="HN52" s="69"/>
      <c r="HO52" s="69"/>
      <c r="HP52" s="69"/>
      <c r="HQ52" s="69"/>
      <c r="HR52" s="69"/>
      <c r="HS52" s="69"/>
      <c r="HT52" s="69"/>
      <c r="HU52" s="69"/>
      <c r="HV52" s="69"/>
      <c r="HW52" s="69"/>
      <c r="HX52" s="69"/>
      <c r="HY52" s="69"/>
      <c r="HZ52" s="69"/>
      <c r="IA52" s="69"/>
      <c r="IB52" s="69"/>
      <c r="IC52" s="69"/>
      <c r="ID52" s="69"/>
      <c r="IE52" s="69"/>
      <c r="IF52" s="69"/>
      <c r="IG52" s="69"/>
      <c r="IH52" s="69"/>
      <c r="II52" s="69"/>
      <c r="IJ52" s="69"/>
      <c r="IK52" s="69"/>
      <c r="IL52" s="69"/>
      <c r="IM52" s="69"/>
      <c r="IN52" s="69"/>
      <c r="IO52" s="69">
        <v>79086</v>
      </c>
      <c r="IP52" s="69">
        <v>69560</v>
      </c>
      <c r="IQ52" s="69">
        <v>208726</v>
      </c>
      <c r="IR52" s="69">
        <v>82551</v>
      </c>
      <c r="IS52" s="69">
        <v>0</v>
      </c>
      <c r="IT52" s="69">
        <v>27950</v>
      </c>
      <c r="IU52" s="69">
        <v>56105</v>
      </c>
      <c r="IV52" s="69">
        <v>7013</v>
      </c>
      <c r="IW52" s="69">
        <v>215930</v>
      </c>
      <c r="IX52" s="69">
        <v>0</v>
      </c>
      <c r="IY52" s="69">
        <v>15213</v>
      </c>
      <c r="IZ52" s="69">
        <v>314041</v>
      </c>
      <c r="JA52" s="69">
        <v>12535</v>
      </c>
      <c r="JB52" s="69">
        <v>172085</v>
      </c>
      <c r="JC52" s="69">
        <v>0</v>
      </c>
      <c r="JD52" s="69">
        <v>242966</v>
      </c>
      <c r="JE52" s="69">
        <v>35579</v>
      </c>
      <c r="JF52" s="69">
        <v>74739</v>
      </c>
      <c r="JG52" s="69">
        <v>261431</v>
      </c>
      <c r="JH52" s="69">
        <v>48635</v>
      </c>
      <c r="JI52" s="69">
        <v>130010</v>
      </c>
      <c r="JJ52" s="69">
        <v>611</v>
      </c>
      <c r="JK52" s="69">
        <v>36421</v>
      </c>
      <c r="JL52" s="69">
        <v>118549</v>
      </c>
      <c r="JM52" s="69">
        <v>133935</v>
      </c>
      <c r="JN52" s="69">
        <v>210429</v>
      </c>
      <c r="JO52" s="69"/>
      <c r="JP52" s="69"/>
      <c r="JQ52" s="69"/>
      <c r="JR52" s="69"/>
      <c r="JS52" s="69"/>
      <c r="JT52" s="69"/>
      <c r="JU52" s="69"/>
      <c r="JV52" s="69"/>
      <c r="JW52" s="69"/>
      <c r="JX52" s="69"/>
      <c r="JY52" s="69"/>
      <c r="JZ52" s="69"/>
      <c r="KA52" s="69"/>
      <c r="KB52" s="69"/>
      <c r="KC52" s="69"/>
      <c r="KD52" s="69"/>
      <c r="KE52" s="69"/>
      <c r="KF52" s="69"/>
      <c r="KG52" s="69"/>
      <c r="KH52" s="69"/>
      <c r="KI52" s="69"/>
      <c r="KJ52" s="69"/>
      <c r="KK52" s="69"/>
      <c r="KL52" s="69"/>
      <c r="KM52" s="69"/>
      <c r="KN52" s="69"/>
      <c r="KO52" s="69"/>
      <c r="KP52" s="69"/>
      <c r="KQ52" s="69"/>
      <c r="KR52" s="69"/>
      <c r="KS52" s="69"/>
      <c r="KT52" s="69"/>
      <c r="KU52" s="69"/>
      <c r="KV52" s="69"/>
      <c r="KW52" s="69"/>
    </row>
    <row r="53" spans="1:369" x14ac:dyDescent="0.25">
      <c r="A53" t="s">
        <v>432</v>
      </c>
      <c r="C53" t="s">
        <v>1088</v>
      </c>
      <c r="E53" s="2"/>
      <c r="G53" t="s">
        <v>433</v>
      </c>
      <c r="Q53" s="69">
        <v>74872</v>
      </c>
      <c r="AH53">
        <v>2140554</v>
      </c>
      <c r="AI53">
        <v>401906</v>
      </c>
      <c r="AJ53">
        <v>668377</v>
      </c>
      <c r="AK53">
        <v>0</v>
      </c>
      <c r="AL53">
        <v>366978</v>
      </c>
      <c r="AM53">
        <v>205107</v>
      </c>
      <c r="CU53">
        <v>84832</v>
      </c>
      <c r="CV53">
        <v>30640</v>
      </c>
      <c r="CW53">
        <v>118640</v>
      </c>
      <c r="CX53">
        <v>169353</v>
      </c>
      <c r="CY53">
        <v>0</v>
      </c>
      <c r="CZ53">
        <v>2632</v>
      </c>
      <c r="DA53">
        <v>49806</v>
      </c>
      <c r="DB53">
        <v>264</v>
      </c>
      <c r="DC53">
        <v>17865</v>
      </c>
      <c r="DD53">
        <v>0</v>
      </c>
      <c r="DE53">
        <v>10140</v>
      </c>
      <c r="DF53">
        <v>121648</v>
      </c>
      <c r="DG53">
        <v>22720</v>
      </c>
      <c r="DH53">
        <v>0</v>
      </c>
      <c r="DI53">
        <v>0</v>
      </c>
      <c r="DJ53">
        <v>13772</v>
      </c>
      <c r="DK53">
        <v>0</v>
      </c>
      <c r="DL53">
        <v>30944</v>
      </c>
      <c r="DM53">
        <v>242864</v>
      </c>
      <c r="DN53">
        <v>0</v>
      </c>
      <c r="DO53">
        <v>32</v>
      </c>
      <c r="DP53">
        <v>9888</v>
      </c>
      <c r="DQ53">
        <v>41568</v>
      </c>
      <c r="DR53">
        <v>121818</v>
      </c>
      <c r="DS53">
        <v>126432</v>
      </c>
      <c r="DT53">
        <v>38436</v>
      </c>
      <c r="DX53" s="69"/>
      <c r="DY53" s="69">
        <v>271471</v>
      </c>
      <c r="DZ53" s="69">
        <v>98301</v>
      </c>
      <c r="EA53" s="69">
        <v>250498</v>
      </c>
      <c r="EB53" s="69">
        <v>71180</v>
      </c>
      <c r="EC53" s="69">
        <v>0</v>
      </c>
      <c r="ED53" s="69">
        <v>44742</v>
      </c>
      <c r="EE53" s="69">
        <v>52043</v>
      </c>
      <c r="EF53" s="69">
        <v>0</v>
      </c>
      <c r="EG53" s="69">
        <v>53499</v>
      </c>
      <c r="EH53" s="69">
        <v>0</v>
      </c>
      <c r="EI53" s="69">
        <v>34968</v>
      </c>
      <c r="EJ53" s="69">
        <v>325856</v>
      </c>
      <c r="EK53" s="69">
        <v>48753</v>
      </c>
      <c r="EL53" s="69">
        <v>0</v>
      </c>
      <c r="EM53" s="69">
        <v>0</v>
      </c>
      <c r="EN53" s="69">
        <v>11857</v>
      </c>
      <c r="EO53" s="69">
        <v>0</v>
      </c>
      <c r="EP53" s="69">
        <v>121277</v>
      </c>
      <c r="EQ53" s="69">
        <v>406870</v>
      </c>
      <c r="ER53" s="69">
        <v>0</v>
      </c>
      <c r="ES53" s="69">
        <v>0</v>
      </c>
      <c r="ET53" s="69">
        <v>48803</v>
      </c>
      <c r="EU53" s="69">
        <v>174186</v>
      </c>
      <c r="EV53" s="69">
        <v>85925</v>
      </c>
      <c r="EW53" s="69">
        <v>390454</v>
      </c>
      <c r="EX53" s="69">
        <v>153776</v>
      </c>
      <c r="EY53" s="69"/>
      <c r="EZ53" s="69"/>
      <c r="FA53" s="69"/>
      <c r="FB53" s="69"/>
      <c r="FC53" s="69"/>
      <c r="FD53" s="69"/>
      <c r="FE53" s="69"/>
      <c r="FF53" s="69"/>
      <c r="FG53" s="69"/>
      <c r="FH53" s="69"/>
      <c r="FI53" s="69"/>
      <c r="FJ53" s="69"/>
      <c r="FK53" s="69"/>
      <c r="FL53" s="69"/>
      <c r="FM53" s="69"/>
      <c r="FN53" s="69"/>
      <c r="FO53" s="69"/>
      <c r="FP53" s="69"/>
      <c r="FQ53" s="69"/>
      <c r="FR53" s="69"/>
      <c r="FS53" s="69"/>
      <c r="FT53" s="69"/>
      <c r="FU53" s="69"/>
      <c r="FV53" s="69"/>
      <c r="FW53" s="69"/>
      <c r="FX53" s="69"/>
      <c r="FY53" s="69"/>
      <c r="FZ53" s="69"/>
      <c r="GA53" s="69"/>
      <c r="GB53" s="69"/>
      <c r="GC53" s="69"/>
      <c r="GD53" s="69"/>
      <c r="GE53" s="69"/>
      <c r="GF53" s="69"/>
      <c r="GG53" s="69"/>
      <c r="GH53" s="69"/>
      <c r="GI53" s="69"/>
      <c r="GJ53" s="69"/>
      <c r="GK53" s="69"/>
      <c r="GL53" s="69"/>
      <c r="GM53" s="69"/>
      <c r="GN53" s="69"/>
      <c r="GO53" s="69"/>
      <c r="GP53" s="69"/>
      <c r="GQ53" s="69"/>
      <c r="GR53" s="69"/>
      <c r="GS53" s="69"/>
      <c r="GT53" s="69"/>
      <c r="GU53" s="69"/>
      <c r="GV53" s="69"/>
      <c r="GW53" s="69"/>
      <c r="GX53" s="69"/>
      <c r="GY53" s="69"/>
      <c r="GZ53" s="69"/>
      <c r="HA53" s="69"/>
      <c r="HB53" s="69"/>
      <c r="HC53" s="69"/>
      <c r="HD53" s="69"/>
      <c r="HE53" s="69"/>
      <c r="HF53" s="69"/>
      <c r="HG53" s="69"/>
      <c r="HH53" s="69"/>
      <c r="HI53" s="69"/>
      <c r="HJ53" s="69"/>
      <c r="HK53" s="69"/>
      <c r="HL53" s="69"/>
      <c r="HM53" s="69"/>
      <c r="HN53" s="69"/>
      <c r="HO53" s="69"/>
      <c r="HP53" s="69"/>
      <c r="HQ53" s="69"/>
      <c r="HR53" s="69"/>
      <c r="HS53" s="69"/>
      <c r="HT53" s="69"/>
      <c r="HU53" s="69"/>
      <c r="HV53" s="69"/>
      <c r="HW53" s="69"/>
      <c r="HX53" s="69"/>
      <c r="HY53" s="69"/>
      <c r="HZ53" s="69"/>
      <c r="IA53" s="69"/>
      <c r="IB53" s="69"/>
      <c r="IC53" s="69"/>
      <c r="ID53" s="69"/>
      <c r="IE53" s="69"/>
      <c r="IF53" s="69"/>
      <c r="IG53" s="69"/>
      <c r="IH53" s="69"/>
      <c r="II53" s="69"/>
      <c r="IJ53" s="69"/>
      <c r="IK53" s="69"/>
      <c r="IL53" s="69"/>
      <c r="IM53" s="69"/>
      <c r="IN53" s="69"/>
      <c r="IO53" s="69">
        <v>34769</v>
      </c>
      <c r="IP53" s="69">
        <v>20486</v>
      </c>
      <c r="IQ53" s="69">
        <v>13241</v>
      </c>
      <c r="IR53" s="69">
        <v>5164</v>
      </c>
      <c r="IS53" s="69">
        <v>0</v>
      </c>
      <c r="IT53" s="69">
        <v>50623</v>
      </c>
      <c r="IU53" s="69">
        <v>4417</v>
      </c>
      <c r="IV53" s="69">
        <v>0</v>
      </c>
      <c r="IW53" s="69">
        <v>4217</v>
      </c>
      <c r="IX53" s="69">
        <v>0</v>
      </c>
      <c r="IY53" s="69">
        <v>59255</v>
      </c>
      <c r="IZ53" s="69">
        <v>19654</v>
      </c>
      <c r="JA53" s="69">
        <v>1451</v>
      </c>
      <c r="JB53" s="69">
        <v>0</v>
      </c>
      <c r="JC53" s="69">
        <v>0</v>
      </c>
      <c r="JD53" s="69">
        <v>8992</v>
      </c>
      <c r="JE53" s="69">
        <v>0</v>
      </c>
      <c r="JF53" s="69">
        <v>5468</v>
      </c>
      <c r="JG53" s="69">
        <v>18883</v>
      </c>
      <c r="JH53" s="69">
        <v>0</v>
      </c>
      <c r="JI53" s="69">
        <v>87</v>
      </c>
      <c r="JJ53" s="69">
        <v>2853</v>
      </c>
      <c r="JK53" s="69">
        <v>9105</v>
      </c>
      <c r="JL53" s="69">
        <v>35903</v>
      </c>
      <c r="JM53" s="69">
        <v>15826</v>
      </c>
      <c r="JN53" s="69">
        <v>27603</v>
      </c>
      <c r="JO53" s="69"/>
      <c r="JP53" s="69"/>
      <c r="JQ53" s="69"/>
      <c r="JR53" s="69"/>
      <c r="JS53" s="69"/>
      <c r="JT53" s="69"/>
      <c r="JU53" s="69"/>
      <c r="JV53" s="69"/>
      <c r="JW53" s="69"/>
      <c r="JX53" s="69"/>
      <c r="JY53" s="69"/>
      <c r="JZ53" s="69"/>
      <c r="KA53" s="69"/>
      <c r="KB53" s="69"/>
      <c r="KC53" s="69"/>
      <c r="KD53" s="69"/>
      <c r="KE53" s="69"/>
      <c r="KF53" s="69"/>
      <c r="KG53" s="69"/>
      <c r="KH53" s="69"/>
      <c r="KI53" s="69"/>
      <c r="KJ53" s="69"/>
      <c r="KK53" s="69"/>
      <c r="KL53" s="69"/>
      <c r="KM53" s="69"/>
      <c r="KN53" s="69"/>
      <c r="KO53" s="69"/>
      <c r="KP53" s="69"/>
      <c r="KQ53" s="69"/>
      <c r="KR53" s="69"/>
      <c r="KS53" s="69"/>
      <c r="KT53" s="69"/>
      <c r="KU53" s="69"/>
      <c r="KV53" s="69"/>
      <c r="KW53" s="69"/>
    </row>
    <row r="54" spans="1:369" x14ac:dyDescent="0.25">
      <c r="A54" t="s">
        <v>418</v>
      </c>
      <c r="C54" t="s">
        <v>1088</v>
      </c>
      <c r="E54" s="2"/>
      <c r="G54" t="s">
        <v>419</v>
      </c>
      <c r="Q54" s="69">
        <v>703487</v>
      </c>
      <c r="AH54">
        <v>4886266</v>
      </c>
      <c r="AI54">
        <v>1628557</v>
      </c>
      <c r="AJ54">
        <v>2381023</v>
      </c>
      <c r="AK54">
        <v>0</v>
      </c>
      <c r="AL54">
        <v>601920</v>
      </c>
      <c r="AM54">
        <v>539061</v>
      </c>
      <c r="CU54">
        <v>10704</v>
      </c>
      <c r="CV54">
        <v>39499</v>
      </c>
      <c r="CW54">
        <v>383792</v>
      </c>
      <c r="CX54">
        <v>104875</v>
      </c>
      <c r="CY54">
        <v>0</v>
      </c>
      <c r="CZ54">
        <v>1056</v>
      </c>
      <c r="DA54">
        <v>75189</v>
      </c>
      <c r="DB54">
        <v>2784</v>
      </c>
      <c r="DC54">
        <v>98874</v>
      </c>
      <c r="DD54">
        <v>0</v>
      </c>
      <c r="DE54">
        <v>70123</v>
      </c>
      <c r="DF54">
        <v>409896</v>
      </c>
      <c r="DG54">
        <v>11096</v>
      </c>
      <c r="DH54">
        <v>53536</v>
      </c>
      <c r="DI54">
        <v>31557</v>
      </c>
      <c r="DJ54">
        <v>139165</v>
      </c>
      <c r="DK54">
        <v>0</v>
      </c>
      <c r="DL54">
        <v>50304</v>
      </c>
      <c r="DM54">
        <v>238064</v>
      </c>
      <c r="DN54">
        <v>14912</v>
      </c>
      <c r="DO54">
        <v>0</v>
      </c>
      <c r="DP54">
        <v>4736</v>
      </c>
      <c r="DQ54">
        <v>43872</v>
      </c>
      <c r="DR54">
        <v>73382</v>
      </c>
      <c r="DS54">
        <v>541728</v>
      </c>
      <c r="DT54">
        <v>97258</v>
      </c>
      <c r="DX54" s="69"/>
      <c r="DY54" s="69">
        <v>80440</v>
      </c>
      <c r="DZ54" s="69">
        <v>177311</v>
      </c>
      <c r="EA54" s="69">
        <v>1327018</v>
      </c>
      <c r="EB54" s="69">
        <v>242013</v>
      </c>
      <c r="EC54" s="69">
        <v>0</v>
      </c>
      <c r="ED54" s="69">
        <v>19</v>
      </c>
      <c r="EE54" s="69">
        <v>439635</v>
      </c>
      <c r="EF54" s="69">
        <v>97118</v>
      </c>
      <c r="EG54" s="69">
        <v>421747</v>
      </c>
      <c r="EH54" s="69">
        <v>0</v>
      </c>
      <c r="EI54" s="69">
        <v>175178</v>
      </c>
      <c r="EJ54" s="69">
        <v>1344016</v>
      </c>
      <c r="EK54" s="69">
        <v>50752</v>
      </c>
      <c r="EL54" s="69">
        <v>480837</v>
      </c>
      <c r="EM54" s="69">
        <v>363318</v>
      </c>
      <c r="EN54" s="69">
        <v>614253</v>
      </c>
      <c r="EO54" s="69">
        <v>0</v>
      </c>
      <c r="EP54" s="69">
        <v>257686</v>
      </c>
      <c r="EQ54" s="69">
        <v>765766</v>
      </c>
      <c r="ER54" s="69">
        <v>111920</v>
      </c>
      <c r="ES54" s="69">
        <v>0</v>
      </c>
      <c r="ET54" s="69">
        <v>86</v>
      </c>
      <c r="EU54" s="69">
        <v>184725</v>
      </c>
      <c r="EV54" s="69">
        <v>487935</v>
      </c>
      <c r="EW54" s="69">
        <v>1377575</v>
      </c>
      <c r="EX54" s="69">
        <v>391717</v>
      </c>
      <c r="EY54" s="69"/>
      <c r="EZ54" s="69"/>
      <c r="FA54" s="69"/>
      <c r="FB54" s="69"/>
      <c r="FC54" s="69"/>
      <c r="FD54" s="69"/>
      <c r="FE54" s="69"/>
      <c r="FF54" s="69"/>
      <c r="FG54" s="69"/>
      <c r="FH54" s="69"/>
      <c r="FI54" s="69"/>
      <c r="FJ54" s="69"/>
      <c r="FK54" s="69"/>
      <c r="FL54" s="69"/>
      <c r="FM54" s="69"/>
      <c r="FN54" s="69"/>
      <c r="FO54" s="69"/>
      <c r="FP54" s="69"/>
      <c r="FQ54" s="69"/>
      <c r="FR54" s="69"/>
      <c r="FS54" s="69"/>
      <c r="FT54" s="69"/>
      <c r="FU54" s="69"/>
      <c r="FV54" s="69"/>
      <c r="FW54" s="69"/>
      <c r="FX54" s="69"/>
      <c r="FY54" s="69"/>
      <c r="FZ54" s="69"/>
      <c r="GA54" s="69"/>
      <c r="GB54" s="69"/>
      <c r="GC54" s="69"/>
      <c r="GD54" s="69"/>
      <c r="GE54" s="69"/>
      <c r="GF54" s="69"/>
      <c r="GG54" s="69"/>
      <c r="GH54" s="69"/>
      <c r="GI54" s="69"/>
      <c r="GJ54" s="69"/>
      <c r="GK54" s="69"/>
      <c r="GL54" s="69"/>
      <c r="GM54" s="69"/>
      <c r="GN54" s="69"/>
      <c r="GO54" s="69"/>
      <c r="GP54" s="69"/>
      <c r="GQ54" s="69"/>
      <c r="GR54" s="69"/>
      <c r="GS54" s="69"/>
      <c r="GT54" s="69"/>
      <c r="GU54" s="69"/>
      <c r="GV54" s="69"/>
      <c r="GW54" s="69"/>
      <c r="GX54" s="69"/>
      <c r="GY54" s="69"/>
      <c r="GZ54" s="69"/>
      <c r="HA54" s="69"/>
      <c r="HB54" s="69"/>
      <c r="HC54" s="69"/>
      <c r="HD54" s="69"/>
      <c r="HE54" s="69"/>
      <c r="HF54" s="69"/>
      <c r="HG54" s="69"/>
      <c r="HH54" s="69"/>
      <c r="HI54" s="69"/>
      <c r="HJ54" s="69"/>
      <c r="HK54" s="69"/>
      <c r="HL54" s="69"/>
      <c r="HM54" s="69"/>
      <c r="HN54" s="69"/>
      <c r="HO54" s="69"/>
      <c r="HP54" s="69"/>
      <c r="HQ54" s="69"/>
      <c r="HR54" s="69"/>
      <c r="HS54" s="69"/>
      <c r="HT54" s="69"/>
      <c r="HU54" s="69"/>
      <c r="HV54" s="69"/>
      <c r="HW54" s="69"/>
      <c r="HX54" s="69"/>
      <c r="HY54" s="69"/>
      <c r="HZ54" s="69"/>
      <c r="IA54" s="69"/>
      <c r="IB54" s="69"/>
      <c r="IC54" s="69"/>
      <c r="ID54" s="69"/>
      <c r="IE54" s="69"/>
      <c r="IF54" s="69"/>
      <c r="IG54" s="69"/>
      <c r="IH54" s="69"/>
      <c r="II54" s="69"/>
      <c r="IJ54" s="69"/>
      <c r="IK54" s="69"/>
      <c r="IL54" s="69"/>
      <c r="IM54" s="69"/>
      <c r="IN54" s="69"/>
      <c r="IO54" s="69">
        <v>11273</v>
      </c>
      <c r="IP54" s="69">
        <v>77084</v>
      </c>
      <c r="IQ54" s="69">
        <v>260544</v>
      </c>
      <c r="IR54" s="69">
        <v>45279</v>
      </c>
      <c r="IS54" s="69">
        <v>0</v>
      </c>
      <c r="IT54" s="69">
        <v>50</v>
      </c>
      <c r="IU54" s="69">
        <v>122935</v>
      </c>
      <c r="IV54" s="69">
        <v>35217</v>
      </c>
      <c r="IW54" s="69">
        <v>87656</v>
      </c>
      <c r="IX54" s="69">
        <v>0</v>
      </c>
      <c r="IY54" s="69">
        <v>55182</v>
      </c>
      <c r="IZ54" s="69">
        <v>211130</v>
      </c>
      <c r="JA54" s="69">
        <v>7794</v>
      </c>
      <c r="JB54" s="69">
        <v>99849</v>
      </c>
      <c r="JC54" s="69">
        <v>87449</v>
      </c>
      <c r="JD54" s="69">
        <v>166613</v>
      </c>
      <c r="JE54" s="69">
        <v>0</v>
      </c>
      <c r="JF54" s="69">
        <v>45643</v>
      </c>
      <c r="JG54" s="69">
        <v>109326</v>
      </c>
      <c r="JH54" s="69">
        <v>30322</v>
      </c>
      <c r="JI54" s="69">
        <v>0</v>
      </c>
      <c r="JJ54" s="69">
        <v>224</v>
      </c>
      <c r="JK54" s="69">
        <v>52491</v>
      </c>
      <c r="JL54" s="69">
        <v>165276</v>
      </c>
      <c r="JM54" s="69">
        <v>226840</v>
      </c>
      <c r="JN54" s="69">
        <v>94703</v>
      </c>
      <c r="JO54" s="69"/>
      <c r="JP54" s="69"/>
      <c r="JQ54" s="69"/>
      <c r="JR54" s="69"/>
      <c r="JS54" s="69"/>
      <c r="JT54" s="69"/>
      <c r="JU54" s="69"/>
      <c r="JV54" s="69"/>
      <c r="JW54" s="69"/>
      <c r="JX54" s="69"/>
      <c r="JY54" s="69"/>
      <c r="JZ54" s="69"/>
      <c r="KA54" s="69"/>
      <c r="KB54" s="69"/>
      <c r="KC54" s="69"/>
      <c r="KD54" s="69"/>
      <c r="KE54" s="69"/>
      <c r="KF54" s="69"/>
      <c r="KG54" s="69"/>
      <c r="KH54" s="69"/>
      <c r="KI54" s="69"/>
      <c r="KJ54" s="69"/>
      <c r="KK54" s="69"/>
      <c r="KL54" s="69"/>
      <c r="KM54" s="69"/>
      <c r="KN54" s="69"/>
      <c r="KO54" s="69"/>
      <c r="KP54" s="69"/>
      <c r="KQ54" s="69"/>
      <c r="KR54" s="69"/>
      <c r="KS54" s="69"/>
      <c r="KT54" s="69"/>
      <c r="KU54" s="69"/>
      <c r="KV54" s="69"/>
      <c r="KW54" s="69"/>
    </row>
    <row r="55" spans="1:369" x14ac:dyDescent="0.25">
      <c r="A55" t="s">
        <v>430</v>
      </c>
      <c r="C55" t="s">
        <v>1088</v>
      </c>
      <c r="E55" s="2"/>
      <c r="G55" t="s">
        <v>431</v>
      </c>
      <c r="Q55" s="69">
        <v>177667</v>
      </c>
      <c r="AH55">
        <v>2917595</v>
      </c>
      <c r="AI55">
        <v>2325335</v>
      </c>
      <c r="AJ55">
        <v>1265817</v>
      </c>
      <c r="AK55">
        <v>288457</v>
      </c>
      <c r="AL55">
        <v>579774</v>
      </c>
      <c r="AM55">
        <v>583508</v>
      </c>
      <c r="CU55">
        <v>26832</v>
      </c>
      <c r="CV55">
        <v>95244</v>
      </c>
      <c r="CW55">
        <v>296256</v>
      </c>
      <c r="CX55">
        <v>170964</v>
      </c>
      <c r="CY55">
        <v>0</v>
      </c>
      <c r="CZ55">
        <v>54544</v>
      </c>
      <c r="DA55">
        <v>125536</v>
      </c>
      <c r="DB55">
        <v>12732</v>
      </c>
      <c r="DC55">
        <v>150932</v>
      </c>
      <c r="DD55">
        <v>288</v>
      </c>
      <c r="DE55">
        <v>205630</v>
      </c>
      <c r="DF55">
        <v>335744</v>
      </c>
      <c r="DG55">
        <v>75026</v>
      </c>
      <c r="DH55">
        <v>41146</v>
      </c>
      <c r="DI55">
        <v>46032</v>
      </c>
      <c r="DJ55">
        <v>206389</v>
      </c>
      <c r="DK55">
        <v>0</v>
      </c>
      <c r="DL55">
        <v>8736</v>
      </c>
      <c r="DM55">
        <v>266848</v>
      </c>
      <c r="DN55">
        <v>142570</v>
      </c>
      <c r="DO55">
        <v>45176</v>
      </c>
      <c r="DP55">
        <v>84488</v>
      </c>
      <c r="DQ55">
        <v>13152</v>
      </c>
      <c r="DR55">
        <v>75164</v>
      </c>
      <c r="DS55">
        <v>357712</v>
      </c>
      <c r="DT55">
        <v>142016</v>
      </c>
      <c r="DX55" s="69"/>
      <c r="DY55" s="69">
        <v>82552</v>
      </c>
      <c r="DZ55" s="69">
        <v>513800</v>
      </c>
      <c r="EA55" s="69">
        <v>608341</v>
      </c>
      <c r="EB55" s="69">
        <v>175219</v>
      </c>
      <c r="EC55" s="69">
        <v>0</v>
      </c>
      <c r="ED55" s="69">
        <v>563177</v>
      </c>
      <c r="EE55" s="69">
        <v>721077</v>
      </c>
      <c r="EF55" s="69">
        <v>137486</v>
      </c>
      <c r="EG55" s="69">
        <v>327095</v>
      </c>
      <c r="EH55" s="69">
        <v>3</v>
      </c>
      <c r="EI55" s="69">
        <v>314756</v>
      </c>
      <c r="EJ55" s="69">
        <v>766234</v>
      </c>
      <c r="EK55" s="69">
        <v>173418</v>
      </c>
      <c r="EL55" s="69">
        <v>118215</v>
      </c>
      <c r="EM55" s="69">
        <v>301191</v>
      </c>
      <c r="EN55" s="69">
        <v>880690</v>
      </c>
      <c r="EO55" s="69">
        <v>0</v>
      </c>
      <c r="EP55" s="69">
        <v>47935</v>
      </c>
      <c r="EQ55" s="69">
        <v>764946</v>
      </c>
      <c r="ER55" s="69">
        <v>379053</v>
      </c>
      <c r="ES55" s="69">
        <v>126293</v>
      </c>
      <c r="ET55" s="69">
        <v>96313</v>
      </c>
      <c r="EU55" s="69">
        <v>149</v>
      </c>
      <c r="EV55" s="69">
        <v>43748</v>
      </c>
      <c r="EW55" s="69">
        <v>555464</v>
      </c>
      <c r="EX55" s="69">
        <v>98014</v>
      </c>
      <c r="EY55" s="69"/>
      <c r="EZ55" s="69"/>
      <c r="FA55" s="69"/>
      <c r="FB55" s="69"/>
      <c r="FC55" s="69"/>
      <c r="FD55" s="69"/>
      <c r="FE55" s="69"/>
      <c r="FF55" s="69"/>
      <c r="FG55" s="69"/>
      <c r="FH55" s="69"/>
      <c r="FI55" s="69"/>
      <c r="FJ55" s="69"/>
      <c r="FK55" s="69"/>
      <c r="FL55" s="69"/>
      <c r="FM55" s="69"/>
      <c r="FN55" s="69"/>
      <c r="FO55" s="69"/>
      <c r="FP55" s="69"/>
      <c r="FQ55" s="69"/>
      <c r="FR55" s="69"/>
      <c r="FS55" s="69"/>
      <c r="FT55" s="69"/>
      <c r="FU55" s="69"/>
      <c r="FV55" s="69"/>
      <c r="FW55" s="69"/>
      <c r="FX55" s="69"/>
      <c r="FY55" s="69"/>
      <c r="FZ55" s="69"/>
      <c r="GA55" s="69"/>
      <c r="GB55" s="69"/>
      <c r="GC55" s="69"/>
      <c r="GD55" s="69"/>
      <c r="GE55" s="69"/>
      <c r="GF55" s="69"/>
      <c r="GG55" s="69"/>
      <c r="GH55" s="69"/>
      <c r="GI55" s="69"/>
      <c r="GJ55" s="69"/>
      <c r="GK55" s="69"/>
      <c r="GL55" s="69"/>
      <c r="GM55" s="69"/>
      <c r="GN55" s="69"/>
      <c r="GO55" s="69"/>
      <c r="GP55" s="69"/>
      <c r="GQ55" s="69"/>
      <c r="GR55" s="69"/>
      <c r="GS55" s="69"/>
      <c r="GT55" s="69"/>
      <c r="GU55" s="69"/>
      <c r="GV55" s="69"/>
      <c r="GW55" s="69"/>
      <c r="GX55" s="69"/>
      <c r="GY55" s="69"/>
      <c r="GZ55" s="69"/>
      <c r="HA55" s="69"/>
      <c r="HB55" s="69"/>
      <c r="HC55" s="69"/>
      <c r="HD55" s="69"/>
      <c r="HE55" s="69"/>
      <c r="HF55" s="69"/>
      <c r="HG55" s="69"/>
      <c r="HH55" s="69"/>
      <c r="HI55" s="69"/>
      <c r="HJ55" s="69"/>
      <c r="HK55" s="69"/>
      <c r="HL55" s="69"/>
      <c r="HM55" s="69"/>
      <c r="HN55" s="69"/>
      <c r="HO55" s="69"/>
      <c r="HP55" s="69"/>
      <c r="HQ55" s="69"/>
      <c r="HR55" s="69"/>
      <c r="HS55" s="69"/>
      <c r="HT55" s="69"/>
      <c r="HU55" s="69"/>
      <c r="HV55" s="69"/>
      <c r="HW55" s="69"/>
      <c r="HX55" s="69"/>
      <c r="HY55" s="69"/>
      <c r="HZ55" s="69"/>
      <c r="IA55" s="69"/>
      <c r="IB55" s="69"/>
      <c r="IC55" s="69"/>
      <c r="ID55" s="69"/>
      <c r="IE55" s="69"/>
      <c r="IF55" s="69"/>
      <c r="IG55" s="69"/>
      <c r="IH55" s="69"/>
      <c r="II55" s="69"/>
      <c r="IJ55" s="69"/>
      <c r="IK55" s="69"/>
      <c r="IL55" s="69"/>
      <c r="IM55" s="69"/>
      <c r="IN55" s="69"/>
      <c r="IO55" s="69">
        <v>132251</v>
      </c>
      <c r="IP55" s="69">
        <v>332831</v>
      </c>
      <c r="IQ55" s="69">
        <v>441334</v>
      </c>
      <c r="IR55" s="69">
        <v>251315</v>
      </c>
      <c r="IS55" s="69">
        <v>0</v>
      </c>
      <c r="IT55" s="69">
        <v>136699</v>
      </c>
      <c r="IU55" s="69">
        <v>336505</v>
      </c>
      <c r="IV55" s="69">
        <v>98987</v>
      </c>
      <c r="IW55" s="69">
        <v>363200</v>
      </c>
      <c r="IX55" s="69">
        <v>257</v>
      </c>
      <c r="IY55" s="69">
        <v>364929</v>
      </c>
      <c r="IZ55" s="69">
        <v>586393</v>
      </c>
      <c r="JA55" s="69">
        <v>87303</v>
      </c>
      <c r="JB55" s="69">
        <v>62035</v>
      </c>
      <c r="JC55" s="69">
        <v>179174</v>
      </c>
      <c r="JD55" s="69">
        <v>648806</v>
      </c>
      <c r="JE55" s="69">
        <v>0</v>
      </c>
      <c r="JF55" s="69">
        <v>43287</v>
      </c>
      <c r="JG55" s="69">
        <v>418117</v>
      </c>
      <c r="JH55" s="69">
        <v>290281</v>
      </c>
      <c r="JI55" s="69">
        <v>108391</v>
      </c>
      <c r="JJ55" s="69">
        <v>124351</v>
      </c>
      <c r="JK55" s="69">
        <v>11765</v>
      </c>
      <c r="JL55" s="69">
        <v>83241</v>
      </c>
      <c r="JM55" s="69">
        <v>431354</v>
      </c>
      <c r="JN55" s="69">
        <v>154004</v>
      </c>
      <c r="JO55" s="69"/>
      <c r="JP55" s="69"/>
      <c r="JQ55" s="69"/>
      <c r="JR55" s="69"/>
      <c r="JS55" s="69"/>
      <c r="JT55" s="69"/>
      <c r="JU55" s="69"/>
      <c r="JV55" s="69"/>
      <c r="JW55" s="69"/>
      <c r="JX55" s="69"/>
      <c r="JY55" s="69"/>
      <c r="JZ55" s="69"/>
      <c r="KA55" s="69"/>
      <c r="KB55" s="69"/>
      <c r="KC55" s="69"/>
      <c r="KD55" s="69"/>
      <c r="KE55" s="69"/>
      <c r="KF55" s="69"/>
      <c r="KG55" s="69"/>
      <c r="KH55" s="69"/>
      <c r="KI55" s="69"/>
      <c r="KJ55" s="69"/>
      <c r="KK55" s="69"/>
      <c r="KL55" s="69"/>
      <c r="KM55" s="69"/>
      <c r="KN55" s="69"/>
      <c r="KO55" s="69"/>
      <c r="KP55" s="69"/>
      <c r="KQ55" s="69"/>
      <c r="KR55" s="69"/>
      <c r="KS55" s="69"/>
      <c r="KT55" s="69"/>
      <c r="KU55" s="69"/>
      <c r="KV55" s="69"/>
      <c r="KW55" s="69"/>
    </row>
    <row r="56" spans="1:369" x14ac:dyDescent="0.25">
      <c r="A56" t="s">
        <v>436</v>
      </c>
      <c r="C56" t="s">
        <v>1088</v>
      </c>
      <c r="E56" s="2"/>
      <c r="G56" t="s">
        <v>437</v>
      </c>
      <c r="Q56" s="69">
        <v>140403</v>
      </c>
      <c r="AH56">
        <v>1769270</v>
      </c>
      <c r="AI56">
        <v>2043214</v>
      </c>
      <c r="AJ56">
        <v>2334754</v>
      </c>
      <c r="AK56">
        <v>489</v>
      </c>
      <c r="AL56">
        <v>474623</v>
      </c>
      <c r="AM56">
        <v>201778</v>
      </c>
      <c r="CU56">
        <v>2768</v>
      </c>
      <c r="CV56">
        <v>45392</v>
      </c>
      <c r="CW56">
        <v>1968</v>
      </c>
      <c r="CX56">
        <v>285240</v>
      </c>
      <c r="CY56">
        <v>0</v>
      </c>
      <c r="CZ56">
        <v>6816</v>
      </c>
      <c r="DA56">
        <v>122096</v>
      </c>
      <c r="DB56">
        <v>15232</v>
      </c>
      <c r="DC56">
        <v>28912</v>
      </c>
      <c r="DD56">
        <v>0</v>
      </c>
      <c r="DE56">
        <v>113420</v>
      </c>
      <c r="DF56">
        <v>75456</v>
      </c>
      <c r="DG56">
        <v>6336</v>
      </c>
      <c r="DH56">
        <v>22800</v>
      </c>
      <c r="DI56">
        <v>0</v>
      </c>
      <c r="DJ56">
        <v>109611</v>
      </c>
      <c r="DK56">
        <v>0</v>
      </c>
      <c r="DL56">
        <v>132400</v>
      </c>
      <c r="DM56">
        <v>69792</v>
      </c>
      <c r="DN56">
        <v>33280</v>
      </c>
      <c r="DO56">
        <v>39248</v>
      </c>
      <c r="DP56">
        <v>440</v>
      </c>
      <c r="DQ56">
        <v>0</v>
      </c>
      <c r="DR56">
        <v>22996</v>
      </c>
      <c r="DS56">
        <v>31296</v>
      </c>
      <c r="DT56">
        <v>67184</v>
      </c>
      <c r="DX56" s="69"/>
      <c r="DY56" s="69">
        <v>5813</v>
      </c>
      <c r="DZ56" s="69">
        <v>95329</v>
      </c>
      <c r="EA56" s="69">
        <v>6277</v>
      </c>
      <c r="EB56" s="69">
        <v>653918</v>
      </c>
      <c r="EC56" s="69">
        <v>0</v>
      </c>
      <c r="ED56" s="69">
        <v>14314</v>
      </c>
      <c r="EE56" s="69">
        <v>279907</v>
      </c>
      <c r="EF56" s="69">
        <v>31990</v>
      </c>
      <c r="EG56" s="69">
        <v>60718</v>
      </c>
      <c r="EH56" s="69">
        <v>0</v>
      </c>
      <c r="EI56" s="69">
        <v>677667</v>
      </c>
      <c r="EJ56" s="69">
        <v>240667</v>
      </c>
      <c r="EK56" s="69">
        <v>20209</v>
      </c>
      <c r="EL56" s="69">
        <v>105981</v>
      </c>
      <c r="EM56" s="69">
        <v>0</v>
      </c>
      <c r="EN56" s="69">
        <v>509504</v>
      </c>
      <c r="EO56" s="69">
        <v>0</v>
      </c>
      <c r="EP56" s="69">
        <v>615435</v>
      </c>
      <c r="EQ56" s="69">
        <v>222602</v>
      </c>
      <c r="ER56" s="69">
        <v>207496</v>
      </c>
      <c r="ES56" s="69">
        <v>244706</v>
      </c>
      <c r="ET56" s="69">
        <v>924</v>
      </c>
      <c r="EU56" s="69">
        <v>0</v>
      </c>
      <c r="EV56" s="69">
        <v>52717</v>
      </c>
      <c r="EW56" s="69">
        <v>99818</v>
      </c>
      <c r="EX56" s="69">
        <v>154021</v>
      </c>
      <c r="EY56" s="69"/>
      <c r="EZ56" s="69"/>
      <c r="FA56" s="69"/>
      <c r="FB56" s="69"/>
      <c r="FC56" s="69"/>
      <c r="FD56" s="69"/>
      <c r="FE56" s="69"/>
      <c r="FF56" s="69"/>
      <c r="FG56" s="69"/>
      <c r="FH56" s="69"/>
      <c r="FI56" s="69"/>
      <c r="FJ56" s="69"/>
      <c r="FK56" s="69"/>
      <c r="FL56" s="69"/>
      <c r="FM56" s="69"/>
      <c r="FN56" s="69"/>
      <c r="FO56" s="69"/>
      <c r="FP56" s="69"/>
      <c r="FQ56" s="69"/>
      <c r="FR56" s="69"/>
      <c r="FS56" s="69"/>
      <c r="FT56" s="69"/>
      <c r="FU56" s="69"/>
      <c r="FV56" s="69"/>
      <c r="FW56" s="69"/>
      <c r="FX56" s="69"/>
      <c r="FY56" s="69"/>
      <c r="FZ56" s="69"/>
      <c r="GA56" s="69"/>
      <c r="GB56" s="69"/>
      <c r="GC56" s="69"/>
      <c r="GD56" s="69"/>
      <c r="GE56" s="69"/>
      <c r="GF56" s="69"/>
      <c r="GG56" s="69"/>
      <c r="GH56" s="69"/>
      <c r="GI56" s="69"/>
      <c r="GJ56" s="69"/>
      <c r="GK56" s="69"/>
      <c r="GL56" s="69"/>
      <c r="GM56" s="69"/>
      <c r="GN56" s="69"/>
      <c r="GO56" s="69"/>
      <c r="GP56" s="69"/>
      <c r="GQ56" s="69"/>
      <c r="GR56" s="69"/>
      <c r="GS56" s="69"/>
      <c r="GT56" s="69"/>
      <c r="GU56" s="69"/>
      <c r="GV56" s="69"/>
      <c r="GW56" s="69"/>
      <c r="GX56" s="69"/>
      <c r="GY56" s="69"/>
      <c r="GZ56" s="69"/>
      <c r="HA56" s="69"/>
      <c r="HB56" s="69"/>
      <c r="HC56" s="69"/>
      <c r="HD56" s="69"/>
      <c r="HE56" s="69"/>
      <c r="HF56" s="69"/>
      <c r="HG56" s="69"/>
      <c r="HH56" s="69"/>
      <c r="HI56" s="69"/>
      <c r="HJ56" s="69"/>
      <c r="HK56" s="69"/>
      <c r="HL56" s="69"/>
      <c r="HM56" s="69"/>
      <c r="HN56" s="69"/>
      <c r="HO56" s="69"/>
      <c r="HP56" s="69"/>
      <c r="HQ56" s="69"/>
      <c r="HR56" s="69"/>
      <c r="HS56" s="69"/>
      <c r="HT56" s="69"/>
      <c r="HU56" s="69"/>
      <c r="HV56" s="69"/>
      <c r="HW56" s="69"/>
      <c r="HX56" s="69"/>
      <c r="HY56" s="69"/>
      <c r="HZ56" s="69"/>
      <c r="IA56" s="69"/>
      <c r="IB56" s="69"/>
      <c r="IC56" s="69"/>
      <c r="ID56" s="69"/>
      <c r="IE56" s="69"/>
      <c r="IF56" s="69"/>
      <c r="IG56" s="69"/>
      <c r="IH56" s="69"/>
      <c r="II56" s="69"/>
      <c r="IJ56" s="69"/>
      <c r="IK56" s="69"/>
      <c r="IL56" s="69"/>
      <c r="IM56" s="69"/>
      <c r="IN56" s="69"/>
      <c r="IO56" s="69">
        <v>10732</v>
      </c>
      <c r="IP56" s="69">
        <v>176004</v>
      </c>
      <c r="IQ56" s="69">
        <v>2277</v>
      </c>
      <c r="IR56" s="69">
        <v>316627</v>
      </c>
      <c r="IS56" s="69">
        <v>0</v>
      </c>
      <c r="IT56" s="69">
        <v>26429</v>
      </c>
      <c r="IU56" s="69">
        <v>135531</v>
      </c>
      <c r="IV56" s="69">
        <v>59060</v>
      </c>
      <c r="IW56" s="69">
        <v>112104</v>
      </c>
      <c r="IX56" s="69">
        <v>0</v>
      </c>
      <c r="IY56" s="69">
        <v>226880</v>
      </c>
      <c r="IZ56" s="69">
        <v>87333</v>
      </c>
      <c r="JA56" s="69">
        <v>7333</v>
      </c>
      <c r="JB56" s="69">
        <v>34980</v>
      </c>
      <c r="JC56" s="69">
        <v>0</v>
      </c>
      <c r="JD56" s="69">
        <v>168166</v>
      </c>
      <c r="JE56" s="69">
        <v>0</v>
      </c>
      <c r="JF56" s="69">
        <v>203127</v>
      </c>
      <c r="JG56" s="69">
        <v>80776</v>
      </c>
      <c r="JH56" s="69">
        <v>80756</v>
      </c>
      <c r="JI56" s="69">
        <v>95236</v>
      </c>
      <c r="JJ56" s="69">
        <v>1707</v>
      </c>
      <c r="JK56" s="69">
        <v>0</v>
      </c>
      <c r="JL56" s="69">
        <v>25527</v>
      </c>
      <c r="JM56" s="69">
        <v>36223</v>
      </c>
      <c r="JN56" s="69">
        <v>74579</v>
      </c>
      <c r="JO56" s="69"/>
      <c r="JP56" s="69"/>
      <c r="JQ56" s="69"/>
      <c r="JR56" s="69"/>
      <c r="JS56" s="69"/>
      <c r="JT56" s="69"/>
      <c r="JU56" s="69"/>
      <c r="JV56" s="69"/>
      <c r="JW56" s="69"/>
      <c r="JX56" s="69"/>
      <c r="JY56" s="69"/>
      <c r="JZ56" s="69"/>
      <c r="KA56" s="69"/>
      <c r="KB56" s="69"/>
      <c r="KC56" s="69"/>
      <c r="KD56" s="69"/>
      <c r="KE56" s="69"/>
      <c r="KF56" s="69"/>
      <c r="KG56" s="69"/>
      <c r="KH56" s="69"/>
      <c r="KI56" s="69"/>
      <c r="KJ56" s="69"/>
      <c r="KK56" s="69"/>
      <c r="KL56" s="69"/>
      <c r="KM56" s="69"/>
      <c r="KN56" s="69"/>
      <c r="KO56" s="69"/>
      <c r="KP56" s="69"/>
      <c r="KQ56" s="69"/>
      <c r="KR56" s="69"/>
      <c r="KS56" s="69"/>
      <c r="KT56" s="69"/>
      <c r="KU56" s="69"/>
      <c r="KV56" s="69"/>
      <c r="KW56" s="69"/>
    </row>
    <row r="57" spans="1:369" x14ac:dyDescent="0.25">
      <c r="A57" t="s">
        <v>460</v>
      </c>
      <c r="C57" t="s">
        <v>1088</v>
      </c>
      <c r="E57" s="2"/>
      <c r="G57" t="s">
        <v>461</v>
      </c>
      <c r="Q57" s="69">
        <v>82519</v>
      </c>
      <c r="AH57">
        <v>697618</v>
      </c>
      <c r="AI57">
        <v>812831</v>
      </c>
      <c r="AJ57">
        <v>580913</v>
      </c>
      <c r="AK57">
        <v>165057</v>
      </c>
      <c r="AL57">
        <v>256075</v>
      </c>
      <c r="AM57">
        <v>127431</v>
      </c>
      <c r="CU57">
        <v>912</v>
      </c>
      <c r="CV57">
        <v>48685</v>
      </c>
      <c r="CW57">
        <v>16328</v>
      </c>
      <c r="CX57">
        <v>46894</v>
      </c>
      <c r="CY57">
        <v>0</v>
      </c>
      <c r="CZ57">
        <v>4032</v>
      </c>
      <c r="DA57">
        <v>118086</v>
      </c>
      <c r="DB57">
        <v>33104</v>
      </c>
      <c r="DC57">
        <v>0</v>
      </c>
      <c r="DD57">
        <v>0</v>
      </c>
      <c r="DE57">
        <v>135950</v>
      </c>
      <c r="DF57">
        <v>46640</v>
      </c>
      <c r="DG57">
        <v>0</v>
      </c>
      <c r="DH57">
        <v>0</v>
      </c>
      <c r="DI57">
        <v>0</v>
      </c>
      <c r="DJ57">
        <v>480</v>
      </c>
      <c r="DK57">
        <v>0</v>
      </c>
      <c r="DL57">
        <v>0</v>
      </c>
      <c r="DM57">
        <v>39456</v>
      </c>
      <c r="DN57">
        <v>2208</v>
      </c>
      <c r="DO57">
        <v>31924</v>
      </c>
      <c r="DP57">
        <v>8160</v>
      </c>
      <c r="DQ57">
        <v>0</v>
      </c>
      <c r="DR57">
        <v>0</v>
      </c>
      <c r="DS57">
        <v>19712</v>
      </c>
      <c r="DT57">
        <v>5184</v>
      </c>
      <c r="DX57" s="69"/>
      <c r="DY57" s="69">
        <v>3125</v>
      </c>
      <c r="DZ57" s="69">
        <v>336311</v>
      </c>
      <c r="EA57" s="69">
        <v>42978</v>
      </c>
      <c r="EB57" s="69">
        <v>73323</v>
      </c>
      <c r="EC57" s="69">
        <v>0</v>
      </c>
      <c r="ED57" s="69">
        <v>13815</v>
      </c>
      <c r="EE57" s="69">
        <v>184638</v>
      </c>
      <c r="EF57" s="69">
        <v>113432</v>
      </c>
      <c r="EG57" s="69">
        <v>0</v>
      </c>
      <c r="EH57" s="69">
        <v>0</v>
      </c>
      <c r="EI57" s="69">
        <v>576408</v>
      </c>
      <c r="EJ57" s="69">
        <v>184811</v>
      </c>
      <c r="EK57" s="69">
        <v>0</v>
      </c>
      <c r="EL57" s="69">
        <v>0</v>
      </c>
      <c r="EM57" s="69">
        <v>0</v>
      </c>
      <c r="EN57" s="69">
        <v>1645</v>
      </c>
      <c r="EO57" s="69">
        <v>0</v>
      </c>
      <c r="EP57" s="69">
        <v>0</v>
      </c>
      <c r="EQ57" s="69">
        <v>149808</v>
      </c>
      <c r="ER57" s="69">
        <v>6218</v>
      </c>
      <c r="ES57" s="69">
        <v>89899</v>
      </c>
      <c r="ET57" s="69">
        <v>27960</v>
      </c>
      <c r="EU57" s="69">
        <v>0</v>
      </c>
      <c r="EV57" s="69">
        <v>0</v>
      </c>
      <c r="EW57" s="69">
        <v>22461</v>
      </c>
      <c r="EX57" s="69">
        <v>8106</v>
      </c>
      <c r="EY57" s="69"/>
      <c r="EZ57" s="69"/>
      <c r="FA57" s="69"/>
      <c r="FB57" s="69"/>
      <c r="FC57" s="69"/>
      <c r="FD57" s="69"/>
      <c r="FE57" s="69"/>
      <c r="FF57" s="69"/>
      <c r="FG57" s="69"/>
      <c r="FH57" s="69"/>
      <c r="FI57" s="69"/>
      <c r="FJ57" s="69"/>
      <c r="FK57" s="69"/>
      <c r="FL57" s="69"/>
      <c r="FM57" s="69"/>
      <c r="FN57" s="69"/>
      <c r="FO57" s="69"/>
      <c r="FP57" s="69"/>
      <c r="FQ57" s="69"/>
      <c r="FR57" s="69"/>
      <c r="FS57" s="69"/>
      <c r="FT57" s="69"/>
      <c r="FU57" s="69"/>
      <c r="FV57" s="69"/>
      <c r="FW57" s="69"/>
      <c r="FX57" s="69"/>
      <c r="FY57" s="69"/>
      <c r="FZ57" s="69"/>
      <c r="GA57" s="69"/>
      <c r="GB57" s="69"/>
      <c r="GC57" s="69"/>
      <c r="GD57" s="69"/>
      <c r="GE57" s="69"/>
      <c r="GF57" s="69"/>
      <c r="GG57" s="69"/>
      <c r="GH57" s="69"/>
      <c r="GI57" s="69"/>
      <c r="GJ57" s="69"/>
      <c r="GK57" s="69"/>
      <c r="GL57" s="69"/>
      <c r="GM57" s="69"/>
      <c r="GN57" s="69"/>
      <c r="GO57" s="69"/>
      <c r="GP57" s="69"/>
      <c r="GQ57" s="69"/>
      <c r="GR57" s="69"/>
      <c r="GS57" s="69"/>
      <c r="GT57" s="69"/>
      <c r="GU57" s="69"/>
      <c r="GV57" s="69"/>
      <c r="GW57" s="69"/>
      <c r="GX57" s="69"/>
      <c r="GY57" s="69"/>
      <c r="GZ57" s="69"/>
      <c r="HA57" s="69"/>
      <c r="HB57" s="69"/>
      <c r="HC57" s="69"/>
      <c r="HD57" s="69"/>
      <c r="HE57" s="69"/>
      <c r="HF57" s="69"/>
      <c r="HG57" s="69"/>
      <c r="HH57" s="69"/>
      <c r="HI57" s="69"/>
      <c r="HJ57" s="69"/>
      <c r="HK57" s="69"/>
      <c r="HL57" s="69"/>
      <c r="HM57" s="69"/>
      <c r="HN57" s="69"/>
      <c r="HO57" s="69"/>
      <c r="HP57" s="69"/>
      <c r="HQ57" s="69"/>
      <c r="HR57" s="69"/>
      <c r="HS57" s="69"/>
      <c r="HT57" s="69"/>
      <c r="HU57" s="69"/>
      <c r="HV57" s="69"/>
      <c r="HW57" s="69"/>
      <c r="HX57" s="69"/>
      <c r="HY57" s="69"/>
      <c r="HZ57" s="69"/>
      <c r="IA57" s="69"/>
      <c r="IB57" s="69"/>
      <c r="IC57" s="69"/>
      <c r="ID57" s="69"/>
      <c r="IE57" s="69"/>
      <c r="IF57" s="69"/>
      <c r="IG57" s="69"/>
      <c r="IH57" s="69"/>
      <c r="II57" s="69"/>
      <c r="IJ57" s="69"/>
      <c r="IK57" s="69"/>
      <c r="IL57" s="69"/>
      <c r="IM57" s="69"/>
      <c r="IN57" s="69"/>
      <c r="IO57" s="69">
        <v>513</v>
      </c>
      <c r="IP57" s="69">
        <v>109685</v>
      </c>
      <c r="IQ57" s="69">
        <v>10600</v>
      </c>
      <c r="IR57" s="69">
        <v>92873</v>
      </c>
      <c r="IS57" s="69">
        <v>0</v>
      </c>
      <c r="IT57" s="69">
        <v>2267</v>
      </c>
      <c r="IU57" s="69">
        <v>233868</v>
      </c>
      <c r="IV57" s="69">
        <v>18612</v>
      </c>
      <c r="IW57" s="69">
        <v>0</v>
      </c>
      <c r="IX57" s="69">
        <v>0</v>
      </c>
      <c r="IY57" s="69">
        <v>134524</v>
      </c>
      <c r="IZ57" s="69">
        <v>32639</v>
      </c>
      <c r="JA57" s="69">
        <v>0</v>
      </c>
      <c r="JB57" s="69">
        <v>0</v>
      </c>
      <c r="JC57" s="69">
        <v>0</v>
      </c>
      <c r="JD57" s="69">
        <v>270</v>
      </c>
      <c r="JE57" s="69">
        <v>0</v>
      </c>
      <c r="JF57" s="69">
        <v>0</v>
      </c>
      <c r="JG57" s="69">
        <v>27977</v>
      </c>
      <c r="JH57" s="69">
        <v>4054</v>
      </c>
      <c r="JI57" s="69">
        <v>58619</v>
      </c>
      <c r="JJ57" s="69">
        <v>4587</v>
      </c>
      <c r="JK57" s="69">
        <v>0</v>
      </c>
      <c r="JL57" s="69">
        <v>0</v>
      </c>
      <c r="JM57" s="69">
        <v>7769</v>
      </c>
      <c r="JN57" s="69">
        <v>10266</v>
      </c>
      <c r="JO57" s="69"/>
      <c r="JP57" s="69"/>
      <c r="JQ57" s="69"/>
      <c r="JR57" s="69"/>
      <c r="JS57" s="69"/>
      <c r="JT57" s="69"/>
      <c r="JU57" s="69"/>
      <c r="JV57" s="69"/>
      <c r="JW57" s="69"/>
      <c r="JX57" s="69"/>
      <c r="JY57" s="69"/>
      <c r="JZ57" s="69"/>
      <c r="KA57" s="69"/>
      <c r="KB57" s="69"/>
      <c r="KC57" s="69"/>
      <c r="KD57" s="69"/>
      <c r="KE57" s="69"/>
      <c r="KF57" s="69"/>
      <c r="KG57" s="69"/>
      <c r="KH57" s="69"/>
      <c r="KI57" s="69"/>
      <c r="KJ57" s="69"/>
      <c r="KK57" s="69"/>
      <c r="KL57" s="69"/>
      <c r="KM57" s="69"/>
      <c r="KN57" s="69"/>
      <c r="KO57" s="69"/>
      <c r="KP57" s="69"/>
      <c r="KQ57" s="69"/>
      <c r="KR57" s="69"/>
      <c r="KS57" s="69"/>
      <c r="KT57" s="69"/>
      <c r="KU57" s="69"/>
      <c r="KV57" s="69"/>
      <c r="KW57" s="69"/>
    </row>
    <row r="58" spans="1:369" x14ac:dyDescent="0.25">
      <c r="A58" t="s">
        <v>408</v>
      </c>
      <c r="C58" t="s">
        <v>1088</v>
      </c>
      <c r="E58" s="2"/>
      <c r="G58" t="s">
        <v>409</v>
      </c>
      <c r="Q58" s="69">
        <v>292298</v>
      </c>
      <c r="AH58">
        <v>3629141</v>
      </c>
      <c r="AI58">
        <v>2444025</v>
      </c>
      <c r="AJ58">
        <v>3717296</v>
      </c>
      <c r="AK58">
        <v>239351</v>
      </c>
      <c r="AL58">
        <v>1879961</v>
      </c>
      <c r="AM58">
        <v>1005312</v>
      </c>
      <c r="CU58">
        <v>56704</v>
      </c>
      <c r="CV58">
        <v>397696</v>
      </c>
      <c r="CW58">
        <v>87664</v>
      </c>
      <c r="CX58">
        <v>131030</v>
      </c>
      <c r="CY58">
        <v>36912</v>
      </c>
      <c r="CZ58">
        <v>179536</v>
      </c>
      <c r="DA58">
        <v>457494</v>
      </c>
      <c r="DB58">
        <v>137614</v>
      </c>
      <c r="DC58">
        <v>81308</v>
      </c>
      <c r="DD58">
        <v>2480</v>
      </c>
      <c r="DE58">
        <v>665544</v>
      </c>
      <c r="DF58">
        <v>334560</v>
      </c>
      <c r="DG58">
        <v>5964</v>
      </c>
      <c r="DH58">
        <v>180152</v>
      </c>
      <c r="DI58">
        <v>0</v>
      </c>
      <c r="DJ58">
        <v>51008</v>
      </c>
      <c r="DK58">
        <v>0</v>
      </c>
      <c r="DL58">
        <v>0</v>
      </c>
      <c r="DM58">
        <v>219392</v>
      </c>
      <c r="DN58">
        <v>365562</v>
      </c>
      <c r="DO58">
        <v>299284</v>
      </c>
      <c r="DP58">
        <v>219920</v>
      </c>
      <c r="DQ58">
        <v>0</v>
      </c>
      <c r="DR58">
        <v>21688</v>
      </c>
      <c r="DS58">
        <v>60848</v>
      </c>
      <c r="DT58">
        <v>163456</v>
      </c>
      <c r="DX58" s="69"/>
      <c r="DY58" s="69">
        <v>206475</v>
      </c>
      <c r="DZ58" s="69">
        <v>1210184</v>
      </c>
      <c r="EA58" s="69">
        <v>408880</v>
      </c>
      <c r="EB58" s="69">
        <v>294062</v>
      </c>
      <c r="EC58" s="69">
        <v>354093</v>
      </c>
      <c r="ED58" s="69">
        <v>459425</v>
      </c>
      <c r="EE58" s="69">
        <v>1348511</v>
      </c>
      <c r="EF58" s="69">
        <v>369985</v>
      </c>
      <c r="EG58" s="69">
        <v>345090</v>
      </c>
      <c r="EH58" s="69">
        <v>7448</v>
      </c>
      <c r="EI58" s="69">
        <v>2267468</v>
      </c>
      <c r="EJ58" s="69">
        <v>890683</v>
      </c>
      <c r="EK58" s="69">
        <v>14930</v>
      </c>
      <c r="EL58" s="69">
        <v>394419</v>
      </c>
      <c r="EM58" s="69">
        <v>0</v>
      </c>
      <c r="EN58" s="69">
        <v>164203</v>
      </c>
      <c r="EO58" s="69">
        <v>0</v>
      </c>
      <c r="EP58" s="69">
        <v>0</v>
      </c>
      <c r="EQ58" s="69">
        <v>688398</v>
      </c>
      <c r="ER58" s="69">
        <v>1268834</v>
      </c>
      <c r="ES58" s="69">
        <v>1353312</v>
      </c>
      <c r="ET58" s="69">
        <v>974829</v>
      </c>
      <c r="EU58" s="69">
        <v>0</v>
      </c>
      <c r="EV58" s="69">
        <v>65137</v>
      </c>
      <c r="EW58" s="69">
        <v>118018</v>
      </c>
      <c r="EX58" s="69">
        <v>401432</v>
      </c>
      <c r="EY58" s="69"/>
      <c r="EZ58" s="69"/>
      <c r="FA58" s="69"/>
      <c r="FB58" s="69"/>
      <c r="FC58" s="69"/>
      <c r="FD58" s="69"/>
      <c r="FE58" s="69"/>
      <c r="FF58" s="69"/>
      <c r="FG58" s="69"/>
      <c r="FH58" s="69"/>
      <c r="FI58" s="69"/>
      <c r="FJ58" s="69"/>
      <c r="FK58" s="69"/>
      <c r="FL58" s="69"/>
      <c r="FM58" s="69"/>
      <c r="FN58" s="69"/>
      <c r="FO58" s="69"/>
      <c r="FP58" s="69"/>
      <c r="FQ58" s="69"/>
      <c r="FR58" s="69"/>
      <c r="FS58" s="69"/>
      <c r="FT58" s="69"/>
      <c r="FU58" s="69"/>
      <c r="FV58" s="69"/>
      <c r="FW58" s="69"/>
      <c r="FX58" s="69"/>
      <c r="FY58" s="69"/>
      <c r="FZ58" s="69"/>
      <c r="GA58" s="69"/>
      <c r="GB58" s="69"/>
      <c r="GC58" s="69"/>
      <c r="GD58" s="69"/>
      <c r="GE58" s="69"/>
      <c r="GF58" s="69"/>
      <c r="GG58" s="69"/>
      <c r="GH58" s="69"/>
      <c r="GI58" s="69"/>
      <c r="GJ58" s="69"/>
      <c r="GK58" s="69"/>
      <c r="GL58" s="69"/>
      <c r="GM58" s="69"/>
      <c r="GN58" s="69"/>
      <c r="GO58" s="69"/>
      <c r="GP58" s="69"/>
      <c r="GQ58" s="69"/>
      <c r="GR58" s="69"/>
      <c r="GS58" s="69"/>
      <c r="GT58" s="69"/>
      <c r="GU58" s="69"/>
      <c r="GV58" s="69"/>
      <c r="GW58" s="69"/>
      <c r="GX58" s="69"/>
      <c r="GY58" s="69"/>
      <c r="GZ58" s="69"/>
      <c r="HA58" s="69"/>
      <c r="HB58" s="69"/>
      <c r="HC58" s="69"/>
      <c r="HD58" s="69"/>
      <c r="HE58" s="69"/>
      <c r="HF58" s="69"/>
      <c r="HG58" s="69"/>
      <c r="HH58" s="69"/>
      <c r="HI58" s="69"/>
      <c r="HJ58" s="69"/>
      <c r="HK58" s="69"/>
      <c r="HL58" s="69"/>
      <c r="HM58" s="69"/>
      <c r="HN58" s="69"/>
      <c r="HO58" s="69"/>
      <c r="HP58" s="69"/>
      <c r="HQ58" s="69"/>
      <c r="HR58" s="69"/>
      <c r="HS58" s="69"/>
      <c r="HT58" s="69"/>
      <c r="HU58" s="69"/>
      <c r="HV58" s="69"/>
      <c r="HW58" s="69"/>
      <c r="HX58" s="69"/>
      <c r="HY58" s="69"/>
      <c r="HZ58" s="69"/>
      <c r="IA58" s="69"/>
      <c r="IB58" s="69"/>
      <c r="IC58" s="69"/>
      <c r="ID58" s="69"/>
      <c r="IE58" s="69"/>
      <c r="IF58" s="69"/>
      <c r="IG58" s="69"/>
      <c r="IH58" s="69"/>
      <c r="II58" s="69"/>
      <c r="IJ58" s="69"/>
      <c r="IK58" s="69"/>
      <c r="IL58" s="69"/>
      <c r="IM58" s="69"/>
      <c r="IN58" s="69"/>
      <c r="IO58" s="69">
        <v>124315</v>
      </c>
      <c r="IP58" s="69">
        <v>454961</v>
      </c>
      <c r="IQ58" s="69">
        <v>108735</v>
      </c>
      <c r="IR58" s="69">
        <v>128591</v>
      </c>
      <c r="IS58" s="69">
        <v>825655</v>
      </c>
      <c r="IT58" s="69">
        <v>146915</v>
      </c>
      <c r="IU58" s="69">
        <v>496700</v>
      </c>
      <c r="IV58" s="69">
        <v>302906</v>
      </c>
      <c r="IW58" s="69">
        <v>145789</v>
      </c>
      <c r="IX58" s="69">
        <v>3275</v>
      </c>
      <c r="IY58" s="69">
        <v>942599</v>
      </c>
      <c r="IZ58" s="69">
        <v>157697</v>
      </c>
      <c r="JA58" s="69">
        <v>4151</v>
      </c>
      <c r="JB58" s="69">
        <v>245780</v>
      </c>
      <c r="JC58" s="69">
        <v>0</v>
      </c>
      <c r="JD58" s="69">
        <v>24218</v>
      </c>
      <c r="JE58" s="69">
        <v>0</v>
      </c>
      <c r="JF58" s="69">
        <v>0</v>
      </c>
      <c r="JG58" s="69">
        <v>164704</v>
      </c>
      <c r="JH58" s="69">
        <v>456118</v>
      </c>
      <c r="JI58" s="69">
        <v>619232</v>
      </c>
      <c r="JJ58" s="69">
        <v>253268</v>
      </c>
      <c r="JK58" s="69">
        <v>0</v>
      </c>
      <c r="JL58" s="69">
        <v>12961</v>
      </c>
      <c r="JM58" s="69">
        <v>71170</v>
      </c>
      <c r="JN58" s="69">
        <v>261539</v>
      </c>
      <c r="JO58" s="69"/>
      <c r="JP58" s="69"/>
      <c r="JQ58" s="69"/>
      <c r="JR58" s="69"/>
      <c r="JS58" s="69"/>
      <c r="JT58" s="69"/>
      <c r="JU58" s="69"/>
      <c r="JV58" s="69"/>
      <c r="JW58" s="69"/>
      <c r="JX58" s="69"/>
      <c r="JY58" s="69"/>
      <c r="JZ58" s="69"/>
      <c r="KA58" s="69"/>
      <c r="KB58" s="69"/>
      <c r="KC58" s="69"/>
      <c r="KD58" s="69"/>
      <c r="KE58" s="69"/>
      <c r="KF58" s="69"/>
      <c r="KG58" s="69"/>
      <c r="KH58" s="69"/>
      <c r="KI58" s="69"/>
      <c r="KJ58" s="69"/>
      <c r="KK58" s="69"/>
      <c r="KL58" s="69"/>
      <c r="KM58" s="69"/>
      <c r="KN58" s="69"/>
      <c r="KO58" s="69"/>
      <c r="KP58" s="69"/>
      <c r="KQ58" s="69"/>
      <c r="KR58" s="69"/>
      <c r="KS58" s="69"/>
      <c r="KT58" s="69"/>
      <c r="KU58" s="69"/>
      <c r="KV58" s="69"/>
      <c r="KW58" s="69"/>
    </row>
    <row r="59" spans="1:369" x14ac:dyDescent="0.25">
      <c r="A59" t="s">
        <v>462</v>
      </c>
      <c r="C59" t="s">
        <v>1088</v>
      </c>
      <c r="E59" s="2"/>
      <c r="G59" t="s">
        <v>463</v>
      </c>
      <c r="Q59" s="69">
        <v>457149</v>
      </c>
      <c r="AH59">
        <v>3128620</v>
      </c>
      <c r="AI59">
        <v>1740832</v>
      </c>
      <c r="AJ59">
        <v>421825</v>
      </c>
      <c r="AK59">
        <v>0</v>
      </c>
      <c r="AL59">
        <v>3072708</v>
      </c>
      <c r="AM59">
        <v>940422</v>
      </c>
      <c r="CU59">
        <v>0</v>
      </c>
      <c r="CV59">
        <v>46832</v>
      </c>
      <c r="CW59">
        <v>232976</v>
      </c>
      <c r="CX59">
        <v>128111</v>
      </c>
      <c r="CY59">
        <v>0</v>
      </c>
      <c r="CZ59">
        <v>0</v>
      </c>
      <c r="DA59">
        <v>75619</v>
      </c>
      <c r="DB59">
        <v>25744</v>
      </c>
      <c r="DC59">
        <v>20556</v>
      </c>
      <c r="DD59">
        <v>0</v>
      </c>
      <c r="DE59">
        <v>264868</v>
      </c>
      <c r="DF59">
        <v>108912</v>
      </c>
      <c r="DG59">
        <v>168</v>
      </c>
      <c r="DH59">
        <v>0</v>
      </c>
      <c r="DI59">
        <v>39197</v>
      </c>
      <c r="DJ59">
        <v>158028</v>
      </c>
      <c r="DK59">
        <v>45376</v>
      </c>
      <c r="DL59">
        <v>0</v>
      </c>
      <c r="DM59">
        <v>100368</v>
      </c>
      <c r="DN59">
        <v>432</v>
      </c>
      <c r="DO59">
        <v>49887</v>
      </c>
      <c r="DP59">
        <v>34968</v>
      </c>
      <c r="DQ59">
        <v>0</v>
      </c>
      <c r="DR59">
        <v>250809</v>
      </c>
      <c r="DS59">
        <v>46032</v>
      </c>
      <c r="DT59">
        <v>42528</v>
      </c>
      <c r="DX59" s="69"/>
      <c r="DY59" s="69">
        <v>0</v>
      </c>
      <c r="DZ59" s="69">
        <v>156936</v>
      </c>
      <c r="EA59" s="69">
        <v>780715</v>
      </c>
      <c r="EB59" s="69">
        <v>429307</v>
      </c>
      <c r="EC59" s="69">
        <v>0</v>
      </c>
      <c r="ED59" s="69">
        <v>0</v>
      </c>
      <c r="EE59" s="69">
        <v>253403</v>
      </c>
      <c r="EF59" s="69">
        <v>86269</v>
      </c>
      <c r="EG59" s="69">
        <v>68884</v>
      </c>
      <c r="EH59" s="69">
        <v>0</v>
      </c>
      <c r="EI59" s="69">
        <v>887587</v>
      </c>
      <c r="EJ59" s="69">
        <v>365533</v>
      </c>
      <c r="EK59" s="69">
        <v>0</v>
      </c>
      <c r="EL59" s="69">
        <v>0</v>
      </c>
      <c r="EM59" s="69">
        <v>131351</v>
      </c>
      <c r="EN59" s="69">
        <v>529560</v>
      </c>
      <c r="EO59" s="69">
        <v>152057</v>
      </c>
      <c r="EP59" s="69">
        <v>0</v>
      </c>
      <c r="EQ59" s="69">
        <v>336338</v>
      </c>
      <c r="ER59" s="69">
        <v>1448</v>
      </c>
      <c r="ES59" s="69">
        <v>167174</v>
      </c>
      <c r="ET59" s="69">
        <v>117180</v>
      </c>
      <c r="EU59" s="69">
        <v>0</v>
      </c>
      <c r="EV59" s="69">
        <v>840474</v>
      </c>
      <c r="EW59" s="69">
        <v>154256</v>
      </c>
      <c r="EX59" s="69">
        <v>142514</v>
      </c>
      <c r="EY59" s="69"/>
      <c r="EZ59" s="69"/>
      <c r="FA59" s="69"/>
      <c r="FB59" s="69"/>
      <c r="FC59" s="69"/>
      <c r="FD59" s="69"/>
      <c r="FE59" s="69"/>
      <c r="FF59" s="69"/>
      <c r="FG59" s="69"/>
      <c r="FH59" s="69"/>
      <c r="FI59" s="69"/>
      <c r="FJ59" s="69"/>
      <c r="FK59" s="69"/>
      <c r="FL59" s="69"/>
      <c r="FM59" s="69"/>
      <c r="FN59" s="69"/>
      <c r="FO59" s="69"/>
      <c r="FP59" s="69"/>
      <c r="FQ59" s="69"/>
      <c r="FR59" s="69"/>
      <c r="FS59" s="69"/>
      <c r="FT59" s="69"/>
      <c r="FU59" s="69"/>
      <c r="FV59" s="69"/>
      <c r="FW59" s="69"/>
      <c r="FX59" s="69"/>
      <c r="FY59" s="69"/>
      <c r="FZ59" s="69"/>
      <c r="GA59" s="69"/>
      <c r="GB59" s="69"/>
      <c r="GC59" s="69"/>
      <c r="GD59" s="69"/>
      <c r="GE59" s="69"/>
      <c r="GF59" s="69"/>
      <c r="GG59" s="69"/>
      <c r="GH59" s="69"/>
      <c r="GI59" s="69"/>
      <c r="GJ59" s="69"/>
      <c r="GK59" s="69"/>
      <c r="GL59" s="69"/>
      <c r="GM59" s="69"/>
      <c r="GN59" s="69"/>
      <c r="GO59" s="69"/>
      <c r="GP59" s="69"/>
      <c r="GQ59" s="69"/>
      <c r="GR59" s="69"/>
      <c r="GS59" s="69"/>
      <c r="GT59" s="69"/>
      <c r="GU59" s="69"/>
      <c r="GV59" s="69"/>
      <c r="GW59" s="69"/>
      <c r="GX59" s="69"/>
      <c r="GY59" s="69"/>
      <c r="GZ59" s="69"/>
      <c r="HA59" s="69"/>
      <c r="HB59" s="69"/>
      <c r="HC59" s="69"/>
      <c r="HD59" s="69"/>
      <c r="HE59" s="69"/>
      <c r="HF59" s="69"/>
      <c r="HG59" s="69"/>
      <c r="HH59" s="69"/>
      <c r="HI59" s="69"/>
      <c r="HJ59" s="69"/>
      <c r="HK59" s="69"/>
      <c r="HL59" s="69"/>
      <c r="HM59" s="69"/>
      <c r="HN59" s="69"/>
      <c r="HO59" s="69"/>
      <c r="HP59" s="69"/>
      <c r="HQ59" s="69"/>
      <c r="HR59" s="69"/>
      <c r="HS59" s="69"/>
      <c r="HT59" s="69"/>
      <c r="HU59" s="69"/>
      <c r="HV59" s="69"/>
      <c r="HW59" s="69"/>
      <c r="HX59" s="69"/>
      <c r="HY59" s="69"/>
      <c r="HZ59" s="69"/>
      <c r="IA59" s="69"/>
      <c r="IB59" s="69"/>
      <c r="IC59" s="69"/>
      <c r="ID59" s="69"/>
      <c r="IE59" s="69"/>
      <c r="IF59" s="69"/>
      <c r="IG59" s="69"/>
      <c r="IH59" s="69"/>
      <c r="II59" s="69"/>
      <c r="IJ59" s="69"/>
      <c r="IK59" s="69"/>
      <c r="IL59" s="69"/>
      <c r="IM59" s="69"/>
      <c r="IN59" s="69"/>
      <c r="IO59" s="69">
        <v>0</v>
      </c>
      <c r="IP59" s="69">
        <v>173508</v>
      </c>
      <c r="IQ59" s="69">
        <v>863152</v>
      </c>
      <c r="IR59" s="69">
        <v>474639</v>
      </c>
      <c r="IS59" s="69">
        <v>0</v>
      </c>
      <c r="IT59" s="69">
        <v>0</v>
      </c>
      <c r="IU59" s="69">
        <v>280160</v>
      </c>
      <c r="IV59" s="69">
        <v>95380</v>
      </c>
      <c r="IW59" s="69">
        <v>76158</v>
      </c>
      <c r="IX59" s="69">
        <v>0</v>
      </c>
      <c r="IY59" s="69">
        <v>981309</v>
      </c>
      <c r="IZ59" s="69">
        <v>404130</v>
      </c>
      <c r="JA59" s="69">
        <v>0</v>
      </c>
      <c r="JB59" s="69">
        <v>0</v>
      </c>
      <c r="JC59" s="69">
        <v>145220</v>
      </c>
      <c r="JD59" s="69">
        <v>585478</v>
      </c>
      <c r="JE59" s="69">
        <v>168113</v>
      </c>
      <c r="JF59" s="69">
        <v>0</v>
      </c>
      <c r="JG59" s="69">
        <v>371852</v>
      </c>
      <c r="JH59" s="69">
        <v>1600</v>
      </c>
      <c r="JI59" s="69">
        <v>184827</v>
      </c>
      <c r="JJ59" s="69">
        <v>129553</v>
      </c>
      <c r="JK59" s="69">
        <v>0</v>
      </c>
      <c r="JL59" s="69">
        <v>929221</v>
      </c>
      <c r="JM59" s="69">
        <v>170544</v>
      </c>
      <c r="JN59" s="69">
        <v>157562</v>
      </c>
      <c r="JO59" s="69"/>
      <c r="JP59" s="69"/>
      <c r="JQ59" s="69"/>
      <c r="JR59" s="69"/>
      <c r="JS59" s="69"/>
      <c r="JT59" s="69"/>
      <c r="JU59" s="69"/>
      <c r="JV59" s="69"/>
      <c r="JW59" s="69"/>
      <c r="JX59" s="69"/>
      <c r="JY59" s="69"/>
      <c r="JZ59" s="69"/>
      <c r="KA59" s="69"/>
      <c r="KB59" s="69"/>
      <c r="KC59" s="69"/>
      <c r="KD59" s="69"/>
      <c r="KE59" s="69"/>
      <c r="KF59" s="69"/>
      <c r="KG59" s="69"/>
      <c r="KH59" s="69"/>
      <c r="KI59" s="69"/>
      <c r="KJ59" s="69"/>
      <c r="KK59" s="69"/>
      <c r="KL59" s="69"/>
      <c r="KM59" s="69"/>
      <c r="KN59" s="69"/>
      <c r="KO59" s="69"/>
      <c r="KP59" s="69"/>
      <c r="KQ59" s="69"/>
      <c r="KR59" s="69"/>
      <c r="KS59" s="69"/>
      <c r="KT59" s="69"/>
      <c r="KU59" s="69"/>
      <c r="KV59" s="69"/>
      <c r="KW59" s="69"/>
    </row>
    <row r="60" spans="1:369" x14ac:dyDescent="0.25">
      <c r="A60" t="s">
        <v>452</v>
      </c>
      <c r="E60" s="2"/>
      <c r="G60" t="s">
        <v>453</v>
      </c>
      <c r="DX60" s="69"/>
      <c r="DY60" s="69"/>
      <c r="DZ60" s="69"/>
      <c r="EA60" s="69"/>
      <c r="EB60" s="69"/>
      <c r="EC60" s="69"/>
      <c r="ED60" s="69"/>
      <c r="EE60" s="69"/>
      <c r="EF60" s="69"/>
      <c r="EG60" s="69"/>
      <c r="EH60" s="69"/>
      <c r="EI60" s="69"/>
      <c r="EJ60" s="69"/>
      <c r="EK60" s="69"/>
      <c r="EL60" s="69"/>
      <c r="EM60" s="69"/>
      <c r="EN60" s="69"/>
      <c r="EO60" s="69"/>
      <c r="EP60" s="69"/>
      <c r="EQ60" s="69"/>
      <c r="ER60" s="69"/>
      <c r="ES60" s="69"/>
      <c r="ET60" s="69"/>
      <c r="EU60" s="69"/>
      <c r="EV60" s="69"/>
      <c r="EW60" s="69"/>
      <c r="EX60" s="69"/>
      <c r="EY60" s="69"/>
      <c r="EZ60" s="69"/>
      <c r="FA60" s="69"/>
      <c r="FB60" s="69"/>
      <c r="FC60" s="69"/>
      <c r="FD60" s="69"/>
      <c r="FE60" s="69"/>
      <c r="FF60" s="69"/>
      <c r="FG60" s="69"/>
      <c r="FH60" s="69"/>
      <c r="FI60" s="69"/>
      <c r="FJ60" s="69"/>
      <c r="FK60" s="69"/>
      <c r="FL60" s="69"/>
      <c r="FM60" s="69"/>
      <c r="FN60" s="69"/>
      <c r="FO60" s="69"/>
      <c r="FP60" s="69"/>
      <c r="FQ60" s="69"/>
      <c r="FR60" s="69"/>
      <c r="FS60" s="69"/>
      <c r="FT60" s="69"/>
      <c r="FU60" s="69"/>
      <c r="FV60" s="69"/>
      <c r="FW60" s="69"/>
      <c r="FX60" s="69"/>
      <c r="FY60" s="69"/>
      <c r="FZ60" s="69"/>
      <c r="GA60" s="69"/>
      <c r="GB60" s="69"/>
      <c r="GC60" s="69"/>
      <c r="GD60" s="69"/>
      <c r="GE60" s="69"/>
      <c r="GF60" s="69"/>
      <c r="GG60" s="69"/>
      <c r="GH60" s="69"/>
      <c r="GI60" s="69"/>
      <c r="GJ60" s="69"/>
      <c r="GK60" s="69"/>
      <c r="GL60" s="69"/>
      <c r="GM60" s="69"/>
      <c r="GN60" s="69"/>
      <c r="GO60" s="69"/>
      <c r="GP60" s="69"/>
      <c r="GQ60" s="69"/>
      <c r="GR60" s="69"/>
      <c r="GS60" s="69"/>
      <c r="GT60" s="69"/>
      <c r="GU60" s="69"/>
      <c r="GV60" s="69"/>
      <c r="GW60" s="69"/>
      <c r="GX60" s="69"/>
      <c r="GY60" s="69"/>
      <c r="GZ60" s="69"/>
      <c r="HA60" s="69"/>
      <c r="HB60" s="69"/>
      <c r="HC60" s="69"/>
      <c r="HD60" s="69"/>
      <c r="HE60" s="69"/>
      <c r="HF60" s="69"/>
      <c r="HG60" s="69"/>
      <c r="HH60" s="69"/>
      <c r="HI60" s="69"/>
      <c r="HJ60" s="69"/>
      <c r="HK60" s="69"/>
      <c r="HL60" s="69"/>
      <c r="HM60" s="69"/>
      <c r="HN60" s="69"/>
      <c r="HO60" s="69"/>
      <c r="HP60" s="69"/>
      <c r="HQ60" s="69"/>
      <c r="HR60" s="69"/>
      <c r="HS60" s="69"/>
      <c r="HT60" s="69"/>
      <c r="HU60" s="69"/>
      <c r="HV60" s="69"/>
      <c r="HW60" s="69"/>
      <c r="HX60" s="69"/>
      <c r="HY60" s="69"/>
      <c r="HZ60" s="69"/>
      <c r="IA60" s="69"/>
      <c r="IB60" s="69"/>
      <c r="IC60" s="69"/>
      <c r="ID60" s="69"/>
      <c r="IE60" s="69"/>
      <c r="IF60" s="69"/>
      <c r="IG60" s="69"/>
      <c r="IH60" s="69"/>
      <c r="II60" s="69"/>
      <c r="IJ60" s="69"/>
      <c r="IK60" s="69"/>
      <c r="IL60" s="69"/>
      <c r="IM60" s="69"/>
      <c r="IN60" s="69"/>
      <c r="IO60" s="69"/>
      <c r="IP60" s="69"/>
      <c r="IQ60" s="69"/>
      <c r="IR60" s="69"/>
      <c r="IS60" s="69"/>
      <c r="IT60" s="69"/>
      <c r="IU60" s="69"/>
      <c r="IV60" s="69"/>
      <c r="IW60" s="69"/>
      <c r="IX60" s="69"/>
      <c r="IY60" s="69"/>
      <c r="IZ60" s="69"/>
      <c r="JA60" s="69"/>
      <c r="JB60" s="69"/>
      <c r="JC60" s="69"/>
      <c r="JD60" s="69"/>
      <c r="JE60" s="69"/>
      <c r="JF60" s="69"/>
      <c r="JG60" s="69"/>
      <c r="JH60" s="69"/>
      <c r="JI60" s="69"/>
      <c r="JJ60" s="69"/>
      <c r="JK60" s="69"/>
      <c r="JL60" s="69"/>
      <c r="JM60" s="69"/>
      <c r="JN60" s="69"/>
      <c r="JO60" s="69"/>
      <c r="JP60" s="69"/>
      <c r="JQ60" s="69"/>
      <c r="JR60" s="69"/>
      <c r="JS60" s="69"/>
      <c r="JT60" s="69"/>
      <c r="JU60" s="69"/>
      <c r="JV60" s="69"/>
      <c r="JW60" s="69"/>
      <c r="JX60" s="69"/>
      <c r="JY60" s="69"/>
      <c r="JZ60" s="69"/>
      <c r="KA60" s="69"/>
      <c r="KB60" s="69"/>
      <c r="KC60" s="69"/>
      <c r="KD60" s="69"/>
      <c r="KE60" s="69"/>
      <c r="KF60" s="69"/>
      <c r="KG60" s="69"/>
      <c r="KH60" s="69"/>
      <c r="KI60" s="69"/>
      <c r="KJ60" s="69"/>
      <c r="KK60" s="69"/>
      <c r="KL60" s="69"/>
      <c r="KM60" s="69"/>
      <c r="KN60" s="69"/>
      <c r="KO60" s="69"/>
      <c r="KP60" s="69"/>
      <c r="KQ60" s="69"/>
      <c r="KR60" s="69"/>
      <c r="KS60" s="69"/>
      <c r="KT60" s="69"/>
      <c r="KU60" s="69"/>
      <c r="KV60" s="69"/>
      <c r="KW60" s="69"/>
    </row>
    <row r="61" spans="1:369" x14ac:dyDescent="0.25">
      <c r="A61" t="s">
        <v>450</v>
      </c>
      <c r="C61" t="s">
        <v>1088</v>
      </c>
      <c r="E61" s="2"/>
      <c r="G61" t="s">
        <v>451</v>
      </c>
      <c r="Q61">
        <v>1330155</v>
      </c>
      <c r="AH61">
        <v>3157103</v>
      </c>
      <c r="AI61">
        <v>884509</v>
      </c>
      <c r="AJ61">
        <v>941544</v>
      </c>
      <c r="AK61">
        <v>0</v>
      </c>
      <c r="AL61">
        <v>3991942</v>
      </c>
      <c r="AM61">
        <v>1291947</v>
      </c>
      <c r="CU61">
        <v>0</v>
      </c>
      <c r="CV61">
        <v>0</v>
      </c>
      <c r="CW61">
        <v>86880</v>
      </c>
      <c r="CX61">
        <v>88811</v>
      </c>
      <c r="CY61">
        <v>0</v>
      </c>
      <c r="CZ61">
        <v>16508</v>
      </c>
      <c r="DA61">
        <v>101628</v>
      </c>
      <c r="DB61">
        <v>35520</v>
      </c>
      <c r="DC61">
        <v>110430</v>
      </c>
      <c r="DD61">
        <v>0</v>
      </c>
      <c r="DE61">
        <v>89488</v>
      </c>
      <c r="DF61">
        <v>97616</v>
      </c>
      <c r="DG61">
        <v>4464</v>
      </c>
      <c r="DH61">
        <v>44352</v>
      </c>
      <c r="DI61">
        <v>0</v>
      </c>
      <c r="DJ61">
        <v>58964</v>
      </c>
      <c r="DK61">
        <v>0</v>
      </c>
      <c r="DL61">
        <v>147296</v>
      </c>
      <c r="DM61">
        <v>87520</v>
      </c>
      <c r="DN61">
        <v>21328</v>
      </c>
      <c r="DO61">
        <v>38340</v>
      </c>
      <c r="DP61">
        <v>9840</v>
      </c>
      <c r="DQ61">
        <v>9712</v>
      </c>
      <c r="DR61">
        <v>2016</v>
      </c>
      <c r="DS61">
        <v>114288</v>
      </c>
      <c r="DT61">
        <v>52704</v>
      </c>
      <c r="DX61" s="69"/>
      <c r="DY61" s="69">
        <v>0</v>
      </c>
      <c r="DZ61" s="69">
        <v>0</v>
      </c>
      <c r="EA61" s="69">
        <v>386058</v>
      </c>
      <c r="EB61" s="69">
        <v>394639</v>
      </c>
      <c r="EC61" s="69">
        <v>0</v>
      </c>
      <c r="ED61" s="69">
        <v>73355</v>
      </c>
      <c r="EE61" s="69">
        <v>451592</v>
      </c>
      <c r="EF61" s="69">
        <v>157836</v>
      </c>
      <c r="EG61" s="69">
        <v>490705</v>
      </c>
      <c r="EH61" s="69">
        <v>0</v>
      </c>
      <c r="EI61" s="69">
        <v>397647</v>
      </c>
      <c r="EJ61" s="69">
        <v>433765</v>
      </c>
      <c r="EK61" s="69">
        <v>19836</v>
      </c>
      <c r="EL61" s="69">
        <v>197082</v>
      </c>
      <c r="EM61" s="69">
        <v>0</v>
      </c>
      <c r="EN61" s="69">
        <v>262011</v>
      </c>
      <c r="EO61" s="69">
        <v>0</v>
      </c>
      <c r="EP61" s="69">
        <v>654522</v>
      </c>
      <c r="EQ61" s="69">
        <v>388902</v>
      </c>
      <c r="ER61" s="69">
        <v>94773</v>
      </c>
      <c r="ES61" s="69">
        <v>170367</v>
      </c>
      <c r="ET61" s="69">
        <v>43725</v>
      </c>
      <c r="EU61" s="69">
        <v>43156</v>
      </c>
      <c r="EV61" s="69">
        <v>8958</v>
      </c>
      <c r="EW61" s="69">
        <v>507848</v>
      </c>
      <c r="EX61" s="69">
        <v>234194</v>
      </c>
      <c r="EY61" s="69"/>
      <c r="EZ61" s="69"/>
      <c r="FA61" s="69"/>
      <c r="FB61" s="69"/>
      <c r="FC61" s="69"/>
      <c r="FD61" s="69"/>
      <c r="FE61" s="69"/>
      <c r="FF61" s="69"/>
      <c r="FG61" s="69"/>
      <c r="FH61" s="69"/>
      <c r="FI61" s="69"/>
      <c r="FJ61" s="69"/>
      <c r="FK61" s="69"/>
      <c r="FL61" s="69"/>
      <c r="FM61" s="69"/>
      <c r="FN61" s="69"/>
      <c r="FO61" s="69"/>
      <c r="FP61" s="69"/>
      <c r="FQ61" s="69"/>
      <c r="FR61" s="69"/>
      <c r="FS61" s="69"/>
      <c r="FT61" s="69"/>
      <c r="FU61" s="69"/>
      <c r="FV61" s="69"/>
      <c r="FW61" s="69"/>
      <c r="FX61" s="69"/>
      <c r="FY61" s="69"/>
      <c r="FZ61" s="69"/>
      <c r="GA61" s="69"/>
      <c r="GB61" s="69"/>
      <c r="GC61" s="69"/>
      <c r="GD61" s="69"/>
      <c r="GE61" s="69"/>
      <c r="GF61" s="69"/>
      <c r="GG61" s="69"/>
      <c r="GH61" s="69"/>
      <c r="GI61" s="69"/>
      <c r="GJ61" s="69"/>
      <c r="GK61" s="69"/>
      <c r="GL61" s="69"/>
      <c r="GM61" s="69"/>
      <c r="GN61" s="69"/>
      <c r="GO61" s="69"/>
      <c r="GP61" s="69"/>
      <c r="GQ61" s="69"/>
      <c r="GR61" s="69"/>
      <c r="GS61" s="69"/>
      <c r="GT61" s="69"/>
      <c r="GU61" s="69"/>
      <c r="GV61" s="69"/>
      <c r="GW61" s="69"/>
      <c r="GX61" s="69"/>
      <c r="GY61" s="69"/>
      <c r="GZ61" s="69"/>
      <c r="HA61" s="69"/>
      <c r="HB61" s="69"/>
      <c r="HC61" s="69"/>
      <c r="HD61" s="69"/>
      <c r="HE61" s="69"/>
      <c r="HF61" s="69"/>
      <c r="HG61" s="69"/>
      <c r="HH61" s="69"/>
      <c r="HI61" s="69"/>
      <c r="HJ61" s="69"/>
      <c r="HK61" s="69"/>
      <c r="HL61" s="69"/>
      <c r="HM61" s="69"/>
      <c r="HN61" s="69"/>
      <c r="HO61" s="69"/>
      <c r="HP61" s="69"/>
      <c r="HQ61" s="69"/>
      <c r="HR61" s="69"/>
      <c r="HS61" s="69"/>
      <c r="HT61" s="69"/>
      <c r="HU61" s="69"/>
      <c r="HV61" s="69"/>
      <c r="HW61" s="69"/>
      <c r="HX61" s="69"/>
      <c r="HY61" s="69"/>
      <c r="HZ61" s="69"/>
      <c r="IA61" s="69"/>
      <c r="IB61" s="69"/>
      <c r="IC61" s="69"/>
      <c r="ID61" s="69"/>
      <c r="IE61" s="69"/>
      <c r="IF61" s="69"/>
      <c r="IG61" s="69"/>
      <c r="IH61" s="69"/>
      <c r="II61" s="69"/>
      <c r="IJ61" s="69"/>
      <c r="IK61" s="69"/>
      <c r="IL61" s="69"/>
      <c r="IM61" s="69"/>
      <c r="IN61" s="69"/>
      <c r="IO61" s="69">
        <v>0</v>
      </c>
      <c r="IP61" s="69">
        <v>0</v>
      </c>
      <c r="IQ61" s="69">
        <v>234333</v>
      </c>
      <c r="IR61" s="69">
        <v>239540</v>
      </c>
      <c r="IS61" s="69">
        <v>0</v>
      </c>
      <c r="IT61" s="69">
        <v>44525</v>
      </c>
      <c r="IU61" s="69">
        <v>274111</v>
      </c>
      <c r="IV61" s="69">
        <v>95804</v>
      </c>
      <c r="IW61" s="69">
        <v>297852</v>
      </c>
      <c r="IX61" s="69">
        <v>0</v>
      </c>
      <c r="IY61" s="69">
        <v>241367</v>
      </c>
      <c r="IZ61" s="69">
        <v>263290</v>
      </c>
      <c r="JA61" s="69">
        <v>12041</v>
      </c>
      <c r="JB61" s="69">
        <v>119625</v>
      </c>
      <c r="JC61" s="69">
        <v>0</v>
      </c>
      <c r="JD61" s="69">
        <v>159038</v>
      </c>
      <c r="JE61" s="69">
        <v>0</v>
      </c>
      <c r="JF61" s="69">
        <v>397286</v>
      </c>
      <c r="JG61" s="69">
        <v>236059</v>
      </c>
      <c r="JH61" s="69">
        <v>57525</v>
      </c>
      <c r="JI61" s="69">
        <v>103410</v>
      </c>
      <c r="JJ61" s="69">
        <v>26540</v>
      </c>
      <c r="JK61" s="69">
        <v>26195</v>
      </c>
      <c r="JL61" s="69">
        <v>5438</v>
      </c>
      <c r="JM61" s="69">
        <v>308256</v>
      </c>
      <c r="JN61" s="69">
        <v>142152</v>
      </c>
      <c r="JO61" s="69"/>
      <c r="JP61" s="69"/>
      <c r="JQ61" s="69"/>
      <c r="JR61" s="69"/>
      <c r="JS61" s="69"/>
      <c r="JT61" s="69"/>
      <c r="JU61" s="69"/>
      <c r="JV61" s="69"/>
      <c r="JW61" s="69"/>
      <c r="JX61" s="69"/>
      <c r="JY61" s="69"/>
      <c r="JZ61" s="69"/>
      <c r="KA61" s="69"/>
      <c r="KB61" s="69"/>
      <c r="KC61" s="69"/>
      <c r="KD61" s="69"/>
      <c r="KE61" s="69"/>
      <c r="KF61" s="69"/>
      <c r="KG61" s="69"/>
      <c r="KH61" s="69"/>
      <c r="KI61" s="69"/>
      <c r="KJ61" s="69"/>
      <c r="KK61" s="69"/>
      <c r="KL61" s="69"/>
      <c r="KM61" s="69"/>
      <c r="KN61" s="69"/>
      <c r="KO61" s="69"/>
      <c r="KP61" s="69"/>
      <c r="KQ61" s="69"/>
      <c r="KR61" s="69"/>
      <c r="KS61" s="69"/>
      <c r="KT61" s="69"/>
      <c r="KU61" s="69"/>
      <c r="KV61" s="69"/>
      <c r="KW61" s="69"/>
    </row>
    <row r="62" spans="1:369" ht="15.75" thickBot="1" x14ac:dyDescent="0.3">
      <c r="CU62" s="69"/>
      <c r="CV62" s="69"/>
      <c r="CW62" s="69"/>
      <c r="CX62" s="69"/>
      <c r="CY62" s="69"/>
      <c r="CZ62" s="69"/>
      <c r="DA62" s="69"/>
      <c r="DB62" s="69"/>
      <c r="DC62" s="69"/>
      <c r="DD62" s="69"/>
      <c r="DE62" s="69"/>
      <c r="DF62" s="69"/>
      <c r="DG62" s="69"/>
      <c r="DH62" s="69"/>
      <c r="DI62" s="69"/>
      <c r="DJ62" s="69"/>
      <c r="DK62" s="69"/>
      <c r="DL62" s="69"/>
      <c r="DM62" s="69"/>
      <c r="DN62" s="69"/>
      <c r="DO62" s="69"/>
      <c r="DP62" s="69"/>
      <c r="DQ62" s="69"/>
      <c r="DR62" s="69"/>
      <c r="DS62" s="69"/>
      <c r="DT62" s="69"/>
      <c r="DU62" s="69"/>
      <c r="DV62" s="69"/>
      <c r="JS62" s="10"/>
      <c r="JT62" s="10"/>
      <c r="JU62" s="10"/>
      <c r="JV62" s="10"/>
      <c r="JW62" s="10"/>
      <c r="JX62" s="10"/>
      <c r="JY62" s="10"/>
      <c r="JZ62" s="10"/>
      <c r="KA62" s="10"/>
      <c r="KB62" s="10"/>
      <c r="KC62" s="10"/>
      <c r="KD62" s="10"/>
      <c r="KE62" s="10"/>
      <c r="KF62" s="10"/>
      <c r="KG62" s="10"/>
      <c r="KH62" s="10"/>
      <c r="KI62" s="10"/>
      <c r="KJ62" s="10"/>
      <c r="KK62" s="10"/>
      <c r="KL62" s="10"/>
      <c r="KM62" s="10"/>
      <c r="KN62" s="10"/>
      <c r="KO62" s="10"/>
      <c r="KP62" s="10"/>
      <c r="KQ62" s="10"/>
      <c r="KR62" s="10"/>
      <c r="KS62" s="10"/>
      <c r="KT62" s="10"/>
      <c r="KU62" s="10"/>
      <c r="KV62" s="42"/>
    </row>
    <row r="63" spans="1:369" x14ac:dyDescent="0.25">
      <c r="G63" s="167"/>
      <c r="H63" s="167"/>
      <c r="I63" s="167"/>
      <c r="J63" s="167"/>
      <c r="K63" s="167"/>
      <c r="L63" s="167"/>
      <c r="M63" s="167"/>
      <c r="N63" s="167"/>
      <c r="O63" s="167"/>
      <c r="P63" s="167"/>
      <c r="Q63" s="168"/>
      <c r="R63" s="167"/>
      <c r="S63" s="167"/>
      <c r="T63" s="167"/>
      <c r="U63" s="167"/>
      <c r="V63" s="167"/>
      <c r="W63" s="167"/>
      <c r="X63" s="167"/>
      <c r="Y63" s="167"/>
      <c r="Z63" s="167"/>
      <c r="AA63" s="167"/>
      <c r="AB63" s="167"/>
      <c r="AC63" s="167"/>
      <c r="AD63" s="167"/>
      <c r="AE63" s="167"/>
      <c r="AF63" s="167"/>
      <c r="AG63" s="167"/>
      <c r="AH63" s="168"/>
      <c r="AI63" s="168"/>
      <c r="AJ63" s="168"/>
      <c r="AK63" s="168"/>
      <c r="AL63" s="168"/>
      <c r="AM63" s="168"/>
      <c r="BU63" s="169"/>
      <c r="BV63" s="169"/>
      <c r="BW63" s="169"/>
      <c r="BX63" s="169"/>
      <c r="BY63" s="169"/>
      <c r="BZ63" s="169"/>
      <c r="CA63" s="169"/>
      <c r="CB63" s="169"/>
      <c r="CC63" s="169"/>
      <c r="CD63" s="169"/>
      <c r="CE63" s="169"/>
      <c r="CF63" s="169"/>
      <c r="CG63" s="169"/>
      <c r="CH63" s="169"/>
      <c r="CI63" s="169"/>
      <c r="CJ63" s="169"/>
      <c r="CK63" s="169"/>
      <c r="CL63" s="169"/>
      <c r="CM63" s="169"/>
      <c r="CN63" s="169"/>
      <c r="CO63" s="169"/>
      <c r="CP63" s="169"/>
      <c r="CQ63" s="169"/>
      <c r="CR63" s="169"/>
      <c r="CS63" s="169"/>
      <c r="CT63" s="169"/>
      <c r="CU63" s="169"/>
      <c r="CV63" s="169"/>
      <c r="CW63" s="169"/>
      <c r="CX63" s="169"/>
      <c r="CY63" s="169"/>
      <c r="CZ63" s="169"/>
      <c r="DA63" s="169"/>
      <c r="DB63" s="169"/>
      <c r="DC63" s="169"/>
      <c r="DD63" s="169"/>
      <c r="DE63" s="169"/>
      <c r="DF63" s="169"/>
      <c r="DG63" s="169"/>
      <c r="DH63" s="169"/>
      <c r="DI63" s="169"/>
      <c r="DJ63" s="169"/>
      <c r="DK63" s="169"/>
      <c r="DL63" s="169"/>
      <c r="DM63" s="169"/>
      <c r="DN63" s="169"/>
      <c r="DO63" s="169"/>
      <c r="DP63" s="169"/>
      <c r="DQ63" s="169"/>
      <c r="DR63" s="169"/>
      <c r="DS63" s="169"/>
      <c r="DT63" s="169"/>
      <c r="DU63" s="169"/>
      <c r="DV63" s="169"/>
      <c r="DW63" s="169"/>
      <c r="DX63" s="168"/>
      <c r="DY63" s="169"/>
      <c r="DZ63" s="169"/>
      <c r="EA63" s="169"/>
      <c r="EB63" s="169"/>
      <c r="EC63" s="169"/>
      <c r="ED63" s="169"/>
      <c r="EE63" s="169"/>
      <c r="EF63" s="169"/>
      <c r="EG63" s="169"/>
      <c r="EH63" s="169"/>
      <c r="EI63" s="169"/>
      <c r="EJ63" s="169"/>
      <c r="EK63" s="169"/>
      <c r="EL63" s="169"/>
      <c r="EM63" s="169"/>
      <c r="EN63" s="169"/>
      <c r="EO63" s="169"/>
      <c r="EP63" s="169"/>
      <c r="EQ63" s="169"/>
      <c r="ER63" s="169"/>
      <c r="ES63" s="169"/>
      <c r="ET63" s="169"/>
      <c r="EU63" s="169"/>
      <c r="EV63" s="169"/>
      <c r="EW63" s="169"/>
      <c r="EX63" s="169"/>
      <c r="FD63" s="69"/>
      <c r="FE63" s="69"/>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166"/>
      <c r="GE63" s="166"/>
      <c r="IO63" s="169"/>
      <c r="IP63" s="169"/>
      <c r="IQ63" s="169"/>
      <c r="IR63" s="169"/>
      <c r="IS63" s="169"/>
      <c r="IT63" s="169"/>
      <c r="IU63" s="169"/>
      <c r="IV63" s="169"/>
      <c r="IW63" s="169"/>
      <c r="IX63" s="169"/>
      <c r="IY63" s="169"/>
      <c r="IZ63" s="169"/>
      <c r="JA63" s="169"/>
      <c r="JB63" s="169"/>
      <c r="JC63" s="169"/>
      <c r="JD63" s="169"/>
      <c r="JE63" s="169"/>
      <c r="JF63" s="169"/>
      <c r="JG63" s="169"/>
      <c r="JH63" s="169"/>
      <c r="JI63" s="169"/>
      <c r="JJ63" s="169"/>
      <c r="JK63" s="169"/>
      <c r="JL63" s="169"/>
      <c r="JM63" s="169"/>
      <c r="JN63" s="169"/>
      <c r="MC63" s="10"/>
      <c r="MD63" s="10"/>
      <c r="ME63" s="10"/>
      <c r="MF63" s="10"/>
      <c r="MG63" s="10"/>
      <c r="MH63" s="10"/>
      <c r="MI63" s="10"/>
      <c r="MJ63" s="10"/>
      <c r="MK63" s="10"/>
      <c r="ML63" s="10"/>
      <c r="MM63" s="10"/>
      <c r="MN63" s="10"/>
      <c r="MO63" s="10"/>
      <c r="MP63" s="10"/>
      <c r="MQ63" s="10"/>
      <c r="MR63" s="10"/>
      <c r="MS63" s="10"/>
      <c r="MT63" s="10"/>
      <c r="MU63" s="10"/>
      <c r="MV63" s="10"/>
      <c r="MW63" s="10"/>
      <c r="MX63" s="10"/>
      <c r="MY63" s="10"/>
      <c r="MZ63" s="10"/>
      <c r="NA63" s="10"/>
      <c r="NB63" s="10"/>
      <c r="NC63" s="10"/>
      <c r="ND63" s="10"/>
      <c r="NE63" s="10"/>
    </row>
    <row r="64" spans="1:369" x14ac:dyDescent="0.25">
      <c r="A64" s="172"/>
      <c r="E64" s="173"/>
      <c r="G64" s="170"/>
      <c r="H64" s="170"/>
      <c r="I64" s="170"/>
      <c r="J64" s="170"/>
      <c r="K64" s="170"/>
      <c r="L64" s="170"/>
      <c r="M64" s="170"/>
      <c r="N64" s="170"/>
      <c r="O64" s="170"/>
      <c r="P64" s="170"/>
      <c r="Q64" s="171"/>
      <c r="R64" s="170"/>
      <c r="S64" s="170"/>
      <c r="T64" s="170"/>
      <c r="U64" s="170"/>
      <c r="V64" s="170"/>
      <c r="W64" s="170"/>
      <c r="X64" s="170"/>
      <c r="Y64" s="170"/>
      <c r="Z64" s="170"/>
      <c r="AA64" s="170"/>
      <c r="AB64" s="170"/>
      <c r="AC64" s="170"/>
      <c r="AD64" s="170"/>
      <c r="AE64" s="170"/>
      <c r="AF64" s="170"/>
      <c r="AG64" s="170"/>
      <c r="AH64" s="171"/>
      <c r="AI64" s="171"/>
      <c r="AJ64" s="171"/>
      <c r="AK64" s="171"/>
      <c r="AL64" s="171"/>
      <c r="AM64" s="171"/>
      <c r="BU64" s="171"/>
      <c r="BV64" s="171"/>
      <c r="BW64" s="171"/>
      <c r="BX64" s="171"/>
      <c r="BY64" s="171"/>
      <c r="BZ64" s="171"/>
      <c r="CA64" s="171"/>
      <c r="CB64" s="171"/>
      <c r="CC64" s="171"/>
      <c r="CD64" s="171"/>
      <c r="CE64" s="171"/>
      <c r="CF64" s="171"/>
      <c r="CG64" s="171"/>
      <c r="CH64" s="171"/>
      <c r="CI64" s="171"/>
      <c r="CJ64" s="171"/>
      <c r="CK64" s="171"/>
      <c r="CL64" s="171"/>
      <c r="CM64" s="171"/>
      <c r="CN64" s="171"/>
      <c r="CO64" s="171"/>
      <c r="CP64" s="171"/>
      <c r="CQ64" s="171"/>
      <c r="CR64" s="171"/>
      <c r="CS64" s="171"/>
      <c r="CT64" s="171"/>
      <c r="CU64" s="171"/>
      <c r="CV64" s="171"/>
      <c r="CW64" s="171"/>
      <c r="CX64" s="171"/>
      <c r="CY64" s="171"/>
      <c r="CZ64" s="171"/>
      <c r="DA64" s="171"/>
      <c r="DB64" s="171"/>
      <c r="DC64" s="171"/>
      <c r="DD64" s="171"/>
      <c r="DE64" s="171"/>
      <c r="DF64" s="171"/>
      <c r="DG64" s="171"/>
      <c r="DH64" s="171"/>
      <c r="DI64" s="171"/>
      <c r="DJ64" s="171"/>
      <c r="DK64" s="171"/>
      <c r="DL64" s="171"/>
      <c r="DM64" s="171"/>
      <c r="DN64" s="171"/>
      <c r="DO64" s="171"/>
      <c r="DP64" s="171"/>
      <c r="DQ64" s="171"/>
      <c r="DR64" s="171"/>
      <c r="DS64" s="171"/>
      <c r="DT64" s="171"/>
      <c r="DU64" s="171"/>
      <c r="DV64" s="171"/>
      <c r="DW64" s="171"/>
      <c r="DX64" s="171"/>
      <c r="DY64" s="171"/>
      <c r="DZ64" s="171"/>
      <c r="EA64" s="171"/>
      <c r="EB64" s="171"/>
      <c r="EC64" s="171"/>
      <c r="ED64" s="171"/>
      <c r="EE64" s="171"/>
      <c r="EF64" s="171"/>
      <c r="EG64" s="171"/>
      <c r="EH64" s="171"/>
      <c r="EI64" s="171"/>
      <c r="EJ64" s="171"/>
      <c r="EK64" s="171"/>
      <c r="EL64" s="171"/>
      <c r="EM64" s="171"/>
      <c r="EN64" s="171"/>
      <c r="EO64" s="171"/>
      <c r="EP64" s="171"/>
      <c r="EQ64" s="171"/>
      <c r="ER64" s="171"/>
      <c r="ES64" s="171"/>
      <c r="ET64" s="171"/>
      <c r="EU64" s="171"/>
      <c r="EV64" s="171"/>
      <c r="EW64" s="171"/>
      <c r="EX64" s="171"/>
      <c r="FD64" s="160"/>
      <c r="FE64" s="160"/>
      <c r="FF64" s="160"/>
      <c r="FG64" s="160"/>
      <c r="FH64" s="160"/>
      <c r="FI64" s="160"/>
      <c r="FJ64" s="160"/>
      <c r="FK64" s="160"/>
      <c r="FL64" s="160"/>
      <c r="FM64" s="160"/>
      <c r="FN64" s="160"/>
      <c r="FO64" s="160"/>
      <c r="FP64" s="160"/>
      <c r="FQ64" s="160"/>
      <c r="FR64" s="160"/>
      <c r="FS64" s="160"/>
      <c r="FT64" s="160"/>
      <c r="FU64" s="160"/>
      <c r="FV64" s="160"/>
      <c r="FW64" s="160"/>
      <c r="FX64" s="160"/>
      <c r="FY64" s="160"/>
      <c r="FZ64" s="160"/>
      <c r="GA64" s="160"/>
      <c r="GB64" s="160"/>
      <c r="GC64" s="160"/>
      <c r="GD64" s="160"/>
      <c r="GE64" s="69"/>
      <c r="IO64" s="171"/>
      <c r="IP64" s="171"/>
      <c r="IQ64" s="171"/>
      <c r="IR64" s="171"/>
      <c r="IS64" s="171"/>
      <c r="IT64" s="171"/>
      <c r="IU64" s="171"/>
      <c r="IV64" s="171"/>
      <c r="IW64" s="171"/>
      <c r="IX64" s="171"/>
      <c r="IY64" s="171"/>
      <c r="IZ64" s="171"/>
      <c r="JA64" s="171"/>
      <c r="JB64" s="171"/>
      <c r="JC64" s="171"/>
      <c r="JD64" s="171"/>
      <c r="JE64" s="171"/>
      <c r="JF64" s="171"/>
      <c r="JG64" s="171"/>
      <c r="JH64" s="171"/>
      <c r="JI64" s="171"/>
      <c r="JJ64" s="171"/>
      <c r="JK64" s="171"/>
      <c r="JL64" s="171"/>
      <c r="JM64" s="171"/>
      <c r="JN64" s="171"/>
      <c r="MC64" s="10"/>
      <c r="MD64" s="10"/>
      <c r="ME64" s="10"/>
      <c r="MF64" s="10"/>
      <c r="MG64" s="10"/>
      <c r="MH64" s="10"/>
      <c r="MI64" s="10"/>
      <c r="MJ64" s="10"/>
      <c r="MK64" s="10"/>
      <c r="ML64" s="10"/>
      <c r="MM64" s="10"/>
      <c r="MN64" s="10"/>
      <c r="MO64" s="10"/>
      <c r="MP64" s="10"/>
      <c r="MQ64" s="10"/>
      <c r="MR64" s="10"/>
      <c r="MS64" s="10"/>
      <c r="MT64" s="10"/>
      <c r="MU64" s="10"/>
      <c r="MV64" s="10"/>
      <c r="MW64" s="10"/>
      <c r="MX64" s="10"/>
      <c r="MY64" s="10"/>
      <c r="MZ64" s="10"/>
      <c r="NA64" s="10"/>
      <c r="NB64" s="10"/>
      <c r="NC64" s="10"/>
      <c r="ND64" s="10"/>
      <c r="NE64" s="10"/>
    </row>
    <row r="65" spans="1:274" x14ac:dyDescent="0.25">
      <c r="A65" s="172"/>
      <c r="E65" s="173"/>
      <c r="G65" s="170"/>
      <c r="H65" s="170"/>
      <c r="I65" s="170"/>
      <c r="J65" s="170"/>
      <c r="K65" s="170"/>
      <c r="L65" s="170"/>
      <c r="M65" s="170"/>
      <c r="N65" s="170"/>
      <c r="O65" s="170"/>
      <c r="P65" s="170"/>
      <c r="Q65" s="171"/>
      <c r="R65" s="170"/>
      <c r="S65" s="170"/>
      <c r="T65" s="170"/>
      <c r="U65" s="170"/>
      <c r="V65" s="170"/>
      <c r="W65" s="170"/>
      <c r="X65" s="170"/>
      <c r="Y65" s="170"/>
      <c r="Z65" s="170"/>
      <c r="AA65" s="170"/>
      <c r="AB65" s="170"/>
      <c r="AC65" s="170"/>
      <c r="AD65" s="170"/>
      <c r="AE65" s="170"/>
      <c r="AF65" s="170"/>
      <c r="AG65" s="170"/>
      <c r="AH65" s="171"/>
      <c r="AI65" s="171"/>
      <c r="AJ65" s="171"/>
      <c r="AK65" s="171"/>
      <c r="AL65" s="171"/>
      <c r="AM65" s="171"/>
      <c r="BU65" s="171"/>
      <c r="BV65" s="171"/>
      <c r="BW65" s="171"/>
      <c r="BX65" s="171"/>
      <c r="BY65" s="171"/>
      <c r="BZ65" s="171"/>
      <c r="CA65" s="171"/>
      <c r="CB65" s="171"/>
      <c r="CC65" s="171"/>
      <c r="CD65" s="171"/>
      <c r="CE65" s="171"/>
      <c r="CF65" s="171"/>
      <c r="CG65" s="171"/>
      <c r="CH65" s="171"/>
      <c r="CI65" s="171"/>
      <c r="CJ65" s="171"/>
      <c r="CK65" s="171"/>
      <c r="CL65" s="171"/>
      <c r="CM65" s="171"/>
      <c r="CN65" s="171"/>
      <c r="CO65" s="171"/>
      <c r="CP65" s="171"/>
      <c r="CQ65" s="171"/>
      <c r="CR65" s="171"/>
      <c r="CS65" s="171"/>
      <c r="CT65" s="171"/>
      <c r="CU65" s="171"/>
      <c r="CV65" s="171"/>
      <c r="CW65" s="171"/>
      <c r="CX65" s="171"/>
      <c r="CY65" s="171"/>
      <c r="CZ65" s="171"/>
      <c r="DA65" s="171"/>
      <c r="DB65" s="171"/>
      <c r="DC65" s="171"/>
      <c r="DD65" s="171"/>
      <c r="DE65" s="171"/>
      <c r="DF65" s="171"/>
      <c r="DG65" s="171"/>
      <c r="DH65" s="171"/>
      <c r="DI65" s="171"/>
      <c r="DJ65" s="171"/>
      <c r="DK65" s="171"/>
      <c r="DL65" s="171"/>
      <c r="DM65" s="171"/>
      <c r="DN65" s="171"/>
      <c r="DO65" s="171"/>
      <c r="DP65" s="171"/>
      <c r="DQ65" s="171"/>
      <c r="DR65" s="171"/>
      <c r="DS65" s="171"/>
      <c r="DT65" s="171"/>
      <c r="DU65" s="171"/>
      <c r="DV65" s="171"/>
      <c r="DW65" s="171"/>
      <c r="DX65" s="171"/>
      <c r="DY65" s="171"/>
      <c r="DZ65" s="171"/>
      <c r="EA65" s="171"/>
      <c r="EB65" s="171"/>
      <c r="EC65" s="171"/>
      <c r="ED65" s="171"/>
      <c r="EE65" s="171"/>
      <c r="EF65" s="171"/>
      <c r="EG65" s="171"/>
      <c r="EH65" s="171"/>
      <c r="EI65" s="171"/>
      <c r="EJ65" s="171"/>
      <c r="EK65" s="171"/>
      <c r="EL65" s="171"/>
      <c r="EM65" s="171"/>
      <c r="EN65" s="171"/>
      <c r="EO65" s="171"/>
      <c r="EP65" s="171"/>
      <c r="EQ65" s="171"/>
      <c r="ER65" s="171"/>
      <c r="ES65" s="171"/>
      <c r="ET65" s="171"/>
      <c r="EU65" s="171"/>
      <c r="EV65" s="171"/>
      <c r="EW65" s="171"/>
      <c r="EX65" s="171"/>
      <c r="FD65" s="160"/>
      <c r="FE65" s="160"/>
      <c r="FF65" s="160"/>
      <c r="FG65" s="160"/>
      <c r="FH65" s="160"/>
      <c r="FI65" s="160"/>
      <c r="FJ65" s="160"/>
      <c r="FK65" s="160"/>
      <c r="FL65" s="160"/>
      <c r="FM65" s="160"/>
      <c r="FN65" s="160"/>
      <c r="FO65" s="160"/>
      <c r="FP65" s="160"/>
      <c r="FQ65" s="160"/>
      <c r="FR65" s="160"/>
      <c r="FS65" s="160"/>
      <c r="FT65" s="160"/>
      <c r="FU65" s="160"/>
      <c r="FV65" s="160"/>
      <c r="FW65" s="160"/>
      <c r="FX65" s="160"/>
      <c r="FY65" s="160"/>
      <c r="FZ65" s="160"/>
      <c r="GA65" s="160"/>
      <c r="GB65" s="160"/>
      <c r="GC65" s="160"/>
      <c r="GD65" s="160"/>
      <c r="GE65" s="69"/>
      <c r="IO65" s="171"/>
      <c r="IP65" s="171"/>
      <c r="IQ65" s="171"/>
      <c r="IR65" s="171"/>
      <c r="IS65" s="171"/>
      <c r="IT65" s="171"/>
      <c r="IU65" s="171"/>
      <c r="IV65" s="171"/>
      <c r="IW65" s="171"/>
      <c r="IX65" s="171"/>
      <c r="IY65" s="171"/>
      <c r="IZ65" s="171"/>
      <c r="JA65" s="171"/>
      <c r="JB65" s="171"/>
      <c r="JC65" s="171"/>
      <c r="JD65" s="171"/>
      <c r="JE65" s="171"/>
      <c r="JF65" s="171"/>
      <c r="JG65" s="171"/>
      <c r="JH65" s="171"/>
      <c r="JI65" s="171"/>
      <c r="JJ65" s="171"/>
      <c r="JK65" s="171"/>
      <c r="JL65" s="171"/>
      <c r="JM65" s="171"/>
      <c r="JN65" s="171"/>
    </row>
    <row r="66" spans="1:274" x14ac:dyDescent="0.25">
      <c r="A66" s="172"/>
      <c r="E66" s="173"/>
      <c r="G66" s="170"/>
      <c r="H66" s="170"/>
      <c r="I66" s="170"/>
      <c r="J66" s="170"/>
      <c r="K66" s="170"/>
      <c r="L66" s="170"/>
      <c r="M66" s="170"/>
      <c r="N66" s="170"/>
      <c r="O66" s="170"/>
      <c r="P66" s="170"/>
      <c r="Q66" s="171"/>
      <c r="R66" s="170"/>
      <c r="S66" s="170"/>
      <c r="T66" s="170"/>
      <c r="U66" s="170"/>
      <c r="V66" s="170"/>
      <c r="W66" s="170"/>
      <c r="X66" s="170"/>
      <c r="Y66" s="170"/>
      <c r="Z66" s="170"/>
      <c r="AA66" s="170"/>
      <c r="AB66" s="170"/>
      <c r="AC66" s="170"/>
      <c r="AD66" s="170"/>
      <c r="AE66" s="170"/>
      <c r="AF66" s="170"/>
      <c r="AG66" s="170"/>
      <c r="AH66" s="171"/>
      <c r="AI66" s="171"/>
      <c r="AJ66" s="171"/>
      <c r="AK66" s="171"/>
      <c r="AL66" s="171"/>
      <c r="AM66" s="171"/>
      <c r="BU66" s="171"/>
      <c r="BV66" s="171"/>
      <c r="BW66" s="171"/>
      <c r="BX66" s="171"/>
      <c r="BY66" s="171"/>
      <c r="BZ66" s="171"/>
      <c r="CA66" s="171"/>
      <c r="CB66" s="171"/>
      <c r="CC66" s="171"/>
      <c r="CD66" s="171"/>
      <c r="CE66" s="171"/>
      <c r="CF66" s="171"/>
      <c r="CG66" s="171"/>
      <c r="CH66" s="171"/>
      <c r="CI66" s="171"/>
      <c r="CJ66" s="171"/>
      <c r="CK66" s="171"/>
      <c r="CL66" s="171"/>
      <c r="CM66" s="171"/>
      <c r="CN66" s="171"/>
      <c r="CO66" s="171"/>
      <c r="CP66" s="171"/>
      <c r="CQ66" s="171"/>
      <c r="CR66" s="171"/>
      <c r="CS66" s="171"/>
      <c r="CT66" s="171"/>
      <c r="CU66" s="171"/>
      <c r="CV66" s="171"/>
      <c r="CW66" s="171"/>
      <c r="CX66" s="171"/>
      <c r="CY66" s="171"/>
      <c r="CZ66" s="171"/>
      <c r="DA66" s="171"/>
      <c r="DB66" s="171"/>
      <c r="DC66" s="171"/>
      <c r="DD66" s="171"/>
      <c r="DE66" s="171"/>
      <c r="DF66" s="171"/>
      <c r="DG66" s="171"/>
      <c r="DH66" s="171"/>
      <c r="DI66" s="171"/>
      <c r="DJ66" s="171"/>
      <c r="DK66" s="171"/>
      <c r="DL66" s="171"/>
      <c r="DM66" s="171"/>
      <c r="DN66" s="171"/>
      <c r="DO66" s="171"/>
      <c r="DP66" s="171"/>
      <c r="DQ66" s="171"/>
      <c r="DR66" s="171"/>
      <c r="DS66" s="171"/>
      <c r="DT66" s="171"/>
      <c r="DU66" s="171"/>
      <c r="DV66" s="171"/>
      <c r="DW66" s="171"/>
      <c r="DX66" s="171"/>
      <c r="DY66" s="171"/>
      <c r="DZ66" s="171"/>
      <c r="EA66" s="171"/>
      <c r="EB66" s="171"/>
      <c r="EC66" s="171"/>
      <c r="ED66" s="171"/>
      <c r="EE66" s="171"/>
      <c r="EF66" s="171"/>
      <c r="EG66" s="171"/>
      <c r="EH66" s="171"/>
      <c r="EI66" s="171"/>
      <c r="EJ66" s="171"/>
      <c r="EK66" s="171"/>
      <c r="EL66" s="171"/>
      <c r="EM66" s="171"/>
      <c r="EN66" s="171"/>
      <c r="EO66" s="171"/>
      <c r="EP66" s="171"/>
      <c r="EQ66" s="171"/>
      <c r="ER66" s="171"/>
      <c r="ES66" s="171"/>
      <c r="ET66" s="171"/>
      <c r="EU66" s="171"/>
      <c r="EV66" s="171"/>
      <c r="EW66" s="171"/>
      <c r="EX66" s="171"/>
      <c r="FD66" s="160"/>
      <c r="FE66" s="160"/>
      <c r="FF66" s="160"/>
      <c r="FG66" s="160"/>
      <c r="FH66" s="160"/>
      <c r="FI66" s="160"/>
      <c r="FJ66" s="160"/>
      <c r="FK66" s="160"/>
      <c r="FL66" s="160"/>
      <c r="FM66" s="160"/>
      <c r="FN66" s="160"/>
      <c r="FO66" s="160"/>
      <c r="FP66" s="160"/>
      <c r="FQ66" s="160"/>
      <c r="FR66" s="160"/>
      <c r="FS66" s="160"/>
      <c r="FT66" s="160"/>
      <c r="FU66" s="160"/>
      <c r="FV66" s="160"/>
      <c r="FW66" s="160"/>
      <c r="FX66" s="160"/>
      <c r="FY66" s="160"/>
      <c r="FZ66" s="160"/>
      <c r="GA66" s="160"/>
      <c r="GB66" s="160"/>
      <c r="GC66" s="160"/>
      <c r="GD66" s="160"/>
      <c r="GE66" s="69"/>
      <c r="IO66" s="171"/>
      <c r="IP66" s="171"/>
      <c r="IQ66" s="171"/>
      <c r="IR66" s="171"/>
      <c r="IS66" s="171"/>
      <c r="IT66" s="171"/>
      <c r="IU66" s="171"/>
      <c r="IV66" s="171"/>
      <c r="IW66" s="171"/>
      <c r="IX66" s="171"/>
      <c r="IY66" s="171"/>
      <c r="IZ66" s="171"/>
      <c r="JA66" s="171"/>
      <c r="JB66" s="171"/>
      <c r="JC66" s="171"/>
      <c r="JD66" s="171"/>
      <c r="JE66" s="171"/>
      <c r="JF66" s="171"/>
      <c r="JG66" s="171"/>
      <c r="JH66" s="171"/>
      <c r="JI66" s="171"/>
      <c r="JJ66" s="171"/>
      <c r="JK66" s="171"/>
      <c r="JL66" s="171"/>
      <c r="JM66" s="171"/>
      <c r="JN66" s="171"/>
    </row>
    <row r="67" spans="1:274" x14ac:dyDescent="0.25">
      <c r="A67" s="172"/>
      <c r="E67" s="173"/>
      <c r="G67" s="170"/>
      <c r="H67" s="170"/>
      <c r="I67" s="170"/>
      <c r="J67" s="170"/>
      <c r="K67" s="170"/>
      <c r="L67" s="170"/>
      <c r="M67" s="170"/>
      <c r="N67" s="170"/>
      <c r="O67" s="170"/>
      <c r="P67" s="170"/>
      <c r="Q67" s="171"/>
      <c r="R67" s="170"/>
      <c r="S67" s="170"/>
      <c r="T67" s="170"/>
      <c r="U67" s="170"/>
      <c r="V67" s="170"/>
      <c r="W67" s="170"/>
      <c r="X67" s="170"/>
      <c r="Y67" s="170"/>
      <c r="Z67" s="170"/>
      <c r="AA67" s="170"/>
      <c r="AB67" s="170"/>
      <c r="AC67" s="170"/>
      <c r="AD67" s="170"/>
      <c r="AE67" s="170"/>
      <c r="AF67" s="170"/>
      <c r="AG67" s="170"/>
      <c r="AH67" s="171"/>
      <c r="AI67" s="171"/>
      <c r="AJ67" s="171"/>
      <c r="AK67" s="171"/>
      <c r="AL67" s="171"/>
      <c r="AM67" s="171"/>
      <c r="BU67" s="171"/>
      <c r="BV67" s="171"/>
      <c r="BW67" s="171"/>
      <c r="BX67" s="171"/>
      <c r="BY67" s="171"/>
      <c r="BZ67" s="171"/>
      <c r="CA67" s="171"/>
      <c r="CB67" s="171"/>
      <c r="CC67" s="171"/>
      <c r="CD67" s="171"/>
      <c r="CE67" s="171"/>
      <c r="CF67" s="171"/>
      <c r="CG67" s="171"/>
      <c r="CH67" s="171"/>
      <c r="CI67" s="171"/>
      <c r="CJ67" s="171"/>
      <c r="CK67" s="171"/>
      <c r="CL67" s="171"/>
      <c r="CM67" s="171"/>
      <c r="CN67" s="171"/>
      <c r="CO67" s="171"/>
      <c r="CP67" s="171"/>
      <c r="CQ67" s="171"/>
      <c r="CR67" s="171"/>
      <c r="CS67" s="171"/>
      <c r="CT67" s="171"/>
      <c r="CU67" s="171"/>
      <c r="CV67" s="171"/>
      <c r="CW67" s="171"/>
      <c r="CX67" s="171"/>
      <c r="CY67" s="171"/>
      <c r="CZ67" s="171"/>
      <c r="DA67" s="171"/>
      <c r="DB67" s="171"/>
      <c r="DC67" s="171"/>
      <c r="DD67" s="171"/>
      <c r="DE67" s="171"/>
      <c r="DF67" s="171"/>
      <c r="DG67" s="171"/>
      <c r="DH67" s="171"/>
      <c r="DI67" s="171"/>
      <c r="DJ67" s="171"/>
      <c r="DK67" s="171"/>
      <c r="DL67" s="171"/>
      <c r="DM67" s="171"/>
      <c r="DN67" s="171"/>
      <c r="DO67" s="171"/>
      <c r="DP67" s="171"/>
      <c r="DQ67" s="171"/>
      <c r="DR67" s="171"/>
      <c r="DS67" s="171"/>
      <c r="DT67" s="171"/>
      <c r="DU67" s="171"/>
      <c r="DV67" s="171"/>
      <c r="DW67" s="171"/>
      <c r="DX67" s="171"/>
      <c r="DY67" s="171"/>
      <c r="DZ67" s="171"/>
      <c r="EA67" s="171"/>
      <c r="EB67" s="171"/>
      <c r="EC67" s="171"/>
      <c r="ED67" s="171"/>
      <c r="EE67" s="171"/>
      <c r="EF67" s="171"/>
      <c r="EG67" s="171"/>
      <c r="EH67" s="171"/>
      <c r="EI67" s="171"/>
      <c r="EJ67" s="171"/>
      <c r="EK67" s="171"/>
      <c r="EL67" s="171"/>
      <c r="EM67" s="171"/>
      <c r="EN67" s="171"/>
      <c r="EO67" s="171"/>
      <c r="EP67" s="171"/>
      <c r="EQ67" s="171"/>
      <c r="ER67" s="171"/>
      <c r="ES67" s="171"/>
      <c r="ET67" s="171"/>
      <c r="EU67" s="171"/>
      <c r="EV67" s="171"/>
      <c r="EW67" s="171"/>
      <c r="EX67" s="171"/>
      <c r="FD67" s="160"/>
      <c r="FE67" s="160"/>
      <c r="FF67" s="160"/>
      <c r="FG67" s="160"/>
      <c r="FH67" s="160"/>
      <c r="FI67" s="160"/>
      <c r="FJ67" s="160"/>
      <c r="FK67" s="160"/>
      <c r="FL67" s="160"/>
      <c r="FM67" s="160"/>
      <c r="FN67" s="160"/>
      <c r="FO67" s="160"/>
      <c r="FP67" s="160"/>
      <c r="FQ67" s="160"/>
      <c r="FR67" s="160"/>
      <c r="FS67" s="160"/>
      <c r="FT67" s="160"/>
      <c r="FU67" s="160"/>
      <c r="FV67" s="160"/>
      <c r="FW67" s="160"/>
      <c r="FX67" s="160"/>
      <c r="FY67" s="160"/>
      <c r="FZ67" s="160"/>
      <c r="GA67" s="160"/>
      <c r="GB67" s="160"/>
      <c r="GC67" s="160"/>
      <c r="GD67" s="160"/>
      <c r="GE67" s="69"/>
      <c r="IO67" s="171"/>
      <c r="IP67" s="171"/>
      <c r="IQ67" s="171"/>
      <c r="IR67" s="171"/>
      <c r="IS67" s="171"/>
      <c r="IT67" s="171"/>
      <c r="IU67" s="171"/>
      <c r="IV67" s="171"/>
      <c r="IW67" s="171"/>
      <c r="IX67" s="171"/>
      <c r="IY67" s="171"/>
      <c r="IZ67" s="171"/>
      <c r="JA67" s="171"/>
      <c r="JB67" s="171"/>
      <c r="JC67" s="171"/>
      <c r="JD67" s="171"/>
      <c r="JE67" s="171"/>
      <c r="JF67" s="171"/>
      <c r="JG67" s="171"/>
      <c r="JH67" s="171"/>
      <c r="JI67" s="171"/>
      <c r="JJ67" s="171"/>
      <c r="JK67" s="171"/>
      <c r="JL67" s="171"/>
      <c r="JM67" s="171"/>
      <c r="JN67" s="171"/>
    </row>
    <row r="68" spans="1:274" x14ac:dyDescent="0.25">
      <c r="A68" s="172"/>
      <c r="E68" s="173"/>
      <c r="G68" s="170"/>
      <c r="H68" s="170"/>
      <c r="I68" s="170"/>
      <c r="J68" s="170"/>
      <c r="K68" s="170"/>
      <c r="L68" s="170"/>
      <c r="M68" s="170"/>
      <c r="N68" s="170"/>
      <c r="O68" s="170"/>
      <c r="P68" s="170"/>
      <c r="Q68" s="171"/>
      <c r="R68" s="170"/>
      <c r="S68" s="170"/>
      <c r="T68" s="170"/>
      <c r="U68" s="170"/>
      <c r="V68" s="170"/>
      <c r="W68" s="170"/>
      <c r="X68" s="170"/>
      <c r="Y68" s="170"/>
      <c r="Z68" s="170"/>
      <c r="AA68" s="170"/>
      <c r="AB68" s="170"/>
      <c r="AC68" s="170"/>
      <c r="AD68" s="170"/>
      <c r="AE68" s="170"/>
      <c r="AF68" s="170"/>
      <c r="AG68" s="170"/>
      <c r="AH68" s="171"/>
      <c r="AI68" s="171"/>
      <c r="AJ68" s="171"/>
      <c r="AK68" s="171"/>
      <c r="AL68" s="171"/>
      <c r="AM68" s="171"/>
      <c r="BU68" s="171"/>
      <c r="BV68" s="171"/>
      <c r="BW68" s="171"/>
      <c r="BX68" s="171"/>
      <c r="BY68" s="171"/>
      <c r="BZ68" s="171"/>
      <c r="CA68" s="171"/>
      <c r="CB68" s="171"/>
      <c r="CC68" s="171"/>
      <c r="CD68" s="171"/>
      <c r="CE68" s="171"/>
      <c r="CF68" s="171"/>
      <c r="CG68" s="171"/>
      <c r="CH68" s="171"/>
      <c r="CI68" s="171"/>
      <c r="CJ68" s="171"/>
      <c r="CK68" s="171"/>
      <c r="CL68" s="171"/>
      <c r="CM68" s="171"/>
      <c r="CN68" s="171"/>
      <c r="CO68" s="171"/>
      <c r="CP68" s="171"/>
      <c r="CQ68" s="171"/>
      <c r="CR68" s="171"/>
      <c r="CS68" s="171"/>
      <c r="CT68" s="171"/>
      <c r="CU68" s="171"/>
      <c r="CV68" s="171"/>
      <c r="CW68" s="171"/>
      <c r="CX68" s="171"/>
      <c r="CY68" s="171"/>
      <c r="CZ68" s="171"/>
      <c r="DA68" s="171"/>
      <c r="DB68" s="171"/>
      <c r="DC68" s="171"/>
      <c r="DD68" s="171"/>
      <c r="DE68" s="171"/>
      <c r="DF68" s="171"/>
      <c r="DG68" s="171"/>
      <c r="DH68" s="171"/>
      <c r="DI68" s="171"/>
      <c r="DJ68" s="171"/>
      <c r="DK68" s="171"/>
      <c r="DL68" s="171"/>
      <c r="DM68" s="171"/>
      <c r="DN68" s="171"/>
      <c r="DO68" s="171"/>
      <c r="DP68" s="171"/>
      <c r="DQ68" s="171"/>
      <c r="DR68" s="171"/>
      <c r="DS68" s="171"/>
      <c r="DT68" s="171"/>
      <c r="DU68" s="171"/>
      <c r="DV68" s="171"/>
      <c r="DW68" s="171"/>
      <c r="DX68" s="171"/>
      <c r="DY68" s="171"/>
      <c r="DZ68" s="171"/>
      <c r="EA68" s="171"/>
      <c r="EB68" s="171"/>
      <c r="EC68" s="171"/>
      <c r="ED68" s="171"/>
      <c r="EE68" s="171"/>
      <c r="EF68" s="171"/>
      <c r="EG68" s="171"/>
      <c r="EH68" s="171"/>
      <c r="EI68" s="171"/>
      <c r="EJ68" s="171"/>
      <c r="EK68" s="171"/>
      <c r="EL68" s="171"/>
      <c r="EM68" s="171"/>
      <c r="EN68" s="171"/>
      <c r="EO68" s="171"/>
      <c r="EP68" s="171"/>
      <c r="EQ68" s="171"/>
      <c r="ER68" s="171"/>
      <c r="ES68" s="171"/>
      <c r="ET68" s="171"/>
      <c r="EU68" s="171"/>
      <c r="EV68" s="171"/>
      <c r="EW68" s="171"/>
      <c r="EX68" s="171"/>
      <c r="FC68" s="42"/>
      <c r="FD68" s="160"/>
      <c r="FE68" s="160"/>
      <c r="FF68" s="160"/>
      <c r="FG68" s="160"/>
      <c r="FH68" s="160"/>
      <c r="FI68" s="160"/>
      <c r="FJ68" s="160"/>
      <c r="FK68" s="160"/>
      <c r="FL68" s="160"/>
      <c r="FM68" s="160"/>
      <c r="FN68" s="160"/>
      <c r="FO68" s="160"/>
      <c r="FP68" s="160"/>
      <c r="FQ68" s="160"/>
      <c r="FR68" s="160"/>
      <c r="FS68" s="160"/>
      <c r="FT68" s="160"/>
      <c r="FU68" s="160"/>
      <c r="FV68" s="160"/>
      <c r="FW68" s="160"/>
      <c r="FX68" s="160"/>
      <c r="FY68" s="160"/>
      <c r="FZ68" s="160"/>
      <c r="GA68" s="160"/>
      <c r="GB68" s="160"/>
      <c r="GC68" s="160"/>
      <c r="GD68" s="160"/>
      <c r="GE68" s="69"/>
      <c r="IO68" s="171"/>
      <c r="IP68" s="171"/>
      <c r="IQ68" s="171"/>
      <c r="IR68" s="171"/>
      <c r="IS68" s="171"/>
      <c r="IT68" s="171"/>
      <c r="IU68" s="171"/>
      <c r="IV68" s="171"/>
      <c r="IW68" s="171"/>
      <c r="IX68" s="171"/>
      <c r="IY68" s="171"/>
      <c r="IZ68" s="171"/>
      <c r="JA68" s="171"/>
      <c r="JB68" s="171"/>
      <c r="JC68" s="171"/>
      <c r="JD68" s="171"/>
      <c r="JE68" s="171"/>
      <c r="JF68" s="171"/>
      <c r="JG68" s="171"/>
      <c r="JH68" s="171"/>
      <c r="JI68" s="171"/>
      <c r="JJ68" s="171"/>
      <c r="JK68" s="171"/>
      <c r="JL68" s="171"/>
      <c r="JM68" s="171"/>
      <c r="JN68" s="171"/>
    </row>
    <row r="69" spans="1:274" x14ac:dyDescent="0.25">
      <c r="A69" s="172"/>
      <c r="E69" s="173"/>
      <c r="G69" s="170"/>
      <c r="H69" s="170"/>
      <c r="I69" s="170"/>
      <c r="J69" s="170"/>
      <c r="K69" s="170"/>
      <c r="L69" s="170"/>
      <c r="M69" s="170"/>
      <c r="N69" s="170"/>
      <c r="O69" s="170"/>
      <c r="P69" s="170"/>
      <c r="Q69" s="171"/>
      <c r="R69" s="170"/>
      <c r="S69" s="170"/>
      <c r="T69" s="170"/>
      <c r="U69" s="170"/>
      <c r="V69" s="170"/>
      <c r="W69" s="170"/>
      <c r="X69" s="170"/>
      <c r="Y69" s="170"/>
      <c r="Z69" s="170"/>
      <c r="AA69" s="170"/>
      <c r="AB69" s="170"/>
      <c r="AC69" s="170"/>
      <c r="AD69" s="170"/>
      <c r="AE69" s="170"/>
      <c r="AF69" s="170"/>
      <c r="AG69" s="170"/>
      <c r="AH69" s="171"/>
      <c r="AI69" s="171"/>
      <c r="AJ69" s="171"/>
      <c r="AK69" s="171"/>
      <c r="AL69" s="171"/>
      <c r="AM69" s="171"/>
      <c r="BU69" s="171"/>
      <c r="BV69" s="171"/>
      <c r="BW69" s="171"/>
      <c r="BX69" s="171"/>
      <c r="BY69" s="171"/>
      <c r="BZ69" s="171"/>
      <c r="CA69" s="171"/>
      <c r="CB69" s="171"/>
      <c r="CC69" s="171"/>
      <c r="CD69" s="171"/>
      <c r="CE69" s="171"/>
      <c r="CF69" s="171"/>
      <c r="CG69" s="171"/>
      <c r="CH69" s="171"/>
      <c r="CI69" s="171"/>
      <c r="CJ69" s="171"/>
      <c r="CK69" s="171"/>
      <c r="CL69" s="171"/>
      <c r="CM69" s="171"/>
      <c r="CN69" s="171"/>
      <c r="CO69" s="171"/>
      <c r="CP69" s="171"/>
      <c r="CQ69" s="171"/>
      <c r="CR69" s="171"/>
      <c r="CS69" s="171"/>
      <c r="CT69" s="171"/>
      <c r="CU69" s="171"/>
      <c r="CV69" s="171"/>
      <c r="CW69" s="171"/>
      <c r="CX69" s="171"/>
      <c r="CY69" s="171"/>
      <c r="CZ69" s="171"/>
      <c r="DA69" s="171"/>
      <c r="DB69" s="171"/>
      <c r="DC69" s="171"/>
      <c r="DD69" s="171"/>
      <c r="DE69" s="171"/>
      <c r="DF69" s="171"/>
      <c r="DG69" s="171"/>
      <c r="DH69" s="171"/>
      <c r="DI69" s="171"/>
      <c r="DJ69" s="171"/>
      <c r="DK69" s="171"/>
      <c r="DL69" s="171"/>
      <c r="DM69" s="171"/>
      <c r="DN69" s="171"/>
      <c r="DO69" s="171"/>
      <c r="DP69" s="171"/>
      <c r="DQ69" s="171"/>
      <c r="DR69" s="171"/>
      <c r="DS69" s="171"/>
      <c r="DT69" s="171"/>
      <c r="DU69" s="171"/>
      <c r="DV69" s="171"/>
      <c r="DW69" s="171"/>
      <c r="DX69" s="171"/>
      <c r="DY69" s="171"/>
      <c r="DZ69" s="171"/>
      <c r="EA69" s="171"/>
      <c r="EB69" s="171"/>
      <c r="EC69" s="171"/>
      <c r="ED69" s="171"/>
      <c r="EE69" s="171"/>
      <c r="EF69" s="171"/>
      <c r="EG69" s="171"/>
      <c r="EH69" s="171"/>
      <c r="EI69" s="171"/>
      <c r="EJ69" s="171"/>
      <c r="EK69" s="171"/>
      <c r="EL69" s="171"/>
      <c r="EM69" s="171"/>
      <c r="EN69" s="171"/>
      <c r="EO69" s="171"/>
      <c r="EP69" s="171"/>
      <c r="EQ69" s="171"/>
      <c r="ER69" s="171"/>
      <c r="ES69" s="171"/>
      <c r="ET69" s="171"/>
      <c r="EU69" s="171"/>
      <c r="EV69" s="171"/>
      <c r="EW69" s="171"/>
      <c r="EX69" s="171"/>
      <c r="FC69" s="42"/>
      <c r="FD69" s="160"/>
      <c r="FE69" s="160"/>
      <c r="FF69" s="160"/>
      <c r="FG69" s="160"/>
      <c r="FH69" s="160"/>
      <c r="FI69" s="160"/>
      <c r="FJ69" s="160"/>
      <c r="FK69" s="160"/>
      <c r="FL69" s="160"/>
      <c r="FM69" s="160"/>
      <c r="FN69" s="160"/>
      <c r="FO69" s="160"/>
      <c r="FP69" s="160"/>
      <c r="FQ69" s="160"/>
      <c r="FR69" s="160"/>
      <c r="FS69" s="160"/>
      <c r="FT69" s="160"/>
      <c r="FU69" s="160"/>
      <c r="FV69" s="160"/>
      <c r="FW69" s="160"/>
      <c r="FX69" s="160"/>
      <c r="FY69" s="160"/>
      <c r="FZ69" s="160"/>
      <c r="GA69" s="160"/>
      <c r="GB69" s="160"/>
      <c r="GC69" s="160"/>
      <c r="GD69" s="160"/>
      <c r="GE69" s="69"/>
      <c r="IO69" s="171"/>
      <c r="IP69" s="171"/>
      <c r="IQ69" s="171"/>
      <c r="IR69" s="171"/>
      <c r="IS69" s="171"/>
      <c r="IT69" s="171"/>
      <c r="IU69" s="171"/>
      <c r="IV69" s="171"/>
      <c r="IW69" s="171"/>
      <c r="IX69" s="171"/>
      <c r="IY69" s="171"/>
      <c r="IZ69" s="171"/>
      <c r="JA69" s="171"/>
      <c r="JB69" s="171"/>
      <c r="JC69" s="171"/>
      <c r="JD69" s="171"/>
      <c r="JE69" s="171"/>
      <c r="JF69" s="171"/>
      <c r="JG69" s="171"/>
      <c r="JH69" s="171"/>
      <c r="JI69" s="171"/>
      <c r="JJ69" s="171"/>
      <c r="JK69" s="171"/>
      <c r="JL69" s="171"/>
      <c r="JM69" s="171"/>
      <c r="JN69" s="171"/>
    </row>
    <row r="70" spans="1:274" x14ac:dyDescent="0.25">
      <c r="A70" s="172"/>
      <c r="E70" s="173"/>
      <c r="G70" s="170"/>
      <c r="H70" s="170"/>
      <c r="I70" s="170"/>
      <c r="J70" s="170"/>
      <c r="K70" s="170"/>
      <c r="L70" s="170"/>
      <c r="M70" s="170"/>
      <c r="N70" s="170"/>
      <c r="O70" s="170"/>
      <c r="P70" s="170"/>
      <c r="Q70" s="171"/>
      <c r="R70" s="170"/>
      <c r="S70" s="170"/>
      <c r="T70" s="170"/>
      <c r="U70" s="170"/>
      <c r="V70" s="170"/>
      <c r="W70" s="170"/>
      <c r="X70" s="170"/>
      <c r="Y70" s="170"/>
      <c r="Z70" s="170"/>
      <c r="AA70" s="170"/>
      <c r="AB70" s="170"/>
      <c r="AC70" s="170"/>
      <c r="AD70" s="170"/>
      <c r="AE70" s="170"/>
      <c r="AF70" s="170"/>
      <c r="AG70" s="170"/>
      <c r="AH70" s="171"/>
      <c r="AI70" s="171"/>
      <c r="AJ70" s="171"/>
      <c r="AK70" s="171"/>
      <c r="AL70" s="171"/>
      <c r="AM70" s="171"/>
      <c r="BU70" s="171"/>
      <c r="BV70" s="171"/>
      <c r="BW70" s="171"/>
      <c r="BX70" s="171"/>
      <c r="BY70" s="171"/>
      <c r="BZ70" s="171"/>
      <c r="CA70" s="171"/>
      <c r="CB70" s="171"/>
      <c r="CC70" s="171"/>
      <c r="CD70" s="171"/>
      <c r="CE70" s="171"/>
      <c r="CF70" s="171"/>
      <c r="CG70" s="171"/>
      <c r="CH70" s="171"/>
      <c r="CI70" s="171"/>
      <c r="CJ70" s="171"/>
      <c r="CK70" s="171"/>
      <c r="CL70" s="171"/>
      <c r="CM70" s="171"/>
      <c r="CN70" s="171"/>
      <c r="CO70" s="171"/>
      <c r="CP70" s="171"/>
      <c r="CQ70" s="171"/>
      <c r="CR70" s="171"/>
      <c r="CS70" s="171"/>
      <c r="CT70" s="171"/>
      <c r="CU70" s="171"/>
      <c r="CV70" s="171"/>
      <c r="CW70" s="171"/>
      <c r="CX70" s="171"/>
      <c r="CY70" s="171"/>
      <c r="CZ70" s="171"/>
      <c r="DA70" s="171"/>
      <c r="DB70" s="171"/>
      <c r="DC70" s="171"/>
      <c r="DD70" s="171"/>
      <c r="DE70" s="171"/>
      <c r="DF70" s="171"/>
      <c r="DG70" s="171"/>
      <c r="DH70" s="171"/>
      <c r="DI70" s="171"/>
      <c r="DJ70" s="171"/>
      <c r="DK70" s="171"/>
      <c r="DL70" s="171"/>
      <c r="DM70" s="171"/>
      <c r="DN70" s="171"/>
      <c r="DO70" s="171"/>
      <c r="DP70" s="171"/>
      <c r="DQ70" s="171"/>
      <c r="DR70" s="171"/>
      <c r="DS70" s="171"/>
      <c r="DT70" s="171"/>
      <c r="DU70" s="171"/>
      <c r="DV70" s="171"/>
      <c r="DW70" s="171"/>
      <c r="DX70" s="171"/>
      <c r="DY70" s="171"/>
      <c r="DZ70" s="171"/>
      <c r="EA70" s="171"/>
      <c r="EB70" s="171"/>
      <c r="EC70" s="171"/>
      <c r="ED70" s="171"/>
      <c r="EE70" s="171"/>
      <c r="EF70" s="171"/>
      <c r="EG70" s="171"/>
      <c r="EH70" s="171"/>
      <c r="EI70" s="171"/>
      <c r="EJ70" s="171"/>
      <c r="EK70" s="171"/>
      <c r="EL70" s="171"/>
      <c r="EM70" s="171"/>
      <c r="EN70" s="171"/>
      <c r="EO70" s="171"/>
      <c r="EP70" s="171"/>
      <c r="EQ70" s="171"/>
      <c r="ER70" s="171"/>
      <c r="ES70" s="171"/>
      <c r="ET70" s="171"/>
      <c r="EU70" s="171"/>
      <c r="EV70" s="171"/>
      <c r="EW70" s="171"/>
      <c r="EX70" s="171"/>
      <c r="FC70" s="42"/>
      <c r="FD70" s="160"/>
      <c r="FE70" s="160"/>
      <c r="FF70" s="160"/>
      <c r="FG70" s="160"/>
      <c r="FH70" s="160"/>
      <c r="FI70" s="160"/>
      <c r="FJ70" s="160"/>
      <c r="FK70" s="160"/>
      <c r="FL70" s="160"/>
      <c r="FM70" s="160"/>
      <c r="FN70" s="160"/>
      <c r="FO70" s="160"/>
      <c r="FP70" s="160"/>
      <c r="FQ70" s="160"/>
      <c r="FR70" s="160"/>
      <c r="FS70" s="160"/>
      <c r="FT70" s="160"/>
      <c r="FU70" s="160"/>
      <c r="FV70" s="160"/>
      <c r="FW70" s="160"/>
      <c r="FX70" s="160"/>
      <c r="FY70" s="160"/>
      <c r="FZ70" s="160"/>
      <c r="GA70" s="160"/>
      <c r="GB70" s="160"/>
      <c r="GC70" s="160"/>
      <c r="GD70" s="160"/>
      <c r="GE70" s="69"/>
      <c r="IO70" s="171"/>
      <c r="IP70" s="171"/>
      <c r="IQ70" s="171"/>
      <c r="IR70" s="171"/>
      <c r="IS70" s="171"/>
      <c r="IT70" s="171"/>
      <c r="IU70" s="171"/>
      <c r="IV70" s="171"/>
      <c r="IW70" s="171"/>
      <c r="IX70" s="171"/>
      <c r="IY70" s="171"/>
      <c r="IZ70" s="171"/>
      <c r="JA70" s="171"/>
      <c r="JB70" s="171"/>
      <c r="JC70" s="171"/>
      <c r="JD70" s="171"/>
      <c r="JE70" s="171"/>
      <c r="JF70" s="171"/>
      <c r="JG70" s="171"/>
      <c r="JH70" s="171"/>
      <c r="JI70" s="171"/>
      <c r="JJ70" s="171"/>
      <c r="JK70" s="171"/>
      <c r="JL70" s="171"/>
      <c r="JM70" s="171"/>
      <c r="JN70" s="171"/>
    </row>
    <row r="71" spans="1:274" x14ac:dyDescent="0.25">
      <c r="A71" s="172"/>
      <c r="E71" s="173"/>
      <c r="G71" s="170"/>
      <c r="H71" s="170"/>
      <c r="I71" s="170"/>
      <c r="J71" s="170"/>
      <c r="K71" s="170"/>
      <c r="L71" s="170"/>
      <c r="M71" s="170"/>
      <c r="N71" s="170"/>
      <c r="O71" s="170"/>
      <c r="P71" s="170"/>
      <c r="Q71" s="171"/>
      <c r="R71" s="170"/>
      <c r="S71" s="170"/>
      <c r="T71" s="170"/>
      <c r="U71" s="170"/>
      <c r="V71" s="170"/>
      <c r="W71" s="170"/>
      <c r="X71" s="170"/>
      <c r="Y71" s="170"/>
      <c r="Z71" s="170"/>
      <c r="AA71" s="170"/>
      <c r="AB71" s="170"/>
      <c r="AC71" s="170"/>
      <c r="AD71" s="170"/>
      <c r="AE71" s="170"/>
      <c r="AF71" s="170"/>
      <c r="AG71" s="170"/>
      <c r="AH71" s="171"/>
      <c r="AI71" s="171"/>
      <c r="AJ71" s="171"/>
      <c r="AK71" s="171"/>
      <c r="AL71" s="171"/>
      <c r="AM71" s="171"/>
      <c r="BU71" s="171"/>
      <c r="BV71" s="171"/>
      <c r="BW71" s="171"/>
      <c r="BX71" s="171"/>
      <c r="BY71" s="171"/>
      <c r="BZ71" s="171"/>
      <c r="CA71" s="171"/>
      <c r="CB71" s="171"/>
      <c r="CC71" s="171"/>
      <c r="CD71" s="171"/>
      <c r="CE71" s="171"/>
      <c r="CF71" s="171"/>
      <c r="CG71" s="171"/>
      <c r="CH71" s="171"/>
      <c r="CI71" s="171"/>
      <c r="CJ71" s="171"/>
      <c r="CK71" s="171"/>
      <c r="CL71" s="171"/>
      <c r="CM71" s="171"/>
      <c r="CN71" s="171"/>
      <c r="CO71" s="171"/>
      <c r="CP71" s="171"/>
      <c r="CQ71" s="171"/>
      <c r="CR71" s="171"/>
      <c r="CS71" s="171"/>
      <c r="CT71" s="171"/>
      <c r="CU71" s="171"/>
      <c r="CV71" s="171"/>
      <c r="CW71" s="171"/>
      <c r="CX71" s="171"/>
      <c r="CY71" s="171"/>
      <c r="CZ71" s="171"/>
      <c r="DA71" s="171"/>
      <c r="DB71" s="171"/>
      <c r="DC71" s="171"/>
      <c r="DD71" s="171"/>
      <c r="DE71" s="171"/>
      <c r="DF71" s="171"/>
      <c r="DG71" s="171"/>
      <c r="DH71" s="171"/>
      <c r="DI71" s="171"/>
      <c r="DJ71" s="171"/>
      <c r="DK71" s="171"/>
      <c r="DL71" s="171"/>
      <c r="DM71" s="171"/>
      <c r="DN71" s="171"/>
      <c r="DO71" s="171"/>
      <c r="DP71" s="171"/>
      <c r="DQ71" s="171"/>
      <c r="DR71" s="171"/>
      <c r="DS71" s="171"/>
      <c r="DT71" s="171"/>
      <c r="DU71" s="171"/>
      <c r="DV71" s="171"/>
      <c r="DW71" s="171"/>
      <c r="DX71" s="171"/>
      <c r="DY71" s="171"/>
      <c r="DZ71" s="171"/>
      <c r="EA71" s="171"/>
      <c r="EB71" s="171"/>
      <c r="EC71" s="171"/>
      <c r="ED71" s="171"/>
      <c r="EE71" s="171"/>
      <c r="EF71" s="171"/>
      <c r="EG71" s="171"/>
      <c r="EH71" s="171"/>
      <c r="EI71" s="171"/>
      <c r="EJ71" s="171"/>
      <c r="EK71" s="171"/>
      <c r="EL71" s="171"/>
      <c r="EM71" s="171"/>
      <c r="EN71" s="171"/>
      <c r="EO71" s="171"/>
      <c r="EP71" s="171"/>
      <c r="EQ71" s="171"/>
      <c r="ER71" s="171"/>
      <c r="ES71" s="171"/>
      <c r="ET71" s="171"/>
      <c r="EU71" s="171"/>
      <c r="EV71" s="171"/>
      <c r="EW71" s="171"/>
      <c r="EX71" s="171"/>
      <c r="FC71" s="42"/>
      <c r="FD71" s="160"/>
      <c r="FE71" s="160"/>
      <c r="FF71" s="160"/>
      <c r="FG71" s="160"/>
      <c r="FH71" s="160"/>
      <c r="FI71" s="160"/>
      <c r="FJ71" s="160"/>
      <c r="FK71" s="160"/>
      <c r="FL71" s="160"/>
      <c r="FM71" s="160"/>
      <c r="FN71" s="160"/>
      <c r="FO71" s="160"/>
      <c r="FP71" s="160"/>
      <c r="FQ71" s="160"/>
      <c r="FR71" s="160"/>
      <c r="FS71" s="160"/>
      <c r="FT71" s="160"/>
      <c r="FU71" s="160"/>
      <c r="FV71" s="160"/>
      <c r="FW71" s="160"/>
      <c r="FX71" s="160"/>
      <c r="FY71" s="160"/>
      <c r="FZ71" s="160"/>
      <c r="GA71" s="160"/>
      <c r="GB71" s="160"/>
      <c r="GC71" s="160"/>
      <c r="GD71" s="160"/>
      <c r="GE71" s="69"/>
      <c r="IO71" s="171"/>
      <c r="IP71" s="171"/>
      <c r="IQ71" s="171"/>
      <c r="IR71" s="171"/>
      <c r="IS71" s="171"/>
      <c r="IT71" s="171"/>
      <c r="IU71" s="171"/>
      <c r="IV71" s="171"/>
      <c r="IW71" s="171"/>
      <c r="IX71" s="171"/>
      <c r="IY71" s="171"/>
      <c r="IZ71" s="171"/>
      <c r="JA71" s="171"/>
      <c r="JB71" s="171"/>
      <c r="JC71" s="171"/>
      <c r="JD71" s="171"/>
      <c r="JE71" s="171"/>
      <c r="JF71" s="171"/>
      <c r="JG71" s="171"/>
      <c r="JH71" s="171"/>
      <c r="JI71" s="171"/>
      <c r="JJ71" s="171"/>
      <c r="JK71" s="171"/>
      <c r="JL71" s="171"/>
      <c r="JM71" s="171"/>
      <c r="JN71" s="171"/>
    </row>
    <row r="72" spans="1:274" x14ac:dyDescent="0.25">
      <c r="A72" s="172"/>
      <c r="E72" s="173"/>
      <c r="G72" s="170"/>
      <c r="H72" s="170"/>
      <c r="I72" s="170"/>
      <c r="J72" s="170"/>
      <c r="K72" s="170"/>
      <c r="L72" s="170"/>
      <c r="M72" s="170"/>
      <c r="N72" s="170"/>
      <c r="O72" s="170"/>
      <c r="P72" s="170"/>
      <c r="Q72" s="171"/>
      <c r="R72" s="170"/>
      <c r="S72" s="170"/>
      <c r="T72" s="170"/>
      <c r="U72" s="170"/>
      <c r="V72" s="170"/>
      <c r="W72" s="170"/>
      <c r="X72" s="170"/>
      <c r="Y72" s="170"/>
      <c r="Z72" s="170"/>
      <c r="AA72" s="170"/>
      <c r="AB72" s="170"/>
      <c r="AC72" s="170"/>
      <c r="AD72" s="170"/>
      <c r="AE72" s="170"/>
      <c r="AF72" s="170"/>
      <c r="AG72" s="170"/>
      <c r="AH72" s="171"/>
      <c r="AI72" s="171"/>
      <c r="AJ72" s="171"/>
      <c r="AK72" s="171"/>
      <c r="AL72" s="171"/>
      <c r="AM72" s="171"/>
      <c r="BU72" s="171"/>
      <c r="BV72" s="171"/>
      <c r="BW72" s="171"/>
      <c r="BX72" s="171"/>
      <c r="BY72" s="171"/>
      <c r="BZ72" s="171"/>
      <c r="CA72" s="171"/>
      <c r="CB72" s="171"/>
      <c r="CC72" s="171"/>
      <c r="CD72" s="171"/>
      <c r="CE72" s="171"/>
      <c r="CF72" s="171"/>
      <c r="CG72" s="171"/>
      <c r="CH72" s="171"/>
      <c r="CI72" s="171"/>
      <c r="CJ72" s="171"/>
      <c r="CK72" s="171"/>
      <c r="CL72" s="171"/>
      <c r="CM72" s="171"/>
      <c r="CN72" s="171"/>
      <c r="CO72" s="171"/>
      <c r="CP72" s="171"/>
      <c r="CQ72" s="171"/>
      <c r="CR72" s="171"/>
      <c r="CS72" s="171"/>
      <c r="CT72" s="171"/>
      <c r="CU72" s="171"/>
      <c r="CV72" s="171"/>
      <c r="CW72" s="171"/>
      <c r="CX72" s="171"/>
      <c r="CY72" s="171"/>
      <c r="CZ72" s="171"/>
      <c r="DA72" s="171"/>
      <c r="DB72" s="171"/>
      <c r="DC72" s="171"/>
      <c r="DD72" s="171"/>
      <c r="DE72" s="171"/>
      <c r="DF72" s="171"/>
      <c r="DG72" s="171"/>
      <c r="DH72" s="171"/>
      <c r="DI72" s="171"/>
      <c r="DJ72" s="171"/>
      <c r="DK72" s="171"/>
      <c r="DL72" s="171"/>
      <c r="DM72" s="171"/>
      <c r="DN72" s="171"/>
      <c r="DO72" s="171"/>
      <c r="DP72" s="171"/>
      <c r="DQ72" s="171"/>
      <c r="DR72" s="171"/>
      <c r="DS72" s="171"/>
      <c r="DT72" s="171"/>
      <c r="DU72" s="171"/>
      <c r="DV72" s="171"/>
      <c r="DW72" s="171"/>
      <c r="DX72" s="171"/>
      <c r="DY72" s="171"/>
      <c r="DZ72" s="171"/>
      <c r="EA72" s="171"/>
      <c r="EB72" s="171"/>
      <c r="EC72" s="171"/>
      <c r="ED72" s="171"/>
      <c r="EE72" s="171"/>
      <c r="EF72" s="171"/>
      <c r="EG72" s="171"/>
      <c r="EH72" s="171"/>
      <c r="EI72" s="171"/>
      <c r="EJ72" s="171"/>
      <c r="EK72" s="171"/>
      <c r="EL72" s="171"/>
      <c r="EM72" s="171"/>
      <c r="EN72" s="171"/>
      <c r="EO72" s="171"/>
      <c r="EP72" s="171"/>
      <c r="EQ72" s="171"/>
      <c r="ER72" s="171"/>
      <c r="ES72" s="171"/>
      <c r="ET72" s="171"/>
      <c r="EU72" s="171"/>
      <c r="EV72" s="171"/>
      <c r="EW72" s="171"/>
      <c r="EX72" s="171"/>
      <c r="FC72" s="42"/>
      <c r="FD72" s="160"/>
      <c r="FE72" s="160"/>
      <c r="FF72" s="160"/>
      <c r="FG72" s="160"/>
      <c r="FH72" s="160"/>
      <c r="FI72" s="160"/>
      <c r="FJ72" s="160"/>
      <c r="FK72" s="160"/>
      <c r="FL72" s="160"/>
      <c r="FM72" s="160"/>
      <c r="FN72" s="160"/>
      <c r="FO72" s="160"/>
      <c r="FP72" s="160"/>
      <c r="FQ72" s="160"/>
      <c r="FR72" s="160"/>
      <c r="FS72" s="160"/>
      <c r="FT72" s="160"/>
      <c r="FU72" s="160"/>
      <c r="FV72" s="160"/>
      <c r="FW72" s="160"/>
      <c r="FX72" s="160"/>
      <c r="FY72" s="160"/>
      <c r="FZ72" s="160"/>
      <c r="GA72" s="160"/>
      <c r="GB72" s="160"/>
      <c r="GC72" s="160"/>
      <c r="GD72" s="160"/>
      <c r="GE72" s="69"/>
      <c r="IO72" s="171"/>
      <c r="IP72" s="171"/>
      <c r="IQ72" s="171"/>
      <c r="IR72" s="171"/>
      <c r="IS72" s="171"/>
      <c r="IT72" s="171"/>
      <c r="IU72" s="171"/>
      <c r="IV72" s="171"/>
      <c r="IW72" s="171"/>
      <c r="IX72" s="171"/>
      <c r="IY72" s="171"/>
      <c r="IZ72" s="171"/>
      <c r="JA72" s="171"/>
      <c r="JB72" s="171"/>
      <c r="JC72" s="171"/>
      <c r="JD72" s="171"/>
      <c r="JE72" s="171"/>
      <c r="JF72" s="171"/>
      <c r="JG72" s="171"/>
      <c r="JH72" s="171"/>
      <c r="JI72" s="171"/>
      <c r="JJ72" s="171"/>
      <c r="JK72" s="171"/>
      <c r="JL72" s="171"/>
      <c r="JM72" s="171"/>
      <c r="JN72" s="171"/>
    </row>
    <row r="73" spans="1:274" x14ac:dyDescent="0.25">
      <c r="A73" s="172"/>
      <c r="E73" s="173"/>
      <c r="G73" s="170"/>
      <c r="H73" s="170"/>
      <c r="I73" s="170"/>
      <c r="J73" s="170"/>
      <c r="K73" s="170"/>
      <c r="L73" s="170"/>
      <c r="M73" s="170"/>
      <c r="N73" s="170"/>
      <c r="O73" s="170"/>
      <c r="P73" s="170"/>
      <c r="Q73" s="171"/>
      <c r="R73" s="170"/>
      <c r="S73" s="170"/>
      <c r="T73" s="170"/>
      <c r="U73" s="170"/>
      <c r="V73" s="170"/>
      <c r="W73" s="170"/>
      <c r="X73" s="170"/>
      <c r="Y73" s="170"/>
      <c r="Z73" s="170"/>
      <c r="AA73" s="170"/>
      <c r="AB73" s="170"/>
      <c r="AC73" s="170"/>
      <c r="AD73" s="170"/>
      <c r="AE73" s="170"/>
      <c r="AF73" s="170"/>
      <c r="AG73" s="170"/>
      <c r="AH73" s="171"/>
      <c r="AI73" s="171"/>
      <c r="AJ73" s="171"/>
      <c r="AK73" s="171"/>
      <c r="AL73" s="171"/>
      <c r="AM73" s="171"/>
      <c r="BU73" s="171"/>
      <c r="BV73" s="171"/>
      <c r="BW73" s="171"/>
      <c r="BX73" s="171"/>
      <c r="BY73" s="171"/>
      <c r="BZ73" s="171"/>
      <c r="CA73" s="171"/>
      <c r="CB73" s="171"/>
      <c r="CC73" s="171"/>
      <c r="CD73" s="171"/>
      <c r="CE73" s="171"/>
      <c r="CF73" s="171"/>
      <c r="CG73" s="171"/>
      <c r="CH73" s="171"/>
      <c r="CI73" s="171"/>
      <c r="CJ73" s="171"/>
      <c r="CK73" s="171"/>
      <c r="CL73" s="171"/>
      <c r="CM73" s="171"/>
      <c r="CN73" s="171"/>
      <c r="CO73" s="171"/>
      <c r="CP73" s="171"/>
      <c r="CQ73" s="171"/>
      <c r="CR73" s="171"/>
      <c r="CS73" s="171"/>
      <c r="CT73" s="171"/>
      <c r="CU73" s="171"/>
      <c r="CV73" s="171"/>
      <c r="CW73" s="171"/>
      <c r="CX73" s="171"/>
      <c r="CY73" s="171"/>
      <c r="CZ73" s="171"/>
      <c r="DA73" s="171"/>
      <c r="DB73" s="171"/>
      <c r="DC73" s="171"/>
      <c r="DD73" s="171"/>
      <c r="DE73" s="171"/>
      <c r="DF73" s="171"/>
      <c r="DG73" s="171"/>
      <c r="DH73" s="171"/>
      <c r="DI73" s="171"/>
      <c r="DJ73" s="171"/>
      <c r="DK73" s="171"/>
      <c r="DL73" s="171"/>
      <c r="DM73" s="171"/>
      <c r="DN73" s="171"/>
      <c r="DO73" s="171"/>
      <c r="DP73" s="171"/>
      <c r="DQ73" s="171"/>
      <c r="DR73" s="171"/>
      <c r="DS73" s="171"/>
      <c r="DT73" s="171"/>
      <c r="DU73" s="171"/>
      <c r="DV73" s="171"/>
      <c r="DW73" s="171"/>
      <c r="DX73" s="171"/>
      <c r="DY73" s="171"/>
      <c r="DZ73" s="171"/>
      <c r="EA73" s="171"/>
      <c r="EB73" s="171"/>
      <c r="EC73" s="171"/>
      <c r="ED73" s="171"/>
      <c r="EE73" s="171"/>
      <c r="EF73" s="171"/>
      <c r="EG73" s="171"/>
      <c r="EH73" s="171"/>
      <c r="EI73" s="171"/>
      <c r="EJ73" s="171"/>
      <c r="EK73" s="171"/>
      <c r="EL73" s="171"/>
      <c r="EM73" s="171"/>
      <c r="EN73" s="171"/>
      <c r="EO73" s="171"/>
      <c r="EP73" s="171"/>
      <c r="EQ73" s="171"/>
      <c r="ER73" s="171"/>
      <c r="ES73" s="171"/>
      <c r="ET73" s="171"/>
      <c r="EU73" s="171"/>
      <c r="EV73" s="171"/>
      <c r="EW73" s="171"/>
      <c r="EX73" s="171"/>
      <c r="FC73" s="42"/>
      <c r="FD73" s="160"/>
      <c r="FE73" s="160"/>
      <c r="FF73" s="160"/>
      <c r="FG73" s="160"/>
      <c r="FH73" s="160"/>
      <c r="FI73" s="160"/>
      <c r="FJ73" s="160"/>
      <c r="FK73" s="160"/>
      <c r="FL73" s="160"/>
      <c r="FM73" s="160"/>
      <c r="FN73" s="160"/>
      <c r="FO73" s="160"/>
      <c r="FP73" s="160"/>
      <c r="FQ73" s="160"/>
      <c r="FR73" s="160"/>
      <c r="FS73" s="160"/>
      <c r="FT73" s="160"/>
      <c r="FU73" s="160"/>
      <c r="FV73" s="160"/>
      <c r="FW73" s="160"/>
      <c r="FX73" s="160"/>
      <c r="FY73" s="160"/>
      <c r="FZ73" s="160"/>
      <c r="GA73" s="160"/>
      <c r="GB73" s="160"/>
      <c r="GC73" s="160"/>
      <c r="GD73" s="160"/>
      <c r="GE73" s="69"/>
      <c r="IO73" s="171"/>
      <c r="IP73" s="171"/>
      <c r="IQ73" s="171"/>
      <c r="IR73" s="171"/>
      <c r="IS73" s="171"/>
      <c r="IT73" s="171"/>
      <c r="IU73" s="171"/>
      <c r="IV73" s="171"/>
      <c r="IW73" s="171"/>
      <c r="IX73" s="171"/>
      <c r="IY73" s="171"/>
      <c r="IZ73" s="171"/>
      <c r="JA73" s="171"/>
      <c r="JB73" s="171"/>
      <c r="JC73" s="171"/>
      <c r="JD73" s="171"/>
      <c r="JE73" s="171"/>
      <c r="JF73" s="171"/>
      <c r="JG73" s="171"/>
      <c r="JH73" s="171"/>
      <c r="JI73" s="171"/>
      <c r="JJ73" s="171"/>
      <c r="JK73" s="171"/>
      <c r="JL73" s="171"/>
      <c r="JM73" s="171"/>
      <c r="JN73" s="171"/>
    </row>
    <row r="74" spans="1:274" x14ac:dyDescent="0.25">
      <c r="A74" s="172"/>
      <c r="E74" s="173"/>
      <c r="G74" s="170"/>
      <c r="H74" s="170"/>
      <c r="I74" s="170"/>
      <c r="J74" s="170"/>
      <c r="K74" s="170"/>
      <c r="L74" s="170"/>
      <c r="M74" s="170"/>
      <c r="N74" s="170"/>
      <c r="O74" s="170"/>
      <c r="P74" s="170"/>
      <c r="Q74" s="171"/>
      <c r="R74" s="170"/>
      <c r="S74" s="170"/>
      <c r="T74" s="170"/>
      <c r="U74" s="170"/>
      <c r="V74" s="170"/>
      <c r="W74" s="170"/>
      <c r="X74" s="170"/>
      <c r="Y74" s="170"/>
      <c r="Z74" s="170"/>
      <c r="AA74" s="170"/>
      <c r="AB74" s="170"/>
      <c r="AC74" s="170"/>
      <c r="AD74" s="170"/>
      <c r="AE74" s="170"/>
      <c r="AF74" s="170"/>
      <c r="AG74" s="170"/>
      <c r="AH74" s="171"/>
      <c r="AI74" s="171"/>
      <c r="AJ74" s="171"/>
      <c r="AK74" s="171"/>
      <c r="AL74" s="171"/>
      <c r="AM74" s="171"/>
      <c r="BU74" s="171"/>
      <c r="BV74" s="171"/>
      <c r="BW74" s="171"/>
      <c r="BX74" s="171"/>
      <c r="BY74" s="171"/>
      <c r="BZ74" s="171"/>
      <c r="CA74" s="171"/>
      <c r="CB74" s="171"/>
      <c r="CC74" s="171"/>
      <c r="CD74" s="171"/>
      <c r="CE74" s="171"/>
      <c r="CF74" s="171"/>
      <c r="CG74" s="171"/>
      <c r="CH74" s="171"/>
      <c r="CI74" s="171"/>
      <c r="CJ74" s="171"/>
      <c r="CK74" s="171"/>
      <c r="CL74" s="171"/>
      <c r="CM74" s="171"/>
      <c r="CN74" s="171"/>
      <c r="CO74" s="171"/>
      <c r="CP74" s="171"/>
      <c r="CQ74" s="171"/>
      <c r="CR74" s="171"/>
      <c r="CS74" s="171"/>
      <c r="CT74" s="171"/>
      <c r="CU74" s="171"/>
      <c r="CV74" s="171"/>
      <c r="CW74" s="171"/>
      <c r="CX74" s="171"/>
      <c r="CY74" s="171"/>
      <c r="CZ74" s="171"/>
      <c r="DA74" s="171"/>
      <c r="DB74" s="171"/>
      <c r="DC74" s="171"/>
      <c r="DD74" s="171"/>
      <c r="DE74" s="171"/>
      <c r="DF74" s="171"/>
      <c r="DG74" s="171"/>
      <c r="DH74" s="171"/>
      <c r="DI74" s="171"/>
      <c r="DJ74" s="171"/>
      <c r="DK74" s="171"/>
      <c r="DL74" s="171"/>
      <c r="DM74" s="171"/>
      <c r="DN74" s="171"/>
      <c r="DO74" s="171"/>
      <c r="DP74" s="171"/>
      <c r="DQ74" s="171"/>
      <c r="DR74" s="171"/>
      <c r="DS74" s="171"/>
      <c r="DT74" s="171"/>
      <c r="DU74" s="171"/>
      <c r="DV74" s="171"/>
      <c r="DW74" s="171"/>
      <c r="DX74" s="171"/>
      <c r="DY74" s="171"/>
      <c r="DZ74" s="171"/>
      <c r="EA74" s="171"/>
      <c r="EB74" s="171"/>
      <c r="EC74" s="171"/>
      <c r="ED74" s="171"/>
      <c r="EE74" s="171"/>
      <c r="EF74" s="171"/>
      <c r="EG74" s="171"/>
      <c r="EH74" s="171"/>
      <c r="EI74" s="171"/>
      <c r="EJ74" s="171"/>
      <c r="EK74" s="171"/>
      <c r="EL74" s="171"/>
      <c r="EM74" s="171"/>
      <c r="EN74" s="171"/>
      <c r="EO74" s="171"/>
      <c r="EP74" s="171"/>
      <c r="EQ74" s="171"/>
      <c r="ER74" s="171"/>
      <c r="ES74" s="171"/>
      <c r="ET74" s="171"/>
      <c r="EU74" s="171"/>
      <c r="EV74" s="171"/>
      <c r="EW74" s="171"/>
      <c r="EX74" s="171"/>
      <c r="FC74" s="42"/>
      <c r="FD74" s="160"/>
      <c r="FE74" s="160"/>
      <c r="FF74" s="160"/>
      <c r="FG74" s="160"/>
      <c r="FH74" s="160"/>
      <c r="FI74" s="160"/>
      <c r="FJ74" s="160"/>
      <c r="FK74" s="160"/>
      <c r="FL74" s="160"/>
      <c r="FM74" s="160"/>
      <c r="FN74" s="160"/>
      <c r="FO74" s="160"/>
      <c r="FP74" s="160"/>
      <c r="FQ74" s="160"/>
      <c r="FR74" s="160"/>
      <c r="FS74" s="160"/>
      <c r="FT74" s="160"/>
      <c r="FU74" s="160"/>
      <c r="FV74" s="160"/>
      <c r="FW74" s="160"/>
      <c r="FX74" s="160"/>
      <c r="FY74" s="160"/>
      <c r="FZ74" s="160"/>
      <c r="GA74" s="160"/>
      <c r="GB74" s="160"/>
      <c r="GC74" s="160"/>
      <c r="GD74" s="160"/>
      <c r="GE74" s="69"/>
      <c r="IO74" s="171"/>
      <c r="IP74" s="171"/>
      <c r="IQ74" s="171"/>
      <c r="IR74" s="171"/>
      <c r="IS74" s="171"/>
      <c r="IT74" s="171"/>
      <c r="IU74" s="171"/>
      <c r="IV74" s="171"/>
      <c r="IW74" s="171"/>
      <c r="IX74" s="171"/>
      <c r="IY74" s="171"/>
      <c r="IZ74" s="171"/>
      <c r="JA74" s="171"/>
      <c r="JB74" s="171"/>
      <c r="JC74" s="171"/>
      <c r="JD74" s="171"/>
      <c r="JE74" s="171"/>
      <c r="JF74" s="171"/>
      <c r="JG74" s="171"/>
      <c r="JH74" s="171"/>
      <c r="JI74" s="171"/>
      <c r="JJ74" s="171"/>
      <c r="JK74" s="171"/>
      <c r="JL74" s="171"/>
      <c r="JM74" s="171"/>
      <c r="JN74" s="171"/>
    </row>
    <row r="75" spans="1:274" s="69" customFormat="1" x14ac:dyDescent="0.25">
      <c r="A75" s="172"/>
      <c r="E75" s="173"/>
      <c r="G75" s="170"/>
      <c r="H75" s="170"/>
      <c r="I75" s="170"/>
      <c r="J75" s="170"/>
      <c r="K75" s="170"/>
      <c r="L75" s="170"/>
      <c r="M75" s="170"/>
      <c r="N75" s="170"/>
      <c r="O75" s="170"/>
      <c r="P75" s="170"/>
      <c r="Q75" s="171"/>
      <c r="R75" s="170"/>
      <c r="S75" s="170"/>
      <c r="T75" s="170"/>
      <c r="U75" s="170"/>
      <c r="V75" s="170"/>
      <c r="W75" s="170"/>
      <c r="X75" s="170"/>
      <c r="Y75" s="170"/>
      <c r="Z75" s="170"/>
      <c r="AA75" s="170"/>
      <c r="AB75" s="170"/>
      <c r="AC75" s="170"/>
      <c r="AD75" s="170"/>
      <c r="AE75" s="170"/>
      <c r="AF75" s="170"/>
      <c r="AG75" s="170"/>
      <c r="AH75" s="171"/>
      <c r="AI75" s="171"/>
      <c r="AJ75" s="171"/>
      <c r="AK75" s="171"/>
      <c r="AL75" s="171"/>
      <c r="AM75" s="171"/>
      <c r="BU75" s="171"/>
      <c r="BV75" s="171"/>
      <c r="BW75" s="171"/>
      <c r="BX75" s="171"/>
      <c r="BY75" s="171"/>
      <c r="BZ75" s="171"/>
      <c r="CA75" s="171"/>
      <c r="CB75" s="171"/>
      <c r="CC75" s="171"/>
      <c r="CD75" s="171"/>
      <c r="CE75" s="171"/>
      <c r="CF75" s="171"/>
      <c r="CG75" s="171"/>
      <c r="CH75" s="171"/>
      <c r="CI75" s="171"/>
      <c r="CJ75" s="171"/>
      <c r="CK75" s="171"/>
      <c r="CL75" s="171"/>
      <c r="CM75" s="171"/>
      <c r="CN75" s="171"/>
      <c r="CO75" s="171"/>
      <c r="CP75" s="171"/>
      <c r="CQ75" s="171"/>
      <c r="CR75" s="171"/>
      <c r="CS75" s="171"/>
      <c r="CT75" s="171"/>
      <c r="CU75" s="171"/>
      <c r="CV75" s="171"/>
      <c r="CW75" s="171"/>
      <c r="CX75" s="171"/>
      <c r="CY75" s="171"/>
      <c r="CZ75" s="171"/>
      <c r="DA75" s="171"/>
      <c r="DB75" s="171"/>
      <c r="DC75" s="171"/>
      <c r="DD75" s="171"/>
      <c r="DE75" s="171"/>
      <c r="DF75" s="171"/>
      <c r="DG75" s="171"/>
      <c r="DH75" s="171"/>
      <c r="DI75" s="171"/>
      <c r="DJ75" s="171"/>
      <c r="DK75" s="171"/>
      <c r="DL75" s="171"/>
      <c r="DM75" s="171"/>
      <c r="DN75" s="171"/>
      <c r="DO75" s="171"/>
      <c r="DP75" s="171"/>
      <c r="DQ75" s="171"/>
      <c r="DR75" s="171"/>
      <c r="DS75" s="171"/>
      <c r="DT75" s="171"/>
      <c r="DU75" s="171"/>
      <c r="DV75" s="171"/>
      <c r="DW75" s="171"/>
      <c r="DX75" s="171"/>
      <c r="DY75" s="171"/>
      <c r="DZ75" s="171"/>
      <c r="EA75" s="171"/>
      <c r="EB75" s="171"/>
      <c r="EC75" s="171"/>
      <c r="ED75" s="171"/>
      <c r="EE75" s="171"/>
      <c r="EF75" s="171"/>
      <c r="EG75" s="171"/>
      <c r="EH75" s="171"/>
      <c r="EI75" s="171"/>
      <c r="EJ75" s="171"/>
      <c r="EK75" s="171"/>
      <c r="EL75" s="171"/>
      <c r="EM75" s="171"/>
      <c r="EN75" s="171"/>
      <c r="EO75" s="171"/>
      <c r="EP75" s="171"/>
      <c r="EQ75" s="171"/>
      <c r="ER75" s="171"/>
      <c r="ES75" s="171"/>
      <c r="ET75" s="171"/>
      <c r="EU75" s="171"/>
      <c r="EV75" s="171"/>
      <c r="EW75" s="171"/>
      <c r="EX75" s="171"/>
      <c r="FC75" s="42"/>
      <c r="FD75" s="160"/>
      <c r="FE75" s="160"/>
      <c r="FF75" s="160"/>
      <c r="FG75" s="160"/>
      <c r="FH75" s="160"/>
      <c r="FI75" s="160"/>
      <c r="FJ75" s="160"/>
      <c r="FK75" s="160"/>
      <c r="FL75" s="160"/>
      <c r="FM75" s="160"/>
      <c r="FN75" s="160"/>
      <c r="FO75" s="160"/>
      <c r="FP75" s="160"/>
      <c r="FQ75" s="160"/>
      <c r="FR75" s="160"/>
      <c r="FS75" s="160"/>
      <c r="FT75" s="160"/>
      <c r="FU75" s="160"/>
      <c r="FV75" s="160"/>
      <c r="FW75" s="160"/>
      <c r="FX75" s="160"/>
      <c r="FY75" s="160"/>
      <c r="FZ75" s="160"/>
      <c r="GA75" s="160"/>
      <c r="GB75" s="160"/>
      <c r="GC75" s="160"/>
      <c r="GD75" s="160"/>
      <c r="IO75" s="171"/>
      <c r="IP75" s="171"/>
      <c r="IQ75" s="171"/>
      <c r="IR75" s="171"/>
      <c r="IS75" s="171"/>
      <c r="IT75" s="171"/>
      <c r="IU75" s="171"/>
      <c r="IV75" s="171"/>
      <c r="IW75" s="171"/>
      <c r="IX75" s="171"/>
      <c r="IY75" s="171"/>
      <c r="IZ75" s="171"/>
      <c r="JA75" s="171"/>
      <c r="JB75" s="171"/>
      <c r="JC75" s="171"/>
      <c r="JD75" s="171"/>
      <c r="JE75" s="171"/>
      <c r="JF75" s="171"/>
      <c r="JG75" s="171"/>
      <c r="JH75" s="171"/>
      <c r="JI75" s="171"/>
      <c r="JJ75" s="171"/>
      <c r="JK75" s="171"/>
      <c r="JL75" s="171"/>
      <c r="JM75" s="171"/>
      <c r="JN75" s="171"/>
    </row>
    <row r="76" spans="1:274" x14ac:dyDescent="0.25">
      <c r="A76" s="172"/>
      <c r="E76" s="173"/>
      <c r="G76" s="170"/>
      <c r="H76" s="170"/>
      <c r="I76" s="170"/>
      <c r="J76" s="170"/>
      <c r="K76" s="170"/>
      <c r="L76" s="170"/>
      <c r="M76" s="170"/>
      <c r="N76" s="170"/>
      <c r="O76" s="170"/>
      <c r="P76" s="170"/>
      <c r="Q76" s="171"/>
      <c r="R76" s="170"/>
      <c r="S76" s="170"/>
      <c r="T76" s="170"/>
      <c r="U76" s="170"/>
      <c r="V76" s="170"/>
      <c r="W76" s="170"/>
      <c r="X76" s="170"/>
      <c r="Y76" s="170"/>
      <c r="Z76" s="170"/>
      <c r="AA76" s="170"/>
      <c r="AB76" s="170"/>
      <c r="AC76" s="170"/>
      <c r="AD76" s="170"/>
      <c r="AE76" s="170"/>
      <c r="AF76" s="170"/>
      <c r="AG76" s="170"/>
      <c r="AH76" s="171"/>
      <c r="AI76" s="171"/>
      <c r="AJ76" s="171"/>
      <c r="AK76" s="171"/>
      <c r="AL76" s="171"/>
      <c r="AM76" s="171"/>
      <c r="AN76" s="69"/>
      <c r="AO76" s="69"/>
      <c r="AP76" s="69"/>
      <c r="AQ76" s="69"/>
      <c r="AR76" s="69"/>
      <c r="AS76" s="69"/>
      <c r="AT76" s="69"/>
      <c r="AU76" s="69"/>
      <c r="AV76" s="69"/>
      <c r="AW76" s="69"/>
      <c r="BU76" s="171"/>
      <c r="BV76" s="171"/>
      <c r="BW76" s="171"/>
      <c r="BX76" s="171"/>
      <c r="BY76" s="171"/>
      <c r="BZ76" s="171"/>
      <c r="CA76" s="171"/>
      <c r="CB76" s="171"/>
      <c r="CC76" s="171"/>
      <c r="CD76" s="171"/>
      <c r="CE76" s="171"/>
      <c r="CF76" s="171"/>
      <c r="CG76" s="171"/>
      <c r="CH76" s="171"/>
      <c r="CI76" s="171"/>
      <c r="CJ76" s="171"/>
      <c r="CK76" s="171"/>
      <c r="CL76" s="171"/>
      <c r="CM76" s="171"/>
      <c r="CN76" s="171"/>
      <c r="CO76" s="171"/>
      <c r="CP76" s="171"/>
      <c r="CQ76" s="171"/>
      <c r="CR76" s="171"/>
      <c r="CS76" s="171"/>
      <c r="CT76" s="171"/>
      <c r="CU76" s="171"/>
      <c r="CV76" s="171"/>
      <c r="CW76" s="171"/>
      <c r="CX76" s="171"/>
      <c r="CY76" s="171"/>
      <c r="CZ76" s="171"/>
      <c r="DA76" s="171"/>
      <c r="DB76" s="171"/>
      <c r="DC76" s="171"/>
      <c r="DD76" s="171"/>
      <c r="DE76" s="171"/>
      <c r="DF76" s="171"/>
      <c r="DG76" s="171"/>
      <c r="DH76" s="171"/>
      <c r="DI76" s="171"/>
      <c r="DJ76" s="171"/>
      <c r="DK76" s="171"/>
      <c r="DL76" s="171"/>
      <c r="DM76" s="171"/>
      <c r="DN76" s="171"/>
      <c r="DO76" s="171"/>
      <c r="DP76" s="171"/>
      <c r="DQ76" s="171"/>
      <c r="DR76" s="171"/>
      <c r="DS76" s="171"/>
      <c r="DT76" s="171"/>
      <c r="DU76" s="171"/>
      <c r="DV76" s="171"/>
      <c r="DW76" s="171"/>
      <c r="DX76" s="171"/>
      <c r="DY76" s="171"/>
      <c r="DZ76" s="171"/>
      <c r="EA76" s="171"/>
      <c r="EB76" s="171"/>
      <c r="EC76" s="171"/>
      <c r="ED76" s="171"/>
      <c r="EE76" s="171"/>
      <c r="EF76" s="171"/>
      <c r="EG76" s="171"/>
      <c r="EH76" s="171"/>
      <c r="EI76" s="171"/>
      <c r="EJ76" s="171"/>
      <c r="EK76" s="171"/>
      <c r="EL76" s="171"/>
      <c r="EM76" s="171"/>
      <c r="EN76" s="171"/>
      <c r="EO76" s="171"/>
      <c r="EP76" s="171"/>
      <c r="EQ76" s="171"/>
      <c r="ER76" s="171"/>
      <c r="ES76" s="171"/>
      <c r="ET76" s="171"/>
      <c r="EU76" s="171"/>
      <c r="EV76" s="171"/>
      <c r="EW76" s="171"/>
      <c r="EX76" s="171"/>
      <c r="FC76" s="42"/>
      <c r="FD76" s="160"/>
      <c r="FE76" s="160"/>
      <c r="FF76" s="160"/>
      <c r="FG76" s="160"/>
      <c r="FH76" s="160"/>
      <c r="FI76" s="160"/>
      <c r="FJ76" s="160"/>
      <c r="FK76" s="160"/>
      <c r="FL76" s="160"/>
      <c r="FM76" s="160"/>
      <c r="FN76" s="160"/>
      <c r="FO76" s="160"/>
      <c r="FP76" s="160"/>
      <c r="FQ76" s="160"/>
      <c r="FR76" s="160"/>
      <c r="FS76" s="160"/>
      <c r="FT76" s="160"/>
      <c r="FU76" s="160"/>
      <c r="FV76" s="160"/>
      <c r="FW76" s="160"/>
      <c r="FX76" s="160"/>
      <c r="FY76" s="160"/>
      <c r="FZ76" s="160"/>
      <c r="GA76" s="160"/>
      <c r="GB76" s="160"/>
      <c r="GC76" s="160"/>
      <c r="GD76" s="160"/>
      <c r="GE76" s="69"/>
      <c r="IO76" s="171"/>
      <c r="IP76" s="171"/>
      <c r="IQ76" s="171"/>
      <c r="IR76" s="171"/>
      <c r="IS76" s="171"/>
      <c r="IT76" s="171"/>
      <c r="IU76" s="171"/>
      <c r="IV76" s="171"/>
      <c r="IW76" s="171"/>
      <c r="IX76" s="171"/>
      <c r="IY76" s="171"/>
      <c r="IZ76" s="171"/>
      <c r="JA76" s="171"/>
      <c r="JB76" s="171"/>
      <c r="JC76" s="171"/>
      <c r="JD76" s="171"/>
      <c r="JE76" s="171"/>
      <c r="JF76" s="171"/>
      <c r="JG76" s="171"/>
      <c r="JH76" s="171"/>
      <c r="JI76" s="171"/>
      <c r="JJ76" s="171"/>
      <c r="JK76" s="171"/>
      <c r="JL76" s="171"/>
      <c r="JM76" s="171"/>
      <c r="JN76" s="171"/>
    </row>
    <row r="77" spans="1:274" x14ac:dyDescent="0.25">
      <c r="A77" s="172"/>
      <c r="E77" s="173"/>
      <c r="G77" s="170"/>
      <c r="H77" s="170"/>
      <c r="I77" s="170"/>
      <c r="J77" s="170"/>
      <c r="K77" s="170"/>
      <c r="L77" s="170"/>
      <c r="M77" s="170"/>
      <c r="N77" s="170"/>
      <c r="O77" s="170"/>
      <c r="P77" s="170"/>
      <c r="Q77" s="171"/>
      <c r="R77" s="170"/>
      <c r="S77" s="170"/>
      <c r="T77" s="170"/>
      <c r="U77" s="170"/>
      <c r="V77" s="170"/>
      <c r="W77" s="170"/>
      <c r="X77" s="170"/>
      <c r="Y77" s="170"/>
      <c r="Z77" s="170"/>
      <c r="AA77" s="170"/>
      <c r="AB77" s="170"/>
      <c r="AC77" s="170"/>
      <c r="AD77" s="170"/>
      <c r="AE77" s="170"/>
      <c r="AF77" s="170"/>
      <c r="AG77" s="170"/>
      <c r="AH77" s="171"/>
      <c r="AI77" s="171"/>
      <c r="AJ77" s="171"/>
      <c r="AK77" s="171"/>
      <c r="AL77" s="171"/>
      <c r="AM77" s="171"/>
      <c r="BU77" s="171"/>
      <c r="BV77" s="171"/>
      <c r="BW77" s="171"/>
      <c r="BX77" s="171"/>
      <c r="BY77" s="171"/>
      <c r="BZ77" s="171"/>
      <c r="CA77" s="171"/>
      <c r="CB77" s="171"/>
      <c r="CC77" s="171"/>
      <c r="CD77" s="171"/>
      <c r="CE77" s="171"/>
      <c r="CF77" s="171"/>
      <c r="CG77" s="171"/>
      <c r="CH77" s="171"/>
      <c r="CI77" s="171"/>
      <c r="CJ77" s="171"/>
      <c r="CK77" s="171"/>
      <c r="CL77" s="171"/>
      <c r="CM77" s="171"/>
      <c r="CN77" s="171"/>
      <c r="CO77" s="171"/>
      <c r="CP77" s="171"/>
      <c r="CQ77" s="171"/>
      <c r="CR77" s="171"/>
      <c r="CS77" s="171"/>
      <c r="CT77" s="171"/>
      <c r="CU77" s="171"/>
      <c r="CV77" s="171"/>
      <c r="CW77" s="171"/>
      <c r="CX77" s="171"/>
      <c r="CY77" s="171"/>
      <c r="CZ77" s="171"/>
      <c r="DA77" s="171"/>
      <c r="DB77" s="171"/>
      <c r="DC77" s="171"/>
      <c r="DD77" s="171"/>
      <c r="DE77" s="171"/>
      <c r="DF77" s="171"/>
      <c r="DG77" s="171"/>
      <c r="DH77" s="171"/>
      <c r="DI77" s="171"/>
      <c r="DJ77" s="171"/>
      <c r="DK77" s="171"/>
      <c r="DL77" s="171"/>
      <c r="DM77" s="171"/>
      <c r="DN77" s="171"/>
      <c r="DO77" s="171"/>
      <c r="DP77" s="171"/>
      <c r="DQ77" s="171"/>
      <c r="DR77" s="171"/>
      <c r="DS77" s="171"/>
      <c r="DT77" s="171"/>
      <c r="DU77" s="171"/>
      <c r="DV77" s="171"/>
      <c r="DW77" s="171"/>
      <c r="DX77" s="171"/>
      <c r="DY77" s="171"/>
      <c r="DZ77" s="171"/>
      <c r="EA77" s="171"/>
      <c r="EB77" s="171"/>
      <c r="EC77" s="171"/>
      <c r="ED77" s="171"/>
      <c r="EE77" s="171"/>
      <c r="EF77" s="171"/>
      <c r="EG77" s="171"/>
      <c r="EH77" s="171"/>
      <c r="EI77" s="171"/>
      <c r="EJ77" s="171"/>
      <c r="EK77" s="171"/>
      <c r="EL77" s="171"/>
      <c r="EM77" s="171"/>
      <c r="EN77" s="171"/>
      <c r="EO77" s="171"/>
      <c r="EP77" s="171"/>
      <c r="EQ77" s="171"/>
      <c r="ER77" s="171"/>
      <c r="ES77" s="171"/>
      <c r="ET77" s="171"/>
      <c r="EU77" s="171"/>
      <c r="EV77" s="171"/>
      <c r="EW77" s="171"/>
      <c r="EX77" s="171"/>
      <c r="FC77" s="42"/>
      <c r="FD77" s="160"/>
      <c r="FE77" s="160"/>
      <c r="FF77" s="160"/>
      <c r="FG77" s="160"/>
      <c r="FH77" s="160"/>
      <c r="FI77" s="160"/>
      <c r="FJ77" s="160"/>
      <c r="FK77" s="160"/>
      <c r="FL77" s="160"/>
      <c r="FM77" s="160"/>
      <c r="FN77" s="160"/>
      <c r="FO77" s="160"/>
      <c r="FP77" s="160"/>
      <c r="FQ77" s="160"/>
      <c r="FR77" s="160"/>
      <c r="FS77" s="160"/>
      <c r="FT77" s="160"/>
      <c r="FU77" s="160"/>
      <c r="FV77" s="160"/>
      <c r="FW77" s="160"/>
      <c r="FX77" s="160"/>
      <c r="FY77" s="160"/>
      <c r="FZ77" s="160"/>
      <c r="GA77" s="160"/>
      <c r="GB77" s="160"/>
      <c r="GC77" s="160"/>
      <c r="GD77" s="160"/>
      <c r="GE77" s="69"/>
      <c r="IO77" s="171"/>
      <c r="IP77" s="171"/>
      <c r="IQ77" s="171"/>
      <c r="IR77" s="171"/>
      <c r="IS77" s="171"/>
      <c r="IT77" s="171"/>
      <c r="IU77" s="171"/>
      <c r="IV77" s="171"/>
      <c r="IW77" s="171"/>
      <c r="IX77" s="171"/>
      <c r="IY77" s="171"/>
      <c r="IZ77" s="171"/>
      <c r="JA77" s="171"/>
      <c r="JB77" s="171"/>
      <c r="JC77" s="171"/>
      <c r="JD77" s="171"/>
      <c r="JE77" s="171"/>
      <c r="JF77" s="171"/>
      <c r="JG77" s="171"/>
      <c r="JH77" s="171"/>
      <c r="JI77" s="171"/>
      <c r="JJ77" s="171"/>
      <c r="JK77" s="171"/>
      <c r="JL77" s="171"/>
      <c r="JM77" s="171"/>
      <c r="JN77" s="171"/>
    </row>
    <row r="78" spans="1:274" x14ac:dyDescent="0.25">
      <c r="A78" s="172"/>
      <c r="E78" s="173"/>
      <c r="G78" s="170"/>
      <c r="H78" s="170"/>
      <c r="I78" s="170"/>
      <c r="J78" s="170"/>
      <c r="K78" s="170"/>
      <c r="L78" s="170"/>
      <c r="M78" s="170"/>
      <c r="N78" s="170"/>
      <c r="O78" s="170"/>
      <c r="P78" s="170"/>
      <c r="Q78" s="171"/>
      <c r="R78" s="170"/>
      <c r="S78" s="170"/>
      <c r="T78" s="170"/>
      <c r="U78" s="170"/>
      <c r="V78" s="170"/>
      <c r="W78" s="170"/>
      <c r="X78" s="170"/>
      <c r="Y78" s="170"/>
      <c r="Z78" s="170"/>
      <c r="AA78" s="170"/>
      <c r="AB78" s="170"/>
      <c r="AC78" s="170"/>
      <c r="AD78" s="170"/>
      <c r="AE78" s="170"/>
      <c r="AF78" s="170"/>
      <c r="AG78" s="170"/>
      <c r="AH78" s="171"/>
      <c r="AI78" s="171"/>
      <c r="AJ78" s="171"/>
      <c r="AK78" s="171"/>
      <c r="AL78" s="171"/>
      <c r="AM78" s="171"/>
      <c r="BU78" s="171"/>
      <c r="BV78" s="171"/>
      <c r="BW78" s="171"/>
      <c r="BX78" s="171"/>
      <c r="BY78" s="171"/>
      <c r="BZ78" s="171"/>
      <c r="CA78" s="171"/>
      <c r="CB78" s="171"/>
      <c r="CC78" s="171"/>
      <c r="CD78" s="171"/>
      <c r="CE78" s="171"/>
      <c r="CF78" s="171"/>
      <c r="CG78" s="171"/>
      <c r="CH78" s="171"/>
      <c r="CI78" s="171"/>
      <c r="CJ78" s="171"/>
      <c r="CK78" s="171"/>
      <c r="CL78" s="171"/>
      <c r="CM78" s="171"/>
      <c r="CN78" s="171"/>
      <c r="CO78" s="171"/>
      <c r="CP78" s="171"/>
      <c r="CQ78" s="171"/>
      <c r="CR78" s="171"/>
      <c r="CS78" s="171"/>
      <c r="CT78" s="171"/>
      <c r="CU78" s="171"/>
      <c r="CV78" s="171"/>
      <c r="CW78" s="171"/>
      <c r="CX78" s="171"/>
      <c r="CY78" s="171"/>
      <c r="CZ78" s="171"/>
      <c r="DA78" s="171"/>
      <c r="DB78" s="171"/>
      <c r="DC78" s="171"/>
      <c r="DD78" s="171"/>
      <c r="DE78" s="171"/>
      <c r="DF78" s="171"/>
      <c r="DG78" s="171"/>
      <c r="DH78" s="171"/>
      <c r="DI78" s="171"/>
      <c r="DJ78" s="171"/>
      <c r="DK78" s="171"/>
      <c r="DL78" s="171"/>
      <c r="DM78" s="171"/>
      <c r="DN78" s="171"/>
      <c r="DO78" s="171"/>
      <c r="DP78" s="171"/>
      <c r="DQ78" s="171"/>
      <c r="DR78" s="171"/>
      <c r="DS78" s="171"/>
      <c r="DT78" s="171"/>
      <c r="DU78" s="171"/>
      <c r="DV78" s="171"/>
      <c r="DW78" s="171"/>
      <c r="DX78" s="171"/>
      <c r="DY78" s="171"/>
      <c r="DZ78" s="171"/>
      <c r="EA78" s="171"/>
      <c r="EB78" s="171"/>
      <c r="EC78" s="171"/>
      <c r="ED78" s="171"/>
      <c r="EE78" s="171"/>
      <c r="EF78" s="171"/>
      <c r="EG78" s="171"/>
      <c r="EH78" s="171"/>
      <c r="EI78" s="171"/>
      <c r="EJ78" s="171"/>
      <c r="EK78" s="171"/>
      <c r="EL78" s="171"/>
      <c r="EM78" s="171"/>
      <c r="EN78" s="171"/>
      <c r="EO78" s="171"/>
      <c r="EP78" s="171"/>
      <c r="EQ78" s="171"/>
      <c r="ER78" s="171"/>
      <c r="ES78" s="171"/>
      <c r="ET78" s="171"/>
      <c r="EU78" s="171"/>
      <c r="EV78" s="171"/>
      <c r="EW78" s="171"/>
      <c r="EX78" s="171"/>
      <c r="FC78" s="42"/>
      <c r="FD78" s="160"/>
      <c r="FE78" s="160"/>
      <c r="FF78" s="160"/>
      <c r="FG78" s="160"/>
      <c r="FH78" s="160"/>
      <c r="FI78" s="160"/>
      <c r="FJ78" s="160"/>
      <c r="FK78" s="160"/>
      <c r="FL78" s="160"/>
      <c r="FM78" s="160"/>
      <c r="FN78" s="160"/>
      <c r="FO78" s="160"/>
      <c r="FP78" s="160"/>
      <c r="FQ78" s="160"/>
      <c r="FR78" s="160"/>
      <c r="FS78" s="160"/>
      <c r="FT78" s="160"/>
      <c r="FU78" s="160"/>
      <c r="FV78" s="160"/>
      <c r="FW78" s="160"/>
      <c r="FX78" s="160"/>
      <c r="FY78" s="160"/>
      <c r="FZ78" s="160"/>
      <c r="GA78" s="160"/>
      <c r="GB78" s="160"/>
      <c r="GC78" s="160"/>
      <c r="GD78" s="160"/>
      <c r="GE78" s="69"/>
      <c r="IO78" s="171"/>
      <c r="IP78" s="171"/>
      <c r="IQ78" s="171"/>
      <c r="IR78" s="171"/>
      <c r="IS78" s="171"/>
      <c r="IT78" s="171"/>
      <c r="IU78" s="171"/>
      <c r="IV78" s="171"/>
      <c r="IW78" s="171"/>
      <c r="IX78" s="171"/>
      <c r="IY78" s="171"/>
      <c r="IZ78" s="171"/>
      <c r="JA78" s="171"/>
      <c r="JB78" s="171"/>
      <c r="JC78" s="171"/>
      <c r="JD78" s="171"/>
      <c r="JE78" s="171"/>
      <c r="JF78" s="171"/>
      <c r="JG78" s="171"/>
      <c r="JH78" s="171"/>
      <c r="JI78" s="171"/>
      <c r="JJ78" s="171"/>
      <c r="JK78" s="171"/>
      <c r="JL78" s="171"/>
      <c r="JM78" s="171"/>
      <c r="JN78" s="171"/>
    </row>
    <row r="79" spans="1:274" x14ac:dyDescent="0.25">
      <c r="A79" s="172"/>
      <c r="E79" s="174"/>
      <c r="G79" s="170"/>
      <c r="H79" s="170"/>
      <c r="I79" s="170"/>
      <c r="J79" s="170"/>
      <c r="K79" s="170"/>
      <c r="L79" s="170"/>
      <c r="M79" s="170"/>
      <c r="N79" s="170"/>
      <c r="O79" s="170"/>
      <c r="P79" s="170"/>
      <c r="Q79" s="171"/>
      <c r="R79" s="170"/>
      <c r="S79" s="170"/>
      <c r="T79" s="170"/>
      <c r="U79" s="170"/>
      <c r="V79" s="170"/>
      <c r="W79" s="170"/>
      <c r="X79" s="170"/>
      <c r="Y79" s="170"/>
      <c r="Z79" s="170"/>
      <c r="AA79" s="170"/>
      <c r="AB79" s="170"/>
      <c r="AC79" s="170"/>
      <c r="AD79" s="170"/>
      <c r="AE79" s="170"/>
      <c r="AF79" s="170"/>
      <c r="AG79" s="170"/>
      <c r="AH79" s="171"/>
      <c r="AI79" s="171"/>
      <c r="AJ79" s="171"/>
      <c r="AK79" s="171"/>
      <c r="AL79" s="171"/>
      <c r="AM79" s="171"/>
      <c r="BU79" s="171"/>
      <c r="BV79" s="171"/>
      <c r="BW79" s="171"/>
      <c r="BX79" s="171"/>
      <c r="BY79" s="171"/>
      <c r="BZ79" s="171"/>
      <c r="CA79" s="171"/>
      <c r="CB79" s="171"/>
      <c r="CC79" s="171"/>
      <c r="CD79" s="171"/>
      <c r="CE79" s="171"/>
      <c r="CF79" s="171"/>
      <c r="CG79" s="171"/>
      <c r="CH79" s="171"/>
      <c r="CI79" s="171"/>
      <c r="CJ79" s="171"/>
      <c r="CK79" s="171"/>
      <c r="CL79" s="171"/>
      <c r="CM79" s="171"/>
      <c r="CN79" s="171"/>
      <c r="CO79" s="171"/>
      <c r="CP79" s="171"/>
      <c r="CQ79" s="171"/>
      <c r="CR79" s="171"/>
      <c r="CS79" s="171"/>
      <c r="CT79" s="171"/>
      <c r="CU79" s="171"/>
      <c r="CV79" s="171"/>
      <c r="CW79" s="171"/>
      <c r="CX79" s="171"/>
      <c r="CY79" s="171"/>
      <c r="CZ79" s="171"/>
      <c r="DA79" s="171"/>
      <c r="DB79" s="171"/>
      <c r="DC79" s="171"/>
      <c r="DD79" s="171"/>
      <c r="DE79" s="171"/>
      <c r="DF79" s="171"/>
      <c r="DG79" s="171"/>
      <c r="DH79" s="171"/>
      <c r="DI79" s="171"/>
      <c r="DJ79" s="171"/>
      <c r="DK79" s="171"/>
      <c r="DL79" s="171"/>
      <c r="DM79" s="171"/>
      <c r="DN79" s="171"/>
      <c r="DO79" s="171"/>
      <c r="DP79" s="171"/>
      <c r="DQ79" s="171"/>
      <c r="DR79" s="171"/>
      <c r="DS79" s="171"/>
      <c r="DT79" s="171"/>
      <c r="DU79" s="171"/>
      <c r="DV79" s="171"/>
      <c r="DW79" s="171"/>
      <c r="DX79" s="171"/>
      <c r="DY79" s="171"/>
      <c r="DZ79" s="171"/>
      <c r="EA79" s="171"/>
      <c r="EB79" s="171"/>
      <c r="EC79" s="171"/>
      <c r="ED79" s="171"/>
      <c r="EE79" s="171"/>
      <c r="EF79" s="171"/>
      <c r="EG79" s="171"/>
      <c r="EH79" s="171"/>
      <c r="EI79" s="171"/>
      <c r="EJ79" s="171"/>
      <c r="EK79" s="171"/>
      <c r="EL79" s="171"/>
      <c r="EM79" s="171"/>
      <c r="EN79" s="171"/>
      <c r="EO79" s="171"/>
      <c r="EP79" s="171"/>
      <c r="EQ79" s="171"/>
      <c r="ER79" s="171"/>
      <c r="ES79" s="171"/>
      <c r="ET79" s="171"/>
      <c r="EU79" s="171"/>
      <c r="EV79" s="171"/>
      <c r="EW79" s="171"/>
      <c r="EX79" s="171"/>
      <c r="FC79" s="42"/>
      <c r="FD79" s="160"/>
      <c r="FE79" s="160"/>
      <c r="FF79" s="160"/>
      <c r="FG79" s="160"/>
      <c r="FH79" s="160"/>
      <c r="FI79" s="160"/>
      <c r="FJ79" s="160"/>
      <c r="FK79" s="160"/>
      <c r="FL79" s="160"/>
      <c r="FM79" s="160"/>
      <c r="FN79" s="160"/>
      <c r="FO79" s="160"/>
      <c r="FP79" s="160"/>
      <c r="FQ79" s="160"/>
      <c r="FR79" s="160"/>
      <c r="FS79" s="160"/>
      <c r="FT79" s="160"/>
      <c r="FU79" s="160"/>
      <c r="FV79" s="160"/>
      <c r="FW79" s="160"/>
      <c r="FX79" s="160"/>
      <c r="FY79" s="160"/>
      <c r="FZ79" s="160"/>
      <c r="GA79" s="160"/>
      <c r="GB79" s="160"/>
      <c r="GC79" s="160"/>
      <c r="GD79" s="160"/>
      <c r="GE79" s="69"/>
      <c r="IO79" s="171"/>
      <c r="IP79" s="171"/>
      <c r="IQ79" s="171"/>
      <c r="IR79" s="171"/>
      <c r="IS79" s="171"/>
      <c r="IT79" s="171"/>
      <c r="IU79" s="171"/>
      <c r="IV79" s="171"/>
      <c r="IW79" s="171"/>
      <c r="IX79" s="171"/>
      <c r="IY79" s="171"/>
      <c r="IZ79" s="171"/>
      <c r="JA79" s="171"/>
      <c r="JB79" s="171"/>
      <c r="JC79" s="171"/>
      <c r="JD79" s="171"/>
      <c r="JE79" s="171"/>
      <c r="JF79" s="171"/>
      <c r="JG79" s="171"/>
      <c r="JH79" s="171"/>
      <c r="JI79" s="171"/>
      <c r="JJ79" s="171"/>
      <c r="JK79" s="171"/>
      <c r="JL79" s="171"/>
      <c r="JM79" s="171"/>
      <c r="JN79" s="171"/>
    </row>
    <row r="80" spans="1:274" x14ac:dyDescent="0.25">
      <c r="A80" s="172"/>
      <c r="E80" s="173"/>
      <c r="G80" s="170"/>
      <c r="H80" s="170"/>
      <c r="I80" s="170"/>
      <c r="J80" s="170"/>
      <c r="K80" s="170"/>
      <c r="L80" s="170"/>
      <c r="M80" s="170"/>
      <c r="N80" s="170"/>
      <c r="O80" s="170"/>
      <c r="P80" s="170"/>
      <c r="Q80" s="171"/>
      <c r="R80" s="170"/>
      <c r="S80" s="170"/>
      <c r="T80" s="170"/>
      <c r="U80" s="170"/>
      <c r="V80" s="170"/>
      <c r="W80" s="170"/>
      <c r="X80" s="170"/>
      <c r="Y80" s="170"/>
      <c r="Z80" s="170"/>
      <c r="AA80" s="170"/>
      <c r="AB80" s="170"/>
      <c r="AC80" s="170"/>
      <c r="AD80" s="170"/>
      <c r="AE80" s="170"/>
      <c r="AF80" s="170"/>
      <c r="AG80" s="170"/>
      <c r="AH80" s="171"/>
      <c r="AI80" s="171"/>
      <c r="AJ80" s="171"/>
      <c r="AK80" s="171"/>
      <c r="AL80" s="171"/>
      <c r="AM80" s="171"/>
      <c r="BU80" s="171"/>
      <c r="BV80" s="171"/>
      <c r="BW80" s="171"/>
      <c r="BX80" s="171"/>
      <c r="BY80" s="171"/>
      <c r="BZ80" s="171"/>
      <c r="CA80" s="171"/>
      <c r="CB80" s="171"/>
      <c r="CC80" s="171"/>
      <c r="CD80" s="171"/>
      <c r="CE80" s="171"/>
      <c r="CF80" s="171"/>
      <c r="CG80" s="171"/>
      <c r="CH80" s="171"/>
      <c r="CI80" s="171"/>
      <c r="CJ80" s="171"/>
      <c r="CK80" s="171"/>
      <c r="CL80" s="171"/>
      <c r="CM80" s="171"/>
      <c r="CN80" s="171"/>
      <c r="CO80" s="171"/>
      <c r="CP80" s="171"/>
      <c r="CQ80" s="171"/>
      <c r="CR80" s="171"/>
      <c r="CS80" s="171"/>
      <c r="CT80" s="171"/>
      <c r="CU80" s="171"/>
      <c r="CV80" s="171"/>
      <c r="CW80" s="171"/>
      <c r="CX80" s="171"/>
      <c r="CY80" s="171"/>
      <c r="CZ80" s="171"/>
      <c r="DA80" s="171"/>
      <c r="DB80" s="171"/>
      <c r="DC80" s="171"/>
      <c r="DD80" s="171"/>
      <c r="DE80" s="171"/>
      <c r="DF80" s="171"/>
      <c r="DG80" s="171"/>
      <c r="DH80" s="171"/>
      <c r="DI80" s="171"/>
      <c r="DJ80" s="171"/>
      <c r="DK80" s="171"/>
      <c r="DL80" s="171"/>
      <c r="DM80" s="171"/>
      <c r="DN80" s="171"/>
      <c r="DO80" s="171"/>
      <c r="DP80" s="171"/>
      <c r="DQ80" s="171"/>
      <c r="DR80" s="171"/>
      <c r="DS80" s="171"/>
      <c r="DT80" s="171"/>
      <c r="DU80" s="171"/>
      <c r="DV80" s="171"/>
      <c r="DW80" s="171"/>
      <c r="DX80" s="171"/>
      <c r="DY80" s="171"/>
      <c r="DZ80" s="171"/>
      <c r="EA80" s="171"/>
      <c r="EB80" s="171"/>
      <c r="EC80" s="171"/>
      <c r="ED80" s="171"/>
      <c r="EE80" s="171"/>
      <c r="EF80" s="171"/>
      <c r="EG80" s="171"/>
      <c r="EH80" s="171"/>
      <c r="EI80" s="171"/>
      <c r="EJ80" s="171"/>
      <c r="EK80" s="171"/>
      <c r="EL80" s="171"/>
      <c r="EM80" s="171"/>
      <c r="EN80" s="171"/>
      <c r="EO80" s="171"/>
      <c r="EP80" s="171"/>
      <c r="EQ80" s="171"/>
      <c r="ER80" s="171"/>
      <c r="ES80" s="171"/>
      <c r="ET80" s="171"/>
      <c r="EU80" s="171"/>
      <c r="EV80" s="171"/>
      <c r="EW80" s="171"/>
      <c r="EX80" s="171"/>
      <c r="FC80" s="42"/>
      <c r="FD80" s="160"/>
      <c r="FE80" s="160"/>
      <c r="FF80" s="160"/>
      <c r="FG80" s="160"/>
      <c r="FH80" s="160"/>
      <c r="FI80" s="160"/>
      <c r="FJ80" s="160"/>
      <c r="FK80" s="160"/>
      <c r="FL80" s="160"/>
      <c r="FM80" s="160"/>
      <c r="FN80" s="160"/>
      <c r="FO80" s="160"/>
      <c r="FP80" s="160"/>
      <c r="FQ80" s="160"/>
      <c r="FR80" s="160"/>
      <c r="FS80" s="160"/>
      <c r="FT80" s="160"/>
      <c r="FU80" s="160"/>
      <c r="FV80" s="160"/>
      <c r="FW80" s="160"/>
      <c r="FX80" s="160"/>
      <c r="FY80" s="160"/>
      <c r="FZ80" s="160"/>
      <c r="GA80" s="160"/>
      <c r="GB80" s="160"/>
      <c r="GC80" s="160"/>
      <c r="GD80" s="160"/>
      <c r="GE80" s="69"/>
      <c r="IO80" s="171"/>
      <c r="IP80" s="171"/>
      <c r="IQ80" s="171"/>
      <c r="IR80" s="171"/>
      <c r="IS80" s="171"/>
      <c r="IT80" s="171"/>
      <c r="IU80" s="171"/>
      <c r="IV80" s="171"/>
      <c r="IW80" s="171"/>
      <c r="IX80" s="171"/>
      <c r="IY80" s="171"/>
      <c r="IZ80" s="171"/>
      <c r="JA80" s="171"/>
      <c r="JB80" s="171"/>
      <c r="JC80" s="171"/>
      <c r="JD80" s="171"/>
      <c r="JE80" s="171"/>
      <c r="JF80" s="171"/>
      <c r="JG80" s="171"/>
      <c r="JH80" s="171"/>
      <c r="JI80" s="171"/>
      <c r="JJ80" s="171"/>
      <c r="JK80" s="171"/>
      <c r="JL80" s="171"/>
      <c r="JM80" s="171"/>
      <c r="JN80" s="171"/>
    </row>
    <row r="81" spans="1:274" x14ac:dyDescent="0.25">
      <c r="A81" s="172"/>
      <c r="E81" s="173"/>
      <c r="G81" s="170"/>
      <c r="H81" s="170"/>
      <c r="I81" s="170"/>
      <c r="J81" s="170"/>
      <c r="K81" s="170"/>
      <c r="L81" s="170"/>
      <c r="M81" s="170"/>
      <c r="N81" s="170"/>
      <c r="O81" s="170"/>
      <c r="P81" s="170"/>
      <c r="Q81" s="171"/>
      <c r="R81" s="170"/>
      <c r="S81" s="170"/>
      <c r="T81" s="170"/>
      <c r="U81" s="170"/>
      <c r="V81" s="170"/>
      <c r="W81" s="170"/>
      <c r="X81" s="170"/>
      <c r="Y81" s="170"/>
      <c r="Z81" s="170"/>
      <c r="AA81" s="170"/>
      <c r="AB81" s="170"/>
      <c r="AC81" s="170"/>
      <c r="AD81" s="170"/>
      <c r="AE81" s="170"/>
      <c r="AF81" s="170"/>
      <c r="AG81" s="170"/>
      <c r="AH81" s="171"/>
      <c r="AI81" s="171"/>
      <c r="AJ81" s="171"/>
      <c r="AK81" s="171"/>
      <c r="AL81" s="171"/>
      <c r="AM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c r="EU81" s="171"/>
      <c r="EV81" s="171"/>
      <c r="EW81" s="171"/>
      <c r="EX81" s="171"/>
      <c r="FC81" s="42"/>
      <c r="FD81" s="160"/>
      <c r="FE81" s="160"/>
      <c r="FF81" s="160"/>
      <c r="FG81" s="160"/>
      <c r="FH81" s="160"/>
      <c r="FI81" s="160"/>
      <c r="FJ81" s="160"/>
      <c r="FK81" s="160"/>
      <c r="FL81" s="160"/>
      <c r="FM81" s="160"/>
      <c r="FN81" s="160"/>
      <c r="FO81" s="160"/>
      <c r="FP81" s="160"/>
      <c r="FQ81" s="160"/>
      <c r="FR81" s="160"/>
      <c r="FS81" s="160"/>
      <c r="FT81" s="160"/>
      <c r="FU81" s="160"/>
      <c r="FV81" s="160"/>
      <c r="FW81" s="160"/>
      <c r="FX81" s="160"/>
      <c r="FY81" s="160"/>
      <c r="FZ81" s="160"/>
      <c r="GA81" s="160"/>
      <c r="GB81" s="160"/>
      <c r="GC81" s="160"/>
      <c r="GD81" s="160"/>
      <c r="GE81" s="69"/>
      <c r="IO81" s="171"/>
      <c r="IP81" s="171"/>
      <c r="IQ81" s="171"/>
      <c r="IR81" s="171"/>
      <c r="IS81" s="171"/>
      <c r="IT81" s="171"/>
      <c r="IU81" s="171"/>
      <c r="IV81" s="171"/>
      <c r="IW81" s="171"/>
      <c r="IX81" s="171"/>
      <c r="IY81" s="171"/>
      <c r="IZ81" s="171"/>
      <c r="JA81" s="171"/>
      <c r="JB81" s="171"/>
      <c r="JC81" s="171"/>
      <c r="JD81" s="171"/>
      <c r="JE81" s="171"/>
      <c r="JF81" s="171"/>
      <c r="JG81" s="171"/>
      <c r="JH81" s="171"/>
      <c r="JI81" s="171"/>
      <c r="JJ81" s="171"/>
      <c r="JK81" s="171"/>
      <c r="JL81" s="171"/>
      <c r="JM81" s="171"/>
      <c r="JN81" s="171"/>
    </row>
    <row r="82" spans="1:274" x14ac:dyDescent="0.25">
      <c r="A82" s="172"/>
      <c r="E82" s="173"/>
      <c r="G82" s="170"/>
      <c r="H82" s="170"/>
      <c r="I82" s="170"/>
      <c r="J82" s="170"/>
      <c r="K82" s="170"/>
      <c r="L82" s="170"/>
      <c r="M82" s="170"/>
      <c r="N82" s="170"/>
      <c r="O82" s="170"/>
      <c r="P82" s="170"/>
      <c r="Q82" s="171"/>
      <c r="R82" s="170"/>
      <c r="S82" s="170"/>
      <c r="T82" s="170"/>
      <c r="U82" s="170"/>
      <c r="V82" s="170"/>
      <c r="W82" s="170"/>
      <c r="X82" s="170"/>
      <c r="Y82" s="170"/>
      <c r="Z82" s="170"/>
      <c r="AA82" s="170"/>
      <c r="AB82" s="170"/>
      <c r="AC82" s="170"/>
      <c r="AD82" s="170"/>
      <c r="AE82" s="170"/>
      <c r="AF82" s="170"/>
      <c r="AG82" s="170"/>
      <c r="AH82" s="171"/>
      <c r="AI82" s="171"/>
      <c r="AJ82" s="171"/>
      <c r="AK82" s="171"/>
      <c r="AL82" s="171"/>
      <c r="AM82" s="171"/>
      <c r="BU82" s="171"/>
      <c r="BV82" s="171"/>
      <c r="BW82" s="171"/>
      <c r="BX82" s="171"/>
      <c r="BY82" s="171"/>
      <c r="BZ82" s="171"/>
      <c r="CA82" s="171"/>
      <c r="CB82" s="171"/>
      <c r="CC82" s="171"/>
      <c r="CD82" s="171"/>
      <c r="CE82" s="171"/>
      <c r="CF82" s="171"/>
      <c r="CG82" s="171"/>
      <c r="CH82" s="171"/>
      <c r="CI82" s="171"/>
      <c r="CJ82" s="171"/>
      <c r="CK82" s="171"/>
      <c r="CL82" s="171"/>
      <c r="CM82" s="171"/>
      <c r="CN82" s="171"/>
      <c r="CO82" s="171"/>
      <c r="CP82" s="171"/>
      <c r="CQ82" s="171"/>
      <c r="CR82" s="171"/>
      <c r="CS82" s="171"/>
      <c r="CT82" s="171"/>
      <c r="CU82" s="171"/>
      <c r="CV82" s="171"/>
      <c r="CW82" s="171"/>
      <c r="CX82" s="171"/>
      <c r="CY82" s="171"/>
      <c r="CZ82" s="171"/>
      <c r="DA82" s="171"/>
      <c r="DB82" s="171"/>
      <c r="DC82" s="171"/>
      <c r="DD82" s="171"/>
      <c r="DE82" s="171"/>
      <c r="DF82" s="171"/>
      <c r="DG82" s="171"/>
      <c r="DH82" s="171"/>
      <c r="DI82" s="171"/>
      <c r="DJ82" s="171"/>
      <c r="DK82" s="171"/>
      <c r="DL82" s="171"/>
      <c r="DM82" s="171"/>
      <c r="DN82" s="171"/>
      <c r="DO82" s="171"/>
      <c r="DP82" s="171"/>
      <c r="DQ82" s="171"/>
      <c r="DR82" s="171"/>
      <c r="DS82" s="171"/>
      <c r="DT82" s="171"/>
      <c r="DU82" s="171"/>
      <c r="DV82" s="171"/>
      <c r="DW82" s="171"/>
      <c r="DX82" s="171"/>
      <c r="DY82" s="171"/>
      <c r="DZ82" s="171"/>
      <c r="EA82" s="171"/>
      <c r="EB82" s="171"/>
      <c r="EC82" s="171"/>
      <c r="ED82" s="171"/>
      <c r="EE82" s="171"/>
      <c r="EF82" s="171"/>
      <c r="EG82" s="171"/>
      <c r="EH82" s="171"/>
      <c r="EI82" s="171"/>
      <c r="EJ82" s="171"/>
      <c r="EK82" s="171"/>
      <c r="EL82" s="171"/>
      <c r="EM82" s="171"/>
      <c r="EN82" s="171"/>
      <c r="EO82" s="171"/>
      <c r="EP82" s="171"/>
      <c r="EQ82" s="171"/>
      <c r="ER82" s="171"/>
      <c r="ES82" s="171"/>
      <c r="ET82" s="171"/>
      <c r="EU82" s="171"/>
      <c r="EV82" s="171"/>
      <c r="EW82" s="171"/>
      <c r="EX82" s="171"/>
      <c r="FC82" s="42"/>
      <c r="FD82" s="160"/>
      <c r="FE82" s="160"/>
      <c r="FF82" s="160"/>
      <c r="FG82" s="160"/>
      <c r="FH82" s="160"/>
      <c r="FI82" s="160"/>
      <c r="FJ82" s="160"/>
      <c r="FK82" s="160"/>
      <c r="FL82" s="160"/>
      <c r="FM82" s="160"/>
      <c r="FN82" s="160"/>
      <c r="FO82" s="160"/>
      <c r="FP82" s="160"/>
      <c r="FQ82" s="160"/>
      <c r="FR82" s="160"/>
      <c r="FS82" s="160"/>
      <c r="FT82" s="160"/>
      <c r="FU82" s="160"/>
      <c r="FV82" s="160"/>
      <c r="FW82" s="160"/>
      <c r="FX82" s="160"/>
      <c r="FY82" s="160"/>
      <c r="FZ82" s="160"/>
      <c r="GA82" s="160"/>
      <c r="GB82" s="160"/>
      <c r="GC82" s="160"/>
      <c r="GD82" s="160"/>
      <c r="GE82" s="69"/>
      <c r="IO82" s="171"/>
      <c r="IP82" s="171"/>
      <c r="IQ82" s="171"/>
      <c r="IR82" s="171"/>
      <c r="IS82" s="171"/>
      <c r="IT82" s="171"/>
      <c r="IU82" s="171"/>
      <c r="IV82" s="171"/>
      <c r="IW82" s="171"/>
      <c r="IX82" s="171"/>
      <c r="IY82" s="171"/>
      <c r="IZ82" s="171"/>
      <c r="JA82" s="171"/>
      <c r="JB82" s="171"/>
      <c r="JC82" s="171"/>
      <c r="JD82" s="171"/>
      <c r="JE82" s="171"/>
      <c r="JF82" s="171"/>
      <c r="JG82" s="171"/>
      <c r="JH82" s="171"/>
      <c r="JI82" s="171"/>
      <c r="JJ82" s="171"/>
      <c r="JK82" s="171"/>
      <c r="JL82" s="171"/>
      <c r="JM82" s="171"/>
      <c r="JN82" s="171"/>
    </row>
    <row r="83" spans="1:274" x14ac:dyDescent="0.25">
      <c r="A83" s="172"/>
      <c r="E83" s="173"/>
      <c r="G83" s="170"/>
      <c r="H83" s="170"/>
      <c r="I83" s="170"/>
      <c r="J83" s="170"/>
      <c r="K83" s="170"/>
      <c r="L83" s="170"/>
      <c r="M83" s="170"/>
      <c r="N83" s="170"/>
      <c r="O83" s="170"/>
      <c r="P83" s="170"/>
      <c r="Q83" s="171"/>
      <c r="R83" s="170"/>
      <c r="S83" s="170"/>
      <c r="T83" s="170"/>
      <c r="U83" s="170"/>
      <c r="V83" s="170"/>
      <c r="W83" s="170"/>
      <c r="X83" s="170"/>
      <c r="Y83" s="170"/>
      <c r="Z83" s="170"/>
      <c r="AA83" s="170"/>
      <c r="AB83" s="170"/>
      <c r="AC83" s="170"/>
      <c r="AD83" s="170"/>
      <c r="AE83" s="170"/>
      <c r="AF83" s="170"/>
      <c r="AG83" s="170"/>
      <c r="AH83" s="171"/>
      <c r="AI83" s="171"/>
      <c r="AJ83" s="171"/>
      <c r="AK83" s="171"/>
      <c r="AL83" s="171"/>
      <c r="AM83" s="171"/>
      <c r="BU83" s="171"/>
      <c r="BV83" s="171"/>
      <c r="BW83" s="171"/>
      <c r="BX83" s="171"/>
      <c r="BY83" s="171"/>
      <c r="BZ83" s="171"/>
      <c r="CA83" s="171"/>
      <c r="CB83" s="171"/>
      <c r="CC83" s="171"/>
      <c r="CD83" s="171"/>
      <c r="CE83" s="171"/>
      <c r="CF83" s="171"/>
      <c r="CG83" s="171"/>
      <c r="CH83" s="171"/>
      <c r="CI83" s="171"/>
      <c r="CJ83" s="171"/>
      <c r="CK83" s="171"/>
      <c r="CL83" s="171"/>
      <c r="CM83" s="171"/>
      <c r="CN83" s="171"/>
      <c r="CO83" s="171"/>
      <c r="CP83" s="171"/>
      <c r="CQ83" s="171"/>
      <c r="CR83" s="171"/>
      <c r="CS83" s="171"/>
      <c r="CT83" s="171"/>
      <c r="CU83" s="171"/>
      <c r="CV83" s="171"/>
      <c r="CW83" s="171"/>
      <c r="CX83" s="171"/>
      <c r="CY83" s="171"/>
      <c r="CZ83" s="171"/>
      <c r="DA83" s="171"/>
      <c r="DB83" s="171"/>
      <c r="DC83" s="171"/>
      <c r="DD83" s="171"/>
      <c r="DE83" s="171"/>
      <c r="DF83" s="171"/>
      <c r="DG83" s="171"/>
      <c r="DH83" s="171"/>
      <c r="DI83" s="171"/>
      <c r="DJ83" s="171"/>
      <c r="DK83" s="171"/>
      <c r="DL83" s="171"/>
      <c r="DM83" s="171"/>
      <c r="DN83" s="171"/>
      <c r="DO83" s="171"/>
      <c r="DP83" s="171"/>
      <c r="DQ83" s="171"/>
      <c r="DR83" s="171"/>
      <c r="DS83" s="171"/>
      <c r="DT83" s="171"/>
      <c r="DU83" s="171"/>
      <c r="DV83" s="171"/>
      <c r="DW83" s="171"/>
      <c r="DX83" s="171"/>
      <c r="DY83" s="171"/>
      <c r="DZ83" s="171"/>
      <c r="EA83" s="171"/>
      <c r="EB83" s="171"/>
      <c r="EC83" s="171"/>
      <c r="ED83" s="171"/>
      <c r="EE83" s="171"/>
      <c r="EF83" s="171"/>
      <c r="EG83" s="171"/>
      <c r="EH83" s="171"/>
      <c r="EI83" s="171"/>
      <c r="EJ83" s="171"/>
      <c r="EK83" s="171"/>
      <c r="EL83" s="171"/>
      <c r="EM83" s="171"/>
      <c r="EN83" s="171"/>
      <c r="EO83" s="171"/>
      <c r="EP83" s="171"/>
      <c r="EQ83" s="171"/>
      <c r="ER83" s="171"/>
      <c r="ES83" s="171"/>
      <c r="ET83" s="171"/>
      <c r="EU83" s="171"/>
      <c r="EV83" s="171"/>
      <c r="EW83" s="171"/>
      <c r="EX83" s="171"/>
      <c r="FC83" s="42"/>
      <c r="FD83" s="160"/>
      <c r="FE83" s="160"/>
      <c r="FF83" s="160"/>
      <c r="FG83" s="160"/>
      <c r="FH83" s="160"/>
      <c r="FI83" s="160"/>
      <c r="FJ83" s="160"/>
      <c r="FK83" s="160"/>
      <c r="FL83" s="160"/>
      <c r="FM83" s="160"/>
      <c r="FN83" s="160"/>
      <c r="FO83" s="160"/>
      <c r="FP83" s="160"/>
      <c r="FQ83" s="160"/>
      <c r="FR83" s="160"/>
      <c r="FS83" s="160"/>
      <c r="FT83" s="160"/>
      <c r="FU83" s="160"/>
      <c r="FV83" s="160"/>
      <c r="FW83" s="160"/>
      <c r="FX83" s="160"/>
      <c r="FY83" s="160"/>
      <c r="FZ83" s="160"/>
      <c r="GA83" s="160"/>
      <c r="GB83" s="160"/>
      <c r="GC83" s="160"/>
      <c r="GD83" s="160"/>
      <c r="GE83" s="69"/>
      <c r="IO83" s="171"/>
      <c r="IP83" s="171"/>
      <c r="IQ83" s="171"/>
      <c r="IR83" s="171"/>
      <c r="IS83" s="171"/>
      <c r="IT83" s="171"/>
      <c r="IU83" s="171"/>
      <c r="IV83" s="171"/>
      <c r="IW83" s="171"/>
      <c r="IX83" s="171"/>
      <c r="IY83" s="171"/>
      <c r="IZ83" s="171"/>
      <c r="JA83" s="171"/>
      <c r="JB83" s="171"/>
      <c r="JC83" s="171"/>
      <c r="JD83" s="171"/>
      <c r="JE83" s="171"/>
      <c r="JF83" s="171"/>
      <c r="JG83" s="171"/>
      <c r="JH83" s="171"/>
      <c r="JI83" s="171"/>
      <c r="JJ83" s="171"/>
      <c r="JK83" s="171"/>
      <c r="JL83" s="171"/>
      <c r="JM83" s="171"/>
      <c r="JN83" s="171"/>
    </row>
    <row r="84" spans="1:274" x14ac:dyDescent="0.25">
      <c r="A84" s="172"/>
      <c r="E84" s="173"/>
      <c r="G84" s="170"/>
      <c r="H84" s="170"/>
      <c r="I84" s="170"/>
      <c r="J84" s="170"/>
      <c r="K84" s="170"/>
      <c r="L84" s="170"/>
      <c r="M84" s="170"/>
      <c r="N84" s="170"/>
      <c r="O84" s="170"/>
      <c r="P84" s="170"/>
      <c r="Q84" s="171"/>
      <c r="R84" s="170"/>
      <c r="S84" s="170"/>
      <c r="T84" s="170"/>
      <c r="U84" s="170"/>
      <c r="V84" s="170"/>
      <c r="W84" s="170"/>
      <c r="X84" s="170"/>
      <c r="Y84" s="170"/>
      <c r="Z84" s="170"/>
      <c r="AA84" s="170"/>
      <c r="AB84" s="170"/>
      <c r="AC84" s="170"/>
      <c r="AD84" s="170"/>
      <c r="AE84" s="170"/>
      <c r="AF84" s="170"/>
      <c r="AG84" s="170"/>
      <c r="AH84" s="171"/>
      <c r="AI84" s="171"/>
      <c r="AJ84" s="171"/>
      <c r="AK84" s="171"/>
      <c r="AL84" s="171"/>
      <c r="AM84" s="171"/>
      <c r="BU84" s="171"/>
      <c r="BV84" s="171"/>
      <c r="BW84" s="171"/>
      <c r="BX84" s="171"/>
      <c r="BY84" s="171"/>
      <c r="BZ84" s="171"/>
      <c r="CA84" s="171"/>
      <c r="CB84" s="171"/>
      <c r="CC84" s="171"/>
      <c r="CD84" s="171"/>
      <c r="CE84" s="171"/>
      <c r="CF84" s="171"/>
      <c r="CG84" s="171"/>
      <c r="CH84" s="171"/>
      <c r="CI84" s="171"/>
      <c r="CJ84" s="171"/>
      <c r="CK84" s="171"/>
      <c r="CL84" s="171"/>
      <c r="CM84" s="171"/>
      <c r="CN84" s="171"/>
      <c r="CO84" s="171"/>
      <c r="CP84" s="171"/>
      <c r="CQ84" s="171"/>
      <c r="CR84" s="171"/>
      <c r="CS84" s="171"/>
      <c r="CT84" s="171"/>
      <c r="CU84" s="171"/>
      <c r="CV84" s="171"/>
      <c r="CW84" s="171"/>
      <c r="CX84" s="171"/>
      <c r="CY84" s="171"/>
      <c r="CZ84" s="171"/>
      <c r="DA84" s="171"/>
      <c r="DB84" s="171"/>
      <c r="DC84" s="171"/>
      <c r="DD84" s="171"/>
      <c r="DE84" s="171"/>
      <c r="DF84" s="171"/>
      <c r="DG84" s="171"/>
      <c r="DH84" s="171"/>
      <c r="DI84" s="171"/>
      <c r="DJ84" s="171"/>
      <c r="DK84" s="171"/>
      <c r="DL84" s="171"/>
      <c r="DM84" s="171"/>
      <c r="DN84" s="171"/>
      <c r="DO84" s="171"/>
      <c r="DP84" s="171"/>
      <c r="DQ84" s="171"/>
      <c r="DR84" s="171"/>
      <c r="DS84" s="171"/>
      <c r="DT84" s="171"/>
      <c r="DU84" s="171"/>
      <c r="DV84" s="171"/>
      <c r="DW84" s="171"/>
      <c r="DX84" s="171"/>
      <c r="DY84" s="171"/>
      <c r="DZ84" s="171"/>
      <c r="EA84" s="171"/>
      <c r="EB84" s="171"/>
      <c r="EC84" s="171"/>
      <c r="ED84" s="171"/>
      <c r="EE84" s="171"/>
      <c r="EF84" s="171"/>
      <c r="EG84" s="171"/>
      <c r="EH84" s="171"/>
      <c r="EI84" s="171"/>
      <c r="EJ84" s="171"/>
      <c r="EK84" s="171"/>
      <c r="EL84" s="171"/>
      <c r="EM84" s="171"/>
      <c r="EN84" s="171"/>
      <c r="EO84" s="171"/>
      <c r="EP84" s="171"/>
      <c r="EQ84" s="171"/>
      <c r="ER84" s="171"/>
      <c r="ES84" s="171"/>
      <c r="ET84" s="171"/>
      <c r="EU84" s="171"/>
      <c r="EV84" s="171"/>
      <c r="EW84" s="171"/>
      <c r="EX84" s="171"/>
      <c r="FC84" s="42"/>
      <c r="FD84" s="160"/>
      <c r="FE84" s="160"/>
      <c r="FF84" s="160"/>
      <c r="FG84" s="160"/>
      <c r="FH84" s="160"/>
      <c r="FI84" s="160"/>
      <c r="FJ84" s="160"/>
      <c r="FK84" s="160"/>
      <c r="FL84" s="160"/>
      <c r="FM84" s="160"/>
      <c r="FN84" s="160"/>
      <c r="FO84" s="160"/>
      <c r="FP84" s="160"/>
      <c r="FQ84" s="160"/>
      <c r="FR84" s="160"/>
      <c r="FS84" s="160"/>
      <c r="FT84" s="160"/>
      <c r="FU84" s="160"/>
      <c r="FV84" s="160"/>
      <c r="FW84" s="160"/>
      <c r="FX84" s="160"/>
      <c r="FY84" s="160"/>
      <c r="FZ84" s="160"/>
      <c r="GA84" s="160"/>
      <c r="GB84" s="160"/>
      <c r="GC84" s="160"/>
      <c r="GD84" s="160"/>
      <c r="GE84" s="69"/>
      <c r="IO84" s="171"/>
      <c r="IP84" s="171"/>
      <c r="IQ84" s="171"/>
      <c r="IR84" s="171"/>
      <c r="IS84" s="171"/>
      <c r="IT84" s="171"/>
      <c r="IU84" s="171"/>
      <c r="IV84" s="171"/>
      <c r="IW84" s="171"/>
      <c r="IX84" s="171"/>
      <c r="IY84" s="171"/>
      <c r="IZ84" s="171"/>
      <c r="JA84" s="171"/>
      <c r="JB84" s="171"/>
      <c r="JC84" s="171"/>
      <c r="JD84" s="171"/>
      <c r="JE84" s="171"/>
      <c r="JF84" s="171"/>
      <c r="JG84" s="171"/>
      <c r="JH84" s="171"/>
      <c r="JI84" s="171"/>
      <c r="JJ84" s="171"/>
      <c r="JK84" s="171"/>
      <c r="JL84" s="171"/>
      <c r="JM84" s="171"/>
      <c r="JN84" s="171"/>
    </row>
    <row r="85" spans="1:274" x14ac:dyDescent="0.25">
      <c r="A85" s="172"/>
      <c r="E85" s="173"/>
      <c r="G85" s="170"/>
      <c r="H85" s="170"/>
      <c r="I85" s="170"/>
      <c r="J85" s="170"/>
      <c r="K85" s="170"/>
      <c r="L85" s="170"/>
      <c r="M85" s="170"/>
      <c r="N85" s="170"/>
      <c r="O85" s="170"/>
      <c r="P85" s="170"/>
      <c r="Q85" s="171"/>
      <c r="R85" s="170"/>
      <c r="S85" s="170"/>
      <c r="T85" s="170"/>
      <c r="U85" s="170"/>
      <c r="V85" s="170"/>
      <c r="W85" s="170"/>
      <c r="X85" s="170"/>
      <c r="Y85" s="170"/>
      <c r="Z85" s="170"/>
      <c r="AA85" s="170"/>
      <c r="AB85" s="170"/>
      <c r="AC85" s="170"/>
      <c r="AD85" s="170"/>
      <c r="AE85" s="170"/>
      <c r="AF85" s="170"/>
      <c r="AG85" s="170"/>
      <c r="AH85" s="171"/>
      <c r="AI85" s="171"/>
      <c r="AJ85" s="171"/>
      <c r="AK85" s="171"/>
      <c r="AL85" s="171"/>
      <c r="AM85" s="171"/>
      <c r="BU85" s="171"/>
      <c r="BV85" s="171"/>
      <c r="BW85" s="171"/>
      <c r="BX85" s="171"/>
      <c r="BY85" s="171"/>
      <c r="BZ85" s="171"/>
      <c r="CA85" s="171"/>
      <c r="CB85" s="171"/>
      <c r="CC85" s="171"/>
      <c r="CD85" s="171"/>
      <c r="CE85" s="171"/>
      <c r="CF85" s="171"/>
      <c r="CG85" s="171"/>
      <c r="CH85" s="171"/>
      <c r="CI85" s="171"/>
      <c r="CJ85" s="171"/>
      <c r="CK85" s="171"/>
      <c r="CL85" s="171"/>
      <c r="CM85" s="171"/>
      <c r="CN85" s="171"/>
      <c r="CO85" s="171"/>
      <c r="CP85" s="171"/>
      <c r="CQ85" s="171"/>
      <c r="CR85" s="171"/>
      <c r="CS85" s="171"/>
      <c r="CT85" s="171"/>
      <c r="CU85" s="171"/>
      <c r="CV85" s="171"/>
      <c r="CW85" s="171"/>
      <c r="CX85" s="171"/>
      <c r="CY85" s="171"/>
      <c r="CZ85" s="171"/>
      <c r="DA85" s="171"/>
      <c r="DB85" s="171"/>
      <c r="DC85" s="171"/>
      <c r="DD85" s="171"/>
      <c r="DE85" s="171"/>
      <c r="DF85" s="171"/>
      <c r="DG85" s="171"/>
      <c r="DH85" s="171"/>
      <c r="DI85" s="171"/>
      <c r="DJ85" s="171"/>
      <c r="DK85" s="171"/>
      <c r="DL85" s="171"/>
      <c r="DM85" s="171"/>
      <c r="DN85" s="171"/>
      <c r="DO85" s="171"/>
      <c r="DP85" s="171"/>
      <c r="DQ85" s="171"/>
      <c r="DR85" s="171"/>
      <c r="DS85" s="171"/>
      <c r="DT85" s="171"/>
      <c r="DU85" s="171"/>
      <c r="DV85" s="171"/>
      <c r="DW85" s="171"/>
      <c r="DX85" s="171"/>
      <c r="DY85" s="171"/>
      <c r="DZ85" s="171"/>
      <c r="EA85" s="171"/>
      <c r="EB85" s="171"/>
      <c r="EC85" s="171"/>
      <c r="ED85" s="171"/>
      <c r="EE85" s="171"/>
      <c r="EF85" s="171"/>
      <c r="EG85" s="171"/>
      <c r="EH85" s="171"/>
      <c r="EI85" s="171"/>
      <c r="EJ85" s="171"/>
      <c r="EK85" s="171"/>
      <c r="EL85" s="171"/>
      <c r="EM85" s="171"/>
      <c r="EN85" s="171"/>
      <c r="EO85" s="171"/>
      <c r="EP85" s="171"/>
      <c r="EQ85" s="171"/>
      <c r="ER85" s="171"/>
      <c r="ES85" s="171"/>
      <c r="ET85" s="171"/>
      <c r="EU85" s="171"/>
      <c r="EV85" s="171"/>
      <c r="EW85" s="171"/>
      <c r="EX85" s="171"/>
      <c r="FC85" s="42"/>
      <c r="FD85" s="160"/>
      <c r="FE85" s="160"/>
      <c r="FF85" s="160"/>
      <c r="FG85" s="160"/>
      <c r="FH85" s="160"/>
      <c r="FI85" s="160"/>
      <c r="FJ85" s="160"/>
      <c r="FK85" s="160"/>
      <c r="FL85" s="160"/>
      <c r="FM85" s="160"/>
      <c r="FN85" s="160"/>
      <c r="FO85" s="160"/>
      <c r="FP85" s="160"/>
      <c r="FQ85" s="160"/>
      <c r="FR85" s="160"/>
      <c r="FS85" s="160"/>
      <c r="FT85" s="160"/>
      <c r="FU85" s="160"/>
      <c r="FV85" s="160"/>
      <c r="FW85" s="160"/>
      <c r="FX85" s="160"/>
      <c r="FY85" s="160"/>
      <c r="FZ85" s="160"/>
      <c r="GA85" s="160"/>
      <c r="GB85" s="160"/>
      <c r="GC85" s="160"/>
      <c r="GD85" s="160"/>
      <c r="GE85" s="69"/>
      <c r="IO85" s="171"/>
      <c r="IP85" s="171"/>
      <c r="IQ85" s="171"/>
      <c r="IR85" s="171"/>
      <c r="IS85" s="171"/>
      <c r="IT85" s="171"/>
      <c r="IU85" s="171"/>
      <c r="IV85" s="171"/>
      <c r="IW85" s="171"/>
      <c r="IX85" s="171"/>
      <c r="IY85" s="171"/>
      <c r="IZ85" s="171"/>
      <c r="JA85" s="171"/>
      <c r="JB85" s="171"/>
      <c r="JC85" s="171"/>
      <c r="JD85" s="171"/>
      <c r="JE85" s="171"/>
      <c r="JF85" s="171"/>
      <c r="JG85" s="171"/>
      <c r="JH85" s="171"/>
      <c r="JI85" s="171"/>
      <c r="JJ85" s="171"/>
      <c r="JK85" s="171"/>
      <c r="JL85" s="171"/>
      <c r="JM85" s="171"/>
      <c r="JN85" s="171"/>
    </row>
    <row r="86" spans="1:274" x14ac:dyDescent="0.25">
      <c r="A86" s="172"/>
      <c r="E86" s="173"/>
      <c r="G86" s="170"/>
      <c r="H86" s="170"/>
      <c r="I86" s="170"/>
      <c r="J86" s="170"/>
      <c r="K86" s="170"/>
      <c r="L86" s="170"/>
      <c r="M86" s="170"/>
      <c r="N86" s="170"/>
      <c r="O86" s="170"/>
      <c r="P86" s="170"/>
      <c r="Q86" s="171"/>
      <c r="R86" s="170"/>
      <c r="S86" s="170"/>
      <c r="T86" s="170"/>
      <c r="U86" s="170"/>
      <c r="V86" s="170"/>
      <c r="W86" s="170"/>
      <c r="X86" s="170"/>
      <c r="Y86" s="170"/>
      <c r="Z86" s="170"/>
      <c r="AA86" s="170"/>
      <c r="AB86" s="170"/>
      <c r="AC86" s="170"/>
      <c r="AD86" s="170"/>
      <c r="AE86" s="170"/>
      <c r="AF86" s="170"/>
      <c r="AG86" s="170"/>
      <c r="AH86" s="171"/>
      <c r="AI86" s="171"/>
      <c r="AJ86" s="171"/>
      <c r="AK86" s="171"/>
      <c r="AL86" s="171"/>
      <c r="AM86" s="171"/>
      <c r="BU86" s="171"/>
      <c r="BV86" s="171"/>
      <c r="BW86" s="171"/>
      <c r="BX86" s="171"/>
      <c r="BY86" s="171"/>
      <c r="BZ86" s="171"/>
      <c r="CA86" s="171"/>
      <c r="CB86" s="171"/>
      <c r="CC86" s="171"/>
      <c r="CD86" s="171"/>
      <c r="CE86" s="171"/>
      <c r="CF86" s="171"/>
      <c r="CG86" s="171"/>
      <c r="CH86" s="171"/>
      <c r="CI86" s="171"/>
      <c r="CJ86" s="171"/>
      <c r="CK86" s="171"/>
      <c r="CL86" s="171"/>
      <c r="CM86" s="171"/>
      <c r="CN86" s="171"/>
      <c r="CO86" s="171"/>
      <c r="CP86" s="171"/>
      <c r="CQ86" s="171"/>
      <c r="CR86" s="171"/>
      <c r="CS86" s="171"/>
      <c r="CT86" s="171"/>
      <c r="CU86" s="171"/>
      <c r="CV86" s="171"/>
      <c r="CW86" s="171"/>
      <c r="CX86" s="171"/>
      <c r="CY86" s="171"/>
      <c r="CZ86" s="171"/>
      <c r="DA86" s="171"/>
      <c r="DB86" s="171"/>
      <c r="DC86" s="171"/>
      <c r="DD86" s="171"/>
      <c r="DE86" s="171"/>
      <c r="DF86" s="171"/>
      <c r="DG86" s="171"/>
      <c r="DH86" s="171"/>
      <c r="DI86" s="171"/>
      <c r="DJ86" s="171"/>
      <c r="DK86" s="171"/>
      <c r="DL86" s="171"/>
      <c r="DM86" s="171"/>
      <c r="DN86" s="171"/>
      <c r="DO86" s="171"/>
      <c r="DP86" s="171"/>
      <c r="DQ86" s="171"/>
      <c r="DR86" s="171"/>
      <c r="DS86" s="171"/>
      <c r="DT86" s="171"/>
      <c r="DU86" s="171"/>
      <c r="DV86" s="171"/>
      <c r="DW86" s="171"/>
      <c r="DX86" s="171"/>
      <c r="DY86" s="171"/>
      <c r="DZ86" s="171"/>
      <c r="EA86" s="171"/>
      <c r="EB86" s="171"/>
      <c r="EC86" s="171"/>
      <c r="ED86" s="171"/>
      <c r="EE86" s="171"/>
      <c r="EF86" s="171"/>
      <c r="EG86" s="171"/>
      <c r="EH86" s="171"/>
      <c r="EI86" s="171"/>
      <c r="EJ86" s="171"/>
      <c r="EK86" s="171"/>
      <c r="EL86" s="171"/>
      <c r="EM86" s="171"/>
      <c r="EN86" s="171"/>
      <c r="EO86" s="171"/>
      <c r="EP86" s="171"/>
      <c r="EQ86" s="171"/>
      <c r="ER86" s="171"/>
      <c r="ES86" s="171"/>
      <c r="ET86" s="171"/>
      <c r="EU86" s="171"/>
      <c r="EV86" s="171"/>
      <c r="EW86" s="171"/>
      <c r="EX86" s="171"/>
      <c r="FC86" s="42"/>
      <c r="FD86" s="160"/>
      <c r="FE86" s="160"/>
      <c r="FF86" s="160"/>
      <c r="FG86" s="160"/>
      <c r="FH86" s="160"/>
      <c r="FI86" s="160"/>
      <c r="FJ86" s="160"/>
      <c r="FK86" s="160"/>
      <c r="FL86" s="160"/>
      <c r="FM86" s="160"/>
      <c r="FN86" s="160"/>
      <c r="FO86" s="160"/>
      <c r="FP86" s="160"/>
      <c r="FQ86" s="160"/>
      <c r="FR86" s="160"/>
      <c r="FS86" s="160"/>
      <c r="FT86" s="160"/>
      <c r="FU86" s="160"/>
      <c r="FV86" s="160"/>
      <c r="FW86" s="160"/>
      <c r="FX86" s="160"/>
      <c r="FY86" s="160"/>
      <c r="FZ86" s="160"/>
      <c r="GA86" s="160"/>
      <c r="GB86" s="160"/>
      <c r="GC86" s="160"/>
      <c r="GD86" s="160"/>
      <c r="GE86" s="69"/>
      <c r="IO86" s="171"/>
      <c r="IP86" s="171"/>
      <c r="IQ86" s="171"/>
      <c r="IR86" s="171"/>
      <c r="IS86" s="171"/>
      <c r="IT86" s="171"/>
      <c r="IU86" s="171"/>
      <c r="IV86" s="171"/>
      <c r="IW86" s="171"/>
      <c r="IX86" s="171"/>
      <c r="IY86" s="171"/>
      <c r="IZ86" s="171"/>
      <c r="JA86" s="171"/>
      <c r="JB86" s="171"/>
      <c r="JC86" s="171"/>
      <c r="JD86" s="171"/>
      <c r="JE86" s="171"/>
      <c r="JF86" s="171"/>
      <c r="JG86" s="171"/>
      <c r="JH86" s="171"/>
      <c r="JI86" s="171"/>
      <c r="JJ86" s="171"/>
      <c r="JK86" s="171"/>
      <c r="JL86" s="171"/>
      <c r="JM86" s="171"/>
      <c r="JN86" s="171"/>
    </row>
    <row r="87" spans="1:274" x14ac:dyDescent="0.25">
      <c r="A87" s="172"/>
      <c r="E87" s="173"/>
      <c r="G87" s="170"/>
      <c r="H87" s="170"/>
      <c r="I87" s="170"/>
      <c r="J87" s="170"/>
      <c r="K87" s="170"/>
      <c r="L87" s="170"/>
      <c r="M87" s="170"/>
      <c r="N87" s="170"/>
      <c r="O87" s="170"/>
      <c r="P87" s="170"/>
      <c r="Q87" s="171"/>
      <c r="R87" s="170"/>
      <c r="S87" s="170"/>
      <c r="T87" s="170"/>
      <c r="U87" s="170"/>
      <c r="V87" s="170"/>
      <c r="W87" s="170"/>
      <c r="X87" s="170"/>
      <c r="Y87" s="170"/>
      <c r="Z87" s="170"/>
      <c r="AA87" s="170"/>
      <c r="AB87" s="170"/>
      <c r="AC87" s="170"/>
      <c r="AD87" s="170"/>
      <c r="AE87" s="170"/>
      <c r="AF87" s="170"/>
      <c r="AG87" s="170"/>
      <c r="AH87" s="171"/>
      <c r="AI87" s="171"/>
      <c r="AJ87" s="171"/>
      <c r="AK87" s="171"/>
      <c r="AL87" s="171"/>
      <c r="AM87" s="171"/>
      <c r="BU87" s="171"/>
      <c r="BV87" s="171"/>
      <c r="BW87" s="171"/>
      <c r="BX87" s="171"/>
      <c r="BY87" s="171"/>
      <c r="BZ87" s="171"/>
      <c r="CA87" s="171"/>
      <c r="CB87" s="171"/>
      <c r="CC87" s="171"/>
      <c r="CD87" s="171"/>
      <c r="CE87" s="171"/>
      <c r="CF87" s="171"/>
      <c r="CG87" s="171"/>
      <c r="CH87" s="171"/>
      <c r="CI87" s="171"/>
      <c r="CJ87" s="171"/>
      <c r="CK87" s="171"/>
      <c r="CL87" s="171"/>
      <c r="CM87" s="171"/>
      <c r="CN87" s="171"/>
      <c r="CO87" s="171"/>
      <c r="CP87" s="171"/>
      <c r="CQ87" s="171"/>
      <c r="CR87" s="171"/>
      <c r="CS87" s="171"/>
      <c r="CT87" s="171"/>
      <c r="CU87" s="171"/>
      <c r="CV87" s="171"/>
      <c r="CW87" s="171"/>
      <c r="CX87" s="171"/>
      <c r="CY87" s="171"/>
      <c r="CZ87" s="171"/>
      <c r="DA87" s="171"/>
      <c r="DB87" s="171"/>
      <c r="DC87" s="171"/>
      <c r="DD87" s="171"/>
      <c r="DE87" s="171"/>
      <c r="DF87" s="171"/>
      <c r="DG87" s="171"/>
      <c r="DH87" s="171"/>
      <c r="DI87" s="171"/>
      <c r="DJ87" s="171"/>
      <c r="DK87" s="171"/>
      <c r="DL87" s="171"/>
      <c r="DM87" s="171"/>
      <c r="DN87" s="171"/>
      <c r="DO87" s="171"/>
      <c r="DP87" s="171"/>
      <c r="DQ87" s="171"/>
      <c r="DR87" s="171"/>
      <c r="DS87" s="171"/>
      <c r="DT87" s="171"/>
      <c r="DU87" s="171"/>
      <c r="DV87" s="171"/>
      <c r="DW87" s="171"/>
      <c r="DX87" s="171"/>
      <c r="DY87" s="171"/>
      <c r="DZ87" s="171"/>
      <c r="EA87" s="171"/>
      <c r="EB87" s="171"/>
      <c r="EC87" s="171"/>
      <c r="ED87" s="171"/>
      <c r="EE87" s="171"/>
      <c r="EF87" s="171"/>
      <c r="EG87" s="171"/>
      <c r="EH87" s="171"/>
      <c r="EI87" s="171"/>
      <c r="EJ87" s="171"/>
      <c r="EK87" s="171"/>
      <c r="EL87" s="171"/>
      <c r="EM87" s="171"/>
      <c r="EN87" s="171"/>
      <c r="EO87" s="171"/>
      <c r="EP87" s="171"/>
      <c r="EQ87" s="171"/>
      <c r="ER87" s="171"/>
      <c r="ES87" s="171"/>
      <c r="ET87" s="171"/>
      <c r="EU87" s="171"/>
      <c r="EV87" s="171"/>
      <c r="EW87" s="171"/>
      <c r="EX87" s="171"/>
      <c r="FC87" s="42"/>
      <c r="FD87" s="160"/>
      <c r="FE87" s="160"/>
      <c r="FF87" s="160"/>
      <c r="FG87" s="160"/>
      <c r="FH87" s="160"/>
      <c r="FI87" s="160"/>
      <c r="FJ87" s="160"/>
      <c r="FK87" s="160"/>
      <c r="FL87" s="160"/>
      <c r="FM87" s="160"/>
      <c r="FN87" s="160"/>
      <c r="FO87" s="160"/>
      <c r="FP87" s="160"/>
      <c r="FQ87" s="160"/>
      <c r="FR87" s="160"/>
      <c r="FS87" s="160"/>
      <c r="FT87" s="160"/>
      <c r="FU87" s="160"/>
      <c r="FV87" s="160"/>
      <c r="FW87" s="160"/>
      <c r="FX87" s="160"/>
      <c r="FY87" s="160"/>
      <c r="FZ87" s="160"/>
      <c r="GA87" s="160"/>
      <c r="GB87" s="160"/>
      <c r="GC87" s="160"/>
      <c r="GD87" s="160"/>
      <c r="GE87" s="69"/>
      <c r="IO87" s="171"/>
      <c r="IP87" s="171"/>
      <c r="IQ87" s="171"/>
      <c r="IR87" s="171"/>
      <c r="IS87" s="171"/>
      <c r="IT87" s="171"/>
      <c r="IU87" s="171"/>
      <c r="IV87" s="171"/>
      <c r="IW87" s="171"/>
      <c r="IX87" s="171"/>
      <c r="IY87" s="171"/>
      <c r="IZ87" s="171"/>
      <c r="JA87" s="171"/>
      <c r="JB87" s="171"/>
      <c r="JC87" s="171"/>
      <c r="JD87" s="171"/>
      <c r="JE87" s="171"/>
      <c r="JF87" s="171"/>
      <c r="JG87" s="171"/>
      <c r="JH87" s="171"/>
      <c r="JI87" s="171"/>
      <c r="JJ87" s="171"/>
      <c r="JK87" s="171"/>
      <c r="JL87" s="171"/>
      <c r="JM87" s="171"/>
      <c r="JN87" s="171"/>
    </row>
    <row r="88" spans="1:274" x14ac:dyDescent="0.25">
      <c r="A88" s="172"/>
      <c r="E88" s="173"/>
      <c r="G88" s="170"/>
      <c r="H88" s="170"/>
      <c r="I88" s="170"/>
      <c r="J88" s="170"/>
      <c r="K88" s="170"/>
      <c r="L88" s="170"/>
      <c r="M88" s="170"/>
      <c r="N88" s="170"/>
      <c r="O88" s="170"/>
      <c r="P88" s="170"/>
      <c r="Q88" s="171"/>
      <c r="R88" s="170"/>
      <c r="S88" s="170"/>
      <c r="T88" s="170"/>
      <c r="U88" s="170"/>
      <c r="V88" s="170"/>
      <c r="W88" s="170"/>
      <c r="X88" s="170"/>
      <c r="Y88" s="170"/>
      <c r="Z88" s="170"/>
      <c r="AA88" s="170"/>
      <c r="AB88" s="170"/>
      <c r="AC88" s="170"/>
      <c r="AD88" s="170"/>
      <c r="AE88" s="170"/>
      <c r="AF88" s="170"/>
      <c r="AG88" s="170"/>
      <c r="AH88" s="171"/>
      <c r="AI88" s="171"/>
      <c r="AJ88" s="171"/>
      <c r="AK88" s="171"/>
      <c r="AL88" s="171"/>
      <c r="AM88" s="171"/>
      <c r="BU88" s="171"/>
      <c r="BV88" s="171"/>
      <c r="BW88" s="171"/>
      <c r="BX88" s="171"/>
      <c r="BY88" s="171"/>
      <c r="BZ88" s="171"/>
      <c r="CA88" s="171"/>
      <c r="CB88" s="171"/>
      <c r="CC88" s="171"/>
      <c r="CD88" s="171"/>
      <c r="CE88" s="171"/>
      <c r="CF88" s="171"/>
      <c r="CG88" s="171"/>
      <c r="CH88" s="171"/>
      <c r="CI88" s="171"/>
      <c r="CJ88" s="171"/>
      <c r="CK88" s="171"/>
      <c r="CL88" s="171"/>
      <c r="CM88" s="171"/>
      <c r="CN88" s="171"/>
      <c r="CO88" s="171"/>
      <c r="CP88" s="171"/>
      <c r="CQ88" s="171"/>
      <c r="CR88" s="171"/>
      <c r="CS88" s="171"/>
      <c r="CT88" s="171"/>
      <c r="CU88" s="171"/>
      <c r="CV88" s="171"/>
      <c r="CW88" s="171"/>
      <c r="CX88" s="171"/>
      <c r="CY88" s="171"/>
      <c r="CZ88" s="171"/>
      <c r="DA88" s="171"/>
      <c r="DB88" s="171"/>
      <c r="DC88" s="171"/>
      <c r="DD88" s="171"/>
      <c r="DE88" s="171"/>
      <c r="DF88" s="171"/>
      <c r="DG88" s="171"/>
      <c r="DH88" s="171"/>
      <c r="DI88" s="171"/>
      <c r="DJ88" s="171"/>
      <c r="DK88" s="171"/>
      <c r="DL88" s="171"/>
      <c r="DM88" s="171"/>
      <c r="DN88" s="171"/>
      <c r="DO88" s="171"/>
      <c r="DP88" s="171"/>
      <c r="DQ88" s="171"/>
      <c r="DR88" s="171"/>
      <c r="DS88" s="171"/>
      <c r="DT88" s="171"/>
      <c r="DU88" s="171"/>
      <c r="DV88" s="171"/>
      <c r="DW88" s="171"/>
      <c r="DX88" s="171"/>
      <c r="DY88" s="171"/>
      <c r="DZ88" s="171"/>
      <c r="EA88" s="171"/>
      <c r="EB88" s="171"/>
      <c r="EC88" s="171"/>
      <c r="ED88" s="171"/>
      <c r="EE88" s="171"/>
      <c r="EF88" s="171"/>
      <c r="EG88" s="171"/>
      <c r="EH88" s="171"/>
      <c r="EI88" s="171"/>
      <c r="EJ88" s="171"/>
      <c r="EK88" s="171"/>
      <c r="EL88" s="171"/>
      <c r="EM88" s="171"/>
      <c r="EN88" s="171"/>
      <c r="EO88" s="171"/>
      <c r="EP88" s="171"/>
      <c r="EQ88" s="171"/>
      <c r="ER88" s="171"/>
      <c r="ES88" s="171"/>
      <c r="ET88" s="171"/>
      <c r="EU88" s="171"/>
      <c r="EV88" s="171"/>
      <c r="EW88" s="171"/>
      <c r="EX88" s="171"/>
      <c r="FC88" s="42"/>
      <c r="FD88" s="160"/>
      <c r="FE88" s="160"/>
      <c r="FF88" s="160"/>
      <c r="FG88" s="160"/>
      <c r="FH88" s="160"/>
      <c r="FI88" s="160"/>
      <c r="FJ88" s="160"/>
      <c r="FK88" s="160"/>
      <c r="FL88" s="160"/>
      <c r="FM88" s="160"/>
      <c r="FN88" s="160"/>
      <c r="FO88" s="160"/>
      <c r="FP88" s="160"/>
      <c r="FQ88" s="160"/>
      <c r="FR88" s="160"/>
      <c r="FS88" s="160"/>
      <c r="FT88" s="160"/>
      <c r="FU88" s="160"/>
      <c r="FV88" s="160"/>
      <c r="FW88" s="160"/>
      <c r="FX88" s="160"/>
      <c r="FY88" s="160"/>
      <c r="FZ88" s="160"/>
      <c r="GA88" s="160"/>
      <c r="GB88" s="160"/>
      <c r="GC88" s="160"/>
      <c r="GD88" s="160"/>
      <c r="GE88" s="69"/>
      <c r="IO88" s="171"/>
      <c r="IP88" s="171"/>
      <c r="IQ88" s="171"/>
      <c r="IR88" s="171"/>
      <c r="IS88" s="171"/>
      <c r="IT88" s="171"/>
      <c r="IU88" s="171"/>
      <c r="IV88" s="171"/>
      <c r="IW88" s="171"/>
      <c r="IX88" s="171"/>
      <c r="IY88" s="171"/>
      <c r="IZ88" s="171"/>
      <c r="JA88" s="171"/>
      <c r="JB88" s="171"/>
      <c r="JC88" s="171"/>
      <c r="JD88" s="171"/>
      <c r="JE88" s="171"/>
      <c r="JF88" s="171"/>
      <c r="JG88" s="171"/>
      <c r="JH88" s="171"/>
      <c r="JI88" s="171"/>
      <c r="JJ88" s="171"/>
      <c r="JK88" s="171"/>
      <c r="JL88" s="171"/>
      <c r="JM88" s="171"/>
      <c r="JN88" s="171"/>
    </row>
    <row r="89" spans="1:274" x14ac:dyDescent="0.25">
      <c r="A89" s="172"/>
      <c r="E89" s="174"/>
      <c r="G89" s="170"/>
      <c r="H89" s="170"/>
      <c r="I89" s="170"/>
      <c r="J89" s="170"/>
      <c r="K89" s="170"/>
      <c r="L89" s="170"/>
      <c r="M89" s="170"/>
      <c r="N89" s="170"/>
      <c r="O89" s="170"/>
      <c r="P89" s="170"/>
      <c r="Q89" s="171"/>
      <c r="R89" s="170"/>
      <c r="S89" s="170"/>
      <c r="T89" s="170"/>
      <c r="U89" s="170"/>
      <c r="V89" s="170"/>
      <c r="W89" s="170"/>
      <c r="X89" s="170"/>
      <c r="Y89" s="170"/>
      <c r="Z89" s="170"/>
      <c r="AA89" s="170"/>
      <c r="AB89" s="170"/>
      <c r="AC89" s="170"/>
      <c r="AD89" s="170"/>
      <c r="AE89" s="170"/>
      <c r="AF89" s="170"/>
      <c r="AG89" s="170"/>
      <c r="AH89" s="171"/>
      <c r="AI89" s="171"/>
      <c r="AJ89" s="171"/>
      <c r="AK89" s="171"/>
      <c r="AL89" s="171"/>
      <c r="AM89" s="171"/>
      <c r="BU89" s="171"/>
      <c r="BV89" s="171"/>
      <c r="BW89" s="171"/>
      <c r="BX89" s="171"/>
      <c r="BY89" s="171"/>
      <c r="BZ89" s="171"/>
      <c r="CA89" s="171"/>
      <c r="CB89" s="171"/>
      <c r="CC89" s="171"/>
      <c r="CD89" s="171"/>
      <c r="CE89" s="171"/>
      <c r="CF89" s="171"/>
      <c r="CG89" s="171"/>
      <c r="CH89" s="171"/>
      <c r="CI89" s="171"/>
      <c r="CJ89" s="171"/>
      <c r="CK89" s="171"/>
      <c r="CL89" s="171"/>
      <c r="CM89" s="171"/>
      <c r="CN89" s="171"/>
      <c r="CO89" s="171"/>
      <c r="CP89" s="171"/>
      <c r="CQ89" s="171"/>
      <c r="CR89" s="171"/>
      <c r="CS89" s="171"/>
      <c r="CT89" s="171"/>
      <c r="CU89" s="171"/>
      <c r="CV89" s="171"/>
      <c r="CW89" s="171"/>
      <c r="CX89" s="171"/>
      <c r="CY89" s="171"/>
      <c r="CZ89" s="171"/>
      <c r="DA89" s="171"/>
      <c r="DB89" s="171"/>
      <c r="DC89" s="171"/>
      <c r="DD89" s="171"/>
      <c r="DE89" s="171"/>
      <c r="DF89" s="171"/>
      <c r="DG89" s="171"/>
      <c r="DH89" s="171"/>
      <c r="DI89" s="171"/>
      <c r="DJ89" s="171"/>
      <c r="DK89" s="171"/>
      <c r="DL89" s="171"/>
      <c r="DM89" s="171"/>
      <c r="DN89" s="171"/>
      <c r="DO89" s="171"/>
      <c r="DP89" s="171"/>
      <c r="DQ89" s="171"/>
      <c r="DR89" s="171"/>
      <c r="DS89" s="171"/>
      <c r="DT89" s="171"/>
      <c r="DU89" s="171"/>
      <c r="DV89" s="171"/>
      <c r="DW89" s="171"/>
      <c r="DX89" s="171"/>
      <c r="DY89" s="171"/>
      <c r="DZ89" s="171"/>
      <c r="EA89" s="171"/>
      <c r="EB89" s="171"/>
      <c r="EC89" s="171"/>
      <c r="ED89" s="171"/>
      <c r="EE89" s="171"/>
      <c r="EF89" s="171"/>
      <c r="EG89" s="171"/>
      <c r="EH89" s="171"/>
      <c r="EI89" s="171"/>
      <c r="EJ89" s="171"/>
      <c r="EK89" s="171"/>
      <c r="EL89" s="171"/>
      <c r="EM89" s="171"/>
      <c r="EN89" s="171"/>
      <c r="EO89" s="171"/>
      <c r="EP89" s="171"/>
      <c r="EQ89" s="171"/>
      <c r="ER89" s="171"/>
      <c r="ES89" s="171"/>
      <c r="ET89" s="171"/>
      <c r="EU89" s="171"/>
      <c r="EV89" s="171"/>
      <c r="EW89" s="171"/>
      <c r="EX89" s="171"/>
      <c r="FC89" s="42"/>
      <c r="FD89" s="160"/>
      <c r="FE89" s="160"/>
      <c r="FF89" s="160"/>
      <c r="FG89" s="160"/>
      <c r="FH89" s="160"/>
      <c r="FI89" s="160"/>
      <c r="FJ89" s="160"/>
      <c r="FK89" s="160"/>
      <c r="FL89" s="160"/>
      <c r="FM89" s="160"/>
      <c r="FN89" s="160"/>
      <c r="FO89" s="160"/>
      <c r="FP89" s="160"/>
      <c r="FQ89" s="160"/>
      <c r="FR89" s="160"/>
      <c r="FS89" s="160"/>
      <c r="FT89" s="160"/>
      <c r="FU89" s="160"/>
      <c r="FV89" s="160"/>
      <c r="FW89" s="160"/>
      <c r="FX89" s="160"/>
      <c r="FY89" s="160"/>
      <c r="FZ89" s="160"/>
      <c r="GA89" s="160"/>
      <c r="GB89" s="160"/>
      <c r="GC89" s="160"/>
      <c r="GD89" s="160"/>
      <c r="GE89" s="69"/>
      <c r="IO89" s="171"/>
      <c r="IP89" s="171"/>
      <c r="IQ89" s="171"/>
      <c r="IR89" s="171"/>
      <c r="IS89" s="171"/>
      <c r="IT89" s="171"/>
      <c r="IU89" s="171"/>
      <c r="IV89" s="171"/>
      <c r="IW89" s="171"/>
      <c r="IX89" s="171"/>
      <c r="IY89" s="171"/>
      <c r="IZ89" s="171"/>
      <c r="JA89" s="171"/>
      <c r="JB89" s="171"/>
      <c r="JC89" s="171"/>
      <c r="JD89" s="171"/>
      <c r="JE89" s="171"/>
      <c r="JF89" s="171"/>
      <c r="JG89" s="171"/>
      <c r="JH89" s="171"/>
      <c r="JI89" s="171"/>
      <c r="JJ89" s="171"/>
      <c r="JK89" s="171"/>
      <c r="JL89" s="171"/>
      <c r="JM89" s="171"/>
      <c r="JN89" s="171"/>
    </row>
    <row r="90" spans="1:274" x14ac:dyDescent="0.25">
      <c r="A90" s="172"/>
      <c r="E90" s="173"/>
      <c r="G90" s="170"/>
      <c r="H90" s="170"/>
      <c r="I90" s="170"/>
      <c r="J90" s="170"/>
      <c r="K90" s="170"/>
      <c r="L90" s="170"/>
      <c r="M90" s="170"/>
      <c r="N90" s="170"/>
      <c r="O90" s="170"/>
      <c r="P90" s="170"/>
      <c r="Q90" s="171"/>
      <c r="R90" s="170"/>
      <c r="S90" s="170"/>
      <c r="T90" s="170"/>
      <c r="U90" s="170"/>
      <c r="V90" s="170"/>
      <c r="W90" s="170"/>
      <c r="X90" s="170"/>
      <c r="Y90" s="170"/>
      <c r="Z90" s="170"/>
      <c r="AA90" s="170"/>
      <c r="AB90" s="170"/>
      <c r="AC90" s="170"/>
      <c r="AD90" s="170"/>
      <c r="AE90" s="170"/>
      <c r="AF90" s="170"/>
      <c r="AG90" s="170"/>
      <c r="AH90" s="171"/>
      <c r="AI90" s="171"/>
      <c r="AJ90" s="171"/>
      <c r="AK90" s="171"/>
      <c r="AL90" s="171"/>
      <c r="AM90" s="171"/>
      <c r="BU90" s="171"/>
      <c r="BV90" s="171"/>
      <c r="BW90" s="171"/>
      <c r="BX90" s="171"/>
      <c r="BY90" s="171"/>
      <c r="BZ90" s="171"/>
      <c r="CA90" s="171"/>
      <c r="CB90" s="171"/>
      <c r="CC90" s="171"/>
      <c r="CD90" s="171"/>
      <c r="CE90" s="171"/>
      <c r="CF90" s="171"/>
      <c r="CG90" s="171"/>
      <c r="CH90" s="171"/>
      <c r="CI90" s="171"/>
      <c r="CJ90" s="171"/>
      <c r="CK90" s="171"/>
      <c r="CL90" s="171"/>
      <c r="CM90" s="171"/>
      <c r="CN90" s="171"/>
      <c r="CO90" s="171"/>
      <c r="CP90" s="171"/>
      <c r="CQ90" s="171"/>
      <c r="CR90" s="171"/>
      <c r="CS90" s="171"/>
      <c r="CT90" s="171"/>
      <c r="CU90" s="171"/>
      <c r="CV90" s="171"/>
      <c r="CW90" s="171"/>
      <c r="CX90" s="171"/>
      <c r="CY90" s="171"/>
      <c r="CZ90" s="171"/>
      <c r="DA90" s="171"/>
      <c r="DB90" s="171"/>
      <c r="DC90" s="171"/>
      <c r="DD90" s="171"/>
      <c r="DE90" s="171"/>
      <c r="DF90" s="171"/>
      <c r="DG90" s="171"/>
      <c r="DH90" s="171"/>
      <c r="DI90" s="171"/>
      <c r="DJ90" s="171"/>
      <c r="DK90" s="171"/>
      <c r="DL90" s="171"/>
      <c r="DM90" s="171"/>
      <c r="DN90" s="171"/>
      <c r="DO90" s="171"/>
      <c r="DP90" s="171"/>
      <c r="DQ90" s="171"/>
      <c r="DR90" s="171"/>
      <c r="DS90" s="171"/>
      <c r="DT90" s="171"/>
      <c r="DU90" s="171"/>
      <c r="DV90" s="171"/>
      <c r="DW90" s="171"/>
      <c r="DX90" s="171"/>
      <c r="DY90" s="171"/>
      <c r="DZ90" s="171"/>
      <c r="EA90" s="171"/>
      <c r="EB90" s="171"/>
      <c r="EC90" s="171"/>
      <c r="ED90" s="171"/>
      <c r="EE90" s="171"/>
      <c r="EF90" s="171"/>
      <c r="EG90" s="171"/>
      <c r="EH90" s="171"/>
      <c r="EI90" s="171"/>
      <c r="EJ90" s="171"/>
      <c r="EK90" s="171"/>
      <c r="EL90" s="171"/>
      <c r="EM90" s="171"/>
      <c r="EN90" s="171"/>
      <c r="EO90" s="171"/>
      <c r="EP90" s="171"/>
      <c r="EQ90" s="171"/>
      <c r="ER90" s="171"/>
      <c r="ES90" s="171"/>
      <c r="ET90" s="171"/>
      <c r="EU90" s="171"/>
      <c r="EV90" s="171"/>
      <c r="EW90" s="171"/>
      <c r="EX90" s="171"/>
      <c r="FC90" s="42"/>
      <c r="FD90" s="160"/>
      <c r="FE90" s="160"/>
      <c r="FF90" s="160"/>
      <c r="FG90" s="160"/>
      <c r="FH90" s="160"/>
      <c r="FI90" s="160"/>
      <c r="FJ90" s="160"/>
      <c r="FK90" s="160"/>
      <c r="FL90" s="160"/>
      <c r="FM90" s="160"/>
      <c r="FN90" s="160"/>
      <c r="FO90" s="160"/>
      <c r="FP90" s="160"/>
      <c r="FQ90" s="160"/>
      <c r="FR90" s="160"/>
      <c r="FS90" s="160"/>
      <c r="FT90" s="160"/>
      <c r="FU90" s="160"/>
      <c r="FV90" s="160"/>
      <c r="FW90" s="160"/>
      <c r="FX90" s="160"/>
      <c r="FY90" s="160"/>
      <c r="FZ90" s="160"/>
      <c r="GA90" s="160"/>
      <c r="GB90" s="160"/>
      <c r="GC90" s="160"/>
      <c r="GD90" s="160"/>
      <c r="GE90" s="69"/>
      <c r="IO90" s="171"/>
      <c r="IP90" s="171"/>
      <c r="IQ90" s="171"/>
      <c r="IR90" s="171"/>
      <c r="IS90" s="171"/>
      <c r="IT90" s="171"/>
      <c r="IU90" s="171"/>
      <c r="IV90" s="171"/>
      <c r="IW90" s="171"/>
      <c r="IX90" s="171"/>
      <c r="IY90" s="171"/>
      <c r="IZ90" s="171"/>
      <c r="JA90" s="171"/>
      <c r="JB90" s="171"/>
      <c r="JC90" s="171"/>
      <c r="JD90" s="171"/>
      <c r="JE90" s="171"/>
      <c r="JF90" s="171"/>
      <c r="JG90" s="171"/>
      <c r="JH90" s="171"/>
      <c r="JI90" s="171"/>
      <c r="JJ90" s="171"/>
      <c r="JK90" s="171"/>
      <c r="JL90" s="171"/>
      <c r="JM90" s="171"/>
      <c r="JN90" s="171"/>
    </row>
    <row r="91" spans="1:274" x14ac:dyDescent="0.25">
      <c r="A91" s="172"/>
      <c r="E91" s="173"/>
      <c r="G91" s="170"/>
      <c r="H91" s="170"/>
      <c r="I91" s="170"/>
      <c r="J91" s="170"/>
      <c r="K91" s="170"/>
      <c r="L91" s="170"/>
      <c r="M91" s="170"/>
      <c r="N91" s="170"/>
      <c r="O91" s="170"/>
      <c r="P91" s="170"/>
      <c r="Q91" s="171"/>
      <c r="R91" s="170"/>
      <c r="S91" s="170"/>
      <c r="T91" s="170"/>
      <c r="U91" s="170"/>
      <c r="V91" s="170"/>
      <c r="W91" s="170"/>
      <c r="X91" s="170"/>
      <c r="Y91" s="170"/>
      <c r="Z91" s="170"/>
      <c r="AA91" s="170"/>
      <c r="AB91" s="170"/>
      <c r="AC91" s="170"/>
      <c r="AD91" s="170"/>
      <c r="AE91" s="170"/>
      <c r="AF91" s="170"/>
      <c r="AG91" s="170"/>
      <c r="AH91" s="171"/>
      <c r="AI91" s="171"/>
      <c r="AJ91" s="171"/>
      <c r="AK91" s="171"/>
      <c r="AL91" s="171"/>
      <c r="AM91" s="171"/>
      <c r="BU91" s="171"/>
      <c r="BV91" s="171"/>
      <c r="BW91" s="171"/>
      <c r="BX91" s="171"/>
      <c r="BY91" s="171"/>
      <c r="BZ91" s="171"/>
      <c r="CA91" s="171"/>
      <c r="CB91" s="171"/>
      <c r="CC91" s="171"/>
      <c r="CD91" s="171"/>
      <c r="CE91" s="171"/>
      <c r="CF91" s="171"/>
      <c r="CG91" s="171"/>
      <c r="CH91" s="171"/>
      <c r="CI91" s="171"/>
      <c r="CJ91" s="171"/>
      <c r="CK91" s="171"/>
      <c r="CL91" s="171"/>
      <c r="CM91" s="171"/>
      <c r="CN91" s="171"/>
      <c r="CO91" s="171"/>
      <c r="CP91" s="171"/>
      <c r="CQ91" s="171"/>
      <c r="CR91" s="171"/>
      <c r="CS91" s="171"/>
      <c r="CT91" s="171"/>
      <c r="CU91" s="171"/>
      <c r="CV91" s="171"/>
      <c r="CW91" s="171"/>
      <c r="CX91" s="171"/>
      <c r="CY91" s="171"/>
      <c r="CZ91" s="171"/>
      <c r="DA91" s="171"/>
      <c r="DB91" s="171"/>
      <c r="DC91" s="171"/>
      <c r="DD91" s="171"/>
      <c r="DE91" s="171"/>
      <c r="DF91" s="171"/>
      <c r="DG91" s="171"/>
      <c r="DH91" s="171"/>
      <c r="DI91" s="171"/>
      <c r="DJ91" s="171"/>
      <c r="DK91" s="171"/>
      <c r="DL91" s="171"/>
      <c r="DM91" s="171"/>
      <c r="DN91" s="171"/>
      <c r="DO91" s="171"/>
      <c r="DP91" s="171"/>
      <c r="DQ91" s="171"/>
      <c r="DR91" s="171"/>
      <c r="DS91" s="171"/>
      <c r="DT91" s="171"/>
      <c r="DU91" s="171"/>
      <c r="DV91" s="171"/>
      <c r="DW91" s="171"/>
      <c r="DX91" s="171"/>
      <c r="DY91" s="171"/>
      <c r="DZ91" s="171"/>
      <c r="EA91" s="171"/>
      <c r="EB91" s="171"/>
      <c r="EC91" s="171"/>
      <c r="ED91" s="171"/>
      <c r="EE91" s="171"/>
      <c r="EF91" s="171"/>
      <c r="EG91" s="171"/>
      <c r="EH91" s="171"/>
      <c r="EI91" s="171"/>
      <c r="EJ91" s="171"/>
      <c r="EK91" s="171"/>
      <c r="EL91" s="171"/>
      <c r="EM91" s="171"/>
      <c r="EN91" s="171"/>
      <c r="EO91" s="171"/>
      <c r="EP91" s="171"/>
      <c r="EQ91" s="171"/>
      <c r="ER91" s="171"/>
      <c r="ES91" s="171"/>
      <c r="ET91" s="171"/>
      <c r="EU91" s="171"/>
      <c r="EV91" s="171"/>
      <c r="EW91" s="171"/>
      <c r="EX91" s="171"/>
      <c r="FC91" s="42"/>
      <c r="FD91" s="160"/>
      <c r="FE91" s="160"/>
      <c r="FF91" s="160"/>
      <c r="FG91" s="160"/>
      <c r="FH91" s="160"/>
      <c r="FI91" s="160"/>
      <c r="FJ91" s="160"/>
      <c r="FK91" s="160"/>
      <c r="FL91" s="160"/>
      <c r="FM91" s="160"/>
      <c r="FN91" s="160"/>
      <c r="FO91" s="160"/>
      <c r="FP91" s="160"/>
      <c r="FQ91" s="160"/>
      <c r="FR91" s="160"/>
      <c r="FS91" s="160"/>
      <c r="FT91" s="160"/>
      <c r="FU91" s="160"/>
      <c r="FV91" s="160"/>
      <c r="FW91" s="160"/>
      <c r="FX91" s="160"/>
      <c r="FY91" s="160"/>
      <c r="FZ91" s="160"/>
      <c r="GA91" s="160"/>
      <c r="GB91" s="160"/>
      <c r="GC91" s="160"/>
      <c r="GD91" s="160"/>
      <c r="GE91" s="69"/>
      <c r="IO91" s="171"/>
      <c r="IP91" s="171"/>
      <c r="IQ91" s="171"/>
      <c r="IR91" s="171"/>
      <c r="IS91" s="171"/>
      <c r="IT91" s="171"/>
      <c r="IU91" s="171"/>
      <c r="IV91" s="171"/>
      <c r="IW91" s="171"/>
      <c r="IX91" s="171"/>
      <c r="IY91" s="171"/>
      <c r="IZ91" s="171"/>
      <c r="JA91" s="171"/>
      <c r="JB91" s="171"/>
      <c r="JC91" s="171"/>
      <c r="JD91" s="171"/>
      <c r="JE91" s="171"/>
      <c r="JF91" s="171"/>
      <c r="JG91" s="171"/>
      <c r="JH91" s="171"/>
      <c r="JI91" s="171"/>
      <c r="JJ91" s="171"/>
      <c r="JK91" s="171"/>
      <c r="JL91" s="171"/>
      <c r="JM91" s="171"/>
      <c r="JN91" s="171"/>
    </row>
    <row r="92" spans="1:274" x14ac:dyDescent="0.25">
      <c r="A92" s="172"/>
      <c r="E92" s="173"/>
      <c r="G92" s="170"/>
      <c r="H92" s="170"/>
      <c r="I92" s="170"/>
      <c r="J92" s="170"/>
      <c r="K92" s="170"/>
      <c r="L92" s="170"/>
      <c r="M92" s="170"/>
      <c r="N92" s="170"/>
      <c r="O92" s="170"/>
      <c r="P92" s="170"/>
      <c r="Q92" s="171"/>
      <c r="R92" s="170"/>
      <c r="S92" s="170"/>
      <c r="T92" s="170"/>
      <c r="U92" s="170"/>
      <c r="V92" s="170"/>
      <c r="W92" s="170"/>
      <c r="X92" s="170"/>
      <c r="Y92" s="170"/>
      <c r="Z92" s="170"/>
      <c r="AA92" s="170"/>
      <c r="AB92" s="170"/>
      <c r="AC92" s="170"/>
      <c r="AD92" s="170"/>
      <c r="AE92" s="170"/>
      <c r="AF92" s="170"/>
      <c r="AG92" s="170"/>
      <c r="AH92" s="171"/>
      <c r="AI92" s="171"/>
      <c r="AJ92" s="171"/>
      <c r="AK92" s="171"/>
      <c r="AL92" s="171"/>
      <c r="AM92" s="171"/>
      <c r="BU92" s="171"/>
      <c r="BV92" s="171"/>
      <c r="BW92" s="171"/>
      <c r="BX92" s="171"/>
      <c r="BY92" s="171"/>
      <c r="BZ92" s="171"/>
      <c r="CA92" s="171"/>
      <c r="CB92" s="171"/>
      <c r="CC92" s="171"/>
      <c r="CD92" s="171"/>
      <c r="CE92" s="171"/>
      <c r="CF92" s="171"/>
      <c r="CG92" s="171"/>
      <c r="CH92" s="171"/>
      <c r="CI92" s="171"/>
      <c r="CJ92" s="171"/>
      <c r="CK92" s="171"/>
      <c r="CL92" s="171"/>
      <c r="CM92" s="171"/>
      <c r="CN92" s="171"/>
      <c r="CO92" s="171"/>
      <c r="CP92" s="171"/>
      <c r="CQ92" s="171"/>
      <c r="CR92" s="171"/>
      <c r="CS92" s="171"/>
      <c r="CT92" s="171"/>
      <c r="CU92" s="171"/>
      <c r="CV92" s="171"/>
      <c r="CW92" s="171"/>
      <c r="CX92" s="171"/>
      <c r="CY92" s="171"/>
      <c r="CZ92" s="171"/>
      <c r="DA92" s="171"/>
      <c r="DB92" s="171"/>
      <c r="DC92" s="171"/>
      <c r="DD92" s="171"/>
      <c r="DE92" s="171"/>
      <c r="DF92" s="171"/>
      <c r="DG92" s="171"/>
      <c r="DH92" s="171"/>
      <c r="DI92" s="171"/>
      <c r="DJ92" s="171"/>
      <c r="DK92" s="171"/>
      <c r="DL92" s="171"/>
      <c r="DM92" s="171"/>
      <c r="DN92" s="171"/>
      <c r="DO92" s="171"/>
      <c r="DP92" s="171"/>
      <c r="DQ92" s="171"/>
      <c r="DR92" s="171"/>
      <c r="DS92" s="171"/>
      <c r="DT92" s="171"/>
      <c r="DU92" s="171"/>
      <c r="DV92" s="171"/>
      <c r="DW92" s="171"/>
      <c r="DX92" s="171"/>
      <c r="DY92" s="171"/>
      <c r="DZ92" s="171"/>
      <c r="EA92" s="171"/>
      <c r="EB92" s="171"/>
      <c r="EC92" s="171"/>
      <c r="ED92" s="171"/>
      <c r="EE92" s="171"/>
      <c r="EF92" s="171"/>
      <c r="EG92" s="171"/>
      <c r="EH92" s="171"/>
      <c r="EI92" s="171"/>
      <c r="EJ92" s="171"/>
      <c r="EK92" s="171"/>
      <c r="EL92" s="171"/>
      <c r="EM92" s="171"/>
      <c r="EN92" s="171"/>
      <c r="EO92" s="171"/>
      <c r="EP92" s="171"/>
      <c r="EQ92" s="171"/>
      <c r="ER92" s="171"/>
      <c r="ES92" s="171"/>
      <c r="ET92" s="171"/>
      <c r="EU92" s="171"/>
      <c r="EV92" s="171"/>
      <c r="EW92" s="171"/>
      <c r="EX92" s="171"/>
      <c r="FC92" s="42"/>
      <c r="FD92" s="160"/>
      <c r="FE92" s="160"/>
      <c r="FF92" s="160"/>
      <c r="FG92" s="160"/>
      <c r="FH92" s="160"/>
      <c r="FI92" s="160"/>
      <c r="FJ92" s="160"/>
      <c r="FK92" s="160"/>
      <c r="FL92" s="160"/>
      <c r="FM92" s="160"/>
      <c r="FN92" s="160"/>
      <c r="FO92" s="160"/>
      <c r="FP92" s="160"/>
      <c r="FQ92" s="160"/>
      <c r="FR92" s="160"/>
      <c r="FS92" s="160"/>
      <c r="FT92" s="160"/>
      <c r="FU92" s="160"/>
      <c r="FV92" s="160"/>
      <c r="FW92" s="160"/>
      <c r="FX92" s="160"/>
      <c r="FY92" s="160"/>
      <c r="FZ92" s="160"/>
      <c r="GA92" s="160"/>
      <c r="GB92" s="160"/>
      <c r="GC92" s="160"/>
      <c r="GD92" s="160"/>
      <c r="GE92" s="69"/>
      <c r="IO92" s="171"/>
      <c r="IP92" s="171"/>
      <c r="IQ92" s="171"/>
      <c r="IR92" s="171"/>
      <c r="IS92" s="171"/>
      <c r="IT92" s="171"/>
      <c r="IU92" s="171"/>
      <c r="IV92" s="171"/>
      <c r="IW92" s="171"/>
      <c r="IX92" s="171"/>
      <c r="IY92" s="171"/>
      <c r="IZ92" s="171"/>
      <c r="JA92" s="171"/>
      <c r="JB92" s="171"/>
      <c r="JC92" s="171"/>
      <c r="JD92" s="171"/>
      <c r="JE92" s="171"/>
      <c r="JF92" s="171"/>
      <c r="JG92" s="171"/>
      <c r="JH92" s="171"/>
      <c r="JI92" s="171"/>
      <c r="JJ92" s="171"/>
      <c r="JK92" s="171"/>
      <c r="JL92" s="171"/>
      <c r="JM92" s="171"/>
      <c r="JN92" s="171"/>
    </row>
    <row r="93" spans="1:274" x14ac:dyDescent="0.25">
      <c r="A93" s="172"/>
      <c r="E93" s="173"/>
      <c r="G93" s="170"/>
      <c r="H93" s="170"/>
      <c r="I93" s="170"/>
      <c r="J93" s="170"/>
      <c r="K93" s="170"/>
      <c r="L93" s="170"/>
      <c r="M93" s="170"/>
      <c r="N93" s="170"/>
      <c r="O93" s="170"/>
      <c r="P93" s="170"/>
      <c r="Q93" s="171"/>
      <c r="R93" s="170"/>
      <c r="S93" s="170"/>
      <c r="T93" s="170"/>
      <c r="U93" s="170"/>
      <c r="V93" s="170"/>
      <c r="W93" s="170"/>
      <c r="X93" s="170"/>
      <c r="Y93" s="170"/>
      <c r="Z93" s="170"/>
      <c r="AA93" s="170"/>
      <c r="AB93" s="170"/>
      <c r="AC93" s="170"/>
      <c r="AD93" s="170"/>
      <c r="AE93" s="170"/>
      <c r="AF93" s="170"/>
      <c r="AG93" s="170"/>
      <c r="AH93" s="171"/>
      <c r="AI93" s="171"/>
      <c r="AJ93" s="171"/>
      <c r="AK93" s="171"/>
      <c r="AL93" s="171"/>
      <c r="AM93" s="171"/>
      <c r="BU93" s="171"/>
      <c r="BV93" s="171"/>
      <c r="BW93" s="171"/>
      <c r="BX93" s="171"/>
      <c r="BY93" s="171"/>
      <c r="BZ93" s="171"/>
      <c r="CA93" s="171"/>
      <c r="CB93" s="171"/>
      <c r="CC93" s="171"/>
      <c r="CD93" s="171"/>
      <c r="CE93" s="171"/>
      <c r="CF93" s="171"/>
      <c r="CG93" s="171"/>
      <c r="CH93" s="171"/>
      <c r="CI93" s="171"/>
      <c r="CJ93" s="171"/>
      <c r="CK93" s="171"/>
      <c r="CL93" s="171"/>
      <c r="CM93" s="171"/>
      <c r="CN93" s="171"/>
      <c r="CO93" s="171"/>
      <c r="CP93" s="171"/>
      <c r="CQ93" s="171"/>
      <c r="CR93" s="171"/>
      <c r="CS93" s="171"/>
      <c r="CT93" s="171"/>
      <c r="CU93" s="171"/>
      <c r="CV93" s="171"/>
      <c r="CW93" s="171"/>
      <c r="CX93" s="171"/>
      <c r="CY93" s="171"/>
      <c r="CZ93" s="171"/>
      <c r="DA93" s="171"/>
      <c r="DB93" s="171"/>
      <c r="DC93" s="171"/>
      <c r="DD93" s="171"/>
      <c r="DE93" s="171"/>
      <c r="DF93" s="171"/>
      <c r="DG93" s="171"/>
      <c r="DH93" s="171"/>
      <c r="DI93" s="171"/>
      <c r="DJ93" s="171"/>
      <c r="DK93" s="171"/>
      <c r="DL93" s="171"/>
      <c r="DM93" s="171"/>
      <c r="DN93" s="171"/>
      <c r="DO93" s="171"/>
      <c r="DP93" s="171"/>
      <c r="DQ93" s="171"/>
      <c r="DR93" s="171"/>
      <c r="DS93" s="171"/>
      <c r="DT93" s="171"/>
      <c r="DU93" s="171"/>
      <c r="DV93" s="171"/>
      <c r="DW93" s="171"/>
      <c r="DX93" s="171"/>
      <c r="DY93" s="171"/>
      <c r="DZ93" s="171"/>
      <c r="EA93" s="171"/>
      <c r="EB93" s="171"/>
      <c r="EC93" s="171"/>
      <c r="ED93" s="171"/>
      <c r="EE93" s="171"/>
      <c r="EF93" s="171"/>
      <c r="EG93" s="171"/>
      <c r="EH93" s="171"/>
      <c r="EI93" s="171"/>
      <c r="EJ93" s="171"/>
      <c r="EK93" s="171"/>
      <c r="EL93" s="171"/>
      <c r="EM93" s="171"/>
      <c r="EN93" s="171"/>
      <c r="EO93" s="171"/>
      <c r="EP93" s="171"/>
      <c r="EQ93" s="171"/>
      <c r="ER93" s="171"/>
      <c r="ES93" s="171"/>
      <c r="ET93" s="171"/>
      <c r="EU93" s="171"/>
      <c r="EV93" s="171"/>
      <c r="EW93" s="171"/>
      <c r="EX93" s="171"/>
      <c r="FC93" s="42"/>
      <c r="FD93" s="160"/>
      <c r="FE93" s="160"/>
      <c r="FF93" s="160"/>
      <c r="FG93" s="160"/>
      <c r="FH93" s="160"/>
      <c r="FI93" s="160"/>
      <c r="FJ93" s="160"/>
      <c r="FK93" s="160"/>
      <c r="FL93" s="160"/>
      <c r="FM93" s="160"/>
      <c r="FN93" s="160"/>
      <c r="FO93" s="160"/>
      <c r="FP93" s="160"/>
      <c r="FQ93" s="160"/>
      <c r="FR93" s="160"/>
      <c r="FS93" s="160"/>
      <c r="FT93" s="160"/>
      <c r="FU93" s="160"/>
      <c r="FV93" s="160"/>
      <c r="FW93" s="160"/>
      <c r="FX93" s="160"/>
      <c r="FY93" s="160"/>
      <c r="FZ93" s="160"/>
      <c r="GA93" s="160"/>
      <c r="GB93" s="160"/>
      <c r="GC93" s="160"/>
      <c r="GD93" s="160"/>
      <c r="GE93" s="69"/>
      <c r="IO93" s="171"/>
      <c r="IP93" s="171"/>
      <c r="IQ93" s="171"/>
      <c r="IR93" s="171"/>
      <c r="IS93" s="171"/>
      <c r="IT93" s="171"/>
      <c r="IU93" s="171"/>
      <c r="IV93" s="171"/>
      <c r="IW93" s="171"/>
      <c r="IX93" s="171"/>
      <c r="IY93" s="171"/>
      <c r="IZ93" s="171"/>
      <c r="JA93" s="171"/>
      <c r="JB93" s="171"/>
      <c r="JC93" s="171"/>
      <c r="JD93" s="171"/>
      <c r="JE93" s="171"/>
      <c r="JF93" s="171"/>
      <c r="JG93" s="171"/>
      <c r="JH93" s="171"/>
      <c r="JI93" s="171"/>
      <c r="JJ93" s="171"/>
      <c r="JK93" s="171"/>
      <c r="JL93" s="171"/>
      <c r="JM93" s="171"/>
      <c r="JN93" s="171"/>
    </row>
    <row r="94" spans="1:274" x14ac:dyDescent="0.25">
      <c r="A94" s="172"/>
      <c r="E94" s="173"/>
      <c r="G94" s="170"/>
      <c r="H94" s="170"/>
      <c r="I94" s="170"/>
      <c r="J94" s="170"/>
      <c r="K94" s="170"/>
      <c r="L94" s="170"/>
      <c r="M94" s="170"/>
      <c r="N94" s="170"/>
      <c r="O94" s="170"/>
      <c r="P94" s="170"/>
      <c r="Q94" s="171"/>
      <c r="R94" s="170"/>
      <c r="S94" s="170"/>
      <c r="T94" s="170"/>
      <c r="U94" s="170"/>
      <c r="V94" s="170"/>
      <c r="W94" s="170"/>
      <c r="X94" s="170"/>
      <c r="Y94" s="170"/>
      <c r="Z94" s="170"/>
      <c r="AA94" s="170"/>
      <c r="AB94" s="170"/>
      <c r="AC94" s="170"/>
      <c r="AD94" s="170"/>
      <c r="AE94" s="170"/>
      <c r="AF94" s="170"/>
      <c r="AG94" s="170"/>
      <c r="AH94" s="171"/>
      <c r="AI94" s="171"/>
      <c r="AJ94" s="171"/>
      <c r="AK94" s="171"/>
      <c r="AL94" s="171"/>
      <c r="AM94" s="171"/>
      <c r="BU94" s="171"/>
      <c r="BV94" s="171"/>
      <c r="BW94" s="171"/>
      <c r="BX94" s="171"/>
      <c r="BY94" s="171"/>
      <c r="BZ94" s="171"/>
      <c r="CA94" s="171"/>
      <c r="CB94" s="171"/>
      <c r="CC94" s="171"/>
      <c r="CD94" s="171"/>
      <c r="CE94" s="171"/>
      <c r="CF94" s="171"/>
      <c r="CG94" s="171"/>
      <c r="CH94" s="171"/>
      <c r="CI94" s="171"/>
      <c r="CJ94" s="171"/>
      <c r="CK94" s="171"/>
      <c r="CL94" s="171"/>
      <c r="CM94" s="171"/>
      <c r="CN94" s="171"/>
      <c r="CO94" s="171"/>
      <c r="CP94" s="171"/>
      <c r="CQ94" s="171"/>
      <c r="CR94" s="171"/>
      <c r="CS94" s="171"/>
      <c r="CT94" s="171"/>
      <c r="CU94" s="171"/>
      <c r="CV94" s="171"/>
      <c r="CW94" s="171"/>
      <c r="CX94" s="171"/>
      <c r="CY94" s="171"/>
      <c r="CZ94" s="171"/>
      <c r="DA94" s="171"/>
      <c r="DB94" s="171"/>
      <c r="DC94" s="171"/>
      <c r="DD94" s="171"/>
      <c r="DE94" s="171"/>
      <c r="DF94" s="171"/>
      <c r="DG94" s="171"/>
      <c r="DH94" s="171"/>
      <c r="DI94" s="171"/>
      <c r="DJ94" s="171"/>
      <c r="DK94" s="171"/>
      <c r="DL94" s="171"/>
      <c r="DM94" s="171"/>
      <c r="DN94" s="171"/>
      <c r="DO94" s="171"/>
      <c r="DP94" s="171"/>
      <c r="DQ94" s="171"/>
      <c r="DR94" s="171"/>
      <c r="DS94" s="171"/>
      <c r="DT94" s="171"/>
      <c r="DU94" s="171"/>
      <c r="DV94" s="171"/>
      <c r="DW94" s="171"/>
      <c r="DX94" s="171"/>
      <c r="DY94" s="171"/>
      <c r="DZ94" s="171"/>
      <c r="EA94" s="171"/>
      <c r="EB94" s="171"/>
      <c r="EC94" s="171"/>
      <c r="ED94" s="171"/>
      <c r="EE94" s="171"/>
      <c r="EF94" s="171"/>
      <c r="EG94" s="171"/>
      <c r="EH94" s="171"/>
      <c r="EI94" s="171"/>
      <c r="EJ94" s="171"/>
      <c r="EK94" s="171"/>
      <c r="EL94" s="171"/>
      <c r="EM94" s="171"/>
      <c r="EN94" s="171"/>
      <c r="EO94" s="171"/>
      <c r="EP94" s="171"/>
      <c r="EQ94" s="171"/>
      <c r="ER94" s="171"/>
      <c r="ES94" s="171"/>
      <c r="ET94" s="171"/>
      <c r="EU94" s="171"/>
      <c r="EV94" s="171"/>
      <c r="EW94" s="171"/>
      <c r="EX94" s="171"/>
      <c r="FC94" s="42"/>
      <c r="FD94" s="160"/>
      <c r="FE94" s="160"/>
      <c r="FF94" s="160"/>
      <c r="FG94" s="160"/>
      <c r="FH94" s="160"/>
      <c r="FI94" s="160"/>
      <c r="FJ94" s="160"/>
      <c r="FK94" s="160"/>
      <c r="FL94" s="160"/>
      <c r="FM94" s="160"/>
      <c r="FN94" s="160"/>
      <c r="FO94" s="160"/>
      <c r="FP94" s="160"/>
      <c r="FQ94" s="160"/>
      <c r="FR94" s="160"/>
      <c r="FS94" s="160"/>
      <c r="FT94" s="160"/>
      <c r="FU94" s="160"/>
      <c r="FV94" s="160"/>
      <c r="FW94" s="160"/>
      <c r="FX94" s="160"/>
      <c r="FY94" s="160"/>
      <c r="FZ94" s="160"/>
      <c r="GA94" s="160"/>
      <c r="GB94" s="160"/>
      <c r="GC94" s="160"/>
      <c r="GD94" s="160"/>
      <c r="GE94" s="69"/>
      <c r="IO94" s="171"/>
      <c r="IP94" s="171"/>
      <c r="IQ94" s="171"/>
      <c r="IR94" s="171"/>
      <c r="IS94" s="171"/>
      <c r="IT94" s="171"/>
      <c r="IU94" s="171"/>
      <c r="IV94" s="171"/>
      <c r="IW94" s="171"/>
      <c r="IX94" s="171"/>
      <c r="IY94" s="171"/>
      <c r="IZ94" s="171"/>
      <c r="JA94" s="171"/>
      <c r="JB94" s="171"/>
      <c r="JC94" s="171"/>
      <c r="JD94" s="171"/>
      <c r="JE94" s="171"/>
      <c r="JF94" s="171"/>
      <c r="JG94" s="171"/>
      <c r="JH94" s="171"/>
      <c r="JI94" s="171"/>
      <c r="JJ94" s="171"/>
      <c r="JK94" s="171"/>
      <c r="JL94" s="171"/>
      <c r="JM94" s="171"/>
      <c r="JN94" s="171"/>
    </row>
    <row r="95" spans="1:274" x14ac:dyDescent="0.25">
      <c r="A95" s="172"/>
      <c r="E95" s="173"/>
      <c r="G95" s="170"/>
      <c r="H95" s="170"/>
      <c r="I95" s="170"/>
      <c r="J95" s="170"/>
      <c r="K95" s="170"/>
      <c r="L95" s="170"/>
      <c r="M95" s="170"/>
      <c r="N95" s="170"/>
      <c r="O95" s="170"/>
      <c r="P95" s="170"/>
      <c r="Q95" s="171"/>
      <c r="R95" s="170"/>
      <c r="S95" s="170"/>
      <c r="T95" s="170"/>
      <c r="U95" s="170"/>
      <c r="V95" s="170"/>
      <c r="W95" s="170"/>
      <c r="X95" s="170"/>
      <c r="Y95" s="170"/>
      <c r="Z95" s="170"/>
      <c r="AA95" s="170"/>
      <c r="AB95" s="170"/>
      <c r="AC95" s="170"/>
      <c r="AD95" s="170"/>
      <c r="AE95" s="170"/>
      <c r="AF95" s="170"/>
      <c r="AG95" s="170"/>
      <c r="AH95" s="171"/>
      <c r="AI95" s="171"/>
      <c r="AJ95" s="171"/>
      <c r="AK95" s="171"/>
      <c r="AL95" s="171"/>
      <c r="AM95" s="171"/>
      <c r="BU95" s="171"/>
      <c r="BV95" s="171"/>
      <c r="BW95" s="171"/>
      <c r="BX95" s="171"/>
      <c r="BY95" s="171"/>
      <c r="BZ95" s="171"/>
      <c r="CA95" s="171"/>
      <c r="CB95" s="171"/>
      <c r="CC95" s="171"/>
      <c r="CD95" s="171"/>
      <c r="CE95" s="171"/>
      <c r="CF95" s="171"/>
      <c r="CG95" s="171"/>
      <c r="CH95" s="171"/>
      <c r="CI95" s="171"/>
      <c r="CJ95" s="171"/>
      <c r="CK95" s="171"/>
      <c r="CL95" s="171"/>
      <c r="CM95" s="171"/>
      <c r="CN95" s="171"/>
      <c r="CO95" s="171"/>
      <c r="CP95" s="171"/>
      <c r="CQ95" s="171"/>
      <c r="CR95" s="171"/>
      <c r="CS95" s="171"/>
      <c r="CT95" s="171"/>
      <c r="CU95" s="171"/>
      <c r="CV95" s="171"/>
      <c r="CW95" s="171"/>
      <c r="CX95" s="171"/>
      <c r="CY95" s="171"/>
      <c r="CZ95" s="171"/>
      <c r="DA95" s="171"/>
      <c r="DB95" s="171"/>
      <c r="DC95" s="171"/>
      <c r="DD95" s="171"/>
      <c r="DE95" s="171"/>
      <c r="DF95" s="171"/>
      <c r="DG95" s="171"/>
      <c r="DH95" s="171"/>
      <c r="DI95" s="171"/>
      <c r="DJ95" s="171"/>
      <c r="DK95" s="171"/>
      <c r="DL95" s="171"/>
      <c r="DM95" s="171"/>
      <c r="DN95" s="171"/>
      <c r="DO95" s="171"/>
      <c r="DP95" s="171"/>
      <c r="DQ95" s="171"/>
      <c r="DR95" s="171"/>
      <c r="DS95" s="171"/>
      <c r="DT95" s="171"/>
      <c r="DU95" s="171"/>
      <c r="DV95" s="171"/>
      <c r="DW95" s="171"/>
      <c r="DX95" s="171"/>
      <c r="DY95" s="171"/>
      <c r="DZ95" s="171"/>
      <c r="EA95" s="171"/>
      <c r="EB95" s="171"/>
      <c r="EC95" s="171"/>
      <c r="ED95" s="171"/>
      <c r="EE95" s="171"/>
      <c r="EF95" s="171"/>
      <c r="EG95" s="171"/>
      <c r="EH95" s="171"/>
      <c r="EI95" s="171"/>
      <c r="EJ95" s="171"/>
      <c r="EK95" s="171"/>
      <c r="EL95" s="171"/>
      <c r="EM95" s="171"/>
      <c r="EN95" s="171"/>
      <c r="EO95" s="171"/>
      <c r="EP95" s="171"/>
      <c r="EQ95" s="171"/>
      <c r="ER95" s="171"/>
      <c r="ES95" s="171"/>
      <c r="ET95" s="171"/>
      <c r="EU95" s="171"/>
      <c r="EV95" s="171"/>
      <c r="EW95" s="171"/>
      <c r="EX95" s="171"/>
      <c r="FC95" s="42"/>
      <c r="FD95" s="160"/>
      <c r="FE95" s="160"/>
      <c r="FF95" s="160"/>
      <c r="FG95" s="160"/>
      <c r="FH95" s="160"/>
      <c r="FI95" s="160"/>
      <c r="FJ95" s="160"/>
      <c r="FK95" s="160"/>
      <c r="FL95" s="160"/>
      <c r="FM95" s="160"/>
      <c r="FN95" s="160"/>
      <c r="FO95" s="160"/>
      <c r="FP95" s="160"/>
      <c r="FQ95" s="160"/>
      <c r="FR95" s="160"/>
      <c r="FS95" s="160"/>
      <c r="FT95" s="160"/>
      <c r="FU95" s="160"/>
      <c r="FV95" s="160"/>
      <c r="FW95" s="160"/>
      <c r="FX95" s="160"/>
      <c r="FY95" s="160"/>
      <c r="FZ95" s="160"/>
      <c r="GA95" s="160"/>
      <c r="GB95" s="160"/>
      <c r="GC95" s="160"/>
      <c r="GD95" s="160"/>
      <c r="GE95" s="69"/>
      <c r="IO95" s="171"/>
      <c r="IP95" s="171"/>
      <c r="IQ95" s="171"/>
      <c r="IR95" s="171"/>
      <c r="IS95" s="171"/>
      <c r="IT95" s="171"/>
      <c r="IU95" s="171"/>
      <c r="IV95" s="171"/>
      <c r="IW95" s="171"/>
      <c r="IX95" s="171"/>
      <c r="IY95" s="171"/>
      <c r="IZ95" s="171"/>
      <c r="JA95" s="171"/>
      <c r="JB95" s="171"/>
      <c r="JC95" s="171"/>
      <c r="JD95" s="171"/>
      <c r="JE95" s="171"/>
      <c r="JF95" s="171"/>
      <c r="JG95" s="171"/>
      <c r="JH95" s="171"/>
      <c r="JI95" s="171"/>
      <c r="JJ95" s="171"/>
      <c r="JK95" s="171"/>
      <c r="JL95" s="171"/>
      <c r="JM95" s="171"/>
      <c r="JN95" s="171"/>
    </row>
    <row r="96" spans="1:274" x14ac:dyDescent="0.25">
      <c r="A96" s="172"/>
      <c r="E96" s="173"/>
      <c r="G96" s="170"/>
      <c r="H96" s="170"/>
      <c r="I96" s="170"/>
      <c r="J96" s="170"/>
      <c r="K96" s="170"/>
      <c r="L96" s="170"/>
      <c r="M96" s="170"/>
      <c r="N96" s="170"/>
      <c r="O96" s="170"/>
      <c r="P96" s="170"/>
      <c r="Q96" s="171"/>
      <c r="R96" s="170"/>
      <c r="S96" s="170"/>
      <c r="T96" s="170"/>
      <c r="U96" s="170"/>
      <c r="V96" s="170"/>
      <c r="W96" s="170"/>
      <c r="X96" s="170"/>
      <c r="Y96" s="170"/>
      <c r="Z96" s="170"/>
      <c r="AA96" s="170"/>
      <c r="AB96" s="170"/>
      <c r="AC96" s="170"/>
      <c r="AD96" s="170"/>
      <c r="AE96" s="170"/>
      <c r="AF96" s="170"/>
      <c r="AG96" s="170"/>
      <c r="AH96" s="171"/>
      <c r="AI96" s="171"/>
      <c r="AJ96" s="171"/>
      <c r="AK96" s="171"/>
      <c r="AL96" s="171"/>
      <c r="AM96" s="171"/>
      <c r="BU96" s="171"/>
      <c r="BV96" s="171"/>
      <c r="BW96" s="171"/>
      <c r="BX96" s="171"/>
      <c r="BY96" s="171"/>
      <c r="BZ96" s="171"/>
      <c r="CA96" s="171"/>
      <c r="CB96" s="171"/>
      <c r="CC96" s="171"/>
      <c r="CD96" s="171"/>
      <c r="CE96" s="171"/>
      <c r="CF96" s="171"/>
      <c r="CG96" s="171"/>
      <c r="CH96" s="171"/>
      <c r="CI96" s="171"/>
      <c r="CJ96" s="171"/>
      <c r="CK96" s="171"/>
      <c r="CL96" s="171"/>
      <c r="CM96" s="171"/>
      <c r="CN96" s="171"/>
      <c r="CO96" s="171"/>
      <c r="CP96" s="171"/>
      <c r="CQ96" s="171"/>
      <c r="CR96" s="171"/>
      <c r="CS96" s="171"/>
      <c r="CT96" s="171"/>
      <c r="CU96" s="171"/>
      <c r="CV96" s="171"/>
      <c r="CW96" s="171"/>
      <c r="CX96" s="171"/>
      <c r="CY96" s="171"/>
      <c r="CZ96" s="171"/>
      <c r="DA96" s="171"/>
      <c r="DB96" s="171"/>
      <c r="DC96" s="171"/>
      <c r="DD96" s="171"/>
      <c r="DE96" s="171"/>
      <c r="DF96" s="171"/>
      <c r="DG96" s="171"/>
      <c r="DH96" s="171"/>
      <c r="DI96" s="171"/>
      <c r="DJ96" s="171"/>
      <c r="DK96" s="171"/>
      <c r="DL96" s="171"/>
      <c r="DM96" s="171"/>
      <c r="DN96" s="171"/>
      <c r="DO96" s="171"/>
      <c r="DP96" s="171"/>
      <c r="DQ96" s="171"/>
      <c r="DR96" s="171"/>
      <c r="DS96" s="171"/>
      <c r="DT96" s="171"/>
      <c r="DU96" s="171"/>
      <c r="DV96" s="171"/>
      <c r="DW96" s="171"/>
      <c r="DX96" s="171"/>
      <c r="DY96" s="171"/>
      <c r="DZ96" s="171"/>
      <c r="EA96" s="171"/>
      <c r="EB96" s="171"/>
      <c r="EC96" s="171"/>
      <c r="ED96" s="171"/>
      <c r="EE96" s="171"/>
      <c r="EF96" s="171"/>
      <c r="EG96" s="171"/>
      <c r="EH96" s="171"/>
      <c r="EI96" s="171"/>
      <c r="EJ96" s="171"/>
      <c r="EK96" s="171"/>
      <c r="EL96" s="171"/>
      <c r="EM96" s="171"/>
      <c r="EN96" s="171"/>
      <c r="EO96" s="171"/>
      <c r="EP96" s="171"/>
      <c r="EQ96" s="171"/>
      <c r="ER96" s="171"/>
      <c r="ES96" s="171"/>
      <c r="ET96" s="171"/>
      <c r="EU96" s="171"/>
      <c r="EV96" s="171"/>
      <c r="EW96" s="171"/>
      <c r="EX96" s="171"/>
      <c r="FC96" s="42"/>
      <c r="FD96" s="160"/>
      <c r="FE96" s="160"/>
      <c r="FF96" s="160"/>
      <c r="FG96" s="160"/>
      <c r="FH96" s="160"/>
      <c r="FI96" s="160"/>
      <c r="FJ96" s="160"/>
      <c r="FK96" s="160"/>
      <c r="FL96" s="160"/>
      <c r="FM96" s="160"/>
      <c r="FN96" s="160"/>
      <c r="FO96" s="160"/>
      <c r="FP96" s="160"/>
      <c r="FQ96" s="160"/>
      <c r="FR96" s="160"/>
      <c r="FS96" s="160"/>
      <c r="FT96" s="160"/>
      <c r="FU96" s="160"/>
      <c r="FV96" s="160"/>
      <c r="FW96" s="160"/>
      <c r="FX96" s="160"/>
      <c r="FY96" s="160"/>
      <c r="FZ96" s="160"/>
      <c r="GA96" s="160"/>
      <c r="GB96" s="160"/>
      <c r="GC96" s="160"/>
      <c r="GD96" s="160"/>
      <c r="GE96" s="69"/>
      <c r="IO96" s="171"/>
      <c r="IP96" s="171"/>
      <c r="IQ96" s="171"/>
      <c r="IR96" s="171"/>
      <c r="IS96" s="171"/>
      <c r="IT96" s="171"/>
      <c r="IU96" s="171"/>
      <c r="IV96" s="171"/>
      <c r="IW96" s="171"/>
      <c r="IX96" s="171"/>
      <c r="IY96" s="171"/>
      <c r="IZ96" s="171"/>
      <c r="JA96" s="171"/>
      <c r="JB96" s="171"/>
      <c r="JC96" s="171"/>
      <c r="JD96" s="171"/>
      <c r="JE96" s="171"/>
      <c r="JF96" s="171"/>
      <c r="JG96" s="171"/>
      <c r="JH96" s="171"/>
      <c r="JI96" s="171"/>
      <c r="JJ96" s="171"/>
      <c r="JK96" s="171"/>
      <c r="JL96" s="171"/>
      <c r="JM96" s="171"/>
      <c r="JN96" s="171"/>
    </row>
    <row r="97" spans="1:274" x14ac:dyDescent="0.25">
      <c r="A97" s="172"/>
      <c r="E97" s="173"/>
      <c r="G97" s="170"/>
      <c r="H97" s="170"/>
      <c r="I97" s="170"/>
      <c r="J97" s="170"/>
      <c r="K97" s="170"/>
      <c r="L97" s="170"/>
      <c r="M97" s="170"/>
      <c r="N97" s="170"/>
      <c r="O97" s="170"/>
      <c r="P97" s="170"/>
      <c r="Q97" s="171"/>
      <c r="R97" s="170"/>
      <c r="S97" s="170"/>
      <c r="T97" s="170"/>
      <c r="U97" s="170"/>
      <c r="V97" s="170"/>
      <c r="W97" s="170"/>
      <c r="X97" s="170"/>
      <c r="Y97" s="170"/>
      <c r="Z97" s="170"/>
      <c r="AA97" s="170"/>
      <c r="AB97" s="170"/>
      <c r="AC97" s="170"/>
      <c r="AD97" s="170"/>
      <c r="AE97" s="170"/>
      <c r="AF97" s="170"/>
      <c r="AG97" s="170"/>
      <c r="AH97" s="171"/>
      <c r="AI97" s="171"/>
      <c r="AJ97" s="171"/>
      <c r="AK97" s="171"/>
      <c r="AL97" s="171"/>
      <c r="AM97" s="171"/>
      <c r="BU97" s="171"/>
      <c r="BV97" s="171"/>
      <c r="BW97" s="171"/>
      <c r="BX97" s="171"/>
      <c r="BY97" s="171"/>
      <c r="BZ97" s="171"/>
      <c r="CA97" s="171"/>
      <c r="CB97" s="171"/>
      <c r="CC97" s="171"/>
      <c r="CD97" s="171"/>
      <c r="CE97" s="171"/>
      <c r="CF97" s="171"/>
      <c r="CG97" s="171"/>
      <c r="CH97" s="171"/>
      <c r="CI97" s="171"/>
      <c r="CJ97" s="171"/>
      <c r="CK97" s="171"/>
      <c r="CL97" s="171"/>
      <c r="CM97" s="171"/>
      <c r="CN97" s="171"/>
      <c r="CO97" s="171"/>
      <c r="CP97" s="171"/>
      <c r="CQ97" s="171"/>
      <c r="CR97" s="171"/>
      <c r="CS97" s="171"/>
      <c r="CT97" s="171"/>
      <c r="CU97" s="171"/>
      <c r="CV97" s="171"/>
      <c r="CW97" s="171"/>
      <c r="CX97" s="171"/>
      <c r="CY97" s="171"/>
      <c r="CZ97" s="171"/>
      <c r="DA97" s="171"/>
      <c r="DB97" s="171"/>
      <c r="DC97" s="171"/>
      <c r="DD97" s="171"/>
      <c r="DE97" s="171"/>
      <c r="DF97" s="171"/>
      <c r="DG97" s="171"/>
      <c r="DH97" s="171"/>
      <c r="DI97" s="171"/>
      <c r="DJ97" s="171"/>
      <c r="DK97" s="171"/>
      <c r="DL97" s="171"/>
      <c r="DM97" s="171"/>
      <c r="DN97" s="171"/>
      <c r="DO97" s="171"/>
      <c r="DP97" s="171"/>
      <c r="DQ97" s="171"/>
      <c r="DR97" s="171"/>
      <c r="DS97" s="171"/>
      <c r="DT97" s="171"/>
      <c r="DU97" s="171"/>
      <c r="DV97" s="171"/>
      <c r="DW97" s="171"/>
      <c r="DX97" s="171"/>
      <c r="DY97" s="171"/>
      <c r="DZ97" s="171"/>
      <c r="EA97" s="171"/>
      <c r="EB97" s="171"/>
      <c r="EC97" s="171"/>
      <c r="ED97" s="171"/>
      <c r="EE97" s="171"/>
      <c r="EF97" s="171"/>
      <c r="EG97" s="171"/>
      <c r="EH97" s="171"/>
      <c r="EI97" s="171"/>
      <c r="EJ97" s="171"/>
      <c r="EK97" s="171"/>
      <c r="EL97" s="171"/>
      <c r="EM97" s="171"/>
      <c r="EN97" s="171"/>
      <c r="EO97" s="171"/>
      <c r="EP97" s="171"/>
      <c r="EQ97" s="171"/>
      <c r="ER97" s="171"/>
      <c r="ES97" s="171"/>
      <c r="ET97" s="171"/>
      <c r="EU97" s="171"/>
      <c r="EV97" s="171"/>
      <c r="EW97" s="171"/>
      <c r="EX97" s="171"/>
      <c r="FD97" s="160"/>
      <c r="FE97" s="160"/>
      <c r="FF97" s="160"/>
      <c r="FG97" s="160"/>
      <c r="FH97" s="160"/>
      <c r="FI97" s="160"/>
      <c r="FJ97" s="160"/>
      <c r="FK97" s="160"/>
      <c r="FL97" s="160"/>
      <c r="FM97" s="160"/>
      <c r="FN97" s="160"/>
      <c r="FO97" s="160"/>
      <c r="FP97" s="160"/>
      <c r="FQ97" s="160"/>
      <c r="FR97" s="160"/>
      <c r="FS97" s="160"/>
      <c r="FT97" s="160"/>
      <c r="FU97" s="160"/>
      <c r="FV97" s="160"/>
      <c r="FW97" s="160"/>
      <c r="FX97" s="160"/>
      <c r="FY97" s="160"/>
      <c r="FZ97" s="160"/>
      <c r="GA97" s="160"/>
      <c r="GB97" s="160"/>
      <c r="GC97" s="160"/>
      <c r="GD97" s="160"/>
      <c r="GE97" s="69"/>
      <c r="IO97" s="171"/>
      <c r="IP97" s="171"/>
      <c r="IQ97" s="171"/>
      <c r="IR97" s="171"/>
      <c r="IS97" s="171"/>
      <c r="IT97" s="171"/>
      <c r="IU97" s="171"/>
      <c r="IV97" s="171"/>
      <c r="IW97" s="171"/>
      <c r="IX97" s="171"/>
      <c r="IY97" s="171"/>
      <c r="IZ97" s="171"/>
      <c r="JA97" s="171"/>
      <c r="JB97" s="171"/>
      <c r="JC97" s="171"/>
      <c r="JD97" s="171"/>
      <c r="JE97" s="171"/>
      <c r="JF97" s="171"/>
      <c r="JG97" s="171"/>
      <c r="JH97" s="171"/>
      <c r="JI97" s="171"/>
      <c r="JJ97" s="171"/>
      <c r="JK97" s="171"/>
      <c r="JL97" s="171"/>
      <c r="JM97" s="171"/>
      <c r="JN97" s="171"/>
    </row>
    <row r="98" spans="1:274" x14ac:dyDescent="0.25">
      <c r="A98" s="172"/>
      <c r="E98" s="173"/>
      <c r="G98" s="170"/>
      <c r="H98" s="170"/>
      <c r="I98" s="170"/>
      <c r="J98" s="170"/>
      <c r="K98" s="170"/>
      <c r="L98" s="170"/>
      <c r="M98" s="170"/>
      <c r="N98" s="170"/>
      <c r="O98" s="170"/>
      <c r="P98" s="170"/>
      <c r="Q98" s="171"/>
      <c r="R98" s="170"/>
      <c r="S98" s="170"/>
      <c r="T98" s="170"/>
      <c r="U98" s="170"/>
      <c r="V98" s="170"/>
      <c r="W98" s="170"/>
      <c r="X98" s="170"/>
      <c r="Y98" s="170"/>
      <c r="Z98" s="170"/>
      <c r="AA98" s="170"/>
      <c r="AB98" s="170"/>
      <c r="AC98" s="170"/>
      <c r="AD98" s="170"/>
      <c r="AE98" s="170"/>
      <c r="AF98" s="170"/>
      <c r="AG98" s="170"/>
      <c r="AH98" s="171"/>
      <c r="AI98" s="171"/>
      <c r="AJ98" s="171"/>
      <c r="AK98" s="171"/>
      <c r="AL98" s="171"/>
      <c r="AM98" s="171"/>
      <c r="BU98" s="171"/>
      <c r="BV98" s="171"/>
      <c r="BW98" s="171"/>
      <c r="BX98" s="171"/>
      <c r="BY98" s="171"/>
      <c r="BZ98" s="171"/>
      <c r="CA98" s="171"/>
      <c r="CB98" s="171"/>
      <c r="CC98" s="171"/>
      <c r="CD98" s="171"/>
      <c r="CE98" s="171"/>
      <c r="CF98" s="171"/>
      <c r="CG98" s="171"/>
      <c r="CH98" s="171"/>
      <c r="CI98" s="171"/>
      <c r="CJ98" s="171"/>
      <c r="CK98" s="171"/>
      <c r="CL98" s="171"/>
      <c r="CM98" s="171"/>
      <c r="CN98" s="171"/>
      <c r="CO98" s="171"/>
      <c r="CP98" s="171"/>
      <c r="CQ98" s="171"/>
      <c r="CR98" s="171"/>
      <c r="CS98" s="171"/>
      <c r="CT98" s="171"/>
      <c r="CU98" s="171"/>
      <c r="CV98" s="171"/>
      <c r="CW98" s="171"/>
      <c r="CX98" s="171"/>
      <c r="CY98" s="171"/>
      <c r="CZ98" s="171"/>
      <c r="DA98" s="171"/>
      <c r="DB98" s="171"/>
      <c r="DC98" s="171"/>
      <c r="DD98" s="171"/>
      <c r="DE98" s="171"/>
      <c r="DF98" s="171"/>
      <c r="DG98" s="171"/>
      <c r="DH98" s="171"/>
      <c r="DI98" s="171"/>
      <c r="DJ98" s="171"/>
      <c r="DK98" s="171"/>
      <c r="DL98" s="171"/>
      <c r="DM98" s="171"/>
      <c r="DN98" s="171"/>
      <c r="DO98" s="171"/>
      <c r="DP98" s="171"/>
      <c r="DQ98" s="171"/>
      <c r="DR98" s="171"/>
      <c r="DS98" s="171"/>
      <c r="DT98" s="171"/>
      <c r="DU98" s="171"/>
      <c r="DV98" s="171"/>
      <c r="DW98" s="171"/>
      <c r="DX98" s="171"/>
      <c r="DY98" s="171"/>
      <c r="DZ98" s="171"/>
      <c r="EA98" s="171"/>
      <c r="EB98" s="171"/>
      <c r="EC98" s="171"/>
      <c r="ED98" s="171"/>
      <c r="EE98" s="171"/>
      <c r="EF98" s="171"/>
      <c r="EG98" s="171"/>
      <c r="EH98" s="171"/>
      <c r="EI98" s="171"/>
      <c r="EJ98" s="171"/>
      <c r="EK98" s="171"/>
      <c r="EL98" s="171"/>
      <c r="EM98" s="171"/>
      <c r="EN98" s="171"/>
      <c r="EO98" s="171"/>
      <c r="EP98" s="171"/>
      <c r="EQ98" s="171"/>
      <c r="ER98" s="171"/>
      <c r="ES98" s="171"/>
      <c r="ET98" s="171"/>
      <c r="EU98" s="171"/>
      <c r="EV98" s="171"/>
      <c r="EW98" s="171"/>
      <c r="EX98" s="171"/>
      <c r="FD98" s="160"/>
      <c r="FE98" s="160"/>
      <c r="FF98" s="160"/>
      <c r="FG98" s="160"/>
      <c r="FH98" s="160"/>
      <c r="FI98" s="160"/>
      <c r="FJ98" s="160"/>
      <c r="FK98" s="160"/>
      <c r="FL98" s="160"/>
      <c r="FM98" s="160"/>
      <c r="FN98" s="160"/>
      <c r="FO98" s="160"/>
      <c r="FP98" s="160"/>
      <c r="FQ98" s="160"/>
      <c r="FR98" s="160"/>
      <c r="FS98" s="160"/>
      <c r="FT98" s="160"/>
      <c r="FU98" s="160"/>
      <c r="FV98" s="160"/>
      <c r="FW98" s="160"/>
      <c r="FX98" s="160"/>
      <c r="FY98" s="160"/>
      <c r="FZ98" s="160"/>
      <c r="GA98" s="160"/>
      <c r="GB98" s="160"/>
      <c r="GC98" s="160"/>
      <c r="GD98" s="160"/>
      <c r="GE98" s="69"/>
      <c r="IO98" s="171"/>
      <c r="IP98" s="171"/>
      <c r="IQ98" s="171"/>
      <c r="IR98" s="171"/>
      <c r="IS98" s="171"/>
      <c r="IT98" s="171"/>
      <c r="IU98" s="171"/>
      <c r="IV98" s="171"/>
      <c r="IW98" s="171"/>
      <c r="IX98" s="171"/>
      <c r="IY98" s="171"/>
      <c r="IZ98" s="171"/>
      <c r="JA98" s="171"/>
      <c r="JB98" s="171"/>
      <c r="JC98" s="171"/>
      <c r="JD98" s="171"/>
      <c r="JE98" s="171"/>
      <c r="JF98" s="171"/>
      <c r="JG98" s="171"/>
      <c r="JH98" s="171"/>
      <c r="JI98" s="171"/>
      <c r="JJ98" s="171"/>
      <c r="JK98" s="171"/>
      <c r="JL98" s="171"/>
      <c r="JM98" s="171"/>
      <c r="JN98" s="171"/>
    </row>
    <row r="99" spans="1:274" x14ac:dyDescent="0.25">
      <c r="A99" s="172"/>
      <c r="E99" s="173"/>
      <c r="G99" s="170"/>
      <c r="H99" s="170"/>
      <c r="I99" s="170"/>
      <c r="J99" s="170"/>
      <c r="K99" s="170"/>
      <c r="L99" s="170"/>
      <c r="M99" s="170"/>
      <c r="N99" s="170"/>
      <c r="O99" s="170"/>
      <c r="P99" s="170"/>
      <c r="Q99" s="171"/>
      <c r="R99" s="170"/>
      <c r="S99" s="170"/>
      <c r="T99" s="170"/>
      <c r="U99" s="170"/>
      <c r="V99" s="170"/>
      <c r="W99" s="170"/>
      <c r="X99" s="170"/>
      <c r="Y99" s="170"/>
      <c r="Z99" s="170"/>
      <c r="AA99" s="170"/>
      <c r="AB99" s="170"/>
      <c r="AC99" s="170"/>
      <c r="AD99" s="170"/>
      <c r="AE99" s="170"/>
      <c r="AF99" s="170"/>
      <c r="AG99" s="170"/>
      <c r="AH99" s="171"/>
      <c r="AI99" s="171"/>
      <c r="AJ99" s="171"/>
      <c r="AK99" s="171"/>
      <c r="AL99" s="171"/>
      <c r="AM99" s="171"/>
      <c r="BU99" s="171"/>
      <c r="BV99" s="171"/>
      <c r="BW99" s="171"/>
      <c r="BX99" s="171"/>
      <c r="BY99" s="171"/>
      <c r="BZ99" s="171"/>
      <c r="CA99" s="171"/>
      <c r="CB99" s="171"/>
      <c r="CC99" s="171"/>
      <c r="CD99" s="171"/>
      <c r="CE99" s="171"/>
      <c r="CF99" s="171"/>
      <c r="CG99" s="171"/>
      <c r="CH99" s="171"/>
      <c r="CI99" s="171"/>
      <c r="CJ99" s="171"/>
      <c r="CK99" s="171"/>
      <c r="CL99" s="171"/>
      <c r="CM99" s="171"/>
      <c r="CN99" s="171"/>
      <c r="CO99" s="171"/>
      <c r="CP99" s="171"/>
      <c r="CQ99" s="171"/>
      <c r="CR99" s="171"/>
      <c r="CS99" s="171"/>
      <c r="CT99" s="171"/>
      <c r="CU99" s="171"/>
      <c r="CV99" s="171"/>
      <c r="CW99" s="171"/>
      <c r="CX99" s="171"/>
      <c r="CY99" s="171"/>
      <c r="CZ99" s="171"/>
      <c r="DA99" s="171"/>
      <c r="DB99" s="171"/>
      <c r="DC99" s="171"/>
      <c r="DD99" s="171"/>
      <c r="DE99" s="171"/>
      <c r="DF99" s="171"/>
      <c r="DG99" s="171"/>
      <c r="DH99" s="171"/>
      <c r="DI99" s="171"/>
      <c r="DJ99" s="171"/>
      <c r="DK99" s="171"/>
      <c r="DL99" s="171"/>
      <c r="DM99" s="171"/>
      <c r="DN99" s="171"/>
      <c r="DO99" s="171"/>
      <c r="DP99" s="171"/>
      <c r="DQ99" s="171"/>
      <c r="DR99" s="171"/>
      <c r="DS99" s="171"/>
      <c r="DT99" s="171"/>
      <c r="DU99" s="171"/>
      <c r="DV99" s="171"/>
      <c r="DW99" s="171"/>
      <c r="DX99" s="171"/>
      <c r="DY99" s="171"/>
      <c r="DZ99" s="171"/>
      <c r="EA99" s="171"/>
      <c r="EB99" s="171"/>
      <c r="EC99" s="171"/>
      <c r="ED99" s="171"/>
      <c r="EE99" s="171"/>
      <c r="EF99" s="171"/>
      <c r="EG99" s="171"/>
      <c r="EH99" s="171"/>
      <c r="EI99" s="171"/>
      <c r="EJ99" s="171"/>
      <c r="EK99" s="171"/>
      <c r="EL99" s="171"/>
      <c r="EM99" s="171"/>
      <c r="EN99" s="171"/>
      <c r="EO99" s="171"/>
      <c r="EP99" s="171"/>
      <c r="EQ99" s="171"/>
      <c r="ER99" s="171"/>
      <c r="ES99" s="171"/>
      <c r="ET99" s="171"/>
      <c r="EU99" s="171"/>
      <c r="EV99" s="171"/>
      <c r="EW99" s="171"/>
      <c r="EX99" s="171"/>
      <c r="FD99" s="160"/>
      <c r="FE99" s="160"/>
      <c r="FF99" s="160"/>
      <c r="FG99" s="160"/>
      <c r="FH99" s="160"/>
      <c r="FI99" s="160"/>
      <c r="FJ99" s="160"/>
      <c r="FK99" s="160"/>
      <c r="FL99" s="160"/>
      <c r="FM99" s="160"/>
      <c r="FN99" s="160"/>
      <c r="FO99" s="160"/>
      <c r="FP99" s="160"/>
      <c r="FQ99" s="160"/>
      <c r="FR99" s="160"/>
      <c r="FS99" s="160"/>
      <c r="FT99" s="160"/>
      <c r="FU99" s="160"/>
      <c r="FV99" s="160"/>
      <c r="FW99" s="160"/>
      <c r="FX99" s="160"/>
      <c r="FY99" s="160"/>
      <c r="FZ99" s="160"/>
      <c r="GA99" s="160"/>
      <c r="GB99" s="160"/>
      <c r="GC99" s="160"/>
      <c r="GD99" s="160"/>
      <c r="GE99" s="69"/>
      <c r="IO99" s="171"/>
      <c r="IP99" s="171"/>
      <c r="IQ99" s="171"/>
      <c r="IR99" s="171"/>
      <c r="IS99" s="171"/>
      <c r="IT99" s="171"/>
      <c r="IU99" s="171"/>
      <c r="IV99" s="171"/>
      <c r="IW99" s="171"/>
      <c r="IX99" s="171"/>
      <c r="IY99" s="171"/>
      <c r="IZ99" s="171"/>
      <c r="JA99" s="171"/>
      <c r="JB99" s="171"/>
      <c r="JC99" s="171"/>
      <c r="JD99" s="171"/>
      <c r="JE99" s="171"/>
      <c r="JF99" s="171"/>
      <c r="JG99" s="171"/>
      <c r="JH99" s="171"/>
      <c r="JI99" s="171"/>
      <c r="JJ99" s="171"/>
      <c r="JK99" s="171"/>
      <c r="JL99" s="171"/>
      <c r="JM99" s="171"/>
      <c r="JN99" s="171"/>
    </row>
    <row r="100" spans="1:274" x14ac:dyDescent="0.25">
      <c r="A100" s="172"/>
      <c r="E100" s="173"/>
      <c r="G100" s="170"/>
      <c r="H100" s="170"/>
      <c r="I100" s="170"/>
      <c r="J100" s="170"/>
      <c r="K100" s="170"/>
      <c r="L100" s="170"/>
      <c r="M100" s="170"/>
      <c r="N100" s="170"/>
      <c r="O100" s="170"/>
      <c r="P100" s="170"/>
      <c r="Q100" s="171"/>
      <c r="R100" s="170"/>
      <c r="S100" s="170"/>
      <c r="T100" s="170"/>
      <c r="U100" s="170"/>
      <c r="V100" s="170"/>
      <c r="W100" s="170"/>
      <c r="X100" s="170"/>
      <c r="Y100" s="170"/>
      <c r="Z100" s="170"/>
      <c r="AA100" s="170"/>
      <c r="AB100" s="170"/>
      <c r="AC100" s="170"/>
      <c r="AD100" s="170"/>
      <c r="AE100" s="170"/>
      <c r="AF100" s="170"/>
      <c r="AG100" s="170"/>
      <c r="AH100" s="171"/>
      <c r="AI100" s="171"/>
      <c r="AJ100" s="171"/>
      <c r="AK100" s="171"/>
      <c r="AL100" s="171"/>
      <c r="AM100" s="171"/>
      <c r="BU100" s="171"/>
      <c r="BV100" s="171"/>
      <c r="BW100" s="171"/>
      <c r="BX100" s="171"/>
      <c r="BY100" s="171"/>
      <c r="BZ100" s="171"/>
      <c r="CA100" s="171"/>
      <c r="CB100" s="171"/>
      <c r="CC100" s="171"/>
      <c r="CD100" s="171"/>
      <c r="CE100" s="171"/>
      <c r="CF100" s="171"/>
      <c r="CG100" s="171"/>
      <c r="CH100" s="171"/>
      <c r="CI100" s="171"/>
      <c r="CJ100" s="171"/>
      <c r="CK100" s="171"/>
      <c r="CL100" s="171"/>
      <c r="CM100" s="171"/>
      <c r="CN100" s="171"/>
      <c r="CO100" s="171"/>
      <c r="CP100" s="171"/>
      <c r="CQ100" s="171"/>
      <c r="CR100" s="171"/>
      <c r="CS100" s="171"/>
      <c r="CT100" s="171"/>
      <c r="CU100" s="171"/>
      <c r="CV100" s="171"/>
      <c r="CW100" s="171"/>
      <c r="CX100" s="171"/>
      <c r="CY100" s="171"/>
      <c r="CZ100" s="171"/>
      <c r="DA100" s="171"/>
      <c r="DB100" s="171"/>
      <c r="DC100" s="171"/>
      <c r="DD100" s="171"/>
      <c r="DE100" s="171"/>
      <c r="DF100" s="171"/>
      <c r="DG100" s="171"/>
      <c r="DH100" s="171"/>
      <c r="DI100" s="171"/>
      <c r="DJ100" s="171"/>
      <c r="DK100" s="171"/>
      <c r="DL100" s="171"/>
      <c r="DM100" s="171"/>
      <c r="DN100" s="171"/>
      <c r="DO100" s="171"/>
      <c r="DP100" s="171"/>
      <c r="DQ100" s="171"/>
      <c r="DR100" s="171"/>
      <c r="DS100" s="171"/>
      <c r="DT100" s="171"/>
      <c r="DU100" s="171"/>
      <c r="DV100" s="171"/>
      <c r="DW100" s="171"/>
      <c r="DX100" s="171"/>
      <c r="DY100" s="171"/>
      <c r="DZ100" s="171"/>
      <c r="EA100" s="171"/>
      <c r="EB100" s="171"/>
      <c r="EC100" s="171"/>
      <c r="ED100" s="171"/>
      <c r="EE100" s="171"/>
      <c r="EF100" s="171"/>
      <c r="EG100" s="171"/>
      <c r="EH100" s="171"/>
      <c r="EI100" s="171"/>
      <c r="EJ100" s="171"/>
      <c r="EK100" s="171"/>
      <c r="EL100" s="171"/>
      <c r="EM100" s="171"/>
      <c r="EN100" s="171"/>
      <c r="EO100" s="171"/>
      <c r="EP100" s="171"/>
      <c r="EQ100" s="171"/>
      <c r="ER100" s="171"/>
      <c r="ES100" s="171"/>
      <c r="ET100" s="171"/>
      <c r="EU100" s="171"/>
      <c r="EV100" s="171"/>
      <c r="EW100" s="171"/>
      <c r="EX100" s="171"/>
      <c r="FD100" s="160"/>
      <c r="FE100" s="160"/>
      <c r="FF100" s="160"/>
      <c r="FG100" s="160"/>
      <c r="FH100" s="160"/>
      <c r="FI100" s="160"/>
      <c r="FJ100" s="160"/>
      <c r="FK100" s="160"/>
      <c r="FL100" s="160"/>
      <c r="FM100" s="160"/>
      <c r="FN100" s="160"/>
      <c r="FO100" s="160"/>
      <c r="FP100" s="160"/>
      <c r="FQ100" s="160"/>
      <c r="FR100" s="160"/>
      <c r="FS100" s="160"/>
      <c r="FT100" s="160"/>
      <c r="FU100" s="160"/>
      <c r="FV100" s="160"/>
      <c r="FW100" s="160"/>
      <c r="FX100" s="160"/>
      <c r="FY100" s="160"/>
      <c r="FZ100" s="160"/>
      <c r="GA100" s="160"/>
      <c r="GB100" s="160"/>
      <c r="GC100" s="160"/>
      <c r="GD100" s="160"/>
      <c r="GE100" s="69"/>
      <c r="IO100" s="171"/>
      <c r="IP100" s="171"/>
      <c r="IQ100" s="171"/>
      <c r="IR100" s="171"/>
      <c r="IS100" s="171"/>
      <c r="IT100" s="171"/>
      <c r="IU100" s="171"/>
      <c r="IV100" s="171"/>
      <c r="IW100" s="171"/>
      <c r="IX100" s="171"/>
      <c r="IY100" s="171"/>
      <c r="IZ100" s="171"/>
      <c r="JA100" s="171"/>
      <c r="JB100" s="171"/>
      <c r="JC100" s="171"/>
      <c r="JD100" s="171"/>
      <c r="JE100" s="171"/>
      <c r="JF100" s="171"/>
      <c r="JG100" s="171"/>
      <c r="JH100" s="171"/>
      <c r="JI100" s="171"/>
      <c r="JJ100" s="171"/>
      <c r="JK100" s="171"/>
      <c r="JL100" s="171"/>
      <c r="JM100" s="171"/>
      <c r="JN100" s="171"/>
    </row>
    <row r="101" spans="1:274" x14ac:dyDescent="0.25">
      <c r="A101" s="172"/>
      <c r="E101" s="173"/>
      <c r="G101" s="170"/>
      <c r="H101" s="170"/>
      <c r="I101" s="170"/>
      <c r="J101" s="170"/>
      <c r="K101" s="170"/>
      <c r="L101" s="170"/>
      <c r="M101" s="170"/>
      <c r="N101" s="170"/>
      <c r="O101" s="170"/>
      <c r="P101" s="170"/>
      <c r="Q101" s="171"/>
      <c r="R101" s="170"/>
      <c r="S101" s="170"/>
      <c r="T101" s="170"/>
      <c r="U101" s="170"/>
      <c r="V101" s="170"/>
      <c r="W101" s="170"/>
      <c r="X101" s="170"/>
      <c r="Y101" s="170"/>
      <c r="Z101" s="170"/>
      <c r="AA101" s="170"/>
      <c r="AB101" s="170"/>
      <c r="AC101" s="170"/>
      <c r="AD101" s="170"/>
      <c r="AE101" s="170"/>
      <c r="AF101" s="170"/>
      <c r="AG101" s="170"/>
      <c r="AH101" s="171"/>
      <c r="AI101" s="171"/>
      <c r="AJ101" s="171"/>
      <c r="AK101" s="171"/>
      <c r="AL101" s="171"/>
      <c r="AM101" s="171"/>
      <c r="BU101" s="171"/>
      <c r="BV101" s="171"/>
      <c r="BW101" s="171"/>
      <c r="BX101" s="171"/>
      <c r="BY101" s="171"/>
      <c r="BZ101" s="171"/>
      <c r="CA101" s="171"/>
      <c r="CB101" s="171"/>
      <c r="CC101" s="171"/>
      <c r="CD101" s="171"/>
      <c r="CE101" s="171"/>
      <c r="CF101" s="171"/>
      <c r="CG101" s="171"/>
      <c r="CH101" s="171"/>
      <c r="CI101" s="171"/>
      <c r="CJ101" s="171"/>
      <c r="CK101" s="171"/>
      <c r="CL101" s="171"/>
      <c r="CM101" s="171"/>
      <c r="CN101" s="171"/>
      <c r="CO101" s="171"/>
      <c r="CP101" s="171"/>
      <c r="CQ101" s="171"/>
      <c r="CR101" s="171"/>
      <c r="CS101" s="171"/>
      <c r="CT101" s="171"/>
      <c r="CU101" s="171"/>
      <c r="CV101" s="171"/>
      <c r="CW101" s="171"/>
      <c r="CX101" s="171"/>
      <c r="CY101" s="171"/>
      <c r="CZ101" s="171"/>
      <c r="DA101" s="171"/>
      <c r="DB101" s="171"/>
      <c r="DC101" s="171"/>
      <c r="DD101" s="171"/>
      <c r="DE101" s="171"/>
      <c r="DF101" s="171"/>
      <c r="DG101" s="171"/>
      <c r="DH101" s="171"/>
      <c r="DI101" s="171"/>
      <c r="DJ101" s="171"/>
      <c r="DK101" s="171"/>
      <c r="DL101" s="171"/>
      <c r="DM101" s="171"/>
      <c r="DN101" s="171"/>
      <c r="DO101" s="171"/>
      <c r="DP101" s="171"/>
      <c r="DQ101" s="171"/>
      <c r="DR101" s="171"/>
      <c r="DS101" s="171"/>
      <c r="DT101" s="171"/>
      <c r="DU101" s="171"/>
      <c r="DV101" s="171"/>
      <c r="DW101" s="171"/>
      <c r="DX101" s="171"/>
      <c r="DY101" s="171"/>
      <c r="DZ101" s="171"/>
      <c r="EA101" s="171"/>
      <c r="EB101" s="171"/>
      <c r="EC101" s="171"/>
      <c r="ED101" s="171"/>
      <c r="EE101" s="171"/>
      <c r="EF101" s="171"/>
      <c r="EG101" s="171"/>
      <c r="EH101" s="171"/>
      <c r="EI101" s="171"/>
      <c r="EJ101" s="171"/>
      <c r="EK101" s="171"/>
      <c r="EL101" s="171"/>
      <c r="EM101" s="171"/>
      <c r="EN101" s="171"/>
      <c r="EO101" s="171"/>
      <c r="EP101" s="171"/>
      <c r="EQ101" s="171"/>
      <c r="ER101" s="171"/>
      <c r="ES101" s="171"/>
      <c r="ET101" s="171"/>
      <c r="EU101" s="171"/>
      <c r="EV101" s="171"/>
      <c r="EW101" s="171"/>
      <c r="EX101" s="171"/>
      <c r="FD101" s="160"/>
      <c r="FE101" s="160"/>
      <c r="FF101" s="160"/>
      <c r="FG101" s="160"/>
      <c r="FH101" s="160"/>
      <c r="FI101" s="160"/>
      <c r="FJ101" s="160"/>
      <c r="FK101" s="160"/>
      <c r="FL101" s="160"/>
      <c r="FM101" s="160"/>
      <c r="FN101" s="160"/>
      <c r="FO101" s="160"/>
      <c r="FP101" s="160"/>
      <c r="FQ101" s="160"/>
      <c r="FR101" s="160"/>
      <c r="FS101" s="160"/>
      <c r="FT101" s="160"/>
      <c r="FU101" s="160"/>
      <c r="FV101" s="160"/>
      <c r="FW101" s="160"/>
      <c r="FX101" s="160"/>
      <c r="FY101" s="160"/>
      <c r="FZ101" s="160"/>
      <c r="GA101" s="160"/>
      <c r="GB101" s="160"/>
      <c r="GC101" s="160"/>
      <c r="GD101" s="160"/>
      <c r="GE101" s="69"/>
      <c r="IO101" s="171"/>
      <c r="IP101" s="171"/>
      <c r="IQ101" s="171"/>
      <c r="IR101" s="171"/>
      <c r="IS101" s="171"/>
      <c r="IT101" s="171"/>
      <c r="IU101" s="171"/>
      <c r="IV101" s="171"/>
      <c r="IW101" s="171"/>
      <c r="IX101" s="171"/>
      <c r="IY101" s="171"/>
      <c r="IZ101" s="171"/>
      <c r="JA101" s="171"/>
      <c r="JB101" s="171"/>
      <c r="JC101" s="171"/>
      <c r="JD101" s="171"/>
      <c r="JE101" s="171"/>
      <c r="JF101" s="171"/>
      <c r="JG101" s="171"/>
      <c r="JH101" s="171"/>
      <c r="JI101" s="171"/>
      <c r="JJ101" s="171"/>
      <c r="JK101" s="171"/>
      <c r="JL101" s="171"/>
      <c r="JM101" s="171"/>
      <c r="JN101" s="171"/>
    </row>
    <row r="102" spans="1:274" x14ac:dyDescent="0.25">
      <c r="A102" s="172"/>
      <c r="E102" s="173"/>
      <c r="G102" s="170"/>
      <c r="H102" s="170"/>
      <c r="I102" s="170"/>
      <c r="J102" s="170"/>
      <c r="K102" s="170"/>
      <c r="L102" s="170"/>
      <c r="M102" s="170"/>
      <c r="N102" s="170"/>
      <c r="O102" s="170"/>
      <c r="P102" s="170"/>
      <c r="Q102" s="171"/>
      <c r="R102" s="170"/>
      <c r="S102" s="170"/>
      <c r="T102" s="170"/>
      <c r="U102" s="170"/>
      <c r="V102" s="170"/>
      <c r="W102" s="170"/>
      <c r="X102" s="170"/>
      <c r="Y102" s="170"/>
      <c r="Z102" s="170"/>
      <c r="AA102" s="170"/>
      <c r="AB102" s="170"/>
      <c r="AC102" s="170"/>
      <c r="AD102" s="170"/>
      <c r="AE102" s="170"/>
      <c r="AF102" s="170"/>
      <c r="AG102" s="170"/>
      <c r="AH102" s="171"/>
      <c r="AI102" s="171"/>
      <c r="AJ102" s="171"/>
      <c r="AK102" s="171"/>
      <c r="AL102" s="171"/>
      <c r="AM102" s="171"/>
      <c r="BU102" s="171"/>
      <c r="BV102" s="171"/>
      <c r="BW102" s="171"/>
      <c r="BX102" s="171"/>
      <c r="BY102" s="171"/>
      <c r="BZ102" s="171"/>
      <c r="CA102" s="171"/>
      <c r="CB102" s="171"/>
      <c r="CC102" s="171"/>
      <c r="CD102" s="171"/>
      <c r="CE102" s="171"/>
      <c r="CF102" s="171"/>
      <c r="CG102" s="171"/>
      <c r="CH102" s="171"/>
      <c r="CI102" s="171"/>
      <c r="CJ102" s="171"/>
      <c r="CK102" s="171"/>
      <c r="CL102" s="171"/>
      <c r="CM102" s="171"/>
      <c r="CN102" s="171"/>
      <c r="CO102" s="171"/>
      <c r="CP102" s="171"/>
      <c r="CQ102" s="171"/>
      <c r="CR102" s="171"/>
      <c r="CS102" s="171"/>
      <c r="CT102" s="171"/>
      <c r="CU102" s="171"/>
      <c r="CV102" s="171"/>
      <c r="CW102" s="171"/>
      <c r="CX102" s="171"/>
      <c r="CY102" s="171"/>
      <c r="CZ102" s="171"/>
      <c r="DA102" s="171"/>
      <c r="DB102" s="171"/>
      <c r="DC102" s="171"/>
      <c r="DD102" s="171"/>
      <c r="DE102" s="171"/>
      <c r="DF102" s="171"/>
      <c r="DG102" s="171"/>
      <c r="DH102" s="171"/>
      <c r="DI102" s="171"/>
      <c r="DJ102" s="171"/>
      <c r="DK102" s="171"/>
      <c r="DL102" s="171"/>
      <c r="DM102" s="171"/>
      <c r="DN102" s="171"/>
      <c r="DO102" s="171"/>
      <c r="DP102" s="171"/>
      <c r="DQ102" s="171"/>
      <c r="DR102" s="171"/>
      <c r="DS102" s="171"/>
      <c r="DT102" s="171"/>
      <c r="DU102" s="171"/>
      <c r="DV102" s="171"/>
      <c r="DW102" s="171"/>
      <c r="DX102" s="171"/>
      <c r="DY102" s="171"/>
      <c r="DZ102" s="171"/>
      <c r="EA102" s="171"/>
      <c r="EB102" s="171"/>
      <c r="EC102" s="171"/>
      <c r="ED102" s="171"/>
      <c r="EE102" s="171"/>
      <c r="EF102" s="171"/>
      <c r="EG102" s="171"/>
      <c r="EH102" s="171"/>
      <c r="EI102" s="171"/>
      <c r="EJ102" s="171"/>
      <c r="EK102" s="171"/>
      <c r="EL102" s="171"/>
      <c r="EM102" s="171"/>
      <c r="EN102" s="171"/>
      <c r="EO102" s="171"/>
      <c r="EP102" s="171"/>
      <c r="EQ102" s="171"/>
      <c r="ER102" s="171"/>
      <c r="ES102" s="171"/>
      <c r="ET102" s="171"/>
      <c r="EU102" s="171"/>
      <c r="EV102" s="171"/>
      <c r="EW102" s="171"/>
      <c r="EX102" s="171"/>
      <c r="FD102" s="160"/>
      <c r="FE102" s="160"/>
      <c r="FF102" s="160"/>
      <c r="FG102" s="160"/>
      <c r="FH102" s="160"/>
      <c r="FI102" s="160"/>
      <c r="FJ102" s="160"/>
      <c r="FK102" s="160"/>
      <c r="FL102" s="160"/>
      <c r="FM102" s="160"/>
      <c r="FN102" s="160"/>
      <c r="FO102" s="160"/>
      <c r="FP102" s="160"/>
      <c r="FQ102" s="160"/>
      <c r="FR102" s="160"/>
      <c r="FS102" s="160"/>
      <c r="FT102" s="160"/>
      <c r="FU102" s="160"/>
      <c r="FV102" s="160"/>
      <c r="FW102" s="160"/>
      <c r="FX102" s="160"/>
      <c r="FY102" s="160"/>
      <c r="FZ102" s="160"/>
      <c r="GA102" s="160"/>
      <c r="GB102" s="160"/>
      <c r="GC102" s="160"/>
      <c r="GD102" s="160"/>
      <c r="GE102" s="69"/>
      <c r="IO102" s="171"/>
      <c r="IP102" s="171"/>
      <c r="IQ102" s="171"/>
      <c r="IR102" s="171"/>
      <c r="IS102" s="171"/>
      <c r="IT102" s="171"/>
      <c r="IU102" s="171"/>
      <c r="IV102" s="171"/>
      <c r="IW102" s="171"/>
      <c r="IX102" s="171"/>
      <c r="IY102" s="171"/>
      <c r="IZ102" s="171"/>
      <c r="JA102" s="171"/>
      <c r="JB102" s="171"/>
      <c r="JC102" s="171"/>
      <c r="JD102" s="171"/>
      <c r="JE102" s="171"/>
      <c r="JF102" s="171"/>
      <c r="JG102" s="171"/>
      <c r="JH102" s="171"/>
      <c r="JI102" s="171"/>
      <c r="JJ102" s="171"/>
      <c r="JK102" s="171"/>
      <c r="JL102" s="171"/>
      <c r="JM102" s="171"/>
      <c r="JN102" s="171"/>
    </row>
    <row r="103" spans="1:274" x14ac:dyDescent="0.25">
      <c r="A103" s="172"/>
      <c r="E103" s="173"/>
      <c r="G103" s="170"/>
      <c r="H103" s="170"/>
      <c r="I103" s="170"/>
      <c r="J103" s="170"/>
      <c r="K103" s="170"/>
      <c r="L103" s="170"/>
      <c r="M103" s="170"/>
      <c r="N103" s="170"/>
      <c r="O103" s="170"/>
      <c r="P103" s="170"/>
      <c r="Q103" s="171"/>
      <c r="R103" s="170"/>
      <c r="S103" s="170"/>
      <c r="T103" s="170"/>
      <c r="U103" s="170"/>
      <c r="V103" s="170"/>
      <c r="W103" s="170"/>
      <c r="X103" s="170"/>
      <c r="Y103" s="170"/>
      <c r="Z103" s="170"/>
      <c r="AA103" s="170"/>
      <c r="AB103" s="170"/>
      <c r="AC103" s="170"/>
      <c r="AD103" s="170"/>
      <c r="AE103" s="170"/>
      <c r="AF103" s="170"/>
      <c r="AG103" s="170"/>
      <c r="AH103" s="171"/>
      <c r="AI103" s="171"/>
      <c r="AJ103" s="171"/>
      <c r="AK103" s="171"/>
      <c r="AL103" s="171"/>
      <c r="AM103" s="171"/>
      <c r="BU103" s="171"/>
      <c r="BV103" s="171"/>
      <c r="BW103" s="171"/>
      <c r="BX103" s="171"/>
      <c r="BY103" s="171"/>
      <c r="BZ103" s="171"/>
      <c r="CA103" s="171"/>
      <c r="CB103" s="171"/>
      <c r="CC103" s="171"/>
      <c r="CD103" s="171"/>
      <c r="CE103" s="171"/>
      <c r="CF103" s="171"/>
      <c r="CG103" s="171"/>
      <c r="CH103" s="171"/>
      <c r="CI103" s="171"/>
      <c r="CJ103" s="171"/>
      <c r="CK103" s="171"/>
      <c r="CL103" s="171"/>
      <c r="CM103" s="171"/>
      <c r="CN103" s="171"/>
      <c r="CO103" s="171"/>
      <c r="CP103" s="171"/>
      <c r="CQ103" s="171"/>
      <c r="CR103" s="171"/>
      <c r="CS103" s="171"/>
      <c r="CT103" s="171"/>
      <c r="CU103" s="171"/>
      <c r="CV103" s="171"/>
      <c r="CW103" s="171"/>
      <c r="CX103" s="171"/>
      <c r="CY103" s="171"/>
      <c r="CZ103" s="171"/>
      <c r="DA103" s="171"/>
      <c r="DB103" s="171"/>
      <c r="DC103" s="171"/>
      <c r="DD103" s="171"/>
      <c r="DE103" s="171"/>
      <c r="DF103" s="171"/>
      <c r="DG103" s="171"/>
      <c r="DH103" s="171"/>
      <c r="DI103" s="171"/>
      <c r="DJ103" s="171"/>
      <c r="DK103" s="171"/>
      <c r="DL103" s="171"/>
      <c r="DM103" s="171"/>
      <c r="DN103" s="171"/>
      <c r="DO103" s="171"/>
      <c r="DP103" s="171"/>
      <c r="DQ103" s="171"/>
      <c r="DR103" s="171"/>
      <c r="DS103" s="171"/>
      <c r="DT103" s="171"/>
      <c r="DU103" s="171"/>
      <c r="DV103" s="171"/>
      <c r="DW103" s="171"/>
      <c r="DX103" s="171"/>
      <c r="DY103" s="171"/>
      <c r="DZ103" s="171"/>
      <c r="EA103" s="171"/>
      <c r="EB103" s="171"/>
      <c r="EC103" s="171"/>
      <c r="ED103" s="171"/>
      <c r="EE103" s="171"/>
      <c r="EF103" s="171"/>
      <c r="EG103" s="171"/>
      <c r="EH103" s="171"/>
      <c r="EI103" s="171"/>
      <c r="EJ103" s="171"/>
      <c r="EK103" s="171"/>
      <c r="EL103" s="171"/>
      <c r="EM103" s="171"/>
      <c r="EN103" s="171"/>
      <c r="EO103" s="171"/>
      <c r="EP103" s="171"/>
      <c r="EQ103" s="171"/>
      <c r="ER103" s="171"/>
      <c r="ES103" s="171"/>
      <c r="ET103" s="171"/>
      <c r="EU103" s="171"/>
      <c r="EV103" s="171"/>
      <c r="EW103" s="171"/>
      <c r="EX103" s="171"/>
      <c r="FD103" s="160"/>
      <c r="FE103" s="160"/>
      <c r="FF103" s="160"/>
      <c r="FG103" s="160"/>
      <c r="FH103" s="160"/>
      <c r="FI103" s="160"/>
      <c r="FJ103" s="160"/>
      <c r="FK103" s="160"/>
      <c r="FL103" s="160"/>
      <c r="FM103" s="160"/>
      <c r="FN103" s="160"/>
      <c r="FO103" s="160"/>
      <c r="FP103" s="160"/>
      <c r="FQ103" s="160"/>
      <c r="FR103" s="160"/>
      <c r="FS103" s="160"/>
      <c r="FT103" s="160"/>
      <c r="FU103" s="160"/>
      <c r="FV103" s="160"/>
      <c r="FW103" s="160"/>
      <c r="FX103" s="160"/>
      <c r="FY103" s="160"/>
      <c r="FZ103" s="160"/>
      <c r="GA103" s="160"/>
      <c r="GB103" s="160"/>
      <c r="GC103" s="160"/>
      <c r="GD103" s="160"/>
      <c r="GE103" s="69"/>
      <c r="IO103" s="171"/>
      <c r="IP103" s="171"/>
      <c r="IQ103" s="171"/>
      <c r="IR103" s="171"/>
      <c r="IS103" s="171"/>
      <c r="IT103" s="171"/>
      <c r="IU103" s="171"/>
      <c r="IV103" s="171"/>
      <c r="IW103" s="171"/>
      <c r="IX103" s="171"/>
      <c r="IY103" s="171"/>
      <c r="IZ103" s="171"/>
      <c r="JA103" s="171"/>
      <c r="JB103" s="171"/>
      <c r="JC103" s="171"/>
      <c r="JD103" s="171"/>
      <c r="JE103" s="171"/>
      <c r="JF103" s="171"/>
      <c r="JG103" s="171"/>
      <c r="JH103" s="171"/>
      <c r="JI103" s="171"/>
      <c r="JJ103" s="171"/>
      <c r="JK103" s="171"/>
      <c r="JL103" s="171"/>
      <c r="JM103" s="171"/>
      <c r="JN103" s="171"/>
    </row>
    <row r="104" spans="1:274" x14ac:dyDescent="0.25">
      <c r="A104" s="172"/>
      <c r="E104" s="173"/>
      <c r="G104" s="170"/>
      <c r="H104" s="170"/>
      <c r="I104" s="170"/>
      <c r="J104" s="170"/>
      <c r="K104" s="170"/>
      <c r="L104" s="170"/>
      <c r="M104" s="170"/>
      <c r="N104" s="170"/>
      <c r="O104" s="170"/>
      <c r="P104" s="170"/>
      <c r="Q104" s="171"/>
      <c r="R104" s="170"/>
      <c r="S104" s="170"/>
      <c r="T104" s="170"/>
      <c r="U104" s="170"/>
      <c r="V104" s="170"/>
      <c r="W104" s="170"/>
      <c r="X104" s="170"/>
      <c r="Y104" s="170"/>
      <c r="Z104" s="170"/>
      <c r="AA104" s="170"/>
      <c r="AB104" s="170"/>
      <c r="AC104" s="170"/>
      <c r="AD104" s="170"/>
      <c r="AE104" s="170"/>
      <c r="AF104" s="170"/>
      <c r="AG104" s="170"/>
      <c r="AH104" s="171"/>
      <c r="AI104" s="171"/>
      <c r="AJ104" s="171"/>
      <c r="AK104" s="171"/>
      <c r="AL104" s="171"/>
      <c r="AM104" s="171"/>
      <c r="BU104" s="171"/>
      <c r="BV104" s="171"/>
      <c r="BW104" s="171"/>
      <c r="BX104" s="171"/>
      <c r="BY104" s="171"/>
      <c r="BZ104" s="171"/>
      <c r="CA104" s="171"/>
      <c r="CB104" s="171"/>
      <c r="CC104" s="171"/>
      <c r="CD104" s="171"/>
      <c r="CE104" s="171"/>
      <c r="CF104" s="171"/>
      <c r="CG104" s="171"/>
      <c r="CH104" s="171"/>
      <c r="CI104" s="171"/>
      <c r="CJ104" s="171"/>
      <c r="CK104" s="171"/>
      <c r="CL104" s="171"/>
      <c r="CM104" s="171"/>
      <c r="CN104" s="171"/>
      <c r="CO104" s="171"/>
      <c r="CP104" s="171"/>
      <c r="CQ104" s="171"/>
      <c r="CR104" s="171"/>
      <c r="CS104" s="171"/>
      <c r="CT104" s="171"/>
      <c r="CU104" s="171"/>
      <c r="CV104" s="171"/>
      <c r="CW104" s="171"/>
      <c r="CX104" s="171"/>
      <c r="CY104" s="171"/>
      <c r="CZ104" s="171"/>
      <c r="DA104" s="171"/>
      <c r="DB104" s="171"/>
      <c r="DC104" s="171"/>
      <c r="DD104" s="171"/>
      <c r="DE104" s="171"/>
      <c r="DF104" s="171"/>
      <c r="DG104" s="171"/>
      <c r="DH104" s="171"/>
      <c r="DI104" s="171"/>
      <c r="DJ104" s="171"/>
      <c r="DK104" s="171"/>
      <c r="DL104" s="171"/>
      <c r="DM104" s="171"/>
      <c r="DN104" s="171"/>
      <c r="DO104" s="171"/>
      <c r="DP104" s="171"/>
      <c r="DQ104" s="171"/>
      <c r="DR104" s="171"/>
      <c r="DS104" s="171"/>
      <c r="DT104" s="171"/>
      <c r="DU104" s="171"/>
      <c r="DV104" s="171"/>
      <c r="DW104" s="171"/>
      <c r="DX104" s="171"/>
      <c r="DY104" s="171"/>
      <c r="DZ104" s="171"/>
      <c r="EA104" s="171"/>
      <c r="EB104" s="171"/>
      <c r="EC104" s="171"/>
      <c r="ED104" s="171"/>
      <c r="EE104" s="171"/>
      <c r="EF104" s="171"/>
      <c r="EG104" s="171"/>
      <c r="EH104" s="171"/>
      <c r="EI104" s="171"/>
      <c r="EJ104" s="171"/>
      <c r="EK104" s="171"/>
      <c r="EL104" s="171"/>
      <c r="EM104" s="171"/>
      <c r="EN104" s="171"/>
      <c r="EO104" s="171"/>
      <c r="EP104" s="171"/>
      <c r="EQ104" s="171"/>
      <c r="ER104" s="171"/>
      <c r="ES104" s="171"/>
      <c r="ET104" s="171"/>
      <c r="EU104" s="171"/>
      <c r="EV104" s="171"/>
      <c r="EW104" s="171"/>
      <c r="EX104" s="171"/>
      <c r="FD104" s="160"/>
      <c r="FE104" s="160"/>
      <c r="FF104" s="160"/>
      <c r="FG104" s="160"/>
      <c r="FH104" s="160"/>
      <c r="FI104" s="160"/>
      <c r="FJ104" s="160"/>
      <c r="FK104" s="160"/>
      <c r="FL104" s="160"/>
      <c r="FM104" s="160"/>
      <c r="FN104" s="160"/>
      <c r="FO104" s="160"/>
      <c r="FP104" s="160"/>
      <c r="FQ104" s="160"/>
      <c r="FR104" s="160"/>
      <c r="FS104" s="160"/>
      <c r="FT104" s="160"/>
      <c r="FU104" s="160"/>
      <c r="FV104" s="160"/>
      <c r="FW104" s="160"/>
      <c r="FX104" s="160"/>
      <c r="FY104" s="160"/>
      <c r="FZ104" s="160"/>
      <c r="GA104" s="160"/>
      <c r="GB104" s="160"/>
      <c r="GC104" s="160"/>
      <c r="GD104" s="160"/>
      <c r="GE104" s="69"/>
      <c r="IO104" s="171"/>
      <c r="IP104" s="171"/>
      <c r="IQ104" s="171"/>
      <c r="IR104" s="171"/>
      <c r="IS104" s="171"/>
      <c r="IT104" s="171"/>
      <c r="IU104" s="171"/>
      <c r="IV104" s="171"/>
      <c r="IW104" s="171"/>
      <c r="IX104" s="171"/>
      <c r="IY104" s="171"/>
      <c r="IZ104" s="171"/>
      <c r="JA104" s="171"/>
      <c r="JB104" s="171"/>
      <c r="JC104" s="171"/>
      <c r="JD104" s="171"/>
      <c r="JE104" s="171"/>
      <c r="JF104" s="171"/>
      <c r="JG104" s="171"/>
      <c r="JH104" s="171"/>
      <c r="JI104" s="171"/>
      <c r="JJ104" s="171"/>
      <c r="JK104" s="171"/>
      <c r="JL104" s="171"/>
      <c r="JM104" s="171"/>
      <c r="JN104" s="171"/>
    </row>
    <row r="105" spans="1:274" x14ac:dyDescent="0.25">
      <c r="A105" s="172"/>
      <c r="E105" s="173"/>
      <c r="G105" s="170"/>
      <c r="H105" s="170"/>
      <c r="I105" s="170"/>
      <c r="J105" s="170"/>
      <c r="K105" s="170"/>
      <c r="L105" s="170"/>
      <c r="M105" s="170"/>
      <c r="N105" s="170"/>
      <c r="O105" s="170"/>
      <c r="P105" s="170"/>
      <c r="Q105" s="171"/>
      <c r="R105" s="170"/>
      <c r="S105" s="170"/>
      <c r="T105" s="170"/>
      <c r="U105" s="170"/>
      <c r="V105" s="170"/>
      <c r="W105" s="170"/>
      <c r="X105" s="170"/>
      <c r="Y105" s="170"/>
      <c r="Z105" s="170"/>
      <c r="AA105" s="170"/>
      <c r="AB105" s="170"/>
      <c r="AC105" s="170"/>
      <c r="AD105" s="170"/>
      <c r="AE105" s="170"/>
      <c r="AF105" s="170"/>
      <c r="AG105" s="170"/>
      <c r="AH105" s="171"/>
      <c r="AI105" s="171"/>
      <c r="AJ105" s="171"/>
      <c r="AK105" s="171"/>
      <c r="AL105" s="171"/>
      <c r="AM105" s="171"/>
      <c r="BU105" s="171"/>
      <c r="BV105" s="171"/>
      <c r="BW105" s="171"/>
      <c r="BX105" s="171"/>
      <c r="BY105" s="171"/>
      <c r="BZ105" s="171"/>
      <c r="CA105" s="171"/>
      <c r="CB105" s="171"/>
      <c r="CC105" s="171"/>
      <c r="CD105" s="171"/>
      <c r="CE105" s="171"/>
      <c r="CF105" s="171"/>
      <c r="CG105" s="171"/>
      <c r="CH105" s="171"/>
      <c r="CI105" s="171"/>
      <c r="CJ105" s="171"/>
      <c r="CK105" s="171"/>
      <c r="CL105" s="171"/>
      <c r="CM105" s="171"/>
      <c r="CN105" s="171"/>
      <c r="CO105" s="171"/>
      <c r="CP105" s="171"/>
      <c r="CQ105" s="171"/>
      <c r="CR105" s="171"/>
      <c r="CS105" s="171"/>
      <c r="CT105" s="171"/>
      <c r="CU105" s="171"/>
      <c r="CV105" s="171"/>
      <c r="CW105" s="171"/>
      <c r="CX105" s="171"/>
      <c r="CY105" s="171"/>
      <c r="CZ105" s="171"/>
      <c r="DA105" s="171"/>
      <c r="DB105" s="171"/>
      <c r="DC105" s="171"/>
      <c r="DD105" s="171"/>
      <c r="DE105" s="171"/>
      <c r="DF105" s="171"/>
      <c r="DG105" s="171"/>
      <c r="DH105" s="171"/>
      <c r="DI105" s="171"/>
      <c r="DJ105" s="171"/>
      <c r="DK105" s="171"/>
      <c r="DL105" s="171"/>
      <c r="DM105" s="171"/>
      <c r="DN105" s="171"/>
      <c r="DO105" s="171"/>
      <c r="DP105" s="171"/>
      <c r="DQ105" s="171"/>
      <c r="DR105" s="171"/>
      <c r="DS105" s="171"/>
      <c r="DT105" s="171"/>
      <c r="DU105" s="171"/>
      <c r="DV105" s="171"/>
      <c r="DW105" s="171"/>
      <c r="DX105" s="171"/>
      <c r="DY105" s="171"/>
      <c r="DZ105" s="171"/>
      <c r="EA105" s="171"/>
      <c r="EB105" s="171"/>
      <c r="EC105" s="171"/>
      <c r="ED105" s="171"/>
      <c r="EE105" s="171"/>
      <c r="EF105" s="171"/>
      <c r="EG105" s="171"/>
      <c r="EH105" s="171"/>
      <c r="EI105" s="171"/>
      <c r="EJ105" s="171"/>
      <c r="EK105" s="171"/>
      <c r="EL105" s="171"/>
      <c r="EM105" s="171"/>
      <c r="EN105" s="171"/>
      <c r="EO105" s="171"/>
      <c r="EP105" s="171"/>
      <c r="EQ105" s="171"/>
      <c r="ER105" s="171"/>
      <c r="ES105" s="171"/>
      <c r="ET105" s="171"/>
      <c r="EU105" s="171"/>
      <c r="EV105" s="171"/>
      <c r="EW105" s="171"/>
      <c r="EX105" s="171"/>
      <c r="FD105" s="160"/>
      <c r="FE105" s="160"/>
      <c r="FF105" s="160"/>
      <c r="FG105" s="160"/>
      <c r="FH105" s="160"/>
      <c r="FI105" s="160"/>
      <c r="FJ105" s="160"/>
      <c r="FK105" s="160"/>
      <c r="FL105" s="160"/>
      <c r="FM105" s="160"/>
      <c r="FN105" s="160"/>
      <c r="FO105" s="160"/>
      <c r="FP105" s="160"/>
      <c r="FQ105" s="160"/>
      <c r="FR105" s="160"/>
      <c r="FS105" s="160"/>
      <c r="FT105" s="160"/>
      <c r="FU105" s="160"/>
      <c r="FV105" s="160"/>
      <c r="FW105" s="160"/>
      <c r="FX105" s="160"/>
      <c r="FY105" s="160"/>
      <c r="FZ105" s="160"/>
      <c r="GA105" s="160"/>
      <c r="GB105" s="160"/>
      <c r="GC105" s="160"/>
      <c r="GD105" s="160"/>
      <c r="GE105" s="69"/>
      <c r="IO105" s="171"/>
      <c r="IP105" s="171"/>
      <c r="IQ105" s="171"/>
      <c r="IR105" s="171"/>
      <c r="IS105" s="171"/>
      <c r="IT105" s="171"/>
      <c r="IU105" s="171"/>
      <c r="IV105" s="171"/>
      <c r="IW105" s="171"/>
      <c r="IX105" s="171"/>
      <c r="IY105" s="171"/>
      <c r="IZ105" s="171"/>
      <c r="JA105" s="171"/>
      <c r="JB105" s="171"/>
      <c r="JC105" s="171"/>
      <c r="JD105" s="171"/>
      <c r="JE105" s="171"/>
      <c r="JF105" s="171"/>
      <c r="JG105" s="171"/>
      <c r="JH105" s="171"/>
      <c r="JI105" s="171"/>
      <c r="JJ105" s="171"/>
      <c r="JK105" s="171"/>
      <c r="JL105" s="171"/>
      <c r="JM105" s="171"/>
      <c r="JN105" s="171"/>
    </row>
    <row r="106" spans="1:274" x14ac:dyDescent="0.25">
      <c r="A106" s="172"/>
      <c r="E106" s="173"/>
      <c r="G106" s="170"/>
      <c r="H106" s="170"/>
      <c r="I106" s="170"/>
      <c r="J106" s="170"/>
      <c r="K106" s="170"/>
      <c r="L106" s="170"/>
      <c r="M106" s="170"/>
      <c r="N106" s="170"/>
      <c r="O106" s="170"/>
      <c r="P106" s="170"/>
      <c r="Q106" s="171"/>
      <c r="R106" s="170"/>
      <c r="S106" s="170"/>
      <c r="T106" s="170"/>
      <c r="U106" s="170"/>
      <c r="V106" s="170"/>
      <c r="W106" s="170"/>
      <c r="X106" s="170"/>
      <c r="Y106" s="170"/>
      <c r="Z106" s="170"/>
      <c r="AA106" s="170"/>
      <c r="AB106" s="170"/>
      <c r="AC106" s="170"/>
      <c r="AD106" s="170"/>
      <c r="AE106" s="170"/>
      <c r="AF106" s="170"/>
      <c r="AG106" s="170"/>
      <c r="BU106" s="171"/>
      <c r="BV106" s="171"/>
      <c r="BW106" s="171"/>
      <c r="BX106" s="171"/>
      <c r="BY106" s="171"/>
      <c r="BZ106" s="171"/>
      <c r="CA106" s="171"/>
      <c r="CB106" s="171"/>
      <c r="CC106" s="171"/>
      <c r="CD106" s="171"/>
      <c r="CE106" s="171"/>
      <c r="CF106" s="171"/>
      <c r="CG106" s="171"/>
      <c r="CH106" s="171"/>
      <c r="CI106" s="171"/>
      <c r="CJ106" s="171"/>
      <c r="CK106" s="171"/>
      <c r="CL106" s="171"/>
      <c r="CM106" s="171"/>
      <c r="CN106" s="171"/>
      <c r="CO106" s="171"/>
      <c r="CP106" s="171"/>
      <c r="CQ106" s="171"/>
      <c r="CR106" s="171"/>
      <c r="CS106" s="171"/>
      <c r="CT106" s="171"/>
      <c r="CU106" s="171"/>
      <c r="CV106" s="171"/>
      <c r="CW106" s="171"/>
      <c r="CX106" s="171"/>
      <c r="CY106" s="171"/>
      <c r="CZ106" s="171"/>
      <c r="DA106" s="171"/>
      <c r="DB106" s="171"/>
      <c r="DC106" s="171"/>
      <c r="DD106" s="171"/>
      <c r="DE106" s="171"/>
      <c r="DF106" s="171"/>
      <c r="DG106" s="171"/>
      <c r="DH106" s="171"/>
      <c r="DI106" s="171"/>
      <c r="DJ106" s="171"/>
      <c r="DK106" s="171"/>
      <c r="DL106" s="171"/>
      <c r="DM106" s="171"/>
      <c r="DN106" s="171"/>
      <c r="DO106" s="171"/>
      <c r="DP106" s="171"/>
      <c r="DQ106" s="171"/>
      <c r="DR106" s="171"/>
      <c r="DS106" s="171"/>
      <c r="DT106" s="171"/>
      <c r="DU106" s="171"/>
      <c r="DV106" s="171"/>
      <c r="DW106" s="171"/>
      <c r="DX106" s="171"/>
      <c r="DY106" s="171"/>
      <c r="DZ106" s="171"/>
      <c r="EA106" s="171"/>
      <c r="EB106" s="171"/>
      <c r="EC106" s="171"/>
      <c r="ED106" s="171"/>
      <c r="EE106" s="171"/>
      <c r="EF106" s="171"/>
      <c r="EG106" s="171"/>
      <c r="EH106" s="171"/>
      <c r="EI106" s="171"/>
      <c r="EJ106" s="171"/>
      <c r="EK106" s="171"/>
      <c r="EL106" s="171"/>
      <c r="EM106" s="171"/>
      <c r="EN106" s="171"/>
      <c r="EO106" s="171"/>
      <c r="EP106" s="171"/>
      <c r="EQ106" s="171"/>
      <c r="ER106" s="171"/>
      <c r="ES106" s="171"/>
      <c r="ET106" s="171"/>
      <c r="EU106" s="171"/>
      <c r="EV106" s="171"/>
      <c r="EW106" s="171"/>
      <c r="EX106" s="171"/>
      <c r="FD106" s="160"/>
      <c r="FE106" s="160"/>
      <c r="FF106" s="160"/>
      <c r="FG106" s="160"/>
      <c r="FH106" s="160"/>
      <c r="FI106" s="160"/>
      <c r="FJ106" s="160"/>
      <c r="FK106" s="160"/>
      <c r="FL106" s="160"/>
      <c r="FM106" s="160"/>
      <c r="FN106" s="160"/>
      <c r="FO106" s="160"/>
      <c r="FP106" s="160"/>
      <c r="FQ106" s="160"/>
      <c r="FR106" s="160"/>
      <c r="FS106" s="160"/>
      <c r="FT106" s="160"/>
      <c r="FU106" s="160"/>
      <c r="FV106" s="160"/>
      <c r="FW106" s="160"/>
      <c r="FX106" s="160"/>
      <c r="FY106" s="160"/>
      <c r="FZ106" s="160"/>
      <c r="GA106" s="160"/>
      <c r="GB106" s="160"/>
      <c r="GC106" s="160"/>
      <c r="GD106" s="160"/>
      <c r="GE106" s="69"/>
      <c r="IO106" s="171"/>
      <c r="IP106" s="171"/>
      <c r="IQ106" s="171"/>
      <c r="IR106" s="171"/>
      <c r="IS106" s="171"/>
      <c r="IT106" s="171"/>
      <c r="IU106" s="171"/>
      <c r="IV106" s="171"/>
      <c r="IW106" s="171"/>
      <c r="IX106" s="171"/>
      <c r="IY106" s="171"/>
      <c r="IZ106" s="171"/>
      <c r="JA106" s="171"/>
      <c r="JB106" s="171"/>
      <c r="JC106" s="171"/>
      <c r="JD106" s="171"/>
      <c r="JE106" s="171"/>
      <c r="JF106" s="171"/>
      <c r="JG106" s="171"/>
      <c r="JH106" s="171"/>
      <c r="JI106" s="171"/>
      <c r="JJ106" s="171"/>
      <c r="JK106" s="171"/>
      <c r="JL106" s="171"/>
      <c r="JM106" s="171"/>
      <c r="JN106" s="171"/>
    </row>
    <row r="107" spans="1:274" x14ac:dyDescent="0.25">
      <c r="A107" s="172"/>
      <c r="E107" s="173"/>
      <c r="G107" s="170"/>
      <c r="H107" s="170"/>
      <c r="I107" s="170"/>
      <c r="J107" s="170"/>
      <c r="K107" s="170"/>
      <c r="L107" s="170"/>
      <c r="M107" s="170"/>
      <c r="N107" s="170"/>
      <c r="O107" s="170"/>
      <c r="P107" s="170"/>
      <c r="Q107" s="171"/>
      <c r="R107" s="170"/>
      <c r="S107" s="170"/>
      <c r="T107" s="170"/>
      <c r="U107" s="170"/>
      <c r="V107" s="170"/>
      <c r="W107" s="170"/>
      <c r="X107" s="170"/>
      <c r="Y107" s="170"/>
      <c r="Z107" s="170"/>
      <c r="AA107" s="170"/>
      <c r="AB107" s="170"/>
      <c r="AC107" s="170"/>
      <c r="AD107" s="170"/>
      <c r="AE107" s="170"/>
      <c r="AF107" s="170"/>
      <c r="AG107" s="170"/>
      <c r="BU107" s="171"/>
      <c r="BV107" s="171"/>
      <c r="BW107" s="171"/>
      <c r="BX107" s="171"/>
      <c r="BY107" s="171"/>
      <c r="BZ107" s="171"/>
      <c r="CA107" s="171"/>
      <c r="CB107" s="171"/>
      <c r="CC107" s="171"/>
      <c r="CD107" s="171"/>
      <c r="CE107" s="171"/>
      <c r="CF107" s="171"/>
      <c r="CG107" s="171"/>
      <c r="CH107" s="171"/>
      <c r="CI107" s="171"/>
      <c r="CJ107" s="171"/>
      <c r="CK107" s="171"/>
      <c r="CL107" s="171"/>
      <c r="CM107" s="171"/>
      <c r="CN107" s="171"/>
      <c r="CO107" s="171"/>
      <c r="CP107" s="171"/>
      <c r="CQ107" s="171"/>
      <c r="CR107" s="171"/>
      <c r="CS107" s="171"/>
      <c r="CT107" s="171"/>
      <c r="CU107" s="171"/>
      <c r="CV107" s="171"/>
      <c r="CW107" s="171"/>
      <c r="CX107" s="171"/>
      <c r="CY107" s="171"/>
      <c r="CZ107" s="171"/>
      <c r="DA107" s="171"/>
      <c r="DB107" s="171"/>
      <c r="DC107" s="171"/>
      <c r="DD107" s="171"/>
      <c r="DE107" s="171"/>
      <c r="DF107" s="171"/>
      <c r="DG107" s="171"/>
      <c r="DH107" s="171"/>
      <c r="DI107" s="171"/>
      <c r="DJ107" s="171"/>
      <c r="DK107" s="171"/>
      <c r="DL107" s="171"/>
      <c r="DM107" s="171"/>
      <c r="DN107" s="171"/>
      <c r="DO107" s="171"/>
      <c r="DP107" s="171"/>
      <c r="DQ107" s="171"/>
      <c r="DR107" s="171"/>
      <c r="DS107" s="171"/>
      <c r="DT107" s="171"/>
      <c r="DU107" s="171"/>
      <c r="DV107" s="171"/>
      <c r="DW107" s="171"/>
      <c r="DX107" s="171"/>
      <c r="DY107" s="171"/>
      <c r="DZ107" s="171"/>
      <c r="EA107" s="171"/>
      <c r="EB107" s="171"/>
      <c r="EC107" s="171"/>
      <c r="ED107" s="171"/>
      <c r="EE107" s="171"/>
      <c r="EF107" s="171"/>
      <c r="EG107" s="171"/>
      <c r="EH107" s="171"/>
      <c r="EI107" s="171"/>
      <c r="EJ107" s="171"/>
      <c r="EK107" s="171"/>
      <c r="EL107" s="171"/>
      <c r="EM107" s="171"/>
      <c r="EN107" s="171"/>
      <c r="EO107" s="171"/>
      <c r="EP107" s="171"/>
      <c r="EQ107" s="171"/>
      <c r="ER107" s="171"/>
      <c r="ES107" s="171"/>
      <c r="ET107" s="171"/>
      <c r="EU107" s="171"/>
      <c r="EV107" s="171"/>
      <c r="EW107" s="171"/>
      <c r="EX107" s="171"/>
      <c r="FD107" s="160"/>
      <c r="FE107" s="160"/>
      <c r="FF107" s="160"/>
      <c r="FG107" s="160"/>
      <c r="FH107" s="160"/>
      <c r="FI107" s="160"/>
      <c r="FJ107" s="160"/>
      <c r="FK107" s="160"/>
      <c r="FL107" s="160"/>
      <c r="FM107" s="160"/>
      <c r="FN107" s="160"/>
      <c r="FO107" s="160"/>
      <c r="FP107" s="160"/>
      <c r="FQ107" s="160"/>
      <c r="FR107" s="160"/>
      <c r="FS107" s="160"/>
      <c r="FT107" s="160"/>
      <c r="FU107" s="160"/>
      <c r="FV107" s="160"/>
      <c r="FW107" s="160"/>
      <c r="FX107" s="160"/>
      <c r="FY107" s="160"/>
      <c r="FZ107" s="160"/>
      <c r="GA107" s="160"/>
      <c r="GB107" s="160"/>
      <c r="GC107" s="160"/>
      <c r="GD107" s="160"/>
      <c r="GE107" s="69"/>
      <c r="IO107" s="171"/>
      <c r="IP107" s="171"/>
      <c r="IQ107" s="171"/>
      <c r="IR107" s="171"/>
      <c r="IS107" s="171"/>
      <c r="IT107" s="171"/>
      <c r="IU107" s="171"/>
      <c r="IV107" s="171"/>
      <c r="IW107" s="171"/>
      <c r="IX107" s="171"/>
      <c r="IY107" s="171"/>
      <c r="IZ107" s="171"/>
      <c r="JA107" s="171"/>
      <c r="JB107" s="171"/>
      <c r="JC107" s="171"/>
      <c r="JD107" s="171"/>
      <c r="JE107" s="171"/>
      <c r="JF107" s="171"/>
      <c r="JG107" s="171"/>
      <c r="JH107" s="171"/>
      <c r="JI107" s="171"/>
      <c r="JJ107" s="171"/>
      <c r="JK107" s="171"/>
      <c r="JL107" s="171"/>
      <c r="JM107" s="171"/>
      <c r="JN107" s="171"/>
    </row>
    <row r="108" spans="1:274" x14ac:dyDescent="0.25">
      <c r="A108" s="172"/>
      <c r="E108" s="173"/>
      <c r="G108" s="170"/>
      <c r="H108" s="170"/>
      <c r="I108" s="170"/>
      <c r="J108" s="170"/>
      <c r="K108" s="170"/>
      <c r="L108" s="170"/>
      <c r="M108" s="170"/>
      <c r="N108" s="170"/>
      <c r="O108" s="170"/>
      <c r="P108" s="170"/>
      <c r="Q108" s="171"/>
      <c r="R108" s="170"/>
      <c r="S108" s="170"/>
      <c r="T108" s="170"/>
      <c r="U108" s="170"/>
      <c r="V108" s="170"/>
      <c r="W108" s="170"/>
      <c r="X108" s="170"/>
      <c r="Y108" s="170"/>
      <c r="Z108" s="170"/>
      <c r="AA108" s="170"/>
      <c r="AB108" s="170"/>
      <c r="AC108" s="170"/>
      <c r="AD108" s="170"/>
      <c r="AE108" s="170"/>
      <c r="AF108" s="170"/>
      <c r="AG108" s="170"/>
      <c r="AH108" s="171"/>
      <c r="AI108" s="171"/>
      <c r="AJ108" s="171"/>
      <c r="AK108" s="171"/>
      <c r="AL108" s="171"/>
      <c r="AM108" s="171"/>
      <c r="BU108" s="171"/>
      <c r="BV108" s="171"/>
      <c r="BW108" s="171"/>
      <c r="BX108" s="171"/>
      <c r="BY108" s="171"/>
      <c r="BZ108" s="171"/>
      <c r="CA108" s="171"/>
      <c r="CB108" s="171"/>
      <c r="CC108" s="171"/>
      <c r="CD108" s="171"/>
      <c r="CE108" s="171"/>
      <c r="CF108" s="171"/>
      <c r="CG108" s="171"/>
      <c r="CH108" s="171"/>
      <c r="CI108" s="171"/>
      <c r="CJ108" s="171"/>
      <c r="CK108" s="171"/>
      <c r="CL108" s="171"/>
      <c r="CM108" s="171"/>
      <c r="CN108" s="171"/>
      <c r="CO108" s="171"/>
      <c r="CP108" s="171"/>
      <c r="CQ108" s="171"/>
      <c r="CR108" s="171"/>
      <c r="CS108" s="171"/>
      <c r="CT108" s="171"/>
      <c r="CU108" s="171"/>
      <c r="CV108" s="171"/>
      <c r="CW108" s="171"/>
      <c r="CX108" s="171"/>
      <c r="CY108" s="171"/>
      <c r="CZ108" s="171"/>
      <c r="DA108" s="171"/>
      <c r="DB108" s="171"/>
      <c r="DC108" s="171"/>
      <c r="DD108" s="171"/>
      <c r="DE108" s="171"/>
      <c r="DF108" s="171"/>
      <c r="DG108" s="171"/>
      <c r="DH108" s="171"/>
      <c r="DI108" s="171"/>
      <c r="DJ108" s="171"/>
      <c r="DK108" s="171"/>
      <c r="DL108" s="171"/>
      <c r="DM108" s="171"/>
      <c r="DN108" s="171"/>
      <c r="DO108" s="171"/>
      <c r="DP108" s="171"/>
      <c r="DQ108" s="171"/>
      <c r="DR108" s="171"/>
      <c r="DS108" s="171"/>
      <c r="DT108" s="171"/>
      <c r="DU108" s="171"/>
      <c r="DV108" s="171"/>
      <c r="DW108" s="171"/>
      <c r="DX108" s="171"/>
      <c r="DY108" s="171"/>
      <c r="DZ108" s="171"/>
      <c r="EA108" s="171"/>
      <c r="EB108" s="171"/>
      <c r="EC108" s="171"/>
      <c r="ED108" s="171"/>
      <c r="EE108" s="171"/>
      <c r="EF108" s="171"/>
      <c r="EG108" s="171"/>
      <c r="EH108" s="171"/>
      <c r="EI108" s="171"/>
      <c r="EJ108" s="171"/>
      <c r="EK108" s="171"/>
      <c r="EL108" s="171"/>
      <c r="EM108" s="171"/>
      <c r="EN108" s="171"/>
      <c r="EO108" s="171"/>
      <c r="EP108" s="171"/>
      <c r="EQ108" s="171"/>
      <c r="ER108" s="171"/>
      <c r="ES108" s="171"/>
      <c r="ET108" s="171"/>
      <c r="EU108" s="171"/>
      <c r="EV108" s="171"/>
      <c r="EW108" s="171"/>
      <c r="EX108" s="171"/>
      <c r="FD108" s="160"/>
      <c r="FE108" s="160"/>
      <c r="FF108" s="160"/>
      <c r="FG108" s="160"/>
      <c r="FH108" s="160"/>
      <c r="FI108" s="160"/>
      <c r="FJ108" s="160"/>
      <c r="FK108" s="160"/>
      <c r="FL108" s="160"/>
      <c r="FM108" s="160"/>
      <c r="FN108" s="160"/>
      <c r="FO108" s="160"/>
      <c r="FP108" s="160"/>
      <c r="FQ108" s="160"/>
      <c r="FR108" s="160"/>
      <c r="FS108" s="160"/>
      <c r="FT108" s="160"/>
      <c r="FU108" s="160"/>
      <c r="FV108" s="160"/>
      <c r="FW108" s="160"/>
      <c r="FX108" s="160"/>
      <c r="FY108" s="160"/>
      <c r="FZ108" s="160"/>
      <c r="GA108" s="160"/>
      <c r="GB108" s="160"/>
      <c r="GC108" s="160"/>
      <c r="GD108" s="160"/>
      <c r="GE108" s="69"/>
      <c r="IO108" s="171"/>
      <c r="IP108" s="171"/>
      <c r="IQ108" s="171"/>
      <c r="IR108" s="171"/>
      <c r="IS108" s="171"/>
      <c r="IT108" s="171"/>
      <c r="IU108" s="171"/>
      <c r="IV108" s="171"/>
      <c r="IW108" s="171"/>
      <c r="IX108" s="171"/>
      <c r="IY108" s="171"/>
      <c r="IZ108" s="171"/>
      <c r="JA108" s="171"/>
      <c r="JB108" s="171"/>
      <c r="JC108" s="171"/>
      <c r="JD108" s="171"/>
      <c r="JE108" s="171"/>
      <c r="JF108" s="171"/>
      <c r="JG108" s="171"/>
      <c r="JH108" s="171"/>
      <c r="JI108" s="171"/>
      <c r="JJ108" s="171"/>
      <c r="JK108" s="171"/>
      <c r="JL108" s="171"/>
      <c r="JM108" s="171"/>
      <c r="JN108" s="171"/>
    </row>
    <row r="109" spans="1:274" x14ac:dyDescent="0.25">
      <c r="A109" s="172"/>
      <c r="E109" s="173"/>
      <c r="G109" s="170"/>
      <c r="H109" s="170"/>
      <c r="I109" s="170"/>
      <c r="J109" s="170"/>
      <c r="K109" s="170"/>
      <c r="L109" s="170"/>
      <c r="M109" s="170"/>
      <c r="N109" s="170"/>
      <c r="O109" s="170"/>
      <c r="P109" s="170"/>
      <c r="Q109" s="171"/>
      <c r="R109" s="170"/>
      <c r="S109" s="170"/>
      <c r="T109" s="170"/>
      <c r="U109" s="170"/>
      <c r="V109" s="170"/>
      <c r="W109" s="170"/>
      <c r="X109" s="170"/>
      <c r="Y109" s="170"/>
      <c r="Z109" s="170"/>
      <c r="AA109" s="170"/>
      <c r="AB109" s="170"/>
      <c r="AC109" s="170"/>
      <c r="AD109" s="170"/>
      <c r="AE109" s="170"/>
      <c r="AF109" s="170"/>
      <c r="AG109" s="170"/>
      <c r="AH109" s="171"/>
      <c r="AI109" s="171"/>
      <c r="AJ109" s="171"/>
      <c r="AK109" s="171"/>
      <c r="AL109" s="171"/>
      <c r="AM109" s="171"/>
      <c r="BU109" s="171"/>
      <c r="BV109" s="171"/>
      <c r="BW109" s="171"/>
      <c r="BX109" s="171"/>
      <c r="BY109" s="171"/>
      <c r="BZ109" s="171"/>
      <c r="CA109" s="171"/>
      <c r="CB109" s="171"/>
      <c r="CC109" s="171"/>
      <c r="CD109" s="171"/>
      <c r="CE109" s="171"/>
      <c r="CF109" s="171"/>
      <c r="CG109" s="171"/>
      <c r="CH109" s="171"/>
      <c r="CI109" s="171"/>
      <c r="CJ109" s="171"/>
      <c r="CK109" s="171"/>
      <c r="CL109" s="171"/>
      <c r="CM109" s="171"/>
      <c r="CN109" s="171"/>
      <c r="CO109" s="171"/>
      <c r="CP109" s="171"/>
      <c r="CQ109" s="171"/>
      <c r="CR109" s="171"/>
      <c r="CS109" s="171"/>
      <c r="CT109" s="171"/>
      <c r="CU109" s="171"/>
      <c r="CV109" s="171"/>
      <c r="CW109" s="171"/>
      <c r="CX109" s="171"/>
      <c r="CY109" s="171"/>
      <c r="CZ109" s="171"/>
      <c r="DA109" s="171"/>
      <c r="DB109" s="171"/>
      <c r="DC109" s="171"/>
      <c r="DD109" s="171"/>
      <c r="DE109" s="171"/>
      <c r="DF109" s="171"/>
      <c r="DG109" s="171"/>
      <c r="DH109" s="171"/>
      <c r="DI109" s="171"/>
      <c r="DJ109" s="171"/>
      <c r="DK109" s="171"/>
      <c r="DL109" s="171"/>
      <c r="DM109" s="171"/>
      <c r="DN109" s="171"/>
      <c r="DO109" s="171"/>
      <c r="DP109" s="171"/>
      <c r="DQ109" s="171"/>
      <c r="DR109" s="171"/>
      <c r="DS109" s="171"/>
      <c r="DT109" s="171"/>
      <c r="DU109" s="171"/>
      <c r="DV109" s="171"/>
      <c r="DW109" s="171"/>
      <c r="DX109" s="171"/>
      <c r="DY109" s="171"/>
      <c r="DZ109" s="171"/>
      <c r="EA109" s="171"/>
      <c r="EB109" s="171"/>
      <c r="EC109" s="171"/>
      <c r="ED109" s="171"/>
      <c r="EE109" s="171"/>
      <c r="EF109" s="171"/>
      <c r="EG109" s="171"/>
      <c r="EH109" s="171"/>
      <c r="EI109" s="171"/>
      <c r="EJ109" s="171"/>
      <c r="EK109" s="171"/>
      <c r="EL109" s="171"/>
      <c r="EM109" s="171"/>
      <c r="EN109" s="171"/>
      <c r="EO109" s="171"/>
      <c r="EP109" s="171"/>
      <c r="EQ109" s="171"/>
      <c r="ER109" s="171"/>
      <c r="ES109" s="171"/>
      <c r="ET109" s="171"/>
      <c r="EU109" s="171"/>
      <c r="EV109" s="171"/>
      <c r="EW109" s="171"/>
      <c r="EX109" s="171"/>
      <c r="FD109" s="160"/>
      <c r="FE109" s="160"/>
      <c r="FF109" s="160"/>
      <c r="FG109" s="160"/>
      <c r="FH109" s="160"/>
      <c r="FI109" s="160"/>
      <c r="FJ109" s="160"/>
      <c r="FK109" s="160"/>
      <c r="FL109" s="160"/>
      <c r="FM109" s="160"/>
      <c r="FN109" s="160"/>
      <c r="FO109" s="160"/>
      <c r="FP109" s="160"/>
      <c r="FQ109" s="160"/>
      <c r="FR109" s="160"/>
      <c r="FS109" s="160"/>
      <c r="FT109" s="160"/>
      <c r="FU109" s="160"/>
      <c r="FV109" s="160"/>
      <c r="FW109" s="160"/>
      <c r="FX109" s="160"/>
      <c r="FY109" s="160"/>
      <c r="FZ109" s="160"/>
      <c r="GA109" s="160"/>
      <c r="GB109" s="160"/>
      <c r="GC109" s="160"/>
      <c r="GD109" s="160"/>
      <c r="GE109" s="69"/>
      <c r="IO109" s="171"/>
      <c r="IP109" s="171"/>
      <c r="IQ109" s="171"/>
      <c r="IR109" s="171"/>
      <c r="IS109" s="171"/>
      <c r="IT109" s="171"/>
      <c r="IU109" s="171"/>
      <c r="IV109" s="171"/>
      <c r="IW109" s="171"/>
      <c r="IX109" s="171"/>
      <c r="IY109" s="171"/>
      <c r="IZ109" s="171"/>
      <c r="JA109" s="171"/>
      <c r="JB109" s="171"/>
      <c r="JC109" s="171"/>
      <c r="JD109" s="171"/>
      <c r="JE109" s="171"/>
      <c r="JF109" s="171"/>
      <c r="JG109" s="171"/>
      <c r="JH109" s="171"/>
      <c r="JI109" s="171"/>
      <c r="JJ109" s="171"/>
      <c r="JK109" s="171"/>
      <c r="JL109" s="171"/>
      <c r="JM109" s="171"/>
      <c r="JN109" s="171"/>
    </row>
    <row r="110" spans="1:274" x14ac:dyDescent="0.25">
      <c r="A110" s="172"/>
      <c r="E110" s="173"/>
      <c r="G110" s="170"/>
      <c r="H110" s="170"/>
      <c r="I110" s="170"/>
      <c r="J110" s="170"/>
      <c r="K110" s="170"/>
      <c r="L110" s="170"/>
      <c r="M110" s="170"/>
      <c r="N110" s="170"/>
      <c r="O110" s="170"/>
      <c r="P110" s="170"/>
      <c r="Q110" s="171"/>
      <c r="R110" s="170"/>
      <c r="S110" s="170"/>
      <c r="T110" s="170"/>
      <c r="U110" s="170"/>
      <c r="V110" s="170"/>
      <c r="W110" s="170"/>
      <c r="X110" s="170"/>
      <c r="Y110" s="170"/>
      <c r="Z110" s="170"/>
      <c r="AA110" s="170"/>
      <c r="AB110" s="170"/>
      <c r="AC110" s="170"/>
      <c r="AD110" s="170"/>
      <c r="AE110" s="170"/>
      <c r="AF110" s="170"/>
      <c r="AG110" s="170"/>
      <c r="AH110" s="171"/>
      <c r="AI110" s="171"/>
      <c r="AJ110" s="171"/>
      <c r="AK110" s="171"/>
      <c r="AL110" s="171"/>
      <c r="AM110" s="171"/>
      <c r="BU110" s="171"/>
      <c r="BV110" s="171"/>
      <c r="BW110" s="171"/>
      <c r="BX110" s="171"/>
      <c r="BY110" s="171"/>
      <c r="BZ110" s="171"/>
      <c r="CA110" s="171"/>
      <c r="CB110" s="171"/>
      <c r="CC110" s="171"/>
      <c r="CD110" s="171"/>
      <c r="CE110" s="171"/>
      <c r="CF110" s="171"/>
      <c r="CG110" s="171"/>
      <c r="CH110" s="171"/>
      <c r="CI110" s="171"/>
      <c r="CJ110" s="171"/>
      <c r="CK110" s="171"/>
      <c r="CL110" s="171"/>
      <c r="CM110" s="171"/>
      <c r="CN110" s="171"/>
      <c r="CO110" s="171"/>
      <c r="CP110" s="171"/>
      <c r="CQ110" s="171"/>
      <c r="CR110" s="171"/>
      <c r="CS110" s="171"/>
      <c r="CT110" s="171"/>
      <c r="CU110" s="171"/>
      <c r="CV110" s="171"/>
      <c r="CW110" s="171"/>
      <c r="CX110" s="171"/>
      <c r="CY110" s="171"/>
      <c r="CZ110" s="171"/>
      <c r="DA110" s="171"/>
      <c r="DB110" s="171"/>
      <c r="DC110" s="171"/>
      <c r="DD110" s="171"/>
      <c r="DE110" s="171"/>
      <c r="DF110" s="171"/>
      <c r="DG110" s="171"/>
      <c r="DH110" s="171"/>
      <c r="DI110" s="171"/>
      <c r="DJ110" s="171"/>
      <c r="DK110" s="171"/>
      <c r="DL110" s="171"/>
      <c r="DM110" s="171"/>
      <c r="DN110" s="171"/>
      <c r="DO110" s="171"/>
      <c r="DP110" s="171"/>
      <c r="DQ110" s="171"/>
      <c r="DR110" s="171"/>
      <c r="DS110" s="171"/>
      <c r="DT110" s="171"/>
      <c r="DU110" s="171"/>
      <c r="DV110" s="171"/>
      <c r="DW110" s="171"/>
      <c r="DX110" s="171"/>
      <c r="DY110" s="171"/>
      <c r="DZ110" s="171"/>
      <c r="EA110" s="171"/>
      <c r="EB110" s="171"/>
      <c r="EC110" s="171"/>
      <c r="ED110" s="171"/>
      <c r="EE110" s="171"/>
      <c r="EF110" s="171"/>
      <c r="EG110" s="171"/>
      <c r="EH110" s="171"/>
      <c r="EI110" s="171"/>
      <c r="EJ110" s="171"/>
      <c r="EK110" s="171"/>
      <c r="EL110" s="171"/>
      <c r="EM110" s="171"/>
      <c r="EN110" s="171"/>
      <c r="EO110" s="171"/>
      <c r="EP110" s="171"/>
      <c r="EQ110" s="171"/>
      <c r="ER110" s="171"/>
      <c r="ES110" s="171"/>
      <c r="ET110" s="171"/>
      <c r="EU110" s="171"/>
      <c r="EV110" s="171"/>
      <c r="EW110" s="171"/>
      <c r="EX110" s="171"/>
      <c r="FD110" s="160"/>
      <c r="FE110" s="160"/>
      <c r="FF110" s="160"/>
      <c r="FG110" s="160"/>
      <c r="FH110" s="160"/>
      <c r="FI110" s="160"/>
      <c r="FJ110" s="160"/>
      <c r="FK110" s="160"/>
      <c r="FL110" s="160"/>
      <c r="FM110" s="160"/>
      <c r="FN110" s="160"/>
      <c r="FO110" s="160"/>
      <c r="FP110" s="160"/>
      <c r="FQ110" s="160"/>
      <c r="FR110" s="160"/>
      <c r="FS110" s="160"/>
      <c r="FT110" s="160"/>
      <c r="FU110" s="160"/>
      <c r="FV110" s="160"/>
      <c r="FW110" s="160"/>
      <c r="FX110" s="160"/>
      <c r="FY110" s="160"/>
      <c r="FZ110" s="160"/>
      <c r="GA110" s="160"/>
      <c r="GB110" s="160"/>
      <c r="GC110" s="160"/>
      <c r="GD110" s="160"/>
      <c r="GE110" s="69"/>
      <c r="IO110" s="171"/>
      <c r="IP110" s="171"/>
      <c r="IQ110" s="171"/>
      <c r="IR110" s="171"/>
      <c r="IS110" s="171"/>
      <c r="IT110" s="171"/>
      <c r="IU110" s="171"/>
      <c r="IV110" s="171"/>
      <c r="IW110" s="171"/>
      <c r="IX110" s="171"/>
      <c r="IY110" s="171"/>
      <c r="IZ110" s="171"/>
      <c r="JA110" s="171"/>
      <c r="JB110" s="171"/>
      <c r="JC110" s="171"/>
      <c r="JD110" s="171"/>
      <c r="JE110" s="171"/>
      <c r="JF110" s="171"/>
      <c r="JG110" s="171"/>
      <c r="JH110" s="171"/>
      <c r="JI110" s="171"/>
      <c r="JJ110" s="171"/>
      <c r="JK110" s="171"/>
      <c r="JL110" s="171"/>
      <c r="JM110" s="171"/>
      <c r="JN110" s="171"/>
    </row>
    <row r="111" spans="1:274" x14ac:dyDescent="0.25">
      <c r="A111" s="172"/>
      <c r="E111" s="173"/>
      <c r="G111" s="170"/>
      <c r="H111" s="170"/>
      <c r="I111" s="170"/>
      <c r="J111" s="170"/>
      <c r="K111" s="170"/>
      <c r="L111" s="170"/>
      <c r="M111" s="170"/>
      <c r="N111" s="170"/>
      <c r="O111" s="170"/>
      <c r="P111" s="170"/>
      <c r="Q111" s="171"/>
      <c r="R111" s="170"/>
      <c r="S111" s="170"/>
      <c r="T111" s="170"/>
      <c r="U111" s="170"/>
      <c r="V111" s="170"/>
      <c r="W111" s="170"/>
      <c r="X111" s="170"/>
      <c r="Y111" s="170"/>
      <c r="Z111" s="170"/>
      <c r="AA111" s="170"/>
      <c r="AB111" s="170"/>
      <c r="AC111" s="170"/>
      <c r="AD111" s="170"/>
      <c r="AE111" s="170"/>
      <c r="AF111" s="170"/>
      <c r="AG111" s="170"/>
      <c r="AH111" s="171"/>
      <c r="AI111" s="171"/>
      <c r="AJ111" s="171"/>
      <c r="AK111" s="171"/>
      <c r="AL111" s="171"/>
      <c r="AM111" s="171"/>
      <c r="BU111" s="171"/>
      <c r="BV111" s="171"/>
      <c r="BW111" s="171"/>
      <c r="BX111" s="171"/>
      <c r="BY111" s="171"/>
      <c r="BZ111" s="171"/>
      <c r="CA111" s="171"/>
      <c r="CB111" s="171"/>
      <c r="CC111" s="171"/>
      <c r="CD111" s="171"/>
      <c r="CE111" s="171"/>
      <c r="CF111" s="171"/>
      <c r="CG111" s="171"/>
      <c r="CH111" s="171"/>
      <c r="CI111" s="171"/>
      <c r="CJ111" s="171"/>
      <c r="CK111" s="171"/>
      <c r="CL111" s="171"/>
      <c r="CM111" s="171"/>
      <c r="CN111" s="171"/>
      <c r="CO111" s="171"/>
      <c r="CP111" s="171"/>
      <c r="CQ111" s="171"/>
      <c r="CR111" s="171"/>
      <c r="CS111" s="171"/>
      <c r="CT111" s="171"/>
      <c r="CU111" s="171"/>
      <c r="CV111" s="171"/>
      <c r="CW111" s="171"/>
      <c r="CX111" s="171"/>
      <c r="CY111" s="171"/>
      <c r="CZ111" s="171"/>
      <c r="DA111" s="171"/>
      <c r="DB111" s="171"/>
      <c r="DC111" s="171"/>
      <c r="DD111" s="171"/>
      <c r="DE111" s="171"/>
      <c r="DF111" s="171"/>
      <c r="DG111" s="171"/>
      <c r="DH111" s="171"/>
      <c r="DI111" s="171"/>
      <c r="DJ111" s="171"/>
      <c r="DK111" s="171"/>
      <c r="DL111" s="171"/>
      <c r="DM111" s="171"/>
      <c r="DN111" s="171"/>
      <c r="DO111" s="171"/>
      <c r="DP111" s="171"/>
      <c r="DQ111" s="171"/>
      <c r="DR111" s="171"/>
      <c r="DS111" s="171"/>
      <c r="DT111" s="171"/>
      <c r="DU111" s="171"/>
      <c r="DV111" s="171"/>
      <c r="DW111" s="171"/>
      <c r="DX111" s="171"/>
      <c r="DY111" s="171"/>
      <c r="DZ111" s="171"/>
      <c r="EA111" s="171"/>
      <c r="EB111" s="171"/>
      <c r="EC111" s="171"/>
      <c r="ED111" s="171"/>
      <c r="EE111" s="171"/>
      <c r="EF111" s="171"/>
      <c r="EG111" s="171"/>
      <c r="EH111" s="171"/>
      <c r="EI111" s="171"/>
      <c r="EJ111" s="171"/>
      <c r="EK111" s="171"/>
      <c r="EL111" s="171"/>
      <c r="EM111" s="171"/>
      <c r="EN111" s="171"/>
      <c r="EO111" s="171"/>
      <c r="EP111" s="171"/>
      <c r="EQ111" s="171"/>
      <c r="ER111" s="171"/>
      <c r="ES111" s="171"/>
      <c r="ET111" s="171"/>
      <c r="EU111" s="171"/>
      <c r="EV111" s="171"/>
      <c r="EW111" s="171"/>
      <c r="EX111" s="171"/>
      <c r="FD111" s="160"/>
      <c r="FE111" s="160"/>
      <c r="FF111" s="160"/>
      <c r="FG111" s="160"/>
      <c r="FH111" s="160"/>
      <c r="FI111" s="160"/>
      <c r="FJ111" s="160"/>
      <c r="FK111" s="160"/>
      <c r="FL111" s="160"/>
      <c r="FM111" s="160"/>
      <c r="FN111" s="160"/>
      <c r="FO111" s="160"/>
      <c r="FP111" s="160"/>
      <c r="FQ111" s="160"/>
      <c r="FR111" s="160"/>
      <c r="FS111" s="160"/>
      <c r="FT111" s="160"/>
      <c r="FU111" s="160"/>
      <c r="FV111" s="160"/>
      <c r="FW111" s="160"/>
      <c r="FX111" s="160"/>
      <c r="FY111" s="160"/>
      <c r="FZ111" s="160"/>
      <c r="GA111" s="160"/>
      <c r="GB111" s="160"/>
      <c r="GC111" s="160"/>
      <c r="GD111" s="160"/>
      <c r="GE111" s="69"/>
      <c r="IO111" s="171"/>
      <c r="IP111" s="171"/>
      <c r="IQ111" s="171"/>
      <c r="IR111" s="171"/>
      <c r="IS111" s="171"/>
      <c r="IT111" s="171"/>
      <c r="IU111" s="171"/>
      <c r="IV111" s="171"/>
      <c r="IW111" s="171"/>
      <c r="IX111" s="171"/>
      <c r="IY111" s="171"/>
      <c r="IZ111" s="171"/>
      <c r="JA111" s="171"/>
      <c r="JB111" s="171"/>
      <c r="JC111" s="171"/>
      <c r="JD111" s="171"/>
      <c r="JE111" s="171"/>
      <c r="JF111" s="171"/>
      <c r="JG111" s="171"/>
      <c r="JH111" s="171"/>
      <c r="JI111" s="171"/>
      <c r="JJ111" s="171"/>
      <c r="JK111" s="171"/>
      <c r="JL111" s="171"/>
      <c r="JM111" s="171"/>
      <c r="JN111" s="171"/>
    </row>
    <row r="112" spans="1:274" x14ac:dyDescent="0.25">
      <c r="A112" s="172"/>
      <c r="E112" s="173"/>
      <c r="G112" s="170"/>
      <c r="H112" s="170"/>
      <c r="I112" s="170"/>
      <c r="J112" s="170"/>
      <c r="K112" s="170"/>
      <c r="L112" s="170"/>
      <c r="M112" s="170"/>
      <c r="N112" s="170"/>
      <c r="O112" s="170"/>
      <c r="P112" s="170"/>
      <c r="Q112" s="171"/>
      <c r="R112" s="170"/>
      <c r="S112" s="170"/>
      <c r="T112" s="170"/>
      <c r="U112" s="170"/>
      <c r="V112" s="170"/>
      <c r="W112" s="170"/>
      <c r="X112" s="170"/>
      <c r="Y112" s="170"/>
      <c r="Z112" s="170"/>
      <c r="AA112" s="170"/>
      <c r="AB112" s="170"/>
      <c r="AC112" s="170"/>
      <c r="AD112" s="170"/>
      <c r="AE112" s="170"/>
      <c r="AF112" s="170"/>
      <c r="AG112" s="170"/>
      <c r="AH112" s="171"/>
      <c r="AI112" s="171"/>
      <c r="AJ112" s="171"/>
      <c r="AK112" s="171"/>
      <c r="AL112" s="171"/>
      <c r="AM112" s="171"/>
      <c r="BU112" s="171"/>
      <c r="BV112" s="171"/>
      <c r="BW112" s="171"/>
      <c r="BX112" s="171"/>
      <c r="BY112" s="171"/>
      <c r="BZ112" s="171"/>
      <c r="CA112" s="171"/>
      <c r="CB112" s="171"/>
      <c r="CC112" s="171"/>
      <c r="CD112" s="171"/>
      <c r="CE112" s="171"/>
      <c r="CF112" s="171"/>
      <c r="CG112" s="171"/>
      <c r="CH112" s="171"/>
      <c r="CI112" s="171"/>
      <c r="CJ112" s="171"/>
      <c r="CK112" s="171"/>
      <c r="CL112" s="171"/>
      <c r="CM112" s="171"/>
      <c r="CN112" s="171"/>
      <c r="CO112" s="171"/>
      <c r="CP112" s="171"/>
      <c r="CQ112" s="171"/>
      <c r="CR112" s="171"/>
      <c r="CS112" s="171"/>
      <c r="CT112" s="171"/>
      <c r="CU112" s="171"/>
      <c r="CV112" s="171"/>
      <c r="CW112" s="171"/>
      <c r="CX112" s="171"/>
      <c r="CY112" s="171"/>
      <c r="CZ112" s="171"/>
      <c r="DA112" s="171"/>
      <c r="DB112" s="171"/>
      <c r="DC112" s="171"/>
      <c r="DD112" s="171"/>
      <c r="DE112" s="171"/>
      <c r="DF112" s="171"/>
      <c r="DG112" s="171"/>
      <c r="DH112" s="171"/>
      <c r="DI112" s="171"/>
      <c r="DJ112" s="171"/>
      <c r="DK112" s="171"/>
      <c r="DL112" s="171"/>
      <c r="DM112" s="171"/>
      <c r="DN112" s="171"/>
      <c r="DO112" s="171"/>
      <c r="DP112" s="171"/>
      <c r="DQ112" s="171"/>
      <c r="DR112" s="171"/>
      <c r="DS112" s="171"/>
      <c r="DT112" s="171"/>
      <c r="DU112" s="171"/>
      <c r="DV112" s="171"/>
      <c r="DW112" s="171"/>
      <c r="DX112" s="171"/>
      <c r="DY112" s="171"/>
      <c r="DZ112" s="171"/>
      <c r="EA112" s="171"/>
      <c r="EB112" s="171"/>
      <c r="EC112" s="171"/>
      <c r="ED112" s="171"/>
      <c r="EE112" s="171"/>
      <c r="EF112" s="171"/>
      <c r="EG112" s="171"/>
      <c r="EH112" s="171"/>
      <c r="EI112" s="171"/>
      <c r="EJ112" s="171"/>
      <c r="EK112" s="171"/>
      <c r="EL112" s="171"/>
      <c r="EM112" s="171"/>
      <c r="EN112" s="171"/>
      <c r="EO112" s="171"/>
      <c r="EP112" s="171"/>
      <c r="EQ112" s="171"/>
      <c r="ER112" s="171"/>
      <c r="ES112" s="171"/>
      <c r="ET112" s="171"/>
      <c r="EU112" s="171"/>
      <c r="EV112" s="171"/>
      <c r="EW112" s="171"/>
      <c r="EX112" s="171"/>
      <c r="FD112" s="160"/>
      <c r="FE112" s="160"/>
      <c r="FF112" s="160"/>
      <c r="FG112" s="160"/>
      <c r="FH112" s="160"/>
      <c r="FI112" s="160"/>
      <c r="FJ112" s="160"/>
      <c r="FK112" s="160"/>
      <c r="FL112" s="160"/>
      <c r="FM112" s="160"/>
      <c r="FN112" s="160"/>
      <c r="FO112" s="160"/>
      <c r="FP112" s="160"/>
      <c r="FQ112" s="160"/>
      <c r="FR112" s="160"/>
      <c r="FS112" s="160"/>
      <c r="FT112" s="160"/>
      <c r="FU112" s="160"/>
      <c r="FV112" s="160"/>
      <c r="FW112" s="160"/>
      <c r="FX112" s="160"/>
      <c r="FY112" s="160"/>
      <c r="FZ112" s="160"/>
      <c r="GA112" s="160"/>
      <c r="GB112" s="160"/>
      <c r="GC112" s="160"/>
      <c r="GD112" s="160"/>
      <c r="GE112" s="69"/>
      <c r="IO112" s="171"/>
      <c r="IP112" s="171"/>
      <c r="IQ112" s="171"/>
      <c r="IR112" s="171"/>
      <c r="IS112" s="171"/>
      <c r="IT112" s="171"/>
      <c r="IU112" s="171"/>
      <c r="IV112" s="171"/>
      <c r="IW112" s="171"/>
      <c r="IX112" s="171"/>
      <c r="IY112" s="171"/>
      <c r="IZ112" s="171"/>
      <c r="JA112" s="171"/>
      <c r="JB112" s="171"/>
      <c r="JC112" s="171"/>
      <c r="JD112" s="171"/>
      <c r="JE112" s="171"/>
      <c r="JF112" s="171"/>
      <c r="JG112" s="171"/>
      <c r="JH112" s="171"/>
      <c r="JI112" s="171"/>
      <c r="JJ112" s="171"/>
      <c r="JK112" s="171"/>
      <c r="JL112" s="171"/>
      <c r="JM112" s="171"/>
      <c r="JN112" s="171"/>
    </row>
    <row r="113" spans="1:274" x14ac:dyDescent="0.25">
      <c r="A113" s="172"/>
      <c r="E113" s="173"/>
      <c r="G113" s="170"/>
      <c r="H113" s="170"/>
      <c r="I113" s="170"/>
      <c r="J113" s="170"/>
      <c r="K113" s="170"/>
      <c r="L113" s="170"/>
      <c r="M113" s="170"/>
      <c r="N113" s="170"/>
      <c r="O113" s="170"/>
      <c r="P113" s="170"/>
      <c r="Q113" s="171"/>
      <c r="R113" s="170"/>
      <c r="S113" s="170"/>
      <c r="T113" s="170"/>
      <c r="U113" s="170"/>
      <c r="V113" s="170"/>
      <c r="W113" s="170"/>
      <c r="X113" s="170"/>
      <c r="Y113" s="170"/>
      <c r="Z113" s="170"/>
      <c r="AA113" s="170"/>
      <c r="AB113" s="170"/>
      <c r="AC113" s="170"/>
      <c r="AD113" s="170"/>
      <c r="AE113" s="170"/>
      <c r="AF113" s="170"/>
      <c r="AG113" s="170"/>
      <c r="AH113" s="171"/>
      <c r="AI113" s="171"/>
      <c r="AJ113" s="171"/>
      <c r="AK113" s="171"/>
      <c r="AL113" s="171"/>
      <c r="AM113" s="171"/>
      <c r="BU113" s="171"/>
      <c r="BV113" s="171"/>
      <c r="BW113" s="171"/>
      <c r="BX113" s="171"/>
      <c r="BY113" s="171"/>
      <c r="BZ113" s="171"/>
      <c r="CA113" s="171"/>
      <c r="CB113" s="171"/>
      <c r="CC113" s="171"/>
      <c r="CD113" s="171"/>
      <c r="CE113" s="171"/>
      <c r="CF113" s="171"/>
      <c r="CG113" s="171"/>
      <c r="CH113" s="171"/>
      <c r="CI113" s="171"/>
      <c r="CJ113" s="171"/>
      <c r="CK113" s="171"/>
      <c r="CL113" s="171"/>
      <c r="CM113" s="171"/>
      <c r="CN113" s="171"/>
      <c r="CO113" s="171"/>
      <c r="CP113" s="171"/>
      <c r="CQ113" s="171"/>
      <c r="CR113" s="171"/>
      <c r="CS113" s="171"/>
      <c r="CT113" s="171"/>
      <c r="CU113" s="171"/>
      <c r="CV113" s="171"/>
      <c r="CW113" s="171"/>
      <c r="CX113" s="171"/>
      <c r="CY113" s="171"/>
      <c r="CZ113" s="171"/>
      <c r="DA113" s="171"/>
      <c r="DB113" s="171"/>
      <c r="DC113" s="171"/>
      <c r="DD113" s="171"/>
      <c r="DE113" s="171"/>
      <c r="DF113" s="171"/>
      <c r="DG113" s="171"/>
      <c r="DH113" s="171"/>
      <c r="DI113" s="171"/>
      <c r="DJ113" s="171"/>
      <c r="DK113" s="171"/>
      <c r="DL113" s="171"/>
      <c r="DM113" s="171"/>
      <c r="DN113" s="171"/>
      <c r="DO113" s="171"/>
      <c r="DP113" s="171"/>
      <c r="DQ113" s="171"/>
      <c r="DR113" s="171"/>
      <c r="DS113" s="171"/>
      <c r="DT113" s="171"/>
      <c r="DU113" s="171"/>
      <c r="DV113" s="171"/>
      <c r="DW113" s="171"/>
      <c r="DX113" s="171"/>
      <c r="DY113" s="171"/>
      <c r="DZ113" s="171"/>
      <c r="EA113" s="171"/>
      <c r="EB113" s="171"/>
      <c r="EC113" s="171"/>
      <c r="ED113" s="171"/>
      <c r="EE113" s="171"/>
      <c r="EF113" s="171"/>
      <c r="EG113" s="171"/>
      <c r="EH113" s="171"/>
      <c r="EI113" s="171"/>
      <c r="EJ113" s="171"/>
      <c r="EK113" s="171"/>
      <c r="EL113" s="171"/>
      <c r="EM113" s="171"/>
      <c r="EN113" s="171"/>
      <c r="EO113" s="171"/>
      <c r="EP113" s="171"/>
      <c r="EQ113" s="171"/>
      <c r="ER113" s="171"/>
      <c r="ES113" s="171"/>
      <c r="ET113" s="171"/>
      <c r="EU113" s="171"/>
      <c r="EV113" s="171"/>
      <c r="EW113" s="171"/>
      <c r="EX113" s="171"/>
      <c r="FD113" s="160"/>
      <c r="FE113" s="160"/>
      <c r="FF113" s="160"/>
      <c r="FG113" s="160"/>
      <c r="FH113" s="160"/>
      <c r="FI113" s="160"/>
      <c r="FJ113" s="160"/>
      <c r="FK113" s="160"/>
      <c r="FL113" s="160"/>
      <c r="FM113" s="160"/>
      <c r="FN113" s="160"/>
      <c r="FO113" s="160"/>
      <c r="FP113" s="160"/>
      <c r="FQ113" s="160"/>
      <c r="FR113" s="160"/>
      <c r="FS113" s="160"/>
      <c r="FT113" s="160"/>
      <c r="FU113" s="160"/>
      <c r="FV113" s="160"/>
      <c r="FW113" s="160"/>
      <c r="FX113" s="160"/>
      <c r="FY113" s="160"/>
      <c r="FZ113" s="160"/>
      <c r="GA113" s="160"/>
      <c r="GB113" s="160"/>
      <c r="GC113" s="160"/>
      <c r="GD113" s="160"/>
      <c r="GE113" s="69"/>
      <c r="IO113" s="171"/>
      <c r="IP113" s="171"/>
      <c r="IQ113" s="171"/>
      <c r="IR113" s="171"/>
      <c r="IS113" s="171"/>
      <c r="IT113" s="171"/>
      <c r="IU113" s="171"/>
      <c r="IV113" s="171"/>
      <c r="IW113" s="171"/>
      <c r="IX113" s="171"/>
      <c r="IY113" s="171"/>
      <c r="IZ113" s="171"/>
      <c r="JA113" s="171"/>
      <c r="JB113" s="171"/>
      <c r="JC113" s="171"/>
      <c r="JD113" s="171"/>
      <c r="JE113" s="171"/>
      <c r="JF113" s="171"/>
      <c r="JG113" s="171"/>
      <c r="JH113" s="171"/>
      <c r="JI113" s="171"/>
      <c r="JJ113" s="171"/>
      <c r="JK113" s="171"/>
      <c r="JL113" s="171"/>
      <c r="JM113" s="171"/>
      <c r="JN113" s="171"/>
    </row>
    <row r="114" spans="1:274" x14ac:dyDescent="0.25">
      <c r="A114" s="172"/>
      <c r="E114" s="175"/>
      <c r="G114" s="170"/>
      <c r="H114" s="170"/>
      <c r="I114" s="170"/>
      <c r="J114" s="170"/>
      <c r="K114" s="170"/>
      <c r="L114" s="170"/>
      <c r="M114" s="170"/>
      <c r="N114" s="170"/>
      <c r="O114" s="170"/>
      <c r="P114" s="170"/>
      <c r="Q114" s="171"/>
      <c r="R114" s="170"/>
      <c r="S114" s="170"/>
      <c r="T114" s="170"/>
      <c r="U114" s="170"/>
      <c r="V114" s="170"/>
      <c r="W114" s="170"/>
      <c r="X114" s="170"/>
      <c r="Y114" s="170"/>
      <c r="Z114" s="170"/>
      <c r="AA114" s="170"/>
      <c r="AB114" s="170"/>
      <c r="AC114" s="170"/>
      <c r="AD114" s="170"/>
      <c r="AE114" s="170"/>
      <c r="AF114" s="170"/>
      <c r="AG114" s="170"/>
      <c r="AH114" s="171"/>
      <c r="AI114" s="171"/>
      <c r="AJ114" s="171"/>
      <c r="AK114" s="171"/>
      <c r="AL114" s="171"/>
      <c r="AM114" s="171"/>
      <c r="BU114" s="171"/>
      <c r="BV114" s="171"/>
      <c r="BW114" s="171"/>
      <c r="BX114" s="171"/>
      <c r="BY114" s="171"/>
      <c r="BZ114" s="171"/>
      <c r="CA114" s="171"/>
      <c r="CB114" s="171"/>
      <c r="CC114" s="171"/>
      <c r="CD114" s="171"/>
      <c r="CE114" s="171"/>
      <c r="CF114" s="171"/>
      <c r="CG114" s="171"/>
      <c r="CH114" s="171"/>
      <c r="CI114" s="171"/>
      <c r="CJ114" s="171"/>
      <c r="CK114" s="171"/>
      <c r="CL114" s="171"/>
      <c r="CM114" s="171"/>
      <c r="CN114" s="171"/>
      <c r="CO114" s="171"/>
      <c r="CP114" s="171"/>
      <c r="CQ114" s="171"/>
      <c r="CR114" s="171"/>
      <c r="CS114" s="171"/>
      <c r="CT114" s="171"/>
      <c r="CU114" s="171"/>
      <c r="CV114" s="171"/>
      <c r="CW114" s="171"/>
      <c r="CX114" s="171"/>
      <c r="CY114" s="171"/>
      <c r="CZ114" s="171"/>
      <c r="DA114" s="171"/>
      <c r="DB114" s="171"/>
      <c r="DC114" s="171"/>
      <c r="DD114" s="171"/>
      <c r="DE114" s="171"/>
      <c r="DF114" s="171"/>
      <c r="DG114" s="171"/>
      <c r="DH114" s="171"/>
      <c r="DI114" s="171"/>
      <c r="DJ114" s="171"/>
      <c r="DK114" s="171"/>
      <c r="DL114" s="171"/>
      <c r="DM114" s="171"/>
      <c r="DN114" s="171"/>
      <c r="DO114" s="171"/>
      <c r="DP114" s="171"/>
      <c r="DQ114" s="171"/>
      <c r="DR114" s="171"/>
      <c r="DS114" s="171"/>
      <c r="DT114" s="171"/>
      <c r="DU114" s="171"/>
      <c r="DV114" s="171"/>
      <c r="DW114" s="171"/>
      <c r="DX114" s="171"/>
      <c r="DY114" s="171"/>
      <c r="DZ114" s="171"/>
      <c r="EA114" s="171"/>
      <c r="EB114" s="171"/>
      <c r="EC114" s="171"/>
      <c r="ED114" s="171"/>
      <c r="EE114" s="171"/>
      <c r="EF114" s="171"/>
      <c r="EG114" s="171"/>
      <c r="EH114" s="171"/>
      <c r="EI114" s="171"/>
      <c r="EJ114" s="171"/>
      <c r="EK114" s="171"/>
      <c r="EL114" s="171"/>
      <c r="EM114" s="171"/>
      <c r="EN114" s="171"/>
      <c r="EO114" s="171"/>
      <c r="EP114" s="171"/>
      <c r="EQ114" s="171"/>
      <c r="ER114" s="171"/>
      <c r="ES114" s="171"/>
      <c r="ET114" s="171"/>
      <c r="EU114" s="171"/>
      <c r="EV114" s="171"/>
      <c r="EW114" s="171"/>
      <c r="EX114" s="171"/>
      <c r="FD114" s="160"/>
      <c r="FE114" s="160"/>
      <c r="FF114" s="160"/>
      <c r="FG114" s="160"/>
      <c r="FH114" s="160"/>
      <c r="FI114" s="160"/>
      <c r="FJ114" s="160"/>
      <c r="FK114" s="160"/>
      <c r="FL114" s="160"/>
      <c r="FM114" s="160"/>
      <c r="FN114" s="160"/>
      <c r="FO114" s="160"/>
      <c r="FP114" s="160"/>
      <c r="FQ114" s="160"/>
      <c r="FR114" s="160"/>
      <c r="FS114" s="160"/>
      <c r="FT114" s="160"/>
      <c r="FU114" s="160"/>
      <c r="FV114" s="160"/>
      <c r="FW114" s="160"/>
      <c r="FX114" s="160"/>
      <c r="FY114" s="160"/>
      <c r="FZ114" s="160"/>
      <c r="GA114" s="160"/>
      <c r="GB114" s="160"/>
      <c r="GC114" s="160"/>
      <c r="GD114" s="160"/>
      <c r="GE114" s="69"/>
      <c r="IO114" s="171"/>
      <c r="IP114" s="171"/>
      <c r="IQ114" s="171"/>
      <c r="IR114" s="171"/>
      <c r="IS114" s="171"/>
      <c r="IT114" s="171"/>
      <c r="IU114" s="171"/>
      <c r="IV114" s="171"/>
      <c r="IW114" s="171"/>
      <c r="IX114" s="171"/>
      <c r="IY114" s="171"/>
      <c r="IZ114" s="171"/>
      <c r="JA114" s="171"/>
      <c r="JB114" s="171"/>
      <c r="JC114" s="171"/>
      <c r="JD114" s="171"/>
      <c r="JE114" s="171"/>
      <c r="JF114" s="171"/>
      <c r="JG114" s="171"/>
      <c r="JH114" s="171"/>
      <c r="JI114" s="171"/>
      <c r="JJ114" s="171"/>
      <c r="JK114" s="171"/>
      <c r="JL114" s="171"/>
      <c r="JM114" s="171"/>
      <c r="JN114" s="171"/>
    </row>
    <row r="115" spans="1:274" x14ac:dyDescent="0.25">
      <c r="A115" s="172"/>
      <c r="E115" s="175"/>
      <c r="G115" s="170"/>
      <c r="H115" s="170"/>
      <c r="I115" s="170"/>
      <c r="J115" s="170"/>
      <c r="K115" s="170"/>
      <c r="L115" s="170"/>
      <c r="M115" s="170"/>
      <c r="N115" s="170"/>
      <c r="O115" s="170"/>
      <c r="P115" s="170"/>
      <c r="Q115" s="171"/>
      <c r="R115" s="170"/>
      <c r="S115" s="170"/>
      <c r="T115" s="170"/>
      <c r="U115" s="170"/>
      <c r="V115" s="170"/>
      <c r="W115" s="170"/>
      <c r="X115" s="170"/>
      <c r="Y115" s="170"/>
      <c r="Z115" s="170"/>
      <c r="AA115" s="170"/>
      <c r="AB115" s="170"/>
      <c r="AC115" s="170"/>
      <c r="AD115" s="170"/>
      <c r="AE115" s="170"/>
      <c r="AF115" s="170"/>
      <c r="AG115" s="170"/>
      <c r="AH115" s="171"/>
      <c r="AI115" s="171"/>
      <c r="AJ115" s="171"/>
      <c r="AK115" s="171"/>
      <c r="AL115" s="171"/>
      <c r="AM115" s="171"/>
      <c r="BU115" s="171"/>
      <c r="BV115" s="171"/>
      <c r="BW115" s="171"/>
      <c r="BX115" s="171"/>
      <c r="BY115" s="171"/>
      <c r="BZ115" s="171"/>
      <c r="CA115" s="171"/>
      <c r="CB115" s="171"/>
      <c r="CC115" s="171"/>
      <c r="CD115" s="171"/>
      <c r="CE115" s="171"/>
      <c r="CF115" s="171"/>
      <c r="CG115" s="171"/>
      <c r="CH115" s="171"/>
      <c r="CI115" s="171"/>
      <c r="CJ115" s="171"/>
      <c r="CK115" s="171"/>
      <c r="CL115" s="171"/>
      <c r="CM115" s="171"/>
      <c r="CN115" s="171"/>
      <c r="CO115" s="171"/>
      <c r="CP115" s="171"/>
      <c r="CQ115" s="171"/>
      <c r="CR115" s="171"/>
      <c r="CS115" s="171"/>
      <c r="CT115" s="171"/>
      <c r="CU115" s="171"/>
      <c r="CV115" s="171"/>
      <c r="CW115" s="171"/>
      <c r="CX115" s="171"/>
      <c r="CY115" s="171"/>
      <c r="CZ115" s="171"/>
      <c r="DA115" s="171"/>
      <c r="DB115" s="171"/>
      <c r="DC115" s="171"/>
      <c r="DD115" s="171"/>
      <c r="DE115" s="171"/>
      <c r="DF115" s="171"/>
      <c r="DG115" s="171"/>
      <c r="DH115" s="171"/>
      <c r="DI115" s="171"/>
      <c r="DJ115" s="171"/>
      <c r="DK115" s="171"/>
      <c r="DL115" s="171"/>
      <c r="DM115" s="171"/>
      <c r="DN115" s="171"/>
      <c r="DO115" s="171"/>
      <c r="DP115" s="171"/>
      <c r="DQ115" s="171"/>
      <c r="DR115" s="171"/>
      <c r="DS115" s="171"/>
      <c r="DT115" s="171"/>
      <c r="DU115" s="171"/>
      <c r="DV115" s="171"/>
      <c r="DW115" s="171"/>
      <c r="DX115" s="171"/>
      <c r="DY115" s="171"/>
      <c r="DZ115" s="171"/>
      <c r="EA115" s="171"/>
      <c r="EB115" s="171"/>
      <c r="EC115" s="171"/>
      <c r="ED115" s="171"/>
      <c r="EE115" s="171"/>
      <c r="EF115" s="171"/>
      <c r="EG115" s="171"/>
      <c r="EH115" s="171"/>
      <c r="EI115" s="171"/>
      <c r="EJ115" s="171"/>
      <c r="EK115" s="171"/>
      <c r="EL115" s="171"/>
      <c r="EM115" s="171"/>
      <c r="EN115" s="171"/>
      <c r="EO115" s="171"/>
      <c r="EP115" s="171"/>
      <c r="EQ115" s="171"/>
      <c r="ER115" s="171"/>
      <c r="ES115" s="171"/>
      <c r="ET115" s="171"/>
      <c r="EU115" s="171"/>
      <c r="EV115" s="171"/>
      <c r="EW115" s="171"/>
      <c r="EX115" s="171"/>
      <c r="FD115" s="160"/>
      <c r="FE115" s="160"/>
      <c r="FF115" s="160"/>
      <c r="FG115" s="160"/>
      <c r="FH115" s="160"/>
      <c r="FI115" s="160"/>
      <c r="FJ115" s="160"/>
      <c r="FK115" s="160"/>
      <c r="FL115" s="160"/>
      <c r="FM115" s="160"/>
      <c r="FN115" s="160"/>
      <c r="FO115" s="160"/>
      <c r="FP115" s="160"/>
      <c r="FQ115" s="160"/>
      <c r="FR115" s="160"/>
      <c r="FS115" s="160"/>
      <c r="FT115" s="160"/>
      <c r="FU115" s="160"/>
      <c r="FV115" s="160"/>
      <c r="FW115" s="160"/>
      <c r="FX115" s="160"/>
      <c r="FY115" s="160"/>
      <c r="FZ115" s="160"/>
      <c r="GA115" s="160"/>
      <c r="GB115" s="160"/>
      <c r="GC115" s="160"/>
      <c r="GD115" s="160"/>
      <c r="GE115" s="69"/>
      <c r="IO115" s="171"/>
      <c r="IP115" s="171"/>
      <c r="IQ115" s="171"/>
      <c r="IR115" s="171"/>
      <c r="IS115" s="171"/>
      <c r="IT115" s="171"/>
      <c r="IU115" s="171"/>
      <c r="IV115" s="171"/>
      <c r="IW115" s="171"/>
      <c r="IX115" s="171"/>
      <c r="IY115" s="171"/>
      <c r="IZ115" s="171"/>
      <c r="JA115" s="171"/>
      <c r="JB115" s="171"/>
      <c r="JC115" s="171"/>
      <c r="JD115" s="171"/>
      <c r="JE115" s="171"/>
      <c r="JF115" s="171"/>
      <c r="JG115" s="171"/>
      <c r="JH115" s="171"/>
      <c r="JI115" s="171"/>
      <c r="JJ115" s="171"/>
      <c r="JK115" s="171"/>
      <c r="JL115" s="171"/>
      <c r="JM115" s="171"/>
      <c r="JN115" s="171"/>
    </row>
    <row r="116" spans="1:274" x14ac:dyDescent="0.25">
      <c r="A116" s="172"/>
      <c r="E116" s="175"/>
      <c r="G116" s="170"/>
      <c r="H116" s="170"/>
      <c r="I116" s="170"/>
      <c r="J116" s="170"/>
      <c r="K116" s="170"/>
      <c r="L116" s="170"/>
      <c r="M116" s="170"/>
      <c r="N116" s="170"/>
      <c r="O116" s="170"/>
      <c r="P116" s="170"/>
      <c r="Q116" s="171"/>
      <c r="R116" s="170"/>
      <c r="S116" s="170"/>
      <c r="T116" s="170"/>
      <c r="U116" s="170"/>
      <c r="V116" s="170"/>
      <c r="W116" s="170"/>
      <c r="X116" s="170"/>
      <c r="Y116" s="170"/>
      <c r="Z116" s="170"/>
      <c r="AA116" s="170"/>
      <c r="AB116" s="170"/>
      <c r="AC116" s="170"/>
      <c r="AD116" s="170"/>
      <c r="AE116" s="170"/>
      <c r="AF116" s="170"/>
      <c r="AG116" s="170"/>
      <c r="AH116" s="171"/>
      <c r="AI116" s="171"/>
      <c r="AJ116" s="171"/>
      <c r="AK116" s="171"/>
      <c r="AL116" s="171"/>
      <c r="AM116" s="171"/>
      <c r="BU116" s="171"/>
      <c r="BV116" s="171"/>
      <c r="BW116" s="171"/>
      <c r="BX116" s="171"/>
      <c r="BY116" s="171"/>
      <c r="BZ116" s="171"/>
      <c r="CA116" s="171"/>
      <c r="CB116" s="171"/>
      <c r="CC116" s="171"/>
      <c r="CD116" s="171"/>
      <c r="CE116" s="171"/>
      <c r="CF116" s="171"/>
      <c r="CG116" s="171"/>
      <c r="CH116" s="171"/>
      <c r="CI116" s="171"/>
      <c r="CJ116" s="171"/>
      <c r="CK116" s="171"/>
      <c r="CL116" s="171"/>
      <c r="CM116" s="171"/>
      <c r="CN116" s="171"/>
      <c r="CO116" s="171"/>
      <c r="CP116" s="171"/>
      <c r="CQ116" s="171"/>
      <c r="CR116" s="171"/>
      <c r="CS116" s="171"/>
      <c r="CT116" s="171"/>
      <c r="CU116" s="171"/>
      <c r="CV116" s="171"/>
      <c r="CW116" s="171"/>
      <c r="CX116" s="171"/>
      <c r="CY116" s="171"/>
      <c r="CZ116" s="171"/>
      <c r="DA116" s="171"/>
      <c r="DB116" s="171"/>
      <c r="DC116" s="171"/>
      <c r="DD116" s="171"/>
      <c r="DE116" s="171"/>
      <c r="DF116" s="171"/>
      <c r="DG116" s="171"/>
      <c r="DH116" s="171"/>
      <c r="DI116" s="171"/>
      <c r="DJ116" s="171"/>
      <c r="DK116" s="171"/>
      <c r="DL116" s="171"/>
      <c r="DM116" s="171"/>
      <c r="DN116" s="171"/>
      <c r="DO116" s="171"/>
      <c r="DP116" s="171"/>
      <c r="DQ116" s="171"/>
      <c r="DR116" s="171"/>
      <c r="DS116" s="171"/>
      <c r="DT116" s="171"/>
      <c r="DU116" s="171"/>
      <c r="DV116" s="171"/>
      <c r="DW116" s="171"/>
      <c r="DX116" s="171"/>
      <c r="DY116" s="171"/>
      <c r="DZ116" s="171"/>
      <c r="EA116" s="171"/>
      <c r="EB116" s="171"/>
      <c r="EC116" s="171"/>
      <c r="ED116" s="171"/>
      <c r="EE116" s="171"/>
      <c r="EF116" s="171"/>
      <c r="EG116" s="171"/>
      <c r="EH116" s="171"/>
      <c r="EI116" s="171"/>
      <c r="EJ116" s="171"/>
      <c r="EK116" s="171"/>
      <c r="EL116" s="171"/>
      <c r="EM116" s="171"/>
      <c r="EN116" s="171"/>
      <c r="EO116" s="171"/>
      <c r="EP116" s="171"/>
      <c r="EQ116" s="171"/>
      <c r="ER116" s="171"/>
      <c r="ES116" s="171"/>
      <c r="ET116" s="171"/>
      <c r="EU116" s="171"/>
      <c r="EV116" s="171"/>
      <c r="EW116" s="171"/>
      <c r="EX116" s="171"/>
      <c r="FD116" s="160"/>
      <c r="FE116" s="160"/>
      <c r="FF116" s="160"/>
      <c r="FG116" s="160"/>
      <c r="FH116" s="160"/>
      <c r="FI116" s="160"/>
      <c r="FJ116" s="160"/>
      <c r="FK116" s="160"/>
      <c r="FL116" s="160"/>
      <c r="FM116" s="160"/>
      <c r="FN116" s="160"/>
      <c r="FO116" s="160"/>
      <c r="FP116" s="160"/>
      <c r="FQ116" s="160"/>
      <c r="FR116" s="160"/>
      <c r="FS116" s="160"/>
      <c r="FT116" s="160"/>
      <c r="FU116" s="160"/>
      <c r="FV116" s="160"/>
      <c r="FW116" s="160"/>
      <c r="FX116" s="160"/>
      <c r="FY116" s="160"/>
      <c r="FZ116" s="160"/>
      <c r="GA116" s="160"/>
      <c r="GB116" s="160"/>
      <c r="GC116" s="160"/>
      <c r="GD116" s="160"/>
      <c r="GE116" s="69"/>
      <c r="IO116" s="171"/>
      <c r="IP116" s="171"/>
      <c r="IQ116" s="171"/>
      <c r="IR116" s="171"/>
      <c r="IS116" s="171"/>
      <c r="IT116" s="171"/>
      <c r="IU116" s="171"/>
      <c r="IV116" s="171"/>
      <c r="IW116" s="171"/>
      <c r="IX116" s="171"/>
      <c r="IY116" s="171"/>
      <c r="IZ116" s="171"/>
      <c r="JA116" s="171"/>
      <c r="JB116" s="171"/>
      <c r="JC116" s="171"/>
      <c r="JD116" s="171"/>
      <c r="JE116" s="171"/>
      <c r="JF116" s="171"/>
      <c r="JG116" s="171"/>
      <c r="JH116" s="171"/>
      <c r="JI116" s="171"/>
      <c r="JJ116" s="171"/>
      <c r="JK116" s="171"/>
      <c r="JL116" s="171"/>
      <c r="JM116" s="171"/>
      <c r="JN116" s="171"/>
    </row>
    <row r="117" spans="1:274" x14ac:dyDescent="0.25">
      <c r="A117" s="172"/>
      <c r="E117" s="175"/>
      <c r="G117" s="170"/>
      <c r="H117" s="170"/>
      <c r="I117" s="170"/>
      <c r="J117" s="170"/>
      <c r="K117" s="170"/>
      <c r="L117" s="170"/>
      <c r="M117" s="170"/>
      <c r="N117" s="170"/>
      <c r="O117" s="170"/>
      <c r="P117" s="170"/>
      <c r="Q117" s="171"/>
      <c r="R117" s="170"/>
      <c r="S117" s="170"/>
      <c r="T117" s="170"/>
      <c r="U117" s="170"/>
      <c r="V117" s="170"/>
      <c r="W117" s="170"/>
      <c r="X117" s="170"/>
      <c r="Y117" s="170"/>
      <c r="Z117" s="170"/>
      <c r="AA117" s="170"/>
      <c r="AB117" s="170"/>
      <c r="AC117" s="170"/>
      <c r="AD117" s="170"/>
      <c r="AE117" s="170"/>
      <c r="AF117" s="170"/>
      <c r="AG117" s="170"/>
      <c r="AH117" s="171"/>
      <c r="AI117" s="171"/>
      <c r="AJ117" s="171"/>
      <c r="AK117" s="171"/>
      <c r="AL117" s="171"/>
      <c r="AM117" s="171"/>
      <c r="BU117" s="171"/>
      <c r="BV117" s="171"/>
      <c r="BW117" s="171"/>
      <c r="BX117" s="171"/>
      <c r="BY117" s="171"/>
      <c r="BZ117" s="171"/>
      <c r="CA117" s="171"/>
      <c r="CB117" s="171"/>
      <c r="CC117" s="171"/>
      <c r="CD117" s="171"/>
      <c r="CE117" s="171"/>
      <c r="CF117" s="171"/>
      <c r="CG117" s="171"/>
      <c r="CH117" s="171"/>
      <c r="CI117" s="171"/>
      <c r="CJ117" s="171"/>
      <c r="CK117" s="171"/>
      <c r="CL117" s="171"/>
      <c r="CM117" s="171"/>
      <c r="CN117" s="171"/>
      <c r="CO117" s="171"/>
      <c r="CP117" s="171"/>
      <c r="CQ117" s="171"/>
      <c r="CR117" s="171"/>
      <c r="CS117" s="171"/>
      <c r="CT117" s="171"/>
      <c r="CU117" s="171"/>
      <c r="CV117" s="171"/>
      <c r="CW117" s="171"/>
      <c r="CX117" s="171"/>
      <c r="CY117" s="171"/>
      <c r="CZ117" s="171"/>
      <c r="DA117" s="171"/>
      <c r="DB117" s="171"/>
      <c r="DC117" s="171"/>
      <c r="DD117" s="171"/>
      <c r="DE117" s="171"/>
      <c r="DF117" s="171"/>
      <c r="DG117" s="171"/>
      <c r="DH117" s="171"/>
      <c r="DI117" s="171"/>
      <c r="DJ117" s="171"/>
      <c r="DK117" s="171"/>
      <c r="DL117" s="171"/>
      <c r="DM117" s="171"/>
      <c r="DN117" s="171"/>
      <c r="DO117" s="171"/>
      <c r="DP117" s="171"/>
      <c r="DQ117" s="171"/>
      <c r="DR117" s="171"/>
      <c r="DS117" s="171"/>
      <c r="DT117" s="171"/>
      <c r="DU117" s="171"/>
      <c r="DV117" s="171"/>
      <c r="DW117" s="171"/>
      <c r="DX117" s="171"/>
      <c r="DY117" s="171"/>
      <c r="DZ117" s="171"/>
      <c r="EA117" s="171"/>
      <c r="EB117" s="171"/>
      <c r="EC117" s="171"/>
      <c r="ED117" s="171"/>
      <c r="EE117" s="171"/>
      <c r="EF117" s="171"/>
      <c r="EG117" s="171"/>
      <c r="EH117" s="171"/>
      <c r="EI117" s="171"/>
      <c r="EJ117" s="171"/>
      <c r="EK117" s="171"/>
      <c r="EL117" s="171"/>
      <c r="EM117" s="171"/>
      <c r="EN117" s="171"/>
      <c r="EO117" s="171"/>
      <c r="EP117" s="171"/>
      <c r="EQ117" s="171"/>
      <c r="ER117" s="171"/>
      <c r="ES117" s="171"/>
      <c r="ET117" s="171"/>
      <c r="EU117" s="171"/>
      <c r="EV117" s="171"/>
      <c r="EW117" s="171"/>
      <c r="EX117" s="171"/>
      <c r="FD117" s="160"/>
      <c r="FE117" s="160"/>
      <c r="FF117" s="160"/>
      <c r="FG117" s="160"/>
      <c r="FH117" s="160"/>
      <c r="FI117" s="160"/>
      <c r="FJ117" s="160"/>
      <c r="FK117" s="160"/>
      <c r="FL117" s="160"/>
      <c r="FM117" s="160"/>
      <c r="FN117" s="160"/>
      <c r="FO117" s="160"/>
      <c r="FP117" s="160"/>
      <c r="FQ117" s="160"/>
      <c r="FR117" s="160"/>
      <c r="FS117" s="160"/>
      <c r="FT117" s="160"/>
      <c r="FU117" s="160"/>
      <c r="FV117" s="160"/>
      <c r="FW117" s="160"/>
      <c r="FX117" s="160"/>
      <c r="FY117" s="160"/>
      <c r="FZ117" s="160"/>
      <c r="GA117" s="160"/>
      <c r="GB117" s="160"/>
      <c r="GC117" s="160"/>
      <c r="GD117" s="160"/>
      <c r="GE117" s="69"/>
      <c r="IO117" s="171"/>
      <c r="IP117" s="171"/>
      <c r="IQ117" s="171"/>
      <c r="IR117" s="171"/>
      <c r="IS117" s="171"/>
      <c r="IT117" s="171"/>
      <c r="IU117" s="171"/>
      <c r="IV117" s="171"/>
      <c r="IW117" s="171"/>
      <c r="IX117" s="171"/>
      <c r="IY117" s="171"/>
      <c r="IZ117" s="171"/>
      <c r="JA117" s="171"/>
      <c r="JB117" s="171"/>
      <c r="JC117" s="171"/>
      <c r="JD117" s="171"/>
      <c r="JE117" s="171"/>
      <c r="JF117" s="171"/>
      <c r="JG117" s="171"/>
      <c r="JH117" s="171"/>
      <c r="JI117" s="171"/>
      <c r="JJ117" s="171"/>
      <c r="JK117" s="171"/>
      <c r="JL117" s="171"/>
      <c r="JM117" s="171"/>
      <c r="JN117" s="171"/>
    </row>
    <row r="118" spans="1:274" x14ac:dyDescent="0.25">
      <c r="A118" s="172"/>
      <c r="E118" s="175"/>
      <c r="G118" s="170"/>
      <c r="H118" s="170"/>
      <c r="I118" s="170"/>
      <c r="J118" s="170"/>
      <c r="K118" s="170"/>
      <c r="L118" s="170"/>
      <c r="M118" s="170"/>
      <c r="N118" s="170"/>
      <c r="O118" s="170"/>
      <c r="P118" s="170"/>
      <c r="Q118" s="171"/>
      <c r="R118" s="170"/>
      <c r="S118" s="170"/>
      <c r="T118" s="170"/>
      <c r="U118" s="170"/>
      <c r="V118" s="170"/>
      <c r="W118" s="170"/>
      <c r="X118" s="170"/>
      <c r="Y118" s="170"/>
      <c r="Z118" s="170"/>
      <c r="AA118" s="170"/>
      <c r="AB118" s="170"/>
      <c r="AC118" s="170"/>
      <c r="AD118" s="170"/>
      <c r="AE118" s="170"/>
      <c r="AF118" s="170"/>
      <c r="AG118" s="170"/>
      <c r="AH118" s="171"/>
      <c r="AI118" s="171"/>
      <c r="AJ118" s="171"/>
      <c r="AK118" s="171"/>
      <c r="AL118" s="171"/>
      <c r="AM118" s="171"/>
      <c r="BU118" s="171"/>
      <c r="BV118" s="171"/>
      <c r="BW118" s="171"/>
      <c r="BX118" s="171"/>
      <c r="BY118" s="171"/>
      <c r="BZ118" s="171"/>
      <c r="CA118" s="171"/>
      <c r="CB118" s="171"/>
      <c r="CC118" s="171"/>
      <c r="CD118" s="171"/>
      <c r="CE118" s="171"/>
      <c r="CF118" s="171"/>
      <c r="CG118" s="171"/>
      <c r="CH118" s="171"/>
      <c r="CI118" s="171"/>
      <c r="CJ118" s="171"/>
      <c r="CK118" s="171"/>
      <c r="CL118" s="171"/>
      <c r="CM118" s="171"/>
      <c r="CN118" s="171"/>
      <c r="CO118" s="171"/>
      <c r="CP118" s="171"/>
      <c r="CQ118" s="171"/>
      <c r="CR118" s="171"/>
      <c r="CS118" s="171"/>
      <c r="CT118" s="171"/>
      <c r="CU118" s="171"/>
      <c r="CV118" s="171"/>
      <c r="CW118" s="171"/>
      <c r="CX118" s="171"/>
      <c r="CY118" s="171"/>
      <c r="CZ118" s="171"/>
      <c r="DA118" s="171"/>
      <c r="DB118" s="171"/>
      <c r="DC118" s="171"/>
      <c r="DD118" s="171"/>
      <c r="DE118" s="171"/>
      <c r="DF118" s="171"/>
      <c r="DG118" s="171"/>
      <c r="DH118" s="171"/>
      <c r="DI118" s="171"/>
      <c r="DJ118" s="171"/>
      <c r="DK118" s="171"/>
      <c r="DL118" s="171"/>
      <c r="DM118" s="171"/>
      <c r="DN118" s="171"/>
      <c r="DO118" s="171"/>
      <c r="DP118" s="171"/>
      <c r="DQ118" s="171"/>
      <c r="DR118" s="171"/>
      <c r="DS118" s="171"/>
      <c r="DT118" s="171"/>
      <c r="DU118" s="171"/>
      <c r="DV118" s="171"/>
      <c r="DW118" s="171"/>
      <c r="DX118" s="171"/>
      <c r="DY118" s="171"/>
      <c r="DZ118" s="171"/>
      <c r="EA118" s="171"/>
      <c r="EB118" s="171"/>
      <c r="EC118" s="171"/>
      <c r="ED118" s="171"/>
      <c r="EE118" s="171"/>
      <c r="EF118" s="171"/>
      <c r="EG118" s="171"/>
      <c r="EH118" s="171"/>
      <c r="EI118" s="171"/>
      <c r="EJ118" s="171"/>
      <c r="EK118" s="171"/>
      <c r="EL118" s="171"/>
      <c r="EM118" s="171"/>
      <c r="EN118" s="171"/>
      <c r="EO118" s="171"/>
      <c r="EP118" s="171"/>
      <c r="EQ118" s="171"/>
      <c r="ER118" s="171"/>
      <c r="ES118" s="171"/>
      <c r="ET118" s="171"/>
      <c r="EU118" s="171"/>
      <c r="EV118" s="171"/>
      <c r="EW118" s="171"/>
      <c r="EX118" s="171"/>
      <c r="FD118" s="160"/>
      <c r="FE118" s="160"/>
      <c r="FF118" s="160"/>
      <c r="FG118" s="160"/>
      <c r="FH118" s="160"/>
      <c r="FI118" s="160"/>
      <c r="FJ118" s="160"/>
      <c r="FK118" s="160"/>
      <c r="FL118" s="160"/>
      <c r="FM118" s="160"/>
      <c r="FN118" s="160"/>
      <c r="FO118" s="160"/>
      <c r="FP118" s="160"/>
      <c r="FQ118" s="160"/>
      <c r="FR118" s="160"/>
      <c r="FS118" s="160"/>
      <c r="FT118" s="160"/>
      <c r="FU118" s="160"/>
      <c r="FV118" s="160"/>
      <c r="FW118" s="160"/>
      <c r="FX118" s="160"/>
      <c r="FY118" s="160"/>
      <c r="FZ118" s="160"/>
      <c r="GA118" s="160"/>
      <c r="GB118" s="160"/>
      <c r="GC118" s="160"/>
      <c r="GD118" s="160"/>
      <c r="GE118" s="69"/>
      <c r="IO118" s="171"/>
      <c r="IP118" s="171"/>
      <c r="IQ118" s="171"/>
      <c r="IR118" s="171"/>
      <c r="IS118" s="171"/>
      <c r="IT118" s="171"/>
      <c r="IU118" s="171"/>
      <c r="IV118" s="171"/>
      <c r="IW118" s="171"/>
      <c r="IX118" s="171"/>
      <c r="IY118" s="171"/>
      <c r="IZ118" s="171"/>
      <c r="JA118" s="171"/>
      <c r="JB118" s="171"/>
      <c r="JC118" s="171"/>
      <c r="JD118" s="171"/>
      <c r="JE118" s="171"/>
      <c r="JF118" s="171"/>
      <c r="JG118" s="171"/>
      <c r="JH118" s="171"/>
      <c r="JI118" s="171"/>
      <c r="JJ118" s="171"/>
      <c r="JK118" s="171"/>
      <c r="JL118" s="171"/>
      <c r="JM118" s="171"/>
      <c r="JN118" s="171"/>
    </row>
    <row r="119" spans="1:274" x14ac:dyDescent="0.25">
      <c r="A119" s="172"/>
      <c r="E119" s="175"/>
      <c r="G119" s="170"/>
      <c r="H119" s="170"/>
      <c r="I119" s="170"/>
      <c r="J119" s="170"/>
      <c r="K119" s="170"/>
      <c r="L119" s="170"/>
      <c r="M119" s="170"/>
      <c r="N119" s="170"/>
      <c r="O119" s="170"/>
      <c r="P119" s="170"/>
      <c r="R119" s="170"/>
      <c r="S119" s="170"/>
      <c r="T119" s="170"/>
      <c r="U119" s="170"/>
      <c r="V119" s="170"/>
      <c r="W119" s="170"/>
      <c r="X119" s="170"/>
      <c r="Y119" s="170"/>
      <c r="Z119" s="170"/>
      <c r="AA119" s="170"/>
      <c r="AB119" s="170"/>
      <c r="AC119" s="170"/>
      <c r="AD119" s="170"/>
      <c r="AE119" s="170"/>
      <c r="AF119" s="170"/>
      <c r="AG119" s="170"/>
      <c r="AH119" s="171"/>
      <c r="AI119" s="171"/>
      <c r="AJ119" s="171"/>
      <c r="AK119" s="171"/>
      <c r="AL119" s="171"/>
      <c r="AM119" s="171"/>
      <c r="BU119" s="69"/>
      <c r="BV119" s="69"/>
      <c r="BW119" s="69"/>
      <c r="BX119" s="69"/>
      <c r="BY119" s="69"/>
      <c r="BZ119" s="69"/>
      <c r="CA119" s="69"/>
      <c r="CB119" s="69"/>
      <c r="CC119" s="69"/>
      <c r="CD119" s="69"/>
      <c r="CE119" s="69"/>
      <c r="CF119" s="69"/>
      <c r="CG119" s="69"/>
      <c r="CH119" s="69"/>
      <c r="CI119" s="69"/>
      <c r="CJ119" s="69"/>
      <c r="CK119" s="69"/>
      <c r="CL119" s="69"/>
      <c r="CM119" s="69"/>
      <c r="CN119" s="69"/>
      <c r="CO119" s="69"/>
      <c r="CP119" s="69"/>
      <c r="CQ119" s="69"/>
      <c r="CR119" s="69"/>
      <c r="CS119" s="69"/>
      <c r="CT119" s="69"/>
      <c r="CU119" s="69"/>
      <c r="CV119" s="69"/>
      <c r="CW119" s="69"/>
      <c r="CX119" s="69"/>
      <c r="CY119" s="69"/>
      <c r="CZ119" s="69"/>
      <c r="DA119" s="69"/>
      <c r="DB119" s="69"/>
      <c r="DC119" s="69"/>
      <c r="DD119" s="69"/>
      <c r="DE119" s="69"/>
      <c r="DF119" s="69"/>
      <c r="DG119" s="69"/>
      <c r="DH119" s="69"/>
      <c r="DI119" s="69"/>
      <c r="DJ119" s="69"/>
      <c r="DK119" s="69"/>
      <c r="DL119" s="69"/>
      <c r="DM119" s="69"/>
      <c r="DN119" s="69"/>
      <c r="DO119" s="69"/>
      <c r="DP119" s="69"/>
      <c r="DQ119" s="69"/>
      <c r="DR119" s="69"/>
      <c r="DS119" s="69"/>
      <c r="DT119" s="69"/>
      <c r="DU119" s="69"/>
      <c r="DV119" s="69"/>
      <c r="DW119" s="69"/>
      <c r="DX119" s="69"/>
      <c r="DY119" s="69"/>
      <c r="DZ119" s="69"/>
      <c r="EA119" s="69"/>
      <c r="EB119" s="69"/>
      <c r="EC119" s="69"/>
      <c r="ED119" s="69"/>
      <c r="EE119" s="69"/>
      <c r="EF119" s="69"/>
      <c r="EG119" s="69"/>
      <c r="EH119" s="69"/>
      <c r="EI119" s="69"/>
      <c r="EJ119" s="69"/>
      <c r="EK119" s="69"/>
      <c r="EL119" s="69"/>
      <c r="EM119" s="69"/>
      <c r="EN119" s="69"/>
      <c r="EO119" s="69"/>
      <c r="EP119" s="69"/>
      <c r="EQ119" s="69"/>
      <c r="ER119" s="69"/>
      <c r="ES119" s="69"/>
      <c r="ET119" s="69"/>
      <c r="EU119" s="69"/>
      <c r="EV119" s="69"/>
      <c r="EW119" s="69"/>
      <c r="EX119" s="69"/>
      <c r="FD119" s="160"/>
      <c r="FE119" s="160"/>
      <c r="FF119" s="160"/>
      <c r="FG119" s="160"/>
      <c r="FH119" s="160"/>
      <c r="FI119" s="160"/>
      <c r="FJ119" s="160"/>
      <c r="FK119" s="160"/>
      <c r="FL119" s="160"/>
      <c r="FM119" s="160"/>
      <c r="FN119" s="160"/>
      <c r="FO119" s="160"/>
      <c r="FP119" s="160"/>
      <c r="FQ119" s="160"/>
      <c r="FR119" s="160"/>
      <c r="FS119" s="160"/>
      <c r="FT119" s="160"/>
      <c r="FU119" s="160"/>
      <c r="FV119" s="160"/>
      <c r="FW119" s="160"/>
      <c r="FX119" s="160"/>
      <c r="FY119" s="160"/>
      <c r="FZ119" s="160"/>
      <c r="GA119" s="160"/>
      <c r="GB119" s="160"/>
      <c r="GC119" s="160"/>
      <c r="GD119" s="160"/>
      <c r="GE119" s="69"/>
      <c r="IO119" s="69"/>
      <c r="IP119" s="69"/>
      <c r="IQ119" s="69"/>
      <c r="IR119" s="69"/>
      <c r="IS119" s="69"/>
      <c r="IT119" s="69"/>
      <c r="IU119" s="69"/>
      <c r="IV119" s="69"/>
      <c r="IW119" s="69"/>
      <c r="IX119" s="69"/>
      <c r="IY119" s="69"/>
      <c r="IZ119" s="69"/>
      <c r="JA119" s="69"/>
      <c r="JB119" s="69"/>
      <c r="JC119" s="69"/>
      <c r="JD119" s="69"/>
      <c r="JE119" s="69"/>
      <c r="JF119" s="69"/>
      <c r="JG119" s="69"/>
      <c r="JH119" s="69"/>
      <c r="JI119" s="69"/>
      <c r="JJ119" s="69"/>
      <c r="JK119" s="69"/>
      <c r="JL119" s="69"/>
      <c r="JM119" s="69"/>
      <c r="JN119" s="69"/>
    </row>
    <row r="120" spans="1:274" x14ac:dyDescent="0.25">
      <c r="A120" s="172"/>
      <c r="E120" s="175"/>
      <c r="G120" s="170"/>
      <c r="H120" s="170"/>
      <c r="I120" s="170"/>
      <c r="J120" s="170"/>
      <c r="K120" s="170"/>
      <c r="L120" s="170"/>
      <c r="M120" s="170"/>
      <c r="N120" s="170"/>
      <c r="O120" s="170"/>
      <c r="P120" s="170"/>
      <c r="Q120" s="171"/>
      <c r="R120" s="170"/>
      <c r="S120" s="170"/>
      <c r="T120" s="170"/>
      <c r="U120" s="170"/>
      <c r="V120" s="170"/>
      <c r="W120" s="170"/>
      <c r="X120" s="170"/>
      <c r="Y120" s="170"/>
      <c r="Z120" s="170"/>
      <c r="AA120" s="170"/>
      <c r="AB120" s="170"/>
      <c r="AC120" s="170"/>
      <c r="AD120" s="170"/>
      <c r="AE120" s="170"/>
      <c r="AF120" s="170"/>
      <c r="AG120" s="170"/>
      <c r="BU120" s="171"/>
      <c r="BV120" s="171"/>
      <c r="BW120" s="171"/>
      <c r="BX120" s="171"/>
      <c r="BY120" s="171"/>
      <c r="BZ120" s="171"/>
      <c r="CA120" s="171"/>
      <c r="CB120" s="171"/>
      <c r="CC120" s="171"/>
      <c r="CD120" s="171"/>
      <c r="CE120" s="171"/>
      <c r="CF120" s="171"/>
      <c r="CG120" s="171"/>
      <c r="CH120" s="171"/>
      <c r="CI120" s="171"/>
      <c r="CJ120" s="171"/>
      <c r="CK120" s="171"/>
      <c r="CL120" s="171"/>
      <c r="CM120" s="171"/>
      <c r="CN120" s="171"/>
      <c r="CO120" s="171"/>
      <c r="CP120" s="171"/>
      <c r="CQ120" s="171"/>
      <c r="CR120" s="171"/>
      <c r="CS120" s="171"/>
      <c r="CT120" s="171"/>
      <c r="CU120" s="171"/>
      <c r="CV120" s="171"/>
      <c r="CW120" s="171"/>
      <c r="CX120" s="171"/>
      <c r="CY120" s="171"/>
      <c r="CZ120" s="171"/>
      <c r="DA120" s="171"/>
      <c r="DB120" s="171"/>
      <c r="DC120" s="171"/>
      <c r="DD120" s="171"/>
      <c r="DE120" s="171"/>
      <c r="DF120" s="171"/>
      <c r="DG120" s="171"/>
      <c r="DH120" s="171"/>
      <c r="DI120" s="171"/>
      <c r="DJ120" s="171"/>
      <c r="DK120" s="171"/>
      <c r="DL120" s="171"/>
      <c r="DM120" s="171"/>
      <c r="DN120" s="171"/>
      <c r="DO120" s="171"/>
      <c r="DP120" s="171"/>
      <c r="DQ120" s="171"/>
      <c r="DR120" s="171"/>
      <c r="DS120" s="171"/>
      <c r="DT120" s="171"/>
      <c r="DU120" s="171"/>
      <c r="DV120" s="171"/>
      <c r="DW120" s="171"/>
      <c r="DX120" s="171"/>
      <c r="DY120" s="171"/>
      <c r="DZ120" s="171"/>
      <c r="EA120" s="171"/>
      <c r="EB120" s="171"/>
      <c r="EC120" s="171"/>
      <c r="ED120" s="171"/>
      <c r="EE120" s="171"/>
      <c r="EF120" s="171"/>
      <c r="EG120" s="171"/>
      <c r="EH120" s="171"/>
      <c r="EI120" s="171"/>
      <c r="EJ120" s="171"/>
      <c r="EK120" s="171"/>
      <c r="EL120" s="171"/>
      <c r="EM120" s="171"/>
      <c r="EN120" s="171"/>
      <c r="EO120" s="171"/>
      <c r="EP120" s="171"/>
      <c r="EQ120" s="171"/>
      <c r="ER120" s="171"/>
      <c r="ES120" s="171"/>
      <c r="ET120" s="171"/>
      <c r="EU120" s="171"/>
      <c r="EV120" s="171"/>
      <c r="EW120" s="171"/>
      <c r="EX120" s="171"/>
      <c r="FD120" s="161"/>
      <c r="IO120" s="171"/>
      <c r="IP120" s="171"/>
      <c r="IQ120" s="171"/>
      <c r="IR120" s="171"/>
      <c r="IS120" s="171"/>
      <c r="IT120" s="171"/>
      <c r="IU120" s="171"/>
      <c r="IV120" s="171"/>
      <c r="IW120" s="171"/>
      <c r="IX120" s="171"/>
      <c r="IY120" s="171"/>
      <c r="IZ120" s="171"/>
      <c r="JA120" s="171"/>
      <c r="JB120" s="171"/>
      <c r="JC120" s="171"/>
      <c r="JD120" s="171"/>
      <c r="JE120" s="171"/>
      <c r="JF120" s="171"/>
      <c r="JG120" s="171"/>
      <c r="JH120" s="171"/>
      <c r="JI120" s="171"/>
      <c r="JJ120" s="171"/>
      <c r="JK120" s="171"/>
      <c r="JL120" s="171"/>
      <c r="JM120" s="171"/>
      <c r="JN120" s="171"/>
    </row>
    <row r="121" spans="1:274" x14ac:dyDescent="0.25">
      <c r="AH121" s="171"/>
      <c r="AI121" s="171"/>
      <c r="AJ121" s="171"/>
      <c r="AK121" s="171"/>
      <c r="AL121" s="171"/>
      <c r="AM121" s="171"/>
      <c r="EI121" s="69"/>
    </row>
    <row r="122" spans="1:274" x14ac:dyDescent="0.25">
      <c r="EI122" s="69"/>
    </row>
    <row r="123" spans="1:274" x14ac:dyDescent="0.25">
      <c r="AL123" s="69"/>
      <c r="AS123" s="169"/>
      <c r="AT123" s="171"/>
      <c r="AU123" s="171"/>
      <c r="AV123" s="171"/>
      <c r="AW123" s="171"/>
      <c r="AX123" s="171"/>
      <c r="AY123" s="171"/>
      <c r="AZ123" s="171"/>
      <c r="BA123" s="171"/>
      <c r="BB123" s="171"/>
      <c r="BC123" s="171"/>
      <c r="BD123" s="171"/>
      <c r="BE123" s="171"/>
      <c r="BF123" s="171"/>
      <c r="BG123" s="171"/>
      <c r="BH123" s="171"/>
      <c r="BI123" s="171"/>
      <c r="BJ123" s="171"/>
      <c r="BK123" s="171"/>
      <c r="BL123" s="171"/>
      <c r="BM123" s="171"/>
      <c r="BN123" s="171"/>
      <c r="BO123" s="171"/>
      <c r="BP123" s="171"/>
      <c r="BQ123" s="171"/>
      <c r="BR123" s="171"/>
      <c r="BS123" s="171"/>
      <c r="BT123" s="171"/>
      <c r="BU123" s="171"/>
      <c r="BV123" s="171"/>
      <c r="BW123" s="171"/>
      <c r="BX123" s="171"/>
      <c r="BY123" s="171"/>
      <c r="BZ123" s="171"/>
      <c r="CA123" s="171"/>
      <c r="CB123" s="171"/>
      <c r="CC123" s="171"/>
      <c r="CD123" s="171"/>
      <c r="CE123" s="171"/>
      <c r="CF123" s="171"/>
      <c r="CG123" s="171"/>
      <c r="CH123" s="171"/>
      <c r="CI123" s="171"/>
      <c r="CJ123" s="171"/>
      <c r="CK123" s="171"/>
      <c r="CL123" s="171"/>
      <c r="CM123" s="171"/>
      <c r="CN123" s="171"/>
      <c r="CO123" s="171"/>
      <c r="CP123" s="171"/>
      <c r="CQ123" s="171"/>
      <c r="CR123" s="171"/>
      <c r="CS123" s="171"/>
      <c r="CT123" s="171"/>
      <c r="CU123" s="171"/>
      <c r="CV123" s="171"/>
      <c r="CW123" s="69"/>
      <c r="CX123" s="171"/>
      <c r="EI123" s="69"/>
    </row>
    <row r="124" spans="1:274" x14ac:dyDescent="0.25">
      <c r="AS124" s="169"/>
      <c r="AT124" s="171"/>
      <c r="AU124" s="171"/>
      <c r="AV124" s="171"/>
      <c r="AW124" s="171"/>
      <c r="AX124" s="171"/>
      <c r="AY124" s="171"/>
      <c r="AZ124" s="171"/>
      <c r="BA124" s="171"/>
      <c r="BB124" s="171"/>
      <c r="BC124" s="171"/>
      <c r="BD124" s="171"/>
      <c r="BE124" s="171"/>
      <c r="BF124" s="171"/>
      <c r="BG124" s="171"/>
      <c r="BH124" s="171"/>
      <c r="BI124" s="171"/>
      <c r="BJ124" s="171"/>
      <c r="BK124" s="171"/>
      <c r="BL124" s="171"/>
      <c r="BM124" s="171"/>
      <c r="BN124" s="171"/>
      <c r="BO124" s="171"/>
      <c r="BP124" s="171"/>
      <c r="BQ124" s="171"/>
      <c r="BR124" s="171"/>
      <c r="BS124" s="171"/>
      <c r="BT124" s="171"/>
      <c r="BU124" s="171"/>
      <c r="BV124" s="171"/>
      <c r="BW124" s="171"/>
      <c r="BX124" s="171"/>
      <c r="BY124" s="171"/>
      <c r="BZ124" s="171"/>
      <c r="CA124" s="171"/>
      <c r="CB124" s="171"/>
      <c r="CC124" s="171"/>
      <c r="CD124" s="171"/>
      <c r="CE124" s="171"/>
      <c r="CF124" s="171"/>
      <c r="CG124" s="171"/>
      <c r="CH124" s="171"/>
      <c r="CI124" s="171"/>
      <c r="CJ124" s="171"/>
      <c r="CK124" s="171"/>
      <c r="CL124" s="171"/>
      <c r="CM124" s="171"/>
      <c r="CN124" s="171"/>
      <c r="CO124" s="171"/>
      <c r="CP124" s="171"/>
      <c r="CQ124" s="171"/>
      <c r="CR124" s="171"/>
      <c r="CS124" s="171"/>
      <c r="CT124" s="171"/>
      <c r="CU124" s="171"/>
      <c r="CV124" s="171"/>
      <c r="CW124" s="69"/>
      <c r="CX124" s="171"/>
      <c r="EI124" s="69"/>
    </row>
    <row r="125" spans="1:274" x14ac:dyDescent="0.25">
      <c r="AS125" s="169"/>
      <c r="AT125" s="171"/>
      <c r="AU125" s="171"/>
      <c r="AV125" s="171"/>
      <c r="AW125" s="171"/>
      <c r="AX125" s="171"/>
      <c r="AY125" s="171"/>
      <c r="AZ125" s="171"/>
      <c r="BA125" s="171"/>
      <c r="BB125" s="171"/>
      <c r="BC125" s="171"/>
      <c r="BD125" s="171"/>
      <c r="BE125" s="171"/>
      <c r="BF125" s="171"/>
      <c r="BG125" s="171"/>
      <c r="BH125" s="171"/>
      <c r="BI125" s="171"/>
      <c r="BJ125" s="171"/>
      <c r="BK125" s="171"/>
      <c r="BL125" s="171"/>
      <c r="BM125" s="171"/>
      <c r="BN125" s="171"/>
      <c r="BO125" s="171"/>
      <c r="BP125" s="171"/>
      <c r="BQ125" s="171"/>
      <c r="BR125" s="171"/>
      <c r="BS125" s="171"/>
      <c r="BT125" s="171"/>
      <c r="BU125" s="171"/>
      <c r="BV125" s="171"/>
      <c r="BW125" s="171"/>
      <c r="BX125" s="171"/>
      <c r="BY125" s="171"/>
      <c r="BZ125" s="171"/>
      <c r="CA125" s="171"/>
      <c r="CB125" s="171"/>
      <c r="CC125" s="171"/>
      <c r="CD125" s="171"/>
      <c r="CE125" s="171"/>
      <c r="CF125" s="171"/>
      <c r="CG125" s="171"/>
      <c r="CH125" s="171"/>
      <c r="CI125" s="171"/>
      <c r="CJ125" s="171"/>
      <c r="CK125" s="171"/>
      <c r="CL125" s="171"/>
      <c r="CM125" s="171"/>
      <c r="CN125" s="171"/>
      <c r="CO125" s="171"/>
      <c r="CP125" s="171"/>
      <c r="CQ125" s="171"/>
      <c r="CR125" s="171"/>
      <c r="CS125" s="171"/>
      <c r="CT125" s="171"/>
      <c r="CU125" s="171"/>
      <c r="CV125" s="171"/>
      <c r="CW125" s="69"/>
      <c r="CX125" s="171"/>
      <c r="EI125" s="69"/>
    </row>
    <row r="126" spans="1:274" x14ac:dyDescent="0.25">
      <c r="AS126" s="169"/>
      <c r="AT126" s="171"/>
      <c r="AU126" s="171"/>
      <c r="AV126" s="171"/>
      <c r="AW126" s="171"/>
      <c r="AX126" s="171"/>
      <c r="AY126" s="171"/>
      <c r="AZ126" s="171"/>
      <c r="BA126" s="171"/>
      <c r="BB126" s="171"/>
      <c r="BC126" s="171"/>
      <c r="BD126" s="171"/>
      <c r="BE126" s="171"/>
      <c r="BF126" s="171"/>
      <c r="BG126" s="171"/>
      <c r="BH126" s="171"/>
      <c r="BI126" s="171"/>
      <c r="BJ126" s="171"/>
      <c r="BK126" s="171"/>
      <c r="BL126" s="171"/>
      <c r="BM126" s="171"/>
      <c r="BN126" s="171"/>
      <c r="BO126" s="171"/>
      <c r="BP126" s="171"/>
      <c r="BQ126" s="171"/>
      <c r="BR126" s="171"/>
      <c r="BS126" s="171"/>
      <c r="BT126" s="171"/>
      <c r="BU126" s="171"/>
      <c r="BV126" s="171"/>
      <c r="BW126" s="171"/>
      <c r="BX126" s="171"/>
      <c r="BY126" s="171"/>
      <c r="BZ126" s="171"/>
      <c r="CA126" s="171"/>
      <c r="CB126" s="171"/>
      <c r="CC126" s="171"/>
      <c r="CD126" s="171"/>
      <c r="CE126" s="171"/>
      <c r="CF126" s="171"/>
      <c r="CG126" s="171"/>
      <c r="CH126" s="171"/>
      <c r="CI126" s="171"/>
      <c r="CJ126" s="171"/>
      <c r="CK126" s="171"/>
      <c r="CL126" s="171"/>
      <c r="CM126" s="171"/>
      <c r="CN126" s="171"/>
      <c r="CO126" s="171"/>
      <c r="CP126" s="171"/>
      <c r="CQ126" s="171"/>
      <c r="CR126" s="171"/>
      <c r="CS126" s="171"/>
      <c r="CT126" s="171"/>
      <c r="CU126" s="171"/>
      <c r="CV126" s="171"/>
      <c r="CW126" s="69"/>
      <c r="CX126" s="171"/>
      <c r="EI126" s="69"/>
    </row>
    <row r="127" spans="1:274" x14ac:dyDescent="0.25">
      <c r="AS127" s="169"/>
      <c r="AT127" s="171"/>
      <c r="AU127" s="171"/>
      <c r="AV127" s="171"/>
      <c r="AW127" s="171"/>
      <c r="AX127" s="171"/>
      <c r="AY127" s="171"/>
      <c r="AZ127" s="171"/>
      <c r="BA127" s="171"/>
      <c r="BB127" s="171"/>
      <c r="BC127" s="171"/>
      <c r="BD127" s="171"/>
      <c r="BE127" s="171"/>
      <c r="BF127" s="171"/>
      <c r="BG127" s="171"/>
      <c r="BH127" s="171"/>
      <c r="BI127" s="171"/>
      <c r="BJ127" s="171"/>
      <c r="BK127" s="171"/>
      <c r="BL127" s="171"/>
      <c r="BM127" s="171"/>
      <c r="BN127" s="171"/>
      <c r="BO127" s="171"/>
      <c r="BP127" s="171"/>
      <c r="BQ127" s="171"/>
      <c r="BR127" s="171"/>
      <c r="BS127" s="171"/>
      <c r="BT127" s="171"/>
      <c r="BU127" s="171"/>
      <c r="BV127" s="171"/>
      <c r="BW127" s="171"/>
      <c r="BX127" s="171"/>
      <c r="BY127" s="171"/>
      <c r="BZ127" s="171"/>
      <c r="CA127" s="171"/>
      <c r="CB127" s="171"/>
      <c r="CC127" s="171"/>
      <c r="CD127" s="171"/>
      <c r="CE127" s="171"/>
      <c r="CF127" s="171"/>
      <c r="CG127" s="171"/>
      <c r="CH127" s="171"/>
      <c r="CI127" s="171"/>
      <c r="CJ127" s="171"/>
      <c r="CK127" s="171"/>
      <c r="CL127" s="171"/>
      <c r="CM127" s="171"/>
      <c r="CN127" s="171"/>
      <c r="CO127" s="171"/>
      <c r="CP127" s="171"/>
      <c r="CQ127" s="171"/>
      <c r="CR127" s="171"/>
      <c r="CS127" s="171"/>
      <c r="CT127" s="171"/>
      <c r="CU127" s="171"/>
      <c r="CV127" s="171"/>
      <c r="CW127" s="69"/>
      <c r="CX127" s="171"/>
      <c r="EI127" s="69"/>
    </row>
    <row r="128" spans="1:274" x14ac:dyDescent="0.25">
      <c r="AS128" s="169"/>
      <c r="AT128" s="171"/>
      <c r="AU128" s="171"/>
      <c r="AV128" s="171"/>
      <c r="AW128" s="171"/>
      <c r="AX128" s="171"/>
      <c r="AY128" s="171"/>
      <c r="AZ128" s="171"/>
      <c r="BA128" s="171"/>
      <c r="BB128" s="171"/>
      <c r="BC128" s="171"/>
      <c r="BD128" s="171"/>
      <c r="BE128" s="171"/>
      <c r="BF128" s="171"/>
      <c r="BG128" s="171"/>
      <c r="BH128" s="171"/>
      <c r="BI128" s="171"/>
      <c r="BJ128" s="171"/>
      <c r="BK128" s="171"/>
      <c r="BL128" s="171"/>
      <c r="BM128" s="171"/>
      <c r="BN128" s="171"/>
      <c r="BO128" s="171"/>
      <c r="BP128" s="171"/>
      <c r="BQ128" s="171"/>
      <c r="BR128" s="171"/>
      <c r="BS128" s="171"/>
      <c r="BT128" s="171"/>
      <c r="BU128" s="171"/>
      <c r="BV128" s="171"/>
      <c r="BW128" s="171"/>
      <c r="BX128" s="171"/>
      <c r="BY128" s="171"/>
      <c r="BZ128" s="171"/>
      <c r="CA128" s="171"/>
      <c r="CB128" s="171"/>
      <c r="CC128" s="171"/>
      <c r="CD128" s="171"/>
      <c r="CE128" s="171"/>
      <c r="CF128" s="171"/>
      <c r="CG128" s="171"/>
      <c r="CH128" s="171"/>
      <c r="CI128" s="171"/>
      <c r="CJ128" s="171"/>
      <c r="CK128" s="171"/>
      <c r="CL128" s="171"/>
      <c r="CM128" s="171"/>
      <c r="CN128" s="171"/>
      <c r="CO128" s="171"/>
      <c r="CP128" s="171"/>
      <c r="CQ128" s="171"/>
      <c r="CR128" s="171"/>
      <c r="CS128" s="171"/>
      <c r="CT128" s="171"/>
      <c r="CU128" s="171"/>
      <c r="CV128" s="171"/>
      <c r="CW128" s="69"/>
      <c r="CX128" s="171"/>
      <c r="EI128" s="69"/>
    </row>
    <row r="129" spans="45:139" x14ac:dyDescent="0.25">
      <c r="AS129" s="169"/>
      <c r="AT129" s="171"/>
      <c r="AU129" s="171"/>
      <c r="AV129" s="171"/>
      <c r="AW129" s="171"/>
      <c r="AX129" s="171"/>
      <c r="AY129" s="171"/>
      <c r="AZ129" s="171"/>
      <c r="BA129" s="171"/>
      <c r="BB129" s="171"/>
      <c r="BC129" s="171"/>
      <c r="BD129" s="171"/>
      <c r="BE129" s="171"/>
      <c r="BF129" s="171"/>
      <c r="BG129" s="171"/>
      <c r="BH129" s="171"/>
      <c r="BI129" s="171"/>
      <c r="BJ129" s="171"/>
      <c r="BK129" s="171"/>
      <c r="BL129" s="171"/>
      <c r="BM129" s="171"/>
      <c r="BN129" s="171"/>
      <c r="BO129" s="171"/>
      <c r="BP129" s="171"/>
      <c r="BQ129" s="171"/>
      <c r="BR129" s="171"/>
      <c r="BS129" s="171"/>
      <c r="BT129" s="171"/>
      <c r="BU129" s="171"/>
      <c r="BV129" s="171"/>
      <c r="BW129" s="171"/>
      <c r="BX129" s="171"/>
      <c r="BY129" s="171"/>
      <c r="BZ129" s="171"/>
      <c r="CA129" s="171"/>
      <c r="CB129" s="171"/>
      <c r="CC129" s="171"/>
      <c r="CD129" s="171"/>
      <c r="CE129" s="171"/>
      <c r="CF129" s="171"/>
      <c r="CG129" s="171"/>
      <c r="CH129" s="171"/>
      <c r="CI129" s="171"/>
      <c r="CJ129" s="171"/>
      <c r="CK129" s="171"/>
      <c r="CL129" s="171"/>
      <c r="CM129" s="171"/>
      <c r="CN129" s="171"/>
      <c r="CO129" s="171"/>
      <c r="CP129" s="171"/>
      <c r="CQ129" s="171"/>
      <c r="CR129" s="171"/>
      <c r="CS129" s="171"/>
      <c r="CT129" s="171"/>
      <c r="CU129" s="171"/>
      <c r="CV129" s="171"/>
      <c r="CW129" s="69"/>
      <c r="CX129" s="171"/>
      <c r="EI129" s="69"/>
    </row>
    <row r="130" spans="45:139" x14ac:dyDescent="0.25">
      <c r="AS130" s="169"/>
      <c r="AT130" s="171"/>
      <c r="AU130" s="171"/>
      <c r="AV130" s="171"/>
      <c r="AW130" s="171"/>
      <c r="AX130" s="171"/>
      <c r="AY130" s="171"/>
      <c r="AZ130" s="171"/>
      <c r="BA130" s="171"/>
      <c r="BB130" s="171"/>
      <c r="BC130" s="171"/>
      <c r="BD130" s="171"/>
      <c r="BE130" s="171"/>
      <c r="BF130" s="171"/>
      <c r="BG130" s="171"/>
      <c r="BH130" s="171"/>
      <c r="BI130" s="171"/>
      <c r="BJ130" s="171"/>
      <c r="BK130" s="171"/>
      <c r="BL130" s="171"/>
      <c r="BM130" s="171"/>
      <c r="BN130" s="171"/>
      <c r="BO130" s="171"/>
      <c r="BP130" s="171"/>
      <c r="BQ130" s="171"/>
      <c r="BR130" s="171"/>
      <c r="BS130" s="171"/>
      <c r="BT130" s="171"/>
      <c r="BU130" s="171"/>
      <c r="BV130" s="171"/>
      <c r="BW130" s="171"/>
      <c r="BX130" s="171"/>
      <c r="BY130" s="171"/>
      <c r="BZ130" s="171"/>
      <c r="CA130" s="171"/>
      <c r="CB130" s="171"/>
      <c r="CC130" s="171"/>
      <c r="CD130" s="171"/>
      <c r="CE130" s="171"/>
      <c r="CF130" s="171"/>
      <c r="CG130" s="171"/>
      <c r="CH130" s="171"/>
      <c r="CI130" s="171"/>
      <c r="CJ130" s="171"/>
      <c r="CK130" s="171"/>
      <c r="CL130" s="171"/>
      <c r="CM130" s="171"/>
      <c r="CN130" s="171"/>
      <c r="CO130" s="171"/>
      <c r="CP130" s="171"/>
      <c r="CQ130" s="171"/>
      <c r="CR130" s="171"/>
      <c r="CS130" s="171"/>
      <c r="CT130" s="171"/>
      <c r="CU130" s="171"/>
      <c r="CV130" s="171"/>
      <c r="CW130" s="69"/>
      <c r="CX130" s="171"/>
    </row>
    <row r="131" spans="45:139" x14ac:dyDescent="0.25">
      <c r="AS131" s="169"/>
      <c r="AT131" s="171"/>
      <c r="AU131" s="171"/>
      <c r="AV131" s="171"/>
      <c r="AW131" s="171"/>
      <c r="AX131" s="171"/>
      <c r="AY131" s="171"/>
      <c r="AZ131" s="171"/>
      <c r="BA131" s="171"/>
      <c r="BB131" s="171"/>
      <c r="BC131" s="171"/>
      <c r="BD131" s="171"/>
      <c r="BE131" s="171"/>
      <c r="BF131" s="171"/>
      <c r="BG131" s="171"/>
      <c r="BH131" s="171"/>
      <c r="BI131" s="171"/>
      <c r="BJ131" s="171"/>
      <c r="BK131" s="171"/>
      <c r="BL131" s="171"/>
      <c r="BM131" s="171"/>
      <c r="BN131" s="171"/>
      <c r="BO131" s="171"/>
      <c r="BP131" s="171"/>
      <c r="BQ131" s="171"/>
      <c r="BR131" s="171"/>
      <c r="BS131" s="171"/>
      <c r="BT131" s="171"/>
      <c r="BU131" s="171"/>
      <c r="BV131" s="171"/>
      <c r="BW131" s="171"/>
      <c r="BX131" s="171"/>
      <c r="BY131" s="171"/>
      <c r="BZ131" s="171"/>
      <c r="CA131" s="171"/>
      <c r="CB131" s="171"/>
      <c r="CC131" s="171"/>
      <c r="CD131" s="171"/>
      <c r="CE131" s="171"/>
      <c r="CF131" s="171"/>
      <c r="CG131" s="171"/>
      <c r="CH131" s="171"/>
      <c r="CI131" s="171"/>
      <c r="CJ131" s="171"/>
      <c r="CK131" s="171"/>
      <c r="CL131" s="171"/>
      <c r="CM131" s="171"/>
      <c r="CN131" s="171"/>
      <c r="CO131" s="171"/>
      <c r="CP131" s="171"/>
      <c r="CQ131" s="171"/>
      <c r="CR131" s="171"/>
      <c r="CS131" s="171"/>
      <c r="CT131" s="171"/>
      <c r="CU131" s="171"/>
      <c r="CV131" s="171"/>
      <c r="CW131" s="69"/>
      <c r="CX131" s="171"/>
    </row>
    <row r="132" spans="45:139" x14ac:dyDescent="0.25">
      <c r="AS132" s="169"/>
      <c r="AT132" s="171"/>
      <c r="AU132" s="171"/>
      <c r="AV132" s="171"/>
      <c r="AW132" s="171"/>
      <c r="AX132" s="171"/>
      <c r="AY132" s="171"/>
      <c r="AZ132" s="171"/>
      <c r="BA132" s="171"/>
      <c r="BB132" s="171"/>
      <c r="BC132" s="171"/>
      <c r="BD132" s="171"/>
      <c r="BE132" s="171"/>
      <c r="BF132" s="171"/>
      <c r="BG132" s="171"/>
      <c r="BH132" s="171"/>
      <c r="BI132" s="171"/>
      <c r="BJ132" s="171"/>
      <c r="BK132" s="171"/>
      <c r="BL132" s="171"/>
      <c r="BM132" s="171"/>
      <c r="BN132" s="171"/>
      <c r="BO132" s="171"/>
      <c r="BP132" s="171"/>
      <c r="BQ132" s="171"/>
      <c r="BR132" s="171"/>
      <c r="BS132" s="171"/>
      <c r="BT132" s="171"/>
      <c r="BU132" s="171"/>
      <c r="BV132" s="171"/>
      <c r="BW132" s="171"/>
      <c r="BX132" s="171"/>
      <c r="BY132" s="171"/>
      <c r="BZ132" s="171"/>
      <c r="CA132" s="171"/>
      <c r="CB132" s="171"/>
      <c r="CC132" s="171"/>
      <c r="CD132" s="171"/>
      <c r="CE132" s="171"/>
      <c r="CF132" s="171"/>
      <c r="CG132" s="171"/>
      <c r="CH132" s="171"/>
      <c r="CI132" s="171"/>
      <c r="CJ132" s="171"/>
      <c r="CK132" s="171"/>
      <c r="CL132" s="171"/>
      <c r="CM132" s="171"/>
      <c r="CN132" s="171"/>
      <c r="CO132" s="171"/>
      <c r="CP132" s="171"/>
      <c r="CQ132" s="171"/>
      <c r="CR132" s="171"/>
      <c r="CS132" s="171"/>
      <c r="CT132" s="171"/>
      <c r="CU132" s="171"/>
      <c r="CV132" s="171"/>
      <c r="CW132" s="69"/>
      <c r="CX132" s="171"/>
    </row>
    <row r="133" spans="45:139" x14ac:dyDescent="0.25">
      <c r="AS133" s="169"/>
      <c r="AT133" s="171"/>
      <c r="AU133" s="171"/>
      <c r="AV133" s="171"/>
      <c r="AW133" s="171"/>
      <c r="AX133" s="171"/>
      <c r="AY133" s="171"/>
      <c r="AZ133" s="171"/>
      <c r="BA133" s="171"/>
      <c r="BB133" s="171"/>
      <c r="BC133" s="171"/>
      <c r="BD133" s="171"/>
      <c r="BE133" s="171"/>
      <c r="BF133" s="171"/>
      <c r="BG133" s="171"/>
      <c r="BH133" s="171"/>
      <c r="BI133" s="171"/>
      <c r="BJ133" s="171"/>
      <c r="BK133" s="171"/>
      <c r="BL133" s="171"/>
      <c r="BM133" s="171"/>
      <c r="BN133" s="171"/>
      <c r="BO133" s="171"/>
      <c r="BP133" s="171"/>
      <c r="BQ133" s="171"/>
      <c r="BR133" s="171"/>
      <c r="BS133" s="171"/>
      <c r="BT133" s="171"/>
      <c r="BU133" s="171"/>
      <c r="BV133" s="171"/>
      <c r="BW133" s="171"/>
      <c r="BX133" s="171"/>
      <c r="BY133" s="171"/>
      <c r="BZ133" s="171"/>
      <c r="CA133" s="171"/>
      <c r="CB133" s="171"/>
      <c r="CC133" s="171"/>
      <c r="CD133" s="171"/>
      <c r="CE133" s="171"/>
      <c r="CF133" s="171"/>
      <c r="CG133" s="171"/>
      <c r="CH133" s="171"/>
      <c r="CI133" s="171"/>
      <c r="CJ133" s="171"/>
      <c r="CK133" s="171"/>
      <c r="CL133" s="171"/>
      <c r="CM133" s="171"/>
      <c r="CN133" s="171"/>
      <c r="CO133" s="171"/>
      <c r="CP133" s="171"/>
      <c r="CQ133" s="171"/>
      <c r="CR133" s="171"/>
      <c r="CS133" s="171"/>
      <c r="CT133" s="171"/>
      <c r="CU133" s="171"/>
      <c r="CV133" s="171"/>
      <c r="CW133" s="69"/>
      <c r="CX133" s="171"/>
    </row>
    <row r="134" spans="45:139" x14ac:dyDescent="0.25">
      <c r="AS134" s="169"/>
      <c r="AT134" s="171"/>
      <c r="AU134" s="171"/>
      <c r="AV134" s="171"/>
      <c r="AW134" s="171"/>
      <c r="AX134" s="171"/>
      <c r="AY134" s="171"/>
      <c r="AZ134" s="171"/>
      <c r="BA134" s="171"/>
      <c r="BB134" s="171"/>
      <c r="BC134" s="171"/>
      <c r="BD134" s="171"/>
      <c r="BE134" s="171"/>
      <c r="BF134" s="171"/>
      <c r="BG134" s="171"/>
      <c r="BH134" s="171"/>
      <c r="BI134" s="171"/>
      <c r="BJ134" s="171"/>
      <c r="BK134" s="171"/>
      <c r="BL134" s="171"/>
      <c r="BM134" s="171"/>
      <c r="BN134" s="171"/>
      <c r="BO134" s="171"/>
      <c r="BP134" s="171"/>
      <c r="BQ134" s="171"/>
      <c r="BR134" s="171"/>
      <c r="BS134" s="171"/>
      <c r="BT134" s="171"/>
      <c r="BU134" s="171"/>
      <c r="BV134" s="171"/>
      <c r="BW134" s="171"/>
      <c r="BX134" s="171"/>
      <c r="BY134" s="171"/>
      <c r="BZ134" s="171"/>
      <c r="CA134" s="171"/>
      <c r="CB134" s="171"/>
      <c r="CC134" s="171"/>
      <c r="CD134" s="171"/>
      <c r="CE134" s="171"/>
      <c r="CF134" s="171"/>
      <c r="CG134" s="171"/>
      <c r="CH134" s="171"/>
      <c r="CI134" s="171"/>
      <c r="CJ134" s="171"/>
      <c r="CK134" s="171"/>
      <c r="CL134" s="171"/>
      <c r="CM134" s="171"/>
      <c r="CN134" s="171"/>
      <c r="CO134" s="171"/>
      <c r="CP134" s="171"/>
      <c r="CQ134" s="171"/>
      <c r="CR134" s="171"/>
      <c r="CS134" s="171"/>
      <c r="CT134" s="171"/>
      <c r="CU134" s="171"/>
      <c r="CV134" s="171"/>
      <c r="CW134" s="69"/>
      <c r="CX134" s="171"/>
    </row>
    <row r="135" spans="45:139" x14ac:dyDescent="0.25">
      <c r="AS135" s="169"/>
      <c r="AT135" s="171"/>
      <c r="AU135" s="171"/>
      <c r="AV135" s="171"/>
      <c r="AW135" s="171"/>
      <c r="AX135" s="171"/>
      <c r="AY135" s="171"/>
      <c r="AZ135" s="171"/>
      <c r="BA135" s="171"/>
      <c r="BB135" s="171"/>
      <c r="BC135" s="171"/>
      <c r="BD135" s="171"/>
      <c r="BE135" s="171"/>
      <c r="BF135" s="171"/>
      <c r="BG135" s="171"/>
      <c r="BH135" s="171"/>
      <c r="BI135" s="171"/>
      <c r="BJ135" s="171"/>
      <c r="BK135" s="171"/>
      <c r="BL135" s="171"/>
      <c r="BM135" s="171"/>
      <c r="BN135" s="171"/>
      <c r="BO135" s="171"/>
      <c r="BP135" s="171"/>
      <c r="BQ135" s="171"/>
      <c r="BR135" s="171"/>
      <c r="BS135" s="171"/>
      <c r="BT135" s="171"/>
      <c r="BU135" s="171"/>
      <c r="BV135" s="171"/>
      <c r="BW135" s="171"/>
      <c r="BX135" s="171"/>
      <c r="BY135" s="171"/>
      <c r="BZ135" s="171"/>
      <c r="CA135" s="171"/>
      <c r="CB135" s="171"/>
      <c r="CC135" s="171"/>
      <c r="CD135" s="171"/>
      <c r="CE135" s="171"/>
      <c r="CF135" s="171"/>
      <c r="CG135" s="171"/>
      <c r="CH135" s="171"/>
      <c r="CI135" s="171"/>
      <c r="CJ135" s="171"/>
      <c r="CK135" s="171"/>
      <c r="CL135" s="171"/>
      <c r="CM135" s="171"/>
      <c r="CN135" s="171"/>
      <c r="CO135" s="171"/>
      <c r="CP135" s="171"/>
      <c r="CQ135" s="171"/>
      <c r="CR135" s="171"/>
      <c r="CS135" s="171"/>
      <c r="CT135" s="171"/>
      <c r="CU135" s="171"/>
      <c r="CV135" s="171"/>
      <c r="CW135" s="69"/>
      <c r="CX135" s="171"/>
    </row>
    <row r="136" spans="45:139" x14ac:dyDescent="0.25">
      <c r="AS136" s="169"/>
      <c r="AT136" s="171"/>
      <c r="AU136" s="171"/>
      <c r="AV136" s="171"/>
      <c r="AW136" s="171"/>
      <c r="AX136" s="171"/>
      <c r="AY136" s="171"/>
      <c r="AZ136" s="171"/>
      <c r="BA136" s="171"/>
      <c r="BB136" s="171"/>
      <c r="BC136" s="171"/>
      <c r="BD136" s="171"/>
      <c r="BE136" s="171"/>
      <c r="BF136" s="171"/>
      <c r="BG136" s="171"/>
      <c r="BH136" s="171"/>
      <c r="BI136" s="171"/>
      <c r="BJ136" s="171"/>
      <c r="BK136" s="171"/>
      <c r="BL136" s="171"/>
      <c r="BM136" s="171"/>
      <c r="BN136" s="171"/>
      <c r="BO136" s="171"/>
      <c r="BP136" s="171"/>
      <c r="BQ136" s="171"/>
      <c r="BR136" s="171"/>
      <c r="BS136" s="171"/>
      <c r="BT136" s="171"/>
      <c r="BU136" s="171"/>
      <c r="BV136" s="171"/>
      <c r="BW136" s="171"/>
      <c r="BX136" s="171"/>
      <c r="BY136" s="171"/>
      <c r="BZ136" s="171"/>
      <c r="CA136" s="171"/>
      <c r="CB136" s="171"/>
      <c r="CC136" s="171"/>
      <c r="CD136" s="171"/>
      <c r="CE136" s="171"/>
      <c r="CF136" s="171"/>
      <c r="CG136" s="171"/>
      <c r="CH136" s="171"/>
      <c r="CI136" s="171"/>
      <c r="CJ136" s="171"/>
      <c r="CK136" s="171"/>
      <c r="CL136" s="171"/>
      <c r="CM136" s="171"/>
      <c r="CN136" s="171"/>
      <c r="CO136" s="171"/>
      <c r="CP136" s="171"/>
      <c r="CQ136" s="171"/>
      <c r="CR136" s="171"/>
      <c r="CS136" s="171"/>
      <c r="CT136" s="171"/>
      <c r="CU136" s="171"/>
      <c r="CV136" s="171"/>
      <c r="CW136" s="69"/>
      <c r="CX136" s="171"/>
    </row>
    <row r="137" spans="45:139" x14ac:dyDescent="0.25">
      <c r="AS137" s="169"/>
      <c r="AT137" s="171"/>
      <c r="AU137" s="171"/>
      <c r="AV137" s="171"/>
      <c r="AW137" s="171"/>
      <c r="AX137" s="171"/>
      <c r="AY137" s="171"/>
      <c r="AZ137" s="171"/>
      <c r="BA137" s="171"/>
      <c r="BB137" s="171"/>
      <c r="BC137" s="171"/>
      <c r="BD137" s="171"/>
      <c r="BE137" s="171"/>
      <c r="BF137" s="171"/>
      <c r="BG137" s="171"/>
      <c r="BH137" s="171"/>
      <c r="BI137" s="171"/>
      <c r="BJ137" s="171"/>
      <c r="BK137" s="171"/>
      <c r="BL137" s="171"/>
      <c r="BM137" s="171"/>
      <c r="BN137" s="171"/>
      <c r="BO137" s="171"/>
      <c r="BP137" s="171"/>
      <c r="BQ137" s="171"/>
      <c r="BR137" s="171"/>
      <c r="BS137" s="171"/>
      <c r="BT137" s="171"/>
      <c r="BU137" s="171"/>
      <c r="BV137" s="171"/>
      <c r="BW137" s="171"/>
      <c r="BX137" s="171"/>
      <c r="BY137" s="171"/>
      <c r="BZ137" s="171"/>
      <c r="CA137" s="171"/>
      <c r="CB137" s="171"/>
      <c r="CC137" s="171"/>
      <c r="CD137" s="171"/>
      <c r="CE137" s="171"/>
      <c r="CF137" s="171"/>
      <c r="CG137" s="171"/>
      <c r="CH137" s="171"/>
      <c r="CI137" s="171"/>
      <c r="CJ137" s="171"/>
      <c r="CK137" s="171"/>
      <c r="CL137" s="171"/>
      <c r="CM137" s="171"/>
      <c r="CN137" s="171"/>
      <c r="CO137" s="171"/>
      <c r="CP137" s="171"/>
      <c r="CQ137" s="171"/>
      <c r="CR137" s="171"/>
      <c r="CS137" s="171"/>
      <c r="CT137" s="171"/>
      <c r="CU137" s="171"/>
      <c r="CV137" s="171"/>
      <c r="CW137" s="69"/>
      <c r="CX137" s="171"/>
    </row>
    <row r="138" spans="45:139" x14ac:dyDescent="0.25">
      <c r="AS138" s="169"/>
      <c r="AT138" s="171"/>
      <c r="AU138" s="171"/>
      <c r="AV138" s="171"/>
      <c r="AW138" s="171"/>
      <c r="AX138" s="171"/>
      <c r="AY138" s="171"/>
      <c r="AZ138" s="171"/>
      <c r="BA138" s="171"/>
      <c r="BB138" s="171"/>
      <c r="BC138" s="171"/>
      <c r="BD138" s="171"/>
      <c r="BE138" s="171"/>
      <c r="BF138" s="171"/>
      <c r="BG138" s="171"/>
      <c r="BH138" s="171"/>
      <c r="BI138" s="171"/>
      <c r="BJ138" s="171"/>
      <c r="BK138" s="171"/>
      <c r="BL138" s="171"/>
      <c r="BM138" s="171"/>
      <c r="BN138" s="171"/>
      <c r="BO138" s="171"/>
      <c r="BP138" s="171"/>
      <c r="BQ138" s="171"/>
      <c r="BR138" s="171"/>
      <c r="BS138" s="171"/>
      <c r="BT138" s="171"/>
      <c r="BU138" s="171"/>
      <c r="BV138" s="171"/>
      <c r="BW138" s="171"/>
      <c r="BX138" s="171"/>
      <c r="BY138" s="171"/>
      <c r="BZ138" s="171"/>
      <c r="CA138" s="171"/>
      <c r="CB138" s="171"/>
      <c r="CC138" s="171"/>
      <c r="CD138" s="171"/>
      <c r="CE138" s="171"/>
      <c r="CF138" s="171"/>
      <c r="CG138" s="171"/>
      <c r="CH138" s="171"/>
      <c r="CI138" s="171"/>
      <c r="CJ138" s="171"/>
      <c r="CK138" s="171"/>
      <c r="CL138" s="171"/>
      <c r="CM138" s="171"/>
      <c r="CN138" s="171"/>
      <c r="CO138" s="171"/>
      <c r="CP138" s="171"/>
      <c r="CQ138" s="171"/>
      <c r="CR138" s="171"/>
      <c r="CS138" s="171"/>
      <c r="CT138" s="171"/>
      <c r="CU138" s="171"/>
      <c r="CV138" s="171"/>
      <c r="CW138" s="69"/>
      <c r="CX138" s="171"/>
    </row>
    <row r="139" spans="45:139" x14ac:dyDescent="0.25">
      <c r="AS139" s="169"/>
      <c r="AT139" s="171"/>
      <c r="AU139" s="171"/>
      <c r="AV139" s="171"/>
      <c r="AW139" s="171"/>
      <c r="AX139" s="171"/>
      <c r="AY139" s="171"/>
      <c r="AZ139" s="171"/>
      <c r="BA139" s="171"/>
      <c r="BB139" s="171"/>
      <c r="BC139" s="171"/>
      <c r="BD139" s="171"/>
      <c r="BE139" s="171"/>
      <c r="BF139" s="171"/>
      <c r="BG139" s="171"/>
      <c r="BH139" s="171"/>
      <c r="BI139" s="171"/>
      <c r="BJ139" s="171"/>
      <c r="BK139" s="171"/>
      <c r="BL139" s="171"/>
      <c r="BM139" s="171"/>
      <c r="BN139" s="171"/>
      <c r="BO139" s="171"/>
      <c r="BP139" s="171"/>
      <c r="BQ139" s="171"/>
      <c r="BR139" s="171"/>
      <c r="BS139" s="171"/>
      <c r="BT139" s="171"/>
      <c r="BU139" s="171"/>
      <c r="BV139" s="171"/>
      <c r="BW139" s="171"/>
      <c r="BX139" s="171"/>
      <c r="BY139" s="171"/>
      <c r="BZ139" s="171"/>
      <c r="CA139" s="171"/>
      <c r="CB139" s="171"/>
      <c r="CC139" s="171"/>
      <c r="CD139" s="171"/>
      <c r="CE139" s="171"/>
      <c r="CF139" s="171"/>
      <c r="CG139" s="171"/>
      <c r="CH139" s="171"/>
      <c r="CI139" s="171"/>
      <c r="CJ139" s="171"/>
      <c r="CK139" s="171"/>
      <c r="CL139" s="171"/>
      <c r="CM139" s="171"/>
      <c r="CN139" s="171"/>
      <c r="CO139" s="171"/>
      <c r="CP139" s="171"/>
      <c r="CQ139" s="171"/>
      <c r="CR139" s="171"/>
      <c r="CS139" s="171"/>
      <c r="CT139" s="171"/>
      <c r="CU139" s="171"/>
      <c r="CV139" s="171"/>
      <c r="CW139" s="69"/>
      <c r="CX139" s="171"/>
    </row>
    <row r="140" spans="45:139" x14ac:dyDescent="0.25">
      <c r="AS140" s="169"/>
      <c r="AT140" s="171"/>
      <c r="AU140" s="171"/>
      <c r="AV140" s="171"/>
      <c r="AW140" s="171"/>
      <c r="AX140" s="171"/>
      <c r="AY140" s="171"/>
      <c r="AZ140" s="171"/>
      <c r="BA140" s="171"/>
      <c r="BB140" s="171"/>
      <c r="BC140" s="171"/>
      <c r="BD140" s="171"/>
      <c r="BE140" s="171"/>
      <c r="BF140" s="171"/>
      <c r="BG140" s="171"/>
      <c r="BH140" s="171"/>
      <c r="BI140" s="171"/>
      <c r="BJ140" s="171"/>
      <c r="BK140" s="171"/>
      <c r="BL140" s="171"/>
      <c r="BM140" s="171"/>
      <c r="BN140" s="171"/>
      <c r="BO140" s="171"/>
      <c r="BP140" s="171"/>
      <c r="BQ140" s="171"/>
      <c r="BR140" s="171"/>
      <c r="BS140" s="171"/>
      <c r="BT140" s="171"/>
      <c r="BU140" s="171"/>
      <c r="BV140" s="171"/>
      <c r="BW140" s="171"/>
      <c r="BX140" s="171"/>
      <c r="BY140" s="171"/>
      <c r="BZ140" s="171"/>
      <c r="CA140" s="171"/>
      <c r="CB140" s="171"/>
      <c r="CC140" s="171"/>
      <c r="CD140" s="171"/>
      <c r="CE140" s="171"/>
      <c r="CF140" s="171"/>
      <c r="CG140" s="171"/>
      <c r="CH140" s="171"/>
      <c r="CI140" s="171"/>
      <c r="CJ140" s="171"/>
      <c r="CK140" s="171"/>
      <c r="CL140" s="171"/>
      <c r="CM140" s="171"/>
      <c r="CN140" s="171"/>
      <c r="CO140" s="171"/>
      <c r="CP140" s="171"/>
      <c r="CQ140" s="171"/>
      <c r="CR140" s="171"/>
      <c r="CS140" s="171"/>
      <c r="CT140" s="171"/>
      <c r="CU140" s="171"/>
      <c r="CV140" s="171"/>
      <c r="CW140" s="69"/>
      <c r="CX140" s="171"/>
    </row>
    <row r="141" spans="45:139" x14ac:dyDescent="0.25">
      <c r="AS141" s="169"/>
      <c r="AT141" s="171"/>
      <c r="AU141" s="171"/>
      <c r="AV141" s="171"/>
      <c r="AW141" s="171"/>
      <c r="AX141" s="171"/>
      <c r="AY141" s="171"/>
      <c r="AZ141" s="171"/>
      <c r="BA141" s="171"/>
      <c r="BB141" s="171"/>
      <c r="BC141" s="171"/>
      <c r="BD141" s="171"/>
      <c r="BE141" s="171"/>
      <c r="BF141" s="171"/>
      <c r="BG141" s="171"/>
      <c r="BH141" s="171"/>
      <c r="BI141" s="171"/>
      <c r="BJ141" s="171"/>
      <c r="BK141" s="171"/>
      <c r="BL141" s="171"/>
      <c r="BM141" s="171"/>
      <c r="BN141" s="171"/>
      <c r="BO141" s="171"/>
      <c r="BP141" s="171"/>
      <c r="BQ141" s="171"/>
      <c r="BR141" s="171"/>
      <c r="BS141" s="171"/>
      <c r="BT141" s="171"/>
      <c r="BU141" s="171"/>
      <c r="BV141" s="171"/>
      <c r="BW141" s="171"/>
      <c r="BX141" s="171"/>
      <c r="BY141" s="171"/>
      <c r="BZ141" s="171"/>
      <c r="CA141" s="171"/>
      <c r="CB141" s="171"/>
      <c r="CC141" s="171"/>
      <c r="CD141" s="171"/>
      <c r="CE141" s="171"/>
      <c r="CF141" s="171"/>
      <c r="CG141" s="171"/>
      <c r="CH141" s="171"/>
      <c r="CI141" s="171"/>
      <c r="CJ141" s="171"/>
      <c r="CK141" s="171"/>
      <c r="CL141" s="171"/>
      <c r="CM141" s="171"/>
      <c r="CN141" s="171"/>
      <c r="CO141" s="171"/>
      <c r="CP141" s="171"/>
      <c r="CQ141" s="171"/>
      <c r="CR141" s="171"/>
      <c r="CS141" s="171"/>
      <c r="CT141" s="171"/>
      <c r="CU141" s="171"/>
      <c r="CV141" s="171"/>
      <c r="CW141" s="69"/>
      <c r="CX141" s="171"/>
    </row>
    <row r="142" spans="45:139" x14ac:dyDescent="0.25">
      <c r="AS142" s="169"/>
      <c r="AT142" s="171"/>
      <c r="AU142" s="171"/>
      <c r="AV142" s="171"/>
      <c r="AW142" s="171"/>
      <c r="AX142" s="171"/>
      <c r="AY142" s="171"/>
      <c r="AZ142" s="171"/>
      <c r="BA142" s="171"/>
      <c r="BB142" s="171"/>
      <c r="BC142" s="171"/>
      <c r="BD142" s="171"/>
      <c r="BE142" s="171"/>
      <c r="BF142" s="171"/>
      <c r="BG142" s="171"/>
      <c r="BH142" s="171"/>
      <c r="BI142" s="171"/>
      <c r="BJ142" s="171"/>
      <c r="BK142" s="171"/>
      <c r="BL142" s="171"/>
      <c r="BM142" s="171"/>
      <c r="BN142" s="171"/>
      <c r="BO142" s="171"/>
      <c r="BP142" s="171"/>
      <c r="BQ142" s="171"/>
      <c r="BR142" s="171"/>
      <c r="BS142" s="171"/>
      <c r="BT142" s="171"/>
      <c r="BU142" s="171"/>
      <c r="BV142" s="171"/>
      <c r="BW142" s="171"/>
      <c r="BX142" s="171"/>
      <c r="BY142" s="171"/>
      <c r="BZ142" s="171"/>
      <c r="CA142" s="171"/>
      <c r="CB142" s="171"/>
      <c r="CC142" s="171"/>
      <c r="CD142" s="171"/>
      <c r="CE142" s="171"/>
      <c r="CF142" s="171"/>
      <c r="CG142" s="171"/>
      <c r="CH142" s="171"/>
      <c r="CI142" s="171"/>
      <c r="CJ142" s="171"/>
      <c r="CK142" s="171"/>
      <c r="CL142" s="171"/>
      <c r="CM142" s="171"/>
      <c r="CN142" s="171"/>
      <c r="CO142" s="171"/>
      <c r="CP142" s="171"/>
      <c r="CQ142" s="171"/>
      <c r="CR142" s="171"/>
      <c r="CS142" s="171"/>
      <c r="CT142" s="171"/>
      <c r="CU142" s="171"/>
      <c r="CV142" s="171"/>
      <c r="CW142" s="69"/>
      <c r="CX142" s="171"/>
    </row>
    <row r="143" spans="45:139" x14ac:dyDescent="0.25">
      <c r="AS143" s="169"/>
      <c r="AT143" s="171"/>
      <c r="AU143" s="171"/>
      <c r="AV143" s="171"/>
      <c r="AW143" s="171"/>
      <c r="AX143" s="171"/>
      <c r="AY143" s="171"/>
      <c r="AZ143" s="171"/>
      <c r="BA143" s="171"/>
      <c r="BB143" s="171"/>
      <c r="BC143" s="171"/>
      <c r="BD143" s="171"/>
      <c r="BE143" s="171"/>
      <c r="BF143" s="171"/>
      <c r="BG143" s="171"/>
      <c r="BH143" s="171"/>
      <c r="BI143" s="171"/>
      <c r="BJ143" s="171"/>
      <c r="BK143" s="171"/>
      <c r="BL143" s="171"/>
      <c r="BM143" s="171"/>
      <c r="BN143" s="171"/>
      <c r="BO143" s="171"/>
      <c r="BP143" s="171"/>
      <c r="BQ143" s="171"/>
      <c r="BR143" s="171"/>
      <c r="BS143" s="171"/>
      <c r="BT143" s="171"/>
      <c r="BU143" s="171"/>
      <c r="BV143" s="171"/>
      <c r="BW143" s="171"/>
      <c r="BX143" s="171"/>
      <c r="BY143" s="171"/>
      <c r="BZ143" s="171"/>
      <c r="CA143" s="171"/>
      <c r="CB143" s="171"/>
      <c r="CC143" s="171"/>
      <c r="CD143" s="171"/>
      <c r="CE143" s="171"/>
      <c r="CF143" s="171"/>
      <c r="CG143" s="171"/>
      <c r="CH143" s="171"/>
      <c r="CI143" s="171"/>
      <c r="CJ143" s="171"/>
      <c r="CK143" s="171"/>
      <c r="CL143" s="171"/>
      <c r="CM143" s="171"/>
      <c r="CN143" s="171"/>
      <c r="CO143" s="171"/>
      <c r="CP143" s="171"/>
      <c r="CQ143" s="171"/>
      <c r="CR143" s="171"/>
      <c r="CS143" s="171"/>
      <c r="CT143" s="171"/>
      <c r="CU143" s="171"/>
      <c r="CV143" s="171"/>
      <c r="CW143" s="69"/>
      <c r="CX143" s="171"/>
    </row>
    <row r="144" spans="45:139" x14ac:dyDescent="0.25">
      <c r="AS144" s="169"/>
      <c r="AT144" s="171"/>
      <c r="AU144" s="171"/>
      <c r="AV144" s="171"/>
      <c r="AW144" s="171"/>
      <c r="AX144" s="171"/>
      <c r="AY144" s="171"/>
      <c r="AZ144" s="171"/>
      <c r="BA144" s="171"/>
      <c r="BB144" s="171"/>
      <c r="BC144" s="171"/>
      <c r="BD144" s="171"/>
      <c r="BE144" s="171"/>
      <c r="BF144" s="171"/>
      <c r="BG144" s="171"/>
      <c r="BH144" s="171"/>
      <c r="BI144" s="171"/>
      <c r="BJ144" s="171"/>
      <c r="BK144" s="171"/>
      <c r="BL144" s="171"/>
      <c r="BM144" s="171"/>
      <c r="BN144" s="171"/>
      <c r="BO144" s="171"/>
      <c r="BP144" s="171"/>
      <c r="BQ144" s="171"/>
      <c r="BR144" s="171"/>
      <c r="BS144" s="171"/>
      <c r="BT144" s="171"/>
      <c r="BU144" s="171"/>
      <c r="BV144" s="171"/>
      <c r="BW144" s="171"/>
      <c r="BX144" s="171"/>
      <c r="BY144" s="171"/>
      <c r="BZ144" s="171"/>
      <c r="CA144" s="171"/>
      <c r="CB144" s="171"/>
      <c r="CC144" s="171"/>
      <c r="CD144" s="171"/>
      <c r="CE144" s="171"/>
      <c r="CF144" s="171"/>
      <c r="CG144" s="171"/>
      <c r="CH144" s="171"/>
      <c r="CI144" s="171"/>
      <c r="CJ144" s="171"/>
      <c r="CK144" s="171"/>
      <c r="CL144" s="171"/>
      <c r="CM144" s="171"/>
      <c r="CN144" s="171"/>
      <c r="CO144" s="171"/>
      <c r="CP144" s="171"/>
      <c r="CQ144" s="171"/>
      <c r="CR144" s="171"/>
      <c r="CS144" s="171"/>
      <c r="CT144" s="171"/>
      <c r="CU144" s="171"/>
      <c r="CV144" s="171"/>
      <c r="CW144" s="69"/>
      <c r="CX144" s="171"/>
    </row>
    <row r="145" spans="45:102" x14ac:dyDescent="0.25">
      <c r="AS145" s="169"/>
      <c r="AT145" s="171"/>
      <c r="AU145" s="171"/>
      <c r="AV145" s="171"/>
      <c r="AW145" s="171"/>
      <c r="AX145" s="171"/>
      <c r="AY145" s="171"/>
      <c r="AZ145" s="171"/>
      <c r="BA145" s="171"/>
      <c r="BB145" s="171"/>
      <c r="BC145" s="171"/>
      <c r="BD145" s="171"/>
      <c r="BE145" s="171"/>
      <c r="BF145" s="171"/>
      <c r="BG145" s="171"/>
      <c r="BH145" s="171"/>
      <c r="BI145" s="171"/>
      <c r="BJ145" s="171"/>
      <c r="BK145" s="171"/>
      <c r="BL145" s="171"/>
      <c r="BM145" s="171"/>
      <c r="BN145" s="171"/>
      <c r="BO145" s="171"/>
      <c r="BP145" s="171"/>
      <c r="BQ145" s="171"/>
      <c r="BR145" s="171"/>
      <c r="BS145" s="171"/>
      <c r="BT145" s="171"/>
      <c r="BU145" s="171"/>
      <c r="BV145" s="171"/>
      <c r="BW145" s="171"/>
      <c r="BX145" s="171"/>
      <c r="BY145" s="171"/>
      <c r="BZ145" s="171"/>
      <c r="CA145" s="171"/>
      <c r="CB145" s="171"/>
      <c r="CC145" s="171"/>
      <c r="CD145" s="171"/>
      <c r="CE145" s="171"/>
      <c r="CF145" s="171"/>
      <c r="CG145" s="171"/>
      <c r="CH145" s="171"/>
      <c r="CI145" s="171"/>
      <c r="CJ145" s="171"/>
      <c r="CK145" s="171"/>
      <c r="CL145" s="171"/>
      <c r="CM145" s="171"/>
      <c r="CN145" s="171"/>
      <c r="CO145" s="171"/>
      <c r="CP145" s="171"/>
      <c r="CQ145" s="171"/>
      <c r="CR145" s="171"/>
      <c r="CS145" s="171"/>
      <c r="CT145" s="171"/>
      <c r="CU145" s="171"/>
      <c r="CV145" s="171"/>
      <c r="CW145" s="69"/>
      <c r="CX145" s="171"/>
    </row>
    <row r="146" spans="45:102" x14ac:dyDescent="0.25">
      <c r="AS146" s="169"/>
      <c r="AT146" s="171"/>
      <c r="AU146" s="171"/>
      <c r="AV146" s="171"/>
      <c r="AW146" s="171"/>
      <c r="AX146" s="171"/>
      <c r="AY146" s="171"/>
      <c r="AZ146" s="171"/>
      <c r="BA146" s="171"/>
      <c r="BB146" s="171"/>
      <c r="BC146" s="171"/>
      <c r="BD146" s="171"/>
      <c r="BE146" s="171"/>
      <c r="BF146" s="171"/>
      <c r="BG146" s="171"/>
      <c r="BH146" s="171"/>
      <c r="BI146" s="171"/>
      <c r="BJ146" s="171"/>
      <c r="BK146" s="171"/>
      <c r="BL146" s="171"/>
      <c r="BM146" s="171"/>
      <c r="BN146" s="171"/>
      <c r="BO146" s="171"/>
      <c r="BP146" s="171"/>
      <c r="BQ146" s="171"/>
      <c r="BR146" s="171"/>
      <c r="BS146" s="171"/>
      <c r="BT146" s="171"/>
      <c r="BU146" s="171"/>
      <c r="BV146" s="171"/>
      <c r="BW146" s="171"/>
      <c r="BX146" s="171"/>
      <c r="BY146" s="171"/>
      <c r="BZ146" s="171"/>
      <c r="CA146" s="171"/>
      <c r="CB146" s="171"/>
      <c r="CC146" s="171"/>
      <c r="CD146" s="171"/>
      <c r="CE146" s="171"/>
      <c r="CF146" s="171"/>
      <c r="CG146" s="171"/>
      <c r="CH146" s="171"/>
      <c r="CI146" s="171"/>
      <c r="CJ146" s="171"/>
      <c r="CK146" s="171"/>
      <c r="CL146" s="171"/>
      <c r="CM146" s="171"/>
      <c r="CN146" s="171"/>
      <c r="CO146" s="171"/>
      <c r="CP146" s="171"/>
      <c r="CQ146" s="171"/>
      <c r="CR146" s="171"/>
      <c r="CS146" s="171"/>
      <c r="CT146" s="171"/>
      <c r="CU146" s="171"/>
      <c r="CV146" s="171"/>
      <c r="CW146" s="69"/>
      <c r="CX146" s="171"/>
    </row>
    <row r="147" spans="45:102" x14ac:dyDescent="0.25">
      <c r="AS147" s="169"/>
      <c r="AT147" s="171"/>
      <c r="AU147" s="171"/>
      <c r="AV147" s="171"/>
      <c r="AW147" s="171"/>
      <c r="AX147" s="171"/>
      <c r="AY147" s="171"/>
      <c r="AZ147" s="171"/>
      <c r="BA147" s="171"/>
      <c r="BB147" s="171"/>
      <c r="BC147" s="171"/>
      <c r="BD147" s="171"/>
      <c r="BE147" s="171"/>
      <c r="BF147" s="171"/>
      <c r="BG147" s="171"/>
      <c r="BH147" s="171"/>
      <c r="BI147" s="171"/>
      <c r="BJ147" s="171"/>
      <c r="BK147" s="171"/>
      <c r="BL147" s="171"/>
      <c r="BM147" s="171"/>
      <c r="BN147" s="171"/>
      <c r="BO147" s="171"/>
      <c r="BP147" s="171"/>
      <c r="BQ147" s="171"/>
      <c r="BR147" s="171"/>
      <c r="BS147" s="171"/>
      <c r="BT147" s="171"/>
      <c r="BU147" s="171"/>
      <c r="BV147" s="171"/>
      <c r="BW147" s="171"/>
      <c r="BX147" s="171"/>
      <c r="BY147" s="171"/>
      <c r="BZ147" s="171"/>
      <c r="CA147" s="171"/>
      <c r="CB147" s="171"/>
      <c r="CC147" s="171"/>
      <c r="CD147" s="171"/>
      <c r="CE147" s="171"/>
      <c r="CF147" s="171"/>
      <c r="CG147" s="171"/>
      <c r="CH147" s="171"/>
      <c r="CI147" s="171"/>
      <c r="CJ147" s="171"/>
      <c r="CK147" s="171"/>
      <c r="CL147" s="171"/>
      <c r="CM147" s="171"/>
      <c r="CN147" s="171"/>
      <c r="CO147" s="171"/>
      <c r="CP147" s="171"/>
      <c r="CQ147" s="171"/>
      <c r="CR147" s="171"/>
      <c r="CS147" s="171"/>
      <c r="CT147" s="171"/>
      <c r="CU147" s="171"/>
      <c r="CV147" s="171"/>
      <c r="CW147" s="69"/>
      <c r="CX147" s="171"/>
    </row>
    <row r="148" spans="45:102" x14ac:dyDescent="0.25">
      <c r="AS148" s="169"/>
      <c r="AT148" s="171"/>
      <c r="AU148" s="171"/>
      <c r="AV148" s="171"/>
      <c r="AW148" s="171"/>
      <c r="AX148" s="171"/>
      <c r="AY148" s="171"/>
      <c r="AZ148" s="171"/>
      <c r="BA148" s="171"/>
      <c r="BB148" s="171"/>
      <c r="BC148" s="171"/>
      <c r="BD148" s="171"/>
      <c r="BE148" s="171"/>
      <c r="BF148" s="171"/>
      <c r="BG148" s="171"/>
      <c r="BH148" s="171"/>
      <c r="BI148" s="171"/>
      <c r="BJ148" s="171"/>
      <c r="BK148" s="171"/>
      <c r="BL148" s="171"/>
      <c r="BM148" s="171"/>
      <c r="BN148" s="171"/>
      <c r="BO148" s="171"/>
      <c r="BP148" s="171"/>
      <c r="BQ148" s="171"/>
      <c r="BR148" s="171"/>
      <c r="BS148" s="171"/>
      <c r="BT148" s="171"/>
      <c r="BU148" s="171"/>
      <c r="BV148" s="171"/>
      <c r="BW148" s="171"/>
      <c r="BX148" s="171"/>
      <c r="BY148" s="171"/>
      <c r="BZ148" s="171"/>
      <c r="CA148" s="171"/>
      <c r="CB148" s="171"/>
      <c r="CC148" s="171"/>
      <c r="CD148" s="171"/>
      <c r="CE148" s="171"/>
      <c r="CF148" s="171"/>
      <c r="CG148" s="171"/>
      <c r="CH148" s="171"/>
      <c r="CI148" s="171"/>
      <c r="CJ148" s="171"/>
      <c r="CK148" s="171"/>
      <c r="CL148" s="171"/>
      <c r="CM148" s="171"/>
      <c r="CN148" s="171"/>
      <c r="CO148" s="171"/>
      <c r="CP148" s="171"/>
      <c r="CQ148" s="171"/>
      <c r="CR148" s="171"/>
      <c r="CS148" s="171"/>
      <c r="CT148" s="171"/>
      <c r="CU148" s="171"/>
      <c r="CV148" s="171"/>
      <c r="CW148" s="69"/>
      <c r="CX148" s="171"/>
    </row>
    <row r="149" spans="45:102" x14ac:dyDescent="0.25">
      <c r="AS149" s="169"/>
      <c r="AT149" s="171"/>
      <c r="AU149" s="171"/>
      <c r="AV149" s="171"/>
      <c r="AW149" s="171"/>
      <c r="AX149" s="171"/>
      <c r="AY149" s="171"/>
      <c r="AZ149" s="171"/>
      <c r="BA149" s="171"/>
      <c r="BB149" s="171"/>
      <c r="BC149" s="171"/>
      <c r="BD149" s="171"/>
      <c r="BE149" s="171"/>
      <c r="BF149" s="171"/>
      <c r="BG149" s="171"/>
      <c r="BH149" s="171"/>
      <c r="BI149" s="171"/>
      <c r="BJ149" s="171"/>
      <c r="BK149" s="171"/>
      <c r="BL149" s="171"/>
      <c r="BM149" s="171"/>
      <c r="BN149" s="171"/>
      <c r="BO149" s="171"/>
      <c r="BP149" s="171"/>
      <c r="BQ149" s="171"/>
      <c r="BR149" s="171"/>
      <c r="BS149" s="171"/>
      <c r="BT149" s="171"/>
      <c r="BU149" s="171"/>
      <c r="BV149" s="171"/>
      <c r="BW149" s="171"/>
      <c r="BX149" s="171"/>
      <c r="BY149" s="171"/>
      <c r="BZ149" s="171"/>
      <c r="CA149" s="171"/>
      <c r="CB149" s="171"/>
      <c r="CC149" s="171"/>
      <c r="CD149" s="171"/>
      <c r="CE149" s="171"/>
      <c r="CF149" s="171"/>
      <c r="CG149" s="171"/>
      <c r="CH149" s="171"/>
      <c r="CI149" s="171"/>
      <c r="CJ149" s="171"/>
      <c r="CK149" s="171"/>
      <c r="CL149" s="171"/>
      <c r="CM149" s="171"/>
      <c r="CN149" s="171"/>
      <c r="CO149" s="171"/>
      <c r="CP149" s="171"/>
      <c r="CQ149" s="171"/>
      <c r="CR149" s="171"/>
      <c r="CS149" s="171"/>
      <c r="CT149" s="171"/>
      <c r="CU149" s="171"/>
      <c r="CV149" s="171"/>
      <c r="CW149" s="69"/>
      <c r="CX149" s="171"/>
    </row>
    <row r="150" spans="45:102" x14ac:dyDescent="0.25">
      <c r="AS150" s="169"/>
      <c r="AT150" s="171"/>
      <c r="AU150" s="171"/>
      <c r="AV150" s="171"/>
      <c r="AW150" s="171"/>
      <c r="AX150" s="171"/>
      <c r="AY150" s="171"/>
      <c r="AZ150" s="171"/>
      <c r="BA150" s="171"/>
      <c r="BB150" s="171"/>
      <c r="BC150" s="171"/>
      <c r="BD150" s="171"/>
      <c r="BE150" s="171"/>
      <c r="BF150" s="171"/>
      <c r="BG150" s="171"/>
      <c r="BH150" s="171"/>
      <c r="BI150" s="171"/>
      <c r="BJ150" s="171"/>
      <c r="BK150" s="171"/>
      <c r="BL150" s="171"/>
      <c r="BM150" s="171"/>
      <c r="BN150" s="171"/>
      <c r="BO150" s="171"/>
      <c r="BP150" s="171"/>
      <c r="BQ150" s="171"/>
      <c r="BR150" s="171"/>
      <c r="BS150" s="171"/>
      <c r="BT150" s="171"/>
      <c r="BU150" s="171"/>
      <c r="BV150" s="171"/>
      <c r="BW150" s="171"/>
      <c r="BX150" s="171"/>
      <c r="BY150" s="171"/>
      <c r="BZ150" s="171"/>
      <c r="CA150" s="171"/>
      <c r="CB150" s="171"/>
      <c r="CC150" s="171"/>
      <c r="CD150" s="171"/>
      <c r="CE150" s="171"/>
      <c r="CF150" s="171"/>
      <c r="CG150" s="171"/>
      <c r="CH150" s="171"/>
      <c r="CI150" s="171"/>
      <c r="CJ150" s="171"/>
      <c r="CK150" s="171"/>
      <c r="CL150" s="171"/>
      <c r="CM150" s="171"/>
      <c r="CN150" s="171"/>
      <c r="CO150" s="171"/>
      <c r="CP150" s="171"/>
      <c r="CQ150" s="171"/>
      <c r="CR150" s="171"/>
      <c r="CS150" s="171"/>
      <c r="CT150" s="171"/>
      <c r="CU150" s="171"/>
      <c r="CV150" s="171"/>
      <c r="CW150" s="69"/>
      <c r="CX150" s="171"/>
    </row>
    <row r="151" spans="45:102" x14ac:dyDescent="0.25">
      <c r="AS151" s="169"/>
      <c r="AT151" s="171"/>
      <c r="AU151" s="171"/>
      <c r="AV151" s="171"/>
      <c r="AW151" s="171"/>
      <c r="AX151" s="171"/>
      <c r="AY151" s="171"/>
      <c r="AZ151" s="171"/>
      <c r="BA151" s="171"/>
      <c r="BB151" s="171"/>
      <c r="BC151" s="171"/>
      <c r="BD151" s="171"/>
      <c r="BE151" s="171"/>
      <c r="BF151" s="171"/>
      <c r="BG151" s="171"/>
      <c r="BH151" s="171"/>
      <c r="BI151" s="171"/>
      <c r="BJ151" s="171"/>
      <c r="BK151" s="171"/>
      <c r="BL151" s="171"/>
      <c r="BM151" s="171"/>
      <c r="BN151" s="171"/>
      <c r="BO151" s="171"/>
      <c r="BP151" s="171"/>
      <c r="BQ151" s="171"/>
      <c r="BR151" s="171"/>
      <c r="BS151" s="171"/>
      <c r="BT151" s="171"/>
      <c r="BU151" s="171"/>
      <c r="BV151" s="171"/>
      <c r="BW151" s="171"/>
      <c r="BX151" s="171"/>
      <c r="BY151" s="171"/>
      <c r="BZ151" s="171"/>
      <c r="CA151" s="171"/>
      <c r="CB151" s="171"/>
      <c r="CC151" s="171"/>
      <c r="CD151" s="171"/>
      <c r="CE151" s="171"/>
      <c r="CF151" s="171"/>
      <c r="CG151" s="171"/>
      <c r="CH151" s="171"/>
      <c r="CI151" s="171"/>
      <c r="CJ151" s="171"/>
      <c r="CK151" s="171"/>
      <c r="CL151" s="171"/>
      <c r="CM151" s="171"/>
      <c r="CN151" s="171"/>
      <c r="CO151" s="171"/>
      <c r="CP151" s="171"/>
      <c r="CQ151" s="171"/>
      <c r="CR151" s="171"/>
      <c r="CS151" s="171"/>
      <c r="CT151" s="171"/>
      <c r="CU151" s="171"/>
      <c r="CV151" s="171"/>
      <c r="CW151" s="69"/>
      <c r="CX151" s="171"/>
    </row>
    <row r="152" spans="45:102" x14ac:dyDescent="0.25">
      <c r="AS152" s="169"/>
      <c r="AT152" s="171"/>
      <c r="AU152" s="171"/>
      <c r="AV152" s="171"/>
      <c r="AW152" s="171"/>
      <c r="AX152" s="171"/>
      <c r="AY152" s="171"/>
      <c r="AZ152" s="171"/>
      <c r="BA152" s="171"/>
      <c r="BB152" s="171"/>
      <c r="BC152" s="171"/>
      <c r="BD152" s="171"/>
      <c r="BE152" s="171"/>
      <c r="BF152" s="171"/>
      <c r="BG152" s="171"/>
      <c r="BH152" s="171"/>
      <c r="BI152" s="171"/>
      <c r="BJ152" s="171"/>
      <c r="BK152" s="171"/>
      <c r="BL152" s="171"/>
      <c r="BM152" s="171"/>
      <c r="BN152" s="171"/>
      <c r="BO152" s="171"/>
      <c r="BP152" s="171"/>
      <c r="BQ152" s="171"/>
      <c r="BR152" s="171"/>
      <c r="BS152" s="171"/>
      <c r="BT152" s="171"/>
      <c r="BU152" s="171"/>
      <c r="BV152" s="171"/>
      <c r="BW152" s="171"/>
      <c r="BX152" s="171"/>
      <c r="BY152" s="171"/>
      <c r="BZ152" s="171"/>
      <c r="CA152" s="171"/>
      <c r="CB152" s="171"/>
      <c r="CC152" s="171"/>
      <c r="CD152" s="171"/>
      <c r="CE152" s="171"/>
      <c r="CF152" s="171"/>
      <c r="CG152" s="171"/>
      <c r="CH152" s="171"/>
      <c r="CI152" s="171"/>
      <c r="CJ152" s="171"/>
      <c r="CK152" s="171"/>
      <c r="CL152" s="171"/>
      <c r="CM152" s="171"/>
      <c r="CN152" s="171"/>
      <c r="CO152" s="171"/>
      <c r="CP152" s="171"/>
      <c r="CQ152" s="171"/>
      <c r="CR152" s="171"/>
      <c r="CS152" s="171"/>
      <c r="CT152" s="171"/>
      <c r="CU152" s="171"/>
      <c r="CV152" s="171"/>
      <c r="CW152" s="69"/>
      <c r="CX152" s="171"/>
    </row>
    <row r="153" spans="45:102" x14ac:dyDescent="0.25">
      <c r="AS153" s="169"/>
      <c r="AT153" s="171"/>
      <c r="AU153" s="171"/>
      <c r="AV153" s="171"/>
      <c r="AW153" s="171"/>
      <c r="AX153" s="171"/>
      <c r="AY153" s="171"/>
      <c r="AZ153" s="171"/>
      <c r="BA153" s="171"/>
      <c r="BB153" s="171"/>
      <c r="BC153" s="171"/>
      <c r="BD153" s="171"/>
      <c r="BE153" s="171"/>
      <c r="BF153" s="171"/>
      <c r="BG153" s="171"/>
      <c r="BH153" s="171"/>
      <c r="BI153" s="171"/>
      <c r="BJ153" s="171"/>
      <c r="BK153" s="171"/>
      <c r="BL153" s="171"/>
      <c r="BM153" s="171"/>
      <c r="BN153" s="171"/>
      <c r="BO153" s="171"/>
      <c r="BP153" s="171"/>
      <c r="BQ153" s="171"/>
      <c r="BR153" s="171"/>
      <c r="BS153" s="171"/>
      <c r="BT153" s="171"/>
      <c r="BU153" s="171"/>
      <c r="BV153" s="171"/>
      <c r="BW153" s="171"/>
      <c r="BX153" s="171"/>
      <c r="BY153" s="171"/>
      <c r="BZ153" s="171"/>
      <c r="CA153" s="171"/>
      <c r="CB153" s="171"/>
      <c r="CC153" s="171"/>
      <c r="CD153" s="171"/>
      <c r="CE153" s="171"/>
      <c r="CF153" s="171"/>
      <c r="CG153" s="171"/>
      <c r="CH153" s="171"/>
      <c r="CI153" s="171"/>
      <c r="CJ153" s="171"/>
      <c r="CK153" s="171"/>
      <c r="CL153" s="171"/>
      <c r="CM153" s="171"/>
      <c r="CN153" s="171"/>
      <c r="CO153" s="171"/>
      <c r="CP153" s="171"/>
      <c r="CQ153" s="171"/>
      <c r="CR153" s="171"/>
      <c r="CS153" s="171"/>
      <c r="CT153" s="171"/>
      <c r="CU153" s="171"/>
      <c r="CV153" s="171"/>
      <c r="CW153" s="69"/>
      <c r="CX153" s="171"/>
    </row>
    <row r="154" spans="45:102" x14ac:dyDescent="0.25">
      <c r="AS154" s="169"/>
      <c r="AT154" s="171"/>
      <c r="AU154" s="171"/>
      <c r="AV154" s="171"/>
      <c r="AW154" s="171"/>
      <c r="AX154" s="171"/>
      <c r="AY154" s="171"/>
      <c r="AZ154" s="171"/>
      <c r="BA154" s="171"/>
      <c r="BB154" s="171"/>
      <c r="BC154" s="171"/>
      <c r="BD154" s="171"/>
      <c r="BE154" s="171"/>
      <c r="BF154" s="171"/>
      <c r="BG154" s="171"/>
      <c r="BH154" s="171"/>
      <c r="BI154" s="171"/>
      <c r="BJ154" s="171"/>
      <c r="BK154" s="171"/>
      <c r="BL154" s="171"/>
      <c r="BM154" s="171"/>
      <c r="BN154" s="171"/>
      <c r="BO154" s="171"/>
      <c r="BP154" s="171"/>
      <c r="BQ154" s="171"/>
      <c r="BR154" s="171"/>
      <c r="BS154" s="171"/>
      <c r="BT154" s="171"/>
      <c r="BU154" s="171"/>
      <c r="BV154" s="171"/>
      <c r="BW154" s="171"/>
      <c r="BX154" s="171"/>
      <c r="BY154" s="171"/>
      <c r="BZ154" s="171"/>
      <c r="CA154" s="171"/>
      <c r="CB154" s="171"/>
      <c r="CC154" s="171"/>
      <c r="CD154" s="171"/>
      <c r="CE154" s="171"/>
      <c r="CF154" s="171"/>
      <c r="CG154" s="171"/>
      <c r="CH154" s="171"/>
      <c r="CI154" s="171"/>
      <c r="CJ154" s="171"/>
      <c r="CK154" s="171"/>
      <c r="CL154" s="171"/>
      <c r="CM154" s="171"/>
      <c r="CN154" s="171"/>
      <c r="CO154" s="171"/>
      <c r="CP154" s="171"/>
      <c r="CQ154" s="171"/>
      <c r="CR154" s="171"/>
      <c r="CS154" s="171"/>
      <c r="CT154" s="171"/>
      <c r="CU154" s="171"/>
      <c r="CV154" s="171"/>
      <c r="CW154" s="69"/>
      <c r="CX154" s="171"/>
    </row>
    <row r="155" spans="45:102" x14ac:dyDescent="0.25">
      <c r="AS155" s="169"/>
      <c r="AT155" s="171"/>
      <c r="AU155" s="171"/>
      <c r="AV155" s="171"/>
      <c r="AW155" s="171"/>
      <c r="AX155" s="171"/>
      <c r="AY155" s="171"/>
      <c r="AZ155" s="171"/>
      <c r="BA155" s="171"/>
      <c r="BB155" s="171"/>
      <c r="BC155" s="171"/>
      <c r="BD155" s="171"/>
      <c r="BE155" s="171"/>
      <c r="BF155" s="171"/>
      <c r="BG155" s="171"/>
      <c r="BH155" s="171"/>
      <c r="BI155" s="171"/>
      <c r="BJ155" s="171"/>
      <c r="BK155" s="171"/>
      <c r="BL155" s="171"/>
      <c r="BM155" s="171"/>
      <c r="BN155" s="171"/>
      <c r="BO155" s="171"/>
      <c r="BP155" s="171"/>
      <c r="BQ155" s="171"/>
      <c r="BR155" s="171"/>
      <c r="BS155" s="171"/>
      <c r="BT155" s="171"/>
      <c r="BU155" s="171"/>
      <c r="BV155" s="171"/>
      <c r="BW155" s="171"/>
      <c r="BX155" s="171"/>
      <c r="BY155" s="171"/>
      <c r="BZ155" s="171"/>
      <c r="CA155" s="171"/>
      <c r="CB155" s="171"/>
      <c r="CC155" s="171"/>
      <c r="CD155" s="171"/>
      <c r="CE155" s="171"/>
      <c r="CF155" s="171"/>
      <c r="CG155" s="171"/>
      <c r="CH155" s="171"/>
      <c r="CI155" s="171"/>
      <c r="CJ155" s="171"/>
      <c r="CK155" s="171"/>
      <c r="CL155" s="171"/>
      <c r="CM155" s="171"/>
      <c r="CN155" s="171"/>
      <c r="CO155" s="171"/>
      <c r="CP155" s="171"/>
      <c r="CQ155" s="171"/>
      <c r="CR155" s="171"/>
      <c r="CS155" s="171"/>
      <c r="CT155" s="171"/>
      <c r="CU155" s="171"/>
      <c r="CV155" s="171"/>
      <c r="CW155" s="69"/>
      <c r="CX155" s="171"/>
    </row>
    <row r="156" spans="45:102" x14ac:dyDescent="0.25">
      <c r="AS156" s="169"/>
      <c r="AT156" s="171"/>
      <c r="AU156" s="171"/>
      <c r="AV156" s="171"/>
      <c r="AW156" s="171"/>
      <c r="AX156" s="171"/>
      <c r="AY156" s="171"/>
      <c r="AZ156" s="171"/>
      <c r="BA156" s="171"/>
      <c r="BB156" s="171"/>
      <c r="BC156" s="171"/>
      <c r="BD156" s="171"/>
      <c r="BE156" s="171"/>
      <c r="BF156" s="171"/>
      <c r="BG156" s="171"/>
      <c r="BH156" s="171"/>
      <c r="BI156" s="171"/>
      <c r="BJ156" s="171"/>
      <c r="BK156" s="171"/>
      <c r="BL156" s="171"/>
      <c r="BM156" s="171"/>
      <c r="BN156" s="171"/>
      <c r="BO156" s="171"/>
      <c r="BP156" s="171"/>
      <c r="BQ156" s="171"/>
      <c r="BR156" s="171"/>
      <c r="BS156" s="171"/>
      <c r="BT156" s="171"/>
      <c r="BU156" s="171"/>
      <c r="BV156" s="171"/>
      <c r="BW156" s="171"/>
      <c r="BX156" s="171"/>
      <c r="BY156" s="171"/>
      <c r="BZ156" s="171"/>
      <c r="CA156" s="171"/>
      <c r="CB156" s="171"/>
      <c r="CC156" s="171"/>
      <c r="CD156" s="171"/>
      <c r="CE156" s="171"/>
      <c r="CF156" s="171"/>
      <c r="CG156" s="171"/>
      <c r="CH156" s="171"/>
      <c r="CI156" s="171"/>
      <c r="CJ156" s="171"/>
      <c r="CK156" s="171"/>
      <c r="CL156" s="171"/>
      <c r="CM156" s="171"/>
      <c r="CN156" s="171"/>
      <c r="CO156" s="171"/>
      <c r="CP156" s="171"/>
      <c r="CQ156" s="171"/>
      <c r="CR156" s="171"/>
      <c r="CS156" s="171"/>
      <c r="CT156" s="171"/>
      <c r="CU156" s="171"/>
      <c r="CV156" s="171"/>
      <c r="CW156" s="69"/>
      <c r="CX156" s="171"/>
    </row>
    <row r="157" spans="45:102" x14ac:dyDescent="0.25">
      <c r="AS157" s="169"/>
      <c r="AT157" s="171"/>
      <c r="AU157" s="171"/>
      <c r="AV157" s="171"/>
      <c r="AW157" s="171"/>
      <c r="AX157" s="171"/>
      <c r="AY157" s="171"/>
      <c r="AZ157" s="171"/>
      <c r="BA157" s="171"/>
      <c r="BB157" s="171"/>
      <c r="BC157" s="171"/>
      <c r="BD157" s="171"/>
      <c r="BE157" s="171"/>
      <c r="BF157" s="171"/>
      <c r="BG157" s="171"/>
      <c r="BH157" s="171"/>
      <c r="BI157" s="171"/>
      <c r="BJ157" s="171"/>
      <c r="BK157" s="171"/>
      <c r="BL157" s="171"/>
      <c r="BM157" s="171"/>
      <c r="BN157" s="171"/>
      <c r="BO157" s="171"/>
      <c r="BP157" s="171"/>
      <c r="BQ157" s="171"/>
      <c r="BR157" s="171"/>
      <c r="BS157" s="171"/>
      <c r="BT157" s="171"/>
      <c r="BU157" s="171"/>
      <c r="BV157" s="171"/>
      <c r="BW157" s="171"/>
      <c r="BX157" s="171"/>
      <c r="BY157" s="171"/>
      <c r="BZ157" s="171"/>
      <c r="CA157" s="171"/>
      <c r="CB157" s="171"/>
      <c r="CC157" s="171"/>
      <c r="CD157" s="171"/>
      <c r="CE157" s="171"/>
      <c r="CF157" s="171"/>
      <c r="CG157" s="171"/>
      <c r="CH157" s="171"/>
      <c r="CI157" s="171"/>
      <c r="CJ157" s="171"/>
      <c r="CK157" s="171"/>
      <c r="CL157" s="171"/>
      <c r="CM157" s="171"/>
      <c r="CN157" s="171"/>
      <c r="CO157" s="171"/>
      <c r="CP157" s="171"/>
      <c r="CQ157" s="171"/>
      <c r="CR157" s="171"/>
      <c r="CS157" s="171"/>
      <c r="CT157" s="171"/>
      <c r="CU157" s="171"/>
      <c r="CV157" s="171"/>
      <c r="CW157" s="69"/>
      <c r="CX157" s="171"/>
    </row>
    <row r="158" spans="45:102" x14ac:dyDescent="0.25">
      <c r="AS158" s="169"/>
      <c r="AT158" s="171"/>
      <c r="AU158" s="171"/>
      <c r="AV158" s="171"/>
      <c r="AW158" s="171"/>
      <c r="AX158" s="171"/>
      <c r="AY158" s="171"/>
      <c r="AZ158" s="171"/>
      <c r="BA158" s="171"/>
      <c r="BB158" s="171"/>
      <c r="BC158" s="171"/>
      <c r="BD158" s="171"/>
      <c r="BE158" s="171"/>
      <c r="BF158" s="171"/>
      <c r="BG158" s="171"/>
      <c r="BH158" s="171"/>
      <c r="BI158" s="171"/>
      <c r="BJ158" s="171"/>
      <c r="BK158" s="171"/>
      <c r="BL158" s="171"/>
      <c r="BM158" s="171"/>
      <c r="BN158" s="171"/>
      <c r="BO158" s="171"/>
      <c r="BP158" s="171"/>
      <c r="BQ158" s="171"/>
      <c r="BR158" s="171"/>
      <c r="BS158" s="171"/>
      <c r="BT158" s="171"/>
      <c r="BU158" s="171"/>
      <c r="BV158" s="171"/>
      <c r="BW158" s="171"/>
      <c r="BX158" s="171"/>
      <c r="BY158" s="171"/>
      <c r="BZ158" s="171"/>
      <c r="CA158" s="171"/>
      <c r="CB158" s="171"/>
      <c r="CC158" s="171"/>
      <c r="CD158" s="171"/>
      <c r="CE158" s="171"/>
      <c r="CF158" s="171"/>
      <c r="CG158" s="171"/>
      <c r="CH158" s="171"/>
      <c r="CI158" s="171"/>
      <c r="CJ158" s="171"/>
      <c r="CK158" s="171"/>
      <c r="CL158" s="171"/>
      <c r="CM158" s="171"/>
      <c r="CN158" s="171"/>
      <c r="CO158" s="171"/>
      <c r="CP158" s="171"/>
      <c r="CQ158" s="171"/>
      <c r="CR158" s="171"/>
      <c r="CS158" s="171"/>
      <c r="CT158" s="171"/>
      <c r="CU158" s="171"/>
      <c r="CV158" s="171"/>
      <c r="CW158" s="69"/>
      <c r="CX158" s="171"/>
    </row>
    <row r="159" spans="45:102" x14ac:dyDescent="0.25">
      <c r="AS159" s="169"/>
      <c r="AT159" s="171"/>
      <c r="AU159" s="171"/>
      <c r="AV159" s="171"/>
      <c r="AW159" s="171"/>
      <c r="AX159" s="171"/>
      <c r="AY159" s="171"/>
      <c r="AZ159" s="171"/>
      <c r="BA159" s="171"/>
      <c r="BB159" s="171"/>
      <c r="BC159" s="171"/>
      <c r="BD159" s="171"/>
      <c r="BE159" s="171"/>
      <c r="BF159" s="171"/>
      <c r="BG159" s="171"/>
      <c r="BH159" s="171"/>
      <c r="BI159" s="171"/>
      <c r="BJ159" s="171"/>
      <c r="BK159" s="171"/>
      <c r="BL159" s="171"/>
      <c r="BM159" s="171"/>
      <c r="BN159" s="171"/>
      <c r="BO159" s="171"/>
      <c r="BP159" s="171"/>
      <c r="BQ159" s="171"/>
      <c r="BR159" s="171"/>
      <c r="BS159" s="171"/>
      <c r="BT159" s="171"/>
      <c r="BU159" s="171"/>
      <c r="BV159" s="171"/>
      <c r="BW159" s="171"/>
      <c r="BX159" s="171"/>
      <c r="BY159" s="171"/>
      <c r="BZ159" s="171"/>
      <c r="CA159" s="171"/>
      <c r="CB159" s="171"/>
      <c r="CC159" s="171"/>
      <c r="CD159" s="171"/>
      <c r="CE159" s="171"/>
      <c r="CF159" s="171"/>
      <c r="CG159" s="171"/>
      <c r="CH159" s="171"/>
      <c r="CI159" s="171"/>
      <c r="CJ159" s="171"/>
      <c r="CK159" s="171"/>
      <c r="CL159" s="171"/>
      <c r="CM159" s="171"/>
      <c r="CN159" s="171"/>
      <c r="CO159" s="171"/>
      <c r="CP159" s="171"/>
      <c r="CQ159" s="171"/>
      <c r="CR159" s="171"/>
      <c r="CS159" s="171"/>
      <c r="CT159" s="171"/>
      <c r="CU159" s="171"/>
      <c r="CV159" s="171"/>
      <c r="CW159" s="69"/>
      <c r="CX159" s="171"/>
    </row>
    <row r="160" spans="45:102" x14ac:dyDescent="0.25">
      <c r="AS160" s="169"/>
      <c r="AT160" s="171"/>
      <c r="AU160" s="171"/>
      <c r="AV160" s="171"/>
      <c r="AW160" s="171"/>
      <c r="AX160" s="171"/>
      <c r="AY160" s="171"/>
      <c r="AZ160" s="171"/>
      <c r="BA160" s="171"/>
      <c r="BB160" s="171"/>
      <c r="BC160" s="171"/>
      <c r="BD160" s="171"/>
      <c r="BE160" s="171"/>
      <c r="BF160" s="171"/>
      <c r="BG160" s="171"/>
      <c r="BH160" s="171"/>
      <c r="BI160" s="171"/>
      <c r="BJ160" s="171"/>
      <c r="BK160" s="171"/>
      <c r="BL160" s="171"/>
      <c r="BM160" s="171"/>
      <c r="BN160" s="171"/>
      <c r="BO160" s="171"/>
      <c r="BP160" s="171"/>
      <c r="BQ160" s="171"/>
      <c r="BR160" s="171"/>
      <c r="BS160" s="171"/>
      <c r="BT160" s="171"/>
      <c r="BU160" s="171"/>
      <c r="BV160" s="171"/>
      <c r="BW160" s="171"/>
      <c r="BX160" s="171"/>
      <c r="BY160" s="171"/>
      <c r="BZ160" s="171"/>
      <c r="CA160" s="171"/>
      <c r="CB160" s="171"/>
      <c r="CC160" s="171"/>
      <c r="CD160" s="171"/>
      <c r="CE160" s="171"/>
      <c r="CF160" s="171"/>
      <c r="CG160" s="171"/>
      <c r="CH160" s="171"/>
      <c r="CI160" s="171"/>
      <c r="CJ160" s="171"/>
      <c r="CK160" s="171"/>
      <c r="CL160" s="171"/>
      <c r="CM160" s="171"/>
      <c r="CN160" s="171"/>
      <c r="CO160" s="171"/>
      <c r="CP160" s="171"/>
      <c r="CQ160" s="171"/>
      <c r="CR160" s="171"/>
      <c r="CS160" s="171"/>
      <c r="CT160" s="171"/>
      <c r="CU160" s="171"/>
      <c r="CV160" s="171"/>
      <c r="CW160" s="69"/>
      <c r="CX160" s="171"/>
    </row>
    <row r="161" spans="45:102" x14ac:dyDescent="0.25">
      <c r="AS161" s="169"/>
      <c r="AT161" s="171"/>
      <c r="AU161" s="171"/>
      <c r="AV161" s="171"/>
      <c r="AW161" s="171"/>
      <c r="AX161" s="171"/>
      <c r="AY161" s="171"/>
      <c r="AZ161" s="171"/>
      <c r="BA161" s="171"/>
      <c r="BB161" s="171"/>
      <c r="BC161" s="171"/>
      <c r="BD161" s="171"/>
      <c r="BE161" s="171"/>
      <c r="BF161" s="171"/>
      <c r="BG161" s="171"/>
      <c r="BH161" s="171"/>
      <c r="BI161" s="171"/>
      <c r="BJ161" s="171"/>
      <c r="BK161" s="171"/>
      <c r="BL161" s="171"/>
      <c r="BM161" s="171"/>
      <c r="BN161" s="171"/>
      <c r="BO161" s="171"/>
      <c r="BP161" s="171"/>
      <c r="BQ161" s="171"/>
      <c r="BR161" s="171"/>
      <c r="BS161" s="171"/>
      <c r="BT161" s="171"/>
      <c r="BU161" s="171"/>
      <c r="BV161" s="171"/>
      <c r="BW161" s="171"/>
      <c r="BX161" s="171"/>
      <c r="BY161" s="171"/>
      <c r="BZ161" s="171"/>
      <c r="CA161" s="171"/>
      <c r="CB161" s="171"/>
      <c r="CC161" s="171"/>
      <c r="CD161" s="171"/>
      <c r="CE161" s="171"/>
      <c r="CF161" s="171"/>
      <c r="CG161" s="171"/>
      <c r="CH161" s="171"/>
      <c r="CI161" s="171"/>
      <c r="CJ161" s="171"/>
      <c r="CK161" s="171"/>
      <c r="CL161" s="171"/>
      <c r="CM161" s="171"/>
      <c r="CN161" s="171"/>
      <c r="CO161" s="171"/>
      <c r="CP161" s="171"/>
      <c r="CQ161" s="171"/>
      <c r="CR161" s="171"/>
      <c r="CS161" s="171"/>
      <c r="CT161" s="171"/>
      <c r="CU161" s="171"/>
      <c r="CV161" s="171"/>
      <c r="CW161" s="69"/>
      <c r="CX161" s="171"/>
    </row>
    <row r="162" spans="45:102" x14ac:dyDescent="0.25">
      <c r="AS162" s="169"/>
      <c r="AT162" s="171"/>
      <c r="AU162" s="171"/>
      <c r="AV162" s="171"/>
      <c r="AW162" s="171"/>
      <c r="AX162" s="171"/>
      <c r="AY162" s="171"/>
      <c r="AZ162" s="171"/>
      <c r="BA162" s="171"/>
      <c r="BB162" s="171"/>
      <c r="BC162" s="171"/>
      <c r="BD162" s="171"/>
      <c r="BE162" s="171"/>
      <c r="BF162" s="171"/>
      <c r="BG162" s="171"/>
      <c r="BH162" s="171"/>
      <c r="BI162" s="171"/>
      <c r="BJ162" s="171"/>
      <c r="BK162" s="171"/>
      <c r="BL162" s="171"/>
      <c r="BM162" s="171"/>
      <c r="BN162" s="171"/>
      <c r="BO162" s="171"/>
      <c r="BP162" s="171"/>
      <c r="BQ162" s="171"/>
      <c r="BR162" s="171"/>
      <c r="BS162" s="171"/>
      <c r="BT162" s="171"/>
      <c r="BU162" s="171"/>
      <c r="BV162" s="171"/>
      <c r="BW162" s="171"/>
      <c r="BX162" s="171"/>
      <c r="BY162" s="171"/>
      <c r="BZ162" s="171"/>
      <c r="CA162" s="171"/>
      <c r="CB162" s="171"/>
      <c r="CC162" s="171"/>
      <c r="CD162" s="171"/>
      <c r="CE162" s="171"/>
      <c r="CF162" s="171"/>
      <c r="CG162" s="171"/>
      <c r="CH162" s="171"/>
      <c r="CI162" s="171"/>
      <c r="CJ162" s="171"/>
      <c r="CK162" s="171"/>
      <c r="CL162" s="171"/>
      <c r="CM162" s="171"/>
      <c r="CN162" s="171"/>
      <c r="CO162" s="171"/>
      <c r="CP162" s="171"/>
      <c r="CQ162" s="171"/>
      <c r="CR162" s="171"/>
      <c r="CS162" s="171"/>
      <c r="CT162" s="171"/>
      <c r="CU162" s="171"/>
      <c r="CV162" s="171"/>
      <c r="CW162" s="69"/>
      <c r="CX162" s="171"/>
    </row>
    <row r="163" spans="45:102" x14ac:dyDescent="0.25">
      <c r="AS163" s="169"/>
      <c r="AT163" s="171"/>
      <c r="AU163" s="171"/>
      <c r="AV163" s="171"/>
      <c r="AW163" s="171"/>
      <c r="AX163" s="171"/>
      <c r="AY163" s="171"/>
      <c r="AZ163" s="171"/>
      <c r="BA163" s="171"/>
      <c r="BB163" s="171"/>
      <c r="BC163" s="171"/>
      <c r="BD163" s="171"/>
      <c r="BE163" s="171"/>
      <c r="BF163" s="171"/>
      <c r="BG163" s="171"/>
      <c r="BH163" s="171"/>
      <c r="BI163" s="171"/>
      <c r="BJ163" s="171"/>
      <c r="BK163" s="171"/>
      <c r="BL163" s="171"/>
      <c r="BM163" s="171"/>
      <c r="BN163" s="171"/>
      <c r="BO163" s="171"/>
      <c r="BP163" s="171"/>
      <c r="BQ163" s="171"/>
      <c r="BR163" s="171"/>
      <c r="BS163" s="171"/>
      <c r="BT163" s="171"/>
      <c r="BU163" s="171"/>
      <c r="BV163" s="171"/>
      <c r="BW163" s="171"/>
      <c r="BX163" s="171"/>
      <c r="BY163" s="171"/>
      <c r="BZ163" s="171"/>
      <c r="CA163" s="171"/>
      <c r="CB163" s="171"/>
      <c r="CC163" s="171"/>
      <c r="CD163" s="171"/>
      <c r="CE163" s="171"/>
      <c r="CF163" s="171"/>
      <c r="CG163" s="171"/>
      <c r="CH163" s="171"/>
      <c r="CI163" s="171"/>
      <c r="CJ163" s="171"/>
      <c r="CK163" s="171"/>
      <c r="CL163" s="171"/>
      <c r="CM163" s="171"/>
      <c r="CN163" s="171"/>
      <c r="CO163" s="171"/>
      <c r="CP163" s="171"/>
      <c r="CQ163" s="171"/>
      <c r="CR163" s="171"/>
      <c r="CS163" s="171"/>
      <c r="CT163" s="171"/>
      <c r="CU163" s="171"/>
      <c r="CV163" s="171"/>
      <c r="CW163" s="69"/>
      <c r="CX163" s="171"/>
    </row>
    <row r="164" spans="45:102" x14ac:dyDescent="0.25">
      <c r="AS164" s="169"/>
      <c r="AT164" s="171"/>
      <c r="AU164" s="171"/>
      <c r="AV164" s="171"/>
      <c r="AW164" s="171"/>
      <c r="AX164" s="171"/>
      <c r="AY164" s="171"/>
      <c r="AZ164" s="171"/>
      <c r="BA164" s="171"/>
      <c r="BB164" s="171"/>
      <c r="BC164" s="171"/>
      <c r="BD164" s="171"/>
      <c r="BE164" s="171"/>
      <c r="BF164" s="171"/>
      <c r="BG164" s="171"/>
      <c r="BH164" s="171"/>
      <c r="BI164" s="171"/>
      <c r="BJ164" s="171"/>
      <c r="BK164" s="171"/>
      <c r="BL164" s="171"/>
      <c r="BM164" s="171"/>
      <c r="BN164" s="171"/>
      <c r="BO164" s="171"/>
      <c r="BP164" s="171"/>
      <c r="BQ164" s="171"/>
      <c r="BR164" s="171"/>
      <c r="BS164" s="171"/>
      <c r="BT164" s="171"/>
      <c r="BU164" s="171"/>
      <c r="BV164" s="171"/>
      <c r="BW164" s="171"/>
      <c r="BX164" s="171"/>
      <c r="BY164" s="171"/>
      <c r="BZ164" s="171"/>
      <c r="CA164" s="171"/>
      <c r="CB164" s="171"/>
      <c r="CC164" s="171"/>
      <c r="CD164" s="171"/>
      <c r="CE164" s="171"/>
      <c r="CF164" s="171"/>
      <c r="CG164" s="171"/>
      <c r="CH164" s="171"/>
      <c r="CI164" s="171"/>
      <c r="CJ164" s="171"/>
      <c r="CK164" s="171"/>
      <c r="CL164" s="171"/>
      <c r="CM164" s="171"/>
      <c r="CN164" s="171"/>
      <c r="CO164" s="171"/>
      <c r="CP164" s="171"/>
      <c r="CQ164" s="171"/>
      <c r="CR164" s="171"/>
      <c r="CS164" s="171"/>
      <c r="CT164" s="171"/>
      <c r="CU164" s="171"/>
      <c r="CV164" s="171"/>
      <c r="CW164" s="69"/>
      <c r="CX164" s="171"/>
    </row>
    <row r="165" spans="45:102" x14ac:dyDescent="0.25">
      <c r="AS165" s="169"/>
      <c r="AT165" s="171"/>
      <c r="AU165" s="171"/>
      <c r="AV165" s="171"/>
      <c r="AW165" s="171"/>
      <c r="AX165" s="171"/>
      <c r="AY165" s="171"/>
      <c r="AZ165" s="171"/>
      <c r="BA165" s="171"/>
      <c r="BB165" s="171"/>
      <c r="BC165" s="171"/>
      <c r="BD165" s="171"/>
      <c r="BE165" s="171"/>
      <c r="BF165" s="171"/>
      <c r="BG165" s="171"/>
      <c r="BH165" s="171"/>
      <c r="BI165" s="171"/>
      <c r="BJ165" s="171"/>
      <c r="BK165" s="171"/>
      <c r="BL165" s="171"/>
      <c r="BM165" s="171"/>
      <c r="BN165" s="171"/>
      <c r="BO165" s="171"/>
      <c r="BP165" s="171"/>
      <c r="BQ165" s="171"/>
      <c r="BR165" s="171"/>
      <c r="BS165" s="171"/>
      <c r="BT165" s="171"/>
      <c r="BU165" s="171"/>
      <c r="BV165" s="171"/>
      <c r="BW165" s="171"/>
      <c r="BX165" s="171"/>
      <c r="BY165" s="171"/>
      <c r="BZ165" s="171"/>
      <c r="CA165" s="171"/>
      <c r="CB165" s="171"/>
      <c r="CC165" s="171"/>
      <c r="CD165" s="171"/>
      <c r="CE165" s="171"/>
      <c r="CF165" s="171"/>
      <c r="CG165" s="171"/>
      <c r="CH165" s="171"/>
      <c r="CI165" s="171"/>
      <c r="CJ165" s="171"/>
      <c r="CK165" s="171"/>
      <c r="CL165" s="171"/>
      <c r="CM165" s="171"/>
      <c r="CN165" s="171"/>
      <c r="CO165" s="171"/>
      <c r="CP165" s="171"/>
      <c r="CQ165" s="171"/>
      <c r="CR165" s="171"/>
      <c r="CS165" s="171"/>
      <c r="CT165" s="171"/>
      <c r="CU165" s="171"/>
      <c r="CV165" s="171"/>
      <c r="CW165" s="69"/>
      <c r="CX165" s="171"/>
    </row>
    <row r="166" spans="45:102" x14ac:dyDescent="0.25">
      <c r="AS166" s="169"/>
      <c r="AT166" s="171"/>
      <c r="AU166" s="171"/>
      <c r="AV166" s="171"/>
      <c r="AW166" s="171"/>
      <c r="AX166" s="171"/>
      <c r="AY166" s="171"/>
      <c r="AZ166" s="171"/>
      <c r="BA166" s="171"/>
      <c r="BB166" s="171"/>
      <c r="BC166" s="171"/>
      <c r="BD166" s="171"/>
      <c r="BE166" s="171"/>
      <c r="BF166" s="171"/>
      <c r="BG166" s="171"/>
      <c r="BH166" s="171"/>
      <c r="BI166" s="171"/>
      <c r="BJ166" s="171"/>
      <c r="BK166" s="171"/>
      <c r="BL166" s="171"/>
      <c r="BM166" s="171"/>
      <c r="BN166" s="171"/>
      <c r="BO166" s="171"/>
      <c r="BP166" s="171"/>
      <c r="BQ166" s="171"/>
      <c r="BR166" s="171"/>
      <c r="BS166" s="171"/>
      <c r="BT166" s="171"/>
      <c r="BU166" s="171"/>
      <c r="BV166" s="171"/>
      <c r="BW166" s="171"/>
      <c r="BX166" s="171"/>
      <c r="BY166" s="171"/>
      <c r="BZ166" s="171"/>
      <c r="CA166" s="171"/>
      <c r="CB166" s="171"/>
      <c r="CC166" s="171"/>
      <c r="CD166" s="171"/>
      <c r="CE166" s="171"/>
      <c r="CF166" s="171"/>
      <c r="CG166" s="171"/>
      <c r="CH166" s="171"/>
      <c r="CI166" s="171"/>
      <c r="CJ166" s="171"/>
      <c r="CK166" s="171"/>
      <c r="CL166" s="171"/>
      <c r="CM166" s="171"/>
      <c r="CN166" s="171"/>
      <c r="CO166" s="171"/>
      <c r="CP166" s="171"/>
      <c r="CQ166" s="171"/>
      <c r="CR166" s="171"/>
      <c r="CS166" s="171"/>
      <c r="CT166" s="171"/>
      <c r="CU166" s="171"/>
      <c r="CV166" s="171"/>
      <c r="CW166" s="69"/>
      <c r="CX166" s="171"/>
    </row>
    <row r="167" spans="45:102" x14ac:dyDescent="0.25">
      <c r="AS167" s="169"/>
      <c r="AT167" s="171"/>
      <c r="AU167" s="171"/>
      <c r="AV167" s="171"/>
      <c r="AW167" s="171"/>
      <c r="AX167" s="171"/>
      <c r="AY167" s="171"/>
      <c r="AZ167" s="171"/>
      <c r="BA167" s="171"/>
      <c r="BB167" s="171"/>
      <c r="BC167" s="171"/>
      <c r="BD167" s="171"/>
      <c r="BE167" s="171"/>
      <c r="BF167" s="171"/>
      <c r="BG167" s="171"/>
      <c r="BH167" s="171"/>
      <c r="BI167" s="171"/>
      <c r="BJ167" s="171"/>
      <c r="BK167" s="171"/>
      <c r="BL167" s="171"/>
      <c r="BM167" s="171"/>
      <c r="BN167" s="171"/>
      <c r="BO167" s="171"/>
      <c r="BP167" s="171"/>
      <c r="BQ167" s="171"/>
      <c r="BR167" s="171"/>
      <c r="BS167" s="171"/>
      <c r="BT167" s="171"/>
      <c r="BU167" s="171"/>
      <c r="BV167" s="171"/>
      <c r="BW167" s="171"/>
      <c r="BX167" s="171"/>
      <c r="BY167" s="171"/>
      <c r="BZ167" s="171"/>
      <c r="CA167" s="171"/>
      <c r="CB167" s="171"/>
      <c r="CC167" s="171"/>
      <c r="CD167" s="171"/>
      <c r="CE167" s="171"/>
      <c r="CF167" s="171"/>
      <c r="CG167" s="171"/>
      <c r="CH167" s="171"/>
      <c r="CI167" s="171"/>
      <c r="CJ167" s="171"/>
      <c r="CK167" s="171"/>
      <c r="CL167" s="171"/>
      <c r="CM167" s="171"/>
      <c r="CN167" s="171"/>
      <c r="CO167" s="171"/>
      <c r="CP167" s="171"/>
      <c r="CQ167" s="171"/>
      <c r="CR167" s="171"/>
      <c r="CS167" s="171"/>
      <c r="CT167" s="171"/>
      <c r="CU167" s="171"/>
      <c r="CV167" s="171"/>
      <c r="CW167" s="69"/>
      <c r="CX167" s="171"/>
    </row>
    <row r="168" spans="45:102" x14ac:dyDescent="0.25">
      <c r="AS168" s="169"/>
      <c r="AT168" s="171"/>
      <c r="AU168" s="171"/>
      <c r="AV168" s="171"/>
      <c r="AW168" s="171"/>
      <c r="AX168" s="171"/>
      <c r="AY168" s="171"/>
      <c r="AZ168" s="171"/>
      <c r="BA168" s="171"/>
      <c r="BB168" s="171"/>
      <c r="BC168" s="171"/>
      <c r="BD168" s="171"/>
      <c r="BE168" s="171"/>
      <c r="BF168" s="171"/>
      <c r="BG168" s="171"/>
      <c r="BH168" s="171"/>
      <c r="BI168" s="171"/>
      <c r="BJ168" s="171"/>
      <c r="BK168" s="171"/>
      <c r="BL168" s="171"/>
      <c r="BM168" s="171"/>
      <c r="BN168" s="171"/>
      <c r="BO168" s="171"/>
      <c r="BP168" s="171"/>
      <c r="BQ168" s="171"/>
      <c r="BR168" s="171"/>
      <c r="BS168" s="171"/>
      <c r="BT168" s="171"/>
      <c r="BU168" s="171"/>
      <c r="BV168" s="171"/>
      <c r="BW168" s="171"/>
      <c r="BX168" s="171"/>
      <c r="BY168" s="171"/>
      <c r="BZ168" s="171"/>
      <c r="CA168" s="171"/>
      <c r="CB168" s="171"/>
      <c r="CC168" s="171"/>
      <c r="CD168" s="171"/>
      <c r="CE168" s="171"/>
      <c r="CF168" s="171"/>
      <c r="CG168" s="171"/>
      <c r="CH168" s="171"/>
      <c r="CI168" s="171"/>
      <c r="CJ168" s="171"/>
      <c r="CK168" s="171"/>
      <c r="CL168" s="171"/>
      <c r="CM168" s="171"/>
      <c r="CN168" s="171"/>
      <c r="CO168" s="171"/>
      <c r="CP168" s="171"/>
      <c r="CQ168" s="171"/>
      <c r="CR168" s="171"/>
      <c r="CS168" s="171"/>
      <c r="CT168" s="171"/>
      <c r="CU168" s="171"/>
      <c r="CV168" s="171"/>
      <c r="CW168" s="69"/>
      <c r="CX168" s="171"/>
    </row>
    <row r="169" spans="45:102" x14ac:dyDescent="0.25">
      <c r="AS169" s="169"/>
      <c r="AT169" s="171"/>
      <c r="AU169" s="171"/>
      <c r="AV169" s="171"/>
      <c r="AW169" s="171"/>
      <c r="AX169" s="171"/>
      <c r="AY169" s="171"/>
      <c r="AZ169" s="171"/>
      <c r="BA169" s="171"/>
      <c r="BB169" s="171"/>
      <c r="BC169" s="171"/>
      <c r="BD169" s="171"/>
      <c r="BE169" s="171"/>
      <c r="BF169" s="171"/>
      <c r="BG169" s="171"/>
      <c r="BH169" s="171"/>
      <c r="BI169" s="171"/>
      <c r="BJ169" s="171"/>
      <c r="BK169" s="171"/>
      <c r="BL169" s="171"/>
      <c r="BM169" s="171"/>
      <c r="BN169" s="171"/>
      <c r="BO169" s="171"/>
      <c r="BP169" s="171"/>
      <c r="BQ169" s="171"/>
      <c r="BR169" s="171"/>
      <c r="BS169" s="171"/>
      <c r="BT169" s="171"/>
      <c r="BU169" s="171"/>
      <c r="BV169" s="171"/>
      <c r="BW169" s="171"/>
      <c r="BX169" s="171"/>
      <c r="BY169" s="171"/>
      <c r="BZ169" s="171"/>
      <c r="CA169" s="171"/>
      <c r="CB169" s="171"/>
      <c r="CC169" s="171"/>
      <c r="CD169" s="171"/>
      <c r="CE169" s="171"/>
      <c r="CF169" s="171"/>
      <c r="CG169" s="171"/>
      <c r="CH169" s="171"/>
      <c r="CI169" s="171"/>
      <c r="CJ169" s="171"/>
      <c r="CK169" s="171"/>
      <c r="CL169" s="171"/>
      <c r="CM169" s="171"/>
      <c r="CN169" s="171"/>
      <c r="CO169" s="171"/>
      <c r="CP169" s="171"/>
      <c r="CQ169" s="171"/>
      <c r="CR169" s="171"/>
      <c r="CS169" s="171"/>
      <c r="CT169" s="171"/>
      <c r="CU169" s="171"/>
      <c r="CV169" s="171"/>
      <c r="CW169" s="69"/>
      <c r="CX169" s="171"/>
    </row>
    <row r="170" spans="45:102" x14ac:dyDescent="0.25">
      <c r="AS170" s="169"/>
      <c r="AT170" s="171"/>
      <c r="AU170" s="171"/>
      <c r="AV170" s="171"/>
      <c r="AW170" s="171"/>
      <c r="AX170" s="171"/>
      <c r="AY170" s="171"/>
      <c r="AZ170" s="171"/>
      <c r="BA170" s="171"/>
      <c r="BB170" s="171"/>
      <c r="BC170" s="171"/>
      <c r="BD170" s="171"/>
      <c r="BE170" s="171"/>
      <c r="BF170" s="171"/>
      <c r="BG170" s="171"/>
      <c r="BH170" s="171"/>
      <c r="BI170" s="171"/>
      <c r="BJ170" s="171"/>
      <c r="BK170" s="171"/>
      <c r="BL170" s="171"/>
      <c r="BM170" s="171"/>
      <c r="BN170" s="171"/>
      <c r="BO170" s="171"/>
      <c r="BP170" s="171"/>
      <c r="BQ170" s="171"/>
      <c r="BR170" s="171"/>
      <c r="BS170" s="171"/>
      <c r="BT170" s="171"/>
      <c r="BU170" s="171"/>
      <c r="BV170" s="171"/>
      <c r="BW170" s="171"/>
      <c r="BX170" s="171"/>
      <c r="BY170" s="171"/>
      <c r="BZ170" s="171"/>
      <c r="CA170" s="171"/>
      <c r="CB170" s="171"/>
      <c r="CC170" s="171"/>
      <c r="CD170" s="171"/>
      <c r="CE170" s="171"/>
      <c r="CF170" s="171"/>
      <c r="CG170" s="171"/>
      <c r="CH170" s="171"/>
      <c r="CI170" s="171"/>
      <c r="CJ170" s="171"/>
      <c r="CK170" s="171"/>
      <c r="CL170" s="171"/>
      <c r="CM170" s="171"/>
      <c r="CN170" s="171"/>
      <c r="CO170" s="171"/>
      <c r="CP170" s="171"/>
      <c r="CQ170" s="171"/>
      <c r="CR170" s="171"/>
      <c r="CS170" s="171"/>
      <c r="CT170" s="171"/>
      <c r="CU170" s="171"/>
      <c r="CV170" s="171"/>
      <c r="CW170" s="69"/>
      <c r="CX170" s="171"/>
    </row>
    <row r="171" spans="45:102" x14ac:dyDescent="0.25">
      <c r="AS171" s="169"/>
      <c r="AT171" s="171"/>
      <c r="AU171" s="171"/>
      <c r="AV171" s="171"/>
      <c r="AW171" s="171"/>
      <c r="AX171" s="171"/>
      <c r="AY171" s="171"/>
      <c r="AZ171" s="171"/>
      <c r="BA171" s="171"/>
      <c r="BB171" s="171"/>
      <c r="BC171" s="171"/>
      <c r="BD171" s="171"/>
      <c r="BE171" s="171"/>
      <c r="BF171" s="171"/>
      <c r="BG171" s="171"/>
      <c r="BH171" s="171"/>
      <c r="BI171" s="171"/>
      <c r="BJ171" s="171"/>
      <c r="BK171" s="171"/>
      <c r="BL171" s="171"/>
      <c r="BM171" s="171"/>
      <c r="BN171" s="171"/>
      <c r="BO171" s="171"/>
      <c r="BP171" s="171"/>
      <c r="BQ171" s="171"/>
      <c r="BR171" s="171"/>
      <c r="BS171" s="171"/>
      <c r="BT171" s="171"/>
      <c r="BU171" s="171"/>
      <c r="BV171" s="171"/>
      <c r="BW171" s="171"/>
      <c r="BX171" s="171"/>
      <c r="BY171" s="171"/>
      <c r="BZ171" s="171"/>
      <c r="CA171" s="171"/>
      <c r="CB171" s="171"/>
      <c r="CC171" s="171"/>
      <c r="CD171" s="171"/>
      <c r="CE171" s="171"/>
      <c r="CF171" s="171"/>
      <c r="CG171" s="171"/>
      <c r="CH171" s="171"/>
      <c r="CI171" s="171"/>
      <c r="CJ171" s="171"/>
      <c r="CK171" s="171"/>
      <c r="CL171" s="171"/>
      <c r="CM171" s="171"/>
      <c r="CN171" s="171"/>
      <c r="CO171" s="171"/>
      <c r="CP171" s="171"/>
      <c r="CQ171" s="171"/>
      <c r="CR171" s="171"/>
      <c r="CS171" s="171"/>
      <c r="CT171" s="171"/>
      <c r="CU171" s="171"/>
      <c r="CV171" s="171"/>
      <c r="CW171" s="69"/>
      <c r="CX171" s="171"/>
    </row>
    <row r="172" spans="45:102" x14ac:dyDescent="0.25">
      <c r="AS172" s="169"/>
      <c r="AT172" s="171"/>
      <c r="AU172" s="171"/>
      <c r="AV172" s="171"/>
      <c r="AW172" s="171"/>
      <c r="AX172" s="171"/>
      <c r="AY172" s="171"/>
      <c r="AZ172" s="171"/>
      <c r="BA172" s="171"/>
      <c r="BB172" s="171"/>
      <c r="BC172" s="171"/>
      <c r="BD172" s="171"/>
      <c r="BE172" s="171"/>
      <c r="BF172" s="171"/>
      <c r="BG172" s="171"/>
      <c r="BH172" s="171"/>
      <c r="BI172" s="171"/>
      <c r="BJ172" s="171"/>
      <c r="BK172" s="171"/>
      <c r="BL172" s="171"/>
      <c r="BM172" s="171"/>
      <c r="BN172" s="171"/>
      <c r="BO172" s="171"/>
      <c r="BP172" s="171"/>
      <c r="BQ172" s="171"/>
      <c r="BR172" s="171"/>
      <c r="BS172" s="171"/>
      <c r="BT172" s="171"/>
      <c r="BU172" s="171"/>
      <c r="BV172" s="171"/>
      <c r="BW172" s="171"/>
      <c r="BX172" s="171"/>
      <c r="BY172" s="171"/>
      <c r="BZ172" s="171"/>
      <c r="CA172" s="171"/>
      <c r="CB172" s="171"/>
      <c r="CC172" s="171"/>
      <c r="CD172" s="171"/>
      <c r="CE172" s="171"/>
      <c r="CF172" s="171"/>
      <c r="CG172" s="171"/>
      <c r="CH172" s="171"/>
      <c r="CI172" s="171"/>
      <c r="CJ172" s="171"/>
      <c r="CK172" s="171"/>
      <c r="CL172" s="171"/>
      <c r="CM172" s="171"/>
      <c r="CN172" s="171"/>
      <c r="CO172" s="171"/>
      <c r="CP172" s="171"/>
      <c r="CQ172" s="171"/>
      <c r="CR172" s="171"/>
      <c r="CS172" s="171"/>
      <c r="CT172" s="171"/>
      <c r="CU172" s="171"/>
      <c r="CV172" s="171"/>
      <c r="CW172" s="69"/>
      <c r="CX172" s="171"/>
    </row>
    <row r="173" spans="45:102" x14ac:dyDescent="0.25">
      <c r="AS173" s="169"/>
      <c r="AT173" s="171"/>
      <c r="AU173" s="171"/>
      <c r="AV173" s="171"/>
      <c r="AW173" s="171"/>
      <c r="AX173" s="171"/>
      <c r="AY173" s="171"/>
      <c r="AZ173" s="171"/>
      <c r="BA173" s="171"/>
      <c r="BB173" s="171"/>
      <c r="BC173" s="171"/>
      <c r="BD173" s="171"/>
      <c r="BE173" s="171"/>
      <c r="BF173" s="171"/>
      <c r="BG173" s="171"/>
      <c r="BH173" s="171"/>
      <c r="BI173" s="171"/>
      <c r="BJ173" s="171"/>
      <c r="BK173" s="171"/>
      <c r="BL173" s="171"/>
      <c r="BM173" s="171"/>
      <c r="BN173" s="171"/>
      <c r="BO173" s="171"/>
      <c r="BP173" s="171"/>
      <c r="BQ173" s="171"/>
      <c r="BR173" s="171"/>
      <c r="BS173" s="171"/>
      <c r="BT173" s="171"/>
      <c r="BU173" s="171"/>
      <c r="BV173" s="171"/>
      <c r="BW173" s="171"/>
      <c r="BX173" s="171"/>
      <c r="BY173" s="171"/>
      <c r="BZ173" s="171"/>
      <c r="CA173" s="171"/>
      <c r="CB173" s="171"/>
      <c r="CC173" s="171"/>
      <c r="CD173" s="171"/>
      <c r="CE173" s="171"/>
      <c r="CF173" s="171"/>
      <c r="CG173" s="171"/>
      <c r="CH173" s="171"/>
      <c r="CI173" s="171"/>
      <c r="CJ173" s="171"/>
      <c r="CK173" s="171"/>
      <c r="CL173" s="171"/>
      <c r="CM173" s="171"/>
      <c r="CN173" s="171"/>
      <c r="CO173" s="171"/>
      <c r="CP173" s="171"/>
      <c r="CQ173" s="171"/>
      <c r="CR173" s="171"/>
      <c r="CS173" s="171"/>
      <c r="CT173" s="171"/>
      <c r="CU173" s="171"/>
      <c r="CV173" s="171"/>
      <c r="CW173" s="69"/>
      <c r="CX173" s="171"/>
    </row>
    <row r="174" spans="45:102" x14ac:dyDescent="0.25">
      <c r="AS174" s="168"/>
      <c r="AT174" s="171"/>
      <c r="AU174" s="171"/>
      <c r="AV174" s="171"/>
      <c r="AW174" s="171"/>
      <c r="AX174" s="171"/>
      <c r="AY174" s="171"/>
      <c r="AZ174" s="171"/>
      <c r="BA174" s="171"/>
      <c r="BB174" s="171"/>
      <c r="BC174" s="171"/>
      <c r="BD174" s="171"/>
      <c r="BE174" s="171"/>
      <c r="BF174" s="171"/>
      <c r="BG174" s="171"/>
      <c r="BH174" s="171"/>
      <c r="BI174" s="171"/>
      <c r="BJ174" s="171"/>
      <c r="BK174" s="171"/>
      <c r="BL174" s="171"/>
      <c r="BM174" s="171"/>
      <c r="BN174" s="171"/>
      <c r="BO174" s="171"/>
      <c r="BP174" s="171"/>
      <c r="BQ174" s="171"/>
      <c r="BR174" s="171"/>
      <c r="BS174" s="171"/>
      <c r="BT174" s="171"/>
      <c r="BU174" s="171"/>
      <c r="BV174" s="171"/>
      <c r="BW174" s="171"/>
      <c r="BX174" s="171"/>
      <c r="BY174" s="171"/>
      <c r="BZ174" s="171"/>
      <c r="CA174" s="171"/>
      <c r="CB174" s="171"/>
      <c r="CC174" s="171"/>
      <c r="CD174" s="171"/>
      <c r="CE174" s="171"/>
      <c r="CF174" s="171"/>
      <c r="CG174" s="171"/>
      <c r="CH174" s="171"/>
      <c r="CI174" s="171"/>
      <c r="CJ174" s="171"/>
      <c r="CK174" s="171"/>
      <c r="CL174" s="171"/>
      <c r="CM174" s="171"/>
      <c r="CN174" s="171"/>
      <c r="CO174" s="171"/>
      <c r="CP174" s="171"/>
      <c r="CQ174" s="171"/>
      <c r="CR174" s="171"/>
      <c r="CS174" s="171"/>
      <c r="CT174" s="171"/>
      <c r="CU174" s="171"/>
      <c r="CV174" s="171"/>
      <c r="CW174" s="69"/>
      <c r="CX174" s="171"/>
    </row>
    <row r="175" spans="45:102" x14ac:dyDescent="0.25">
      <c r="AS175" s="169"/>
      <c r="AT175" s="171"/>
      <c r="AU175" s="171"/>
      <c r="AV175" s="171"/>
      <c r="AW175" s="171"/>
      <c r="AX175" s="171"/>
      <c r="AY175" s="171"/>
      <c r="AZ175" s="171"/>
      <c r="BA175" s="171"/>
      <c r="BB175" s="171"/>
      <c r="BC175" s="171"/>
      <c r="BD175" s="171"/>
      <c r="BE175" s="171"/>
      <c r="BF175" s="171"/>
      <c r="BG175" s="171"/>
      <c r="BH175" s="171"/>
      <c r="BI175" s="171"/>
      <c r="BJ175" s="171"/>
      <c r="BK175" s="171"/>
      <c r="BL175" s="171"/>
      <c r="BM175" s="171"/>
      <c r="BN175" s="171"/>
      <c r="BO175" s="171"/>
      <c r="BP175" s="171"/>
      <c r="BQ175" s="171"/>
      <c r="BR175" s="171"/>
      <c r="BS175" s="171"/>
      <c r="BT175" s="171"/>
      <c r="BU175" s="171"/>
      <c r="BV175" s="171"/>
      <c r="BW175" s="171"/>
      <c r="BX175" s="171"/>
      <c r="BY175" s="171"/>
      <c r="BZ175" s="171"/>
      <c r="CA175" s="171"/>
      <c r="CB175" s="171"/>
      <c r="CC175" s="171"/>
      <c r="CD175" s="171"/>
      <c r="CE175" s="171"/>
      <c r="CF175" s="171"/>
      <c r="CG175" s="171"/>
      <c r="CH175" s="171"/>
      <c r="CI175" s="171"/>
      <c r="CJ175" s="171"/>
      <c r="CK175" s="171"/>
      <c r="CL175" s="171"/>
      <c r="CM175" s="171"/>
      <c r="CN175" s="171"/>
      <c r="CO175" s="171"/>
      <c r="CP175" s="171"/>
      <c r="CQ175" s="171"/>
      <c r="CR175" s="171"/>
      <c r="CS175" s="171"/>
      <c r="CT175" s="171"/>
      <c r="CU175" s="171"/>
      <c r="CV175" s="171"/>
      <c r="CW175" s="69"/>
      <c r="CX175" s="171"/>
    </row>
    <row r="176" spans="45:102" x14ac:dyDescent="0.25">
      <c r="AS176" s="169"/>
      <c r="AT176" s="171"/>
      <c r="AU176" s="171"/>
      <c r="AV176" s="171"/>
      <c r="AW176" s="171"/>
      <c r="AX176" s="171"/>
      <c r="AY176" s="171"/>
      <c r="AZ176" s="171"/>
      <c r="BA176" s="171"/>
      <c r="BB176" s="171"/>
      <c r="BC176" s="171"/>
      <c r="BD176" s="171"/>
      <c r="BE176" s="171"/>
      <c r="BF176" s="171"/>
      <c r="BG176" s="171"/>
      <c r="BH176" s="171"/>
      <c r="BI176" s="171"/>
      <c r="BJ176" s="171"/>
      <c r="BK176" s="171"/>
      <c r="BL176" s="171"/>
      <c r="BM176" s="171"/>
      <c r="BN176" s="171"/>
      <c r="BO176" s="171"/>
      <c r="BP176" s="171"/>
      <c r="BQ176" s="171"/>
      <c r="BR176" s="171"/>
      <c r="BS176" s="171"/>
      <c r="BT176" s="171"/>
      <c r="BU176" s="171"/>
      <c r="BV176" s="171"/>
      <c r="BW176" s="171"/>
      <c r="BX176" s="171"/>
      <c r="BY176" s="171"/>
      <c r="BZ176" s="171"/>
      <c r="CA176" s="171"/>
      <c r="CB176" s="171"/>
      <c r="CC176" s="171"/>
      <c r="CD176" s="171"/>
      <c r="CE176" s="171"/>
      <c r="CF176" s="171"/>
      <c r="CG176" s="171"/>
      <c r="CH176" s="171"/>
      <c r="CI176" s="171"/>
      <c r="CJ176" s="171"/>
      <c r="CK176" s="171"/>
      <c r="CL176" s="171"/>
      <c r="CM176" s="171"/>
      <c r="CN176" s="171"/>
      <c r="CO176" s="171"/>
      <c r="CP176" s="171"/>
      <c r="CQ176" s="171"/>
      <c r="CR176" s="171"/>
      <c r="CS176" s="171"/>
      <c r="CT176" s="171"/>
      <c r="CU176" s="171"/>
      <c r="CV176" s="171"/>
      <c r="CW176" s="69"/>
      <c r="CX176" s="171"/>
    </row>
    <row r="177" spans="45:102" x14ac:dyDescent="0.25">
      <c r="AS177" s="169"/>
      <c r="AT177" s="171"/>
      <c r="AU177" s="171"/>
      <c r="AV177" s="171"/>
      <c r="AW177" s="171"/>
      <c r="AX177" s="171"/>
      <c r="AY177" s="171"/>
      <c r="AZ177" s="171"/>
      <c r="BA177" s="171"/>
      <c r="BB177" s="171"/>
      <c r="BC177" s="171"/>
      <c r="BD177" s="171"/>
      <c r="BE177" s="171"/>
      <c r="BF177" s="171"/>
      <c r="BG177" s="171"/>
      <c r="BH177" s="171"/>
      <c r="BI177" s="171"/>
      <c r="BJ177" s="171"/>
      <c r="BK177" s="171"/>
      <c r="BL177" s="171"/>
      <c r="BM177" s="171"/>
      <c r="BN177" s="171"/>
      <c r="BO177" s="171"/>
      <c r="BP177" s="171"/>
      <c r="BQ177" s="171"/>
      <c r="BR177" s="171"/>
      <c r="BS177" s="171"/>
      <c r="BT177" s="171"/>
      <c r="BU177" s="171"/>
      <c r="BV177" s="171"/>
      <c r="BW177" s="171"/>
      <c r="BX177" s="171"/>
      <c r="BY177" s="171"/>
      <c r="BZ177" s="171"/>
      <c r="CA177" s="171"/>
      <c r="CB177" s="171"/>
      <c r="CC177" s="171"/>
      <c r="CD177" s="171"/>
      <c r="CE177" s="171"/>
      <c r="CF177" s="171"/>
      <c r="CG177" s="171"/>
      <c r="CH177" s="171"/>
      <c r="CI177" s="171"/>
      <c r="CJ177" s="171"/>
      <c r="CK177" s="171"/>
      <c r="CL177" s="171"/>
      <c r="CM177" s="171"/>
      <c r="CN177" s="171"/>
      <c r="CO177" s="171"/>
      <c r="CP177" s="171"/>
      <c r="CQ177" s="171"/>
      <c r="CR177" s="171"/>
      <c r="CS177" s="171"/>
      <c r="CT177" s="171"/>
      <c r="CU177" s="171"/>
      <c r="CV177" s="171"/>
      <c r="CW177" s="69"/>
      <c r="CX177" s="171"/>
    </row>
    <row r="178" spans="45:102" x14ac:dyDescent="0.25">
      <c r="AS178" s="169"/>
      <c r="AT178" s="171"/>
      <c r="AU178" s="171"/>
      <c r="AV178" s="171"/>
      <c r="AW178" s="171"/>
      <c r="AX178" s="171"/>
      <c r="AY178" s="171"/>
      <c r="AZ178" s="171"/>
      <c r="BA178" s="171"/>
      <c r="BB178" s="171"/>
      <c r="BC178" s="171"/>
      <c r="BD178" s="171"/>
      <c r="BE178" s="171"/>
      <c r="BF178" s="171"/>
      <c r="BG178" s="171"/>
      <c r="BH178" s="171"/>
      <c r="BI178" s="171"/>
      <c r="BJ178" s="171"/>
      <c r="BK178" s="171"/>
      <c r="BL178" s="171"/>
      <c r="BM178" s="171"/>
      <c r="BN178" s="171"/>
      <c r="BO178" s="171"/>
      <c r="BP178" s="171"/>
      <c r="BQ178" s="171"/>
      <c r="BR178" s="171"/>
      <c r="BS178" s="171"/>
      <c r="BT178" s="171"/>
      <c r="BU178" s="171"/>
      <c r="BV178" s="171"/>
      <c r="BW178" s="171"/>
      <c r="BX178" s="171"/>
      <c r="BY178" s="171"/>
      <c r="BZ178" s="171"/>
      <c r="CA178" s="171"/>
      <c r="CB178" s="171"/>
      <c r="CC178" s="171"/>
      <c r="CD178" s="171"/>
      <c r="CE178" s="171"/>
      <c r="CF178" s="171"/>
      <c r="CG178" s="171"/>
      <c r="CH178" s="171"/>
      <c r="CI178" s="171"/>
      <c r="CJ178" s="171"/>
      <c r="CK178" s="171"/>
      <c r="CL178" s="171"/>
      <c r="CM178" s="171"/>
      <c r="CN178" s="171"/>
      <c r="CO178" s="171"/>
      <c r="CP178" s="171"/>
      <c r="CQ178" s="171"/>
      <c r="CR178" s="171"/>
      <c r="CS178" s="171"/>
      <c r="CT178" s="171"/>
      <c r="CU178" s="171"/>
      <c r="CV178" s="171"/>
      <c r="CW178" s="69"/>
      <c r="CX178" s="171"/>
    </row>
    <row r="179" spans="45:102" x14ac:dyDescent="0.25">
      <c r="AS179" s="169"/>
      <c r="AT179" s="171"/>
      <c r="AU179" s="171"/>
      <c r="AV179" s="171"/>
      <c r="AW179" s="171"/>
      <c r="AX179" s="171"/>
      <c r="AY179" s="171"/>
      <c r="AZ179" s="171"/>
      <c r="BA179" s="171"/>
      <c r="BB179" s="171"/>
      <c r="BC179" s="171"/>
      <c r="BD179" s="171"/>
      <c r="BE179" s="171"/>
      <c r="BF179" s="171"/>
      <c r="BG179" s="171"/>
      <c r="BH179" s="171"/>
      <c r="BI179" s="171"/>
      <c r="BJ179" s="171"/>
      <c r="BK179" s="171"/>
      <c r="BL179" s="171"/>
      <c r="BM179" s="171"/>
      <c r="BN179" s="171"/>
      <c r="BO179" s="171"/>
      <c r="BP179" s="171"/>
      <c r="BQ179" s="171"/>
      <c r="BR179" s="171"/>
      <c r="BS179" s="171"/>
      <c r="BT179" s="171"/>
      <c r="BU179" s="171"/>
      <c r="BV179" s="171"/>
      <c r="BW179" s="171"/>
      <c r="BX179" s="171"/>
      <c r="BY179" s="171"/>
      <c r="BZ179" s="171"/>
      <c r="CA179" s="171"/>
      <c r="CB179" s="171"/>
      <c r="CC179" s="171"/>
      <c r="CD179" s="171"/>
      <c r="CE179" s="171"/>
      <c r="CF179" s="171"/>
      <c r="CG179" s="171"/>
      <c r="CH179" s="171"/>
      <c r="CI179" s="171"/>
      <c r="CJ179" s="171"/>
      <c r="CK179" s="171"/>
      <c r="CL179" s="171"/>
      <c r="CM179" s="171"/>
      <c r="CN179" s="171"/>
      <c r="CO179" s="171"/>
      <c r="CP179" s="171"/>
      <c r="CQ179" s="171"/>
      <c r="CR179" s="171"/>
      <c r="CS179" s="171"/>
      <c r="CT179" s="171"/>
      <c r="CU179" s="171"/>
      <c r="CV179" s="171"/>
      <c r="CW179" s="69"/>
      <c r="CX179" s="171"/>
    </row>
    <row r="180" spans="45:102" x14ac:dyDescent="0.25">
      <c r="AS180" s="169"/>
      <c r="AT180" s="171"/>
      <c r="AU180" s="171"/>
      <c r="AV180" s="171"/>
      <c r="AW180" s="171"/>
      <c r="AX180" s="171"/>
      <c r="AY180" s="171"/>
      <c r="AZ180" s="171"/>
      <c r="BA180" s="171"/>
      <c r="BB180" s="171"/>
      <c r="BC180" s="171"/>
      <c r="BD180" s="171"/>
      <c r="BE180" s="171"/>
      <c r="BF180" s="171"/>
      <c r="BG180" s="171"/>
      <c r="BH180" s="171"/>
      <c r="BI180" s="171"/>
      <c r="BJ180" s="171"/>
      <c r="BK180" s="171"/>
      <c r="BL180" s="171"/>
      <c r="BM180" s="171"/>
      <c r="BN180" s="171"/>
      <c r="BO180" s="171"/>
      <c r="BP180" s="171"/>
      <c r="BQ180" s="171"/>
      <c r="BR180" s="171"/>
      <c r="BS180" s="171"/>
      <c r="BT180" s="171"/>
      <c r="BU180" s="171"/>
      <c r="BV180" s="171"/>
      <c r="BW180" s="171"/>
      <c r="BX180" s="171"/>
      <c r="BY180" s="171"/>
      <c r="BZ180" s="171"/>
      <c r="CA180" s="171"/>
      <c r="CB180" s="171"/>
      <c r="CC180" s="171"/>
      <c r="CD180" s="171"/>
      <c r="CE180" s="171"/>
      <c r="CF180" s="171"/>
      <c r="CG180" s="171"/>
      <c r="CH180" s="171"/>
      <c r="CI180" s="171"/>
      <c r="CJ180" s="171"/>
      <c r="CK180" s="171"/>
      <c r="CL180" s="171"/>
      <c r="CM180" s="171"/>
      <c r="CN180" s="171"/>
      <c r="CO180" s="171"/>
      <c r="CP180" s="171"/>
      <c r="CQ180" s="171"/>
      <c r="CR180" s="171"/>
      <c r="CS180" s="171"/>
      <c r="CT180" s="171"/>
      <c r="CU180" s="171"/>
      <c r="CV180" s="171"/>
      <c r="CW180" s="69"/>
      <c r="CX180" s="171"/>
    </row>
    <row r="181" spans="45:102" x14ac:dyDescent="0.25">
      <c r="AS181" s="169"/>
      <c r="AT181" s="171"/>
      <c r="AU181" s="171"/>
      <c r="AV181" s="171"/>
      <c r="AW181" s="171"/>
      <c r="AX181" s="171"/>
      <c r="AY181" s="171"/>
      <c r="AZ181" s="171"/>
      <c r="BA181" s="171"/>
      <c r="BB181" s="171"/>
      <c r="BC181" s="171"/>
      <c r="BD181" s="171"/>
      <c r="BE181" s="171"/>
      <c r="BF181" s="171"/>
      <c r="BG181" s="171"/>
      <c r="BH181" s="171"/>
      <c r="BI181" s="171"/>
      <c r="BJ181" s="171"/>
      <c r="BK181" s="171"/>
      <c r="BL181" s="171"/>
      <c r="BM181" s="171"/>
      <c r="BN181" s="171"/>
      <c r="BO181" s="171"/>
      <c r="BP181" s="171"/>
      <c r="BQ181" s="171"/>
      <c r="BR181" s="171"/>
      <c r="BS181" s="171"/>
      <c r="BT181" s="171"/>
      <c r="BU181" s="171"/>
      <c r="BV181" s="171"/>
      <c r="BW181" s="171"/>
      <c r="BX181" s="171"/>
      <c r="BY181" s="171"/>
      <c r="BZ181" s="171"/>
      <c r="CA181" s="171"/>
      <c r="CB181" s="171"/>
      <c r="CC181" s="171"/>
      <c r="CD181" s="171"/>
      <c r="CE181" s="171"/>
      <c r="CF181" s="171"/>
      <c r="CG181" s="171"/>
      <c r="CH181" s="171"/>
      <c r="CI181" s="171"/>
      <c r="CJ181" s="171"/>
      <c r="CK181" s="171"/>
      <c r="CL181" s="171"/>
      <c r="CM181" s="171"/>
      <c r="CN181" s="171"/>
      <c r="CO181" s="171"/>
      <c r="CP181" s="171"/>
      <c r="CQ181" s="171"/>
      <c r="CR181" s="171"/>
      <c r="CS181" s="171"/>
      <c r="CT181" s="171"/>
      <c r="CU181" s="171"/>
      <c r="CV181" s="171"/>
      <c r="CW181" s="69"/>
      <c r="CX181" s="171"/>
    </row>
    <row r="182" spans="45:102" x14ac:dyDescent="0.25">
      <c r="AS182" s="169"/>
      <c r="AT182" s="171"/>
      <c r="AU182" s="171"/>
      <c r="AV182" s="171"/>
      <c r="AW182" s="171"/>
      <c r="AX182" s="171"/>
      <c r="AY182" s="171"/>
      <c r="AZ182" s="171"/>
      <c r="BA182" s="171"/>
      <c r="BB182" s="171"/>
      <c r="BC182" s="171"/>
      <c r="BD182" s="171"/>
      <c r="BE182" s="171"/>
      <c r="BF182" s="171"/>
      <c r="BG182" s="171"/>
      <c r="BH182" s="171"/>
      <c r="BI182" s="171"/>
      <c r="BJ182" s="171"/>
      <c r="BK182" s="171"/>
      <c r="BL182" s="171"/>
      <c r="BM182" s="171"/>
      <c r="BN182" s="171"/>
      <c r="BO182" s="171"/>
      <c r="BP182" s="171"/>
      <c r="BQ182" s="171"/>
      <c r="BR182" s="171"/>
      <c r="BS182" s="171"/>
      <c r="BT182" s="171"/>
      <c r="BU182" s="171"/>
      <c r="BV182" s="171"/>
      <c r="BW182" s="171"/>
      <c r="BX182" s="171"/>
      <c r="BY182" s="171"/>
      <c r="BZ182" s="171"/>
      <c r="CA182" s="171"/>
      <c r="CB182" s="171"/>
      <c r="CC182" s="171"/>
      <c r="CD182" s="171"/>
      <c r="CE182" s="171"/>
      <c r="CF182" s="171"/>
      <c r="CG182" s="171"/>
      <c r="CH182" s="171"/>
      <c r="CI182" s="171"/>
      <c r="CJ182" s="171"/>
      <c r="CK182" s="171"/>
      <c r="CL182" s="171"/>
      <c r="CM182" s="171"/>
      <c r="CN182" s="171"/>
      <c r="CO182" s="171"/>
      <c r="CP182" s="171"/>
      <c r="CQ182" s="171"/>
      <c r="CR182" s="171"/>
      <c r="CS182" s="171"/>
      <c r="CT182" s="171"/>
      <c r="CU182" s="171"/>
      <c r="CV182" s="171"/>
      <c r="CW182" s="69"/>
      <c r="CX182" s="171"/>
    </row>
    <row r="183" spans="45:102" x14ac:dyDescent="0.25">
      <c r="AS183" s="169"/>
      <c r="AT183" s="171"/>
      <c r="AU183" s="171"/>
      <c r="AV183" s="171"/>
      <c r="AW183" s="171"/>
      <c r="AX183" s="171"/>
      <c r="AY183" s="171"/>
      <c r="AZ183" s="171"/>
      <c r="BA183" s="171"/>
      <c r="BB183" s="171"/>
      <c r="BC183" s="171"/>
      <c r="BD183" s="171"/>
      <c r="BE183" s="171"/>
      <c r="BF183" s="171"/>
      <c r="BG183" s="171"/>
      <c r="BH183" s="171"/>
      <c r="BI183" s="171"/>
      <c r="BJ183" s="171"/>
      <c r="BK183" s="171"/>
      <c r="BL183" s="171"/>
      <c r="BM183" s="171"/>
      <c r="BN183" s="171"/>
      <c r="BO183" s="171"/>
      <c r="BP183" s="171"/>
      <c r="BQ183" s="171"/>
      <c r="BR183" s="171"/>
      <c r="BS183" s="171"/>
      <c r="BT183" s="171"/>
      <c r="BU183" s="171"/>
      <c r="BV183" s="171"/>
      <c r="BW183" s="171"/>
      <c r="BX183" s="171"/>
      <c r="BY183" s="171"/>
      <c r="BZ183" s="171"/>
      <c r="CA183" s="171"/>
      <c r="CB183" s="171"/>
      <c r="CC183" s="171"/>
      <c r="CD183" s="171"/>
      <c r="CE183" s="171"/>
      <c r="CF183" s="171"/>
      <c r="CG183" s="171"/>
      <c r="CH183" s="171"/>
      <c r="CI183" s="171"/>
      <c r="CJ183" s="171"/>
      <c r="CK183" s="171"/>
      <c r="CL183" s="171"/>
      <c r="CM183" s="171"/>
      <c r="CN183" s="171"/>
      <c r="CO183" s="171"/>
      <c r="CP183" s="171"/>
      <c r="CQ183" s="171"/>
      <c r="CR183" s="171"/>
      <c r="CS183" s="171"/>
      <c r="CT183" s="171"/>
      <c r="CU183" s="171"/>
      <c r="CV183" s="171"/>
      <c r="CW183" s="69"/>
      <c r="CX183" s="171"/>
    </row>
    <row r="184" spans="45:102" x14ac:dyDescent="0.25">
      <c r="AS184" s="169"/>
      <c r="AT184" s="171"/>
      <c r="AU184" s="171"/>
      <c r="AV184" s="171"/>
      <c r="AW184" s="171"/>
      <c r="AX184" s="171"/>
      <c r="AY184" s="171"/>
      <c r="AZ184" s="171"/>
      <c r="BA184" s="171"/>
      <c r="BB184" s="171"/>
      <c r="BC184" s="171"/>
      <c r="BD184" s="171"/>
      <c r="BE184" s="171"/>
      <c r="BF184" s="171"/>
      <c r="BG184" s="171"/>
      <c r="BH184" s="171"/>
      <c r="BI184" s="171"/>
      <c r="BJ184" s="171"/>
      <c r="BK184" s="171"/>
      <c r="BL184" s="171"/>
      <c r="BM184" s="171"/>
      <c r="BN184" s="171"/>
      <c r="BO184" s="171"/>
      <c r="BP184" s="171"/>
      <c r="BQ184" s="171"/>
      <c r="BR184" s="171"/>
      <c r="BS184" s="171"/>
      <c r="BT184" s="171"/>
      <c r="BU184" s="171"/>
      <c r="BV184" s="171"/>
      <c r="BW184" s="171"/>
      <c r="BX184" s="171"/>
      <c r="BY184" s="171"/>
      <c r="BZ184" s="171"/>
      <c r="CA184" s="171"/>
      <c r="CB184" s="171"/>
      <c r="CC184" s="171"/>
      <c r="CD184" s="171"/>
      <c r="CE184" s="171"/>
      <c r="CF184" s="171"/>
      <c r="CG184" s="171"/>
      <c r="CH184" s="171"/>
      <c r="CI184" s="171"/>
      <c r="CJ184" s="171"/>
      <c r="CK184" s="171"/>
      <c r="CL184" s="171"/>
      <c r="CM184" s="171"/>
      <c r="CN184" s="171"/>
      <c r="CO184" s="171"/>
      <c r="CP184" s="171"/>
      <c r="CQ184" s="171"/>
      <c r="CR184" s="171"/>
      <c r="CS184" s="171"/>
      <c r="CT184" s="171"/>
      <c r="CU184" s="171"/>
      <c r="CV184" s="171"/>
      <c r="CW184" s="69"/>
      <c r="CX184" s="171"/>
    </row>
    <row r="185" spans="45:102" x14ac:dyDescent="0.25">
      <c r="AS185" s="169"/>
      <c r="AT185" s="171"/>
      <c r="AU185" s="171"/>
      <c r="AV185" s="171"/>
      <c r="AW185" s="171"/>
      <c r="AX185" s="171"/>
      <c r="AY185" s="171"/>
      <c r="AZ185" s="171"/>
      <c r="BA185" s="171"/>
      <c r="BB185" s="171"/>
      <c r="BC185" s="171"/>
      <c r="BD185" s="171"/>
      <c r="BE185" s="171"/>
      <c r="BF185" s="171"/>
      <c r="BG185" s="171"/>
      <c r="BH185" s="171"/>
      <c r="BI185" s="171"/>
      <c r="BJ185" s="171"/>
      <c r="BK185" s="171"/>
      <c r="BL185" s="171"/>
      <c r="BM185" s="171"/>
      <c r="BN185" s="171"/>
      <c r="BO185" s="171"/>
      <c r="BP185" s="171"/>
      <c r="BQ185" s="171"/>
      <c r="BR185" s="171"/>
      <c r="BS185" s="171"/>
      <c r="BT185" s="171"/>
      <c r="BU185" s="171"/>
      <c r="BV185" s="171"/>
      <c r="BW185" s="171"/>
      <c r="BX185" s="171"/>
      <c r="BY185" s="171"/>
      <c r="BZ185" s="171"/>
      <c r="CA185" s="171"/>
      <c r="CB185" s="171"/>
      <c r="CC185" s="171"/>
      <c r="CD185" s="171"/>
      <c r="CE185" s="171"/>
      <c r="CF185" s="171"/>
      <c r="CG185" s="171"/>
      <c r="CH185" s="171"/>
      <c r="CI185" s="171"/>
      <c r="CJ185" s="171"/>
      <c r="CK185" s="171"/>
      <c r="CL185" s="171"/>
      <c r="CM185" s="171"/>
      <c r="CN185" s="171"/>
      <c r="CO185" s="171"/>
      <c r="CP185" s="171"/>
      <c r="CQ185" s="171"/>
      <c r="CR185" s="171"/>
      <c r="CS185" s="171"/>
      <c r="CT185" s="171"/>
      <c r="CU185" s="171"/>
      <c r="CV185" s="171"/>
      <c r="CW185" s="69"/>
      <c r="CX185" s="171"/>
    </row>
    <row r="186" spans="45:102" x14ac:dyDescent="0.25">
      <c r="AS186" s="169"/>
      <c r="AT186" s="171"/>
      <c r="AU186" s="171"/>
      <c r="AV186" s="171"/>
      <c r="AW186" s="171"/>
      <c r="AX186" s="171"/>
      <c r="AY186" s="171"/>
      <c r="AZ186" s="171"/>
      <c r="BA186" s="171"/>
      <c r="BB186" s="171"/>
      <c r="BC186" s="171"/>
      <c r="BD186" s="171"/>
      <c r="BE186" s="171"/>
      <c r="BF186" s="171"/>
      <c r="BG186" s="171"/>
      <c r="BH186" s="171"/>
      <c r="BI186" s="171"/>
      <c r="BJ186" s="171"/>
      <c r="BK186" s="171"/>
      <c r="BL186" s="171"/>
      <c r="BM186" s="171"/>
      <c r="BN186" s="171"/>
      <c r="BO186" s="171"/>
      <c r="BP186" s="171"/>
      <c r="BQ186" s="171"/>
      <c r="BR186" s="171"/>
      <c r="BS186" s="171"/>
      <c r="BT186" s="171"/>
      <c r="BU186" s="171"/>
      <c r="BV186" s="171"/>
      <c r="BW186" s="171"/>
      <c r="BX186" s="171"/>
      <c r="BY186" s="171"/>
      <c r="BZ186" s="171"/>
      <c r="CA186" s="171"/>
      <c r="CB186" s="171"/>
      <c r="CC186" s="171"/>
      <c r="CD186" s="171"/>
      <c r="CE186" s="171"/>
      <c r="CF186" s="171"/>
      <c r="CG186" s="171"/>
      <c r="CH186" s="171"/>
      <c r="CI186" s="171"/>
      <c r="CJ186" s="171"/>
      <c r="CK186" s="171"/>
      <c r="CL186" s="171"/>
      <c r="CM186" s="171"/>
      <c r="CN186" s="171"/>
      <c r="CO186" s="171"/>
      <c r="CP186" s="171"/>
      <c r="CQ186" s="171"/>
      <c r="CR186" s="171"/>
      <c r="CS186" s="171"/>
      <c r="CT186" s="171"/>
      <c r="CU186" s="171"/>
      <c r="CV186" s="171"/>
      <c r="CW186" s="69"/>
      <c r="CX186" s="171"/>
    </row>
    <row r="187" spans="45:102" x14ac:dyDescent="0.25">
      <c r="AS187" s="169"/>
      <c r="AT187" s="171"/>
      <c r="AU187" s="171"/>
      <c r="AV187" s="171"/>
      <c r="AW187" s="171"/>
      <c r="AX187" s="171"/>
      <c r="AY187" s="171"/>
      <c r="AZ187" s="171"/>
      <c r="BA187" s="171"/>
      <c r="BB187" s="171"/>
      <c r="BC187" s="171"/>
      <c r="BD187" s="171"/>
      <c r="BE187" s="171"/>
      <c r="BF187" s="171"/>
      <c r="BG187" s="171"/>
      <c r="BH187" s="171"/>
      <c r="BI187" s="171"/>
      <c r="BJ187" s="171"/>
      <c r="BK187" s="171"/>
      <c r="BL187" s="171"/>
      <c r="BM187" s="171"/>
      <c r="BN187" s="171"/>
      <c r="BO187" s="171"/>
      <c r="BP187" s="171"/>
      <c r="BQ187" s="171"/>
      <c r="BR187" s="171"/>
      <c r="BS187" s="171"/>
      <c r="BT187" s="171"/>
      <c r="BU187" s="171"/>
      <c r="BV187" s="171"/>
      <c r="BW187" s="171"/>
      <c r="BX187" s="171"/>
      <c r="BY187" s="171"/>
      <c r="BZ187" s="171"/>
      <c r="CA187" s="171"/>
      <c r="CB187" s="171"/>
      <c r="CC187" s="171"/>
      <c r="CD187" s="171"/>
      <c r="CE187" s="171"/>
      <c r="CF187" s="171"/>
      <c r="CG187" s="171"/>
      <c r="CH187" s="171"/>
      <c r="CI187" s="171"/>
      <c r="CJ187" s="171"/>
      <c r="CK187" s="171"/>
      <c r="CL187" s="171"/>
      <c r="CM187" s="171"/>
      <c r="CN187" s="171"/>
      <c r="CO187" s="171"/>
      <c r="CP187" s="171"/>
      <c r="CQ187" s="171"/>
      <c r="CR187" s="171"/>
      <c r="CS187" s="171"/>
      <c r="CT187" s="171"/>
      <c r="CU187" s="171"/>
      <c r="CV187" s="171"/>
      <c r="CW187" s="69"/>
      <c r="CX187" s="171"/>
    </row>
    <row r="188" spans="45:102" x14ac:dyDescent="0.25">
      <c r="AS188" s="169"/>
      <c r="AT188" s="171"/>
      <c r="AU188" s="171"/>
      <c r="AV188" s="171"/>
      <c r="AW188" s="171"/>
      <c r="AX188" s="171"/>
      <c r="AY188" s="171"/>
      <c r="AZ188" s="171"/>
      <c r="BA188" s="171"/>
      <c r="BB188" s="171"/>
      <c r="BC188" s="171"/>
      <c r="BD188" s="171"/>
      <c r="BE188" s="171"/>
      <c r="BF188" s="171"/>
      <c r="BG188" s="171"/>
      <c r="BH188" s="171"/>
      <c r="BI188" s="171"/>
      <c r="BJ188" s="171"/>
      <c r="BK188" s="171"/>
      <c r="BL188" s="171"/>
      <c r="BM188" s="171"/>
      <c r="BN188" s="171"/>
      <c r="BO188" s="171"/>
      <c r="BP188" s="171"/>
      <c r="BQ188" s="171"/>
      <c r="BR188" s="171"/>
      <c r="BS188" s="171"/>
      <c r="BT188" s="171"/>
      <c r="BU188" s="171"/>
      <c r="BV188" s="171"/>
      <c r="BW188" s="171"/>
      <c r="BX188" s="171"/>
      <c r="BY188" s="171"/>
      <c r="BZ188" s="171"/>
      <c r="CA188" s="171"/>
      <c r="CB188" s="171"/>
      <c r="CC188" s="171"/>
      <c r="CD188" s="171"/>
      <c r="CE188" s="171"/>
      <c r="CF188" s="171"/>
      <c r="CG188" s="171"/>
      <c r="CH188" s="171"/>
      <c r="CI188" s="171"/>
      <c r="CJ188" s="171"/>
      <c r="CK188" s="171"/>
      <c r="CL188" s="171"/>
      <c r="CM188" s="171"/>
      <c r="CN188" s="171"/>
      <c r="CO188" s="171"/>
      <c r="CP188" s="171"/>
      <c r="CQ188" s="171"/>
      <c r="CR188" s="171"/>
      <c r="CS188" s="171"/>
      <c r="CT188" s="171"/>
      <c r="CU188" s="171"/>
      <c r="CV188" s="171"/>
      <c r="CW188" s="69"/>
      <c r="CX188" s="171"/>
    </row>
    <row r="189" spans="45:102" x14ac:dyDescent="0.25">
      <c r="AS189" s="169"/>
      <c r="AT189" s="171"/>
      <c r="AU189" s="171"/>
      <c r="AV189" s="171"/>
      <c r="AW189" s="171"/>
      <c r="AX189" s="171"/>
      <c r="AY189" s="171"/>
      <c r="AZ189" s="171"/>
      <c r="BA189" s="171"/>
      <c r="BB189" s="171"/>
      <c r="BC189" s="171"/>
      <c r="BD189" s="171"/>
      <c r="BE189" s="171"/>
      <c r="BF189" s="171"/>
      <c r="BG189" s="171"/>
      <c r="BH189" s="171"/>
      <c r="BI189" s="171"/>
      <c r="BJ189" s="171"/>
      <c r="BK189" s="171"/>
      <c r="BL189" s="171"/>
      <c r="BM189" s="171"/>
      <c r="BN189" s="171"/>
      <c r="BO189" s="171"/>
      <c r="BP189" s="171"/>
      <c r="BQ189" s="171"/>
      <c r="BR189" s="171"/>
      <c r="BS189" s="171"/>
      <c r="BT189" s="171"/>
      <c r="BU189" s="171"/>
      <c r="BV189" s="171"/>
      <c r="BW189" s="171"/>
      <c r="BX189" s="171"/>
      <c r="BY189" s="171"/>
      <c r="BZ189" s="171"/>
      <c r="CA189" s="171"/>
      <c r="CB189" s="171"/>
      <c r="CC189" s="171"/>
      <c r="CD189" s="171"/>
      <c r="CE189" s="171"/>
      <c r="CF189" s="171"/>
      <c r="CG189" s="171"/>
      <c r="CH189" s="171"/>
      <c r="CI189" s="171"/>
      <c r="CJ189" s="171"/>
      <c r="CK189" s="171"/>
      <c r="CL189" s="171"/>
      <c r="CM189" s="171"/>
      <c r="CN189" s="171"/>
      <c r="CO189" s="171"/>
      <c r="CP189" s="171"/>
      <c r="CQ189" s="171"/>
      <c r="CR189" s="171"/>
      <c r="CS189" s="171"/>
      <c r="CT189" s="171"/>
      <c r="CU189" s="171"/>
      <c r="CV189" s="171"/>
      <c r="CW189" s="69"/>
      <c r="CX189" s="171"/>
    </row>
    <row r="190" spans="45:102" x14ac:dyDescent="0.25">
      <c r="AS190" s="169"/>
      <c r="AT190" s="171"/>
      <c r="AU190" s="171"/>
      <c r="AV190" s="171"/>
      <c r="AW190" s="171"/>
      <c r="AX190" s="171"/>
      <c r="AY190" s="171"/>
      <c r="AZ190" s="171"/>
      <c r="BA190" s="171"/>
      <c r="BB190" s="171"/>
      <c r="BC190" s="171"/>
      <c r="BD190" s="171"/>
      <c r="BE190" s="171"/>
      <c r="BF190" s="171"/>
      <c r="BG190" s="171"/>
      <c r="BH190" s="171"/>
      <c r="BI190" s="171"/>
      <c r="BJ190" s="171"/>
      <c r="BK190" s="171"/>
      <c r="BL190" s="171"/>
      <c r="BM190" s="171"/>
      <c r="BN190" s="171"/>
      <c r="BO190" s="171"/>
      <c r="BP190" s="171"/>
      <c r="BQ190" s="171"/>
      <c r="BR190" s="171"/>
      <c r="BS190" s="171"/>
      <c r="BT190" s="171"/>
      <c r="BU190" s="171"/>
      <c r="BV190" s="171"/>
      <c r="BW190" s="171"/>
      <c r="BX190" s="171"/>
      <c r="BY190" s="171"/>
      <c r="BZ190" s="171"/>
      <c r="CA190" s="171"/>
      <c r="CB190" s="171"/>
      <c r="CC190" s="171"/>
      <c r="CD190" s="171"/>
      <c r="CE190" s="171"/>
      <c r="CF190" s="171"/>
      <c r="CG190" s="171"/>
      <c r="CH190" s="171"/>
      <c r="CI190" s="171"/>
      <c r="CJ190" s="171"/>
      <c r="CK190" s="171"/>
      <c r="CL190" s="171"/>
      <c r="CM190" s="171"/>
      <c r="CN190" s="171"/>
      <c r="CO190" s="171"/>
      <c r="CP190" s="171"/>
      <c r="CQ190" s="171"/>
      <c r="CR190" s="171"/>
      <c r="CS190" s="171"/>
      <c r="CT190" s="171"/>
      <c r="CU190" s="171"/>
      <c r="CV190" s="171"/>
      <c r="CW190" s="69"/>
      <c r="CX190" s="171"/>
    </row>
    <row r="191" spans="45:102" x14ac:dyDescent="0.25">
      <c r="AS191" s="169"/>
      <c r="AT191" s="171"/>
      <c r="AU191" s="171"/>
      <c r="AV191" s="171"/>
      <c r="AW191" s="171"/>
      <c r="AX191" s="171"/>
      <c r="AY191" s="171"/>
      <c r="AZ191" s="171"/>
      <c r="BA191" s="171"/>
      <c r="BB191" s="171"/>
      <c r="BC191" s="171"/>
      <c r="BD191" s="171"/>
      <c r="BE191" s="171"/>
      <c r="BF191" s="171"/>
      <c r="BG191" s="171"/>
      <c r="BH191" s="171"/>
      <c r="BI191" s="171"/>
      <c r="BJ191" s="171"/>
      <c r="BK191" s="171"/>
      <c r="BL191" s="171"/>
      <c r="BM191" s="171"/>
      <c r="BN191" s="171"/>
      <c r="BO191" s="171"/>
      <c r="BP191" s="171"/>
      <c r="BQ191" s="171"/>
      <c r="BR191" s="171"/>
      <c r="BS191" s="171"/>
      <c r="BT191" s="171"/>
      <c r="BU191" s="171"/>
      <c r="BV191" s="171"/>
      <c r="BW191" s="171"/>
      <c r="BX191" s="171"/>
      <c r="BY191" s="171"/>
      <c r="BZ191" s="171"/>
      <c r="CA191" s="171"/>
      <c r="CB191" s="171"/>
      <c r="CC191" s="171"/>
      <c r="CD191" s="171"/>
      <c r="CE191" s="171"/>
      <c r="CF191" s="171"/>
      <c r="CG191" s="171"/>
      <c r="CH191" s="171"/>
      <c r="CI191" s="171"/>
      <c r="CJ191" s="171"/>
      <c r="CK191" s="171"/>
      <c r="CL191" s="171"/>
      <c r="CM191" s="171"/>
      <c r="CN191" s="171"/>
      <c r="CO191" s="171"/>
      <c r="CP191" s="171"/>
      <c r="CQ191" s="171"/>
      <c r="CR191" s="171"/>
      <c r="CS191" s="171"/>
      <c r="CT191" s="171"/>
      <c r="CU191" s="171"/>
      <c r="CV191" s="171"/>
      <c r="CW191" s="69"/>
      <c r="CX191" s="171"/>
    </row>
    <row r="192" spans="45:102" x14ac:dyDescent="0.25">
      <c r="AS192" s="169"/>
      <c r="AT192" s="171"/>
      <c r="AU192" s="171"/>
      <c r="AV192" s="171"/>
      <c r="AW192" s="171"/>
      <c r="AX192" s="171"/>
      <c r="AY192" s="171"/>
      <c r="AZ192" s="171"/>
      <c r="BA192" s="171"/>
      <c r="BB192" s="171"/>
      <c r="BC192" s="171"/>
      <c r="BD192" s="171"/>
      <c r="BE192" s="171"/>
      <c r="BF192" s="171"/>
      <c r="BG192" s="171"/>
      <c r="BH192" s="171"/>
      <c r="BI192" s="171"/>
      <c r="BJ192" s="171"/>
      <c r="BK192" s="171"/>
      <c r="BL192" s="171"/>
      <c r="BM192" s="171"/>
      <c r="BN192" s="171"/>
      <c r="BO192" s="171"/>
      <c r="BP192" s="171"/>
      <c r="BQ192" s="171"/>
      <c r="BR192" s="171"/>
      <c r="BS192" s="171"/>
      <c r="BT192" s="171"/>
      <c r="BU192" s="171"/>
      <c r="BV192" s="171"/>
      <c r="BW192" s="171"/>
      <c r="BX192" s="171"/>
      <c r="BY192" s="171"/>
      <c r="BZ192" s="171"/>
      <c r="CA192" s="171"/>
      <c r="CB192" s="171"/>
      <c r="CC192" s="171"/>
      <c r="CD192" s="171"/>
      <c r="CE192" s="171"/>
      <c r="CF192" s="171"/>
      <c r="CG192" s="171"/>
      <c r="CH192" s="171"/>
      <c r="CI192" s="171"/>
      <c r="CJ192" s="171"/>
      <c r="CK192" s="171"/>
      <c r="CL192" s="171"/>
      <c r="CM192" s="171"/>
      <c r="CN192" s="171"/>
      <c r="CO192" s="171"/>
      <c r="CP192" s="171"/>
      <c r="CQ192" s="171"/>
      <c r="CR192" s="171"/>
      <c r="CS192" s="171"/>
      <c r="CT192" s="171"/>
      <c r="CU192" s="171"/>
      <c r="CV192" s="171"/>
      <c r="CW192" s="69"/>
      <c r="CX192" s="171"/>
    </row>
    <row r="193" spans="45:102" x14ac:dyDescent="0.25">
      <c r="AS193" s="169"/>
      <c r="AT193" s="171"/>
      <c r="AU193" s="171"/>
      <c r="AV193" s="171"/>
      <c r="AW193" s="171"/>
      <c r="AX193" s="171"/>
      <c r="AY193" s="171"/>
      <c r="AZ193" s="171"/>
      <c r="BA193" s="171"/>
      <c r="BB193" s="171"/>
      <c r="BC193" s="171"/>
      <c r="BD193" s="171"/>
      <c r="BE193" s="171"/>
      <c r="BF193" s="171"/>
      <c r="BG193" s="171"/>
      <c r="BH193" s="171"/>
      <c r="BI193" s="171"/>
      <c r="BJ193" s="171"/>
      <c r="BK193" s="171"/>
      <c r="BL193" s="171"/>
      <c r="BM193" s="171"/>
      <c r="BN193" s="171"/>
      <c r="BO193" s="171"/>
      <c r="BP193" s="171"/>
      <c r="BQ193" s="171"/>
      <c r="BR193" s="171"/>
      <c r="BS193" s="171"/>
      <c r="BT193" s="171"/>
      <c r="BU193" s="171"/>
      <c r="BV193" s="171"/>
      <c r="BW193" s="171"/>
      <c r="BX193" s="171"/>
      <c r="BY193" s="171"/>
      <c r="BZ193" s="171"/>
      <c r="CA193" s="171"/>
      <c r="CB193" s="171"/>
      <c r="CC193" s="171"/>
      <c r="CD193" s="171"/>
      <c r="CE193" s="171"/>
      <c r="CF193" s="171"/>
      <c r="CG193" s="171"/>
      <c r="CH193" s="171"/>
      <c r="CI193" s="171"/>
      <c r="CJ193" s="171"/>
      <c r="CK193" s="171"/>
      <c r="CL193" s="171"/>
      <c r="CM193" s="171"/>
      <c r="CN193" s="171"/>
      <c r="CO193" s="171"/>
      <c r="CP193" s="171"/>
      <c r="CQ193" s="171"/>
      <c r="CR193" s="171"/>
      <c r="CS193" s="171"/>
      <c r="CT193" s="171"/>
      <c r="CU193" s="171"/>
      <c r="CV193" s="171"/>
      <c r="CW193" s="69"/>
      <c r="CX193" s="171"/>
    </row>
    <row r="194" spans="45:102" x14ac:dyDescent="0.25">
      <c r="AS194" s="169"/>
      <c r="AT194" s="171"/>
      <c r="AU194" s="171"/>
      <c r="AV194" s="171"/>
      <c r="AW194" s="171"/>
      <c r="AX194" s="171"/>
      <c r="AY194" s="171"/>
      <c r="AZ194" s="171"/>
      <c r="BA194" s="171"/>
      <c r="BB194" s="171"/>
      <c r="BC194" s="171"/>
      <c r="BD194" s="171"/>
      <c r="BE194" s="171"/>
      <c r="BF194" s="171"/>
      <c r="BG194" s="171"/>
      <c r="BH194" s="171"/>
      <c r="BI194" s="171"/>
      <c r="BJ194" s="171"/>
      <c r="BK194" s="171"/>
      <c r="BL194" s="171"/>
      <c r="BM194" s="171"/>
      <c r="BN194" s="171"/>
      <c r="BO194" s="171"/>
      <c r="BP194" s="171"/>
      <c r="BQ194" s="171"/>
      <c r="BR194" s="171"/>
      <c r="BS194" s="171"/>
      <c r="BT194" s="171"/>
      <c r="BU194" s="171"/>
      <c r="BV194" s="171"/>
      <c r="BW194" s="171"/>
      <c r="BX194" s="171"/>
      <c r="BY194" s="171"/>
      <c r="BZ194" s="171"/>
      <c r="CA194" s="171"/>
      <c r="CB194" s="171"/>
      <c r="CC194" s="171"/>
      <c r="CD194" s="171"/>
      <c r="CE194" s="171"/>
      <c r="CF194" s="171"/>
      <c r="CG194" s="171"/>
      <c r="CH194" s="171"/>
      <c r="CI194" s="171"/>
      <c r="CJ194" s="171"/>
      <c r="CK194" s="171"/>
      <c r="CL194" s="171"/>
      <c r="CM194" s="171"/>
      <c r="CN194" s="171"/>
      <c r="CO194" s="171"/>
      <c r="CP194" s="171"/>
      <c r="CQ194" s="171"/>
      <c r="CR194" s="171"/>
      <c r="CS194" s="171"/>
      <c r="CT194" s="171"/>
      <c r="CU194" s="171"/>
      <c r="CV194" s="171"/>
      <c r="CW194" s="69"/>
      <c r="CX194" s="171"/>
    </row>
    <row r="195" spans="45:102" x14ac:dyDescent="0.25">
      <c r="AS195" s="169"/>
      <c r="AT195" s="171"/>
      <c r="AU195" s="171"/>
      <c r="AV195" s="171"/>
      <c r="AW195" s="171"/>
      <c r="AX195" s="171"/>
      <c r="AY195" s="171"/>
      <c r="AZ195" s="171"/>
      <c r="BA195" s="171"/>
      <c r="BB195" s="171"/>
      <c r="BC195" s="171"/>
      <c r="BD195" s="171"/>
      <c r="BE195" s="171"/>
      <c r="BF195" s="171"/>
      <c r="BG195" s="171"/>
      <c r="BH195" s="171"/>
      <c r="BI195" s="171"/>
      <c r="BJ195" s="171"/>
      <c r="BK195" s="171"/>
      <c r="BL195" s="171"/>
      <c r="BM195" s="171"/>
      <c r="BN195" s="171"/>
      <c r="BO195" s="171"/>
      <c r="BP195" s="171"/>
      <c r="BQ195" s="171"/>
      <c r="BR195" s="171"/>
      <c r="BS195" s="171"/>
      <c r="BT195" s="171"/>
      <c r="BU195" s="171"/>
      <c r="BV195" s="171"/>
      <c r="BW195" s="171"/>
      <c r="BX195" s="171"/>
      <c r="BY195" s="171"/>
      <c r="BZ195" s="171"/>
      <c r="CA195" s="171"/>
      <c r="CB195" s="171"/>
      <c r="CC195" s="171"/>
      <c r="CD195" s="171"/>
      <c r="CE195" s="171"/>
      <c r="CF195" s="171"/>
      <c r="CG195" s="171"/>
      <c r="CH195" s="171"/>
      <c r="CI195" s="171"/>
      <c r="CJ195" s="171"/>
      <c r="CK195" s="171"/>
      <c r="CL195" s="171"/>
      <c r="CM195" s="171"/>
      <c r="CN195" s="171"/>
      <c r="CO195" s="171"/>
      <c r="CP195" s="171"/>
      <c r="CQ195" s="171"/>
      <c r="CR195" s="171"/>
      <c r="CS195" s="171"/>
      <c r="CT195" s="171"/>
      <c r="CU195" s="171"/>
      <c r="CV195" s="171"/>
      <c r="CW195" s="69"/>
      <c r="CX195" s="171"/>
    </row>
    <row r="196" spans="45:102" x14ac:dyDescent="0.25">
      <c r="AS196" s="169"/>
      <c r="AT196" s="171"/>
      <c r="AU196" s="171"/>
      <c r="AV196" s="171"/>
      <c r="AW196" s="171"/>
      <c r="AX196" s="171"/>
      <c r="AY196" s="171"/>
      <c r="AZ196" s="171"/>
      <c r="BA196" s="171"/>
      <c r="BB196" s="171"/>
      <c r="BC196" s="171"/>
      <c r="BD196" s="171"/>
      <c r="BE196" s="171"/>
      <c r="BF196" s="171"/>
      <c r="BG196" s="171"/>
      <c r="BH196" s="171"/>
      <c r="BI196" s="171"/>
      <c r="BJ196" s="171"/>
      <c r="BK196" s="171"/>
      <c r="BL196" s="171"/>
      <c r="BM196" s="171"/>
      <c r="BN196" s="171"/>
      <c r="BO196" s="171"/>
      <c r="BP196" s="171"/>
      <c r="BQ196" s="171"/>
      <c r="BR196" s="171"/>
      <c r="BS196" s="171"/>
      <c r="BT196" s="171"/>
      <c r="BU196" s="171"/>
      <c r="BV196" s="171"/>
      <c r="BW196" s="171"/>
      <c r="BX196" s="171"/>
      <c r="BY196" s="171"/>
      <c r="BZ196" s="171"/>
      <c r="CA196" s="171"/>
      <c r="CB196" s="171"/>
      <c r="CC196" s="171"/>
      <c r="CD196" s="171"/>
      <c r="CE196" s="171"/>
      <c r="CF196" s="171"/>
      <c r="CG196" s="171"/>
      <c r="CH196" s="171"/>
      <c r="CI196" s="171"/>
      <c r="CJ196" s="171"/>
      <c r="CK196" s="171"/>
      <c r="CL196" s="171"/>
      <c r="CM196" s="171"/>
      <c r="CN196" s="171"/>
      <c r="CO196" s="171"/>
      <c r="CP196" s="171"/>
      <c r="CQ196" s="171"/>
      <c r="CR196" s="171"/>
      <c r="CS196" s="171"/>
      <c r="CT196" s="171"/>
      <c r="CU196" s="171"/>
      <c r="CV196" s="171"/>
      <c r="CW196" s="69"/>
      <c r="CX196" s="171"/>
    </row>
    <row r="197" spans="45:102" x14ac:dyDescent="0.25">
      <c r="AS197" s="169"/>
      <c r="AT197" s="171"/>
      <c r="AU197" s="171"/>
      <c r="AV197" s="171"/>
      <c r="AW197" s="171"/>
      <c r="AX197" s="171"/>
      <c r="AY197" s="171"/>
      <c r="AZ197" s="171"/>
      <c r="BA197" s="171"/>
      <c r="BB197" s="171"/>
      <c r="BC197" s="171"/>
      <c r="BD197" s="171"/>
      <c r="BE197" s="171"/>
      <c r="BF197" s="171"/>
      <c r="BG197" s="171"/>
      <c r="BH197" s="171"/>
      <c r="BI197" s="171"/>
      <c r="BJ197" s="171"/>
      <c r="BK197" s="171"/>
      <c r="BL197" s="171"/>
      <c r="BM197" s="171"/>
      <c r="BN197" s="171"/>
      <c r="BO197" s="171"/>
      <c r="BP197" s="171"/>
      <c r="BQ197" s="171"/>
      <c r="BR197" s="171"/>
      <c r="BS197" s="171"/>
      <c r="BT197" s="171"/>
      <c r="BU197" s="171"/>
      <c r="BV197" s="171"/>
      <c r="BW197" s="171"/>
      <c r="BX197" s="171"/>
      <c r="BY197" s="171"/>
      <c r="BZ197" s="171"/>
      <c r="CA197" s="171"/>
      <c r="CB197" s="171"/>
      <c r="CC197" s="171"/>
      <c r="CD197" s="171"/>
      <c r="CE197" s="171"/>
      <c r="CF197" s="171"/>
      <c r="CG197" s="171"/>
      <c r="CH197" s="171"/>
      <c r="CI197" s="171"/>
      <c r="CJ197" s="171"/>
      <c r="CK197" s="171"/>
      <c r="CL197" s="171"/>
      <c r="CM197" s="171"/>
      <c r="CN197" s="171"/>
      <c r="CO197" s="171"/>
      <c r="CP197" s="171"/>
      <c r="CQ197" s="171"/>
      <c r="CR197" s="171"/>
      <c r="CS197" s="171"/>
      <c r="CT197" s="171"/>
      <c r="CU197" s="171"/>
      <c r="CV197" s="171"/>
      <c r="CW197" s="69"/>
      <c r="CX197" s="171"/>
    </row>
    <row r="198" spans="45:102" x14ac:dyDescent="0.25">
      <c r="AS198" s="169"/>
      <c r="AT198" s="171"/>
      <c r="AU198" s="171"/>
      <c r="AV198" s="171"/>
      <c r="AW198" s="171"/>
      <c r="AX198" s="171"/>
      <c r="AY198" s="171"/>
      <c r="AZ198" s="171"/>
      <c r="BA198" s="171"/>
      <c r="BB198" s="171"/>
      <c r="BC198" s="171"/>
      <c r="BD198" s="171"/>
      <c r="BE198" s="171"/>
      <c r="BF198" s="171"/>
      <c r="BG198" s="171"/>
      <c r="BH198" s="171"/>
      <c r="BI198" s="171"/>
      <c r="BJ198" s="171"/>
      <c r="BK198" s="171"/>
      <c r="BL198" s="171"/>
      <c r="BM198" s="171"/>
      <c r="BN198" s="171"/>
      <c r="BO198" s="171"/>
      <c r="BP198" s="171"/>
      <c r="BQ198" s="171"/>
      <c r="BR198" s="171"/>
      <c r="BS198" s="171"/>
      <c r="BT198" s="171"/>
      <c r="BU198" s="171"/>
      <c r="BV198" s="171"/>
      <c r="BW198" s="171"/>
      <c r="BX198" s="171"/>
      <c r="BY198" s="171"/>
      <c r="BZ198" s="171"/>
      <c r="CA198" s="171"/>
      <c r="CB198" s="171"/>
      <c r="CC198" s="171"/>
      <c r="CD198" s="171"/>
      <c r="CE198" s="171"/>
      <c r="CF198" s="171"/>
      <c r="CG198" s="171"/>
      <c r="CH198" s="171"/>
      <c r="CI198" s="171"/>
      <c r="CJ198" s="171"/>
      <c r="CK198" s="171"/>
      <c r="CL198" s="171"/>
      <c r="CM198" s="171"/>
      <c r="CN198" s="171"/>
      <c r="CO198" s="171"/>
      <c r="CP198" s="171"/>
      <c r="CQ198" s="171"/>
      <c r="CR198" s="171"/>
      <c r="CS198" s="171"/>
      <c r="CT198" s="171"/>
      <c r="CU198" s="171"/>
      <c r="CV198" s="171"/>
      <c r="CW198" s="69"/>
      <c r="CX198" s="171"/>
    </row>
    <row r="199" spans="45:102" x14ac:dyDescent="0.25">
      <c r="AX199" s="171"/>
      <c r="AY199" s="171"/>
      <c r="AZ199" s="171"/>
      <c r="BA199" s="171"/>
      <c r="BB199" s="171"/>
      <c r="BC199" s="171"/>
      <c r="BD199" s="171"/>
      <c r="BE199" s="171"/>
      <c r="BF199" s="171"/>
      <c r="BG199" s="171"/>
      <c r="BH199" s="171"/>
      <c r="BI199" s="171"/>
      <c r="BJ199" s="171"/>
      <c r="BK199" s="171"/>
      <c r="BL199" s="171"/>
      <c r="BM199" s="171"/>
      <c r="BN199" s="171"/>
      <c r="BO199" s="171"/>
      <c r="BP199" s="171"/>
      <c r="BQ199" s="171"/>
      <c r="BR199" s="171"/>
      <c r="BS199" s="171"/>
      <c r="BT199" s="171"/>
      <c r="BU199" s="171"/>
      <c r="BV199" s="171"/>
      <c r="BW199" s="171"/>
      <c r="BX199" s="171"/>
      <c r="BY199" s="171"/>
      <c r="BZ199" s="171"/>
      <c r="CA199" s="171"/>
      <c r="CB199" s="171"/>
      <c r="CC199" s="171"/>
      <c r="CD199" s="171"/>
      <c r="CE199" s="171"/>
      <c r="CF199" s="171"/>
      <c r="CG199" s="171"/>
      <c r="CH199" s="171"/>
      <c r="CI199" s="171"/>
      <c r="CJ199" s="171"/>
      <c r="CK199" s="171"/>
      <c r="CL199" s="171"/>
      <c r="CM199" s="171"/>
      <c r="CN199" s="171"/>
      <c r="CO199" s="171"/>
      <c r="CP199" s="171"/>
      <c r="CQ199" s="171"/>
      <c r="CR199" s="171"/>
      <c r="CS199" s="171"/>
      <c r="CT199" s="171"/>
      <c r="CU199" s="171"/>
      <c r="CV199" s="171"/>
      <c r="CW199" s="69"/>
      <c r="CX199" s="171"/>
    </row>
    <row r="200" spans="45:102" x14ac:dyDescent="0.25">
      <c r="AX200" s="171"/>
      <c r="AY200" s="171"/>
      <c r="AZ200" s="171"/>
      <c r="BA200" s="171"/>
      <c r="BB200" s="171"/>
      <c r="BC200" s="171"/>
      <c r="BD200" s="171"/>
      <c r="BE200" s="171"/>
      <c r="BF200" s="171"/>
      <c r="BG200" s="171"/>
      <c r="BH200" s="171"/>
      <c r="BI200" s="171"/>
      <c r="BJ200" s="171"/>
      <c r="BK200" s="171"/>
      <c r="BL200" s="171"/>
      <c r="BM200" s="171"/>
      <c r="BN200" s="171"/>
      <c r="BO200" s="171"/>
      <c r="BP200" s="171"/>
      <c r="BQ200" s="171"/>
      <c r="BR200" s="171"/>
      <c r="BS200" s="171"/>
      <c r="BT200" s="171"/>
      <c r="BU200" s="171"/>
      <c r="BV200" s="171"/>
      <c r="BW200" s="171"/>
      <c r="BX200" s="171"/>
      <c r="BY200" s="171"/>
      <c r="BZ200" s="171"/>
      <c r="CA200" s="171"/>
      <c r="CB200" s="171"/>
      <c r="CC200" s="171"/>
      <c r="CD200" s="171"/>
      <c r="CE200" s="171"/>
      <c r="CF200" s="171"/>
      <c r="CG200" s="171"/>
      <c r="CH200" s="171"/>
      <c r="CI200" s="171"/>
      <c r="CJ200" s="171"/>
      <c r="CK200" s="171"/>
      <c r="CL200" s="171"/>
      <c r="CM200" s="171"/>
      <c r="CN200" s="171"/>
      <c r="CO200" s="171"/>
      <c r="CP200" s="171"/>
      <c r="CQ200" s="171"/>
      <c r="CR200" s="171"/>
      <c r="CS200" s="171"/>
      <c r="CT200" s="171"/>
      <c r="CU200" s="171"/>
      <c r="CV200" s="171"/>
      <c r="CW200" s="69"/>
      <c r="CX200" s="171"/>
    </row>
    <row r="201" spans="45:102" x14ac:dyDescent="0.25">
      <c r="AX201" s="171"/>
      <c r="AY201" s="171"/>
      <c r="AZ201" s="171"/>
      <c r="BA201" s="171"/>
      <c r="BB201" s="171"/>
      <c r="BC201" s="171"/>
      <c r="BD201" s="171"/>
      <c r="BE201" s="171"/>
      <c r="BF201" s="171"/>
      <c r="BG201" s="171"/>
      <c r="BH201" s="171"/>
      <c r="BI201" s="171"/>
      <c r="BJ201" s="171"/>
      <c r="BK201" s="171"/>
      <c r="BL201" s="171"/>
      <c r="BM201" s="171"/>
      <c r="BN201" s="171"/>
      <c r="BO201" s="171"/>
      <c r="BP201" s="171"/>
      <c r="BQ201" s="171"/>
      <c r="BR201" s="171"/>
      <c r="BS201" s="171"/>
      <c r="BT201" s="171"/>
      <c r="BU201" s="171"/>
      <c r="BV201" s="171"/>
      <c r="BW201" s="171"/>
      <c r="BX201" s="171"/>
      <c r="BY201" s="171"/>
      <c r="BZ201" s="171"/>
      <c r="CA201" s="171"/>
      <c r="CB201" s="171"/>
      <c r="CC201" s="171"/>
      <c r="CD201" s="171"/>
      <c r="CE201" s="171"/>
      <c r="CF201" s="171"/>
      <c r="CG201" s="171"/>
      <c r="CH201" s="171"/>
      <c r="CI201" s="171"/>
      <c r="CJ201" s="171"/>
      <c r="CK201" s="171"/>
      <c r="CL201" s="171"/>
      <c r="CM201" s="171"/>
      <c r="CN201" s="171"/>
      <c r="CO201" s="171"/>
      <c r="CP201" s="171"/>
      <c r="CQ201" s="171"/>
      <c r="CR201" s="171"/>
      <c r="CS201" s="171"/>
      <c r="CT201" s="171"/>
      <c r="CU201" s="171"/>
      <c r="CV201" s="171"/>
      <c r="CW201" s="69"/>
      <c r="CX201" s="171"/>
    </row>
  </sheetData>
  <sortState ref="AS125:CX203">
    <sortCondition ref="AS125"/>
  </sortState>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2012-11-26T19:39:49Z</dcterms:modified>
</cp:coreProperties>
</file>