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480" windowHeight="9465"/>
  </bookViews>
  <sheets>
    <sheet name="Instructions" sheetId="1" r:id="rId1"/>
    <sheet name="Preapproval ePATA" sheetId="2" r:id="rId2"/>
    <sheet name="Non-Directed Certification" sheetId="3" r:id="rId3"/>
    <sheet name="Data {DO NOT EDIT}" sheetId="4" r:id="rId4"/>
    <sheet name="tblSite" sheetId="5" r:id="rId5"/>
    <sheet name="tblClaim" sheetId="6" r:id="rId6"/>
    <sheet name="tblTask" sheetId="7" r:id="rId7"/>
  </sheets>
  <definedNames>
    <definedName name="BlanksRange">'Data {DO NOT EDIT}'!$A$3:$A$27</definedName>
    <definedName name="ChangeOrders">'Data {DO NOT EDIT}'!$C$2:$C$13</definedName>
    <definedName name="CountyList">'Data {DO NOT EDIT}'!$F$2:$F$101</definedName>
    <definedName name="Eligibility">'Data {DO NOT EDIT}'!$C$25:$C$26</definedName>
    <definedName name="LabCodes">'Data {DO NOT EDIT}'!$K$2:$K$88</definedName>
    <definedName name="NoBlanksRange">tblTask!$D:$D</definedName>
    <definedName name="_xlnm.Print_Area" localSheetId="0">Instructions!$A$1:$C$32</definedName>
    <definedName name="_xlnm.Print_Area" localSheetId="2">'Non-Directed Certification'!$A$1:$T$38</definedName>
    <definedName name="ReimbTypeName">'Data {DO NOT EDIT}'!$C$8:$C$11</definedName>
    <definedName name="RPType">'Data {DO NOT EDIT}'!$C$17:$C$19</definedName>
    <definedName name="TaskList">'Data {DO NOT EDIT}'!$I$2:$I$152</definedName>
    <definedName name="Z_FED3EF2C_891B_4B19_A7F2_F90FD459899C_.wvu.PrintArea" localSheetId="0" hidden="1">Instructions!$A$1:$C$32</definedName>
    <definedName name="Z_FED3EF2C_891B_4B19_A7F2_F90FD459899C_.wvu.PrintArea" localSheetId="2" hidden="1">'Non-Directed Certification'!$A$1:$T$38</definedName>
  </definedNames>
  <calcPr calcId="125725"/>
  <customWorkbookViews>
    <customWorkbookView name="Jared M. Edwards - Personal View" guid="{FED3EF2C-891B-4B19-A7F2-F90FD459899C}" mergeInterval="0" personalView="1" maximized="1" xWindow="1" yWindow="1" windowWidth="1265" windowHeight="738" activeSheetId="3"/>
  </customWorkbookViews>
</workbook>
</file>

<file path=xl/calcChain.xml><?xml version="1.0" encoding="utf-8"?>
<calcChain xmlns="http://schemas.openxmlformats.org/spreadsheetml/2006/main">
  <c r="S4" i="3"/>
  <c r="R7"/>
  <c r="O7"/>
  <c r="S6"/>
  <c r="O6"/>
  <c r="M4"/>
  <c r="M5"/>
  <c r="D7"/>
  <c r="H6"/>
  <c r="E5"/>
  <c r="I5"/>
  <c r="C4"/>
  <c r="M37" i="2"/>
  <c r="M36"/>
  <c r="M35"/>
  <c r="M34"/>
  <c r="M33"/>
  <c r="M32"/>
  <c r="M31"/>
  <c r="M30"/>
  <c r="M29"/>
  <c r="M28"/>
  <c r="M27"/>
  <c r="M26"/>
  <c r="M25"/>
  <c r="M24"/>
  <c r="M23"/>
  <c r="M22"/>
  <c r="O45"/>
  <c r="O44"/>
  <c r="O43"/>
  <c r="O42"/>
  <c r="O41"/>
  <c r="O40"/>
  <c r="O39"/>
  <c r="O38"/>
  <c r="O37"/>
  <c r="O36"/>
  <c r="O35"/>
  <c r="O34"/>
  <c r="O33"/>
  <c r="O32"/>
  <c r="O31"/>
  <c r="O30"/>
  <c r="O29"/>
  <c r="O28"/>
  <c r="O27"/>
  <c r="O26"/>
  <c r="O25"/>
  <c r="O24"/>
  <c r="O23"/>
  <c r="O22"/>
  <c r="S5" i="3"/>
  <c r="T5" i="2"/>
  <c r="M41"/>
  <c r="M42"/>
  <c r="M43"/>
  <c r="M44"/>
  <c r="M45"/>
  <c r="J2" i="5" l="1"/>
  <c r="G2"/>
  <c r="E2"/>
  <c r="D2"/>
  <c r="B2"/>
  <c r="A2"/>
  <c r="S2" i="6"/>
  <c r="R2"/>
  <c r="Q2"/>
  <c r="P2"/>
  <c r="O2"/>
  <c r="E2"/>
  <c r="A3" i="4"/>
  <c r="A4"/>
  <c r="A5"/>
  <c r="A6"/>
  <c r="A7"/>
  <c r="A8"/>
  <c r="A9"/>
  <c r="A10"/>
  <c r="A11"/>
  <c r="A12"/>
  <c r="A13"/>
  <c r="A14"/>
  <c r="A15"/>
  <c r="A16"/>
  <c r="A17"/>
  <c r="A18"/>
  <c r="A19"/>
  <c r="A20"/>
  <c r="A21"/>
  <c r="A22"/>
  <c r="A23"/>
  <c r="A24"/>
  <c r="A25"/>
  <c r="A26"/>
  <c r="A27"/>
  <c r="C2" i="7" l="1"/>
  <c r="B2"/>
  <c r="A2"/>
  <c r="O49" i="2" l="1"/>
  <c r="D4" i="7"/>
  <c r="F2" l="1"/>
  <c r="E2"/>
  <c r="E3"/>
  <c r="B3"/>
  <c r="B4" s="1"/>
  <c r="F3"/>
  <c r="C3"/>
  <c r="C4" s="1"/>
  <c r="A3"/>
  <c r="A4" s="1"/>
  <c r="M40" i="2"/>
  <c r="M49" s="1"/>
  <c r="L16" i="3" s="1"/>
  <c r="M39" i="2"/>
  <c r="M38"/>
  <c r="O21"/>
  <c r="M21"/>
  <c r="M48" l="1"/>
  <c r="L15" i="3" s="1"/>
  <c r="C2" i="6"/>
  <c r="A2"/>
  <c r="B2"/>
  <c r="M47" i="2"/>
  <c r="L14" i="3" s="1"/>
  <c r="O48" i="2"/>
  <c r="O47"/>
  <c r="F4" i="7"/>
  <c r="E4"/>
  <c r="D24" a="1"/>
  <c r="D30" a="1"/>
  <c r="D7" a="1"/>
  <c r="D14" a="1"/>
  <c r="D19" a="1"/>
  <c r="D26" a="1"/>
  <c r="D27" a="1"/>
  <c r="D10" a="1"/>
  <c r="D16" a="1"/>
  <c r="D9" a="1"/>
  <c r="D29" a="1"/>
  <c r="D31" a="1"/>
  <c r="D12" a="1"/>
  <c r="D11" a="1"/>
  <c r="D13" a="1"/>
  <c r="D18" a="1"/>
  <c r="D15" a="1"/>
  <c r="D25" a="1"/>
  <c r="D20" a="1"/>
  <c r="D32" a="1"/>
  <c r="D23" a="1"/>
  <c r="D5" a="1"/>
  <c r="D22" a="1"/>
  <c r="D6" a="1"/>
  <c r="D8" a="1"/>
  <c r="D17" a="1"/>
  <c r="D28" a="1"/>
  <c r="D21" a="1"/>
  <c r="D5" l="1"/>
  <c r="F5" s="1"/>
  <c r="D16"/>
  <c r="D12"/>
  <c r="E12" s="1"/>
  <c r="D7"/>
  <c r="D13"/>
  <c r="D9"/>
  <c r="F9" s="1"/>
  <c r="D17"/>
  <c r="E17" s="1"/>
  <c r="D32"/>
  <c r="D28"/>
  <c r="D24"/>
  <c r="D31"/>
  <c r="D27"/>
  <c r="D23"/>
  <c r="D20"/>
  <c r="D6"/>
  <c r="D14"/>
  <c r="D10"/>
  <c r="F10" s="1"/>
  <c r="D15"/>
  <c r="D11"/>
  <c r="E11" s="1"/>
  <c r="D8"/>
  <c r="D18"/>
  <c r="D30"/>
  <c r="D26"/>
  <c r="D22"/>
  <c r="D29"/>
  <c r="E29" s="1"/>
  <c r="D25"/>
  <c r="F25" s="1"/>
  <c r="D21"/>
  <c r="D19"/>
  <c r="E5"/>
  <c r="E9"/>
  <c r="F12" l="1"/>
  <c r="F17"/>
  <c r="E10"/>
  <c r="F11"/>
  <c r="E21"/>
  <c r="F21"/>
  <c r="F29"/>
  <c r="C29"/>
  <c r="A29"/>
  <c r="B29"/>
  <c r="E26"/>
  <c r="F26"/>
  <c r="E18"/>
  <c r="F18"/>
  <c r="F6"/>
  <c r="E6"/>
  <c r="F23"/>
  <c r="E23"/>
  <c r="F31"/>
  <c r="E31"/>
  <c r="C31"/>
  <c r="A31"/>
  <c r="B31"/>
  <c r="E28"/>
  <c r="F28"/>
  <c r="E13"/>
  <c r="F13"/>
  <c r="C5"/>
  <c r="C6" s="1"/>
  <c r="C7" s="1"/>
  <c r="C8" s="1"/>
  <c r="C9" s="1"/>
  <c r="C10" s="1"/>
  <c r="C11" s="1"/>
  <c r="C12" s="1"/>
  <c r="C13" s="1"/>
  <c r="C14" s="1"/>
  <c r="C15" s="1"/>
  <c r="C16" s="1"/>
  <c r="C17" s="1"/>
  <c r="C18" s="1"/>
  <c r="C19" s="1"/>
  <c r="C20" s="1"/>
  <c r="C21" s="1"/>
  <c r="C22" s="1"/>
  <c r="C23" s="1"/>
  <c r="B5"/>
  <c r="B6" s="1"/>
  <c r="B7" s="1"/>
  <c r="B8" s="1"/>
  <c r="B9" s="1"/>
  <c r="B10" s="1"/>
  <c r="B11" s="1"/>
  <c r="B12" s="1"/>
  <c r="B13" s="1"/>
  <c r="B14" s="1"/>
  <c r="B15" s="1"/>
  <c r="B16" s="1"/>
  <c r="B17" s="1"/>
  <c r="B18" s="1"/>
  <c r="B19" s="1"/>
  <c r="B20" s="1"/>
  <c r="B21" s="1"/>
  <c r="B22" s="1"/>
  <c r="B23" s="1"/>
  <c r="B24" s="1"/>
  <c r="B25" s="1"/>
  <c r="B26" s="1"/>
  <c r="B27" s="1"/>
  <c r="B28" s="1"/>
  <c r="A5"/>
  <c r="A6" s="1"/>
  <c r="A7" s="1"/>
  <c r="A8" s="1"/>
  <c r="A9" s="1"/>
  <c r="A10" s="1"/>
  <c r="A11" s="1"/>
  <c r="A12" s="1"/>
  <c r="A13" s="1"/>
  <c r="A14" s="1"/>
  <c r="A15" s="1"/>
  <c r="A16" s="1"/>
  <c r="A17" s="1"/>
  <c r="A18" s="1"/>
  <c r="A19" s="1"/>
  <c r="A20" s="1"/>
  <c r="A21" s="1"/>
  <c r="A22" s="1"/>
  <c r="A23" s="1"/>
  <c r="A24" s="1"/>
  <c r="A25" s="1"/>
  <c r="A26" s="1"/>
  <c r="A27" s="1"/>
  <c r="A28" s="1"/>
  <c r="F19"/>
  <c r="E19"/>
  <c r="E25"/>
  <c r="E22"/>
  <c r="F22"/>
  <c r="E30"/>
  <c r="F30"/>
  <c r="C30"/>
  <c r="A30"/>
  <c r="B30"/>
  <c r="F8"/>
  <c r="E8"/>
  <c r="E15"/>
  <c r="F15"/>
  <c r="E14"/>
  <c r="F14"/>
  <c r="F20"/>
  <c r="E20"/>
  <c r="F27"/>
  <c r="E27"/>
  <c r="F24"/>
  <c r="E24"/>
  <c r="C24"/>
  <c r="C25" s="1"/>
  <c r="C26" s="1"/>
  <c r="C27" s="1"/>
  <c r="C28" s="1"/>
  <c r="F32"/>
  <c r="E32"/>
  <c r="C32"/>
  <c r="A32"/>
  <c r="B32"/>
  <c r="F7"/>
  <c r="E7"/>
  <c r="E16"/>
  <c r="F16"/>
</calcChain>
</file>

<file path=xl/sharedStrings.xml><?xml version="1.0" encoding="utf-8"?>
<sst xmlns="http://schemas.openxmlformats.org/spreadsheetml/2006/main" count="527" uniqueCount="378">
  <si>
    <t>Any task in the Reasonable Rate Document that is defined as requiring preapproval.</t>
  </si>
  <si>
    <t>Ensure that the aforementioned dates and subtotals correspond correctly to any information on the invoices, Primary Forms, and Secondary Forms submitted with the reimbursement claim.  Inconsistencies within the provided documentation will result in reimbursement reductions or denials.</t>
  </si>
  <si>
    <t>City / County</t>
  </si>
  <si>
    <t>Incident #</t>
  </si>
  <si>
    <t>(Reserved for Incident Manager)</t>
  </si>
  <si>
    <t>Task Authorization Number:</t>
  </si>
  <si>
    <t>Phone / Fax Number</t>
  </si>
  <si>
    <t>Site Risk / Rank / Abatement:</t>
  </si>
  <si>
    <t>PREAPPROVAL / TASK AUTHORIZATION</t>
  </si>
  <si>
    <t>FINAL REIMBURSEMENT</t>
  </si>
  <si>
    <t>(See Instructions / RRD for Tasks requiring Preapproval / Task Authorization)</t>
  </si>
  <si>
    <t>RO Auth</t>
  </si>
  <si>
    <t>CO Auth</t>
  </si>
  <si>
    <t>/</t>
  </si>
  <si>
    <t>Requested</t>
  </si>
  <si>
    <t>Preapproved</t>
  </si>
  <si>
    <t>Total Standard Costs</t>
  </si>
  <si>
    <t>Total Third Pty Costs</t>
  </si>
  <si>
    <r>
      <t>Site Name</t>
    </r>
    <r>
      <rPr>
        <u/>
        <sz val="9"/>
        <rFont val="Arial"/>
        <family val="2"/>
      </rPr>
      <t/>
    </r>
  </si>
  <si>
    <t>Region</t>
  </si>
  <si>
    <t>Incident Mgr</t>
  </si>
  <si>
    <t>(Must Complete with Claim Submittal)</t>
  </si>
  <si>
    <t>Prev. TA #</t>
  </si>
  <si>
    <t>TA Supplement / Change Order?</t>
  </si>
  <si>
    <t>Task #</t>
  </si>
  <si>
    <t>NORTH CAROLINA DEPARTMENT OF ENVIRONMENT &amp; NATURAL RESOURCES</t>
  </si>
  <si>
    <t>LEAKING PETROLEUM UNDERGROUND STORAGE TANK CLEANUP FUNDS</t>
  </si>
  <si>
    <t>Tasks or phases of work requiring preapproval include:</t>
  </si>
  <si>
    <t>Preapproval Procedures</t>
  </si>
  <si>
    <t>Preapproval Requirement</t>
  </si>
  <si>
    <t xml:space="preserve"> </t>
  </si>
  <si>
    <t xml:space="preserve">The Preapproval form must be completed in full, with the exception of those portions explicitly reserved for UST Section personnel (designated as 'Incident Manager', 'RO', 'CO', and 'UST Section').  This includes the completion of the required text in the form header, as well as the 'Task/Lab', 'Unit/Type', and 'Rate/Price' columns. </t>
  </si>
  <si>
    <t>Claim Procedures</t>
  </si>
  <si>
    <t>Total Standard Costs (Not Third Party)</t>
  </si>
  <si>
    <t>TOTAL:</t>
  </si>
  <si>
    <t>Total applied as Third Party Deductible/Damage Costs</t>
  </si>
  <si>
    <t xml:space="preserve">With Claim: </t>
  </si>
  <si>
    <t>2 - Only Tasks included on this PATA form may be claimed.  Do not include other Tasks or claimed costs (i.e., Claim preparation) that were not preapproved.</t>
  </si>
  <si>
    <t>All aggressive fluid-vapor recovery events after completion of the first emergency response event.</t>
  </si>
  <si>
    <t/>
  </si>
  <si>
    <t>Discrete Tasks</t>
  </si>
  <si>
    <t>Eligibility</t>
  </si>
  <si>
    <t>CleanUpPze</t>
  </si>
  <si>
    <t>OwnID</t>
  </si>
  <si>
    <t>ConsID</t>
  </si>
  <si>
    <t>Directed</t>
  </si>
  <si>
    <t>Claimed</t>
  </si>
  <si>
    <t>ClaimDate</t>
  </si>
  <si>
    <t>ClaimNote</t>
  </si>
  <si>
    <t>ReimbType Name</t>
  </si>
  <si>
    <t>Type Value</t>
  </si>
  <si>
    <t>NON-DIRECTED</t>
  </si>
  <si>
    <t>FREE PRODUCT</t>
  </si>
  <si>
    <t>RP Type</t>
  </si>
  <si>
    <t>Owner/Operator</t>
  </si>
  <si>
    <t>Landowner</t>
  </si>
  <si>
    <t>Attorney-In-Fact</t>
  </si>
  <si>
    <t>County List</t>
  </si>
  <si>
    <t>Alamance</t>
  </si>
  <si>
    <t>WS</t>
  </si>
  <si>
    <t>Alexander</t>
  </si>
  <si>
    <t>MOR</t>
  </si>
  <si>
    <t>Alleghany</t>
  </si>
  <si>
    <t>Anson</t>
  </si>
  <si>
    <t>FAY</t>
  </si>
  <si>
    <t>Ashe</t>
  </si>
  <si>
    <t>Avery</t>
  </si>
  <si>
    <t>ASH</t>
  </si>
  <si>
    <t>Beaufort</t>
  </si>
  <si>
    <t>WAS</t>
  </si>
  <si>
    <t>Bertie</t>
  </si>
  <si>
    <t>Bladen</t>
  </si>
  <si>
    <t>Brunswick</t>
  </si>
  <si>
    <t>WIL</t>
  </si>
  <si>
    <t>Buncombe</t>
  </si>
  <si>
    <t>Burke</t>
  </si>
  <si>
    <t>Cabarrus</t>
  </si>
  <si>
    <t>Caldwell</t>
  </si>
  <si>
    <t>Camden</t>
  </si>
  <si>
    <t>Carteret</t>
  </si>
  <si>
    <t>Caswell</t>
  </si>
  <si>
    <t>Catawba</t>
  </si>
  <si>
    <t>Chatham</t>
  </si>
  <si>
    <t>RAL</t>
  </si>
  <si>
    <t>Cherokee</t>
  </si>
  <si>
    <t>Chowan</t>
  </si>
  <si>
    <t>Clay</t>
  </si>
  <si>
    <t>Cleveland</t>
  </si>
  <si>
    <t>Columbus</t>
  </si>
  <si>
    <t>Craven</t>
  </si>
  <si>
    <t>Cumberland</t>
  </si>
  <si>
    <t>Currituck</t>
  </si>
  <si>
    <t>Dare</t>
  </si>
  <si>
    <t>Davidson</t>
  </si>
  <si>
    <t>Davie</t>
  </si>
  <si>
    <t>Duplin</t>
  </si>
  <si>
    <t>Durham</t>
  </si>
  <si>
    <t>Edgecombe</t>
  </si>
  <si>
    <t>Forsyth</t>
  </si>
  <si>
    <t>Franklin</t>
  </si>
  <si>
    <t>Gaston</t>
  </si>
  <si>
    <t>Gates</t>
  </si>
  <si>
    <t>Graham</t>
  </si>
  <si>
    <t>Granville</t>
  </si>
  <si>
    <t>Greene</t>
  </si>
  <si>
    <t>Guilford</t>
  </si>
  <si>
    <t>Halifax</t>
  </si>
  <si>
    <t>Harnett</t>
  </si>
  <si>
    <t>Haywood</t>
  </si>
  <si>
    <t>Henderson</t>
  </si>
  <si>
    <t>Hertford</t>
  </si>
  <si>
    <t>Hoke</t>
  </si>
  <si>
    <t>Hyde</t>
  </si>
  <si>
    <t>Iredell</t>
  </si>
  <si>
    <t>Jackson</t>
  </si>
  <si>
    <t>Johnston</t>
  </si>
  <si>
    <t>Jones</t>
  </si>
  <si>
    <t>Lee</t>
  </si>
  <si>
    <t>Lenoir</t>
  </si>
  <si>
    <t>Lincoln</t>
  </si>
  <si>
    <t>Macon</t>
  </si>
  <si>
    <t>Madison</t>
  </si>
  <si>
    <t>Martin</t>
  </si>
  <si>
    <t>McDowell</t>
  </si>
  <si>
    <t>Mecklenburg</t>
  </si>
  <si>
    <t>Mitchell</t>
  </si>
  <si>
    <t>Montgomery</t>
  </si>
  <si>
    <t>Moore</t>
  </si>
  <si>
    <t>Nash</t>
  </si>
  <si>
    <t>New Hanover</t>
  </si>
  <si>
    <t>Northampton</t>
  </si>
  <si>
    <t>Onslow</t>
  </si>
  <si>
    <t>Orange</t>
  </si>
  <si>
    <t>Pamlico</t>
  </si>
  <si>
    <t>Pasquotank</t>
  </si>
  <si>
    <t>Pender</t>
  </si>
  <si>
    <t>Perquimans</t>
  </si>
  <si>
    <t>Person</t>
  </si>
  <si>
    <t>Pitt</t>
  </si>
  <si>
    <t>Polk</t>
  </si>
  <si>
    <t>Randolph</t>
  </si>
  <si>
    <t>Richmond</t>
  </si>
  <si>
    <t>Robeson</t>
  </si>
  <si>
    <t>Rockingham</t>
  </si>
  <si>
    <t>Rowan</t>
  </si>
  <si>
    <t>Rutherford</t>
  </si>
  <si>
    <t>Sampson</t>
  </si>
  <si>
    <t>Scotland</t>
  </si>
  <si>
    <t>Stanly</t>
  </si>
  <si>
    <t>Stokes</t>
  </si>
  <si>
    <t>Surry</t>
  </si>
  <si>
    <t>Swain</t>
  </si>
  <si>
    <t>Transylvania</t>
  </si>
  <si>
    <t>Tyrell</t>
  </si>
  <si>
    <t>Union</t>
  </si>
  <si>
    <t>Vance</t>
  </si>
  <si>
    <t>Wake</t>
  </si>
  <si>
    <t>Warren</t>
  </si>
  <si>
    <t>Washington</t>
  </si>
  <si>
    <t>Watauga</t>
  </si>
  <si>
    <t>Wayne</t>
  </si>
  <si>
    <t>Wilkes</t>
  </si>
  <si>
    <t>Wilson</t>
  </si>
  <si>
    <t>Yadkin</t>
  </si>
  <si>
    <t>Yancey</t>
  </si>
  <si>
    <t>RO</t>
  </si>
  <si>
    <t>Lab Codes</t>
  </si>
  <si>
    <t>#210</t>
  </si>
  <si>
    <t>#220</t>
  </si>
  <si>
    <t>#230</t>
  </si>
  <si>
    <t>#240</t>
  </si>
  <si>
    <t>#271</t>
  </si>
  <si>
    <t>#272</t>
  </si>
  <si>
    <t>#280</t>
  </si>
  <si>
    <t>#290</t>
  </si>
  <si>
    <t>#300</t>
  </si>
  <si>
    <t>#301</t>
  </si>
  <si>
    <t>#310</t>
  </si>
  <si>
    <t>#320</t>
  </si>
  <si>
    <t>#321</t>
  </si>
  <si>
    <t>#330</t>
  </si>
  <si>
    <t>#331</t>
  </si>
  <si>
    <t>#340</t>
  </si>
  <si>
    <t>#341</t>
  </si>
  <si>
    <t>#342</t>
  </si>
  <si>
    <t>#350</t>
  </si>
  <si>
    <t>#360</t>
  </si>
  <si>
    <t>#370</t>
  </si>
  <si>
    <t>#380</t>
  </si>
  <si>
    <t>#390</t>
  </si>
  <si>
    <t>#408</t>
  </si>
  <si>
    <t>#409</t>
  </si>
  <si>
    <t>#410</t>
  </si>
  <si>
    <t>#411</t>
  </si>
  <si>
    <t>#412</t>
  </si>
  <si>
    <t>#414</t>
  </si>
  <si>
    <t>#415</t>
  </si>
  <si>
    <t>#416</t>
  </si>
  <si>
    <t>#417</t>
  </si>
  <si>
    <t>#420</t>
  </si>
  <si>
    <t>#421</t>
  </si>
  <si>
    <t>#422</t>
  </si>
  <si>
    <t>#424</t>
  </si>
  <si>
    <t>#430</t>
  </si>
  <si>
    <t>#440</t>
  </si>
  <si>
    <t>#441</t>
  </si>
  <si>
    <t>#442</t>
  </si>
  <si>
    <t>#460</t>
  </si>
  <si>
    <t>#470</t>
  </si>
  <si>
    <t>#490</t>
  </si>
  <si>
    <t>#500</t>
  </si>
  <si>
    <t>#510</t>
  </si>
  <si>
    <t>#520</t>
  </si>
  <si>
    <t>#521</t>
  </si>
  <si>
    <t>#590</t>
  </si>
  <si>
    <t>#600</t>
  </si>
  <si>
    <t>#620</t>
  </si>
  <si>
    <t>#630</t>
  </si>
  <si>
    <t>#640</t>
  </si>
  <si>
    <t>#650</t>
  </si>
  <si>
    <t>#660</t>
  </si>
  <si>
    <t>#670</t>
  </si>
  <si>
    <t>#680</t>
  </si>
  <si>
    <t>#690</t>
  </si>
  <si>
    <t>#700</t>
  </si>
  <si>
    <t>#710</t>
  </si>
  <si>
    <t>#720</t>
  </si>
  <si>
    <t>#740</t>
  </si>
  <si>
    <t>#760</t>
  </si>
  <si>
    <t>#770</t>
  </si>
  <si>
    <t>#771</t>
  </si>
  <si>
    <t>#780</t>
  </si>
  <si>
    <t>#781</t>
  </si>
  <si>
    <t>#790</t>
  </si>
  <si>
    <t>#800</t>
  </si>
  <si>
    <t>#810</t>
  </si>
  <si>
    <t>#820</t>
  </si>
  <si>
    <t>#830</t>
  </si>
  <si>
    <t>#840</t>
  </si>
  <si>
    <t>#850</t>
  </si>
  <si>
    <t>#860</t>
  </si>
  <si>
    <t>#870</t>
  </si>
  <si>
    <t>#874</t>
  </si>
  <si>
    <t>#875</t>
  </si>
  <si>
    <t>#880</t>
  </si>
  <si>
    <t>S/H</t>
  </si>
  <si>
    <t>HA</t>
  </si>
  <si>
    <t>SB</t>
  </si>
  <si>
    <t>1A</t>
  </si>
  <si>
    <t>2A</t>
  </si>
  <si>
    <t>4A</t>
  </si>
  <si>
    <t>T3</t>
  </si>
  <si>
    <t>1P</t>
  </si>
  <si>
    <t>2P</t>
  </si>
  <si>
    <t>DIRECTED COSTS</t>
  </si>
  <si>
    <t>Dept of Environment &amp; Natural Resources  -  Division of Waste Management</t>
  </si>
  <si>
    <t>2010 Task List</t>
  </si>
  <si>
    <t>SiteID</t>
  </si>
  <si>
    <t>ClaimID</t>
  </si>
  <si>
    <t>ApplID</t>
  </si>
  <si>
    <t>ClmNote</t>
  </si>
  <si>
    <t>ReimType</t>
  </si>
  <si>
    <t>P50ChkCom</t>
  </si>
  <si>
    <t>P50AmtCom</t>
  </si>
  <si>
    <t>FnlAmtCom</t>
  </si>
  <si>
    <t>FnlChkCom</t>
  </si>
  <si>
    <t>P50AmtNon</t>
  </si>
  <si>
    <t>P50ChkNon</t>
  </si>
  <si>
    <t>FnlAmtNon</t>
  </si>
  <si>
    <t>FnlChkNon</t>
  </si>
  <si>
    <t>DateStrt</t>
  </si>
  <si>
    <t>DateEnd</t>
  </si>
  <si>
    <t>TaskID</t>
  </si>
  <si>
    <t>ReqAmttsk</t>
  </si>
  <si>
    <t>AppdAmttsk</t>
  </si>
  <si>
    <t>RedNote</t>
  </si>
  <si>
    <t>ePATA Test2</t>
  </si>
  <si>
    <t>Eligible</t>
  </si>
  <si>
    <t>PriRank</t>
  </si>
  <si>
    <t>IncidentNum</t>
  </si>
  <si>
    <t>SiteName</t>
  </si>
  <si>
    <t>SiteAddress</t>
  </si>
  <si>
    <t>SiteCounty</t>
  </si>
  <si>
    <t>SiteCity</t>
  </si>
  <si>
    <t>SiteNote</t>
  </si>
  <si>
    <t>FacID</t>
  </si>
  <si>
    <t>DedAmt</t>
  </si>
  <si>
    <t>FndCompct</t>
  </si>
  <si>
    <t>Ded3RD</t>
  </si>
  <si>
    <t>Sum3RD</t>
  </si>
  <si>
    <t>DedCode</t>
  </si>
  <si>
    <t>=PATA!P10</t>
  </si>
  <si>
    <t>Consult. ID/Co.Name</t>
  </si>
  <si>
    <t>RRA Date:</t>
  </si>
  <si>
    <t>Code LU</t>
  </si>
  <si>
    <t>Signature</t>
  </si>
  <si>
    <t>Date</t>
  </si>
  <si>
    <t>County of</t>
  </si>
  <si>
    <t xml:space="preserve">State of </t>
  </si>
  <si>
    <t>WITNESS my hand and official seal, this ______ day of ______________ A.D. ________</t>
  </si>
  <si>
    <r>
      <t xml:space="preserve">Proposed 
Units / Type
</t>
    </r>
    <r>
      <rPr>
        <i/>
        <sz val="8"/>
        <rFont val="Calibri"/>
        <family val="2"/>
        <scheme val="minor"/>
      </rPr>
      <t>(Consultant)</t>
    </r>
  </si>
  <si>
    <r>
      <t xml:space="preserve">Proposed Rate/Price
</t>
    </r>
    <r>
      <rPr>
        <i/>
        <sz val="8"/>
        <rFont val="Calibri"/>
        <family val="2"/>
        <scheme val="minor"/>
      </rPr>
      <t>(Consultant)</t>
    </r>
  </si>
  <si>
    <r>
      <t xml:space="preserve">Proposed Task Subtotal
</t>
    </r>
    <r>
      <rPr>
        <i/>
        <sz val="8"/>
        <rFont val="Calibri"/>
        <family val="2"/>
        <scheme val="minor"/>
      </rPr>
      <t>(Consultant)</t>
    </r>
  </si>
  <si>
    <r>
      <t xml:space="preserve">Preapproved Subtotal
</t>
    </r>
    <r>
      <rPr>
        <i/>
        <sz val="8"/>
        <rFont val="Calibri"/>
        <family val="2"/>
        <scheme val="minor"/>
      </rPr>
      <t>(UST Section)</t>
    </r>
  </si>
  <si>
    <r>
      <t>Dates of Work</t>
    </r>
    <r>
      <rPr>
        <b/>
        <vertAlign val="superscript"/>
        <sz val="12"/>
        <rFont val="Calibri"/>
        <family val="2"/>
        <scheme val="minor"/>
      </rPr>
      <t>1</t>
    </r>
    <r>
      <rPr>
        <b/>
        <sz val="9"/>
        <rFont val="Calibri"/>
        <family val="2"/>
        <scheme val="minor"/>
      </rPr>
      <t xml:space="preserve">
</t>
    </r>
    <r>
      <rPr>
        <i/>
        <sz val="8"/>
        <rFont val="Calibri"/>
        <family val="2"/>
        <scheme val="minor"/>
      </rPr>
      <t>(Consultant)</t>
    </r>
    <r>
      <rPr>
        <i/>
        <sz val="9"/>
        <rFont val="Calibri"/>
        <family val="2"/>
        <scheme val="minor"/>
      </rPr>
      <t xml:space="preserve">
</t>
    </r>
    <r>
      <rPr>
        <sz val="9"/>
        <rFont val="Calibri"/>
        <family val="2"/>
        <scheme val="minor"/>
      </rPr>
      <t>Started  /  Completed</t>
    </r>
  </si>
  <si>
    <r>
      <t>Claimed Amount</t>
    </r>
    <r>
      <rPr>
        <b/>
        <vertAlign val="superscript"/>
        <sz val="9"/>
        <rFont val="Calibri"/>
        <family val="2"/>
        <scheme val="minor"/>
      </rPr>
      <t>2</t>
    </r>
    <r>
      <rPr>
        <b/>
        <sz val="9"/>
        <rFont val="Calibri"/>
        <family val="2"/>
        <scheme val="minor"/>
      </rPr>
      <t xml:space="preserve">
</t>
    </r>
    <r>
      <rPr>
        <i/>
        <sz val="8"/>
        <rFont val="Calibri"/>
        <family val="2"/>
        <scheme val="minor"/>
      </rPr>
      <t>(Consultant)</t>
    </r>
  </si>
  <si>
    <r>
      <t>Claimed</t>
    </r>
    <r>
      <rPr>
        <b/>
        <i/>
        <vertAlign val="superscript"/>
        <sz val="9"/>
        <rFont val="Calibri"/>
        <family val="2"/>
        <scheme val="minor"/>
      </rPr>
      <t>2</t>
    </r>
  </si>
  <si>
    <t>RP STF ID/Name (F/L)</t>
  </si>
  <si>
    <t>Email / PM Name (F/L)</t>
  </si>
  <si>
    <t>Proposal# / Scope Dates</t>
  </si>
  <si>
    <r>
      <t xml:space="preserve">RP Type </t>
    </r>
    <r>
      <rPr>
        <i/>
        <sz val="8"/>
        <rFont val="Calibri"/>
        <family val="2"/>
        <scheme val="minor"/>
      </rPr>
      <t>(Owner/Operator / Landowner / Attny-in-fact)</t>
    </r>
  </si>
  <si>
    <r>
      <t>Site Status</t>
    </r>
    <r>
      <rPr>
        <i/>
        <sz val="10"/>
        <rFont val="Calibri"/>
        <family val="2"/>
        <scheme val="minor"/>
      </rPr>
      <t xml:space="preserve"> </t>
    </r>
    <r>
      <rPr>
        <i/>
        <sz val="9"/>
        <rFont val="Calibri"/>
        <family val="2"/>
        <scheme val="minor"/>
      </rPr>
      <t>(Active  or  NFA Date)</t>
    </r>
  </si>
  <si>
    <r>
      <t xml:space="preserve">% Commercial </t>
    </r>
    <r>
      <rPr>
        <i/>
        <sz val="9"/>
        <rFont val="Calibri"/>
        <family val="2"/>
        <scheme val="minor"/>
      </rPr>
      <t>(C=100%,  NC=0%,  Both=1%-99%)</t>
    </r>
  </si>
  <si>
    <t>NON-DIRECTED CERTIFICATION</t>
  </si>
  <si>
    <t xml:space="preserve">I, ______________________________________ (tank owner/operator/landowner), understand and agree that reimbursement of claims submitted to the Department for costs incurred as a result of properly completing the tasks preapproved herein will not be paid until after the Department has paid all claims for tasks that the Department directs.  </t>
  </si>
  <si>
    <t>TOTAL NONDIRECTED REQUEST:</t>
  </si>
  <si>
    <t>TA Supplement/C. Order?</t>
  </si>
  <si>
    <r>
      <t>Note:</t>
    </r>
    <r>
      <rPr>
        <sz val="10"/>
        <rFont val="Arial"/>
        <family val="2"/>
      </rPr>
      <t xml:space="preserve">  An original, notarized version of this form should be submitted to the Regional Office by mail to be filed with a hard copy of the finalized   Non-Directed Electronic Preapproval Task Authorization request.  </t>
    </r>
    <r>
      <rPr>
        <b/>
        <u/>
        <sz val="10"/>
        <rFont val="Arial"/>
        <family val="2"/>
      </rPr>
      <t xml:space="preserve">The associated Non-Directed ePATA cannot be approved without receipt of this certification document. </t>
    </r>
    <r>
      <rPr>
        <sz val="10"/>
        <rFont val="Arial"/>
        <family val="2"/>
      </rPr>
      <t xml:space="preserve"> If, following receipt of the completed ePATA, you discover that other, unexpected tasks must be performed, incurring costs or using tasks not preapproved in this authorization, you must complete and submit a separate ePATA request with its own, separate Non-Directed Certification.  Additionally, a copy of this form should be attached to the hard copy of the ePATA form that is submitted with the formal claim when requesting reimbursement.  </t>
    </r>
    <r>
      <rPr>
        <b/>
        <sz val="10"/>
        <rFont val="Arial"/>
        <family val="2"/>
      </rPr>
      <t>IMPORTANT:</t>
    </r>
    <r>
      <rPr>
        <sz val="10"/>
        <rFont val="Arial"/>
        <family val="2"/>
      </rPr>
      <t xml:space="preserve"> Only one claim may be submitted during a quarter or 3-month period. </t>
    </r>
    <r>
      <rPr>
        <b/>
        <u/>
        <sz val="10"/>
        <rFont val="Arial"/>
        <family val="2"/>
      </rPr>
      <t>All preapprovals submitted within a claim are closed with that claim, and may not be reused for a separate claim, even for any remaining, 'unclaimed' tasks from the earlier submittal.</t>
    </r>
    <r>
      <rPr>
        <sz val="10"/>
        <rFont val="Arial"/>
        <family val="2"/>
      </rPr>
      <t xml:space="preserve">  Final reimbursement of costs associated with the </t>
    </r>
    <r>
      <rPr>
        <b/>
        <sz val="10"/>
        <rFont val="Arial"/>
        <family val="2"/>
      </rPr>
      <t xml:space="preserve">total preapproved </t>
    </r>
    <r>
      <rPr>
        <sz val="10"/>
        <rFont val="Arial"/>
        <family val="2"/>
      </rPr>
      <t xml:space="preserve">amount may vary depending on the eligibility status of the site (i.e., deductibles, apportionment, etc.), and the documentary validation of incurred costs as reasonable and necessary expenses per 15A NCAC 2P .0402 and .0404.  </t>
    </r>
  </si>
  <si>
    <t>by:</t>
  </si>
  <si>
    <t>(IM)</t>
  </si>
  <si>
    <t>(STF)</t>
  </si>
  <si>
    <t>TA Submittal:</t>
  </si>
  <si>
    <t>RO Review:</t>
  </si>
  <si>
    <t>CO Review:</t>
  </si>
  <si>
    <r>
      <t>Note:</t>
    </r>
    <r>
      <rPr>
        <sz val="8"/>
        <rFont val="Arial"/>
        <family val="2"/>
      </rPr>
      <t xml:space="preserve">  This Electronic Preapproval Task Authorization Form should be used to receive preapproval from the UST Section.  A proposal must be attached to elaborate on the costs for the tasks listed below that describes the scope of work and the rationale for the proposed activities.  If, following completion of this ePATA, you discover that unexpected tasks must be performed, incurring costs or for tasks not originally included with this form, you must complete and submit a separate preapproval request designated as a "</t>
    </r>
    <r>
      <rPr>
        <b/>
        <sz val="8"/>
        <rFont val="Arial"/>
        <family val="2"/>
      </rPr>
      <t>TA</t>
    </r>
    <r>
      <rPr>
        <sz val="8"/>
        <rFont val="Arial"/>
        <family val="2"/>
      </rPr>
      <t xml:space="preserve"> </t>
    </r>
    <r>
      <rPr>
        <b/>
        <sz val="8"/>
        <rFont val="Arial"/>
        <family val="2"/>
      </rPr>
      <t>Supplement / Change Order"</t>
    </r>
    <r>
      <rPr>
        <sz val="8"/>
        <rFont val="Arial"/>
        <family val="2"/>
      </rPr>
      <t xml:space="preserve"> in the provided space above.  Include a copy of the prior preapproval form for confirmation.  Please attach this form to the cover of the corresponding claim when requesting reimbursement.  </t>
    </r>
    <r>
      <rPr>
        <b/>
        <sz val="8"/>
        <rFont val="Arial"/>
        <family val="2"/>
      </rPr>
      <t>IMPORTANT:</t>
    </r>
    <r>
      <rPr>
        <sz val="8"/>
        <rFont val="Arial"/>
        <family val="2"/>
      </rPr>
      <t xml:space="preserve"> Only one claim may be submitted during a quarter or 3-month period. </t>
    </r>
    <r>
      <rPr>
        <b/>
        <u/>
        <sz val="8"/>
        <rFont val="Arial"/>
        <family val="2"/>
      </rPr>
      <t>All preapprovals submitted within a claim are closed with that claim, and may not be re-used in a separate submittal, even for costs or tasks that were not originally claimed</t>
    </r>
    <r>
      <rPr>
        <sz val="8"/>
        <rFont val="Arial"/>
        <family val="2"/>
      </rPr>
      <t xml:space="preserve">  Final reimbursement of costs associated with the </t>
    </r>
    <r>
      <rPr>
        <b/>
        <sz val="8"/>
        <rFont val="Arial"/>
        <family val="2"/>
      </rPr>
      <t>Total Claimed</t>
    </r>
    <r>
      <rPr>
        <sz val="8"/>
        <rFont val="Arial"/>
        <family val="2"/>
      </rPr>
      <t xml:space="preserve"> amount below may vary depending on the eligibility status of the site (i.e., deductibles, apportionment, etc.), and the documentary validation of incurred costs as reasonable and necessary expenses per 15A NCAC 2P .0402 and .0404.  </t>
    </r>
  </si>
  <si>
    <t>(Initials)</t>
  </si>
  <si>
    <t>(Date)</t>
  </si>
  <si>
    <t>Has STF Eligibility Been Determined? (T/F)</t>
  </si>
  <si>
    <t>ELECTRONIC PREAPPROVAL TASK  AUTHORIZATION FORM</t>
  </si>
  <si>
    <t>Dept of Environment &amp; Natural Resources  -  Div of Waste Management</t>
  </si>
  <si>
    <t>Consultant Receipt Confirmation Signature:</t>
  </si>
  <si>
    <t>(PM)</t>
  </si>
  <si>
    <t>Process Tracking</t>
  </si>
  <si>
    <r>
      <t>Date</t>
    </r>
    <r>
      <rPr>
        <vertAlign val="superscript"/>
        <sz val="9"/>
        <rFont val="Calibri"/>
        <family val="2"/>
        <scheme val="minor"/>
      </rPr>
      <t>1</t>
    </r>
  </si>
  <si>
    <t>Final Joint UST Preapproval Confirmed By:</t>
  </si>
  <si>
    <t>This one-year activity deadline from the authorization date does not supercede other regulatory deadlines (e.g., NORR's, NOV's, Enforcements, Remissions, etc.)</t>
  </si>
  <si>
    <t>1 - If no work has been started, the ePATA expires one year from the Joint UST Preapproval date.  Note: Tasks must also be claimed within one year of completion.</t>
  </si>
  <si>
    <r>
      <t xml:space="preserve">Date </t>
    </r>
    <r>
      <rPr>
        <vertAlign val="superscript"/>
        <sz val="9"/>
        <rFont val="Calibri"/>
        <family val="2"/>
        <scheme val="minor"/>
      </rPr>
      <t>3</t>
    </r>
  </si>
  <si>
    <t xml:space="preserve"> </t>
  </si>
  <si>
    <t>received and read.  Objections/appeals may be submitted via Change Order (which also does not supercede other regulatory deadlines as described in #1 above.)</t>
  </si>
  <si>
    <t>INSTRUCTIONS FOR COMPLETING AN ePATA (ELECTRONIC PREAPPROVAL) FORM</t>
  </si>
  <si>
    <t xml:space="preserve">Any work not defined by the Department as an Emergency Response (typically immediate surface water cleanup actions, initial free product recovery events in response to the discovery of free-phase hydrocarbons, vapor/explosion hazard investigations, the Initial Abatement Action done within 90 days of the release discovery, etc.) or part of the site's initial Risk Assessment (typically the LSA). </t>
  </si>
  <si>
    <t>(calculated from entry)</t>
  </si>
  <si>
    <t>each acknowledging to me that he or she signed the foregoing document: ____________________________________________.</t>
  </si>
  <si>
    <t xml:space="preserve">                   (Describe if signed individually or in representative capacity)</t>
  </si>
  <si>
    <t>Notary Public:</t>
  </si>
  <si>
    <t>My Commission expires:</t>
  </si>
  <si>
    <t>ChangeOrd:</t>
  </si>
  <si>
    <t>Consultant Name</t>
  </si>
  <si>
    <t>Responsible Party Name</t>
  </si>
  <si>
    <t>I certify that the following person(s) personally appeared before me this day: __________________________________________,</t>
  </si>
  <si>
    <t>Total Standard Costs (Not Third Party Damages)</t>
  </si>
  <si>
    <r>
      <rPr>
        <b/>
        <sz val="12"/>
        <rFont val="Calibri"/>
        <family val="2"/>
        <scheme val="minor"/>
      </rPr>
      <t xml:space="preserve">Requested Amount
</t>
    </r>
    <r>
      <rPr>
        <i/>
        <sz val="10"/>
        <rFont val="Calibri"/>
        <family val="2"/>
        <scheme val="minor"/>
      </rPr>
      <t>(as shown on the ePATA)</t>
    </r>
  </si>
  <si>
    <t>3rd Pty Ded?</t>
  </si>
  <si>
    <t>Lab / SubCode</t>
  </si>
  <si>
    <t>ELECTRONIC PREAPPROVAL TASK AUTHORIZATION FORM</t>
  </si>
  <si>
    <t>Active</t>
  </si>
  <si>
    <t>(Reserved for RO)</t>
  </si>
  <si>
    <t>3 - Preapproval is not valid (i.e., claimable) until receipt is confirmed by Consultant. Signature does not indicate full agreement with any reductions, only that the TA was</t>
  </si>
  <si>
    <r>
      <rPr>
        <b/>
        <sz val="9"/>
        <rFont val="Wingdings"/>
        <charset val="2"/>
      </rPr>
      <t>w</t>
    </r>
    <r>
      <rPr>
        <b/>
        <sz val="9"/>
        <rFont val="Calibri"/>
        <family val="2"/>
        <scheme val="minor"/>
      </rPr>
      <t xml:space="preserve"> Important: The date of reimbursement is dependent on the Trust Fund balance. There may be a delay in the reimbursement of claims for work under this ePATA.</t>
    </r>
  </si>
  <si>
    <t xml:space="preserve">Written preapproval of both tasks and associated costs must be received from the appropriate regional office before work is performed in order to receive reimbursement from the Cleanup Funds [N.C.G.S. 143-215.94E(e2) and 15A NCAC 2P.0402(b)(9)].  Preapproval must be obtained even if Fund eligibility has not been determined where later reimbursement will be sought.  Except where otherwise noted, work performed during emergency response actions (such as vapor/explosion hazards, initial abatement actions for a new release, and immediate free product recovery responses, etc.) and the risk assessment phase (Limited Site Assessment) do not require preapproval.  </t>
  </si>
  <si>
    <t>All work performed after a Risk, Rank and Abatement determination is made for the site (typically, but not always, following completion of a Limited Site Assessment) including any corrective action excavations done as following a tank closure event performed after the RRA score is assigned.</t>
  </si>
  <si>
    <t>Note that any Initial Abatement Action or Limited Site Assessment activity that varies from or exceeds the scopes of work defined in the STIRA (tank closure) or ACA (assessment) guidelines, and/or the Reasonable Rate Document, (excepting only those variations specifically allowed in the aforementioned documents) should be approved in writing by the Incident Manager.  Formal 'Preapproval' is not required, but may be used as documentation of the work as reasonable and necessary.</t>
  </si>
  <si>
    <r>
      <t xml:space="preserve">Complete the TA by first selecting the merged cell with the TA title in it (Cells A1-J2) </t>
    </r>
    <r>
      <rPr>
        <i/>
        <sz val="9"/>
        <rFont val="Arial"/>
        <family val="2"/>
      </rPr>
      <t>then</t>
    </r>
    <r>
      <rPr>
        <sz val="9"/>
        <rFont val="Arial"/>
        <family val="2"/>
      </rPr>
      <t xml:space="preserve"> picking the applicable Preappoval type in the dropdown menu (Directed, NonDirected, Free Product Program). [Note that a NonDirected preapproval request </t>
    </r>
    <r>
      <rPr>
        <b/>
        <u/>
        <sz val="9"/>
        <rFont val="Arial"/>
        <family val="2"/>
      </rPr>
      <t>will require</t>
    </r>
    <r>
      <rPr>
        <sz val="9"/>
        <rFont val="Arial"/>
        <family val="2"/>
      </rPr>
      <t xml:space="preserve"> that a scanned copy of the NonDirected Certification (notarized statement from the RP acknowledging the delayed reimbursement schedule for NonDirected work) be attached to the submittal, with the original subsequently submitted by mail to the Regional Office.]</t>
    </r>
  </si>
  <si>
    <t>Enter in the requested 'Tasks', 'Units' and unit 'Type' (e.g., ft, hrs, mw, 6200b, etc.), then the 'Rate' per unit or lump 'Price' (if bidded) in the appropriate columns, and, if applicable, designate the task as being a Third Party Deductible/Damages Task in the far left column with a 'Y'.  If not a Third Party Damages cost, leave the leftmost column blank.  [Note that that the "Total Applied as Third Party Deductible/Damages Costs" relates to a separate deductible for costs associated with bodily injury or property damage, including loss of normal use of their property, for neighboring property owners (or a new non-RP site owner) impacted by the release (NCGS 143-215.94B(b)(5) and 143-215.94D(b1)(2)). It is not for costs related to 'Third-Party' vendors or service providers (which are not tracked separately.)]</t>
  </si>
  <si>
    <t>Confirm that the Proposed Task Subtotal is accurate, that the summed Requested Totals are accurate, and enter a submittal date at the bottom of the form.  Then save a copy of the submittal as &lt; incident#-TA# Site Name yyyy-mm-dd &gt;  (e.g., "123456-78 John Doe Residence 2012-01-31" and email a copy of the finalized TA Excel file to the appropriate Regional Office Incident Manager, along with a copy of the workplan/proposal justifying the work included within the TA and any necessary maps or tables.  [A submittal PM signature should not be included at this time. See #7 below.]</t>
  </si>
  <si>
    <t xml:space="preserve">Once preapproval is authorized by both Branches, the Regional Office will send a copy of the finalized Preapproval form directly to the Main Consultant/Contractor.  Upon receipt, the PM should also sign and date the final hard copy in the space provided. After receiving the finalized Preapproval form, the approved activities may be initiated. Any costs incurred prior to the final UST Section authorization date on the Preapproval may not be claimed as a "preapproved" cost under that form. </t>
  </si>
  <si>
    <t xml:space="preserve">If the Main Consultant/Contractor discovers that unexpected tasks must be performed and/or costs will be incurred that exceed the preapproved amount, a 'supplementary' ePATA change order must be submitted (using the same file, but designated as such where applicable in the form header.)  List all previous PATA numbers associated with this revised request and include scans/copies of the earlier approved PATA form(s) along with a written justification to the Regional Office.  This form must be approved by all applicable UST Section staff prior to conducting the additional work.  The supplementary Preapproval form should include only the additional requested tasks and costs, and should not carry forward any previously-approved costs from an earlier PATA.  </t>
  </si>
  <si>
    <t xml:space="preserve"> If verbal preapproval is authorized over the telephone or by email, it is the responsibility of the consultant to prepare a formal ePATA submittal as outlined above and ensure that this file is submitted to the Regional Office within one week of the verbal authorization.  Failure to acquire this document will result in non-payment of the costs.</t>
  </si>
  <si>
    <t>After the work has been completed, the finalized Preapproval form will serve as the cover to the Main Consultant/Contractor invoices submitted with the reimbursement claim. Please note that multiple PATA's may be submitted with a single reimbursement claim.  Once claimed, however, each Preapproval Task Authorization (including associated PATA supplements/change orders, whether claimed or not) is closed and no other costs may be claimed under that preapproval.  Additionally, except where a claim exceeds $20,000, only one claim may be submitted for a given site during a 90-day period.</t>
  </si>
  <si>
    <t>Complete the "Final Reimbursement" section of all Preapproval forms included with a reimbursement claim. Designate the applicable date(s) of work specific to each task and the amount claimed for these dates under each Preapproval.  This portion of the Preapproval form must be completed for the reimbursement request to be properly reviewed.  Any failure to properly document the required information will result in the return of any filed claim, unprocessed.</t>
  </si>
  <si>
    <t xml:space="preserve">Complete the Electronic Preapproval Task Authorization Form (ePATA) excel worksheet included in this file.  DO NOT MODIFY the form or alter the other worksheets in the file, as this will impact the ability to have the information uploaded into the State Trust Fund Preapproval database in a timely manner.  If additional room is needed, break the requested scope into related task groupings and submit a separate ePATA file for each group. </t>
  </si>
  <si>
    <t xml:space="preserve">Next, enter in all of the associated Site, Responsble Party, and Consultant Information at the top of the TA.  Do not enter any information in the "Reserved for Incident Manager" box.  Where known, the RP and Consultant ID numbers may be entered at this time as well.  Though not required, these ID numbers may be obtained by contacting Jared Edwards at jared.edwards@ncdenr.gov or by referencing previous ePATA's for this or other sites where this information was already provided (the ID #'s are consistent for each RP and Consultant across multiple sites.) </t>
  </si>
  <si>
    <t>CLICK HERE FIRST TO USE DROPDOWN -&gt;</t>
  </si>
  <si>
    <t>[  ] All Main Consultant/Contractor invoices attached?</t>
  </si>
  <si>
    <t>[  ] Proof of payment attached directly to the front of each invoice?</t>
  </si>
  <si>
    <t>If you receive an error message when entering data, it likely means that the cell you are using either has a specific format type (like dates) or has a preset list available via dropdown menu (text can still be entered manually for these, but it must match the style/options in the dropdown.)  Please follow the instructions on the error message to match the appropriate data validation rules.</t>
  </si>
  <si>
    <t>DWM/UST NonDir Cert V.03/19/2013</t>
  </si>
</sst>
</file>

<file path=xl/styles.xml><?xml version="1.0" encoding="utf-8"?>
<styleSheet xmlns="http://schemas.openxmlformats.org/spreadsheetml/2006/main">
  <numFmts count="5">
    <numFmt numFmtId="7" formatCode="&quot;$&quot;#,##0.00_);\(&quot;$&quot;#,##0.00\)"/>
    <numFmt numFmtId="8" formatCode="&quot;$&quot;#,##0.00_);[Red]\(&quot;$&quot;#,##0.00\)"/>
    <numFmt numFmtId="164" formatCode="&quot;$&quot;#,##0.00"/>
    <numFmt numFmtId="165" formatCode="0.000"/>
    <numFmt numFmtId="166" formatCode="m/d/yy;@"/>
  </numFmts>
  <fonts count="58">
    <font>
      <sz val="10"/>
      <name val="Arial"/>
    </font>
    <font>
      <sz val="10"/>
      <name val="Arial"/>
      <family val="2"/>
    </font>
    <font>
      <sz val="10"/>
      <name val="Helv"/>
    </font>
    <font>
      <sz val="9"/>
      <name val="Arial"/>
      <family val="2"/>
    </font>
    <font>
      <sz val="9"/>
      <name val="Arial"/>
      <family val="2"/>
    </font>
    <font>
      <u/>
      <sz val="9"/>
      <name val="Arial"/>
      <family val="2"/>
    </font>
    <font>
      <sz val="8"/>
      <name val="Arial"/>
      <family val="2"/>
    </font>
    <font>
      <b/>
      <sz val="8"/>
      <name val="Arial"/>
      <family val="2"/>
    </font>
    <font>
      <b/>
      <u/>
      <sz val="8"/>
      <name val="Arial"/>
      <family val="2"/>
    </font>
    <font>
      <b/>
      <u/>
      <sz val="10"/>
      <name val="Arial"/>
      <family val="2"/>
    </font>
    <font>
      <sz val="10"/>
      <name val="Arial"/>
      <family val="2"/>
    </font>
    <font>
      <b/>
      <sz val="10"/>
      <name val="Helv"/>
    </font>
    <font>
      <sz val="7"/>
      <name val="Arial"/>
      <family val="2"/>
    </font>
    <font>
      <b/>
      <sz val="10"/>
      <name val="Arial"/>
      <family val="2"/>
    </font>
    <font>
      <sz val="8"/>
      <name val="Arial"/>
      <family val="2"/>
    </font>
    <font>
      <sz val="10"/>
      <name val="Symbol"/>
      <family val="1"/>
      <charset val="2"/>
    </font>
    <font>
      <b/>
      <i/>
      <sz val="10"/>
      <name val="Arial"/>
      <family val="2"/>
    </font>
    <font>
      <b/>
      <sz val="12"/>
      <name val="Arial"/>
      <family val="2"/>
    </font>
    <font>
      <sz val="11"/>
      <color indexed="8"/>
      <name val="Calibri"/>
      <family val="2"/>
    </font>
    <font>
      <sz val="10"/>
      <color indexed="8"/>
      <name val="Arial"/>
      <family val="2"/>
    </font>
    <font>
      <sz val="11"/>
      <name val="Arial"/>
      <family val="2"/>
    </font>
    <font>
      <sz val="10"/>
      <color indexed="8"/>
      <name val="Arial"/>
      <family val="2"/>
    </font>
    <font>
      <b/>
      <u/>
      <sz val="9"/>
      <name val="Arial"/>
      <family val="2"/>
    </font>
    <font>
      <sz val="10"/>
      <name val="Calibri"/>
      <family val="2"/>
      <scheme val="minor"/>
    </font>
    <font>
      <sz val="11"/>
      <color indexed="8"/>
      <name val="Calibri"/>
      <family val="2"/>
      <scheme val="minor"/>
    </font>
    <font>
      <sz val="10"/>
      <color indexed="8"/>
      <name val="Calibri"/>
      <family val="2"/>
      <scheme val="minor"/>
    </font>
    <font>
      <sz val="8"/>
      <color indexed="8"/>
      <name val="Calibri"/>
      <family val="2"/>
    </font>
    <font>
      <sz val="11"/>
      <color indexed="8"/>
      <name val="Calibri"/>
      <family val="2"/>
    </font>
    <font>
      <sz val="10"/>
      <color indexed="8"/>
      <name val="Arial"/>
      <family val="2"/>
    </font>
    <font>
      <b/>
      <sz val="8"/>
      <name val="Calibri"/>
      <family val="2"/>
      <scheme val="minor"/>
    </font>
    <font>
      <sz val="9"/>
      <name val="Calibri"/>
      <family val="2"/>
      <scheme val="minor"/>
    </font>
    <font>
      <b/>
      <sz val="9"/>
      <name val="Calibri"/>
      <family val="2"/>
      <scheme val="minor"/>
    </font>
    <font>
      <b/>
      <sz val="24"/>
      <name val="Calibri"/>
      <family val="2"/>
      <scheme val="minor"/>
    </font>
    <font>
      <b/>
      <sz val="10"/>
      <name val="Calibri"/>
      <family val="2"/>
      <scheme val="minor"/>
    </font>
    <font>
      <sz val="8"/>
      <name val="Calibri"/>
      <family val="2"/>
      <scheme val="minor"/>
    </font>
    <font>
      <i/>
      <sz val="9"/>
      <name val="Calibri"/>
      <family val="2"/>
      <scheme val="minor"/>
    </font>
    <font>
      <b/>
      <i/>
      <sz val="9"/>
      <name val="Calibri"/>
      <family val="2"/>
      <scheme val="minor"/>
    </font>
    <font>
      <i/>
      <sz val="8"/>
      <name val="Calibri"/>
      <family val="2"/>
      <scheme val="minor"/>
    </font>
    <font>
      <b/>
      <u/>
      <sz val="10"/>
      <name val="Calibri"/>
      <family val="2"/>
      <scheme val="minor"/>
    </font>
    <font>
      <b/>
      <vertAlign val="superscript"/>
      <sz val="12"/>
      <name val="Calibri"/>
      <family val="2"/>
      <scheme val="minor"/>
    </font>
    <font>
      <b/>
      <vertAlign val="superscript"/>
      <sz val="9"/>
      <name val="Calibri"/>
      <family val="2"/>
      <scheme val="minor"/>
    </font>
    <font>
      <b/>
      <i/>
      <vertAlign val="superscript"/>
      <sz val="9"/>
      <name val="Calibri"/>
      <family val="2"/>
      <scheme val="minor"/>
    </font>
    <font>
      <vertAlign val="superscript"/>
      <sz val="9"/>
      <name val="Calibri"/>
      <family val="2"/>
      <scheme val="minor"/>
    </font>
    <font>
      <sz val="7"/>
      <name val="Calibri"/>
      <family val="2"/>
      <scheme val="minor"/>
    </font>
    <font>
      <i/>
      <sz val="10"/>
      <name val="Calibri"/>
      <family val="2"/>
      <scheme val="minor"/>
    </font>
    <font>
      <b/>
      <i/>
      <sz val="10"/>
      <name val="Calibri"/>
      <family val="2"/>
      <scheme val="minor"/>
    </font>
    <font>
      <b/>
      <sz val="12"/>
      <name val="Calibri"/>
      <family val="2"/>
      <scheme val="minor"/>
    </font>
    <font>
      <b/>
      <sz val="14"/>
      <name val="Calibri"/>
      <family val="2"/>
      <scheme val="minor"/>
    </font>
    <font>
      <b/>
      <sz val="20"/>
      <name val="Calibri"/>
      <family val="2"/>
      <scheme val="minor"/>
    </font>
    <font>
      <sz val="12"/>
      <name val="Calibri"/>
      <family val="2"/>
      <scheme val="minor"/>
    </font>
    <font>
      <sz val="11"/>
      <name val="Calibri"/>
      <family val="2"/>
      <scheme val="minor"/>
    </font>
    <font>
      <b/>
      <sz val="11"/>
      <name val="Calibri"/>
      <family val="2"/>
      <scheme val="minor"/>
    </font>
    <font>
      <sz val="12"/>
      <name val="Arial"/>
      <family val="2"/>
    </font>
    <font>
      <b/>
      <i/>
      <sz val="12"/>
      <name val="Calibri"/>
      <family val="2"/>
      <scheme val="minor"/>
    </font>
    <font>
      <i/>
      <sz val="12"/>
      <name val="Calibri"/>
      <family val="2"/>
      <scheme val="minor"/>
    </font>
    <font>
      <b/>
      <sz val="9"/>
      <name val="Wingdings"/>
      <charset val="2"/>
    </font>
    <font>
      <i/>
      <sz val="9"/>
      <name val="Arial"/>
      <family val="2"/>
    </font>
    <font>
      <i/>
      <sz val="10"/>
      <name val="Arial"/>
      <family val="2"/>
    </font>
  </fonts>
  <fills count="3">
    <fill>
      <patternFill patternType="none"/>
    </fill>
    <fill>
      <patternFill patternType="gray125"/>
    </fill>
    <fill>
      <patternFill patternType="solid">
        <fgColor indexed="22"/>
        <bgColor indexed="0"/>
      </patternFill>
    </fill>
  </fills>
  <borders count="50">
    <border>
      <left/>
      <right/>
      <top/>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top/>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double">
        <color indexed="64"/>
      </right>
      <top style="thin">
        <color indexed="64"/>
      </top>
      <bottom style="thin">
        <color indexed="64"/>
      </bottom>
      <diagonal/>
    </border>
    <border>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style="thin">
        <color indexed="22"/>
      </right>
      <top style="thin">
        <color indexed="22"/>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double">
        <color auto="1"/>
      </top>
      <bottom style="thin">
        <color indexed="64"/>
      </bottom>
      <diagonal/>
    </border>
    <border>
      <left/>
      <right style="double">
        <color auto="1"/>
      </right>
      <top/>
      <bottom/>
      <diagonal/>
    </border>
    <border>
      <left style="thin">
        <color indexed="64"/>
      </left>
      <right style="thin">
        <color indexed="64"/>
      </right>
      <top style="medium">
        <color indexed="64"/>
      </top>
      <bottom style="thin">
        <color indexed="64"/>
      </bottom>
      <diagonal/>
    </border>
  </borders>
  <cellStyleXfs count="7">
    <xf numFmtId="0" fontId="0" fillId="0" borderId="0"/>
    <xf numFmtId="0" fontId="2" fillId="0" borderId="0"/>
    <xf numFmtId="0" fontId="19" fillId="0" borderId="0"/>
    <xf numFmtId="9" fontId="1" fillId="0" borderId="0" applyFont="0" applyFill="0" applyBorder="0" applyAlignment="0" applyProtection="0"/>
    <xf numFmtId="0" fontId="21" fillId="0" borderId="0"/>
    <xf numFmtId="0" fontId="21" fillId="0" borderId="0"/>
    <xf numFmtId="0" fontId="28" fillId="0" borderId="0"/>
  </cellStyleXfs>
  <cellXfs count="305">
    <xf numFmtId="0" fontId="0" fillId="0" borderId="0" xfId="0"/>
    <xf numFmtId="0" fontId="4" fillId="0" borderId="0" xfId="0" applyFont="1" applyBorder="1" applyAlignment="1"/>
    <xf numFmtId="0" fontId="3" fillId="0" borderId="0" xfId="0" applyFont="1" applyBorder="1" applyAlignment="1">
      <alignment horizontal="left"/>
    </xf>
    <xf numFmtId="0" fontId="3" fillId="0" borderId="0" xfId="0" applyFont="1" applyBorder="1" applyAlignment="1"/>
    <xf numFmtId="0" fontId="4" fillId="0" borderId="0" xfId="0" applyFont="1" applyBorder="1" applyAlignment="1">
      <alignment horizontal="left"/>
    </xf>
    <xf numFmtId="0" fontId="4" fillId="0" borderId="0" xfId="0" applyFont="1" applyBorder="1" applyAlignment="1">
      <alignment wrapText="1"/>
    </xf>
    <xf numFmtId="0" fontId="11" fillId="0" borderId="0" xfId="1" applyFont="1" applyBorder="1" applyAlignment="1" applyProtection="1">
      <alignment horizontal="left"/>
      <protection locked="0"/>
    </xf>
    <xf numFmtId="0" fontId="2" fillId="0" borderId="0" xfId="1" applyFont="1" applyBorder="1" applyAlignment="1" applyProtection="1">
      <alignment horizontal="left"/>
      <protection locked="0"/>
    </xf>
    <xf numFmtId="0" fontId="4" fillId="0" borderId="0" xfId="0" applyFont="1" applyBorder="1" applyAlignment="1">
      <alignment horizontal="left" wrapText="1"/>
    </xf>
    <xf numFmtId="0" fontId="6" fillId="0" borderId="0" xfId="0" applyFont="1" applyBorder="1" applyAlignment="1">
      <alignment horizontal="left"/>
    </xf>
    <xf numFmtId="0" fontId="6" fillId="0" borderId="0" xfId="0" applyFont="1" applyBorder="1" applyAlignment="1"/>
    <xf numFmtId="0" fontId="0" fillId="0" borderId="0" xfId="0" applyAlignment="1">
      <alignment horizontal="left" wrapText="1"/>
    </xf>
    <xf numFmtId="0" fontId="0" fillId="0" borderId="0" xfId="0" applyAlignment="1"/>
    <xf numFmtId="0" fontId="13" fillId="0" borderId="0" xfId="0" applyFont="1" applyAlignment="1"/>
    <xf numFmtId="0" fontId="16" fillId="0" borderId="0" xfId="0" applyFont="1" applyAlignment="1"/>
    <xf numFmtId="0" fontId="15" fillId="0" borderId="0" xfId="0" applyFont="1" applyAlignment="1">
      <alignment vertical="top"/>
    </xf>
    <xf numFmtId="0" fontId="0" fillId="0" borderId="0" xfId="0" applyAlignment="1">
      <alignment vertical="top" wrapText="1"/>
    </xf>
    <xf numFmtId="0" fontId="3" fillId="0" borderId="0" xfId="0" applyFont="1" applyAlignment="1">
      <alignment vertical="top" wrapText="1"/>
    </xf>
    <xf numFmtId="165" fontId="18" fillId="0" borderId="1" xfId="2" applyNumberFormat="1" applyFont="1" applyFill="1" applyBorder="1" applyAlignment="1">
      <alignment horizontal="right" wrapText="1"/>
    </xf>
    <xf numFmtId="0" fontId="18" fillId="2" borderId="31" xfId="4" applyFont="1" applyFill="1" applyBorder="1" applyAlignment="1">
      <alignment horizontal="center"/>
    </xf>
    <xf numFmtId="0" fontId="12" fillId="0" borderId="0" xfId="0" applyFont="1" applyBorder="1" applyAlignment="1"/>
    <xf numFmtId="0" fontId="18" fillId="2" borderId="31" xfId="4" applyFont="1" applyFill="1" applyBorder="1" applyAlignment="1">
      <alignment horizontal="right"/>
    </xf>
    <xf numFmtId="0" fontId="18" fillId="2" borderId="31" xfId="4" applyFont="1" applyFill="1" applyBorder="1" applyAlignment="1">
      <alignment horizontal="left"/>
    </xf>
    <xf numFmtId="0" fontId="3" fillId="0" borderId="0" xfId="0" applyFont="1" applyAlignment="1">
      <alignment horizontal="center" vertical="top"/>
    </xf>
    <xf numFmtId="0" fontId="10" fillId="0" borderId="0" xfId="0" applyFont="1" applyAlignment="1">
      <alignment horizontal="center"/>
    </xf>
    <xf numFmtId="0" fontId="13" fillId="0" borderId="34" xfId="0" applyFont="1" applyBorder="1"/>
    <xf numFmtId="0" fontId="10" fillId="0" borderId="35" xfId="0" applyFont="1" applyBorder="1"/>
    <xf numFmtId="165" fontId="0" fillId="0" borderId="35" xfId="0" applyNumberFormat="1" applyBorder="1" applyAlignment="1">
      <alignment horizontal="center"/>
    </xf>
    <xf numFmtId="165" fontId="0" fillId="0" borderId="36" xfId="0" applyNumberFormat="1" applyBorder="1" applyAlignment="1">
      <alignment horizontal="center"/>
    </xf>
    <xf numFmtId="0" fontId="13" fillId="0" borderId="33" xfId="0" applyFont="1" applyBorder="1"/>
    <xf numFmtId="0" fontId="10" fillId="0" borderId="5" xfId="0" applyFont="1" applyBorder="1"/>
    <xf numFmtId="0" fontId="10" fillId="0" borderId="13" xfId="0" applyFont="1" applyBorder="1"/>
    <xf numFmtId="0" fontId="13" fillId="0" borderId="24" xfId="0" applyFont="1" applyBorder="1"/>
    <xf numFmtId="0" fontId="13" fillId="0" borderId="25" xfId="0" applyFont="1" applyBorder="1"/>
    <xf numFmtId="0" fontId="10" fillId="0" borderId="37" xfId="0" applyFont="1" applyBorder="1"/>
    <xf numFmtId="0" fontId="0" fillId="0" borderId="4" xfId="0" applyBorder="1"/>
    <xf numFmtId="0" fontId="10" fillId="0" borderId="6" xfId="0" applyFont="1" applyBorder="1"/>
    <xf numFmtId="0" fontId="0" fillId="0" borderId="20" xfId="0" applyBorder="1"/>
    <xf numFmtId="0" fontId="13" fillId="0" borderId="24" xfId="0" applyFont="1" applyBorder="1" applyAlignment="1"/>
    <xf numFmtId="0" fontId="18" fillId="0" borderId="38" xfId="5" applyFont="1" applyFill="1" applyBorder="1" applyAlignment="1"/>
    <xf numFmtId="0" fontId="18" fillId="0" borderId="39" xfId="5" applyFont="1" applyFill="1" applyBorder="1" applyAlignment="1">
      <alignment wrapText="1"/>
    </xf>
    <xf numFmtId="0" fontId="18" fillId="0" borderId="40" xfId="5" applyFont="1" applyFill="1" applyBorder="1" applyAlignment="1"/>
    <xf numFmtId="0" fontId="18" fillId="0" borderId="41" xfId="5" applyFont="1" applyFill="1" applyBorder="1" applyAlignment="1">
      <alignment wrapText="1"/>
    </xf>
    <xf numFmtId="165" fontId="0" fillId="0" borderId="5" xfId="0" applyNumberFormat="1" applyBorder="1" applyAlignment="1">
      <alignment horizontal="center"/>
    </xf>
    <xf numFmtId="165" fontId="0" fillId="0" borderId="13" xfId="0" applyNumberForma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0" fontId="10" fillId="0" borderId="13" xfId="0" applyFont="1" applyBorder="1" applyAlignment="1">
      <alignment horizontal="center"/>
    </xf>
    <xf numFmtId="0" fontId="18" fillId="0" borderId="0" xfId="5" applyFont="1" applyFill="1" applyBorder="1" applyAlignment="1"/>
    <xf numFmtId="1" fontId="18" fillId="2" borderId="32" xfId="2" applyNumberFormat="1" applyFont="1" applyFill="1" applyBorder="1" applyAlignment="1">
      <alignment horizontal="center"/>
    </xf>
    <xf numFmtId="1" fontId="18" fillId="0" borderId="1" xfId="2" applyNumberFormat="1" applyFont="1" applyFill="1" applyBorder="1" applyAlignment="1">
      <alignment horizontal="right" wrapText="1"/>
    </xf>
    <xf numFmtId="1" fontId="20" fillId="0" borderId="0" xfId="0" applyNumberFormat="1" applyFont="1"/>
    <xf numFmtId="165" fontId="18" fillId="2" borderId="32" xfId="2" applyNumberFormat="1" applyFont="1" applyFill="1" applyBorder="1" applyAlignment="1">
      <alignment horizontal="center"/>
    </xf>
    <xf numFmtId="165" fontId="20" fillId="0" borderId="0" xfId="0" applyNumberFormat="1" applyFont="1"/>
    <xf numFmtId="164" fontId="18" fillId="2" borderId="32" xfId="2" applyNumberFormat="1" applyFont="1" applyFill="1" applyBorder="1" applyAlignment="1">
      <alignment horizontal="center"/>
    </xf>
    <xf numFmtId="164" fontId="18" fillId="0" borderId="1" xfId="2" applyNumberFormat="1" applyFont="1" applyFill="1" applyBorder="1" applyAlignment="1">
      <alignment horizontal="right" wrapText="1"/>
    </xf>
    <xf numFmtId="164" fontId="20" fillId="0" borderId="0" xfId="0" applyNumberFormat="1" applyFont="1"/>
    <xf numFmtId="1" fontId="25" fillId="0" borderId="0" xfId="4" applyNumberFormat="1" applyFont="1" applyAlignment="1">
      <alignment horizontal="right"/>
    </xf>
    <xf numFmtId="1" fontId="24" fillId="0" borderId="1" xfId="4" applyNumberFormat="1" applyFont="1" applyFill="1" applyBorder="1" applyAlignment="1">
      <alignment horizontal="right"/>
    </xf>
    <xf numFmtId="1" fontId="25" fillId="0" borderId="0" xfId="4" applyNumberFormat="1" applyFont="1" applyAlignment="1"/>
    <xf numFmtId="164" fontId="25" fillId="0" borderId="0" xfId="4" applyNumberFormat="1" applyFont="1" applyAlignment="1"/>
    <xf numFmtId="14" fontId="24" fillId="0" borderId="1" xfId="4" applyNumberFormat="1" applyFont="1" applyFill="1" applyBorder="1" applyAlignment="1">
      <alignment horizontal="right"/>
    </xf>
    <xf numFmtId="164" fontId="24" fillId="0" borderId="1" xfId="4" applyNumberFormat="1" applyFont="1" applyFill="1" applyBorder="1" applyAlignment="1">
      <alignment horizontal="right"/>
    </xf>
    <xf numFmtId="14" fontId="25" fillId="0" borderId="0" xfId="4" applyNumberFormat="1" applyFont="1" applyAlignment="1"/>
    <xf numFmtId="0" fontId="23" fillId="0" borderId="0" xfId="0" applyFont="1" applyAlignment="1"/>
    <xf numFmtId="0" fontId="26" fillId="2" borderId="31" xfId="4" applyFont="1" applyFill="1" applyBorder="1" applyAlignment="1">
      <alignment horizontal="center"/>
    </xf>
    <xf numFmtId="0" fontId="27" fillId="2" borderId="31" xfId="6" applyFont="1" applyFill="1" applyBorder="1" applyAlignment="1">
      <alignment horizontal="center"/>
    </xf>
    <xf numFmtId="0" fontId="27" fillId="0" borderId="1" xfId="6" applyFont="1" applyFill="1" applyBorder="1" applyAlignment="1">
      <alignment horizontal="right"/>
    </xf>
    <xf numFmtId="49" fontId="27" fillId="0" borderId="1" xfId="6" applyNumberFormat="1" applyFont="1" applyFill="1" applyBorder="1" applyAlignment="1"/>
    <xf numFmtId="164" fontId="27" fillId="0" borderId="1" xfId="6" applyNumberFormat="1" applyFont="1" applyFill="1" applyBorder="1" applyAlignment="1">
      <alignment horizontal="right"/>
    </xf>
    <xf numFmtId="0" fontId="18" fillId="2" borderId="31" xfId="6" applyFont="1" applyFill="1" applyBorder="1" applyAlignment="1">
      <alignment horizontal="center"/>
    </xf>
    <xf numFmtId="1" fontId="27" fillId="0" borderId="1" xfId="6" applyNumberFormat="1" applyFont="1" applyFill="1" applyBorder="1" applyAlignment="1">
      <alignment horizontal="right"/>
    </xf>
    <xf numFmtId="49" fontId="18" fillId="0" borderId="1" xfId="6" applyNumberFormat="1" applyFont="1" applyFill="1" applyBorder="1" applyAlignment="1"/>
    <xf numFmtId="0" fontId="18" fillId="0" borderId="1" xfId="6" applyNumberFormat="1" applyFont="1" applyFill="1" applyBorder="1" applyAlignment="1"/>
    <xf numFmtId="0" fontId="27" fillId="0" borderId="1" xfId="6" applyNumberFormat="1" applyFont="1" applyFill="1" applyBorder="1" applyAlignment="1"/>
    <xf numFmtId="0" fontId="24" fillId="0" borderId="1" xfId="4" applyNumberFormat="1" applyFont="1" applyFill="1" applyBorder="1" applyAlignment="1"/>
    <xf numFmtId="0" fontId="18" fillId="2" borderId="32" xfId="2" applyNumberFormat="1" applyFont="1" applyFill="1" applyBorder="1" applyAlignment="1">
      <alignment horizontal="center"/>
    </xf>
    <xf numFmtId="0" fontId="20" fillId="0" borderId="1" xfId="0" applyNumberFormat="1" applyFont="1" applyBorder="1"/>
    <xf numFmtId="0" fontId="18" fillId="0" borderId="1" xfId="2" applyNumberFormat="1" applyFont="1" applyFill="1" applyBorder="1" applyAlignment="1">
      <alignment wrapText="1"/>
    </xf>
    <xf numFmtId="0" fontId="20" fillId="0" borderId="0" xfId="0" applyNumberFormat="1" applyFont="1"/>
    <xf numFmtId="0" fontId="7" fillId="0" borderId="0" xfId="0" applyFont="1" applyBorder="1" applyAlignment="1">
      <alignment horizontal="justify" wrapText="1"/>
    </xf>
    <xf numFmtId="0" fontId="13" fillId="0" borderId="0" xfId="0" applyFont="1"/>
    <xf numFmtId="165" fontId="0" fillId="0" borderId="0" xfId="0" applyNumberFormat="1" applyBorder="1" applyAlignment="1">
      <alignment horizontal="center"/>
    </xf>
    <xf numFmtId="0" fontId="30" fillId="0" borderId="0" xfId="0" applyFont="1" applyBorder="1" applyAlignment="1">
      <alignment horizontal="left"/>
    </xf>
    <xf numFmtId="0" fontId="31" fillId="0" borderId="0" xfId="0" applyFont="1" applyBorder="1" applyAlignment="1">
      <alignment horizontal="left"/>
    </xf>
    <xf numFmtId="0" fontId="30" fillId="0" borderId="0" xfId="0" applyFont="1" applyBorder="1" applyAlignment="1"/>
    <xf numFmtId="0" fontId="31" fillId="0" borderId="0" xfId="0" applyFont="1" applyBorder="1" applyAlignment="1">
      <alignment horizontal="right"/>
    </xf>
    <xf numFmtId="0" fontId="35" fillId="0" borderId="0" xfId="0" applyFont="1" applyBorder="1" applyAlignment="1">
      <alignment horizontal="left"/>
    </xf>
    <xf numFmtId="0" fontId="30" fillId="0" borderId="0" xfId="0" applyFont="1" applyBorder="1" applyAlignment="1">
      <alignment horizontal="right"/>
    </xf>
    <xf numFmtId="0" fontId="30" fillId="0" borderId="0" xfId="0" quotePrefix="1" applyFont="1" applyBorder="1" applyAlignment="1">
      <alignment horizontal="left"/>
    </xf>
    <xf numFmtId="0" fontId="30" fillId="0" borderId="2" xfId="0" applyFont="1" applyBorder="1" applyAlignment="1"/>
    <xf numFmtId="0" fontId="30" fillId="0" borderId="0" xfId="0" applyFont="1" applyBorder="1" applyAlignment="1">
      <alignment horizontal="center"/>
    </xf>
    <xf numFmtId="0" fontId="34" fillId="0" borderId="0" xfId="0" applyFont="1" applyBorder="1" applyAlignment="1">
      <alignment horizontal="left"/>
    </xf>
    <xf numFmtId="0" fontId="34" fillId="0" borderId="0" xfId="0" applyFont="1" applyBorder="1" applyAlignment="1" applyProtection="1">
      <alignment horizontal="center"/>
      <protection locked="0"/>
    </xf>
    <xf numFmtId="0" fontId="37" fillId="0" borderId="15" xfId="0" applyFont="1" applyBorder="1" applyAlignment="1">
      <alignment horizontal="left"/>
    </xf>
    <xf numFmtId="0" fontId="37" fillId="0" borderId="16" xfId="0" applyFont="1" applyBorder="1" applyAlignment="1">
      <alignment horizontal="left"/>
    </xf>
    <xf numFmtId="0" fontId="37" fillId="0" borderId="16" xfId="0" applyFont="1" applyBorder="1" applyAlignment="1">
      <alignment horizontal="center"/>
    </xf>
    <xf numFmtId="0" fontId="37" fillId="0" borderId="17" xfId="0" applyFont="1" applyBorder="1" applyAlignment="1">
      <alignment horizontal="center"/>
    </xf>
    <xf numFmtId="0" fontId="29" fillId="0" borderId="0" xfId="0" applyFont="1" applyBorder="1" applyAlignment="1">
      <alignment horizontal="justify" vertical="center" wrapText="1"/>
    </xf>
    <xf numFmtId="0" fontId="30" fillId="0" borderId="3" xfId="0" applyFont="1" applyBorder="1" applyAlignment="1">
      <alignment horizontal="left"/>
    </xf>
    <xf numFmtId="0" fontId="23" fillId="0" borderId="0" xfId="0" applyFont="1" applyBorder="1" applyAlignment="1">
      <alignment horizontal="left"/>
    </xf>
    <xf numFmtId="0" fontId="29" fillId="0" borderId="9" xfId="0" applyFont="1" applyBorder="1" applyAlignment="1" applyProtection="1">
      <alignment horizontal="left" textRotation="90"/>
    </xf>
    <xf numFmtId="0" fontId="31" fillId="0" borderId="11" xfId="0" applyFont="1" applyBorder="1" applyAlignment="1">
      <alignment horizontal="center" vertical="center" textRotation="90"/>
    </xf>
    <xf numFmtId="0" fontId="31" fillId="0" borderId="4" xfId="0" applyFont="1" applyBorder="1" applyAlignment="1">
      <alignment horizontal="left"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5" xfId="0" applyFont="1" applyBorder="1" applyAlignment="1">
      <alignment horizontal="left" wrapText="1"/>
    </xf>
    <xf numFmtId="0" fontId="30" fillId="0" borderId="0" xfId="0" applyFont="1" applyBorder="1" applyAlignment="1">
      <alignment horizontal="left" wrapText="1"/>
    </xf>
    <xf numFmtId="49" fontId="33" fillId="0" borderId="9" xfId="0" applyNumberFormat="1" applyFont="1" applyBorder="1" applyAlignment="1" applyProtection="1">
      <alignment horizontal="center"/>
      <protection locked="0"/>
    </xf>
    <xf numFmtId="165" fontId="30" fillId="0" borderId="3" xfId="0" applyNumberFormat="1" applyFont="1" applyBorder="1" applyAlignment="1" applyProtection="1">
      <alignment horizontal="center" vertical="center"/>
      <protection locked="0"/>
    </xf>
    <xf numFmtId="0" fontId="30" fillId="0" borderId="7" xfId="0" applyFont="1" applyBorder="1" applyAlignment="1" applyProtection="1">
      <alignment horizontal="center"/>
      <protection locked="0"/>
    </xf>
    <xf numFmtId="0" fontId="30" fillId="0" borderId="6" xfId="0" applyFont="1" applyBorder="1" applyAlignment="1" applyProtection="1">
      <alignment horizontal="center"/>
      <protection locked="0"/>
    </xf>
    <xf numFmtId="0" fontId="30" fillId="0" borderId="18" xfId="0" quotePrefix="1" applyFont="1" applyBorder="1" applyAlignment="1" applyProtection="1">
      <alignment horizontal="center"/>
      <protection locked="0"/>
    </xf>
    <xf numFmtId="0" fontId="30" fillId="0" borderId="3" xfId="0" applyFont="1" applyBorder="1" applyAlignment="1" applyProtection="1">
      <alignment horizontal="center" shrinkToFit="1"/>
      <protection locked="0"/>
    </xf>
    <xf numFmtId="0" fontId="30" fillId="0" borderId="7" xfId="0" applyFont="1" applyBorder="1" applyAlignment="1">
      <alignment horizontal="center" shrinkToFit="1"/>
    </xf>
    <xf numFmtId="164" fontId="30" fillId="0" borderId="8" xfId="0" applyNumberFormat="1" applyFont="1" applyBorder="1" applyAlignment="1" applyProtection="1">
      <alignment horizontal="center"/>
      <protection locked="0"/>
    </xf>
    <xf numFmtId="164" fontId="30" fillId="0" borderId="7" xfId="0" applyNumberFormat="1" applyFont="1" applyBorder="1" applyAlignment="1">
      <alignment horizontal="center" shrinkToFit="1"/>
    </xf>
    <xf numFmtId="164" fontId="30" fillId="0" borderId="9" xfId="0" applyNumberFormat="1" applyFont="1" applyFill="1" applyBorder="1" applyAlignment="1" applyProtection="1">
      <alignment horizontal="center"/>
      <protection locked="0"/>
    </xf>
    <xf numFmtId="8" fontId="30" fillId="0" borderId="9" xfId="0" applyNumberFormat="1" applyFont="1" applyBorder="1" applyAlignment="1">
      <alignment horizontal="center"/>
    </xf>
    <xf numFmtId="164" fontId="30" fillId="0" borderId="13" xfId="0" applyNumberFormat="1" applyFont="1" applyFill="1" applyBorder="1" applyAlignment="1" applyProtection="1">
      <alignment horizontal="center"/>
      <protection locked="0"/>
    </xf>
    <xf numFmtId="165" fontId="30" fillId="0" borderId="18" xfId="0" applyNumberFormat="1" applyFont="1" applyBorder="1" applyAlignment="1" applyProtection="1">
      <alignment horizontal="center"/>
      <protection locked="0"/>
    </xf>
    <xf numFmtId="0" fontId="30" fillId="0" borderId="3" xfId="0" quotePrefix="1" applyFont="1" applyBorder="1" applyAlignment="1" applyProtection="1">
      <alignment horizontal="center"/>
      <protection locked="0"/>
    </xf>
    <xf numFmtId="3" fontId="30" fillId="0" borderId="0" xfId="0" applyNumberFormat="1" applyFont="1" applyBorder="1" applyAlignment="1">
      <alignment horizontal="center"/>
    </xf>
    <xf numFmtId="165" fontId="30" fillId="0" borderId="19" xfId="0" applyNumberFormat="1" applyFont="1" applyBorder="1" applyAlignment="1" applyProtection="1">
      <alignment horizontal="center"/>
      <protection locked="0"/>
    </xf>
    <xf numFmtId="0" fontId="31" fillId="0" borderId="0" xfId="0" applyFont="1" applyBorder="1" applyAlignment="1">
      <alignment horizontal="center"/>
    </xf>
    <xf numFmtId="0" fontId="31" fillId="0" borderId="0" xfId="0" quotePrefix="1" applyFont="1" applyBorder="1" applyAlignment="1">
      <alignment horizontal="left"/>
    </xf>
    <xf numFmtId="0" fontId="30" fillId="0" borderId="2" xfId="0" applyFont="1" applyBorder="1" applyAlignment="1">
      <alignment horizontal="left"/>
    </xf>
    <xf numFmtId="0" fontId="36" fillId="0" borderId="0" xfId="0" applyFont="1" applyFill="1" applyBorder="1" applyAlignment="1">
      <alignment horizontal="center"/>
    </xf>
    <xf numFmtId="0" fontId="36" fillId="0" borderId="0" xfId="0" applyFont="1" applyBorder="1" applyAlignment="1">
      <alignment horizontal="left"/>
    </xf>
    <xf numFmtId="164" fontId="30" fillId="0" borderId="0" xfId="0" applyNumberFormat="1" applyFont="1" applyBorder="1" applyAlignment="1">
      <alignment horizontal="left"/>
    </xf>
    <xf numFmtId="7" fontId="30" fillId="0" borderId="14" xfId="0" applyNumberFormat="1" applyFont="1" applyFill="1" applyBorder="1" applyAlignment="1" applyProtection="1">
      <alignment horizontal="left"/>
      <protection locked="0"/>
    </xf>
    <xf numFmtId="0" fontId="36" fillId="0" borderId="0" xfId="0" applyFont="1" applyBorder="1" applyAlignment="1">
      <alignment horizontal="right"/>
    </xf>
    <xf numFmtId="0" fontId="31" fillId="0" borderId="0" xfId="0" applyFont="1" applyFill="1" applyBorder="1" applyAlignment="1">
      <alignment horizontal="left"/>
    </xf>
    <xf numFmtId="0" fontId="30" fillId="0" borderId="0" xfId="0" applyFont="1" applyBorder="1" applyAlignment="1" applyProtection="1">
      <protection locked="0"/>
    </xf>
    <xf numFmtId="0" fontId="30" fillId="0" borderId="3" xfId="0" applyFont="1" applyBorder="1" applyAlignment="1" applyProtection="1">
      <protection locked="0"/>
    </xf>
    <xf numFmtId="0" fontId="30" fillId="0" borderId="3" xfId="0" applyFont="1" applyBorder="1" applyAlignment="1"/>
    <xf numFmtId="0" fontId="43" fillId="0" borderId="0" xfId="0" applyFont="1" applyBorder="1" applyAlignment="1">
      <alignment horizontal="left"/>
    </xf>
    <xf numFmtId="0" fontId="43" fillId="0" borderId="0" xfId="0" applyFont="1" applyBorder="1" applyAlignment="1"/>
    <xf numFmtId="0" fontId="23" fillId="0" borderId="0" xfId="0" quotePrefix="1" applyFont="1" applyBorder="1" applyAlignment="1" applyProtection="1">
      <protection locked="0"/>
    </xf>
    <xf numFmtId="0" fontId="33" fillId="0" borderId="0" xfId="0" applyFont="1" applyBorder="1" applyAlignment="1">
      <alignment horizontal="right"/>
    </xf>
    <xf numFmtId="0" fontId="1" fillId="0" borderId="0" xfId="0" applyFont="1" applyBorder="1" applyAlignment="1"/>
    <xf numFmtId="0" fontId="23" fillId="0" borderId="0" xfId="0" applyFont="1" applyBorder="1" applyAlignment="1" applyProtection="1">
      <alignment horizontal="left"/>
      <protection locked="0"/>
    </xf>
    <xf numFmtId="0" fontId="23" fillId="0" borderId="0" xfId="0" applyFont="1" applyBorder="1" applyAlignment="1" applyProtection="1">
      <alignment horizontal="right"/>
      <protection locked="0"/>
    </xf>
    <xf numFmtId="0" fontId="23" fillId="0" borderId="3" xfId="0" applyFont="1" applyBorder="1" applyAlignment="1" applyProtection="1">
      <alignment horizontal="center"/>
      <protection locked="0"/>
    </xf>
    <xf numFmtId="0" fontId="44" fillId="0" borderId="0" xfId="0" applyFont="1" applyBorder="1" applyAlignment="1">
      <alignment horizontal="left"/>
    </xf>
    <xf numFmtId="0" fontId="33" fillId="0" borderId="0" xfId="0" applyFont="1" applyBorder="1" applyAlignment="1">
      <alignment horizontal="left"/>
    </xf>
    <xf numFmtId="0" fontId="23" fillId="0" borderId="0" xfId="0" applyFont="1" applyBorder="1" applyAlignment="1">
      <alignment horizontal="right"/>
    </xf>
    <xf numFmtId="0" fontId="33" fillId="0" borderId="18" xfId="0" applyFont="1" applyBorder="1" applyAlignment="1">
      <alignment horizontal="center"/>
    </xf>
    <xf numFmtId="0" fontId="23" fillId="0" borderId="0" xfId="0" quotePrefix="1" applyFont="1" applyBorder="1" applyAlignment="1">
      <alignment horizontal="left"/>
    </xf>
    <xf numFmtId="0" fontId="23" fillId="0" borderId="18" xfId="0" applyFont="1" applyBorder="1" applyAlignment="1" applyProtection="1">
      <alignment horizontal="center"/>
      <protection locked="0"/>
    </xf>
    <xf numFmtId="0" fontId="23" fillId="0" borderId="0" xfId="0" applyFont="1" applyBorder="1" applyAlignment="1"/>
    <xf numFmtId="0" fontId="23" fillId="0" borderId="0" xfId="0" applyFont="1" applyBorder="1" applyAlignment="1">
      <alignment horizontal="center"/>
    </xf>
    <xf numFmtId="0" fontId="44" fillId="0" borderId="10" xfId="0" applyFont="1" applyBorder="1" applyAlignment="1">
      <alignment horizontal="left"/>
    </xf>
    <xf numFmtId="0" fontId="44" fillId="0" borderId="0" xfId="0" applyFont="1" applyBorder="1" applyAlignment="1">
      <alignment horizontal="right"/>
    </xf>
    <xf numFmtId="0" fontId="45" fillId="0" borderId="3" xfId="0" applyFont="1" applyBorder="1" applyAlignment="1" applyProtection="1">
      <alignment horizontal="center"/>
    </xf>
    <xf numFmtId="0" fontId="45" fillId="0" borderId="0" xfId="0" applyFont="1" applyBorder="1" applyAlignment="1" applyProtection="1"/>
    <xf numFmtId="0" fontId="45" fillId="0" borderId="23" xfId="0" applyFont="1" applyBorder="1" applyAlignment="1" applyProtection="1">
      <alignment horizontal="center"/>
    </xf>
    <xf numFmtId="0" fontId="44" fillId="0" borderId="0" xfId="0" applyFont="1" applyBorder="1" applyAlignment="1" applyProtection="1">
      <alignment horizontal="right"/>
    </xf>
    <xf numFmtId="14" fontId="45" fillId="0" borderId="23" xfId="0" applyNumberFormat="1" applyFont="1" applyBorder="1" applyAlignment="1" applyProtection="1"/>
    <xf numFmtId="0" fontId="44" fillId="0" borderId="2" xfId="0" applyFont="1" applyBorder="1" applyAlignment="1" applyProtection="1"/>
    <xf numFmtId="0" fontId="44" fillId="0" borderId="0" xfId="0" applyFont="1" applyBorder="1" applyAlignment="1" applyProtection="1"/>
    <xf numFmtId="9" fontId="44" fillId="0" borderId="26" xfId="3" applyFont="1" applyBorder="1" applyAlignment="1" applyProtection="1">
      <alignment horizontal="center"/>
    </xf>
    <xf numFmtId="0" fontId="1" fillId="0" borderId="0" xfId="0" applyFont="1" applyBorder="1" applyAlignment="1">
      <alignment horizontal="left"/>
    </xf>
    <xf numFmtId="0" fontId="33" fillId="0" borderId="0" xfId="0" applyFont="1" applyBorder="1" applyAlignment="1" applyProtection="1">
      <alignment horizontal="left"/>
      <protection locked="0"/>
    </xf>
    <xf numFmtId="0" fontId="23" fillId="0" borderId="0" xfId="0" applyFont="1" applyBorder="1" applyAlignment="1" applyProtection="1"/>
    <xf numFmtId="0" fontId="45" fillId="0" borderId="10" xfId="0" applyFont="1" applyBorder="1" applyAlignment="1">
      <alignment horizontal="left"/>
    </xf>
    <xf numFmtId="0" fontId="46" fillId="0" borderId="0" xfId="0" applyFont="1" applyBorder="1" applyAlignment="1">
      <alignment horizontal="center"/>
    </xf>
    <xf numFmtId="0" fontId="37" fillId="0" borderId="0" xfId="0" applyFont="1" applyBorder="1" applyAlignment="1">
      <alignment horizontal="left"/>
    </xf>
    <xf numFmtId="0" fontId="37" fillId="0" borderId="0" xfId="0" applyFont="1" applyBorder="1" applyAlignment="1">
      <alignment horizontal="center"/>
    </xf>
    <xf numFmtId="0" fontId="13" fillId="0" borderId="0" xfId="0" applyFont="1" applyBorder="1" applyAlignment="1">
      <alignment horizontal="justify" vertical="center" wrapText="1"/>
    </xf>
    <xf numFmtId="0" fontId="49" fillId="0" borderId="0" xfId="0" applyFont="1" applyBorder="1" applyAlignment="1">
      <alignment horizontal="center" vertical="center"/>
    </xf>
    <xf numFmtId="0" fontId="49" fillId="0" borderId="0" xfId="0" applyFont="1" applyBorder="1" applyAlignment="1">
      <alignment horizontal="right" vertical="center"/>
    </xf>
    <xf numFmtId="0" fontId="49" fillId="0" borderId="0" xfId="0" applyFont="1" applyBorder="1" applyAlignment="1"/>
    <xf numFmtId="0" fontId="49" fillId="0" borderId="0" xfId="0" applyFont="1" applyBorder="1" applyAlignment="1">
      <alignment horizontal="center" vertical="center" wrapText="1"/>
    </xf>
    <xf numFmtId="0" fontId="49" fillId="0" borderId="0" xfId="0" applyFont="1" applyBorder="1"/>
    <xf numFmtId="0" fontId="49" fillId="0" borderId="0" xfId="0" applyFont="1" applyBorder="1" applyAlignment="1">
      <alignment horizontal="right"/>
    </xf>
    <xf numFmtId="0" fontId="49" fillId="0" borderId="0" xfId="0" applyFont="1" applyAlignment="1"/>
    <xf numFmtId="0" fontId="49" fillId="0" borderId="0" xfId="0" applyFont="1" applyBorder="1" applyAlignment="1">
      <alignment horizontal="left"/>
    </xf>
    <xf numFmtId="0" fontId="46" fillId="0" borderId="0" xfId="0" quotePrefix="1" applyFont="1" applyBorder="1" applyAlignment="1">
      <alignment horizontal="left"/>
    </xf>
    <xf numFmtId="0" fontId="52" fillId="0" borderId="0" xfId="0" applyFont="1" applyBorder="1" applyAlignment="1"/>
    <xf numFmtId="0" fontId="52" fillId="0" borderId="0" xfId="0" applyFont="1" applyBorder="1" applyAlignment="1">
      <alignment horizontal="left"/>
    </xf>
    <xf numFmtId="0" fontId="49" fillId="0" borderId="0" xfId="0" applyFont="1" applyBorder="1" applyAlignment="1">
      <alignment horizontal="center"/>
    </xf>
    <xf numFmtId="164" fontId="49" fillId="0" borderId="0" xfId="0" applyNumberFormat="1" applyFont="1" applyBorder="1" applyAlignment="1">
      <alignment horizontal="left"/>
    </xf>
    <xf numFmtId="0" fontId="46" fillId="0" borderId="0" xfId="0" applyFont="1" applyBorder="1" applyAlignment="1">
      <alignment horizontal="right"/>
    </xf>
    <xf numFmtId="0" fontId="53" fillId="0" borderId="0" xfId="0" applyFont="1" applyBorder="1" applyAlignment="1">
      <alignment horizontal="right"/>
    </xf>
    <xf numFmtId="0" fontId="51" fillId="0" borderId="14" xfId="0" applyFont="1" applyBorder="1" applyAlignment="1" applyProtection="1">
      <alignment horizontal="center"/>
      <protection locked="0"/>
    </xf>
    <xf numFmtId="0" fontId="46" fillId="0" borderId="14" xfId="0" applyFont="1" applyBorder="1" applyAlignment="1" applyProtection="1">
      <alignment horizontal="center"/>
      <protection locked="0"/>
    </xf>
    <xf numFmtId="0" fontId="49" fillId="0" borderId="0" xfId="0" applyFont="1" applyBorder="1" applyAlignment="1" applyProtection="1">
      <alignment horizontal="left"/>
      <protection locked="0"/>
    </xf>
    <xf numFmtId="0" fontId="49" fillId="0" borderId="0" xfId="0" applyFont="1" applyBorder="1" applyAlignment="1" applyProtection="1">
      <alignment horizontal="right"/>
      <protection locked="0"/>
    </xf>
    <xf numFmtId="0" fontId="49" fillId="0" borderId="3" xfId="0" applyFont="1" applyBorder="1" applyAlignment="1" applyProtection="1">
      <alignment horizontal="center"/>
      <protection locked="0"/>
    </xf>
    <xf numFmtId="0" fontId="54" fillId="0" borderId="0" xfId="0" applyFont="1" applyBorder="1" applyAlignment="1">
      <alignment horizontal="left"/>
    </xf>
    <xf numFmtId="0" fontId="49" fillId="0" borderId="0" xfId="0" quotePrefix="1" applyFont="1" applyBorder="1" applyAlignment="1">
      <alignment horizontal="left"/>
    </xf>
    <xf numFmtId="0" fontId="34" fillId="0" borderId="0" xfId="0" quotePrefix="1" applyFont="1" applyBorder="1" applyAlignment="1" applyProtection="1">
      <protection locked="0"/>
    </xf>
    <xf numFmtId="0" fontId="49" fillId="0" borderId="3" xfId="0" applyFont="1" applyBorder="1" applyAlignment="1" applyProtection="1">
      <alignment horizontal="center" shrinkToFit="1"/>
      <protection locked="0"/>
    </xf>
    <xf numFmtId="14" fontId="30" fillId="0" borderId="0" xfId="0" applyNumberFormat="1" applyFont="1" applyBorder="1" applyAlignment="1">
      <alignment horizontal="center"/>
    </xf>
    <xf numFmtId="0" fontId="35" fillId="0" borderId="0" xfId="0" applyFont="1" applyBorder="1" applyAlignment="1">
      <alignment horizontal="center"/>
    </xf>
    <xf numFmtId="14" fontId="30" fillId="0" borderId="0" xfId="0" applyNumberFormat="1" applyFont="1" applyBorder="1" applyAlignment="1" applyProtection="1">
      <alignment horizontal="center"/>
      <protection locked="0"/>
    </xf>
    <xf numFmtId="0" fontId="30" fillId="0" borderId="28" xfId="0" applyFont="1" applyBorder="1" applyAlignment="1"/>
    <xf numFmtId="0" fontId="30" fillId="0" borderId="29" xfId="0" applyFont="1" applyBorder="1" applyAlignment="1">
      <alignment horizontal="right"/>
    </xf>
    <xf numFmtId="0" fontId="30" fillId="0" borderId="29" xfId="0" applyFont="1" applyBorder="1" applyAlignment="1">
      <alignment horizontal="center"/>
    </xf>
    <xf numFmtId="0" fontId="30" fillId="0" borderId="30" xfId="0" applyFont="1" applyBorder="1" applyAlignment="1">
      <alignment horizontal="left"/>
    </xf>
    <xf numFmtId="0" fontId="30" fillId="0" borderId="10" xfId="0" applyFont="1" applyBorder="1" applyAlignment="1"/>
    <xf numFmtId="0" fontId="30" fillId="0" borderId="48" xfId="0" applyFont="1" applyBorder="1" applyAlignment="1">
      <alignment horizontal="left"/>
    </xf>
    <xf numFmtId="0" fontId="30" fillId="0" borderId="15" xfId="0" applyFont="1" applyBorder="1" applyAlignment="1"/>
    <xf numFmtId="0" fontId="30" fillId="0" borderId="16" xfId="0" applyFont="1" applyBorder="1" applyAlignment="1">
      <alignment horizontal="right"/>
    </xf>
    <xf numFmtId="14" fontId="30" fillId="0" borderId="16" xfId="0" applyNumberFormat="1" applyFont="1" applyBorder="1" applyAlignment="1">
      <alignment horizontal="center"/>
    </xf>
    <xf numFmtId="0" fontId="30" fillId="0" borderId="16" xfId="0" applyFont="1" applyBorder="1" applyAlignment="1">
      <alignment horizontal="center"/>
    </xf>
    <xf numFmtId="0" fontId="30" fillId="0" borderId="17" xfId="0" applyFont="1" applyBorder="1" applyAlignment="1">
      <alignment horizontal="left"/>
    </xf>
    <xf numFmtId="0" fontId="3" fillId="0" borderId="29" xfId="0" applyFont="1" applyBorder="1" applyAlignment="1"/>
    <xf numFmtId="0" fontId="3" fillId="0" borderId="15" xfId="0" applyFont="1" applyBorder="1" applyAlignment="1"/>
    <xf numFmtId="0" fontId="3" fillId="0" borderId="16" xfId="0" applyFont="1" applyBorder="1" applyAlignment="1"/>
    <xf numFmtId="0" fontId="3" fillId="0" borderId="17" xfId="0" applyFont="1" applyBorder="1" applyAlignment="1"/>
    <xf numFmtId="0" fontId="31" fillId="0" borderId="0" xfId="0" applyFont="1" applyBorder="1" applyAlignment="1"/>
    <xf numFmtId="0" fontId="3" fillId="0" borderId="30" xfId="0" applyFont="1" applyBorder="1" applyAlignment="1"/>
    <xf numFmtId="0" fontId="30" fillId="0" borderId="29" xfId="0" applyFont="1" applyBorder="1" applyAlignment="1"/>
    <xf numFmtId="0" fontId="30" fillId="0" borderId="29" xfId="0" applyFont="1" applyBorder="1" applyAlignment="1" applyProtection="1">
      <protection locked="0"/>
    </xf>
    <xf numFmtId="0" fontId="3" fillId="0" borderId="10" xfId="0" applyFont="1" applyBorder="1" applyAlignment="1"/>
    <xf numFmtId="0" fontId="3" fillId="0" borderId="48" xfId="0" applyFont="1" applyBorder="1" applyAlignment="1"/>
    <xf numFmtId="14" fontId="30" fillId="0" borderId="3" xfId="0" applyNumberFormat="1" applyFont="1" applyBorder="1" applyAlignment="1">
      <alignment horizontal="center"/>
    </xf>
    <xf numFmtId="0" fontId="37" fillId="0" borderId="28" xfId="0" applyFont="1" applyBorder="1" applyAlignment="1"/>
    <xf numFmtId="0" fontId="37" fillId="0" borderId="10" xfId="0" applyFont="1" applyBorder="1" applyAlignment="1"/>
    <xf numFmtId="0" fontId="57" fillId="0" borderId="0" xfId="0" applyFont="1"/>
    <xf numFmtId="0" fontId="49" fillId="0" borderId="18" xfId="0" applyFont="1" applyBorder="1" applyAlignment="1" applyProtection="1">
      <alignment horizontal="center"/>
      <protection locked="0"/>
    </xf>
    <xf numFmtId="0" fontId="23" fillId="0" borderId="0" xfId="0" applyFont="1" applyBorder="1" applyAlignment="1">
      <alignment vertical="top"/>
    </xf>
    <xf numFmtId="0" fontId="45" fillId="0" borderId="0" xfId="0" applyFont="1" applyBorder="1" applyAlignment="1" applyProtection="1">
      <alignment horizontal="center"/>
    </xf>
    <xf numFmtId="0" fontId="45" fillId="0" borderId="0" xfId="0" applyFont="1" applyBorder="1" applyAlignment="1">
      <alignment horizontal="centerContinuous" vertical="top"/>
    </xf>
    <xf numFmtId="0" fontId="23" fillId="0" borderId="3" xfId="0" applyFont="1" applyBorder="1" applyAlignment="1">
      <alignment horizontal="center"/>
    </xf>
    <xf numFmtId="0" fontId="23" fillId="0" borderId="18" xfId="0" applyFont="1" applyBorder="1" applyAlignment="1" applyProtection="1">
      <alignment horizontal="center" shrinkToFit="1"/>
      <protection locked="0"/>
    </xf>
    <xf numFmtId="0" fontId="31" fillId="0" borderId="8" xfId="0" applyFont="1" applyBorder="1" applyAlignment="1">
      <alignment horizontal="center" vertical="center" wrapText="1"/>
    </xf>
    <xf numFmtId="0" fontId="31" fillId="0" borderId="7" xfId="0" applyFont="1" applyBorder="1" applyAlignment="1">
      <alignment horizontal="center" vertical="center" wrapText="1"/>
    </xf>
    <xf numFmtId="164" fontId="31" fillId="0" borderId="9" xfId="0" applyNumberFormat="1" applyFont="1" applyFill="1" applyBorder="1" applyAlignment="1">
      <alignment horizontal="center"/>
    </xf>
    <xf numFmtId="164" fontId="30" fillId="0" borderId="49" xfId="0" applyNumberFormat="1" applyFont="1" applyFill="1" applyBorder="1" applyAlignment="1" applyProtection="1">
      <alignment horizontal="center"/>
      <protection locked="0"/>
    </xf>
    <xf numFmtId="164" fontId="31" fillId="0" borderId="49" xfId="0" applyNumberFormat="1" applyFont="1" applyFill="1" applyBorder="1" applyAlignment="1">
      <alignment horizontal="center"/>
    </xf>
    <xf numFmtId="164" fontId="23" fillId="0" borderId="14" xfId="0" applyNumberFormat="1" applyFont="1" applyFill="1" applyBorder="1" applyAlignment="1" applyProtection="1">
      <alignment horizontal="center"/>
      <protection locked="0"/>
    </xf>
    <xf numFmtId="164" fontId="33" fillId="0" borderId="14" xfId="0" applyNumberFormat="1" applyFont="1" applyFill="1" applyBorder="1" applyAlignment="1">
      <alignment horizontal="center"/>
    </xf>
    <xf numFmtId="0" fontId="23" fillId="0" borderId="3" xfId="0" applyFont="1" applyBorder="1" applyAlignment="1" applyProtection="1">
      <alignment horizontal="center" shrinkToFit="1"/>
      <protection locked="0"/>
    </xf>
    <xf numFmtId="166" fontId="30" fillId="0" borderId="0" xfId="0" applyNumberFormat="1" applyFont="1" applyBorder="1" applyAlignment="1" applyProtection="1">
      <alignment horizontal="center"/>
      <protection locked="0"/>
    </xf>
    <xf numFmtId="166" fontId="30" fillId="0" borderId="47" xfId="0" applyNumberFormat="1" applyFont="1" applyBorder="1" applyAlignment="1">
      <alignment horizontal="center"/>
    </xf>
    <xf numFmtId="166" fontId="30" fillId="0" borderId="3" xfId="0" applyNumberFormat="1" applyFont="1" applyBorder="1" applyAlignment="1">
      <alignment horizontal="center"/>
    </xf>
    <xf numFmtId="0" fontId="1" fillId="0" borderId="37" xfId="0" applyFont="1" applyBorder="1"/>
    <xf numFmtId="0" fontId="4" fillId="0" borderId="0" xfId="0" applyFont="1" applyBorder="1" applyAlignment="1">
      <alignment vertical="center" wrapText="1"/>
    </xf>
    <xf numFmtId="0" fontId="31" fillId="0" borderId="0" xfId="0" applyFont="1" applyBorder="1" applyAlignment="1">
      <alignment horizontal="left" vertical="center"/>
    </xf>
    <xf numFmtId="0" fontId="30" fillId="0" borderId="0" xfId="0" applyFont="1" applyBorder="1" applyAlignment="1">
      <alignment vertical="center" wrapText="1"/>
    </xf>
    <xf numFmtId="0" fontId="31" fillId="0" borderId="0" xfId="0" quotePrefix="1" applyFont="1" applyBorder="1" applyAlignment="1">
      <alignment horizontal="left" vertical="center"/>
    </xf>
    <xf numFmtId="0" fontId="3" fillId="0" borderId="0" xfId="0" applyFont="1" applyAlignment="1">
      <alignment horizontal="left" vertical="top" wrapText="1"/>
    </xf>
    <xf numFmtId="166" fontId="30" fillId="0" borderId="6" xfId="0" applyNumberFormat="1" applyFont="1" applyBorder="1" applyAlignment="1" applyProtection="1">
      <alignment horizontal="center"/>
      <protection locked="0"/>
    </xf>
    <xf numFmtId="166" fontId="30" fillId="0" borderId="18" xfId="0" quotePrefix="1" applyNumberFormat="1" applyFont="1" applyBorder="1" applyAlignment="1" applyProtection="1">
      <alignment horizontal="center"/>
      <protection locked="0"/>
    </xf>
    <xf numFmtId="166" fontId="30" fillId="0" borderId="20" xfId="0" applyNumberFormat="1" applyFont="1" applyBorder="1" applyAlignment="1" applyProtection="1">
      <alignment horizontal="center"/>
      <protection locked="0"/>
    </xf>
    <xf numFmtId="166" fontId="30" fillId="0" borderId="21" xfId="0" applyNumberFormat="1" applyFont="1" applyBorder="1" applyAlignment="1" applyProtection="1">
      <alignment horizontal="center"/>
      <protection locked="0"/>
    </xf>
    <xf numFmtId="166" fontId="30" fillId="0" borderId="3" xfId="0" quotePrefix="1" applyNumberFormat="1" applyFont="1" applyBorder="1" applyAlignment="1" applyProtection="1">
      <alignment horizontal="center"/>
      <protection locked="0"/>
    </xf>
    <xf numFmtId="166" fontId="30" fillId="0" borderId="22" xfId="0" applyNumberFormat="1" applyFont="1" applyBorder="1" applyAlignment="1" applyProtection="1">
      <alignment horizontal="center"/>
      <protection locked="0"/>
    </xf>
    <xf numFmtId="0" fontId="34" fillId="0" borderId="2" xfId="0" quotePrefix="1" applyFont="1" applyBorder="1" applyAlignment="1" applyProtection="1">
      <protection locked="0"/>
    </xf>
    <xf numFmtId="0" fontId="13" fillId="0" borderId="0" xfId="0" applyFont="1" applyAlignment="1">
      <alignment horizontal="center" vertical="top"/>
    </xf>
    <xf numFmtId="0" fontId="17" fillId="0" borderId="0" xfId="0" applyFont="1" applyAlignment="1">
      <alignment horizontal="center" vertical="top"/>
    </xf>
    <xf numFmtId="0" fontId="30" fillId="0" borderId="3" xfId="0" applyFont="1" applyBorder="1" applyAlignment="1">
      <alignment horizontal="center"/>
    </xf>
    <xf numFmtId="0" fontId="32" fillId="0" borderId="0" xfId="0" applyFont="1" applyBorder="1" applyAlignment="1">
      <alignment horizontal="center" shrinkToFit="1"/>
    </xf>
    <xf numFmtId="0" fontId="31" fillId="0" borderId="6"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27" xfId="0" applyFont="1" applyBorder="1" applyAlignment="1">
      <alignment horizontal="center" vertical="center" wrapText="1"/>
    </xf>
    <xf numFmtId="0" fontId="23" fillId="0" borderId="18" xfId="0" applyFont="1" applyBorder="1" applyAlignment="1" applyProtection="1">
      <alignment horizontal="center"/>
      <protection locked="0"/>
    </xf>
    <xf numFmtId="0" fontId="23" fillId="0" borderId="3" xfId="0" applyFont="1" applyBorder="1" applyAlignment="1" applyProtection="1">
      <alignment horizontal="center"/>
      <protection locked="0"/>
    </xf>
    <xf numFmtId="0" fontId="45" fillId="0" borderId="3" xfId="0" applyFont="1" applyBorder="1" applyAlignment="1" applyProtection="1">
      <alignment horizontal="center"/>
    </xf>
    <xf numFmtId="0" fontId="45" fillId="0" borderId="26" xfId="0" applyFont="1" applyBorder="1" applyAlignment="1" applyProtection="1">
      <alignment horizontal="center"/>
    </xf>
    <xf numFmtId="0" fontId="23" fillId="0" borderId="3" xfId="0" applyFont="1" applyBorder="1" applyAlignment="1">
      <alignment horizontal="center"/>
    </xf>
    <xf numFmtId="0" fontId="0" fillId="0" borderId="3" xfId="0" applyBorder="1"/>
    <xf numFmtId="14" fontId="23" fillId="0" borderId="18" xfId="0" applyNumberFormat="1" applyFont="1" applyBorder="1" applyAlignment="1" applyProtection="1">
      <alignment horizontal="center"/>
      <protection locked="0"/>
    </xf>
    <xf numFmtId="0" fontId="23" fillId="0" borderId="18" xfId="0" applyFont="1" applyBorder="1" applyAlignment="1" applyProtection="1">
      <alignment horizontal="center" shrinkToFit="1"/>
      <protection locked="0"/>
    </xf>
    <xf numFmtId="0" fontId="31" fillId="0" borderId="21"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22" xfId="0" applyFont="1" applyBorder="1" applyAlignment="1">
      <alignment horizontal="center" vertical="center" wrapText="1"/>
    </xf>
    <xf numFmtId="0" fontId="38" fillId="0" borderId="24" xfId="0" applyFont="1" applyBorder="1" applyAlignment="1">
      <alignment horizontal="center"/>
    </xf>
    <xf numFmtId="0" fontId="38" fillId="0" borderId="2" xfId="0" applyFont="1" applyBorder="1" applyAlignment="1">
      <alignment horizontal="center"/>
    </xf>
    <xf numFmtId="0" fontId="38" fillId="0" borderId="25" xfId="0" applyFont="1" applyBorder="1" applyAlignment="1">
      <alignment horizontal="center"/>
    </xf>
    <xf numFmtId="0" fontId="35" fillId="0" borderId="0" xfId="0" applyFont="1" applyBorder="1" applyAlignment="1">
      <alignment horizontal="center"/>
    </xf>
    <xf numFmtId="0" fontId="30" fillId="0" borderId="47" xfId="0" applyFont="1" applyBorder="1" applyAlignment="1" applyProtection="1">
      <alignment horizontal="center"/>
      <protection locked="0"/>
    </xf>
    <xf numFmtId="0" fontId="33" fillId="0" borderId="0" xfId="0" applyFont="1" applyBorder="1" applyAlignment="1">
      <alignment horizontal="center"/>
    </xf>
    <xf numFmtId="0" fontId="46" fillId="0" borderId="0" xfId="0" applyFont="1" applyBorder="1" applyAlignment="1">
      <alignment horizontal="center"/>
    </xf>
    <xf numFmtId="0" fontId="35" fillId="0" borderId="6" xfId="0" applyFont="1" applyBorder="1" applyAlignment="1">
      <alignment horizontal="center" vertical="top"/>
    </xf>
    <xf numFmtId="0" fontId="35" fillId="0" borderId="3" xfId="0" applyFont="1" applyBorder="1" applyAlignment="1">
      <alignment horizontal="center" vertical="top"/>
    </xf>
    <xf numFmtId="0" fontId="35" fillId="0" borderId="20" xfId="0" applyFont="1" applyBorder="1" applyAlignment="1">
      <alignment horizontal="center" vertical="top"/>
    </xf>
    <xf numFmtId="0" fontId="45" fillId="0" borderId="28" xfId="0" applyFont="1" applyBorder="1" applyAlignment="1">
      <alignment horizontal="center" vertical="top"/>
    </xf>
    <xf numFmtId="0" fontId="45" fillId="0" borderId="29" xfId="0" applyFont="1" applyBorder="1" applyAlignment="1">
      <alignment horizontal="center" vertical="top"/>
    </xf>
    <xf numFmtId="0" fontId="45" fillId="0" borderId="30" xfId="0" applyFont="1" applyBorder="1" applyAlignment="1">
      <alignment horizontal="center" vertical="top"/>
    </xf>
    <xf numFmtId="0" fontId="50" fillId="0" borderId="3" xfId="0" applyFont="1" applyBorder="1" applyAlignment="1" applyProtection="1">
      <alignment horizontal="center"/>
      <protection locked="0"/>
    </xf>
    <xf numFmtId="0" fontId="7" fillId="0" borderId="0" xfId="0" applyFont="1" applyBorder="1" applyAlignment="1">
      <alignment horizontal="justify" wrapText="1"/>
    </xf>
    <xf numFmtId="0" fontId="49" fillId="0" borderId="3" xfId="0" applyFont="1" applyBorder="1" applyAlignment="1" applyProtection="1">
      <alignment horizontal="center"/>
      <protection locked="0"/>
    </xf>
    <xf numFmtId="0" fontId="48" fillId="0" borderId="0" xfId="0" applyFont="1" applyBorder="1" applyAlignment="1">
      <alignment horizontal="center" vertical="center"/>
    </xf>
    <xf numFmtId="0" fontId="49" fillId="0" borderId="18" xfId="0" applyFont="1" applyBorder="1" applyAlignment="1" applyProtection="1">
      <alignment horizontal="center"/>
      <protection locked="0"/>
    </xf>
    <xf numFmtId="0" fontId="47" fillId="0" borderId="0" xfId="0" applyFont="1" applyBorder="1" applyAlignment="1">
      <alignment horizontal="center"/>
    </xf>
    <xf numFmtId="0" fontId="51" fillId="0" borderId="0" xfId="0" applyFont="1" applyBorder="1" applyAlignment="1">
      <alignment horizontal="center"/>
    </xf>
    <xf numFmtId="0" fontId="49" fillId="0" borderId="18" xfId="0" applyFont="1" applyBorder="1" applyAlignment="1">
      <alignment horizontal="center"/>
    </xf>
    <xf numFmtId="0" fontId="34" fillId="0" borderId="18" xfId="0" quotePrefix="1" applyFont="1" applyBorder="1" applyAlignment="1" applyProtection="1">
      <alignment horizontal="center"/>
      <protection locked="0"/>
    </xf>
    <xf numFmtId="164" fontId="49" fillId="0" borderId="44" xfId="0" applyNumberFormat="1" applyFont="1" applyFill="1" applyBorder="1" applyAlignment="1" applyProtection="1">
      <alignment horizontal="center"/>
      <protection locked="0"/>
    </xf>
    <xf numFmtId="164" fontId="49" fillId="0" borderId="45" xfId="0" applyNumberFormat="1" applyFont="1" applyFill="1" applyBorder="1" applyAlignment="1" applyProtection="1">
      <alignment horizontal="center"/>
      <protection locked="0"/>
    </xf>
    <xf numFmtId="164" fontId="49" fillId="0" borderId="46" xfId="0" applyNumberFormat="1" applyFont="1" applyFill="1" applyBorder="1" applyAlignment="1" applyProtection="1">
      <alignment horizontal="center"/>
      <protection locked="0"/>
    </xf>
    <xf numFmtId="0" fontId="49" fillId="0" borderId="3" xfId="0" applyFont="1" applyBorder="1" applyAlignment="1">
      <alignment horizontal="center"/>
    </xf>
    <xf numFmtId="0" fontId="49" fillId="0" borderId="0" xfId="0" applyFont="1" applyBorder="1" applyAlignment="1">
      <alignment horizontal="left" vertical="center" wrapText="1"/>
    </xf>
    <xf numFmtId="0" fontId="13" fillId="0" borderId="0" xfId="0" applyFont="1" applyBorder="1" applyAlignment="1">
      <alignment horizontal="justify" vertical="center" wrapText="1"/>
    </xf>
    <xf numFmtId="0" fontId="53" fillId="0" borderId="0" xfId="0" applyFont="1" applyFill="1" applyBorder="1" applyAlignment="1">
      <alignment horizontal="center" vertical="center" wrapText="1"/>
    </xf>
    <xf numFmtId="0" fontId="53" fillId="0" borderId="0" xfId="0" applyFont="1" applyFill="1" applyBorder="1" applyAlignment="1">
      <alignment horizontal="center" vertical="center"/>
    </xf>
    <xf numFmtId="0" fontId="53" fillId="0" borderId="3" xfId="0" applyFont="1" applyFill="1" applyBorder="1" applyAlignment="1">
      <alignment horizontal="center" vertical="center"/>
    </xf>
    <xf numFmtId="164" fontId="49" fillId="0" borderId="42" xfId="0" applyNumberFormat="1" applyFont="1" applyFill="1" applyBorder="1" applyAlignment="1" applyProtection="1">
      <alignment horizontal="center"/>
      <protection locked="0"/>
    </xf>
    <xf numFmtId="164" fontId="49" fillId="0" borderId="9" xfId="0" applyNumberFormat="1" applyFont="1" applyFill="1" applyBorder="1" applyAlignment="1" applyProtection="1">
      <alignment horizontal="center"/>
      <protection locked="0"/>
    </xf>
    <xf numFmtId="164" fontId="49" fillId="0" borderId="43" xfId="0" applyNumberFormat="1" applyFont="1" applyFill="1" applyBorder="1" applyAlignment="1" applyProtection="1">
      <alignment horizontal="center"/>
      <protection locked="0"/>
    </xf>
    <xf numFmtId="0" fontId="30" fillId="0" borderId="47" xfId="0" applyNumberFormat="1" applyFont="1" applyBorder="1" applyAlignment="1">
      <alignment horizontal="center"/>
    </xf>
  </cellXfs>
  <cellStyles count="7">
    <cellStyle name="Normal" xfId="0" builtinId="0"/>
    <cellStyle name="Normal_Converter" xfId="5"/>
    <cellStyle name="Normal_FORMB" xfId="1"/>
    <cellStyle name="Normal_tblClaim" xfId="4"/>
    <cellStyle name="Normal_tblSite" xfId="6"/>
    <cellStyle name="Normal_tblTask" xfId="2"/>
    <cellStyle name="Percent" xfId="3" builtinId="5"/>
  </cellStyles>
  <dxfs count="474">
    <dxf>
      <font>
        <strike/>
      </font>
    </dxf>
    <dxf>
      <font>
        <b/>
        <i val="0"/>
        <u/>
      </font>
    </dxf>
    <dxf>
      <font>
        <b/>
        <i val="0"/>
        <u/>
      </font>
    </dxf>
    <dxf>
      <font>
        <b/>
        <i val="0"/>
        <u/>
      </font>
    </dxf>
    <dxf>
      <font>
        <strike/>
      </font>
    </dxf>
    <dxf>
      <font>
        <strike/>
      </font>
    </dxf>
    <dxf>
      <font>
        <strike/>
      </font>
    </dxf>
    <dxf>
      <font>
        <strike/>
      </font>
    </dxf>
    <dxf>
      <font>
        <strike/>
      </font>
    </dxf>
    <dxf>
      <font>
        <strike/>
      </font>
    </dxf>
    <dxf>
      <font>
        <strike/>
      </font>
    </dxf>
    <dxf>
      <font>
        <strike/>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u/>
      </font>
    </dxf>
    <dxf>
      <font>
        <strike/>
      </font>
    </dxf>
    <dxf>
      <font>
        <b/>
        <i val="0"/>
        <u/>
      </font>
    </dxf>
    <dxf>
      <font>
        <b/>
        <i val="0"/>
        <u/>
      </font>
    </dxf>
    <dxf>
      <font>
        <b/>
        <i val="0"/>
        <u/>
      </font>
    </dxf>
    <dxf>
      <font>
        <strike/>
      </font>
    </dxf>
    <dxf>
      <font>
        <strike/>
      </font>
    </dxf>
    <dxf>
      <font>
        <strike/>
      </font>
    </dxf>
    <dxf>
      <font>
        <strike/>
      </font>
    </dxf>
    <dxf>
      <font>
        <strike/>
      </font>
    </dxf>
    <dxf>
      <font>
        <strike/>
      </font>
    </dxf>
    <dxf>
      <font>
        <strike/>
      </font>
    </dxf>
    <dxf>
      <font>
        <strike/>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u/>
      </font>
    </dxf>
    <dxf>
      <font>
        <b/>
        <i val="0"/>
        <u/>
      </font>
    </dxf>
    <dxf>
      <font>
        <b/>
        <i val="0"/>
        <u/>
      </font>
    </dxf>
    <dxf>
      <font>
        <b/>
        <i val="0"/>
        <u/>
      </font>
    </dxf>
    <dxf>
      <font>
        <strike/>
      </font>
    </dxf>
    <dxf>
      <font>
        <strike/>
      </font>
    </dxf>
    <dxf>
      <font>
        <strike/>
      </font>
    </dxf>
    <dxf>
      <font>
        <strike/>
      </font>
    </dxf>
    <dxf>
      <font>
        <strike/>
      </font>
    </dxf>
    <dxf>
      <font>
        <strike/>
      </font>
    </dxf>
    <dxf>
      <font>
        <strike/>
      </font>
    </dxf>
    <dxf>
      <font>
        <strike/>
      </font>
    </dxf>
    <dxf>
      <font>
        <strike/>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u/>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u/>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sheetPr>
    <tabColor theme="8" tint="0.39997558519241921"/>
  </sheetPr>
  <dimension ref="A1:L32"/>
  <sheetViews>
    <sheetView tabSelected="1" zoomScaleNormal="100" zoomScaleSheetLayoutView="110" workbookViewId="0">
      <selection sqref="A1:C1"/>
    </sheetView>
  </sheetViews>
  <sheetFormatPr defaultRowHeight="12.75"/>
  <cols>
    <col min="1" max="1" width="0.85546875" style="12" customWidth="1"/>
    <col min="2" max="2" width="3" customWidth="1"/>
    <col min="3" max="3" width="95" style="16" customWidth="1"/>
    <col min="4" max="4" width="0.85546875" customWidth="1"/>
    <col min="12" max="12" width="15" customWidth="1"/>
  </cols>
  <sheetData>
    <row r="1" spans="1:12">
      <c r="A1" s="252" t="s">
        <v>25</v>
      </c>
      <c r="B1" s="252"/>
      <c r="C1" s="252"/>
    </row>
    <row r="2" spans="1:12">
      <c r="A2" s="252" t="s">
        <v>26</v>
      </c>
      <c r="B2" s="252"/>
      <c r="C2" s="252"/>
    </row>
    <row r="3" spans="1:12" ht="6" customHeight="1"/>
    <row r="4" spans="1:12" ht="15.75">
      <c r="A4" s="253" t="s">
        <v>340</v>
      </c>
      <c r="B4" s="253"/>
      <c r="C4" s="253"/>
    </row>
    <row r="5" spans="1:12" ht="8.25" customHeight="1"/>
    <row r="6" spans="1:12">
      <c r="A6" s="13" t="s">
        <v>29</v>
      </c>
    </row>
    <row r="7" spans="1:12" ht="3" customHeight="1"/>
    <row r="8" spans="1:12" ht="72">
      <c r="C8" s="244" t="s">
        <v>360</v>
      </c>
      <c r="D8" s="11"/>
      <c r="E8" s="11"/>
      <c r="F8" s="11"/>
      <c r="G8" s="11"/>
      <c r="H8" s="11"/>
      <c r="I8" s="11"/>
      <c r="J8" s="11"/>
      <c r="K8" s="11"/>
      <c r="L8" s="11"/>
    </row>
    <row r="9" spans="1:12" ht="3" customHeight="1"/>
    <row r="10" spans="1:12">
      <c r="B10" s="14" t="s">
        <v>27</v>
      </c>
    </row>
    <row r="11" spans="1:12" ht="48">
      <c r="B11" s="15" t="s">
        <v>30</v>
      </c>
      <c r="C11" s="17" t="s">
        <v>341</v>
      </c>
    </row>
    <row r="12" spans="1:12" ht="36">
      <c r="B12" s="15" t="s">
        <v>30</v>
      </c>
      <c r="C12" s="17" t="s">
        <v>361</v>
      </c>
    </row>
    <row r="13" spans="1:12">
      <c r="B13" s="15" t="s">
        <v>30</v>
      </c>
      <c r="C13" s="17" t="s">
        <v>38</v>
      </c>
    </row>
    <row r="14" spans="1:12">
      <c r="B14" s="15" t="s">
        <v>30</v>
      </c>
      <c r="C14" s="17" t="s">
        <v>0</v>
      </c>
    </row>
    <row r="15" spans="1:12" ht="52.5" customHeight="1">
      <c r="B15" s="15" t="s">
        <v>30</v>
      </c>
      <c r="C15" s="17" t="s">
        <v>362</v>
      </c>
    </row>
    <row r="16" spans="1:12" ht="10.5" customHeight="1">
      <c r="B16" s="15"/>
      <c r="C16" s="17"/>
    </row>
    <row r="17" spans="1:3">
      <c r="A17" s="13" t="s">
        <v>28</v>
      </c>
    </row>
    <row r="18" spans="1:3" ht="48">
      <c r="B18" s="23">
        <v>1</v>
      </c>
      <c r="C18" s="17" t="s">
        <v>371</v>
      </c>
    </row>
    <row r="19" spans="1:3" ht="36">
      <c r="B19" s="23">
        <v>2</v>
      </c>
      <c r="C19" s="17" t="s">
        <v>31</v>
      </c>
    </row>
    <row r="20" spans="1:3" ht="60">
      <c r="B20" s="23">
        <v>3</v>
      </c>
      <c r="C20" s="17" t="s">
        <v>363</v>
      </c>
    </row>
    <row r="21" spans="1:3" ht="48">
      <c r="B21" s="23"/>
      <c r="C21" s="17" t="s">
        <v>376</v>
      </c>
    </row>
    <row r="22" spans="1:3" ht="60">
      <c r="B22" s="23">
        <v>4</v>
      </c>
      <c r="C22" s="17" t="s">
        <v>372</v>
      </c>
    </row>
    <row r="23" spans="1:3" ht="96">
      <c r="B23" s="23">
        <v>5</v>
      </c>
      <c r="C23" s="17" t="s">
        <v>364</v>
      </c>
    </row>
    <row r="24" spans="1:3" ht="72">
      <c r="B24" s="23">
        <v>6</v>
      </c>
      <c r="C24" s="17" t="s">
        <v>365</v>
      </c>
    </row>
    <row r="25" spans="1:3" ht="60">
      <c r="B25" s="23">
        <v>7</v>
      </c>
      <c r="C25" s="17" t="s">
        <v>366</v>
      </c>
    </row>
    <row r="26" spans="1:3" ht="84">
      <c r="B26" s="23">
        <v>8</v>
      </c>
      <c r="C26" s="17" t="s">
        <v>367</v>
      </c>
    </row>
    <row r="27" spans="1:3" ht="36">
      <c r="B27" s="23">
        <v>9</v>
      </c>
      <c r="C27" s="17" t="s">
        <v>368</v>
      </c>
    </row>
    <row r="28" spans="1:3" ht="6.75" customHeight="1"/>
    <row r="29" spans="1:3">
      <c r="A29" s="13" t="s">
        <v>32</v>
      </c>
    </row>
    <row r="30" spans="1:3" ht="72">
      <c r="B30" s="23">
        <v>1</v>
      </c>
      <c r="C30" s="17" t="s">
        <v>369</v>
      </c>
    </row>
    <row r="31" spans="1:3" ht="48.75" customHeight="1">
      <c r="B31" s="23">
        <v>2</v>
      </c>
      <c r="C31" s="17" t="s">
        <v>370</v>
      </c>
    </row>
    <row r="32" spans="1:3" ht="36">
      <c r="B32" s="23">
        <v>3</v>
      </c>
      <c r="C32" s="17" t="s">
        <v>1</v>
      </c>
    </row>
  </sheetData>
  <customSheetViews>
    <customSheetView guid="{FED3EF2C-891B-4B19-A7F2-F90FD459899C}" showPageBreaks="1" printArea="1">
      <selection activeCell="C33" sqref="C33"/>
      <pageMargins left="0.5" right="0.5" top="0.5" bottom="0.5" header="0.5" footer="0.5"/>
      <pageSetup scale="98" orientation="portrait" r:id="rId1"/>
      <headerFooter alignWithMargins="0"/>
    </customSheetView>
  </customSheetViews>
  <mergeCells count="3">
    <mergeCell ref="A1:C1"/>
    <mergeCell ref="A2:C2"/>
    <mergeCell ref="A4:C4"/>
  </mergeCells>
  <phoneticPr fontId="14" type="noConversion"/>
  <pageMargins left="0.5" right="0.5" top="0.5" bottom="0.5" header="0.5" footer="0.5"/>
  <pageSetup scale="98" orientation="portrait" r:id="rId2"/>
  <headerFooter alignWithMargins="0"/>
</worksheet>
</file>

<file path=xl/worksheets/sheet2.xml><?xml version="1.0" encoding="utf-8"?>
<worksheet xmlns="http://schemas.openxmlformats.org/spreadsheetml/2006/main" xmlns:r="http://schemas.openxmlformats.org/officeDocument/2006/relationships">
  <sheetPr>
    <tabColor theme="6" tint="0.39997558519241921"/>
    <pageSetUpPr fitToPage="1"/>
  </sheetPr>
  <dimension ref="A1:U63"/>
  <sheetViews>
    <sheetView showGridLines="0" zoomScaleNormal="100" zoomScaleSheetLayoutView="110" workbookViewId="0">
      <selection sqref="A1:J2"/>
    </sheetView>
  </sheetViews>
  <sheetFormatPr defaultRowHeight="12"/>
  <cols>
    <col min="1" max="1" width="0.42578125" style="3" customWidth="1"/>
    <col min="2" max="2" width="3.28515625" style="85" customWidth="1"/>
    <col min="3" max="3" width="9.140625" style="83" customWidth="1"/>
    <col min="4" max="4" width="7" style="83" customWidth="1"/>
    <col min="5" max="5" width="7.5703125" style="83" customWidth="1"/>
    <col min="6" max="6" width="1" style="83" customWidth="1"/>
    <col min="7" max="7" width="6.28515625" style="83" customWidth="1"/>
    <col min="8" max="8" width="7.5703125" style="83" customWidth="1"/>
    <col min="9" max="9" width="1.140625" style="83" customWidth="1"/>
    <col min="10" max="10" width="10.140625" style="83" customWidth="1"/>
    <col min="11" max="11" width="8.85546875" style="83" customWidth="1"/>
    <col min="12" max="12" width="0.85546875" style="83" customWidth="1"/>
    <col min="13" max="13" width="12.28515625" style="83" customWidth="1"/>
    <col min="14" max="14" width="1" style="83" customWidth="1"/>
    <col min="15" max="15" width="12.28515625" style="83" customWidth="1"/>
    <col min="16" max="16" width="1" style="83" customWidth="1"/>
    <col min="17" max="17" width="10" style="83" customWidth="1"/>
    <col min="18" max="18" width="1" style="83" customWidth="1"/>
    <col min="19" max="19" width="10" style="83" customWidth="1"/>
    <col min="20" max="20" width="11.7109375" style="83" customWidth="1"/>
    <col min="21" max="21" width="0.42578125" style="3" customWidth="1"/>
    <col min="22" max="22" width="0.7109375" style="3" customWidth="1"/>
    <col min="23" max="16384" width="9.140625" style="3"/>
  </cols>
  <sheetData>
    <row r="1" spans="1:21" ht="13.5" customHeight="1">
      <c r="A1" s="255" t="s">
        <v>373</v>
      </c>
      <c r="B1" s="255"/>
      <c r="C1" s="255"/>
      <c r="D1" s="255"/>
      <c r="E1" s="255"/>
      <c r="F1" s="255"/>
      <c r="G1" s="255"/>
      <c r="H1" s="255"/>
      <c r="I1" s="255"/>
      <c r="J1" s="255"/>
      <c r="K1" s="276" t="s">
        <v>355</v>
      </c>
      <c r="L1" s="276"/>
      <c r="M1" s="276"/>
      <c r="N1" s="276"/>
      <c r="O1" s="276"/>
      <c r="P1" s="276"/>
      <c r="Q1" s="276"/>
      <c r="R1" s="276"/>
      <c r="S1" s="276"/>
      <c r="T1" s="276"/>
    </row>
    <row r="2" spans="1:21" s="1" customFormat="1" ht="12.75" customHeight="1">
      <c r="A2" s="255"/>
      <c r="B2" s="255"/>
      <c r="C2" s="255"/>
      <c r="D2" s="255"/>
      <c r="E2" s="255"/>
      <c r="F2" s="255"/>
      <c r="G2" s="255"/>
      <c r="H2" s="255"/>
      <c r="I2" s="255"/>
      <c r="J2" s="255"/>
      <c r="K2" s="275" t="s">
        <v>255</v>
      </c>
      <c r="L2" s="275"/>
      <c r="M2" s="275"/>
      <c r="N2" s="275"/>
      <c r="O2" s="275"/>
      <c r="P2" s="275"/>
      <c r="Q2" s="275"/>
      <c r="R2" s="275"/>
      <c r="S2" s="275"/>
      <c r="T2" s="275"/>
    </row>
    <row r="3" spans="1:21" ht="3" customHeight="1" thickBot="1">
      <c r="B3" s="83"/>
      <c r="S3" s="85"/>
      <c r="T3" s="85"/>
    </row>
    <row r="4" spans="1:21" s="140" customFormat="1" ht="13.5" customHeight="1" thickBot="1">
      <c r="B4" s="100" t="s">
        <v>18</v>
      </c>
      <c r="C4" s="100"/>
      <c r="D4" s="283"/>
      <c r="E4" s="283"/>
      <c r="F4" s="283"/>
      <c r="G4" s="283"/>
      <c r="H4" s="283"/>
      <c r="I4" s="283"/>
      <c r="J4" s="283"/>
      <c r="K4" s="283"/>
      <c r="L4" s="100"/>
      <c r="M4" s="100" t="s">
        <v>2</v>
      </c>
      <c r="N4" s="260"/>
      <c r="O4" s="260"/>
      <c r="P4" s="138" t="s">
        <v>13</v>
      </c>
      <c r="Q4" s="235"/>
      <c r="R4" s="100"/>
      <c r="S4" s="139" t="s">
        <v>3</v>
      </c>
      <c r="T4" s="185"/>
    </row>
    <row r="5" spans="1:21" s="140" customFormat="1" ht="13.5" customHeight="1">
      <c r="B5" s="100" t="s">
        <v>307</v>
      </c>
      <c r="C5" s="100"/>
      <c r="D5" s="100"/>
      <c r="E5" s="226"/>
      <c r="F5" s="138" t="s">
        <v>13</v>
      </c>
      <c r="G5" s="260"/>
      <c r="H5" s="260"/>
      <c r="I5" s="138"/>
      <c r="J5" s="260"/>
      <c r="K5" s="260"/>
      <c r="L5" s="100"/>
      <c r="M5" s="141" t="s">
        <v>20</v>
      </c>
      <c r="N5" s="259"/>
      <c r="O5" s="259"/>
      <c r="P5" s="260"/>
      <c r="Q5" s="259"/>
      <c r="R5" s="100"/>
      <c r="S5" s="142" t="s">
        <v>19</v>
      </c>
      <c r="T5" s="143" t="e">
        <f>VLOOKUP(Q4,'Data {DO NOT EDIT}'!F2:G101,2)</f>
        <v>#N/A</v>
      </c>
    </row>
    <row r="6" spans="1:21" s="140" customFormat="1" ht="13.5" customHeight="1">
      <c r="B6" s="100" t="s">
        <v>310</v>
      </c>
      <c r="C6" s="100"/>
      <c r="D6" s="144"/>
      <c r="E6" s="100"/>
      <c r="F6" s="100"/>
      <c r="G6" s="100"/>
      <c r="H6" s="100"/>
      <c r="I6" s="260"/>
      <c r="J6" s="260"/>
      <c r="K6" s="260"/>
      <c r="L6" s="100"/>
      <c r="M6" s="145" t="s">
        <v>23</v>
      </c>
      <c r="N6" s="100"/>
      <c r="O6" s="100"/>
      <c r="P6" s="146"/>
      <c r="Q6" s="147"/>
      <c r="R6" s="148"/>
      <c r="S6" s="139" t="s">
        <v>22</v>
      </c>
      <c r="T6" s="149"/>
    </row>
    <row r="7" spans="1:21" ht="3.75" customHeight="1" thickBot="1">
      <c r="P7" s="88"/>
      <c r="Q7" s="89"/>
      <c r="R7" s="89"/>
      <c r="S7" s="85"/>
      <c r="T7" s="90"/>
    </row>
    <row r="8" spans="1:21" s="140" customFormat="1" ht="13.5" customHeight="1" thickTop="1">
      <c r="B8" s="100" t="s">
        <v>292</v>
      </c>
      <c r="C8" s="100"/>
      <c r="D8" s="100"/>
      <c r="E8" s="151"/>
      <c r="F8" s="138" t="s">
        <v>13</v>
      </c>
      <c r="G8" s="260"/>
      <c r="H8" s="260"/>
      <c r="I8" s="260"/>
      <c r="J8" s="260"/>
      <c r="K8" s="260"/>
      <c r="L8" s="100"/>
      <c r="M8" s="280" t="s">
        <v>4</v>
      </c>
      <c r="N8" s="281"/>
      <c r="O8" s="281"/>
      <c r="P8" s="281"/>
      <c r="Q8" s="281"/>
      <c r="R8" s="281"/>
      <c r="S8" s="281"/>
      <c r="T8" s="282"/>
    </row>
    <row r="9" spans="1:21" s="140" customFormat="1" ht="13.5" customHeight="1">
      <c r="B9" s="100" t="s">
        <v>6</v>
      </c>
      <c r="C9" s="100"/>
      <c r="D9" s="100"/>
      <c r="E9" s="259"/>
      <c r="F9" s="260"/>
      <c r="G9" s="260"/>
      <c r="H9" s="260"/>
      <c r="I9" s="138" t="s">
        <v>13</v>
      </c>
      <c r="J9" s="259"/>
      <c r="K9" s="259"/>
      <c r="L9" s="100"/>
      <c r="M9" s="152" t="s">
        <v>5</v>
      </c>
      <c r="N9" s="144"/>
      <c r="O9" s="144"/>
      <c r="P9" s="153"/>
      <c r="Q9" s="154"/>
      <c r="R9" s="155"/>
      <c r="S9" s="153" t="s">
        <v>347</v>
      </c>
      <c r="T9" s="156"/>
    </row>
    <row r="10" spans="1:21" s="140" customFormat="1" ht="13.5" customHeight="1">
      <c r="B10" s="100" t="s">
        <v>308</v>
      </c>
      <c r="C10" s="100"/>
      <c r="D10" s="100"/>
      <c r="E10" s="266"/>
      <c r="F10" s="266"/>
      <c r="G10" s="266"/>
      <c r="H10" s="266"/>
      <c r="I10" s="138" t="s">
        <v>13</v>
      </c>
      <c r="J10" s="227"/>
      <c r="K10" s="227"/>
      <c r="L10" s="100"/>
      <c r="M10" s="152" t="s">
        <v>7</v>
      </c>
      <c r="N10" s="144"/>
      <c r="O10" s="153"/>
      <c r="P10" s="153"/>
      <c r="Q10" s="154"/>
      <c r="R10" s="155"/>
      <c r="S10" s="157" t="s">
        <v>293</v>
      </c>
      <c r="T10" s="158"/>
    </row>
    <row r="11" spans="1:21" s="140" customFormat="1" ht="13.5" customHeight="1">
      <c r="B11" s="100" t="s">
        <v>309</v>
      </c>
      <c r="C11" s="100"/>
      <c r="D11" s="100"/>
      <c r="E11" s="260"/>
      <c r="F11" s="260"/>
      <c r="G11" s="260"/>
      <c r="H11" s="260"/>
      <c r="I11" s="138" t="s">
        <v>13</v>
      </c>
      <c r="J11" s="265"/>
      <c r="K11" s="259"/>
      <c r="L11" s="100"/>
      <c r="M11" s="152" t="s">
        <v>312</v>
      </c>
      <c r="N11" s="144"/>
      <c r="O11" s="144"/>
      <c r="P11" s="144"/>
      <c r="Q11" s="159"/>
      <c r="R11" s="160"/>
      <c r="S11" s="160"/>
      <c r="T11" s="161"/>
      <c r="U11" s="162"/>
    </row>
    <row r="12" spans="1:21" s="140" customFormat="1" ht="13.5" customHeight="1">
      <c r="B12" s="163" t="s">
        <v>327</v>
      </c>
      <c r="C12" s="164"/>
      <c r="D12" s="150"/>
      <c r="E12" s="150"/>
      <c r="F12" s="150"/>
      <c r="G12" s="150"/>
      <c r="H12" s="263"/>
      <c r="I12" s="264"/>
      <c r="J12" s="264"/>
      <c r="K12" s="264"/>
      <c r="L12" s="100"/>
      <c r="M12" s="165" t="s">
        <v>311</v>
      </c>
      <c r="N12" s="144"/>
      <c r="O12" s="144"/>
      <c r="P12" s="144"/>
      <c r="Q12" s="261" t="s">
        <v>356</v>
      </c>
      <c r="R12" s="261"/>
      <c r="S12" s="261"/>
      <c r="T12" s="262"/>
      <c r="U12" s="162"/>
    </row>
    <row r="13" spans="1:21" s="10" customFormat="1" ht="1.5" customHeight="1" thickBot="1">
      <c r="B13" s="92"/>
      <c r="C13" s="92"/>
      <c r="D13" s="92"/>
      <c r="E13" s="93"/>
      <c r="F13" s="93"/>
      <c r="G13" s="93"/>
      <c r="H13" s="93"/>
      <c r="I13" s="93"/>
      <c r="J13" s="93"/>
      <c r="K13" s="93"/>
      <c r="L13" s="92"/>
      <c r="M13" s="94"/>
      <c r="N13" s="95"/>
      <c r="O13" s="95"/>
      <c r="P13" s="95"/>
      <c r="Q13" s="96"/>
      <c r="R13" s="96"/>
      <c r="S13" s="96"/>
      <c r="T13" s="97"/>
      <c r="U13" s="9"/>
    </row>
    <row r="14" spans="1:21" s="5" customFormat="1" ht="95.25" customHeight="1" thickTop="1">
      <c r="B14" s="284" t="s">
        <v>324</v>
      </c>
      <c r="C14" s="284"/>
      <c r="D14" s="284"/>
      <c r="E14" s="284"/>
      <c r="F14" s="284"/>
      <c r="G14" s="284"/>
      <c r="H14" s="284"/>
      <c r="I14" s="284"/>
      <c r="J14" s="284"/>
      <c r="K14" s="284"/>
      <c r="L14" s="284"/>
      <c r="M14" s="284"/>
      <c r="N14" s="284"/>
      <c r="O14" s="284"/>
      <c r="P14" s="284"/>
      <c r="Q14" s="284"/>
      <c r="R14" s="284"/>
      <c r="S14" s="284"/>
      <c r="T14" s="284"/>
      <c r="U14" s="284"/>
    </row>
    <row r="15" spans="1:21" s="240" customFormat="1" ht="14.25" customHeight="1">
      <c r="B15" s="241" t="s">
        <v>36</v>
      </c>
      <c r="C15" s="242"/>
      <c r="D15" s="243" t="s">
        <v>374</v>
      </c>
      <c r="E15" s="98"/>
      <c r="F15" s="98"/>
      <c r="G15" s="98"/>
      <c r="H15" s="98"/>
      <c r="I15" s="98"/>
      <c r="J15" s="98"/>
      <c r="K15" s="242"/>
      <c r="L15" s="98"/>
      <c r="M15" s="243" t="s">
        <v>375</v>
      </c>
      <c r="N15" s="98"/>
      <c r="O15" s="98"/>
      <c r="P15" s="98"/>
      <c r="Q15" s="98"/>
      <c r="R15" s="98"/>
      <c r="S15" s="98"/>
      <c r="T15" s="98"/>
    </row>
    <row r="16" spans="1:21">
      <c r="B16" s="84" t="s">
        <v>359</v>
      </c>
      <c r="D16" s="84"/>
      <c r="E16" s="84"/>
      <c r="F16" s="84"/>
      <c r="G16" s="84"/>
      <c r="H16" s="84"/>
    </row>
    <row r="17" spans="2:21" ht="3.75" customHeight="1">
      <c r="C17" s="99"/>
      <c r="J17" s="88"/>
      <c r="K17" s="88"/>
      <c r="M17" s="88"/>
      <c r="O17" s="88"/>
      <c r="Q17" s="87"/>
      <c r="T17" s="85"/>
    </row>
    <row r="18" spans="2:21" s="7" customFormat="1" ht="12.75">
      <c r="B18" s="270" t="s">
        <v>8</v>
      </c>
      <c r="C18" s="271"/>
      <c r="D18" s="271"/>
      <c r="E18" s="271"/>
      <c r="F18" s="271"/>
      <c r="G18" s="271"/>
      <c r="H18" s="271"/>
      <c r="I18" s="271"/>
      <c r="J18" s="271"/>
      <c r="K18" s="271"/>
      <c r="L18" s="271"/>
      <c r="M18" s="271"/>
      <c r="N18" s="271"/>
      <c r="O18" s="272"/>
      <c r="P18" s="100"/>
      <c r="Q18" s="270" t="s">
        <v>9</v>
      </c>
      <c r="R18" s="271"/>
      <c r="S18" s="271"/>
      <c r="T18" s="272"/>
      <c r="U18" s="6"/>
    </row>
    <row r="19" spans="2:21" s="4" customFormat="1" ht="15.75" customHeight="1">
      <c r="B19" s="277" t="s">
        <v>10</v>
      </c>
      <c r="C19" s="278"/>
      <c r="D19" s="278"/>
      <c r="E19" s="278"/>
      <c r="F19" s="278"/>
      <c r="G19" s="278"/>
      <c r="H19" s="278"/>
      <c r="I19" s="278"/>
      <c r="J19" s="278"/>
      <c r="K19" s="278"/>
      <c r="L19" s="278"/>
      <c r="M19" s="278"/>
      <c r="N19" s="278"/>
      <c r="O19" s="279"/>
      <c r="P19" s="83"/>
      <c r="Q19" s="277" t="s">
        <v>21</v>
      </c>
      <c r="R19" s="278"/>
      <c r="S19" s="278"/>
      <c r="T19" s="279"/>
    </row>
    <row r="20" spans="2:21" s="8" customFormat="1" ht="54.75" customHeight="1">
      <c r="B20" s="101" t="s">
        <v>353</v>
      </c>
      <c r="C20" s="228" t="s">
        <v>24</v>
      </c>
      <c r="D20" s="229" t="s">
        <v>354</v>
      </c>
      <c r="E20" s="256" t="s">
        <v>300</v>
      </c>
      <c r="F20" s="257"/>
      <c r="G20" s="258"/>
      <c r="H20" s="102" t="s">
        <v>11</v>
      </c>
      <c r="I20" s="103"/>
      <c r="J20" s="104" t="s">
        <v>301</v>
      </c>
      <c r="K20" s="102" t="s">
        <v>12</v>
      </c>
      <c r="L20" s="103"/>
      <c r="M20" s="105" t="s">
        <v>302</v>
      </c>
      <c r="N20" s="106"/>
      <c r="O20" s="105" t="s">
        <v>303</v>
      </c>
      <c r="P20" s="107"/>
      <c r="Q20" s="267" t="s">
        <v>304</v>
      </c>
      <c r="R20" s="268"/>
      <c r="S20" s="269"/>
      <c r="T20" s="105" t="s">
        <v>305</v>
      </c>
    </row>
    <row r="21" spans="2:21" s="2" customFormat="1" ht="12.75" customHeight="1">
      <c r="B21" s="108"/>
      <c r="C21" s="109"/>
      <c r="D21" s="110"/>
      <c r="E21" s="111"/>
      <c r="F21" s="112"/>
      <c r="G21" s="113"/>
      <c r="H21" s="114"/>
      <c r="I21" s="91"/>
      <c r="J21" s="115"/>
      <c r="K21" s="116"/>
      <c r="L21" s="91"/>
      <c r="M21" s="117" t="str">
        <f t="shared" ref="M21:M45" si="0">IF(E21="","",E21*J21)</f>
        <v/>
      </c>
      <c r="N21" s="91"/>
      <c r="O21" s="118" t="str">
        <f t="shared" ref="O21:O45" si="1">IF(K21="","",IF(K21="y",IF(H21="y",E21*J21,H21*J21),IF(H21="y",E21*K21,H21*K21)))</f>
        <v/>
      </c>
      <c r="P21" s="91"/>
      <c r="Q21" s="245"/>
      <c r="R21" s="246" t="s">
        <v>13</v>
      </c>
      <c r="S21" s="247"/>
      <c r="T21" s="119"/>
    </row>
    <row r="22" spans="2:21" s="2" customFormat="1" ht="12.75">
      <c r="B22" s="108"/>
      <c r="C22" s="120"/>
      <c r="D22" s="110"/>
      <c r="E22" s="111"/>
      <c r="F22" s="121"/>
      <c r="G22" s="113"/>
      <c r="H22" s="114"/>
      <c r="I22" s="122"/>
      <c r="J22" s="115"/>
      <c r="K22" s="116"/>
      <c r="L22" s="122"/>
      <c r="M22" s="117" t="str">
        <f t="shared" si="0"/>
        <v/>
      </c>
      <c r="N22" s="122"/>
      <c r="O22" s="118" t="str">
        <f t="shared" si="1"/>
        <v/>
      </c>
      <c r="P22" s="91"/>
      <c r="Q22" s="248"/>
      <c r="R22" s="249" t="s">
        <v>13</v>
      </c>
      <c r="S22" s="250"/>
      <c r="T22" s="117"/>
    </row>
    <row r="23" spans="2:21" s="2" customFormat="1" ht="12.75">
      <c r="B23" s="108"/>
      <c r="C23" s="120"/>
      <c r="D23" s="110"/>
      <c r="E23" s="111"/>
      <c r="F23" s="121"/>
      <c r="G23" s="113"/>
      <c r="H23" s="114"/>
      <c r="I23" s="91"/>
      <c r="J23" s="115"/>
      <c r="K23" s="116"/>
      <c r="L23" s="91"/>
      <c r="M23" s="117" t="str">
        <f t="shared" si="0"/>
        <v/>
      </c>
      <c r="N23" s="91"/>
      <c r="O23" s="118" t="str">
        <f t="shared" si="1"/>
        <v/>
      </c>
      <c r="P23" s="91"/>
      <c r="Q23" s="248"/>
      <c r="R23" s="249" t="s">
        <v>13</v>
      </c>
      <c r="S23" s="250"/>
      <c r="T23" s="117"/>
    </row>
    <row r="24" spans="2:21" s="2" customFormat="1" ht="12.75">
      <c r="B24" s="108"/>
      <c r="C24" s="120"/>
      <c r="D24" s="110"/>
      <c r="E24" s="111"/>
      <c r="F24" s="121"/>
      <c r="G24" s="113"/>
      <c r="H24" s="114"/>
      <c r="I24" s="91"/>
      <c r="J24" s="115"/>
      <c r="K24" s="116"/>
      <c r="L24" s="91"/>
      <c r="M24" s="117" t="str">
        <f t="shared" si="0"/>
        <v/>
      </c>
      <c r="N24" s="91"/>
      <c r="O24" s="118" t="str">
        <f t="shared" si="1"/>
        <v/>
      </c>
      <c r="P24" s="91"/>
      <c r="Q24" s="248"/>
      <c r="R24" s="249" t="s">
        <v>13</v>
      </c>
      <c r="S24" s="250"/>
      <c r="T24" s="117"/>
    </row>
    <row r="25" spans="2:21" ht="12.75">
      <c r="B25" s="108"/>
      <c r="C25" s="120"/>
      <c r="D25" s="110"/>
      <c r="E25" s="111"/>
      <c r="F25" s="121"/>
      <c r="G25" s="113"/>
      <c r="H25" s="114"/>
      <c r="I25" s="91"/>
      <c r="J25" s="115"/>
      <c r="K25" s="116"/>
      <c r="L25" s="91"/>
      <c r="M25" s="117" t="str">
        <f t="shared" si="0"/>
        <v/>
      </c>
      <c r="N25" s="91"/>
      <c r="O25" s="118" t="str">
        <f t="shared" si="1"/>
        <v/>
      </c>
      <c r="P25" s="91"/>
      <c r="Q25" s="248"/>
      <c r="R25" s="249" t="s">
        <v>13</v>
      </c>
      <c r="S25" s="250"/>
      <c r="T25" s="117"/>
    </row>
    <row r="26" spans="2:21" ht="12.75">
      <c r="B26" s="108"/>
      <c r="C26" s="120"/>
      <c r="D26" s="110"/>
      <c r="E26" s="111"/>
      <c r="F26" s="121"/>
      <c r="G26" s="113"/>
      <c r="H26" s="114"/>
      <c r="I26" s="91"/>
      <c r="J26" s="115"/>
      <c r="K26" s="116"/>
      <c r="L26" s="91"/>
      <c r="M26" s="117" t="str">
        <f t="shared" si="0"/>
        <v/>
      </c>
      <c r="N26" s="91"/>
      <c r="O26" s="118" t="str">
        <f t="shared" si="1"/>
        <v/>
      </c>
      <c r="P26" s="91"/>
      <c r="Q26" s="248"/>
      <c r="R26" s="249" t="s">
        <v>13</v>
      </c>
      <c r="S26" s="250"/>
      <c r="T26" s="117"/>
    </row>
    <row r="27" spans="2:21" ht="12.75">
      <c r="B27" s="108"/>
      <c r="C27" s="120"/>
      <c r="D27" s="110"/>
      <c r="E27" s="111"/>
      <c r="F27" s="121"/>
      <c r="G27" s="113"/>
      <c r="H27" s="114"/>
      <c r="I27" s="91"/>
      <c r="J27" s="115"/>
      <c r="K27" s="116"/>
      <c r="L27" s="91"/>
      <c r="M27" s="117" t="str">
        <f t="shared" si="0"/>
        <v/>
      </c>
      <c r="N27" s="91"/>
      <c r="O27" s="118" t="str">
        <f t="shared" si="1"/>
        <v/>
      </c>
      <c r="P27" s="91"/>
      <c r="Q27" s="248"/>
      <c r="R27" s="249" t="s">
        <v>13</v>
      </c>
      <c r="S27" s="250"/>
      <c r="T27" s="117"/>
    </row>
    <row r="28" spans="2:21" ht="12.75">
      <c r="B28" s="108"/>
      <c r="C28" s="120"/>
      <c r="D28" s="110"/>
      <c r="E28" s="111"/>
      <c r="F28" s="121"/>
      <c r="G28" s="113"/>
      <c r="H28" s="114"/>
      <c r="I28" s="91"/>
      <c r="J28" s="115"/>
      <c r="K28" s="116"/>
      <c r="L28" s="91"/>
      <c r="M28" s="117" t="str">
        <f t="shared" si="0"/>
        <v/>
      </c>
      <c r="N28" s="91"/>
      <c r="O28" s="118" t="str">
        <f t="shared" si="1"/>
        <v/>
      </c>
      <c r="P28" s="91"/>
      <c r="Q28" s="248"/>
      <c r="R28" s="249" t="s">
        <v>13</v>
      </c>
      <c r="S28" s="250"/>
      <c r="T28" s="117"/>
    </row>
    <row r="29" spans="2:21" ht="12.75">
      <c r="B29" s="108"/>
      <c r="C29" s="123"/>
      <c r="D29" s="110"/>
      <c r="E29" s="111"/>
      <c r="F29" s="121"/>
      <c r="G29" s="113"/>
      <c r="H29" s="114"/>
      <c r="I29" s="91"/>
      <c r="J29" s="115"/>
      <c r="K29" s="116"/>
      <c r="L29" s="91"/>
      <c r="M29" s="117" t="str">
        <f t="shared" si="0"/>
        <v/>
      </c>
      <c r="N29" s="91"/>
      <c r="O29" s="118" t="str">
        <f t="shared" si="1"/>
        <v/>
      </c>
      <c r="P29" s="91"/>
      <c r="Q29" s="248"/>
      <c r="R29" s="249" t="s">
        <v>13</v>
      </c>
      <c r="S29" s="250"/>
      <c r="T29" s="117"/>
    </row>
    <row r="30" spans="2:21" ht="12.75">
      <c r="B30" s="108"/>
      <c r="C30" s="123"/>
      <c r="D30" s="110"/>
      <c r="E30" s="111"/>
      <c r="F30" s="121"/>
      <c r="G30" s="113"/>
      <c r="H30" s="114"/>
      <c r="I30" s="91"/>
      <c r="J30" s="115"/>
      <c r="K30" s="116"/>
      <c r="L30" s="91"/>
      <c r="M30" s="117" t="str">
        <f t="shared" si="0"/>
        <v/>
      </c>
      <c r="N30" s="91"/>
      <c r="O30" s="118" t="str">
        <f t="shared" si="1"/>
        <v/>
      </c>
      <c r="P30" s="91"/>
      <c r="Q30" s="248"/>
      <c r="R30" s="249" t="s">
        <v>13</v>
      </c>
      <c r="S30" s="250"/>
      <c r="T30" s="117"/>
    </row>
    <row r="31" spans="2:21" ht="12.75">
      <c r="B31" s="108"/>
      <c r="C31" s="123"/>
      <c r="D31" s="110"/>
      <c r="E31" s="111"/>
      <c r="F31" s="121"/>
      <c r="G31" s="113"/>
      <c r="H31" s="114"/>
      <c r="I31" s="91"/>
      <c r="J31" s="115"/>
      <c r="K31" s="116"/>
      <c r="L31" s="91"/>
      <c r="M31" s="117" t="str">
        <f t="shared" si="0"/>
        <v/>
      </c>
      <c r="N31" s="91"/>
      <c r="O31" s="118" t="str">
        <f t="shared" si="1"/>
        <v/>
      </c>
      <c r="P31" s="91"/>
      <c r="Q31" s="248"/>
      <c r="R31" s="249" t="s">
        <v>13</v>
      </c>
      <c r="S31" s="250"/>
      <c r="T31" s="117"/>
    </row>
    <row r="32" spans="2:21" ht="12.75">
      <c r="B32" s="108"/>
      <c r="C32" s="120"/>
      <c r="D32" s="110"/>
      <c r="E32" s="111"/>
      <c r="F32" s="121"/>
      <c r="G32" s="113"/>
      <c r="H32" s="114"/>
      <c r="I32" s="91"/>
      <c r="J32" s="115"/>
      <c r="K32" s="116"/>
      <c r="L32" s="91"/>
      <c r="M32" s="117" t="str">
        <f t="shared" si="0"/>
        <v/>
      </c>
      <c r="N32" s="91"/>
      <c r="O32" s="118" t="str">
        <f t="shared" si="1"/>
        <v/>
      </c>
      <c r="P32" s="91"/>
      <c r="Q32" s="248"/>
      <c r="R32" s="249" t="s">
        <v>13</v>
      </c>
      <c r="S32" s="250"/>
      <c r="T32" s="117"/>
    </row>
    <row r="33" spans="2:20" ht="12.75">
      <c r="B33" s="108"/>
      <c r="C33" s="123"/>
      <c r="D33" s="110"/>
      <c r="E33" s="111"/>
      <c r="F33" s="121"/>
      <c r="G33" s="113"/>
      <c r="H33" s="114"/>
      <c r="I33" s="91"/>
      <c r="J33" s="115"/>
      <c r="K33" s="116"/>
      <c r="L33" s="91"/>
      <c r="M33" s="117" t="str">
        <f t="shared" si="0"/>
        <v/>
      </c>
      <c r="N33" s="91"/>
      <c r="O33" s="118" t="str">
        <f t="shared" si="1"/>
        <v/>
      </c>
      <c r="P33" s="91"/>
      <c r="Q33" s="248"/>
      <c r="R33" s="249" t="s">
        <v>13</v>
      </c>
      <c r="S33" s="250"/>
      <c r="T33" s="117"/>
    </row>
    <row r="34" spans="2:20" ht="12.75">
      <c r="B34" s="108"/>
      <c r="C34" s="123"/>
      <c r="D34" s="110"/>
      <c r="E34" s="111"/>
      <c r="F34" s="121"/>
      <c r="G34" s="113"/>
      <c r="H34" s="114"/>
      <c r="I34" s="91"/>
      <c r="J34" s="115"/>
      <c r="K34" s="116"/>
      <c r="L34" s="91"/>
      <c r="M34" s="117" t="str">
        <f t="shared" si="0"/>
        <v/>
      </c>
      <c r="N34" s="91"/>
      <c r="O34" s="118" t="str">
        <f t="shared" si="1"/>
        <v/>
      </c>
      <c r="P34" s="91"/>
      <c r="Q34" s="248"/>
      <c r="R34" s="249" t="s">
        <v>13</v>
      </c>
      <c r="S34" s="250"/>
      <c r="T34" s="117"/>
    </row>
    <row r="35" spans="2:20" ht="12.75">
      <c r="B35" s="108"/>
      <c r="C35" s="123"/>
      <c r="D35" s="110"/>
      <c r="E35" s="111"/>
      <c r="F35" s="121"/>
      <c r="G35" s="113"/>
      <c r="H35" s="114"/>
      <c r="I35" s="91"/>
      <c r="J35" s="115"/>
      <c r="K35" s="116"/>
      <c r="L35" s="91"/>
      <c r="M35" s="117" t="str">
        <f t="shared" si="0"/>
        <v/>
      </c>
      <c r="N35" s="91"/>
      <c r="O35" s="118" t="str">
        <f t="shared" si="1"/>
        <v/>
      </c>
      <c r="P35" s="91"/>
      <c r="Q35" s="248"/>
      <c r="R35" s="249" t="s">
        <v>13</v>
      </c>
      <c r="S35" s="250"/>
      <c r="T35" s="117"/>
    </row>
    <row r="36" spans="2:20" ht="12.75">
      <c r="B36" s="108"/>
      <c r="C36" s="123"/>
      <c r="D36" s="110"/>
      <c r="E36" s="111"/>
      <c r="F36" s="121"/>
      <c r="G36" s="113"/>
      <c r="H36" s="114"/>
      <c r="I36" s="91"/>
      <c r="J36" s="115"/>
      <c r="K36" s="116"/>
      <c r="L36" s="91"/>
      <c r="M36" s="117" t="str">
        <f t="shared" si="0"/>
        <v/>
      </c>
      <c r="N36" s="91"/>
      <c r="O36" s="118" t="str">
        <f t="shared" si="1"/>
        <v/>
      </c>
      <c r="P36" s="91"/>
      <c r="Q36" s="248"/>
      <c r="R36" s="249" t="s">
        <v>13</v>
      </c>
      <c r="S36" s="250"/>
      <c r="T36" s="117"/>
    </row>
    <row r="37" spans="2:20" ht="12.75">
      <c r="B37" s="108"/>
      <c r="C37" s="123"/>
      <c r="D37" s="110"/>
      <c r="E37" s="111"/>
      <c r="F37" s="121"/>
      <c r="G37" s="113"/>
      <c r="H37" s="114"/>
      <c r="I37" s="91"/>
      <c r="J37" s="115"/>
      <c r="K37" s="116"/>
      <c r="L37" s="91"/>
      <c r="M37" s="117" t="str">
        <f t="shared" si="0"/>
        <v/>
      </c>
      <c r="N37" s="91"/>
      <c r="O37" s="118" t="str">
        <f t="shared" si="1"/>
        <v/>
      </c>
      <c r="P37" s="91"/>
      <c r="Q37" s="248"/>
      <c r="R37" s="249" t="s">
        <v>13</v>
      </c>
      <c r="S37" s="250"/>
      <c r="T37" s="117"/>
    </row>
    <row r="38" spans="2:20" ht="12.75">
      <c r="B38" s="108"/>
      <c r="C38" s="123"/>
      <c r="D38" s="110"/>
      <c r="E38" s="111"/>
      <c r="F38" s="121"/>
      <c r="G38" s="113"/>
      <c r="H38" s="114"/>
      <c r="I38" s="91"/>
      <c r="J38" s="115"/>
      <c r="K38" s="116"/>
      <c r="L38" s="91"/>
      <c r="M38" s="117" t="str">
        <f t="shared" si="0"/>
        <v/>
      </c>
      <c r="N38" s="91"/>
      <c r="O38" s="118" t="str">
        <f t="shared" si="1"/>
        <v/>
      </c>
      <c r="P38" s="91"/>
      <c r="Q38" s="248"/>
      <c r="R38" s="249" t="s">
        <v>13</v>
      </c>
      <c r="S38" s="250"/>
      <c r="T38" s="117"/>
    </row>
    <row r="39" spans="2:20" ht="12.75">
      <c r="B39" s="108"/>
      <c r="C39" s="123"/>
      <c r="D39" s="110"/>
      <c r="E39" s="111"/>
      <c r="F39" s="121"/>
      <c r="G39" s="113"/>
      <c r="H39" s="114"/>
      <c r="I39" s="91"/>
      <c r="J39" s="115"/>
      <c r="K39" s="116"/>
      <c r="L39" s="91"/>
      <c r="M39" s="117" t="str">
        <f t="shared" si="0"/>
        <v/>
      </c>
      <c r="N39" s="91"/>
      <c r="O39" s="118" t="str">
        <f t="shared" si="1"/>
        <v/>
      </c>
      <c r="P39" s="91"/>
      <c r="Q39" s="248"/>
      <c r="R39" s="249" t="s">
        <v>13</v>
      </c>
      <c r="S39" s="250"/>
      <c r="T39" s="117"/>
    </row>
    <row r="40" spans="2:20" ht="12.75">
      <c r="B40" s="108"/>
      <c r="C40" s="123"/>
      <c r="D40" s="110"/>
      <c r="E40" s="111"/>
      <c r="F40" s="121"/>
      <c r="G40" s="113"/>
      <c r="H40" s="114"/>
      <c r="I40" s="91"/>
      <c r="J40" s="115"/>
      <c r="K40" s="116"/>
      <c r="L40" s="91"/>
      <c r="M40" s="117" t="str">
        <f t="shared" si="0"/>
        <v/>
      </c>
      <c r="N40" s="91"/>
      <c r="O40" s="118" t="str">
        <f t="shared" si="1"/>
        <v/>
      </c>
      <c r="P40" s="91"/>
      <c r="Q40" s="248"/>
      <c r="R40" s="249" t="s">
        <v>13</v>
      </c>
      <c r="S40" s="250"/>
      <c r="T40" s="117"/>
    </row>
    <row r="41" spans="2:20" ht="12.75">
      <c r="B41" s="108"/>
      <c r="C41" s="123"/>
      <c r="D41" s="110"/>
      <c r="E41" s="111"/>
      <c r="F41" s="121"/>
      <c r="G41" s="113"/>
      <c r="H41" s="114"/>
      <c r="I41" s="91"/>
      <c r="J41" s="115"/>
      <c r="K41" s="116"/>
      <c r="L41" s="91"/>
      <c r="M41" s="117" t="str">
        <f t="shared" si="0"/>
        <v/>
      </c>
      <c r="N41" s="91"/>
      <c r="O41" s="118" t="str">
        <f t="shared" si="1"/>
        <v/>
      </c>
      <c r="P41" s="91"/>
      <c r="Q41" s="248"/>
      <c r="R41" s="249" t="s">
        <v>13</v>
      </c>
      <c r="S41" s="250"/>
      <c r="T41" s="117"/>
    </row>
    <row r="42" spans="2:20" ht="12.75">
      <c r="B42" s="108"/>
      <c r="C42" s="123"/>
      <c r="D42" s="110"/>
      <c r="E42" s="111"/>
      <c r="F42" s="121"/>
      <c r="G42" s="113"/>
      <c r="H42" s="114"/>
      <c r="I42" s="91"/>
      <c r="J42" s="115"/>
      <c r="K42" s="116"/>
      <c r="L42" s="91"/>
      <c r="M42" s="117" t="str">
        <f t="shared" si="0"/>
        <v/>
      </c>
      <c r="N42" s="91"/>
      <c r="O42" s="118" t="str">
        <f t="shared" si="1"/>
        <v/>
      </c>
      <c r="P42" s="91"/>
      <c r="Q42" s="248"/>
      <c r="R42" s="249" t="s">
        <v>13</v>
      </c>
      <c r="S42" s="250"/>
      <c r="T42" s="117"/>
    </row>
    <row r="43" spans="2:20" ht="12.75">
      <c r="B43" s="108"/>
      <c r="C43" s="123"/>
      <c r="D43" s="110"/>
      <c r="E43" s="111"/>
      <c r="F43" s="121"/>
      <c r="G43" s="113"/>
      <c r="H43" s="114"/>
      <c r="I43" s="91"/>
      <c r="J43" s="115"/>
      <c r="K43" s="116"/>
      <c r="L43" s="91"/>
      <c r="M43" s="117" t="str">
        <f t="shared" si="0"/>
        <v/>
      </c>
      <c r="N43" s="91"/>
      <c r="O43" s="118" t="str">
        <f t="shared" si="1"/>
        <v/>
      </c>
      <c r="P43" s="91"/>
      <c r="Q43" s="248"/>
      <c r="R43" s="249" t="s">
        <v>13</v>
      </c>
      <c r="S43" s="250"/>
      <c r="T43" s="117"/>
    </row>
    <row r="44" spans="2:20" ht="12.75">
      <c r="B44" s="108"/>
      <c r="C44" s="123"/>
      <c r="D44" s="110"/>
      <c r="E44" s="111"/>
      <c r="F44" s="121"/>
      <c r="G44" s="113"/>
      <c r="H44" s="114"/>
      <c r="I44" s="91"/>
      <c r="J44" s="115"/>
      <c r="K44" s="116"/>
      <c r="L44" s="91"/>
      <c r="M44" s="117" t="str">
        <f t="shared" si="0"/>
        <v/>
      </c>
      <c r="N44" s="91"/>
      <c r="O44" s="118" t="str">
        <f t="shared" si="1"/>
        <v/>
      </c>
      <c r="P44" s="91"/>
      <c r="Q44" s="248"/>
      <c r="R44" s="249" t="s">
        <v>13</v>
      </c>
      <c r="S44" s="250"/>
      <c r="T44" s="117"/>
    </row>
    <row r="45" spans="2:20" ht="12.75">
      <c r="B45" s="108"/>
      <c r="C45" s="123"/>
      <c r="D45" s="110"/>
      <c r="E45" s="111"/>
      <c r="F45" s="121"/>
      <c r="G45" s="113"/>
      <c r="H45" s="114"/>
      <c r="I45" s="91"/>
      <c r="J45" s="115"/>
      <c r="K45" s="116"/>
      <c r="L45" s="91"/>
      <c r="M45" s="117" t="str">
        <f t="shared" si="0"/>
        <v/>
      </c>
      <c r="N45" s="91"/>
      <c r="O45" s="118" t="str">
        <f t="shared" si="1"/>
        <v/>
      </c>
      <c r="P45" s="91"/>
      <c r="Q45" s="248"/>
      <c r="R45" s="249" t="s">
        <v>13</v>
      </c>
      <c r="S45" s="250"/>
      <c r="T45" s="117"/>
    </row>
    <row r="46" spans="2:20" ht="15.75" customHeight="1" thickBot="1">
      <c r="E46" s="124"/>
      <c r="F46" s="125"/>
      <c r="G46" s="124"/>
      <c r="I46" s="126"/>
      <c r="L46" s="126"/>
      <c r="M46" s="127" t="s">
        <v>14</v>
      </c>
      <c r="N46" s="84"/>
      <c r="O46" s="127" t="s">
        <v>15</v>
      </c>
      <c r="R46" s="125"/>
      <c r="T46" s="127" t="s">
        <v>306</v>
      </c>
    </row>
    <row r="47" spans="2:20" ht="13.5" customHeight="1" thickBot="1">
      <c r="D47" s="128" t="s">
        <v>338</v>
      </c>
      <c r="E47" s="91"/>
      <c r="F47" s="91"/>
      <c r="G47" s="91"/>
      <c r="H47" s="91"/>
      <c r="J47" s="129"/>
      <c r="K47" s="86" t="s">
        <v>34</v>
      </c>
      <c r="M47" s="233">
        <f>SUM(M21:M45)</f>
        <v>0</v>
      </c>
      <c r="O47" s="234">
        <f>SUM(O21:O45)</f>
        <v>0</v>
      </c>
      <c r="Q47" s="129"/>
      <c r="R47" s="129"/>
      <c r="S47" s="86" t="s">
        <v>34</v>
      </c>
      <c r="T47" s="130"/>
    </row>
    <row r="48" spans="2:20" ht="13.5" customHeight="1">
      <c r="C48" s="84"/>
      <c r="D48" s="128"/>
      <c r="E48" s="91"/>
      <c r="F48" s="91"/>
      <c r="G48" s="91"/>
      <c r="H48" s="91"/>
      <c r="J48" s="129"/>
      <c r="K48" s="131" t="s">
        <v>33</v>
      </c>
      <c r="M48" s="231">
        <f>SUMIF($B$21:$B$45,"",M21:M45)</f>
        <v>0</v>
      </c>
      <c r="N48" s="85"/>
      <c r="O48" s="232">
        <f>SUMIF($B$21:$B$45,"",O21:O45)</f>
        <v>0</v>
      </c>
      <c r="Q48" s="129"/>
      <c r="R48" s="129"/>
      <c r="S48" s="131" t="s">
        <v>16</v>
      </c>
      <c r="T48" s="117"/>
    </row>
    <row r="49" spans="2:21" ht="14.25" customHeight="1">
      <c r="C49" s="84"/>
      <c r="D49" s="128"/>
      <c r="E49" s="91"/>
      <c r="F49" s="91"/>
      <c r="G49" s="91"/>
      <c r="H49" s="91"/>
      <c r="J49" s="129"/>
      <c r="K49" s="131" t="s">
        <v>35</v>
      </c>
      <c r="M49" s="117">
        <f>SUMIF($B$21:$B$45,"y",M21:M45)</f>
        <v>0</v>
      </c>
      <c r="N49" s="85"/>
      <c r="O49" s="230">
        <f>SUMIF($B$21:$B$45,"y",O21:O45)</f>
        <v>0</v>
      </c>
      <c r="Q49" s="129"/>
      <c r="R49" s="129"/>
      <c r="S49" s="131" t="s">
        <v>17</v>
      </c>
      <c r="T49" s="117"/>
    </row>
    <row r="50" spans="2:21" ht="12.75" thickBot="1">
      <c r="B50" s="212" t="s">
        <v>332</v>
      </c>
      <c r="D50" s="195" t="s">
        <v>326</v>
      </c>
      <c r="F50" s="273" t="s">
        <v>325</v>
      </c>
      <c r="G50" s="273"/>
      <c r="J50" s="132"/>
      <c r="K50" s="132"/>
      <c r="S50" s="131"/>
      <c r="T50" s="90"/>
    </row>
    <row r="51" spans="2:21" ht="12.75" thickTop="1">
      <c r="C51" s="88" t="s">
        <v>321</v>
      </c>
      <c r="D51" s="236"/>
      <c r="E51" s="91" t="s">
        <v>318</v>
      </c>
      <c r="F51" s="254"/>
      <c r="G51" s="254"/>
      <c r="H51" s="83" t="s">
        <v>331</v>
      </c>
      <c r="J51" s="219" t="s">
        <v>357</v>
      </c>
      <c r="K51" s="208"/>
      <c r="L51" s="208"/>
      <c r="M51" s="208"/>
      <c r="N51" s="215"/>
      <c r="O51" s="215"/>
      <c r="P51" s="215"/>
      <c r="Q51" s="215"/>
      <c r="R51" s="215"/>
      <c r="S51" s="208"/>
      <c r="T51" s="214"/>
      <c r="U51" s="213"/>
    </row>
    <row r="52" spans="2:21" ht="2.25" customHeight="1" thickBot="1">
      <c r="C52" s="88"/>
      <c r="D52" s="196"/>
      <c r="E52" s="91"/>
      <c r="F52" s="91"/>
      <c r="G52" s="91"/>
      <c r="J52" s="220"/>
      <c r="K52" s="3"/>
      <c r="L52" s="3"/>
      <c r="M52" s="3"/>
      <c r="N52" s="133"/>
      <c r="O52" s="133"/>
      <c r="P52" s="133"/>
      <c r="Q52" s="133"/>
      <c r="R52" s="133"/>
      <c r="S52" s="3"/>
      <c r="T52" s="85"/>
      <c r="U52" s="217"/>
    </row>
    <row r="53" spans="2:21" ht="13.5" customHeight="1" thickTop="1">
      <c r="B53" s="197"/>
      <c r="C53" s="198" t="s">
        <v>322</v>
      </c>
      <c r="D53" s="237"/>
      <c r="E53" s="199" t="s">
        <v>318</v>
      </c>
      <c r="F53" s="304"/>
      <c r="G53" s="304"/>
      <c r="H53" s="200" t="s">
        <v>319</v>
      </c>
      <c r="I53" s="3"/>
      <c r="J53" s="216"/>
      <c r="K53" s="3"/>
      <c r="L53" s="3"/>
      <c r="M53" s="88" t="s">
        <v>334</v>
      </c>
      <c r="N53" s="3"/>
      <c r="O53" s="254"/>
      <c r="P53" s="254"/>
      <c r="Q53" s="254"/>
      <c r="R53" s="254"/>
      <c r="S53" s="88" t="s">
        <v>333</v>
      </c>
      <c r="T53" s="218"/>
      <c r="U53" s="217"/>
    </row>
    <row r="54" spans="2:21" ht="3.75" customHeight="1" thickBot="1">
      <c r="B54" s="201"/>
      <c r="C54" s="88"/>
      <c r="D54" s="194"/>
      <c r="E54" s="91"/>
      <c r="F54" s="91"/>
      <c r="G54" s="91"/>
      <c r="H54" s="202"/>
      <c r="I54" s="3"/>
      <c r="J54" s="209"/>
      <c r="K54" s="210"/>
      <c r="L54" s="210"/>
      <c r="M54" s="204"/>
      <c r="N54" s="210"/>
      <c r="O54" s="210"/>
      <c r="P54" s="210"/>
      <c r="Q54" s="210"/>
      <c r="R54" s="210"/>
      <c r="S54" s="204"/>
      <c r="T54" s="210"/>
      <c r="U54" s="211"/>
    </row>
    <row r="55" spans="2:21" ht="15" thickTop="1">
      <c r="B55" s="201"/>
      <c r="C55" s="88" t="s">
        <v>323</v>
      </c>
      <c r="D55" s="238"/>
      <c r="E55" s="91" t="s">
        <v>318</v>
      </c>
      <c r="F55" s="254"/>
      <c r="G55" s="254"/>
      <c r="H55" s="202" t="s">
        <v>320</v>
      </c>
      <c r="I55" s="3"/>
      <c r="J55" s="3"/>
      <c r="K55" s="3"/>
      <c r="L55" s="3"/>
      <c r="M55" s="88" t="s">
        <v>330</v>
      </c>
      <c r="N55" s="134"/>
      <c r="O55" s="274"/>
      <c r="P55" s="274"/>
      <c r="Q55" s="274"/>
      <c r="R55" s="274"/>
      <c r="S55" s="88" t="s">
        <v>337</v>
      </c>
      <c r="T55" s="135"/>
    </row>
    <row r="56" spans="2:21" ht="4.5" customHeight="1" thickBot="1">
      <c r="B56" s="203"/>
      <c r="C56" s="204"/>
      <c r="D56" s="205"/>
      <c r="E56" s="206"/>
      <c r="F56" s="206"/>
      <c r="G56" s="206"/>
      <c r="H56" s="207"/>
      <c r="I56" s="3"/>
      <c r="J56" s="3"/>
      <c r="K56" s="3"/>
      <c r="L56" s="3"/>
      <c r="M56" s="88"/>
      <c r="N56" s="133"/>
      <c r="O56" s="133"/>
      <c r="P56" s="133"/>
      <c r="Q56" s="133"/>
      <c r="R56" s="133"/>
      <c r="S56" s="88"/>
      <c r="T56" s="85"/>
    </row>
    <row r="57" spans="2:21" ht="12.75" thickTop="1">
      <c r="B57" s="84" t="s">
        <v>336</v>
      </c>
      <c r="D57" s="84"/>
      <c r="E57" s="84"/>
      <c r="F57" s="84"/>
      <c r="G57" s="84"/>
      <c r="H57" s="84"/>
    </row>
    <row r="58" spans="2:21">
      <c r="B58" s="84"/>
      <c r="C58" s="84" t="s">
        <v>335</v>
      </c>
      <c r="D58" s="84"/>
      <c r="E58" s="84"/>
      <c r="F58" s="84"/>
      <c r="G58" s="84"/>
      <c r="H58" s="84"/>
    </row>
    <row r="59" spans="2:21">
      <c r="B59" s="84" t="s">
        <v>37</v>
      </c>
    </row>
    <row r="60" spans="2:21">
      <c r="B60" s="84" t="s">
        <v>358</v>
      </c>
    </row>
    <row r="61" spans="2:21">
      <c r="B61" s="84"/>
      <c r="C61" s="84" t="s">
        <v>339</v>
      </c>
    </row>
    <row r="62" spans="2:21" ht="1.5" customHeight="1">
      <c r="B62" s="92"/>
    </row>
    <row r="63" spans="2:21" s="20" customFormat="1" ht="9">
      <c r="B63" s="136" t="s">
        <v>377</v>
      </c>
      <c r="C63" s="137"/>
      <c r="D63" s="136"/>
      <c r="E63" s="136"/>
      <c r="F63" s="136"/>
      <c r="G63" s="136"/>
      <c r="H63" s="136"/>
      <c r="I63" s="136"/>
      <c r="J63" s="136"/>
      <c r="K63" s="136"/>
      <c r="L63" s="136"/>
      <c r="M63" s="136"/>
      <c r="N63" s="136"/>
      <c r="O63" s="136"/>
      <c r="P63" s="136"/>
      <c r="Q63" s="136"/>
      <c r="R63" s="136"/>
      <c r="S63" s="136"/>
      <c r="T63" s="136"/>
    </row>
  </sheetData>
  <customSheetViews>
    <customSheetView guid="{FED3EF2C-891B-4B19-A7F2-F90FD459899C}" scale="90" showPageBreaks="1" showGridLines="0" fitToPage="1" view="pageLayout">
      <selection activeCell="W18" sqref="W18"/>
      <pageMargins left="0.25" right="0.25" top="0.5" bottom="0.5" header="0.05" footer="0.05"/>
      <printOptions horizontalCentered="1"/>
      <pageSetup scale="85" orientation="portrait" r:id="rId1"/>
      <headerFooter alignWithMargins="0"/>
    </customSheetView>
  </customSheetViews>
  <mergeCells count="31">
    <mergeCell ref="O55:R55"/>
    <mergeCell ref="N4:O4"/>
    <mergeCell ref="K2:T2"/>
    <mergeCell ref="K1:T1"/>
    <mergeCell ref="Q19:T19"/>
    <mergeCell ref="B19:O19"/>
    <mergeCell ref="I6:K6"/>
    <mergeCell ref="E9:H9"/>
    <mergeCell ref="M8:T8"/>
    <mergeCell ref="B18:O18"/>
    <mergeCell ref="D4:K4"/>
    <mergeCell ref="J5:K5"/>
    <mergeCell ref="B14:U14"/>
    <mergeCell ref="G5:H5"/>
    <mergeCell ref="F53:G53"/>
    <mergeCell ref="F55:G55"/>
    <mergeCell ref="A1:J2"/>
    <mergeCell ref="E20:G20"/>
    <mergeCell ref="N5:Q5"/>
    <mergeCell ref="Q12:T12"/>
    <mergeCell ref="H12:K12"/>
    <mergeCell ref="G8:K8"/>
    <mergeCell ref="E11:H11"/>
    <mergeCell ref="J11:K11"/>
    <mergeCell ref="E10:H10"/>
    <mergeCell ref="J9:K9"/>
    <mergeCell ref="Q20:S20"/>
    <mergeCell ref="Q18:T18"/>
    <mergeCell ref="F50:G50"/>
    <mergeCell ref="F51:G51"/>
    <mergeCell ref="O53:R53"/>
  </mergeCells>
  <phoneticPr fontId="14" type="noConversion"/>
  <conditionalFormatting sqref="O21">
    <cfRule type="cellIs" dxfId="315" priority="188" operator="notEqual">
      <formula>M21</formula>
    </cfRule>
  </conditionalFormatting>
  <conditionalFormatting sqref="O22">
    <cfRule type="cellIs" dxfId="314" priority="187" operator="notEqual">
      <formula>M22</formula>
    </cfRule>
  </conditionalFormatting>
  <conditionalFormatting sqref="O23">
    <cfRule type="cellIs" dxfId="313" priority="186" operator="notEqual">
      <formula>M23</formula>
    </cfRule>
  </conditionalFormatting>
  <conditionalFormatting sqref="O24">
    <cfRule type="cellIs" dxfId="312" priority="185" operator="notEqual">
      <formula>M24</formula>
    </cfRule>
  </conditionalFormatting>
  <conditionalFormatting sqref="O25">
    <cfRule type="cellIs" dxfId="311" priority="184" operator="notEqual">
      <formula>M25</formula>
    </cfRule>
  </conditionalFormatting>
  <conditionalFormatting sqref="O26">
    <cfRule type="cellIs" dxfId="310" priority="183" operator="notEqual">
      <formula>M26</formula>
    </cfRule>
  </conditionalFormatting>
  <conditionalFormatting sqref="O27">
    <cfRule type="cellIs" dxfId="309" priority="182" operator="notEqual">
      <formula>M27</formula>
    </cfRule>
  </conditionalFormatting>
  <conditionalFormatting sqref="O28">
    <cfRule type="cellIs" dxfId="308" priority="181" operator="notEqual">
      <formula>M28</formula>
    </cfRule>
  </conditionalFormatting>
  <conditionalFormatting sqref="O29">
    <cfRule type="cellIs" dxfId="307" priority="180" operator="notEqual">
      <formula>M29</formula>
    </cfRule>
  </conditionalFormatting>
  <conditionalFormatting sqref="O30">
    <cfRule type="cellIs" dxfId="306" priority="179" operator="notEqual">
      <formula>M30</formula>
    </cfRule>
  </conditionalFormatting>
  <conditionalFormatting sqref="O31">
    <cfRule type="cellIs" dxfId="305" priority="178" operator="notEqual">
      <formula>M31</formula>
    </cfRule>
  </conditionalFormatting>
  <conditionalFormatting sqref="O32">
    <cfRule type="cellIs" dxfId="304" priority="177" operator="notEqual">
      <formula>M32</formula>
    </cfRule>
  </conditionalFormatting>
  <conditionalFormatting sqref="O33">
    <cfRule type="cellIs" dxfId="303" priority="176" operator="notEqual">
      <formula>M33</formula>
    </cfRule>
  </conditionalFormatting>
  <conditionalFormatting sqref="O34">
    <cfRule type="cellIs" dxfId="302" priority="175" operator="notEqual">
      <formula>M34</formula>
    </cfRule>
  </conditionalFormatting>
  <conditionalFormatting sqref="O35">
    <cfRule type="cellIs" dxfId="301" priority="174" operator="notEqual">
      <formula>M35</formula>
    </cfRule>
  </conditionalFormatting>
  <conditionalFormatting sqref="O36">
    <cfRule type="cellIs" dxfId="300" priority="173" operator="notEqual">
      <formula>M36</formula>
    </cfRule>
  </conditionalFormatting>
  <conditionalFormatting sqref="O37">
    <cfRule type="cellIs" dxfId="299" priority="172" operator="notEqual">
      <formula>M37</formula>
    </cfRule>
  </conditionalFormatting>
  <conditionalFormatting sqref="O38">
    <cfRule type="cellIs" dxfId="298" priority="171" operator="notEqual">
      <formula>M38</formula>
    </cfRule>
  </conditionalFormatting>
  <conditionalFormatting sqref="O39">
    <cfRule type="cellIs" dxfId="297" priority="170" operator="notEqual">
      <formula>M39</formula>
    </cfRule>
  </conditionalFormatting>
  <conditionalFormatting sqref="O40">
    <cfRule type="cellIs" dxfId="296" priority="169" operator="notEqual">
      <formula>M40</formula>
    </cfRule>
  </conditionalFormatting>
  <conditionalFormatting sqref="O41">
    <cfRule type="cellIs" dxfId="295" priority="168" operator="notEqual">
      <formula>M41</formula>
    </cfRule>
  </conditionalFormatting>
  <conditionalFormatting sqref="O42">
    <cfRule type="cellIs" dxfId="294" priority="167" operator="notEqual">
      <formula>M42</formula>
    </cfRule>
  </conditionalFormatting>
  <conditionalFormatting sqref="O43">
    <cfRule type="cellIs" dxfId="293" priority="166" operator="notEqual">
      <formula>M43</formula>
    </cfRule>
  </conditionalFormatting>
  <conditionalFormatting sqref="O44">
    <cfRule type="cellIs" dxfId="292" priority="165" operator="notEqual">
      <formula>M44</formula>
    </cfRule>
  </conditionalFormatting>
  <conditionalFormatting sqref="O45">
    <cfRule type="cellIs" dxfId="291" priority="164" operator="notEqual">
      <formula>M45</formula>
    </cfRule>
  </conditionalFormatting>
  <conditionalFormatting sqref="H21">
    <cfRule type="expression" dxfId="290" priority="163">
      <formula>H21&lt;&gt;"y"</formula>
    </cfRule>
  </conditionalFormatting>
  <conditionalFormatting sqref="H22">
    <cfRule type="expression" dxfId="289" priority="159">
      <formula>H22&lt;&gt;"y"</formula>
    </cfRule>
  </conditionalFormatting>
  <conditionalFormatting sqref="H23">
    <cfRule type="expression" dxfId="288" priority="158">
      <formula>H23&lt;&gt;"y"</formula>
    </cfRule>
  </conditionalFormatting>
  <conditionalFormatting sqref="H24">
    <cfRule type="expression" dxfId="287" priority="157">
      <formula>H24&lt;&gt;"y"</formula>
    </cfRule>
  </conditionalFormatting>
  <conditionalFormatting sqref="H25">
    <cfRule type="expression" dxfId="286" priority="156">
      <formula>H25&lt;&gt;"y"</formula>
    </cfRule>
  </conditionalFormatting>
  <conditionalFormatting sqref="H26">
    <cfRule type="expression" dxfId="285" priority="155">
      <formula>H26&lt;&gt;"y"</formula>
    </cfRule>
  </conditionalFormatting>
  <conditionalFormatting sqref="H27">
    <cfRule type="expression" dxfId="284" priority="154">
      <formula>H27&lt;&gt;"y"</formula>
    </cfRule>
  </conditionalFormatting>
  <conditionalFormatting sqref="H28">
    <cfRule type="expression" dxfId="283" priority="153">
      <formula>H28&lt;&gt;"y"</formula>
    </cfRule>
  </conditionalFormatting>
  <conditionalFormatting sqref="H29">
    <cfRule type="expression" dxfId="282" priority="152">
      <formula>H29&lt;&gt;"y"</formula>
    </cfRule>
  </conditionalFormatting>
  <conditionalFormatting sqref="H30">
    <cfRule type="expression" dxfId="281" priority="151">
      <formula>H30&lt;&gt;"y"</formula>
    </cfRule>
  </conditionalFormatting>
  <conditionalFormatting sqref="H31">
    <cfRule type="expression" dxfId="280" priority="150">
      <formula>H31&lt;&gt;"y"</formula>
    </cfRule>
  </conditionalFormatting>
  <conditionalFormatting sqref="H37">
    <cfRule type="expression" dxfId="279" priority="149">
      <formula>H37&lt;&gt;"y"</formula>
    </cfRule>
  </conditionalFormatting>
  <conditionalFormatting sqref="H38">
    <cfRule type="expression" dxfId="278" priority="148">
      <formula>H38&lt;&gt;"y"</formula>
    </cfRule>
  </conditionalFormatting>
  <conditionalFormatting sqref="H32">
    <cfRule type="expression" dxfId="277" priority="147">
      <formula>H32&lt;&gt;"y"</formula>
    </cfRule>
  </conditionalFormatting>
  <conditionalFormatting sqref="H28">
    <cfRule type="expression" dxfId="276" priority="146">
      <formula>H28&lt;&gt;"y"</formula>
    </cfRule>
  </conditionalFormatting>
  <conditionalFormatting sqref="H29">
    <cfRule type="expression" dxfId="275" priority="145">
      <formula>H29&lt;&gt;"y"</formula>
    </cfRule>
  </conditionalFormatting>
  <conditionalFormatting sqref="H30">
    <cfRule type="expression" dxfId="274" priority="144">
      <formula>H30&lt;&gt;"y"</formula>
    </cfRule>
  </conditionalFormatting>
  <conditionalFormatting sqref="H31">
    <cfRule type="expression" dxfId="273" priority="143">
      <formula>H31&lt;&gt;"y"</formula>
    </cfRule>
  </conditionalFormatting>
  <conditionalFormatting sqref="H32">
    <cfRule type="expression" dxfId="272" priority="142">
      <formula>H32&lt;&gt;"y"</formula>
    </cfRule>
  </conditionalFormatting>
  <conditionalFormatting sqref="H33">
    <cfRule type="expression" dxfId="271" priority="141">
      <formula>H33&lt;&gt;"y"</formula>
    </cfRule>
  </conditionalFormatting>
  <conditionalFormatting sqref="H34">
    <cfRule type="expression" dxfId="270" priority="140">
      <formula>H34&lt;&gt;"y"</formula>
    </cfRule>
  </conditionalFormatting>
  <conditionalFormatting sqref="H35">
    <cfRule type="expression" dxfId="269" priority="139">
      <formula>H35&lt;&gt;"y"</formula>
    </cfRule>
  </conditionalFormatting>
  <conditionalFormatting sqref="H36">
    <cfRule type="expression" dxfId="268" priority="138">
      <formula>H36&lt;&gt;"y"</formula>
    </cfRule>
  </conditionalFormatting>
  <conditionalFormatting sqref="H37">
    <cfRule type="expression" dxfId="267" priority="137">
      <formula>H37&lt;&gt;"y"</formula>
    </cfRule>
  </conditionalFormatting>
  <conditionalFormatting sqref="H38">
    <cfRule type="expression" dxfId="266" priority="136">
      <formula>H38&lt;&gt;"y"</formula>
    </cfRule>
  </conditionalFormatting>
  <conditionalFormatting sqref="H40">
    <cfRule type="expression" dxfId="265" priority="135">
      <formula>H40&lt;&gt;"y"</formula>
    </cfRule>
  </conditionalFormatting>
  <conditionalFormatting sqref="H41">
    <cfRule type="expression" dxfId="264" priority="134">
      <formula>H41&lt;&gt;"y"</formula>
    </cfRule>
  </conditionalFormatting>
  <conditionalFormatting sqref="H39">
    <cfRule type="expression" dxfId="263" priority="133">
      <formula>H39&lt;&gt;"y"</formula>
    </cfRule>
  </conditionalFormatting>
  <conditionalFormatting sqref="H42">
    <cfRule type="expression" dxfId="262" priority="132">
      <formula>H42&lt;&gt;"y"</formula>
    </cfRule>
  </conditionalFormatting>
  <conditionalFormatting sqref="H43">
    <cfRule type="expression" dxfId="261" priority="131">
      <formula>H43&lt;&gt;"y"</formula>
    </cfRule>
  </conditionalFormatting>
  <conditionalFormatting sqref="H44">
    <cfRule type="expression" dxfId="260" priority="130">
      <formula>H44&lt;&gt;"y"</formula>
    </cfRule>
  </conditionalFormatting>
  <conditionalFormatting sqref="H45">
    <cfRule type="expression" dxfId="259" priority="129">
      <formula>H45&lt;&gt;"y"</formula>
    </cfRule>
  </conditionalFormatting>
  <conditionalFormatting sqref="H21">
    <cfRule type="expression" dxfId="258" priority="128">
      <formula>H21&lt;&gt;"y"</formula>
    </cfRule>
  </conditionalFormatting>
  <conditionalFormatting sqref="K21">
    <cfRule type="expression" dxfId="257" priority="127">
      <formula>K21&lt;&gt;"y"</formula>
    </cfRule>
  </conditionalFormatting>
  <conditionalFormatting sqref="K21">
    <cfRule type="expression" dxfId="256" priority="126">
      <formula>K21&lt;&gt;"y"</formula>
    </cfRule>
  </conditionalFormatting>
  <conditionalFormatting sqref="K22">
    <cfRule type="expression" dxfId="255" priority="125">
      <formula>K22&lt;&gt;"y"</formula>
    </cfRule>
  </conditionalFormatting>
  <conditionalFormatting sqref="K22">
    <cfRule type="expression" dxfId="254" priority="124">
      <formula>K22&lt;&gt;"y"</formula>
    </cfRule>
  </conditionalFormatting>
  <conditionalFormatting sqref="K23">
    <cfRule type="expression" dxfId="253" priority="123">
      <formula>K23&lt;&gt;"y"</formula>
    </cfRule>
  </conditionalFormatting>
  <conditionalFormatting sqref="K23">
    <cfRule type="expression" dxfId="252" priority="122">
      <formula>K23&lt;&gt;"y"</formula>
    </cfRule>
  </conditionalFormatting>
  <conditionalFormatting sqref="K24">
    <cfRule type="expression" dxfId="251" priority="121">
      <formula>K24&lt;&gt;"y"</formula>
    </cfRule>
  </conditionalFormatting>
  <conditionalFormatting sqref="K24">
    <cfRule type="expression" dxfId="250" priority="120">
      <formula>K24&lt;&gt;"y"</formula>
    </cfRule>
  </conditionalFormatting>
  <conditionalFormatting sqref="K25">
    <cfRule type="expression" dxfId="249" priority="119">
      <formula>K25&lt;&gt;"y"</formula>
    </cfRule>
  </conditionalFormatting>
  <conditionalFormatting sqref="K25">
    <cfRule type="expression" dxfId="248" priority="118">
      <formula>K25&lt;&gt;"y"</formula>
    </cfRule>
  </conditionalFormatting>
  <conditionalFormatting sqref="K26">
    <cfRule type="expression" dxfId="247" priority="117">
      <formula>K26&lt;&gt;"y"</formula>
    </cfRule>
  </conditionalFormatting>
  <conditionalFormatting sqref="K26">
    <cfRule type="expression" dxfId="246" priority="116">
      <formula>K26&lt;&gt;"y"</formula>
    </cfRule>
  </conditionalFormatting>
  <conditionalFormatting sqref="K27">
    <cfRule type="expression" dxfId="245" priority="115">
      <formula>K27&lt;&gt;"y"</formula>
    </cfRule>
  </conditionalFormatting>
  <conditionalFormatting sqref="K27">
    <cfRule type="expression" dxfId="244" priority="114">
      <formula>K27&lt;&gt;"y"</formula>
    </cfRule>
  </conditionalFormatting>
  <conditionalFormatting sqref="K28">
    <cfRule type="expression" dxfId="243" priority="113">
      <formula>K28&lt;&gt;"y"</formula>
    </cfRule>
  </conditionalFormatting>
  <conditionalFormatting sqref="K28">
    <cfRule type="expression" dxfId="242" priority="112">
      <formula>K28&lt;&gt;"y"</formula>
    </cfRule>
  </conditionalFormatting>
  <conditionalFormatting sqref="K22">
    <cfRule type="expression" dxfId="241" priority="111">
      <formula>K22&lt;&gt;"y"</formula>
    </cfRule>
  </conditionalFormatting>
  <conditionalFormatting sqref="K22">
    <cfRule type="expression" dxfId="240" priority="110">
      <formula>K22&lt;&gt;"y"</formula>
    </cfRule>
  </conditionalFormatting>
  <conditionalFormatting sqref="K23">
    <cfRule type="expression" dxfId="239" priority="109">
      <formula>K23&lt;&gt;"y"</formula>
    </cfRule>
  </conditionalFormatting>
  <conditionalFormatting sqref="K23">
    <cfRule type="expression" dxfId="238" priority="108">
      <formula>K23&lt;&gt;"y"</formula>
    </cfRule>
  </conditionalFormatting>
  <conditionalFormatting sqref="K24">
    <cfRule type="expression" dxfId="237" priority="107">
      <formula>K24&lt;&gt;"y"</formula>
    </cfRule>
  </conditionalFormatting>
  <conditionalFormatting sqref="K24">
    <cfRule type="expression" dxfId="236" priority="106">
      <formula>K24&lt;&gt;"y"</formula>
    </cfRule>
  </conditionalFormatting>
  <conditionalFormatting sqref="K25">
    <cfRule type="expression" dxfId="235" priority="105">
      <formula>K25&lt;&gt;"y"</formula>
    </cfRule>
  </conditionalFormatting>
  <conditionalFormatting sqref="K25">
    <cfRule type="expression" dxfId="234" priority="104">
      <formula>K25&lt;&gt;"y"</formula>
    </cfRule>
  </conditionalFormatting>
  <conditionalFormatting sqref="K26">
    <cfRule type="expression" dxfId="233" priority="103">
      <formula>K26&lt;&gt;"y"</formula>
    </cfRule>
  </conditionalFormatting>
  <conditionalFormatting sqref="K26">
    <cfRule type="expression" dxfId="232" priority="102">
      <formula>K26&lt;&gt;"y"</formula>
    </cfRule>
  </conditionalFormatting>
  <conditionalFormatting sqref="K27">
    <cfRule type="expression" dxfId="231" priority="101">
      <formula>K27&lt;&gt;"y"</formula>
    </cfRule>
  </conditionalFormatting>
  <conditionalFormatting sqref="K27">
    <cfRule type="expression" dxfId="230" priority="100">
      <formula>K27&lt;&gt;"y"</formula>
    </cfRule>
  </conditionalFormatting>
  <conditionalFormatting sqref="K28">
    <cfRule type="expression" dxfId="229" priority="99">
      <formula>K28&lt;&gt;"y"</formula>
    </cfRule>
  </conditionalFormatting>
  <conditionalFormatting sqref="K28">
    <cfRule type="expression" dxfId="228" priority="98">
      <formula>K28&lt;&gt;"y"</formula>
    </cfRule>
  </conditionalFormatting>
  <conditionalFormatting sqref="K29">
    <cfRule type="expression" dxfId="227" priority="97">
      <formula>K29&lt;&gt;"y"</formula>
    </cfRule>
  </conditionalFormatting>
  <conditionalFormatting sqref="K29">
    <cfRule type="expression" dxfId="226" priority="96">
      <formula>K29&lt;&gt;"y"</formula>
    </cfRule>
  </conditionalFormatting>
  <conditionalFormatting sqref="K30">
    <cfRule type="expression" dxfId="225" priority="95">
      <formula>K30&lt;&gt;"y"</formula>
    </cfRule>
  </conditionalFormatting>
  <conditionalFormatting sqref="K30">
    <cfRule type="expression" dxfId="224" priority="94">
      <formula>K30&lt;&gt;"y"</formula>
    </cfRule>
  </conditionalFormatting>
  <conditionalFormatting sqref="K31">
    <cfRule type="expression" dxfId="223" priority="93">
      <formula>K31&lt;&gt;"y"</formula>
    </cfRule>
  </conditionalFormatting>
  <conditionalFormatting sqref="K31">
    <cfRule type="expression" dxfId="222" priority="92">
      <formula>K31&lt;&gt;"y"</formula>
    </cfRule>
  </conditionalFormatting>
  <conditionalFormatting sqref="K32">
    <cfRule type="expression" dxfId="221" priority="91">
      <formula>K32&lt;&gt;"y"</formula>
    </cfRule>
  </conditionalFormatting>
  <conditionalFormatting sqref="K32">
    <cfRule type="expression" dxfId="220" priority="90">
      <formula>K32&lt;&gt;"y"</formula>
    </cfRule>
  </conditionalFormatting>
  <conditionalFormatting sqref="K33">
    <cfRule type="expression" dxfId="219" priority="89">
      <formula>K33&lt;&gt;"y"</formula>
    </cfRule>
  </conditionalFormatting>
  <conditionalFormatting sqref="K33">
    <cfRule type="expression" dxfId="218" priority="88">
      <formula>K33&lt;&gt;"y"</formula>
    </cfRule>
  </conditionalFormatting>
  <conditionalFormatting sqref="K34">
    <cfRule type="expression" dxfId="217" priority="87">
      <formula>K34&lt;&gt;"y"</formula>
    </cfRule>
  </conditionalFormatting>
  <conditionalFormatting sqref="K34">
    <cfRule type="expression" dxfId="216" priority="86">
      <formula>K34&lt;&gt;"y"</formula>
    </cfRule>
  </conditionalFormatting>
  <conditionalFormatting sqref="K35">
    <cfRule type="expression" dxfId="215" priority="85">
      <formula>K35&lt;&gt;"y"</formula>
    </cfRule>
  </conditionalFormatting>
  <conditionalFormatting sqref="K35">
    <cfRule type="expression" dxfId="214" priority="84">
      <formula>K35&lt;&gt;"y"</formula>
    </cfRule>
  </conditionalFormatting>
  <conditionalFormatting sqref="K36">
    <cfRule type="expression" dxfId="213" priority="83">
      <formula>K36&lt;&gt;"y"</formula>
    </cfRule>
  </conditionalFormatting>
  <conditionalFormatting sqref="K36">
    <cfRule type="expression" dxfId="212" priority="82">
      <formula>K36&lt;&gt;"y"</formula>
    </cfRule>
  </conditionalFormatting>
  <conditionalFormatting sqref="K37">
    <cfRule type="expression" dxfId="211" priority="81">
      <formula>K37&lt;&gt;"y"</formula>
    </cfRule>
  </conditionalFormatting>
  <conditionalFormatting sqref="K37">
    <cfRule type="expression" dxfId="210" priority="80">
      <formula>K37&lt;&gt;"y"</formula>
    </cfRule>
  </conditionalFormatting>
  <conditionalFormatting sqref="K38">
    <cfRule type="expression" dxfId="209" priority="79">
      <formula>K38&lt;&gt;"y"</formula>
    </cfRule>
  </conditionalFormatting>
  <conditionalFormatting sqref="K38">
    <cfRule type="expression" dxfId="208" priority="78">
      <formula>K38&lt;&gt;"y"</formula>
    </cfRule>
  </conditionalFormatting>
  <conditionalFormatting sqref="K39">
    <cfRule type="expression" dxfId="207" priority="77">
      <formula>K39&lt;&gt;"y"</formula>
    </cfRule>
  </conditionalFormatting>
  <conditionalFormatting sqref="K39">
    <cfRule type="expression" dxfId="206" priority="76">
      <formula>K39&lt;&gt;"y"</formula>
    </cfRule>
  </conditionalFormatting>
  <conditionalFormatting sqref="K40">
    <cfRule type="expression" dxfId="205" priority="75">
      <formula>K40&lt;&gt;"y"</formula>
    </cfRule>
  </conditionalFormatting>
  <conditionalFormatting sqref="K40">
    <cfRule type="expression" dxfId="204" priority="74">
      <formula>K40&lt;&gt;"y"</formula>
    </cfRule>
  </conditionalFormatting>
  <conditionalFormatting sqref="K41">
    <cfRule type="expression" dxfId="203" priority="73">
      <formula>K41&lt;&gt;"y"</formula>
    </cfRule>
  </conditionalFormatting>
  <conditionalFormatting sqref="K41">
    <cfRule type="expression" dxfId="202" priority="72">
      <formula>K41&lt;&gt;"y"</formula>
    </cfRule>
  </conditionalFormatting>
  <conditionalFormatting sqref="K42">
    <cfRule type="expression" dxfId="201" priority="71">
      <formula>K42&lt;&gt;"y"</formula>
    </cfRule>
  </conditionalFormatting>
  <conditionalFormatting sqref="K42">
    <cfRule type="expression" dxfId="200" priority="70">
      <formula>K42&lt;&gt;"y"</formula>
    </cfRule>
  </conditionalFormatting>
  <conditionalFormatting sqref="K43">
    <cfRule type="expression" dxfId="199" priority="69">
      <formula>K43&lt;&gt;"y"</formula>
    </cfRule>
  </conditionalFormatting>
  <conditionalFormatting sqref="K43">
    <cfRule type="expression" dxfId="198" priority="68">
      <formula>K43&lt;&gt;"y"</formula>
    </cfRule>
  </conditionalFormatting>
  <conditionalFormatting sqref="K44">
    <cfRule type="expression" dxfId="197" priority="67">
      <formula>K44&lt;&gt;"y"</formula>
    </cfRule>
  </conditionalFormatting>
  <conditionalFormatting sqref="K44">
    <cfRule type="expression" dxfId="196" priority="66">
      <formula>K44&lt;&gt;"y"</formula>
    </cfRule>
  </conditionalFormatting>
  <conditionalFormatting sqref="K45">
    <cfRule type="expression" dxfId="195" priority="65">
      <formula>K45&lt;&gt;"y"</formula>
    </cfRule>
  </conditionalFormatting>
  <conditionalFormatting sqref="K45">
    <cfRule type="expression" dxfId="194" priority="64">
      <formula>K45&lt;&gt;"y"</formula>
    </cfRule>
  </conditionalFormatting>
  <conditionalFormatting sqref="O22">
    <cfRule type="cellIs" dxfId="193" priority="63" operator="notEqual">
      <formula>M22</formula>
    </cfRule>
  </conditionalFormatting>
  <conditionalFormatting sqref="O23">
    <cfRule type="cellIs" dxfId="192" priority="62" operator="notEqual">
      <formula>M23</formula>
    </cfRule>
  </conditionalFormatting>
  <conditionalFormatting sqref="O24">
    <cfRule type="cellIs" dxfId="191" priority="61" operator="notEqual">
      <formula>M24</formula>
    </cfRule>
  </conditionalFormatting>
  <conditionalFormatting sqref="O25">
    <cfRule type="cellIs" dxfId="190" priority="60" operator="notEqual">
      <formula>M25</formula>
    </cfRule>
  </conditionalFormatting>
  <conditionalFormatting sqref="O26">
    <cfRule type="cellIs" dxfId="189" priority="59" operator="notEqual">
      <formula>M26</formula>
    </cfRule>
  </conditionalFormatting>
  <conditionalFormatting sqref="O27">
    <cfRule type="cellIs" dxfId="188" priority="58" operator="notEqual">
      <formula>M27</formula>
    </cfRule>
  </conditionalFormatting>
  <conditionalFormatting sqref="O28">
    <cfRule type="cellIs" dxfId="187" priority="57" operator="notEqual">
      <formula>M28</formula>
    </cfRule>
  </conditionalFormatting>
  <conditionalFormatting sqref="O29">
    <cfRule type="cellIs" dxfId="186" priority="56" operator="notEqual">
      <formula>M29</formula>
    </cfRule>
  </conditionalFormatting>
  <conditionalFormatting sqref="O30">
    <cfRule type="cellIs" dxfId="185" priority="55" operator="notEqual">
      <formula>M30</formula>
    </cfRule>
  </conditionalFormatting>
  <conditionalFormatting sqref="O31">
    <cfRule type="cellIs" dxfId="184" priority="54" operator="notEqual">
      <formula>M31</formula>
    </cfRule>
  </conditionalFormatting>
  <conditionalFormatting sqref="O32">
    <cfRule type="cellIs" dxfId="183" priority="53" operator="notEqual">
      <formula>M32</formula>
    </cfRule>
  </conditionalFormatting>
  <conditionalFormatting sqref="O33">
    <cfRule type="cellIs" dxfId="182" priority="52" operator="notEqual">
      <formula>M33</formula>
    </cfRule>
  </conditionalFormatting>
  <conditionalFormatting sqref="O34">
    <cfRule type="cellIs" dxfId="181" priority="51" operator="notEqual">
      <formula>M34</formula>
    </cfRule>
  </conditionalFormatting>
  <conditionalFormatting sqref="O35">
    <cfRule type="cellIs" dxfId="180" priority="50" operator="notEqual">
      <formula>M35</formula>
    </cfRule>
  </conditionalFormatting>
  <conditionalFormatting sqref="O36">
    <cfRule type="cellIs" dxfId="179" priority="49" operator="notEqual">
      <formula>M36</formula>
    </cfRule>
  </conditionalFormatting>
  <conditionalFormatting sqref="O37">
    <cfRule type="cellIs" dxfId="178" priority="48" operator="notEqual">
      <formula>M37</formula>
    </cfRule>
  </conditionalFormatting>
  <conditionalFormatting sqref="O38">
    <cfRule type="cellIs" dxfId="177" priority="47" operator="notEqual">
      <formula>M38</formula>
    </cfRule>
  </conditionalFormatting>
  <conditionalFormatting sqref="O39">
    <cfRule type="cellIs" dxfId="176" priority="46" operator="notEqual">
      <formula>M39</formula>
    </cfRule>
  </conditionalFormatting>
  <conditionalFormatting sqref="O40">
    <cfRule type="cellIs" dxfId="175" priority="45" operator="notEqual">
      <formula>M40</formula>
    </cfRule>
  </conditionalFormatting>
  <conditionalFormatting sqref="O41">
    <cfRule type="cellIs" dxfId="174" priority="44" operator="notEqual">
      <formula>M41</formula>
    </cfRule>
  </conditionalFormatting>
  <conditionalFormatting sqref="O42">
    <cfRule type="cellIs" dxfId="173" priority="43" operator="notEqual">
      <formula>M42</formula>
    </cfRule>
  </conditionalFormatting>
  <conditionalFormatting sqref="O43">
    <cfRule type="cellIs" dxfId="172" priority="42" operator="notEqual">
      <formula>M43</formula>
    </cfRule>
  </conditionalFormatting>
  <conditionalFormatting sqref="O44">
    <cfRule type="cellIs" dxfId="171" priority="41" operator="notEqual">
      <formula>M44</formula>
    </cfRule>
  </conditionalFormatting>
  <conditionalFormatting sqref="O45">
    <cfRule type="cellIs" dxfId="170" priority="40" operator="notEqual">
      <formula>M45</formula>
    </cfRule>
  </conditionalFormatting>
  <conditionalFormatting sqref="M21">
    <cfRule type="expression" dxfId="169" priority="39">
      <formula>AND(M21&lt;&gt;O21,$F$53&lt;&gt;"")</formula>
    </cfRule>
  </conditionalFormatting>
  <conditionalFormatting sqref="E21">
    <cfRule type="expression" dxfId="168" priority="13">
      <formula>AND($H$21&lt;&gt;"y",$F$53&lt;&gt;"")</formula>
    </cfRule>
  </conditionalFormatting>
  <conditionalFormatting sqref="E22:E45">
    <cfRule type="expression" dxfId="167" priority="12">
      <formula>AND(H22&lt;&gt;"y",$F$53&lt;&gt;"")</formula>
    </cfRule>
  </conditionalFormatting>
  <conditionalFormatting sqref="J21">
    <cfRule type="expression" dxfId="166" priority="11">
      <formula>AND(K21&lt;&gt;"y",$F$55&lt;&gt;"")</formula>
    </cfRule>
  </conditionalFormatting>
  <conditionalFormatting sqref="J22:J45">
    <cfRule type="expression" dxfId="165" priority="10">
      <formula>AND(K22&lt;&gt;"y",$F$55&lt;&gt;"")</formula>
    </cfRule>
  </conditionalFormatting>
  <conditionalFormatting sqref="M47">
    <cfRule type="expression" dxfId="164" priority="9">
      <formula>M47&lt;&gt;O47</formula>
    </cfRule>
  </conditionalFormatting>
  <conditionalFormatting sqref="M48">
    <cfRule type="expression" dxfId="163" priority="8">
      <formula>M48&lt;&gt;O48</formula>
    </cfRule>
  </conditionalFormatting>
  <conditionalFormatting sqref="M49">
    <cfRule type="expression" dxfId="162" priority="7">
      <formula>M49&lt;&gt;O49</formula>
    </cfRule>
  </conditionalFormatting>
  <conditionalFormatting sqref="O47">
    <cfRule type="expression" dxfId="161" priority="6">
      <formula>O47&lt;&gt;M47</formula>
    </cfRule>
  </conditionalFormatting>
  <conditionalFormatting sqref="O48">
    <cfRule type="expression" dxfId="160" priority="5">
      <formula>O48&lt;&gt;M48</formula>
    </cfRule>
  </conditionalFormatting>
  <conditionalFormatting sqref="O49">
    <cfRule type="expression" dxfId="159" priority="4">
      <formula>O49&lt;&gt;M49</formula>
    </cfRule>
  </conditionalFormatting>
  <conditionalFormatting sqref="M22:M45">
    <cfRule type="expression" dxfId="158" priority="1">
      <formula>AND(M22&lt;&gt;O22,$F$53&lt;&gt;"")</formula>
    </cfRule>
  </conditionalFormatting>
  <dataValidations count="9">
    <dataValidation type="date" allowBlank="1" showInputMessage="1" showErrorMessage="1" errorTitle="TA Date" error="The date you have entered is not allowed.  Please double-check your date to confirm the information is being accurately input." sqref="D51:D56">
      <formula1>40715</formula1>
      <formula2>54789</formula2>
    </dataValidation>
    <dataValidation type="list" allowBlank="1" showInputMessage="1" showErrorMessage="1" errorTitle="RRD Task List" error="The Task you have requested is not part of the 2010 Reasonable Rate Document.  Please select a Task from the Dropdown menu for this cell." sqref="C21:C45">
      <formula1>TaskList</formula1>
    </dataValidation>
    <dataValidation type="list" allowBlank="1" showInputMessage="1" showErrorMessage="1" sqref="D21:D45">
      <formula1>LabCodes</formula1>
    </dataValidation>
    <dataValidation type="whole" allowBlank="1" showInputMessage="1" showErrorMessage="1" sqref="T9">
      <formula1>0</formula1>
      <formula2>10</formula2>
    </dataValidation>
    <dataValidation type="decimal" allowBlank="1" showInputMessage="1" showErrorMessage="1" sqref="T11">
      <formula1>0</formula1>
      <formula2>1</formula2>
    </dataValidation>
    <dataValidation type="list" allowBlank="1" showInputMessage="1" showErrorMessage="1" sqref="H12">
      <formula1>Eligibility</formula1>
    </dataValidation>
    <dataValidation type="list" allowBlank="1" showInputMessage="1" showErrorMessage="1" sqref="I6:K6">
      <formula1>RPType</formula1>
    </dataValidation>
    <dataValidation type="list" allowBlank="1" showInputMessage="1" showErrorMessage="1" sqref="Q4">
      <formula1>CountyList</formula1>
    </dataValidation>
    <dataValidation type="list" allowBlank="1" showInputMessage="1" showErrorMessage="1" errorTitle="Reimbursement Type" error="Select the applicable Reimbursement Type from the Dropdown menu (Directed, NonDirected, or Free Product)" sqref="A1:J2">
      <formula1>ReimbTypeName</formula1>
    </dataValidation>
  </dataValidations>
  <printOptions horizontalCentered="1"/>
  <pageMargins left="0.25" right="0.25" top="0.5" bottom="0.5" header="0.05" footer="0.05"/>
  <pageSetup scale="84" orientation="portrait" r:id="rId2"/>
  <headerFooter alignWithMargins="0"/>
  <legacyDrawing r:id="rId3"/>
</worksheet>
</file>

<file path=xl/worksheets/sheet3.xml><?xml version="1.0" encoding="utf-8"?>
<worksheet xmlns="http://schemas.openxmlformats.org/spreadsheetml/2006/main" xmlns:r="http://schemas.openxmlformats.org/officeDocument/2006/relationships">
  <sheetPr>
    <tabColor theme="6" tint="0.39997558519241921"/>
    <pageSetUpPr fitToPage="1"/>
  </sheetPr>
  <dimension ref="A1:T38"/>
  <sheetViews>
    <sheetView zoomScaleNormal="100" zoomScaleSheetLayoutView="100" workbookViewId="0">
      <selection activeCell="I21" sqref="I21"/>
    </sheetView>
  </sheetViews>
  <sheetFormatPr defaultRowHeight="12"/>
  <cols>
    <col min="1" max="1" width="3.28515625" style="85" customWidth="1"/>
    <col min="2" max="2" width="6.85546875" style="83" customWidth="1"/>
    <col min="3" max="3" width="6" style="83" customWidth="1"/>
    <col min="4" max="4" width="7.85546875" style="83" customWidth="1"/>
    <col min="5" max="5" width="1" style="83" customWidth="1"/>
    <col min="6" max="6" width="5.7109375" style="83" customWidth="1"/>
    <col min="7" max="7" width="6.85546875" style="83" customWidth="1"/>
    <col min="8" max="8" width="1.140625" style="83" customWidth="1"/>
    <col min="9" max="9" width="10.7109375" style="83" customWidth="1"/>
    <col min="10" max="10" width="7.5703125" style="83" customWidth="1"/>
    <col min="11" max="11" width="1.42578125" style="83" customWidth="1"/>
    <col min="12" max="12" width="12.28515625" style="83" customWidth="1"/>
    <col min="13" max="13" width="1" style="83" customWidth="1"/>
    <col min="14" max="14" width="11.7109375" style="83" customWidth="1"/>
    <col min="15" max="15" width="1" style="83" customWidth="1"/>
    <col min="16" max="16" width="8.85546875" style="83" customWidth="1"/>
    <col min="17" max="17" width="1" style="83" customWidth="1"/>
    <col min="18" max="18" width="10" style="83" customWidth="1"/>
    <col min="19" max="19" width="11.28515625" style="83" customWidth="1"/>
    <col min="20" max="20" width="0.42578125" style="3" customWidth="1"/>
    <col min="21" max="16384" width="9.140625" style="3"/>
  </cols>
  <sheetData>
    <row r="1" spans="1:20" ht="18.75">
      <c r="A1" s="286" t="s">
        <v>313</v>
      </c>
      <c r="B1" s="286"/>
      <c r="C1" s="286"/>
      <c r="D1" s="286"/>
      <c r="E1" s="286"/>
      <c r="F1" s="286"/>
      <c r="G1" s="286"/>
      <c r="H1" s="286"/>
      <c r="I1" s="286"/>
      <c r="J1" s="288" t="s">
        <v>328</v>
      </c>
      <c r="K1" s="288"/>
      <c r="L1" s="288"/>
      <c r="M1" s="288"/>
      <c r="N1" s="288"/>
      <c r="O1" s="288"/>
      <c r="P1" s="288"/>
      <c r="Q1" s="288"/>
      <c r="R1" s="288"/>
      <c r="S1" s="288"/>
    </row>
    <row r="2" spans="1:20" ht="15">
      <c r="A2" s="286"/>
      <c r="B2" s="286"/>
      <c r="C2" s="286"/>
      <c r="D2" s="286"/>
      <c r="E2" s="286"/>
      <c r="F2" s="286"/>
      <c r="G2" s="286"/>
      <c r="H2" s="286"/>
      <c r="I2" s="286"/>
      <c r="J2" s="289" t="s">
        <v>329</v>
      </c>
      <c r="K2" s="289"/>
      <c r="L2" s="289"/>
      <c r="M2" s="289"/>
      <c r="N2" s="289"/>
      <c r="O2" s="289"/>
      <c r="P2" s="289"/>
      <c r="Q2" s="289"/>
      <c r="R2" s="289"/>
      <c r="S2" s="289"/>
    </row>
    <row r="3" spans="1:20" ht="18.75" customHeight="1" thickBot="1">
      <c r="A3" s="83"/>
      <c r="R3" s="85"/>
      <c r="S3" s="85"/>
    </row>
    <row r="4" spans="1:20" s="179" customFormat="1" ht="16.5" customHeight="1" thickBot="1">
      <c r="A4" s="177" t="s">
        <v>18</v>
      </c>
      <c r="B4" s="177"/>
      <c r="C4" s="285" t="str">
        <f>IF('Preapproval ePATA'!D4&lt;&gt;0,'Preapproval ePATA'!D4,"")</f>
        <v/>
      </c>
      <c r="D4" s="285"/>
      <c r="E4" s="285"/>
      <c r="F4" s="285"/>
      <c r="G4" s="285"/>
      <c r="H4" s="285"/>
      <c r="I4" s="285"/>
      <c r="J4" s="285"/>
      <c r="K4" s="177"/>
      <c r="L4" s="177" t="s">
        <v>2</v>
      </c>
      <c r="M4" s="285" t="str">
        <f>IF('Preapproval ePATA'!N4&lt;&gt;0,'Preapproval ePATA'!N4,"")</f>
        <v/>
      </c>
      <c r="N4" s="285"/>
      <c r="O4" s="192" t="s">
        <v>13</v>
      </c>
      <c r="P4" s="193"/>
      <c r="Q4" s="177"/>
      <c r="R4" s="183" t="s">
        <v>3</v>
      </c>
      <c r="S4" s="186" t="str">
        <f>IF('Preapproval ePATA'!T4&lt;&gt;0,'Preapproval ePATA'!T4,"")</f>
        <v/>
      </c>
    </row>
    <row r="5" spans="1:20" s="179" customFormat="1" ht="16.5" customHeight="1">
      <c r="A5" s="177" t="s">
        <v>349</v>
      </c>
      <c r="B5" s="177"/>
      <c r="C5" s="177"/>
      <c r="D5" s="181"/>
      <c r="E5" s="291" t="str">
        <f>IF('Preapproval ePATA'!G5&lt;&gt;0,'Preapproval ePATA'!G5,"")</f>
        <v/>
      </c>
      <c r="F5" s="291"/>
      <c r="G5" s="291"/>
      <c r="H5" s="251"/>
      <c r="I5" s="291" t="str">
        <f>IF('Preapproval ePATA'!J5&lt;&gt;0,'Preapproval ePATA'!J5,"")</f>
        <v/>
      </c>
      <c r="J5" s="291"/>
      <c r="K5" s="177"/>
      <c r="L5" s="187" t="s">
        <v>20</v>
      </c>
      <c r="M5" s="287" t="str">
        <f>IF('Preapproval ePATA'!N5&lt;&gt;0,'Preapproval ePATA'!N5,"")</f>
        <v/>
      </c>
      <c r="N5" s="287"/>
      <c r="O5" s="285"/>
      <c r="P5" s="287"/>
      <c r="Q5" s="177"/>
      <c r="R5" s="188" t="s">
        <v>19</v>
      </c>
      <c r="S5" s="189" t="e">
        <f>VLOOKUP(P4,'Data {DO NOT EDIT}'!F2:G101,2)</f>
        <v>#N/A</v>
      </c>
    </row>
    <row r="6" spans="1:20" s="179" customFormat="1" ht="16.5" customHeight="1">
      <c r="A6" s="177" t="s">
        <v>310</v>
      </c>
      <c r="B6" s="177"/>
      <c r="C6" s="190"/>
      <c r="D6" s="177"/>
      <c r="E6" s="177"/>
      <c r="F6" s="177"/>
      <c r="G6" s="177"/>
      <c r="H6" s="285" t="str">
        <f>IF('Preapproval ePATA'!I6&lt;&gt;0,'Preapproval ePATA'!I6,"")</f>
        <v/>
      </c>
      <c r="I6" s="285"/>
      <c r="J6" s="285"/>
      <c r="K6" s="177"/>
      <c r="L6" s="177" t="s">
        <v>316</v>
      </c>
      <c r="M6" s="177"/>
      <c r="N6" s="177"/>
      <c r="O6" s="290" t="str">
        <f>IF('Preapproval ePATA'!Q6&lt;&gt;0,'Preapproval ePATA'!Q6,"")</f>
        <v/>
      </c>
      <c r="P6" s="290"/>
      <c r="Q6" s="191"/>
      <c r="R6" s="175" t="s">
        <v>22</v>
      </c>
      <c r="S6" s="222" t="str">
        <f>IF('Preapproval ePATA'!T6&lt;&gt;0,'Preapproval ePATA'!T6,"")</f>
        <v/>
      </c>
    </row>
    <row r="7" spans="1:20" s="179" customFormat="1" ht="16.5" customHeight="1">
      <c r="A7" s="177" t="s">
        <v>348</v>
      </c>
      <c r="B7" s="100"/>
      <c r="C7" s="100"/>
      <c r="D7" s="260" t="str">
        <f>IF('Preapproval ePATA'!G8&lt;&gt;0,'Preapproval ePATA'!G8,"")</f>
        <v/>
      </c>
      <c r="E7" s="260"/>
      <c r="F7" s="260"/>
      <c r="G7" s="260"/>
      <c r="H7" s="260"/>
      <c r="I7" s="260"/>
      <c r="J7" s="260"/>
      <c r="K7" s="177"/>
      <c r="L7" s="177" t="s">
        <v>309</v>
      </c>
      <c r="M7" s="225"/>
      <c r="N7" s="225"/>
      <c r="O7" s="259" t="str">
        <f>IF('Preapproval ePATA'!E11&lt;&gt;0,'Preapproval ePATA'!E11,"")</f>
        <v/>
      </c>
      <c r="P7" s="259"/>
      <c r="Q7" s="138" t="s">
        <v>13</v>
      </c>
      <c r="R7" s="260" t="str">
        <f>IF('Preapproval ePATA'!J11&lt;&gt;0,'Preapproval ePATA'!J11,"")</f>
        <v/>
      </c>
      <c r="S7" s="260"/>
    </row>
    <row r="8" spans="1:20" ht="21" customHeight="1">
      <c r="L8" s="144"/>
      <c r="M8" s="144"/>
      <c r="N8" s="144"/>
      <c r="O8" s="153"/>
      <c r="P8" s="224"/>
      <c r="Q8" s="155"/>
      <c r="R8" s="153"/>
      <c r="S8" s="224"/>
    </row>
    <row r="9" spans="1:20" s="10" customFormat="1" ht="1.5" customHeight="1">
      <c r="A9" s="92"/>
      <c r="B9" s="92"/>
      <c r="C9" s="92"/>
      <c r="D9" s="93"/>
      <c r="E9" s="93"/>
      <c r="F9" s="93"/>
      <c r="G9" s="93"/>
      <c r="H9" s="93"/>
      <c r="I9" s="93"/>
      <c r="J9" s="93"/>
      <c r="K9" s="92"/>
      <c r="L9" s="167"/>
      <c r="M9" s="167"/>
      <c r="N9" s="167"/>
      <c r="O9" s="167"/>
      <c r="P9" s="168"/>
      <c r="Q9" s="168"/>
      <c r="R9" s="168"/>
      <c r="S9" s="168"/>
      <c r="T9" s="9"/>
    </row>
    <row r="10" spans="1:20" s="5" customFormat="1" ht="130.5" customHeight="1">
      <c r="A10" s="297" t="s">
        <v>317</v>
      </c>
      <c r="B10" s="297"/>
      <c r="C10" s="297"/>
      <c r="D10" s="297"/>
      <c r="E10" s="297"/>
      <c r="F10" s="297"/>
      <c r="G10" s="297"/>
      <c r="H10" s="297"/>
      <c r="I10" s="297"/>
      <c r="J10" s="297"/>
      <c r="K10" s="297"/>
      <c r="L10" s="297"/>
      <c r="M10" s="297"/>
      <c r="N10" s="297"/>
      <c r="O10" s="297"/>
      <c r="P10" s="297"/>
      <c r="Q10" s="297"/>
      <c r="R10" s="297"/>
      <c r="S10" s="297"/>
      <c r="T10" s="297"/>
    </row>
    <row r="11" spans="1:20" s="5" customFormat="1" ht="9.75" customHeight="1">
      <c r="A11" s="169"/>
      <c r="B11" s="169"/>
      <c r="C11" s="169"/>
      <c r="D11" s="169"/>
      <c r="E11" s="169"/>
      <c r="F11" s="169"/>
      <c r="G11" s="169"/>
      <c r="H11" s="169"/>
      <c r="I11" s="169"/>
      <c r="J11" s="169"/>
      <c r="K11" s="169"/>
      <c r="L11" s="169"/>
      <c r="M11" s="169"/>
      <c r="N11" s="169"/>
      <c r="O11" s="169"/>
      <c r="P11" s="169"/>
      <c r="Q11" s="169"/>
      <c r="R11" s="169"/>
      <c r="S11" s="169"/>
      <c r="T11" s="169"/>
    </row>
    <row r="12" spans="1:20" s="5" customFormat="1" ht="28.5" customHeight="1">
      <c r="A12" s="80"/>
      <c r="B12" s="80"/>
      <c r="C12" s="80"/>
      <c r="D12" s="80"/>
      <c r="E12" s="80"/>
      <c r="F12" s="80"/>
      <c r="G12" s="80"/>
      <c r="H12" s="80"/>
      <c r="I12" s="80"/>
      <c r="J12" s="80"/>
      <c r="K12" s="80"/>
      <c r="L12" s="298" t="s">
        <v>352</v>
      </c>
      <c r="M12" s="299"/>
      <c r="N12" s="299"/>
      <c r="O12" s="80"/>
      <c r="P12" s="80"/>
      <c r="Q12" s="80"/>
      <c r="R12" s="80"/>
      <c r="S12" s="80"/>
      <c r="T12" s="80"/>
    </row>
    <row r="13" spans="1:20" s="179" customFormat="1" ht="15" customHeight="1">
      <c r="A13" s="172"/>
      <c r="B13" s="177"/>
      <c r="C13" s="177"/>
      <c r="D13" s="166"/>
      <c r="E13" s="178"/>
      <c r="F13" s="166"/>
      <c r="G13" s="177"/>
      <c r="H13" s="177"/>
      <c r="I13" s="177"/>
      <c r="K13" s="177"/>
      <c r="L13" s="300"/>
      <c r="M13" s="300"/>
      <c r="N13" s="300"/>
      <c r="P13" s="180"/>
    </row>
    <row r="14" spans="1:20" s="179" customFormat="1" ht="13.5" customHeight="1">
      <c r="A14" s="172"/>
      <c r="D14" s="181"/>
      <c r="E14" s="181"/>
      <c r="F14" s="181"/>
      <c r="G14" s="181"/>
      <c r="H14" s="177"/>
      <c r="I14" s="182"/>
      <c r="J14" s="183" t="s">
        <v>315</v>
      </c>
      <c r="K14" s="177"/>
      <c r="L14" s="301">
        <f>'Preapproval ePATA'!M47</f>
        <v>0</v>
      </c>
      <c r="M14" s="302"/>
      <c r="N14" s="303"/>
    </row>
    <row r="15" spans="1:20" s="179" customFormat="1" ht="13.5" customHeight="1">
      <c r="A15" s="172"/>
      <c r="D15" s="181"/>
      <c r="E15" s="181"/>
      <c r="F15" s="181"/>
      <c r="G15" s="181"/>
      <c r="H15" s="177"/>
      <c r="I15" s="182"/>
      <c r="J15" s="184" t="s">
        <v>351</v>
      </c>
      <c r="K15" s="177"/>
      <c r="L15" s="301">
        <f>'Preapproval ePATA'!M48</f>
        <v>0</v>
      </c>
      <c r="M15" s="302"/>
      <c r="N15" s="303"/>
    </row>
    <row r="16" spans="1:20" s="179" customFormat="1" ht="14.25" customHeight="1" thickBot="1">
      <c r="A16" s="172"/>
      <c r="D16" s="181"/>
      <c r="E16" s="181"/>
      <c r="F16" s="181"/>
      <c r="G16" s="181"/>
      <c r="H16" s="177"/>
      <c r="I16" s="182"/>
      <c r="J16" s="184" t="s">
        <v>35</v>
      </c>
      <c r="K16" s="177"/>
      <c r="L16" s="292">
        <f>'Preapproval ePATA'!M49</f>
        <v>0</v>
      </c>
      <c r="M16" s="293"/>
      <c r="N16" s="294"/>
    </row>
    <row r="17" spans="1:19" s="20" customFormat="1" ht="25.5" customHeight="1">
      <c r="B17" s="137"/>
      <c r="C17" s="136"/>
      <c r="D17" s="136"/>
      <c r="E17" s="136"/>
      <c r="F17" s="136"/>
      <c r="G17" s="136"/>
      <c r="H17" s="136"/>
      <c r="I17" s="136"/>
      <c r="J17" s="136"/>
      <c r="K17" s="136"/>
      <c r="L17" s="136"/>
      <c r="M17" s="136"/>
      <c r="N17" s="136"/>
      <c r="O17" s="136"/>
      <c r="P17" s="136"/>
      <c r="Q17" s="136"/>
      <c r="R17" s="136"/>
    </row>
    <row r="18" spans="1:19" customFormat="1" ht="59.25" customHeight="1">
      <c r="A18" s="296" t="s">
        <v>314</v>
      </c>
      <c r="B18" s="296"/>
      <c r="C18" s="296"/>
      <c r="D18" s="296"/>
      <c r="E18" s="296"/>
      <c r="F18" s="296"/>
      <c r="G18" s="296"/>
      <c r="H18" s="296"/>
      <c r="I18" s="296"/>
      <c r="J18" s="296"/>
      <c r="K18" s="296"/>
      <c r="L18" s="296"/>
      <c r="M18" s="296"/>
      <c r="N18" s="296"/>
      <c r="O18" s="296"/>
      <c r="P18" s="296"/>
      <c r="Q18" s="296"/>
      <c r="R18" s="296"/>
      <c r="S18" s="296"/>
    </row>
    <row r="19" spans="1:19" customFormat="1" ht="21" customHeight="1">
      <c r="A19" s="170"/>
      <c r="B19" s="170"/>
      <c r="C19" s="170"/>
      <c r="D19" s="170"/>
      <c r="E19" s="171" t="s">
        <v>295</v>
      </c>
      <c r="F19" s="295"/>
      <c r="G19" s="295"/>
      <c r="H19" s="295"/>
      <c r="I19" s="295"/>
      <c r="J19" s="295"/>
      <c r="K19" s="295"/>
      <c r="L19" s="295"/>
      <c r="M19" s="295"/>
      <c r="N19" s="171" t="s">
        <v>296</v>
      </c>
      <c r="O19" s="295"/>
      <c r="P19" s="295"/>
      <c r="Q19" s="295"/>
      <c r="R19" s="295"/>
      <c r="S19" s="172"/>
    </row>
    <row r="20" spans="1:19" customFormat="1" ht="26.25" customHeight="1">
      <c r="A20" s="173"/>
      <c r="B20" s="173"/>
      <c r="C20" s="173"/>
      <c r="D20" s="173"/>
      <c r="E20" s="173"/>
      <c r="F20" s="173"/>
      <c r="G20" s="173"/>
      <c r="H20" s="173"/>
      <c r="I20" s="173"/>
      <c r="J20" s="173"/>
      <c r="K20" s="173"/>
      <c r="L20" s="173"/>
      <c r="M20" s="173"/>
      <c r="N20" s="173"/>
      <c r="O20" s="174"/>
      <c r="P20" s="174"/>
      <c r="Q20" s="174"/>
      <c r="R20" s="174"/>
      <c r="S20" s="174"/>
    </row>
    <row r="21" spans="1:19" customFormat="1" ht="21.75" customHeight="1">
      <c r="A21" s="174" t="s">
        <v>297</v>
      </c>
      <c r="B21" s="174"/>
      <c r="C21" s="295"/>
      <c r="D21" s="295"/>
      <c r="E21" s="295"/>
      <c r="F21" s="295"/>
      <c r="G21" s="295"/>
      <c r="H21" s="174"/>
      <c r="I21" s="175" t="s">
        <v>298</v>
      </c>
      <c r="J21" s="295"/>
      <c r="K21" s="295"/>
      <c r="L21" s="295"/>
      <c r="M21" s="174"/>
      <c r="N21" s="174"/>
      <c r="O21" s="174"/>
      <c r="P21" s="174"/>
      <c r="Q21" s="174"/>
      <c r="R21" s="174"/>
      <c r="S21" s="174"/>
    </row>
    <row r="22" spans="1:19" customFormat="1" ht="30" customHeight="1">
      <c r="A22" s="174" t="s">
        <v>350</v>
      </c>
      <c r="B22" s="174"/>
      <c r="C22" s="174"/>
      <c r="D22" s="174"/>
      <c r="E22" s="174"/>
      <c r="F22" s="174"/>
      <c r="G22" s="174"/>
      <c r="H22" s="174"/>
      <c r="I22" s="174"/>
      <c r="J22" s="174"/>
      <c r="K22" s="174"/>
      <c r="L22" s="174"/>
      <c r="M22" s="174"/>
      <c r="N22" s="174"/>
      <c r="O22" s="174"/>
      <c r="P22" s="174"/>
      <c r="Q22" s="174"/>
      <c r="R22" s="174"/>
      <c r="S22" s="174"/>
    </row>
    <row r="23" spans="1:19" customFormat="1" ht="30" customHeight="1">
      <c r="A23" s="172" t="s">
        <v>343</v>
      </c>
      <c r="B23" s="172"/>
      <c r="C23" s="172"/>
      <c r="D23" s="176"/>
      <c r="E23" s="176"/>
      <c r="F23" s="176"/>
      <c r="G23" s="176"/>
      <c r="H23" s="176"/>
      <c r="I23" s="176"/>
      <c r="J23" s="176"/>
      <c r="K23" s="176"/>
      <c r="L23" s="176"/>
      <c r="M23" s="176"/>
      <c r="N23" s="176"/>
      <c r="O23" s="176"/>
      <c r="P23" s="176"/>
      <c r="Q23" s="176"/>
      <c r="R23" s="176"/>
      <c r="S23" s="176"/>
    </row>
    <row r="24" spans="1:19" customFormat="1" ht="21.75" customHeight="1">
      <c r="A24" s="174"/>
      <c r="B24" s="176"/>
      <c r="C24" s="176"/>
      <c r="D24" s="176"/>
      <c r="E24" s="174"/>
      <c r="F24" s="176"/>
      <c r="G24" s="174"/>
      <c r="H24" s="176"/>
      <c r="I24" s="83"/>
      <c r="J24" s="83"/>
      <c r="K24" s="83"/>
      <c r="L24" s="223" t="s">
        <v>344</v>
      </c>
      <c r="M24" s="83"/>
      <c r="N24" s="83"/>
      <c r="O24" s="176"/>
      <c r="P24" s="83"/>
      <c r="Q24" s="176"/>
      <c r="R24" s="176"/>
      <c r="S24" s="176"/>
    </row>
    <row r="25" spans="1:19" customFormat="1" ht="21.75" customHeight="1">
      <c r="A25" s="174" t="s">
        <v>299</v>
      </c>
      <c r="B25" s="174"/>
      <c r="C25" s="174"/>
      <c r="D25" s="174"/>
      <c r="E25" s="174"/>
      <c r="F25" s="174"/>
      <c r="G25" s="174"/>
      <c r="H25" s="174"/>
      <c r="I25" s="174"/>
      <c r="J25" s="174"/>
      <c r="K25" s="174"/>
      <c r="L25" s="174"/>
      <c r="M25" s="174"/>
      <c r="N25" s="174"/>
      <c r="O25" s="174"/>
      <c r="P25" s="174"/>
      <c r="Q25" s="174"/>
      <c r="R25" s="174"/>
      <c r="S25" s="174"/>
    </row>
    <row r="26" spans="1:19" customFormat="1" ht="21.75" customHeight="1">
      <c r="A26" s="85"/>
      <c r="B26" s="83"/>
      <c r="C26" s="83"/>
      <c r="D26" s="83"/>
      <c r="E26" s="83"/>
      <c r="F26" s="83"/>
      <c r="G26" s="83"/>
      <c r="H26" s="83"/>
      <c r="I26" s="83"/>
      <c r="J26" s="83"/>
      <c r="K26" s="83"/>
      <c r="L26" s="83"/>
      <c r="M26" s="83"/>
      <c r="N26" s="83"/>
      <c r="O26" s="83"/>
      <c r="P26" s="83"/>
      <c r="Q26" s="83"/>
      <c r="R26" s="83"/>
      <c r="S26" s="174"/>
    </row>
    <row r="27" spans="1:19" ht="15.75">
      <c r="A27" s="174" t="s">
        <v>345</v>
      </c>
      <c r="B27" s="174"/>
      <c r="C27" s="174"/>
      <c r="D27" s="295"/>
      <c r="E27" s="295"/>
      <c r="F27" s="295"/>
      <c r="G27" s="295"/>
      <c r="H27" s="295"/>
      <c r="I27" s="295"/>
      <c r="J27" s="295"/>
      <c r="K27" s="174"/>
      <c r="N27" s="175" t="s">
        <v>346</v>
      </c>
      <c r="O27" s="295"/>
      <c r="P27" s="295"/>
      <c r="Q27" s="295"/>
      <c r="R27" s="295"/>
      <c r="S27" s="295"/>
    </row>
    <row r="31" spans="1:19">
      <c r="A31" s="3"/>
    </row>
    <row r="38" spans="1:1">
      <c r="A38" s="136" t="s">
        <v>377</v>
      </c>
    </row>
  </sheetData>
  <customSheetViews>
    <customSheetView guid="{FED3EF2C-891B-4B19-A7F2-F90FD459899C}" showPageBreaks="1" fitToPage="1" printArea="1" view="pageLayout">
      <selection activeCell="I12" sqref="I12"/>
      <pageMargins left="0.25" right="0.25" top="0.25" bottom="0.25" header="0.5" footer="0.5"/>
      <printOptions horizontalCentered="1"/>
      <pageSetup scale="89" orientation="portrait" r:id="rId1"/>
      <headerFooter alignWithMargins="0"/>
    </customSheetView>
  </customSheetViews>
  <mergeCells count="25">
    <mergeCell ref="R7:S7"/>
    <mergeCell ref="L16:N16"/>
    <mergeCell ref="D27:J27"/>
    <mergeCell ref="O27:S27"/>
    <mergeCell ref="O19:R19"/>
    <mergeCell ref="F19:M19"/>
    <mergeCell ref="C21:G21"/>
    <mergeCell ref="J21:L21"/>
    <mergeCell ref="A18:S18"/>
    <mergeCell ref="A10:T10"/>
    <mergeCell ref="L12:N13"/>
    <mergeCell ref="L14:N14"/>
    <mergeCell ref="L15:N15"/>
    <mergeCell ref="D7:J7"/>
    <mergeCell ref="O7:P7"/>
    <mergeCell ref="H6:J6"/>
    <mergeCell ref="A1:I2"/>
    <mergeCell ref="C4:J4"/>
    <mergeCell ref="M4:N4"/>
    <mergeCell ref="M5:P5"/>
    <mergeCell ref="J1:S1"/>
    <mergeCell ref="J2:S2"/>
    <mergeCell ref="O6:P6"/>
    <mergeCell ref="I5:J5"/>
    <mergeCell ref="E5:G5"/>
  </mergeCells>
  <dataValidations disablePrompts="1" count="2">
    <dataValidation type="list" allowBlank="1" showInputMessage="1" showErrorMessage="1" sqref="Q7">
      <formula1>RPType</formula1>
    </dataValidation>
    <dataValidation type="list" allowBlank="1" showInputMessage="1" showErrorMessage="1" sqref="P4">
      <formula1>CountyList</formula1>
    </dataValidation>
  </dataValidations>
  <printOptions horizontalCentered="1"/>
  <pageMargins left="0.25" right="0.25" top="0.25" bottom="0.25" header="0.5" footer="0.5"/>
  <pageSetup scale="89" orientation="portrait" r:id="rId2"/>
  <headerFooter alignWithMargins="0"/>
  <legacyDrawing r:id="rId3"/>
</worksheet>
</file>

<file path=xl/worksheets/sheet4.xml><?xml version="1.0" encoding="utf-8"?>
<worksheet xmlns="http://schemas.openxmlformats.org/spreadsheetml/2006/main" xmlns:r="http://schemas.openxmlformats.org/officeDocument/2006/relationships">
  <sheetPr>
    <tabColor theme="5"/>
  </sheetPr>
  <dimension ref="A1:N152"/>
  <sheetViews>
    <sheetView workbookViewId="0">
      <selection activeCell="C9" sqref="C9"/>
    </sheetView>
  </sheetViews>
  <sheetFormatPr defaultRowHeight="12.75"/>
  <cols>
    <col min="1" max="1" width="13.7109375" customWidth="1"/>
    <col min="3" max="3" width="19.140625" customWidth="1"/>
    <col min="4" max="4" width="11.140625" customWidth="1"/>
    <col min="6" max="6" width="14.5703125" style="12" customWidth="1"/>
    <col min="7" max="7" width="5.28515625" bestFit="1" customWidth="1"/>
    <col min="9" max="9" width="12.42578125" customWidth="1"/>
    <col min="11" max="11" width="9.140625" style="24"/>
  </cols>
  <sheetData>
    <row r="1" spans="1:14">
      <c r="A1" s="25" t="s">
        <v>40</v>
      </c>
      <c r="B1" s="221" t="s">
        <v>342</v>
      </c>
      <c r="F1" s="38" t="s">
        <v>57</v>
      </c>
      <c r="G1" s="33" t="s">
        <v>165</v>
      </c>
      <c r="I1" s="29" t="s">
        <v>256</v>
      </c>
      <c r="K1" s="29" t="s">
        <v>166</v>
      </c>
      <c r="N1" s="81" t="s">
        <v>294</v>
      </c>
    </row>
    <row r="2" spans="1:14" ht="15">
      <c r="A2" s="26"/>
      <c r="F2" s="39" t="s">
        <v>58</v>
      </c>
      <c r="G2" s="40" t="s">
        <v>59</v>
      </c>
      <c r="I2" s="43">
        <v>1.01</v>
      </c>
      <c r="K2" s="45" t="s">
        <v>167</v>
      </c>
      <c r="N2" s="82">
        <v>1.01</v>
      </c>
    </row>
    <row r="3" spans="1:14" ht="15">
      <c r="A3" s="27" t="str">
        <f>IF(COUNTIF('Preapproval ePATA'!$C$21:C21,'Preapproval ePATA'!C21)=1,'Preapproval ePATA'!C21,"")</f>
        <v/>
      </c>
      <c r="B3" s="48"/>
      <c r="F3" s="39" t="s">
        <v>60</v>
      </c>
      <c r="G3" s="40" t="s">
        <v>61</v>
      </c>
      <c r="I3" s="43">
        <v>1.02</v>
      </c>
      <c r="K3" s="45" t="s">
        <v>168</v>
      </c>
      <c r="N3" s="82">
        <v>1.02</v>
      </c>
    </row>
    <row r="4" spans="1:14" ht="15">
      <c r="A4" s="27" t="str">
        <f>IF(COUNTIF('Preapproval ePATA'!$C$21:C22,'Preapproval ePATA'!C22)=1,'Preapproval ePATA'!C22,"")</f>
        <v/>
      </c>
      <c r="F4" s="39" t="s">
        <v>62</v>
      </c>
      <c r="G4" s="40" t="s">
        <v>59</v>
      </c>
      <c r="I4" s="43">
        <v>1.0249999999999999</v>
      </c>
      <c r="K4" s="45" t="s">
        <v>169</v>
      </c>
      <c r="N4" s="82">
        <v>1.0249999999999999</v>
      </c>
    </row>
    <row r="5" spans="1:14" ht="15">
      <c r="A5" s="27" t="str">
        <f>IF(COUNTIF('Preapproval ePATA'!$C$21:C23,'Preapproval ePATA'!C23)=1,'Preapproval ePATA'!C23,"")</f>
        <v/>
      </c>
      <c r="F5" s="39" t="s">
        <v>63</v>
      </c>
      <c r="G5" s="40" t="s">
        <v>64</v>
      </c>
      <c r="I5" s="43">
        <v>1.04</v>
      </c>
      <c r="K5" s="45" t="s">
        <v>170</v>
      </c>
      <c r="N5" s="82">
        <v>1.04</v>
      </c>
    </row>
    <row r="6" spans="1:14" ht="15">
      <c r="A6" s="27" t="str">
        <f>IF(COUNTIF('Preapproval ePATA'!$C$21:C24,'Preapproval ePATA'!C24)=1,'Preapproval ePATA'!C24,"")</f>
        <v/>
      </c>
      <c r="F6" s="39" t="s">
        <v>65</v>
      </c>
      <c r="G6" s="40" t="s">
        <v>59</v>
      </c>
      <c r="I6" s="43">
        <v>1.05</v>
      </c>
      <c r="K6" s="45" t="s">
        <v>171</v>
      </c>
      <c r="N6" s="82">
        <v>1.05</v>
      </c>
    </row>
    <row r="7" spans="1:14" ht="15">
      <c r="A7" s="27" t="str">
        <f>IF(COUNTIF('Preapproval ePATA'!$C$21:C25,'Preapproval ePATA'!C25)=1,'Preapproval ePATA'!C25,"")</f>
        <v/>
      </c>
      <c r="C7" s="32" t="s">
        <v>49</v>
      </c>
      <c r="D7" s="33" t="s">
        <v>50</v>
      </c>
      <c r="F7" s="39" t="s">
        <v>66</v>
      </c>
      <c r="G7" s="40" t="s">
        <v>67</v>
      </c>
      <c r="I7" s="43">
        <v>1.0609999999999999</v>
      </c>
      <c r="K7" s="45" t="s">
        <v>172</v>
      </c>
      <c r="N7" s="82">
        <v>1.0609999999999999</v>
      </c>
    </row>
    <row r="8" spans="1:14" ht="15">
      <c r="A8" s="27" t="str">
        <f>IF(COUNTIF('Preapproval ePATA'!$C$21:C26,'Preapproval ePATA'!C26)=1,'Preapproval ePATA'!C26,"")</f>
        <v/>
      </c>
      <c r="C8" s="239" t="s">
        <v>373</v>
      </c>
      <c r="D8" s="35">
        <v>0</v>
      </c>
      <c r="F8" s="39" t="s">
        <v>68</v>
      </c>
      <c r="G8" s="40" t="s">
        <v>69</v>
      </c>
      <c r="I8" s="43">
        <v>2.0710000000000002</v>
      </c>
      <c r="K8" s="45" t="s">
        <v>173</v>
      </c>
      <c r="N8" s="82">
        <v>2.0710000000000002</v>
      </c>
    </row>
    <row r="9" spans="1:14" ht="15">
      <c r="A9" s="27" t="str">
        <f>IF(COUNTIF('Preapproval ePATA'!$C$21:C27,'Preapproval ePATA'!C27)=1,'Preapproval ePATA'!C27,"")</f>
        <v/>
      </c>
      <c r="C9" s="34" t="s">
        <v>254</v>
      </c>
      <c r="D9" s="35">
        <v>1</v>
      </c>
      <c r="F9" s="39" t="s">
        <v>70</v>
      </c>
      <c r="G9" s="40" t="s">
        <v>69</v>
      </c>
      <c r="I9" s="43">
        <v>2.0720000000000001</v>
      </c>
      <c r="K9" s="45" t="s">
        <v>174</v>
      </c>
      <c r="N9" s="82">
        <v>2.0720000000000001</v>
      </c>
    </row>
    <row r="10" spans="1:14" ht="15">
      <c r="A10" s="27" t="str">
        <f>IF(COUNTIF('Preapproval ePATA'!$C$21:C28,'Preapproval ePATA'!C28)=1,'Preapproval ePATA'!C28,"")</f>
        <v/>
      </c>
      <c r="C10" s="34" t="s">
        <v>51</v>
      </c>
      <c r="D10" s="35">
        <v>2</v>
      </c>
      <c r="F10" s="39" t="s">
        <v>71</v>
      </c>
      <c r="G10" s="40" t="s">
        <v>64</v>
      </c>
      <c r="I10" s="43">
        <v>2.073</v>
      </c>
      <c r="K10" s="45" t="s">
        <v>175</v>
      </c>
      <c r="N10" s="82">
        <v>2.073</v>
      </c>
    </row>
    <row r="11" spans="1:14" ht="15">
      <c r="A11" s="27" t="str">
        <f>IF(COUNTIF('Preapproval ePATA'!$C$21:C29,'Preapproval ePATA'!C29)=1,'Preapproval ePATA'!C29,"")</f>
        <v/>
      </c>
      <c r="C11" s="36" t="s">
        <v>52</v>
      </c>
      <c r="D11" s="37">
        <v>3</v>
      </c>
      <c r="F11" s="39" t="s">
        <v>72</v>
      </c>
      <c r="G11" s="40" t="s">
        <v>73</v>
      </c>
      <c r="I11" s="43">
        <v>2.0739999999999998</v>
      </c>
      <c r="K11" s="45" t="s">
        <v>176</v>
      </c>
      <c r="N11" s="82">
        <v>2.0739999999999998</v>
      </c>
    </row>
    <row r="12" spans="1:14" ht="15">
      <c r="A12" s="27" t="str">
        <f>IF(COUNTIF('Preapproval ePATA'!$C$21:C30,'Preapproval ePATA'!C30)=1,'Preapproval ePATA'!C30,"")</f>
        <v/>
      </c>
      <c r="F12" s="39" t="s">
        <v>74</v>
      </c>
      <c r="G12" s="40" t="s">
        <v>67</v>
      </c>
      <c r="I12" s="43">
        <v>2.0819999999999999</v>
      </c>
      <c r="K12" s="45" t="s">
        <v>177</v>
      </c>
      <c r="N12" s="82">
        <v>2.0819999999999999</v>
      </c>
    </row>
    <row r="13" spans="1:14" ht="15">
      <c r="A13" s="27" t="str">
        <f>IF(COUNTIF('Preapproval ePATA'!$C$21:C31,'Preapproval ePATA'!C31)=1,'Preapproval ePATA'!C31,"")</f>
        <v/>
      </c>
      <c r="F13" s="39" t="s">
        <v>75</v>
      </c>
      <c r="G13" s="40" t="s">
        <v>67</v>
      </c>
      <c r="I13" s="43">
        <v>2.0840000000000001</v>
      </c>
      <c r="K13" s="45" t="s">
        <v>178</v>
      </c>
      <c r="N13" s="82">
        <v>2.0840000000000001</v>
      </c>
    </row>
    <row r="14" spans="1:14" ht="15">
      <c r="A14" s="27" t="str">
        <f>IF(COUNTIF('Preapproval ePATA'!$C$21:C32,'Preapproval ePATA'!C32)=1,'Preapproval ePATA'!C32,"")</f>
        <v/>
      </c>
      <c r="F14" s="39" t="s">
        <v>76</v>
      </c>
      <c r="G14" s="40" t="s">
        <v>61</v>
      </c>
      <c r="I14" s="43">
        <v>2.085</v>
      </c>
      <c r="K14" s="45" t="s">
        <v>179</v>
      </c>
      <c r="N14" s="82">
        <v>2.085</v>
      </c>
    </row>
    <row r="15" spans="1:14" ht="15">
      <c r="A15" s="27" t="str">
        <f>IF(COUNTIF('Preapproval ePATA'!$C$21:C33,'Preapproval ePATA'!C33)=1,'Preapproval ePATA'!C33,"")</f>
        <v/>
      </c>
      <c r="F15" s="39" t="s">
        <v>77</v>
      </c>
      <c r="G15" s="40" t="s">
        <v>67</v>
      </c>
      <c r="I15" s="43">
        <v>2.0859999999999999</v>
      </c>
      <c r="K15" s="45" t="s">
        <v>180</v>
      </c>
      <c r="N15" s="82">
        <v>2.0859999999999999</v>
      </c>
    </row>
    <row r="16" spans="1:14" ht="15">
      <c r="A16" s="27" t="str">
        <f>IF(COUNTIF('Preapproval ePATA'!$C$21:C34,'Preapproval ePATA'!C34)=1,'Preapproval ePATA'!C34,"")</f>
        <v/>
      </c>
      <c r="C16" s="29" t="s">
        <v>53</v>
      </c>
      <c r="F16" s="39" t="s">
        <v>78</v>
      </c>
      <c r="G16" s="40" t="s">
        <v>69</v>
      </c>
      <c r="I16" s="43">
        <v>2.0870000000000002</v>
      </c>
      <c r="K16" s="45" t="s">
        <v>181</v>
      </c>
      <c r="N16" s="82">
        <v>2.0870000000000002</v>
      </c>
    </row>
    <row r="17" spans="1:14" ht="15">
      <c r="A17" s="27" t="str">
        <f>IF(COUNTIF('Preapproval ePATA'!$C$21:C35,'Preapproval ePATA'!C35)=1,'Preapproval ePATA'!C35,"")</f>
        <v/>
      </c>
      <c r="C17" s="30" t="s">
        <v>54</v>
      </c>
      <c r="F17" s="39" t="s">
        <v>79</v>
      </c>
      <c r="G17" s="40" t="s">
        <v>73</v>
      </c>
      <c r="I17" s="43">
        <v>2.09</v>
      </c>
      <c r="K17" s="45" t="s">
        <v>182</v>
      </c>
      <c r="N17" s="82">
        <v>2.09</v>
      </c>
    </row>
    <row r="18" spans="1:14" ht="15">
      <c r="A18" s="27" t="str">
        <f>IF(COUNTIF('Preapproval ePATA'!$C$21:C36,'Preapproval ePATA'!C36)=1,'Preapproval ePATA'!C36,"")</f>
        <v/>
      </c>
      <c r="C18" s="30" t="s">
        <v>55</v>
      </c>
      <c r="F18" s="39" t="s">
        <v>80</v>
      </c>
      <c r="G18" s="40" t="s">
        <v>59</v>
      </c>
      <c r="I18" s="43">
        <v>2.1</v>
      </c>
      <c r="K18" s="45" t="s">
        <v>183</v>
      </c>
      <c r="N18" s="82">
        <v>2.1</v>
      </c>
    </row>
    <row r="19" spans="1:14" ht="15">
      <c r="A19" s="27" t="str">
        <f>IF(COUNTIF('Preapproval ePATA'!$C$21:C37,'Preapproval ePATA'!C37)=1,'Preapproval ePATA'!C37,"")</f>
        <v/>
      </c>
      <c r="C19" s="31" t="s">
        <v>56</v>
      </c>
      <c r="F19" s="39" t="s">
        <v>81</v>
      </c>
      <c r="G19" s="40" t="s">
        <v>61</v>
      </c>
      <c r="I19" s="43">
        <v>2.121</v>
      </c>
      <c r="K19" s="45" t="s">
        <v>184</v>
      </c>
      <c r="N19" s="82">
        <v>2.121</v>
      </c>
    </row>
    <row r="20" spans="1:14" ht="15">
      <c r="A20" s="27" t="str">
        <f>IF(COUNTIF('Preapproval ePATA'!$C$21:C38,'Preapproval ePATA'!C38)=1,'Preapproval ePATA'!C38,"")</f>
        <v/>
      </c>
      <c r="F20" s="39" t="s">
        <v>82</v>
      </c>
      <c r="G20" s="40" t="s">
        <v>83</v>
      </c>
      <c r="I20" s="43">
        <v>2.13</v>
      </c>
      <c r="K20" s="45" t="s">
        <v>185</v>
      </c>
      <c r="N20" s="82">
        <v>2.13</v>
      </c>
    </row>
    <row r="21" spans="1:14" ht="15">
      <c r="A21" s="27" t="str">
        <f>IF(COUNTIF('Preapproval ePATA'!$C$21:C39,'Preapproval ePATA'!C39)=1,'Preapproval ePATA'!C39,"")</f>
        <v/>
      </c>
      <c r="F21" s="39" t="s">
        <v>84</v>
      </c>
      <c r="G21" s="40" t="s">
        <v>67</v>
      </c>
      <c r="I21" s="43">
        <v>2.141</v>
      </c>
      <c r="K21" s="45" t="s">
        <v>186</v>
      </c>
      <c r="N21" s="82">
        <v>2.141</v>
      </c>
    </row>
    <row r="22" spans="1:14" ht="15">
      <c r="A22" s="27" t="str">
        <f>IF(COUNTIF('Preapproval ePATA'!$C$21:C40,'Preapproval ePATA'!C40)=1,'Preapproval ePATA'!C40,"")</f>
        <v/>
      </c>
      <c r="F22" s="39" t="s">
        <v>85</v>
      </c>
      <c r="G22" s="40" t="s">
        <v>69</v>
      </c>
      <c r="I22" s="43">
        <v>2.15</v>
      </c>
      <c r="K22" s="45" t="s">
        <v>187</v>
      </c>
      <c r="N22" s="82">
        <v>2.15</v>
      </c>
    </row>
    <row r="23" spans="1:14" ht="15">
      <c r="A23" s="27" t="str">
        <f>IF(COUNTIF('Preapproval ePATA'!$C$21:C41,'Preapproval ePATA'!C41)=1,'Preapproval ePATA'!C41,"")</f>
        <v/>
      </c>
      <c r="F23" s="39" t="s">
        <v>86</v>
      </c>
      <c r="G23" s="40" t="s">
        <v>67</v>
      </c>
      <c r="I23" s="43">
        <v>2.17</v>
      </c>
      <c r="K23" s="45" t="s">
        <v>188</v>
      </c>
      <c r="N23" s="82">
        <v>2.17</v>
      </c>
    </row>
    <row r="24" spans="1:14" ht="15">
      <c r="A24" s="27" t="str">
        <f>IF(COUNTIF('Preapproval ePATA'!$C$21:C42,'Preapproval ePATA'!C42)=1,'Preapproval ePATA'!C42,"")</f>
        <v/>
      </c>
      <c r="C24" s="29" t="s">
        <v>41</v>
      </c>
      <c r="F24" s="39" t="s">
        <v>87</v>
      </c>
      <c r="G24" s="40" t="s">
        <v>67</v>
      </c>
      <c r="I24" s="43">
        <v>2.2000000000000002</v>
      </c>
      <c r="K24" s="45" t="s">
        <v>189</v>
      </c>
      <c r="N24" s="82">
        <v>2.2000000000000002</v>
      </c>
    </row>
    <row r="25" spans="1:14" ht="15">
      <c r="A25" s="27" t="str">
        <f>IF(COUNTIF('Preapproval ePATA'!$C$21:C43,'Preapproval ePATA'!C43)=1,'Preapproval ePATA'!C43,"")</f>
        <v/>
      </c>
      <c r="C25" s="30" t="b">
        <v>1</v>
      </c>
      <c r="F25" s="39" t="s">
        <v>88</v>
      </c>
      <c r="G25" s="40" t="s">
        <v>73</v>
      </c>
      <c r="I25" s="43">
        <v>2.2810000000000001</v>
      </c>
      <c r="K25" s="45" t="s">
        <v>190</v>
      </c>
      <c r="N25" s="82">
        <v>2.2810000000000001</v>
      </c>
    </row>
    <row r="26" spans="1:14" ht="15">
      <c r="A26" s="27" t="str">
        <f>IF(COUNTIF('Preapproval ePATA'!$C$21:C44,'Preapproval ePATA'!C44)=1,'Preapproval ePATA'!C44,"")</f>
        <v/>
      </c>
      <c r="C26" s="31" t="b">
        <v>0</v>
      </c>
      <c r="F26" s="39" t="s">
        <v>89</v>
      </c>
      <c r="G26" s="40" t="s">
        <v>69</v>
      </c>
      <c r="I26" s="43">
        <v>2.29</v>
      </c>
      <c r="K26" s="45" t="s">
        <v>191</v>
      </c>
      <c r="N26" s="82">
        <v>2.29</v>
      </c>
    </row>
    <row r="27" spans="1:14" ht="15.75" thickBot="1">
      <c r="A27" s="28" t="str">
        <f>IF(COUNTIF('Preapproval ePATA'!$C$21:C45,'Preapproval ePATA'!C45)=1,'Preapproval ePATA'!C45,"")</f>
        <v/>
      </c>
      <c r="F27" s="39" t="s">
        <v>90</v>
      </c>
      <c r="G27" s="40" t="s">
        <v>64</v>
      </c>
      <c r="I27" s="43">
        <v>2.2999999999999998</v>
      </c>
      <c r="K27" s="45" t="s">
        <v>192</v>
      </c>
      <c r="N27" s="82">
        <v>2.2999999999999998</v>
      </c>
    </row>
    <row r="28" spans="1:14" ht="15">
      <c r="F28" s="39" t="s">
        <v>91</v>
      </c>
      <c r="G28" s="40" t="s">
        <v>69</v>
      </c>
      <c r="I28" s="43">
        <v>2.3809999999999998</v>
      </c>
      <c r="K28" s="45" t="s">
        <v>193</v>
      </c>
      <c r="N28" s="82">
        <v>2.3809999999999998</v>
      </c>
    </row>
    <row r="29" spans="1:14" ht="15">
      <c r="F29" s="39" t="s">
        <v>92</v>
      </c>
      <c r="G29" s="40" t="s">
        <v>69</v>
      </c>
      <c r="I29" s="43">
        <v>2.4</v>
      </c>
      <c r="K29" s="45" t="s">
        <v>194</v>
      </c>
      <c r="N29" s="82">
        <v>2.4</v>
      </c>
    </row>
    <row r="30" spans="1:14" ht="15">
      <c r="F30" s="39" t="s">
        <v>93</v>
      </c>
      <c r="G30" s="40" t="s">
        <v>59</v>
      </c>
      <c r="I30" s="43">
        <v>2.41</v>
      </c>
      <c r="K30" s="45" t="s">
        <v>195</v>
      </c>
      <c r="N30" s="82">
        <v>2.41</v>
      </c>
    </row>
    <row r="31" spans="1:14" ht="15">
      <c r="F31" s="39" t="s">
        <v>94</v>
      </c>
      <c r="G31" s="40" t="s">
        <v>59</v>
      </c>
      <c r="I31" s="43">
        <v>2.4129999999999998</v>
      </c>
      <c r="K31" s="45" t="s">
        <v>196</v>
      </c>
      <c r="N31" s="82">
        <v>2.4129999999999998</v>
      </c>
    </row>
    <row r="32" spans="1:14" ht="15">
      <c r="F32" s="39" t="s">
        <v>95</v>
      </c>
      <c r="G32" s="40" t="s">
        <v>73</v>
      </c>
      <c r="I32" s="43">
        <v>2.415</v>
      </c>
      <c r="K32" s="45" t="s">
        <v>197</v>
      </c>
      <c r="N32" s="82">
        <v>2.415</v>
      </c>
    </row>
    <row r="33" spans="6:14" ht="15">
      <c r="F33" s="39" t="s">
        <v>96</v>
      </c>
      <c r="G33" s="40" t="s">
        <v>83</v>
      </c>
      <c r="I33" s="43">
        <v>2.5</v>
      </c>
      <c r="K33" s="45" t="s">
        <v>198</v>
      </c>
      <c r="N33" s="82">
        <v>2.5</v>
      </c>
    </row>
    <row r="34" spans="6:14" ht="15">
      <c r="F34" s="39" t="s">
        <v>97</v>
      </c>
      <c r="G34" s="40" t="s">
        <v>83</v>
      </c>
      <c r="I34" s="43">
        <v>2.5099999999999998</v>
      </c>
      <c r="K34" s="45" t="s">
        <v>199</v>
      </c>
      <c r="N34" s="82">
        <v>2.5099999999999998</v>
      </c>
    </row>
    <row r="35" spans="6:14" ht="15">
      <c r="F35" s="39" t="s">
        <v>98</v>
      </c>
      <c r="G35" s="40" t="s">
        <v>59</v>
      </c>
      <c r="I35" s="43">
        <v>2.52</v>
      </c>
      <c r="K35" s="45" t="s">
        <v>200</v>
      </c>
      <c r="N35" s="82">
        <v>2.52</v>
      </c>
    </row>
    <row r="36" spans="6:14" ht="15">
      <c r="F36" s="39" t="s">
        <v>99</v>
      </c>
      <c r="G36" s="40" t="s">
        <v>83</v>
      </c>
      <c r="I36" s="43">
        <v>2.6</v>
      </c>
      <c r="K36" s="45" t="s">
        <v>201</v>
      </c>
      <c r="N36" s="82">
        <v>2.6</v>
      </c>
    </row>
    <row r="37" spans="6:14" ht="15">
      <c r="F37" s="39" t="s">
        <v>100</v>
      </c>
      <c r="G37" s="40" t="s">
        <v>61</v>
      </c>
      <c r="I37" s="43">
        <v>2.61</v>
      </c>
      <c r="K37" s="45" t="s">
        <v>202</v>
      </c>
      <c r="N37" s="82">
        <v>2.61</v>
      </c>
    </row>
    <row r="38" spans="6:14" ht="15">
      <c r="F38" s="39" t="s">
        <v>101</v>
      </c>
      <c r="G38" s="40" t="s">
        <v>69</v>
      </c>
      <c r="I38" s="43">
        <v>2.62</v>
      </c>
      <c r="K38" s="45" t="s">
        <v>203</v>
      </c>
      <c r="N38" s="82">
        <v>2.62</v>
      </c>
    </row>
    <row r="39" spans="6:14" ht="15">
      <c r="F39" s="39" t="s">
        <v>102</v>
      </c>
      <c r="G39" s="40" t="s">
        <v>67</v>
      </c>
      <c r="I39" s="43">
        <v>3.0249999999999999</v>
      </c>
      <c r="K39" s="45" t="s">
        <v>204</v>
      </c>
      <c r="N39" s="82">
        <v>3.0249999999999999</v>
      </c>
    </row>
    <row r="40" spans="6:14" ht="15">
      <c r="F40" s="39" t="s">
        <v>103</v>
      </c>
      <c r="G40" s="40" t="s">
        <v>83</v>
      </c>
      <c r="I40" s="43">
        <v>3.03</v>
      </c>
      <c r="K40" s="45" t="s">
        <v>205</v>
      </c>
      <c r="N40" s="82">
        <v>3.03</v>
      </c>
    </row>
    <row r="41" spans="6:14" ht="15">
      <c r="F41" s="39" t="s">
        <v>104</v>
      </c>
      <c r="G41" s="40" t="s">
        <v>69</v>
      </c>
      <c r="I41" s="43">
        <v>3.04</v>
      </c>
      <c r="K41" s="45" t="s">
        <v>206</v>
      </c>
      <c r="N41" s="82">
        <v>3.04</v>
      </c>
    </row>
    <row r="42" spans="6:14" ht="15">
      <c r="F42" s="39" t="s">
        <v>105</v>
      </c>
      <c r="G42" s="40" t="s">
        <v>59</v>
      </c>
      <c r="I42" s="43">
        <v>3.06</v>
      </c>
      <c r="K42" s="45" t="s">
        <v>207</v>
      </c>
      <c r="N42" s="82">
        <v>3.06</v>
      </c>
    </row>
    <row r="43" spans="6:14" ht="15">
      <c r="F43" s="39" t="s">
        <v>106</v>
      </c>
      <c r="G43" s="40" t="s">
        <v>83</v>
      </c>
      <c r="I43" s="43">
        <v>3.08</v>
      </c>
      <c r="K43" s="45" t="s">
        <v>208</v>
      </c>
      <c r="N43" s="82">
        <v>3.08</v>
      </c>
    </row>
    <row r="44" spans="6:14" ht="15">
      <c r="F44" s="39" t="s">
        <v>107</v>
      </c>
      <c r="G44" s="40" t="s">
        <v>64</v>
      </c>
      <c r="I44" s="43">
        <v>3.101</v>
      </c>
      <c r="K44" s="45" t="s">
        <v>209</v>
      </c>
      <c r="N44" s="82">
        <v>3.101</v>
      </c>
    </row>
    <row r="45" spans="6:14" ht="15">
      <c r="F45" s="39" t="s">
        <v>108</v>
      </c>
      <c r="G45" s="40" t="s">
        <v>67</v>
      </c>
      <c r="I45" s="43">
        <v>3.1110000000000002</v>
      </c>
      <c r="K45" s="45" t="s">
        <v>210</v>
      </c>
      <c r="N45" s="82">
        <v>3.1110000000000002</v>
      </c>
    </row>
    <row r="46" spans="6:14" ht="15">
      <c r="F46" s="39" t="s">
        <v>109</v>
      </c>
      <c r="G46" s="40" t="s">
        <v>67</v>
      </c>
      <c r="I46" s="43">
        <v>3.1120000000000001</v>
      </c>
      <c r="K46" s="45" t="s">
        <v>211</v>
      </c>
      <c r="N46" s="82">
        <v>3.1120000000000001</v>
      </c>
    </row>
    <row r="47" spans="6:14" ht="15">
      <c r="F47" s="39" t="s">
        <v>110</v>
      </c>
      <c r="G47" s="40" t="s">
        <v>69</v>
      </c>
      <c r="I47" s="43">
        <v>3.113</v>
      </c>
      <c r="K47" s="45" t="s">
        <v>212</v>
      </c>
      <c r="N47" s="82">
        <v>3.113</v>
      </c>
    </row>
    <row r="48" spans="6:14" ht="15">
      <c r="F48" s="39" t="s">
        <v>111</v>
      </c>
      <c r="G48" s="40" t="s">
        <v>64</v>
      </c>
      <c r="I48" s="43">
        <v>3.1139999999999999</v>
      </c>
      <c r="K48" s="45" t="s">
        <v>213</v>
      </c>
      <c r="N48" s="82">
        <v>3.1139999999999999</v>
      </c>
    </row>
    <row r="49" spans="6:14" ht="15">
      <c r="F49" s="39" t="s">
        <v>112</v>
      </c>
      <c r="G49" s="40" t="s">
        <v>69</v>
      </c>
      <c r="I49" s="43">
        <v>3.1150000000000002</v>
      </c>
      <c r="K49" s="45" t="s">
        <v>214</v>
      </c>
      <c r="N49" s="82">
        <v>3.1150000000000002</v>
      </c>
    </row>
    <row r="50" spans="6:14" ht="15">
      <c r="F50" s="39" t="s">
        <v>113</v>
      </c>
      <c r="G50" s="40" t="s">
        <v>61</v>
      </c>
      <c r="I50" s="43">
        <v>3.1160000000000001</v>
      </c>
      <c r="K50" s="45" t="s">
        <v>215</v>
      </c>
      <c r="N50" s="82">
        <v>3.1160000000000001</v>
      </c>
    </row>
    <row r="51" spans="6:14" ht="15">
      <c r="F51" s="39" t="s">
        <v>114</v>
      </c>
      <c r="G51" s="40" t="s">
        <v>67</v>
      </c>
      <c r="I51" s="43">
        <v>3.117</v>
      </c>
      <c r="K51" s="45" t="s">
        <v>216</v>
      </c>
      <c r="N51" s="82">
        <v>3.117</v>
      </c>
    </row>
    <row r="52" spans="6:14" ht="15">
      <c r="F52" s="39" t="s">
        <v>115</v>
      </c>
      <c r="G52" s="40" t="s">
        <v>83</v>
      </c>
      <c r="I52" s="43">
        <v>3.31</v>
      </c>
      <c r="K52" s="45" t="s">
        <v>217</v>
      </c>
      <c r="N52" s="82">
        <v>3.31</v>
      </c>
    </row>
    <row r="53" spans="6:14" ht="15">
      <c r="F53" s="39" t="s">
        <v>116</v>
      </c>
      <c r="G53" s="40" t="s">
        <v>69</v>
      </c>
      <c r="I53" s="43">
        <v>3.351</v>
      </c>
      <c r="K53" s="45" t="s">
        <v>218</v>
      </c>
      <c r="N53" s="82">
        <v>3.351</v>
      </c>
    </row>
    <row r="54" spans="6:14" ht="15">
      <c r="F54" s="39" t="s">
        <v>117</v>
      </c>
      <c r="G54" s="40" t="s">
        <v>83</v>
      </c>
      <c r="I54" s="43">
        <v>3.3980000000000001</v>
      </c>
      <c r="K54" s="45" t="s">
        <v>219</v>
      </c>
      <c r="N54" s="82">
        <v>3.3980000000000001</v>
      </c>
    </row>
    <row r="55" spans="6:14" ht="15">
      <c r="F55" s="39" t="s">
        <v>118</v>
      </c>
      <c r="G55" s="40" t="s">
        <v>69</v>
      </c>
      <c r="I55" s="43">
        <v>3.399</v>
      </c>
      <c r="K55" s="45" t="s">
        <v>220</v>
      </c>
      <c r="N55" s="82">
        <v>3.399</v>
      </c>
    </row>
    <row r="56" spans="6:14" ht="15">
      <c r="F56" s="39" t="s">
        <v>119</v>
      </c>
      <c r="G56" s="40" t="s">
        <v>61</v>
      </c>
      <c r="I56" s="43">
        <v>3.4</v>
      </c>
      <c r="K56" s="45" t="s">
        <v>221</v>
      </c>
      <c r="N56" s="82">
        <v>3.4</v>
      </c>
    </row>
    <row r="57" spans="6:14" ht="15">
      <c r="F57" s="39" t="s">
        <v>120</v>
      </c>
      <c r="G57" s="40" t="s">
        <v>67</v>
      </c>
      <c r="I57" s="43">
        <v>3.5</v>
      </c>
      <c r="K57" s="45" t="s">
        <v>222</v>
      </c>
      <c r="N57" s="82">
        <v>3.5</v>
      </c>
    </row>
    <row r="58" spans="6:14" ht="15">
      <c r="F58" s="39" t="s">
        <v>121</v>
      </c>
      <c r="G58" s="40" t="s">
        <v>67</v>
      </c>
      <c r="I58" s="43">
        <v>4.0199999999999996</v>
      </c>
      <c r="K58" s="45" t="s">
        <v>223</v>
      </c>
      <c r="N58" s="82">
        <v>4.0199999999999996</v>
      </c>
    </row>
    <row r="59" spans="6:14" ht="15">
      <c r="F59" s="39" t="s">
        <v>122</v>
      </c>
      <c r="G59" s="40" t="s">
        <v>69</v>
      </c>
      <c r="I59" s="43">
        <v>4.0309999999999997</v>
      </c>
      <c r="K59" s="45" t="s">
        <v>224</v>
      </c>
      <c r="N59" s="82">
        <v>4.0309999999999997</v>
      </c>
    </row>
    <row r="60" spans="6:14" ht="15">
      <c r="F60" s="39" t="s">
        <v>123</v>
      </c>
      <c r="G60" s="40" t="s">
        <v>67</v>
      </c>
      <c r="I60" s="43">
        <v>4.0410000000000004</v>
      </c>
      <c r="K60" s="45" t="s">
        <v>225</v>
      </c>
      <c r="N60" s="82">
        <v>4.0410000000000004</v>
      </c>
    </row>
    <row r="61" spans="6:14" ht="15">
      <c r="F61" s="39" t="s">
        <v>124</v>
      </c>
      <c r="G61" s="40" t="s">
        <v>61</v>
      </c>
      <c r="I61" s="43">
        <v>4.0449999999999999</v>
      </c>
      <c r="K61" s="45" t="s">
        <v>226</v>
      </c>
      <c r="N61" s="82">
        <v>4.0449999999999999</v>
      </c>
    </row>
    <row r="62" spans="6:14" ht="15">
      <c r="F62" s="39" t="s">
        <v>125</v>
      </c>
      <c r="G62" s="40" t="s">
        <v>67</v>
      </c>
      <c r="I62" s="43">
        <v>4.0510000000000002</v>
      </c>
      <c r="K62" s="45" t="s">
        <v>227</v>
      </c>
      <c r="N62" s="82">
        <v>4.0510000000000002</v>
      </c>
    </row>
    <row r="63" spans="6:14" ht="15">
      <c r="F63" s="39" t="s">
        <v>126</v>
      </c>
      <c r="G63" s="40" t="s">
        <v>64</v>
      </c>
      <c r="I63" s="43">
        <v>4.0599999999999996</v>
      </c>
      <c r="K63" s="45" t="s">
        <v>228</v>
      </c>
      <c r="N63" s="82">
        <v>4.0599999999999996</v>
      </c>
    </row>
    <row r="64" spans="6:14" ht="15">
      <c r="F64" s="39" t="s">
        <v>127</v>
      </c>
      <c r="G64" s="40" t="s">
        <v>64</v>
      </c>
      <c r="I64" s="43">
        <v>4.07</v>
      </c>
      <c r="K64" s="45" t="s">
        <v>229</v>
      </c>
      <c r="N64" s="82">
        <v>4.07</v>
      </c>
    </row>
    <row r="65" spans="6:14" ht="15">
      <c r="F65" s="39" t="s">
        <v>128</v>
      </c>
      <c r="G65" s="40" t="s">
        <v>83</v>
      </c>
      <c r="I65" s="43">
        <v>4.09</v>
      </c>
      <c r="K65" s="45" t="s">
        <v>230</v>
      </c>
      <c r="N65" s="82">
        <v>4.09</v>
      </c>
    </row>
    <row r="66" spans="6:14" ht="15">
      <c r="F66" s="39" t="s">
        <v>129</v>
      </c>
      <c r="G66" s="40" t="s">
        <v>73</v>
      </c>
      <c r="I66" s="43">
        <v>4.0949999999999998</v>
      </c>
      <c r="K66" s="45" t="s">
        <v>231</v>
      </c>
      <c r="N66" s="82">
        <v>4.0949999999999998</v>
      </c>
    </row>
    <row r="67" spans="6:14" ht="15">
      <c r="F67" s="39" t="s">
        <v>130</v>
      </c>
      <c r="G67" s="40" t="s">
        <v>83</v>
      </c>
      <c r="I67" s="43">
        <v>5.01</v>
      </c>
      <c r="K67" s="45" t="s">
        <v>232</v>
      </c>
      <c r="N67" s="82">
        <v>5.01</v>
      </c>
    </row>
    <row r="68" spans="6:14" ht="15">
      <c r="F68" s="39" t="s">
        <v>131</v>
      </c>
      <c r="G68" s="40" t="s">
        <v>73</v>
      </c>
      <c r="I68" s="43">
        <v>5.0199999999999996</v>
      </c>
      <c r="K68" s="45" t="s">
        <v>233</v>
      </c>
      <c r="N68" s="82">
        <v>5.0199999999999996</v>
      </c>
    </row>
    <row r="69" spans="6:14" ht="15">
      <c r="F69" s="39" t="s">
        <v>132</v>
      </c>
      <c r="G69" s="40" t="s">
        <v>83</v>
      </c>
      <c r="I69" s="43">
        <v>5.03</v>
      </c>
      <c r="K69" s="45" t="s">
        <v>234</v>
      </c>
      <c r="N69" s="82">
        <v>5.03</v>
      </c>
    </row>
    <row r="70" spans="6:14" ht="15">
      <c r="F70" s="39" t="s">
        <v>133</v>
      </c>
      <c r="G70" s="40" t="s">
        <v>69</v>
      </c>
      <c r="I70" s="43">
        <v>5.05</v>
      </c>
      <c r="K70" s="45" t="s">
        <v>235</v>
      </c>
      <c r="N70" s="82">
        <v>5.05</v>
      </c>
    </row>
    <row r="71" spans="6:14" ht="15">
      <c r="F71" s="39" t="s">
        <v>134</v>
      </c>
      <c r="G71" s="40" t="s">
        <v>69</v>
      </c>
      <c r="I71" s="43">
        <v>5.0599999999999996</v>
      </c>
      <c r="K71" s="45" t="s">
        <v>236</v>
      </c>
      <c r="N71" s="82">
        <v>5.0599999999999996</v>
      </c>
    </row>
    <row r="72" spans="6:14" ht="15">
      <c r="F72" s="39" t="s">
        <v>135</v>
      </c>
      <c r="G72" s="40" t="s">
        <v>73</v>
      </c>
      <c r="I72" s="43">
        <v>5.07</v>
      </c>
      <c r="K72" s="45" t="s">
        <v>237</v>
      </c>
      <c r="N72" s="82">
        <v>5.07</v>
      </c>
    </row>
    <row r="73" spans="6:14" ht="15">
      <c r="F73" s="39" t="s">
        <v>136</v>
      </c>
      <c r="G73" s="40" t="s">
        <v>69</v>
      </c>
      <c r="I73" s="43">
        <v>5.08</v>
      </c>
      <c r="K73" s="45" t="s">
        <v>238</v>
      </c>
      <c r="N73" s="82">
        <v>5.08</v>
      </c>
    </row>
    <row r="74" spans="6:14" ht="15">
      <c r="F74" s="39" t="s">
        <v>137</v>
      </c>
      <c r="G74" s="40" t="s">
        <v>83</v>
      </c>
      <c r="I74" s="43">
        <v>6.01</v>
      </c>
      <c r="K74" s="45" t="s">
        <v>239</v>
      </c>
      <c r="N74" s="82">
        <v>6.01</v>
      </c>
    </row>
    <row r="75" spans="6:14" ht="15">
      <c r="F75" s="39" t="s">
        <v>138</v>
      </c>
      <c r="G75" s="40" t="s">
        <v>69</v>
      </c>
      <c r="I75" s="43">
        <v>6.0149999999999997</v>
      </c>
      <c r="K75" s="45" t="s">
        <v>240</v>
      </c>
      <c r="N75" s="82">
        <v>6.0149999999999997</v>
      </c>
    </row>
    <row r="76" spans="6:14" ht="15">
      <c r="F76" s="39" t="s">
        <v>139</v>
      </c>
      <c r="G76" s="40" t="s">
        <v>67</v>
      </c>
      <c r="I76" s="43">
        <v>6.0220000000000002</v>
      </c>
      <c r="K76" s="45" t="s">
        <v>241</v>
      </c>
      <c r="N76" s="82">
        <v>6.0220000000000002</v>
      </c>
    </row>
    <row r="77" spans="6:14" ht="15">
      <c r="F77" s="39" t="s">
        <v>140</v>
      </c>
      <c r="G77" s="40" t="s">
        <v>59</v>
      </c>
      <c r="I77" s="43">
        <v>6.04</v>
      </c>
      <c r="K77" s="46" t="s">
        <v>242</v>
      </c>
      <c r="N77" s="82">
        <v>6.04</v>
      </c>
    </row>
    <row r="78" spans="6:14" ht="15">
      <c r="F78" s="39" t="s">
        <v>141</v>
      </c>
      <c r="G78" s="40" t="s">
        <v>64</v>
      </c>
      <c r="I78" s="43">
        <v>6.0410000000000004</v>
      </c>
      <c r="K78" s="46" t="s">
        <v>243</v>
      </c>
      <c r="N78" s="82">
        <v>6.0410000000000004</v>
      </c>
    </row>
    <row r="79" spans="6:14" ht="15">
      <c r="F79" s="39" t="s">
        <v>142</v>
      </c>
      <c r="G79" s="40" t="s">
        <v>64</v>
      </c>
      <c r="I79" s="43">
        <v>6.05</v>
      </c>
      <c r="K79" s="46" t="s">
        <v>244</v>
      </c>
      <c r="N79" s="82">
        <v>6.05</v>
      </c>
    </row>
    <row r="80" spans="6:14" ht="15">
      <c r="F80" s="39" t="s">
        <v>143</v>
      </c>
      <c r="G80" s="40" t="s">
        <v>59</v>
      </c>
      <c r="I80" s="43">
        <v>6.06</v>
      </c>
      <c r="K80" s="46" t="s">
        <v>245</v>
      </c>
      <c r="N80" s="82">
        <v>6.06</v>
      </c>
    </row>
    <row r="81" spans="6:14" ht="15">
      <c r="F81" s="39" t="s">
        <v>144</v>
      </c>
      <c r="G81" s="40" t="s">
        <v>61</v>
      </c>
      <c r="I81" s="43">
        <v>6.07</v>
      </c>
      <c r="K81" s="46" t="s">
        <v>246</v>
      </c>
      <c r="N81" s="82">
        <v>6.07</v>
      </c>
    </row>
    <row r="82" spans="6:14" ht="15">
      <c r="F82" s="39" t="s">
        <v>145</v>
      </c>
      <c r="G82" s="40" t="s">
        <v>67</v>
      </c>
      <c r="I82" s="43">
        <v>6.0709999999999997</v>
      </c>
      <c r="K82" s="46" t="s">
        <v>247</v>
      </c>
      <c r="N82" s="82">
        <v>6.0709999999999997</v>
      </c>
    </row>
    <row r="83" spans="6:14" ht="15">
      <c r="F83" s="39" t="s">
        <v>146</v>
      </c>
      <c r="G83" s="40" t="s">
        <v>64</v>
      </c>
      <c r="I83" s="43">
        <v>6.08</v>
      </c>
      <c r="K83" s="46" t="s">
        <v>248</v>
      </c>
      <c r="N83" s="82">
        <v>6.08</v>
      </c>
    </row>
    <row r="84" spans="6:14" ht="15">
      <c r="F84" s="39" t="s">
        <v>147</v>
      </c>
      <c r="G84" s="40" t="s">
        <v>64</v>
      </c>
      <c r="I84" s="43">
        <v>6.0810000000000004</v>
      </c>
      <c r="K84" s="46" t="s">
        <v>249</v>
      </c>
      <c r="N84" s="82">
        <v>6.0810000000000004</v>
      </c>
    </row>
    <row r="85" spans="6:14" ht="15">
      <c r="F85" s="39" t="s">
        <v>148</v>
      </c>
      <c r="G85" s="40" t="s">
        <v>61</v>
      </c>
      <c r="I85" s="43">
        <v>6.0819999999999999</v>
      </c>
      <c r="K85" s="46" t="s">
        <v>250</v>
      </c>
      <c r="N85" s="82">
        <v>6.0819999999999999</v>
      </c>
    </row>
    <row r="86" spans="6:14" ht="15">
      <c r="F86" s="39" t="s">
        <v>149</v>
      </c>
      <c r="G86" s="40" t="s">
        <v>59</v>
      </c>
      <c r="I86" s="43">
        <v>6.09</v>
      </c>
      <c r="K86" s="46" t="s">
        <v>251</v>
      </c>
      <c r="N86" s="82">
        <v>6.09</v>
      </c>
    </row>
    <row r="87" spans="6:14" ht="15">
      <c r="F87" s="39" t="s">
        <v>150</v>
      </c>
      <c r="G87" s="40" t="s">
        <v>59</v>
      </c>
      <c r="I87" s="43">
        <v>6.0910000000000002</v>
      </c>
      <c r="K87" s="46" t="s">
        <v>252</v>
      </c>
      <c r="N87" s="82">
        <v>6.0910000000000002</v>
      </c>
    </row>
    <row r="88" spans="6:14" ht="15">
      <c r="F88" s="39" t="s">
        <v>151</v>
      </c>
      <c r="G88" s="40" t="s">
        <v>67</v>
      </c>
      <c r="I88" s="43">
        <v>6.1</v>
      </c>
      <c r="K88" s="47" t="s">
        <v>253</v>
      </c>
      <c r="N88" s="82">
        <v>6.1</v>
      </c>
    </row>
    <row r="89" spans="6:14" ht="15">
      <c r="F89" s="39" t="s">
        <v>152</v>
      </c>
      <c r="G89" s="40" t="s">
        <v>67</v>
      </c>
      <c r="I89" s="43">
        <v>6.101</v>
      </c>
      <c r="N89" s="82">
        <v>6.101</v>
      </c>
    </row>
    <row r="90" spans="6:14" ht="15">
      <c r="F90" s="39" t="s">
        <v>153</v>
      </c>
      <c r="G90" s="40" t="s">
        <v>69</v>
      </c>
      <c r="I90" s="43">
        <v>6.12</v>
      </c>
      <c r="N90" s="82">
        <v>6.12</v>
      </c>
    </row>
    <row r="91" spans="6:14" ht="15">
      <c r="F91" s="39" t="s">
        <v>154</v>
      </c>
      <c r="G91" s="40" t="s">
        <v>61</v>
      </c>
      <c r="I91" s="43">
        <v>6.1210000000000004</v>
      </c>
      <c r="N91" s="82">
        <v>6.1210000000000004</v>
      </c>
    </row>
    <row r="92" spans="6:14" ht="15">
      <c r="F92" s="39" t="s">
        <v>155</v>
      </c>
      <c r="G92" s="40" t="s">
        <v>83</v>
      </c>
      <c r="I92" s="43">
        <v>6.13</v>
      </c>
      <c r="N92" s="82">
        <v>6.13</v>
      </c>
    </row>
    <row r="93" spans="6:14" ht="15">
      <c r="F93" s="39" t="s">
        <v>156</v>
      </c>
      <c r="G93" s="40" t="s">
        <v>83</v>
      </c>
      <c r="I93" s="43">
        <v>6.14</v>
      </c>
      <c r="N93" s="82">
        <v>6.14</v>
      </c>
    </row>
    <row r="94" spans="6:14" ht="15">
      <c r="F94" s="39" t="s">
        <v>157</v>
      </c>
      <c r="G94" s="40" t="s">
        <v>83</v>
      </c>
      <c r="I94" s="43">
        <v>6.15</v>
      </c>
      <c r="N94" s="82">
        <v>6.15</v>
      </c>
    </row>
    <row r="95" spans="6:14" ht="15">
      <c r="F95" s="39" t="s">
        <v>158</v>
      </c>
      <c r="G95" s="40" t="s">
        <v>69</v>
      </c>
      <c r="I95" s="43">
        <v>6.16</v>
      </c>
      <c r="N95" s="82">
        <v>6.16</v>
      </c>
    </row>
    <row r="96" spans="6:14" ht="15">
      <c r="F96" s="39" t="s">
        <v>159</v>
      </c>
      <c r="G96" s="40" t="s">
        <v>59</v>
      </c>
      <c r="I96" s="43">
        <v>6.17</v>
      </c>
      <c r="N96" s="82">
        <v>6.17</v>
      </c>
    </row>
    <row r="97" spans="6:14" ht="15">
      <c r="F97" s="39" t="s">
        <v>160</v>
      </c>
      <c r="G97" s="40" t="s">
        <v>69</v>
      </c>
      <c r="I97" s="43">
        <v>6.1710000000000003</v>
      </c>
      <c r="N97" s="82">
        <v>6.1710000000000003</v>
      </c>
    </row>
    <row r="98" spans="6:14" ht="15">
      <c r="F98" s="39" t="s">
        <v>161</v>
      </c>
      <c r="G98" s="40" t="s">
        <v>59</v>
      </c>
      <c r="I98" s="43">
        <v>6.173</v>
      </c>
      <c r="N98" s="82">
        <v>6.173</v>
      </c>
    </row>
    <row r="99" spans="6:14" ht="15">
      <c r="F99" s="39" t="s">
        <v>162</v>
      </c>
      <c r="G99" s="40" t="s">
        <v>83</v>
      </c>
      <c r="I99" s="43">
        <v>6.1740000000000004</v>
      </c>
      <c r="N99" s="82">
        <v>6.1740000000000004</v>
      </c>
    </row>
    <row r="100" spans="6:14" ht="15">
      <c r="F100" s="39" t="s">
        <v>163</v>
      </c>
      <c r="G100" s="40" t="s">
        <v>59</v>
      </c>
      <c r="I100" s="43">
        <v>6.18</v>
      </c>
      <c r="N100" s="82">
        <v>6.18</v>
      </c>
    </row>
    <row r="101" spans="6:14" ht="15">
      <c r="F101" s="41" t="s">
        <v>164</v>
      </c>
      <c r="G101" s="42" t="s">
        <v>67</v>
      </c>
      <c r="I101" s="43">
        <v>6.19</v>
      </c>
      <c r="N101" s="82">
        <v>6.19</v>
      </c>
    </row>
    <row r="102" spans="6:14">
      <c r="I102" s="43">
        <v>7.0149999999999997</v>
      </c>
      <c r="N102" s="82">
        <v>7.0149999999999997</v>
      </c>
    </row>
    <row r="103" spans="6:14">
      <c r="I103" s="43">
        <v>7.02</v>
      </c>
      <c r="N103" s="82">
        <v>7.02</v>
      </c>
    </row>
    <row r="104" spans="6:14">
      <c r="I104" s="43">
        <v>7.04</v>
      </c>
      <c r="N104" s="82">
        <v>7.04</v>
      </c>
    </row>
    <row r="105" spans="6:14">
      <c r="I105" s="43">
        <v>7.06</v>
      </c>
      <c r="N105" s="82">
        <v>7.06</v>
      </c>
    </row>
    <row r="106" spans="6:14">
      <c r="I106" s="43">
        <v>7.0650000000000004</v>
      </c>
      <c r="N106" s="82">
        <v>7.0650000000000004</v>
      </c>
    </row>
    <row r="107" spans="6:14">
      <c r="I107" s="43">
        <v>7.0810000000000004</v>
      </c>
      <c r="N107" s="82">
        <v>7.0810000000000004</v>
      </c>
    </row>
    <row r="108" spans="6:14">
      <c r="I108" s="43">
        <v>7.1</v>
      </c>
      <c r="N108" s="82">
        <v>7.1</v>
      </c>
    </row>
    <row r="109" spans="6:14">
      <c r="I109" s="43">
        <v>7.1210000000000004</v>
      </c>
      <c r="N109" s="82">
        <v>7.1210000000000004</v>
      </c>
    </row>
    <row r="110" spans="6:14">
      <c r="I110" s="43">
        <v>7.14</v>
      </c>
      <c r="N110" s="82">
        <v>7.14</v>
      </c>
    </row>
    <row r="111" spans="6:14">
      <c r="I111" s="43">
        <v>7.1609999999999996</v>
      </c>
      <c r="N111" s="82">
        <v>7.1609999999999996</v>
      </c>
    </row>
    <row r="112" spans="6:14">
      <c r="I112" s="43">
        <v>7.18</v>
      </c>
      <c r="N112" s="82">
        <v>7.18</v>
      </c>
    </row>
    <row r="113" spans="9:14">
      <c r="I113" s="43">
        <v>7.2009999999999996</v>
      </c>
      <c r="N113" s="82">
        <v>7.2009999999999996</v>
      </c>
    </row>
    <row r="114" spans="9:14">
      <c r="I114" s="43">
        <v>7.25</v>
      </c>
      <c r="N114" s="82">
        <v>7.25</v>
      </c>
    </row>
    <row r="115" spans="9:14">
      <c r="I115" s="43">
        <v>7.26</v>
      </c>
      <c r="N115" s="82">
        <v>7.26</v>
      </c>
    </row>
    <row r="116" spans="9:14">
      <c r="I116" s="43">
        <v>7.2610000000000001</v>
      </c>
      <c r="N116" s="82">
        <v>7.2610000000000001</v>
      </c>
    </row>
    <row r="117" spans="9:14">
      <c r="I117" s="43">
        <v>7.2910000000000004</v>
      </c>
      <c r="N117" s="82">
        <v>7.2910000000000004</v>
      </c>
    </row>
    <row r="118" spans="9:14">
      <c r="I118" s="43">
        <v>7.3</v>
      </c>
      <c r="N118" s="82">
        <v>7.3</v>
      </c>
    </row>
    <row r="119" spans="9:14">
      <c r="I119" s="43">
        <v>7.34</v>
      </c>
      <c r="N119" s="82">
        <v>7.34</v>
      </c>
    </row>
    <row r="120" spans="9:14">
      <c r="I120" s="43">
        <v>7.36</v>
      </c>
      <c r="N120" s="82">
        <v>7.36</v>
      </c>
    </row>
    <row r="121" spans="9:14">
      <c r="I121" s="43">
        <v>7.39</v>
      </c>
      <c r="N121" s="82">
        <v>7.39</v>
      </c>
    </row>
    <row r="122" spans="9:14">
      <c r="I122" s="43">
        <v>7.4</v>
      </c>
      <c r="N122" s="82">
        <v>7.4</v>
      </c>
    </row>
    <row r="123" spans="9:14">
      <c r="I123" s="43">
        <v>7.41</v>
      </c>
      <c r="N123" s="82">
        <v>7.41</v>
      </c>
    </row>
    <row r="124" spans="9:14">
      <c r="I124" s="43">
        <v>7.42</v>
      </c>
      <c r="N124" s="82">
        <v>7.42</v>
      </c>
    </row>
    <row r="125" spans="9:14">
      <c r="I125" s="43">
        <v>7.5</v>
      </c>
      <c r="N125" s="82">
        <v>7.5</v>
      </c>
    </row>
    <row r="126" spans="9:14">
      <c r="I126" s="43">
        <v>8.01</v>
      </c>
      <c r="N126" s="82">
        <v>8.01</v>
      </c>
    </row>
    <row r="127" spans="9:14">
      <c r="I127" s="43">
        <v>8.02</v>
      </c>
      <c r="N127" s="82">
        <v>8.02</v>
      </c>
    </row>
    <row r="128" spans="9:14">
      <c r="I128" s="43">
        <v>8.0299999999999994</v>
      </c>
      <c r="N128" s="82">
        <v>8.0299999999999994</v>
      </c>
    </row>
    <row r="129" spans="9:14">
      <c r="I129" s="43">
        <v>8.0399999999999991</v>
      </c>
      <c r="N129" s="82">
        <v>8.0399999999999991</v>
      </c>
    </row>
    <row r="130" spans="9:14">
      <c r="I130" s="43">
        <v>8.0410000000000004</v>
      </c>
      <c r="N130" s="82">
        <v>8.0410000000000004</v>
      </c>
    </row>
    <row r="131" spans="9:14">
      <c r="I131" s="43">
        <v>8.0500000000000007</v>
      </c>
      <c r="N131" s="82">
        <v>8.0500000000000007</v>
      </c>
    </row>
    <row r="132" spans="9:14">
      <c r="I132" s="43">
        <v>8.06</v>
      </c>
      <c r="N132" s="82">
        <v>8.06</v>
      </c>
    </row>
    <row r="133" spans="9:14">
      <c r="I133" s="43">
        <v>8.07</v>
      </c>
      <c r="N133" s="82">
        <v>8.07</v>
      </c>
    </row>
    <row r="134" spans="9:14">
      <c r="I134" s="43">
        <v>8.08</v>
      </c>
      <c r="N134" s="82">
        <v>8.08</v>
      </c>
    </row>
    <row r="135" spans="9:14">
      <c r="I135" s="43">
        <v>8.09</v>
      </c>
      <c r="N135" s="82">
        <v>8.09</v>
      </c>
    </row>
    <row r="136" spans="9:14">
      <c r="I136" s="43">
        <v>8.0909999999999993</v>
      </c>
      <c r="N136" s="82">
        <v>8.0909999999999993</v>
      </c>
    </row>
    <row r="137" spans="9:14">
      <c r="I137" s="43">
        <v>8.0920000000000005</v>
      </c>
      <c r="N137" s="82">
        <v>8.0920000000000005</v>
      </c>
    </row>
    <row r="138" spans="9:14">
      <c r="I138" s="43">
        <v>8.1</v>
      </c>
      <c r="N138" s="82">
        <v>8.1</v>
      </c>
    </row>
    <row r="139" spans="9:14">
      <c r="I139" s="43">
        <v>8.1050000000000004</v>
      </c>
      <c r="N139" s="82">
        <v>8.1050000000000004</v>
      </c>
    </row>
    <row r="140" spans="9:14">
      <c r="I140" s="43">
        <v>8.11</v>
      </c>
      <c r="N140" s="82">
        <v>8.11</v>
      </c>
    </row>
    <row r="141" spans="9:14">
      <c r="I141" s="43">
        <v>9.02</v>
      </c>
      <c r="N141" s="82">
        <v>9.02</v>
      </c>
    </row>
    <row r="142" spans="9:14">
      <c r="I142" s="43">
        <v>9.0399999999999991</v>
      </c>
      <c r="N142" s="82">
        <v>9.0399999999999991</v>
      </c>
    </row>
    <row r="143" spans="9:14">
      <c r="I143" s="43">
        <v>9.06</v>
      </c>
      <c r="N143" s="82">
        <v>9.06</v>
      </c>
    </row>
    <row r="144" spans="9:14">
      <c r="I144" s="43">
        <v>10.01</v>
      </c>
      <c r="N144" s="82">
        <v>10.01</v>
      </c>
    </row>
    <row r="145" spans="9:14">
      <c r="I145" s="43">
        <v>10.029999999999999</v>
      </c>
      <c r="N145" s="82">
        <v>10.029999999999999</v>
      </c>
    </row>
    <row r="146" spans="9:14">
      <c r="I146" s="43">
        <v>10.050000000000001</v>
      </c>
      <c r="N146" s="82">
        <v>10.050000000000001</v>
      </c>
    </row>
    <row r="147" spans="9:14">
      <c r="I147" s="43">
        <v>10.07</v>
      </c>
      <c r="N147" s="82">
        <v>10.07</v>
      </c>
    </row>
    <row r="148" spans="9:14">
      <c r="I148" s="43">
        <v>11.02</v>
      </c>
      <c r="N148" s="82">
        <v>11.02</v>
      </c>
    </row>
    <row r="149" spans="9:14">
      <c r="I149" s="43">
        <v>11.04</v>
      </c>
      <c r="N149" s="82">
        <v>11.04</v>
      </c>
    </row>
    <row r="150" spans="9:14">
      <c r="I150" s="43">
        <v>11.05</v>
      </c>
      <c r="N150" s="82">
        <v>11.05</v>
      </c>
    </row>
    <row r="151" spans="9:14">
      <c r="I151" s="43">
        <v>12.01</v>
      </c>
      <c r="N151" s="82">
        <v>12.01</v>
      </c>
    </row>
    <row r="152" spans="9:14">
      <c r="I152" s="44">
        <v>12.03</v>
      </c>
      <c r="N152" s="82">
        <v>12.03</v>
      </c>
    </row>
  </sheetData>
  <customSheetViews>
    <customSheetView guid="{FED3EF2C-891B-4B19-A7F2-F90FD459899C}">
      <selection activeCell="D4" sqref="D4"/>
      <pageMargins left="0.7" right="0.7" top="0.75" bottom="0.75" header="0.3" footer="0.3"/>
      <pageSetup orientation="portrait" r:id="rId1"/>
    </customSheetView>
  </customSheetView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sheetPr>
    <tabColor theme="5"/>
  </sheetPr>
  <dimension ref="A1:N2"/>
  <sheetViews>
    <sheetView workbookViewId="0">
      <selection activeCell="A2" sqref="A2"/>
    </sheetView>
  </sheetViews>
  <sheetFormatPr defaultRowHeight="12.75"/>
  <cols>
    <col min="1" max="1" width="12.5703125" bestFit="1" customWidth="1"/>
    <col min="2" max="2" width="40" bestFit="1" customWidth="1"/>
    <col min="3" max="6" width="17.42578125" customWidth="1"/>
    <col min="7" max="7" width="7.5703125" bestFit="1" customWidth="1"/>
    <col min="8" max="8" width="13" customWidth="1"/>
    <col min="9" max="9" width="8.28515625" bestFit="1" customWidth="1"/>
    <col min="10" max="10" width="11" bestFit="1" customWidth="1"/>
    <col min="11" max="11" width="8" bestFit="1" customWidth="1"/>
    <col min="12" max="12" width="8.28515625" bestFit="1" customWidth="1"/>
    <col min="13" max="13" width="9.140625" bestFit="1" customWidth="1"/>
    <col min="14" max="14" width="7.7109375" bestFit="1" customWidth="1"/>
  </cols>
  <sheetData>
    <row r="1" spans="1:14" ht="15">
      <c r="A1" s="70" t="s">
        <v>279</v>
      </c>
      <c r="B1" s="70" t="s">
        <v>280</v>
      </c>
      <c r="C1" s="70" t="s">
        <v>281</v>
      </c>
      <c r="D1" s="70" t="s">
        <v>282</v>
      </c>
      <c r="E1" s="70" t="s">
        <v>283</v>
      </c>
      <c r="F1" s="70" t="s">
        <v>284</v>
      </c>
      <c r="G1" s="66" t="s">
        <v>277</v>
      </c>
      <c r="H1" s="70" t="s">
        <v>285</v>
      </c>
      <c r="I1" s="70" t="s">
        <v>286</v>
      </c>
      <c r="J1" s="70" t="s">
        <v>287</v>
      </c>
      <c r="K1" s="70" t="s">
        <v>288</v>
      </c>
      <c r="L1" s="70" t="s">
        <v>289</v>
      </c>
      <c r="M1" s="70" t="s">
        <v>290</v>
      </c>
      <c r="N1" s="66" t="s">
        <v>278</v>
      </c>
    </row>
    <row r="2" spans="1:14" ht="15">
      <c r="A2" s="71">
        <f>'Preapproval ePATA'!T4</f>
        <v>0</v>
      </c>
      <c r="B2" s="73">
        <f>'Preapproval ePATA'!D4</f>
        <v>0</v>
      </c>
      <c r="C2" s="74"/>
      <c r="D2" s="74">
        <f>'Preapproval ePATA'!Q4</f>
        <v>0</v>
      </c>
      <c r="E2" s="74">
        <f>'Preapproval ePATA'!N4</f>
        <v>0</v>
      </c>
      <c r="F2" s="68" t="s">
        <v>39</v>
      </c>
      <c r="G2" s="67">
        <f>'Preapproval ePATA'!H12</f>
        <v>0</v>
      </c>
      <c r="H2" s="68" t="s">
        <v>39</v>
      </c>
      <c r="I2" s="69"/>
      <c r="J2" s="71">
        <f>'Preapproval ePATA'!T11</f>
        <v>0</v>
      </c>
      <c r="K2" s="69"/>
      <c r="L2" s="69"/>
      <c r="M2" s="71"/>
      <c r="N2" s="72" t="s">
        <v>291</v>
      </c>
    </row>
  </sheetData>
  <customSheetViews>
    <customSheetView guid="{FED3EF2C-891B-4B19-A7F2-F90FD459899C}">
      <selection activeCell="D4" sqref="D4"/>
      <pageMargins left="0.7" right="0.7" top="0.75" bottom="0.75" header="0.3" footer="0.3"/>
      <pageSetup orientation="portrait" r:id="rId1"/>
    </customSheetView>
  </customSheetView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sheetPr>
    <tabColor theme="5"/>
  </sheetPr>
  <dimension ref="A1:V2"/>
  <sheetViews>
    <sheetView zoomScaleNormal="100" workbookViewId="0">
      <selection activeCell="A2" sqref="A2"/>
    </sheetView>
  </sheetViews>
  <sheetFormatPr defaultRowHeight="12.75"/>
  <cols>
    <col min="1" max="1" width="6.28515625" bestFit="1" customWidth="1"/>
    <col min="2" max="2" width="7.85546875" bestFit="1" customWidth="1"/>
    <col min="3" max="3" width="7" bestFit="1" customWidth="1"/>
    <col min="4" max="4" width="21.28515625" customWidth="1"/>
    <col min="5" max="5" width="9.85546875" customWidth="1"/>
    <col min="6" max="6" width="11.5703125" bestFit="1" customWidth="1"/>
    <col min="7" max="7" width="9.28515625" bestFit="1" customWidth="1"/>
    <col min="8" max="8" width="9" bestFit="1" customWidth="1"/>
    <col min="9" max="9" width="8.7109375" bestFit="1" customWidth="1"/>
    <col min="10" max="10" width="8.42578125" bestFit="1" customWidth="1"/>
    <col min="11" max="11" width="9" bestFit="1" customWidth="1"/>
    <col min="12" max="12" width="8.7109375" bestFit="1" customWidth="1"/>
    <col min="13" max="13" width="8.42578125" bestFit="1" customWidth="1"/>
    <col min="14" max="14" width="8.140625" bestFit="1" customWidth="1"/>
    <col min="15" max="16" width="8.7109375" bestFit="1" customWidth="1"/>
    <col min="17" max="17" width="7" bestFit="1" customWidth="1"/>
    <col min="18" max="18" width="7.140625" bestFit="1" customWidth="1"/>
    <col min="19" max="19" width="8.5703125" bestFit="1" customWidth="1"/>
    <col min="20" max="20" width="8.28515625" bestFit="1" customWidth="1"/>
    <col min="21" max="21" width="10.140625" bestFit="1" customWidth="1"/>
    <col min="22" max="22" width="10.42578125" bestFit="1" customWidth="1"/>
    <col min="23" max="23" width="4.140625" customWidth="1"/>
  </cols>
  <sheetData>
    <row r="1" spans="1:22" ht="15">
      <c r="A1" s="19" t="s">
        <v>257</v>
      </c>
      <c r="B1" s="22" t="s">
        <v>258</v>
      </c>
      <c r="C1" s="22" t="s">
        <v>259</v>
      </c>
      <c r="D1" s="19" t="s">
        <v>260</v>
      </c>
      <c r="E1" s="21" t="s">
        <v>261</v>
      </c>
      <c r="F1" s="19" t="s">
        <v>42</v>
      </c>
      <c r="G1" s="65" t="s">
        <v>263</v>
      </c>
      <c r="H1" s="65" t="s">
        <v>262</v>
      </c>
      <c r="I1" s="65" t="s">
        <v>264</v>
      </c>
      <c r="J1" s="65" t="s">
        <v>265</v>
      </c>
      <c r="K1" s="65" t="s">
        <v>266</v>
      </c>
      <c r="L1" s="65" t="s">
        <v>267</v>
      </c>
      <c r="M1" s="65" t="s">
        <v>268</v>
      </c>
      <c r="N1" s="65" t="s">
        <v>269</v>
      </c>
      <c r="O1" s="21" t="s">
        <v>270</v>
      </c>
      <c r="P1" s="21" t="s">
        <v>271</v>
      </c>
      <c r="Q1" s="19" t="s">
        <v>43</v>
      </c>
      <c r="R1" s="19" t="s">
        <v>44</v>
      </c>
      <c r="S1" s="19" t="s">
        <v>45</v>
      </c>
      <c r="T1" s="22" t="s">
        <v>46</v>
      </c>
      <c r="U1" s="19" t="s">
        <v>47</v>
      </c>
      <c r="V1" s="19" t="s">
        <v>48</v>
      </c>
    </row>
    <row r="2" spans="1:22" s="64" customFormat="1" ht="15">
      <c r="A2" s="58" t="str">
        <f ca="1">tblTask!$A$4</f>
        <v/>
      </c>
      <c r="B2" s="58" t="str">
        <f ca="1">tblTask!$B$4</f>
        <v/>
      </c>
      <c r="C2" s="58" t="str">
        <f ca="1">tblTask!$C$4</f>
        <v/>
      </c>
      <c r="D2" s="75" t="s">
        <v>276</v>
      </c>
      <c r="E2" s="57">
        <f>VLOOKUP('Preapproval ePATA'!$A$1,'Data {DO NOT EDIT}'!C8:D11,2,FALSE)</f>
        <v>0</v>
      </c>
      <c r="F2" s="59">
        <v>0</v>
      </c>
      <c r="G2" s="60">
        <v>0</v>
      </c>
      <c r="H2" s="59">
        <v>0</v>
      </c>
      <c r="I2" s="60">
        <v>0</v>
      </c>
      <c r="J2" s="59">
        <v>0</v>
      </c>
      <c r="K2" s="60">
        <v>0</v>
      </c>
      <c r="L2" s="59">
        <v>0</v>
      </c>
      <c r="M2" s="60">
        <v>0</v>
      </c>
      <c r="N2" s="59">
        <v>0</v>
      </c>
      <c r="O2" s="61">
        <f>'Preapproval ePATA'!D51</f>
        <v>0</v>
      </c>
      <c r="P2" s="61">
        <f>'Preapproval ePATA'!D53</f>
        <v>0</v>
      </c>
      <c r="Q2" s="58">
        <f>'Preapproval ePATA'!E5</f>
        <v>0</v>
      </c>
      <c r="R2" s="58">
        <f>'Preapproval ePATA'!E8</f>
        <v>0</v>
      </c>
      <c r="S2" s="57">
        <f>VLOOKUP('Preapproval ePATA'!$A$1,'Data {DO NOT EDIT}'!C8:D11,2,FALSE)</f>
        <v>0</v>
      </c>
      <c r="T2" s="62">
        <v>0</v>
      </c>
      <c r="U2" s="63">
        <v>0</v>
      </c>
      <c r="V2" s="75" t="s">
        <v>39</v>
      </c>
    </row>
  </sheetData>
  <customSheetViews>
    <customSheetView guid="{FED3EF2C-891B-4B19-A7F2-F90FD459899C}">
      <selection activeCell="D4" sqref="D4"/>
      <pageMargins left="0.7" right="0.7" top="0.75" bottom="0.75" header="0.3" footer="0.3"/>
      <pageSetup orientation="portrait" r:id="rId1"/>
    </customSheetView>
  </customSheetView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sheetPr>
    <tabColor theme="5"/>
  </sheetPr>
  <dimension ref="A1:G32"/>
  <sheetViews>
    <sheetView workbookViewId="0">
      <selection activeCell="A2" sqref="A2"/>
    </sheetView>
  </sheetViews>
  <sheetFormatPr defaultRowHeight="14.25"/>
  <cols>
    <col min="1" max="1" width="20.140625" style="51" bestFit="1" customWidth="1"/>
    <col min="2" max="2" width="13.85546875" style="51" bestFit="1" customWidth="1"/>
    <col min="3" max="3" width="15.140625" style="51" bestFit="1" customWidth="1"/>
    <col min="4" max="4" width="12.5703125" style="53" bestFit="1" customWidth="1"/>
    <col min="5" max="5" width="18.42578125" style="56" bestFit="1" customWidth="1"/>
    <col min="6" max="6" width="17.5703125" style="56" bestFit="1" customWidth="1"/>
    <col min="7" max="7" width="53.5703125" style="79" customWidth="1"/>
  </cols>
  <sheetData>
    <row r="1" spans="1:7" ht="15">
      <c r="A1" s="49" t="s">
        <v>257</v>
      </c>
      <c r="B1" s="49" t="s">
        <v>258</v>
      </c>
      <c r="C1" s="49" t="s">
        <v>259</v>
      </c>
      <c r="D1" s="52" t="s">
        <v>272</v>
      </c>
      <c r="E1" s="54" t="s">
        <v>273</v>
      </c>
      <c r="F1" s="54" t="s">
        <v>274</v>
      </c>
      <c r="G1" s="76" t="s">
        <v>275</v>
      </c>
    </row>
    <row r="2" spans="1:7" ht="15">
      <c r="A2" s="50">
        <f>'Preapproval ePATA'!$T$4</f>
        <v>0</v>
      </c>
      <c r="B2" s="50">
        <f>'Preapproval ePATA'!$Q$9</f>
        <v>0</v>
      </c>
      <c r="C2" s="50">
        <f>'Preapproval ePATA'!$T$9</f>
        <v>0</v>
      </c>
      <c r="D2" s="18">
        <v>-1</v>
      </c>
      <c r="E2" s="55">
        <f>IF($D2="","",SUMIF('Preapproval ePATA'!$C$21:$C$45,tblTask!D2,'Preapproval ePATA'!$M$21:$M$45))</f>
        <v>0</v>
      </c>
      <c r="F2" s="55">
        <f>IF(D2="","",SUMIF('Preapproval ePATA'!$C$21:$C$45,D2,'Preapproval ePATA'!$O$21:$O$45))</f>
        <v>0</v>
      </c>
      <c r="G2" s="77"/>
    </row>
    <row r="3" spans="1:7" ht="15">
      <c r="A3" s="50">
        <f t="shared" ref="A3:C3" si="0">IF($D3="","",A2)</f>
        <v>0</v>
      </c>
      <c r="B3" s="50">
        <f t="shared" si="0"/>
        <v>0</v>
      </c>
      <c r="C3" s="50">
        <f t="shared" si="0"/>
        <v>0</v>
      </c>
      <c r="D3" s="18">
        <v>0</v>
      </c>
      <c r="E3" s="55">
        <f>IF($D3="","",SUMIF('Preapproval ePATA'!$C$21:$C$45,tblTask!D3,'Preapproval ePATA'!$M$21:$M$45))</f>
        <v>0</v>
      </c>
      <c r="F3" s="55">
        <f>IF(D3="","",SUMIF('Preapproval ePATA'!$C$21:$C$45,D3,'Preapproval ePATA'!$O$21:$O$45))</f>
        <v>0</v>
      </c>
      <c r="G3" s="77"/>
    </row>
    <row r="4" spans="1:7" ht="15">
      <c r="A4" s="50" t="str">
        <f t="shared" ref="A4:C5" ca="1" si="1">IF($D4="","",A3)</f>
        <v/>
      </c>
      <c r="B4" s="50" t="str">
        <f t="shared" ca="1" si="1"/>
        <v/>
      </c>
      <c r="C4" s="50" t="str">
        <f t="shared" ca="1" si="1"/>
        <v/>
      </c>
      <c r="D4" s="18" t="str">
        <f ca="1">IFERROR(INDEX([0]!BlanksRange,SMALL((IF(LEN([0]!BlanksRange),ROW(INDIRECT("1:"&amp;ROWS([0]!BlanksRange))))),ROW(D1)),1),"")</f>
        <v/>
      </c>
      <c r="E4" s="55" t="str">
        <f ca="1">IF($D4="","",SUMIF('Preapproval ePATA'!$C$21:$C$45,tblTask!D4,'Preapproval ePATA'!$M$21:$M$45))</f>
        <v/>
      </c>
      <c r="F4" s="55" t="str">
        <f ca="1">IF(D4="","",SUMIF('Preapproval ePATA'!$C$21:$C$45,D4,'Preapproval ePATA'!$O$21:$O$45))</f>
        <v/>
      </c>
      <c r="G4" s="78" t="s">
        <v>39</v>
      </c>
    </row>
    <row r="5" spans="1:7" ht="15">
      <c r="A5" s="50" t="str">
        <f t="shared" ca="1" si="1"/>
        <v/>
      </c>
      <c r="B5" s="50" t="str">
        <f t="shared" ca="1" si="1"/>
        <v/>
      </c>
      <c r="C5" s="50" t="str">
        <f t="shared" ca="1" si="1"/>
        <v/>
      </c>
      <c r="D5" s="18" t="str">
        <f t="array" aca="1" ref="D5" ca="1">IFERROR(INDEX([0]!BlanksRange,SMALL((IF(LEN([0]!BlanksRange),ROW(INDIRECT("1:"&amp;ROWS([0]!BlanksRange))))),ROW(D2)),1),"")</f>
        <v/>
      </c>
      <c r="E5" s="55" t="str">
        <f ca="1">IF($D5="","",SUMIF('Preapproval ePATA'!$C$21:$C$45,tblTask!D5,'Preapproval ePATA'!$M$21:$M$45))</f>
        <v/>
      </c>
      <c r="F5" s="55" t="str">
        <f ca="1">IF(D5="","",SUMIF('Preapproval ePATA'!$C$21:$C$45,D5,'Preapproval ePATA'!$O$21:$O$45))</f>
        <v/>
      </c>
      <c r="G5" s="78"/>
    </row>
    <row r="6" spans="1:7" ht="15">
      <c r="A6" s="50" t="str">
        <f t="shared" ref="A6:A32" ca="1" si="2">IF($D6="","",A5)</f>
        <v/>
      </c>
      <c r="B6" s="50" t="str">
        <f t="shared" ref="B6:B32" ca="1" si="3">IF($D6="","",B5)</f>
        <v/>
      </c>
      <c r="C6" s="50" t="str">
        <f t="shared" ref="C6:C32" ca="1" si="4">IF($D6="","",C5)</f>
        <v/>
      </c>
      <c r="D6" s="18" t="str">
        <f t="array" aca="1" ref="D6" ca="1">IFERROR(INDEX([0]!BlanksRange,SMALL((IF(LEN([0]!BlanksRange),ROW(INDIRECT("1:"&amp;ROWS([0]!BlanksRange))))),ROW(D3)),1),"")</f>
        <v/>
      </c>
      <c r="E6" s="55" t="str">
        <f ca="1">IF($D6="","",SUMIF('Preapproval ePATA'!$C$21:$C$45,tblTask!D6,'Preapproval ePATA'!$M$21:$M$45))</f>
        <v/>
      </c>
      <c r="F6" s="55" t="str">
        <f ca="1">IF(D6="","",SUMIF('Preapproval ePATA'!$C$21:$C$45,D6,'Preapproval ePATA'!$O$21:$O$45))</f>
        <v/>
      </c>
      <c r="G6" s="77"/>
    </row>
    <row r="7" spans="1:7" ht="15">
      <c r="A7" s="50" t="str">
        <f t="shared" ca="1" si="2"/>
        <v/>
      </c>
      <c r="B7" s="50" t="str">
        <f t="shared" ca="1" si="3"/>
        <v/>
      </c>
      <c r="C7" s="50" t="str">
        <f t="shared" ca="1" si="4"/>
        <v/>
      </c>
      <c r="D7" s="18" t="str">
        <f t="array" aca="1" ref="D7" ca="1">IFERROR(INDEX([0]!BlanksRange,SMALL((IF(LEN([0]!BlanksRange),ROW(INDIRECT("1:"&amp;ROWS([0]!BlanksRange))))),ROW(D4)),1),"")</f>
        <v/>
      </c>
      <c r="E7" s="55" t="str">
        <f ca="1">IF($D7="","",SUMIF('Preapproval ePATA'!$C$21:$C$45,tblTask!D7,'Preapproval ePATA'!$M$21:$M$45))</f>
        <v/>
      </c>
      <c r="F7" s="55" t="str">
        <f ca="1">IF(D7="","",SUMIF('Preapproval ePATA'!$C$21:$C$45,D7,'Preapproval ePATA'!$O$21:$O$45))</f>
        <v/>
      </c>
      <c r="G7" s="77"/>
    </row>
    <row r="8" spans="1:7" ht="15">
      <c r="A8" s="50" t="str">
        <f t="shared" ca="1" si="2"/>
        <v/>
      </c>
      <c r="B8" s="50" t="str">
        <f t="shared" ca="1" si="3"/>
        <v/>
      </c>
      <c r="C8" s="50" t="str">
        <f t="shared" ca="1" si="4"/>
        <v/>
      </c>
      <c r="D8" s="18" t="str">
        <f t="array" aca="1" ref="D8" ca="1">IFERROR(INDEX([0]!BlanksRange,SMALL((IF(LEN([0]!BlanksRange),ROW(INDIRECT("1:"&amp;ROWS([0]!BlanksRange))))),ROW(D5)),1),"")</f>
        <v/>
      </c>
      <c r="E8" s="55" t="str">
        <f ca="1">IF($D8="","",SUMIF('Preapproval ePATA'!$C$21:$C$45,tblTask!D8,'Preapproval ePATA'!$M$21:$M$45))</f>
        <v/>
      </c>
      <c r="F8" s="55" t="str">
        <f ca="1">IF(D8="","",SUMIF('Preapproval ePATA'!$C$21:$C$45,D8,'Preapproval ePATA'!$O$21:$O$45))</f>
        <v/>
      </c>
      <c r="G8" s="77"/>
    </row>
    <row r="9" spans="1:7" ht="15">
      <c r="A9" s="50" t="str">
        <f t="shared" ca="1" si="2"/>
        <v/>
      </c>
      <c r="B9" s="50" t="str">
        <f t="shared" ca="1" si="3"/>
        <v/>
      </c>
      <c r="C9" s="50" t="str">
        <f t="shared" ca="1" si="4"/>
        <v/>
      </c>
      <c r="D9" s="18" t="str">
        <f t="array" aca="1" ref="D9" ca="1">IFERROR(INDEX([0]!BlanksRange,SMALL((IF(LEN([0]!BlanksRange),ROW(INDIRECT("1:"&amp;ROWS([0]!BlanksRange))))),ROW(D6)),1),"")</f>
        <v/>
      </c>
      <c r="E9" s="55" t="str">
        <f ca="1">IF($D9="","",SUMIF('Preapproval ePATA'!$C$21:$C$45,tblTask!D9,'Preapproval ePATA'!$M$21:$M$45))</f>
        <v/>
      </c>
      <c r="F9" s="55" t="str">
        <f ca="1">IF(D9="","",SUMIF('Preapproval ePATA'!$C$21:$C$45,D9,'Preapproval ePATA'!$O$21:$O$45))</f>
        <v/>
      </c>
      <c r="G9" s="77"/>
    </row>
    <row r="10" spans="1:7" ht="15">
      <c r="A10" s="50" t="str">
        <f t="shared" ca="1" si="2"/>
        <v/>
      </c>
      <c r="B10" s="50" t="str">
        <f t="shared" ca="1" si="3"/>
        <v/>
      </c>
      <c r="C10" s="50" t="str">
        <f t="shared" ca="1" si="4"/>
        <v/>
      </c>
      <c r="D10" s="18" t="str">
        <f t="array" aca="1" ref="D10" ca="1">IFERROR(INDEX([0]!BlanksRange,SMALL((IF(LEN([0]!BlanksRange),ROW(INDIRECT("1:"&amp;ROWS([0]!BlanksRange))))),ROW(D7)),1),"")</f>
        <v/>
      </c>
      <c r="E10" s="55" t="str">
        <f ca="1">IF($D10="","",SUMIF('Preapproval ePATA'!$C$21:$C$45,tblTask!D10,'Preapproval ePATA'!$M$21:$M$45))</f>
        <v/>
      </c>
      <c r="F10" s="55" t="str">
        <f ca="1">IF(D10="","",SUMIF('Preapproval ePATA'!$C$21:$C$45,D10,'Preapproval ePATA'!$O$21:$O$45))</f>
        <v/>
      </c>
      <c r="G10" s="77"/>
    </row>
    <row r="11" spans="1:7" ht="15">
      <c r="A11" s="50" t="str">
        <f t="shared" ca="1" si="2"/>
        <v/>
      </c>
      <c r="B11" s="50" t="str">
        <f t="shared" ca="1" si="3"/>
        <v/>
      </c>
      <c r="C11" s="50" t="str">
        <f t="shared" ca="1" si="4"/>
        <v/>
      </c>
      <c r="D11" s="18" t="str">
        <f t="array" aca="1" ref="D11" ca="1">IFERROR(INDEX([0]!BlanksRange,SMALL((IF(LEN([0]!BlanksRange),ROW(INDIRECT("1:"&amp;ROWS([0]!BlanksRange))))),ROW(D8)),1),"")</f>
        <v/>
      </c>
      <c r="E11" s="55" t="str">
        <f ca="1">IF($D11="","",SUMIF('Preapproval ePATA'!$C$21:$C$45,tblTask!D11,'Preapproval ePATA'!$M$21:$M$45))</f>
        <v/>
      </c>
      <c r="F11" s="55" t="str">
        <f ca="1">IF(D11="","",SUMIF('Preapproval ePATA'!$C$21:$C$45,D11,'Preapproval ePATA'!$O$21:$O$45))</f>
        <v/>
      </c>
      <c r="G11" s="77"/>
    </row>
    <row r="12" spans="1:7" ht="15">
      <c r="A12" s="50" t="str">
        <f t="shared" ca="1" si="2"/>
        <v/>
      </c>
      <c r="B12" s="50" t="str">
        <f t="shared" ca="1" si="3"/>
        <v/>
      </c>
      <c r="C12" s="50" t="str">
        <f t="shared" ca="1" si="4"/>
        <v/>
      </c>
      <c r="D12" s="18" t="str">
        <f t="array" aca="1" ref="D12" ca="1">IFERROR(INDEX([0]!BlanksRange,SMALL((IF(LEN([0]!BlanksRange),ROW(INDIRECT("1:"&amp;ROWS([0]!BlanksRange))))),ROW(D9)),1),"")</f>
        <v/>
      </c>
      <c r="E12" s="55" t="str">
        <f ca="1">IF($D12="","",SUMIF('Preapproval ePATA'!$C$21:$C$45,tblTask!D12,'Preapproval ePATA'!$M$21:$M$45))</f>
        <v/>
      </c>
      <c r="F12" s="55" t="str">
        <f ca="1">IF(D12="","",SUMIF('Preapproval ePATA'!$C$21:$C$45,D12,'Preapproval ePATA'!$O$21:$O$45))</f>
        <v/>
      </c>
      <c r="G12" s="77"/>
    </row>
    <row r="13" spans="1:7" ht="15">
      <c r="A13" s="50" t="str">
        <f t="shared" ca="1" si="2"/>
        <v/>
      </c>
      <c r="B13" s="50" t="str">
        <f t="shared" ca="1" si="3"/>
        <v/>
      </c>
      <c r="C13" s="50" t="str">
        <f t="shared" ca="1" si="4"/>
        <v/>
      </c>
      <c r="D13" s="18" t="str">
        <f t="array" aca="1" ref="D13" ca="1">IFERROR(INDEX([0]!BlanksRange,SMALL((IF(LEN([0]!BlanksRange),ROW(INDIRECT("1:"&amp;ROWS([0]!BlanksRange))))),ROW(D10)),1),"")</f>
        <v/>
      </c>
      <c r="E13" s="55" t="str">
        <f ca="1">IF($D13="","",SUMIF('Preapproval ePATA'!$C$21:$C$45,tblTask!D13,'Preapproval ePATA'!$M$21:$M$45))</f>
        <v/>
      </c>
      <c r="F13" s="55" t="str">
        <f ca="1">IF(D13="","",SUMIF('Preapproval ePATA'!$C$21:$C$45,D13,'Preapproval ePATA'!$O$21:$O$45))</f>
        <v/>
      </c>
      <c r="G13" s="77"/>
    </row>
    <row r="14" spans="1:7" ht="15">
      <c r="A14" s="50" t="str">
        <f t="shared" ca="1" si="2"/>
        <v/>
      </c>
      <c r="B14" s="50" t="str">
        <f t="shared" ca="1" si="3"/>
        <v/>
      </c>
      <c r="C14" s="50" t="str">
        <f t="shared" ca="1" si="4"/>
        <v/>
      </c>
      <c r="D14" s="18" t="str">
        <f t="array" aca="1" ref="D14" ca="1">IFERROR(INDEX([0]!BlanksRange,SMALL((IF(LEN([0]!BlanksRange),ROW(INDIRECT("1:"&amp;ROWS([0]!BlanksRange))))),ROW(D11)),1),"")</f>
        <v/>
      </c>
      <c r="E14" s="55" t="str">
        <f ca="1">IF($D14="","",SUMIF('Preapproval ePATA'!$C$21:$C$45,tblTask!D14,'Preapproval ePATA'!$M$21:$M$45))</f>
        <v/>
      </c>
      <c r="F14" s="55" t="str">
        <f ca="1">IF(D14="","",SUMIF('Preapproval ePATA'!$C$21:$C$45,D14,'Preapproval ePATA'!$O$21:$O$45))</f>
        <v/>
      </c>
      <c r="G14" s="77"/>
    </row>
    <row r="15" spans="1:7" ht="15">
      <c r="A15" s="50" t="str">
        <f t="shared" ca="1" si="2"/>
        <v/>
      </c>
      <c r="B15" s="50" t="str">
        <f t="shared" ca="1" si="3"/>
        <v/>
      </c>
      <c r="C15" s="50" t="str">
        <f t="shared" ca="1" si="4"/>
        <v/>
      </c>
      <c r="D15" s="18" t="str">
        <f t="array" aca="1" ref="D15" ca="1">IFERROR(INDEX([0]!BlanksRange,SMALL((IF(LEN([0]!BlanksRange),ROW(INDIRECT("1:"&amp;ROWS([0]!BlanksRange))))),ROW(D12)),1),"")</f>
        <v/>
      </c>
      <c r="E15" s="55" t="str">
        <f ca="1">IF($D15="","",SUMIF('Preapproval ePATA'!$C$21:$C$45,tblTask!D15,'Preapproval ePATA'!$M$21:$M$45))</f>
        <v/>
      </c>
      <c r="F15" s="55" t="str">
        <f ca="1">IF(D15="","",SUMIF('Preapproval ePATA'!$C$21:$C$45,D15,'Preapproval ePATA'!$O$21:$O$45))</f>
        <v/>
      </c>
      <c r="G15" s="77"/>
    </row>
    <row r="16" spans="1:7" ht="15">
      <c r="A16" s="50" t="str">
        <f t="shared" ca="1" si="2"/>
        <v/>
      </c>
      <c r="B16" s="50" t="str">
        <f t="shared" ca="1" si="3"/>
        <v/>
      </c>
      <c r="C16" s="50" t="str">
        <f t="shared" ca="1" si="4"/>
        <v/>
      </c>
      <c r="D16" s="18" t="str">
        <f t="array" aca="1" ref="D16" ca="1">IFERROR(INDEX([0]!BlanksRange,SMALL((IF(LEN([0]!BlanksRange),ROW(INDIRECT("1:"&amp;ROWS([0]!BlanksRange))))),ROW(D13)),1),"")</f>
        <v/>
      </c>
      <c r="E16" s="55" t="str">
        <f ca="1">IF($D16="","",SUMIF('Preapproval ePATA'!$C$21:$C$45,tblTask!D16,'Preapproval ePATA'!$M$21:$M$45))</f>
        <v/>
      </c>
      <c r="F16" s="55" t="str">
        <f ca="1">IF(D16="","",SUMIF('Preapproval ePATA'!$C$21:$C$45,D16,'Preapproval ePATA'!$O$21:$O$45))</f>
        <v/>
      </c>
      <c r="G16" s="77"/>
    </row>
    <row r="17" spans="1:7" ht="15">
      <c r="A17" s="50" t="str">
        <f t="shared" ca="1" si="2"/>
        <v/>
      </c>
      <c r="B17" s="50" t="str">
        <f t="shared" ca="1" si="3"/>
        <v/>
      </c>
      <c r="C17" s="50" t="str">
        <f t="shared" ca="1" si="4"/>
        <v/>
      </c>
      <c r="D17" s="18" t="str">
        <f t="array" aca="1" ref="D17" ca="1">IFERROR(INDEX([0]!BlanksRange,SMALL((IF(LEN([0]!BlanksRange),ROW(INDIRECT("1:"&amp;ROWS([0]!BlanksRange))))),ROW(D14)),1),"")</f>
        <v/>
      </c>
      <c r="E17" s="55" t="str">
        <f ca="1">IF($D17="","",SUMIF('Preapproval ePATA'!$C$21:$C$45,tblTask!D17,'Preapproval ePATA'!$M$21:$M$45))</f>
        <v/>
      </c>
      <c r="F17" s="55" t="str">
        <f ca="1">IF(D17="","",SUMIF('Preapproval ePATA'!$C$21:$C$45,D17,'Preapproval ePATA'!$O$21:$O$45))</f>
        <v/>
      </c>
      <c r="G17" s="77"/>
    </row>
    <row r="18" spans="1:7" ht="15">
      <c r="A18" s="50" t="str">
        <f t="shared" ca="1" si="2"/>
        <v/>
      </c>
      <c r="B18" s="50" t="str">
        <f t="shared" ca="1" si="3"/>
        <v/>
      </c>
      <c r="C18" s="50" t="str">
        <f t="shared" ca="1" si="4"/>
        <v/>
      </c>
      <c r="D18" s="18" t="str">
        <f t="array" aca="1" ref="D18" ca="1">IFERROR(INDEX([0]!BlanksRange,SMALL((IF(LEN([0]!BlanksRange),ROW(INDIRECT("1:"&amp;ROWS([0]!BlanksRange))))),ROW(D15)),1),"")</f>
        <v/>
      </c>
      <c r="E18" s="55" t="str">
        <f ca="1">IF($D18="","",SUMIF('Preapproval ePATA'!$C$21:$C$45,tblTask!D18,'Preapproval ePATA'!$M$21:$M$45))</f>
        <v/>
      </c>
      <c r="F18" s="55" t="str">
        <f ca="1">IF(D18="","",SUMIF('Preapproval ePATA'!$C$21:$C$45,D18,'Preapproval ePATA'!$O$21:$O$45))</f>
        <v/>
      </c>
      <c r="G18" s="77"/>
    </row>
    <row r="19" spans="1:7" ht="15">
      <c r="A19" s="50" t="str">
        <f t="shared" ca="1" si="2"/>
        <v/>
      </c>
      <c r="B19" s="50" t="str">
        <f t="shared" ca="1" si="3"/>
        <v/>
      </c>
      <c r="C19" s="50" t="str">
        <f t="shared" ca="1" si="4"/>
        <v/>
      </c>
      <c r="D19" s="18" t="str">
        <f t="array" aca="1" ref="D19" ca="1">IFERROR(INDEX([0]!BlanksRange,SMALL((IF(LEN([0]!BlanksRange),ROW(INDIRECT("1:"&amp;ROWS([0]!BlanksRange))))),ROW(D16)),1),"")</f>
        <v/>
      </c>
      <c r="E19" s="55" t="str">
        <f ca="1">IF($D19="","",SUMIF('Preapproval ePATA'!$C$21:$C$45,tblTask!D19,'Preapproval ePATA'!$M$21:$M$45))</f>
        <v/>
      </c>
      <c r="F19" s="55" t="str">
        <f ca="1">IF(D19="","",SUMIF('Preapproval ePATA'!$C$21:$C$45,D19,'Preapproval ePATA'!$O$21:$O$45))</f>
        <v/>
      </c>
      <c r="G19" s="77"/>
    </row>
    <row r="20" spans="1:7" ht="15">
      <c r="A20" s="50" t="str">
        <f t="shared" ca="1" si="2"/>
        <v/>
      </c>
      <c r="B20" s="50" t="str">
        <f t="shared" ca="1" si="3"/>
        <v/>
      </c>
      <c r="C20" s="50" t="str">
        <f t="shared" ca="1" si="4"/>
        <v/>
      </c>
      <c r="D20" s="18" t="str">
        <f t="array" aca="1" ref="D20" ca="1">IFERROR(INDEX([0]!BlanksRange,SMALL((IF(LEN([0]!BlanksRange),ROW(INDIRECT("1:"&amp;ROWS([0]!BlanksRange))))),ROW(D17)),1),"")</f>
        <v/>
      </c>
      <c r="E20" s="55" t="str">
        <f ca="1">IF($D20="","",SUMIF('Preapproval ePATA'!$C$21:$C$45,tblTask!D20,'Preapproval ePATA'!$M$21:$M$45))</f>
        <v/>
      </c>
      <c r="F20" s="55" t="str">
        <f ca="1">IF(D20="","",SUMIF('Preapproval ePATA'!$C$21:$C$45,D20,'Preapproval ePATA'!$O$21:$O$45))</f>
        <v/>
      </c>
      <c r="G20" s="77"/>
    </row>
    <row r="21" spans="1:7" ht="15">
      <c r="A21" s="50" t="str">
        <f t="shared" ca="1" si="2"/>
        <v/>
      </c>
      <c r="B21" s="50" t="str">
        <f t="shared" ca="1" si="3"/>
        <v/>
      </c>
      <c r="C21" s="50" t="str">
        <f t="shared" ca="1" si="4"/>
        <v/>
      </c>
      <c r="D21" s="18" t="str">
        <f t="array" aca="1" ref="D21" ca="1">IFERROR(INDEX([0]!BlanksRange,SMALL((IF(LEN([0]!BlanksRange),ROW(INDIRECT("1:"&amp;ROWS([0]!BlanksRange))))),ROW(D18)),1),"")</f>
        <v/>
      </c>
      <c r="E21" s="55" t="str">
        <f ca="1">IF($D21="","",SUMIF('Preapproval ePATA'!$C$21:$C$45,tblTask!D21,'Preapproval ePATA'!$M$21:$M$45))</f>
        <v/>
      </c>
      <c r="F21" s="55" t="str">
        <f ca="1">IF(D21="","",SUMIF('Preapproval ePATA'!$C$21:$C$45,D21,'Preapproval ePATA'!$O$21:$O$45))</f>
        <v/>
      </c>
      <c r="G21" s="77"/>
    </row>
    <row r="22" spans="1:7" ht="15">
      <c r="A22" s="50" t="str">
        <f t="shared" ca="1" si="2"/>
        <v/>
      </c>
      <c r="B22" s="50" t="str">
        <f t="shared" ca="1" si="3"/>
        <v/>
      </c>
      <c r="C22" s="50" t="str">
        <f t="shared" ca="1" si="4"/>
        <v/>
      </c>
      <c r="D22" s="18" t="str">
        <f t="array" aca="1" ref="D22" ca="1">IFERROR(INDEX([0]!BlanksRange,SMALL((IF(LEN([0]!BlanksRange),ROW(INDIRECT("1:"&amp;ROWS([0]!BlanksRange))))),ROW(D19)),1),"")</f>
        <v/>
      </c>
      <c r="E22" s="55" t="str">
        <f ca="1">IF($D22="","",SUMIF('Preapproval ePATA'!$C$21:$C$45,tblTask!D22,'Preapproval ePATA'!$M$21:$M$45))</f>
        <v/>
      </c>
      <c r="F22" s="55" t="str">
        <f ca="1">IF(D22="","",SUMIF('Preapproval ePATA'!$C$21:$C$45,D22,'Preapproval ePATA'!$O$21:$O$45))</f>
        <v/>
      </c>
      <c r="G22" s="77"/>
    </row>
    <row r="23" spans="1:7" ht="15">
      <c r="A23" s="50" t="str">
        <f t="shared" ca="1" si="2"/>
        <v/>
      </c>
      <c r="B23" s="50" t="str">
        <f t="shared" ca="1" si="3"/>
        <v/>
      </c>
      <c r="C23" s="50" t="str">
        <f t="shared" ca="1" si="4"/>
        <v/>
      </c>
      <c r="D23" s="18" t="str">
        <f t="array" aca="1" ref="D23" ca="1">IFERROR(INDEX([0]!BlanksRange,SMALL((IF(LEN([0]!BlanksRange),ROW(INDIRECT("1:"&amp;ROWS([0]!BlanksRange))))),ROW(D20)),1),"")</f>
        <v/>
      </c>
      <c r="E23" s="55" t="str">
        <f ca="1">IF($D23="","",SUMIF('Preapproval ePATA'!$C$21:$C$45,tblTask!D23,'Preapproval ePATA'!$M$21:$M$45))</f>
        <v/>
      </c>
      <c r="F23" s="55" t="str">
        <f ca="1">IF(D23="","",SUMIF('Preapproval ePATA'!$C$21:$C$45,D23,'Preapproval ePATA'!$O$21:$O$45))</f>
        <v/>
      </c>
      <c r="G23" s="77"/>
    </row>
    <row r="24" spans="1:7" ht="15">
      <c r="A24" s="50" t="str">
        <f t="shared" ca="1" si="2"/>
        <v/>
      </c>
      <c r="B24" s="50" t="str">
        <f t="shared" ca="1" si="3"/>
        <v/>
      </c>
      <c r="C24" s="50" t="str">
        <f t="shared" ca="1" si="4"/>
        <v/>
      </c>
      <c r="D24" s="18" t="str">
        <f t="array" aca="1" ref="D24" ca="1">IFERROR(INDEX([0]!BlanksRange,SMALL((IF(LEN([0]!BlanksRange),ROW(INDIRECT("1:"&amp;ROWS([0]!BlanksRange))))),ROW(D21)),1),"")</f>
        <v/>
      </c>
      <c r="E24" s="55" t="str">
        <f ca="1">IF($D24="","",SUMIF('Preapproval ePATA'!$C$21:$C$45,tblTask!D24,'Preapproval ePATA'!$M$21:$M$45))</f>
        <v/>
      </c>
      <c r="F24" s="55" t="str">
        <f ca="1">IF(D24="","",SUMIF('Preapproval ePATA'!$C$21:$C$45,D24,'Preapproval ePATA'!$O$21:$O$45))</f>
        <v/>
      </c>
      <c r="G24" s="77"/>
    </row>
    <row r="25" spans="1:7" ht="15">
      <c r="A25" s="50" t="str">
        <f t="shared" ca="1" si="2"/>
        <v/>
      </c>
      <c r="B25" s="50" t="str">
        <f t="shared" ca="1" si="3"/>
        <v/>
      </c>
      <c r="C25" s="50" t="str">
        <f t="shared" ca="1" si="4"/>
        <v/>
      </c>
      <c r="D25" s="18" t="str">
        <f t="array" aca="1" ref="D25" ca="1">IFERROR(INDEX([0]!BlanksRange,SMALL((IF(LEN([0]!BlanksRange),ROW(INDIRECT("1:"&amp;ROWS([0]!BlanksRange))))),ROW(D22)),1),"")</f>
        <v/>
      </c>
      <c r="E25" s="55" t="str">
        <f ca="1">IF($D25="","",SUMIF('Preapproval ePATA'!$C$21:$C$45,tblTask!D25,'Preapproval ePATA'!$M$21:$M$45))</f>
        <v/>
      </c>
      <c r="F25" s="55" t="str">
        <f ca="1">IF(D25="","",SUMIF('Preapproval ePATA'!$C$21:$C$45,D25,'Preapproval ePATA'!$O$21:$O$45))</f>
        <v/>
      </c>
      <c r="G25" s="77"/>
    </row>
    <row r="26" spans="1:7" ht="15">
      <c r="A26" s="50" t="str">
        <f t="shared" ca="1" si="2"/>
        <v/>
      </c>
      <c r="B26" s="50" t="str">
        <f t="shared" ca="1" si="3"/>
        <v/>
      </c>
      <c r="C26" s="50" t="str">
        <f t="shared" ca="1" si="4"/>
        <v/>
      </c>
      <c r="D26" s="18" t="str">
        <f t="array" aca="1" ref="D26" ca="1">IFERROR(INDEX([0]!BlanksRange,SMALL((IF(LEN([0]!BlanksRange),ROW(INDIRECT("1:"&amp;ROWS([0]!BlanksRange))))),ROW(D23)),1),"")</f>
        <v/>
      </c>
      <c r="E26" s="55" t="str">
        <f ca="1">IF($D26="","",SUMIF('Preapproval ePATA'!$C$21:$C$45,tblTask!D26,'Preapproval ePATA'!$M$21:$M$45))</f>
        <v/>
      </c>
      <c r="F26" s="55" t="str">
        <f ca="1">IF(D26="","",SUMIF('Preapproval ePATA'!$C$21:$C$45,D26,'Preapproval ePATA'!$O$21:$O$45))</f>
        <v/>
      </c>
      <c r="G26" s="77"/>
    </row>
    <row r="27" spans="1:7" ht="15">
      <c r="A27" s="50" t="str">
        <f t="shared" ca="1" si="2"/>
        <v/>
      </c>
      <c r="B27" s="50" t="str">
        <f t="shared" ca="1" si="3"/>
        <v/>
      </c>
      <c r="C27" s="50" t="str">
        <f t="shared" ca="1" si="4"/>
        <v/>
      </c>
      <c r="D27" s="18" t="str">
        <f t="array" aca="1" ref="D27" ca="1">IFERROR(INDEX([0]!BlanksRange,SMALL((IF(LEN([0]!BlanksRange),ROW(INDIRECT("1:"&amp;ROWS([0]!BlanksRange))))),ROW(D24)),1),"")</f>
        <v/>
      </c>
      <c r="E27" s="55" t="str">
        <f ca="1">IF($D27="","",SUMIF('Preapproval ePATA'!$C$21:$C$45,tblTask!D27,'Preapproval ePATA'!$M$21:$M$45))</f>
        <v/>
      </c>
      <c r="F27" s="55" t="str">
        <f ca="1">IF(D27="","",SUMIF('Preapproval ePATA'!$C$21:$C$45,D27,'Preapproval ePATA'!$O$21:$O$45))</f>
        <v/>
      </c>
      <c r="G27" s="77"/>
    </row>
    <row r="28" spans="1:7" ht="15">
      <c r="A28" s="50" t="str">
        <f t="shared" ca="1" si="2"/>
        <v/>
      </c>
      <c r="B28" s="50" t="str">
        <f t="shared" ca="1" si="3"/>
        <v/>
      </c>
      <c r="C28" s="50" t="str">
        <f t="shared" ca="1" si="4"/>
        <v/>
      </c>
      <c r="D28" s="18" t="str">
        <f t="array" aca="1" ref="D28" ca="1">IFERROR(INDEX([0]!BlanksRange,SMALL((IF(LEN([0]!BlanksRange),ROW(INDIRECT("1:"&amp;ROWS([0]!BlanksRange))))),ROW(D25)),1),"")</f>
        <v/>
      </c>
      <c r="E28" s="55" t="str">
        <f ca="1">IF($D28="","",SUMIF('Preapproval ePATA'!$C$21:$C$45,tblTask!D28,'Preapproval ePATA'!$M$21:$M$45))</f>
        <v/>
      </c>
      <c r="F28" s="55" t="str">
        <f ca="1">IF(D28="","",SUMIF('Preapproval ePATA'!$C$21:$C$45,D28,'Preapproval ePATA'!$O$21:$O$45))</f>
        <v/>
      </c>
      <c r="G28" s="77"/>
    </row>
    <row r="29" spans="1:7" ht="15">
      <c r="A29" s="50" t="str">
        <f t="shared" ca="1" si="2"/>
        <v/>
      </c>
      <c r="B29" s="50" t="str">
        <f t="shared" ca="1" si="3"/>
        <v/>
      </c>
      <c r="C29" s="50" t="str">
        <f t="shared" ca="1" si="4"/>
        <v/>
      </c>
      <c r="D29" s="18" t="str">
        <f t="array" aca="1" ref="D29" ca="1">IFERROR(INDEX([0]!BlanksRange,SMALL((IF(LEN([0]!BlanksRange),ROW(INDIRECT("1:"&amp;ROWS([0]!BlanksRange))))),ROW(D26)),1),"")</f>
        <v/>
      </c>
      <c r="E29" s="55" t="str">
        <f ca="1">IF($D29="","",SUMIF('Preapproval ePATA'!$C$21:$C$45,tblTask!D29,'Preapproval ePATA'!$M$21:$M$45))</f>
        <v/>
      </c>
      <c r="F29" s="55" t="str">
        <f ca="1">IF(D29="","",SUMIF('Preapproval ePATA'!$C$21:$C$45,D29,'Preapproval ePATA'!$O$21:$O$45))</f>
        <v/>
      </c>
      <c r="G29" s="77"/>
    </row>
    <row r="30" spans="1:7" ht="15">
      <c r="A30" s="50" t="str">
        <f t="shared" ca="1" si="2"/>
        <v/>
      </c>
      <c r="B30" s="50" t="str">
        <f t="shared" ca="1" si="3"/>
        <v/>
      </c>
      <c r="C30" s="50" t="str">
        <f t="shared" ca="1" si="4"/>
        <v/>
      </c>
      <c r="D30" s="18" t="str">
        <f t="array" aca="1" ref="D30" ca="1">IFERROR(INDEX([0]!BlanksRange,SMALL((IF(LEN([0]!BlanksRange),ROW(INDIRECT("1:"&amp;ROWS([0]!BlanksRange))))),ROW(D27)),1),"")</f>
        <v/>
      </c>
      <c r="E30" s="55" t="str">
        <f ca="1">IF($D30="","",SUMIF('Preapproval ePATA'!$C$21:$C$45,tblTask!D30,'Preapproval ePATA'!$M$21:$M$45))</f>
        <v/>
      </c>
      <c r="F30" s="55" t="str">
        <f ca="1">IF(D30="","",SUMIF('Preapproval ePATA'!$C$21:$C$45,D30,'Preapproval ePATA'!$O$21:$O$45))</f>
        <v/>
      </c>
      <c r="G30" s="77"/>
    </row>
    <row r="31" spans="1:7" ht="15">
      <c r="A31" s="50" t="str">
        <f t="shared" ca="1" si="2"/>
        <v/>
      </c>
      <c r="B31" s="50" t="str">
        <f t="shared" ca="1" si="3"/>
        <v/>
      </c>
      <c r="C31" s="50" t="str">
        <f t="shared" ca="1" si="4"/>
        <v/>
      </c>
      <c r="D31" s="18" t="str">
        <f t="array" aca="1" ref="D31" ca="1">IFERROR(INDEX([0]!BlanksRange,SMALL((IF(LEN([0]!BlanksRange),ROW(INDIRECT("1:"&amp;ROWS([0]!BlanksRange))))),ROW(D28)),1),"")</f>
        <v/>
      </c>
      <c r="E31" s="55" t="str">
        <f ca="1">IF($D31="","",SUMIF('Preapproval ePATA'!$C$21:$C$45,tblTask!D31,'Preapproval ePATA'!$M$21:$M$45))</f>
        <v/>
      </c>
      <c r="F31" s="55" t="str">
        <f ca="1">IF(D31="","",SUMIF('Preapproval ePATA'!$C$21:$C$45,D31,'Preapproval ePATA'!$O$21:$O$45))</f>
        <v/>
      </c>
      <c r="G31" s="77"/>
    </row>
    <row r="32" spans="1:7" ht="15">
      <c r="A32" s="50" t="str">
        <f t="shared" ca="1" si="2"/>
        <v/>
      </c>
      <c r="B32" s="50" t="str">
        <f t="shared" ca="1" si="3"/>
        <v/>
      </c>
      <c r="C32" s="50" t="str">
        <f t="shared" ca="1" si="4"/>
        <v/>
      </c>
      <c r="D32" s="18" t="str">
        <f t="array" aca="1" ref="D32" ca="1">IFERROR(INDEX([0]!BlanksRange,SMALL((IF(LEN([0]!BlanksRange),ROW(INDIRECT("1:"&amp;ROWS([0]!BlanksRange))))),ROW(D29)),1),"")</f>
        <v/>
      </c>
      <c r="E32" s="55" t="str">
        <f ca="1">IF($D32="","",SUMIF('Preapproval ePATA'!$C$21:$C$45,tblTask!D32,'Preapproval ePATA'!$M$21:$M$45))</f>
        <v/>
      </c>
      <c r="F32" s="55" t="str">
        <f ca="1">IF(D32="","",SUMIF('Preapproval ePATA'!$C$21:$C$45,D32,'Preapproval ePATA'!$O$21:$O$45))</f>
        <v/>
      </c>
      <c r="G32" s="77"/>
    </row>
  </sheetData>
  <customSheetViews>
    <customSheetView guid="{FED3EF2C-891B-4B19-A7F2-F90FD459899C}">
      <selection activeCell="D4" sqref="D4"/>
      <pageMargins left="0.7" right="0.7" top="0.75" bottom="0.75" header="0.3" footer="0.3"/>
      <pageSetup orientation="portrait" r:id="rId1"/>
    </customSheetView>
  </customSheetView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Instructions</vt:lpstr>
      <vt:lpstr>Preapproval ePATA</vt:lpstr>
      <vt:lpstr>Non-Directed Certification</vt:lpstr>
      <vt:lpstr>Data {DO NOT EDIT}</vt:lpstr>
      <vt:lpstr>tblSite</vt:lpstr>
      <vt:lpstr>tblClaim</vt:lpstr>
      <vt:lpstr>tblTask</vt:lpstr>
      <vt:lpstr>BlanksRange</vt:lpstr>
      <vt:lpstr>ChangeOrders</vt:lpstr>
      <vt:lpstr>CountyList</vt:lpstr>
      <vt:lpstr>Eligibility</vt:lpstr>
      <vt:lpstr>LabCodes</vt:lpstr>
      <vt:lpstr>NoBlanksRange</vt:lpstr>
      <vt:lpstr>Instructions!Print_Area</vt:lpstr>
      <vt:lpstr>'Non-Directed Certification'!Print_Area</vt:lpstr>
      <vt:lpstr>ReimbTypeName</vt:lpstr>
      <vt:lpstr>RPType</vt:lpstr>
      <vt:lpstr>TaskList</vt:lpstr>
    </vt:vector>
  </TitlesOfParts>
  <Company>UST Section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Jared M. Edwards</dc:creator>
  <cp:lastModifiedBy>Jared M. Edwards</cp:lastModifiedBy>
  <cp:lastPrinted>2012-01-31T14:40:11Z</cp:lastPrinted>
  <dcterms:created xsi:type="dcterms:W3CDTF">2008-07-28T20:50:28Z</dcterms:created>
  <dcterms:modified xsi:type="dcterms:W3CDTF">2013-03-19T18:49:29Z</dcterms:modified>
</cp:coreProperties>
</file>