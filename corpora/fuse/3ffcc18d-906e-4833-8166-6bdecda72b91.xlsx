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6" windowWidth="13392" windowHeight="12816"/>
  </bookViews>
  <sheets>
    <sheet name="2011-12 Ch. 41 Districts" sheetId="1" r:id="rId1"/>
  </sheets>
  <definedNames>
    <definedName name="DOWN">'2011-12 Ch. 41 Districts'!$A$1:$M$357</definedName>
    <definedName name="_xlnm.Print_Titles" localSheetId="0">'2011-12 Ch. 41 Districts'!$1:$1</definedName>
  </definedNames>
  <calcPr calcId="125725"/>
</workbook>
</file>

<file path=xl/calcChain.xml><?xml version="1.0" encoding="utf-8"?>
<calcChain xmlns="http://schemas.openxmlformats.org/spreadsheetml/2006/main">
  <c r="M359" i="1"/>
  <c r="L359"/>
  <c r="H357"/>
  <c r="I357" s="1"/>
  <c r="H356"/>
  <c r="I356" s="1"/>
  <c r="I355"/>
  <c r="H355"/>
  <c r="I354"/>
  <c r="H354"/>
  <c r="I353"/>
  <c r="H353"/>
  <c r="I352"/>
  <c r="H352"/>
  <c r="I351"/>
  <c r="H351"/>
  <c r="I350"/>
  <c r="H350"/>
  <c r="I349"/>
  <c r="H349"/>
  <c r="I348"/>
  <c r="H348"/>
  <c r="I347"/>
  <c r="H347"/>
  <c r="I346"/>
  <c r="H346"/>
  <c r="I345"/>
  <c r="H345"/>
  <c r="I344"/>
  <c r="H344"/>
  <c r="I343"/>
  <c r="H343"/>
  <c r="I342"/>
  <c r="H342"/>
  <c r="I341"/>
  <c r="H341"/>
  <c r="I340"/>
  <c r="H340"/>
  <c r="I339"/>
  <c r="H339"/>
  <c r="I338"/>
  <c r="H338"/>
  <c r="I337"/>
  <c r="H337"/>
  <c r="I336"/>
  <c r="H336"/>
  <c r="I335"/>
  <c r="H335"/>
  <c r="I334"/>
  <c r="H334"/>
  <c r="I333"/>
  <c r="H333"/>
  <c r="I332"/>
  <c r="H332"/>
  <c r="I331"/>
  <c r="H331"/>
  <c r="I330"/>
  <c r="H330"/>
  <c r="I329"/>
  <c r="H329"/>
  <c r="I328"/>
  <c r="H328"/>
  <c r="I327"/>
  <c r="H327"/>
  <c r="I326"/>
  <c r="H326"/>
  <c r="I325"/>
  <c r="H325"/>
  <c r="I324"/>
  <c r="H324"/>
  <c r="I323"/>
  <c r="H323"/>
  <c r="I322"/>
  <c r="H322"/>
  <c r="I321"/>
  <c r="H321"/>
  <c r="I320"/>
  <c r="H320"/>
  <c r="I319"/>
  <c r="H319"/>
  <c r="I318"/>
  <c r="H318"/>
  <c r="I317"/>
  <c r="H317"/>
  <c r="I316"/>
  <c r="H316"/>
  <c r="I315"/>
  <c r="H315"/>
  <c r="I314"/>
  <c r="H314"/>
  <c r="I313"/>
  <c r="H313"/>
  <c r="I312"/>
  <c r="H312"/>
  <c r="I311"/>
  <c r="H311"/>
  <c r="I310"/>
  <c r="H310"/>
  <c r="I309"/>
  <c r="H309"/>
  <c r="I308"/>
  <c r="H308"/>
  <c r="I307"/>
  <c r="H307"/>
  <c r="I306"/>
  <c r="H306"/>
  <c r="I305"/>
  <c r="H305"/>
  <c r="I304"/>
  <c r="H304"/>
  <c r="I303"/>
  <c r="H303"/>
  <c r="I302"/>
  <c r="H302"/>
  <c r="I301"/>
  <c r="H301"/>
  <c r="I300"/>
  <c r="H300"/>
  <c r="I299"/>
  <c r="H299"/>
  <c r="I298"/>
  <c r="H298"/>
  <c r="I297"/>
  <c r="H297"/>
  <c r="I296"/>
  <c r="H296"/>
  <c r="I295"/>
  <c r="H295"/>
  <c r="I294"/>
  <c r="H294"/>
  <c r="I293"/>
  <c r="H293"/>
  <c r="I292"/>
  <c r="H292"/>
  <c r="I291"/>
  <c r="H291"/>
  <c r="I290"/>
  <c r="H290"/>
  <c r="I289"/>
  <c r="H289"/>
  <c r="I288"/>
  <c r="H288"/>
  <c r="I287"/>
  <c r="H287"/>
  <c r="I286"/>
  <c r="H286"/>
  <c r="I285"/>
  <c r="H285"/>
  <c r="I284"/>
  <c r="H284"/>
  <c r="I283"/>
  <c r="H283"/>
  <c r="I282"/>
  <c r="H282"/>
  <c r="I281"/>
  <c r="H281"/>
  <c r="I280"/>
  <c r="H280"/>
  <c r="I279"/>
  <c r="H279"/>
  <c r="I278"/>
  <c r="H278"/>
  <c r="I277"/>
  <c r="H277"/>
  <c r="I276"/>
  <c r="H276"/>
  <c r="I275"/>
  <c r="H275"/>
  <c r="I274"/>
  <c r="H274"/>
  <c r="I273"/>
  <c r="H273"/>
  <c r="I272"/>
  <c r="H272"/>
  <c r="I271"/>
  <c r="H271"/>
  <c r="I270"/>
  <c r="H270"/>
  <c r="I269"/>
  <c r="H269"/>
  <c r="I268"/>
  <c r="H268"/>
  <c r="I267"/>
  <c r="H267"/>
  <c r="I266"/>
  <c r="H266"/>
  <c r="I265"/>
  <c r="H265"/>
  <c r="I264"/>
  <c r="H264"/>
  <c r="I263"/>
  <c r="H263"/>
  <c r="I262"/>
  <c r="H262"/>
  <c r="I261"/>
  <c r="H261"/>
  <c r="I260"/>
  <c r="H260"/>
  <c r="I259"/>
  <c r="H259"/>
  <c r="I258"/>
  <c r="H258"/>
  <c r="I257"/>
  <c r="H257"/>
  <c r="I256"/>
  <c r="H256"/>
  <c r="I255"/>
  <c r="H255"/>
  <c r="I254"/>
  <c r="H254"/>
  <c r="I253"/>
  <c r="H253"/>
  <c r="I252"/>
  <c r="H252"/>
  <c r="I251"/>
  <c r="H251"/>
  <c r="I250"/>
  <c r="H250"/>
  <c r="I249"/>
  <c r="H249"/>
  <c r="I248"/>
  <c r="H248"/>
  <c r="I247"/>
  <c r="H247"/>
  <c r="I246"/>
  <c r="H246"/>
  <c r="I245"/>
  <c r="H245"/>
  <c r="I244"/>
  <c r="H244"/>
  <c r="I243"/>
  <c r="H243"/>
  <c r="I242"/>
  <c r="H242"/>
  <c r="I241"/>
  <c r="H241"/>
  <c r="I240"/>
  <c r="H240"/>
  <c r="I239"/>
  <c r="H239"/>
  <c r="I238"/>
  <c r="H238"/>
  <c r="I237"/>
  <c r="H237"/>
  <c r="I236"/>
  <c r="H236"/>
  <c r="I235"/>
  <c r="H235"/>
  <c r="I234"/>
  <c r="H234"/>
  <c r="I233"/>
  <c r="H233"/>
  <c r="I232"/>
  <c r="H232"/>
  <c r="I231"/>
  <c r="H231"/>
  <c r="I230"/>
  <c r="H230"/>
  <c r="I229"/>
  <c r="H229"/>
  <c r="I228"/>
  <c r="H228"/>
  <c r="I227"/>
  <c r="H227"/>
  <c r="I226"/>
  <c r="H226"/>
  <c r="I225"/>
  <c r="H225"/>
  <c r="I224"/>
  <c r="H224"/>
  <c r="I223"/>
  <c r="H223"/>
  <c r="I222"/>
  <c r="H222"/>
  <c r="I221"/>
  <c r="H221"/>
  <c r="I220"/>
  <c r="H220"/>
  <c r="I219"/>
  <c r="H219"/>
  <c r="I218"/>
  <c r="H218"/>
  <c r="I217"/>
  <c r="H217"/>
  <c r="I216"/>
  <c r="H216"/>
  <c r="I215"/>
  <c r="H215"/>
  <c r="I214"/>
  <c r="H214"/>
  <c r="I213"/>
  <c r="H213"/>
  <c r="I212"/>
  <c r="H212"/>
  <c r="I211"/>
  <c r="H211"/>
  <c r="I210"/>
  <c r="H210"/>
  <c r="I209"/>
  <c r="H209"/>
  <c r="I208"/>
  <c r="H208"/>
  <c r="I207"/>
  <c r="H207"/>
  <c r="I206"/>
  <c r="H206"/>
  <c r="I205"/>
  <c r="H205"/>
  <c r="I204"/>
  <c r="H204"/>
  <c r="I203"/>
  <c r="H203"/>
  <c r="I202"/>
  <c r="H202"/>
  <c r="I201"/>
  <c r="H201"/>
  <c r="I200"/>
  <c r="H200"/>
  <c r="I199"/>
  <c r="H199"/>
  <c r="I198"/>
  <c r="H198"/>
  <c r="I197"/>
  <c r="H197"/>
  <c r="I196"/>
  <c r="H196"/>
  <c r="I195"/>
  <c r="H195"/>
  <c r="I194"/>
  <c r="H194"/>
  <c r="I193"/>
  <c r="H193"/>
  <c r="I192"/>
  <c r="H192"/>
  <c r="I191"/>
  <c r="H191"/>
  <c r="I190"/>
  <c r="H190"/>
  <c r="I189"/>
  <c r="H189"/>
  <c r="I188"/>
  <c r="H188"/>
  <c r="I187"/>
  <c r="H187"/>
  <c r="I186"/>
  <c r="H186"/>
  <c r="I185"/>
  <c r="H185"/>
  <c r="I184"/>
  <c r="H184"/>
  <c r="I183"/>
  <c r="H183"/>
  <c r="I182"/>
  <c r="H182"/>
  <c r="I181"/>
  <c r="H181"/>
  <c r="I180"/>
  <c r="H180"/>
  <c r="I179"/>
  <c r="H179"/>
  <c r="I178"/>
  <c r="H178"/>
  <c r="I177"/>
  <c r="H177"/>
  <c r="I176"/>
  <c r="H176"/>
  <c r="I175"/>
  <c r="H175"/>
  <c r="I174"/>
  <c r="H174"/>
  <c r="I173"/>
  <c r="H173"/>
  <c r="I172"/>
  <c r="H172"/>
  <c r="I171"/>
  <c r="H171"/>
  <c r="I170"/>
  <c r="H170"/>
  <c r="I169"/>
  <c r="H169"/>
  <c r="I168"/>
  <c r="H168"/>
  <c r="I167"/>
  <c r="H167"/>
  <c r="I166"/>
  <c r="H166"/>
  <c r="I165"/>
  <c r="H165"/>
  <c r="I164"/>
  <c r="H164"/>
  <c r="I163"/>
  <c r="H163"/>
  <c r="I162"/>
  <c r="H162"/>
  <c r="I161"/>
  <c r="H161"/>
  <c r="I160"/>
  <c r="H160"/>
  <c r="I159"/>
  <c r="H159"/>
  <c r="I158"/>
  <c r="H158"/>
  <c r="I157"/>
  <c r="H157"/>
  <c r="I156"/>
  <c r="H156"/>
  <c r="I155"/>
  <c r="H155"/>
  <c r="I154"/>
  <c r="H154"/>
  <c r="I153"/>
  <c r="H153"/>
  <c r="I152"/>
  <c r="H152"/>
  <c r="I151"/>
  <c r="H151"/>
  <c r="I150"/>
  <c r="H150"/>
  <c r="I149"/>
  <c r="H149"/>
  <c r="I148"/>
  <c r="H148"/>
  <c r="I147"/>
  <c r="H147"/>
  <c r="I146"/>
  <c r="H146"/>
  <c r="I145"/>
  <c r="H145"/>
  <c r="I144"/>
  <c r="H144"/>
  <c r="I143"/>
  <c r="H143"/>
  <c r="I142"/>
  <c r="H142"/>
  <c r="I141"/>
  <c r="H141"/>
  <c r="I140"/>
  <c r="H140"/>
  <c r="I139"/>
  <c r="H139"/>
  <c r="I138"/>
  <c r="H138"/>
  <c r="I137"/>
  <c r="H137"/>
  <c r="I136"/>
  <c r="H136"/>
  <c r="I135"/>
  <c r="H135"/>
  <c r="I134"/>
  <c r="H134"/>
  <c r="I133"/>
  <c r="H133"/>
  <c r="I132"/>
  <c r="H132"/>
  <c r="I131"/>
  <c r="H131"/>
  <c r="I130"/>
  <c r="H130"/>
  <c r="I129"/>
  <c r="H129"/>
  <c r="I128"/>
  <c r="H128"/>
  <c r="I127"/>
  <c r="H127"/>
  <c r="I126"/>
  <c r="H126"/>
  <c r="I125"/>
  <c r="H125"/>
  <c r="I124"/>
  <c r="H124"/>
  <c r="I123"/>
  <c r="H123"/>
  <c r="I122"/>
  <c r="H122"/>
  <c r="I121"/>
  <c r="H121"/>
  <c r="I120"/>
  <c r="H120"/>
  <c r="I119"/>
  <c r="H119"/>
  <c r="I118"/>
  <c r="H118"/>
  <c r="I117"/>
  <c r="H117"/>
  <c r="I116"/>
  <c r="H116"/>
  <c r="I115"/>
  <c r="H115"/>
  <c r="I114"/>
  <c r="H114"/>
  <c r="I113"/>
  <c r="H113"/>
  <c r="I112"/>
  <c r="H112"/>
  <c r="I111"/>
  <c r="H111"/>
  <c r="I110"/>
  <c r="H110"/>
  <c r="I109"/>
  <c r="H109"/>
  <c r="I108"/>
  <c r="H108"/>
  <c r="I107"/>
  <c r="H107"/>
  <c r="I106"/>
  <c r="H106"/>
  <c r="I105"/>
  <c r="H105"/>
  <c r="I104"/>
  <c r="H104"/>
  <c r="I103"/>
  <c r="H103"/>
  <c r="I102"/>
  <c r="H102"/>
  <c r="I101"/>
  <c r="H101"/>
  <c r="I100"/>
  <c r="H100"/>
  <c r="I99"/>
  <c r="H99"/>
  <c r="I98"/>
  <c r="H98"/>
  <c r="I97"/>
  <c r="H97"/>
  <c r="I96"/>
  <c r="H96"/>
  <c r="I95"/>
  <c r="H95"/>
  <c r="I94"/>
  <c r="H94"/>
  <c r="I93"/>
  <c r="H93"/>
  <c r="I92"/>
  <c r="H92"/>
  <c r="I91"/>
  <c r="H91"/>
  <c r="I90"/>
  <c r="H90"/>
  <c r="I89"/>
  <c r="H89"/>
  <c r="I88"/>
  <c r="H88"/>
  <c r="I87"/>
  <c r="H87"/>
  <c r="I86"/>
  <c r="H86"/>
  <c r="I85"/>
  <c r="H85"/>
  <c r="I84"/>
  <c r="H84"/>
  <c r="I83"/>
  <c r="H83"/>
  <c r="I82"/>
  <c r="H82"/>
  <c r="I81"/>
  <c r="H81"/>
  <c r="I80"/>
  <c r="H80"/>
  <c r="I79"/>
  <c r="H79"/>
  <c r="I78"/>
  <c r="H78"/>
  <c r="I77"/>
  <c r="H77"/>
  <c r="I76"/>
  <c r="H76"/>
  <c r="I75"/>
  <c r="H75"/>
  <c r="I74"/>
  <c r="H74"/>
  <c r="I73"/>
  <c r="H73"/>
  <c r="I72"/>
  <c r="H72"/>
  <c r="I71"/>
  <c r="H71"/>
  <c r="I70"/>
  <c r="H70"/>
  <c r="I69"/>
  <c r="H69"/>
  <c r="I68"/>
  <c r="H68"/>
  <c r="I67"/>
  <c r="H67"/>
  <c r="I66"/>
  <c r="H66"/>
  <c r="I65"/>
  <c r="H65"/>
  <c r="I64"/>
  <c r="H64"/>
  <c r="I63"/>
  <c r="H63"/>
  <c r="I62"/>
  <c r="H62"/>
  <c r="I61"/>
  <c r="H61"/>
  <c r="I60"/>
  <c r="H60"/>
  <c r="I59"/>
  <c r="H59"/>
  <c r="I58"/>
  <c r="H58"/>
  <c r="I57"/>
  <c r="H57"/>
  <c r="I56"/>
  <c r="H56"/>
  <c r="I55"/>
  <c r="H55"/>
  <c r="I54"/>
  <c r="H54"/>
  <c r="I53"/>
  <c r="H53"/>
  <c r="I52"/>
  <c r="H52"/>
  <c r="I51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</calcChain>
</file>

<file path=xl/sharedStrings.xml><?xml version="1.0" encoding="utf-8"?>
<sst xmlns="http://schemas.openxmlformats.org/spreadsheetml/2006/main" count="369" uniqueCount="367">
  <si>
    <t>WADA42 (HB3646)</t>
  </si>
  <si>
    <t>ENROLLMENT</t>
  </si>
  <si>
    <t>WADA TO ENROLL RATIO</t>
  </si>
  <si>
    <t>TRANSFERS</t>
  </si>
  <si>
    <t>TRANSFER WADA</t>
  </si>
  <si>
    <t>WADA41</t>
  </si>
  <si>
    <t>CAYUGA ISD</t>
  </si>
  <si>
    <t>ANDREWS ISD</t>
  </si>
  <si>
    <t>ARANSAS COUNTY ISD</t>
  </si>
  <si>
    <t>BELLVILLE ISD</t>
  </si>
  <si>
    <t>MEDINA ISD</t>
  </si>
  <si>
    <t>BANDERA ISD</t>
  </si>
  <si>
    <t>PAWNEE ISD</t>
  </si>
  <si>
    <t>SALADO ISD</t>
  </si>
  <si>
    <t>ALAMO HEIGHTS ISD</t>
  </si>
  <si>
    <t>NORTH EAST ISD</t>
  </si>
  <si>
    <t>JOHNSON CITY ISD</t>
  </si>
  <si>
    <t>BLANCO ISD</t>
  </si>
  <si>
    <t>BORDEN COUNTY ISD</t>
  </si>
  <si>
    <t>CLIFTON ISD</t>
  </si>
  <si>
    <t>CRANFILLS GAP ISD</t>
  </si>
  <si>
    <t>MALTA ISD</t>
  </si>
  <si>
    <t>RED LICK ISD</t>
  </si>
  <si>
    <t>PLEASANT GROVE ISD</t>
  </si>
  <si>
    <t>BRAZOSPORT ISD</t>
  </si>
  <si>
    <t>SWEENY ISD</t>
  </si>
  <si>
    <t>COLLEGE STATION ISD</t>
  </si>
  <si>
    <t>BROOKS COUNTY ISD</t>
  </si>
  <si>
    <t>MAY ISD</t>
  </si>
  <si>
    <t>BROOKESMITH ISD</t>
  </si>
  <si>
    <t>BURNET CISD</t>
  </si>
  <si>
    <t>MARBLE FALLS ISD</t>
  </si>
  <si>
    <t>PRAIRIE LEA ISD</t>
  </si>
  <si>
    <t>CALHOUN COUNTY ISD</t>
  </si>
  <si>
    <t>EULA ISD</t>
  </si>
  <si>
    <t>POINT ISABEL ISD</t>
  </si>
  <si>
    <t>GROOM ISD</t>
  </si>
  <si>
    <t>PANHANDLE ISD</t>
  </si>
  <si>
    <t>WHITE DEER ISD</t>
  </si>
  <si>
    <t>BARBERS HILL ISD</t>
  </si>
  <si>
    <t>MIDWAY ISD</t>
  </si>
  <si>
    <t>WHITEFACE CISD</t>
  </si>
  <si>
    <t>ROBERT LEE ISD</t>
  </si>
  <si>
    <t>PANTHER CREEK CISD</t>
  </si>
  <si>
    <t>NOVICE ISD</t>
  </si>
  <si>
    <t>ALLEN ISD</t>
  </si>
  <si>
    <t>FRISCO ISD</t>
  </si>
  <si>
    <t>PLANO ISD</t>
  </si>
  <si>
    <t>PROSPER ISD</t>
  </si>
  <si>
    <t>LOVEJOY ISD</t>
  </si>
  <si>
    <t>SAMNORWOOD ISD</t>
  </si>
  <si>
    <t>COLUMBUS ISD</t>
  </si>
  <si>
    <t>COMAL ISD</t>
  </si>
  <si>
    <t>PAINT ROCK ISD</t>
  </si>
  <si>
    <t>MUENSTER ISD</t>
  </si>
  <si>
    <t>CALLISBURG ISD</t>
  </si>
  <si>
    <t>LINDSAY ISD</t>
  </si>
  <si>
    <t>WALNUT BEND ISD</t>
  </si>
  <si>
    <t>SIVELLS BEND ISD</t>
  </si>
  <si>
    <t>JONESBORO ISD</t>
  </si>
  <si>
    <t>CRANE ISD</t>
  </si>
  <si>
    <t>CROCKETT COUNTY CONSOLIDATED C</t>
  </si>
  <si>
    <t>CULBERSON COUNTY-ALLAMOORE ISD</t>
  </si>
  <si>
    <t>CARROLLTON-FARMERS BRANCH ISD</t>
  </si>
  <si>
    <t>DALLAS ISD</t>
  </si>
  <si>
    <t>HIGHLAND PARK ISD</t>
  </si>
  <si>
    <t>RICHARDSON ISD</t>
  </si>
  <si>
    <t>SUNNYVALE ISD</t>
  </si>
  <si>
    <t>COPPELL ISD</t>
  </si>
  <si>
    <t>DAWSON ISD</t>
  </si>
  <si>
    <t>KLONDIKE ISD</t>
  </si>
  <si>
    <t>SANDS CISD</t>
  </si>
  <si>
    <t>WALCOTT ISD</t>
  </si>
  <si>
    <t>LEWISVILLE ISD</t>
  </si>
  <si>
    <t>KRUM ISD</t>
  </si>
  <si>
    <t>PONDER ISD</t>
  </si>
  <si>
    <t>ARGYLE ISD</t>
  </si>
  <si>
    <t>NORTHWEST ISD</t>
  </si>
  <si>
    <t>NORDHEIM ISD</t>
  </si>
  <si>
    <t>WESTHOFF ISD</t>
  </si>
  <si>
    <t>MEYERSVILLE ISD</t>
  </si>
  <si>
    <t>SPUR ISD</t>
  </si>
  <si>
    <t>RAMIREZ CSD</t>
  </si>
  <si>
    <t>BENAVIDES ISD</t>
  </si>
  <si>
    <t>FREER ISD</t>
  </si>
  <si>
    <t>CISCO ISD</t>
  </si>
  <si>
    <t>ROCKSPRINGS ISD</t>
  </si>
  <si>
    <t>NUECES CANYON CISD</t>
  </si>
  <si>
    <t>THREE WAY ISD</t>
  </si>
  <si>
    <t>BLUFF DALE ISD</t>
  </si>
  <si>
    <t>HUCKABAY ISD</t>
  </si>
  <si>
    <t>LINGLEVILLE ISD</t>
  </si>
  <si>
    <t>MORGAN MILL ISD</t>
  </si>
  <si>
    <t>WESTPHALIA ISD</t>
  </si>
  <si>
    <t>LA GRANGE ISD</t>
  </si>
  <si>
    <t>SCHULENBURG ISD</t>
  </si>
  <si>
    <t>FAYETTEVILLE ISD</t>
  </si>
  <si>
    <t>ROUND TOP-CARMINE ISD</t>
  </si>
  <si>
    <t>LAMAR CISD</t>
  </si>
  <si>
    <t>STAFFORD MSD</t>
  </si>
  <si>
    <t>MOUNT VERNON ISD</t>
  </si>
  <si>
    <t>FAIRFIELD ISD</t>
  </si>
  <si>
    <t>TEAGUE ISD</t>
  </si>
  <si>
    <t>DEW ISD</t>
  </si>
  <si>
    <t>LOOP ISD</t>
  </si>
  <si>
    <t>SEMINOLE ISD</t>
  </si>
  <si>
    <t>GALVESTON ISD</t>
  </si>
  <si>
    <t>HIGH ISLAND ISD</t>
  </si>
  <si>
    <t>LA MARQUE ISD</t>
  </si>
  <si>
    <t>TEXAS CITY ISD</t>
  </si>
  <si>
    <t>CLEAR CREEK ISD</t>
  </si>
  <si>
    <t>POST ISD</t>
  </si>
  <si>
    <t>SOUTHLAND ISD</t>
  </si>
  <si>
    <t>DOSS CONSOLIDATED CSD</t>
  </si>
  <si>
    <t>FREDERICKSBURG ISD</t>
  </si>
  <si>
    <t>HARPER ISD</t>
  </si>
  <si>
    <t>GLASSCOCK COUNTY ISD</t>
  </si>
  <si>
    <t>GOLIAD ISD</t>
  </si>
  <si>
    <t>LEFORS ISD</t>
  </si>
  <si>
    <t>MCLEAN ISD</t>
  </si>
  <si>
    <t>GRANDVIEW-HOPKINS ISD</t>
  </si>
  <si>
    <t>TIOGA ISD</t>
  </si>
  <si>
    <t>POTTSBORO ISD</t>
  </si>
  <si>
    <t>S AND S CISD</t>
  </si>
  <si>
    <t>KILGORE ISD</t>
  </si>
  <si>
    <t>LONGVIEW ISD</t>
  </si>
  <si>
    <t>ANDERSON-SHIRO CISD</t>
  </si>
  <si>
    <t>NAVASOTA ISD</t>
  </si>
  <si>
    <t>RICHARDS ISD</t>
  </si>
  <si>
    <t>ABERNATHY ISD</t>
  </si>
  <si>
    <t>GRUVER ISD</t>
  </si>
  <si>
    <t>PRINGLE-MORSE CISD</t>
  </si>
  <si>
    <t>SPEARMAN ISD</t>
  </si>
  <si>
    <t>CHILLICOTHE ISD</t>
  </si>
  <si>
    <t>HARDIN-JEFFERSON ISD</t>
  </si>
  <si>
    <t>DEER PARK ISD</t>
  </si>
  <si>
    <t>HOUSTON ISD</t>
  </si>
  <si>
    <t>LA PORTE ISD</t>
  </si>
  <si>
    <t>SPRING BRANCH ISD</t>
  </si>
  <si>
    <t>TOMBALL ISD</t>
  </si>
  <si>
    <t>SHELDON ISD</t>
  </si>
  <si>
    <t>KARNACK ISD</t>
  </si>
  <si>
    <t>MARSHALL ISD</t>
  </si>
  <si>
    <t>WASKOM ISD</t>
  </si>
  <si>
    <t>HALLSVILLE ISD</t>
  </si>
  <si>
    <t>ELYSIAN FIELDS ISD</t>
  </si>
  <si>
    <t>CHANNING ISD</t>
  </si>
  <si>
    <t>PAINT CREEK ISD</t>
  </si>
  <si>
    <t>SAN MARCOS CISD</t>
  </si>
  <si>
    <t>DRIPPING SPRINGS ISD</t>
  </si>
  <si>
    <t>WIMBERLEY ISD</t>
  </si>
  <si>
    <t>CANADIAN ISD</t>
  </si>
  <si>
    <t>CROSS ROADS ISD</t>
  </si>
  <si>
    <t>MALAKOFF ISD</t>
  </si>
  <si>
    <t>MURCHISON ISD</t>
  </si>
  <si>
    <t>LAPOYNOR ISD</t>
  </si>
  <si>
    <t>COVINGTON ISD</t>
  </si>
  <si>
    <t>MALONE ISD</t>
  </si>
  <si>
    <t>ANTON ISD</t>
  </si>
  <si>
    <t>LEVELLAND ISD</t>
  </si>
  <si>
    <t>SUNDOWN ISD</t>
  </si>
  <si>
    <t>WHITHARRAL ISD</t>
  </si>
  <si>
    <t>GRANBURY ISD</t>
  </si>
  <si>
    <t>LIPAN ISD</t>
  </si>
  <si>
    <t>GRAPELAND ISD</t>
  </si>
  <si>
    <t>COAHOMA ISD</t>
  </si>
  <si>
    <t>FORSAN ISD</t>
  </si>
  <si>
    <t>PLEMONS-STINNETT-PHILLIPS CISD</t>
  </si>
  <si>
    <t>SPRING CREEK ISD</t>
  </si>
  <si>
    <t>IRION COUNTY ISD</t>
  </si>
  <si>
    <t>BRYSON ISD</t>
  </si>
  <si>
    <t>JACKSBORO ISD</t>
  </si>
  <si>
    <t>PERRIN-WHITT CISD</t>
  </si>
  <si>
    <t>INDUSTRIAL ISD</t>
  </si>
  <si>
    <t>EVADALE ISD</t>
  </si>
  <si>
    <t>PORT ARTHUR ISD</t>
  </si>
  <si>
    <t>PORT NECHES-GROVES ISD</t>
  </si>
  <si>
    <t>BEAUMONT ISD</t>
  </si>
  <si>
    <t>SABINE PASS ISD</t>
  </si>
  <si>
    <t>LA GLORIA ISD</t>
  </si>
  <si>
    <t>ALVARADO ISD</t>
  </si>
  <si>
    <t>CLEBURNE ISD</t>
  </si>
  <si>
    <t>GODLEY ISD</t>
  </si>
  <si>
    <t>LUEDERS-AVOCA ISD</t>
  </si>
  <si>
    <t>BOERNE ISD</t>
  </si>
  <si>
    <t>COMFORT ISD</t>
  </si>
  <si>
    <t>KENEDY COUNTY WIDE CSD</t>
  </si>
  <si>
    <t>JAYTON-GIRARD ISD</t>
  </si>
  <si>
    <t>HUNT ISD</t>
  </si>
  <si>
    <t>KERRVILLE ISD</t>
  </si>
  <si>
    <t>INGRAM ISD</t>
  </si>
  <si>
    <t>DIVIDE ISD</t>
  </si>
  <si>
    <t>GUTHRIE CSD</t>
  </si>
  <si>
    <t>RIVIERA ISD</t>
  </si>
  <si>
    <t>SANTA GERTRUDIS ISD</t>
  </si>
  <si>
    <t>CHISUM ISD</t>
  </si>
  <si>
    <t>SUDAN ISD</t>
  </si>
  <si>
    <t>HALLETTSVILLE ISD</t>
  </si>
  <si>
    <t>VYSEHRAD ISD</t>
  </si>
  <si>
    <t>SWEET HOME ISD</t>
  </si>
  <si>
    <t>EZZELL ISD</t>
  </si>
  <si>
    <t>GIDDINGS ISD</t>
  </si>
  <si>
    <t>DIME BOX ISD</t>
  </si>
  <si>
    <t>NORMANGEE ISD</t>
  </si>
  <si>
    <t>OAKWOOD ISD</t>
  </si>
  <si>
    <t>LEON ISD</t>
  </si>
  <si>
    <t>DEVERS ISD</t>
  </si>
  <si>
    <t>HULL-DAISETTA ISD</t>
  </si>
  <si>
    <t>GROESBECK ISD</t>
  </si>
  <si>
    <t>BOOKER ISD</t>
  </si>
  <si>
    <t>FOLLETT ISD</t>
  </si>
  <si>
    <t>HIGGINS ISD</t>
  </si>
  <si>
    <t>DARROUZETT ISD</t>
  </si>
  <si>
    <t>GEORGE WEST ISD</t>
  </si>
  <si>
    <t>THREE RIVERS ISD</t>
  </si>
  <si>
    <t>LLANO ISD</t>
  </si>
  <si>
    <t>JEFFERSON ISD</t>
  </si>
  <si>
    <t>STANTON ISD</t>
  </si>
  <si>
    <t>GRADY ISD</t>
  </si>
  <si>
    <t>TIDEHAVEN ISD</t>
  </si>
  <si>
    <t>MATAGORDA ISD</t>
  </si>
  <si>
    <t>PALACIOS ISD</t>
  </si>
  <si>
    <t>VAN VLECK ISD</t>
  </si>
  <si>
    <t>RIESEL ISD</t>
  </si>
  <si>
    <t>HALLSBURG ISD</t>
  </si>
  <si>
    <t>MCMULLEN COUNTY ISD</t>
  </si>
  <si>
    <t>MIDLAND ISD</t>
  </si>
  <si>
    <t>GREENWOOD ISD</t>
  </si>
  <si>
    <t>GAUSE ISD</t>
  </si>
  <si>
    <t>ROCKDALE ISD</t>
  </si>
  <si>
    <t>MULLIN ISD</t>
  </si>
  <si>
    <t>STAR ISD</t>
  </si>
  <si>
    <t>WESTBROOK ISD</t>
  </si>
  <si>
    <t>GOLD BURG ISD</t>
  </si>
  <si>
    <t>MONTAGUE ISD</t>
  </si>
  <si>
    <t>PRAIRIE VALLEY ISD</t>
  </si>
  <si>
    <t>FORESTBURG ISD</t>
  </si>
  <si>
    <t>SAINT JO ISD</t>
  </si>
  <si>
    <t>CONROE ISD</t>
  </si>
  <si>
    <t>MONTGOMERY ISD</t>
  </si>
  <si>
    <t>DUMAS ISD</t>
  </si>
  <si>
    <t>SUNRAY ISD</t>
  </si>
  <si>
    <t>DAINGERFIELD-LONE STAR ISD</t>
  </si>
  <si>
    <t>CUSHING ISD</t>
  </si>
  <si>
    <t>DOUGLASS ISD</t>
  </si>
  <si>
    <t>MILDRED ISD</t>
  </si>
  <si>
    <t>BURKEVILLE ISD</t>
  </si>
  <si>
    <t>DEWEYVILLE ISD</t>
  </si>
  <si>
    <t>BLACKWELL CISD</t>
  </si>
  <si>
    <t>HIGHLAND ISD</t>
  </si>
  <si>
    <t>BISHOP CISD</t>
  </si>
  <si>
    <t>DRISCOLL ISD</t>
  </si>
  <si>
    <t>LONDON ISD</t>
  </si>
  <si>
    <t>PORT ARANSAS ISD</t>
  </si>
  <si>
    <t>TULOSO-MIDWAY ISD</t>
  </si>
  <si>
    <t>FLOUR BLUFF ISD</t>
  </si>
  <si>
    <t>PERRYTON ISD</t>
  </si>
  <si>
    <t>ADRIAN ISD</t>
  </si>
  <si>
    <t>WILDORADO ISD</t>
  </si>
  <si>
    <t>WEST ORANGE-COVE CISD</t>
  </si>
  <si>
    <t>GORDON ISD</t>
  </si>
  <si>
    <t>GRAFORD ISD</t>
  </si>
  <si>
    <t>SANTO ISD</t>
  </si>
  <si>
    <t>PALO PINTO ISD</t>
  </si>
  <si>
    <t>BECKVILLE ISD</t>
  </si>
  <si>
    <t>CARTHAGE ISD</t>
  </si>
  <si>
    <t>GARY ISD</t>
  </si>
  <si>
    <t>WEATHERFORD ISD</t>
  </si>
  <si>
    <t>MILLSAP ISD</t>
  </si>
  <si>
    <t>ALEDO ISD</t>
  </si>
  <si>
    <t>BROCK ISD</t>
  </si>
  <si>
    <t>GARNER ISD</t>
  </si>
  <si>
    <t>BUENA VISTA ISD</t>
  </si>
  <si>
    <t>FORT STOCKTON ISD</t>
  </si>
  <si>
    <t>IRAAN-SHEFFIELD ISD</t>
  </si>
  <si>
    <t>BIG SANDY ISD</t>
  </si>
  <si>
    <t>LEGGETT ISD</t>
  </si>
  <si>
    <t>BUSHLAND ISD</t>
  </si>
  <si>
    <t>REAGAN COUNTY ISD</t>
  </si>
  <si>
    <t>LEAKEY ISD</t>
  </si>
  <si>
    <t>PECOS-BARSTOW-TOYAH ISD</t>
  </si>
  <si>
    <t>AUSTWELL-TIVOLI ISD</t>
  </si>
  <si>
    <t>REFUGIO ISD</t>
  </si>
  <si>
    <t>MIAMI ISD</t>
  </si>
  <si>
    <t>BREMOND ISD</t>
  </si>
  <si>
    <t>FRANKLIN ISD</t>
  </si>
  <si>
    <t>MUMFORD ISD</t>
  </si>
  <si>
    <t>ROCKWALL ISD</t>
  </si>
  <si>
    <t>HENDERSON ISD</t>
  </si>
  <si>
    <t>LANEVILLE ISD</t>
  </si>
  <si>
    <t>TATUM ISD</t>
  </si>
  <si>
    <t>WEST RUSK ISD</t>
  </si>
  <si>
    <t>COLDSPRING-OAKHURST CISD</t>
  </si>
  <si>
    <t>INGLESIDE ISD</t>
  </si>
  <si>
    <t>SCHLEICHER ISD</t>
  </si>
  <si>
    <t>HERMLEIGH ISD</t>
  </si>
  <si>
    <t>SNYDER ISD</t>
  </si>
  <si>
    <t>IRA ISD</t>
  </si>
  <si>
    <t>ALBANY ISD</t>
  </si>
  <si>
    <t>MORAN ISD</t>
  </si>
  <si>
    <t>EXCELSIOR ISD</t>
  </si>
  <si>
    <t>TEXHOMA ISD</t>
  </si>
  <si>
    <t>STRATFORD ISD</t>
  </si>
  <si>
    <t>ARP ISD</t>
  </si>
  <si>
    <t>GLEN ROSE ISD</t>
  </si>
  <si>
    <t>SAN ISIDRO ISD</t>
  </si>
  <si>
    <t>BRECKENRIDGE ISD</t>
  </si>
  <si>
    <t>STERLING CITY ISD</t>
  </si>
  <si>
    <t>ASPERMONT ISD</t>
  </si>
  <si>
    <t>SONORA ISD</t>
  </si>
  <si>
    <t>GRAPEVINE-COLLEYVILLE ISD</t>
  </si>
  <si>
    <t>AZLE ISD</t>
  </si>
  <si>
    <t>CARROLL ISD</t>
  </si>
  <si>
    <t>TRENT ISD</t>
  </si>
  <si>
    <t>WYLIE ISD</t>
  </si>
  <si>
    <t>TERRELL COUNTY ISD</t>
  </si>
  <si>
    <t>BROWNFIELD ISD</t>
  </si>
  <si>
    <t>WELLMAN-UNION CISD</t>
  </si>
  <si>
    <t>THROCKMORTON ISD</t>
  </si>
  <si>
    <t>MOUNT PLEASANT ISD</t>
  </si>
  <si>
    <t>CHRISTOVAL ISD</t>
  </si>
  <si>
    <t>VERIBEST ISD</t>
  </si>
  <si>
    <t>AUSTIN ISD</t>
  </si>
  <si>
    <t>EANES ISD</t>
  </si>
  <si>
    <t>LAGO VISTA ISD</t>
  </si>
  <si>
    <t>LAKE TRAVIS ISD</t>
  </si>
  <si>
    <t>WOODVILLE ISD</t>
  </si>
  <si>
    <t>MCCAMEY ISD</t>
  </si>
  <si>
    <t>RANKIN ISD</t>
  </si>
  <si>
    <t>UTOPIA ISD</t>
  </si>
  <si>
    <t>COMSTOCK ISD</t>
  </si>
  <si>
    <t>NURSERY ISD</t>
  </si>
  <si>
    <t>MONAHANS-WICKETT-PYOTE ISD</t>
  </si>
  <si>
    <t>GRANDFALLS-ROYALTY ISD</t>
  </si>
  <si>
    <t>BURTON ISD</t>
  </si>
  <si>
    <t>WEBB CISD</t>
  </si>
  <si>
    <t>WHEELER ISD</t>
  </si>
  <si>
    <t>KELTON ISD</t>
  </si>
  <si>
    <t>FORT ELLIOTT CISD</t>
  </si>
  <si>
    <t>ELECTRA ISD</t>
  </si>
  <si>
    <t>HARROLD ISD</t>
  </si>
  <si>
    <t>NORTHSIDE ISD</t>
  </si>
  <si>
    <t>GEORGETOWN ISD</t>
  </si>
  <si>
    <t>JARRELL ISD</t>
  </si>
  <si>
    <t>LIBERTY HILL ISD</t>
  </si>
  <si>
    <t>ROUND ROCK ISD</t>
  </si>
  <si>
    <t>LEANDER ISD</t>
  </si>
  <si>
    <t>COUPLAND ISD</t>
  </si>
  <si>
    <t>KERMIT ISD</t>
  </si>
  <si>
    <t>WINK-LOVING ISD</t>
  </si>
  <si>
    <t>BOYD ISD</t>
  </si>
  <si>
    <t>BRIDGEPORT ISD</t>
  </si>
  <si>
    <t>CHICO ISD</t>
  </si>
  <si>
    <t>DECATUR ISD</t>
  </si>
  <si>
    <t>SLIDELL ISD</t>
  </si>
  <si>
    <t>HAWKINS ISD</t>
  </si>
  <si>
    <t>YANTIS ISD</t>
  </si>
  <si>
    <t>DENVER CITY ISD</t>
  </si>
  <si>
    <t>PLAINS ISD</t>
  </si>
  <si>
    <t>ZAPATA COUNTY ISD</t>
  </si>
  <si>
    <t>CDN</t>
  </si>
  <si>
    <t>DISTRICT NAME</t>
  </si>
  <si>
    <t>WEALTH - NO CHARGE</t>
  </si>
  <si>
    <t>WEALTH - YES CHARGE</t>
  </si>
  <si>
    <t>FLAG NO CHARGE</t>
  </si>
  <si>
    <t>FLAG YES CHARGE</t>
  </si>
  <si>
    <t>2010 DPV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</si>
</sst>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0.000"/>
    <numFmt numFmtId="166" formatCode="000000"/>
  </numFmts>
  <fonts count="2">
    <font>
      <sz val="10"/>
      <name val="MS Sans Serif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 wrapText="1"/>
    </xf>
    <xf numFmtId="3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4" fontId="1" fillId="0" borderId="0" xfId="0" quotePrefix="1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6" fontId="1" fillId="0" borderId="0" xfId="0" quotePrefix="1" applyNumberFormat="1" applyFont="1" applyAlignment="1">
      <alignment horizontal="center" wrapText="1"/>
    </xf>
    <xf numFmtId="0" fontId="1" fillId="0" borderId="0" xfId="0" quotePrefix="1" applyNumberFormat="1" applyFont="1" applyAlignment="1">
      <alignment wrapText="1"/>
    </xf>
    <xf numFmtId="3" fontId="1" fillId="0" borderId="0" xfId="0" quotePrefix="1" applyNumberFormat="1" applyFont="1" applyAlignment="1">
      <alignment wrapText="1"/>
    </xf>
    <xf numFmtId="164" fontId="1" fillId="0" borderId="0" xfId="0" quotePrefix="1" applyNumberFormat="1" applyFont="1" applyAlignment="1">
      <alignment wrapText="1"/>
    </xf>
    <xf numFmtId="165" fontId="1" fillId="0" borderId="0" xfId="0" quotePrefix="1" applyNumberFormat="1" applyFont="1" applyAlignment="1">
      <alignment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59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4" defaultRowHeight="13.2"/>
  <cols>
    <col min="1" max="1" width="14" style="6"/>
    <col min="2" max="2" width="36.33203125" style="12" bestFit="1" customWidth="1"/>
    <col min="3" max="3" width="14" style="13"/>
    <col min="4" max="4" width="14" style="14"/>
    <col min="5" max="7" width="14" style="12"/>
    <col min="8" max="9" width="14" style="14"/>
    <col min="10" max="11" width="14" style="13"/>
    <col min="12" max="16384" width="14" style="12"/>
  </cols>
  <sheetData>
    <row r="1" spans="1:13" s="6" customFormat="1" ht="39.6">
      <c r="A1" s="1" t="s">
        <v>360</v>
      </c>
      <c r="B1" s="2" t="s">
        <v>361</v>
      </c>
      <c r="C1" s="3" t="s">
        <v>366</v>
      </c>
      <c r="D1" s="4" t="s">
        <v>0</v>
      </c>
      <c r="E1" s="1" t="s">
        <v>1</v>
      </c>
      <c r="F1" s="1" t="s">
        <v>2</v>
      </c>
      <c r="G1" s="1" t="s">
        <v>3</v>
      </c>
      <c r="H1" s="4" t="s">
        <v>4</v>
      </c>
      <c r="I1" s="5" t="s">
        <v>5</v>
      </c>
      <c r="J1" s="3" t="s">
        <v>362</v>
      </c>
      <c r="K1" s="3" t="s">
        <v>363</v>
      </c>
      <c r="L1" s="1" t="s">
        <v>364</v>
      </c>
      <c r="M1" s="1" t="s">
        <v>365</v>
      </c>
    </row>
    <row r="2" spans="1:13">
      <c r="A2" s="7">
        <v>1902</v>
      </c>
      <c r="B2" s="8" t="s">
        <v>6</v>
      </c>
      <c r="C2" s="9">
        <v>303242025</v>
      </c>
      <c r="D2" s="10">
        <v>928.21199999999999</v>
      </c>
      <c r="E2" s="8">
        <v>606</v>
      </c>
      <c r="F2" s="8">
        <v>1.5317029702970297</v>
      </c>
      <c r="G2" s="11">
        <v>57</v>
      </c>
      <c r="H2" s="10">
        <f>F2*G2</f>
        <v>87.3070693069307</v>
      </c>
      <c r="I2" s="10">
        <f>D2-H2</f>
        <v>840.90493069306933</v>
      </c>
      <c r="J2" s="9">
        <v>326694.79062972683</v>
      </c>
      <c r="K2" s="9">
        <v>360613.92189729406</v>
      </c>
      <c r="L2" s="8">
        <v>1</v>
      </c>
      <c r="M2" s="8">
        <v>1</v>
      </c>
    </row>
    <row r="3" spans="1:13">
      <c r="A3" s="7">
        <v>2901</v>
      </c>
      <c r="B3" s="8" t="s">
        <v>7</v>
      </c>
      <c r="C3" s="9">
        <v>3765328630</v>
      </c>
      <c r="D3" s="10">
        <v>4084.346</v>
      </c>
      <c r="E3" s="8">
        <v>3242</v>
      </c>
      <c r="F3" s="8">
        <v>1.2598229487970389</v>
      </c>
      <c r="G3" s="11">
        <v>1</v>
      </c>
      <c r="H3" s="10">
        <f t="shared" ref="H3:H66" si="0">F3*G3</f>
        <v>1.2598229487970389</v>
      </c>
      <c r="I3" s="10">
        <f t="shared" ref="I3:I66" si="1">D3-H3</f>
        <v>4083.0861770512029</v>
      </c>
      <c r="J3" s="9">
        <v>921892.66776125238</v>
      </c>
      <c r="K3" s="9">
        <v>922177.1147429744</v>
      </c>
      <c r="L3" s="8">
        <v>1</v>
      </c>
      <c r="M3" s="8">
        <v>1</v>
      </c>
    </row>
    <row r="4" spans="1:13">
      <c r="A4" s="7">
        <v>4901</v>
      </c>
      <c r="B4" s="8" t="s">
        <v>8</v>
      </c>
      <c r="C4" s="9">
        <v>2456442895</v>
      </c>
      <c r="D4" s="10">
        <v>3963.2249999999999</v>
      </c>
      <c r="E4" s="8">
        <v>3087</v>
      </c>
      <c r="F4" s="8">
        <v>1.2838435374149659</v>
      </c>
      <c r="G4" s="11">
        <v>52</v>
      </c>
      <c r="H4" s="10">
        <f t="shared" si="0"/>
        <v>66.759863945578232</v>
      </c>
      <c r="I4" s="10">
        <f t="shared" si="1"/>
        <v>3896.4651360544217</v>
      </c>
      <c r="J4" s="9">
        <v>619809.09360432473</v>
      </c>
      <c r="K4" s="9">
        <v>630428.55748156528</v>
      </c>
      <c r="L4" s="8">
        <v>1</v>
      </c>
      <c r="M4" s="8">
        <v>1</v>
      </c>
    </row>
    <row r="5" spans="1:13">
      <c r="A5" s="7">
        <v>8901</v>
      </c>
      <c r="B5" s="8" t="s">
        <v>9</v>
      </c>
      <c r="C5" s="9">
        <v>968000229</v>
      </c>
      <c r="D5" s="10">
        <v>2851.9050000000002</v>
      </c>
      <c r="E5" s="8">
        <v>2145</v>
      </c>
      <c r="F5" s="8">
        <v>1.3295594405594406</v>
      </c>
      <c r="G5" s="11">
        <v>113</v>
      </c>
      <c r="H5" s="10">
        <f t="shared" si="0"/>
        <v>150.24021678321679</v>
      </c>
      <c r="I5" s="10">
        <f t="shared" si="1"/>
        <v>2701.6647832167832</v>
      </c>
      <c r="J5" s="9">
        <v>339422.32612937666</v>
      </c>
      <c r="K5" s="9">
        <v>358297.68186393357</v>
      </c>
      <c r="L5" s="8">
        <v>1</v>
      </c>
      <c r="M5" s="8">
        <v>1</v>
      </c>
    </row>
    <row r="6" spans="1:13">
      <c r="A6" s="7">
        <v>10901</v>
      </c>
      <c r="B6" s="8" t="s">
        <v>10</v>
      </c>
      <c r="C6" s="9">
        <v>193200626</v>
      </c>
      <c r="D6" s="10">
        <v>614.33900000000006</v>
      </c>
      <c r="E6" s="8">
        <v>302</v>
      </c>
      <c r="F6" s="8">
        <v>2.0342350993377485</v>
      </c>
      <c r="G6" s="11">
        <v>10</v>
      </c>
      <c r="H6" s="10">
        <f t="shared" si="0"/>
        <v>20.342350993377487</v>
      </c>
      <c r="I6" s="10">
        <f t="shared" si="1"/>
        <v>593.99664900662253</v>
      </c>
      <c r="J6" s="9">
        <v>314485.36719954287</v>
      </c>
      <c r="K6" s="9">
        <v>325255.41402144509</v>
      </c>
      <c r="L6" s="8">
        <v>0</v>
      </c>
      <c r="M6" s="8">
        <v>1</v>
      </c>
    </row>
    <row r="7" spans="1:13">
      <c r="A7" s="7">
        <v>10902</v>
      </c>
      <c r="B7" s="8" t="s">
        <v>11</v>
      </c>
      <c r="C7" s="9">
        <v>1291941216</v>
      </c>
      <c r="D7" s="10">
        <v>3160.2429999999999</v>
      </c>
      <c r="E7" s="8">
        <v>2462</v>
      </c>
      <c r="F7" s="8">
        <v>1.2836080422420797</v>
      </c>
      <c r="G7" s="11">
        <v>55</v>
      </c>
      <c r="H7" s="10">
        <f t="shared" si="0"/>
        <v>70.598442323314387</v>
      </c>
      <c r="I7" s="10">
        <f t="shared" si="1"/>
        <v>3089.6445576766855</v>
      </c>
      <c r="J7" s="9">
        <v>408810.71993514424</v>
      </c>
      <c r="K7" s="9">
        <v>418152.05337778362</v>
      </c>
      <c r="L7" s="8">
        <v>1</v>
      </c>
      <c r="M7" s="8">
        <v>1</v>
      </c>
    </row>
    <row r="8" spans="1:13">
      <c r="A8" s="7">
        <v>13902</v>
      </c>
      <c r="B8" s="8" t="s">
        <v>12</v>
      </c>
      <c r="C8" s="9">
        <v>158544187</v>
      </c>
      <c r="D8" s="10">
        <v>256.19200000000001</v>
      </c>
      <c r="E8" s="8">
        <v>162</v>
      </c>
      <c r="F8" s="8">
        <v>1.5814320987654322</v>
      </c>
      <c r="G8" s="11">
        <v>115</v>
      </c>
      <c r="H8" s="10">
        <f t="shared" si="0"/>
        <v>181.86469135802471</v>
      </c>
      <c r="I8" s="10">
        <f t="shared" si="1"/>
        <v>74.327308641975293</v>
      </c>
      <c r="J8" s="9">
        <v>618849.09364851355</v>
      </c>
      <c r="K8" s="9">
        <v>2133054.3227884942</v>
      </c>
      <c r="L8" s="8">
        <v>1</v>
      </c>
      <c r="M8" s="8">
        <v>1</v>
      </c>
    </row>
    <row r="9" spans="1:13">
      <c r="A9" s="7">
        <v>14908</v>
      </c>
      <c r="B9" s="8" t="s">
        <v>13</v>
      </c>
      <c r="C9" s="9">
        <v>592474634</v>
      </c>
      <c r="D9" s="10">
        <v>1691.4380000000001</v>
      </c>
      <c r="E9" s="8">
        <v>1354</v>
      </c>
      <c r="F9" s="8">
        <v>1.2492156573116693</v>
      </c>
      <c r="G9" s="11">
        <v>133</v>
      </c>
      <c r="H9" s="10">
        <f t="shared" si="0"/>
        <v>166.14568242245201</v>
      </c>
      <c r="I9" s="10">
        <f t="shared" si="1"/>
        <v>1525.2923175775481</v>
      </c>
      <c r="J9" s="9">
        <v>350278.6587507198</v>
      </c>
      <c r="K9" s="9">
        <v>388433.50036730105</v>
      </c>
      <c r="L9" s="8">
        <v>1</v>
      </c>
      <c r="M9" s="8">
        <v>1</v>
      </c>
    </row>
    <row r="10" spans="1:13">
      <c r="A10" s="7">
        <v>15901</v>
      </c>
      <c r="B10" s="8" t="s">
        <v>14</v>
      </c>
      <c r="C10" s="9">
        <v>4838847397</v>
      </c>
      <c r="D10" s="10">
        <v>5191.384</v>
      </c>
      <c r="E10" s="8">
        <v>4744</v>
      </c>
      <c r="F10" s="8">
        <v>1.0943052276559866</v>
      </c>
      <c r="G10" s="11">
        <v>260</v>
      </c>
      <c r="H10" s="10">
        <f t="shared" si="0"/>
        <v>284.51935919055649</v>
      </c>
      <c r="I10" s="10">
        <f t="shared" si="1"/>
        <v>4906.8646408094437</v>
      </c>
      <c r="J10" s="9">
        <v>932091.98105938605</v>
      </c>
      <c r="K10" s="9">
        <v>986138.34927424788</v>
      </c>
      <c r="L10" s="8">
        <v>1</v>
      </c>
      <c r="M10" s="8">
        <v>1</v>
      </c>
    </row>
    <row r="11" spans="1:13">
      <c r="A11" s="7">
        <v>15910</v>
      </c>
      <c r="B11" s="8" t="s">
        <v>15</v>
      </c>
      <c r="C11" s="9">
        <v>27190783576</v>
      </c>
      <c r="D11" s="10">
        <v>79819.604000000007</v>
      </c>
      <c r="E11" s="8">
        <v>66364</v>
      </c>
      <c r="F11" s="8">
        <v>1.2027545657284071</v>
      </c>
      <c r="G11" s="11">
        <v>265</v>
      </c>
      <c r="H11" s="10">
        <f t="shared" si="0"/>
        <v>318.72995991802787</v>
      </c>
      <c r="I11" s="10">
        <f t="shared" si="1"/>
        <v>79500.874040081981</v>
      </c>
      <c r="J11" s="9">
        <v>340652.9500697598</v>
      </c>
      <c r="K11" s="9">
        <v>342018.67469144065</v>
      </c>
      <c r="L11" s="8">
        <v>1</v>
      </c>
      <c r="M11" s="8">
        <v>1</v>
      </c>
    </row>
    <row r="12" spans="1:13">
      <c r="A12" s="7">
        <v>16901</v>
      </c>
      <c r="B12" s="8" t="s">
        <v>16</v>
      </c>
      <c r="C12" s="9">
        <v>562300309</v>
      </c>
      <c r="D12" s="10">
        <v>1182.28</v>
      </c>
      <c r="E12" s="8">
        <v>707</v>
      </c>
      <c r="F12" s="8">
        <v>1.6722489391796322</v>
      </c>
      <c r="G12" s="11">
        <v>5</v>
      </c>
      <c r="H12" s="10">
        <f t="shared" si="0"/>
        <v>8.3612446958981614</v>
      </c>
      <c r="I12" s="10">
        <f t="shared" si="1"/>
        <v>1173.9187553041018</v>
      </c>
      <c r="J12" s="9">
        <v>475606.71668301924</v>
      </c>
      <c r="K12" s="9">
        <v>478994.22891010629</v>
      </c>
      <c r="L12" s="8">
        <v>1</v>
      </c>
      <c r="M12" s="8">
        <v>1</v>
      </c>
    </row>
    <row r="13" spans="1:13">
      <c r="A13" s="7">
        <v>16902</v>
      </c>
      <c r="B13" s="8" t="s">
        <v>17</v>
      </c>
      <c r="C13" s="9">
        <v>654434161</v>
      </c>
      <c r="D13" s="10">
        <v>1471.02</v>
      </c>
      <c r="E13" s="8">
        <v>966</v>
      </c>
      <c r="F13" s="8">
        <v>1.5227950310559006</v>
      </c>
      <c r="G13" s="11">
        <v>13</v>
      </c>
      <c r="H13" s="10">
        <f t="shared" si="0"/>
        <v>19.796335403726708</v>
      </c>
      <c r="I13" s="10">
        <f t="shared" si="1"/>
        <v>1451.2236645962732</v>
      </c>
      <c r="J13" s="9">
        <v>444884.61135810526</v>
      </c>
      <c r="K13" s="9">
        <v>450953.34162846766</v>
      </c>
      <c r="L13" s="8">
        <v>1</v>
      </c>
      <c r="M13" s="8">
        <v>1</v>
      </c>
    </row>
    <row r="14" spans="1:13">
      <c r="A14" s="7">
        <v>17901</v>
      </c>
      <c r="B14" s="8" t="s">
        <v>18</v>
      </c>
      <c r="C14" s="9">
        <v>849037011</v>
      </c>
      <c r="D14" s="10">
        <v>377.13600000000002</v>
      </c>
      <c r="E14" s="8">
        <v>227</v>
      </c>
      <c r="F14" s="8">
        <v>1.6613920704845817</v>
      </c>
      <c r="G14" s="11">
        <v>111</v>
      </c>
      <c r="H14" s="10">
        <f t="shared" si="0"/>
        <v>184.41451982378857</v>
      </c>
      <c r="I14" s="10">
        <f t="shared" si="1"/>
        <v>192.72148017621146</v>
      </c>
      <c r="J14" s="9">
        <v>2251275.4311442026</v>
      </c>
      <c r="K14" s="9">
        <v>4405513.1281873621</v>
      </c>
      <c r="L14" s="8">
        <v>1</v>
      </c>
      <c r="M14" s="8">
        <v>1</v>
      </c>
    </row>
    <row r="15" spans="1:13">
      <c r="A15" s="7">
        <v>18901</v>
      </c>
      <c r="B15" s="8" t="s">
        <v>19</v>
      </c>
      <c r="C15" s="9">
        <v>468814447</v>
      </c>
      <c r="D15" s="10">
        <v>1519.4480000000001</v>
      </c>
      <c r="E15" s="8">
        <v>1137</v>
      </c>
      <c r="F15" s="8">
        <v>1.3363658751099385</v>
      </c>
      <c r="G15" s="11">
        <v>54</v>
      </c>
      <c r="H15" s="10">
        <f t="shared" si="0"/>
        <v>72.163757255936687</v>
      </c>
      <c r="I15" s="10">
        <f t="shared" si="1"/>
        <v>1447.2842427440635</v>
      </c>
      <c r="J15" s="9">
        <v>308542.60692040791</v>
      </c>
      <c r="K15" s="9">
        <v>323927.00283333682</v>
      </c>
      <c r="L15" s="8">
        <v>0</v>
      </c>
      <c r="M15" s="8">
        <v>1</v>
      </c>
    </row>
    <row r="16" spans="1:13">
      <c r="A16" s="7">
        <v>18908</v>
      </c>
      <c r="B16" s="8" t="s">
        <v>20</v>
      </c>
      <c r="C16" s="9">
        <v>67021372</v>
      </c>
      <c r="D16" s="10">
        <v>234.89</v>
      </c>
      <c r="E16" s="8">
        <v>112</v>
      </c>
      <c r="F16" s="8">
        <v>2.0972321428571425</v>
      </c>
      <c r="G16" s="11">
        <v>24</v>
      </c>
      <c r="H16" s="10">
        <f t="shared" si="0"/>
        <v>50.333571428571418</v>
      </c>
      <c r="I16" s="10">
        <f t="shared" si="1"/>
        <v>184.55642857142857</v>
      </c>
      <c r="J16" s="9">
        <v>285330.88679807569</v>
      </c>
      <c r="K16" s="9">
        <v>363148.40137936908</v>
      </c>
      <c r="L16" s="8">
        <v>0</v>
      </c>
      <c r="M16" s="8">
        <v>1</v>
      </c>
    </row>
    <row r="17" spans="1:13">
      <c r="A17" s="7">
        <v>19910</v>
      </c>
      <c r="B17" s="8" t="s">
        <v>21</v>
      </c>
      <c r="C17" s="9">
        <v>17579093</v>
      </c>
      <c r="D17" s="10">
        <v>147.54499999999999</v>
      </c>
      <c r="E17" s="8">
        <v>143</v>
      </c>
      <c r="F17" s="8">
        <v>1.0317832167832166</v>
      </c>
      <c r="G17" s="11">
        <v>106</v>
      </c>
      <c r="H17" s="10">
        <f t="shared" si="0"/>
        <v>109.36902097902096</v>
      </c>
      <c r="I17" s="10">
        <f t="shared" si="1"/>
        <v>38.175979020979028</v>
      </c>
      <c r="J17" s="9">
        <v>119143.94252600902</v>
      </c>
      <c r="K17" s="9">
        <v>460475.23733025097</v>
      </c>
      <c r="L17" s="8">
        <v>0</v>
      </c>
      <c r="M17" s="8">
        <v>1</v>
      </c>
    </row>
    <row r="18" spans="1:13">
      <c r="A18" s="7">
        <v>19911</v>
      </c>
      <c r="B18" s="8" t="s">
        <v>22</v>
      </c>
      <c r="C18" s="9">
        <v>162955518</v>
      </c>
      <c r="D18" s="10">
        <v>623.41999999999996</v>
      </c>
      <c r="E18" s="8">
        <v>465</v>
      </c>
      <c r="F18" s="8">
        <v>1.3406881720430106</v>
      </c>
      <c r="G18" s="11">
        <v>137</v>
      </c>
      <c r="H18" s="10">
        <f t="shared" si="0"/>
        <v>183.67427956989246</v>
      </c>
      <c r="I18" s="10">
        <f t="shared" si="1"/>
        <v>439.7457204301075</v>
      </c>
      <c r="J18" s="9">
        <v>261389.62176381896</v>
      </c>
      <c r="K18" s="9">
        <v>370567.60402492626</v>
      </c>
      <c r="L18" s="8">
        <v>0</v>
      </c>
      <c r="M18" s="8">
        <v>1</v>
      </c>
    </row>
    <row r="19" spans="1:13">
      <c r="A19" s="7">
        <v>19912</v>
      </c>
      <c r="B19" s="8" t="s">
        <v>23</v>
      </c>
      <c r="C19" s="9">
        <v>801349431</v>
      </c>
      <c r="D19" s="10">
        <v>2326.0749999999998</v>
      </c>
      <c r="E19" s="8">
        <v>1920</v>
      </c>
      <c r="F19" s="8">
        <v>1.2114973958333333</v>
      </c>
      <c r="G19" s="11">
        <v>74</v>
      </c>
      <c r="H19" s="10">
        <f t="shared" si="0"/>
        <v>89.650807291666666</v>
      </c>
      <c r="I19" s="10">
        <f t="shared" si="1"/>
        <v>2236.4241927083331</v>
      </c>
      <c r="J19" s="9">
        <v>344507.13369087415</v>
      </c>
      <c r="K19" s="9">
        <v>358317.27881174342</v>
      </c>
      <c r="L19" s="8">
        <v>1</v>
      </c>
      <c r="M19" s="8">
        <v>1</v>
      </c>
    </row>
    <row r="20" spans="1:13">
      <c r="A20" s="7">
        <v>20905</v>
      </c>
      <c r="B20" s="8" t="s">
        <v>24</v>
      </c>
      <c r="C20" s="9">
        <v>6406446078</v>
      </c>
      <c r="D20" s="10">
        <v>15447.741</v>
      </c>
      <c r="E20" s="8">
        <v>12671</v>
      </c>
      <c r="F20" s="8">
        <v>1.2191414253018704</v>
      </c>
      <c r="G20" s="11">
        <v>232</v>
      </c>
      <c r="H20" s="10">
        <f t="shared" si="0"/>
        <v>282.84081067003393</v>
      </c>
      <c r="I20" s="10">
        <f t="shared" si="1"/>
        <v>15164.900189329966</v>
      </c>
      <c r="J20" s="9">
        <v>414717.34138991585</v>
      </c>
      <c r="K20" s="9">
        <v>422452.24155893747</v>
      </c>
      <c r="L20" s="8">
        <v>1</v>
      </c>
      <c r="M20" s="8">
        <v>1</v>
      </c>
    </row>
    <row r="21" spans="1:13">
      <c r="A21" s="7">
        <v>20906</v>
      </c>
      <c r="B21" s="8" t="s">
        <v>25</v>
      </c>
      <c r="C21" s="9">
        <v>1343741238</v>
      </c>
      <c r="D21" s="10">
        <v>2472.2530000000002</v>
      </c>
      <c r="E21" s="8">
        <v>1968</v>
      </c>
      <c r="F21" s="8">
        <v>1.2562261178861789</v>
      </c>
      <c r="G21" s="11">
        <v>113</v>
      </c>
      <c r="H21" s="10">
        <f t="shared" si="0"/>
        <v>141.95355132113821</v>
      </c>
      <c r="I21" s="10">
        <f t="shared" si="1"/>
        <v>2330.2994486788621</v>
      </c>
      <c r="J21" s="9">
        <v>543529.01503203751</v>
      </c>
      <c r="K21" s="9">
        <v>576638.86877792445</v>
      </c>
      <c r="L21" s="8">
        <v>1</v>
      </c>
      <c r="M21" s="8">
        <v>1</v>
      </c>
    </row>
    <row r="22" spans="1:13">
      <c r="A22" s="7">
        <v>21901</v>
      </c>
      <c r="B22" s="8" t="s">
        <v>26</v>
      </c>
      <c r="C22" s="9">
        <v>5865522105</v>
      </c>
      <c r="D22" s="10">
        <v>12138.731</v>
      </c>
      <c r="E22" s="8">
        <v>10360</v>
      </c>
      <c r="F22" s="8">
        <v>1.1716921814671815</v>
      </c>
      <c r="G22" s="11">
        <v>96</v>
      </c>
      <c r="H22" s="10">
        <f t="shared" si="0"/>
        <v>112.48244942084942</v>
      </c>
      <c r="I22" s="10">
        <f t="shared" si="1"/>
        <v>12026.24855057915</v>
      </c>
      <c r="J22" s="9">
        <v>483207.19068574795</v>
      </c>
      <c r="K22" s="9">
        <v>487726.66557914548</v>
      </c>
      <c r="L22" s="8">
        <v>1</v>
      </c>
      <c r="M22" s="8">
        <v>1</v>
      </c>
    </row>
    <row r="23" spans="1:13">
      <c r="A23" s="7">
        <v>24901</v>
      </c>
      <c r="B23" s="8" t="s">
        <v>27</v>
      </c>
      <c r="C23" s="9">
        <v>798949705</v>
      </c>
      <c r="D23" s="10">
        <v>2142.46</v>
      </c>
      <c r="E23" s="8">
        <v>1488</v>
      </c>
      <c r="F23" s="8">
        <v>1.4398252688172044</v>
      </c>
      <c r="G23" s="11">
        <v>36</v>
      </c>
      <c r="H23" s="10">
        <f t="shared" si="0"/>
        <v>51.833709677419357</v>
      </c>
      <c r="I23" s="10">
        <f t="shared" si="1"/>
        <v>2090.6262903225806</v>
      </c>
      <c r="J23" s="9">
        <v>372912.30874788796</v>
      </c>
      <c r="K23" s="9">
        <v>382158.06846890994</v>
      </c>
      <c r="L23" s="8">
        <v>1</v>
      </c>
      <c r="M23" s="8">
        <v>1</v>
      </c>
    </row>
    <row r="24" spans="1:13">
      <c r="A24" s="7">
        <v>25905</v>
      </c>
      <c r="B24" s="8" t="s">
        <v>28</v>
      </c>
      <c r="C24" s="9">
        <v>137210304</v>
      </c>
      <c r="D24" s="10">
        <v>413.423</v>
      </c>
      <c r="E24" s="8">
        <v>272</v>
      </c>
      <c r="F24" s="8">
        <v>1.5199374999999999</v>
      </c>
      <c r="G24" s="11">
        <v>23</v>
      </c>
      <c r="H24" s="10">
        <f t="shared" si="0"/>
        <v>34.958562499999999</v>
      </c>
      <c r="I24" s="10">
        <f t="shared" si="1"/>
        <v>378.46443750000003</v>
      </c>
      <c r="J24" s="9">
        <v>331888.4145294287</v>
      </c>
      <c r="K24" s="9">
        <v>362544.77410443616</v>
      </c>
      <c r="L24" s="8">
        <v>1</v>
      </c>
      <c r="M24" s="8">
        <v>1</v>
      </c>
    </row>
    <row r="25" spans="1:13">
      <c r="A25" s="7">
        <v>25908</v>
      </c>
      <c r="B25" s="8" t="s">
        <v>29</v>
      </c>
      <c r="C25" s="9">
        <v>47321113</v>
      </c>
      <c r="D25" s="10">
        <v>259.029</v>
      </c>
      <c r="E25" s="8">
        <v>169</v>
      </c>
      <c r="F25" s="8">
        <v>1.5327159763313609</v>
      </c>
      <c r="G25" s="11">
        <v>76</v>
      </c>
      <c r="H25" s="10">
        <f t="shared" si="0"/>
        <v>116.48641420118344</v>
      </c>
      <c r="I25" s="10">
        <f t="shared" si="1"/>
        <v>142.54258579881656</v>
      </c>
      <c r="J25" s="9">
        <v>182686.54474981566</v>
      </c>
      <c r="K25" s="9">
        <v>331978.77486794459</v>
      </c>
      <c r="L25" s="8">
        <v>0</v>
      </c>
      <c r="M25" s="8">
        <v>1</v>
      </c>
    </row>
    <row r="26" spans="1:13">
      <c r="A26" s="7">
        <v>27903</v>
      </c>
      <c r="B26" s="8" t="s">
        <v>30</v>
      </c>
      <c r="C26" s="9">
        <v>1677344674</v>
      </c>
      <c r="D26" s="10">
        <v>4426.7979999999998</v>
      </c>
      <c r="E26" s="8">
        <v>3343</v>
      </c>
      <c r="F26" s="8">
        <v>1.3241992222554591</v>
      </c>
      <c r="G26" s="11">
        <v>47</v>
      </c>
      <c r="H26" s="10">
        <f t="shared" si="0"/>
        <v>62.237363446006576</v>
      </c>
      <c r="I26" s="10">
        <f t="shared" si="1"/>
        <v>4364.5606365539934</v>
      </c>
      <c r="J26" s="9">
        <v>378906.98288017663</v>
      </c>
      <c r="K26" s="9">
        <v>384310.08609479078</v>
      </c>
      <c r="L26" s="8">
        <v>1</v>
      </c>
      <c r="M26" s="8">
        <v>1</v>
      </c>
    </row>
    <row r="27" spans="1:13">
      <c r="A27" s="7">
        <v>27904</v>
      </c>
      <c r="B27" s="8" t="s">
        <v>31</v>
      </c>
      <c r="C27" s="9">
        <v>2857190130</v>
      </c>
      <c r="D27" s="10">
        <v>4990.2299999999996</v>
      </c>
      <c r="E27" s="8">
        <v>4058</v>
      </c>
      <c r="F27" s="8">
        <v>1.2297264662395269</v>
      </c>
      <c r="G27" s="11">
        <v>155</v>
      </c>
      <c r="H27" s="10">
        <f t="shared" si="0"/>
        <v>190.60760226712665</v>
      </c>
      <c r="I27" s="10">
        <f t="shared" si="1"/>
        <v>4799.6223977328727</v>
      </c>
      <c r="J27" s="9">
        <v>572556.80199109064</v>
      </c>
      <c r="K27" s="9">
        <v>595294.77388671425</v>
      </c>
      <c r="L27" s="8">
        <v>1</v>
      </c>
      <c r="M27" s="8">
        <v>1</v>
      </c>
    </row>
    <row r="28" spans="1:13">
      <c r="A28" s="7">
        <v>28906</v>
      </c>
      <c r="B28" s="8" t="s">
        <v>32</v>
      </c>
      <c r="C28" s="9">
        <v>105918616</v>
      </c>
      <c r="D28" s="10">
        <v>373.88299999999998</v>
      </c>
      <c r="E28" s="8">
        <v>232</v>
      </c>
      <c r="F28" s="8">
        <v>1.6115646551724137</v>
      </c>
      <c r="G28" s="11">
        <v>30</v>
      </c>
      <c r="H28" s="10">
        <f t="shared" si="0"/>
        <v>48.346939655172406</v>
      </c>
      <c r="I28" s="10">
        <f t="shared" si="1"/>
        <v>325.53606034482755</v>
      </c>
      <c r="J28" s="9">
        <v>283293.47951097001</v>
      </c>
      <c r="K28" s="9">
        <v>325366.76854725275</v>
      </c>
      <c r="L28" s="8">
        <v>0</v>
      </c>
      <c r="M28" s="8">
        <v>1</v>
      </c>
    </row>
    <row r="29" spans="1:13">
      <c r="A29" s="7">
        <v>29901</v>
      </c>
      <c r="B29" s="8" t="s">
        <v>33</v>
      </c>
      <c r="C29" s="9">
        <v>3008601015</v>
      </c>
      <c r="D29" s="10">
        <v>5323.4030000000002</v>
      </c>
      <c r="E29" s="8">
        <v>4224</v>
      </c>
      <c r="F29" s="8">
        <v>1.260275331439394</v>
      </c>
      <c r="G29" s="11">
        <v>42</v>
      </c>
      <c r="H29" s="10">
        <f t="shared" si="0"/>
        <v>52.931563920454543</v>
      </c>
      <c r="I29" s="10">
        <f t="shared" si="1"/>
        <v>5270.471436079546</v>
      </c>
      <c r="J29" s="9">
        <v>565164.99220517394</v>
      </c>
      <c r="K29" s="9">
        <v>570840.9677366463</v>
      </c>
      <c r="L29" s="8">
        <v>1</v>
      </c>
      <c r="M29" s="8">
        <v>1</v>
      </c>
    </row>
    <row r="30" spans="1:13">
      <c r="A30" s="7">
        <v>30906</v>
      </c>
      <c r="B30" s="8" t="s">
        <v>34</v>
      </c>
      <c r="C30" s="9">
        <v>215842201</v>
      </c>
      <c r="D30" s="10">
        <v>584.21900000000005</v>
      </c>
      <c r="E30" s="8">
        <v>378</v>
      </c>
      <c r="F30" s="8">
        <v>1.5455529100529102</v>
      </c>
      <c r="G30" s="11">
        <v>69</v>
      </c>
      <c r="H30" s="10">
        <f t="shared" si="0"/>
        <v>106.6431507936508</v>
      </c>
      <c r="I30" s="10">
        <f t="shared" si="1"/>
        <v>477.57584920634923</v>
      </c>
      <c r="J30" s="9">
        <v>369454.26458228845</v>
      </c>
      <c r="K30" s="9">
        <v>451953.76055697427</v>
      </c>
      <c r="L30" s="8">
        <v>1</v>
      </c>
      <c r="M30" s="8">
        <v>1</v>
      </c>
    </row>
    <row r="31" spans="1:13">
      <c r="A31" s="7">
        <v>31909</v>
      </c>
      <c r="B31" s="8" t="s">
        <v>35</v>
      </c>
      <c r="C31" s="9">
        <v>3647328802</v>
      </c>
      <c r="D31" s="10">
        <v>3401.498</v>
      </c>
      <c r="E31" s="8">
        <v>2532</v>
      </c>
      <c r="F31" s="8">
        <v>1.3434036334913113</v>
      </c>
      <c r="G31" s="11">
        <v>108</v>
      </c>
      <c r="H31" s="10">
        <f t="shared" si="0"/>
        <v>145.08759241706161</v>
      </c>
      <c r="I31" s="10">
        <f t="shared" si="1"/>
        <v>3256.4104075829382</v>
      </c>
      <c r="J31" s="9">
        <v>1072271.3351588035</v>
      </c>
      <c r="K31" s="9">
        <v>1120045.8005866711</v>
      </c>
      <c r="L31" s="8">
        <v>1</v>
      </c>
      <c r="M31" s="8">
        <v>1</v>
      </c>
    </row>
    <row r="32" spans="1:13">
      <c r="A32" s="7">
        <v>33901</v>
      </c>
      <c r="B32" s="8" t="s">
        <v>36</v>
      </c>
      <c r="C32" s="9">
        <v>70542621</v>
      </c>
      <c r="D32" s="10">
        <v>221.53100000000001</v>
      </c>
      <c r="E32" s="8">
        <v>127</v>
      </c>
      <c r="F32" s="8">
        <v>1.7443385826771654</v>
      </c>
      <c r="G32" s="11">
        <v>12</v>
      </c>
      <c r="H32" s="10">
        <f t="shared" si="0"/>
        <v>20.932062992125985</v>
      </c>
      <c r="I32" s="10">
        <f t="shared" si="1"/>
        <v>200.59893700787401</v>
      </c>
      <c r="J32" s="9">
        <v>318432.27810103324</v>
      </c>
      <c r="K32" s="9">
        <v>351659.99407679326</v>
      </c>
      <c r="L32" s="8">
        <v>0</v>
      </c>
      <c r="M32" s="8">
        <v>1</v>
      </c>
    </row>
    <row r="33" spans="1:13">
      <c r="A33" s="7">
        <v>33902</v>
      </c>
      <c r="B33" s="8" t="s">
        <v>37</v>
      </c>
      <c r="C33" s="9">
        <v>546216584</v>
      </c>
      <c r="D33" s="10">
        <v>1066.604</v>
      </c>
      <c r="E33" s="8">
        <v>674</v>
      </c>
      <c r="F33" s="8">
        <v>1.5824985163204748</v>
      </c>
      <c r="G33" s="11">
        <v>18</v>
      </c>
      <c r="H33" s="10">
        <f t="shared" si="0"/>
        <v>28.484973293768547</v>
      </c>
      <c r="I33" s="10">
        <f t="shared" si="1"/>
        <v>1038.1190267062316</v>
      </c>
      <c r="J33" s="9">
        <v>512108.13385286386</v>
      </c>
      <c r="K33" s="9">
        <v>526159.88142809481</v>
      </c>
      <c r="L33" s="8">
        <v>1</v>
      </c>
      <c r="M33" s="8">
        <v>1</v>
      </c>
    </row>
    <row r="34" spans="1:13">
      <c r="A34" s="7">
        <v>33904</v>
      </c>
      <c r="B34" s="8" t="s">
        <v>38</v>
      </c>
      <c r="C34" s="9">
        <v>385416890</v>
      </c>
      <c r="D34" s="10">
        <v>573.74300000000005</v>
      </c>
      <c r="E34" s="8">
        <v>385</v>
      </c>
      <c r="F34" s="8">
        <v>1.4902415584415585</v>
      </c>
      <c r="G34" s="11">
        <v>90</v>
      </c>
      <c r="H34" s="10">
        <f t="shared" si="0"/>
        <v>134.12174025974025</v>
      </c>
      <c r="I34" s="10">
        <f t="shared" si="1"/>
        <v>439.6212597402598</v>
      </c>
      <c r="J34" s="9">
        <v>671758.76655575749</v>
      </c>
      <c r="K34" s="9">
        <v>876702.11906429357</v>
      </c>
      <c r="L34" s="8">
        <v>1</v>
      </c>
      <c r="M34" s="8">
        <v>1</v>
      </c>
    </row>
    <row r="35" spans="1:13">
      <c r="A35" s="7">
        <v>36902</v>
      </c>
      <c r="B35" s="8" t="s">
        <v>39</v>
      </c>
      <c r="C35" s="9">
        <v>2924703552</v>
      </c>
      <c r="D35" s="10">
        <v>5002.3919999999998</v>
      </c>
      <c r="E35" s="8">
        <v>4201</v>
      </c>
      <c r="F35" s="8">
        <v>1.1907621994763151</v>
      </c>
      <c r="G35" s="11">
        <v>88</v>
      </c>
      <c r="H35" s="10">
        <f t="shared" si="0"/>
        <v>104.78707355391573</v>
      </c>
      <c r="I35" s="10">
        <f t="shared" si="1"/>
        <v>4897.6049264460844</v>
      </c>
      <c r="J35" s="9">
        <v>584661.00857349846</v>
      </c>
      <c r="K35" s="9">
        <v>597170.1670355621</v>
      </c>
      <c r="L35" s="8">
        <v>1</v>
      </c>
      <c r="M35" s="8">
        <v>1</v>
      </c>
    </row>
    <row r="36" spans="1:13">
      <c r="A36" s="7">
        <v>39905</v>
      </c>
      <c r="B36" s="8" t="s">
        <v>40</v>
      </c>
      <c r="C36" s="9">
        <v>86363064</v>
      </c>
      <c r="D36" s="10">
        <v>245.83</v>
      </c>
      <c r="E36" s="8">
        <v>102</v>
      </c>
      <c r="F36" s="8">
        <v>2.4100980392156863</v>
      </c>
      <c r="G36" s="11">
        <v>14</v>
      </c>
      <c r="H36" s="10">
        <f t="shared" si="0"/>
        <v>33.741372549019609</v>
      </c>
      <c r="I36" s="10">
        <f t="shared" si="1"/>
        <v>212.0886274509804</v>
      </c>
      <c r="J36" s="9">
        <v>351312.14253752591</v>
      </c>
      <c r="K36" s="9">
        <v>407202.71066849597</v>
      </c>
      <c r="L36" s="8">
        <v>1</v>
      </c>
      <c r="M36" s="8">
        <v>1</v>
      </c>
    </row>
    <row r="37" spans="1:13">
      <c r="A37" s="7">
        <v>40902</v>
      </c>
      <c r="B37" s="8" t="s">
        <v>41</v>
      </c>
      <c r="C37" s="9">
        <v>863012124</v>
      </c>
      <c r="D37" s="10">
        <v>534.97</v>
      </c>
      <c r="E37" s="8">
        <v>293</v>
      </c>
      <c r="F37" s="8">
        <v>1.8258361774744027</v>
      </c>
      <c r="G37" s="11">
        <v>115</v>
      </c>
      <c r="H37" s="10">
        <f t="shared" si="0"/>
        <v>209.97116040955632</v>
      </c>
      <c r="I37" s="10">
        <f t="shared" si="1"/>
        <v>324.99883959044371</v>
      </c>
      <c r="J37" s="9">
        <v>1613197.2334897283</v>
      </c>
      <c r="K37" s="9">
        <v>2655431.4011937664</v>
      </c>
      <c r="L37" s="8">
        <v>1</v>
      </c>
      <c r="M37" s="8">
        <v>1</v>
      </c>
    </row>
    <row r="38" spans="1:13">
      <c r="A38" s="7">
        <v>41902</v>
      </c>
      <c r="B38" s="8" t="s">
        <v>42</v>
      </c>
      <c r="C38" s="9">
        <v>288052704</v>
      </c>
      <c r="D38" s="10">
        <v>461.76900000000001</v>
      </c>
      <c r="E38" s="8">
        <v>248</v>
      </c>
      <c r="F38" s="8">
        <v>1.8619717741935484</v>
      </c>
      <c r="G38" s="11">
        <v>8</v>
      </c>
      <c r="H38" s="10">
        <f t="shared" si="0"/>
        <v>14.895774193548387</v>
      </c>
      <c r="I38" s="10">
        <f t="shared" si="1"/>
        <v>446.87322580645161</v>
      </c>
      <c r="J38" s="9">
        <v>623802.60260000126</v>
      </c>
      <c r="K38" s="9">
        <v>644596.02268666797</v>
      </c>
      <c r="L38" s="8">
        <v>1</v>
      </c>
      <c r="M38" s="8">
        <v>1</v>
      </c>
    </row>
    <row r="39" spans="1:13">
      <c r="A39" s="7">
        <v>42905</v>
      </c>
      <c r="B39" s="8" t="s">
        <v>43</v>
      </c>
      <c r="C39" s="9">
        <v>119633366</v>
      </c>
      <c r="D39" s="10">
        <v>325.62200000000001</v>
      </c>
      <c r="E39" s="8">
        <v>169</v>
      </c>
      <c r="F39" s="8">
        <v>1.9267573964497042</v>
      </c>
      <c r="G39" s="11">
        <v>53</v>
      </c>
      <c r="H39" s="10">
        <f t="shared" si="0"/>
        <v>102.11814201183432</v>
      </c>
      <c r="I39" s="10">
        <f t="shared" si="1"/>
        <v>223.50385798816569</v>
      </c>
      <c r="J39" s="9">
        <v>367399.51846005488</v>
      </c>
      <c r="K39" s="9">
        <v>535263.09154956276</v>
      </c>
      <c r="L39" s="8">
        <v>1</v>
      </c>
      <c r="M39" s="8">
        <v>1</v>
      </c>
    </row>
    <row r="40" spans="1:13">
      <c r="A40" s="7">
        <v>42906</v>
      </c>
      <c r="B40" s="8" t="s">
        <v>44</v>
      </c>
      <c r="C40" s="9">
        <v>44610586</v>
      </c>
      <c r="D40" s="10">
        <v>243.982</v>
      </c>
      <c r="E40" s="8">
        <v>93</v>
      </c>
      <c r="F40" s="8">
        <v>2.623462365591398</v>
      </c>
      <c r="G40" s="11">
        <v>51</v>
      </c>
      <c r="H40" s="10">
        <f t="shared" si="0"/>
        <v>133.7965806451613</v>
      </c>
      <c r="I40" s="10">
        <f t="shared" si="1"/>
        <v>110.1854193548387</v>
      </c>
      <c r="J40" s="9">
        <v>182843.75896582534</v>
      </c>
      <c r="K40" s="9">
        <v>404868.32342432759</v>
      </c>
      <c r="L40" s="8">
        <v>0</v>
      </c>
      <c r="M40" s="8">
        <v>1</v>
      </c>
    </row>
    <row r="41" spans="1:13">
      <c r="A41" s="7">
        <v>43901</v>
      </c>
      <c r="B41" s="8" t="s">
        <v>45</v>
      </c>
      <c r="C41" s="9">
        <v>7254839590</v>
      </c>
      <c r="D41" s="10">
        <v>21893.272000000001</v>
      </c>
      <c r="E41" s="8">
        <v>18726</v>
      </c>
      <c r="F41" s="8">
        <v>1.1691376695503579</v>
      </c>
      <c r="G41" s="11">
        <v>179</v>
      </c>
      <c r="H41" s="10">
        <f t="shared" si="0"/>
        <v>209.27564284951407</v>
      </c>
      <c r="I41" s="10">
        <f t="shared" si="1"/>
        <v>21683.996357150485</v>
      </c>
      <c r="J41" s="9">
        <v>331373.01678798854</v>
      </c>
      <c r="K41" s="9">
        <v>334571.149639935</v>
      </c>
      <c r="L41" s="8">
        <v>1</v>
      </c>
      <c r="M41" s="8">
        <v>1</v>
      </c>
    </row>
    <row r="42" spans="1:13">
      <c r="A42" s="7">
        <v>43905</v>
      </c>
      <c r="B42" s="8" t="s">
        <v>46</v>
      </c>
      <c r="C42" s="9">
        <v>15822439986</v>
      </c>
      <c r="D42" s="10">
        <v>45539.866999999998</v>
      </c>
      <c r="E42" s="8">
        <v>37043</v>
      </c>
      <c r="F42" s="8">
        <v>1.2293784790648705</v>
      </c>
      <c r="G42" s="11">
        <v>397</v>
      </c>
      <c r="H42" s="10">
        <f t="shared" si="0"/>
        <v>488.0632561887536</v>
      </c>
      <c r="I42" s="10">
        <f t="shared" si="1"/>
        <v>45051.803743811244</v>
      </c>
      <c r="J42" s="9">
        <v>347441.50627405214</v>
      </c>
      <c r="K42" s="9">
        <v>351205.47172705655</v>
      </c>
      <c r="L42" s="8">
        <v>1</v>
      </c>
      <c r="M42" s="8">
        <v>1</v>
      </c>
    </row>
    <row r="43" spans="1:13">
      <c r="A43" s="7">
        <v>43910</v>
      </c>
      <c r="B43" s="8" t="s">
        <v>47</v>
      </c>
      <c r="C43" s="9">
        <v>32920118828</v>
      </c>
      <c r="D43" s="10">
        <v>64970.624000000003</v>
      </c>
      <c r="E43" s="8">
        <v>55294</v>
      </c>
      <c r="F43" s="8">
        <v>1.175003146815206</v>
      </c>
      <c r="G43" s="11">
        <v>520</v>
      </c>
      <c r="H43" s="10">
        <f t="shared" si="0"/>
        <v>611.00163634390708</v>
      </c>
      <c r="I43" s="10">
        <f t="shared" si="1"/>
        <v>64359.622363656097</v>
      </c>
      <c r="J43" s="9">
        <v>506692.36035042541</v>
      </c>
      <c r="K43" s="9">
        <v>511502.67231198057</v>
      </c>
      <c r="L43" s="8">
        <v>1</v>
      </c>
      <c r="M43" s="8">
        <v>1</v>
      </c>
    </row>
    <row r="44" spans="1:13">
      <c r="A44" s="7">
        <v>43912</v>
      </c>
      <c r="B44" s="8" t="s">
        <v>48</v>
      </c>
      <c r="C44" s="9">
        <v>1757872883</v>
      </c>
      <c r="D44" s="10">
        <v>5349.2349999999997</v>
      </c>
      <c r="E44" s="8">
        <v>4334</v>
      </c>
      <c r="F44" s="8">
        <v>1.2342489616982002</v>
      </c>
      <c r="G44" s="11">
        <v>193</v>
      </c>
      <c r="H44" s="10">
        <f t="shared" si="0"/>
        <v>238.21004960775264</v>
      </c>
      <c r="I44" s="10">
        <f t="shared" si="1"/>
        <v>5111.0249503922469</v>
      </c>
      <c r="J44" s="9">
        <v>328621.36043752055</v>
      </c>
      <c r="K44" s="9">
        <v>343937.44895827433</v>
      </c>
      <c r="L44" s="8">
        <v>1</v>
      </c>
      <c r="M44" s="8">
        <v>1</v>
      </c>
    </row>
    <row r="45" spans="1:13">
      <c r="A45" s="7">
        <v>43919</v>
      </c>
      <c r="B45" s="8" t="s">
        <v>49</v>
      </c>
      <c r="C45" s="9">
        <v>1484600020</v>
      </c>
      <c r="D45" s="10">
        <v>4061.7750000000001</v>
      </c>
      <c r="E45" s="8">
        <v>3369</v>
      </c>
      <c r="F45" s="8">
        <v>1.2056322350845949</v>
      </c>
      <c r="G45" s="11">
        <v>191</v>
      </c>
      <c r="H45" s="10">
        <f t="shared" si="0"/>
        <v>230.27575690115762</v>
      </c>
      <c r="I45" s="10">
        <f t="shared" si="1"/>
        <v>3831.4992430988423</v>
      </c>
      <c r="J45" s="9">
        <v>365505.23354937189</v>
      </c>
      <c r="K45" s="9">
        <v>387472.35111007991</v>
      </c>
      <c r="L45" s="8">
        <v>1</v>
      </c>
      <c r="M45" s="8">
        <v>1</v>
      </c>
    </row>
    <row r="46" spans="1:13">
      <c r="A46" s="7">
        <v>44904</v>
      </c>
      <c r="B46" s="8" t="s">
        <v>50</v>
      </c>
      <c r="C46" s="9">
        <v>36665927</v>
      </c>
      <c r="D46" s="10">
        <v>190.059</v>
      </c>
      <c r="E46" s="8">
        <v>64</v>
      </c>
      <c r="F46" s="8">
        <v>2.969671875</v>
      </c>
      <c r="G46" s="11">
        <v>57</v>
      </c>
      <c r="H46" s="10">
        <f t="shared" si="0"/>
        <v>169.27129687499999</v>
      </c>
      <c r="I46" s="10">
        <f t="shared" si="1"/>
        <v>20.787703125000007</v>
      </c>
      <c r="J46" s="9">
        <v>192918.65683813975</v>
      </c>
      <c r="K46" s="9">
        <v>1763827.7196629914</v>
      </c>
      <c r="L46" s="8">
        <v>0</v>
      </c>
      <c r="M46" s="8">
        <v>1</v>
      </c>
    </row>
    <row r="47" spans="1:13">
      <c r="A47" s="7">
        <v>45902</v>
      </c>
      <c r="B47" s="8" t="s">
        <v>51</v>
      </c>
      <c r="C47" s="9">
        <v>768046803</v>
      </c>
      <c r="D47" s="10">
        <v>2113.2800000000002</v>
      </c>
      <c r="E47" s="8">
        <v>1573</v>
      </c>
      <c r="F47" s="8">
        <v>1.3434710743801654</v>
      </c>
      <c r="G47" s="11">
        <v>60</v>
      </c>
      <c r="H47" s="10">
        <f t="shared" si="0"/>
        <v>80.608264462809927</v>
      </c>
      <c r="I47" s="10">
        <f t="shared" si="1"/>
        <v>2032.6717355371902</v>
      </c>
      <c r="J47" s="9">
        <v>363438.258536493</v>
      </c>
      <c r="K47" s="9">
        <v>377850.87949630106</v>
      </c>
      <c r="L47" s="8">
        <v>1</v>
      </c>
      <c r="M47" s="8">
        <v>1</v>
      </c>
    </row>
    <row r="48" spans="1:13">
      <c r="A48" s="7">
        <v>46902</v>
      </c>
      <c r="B48" s="8" t="s">
        <v>52</v>
      </c>
      <c r="C48" s="9">
        <v>10280086341</v>
      </c>
      <c r="D48" s="10">
        <v>20382.895</v>
      </c>
      <c r="E48" s="8">
        <v>17140</v>
      </c>
      <c r="F48" s="8">
        <v>1.1892004084014003</v>
      </c>
      <c r="G48" s="11">
        <v>193</v>
      </c>
      <c r="H48" s="10">
        <f t="shared" si="0"/>
        <v>229.51567882147026</v>
      </c>
      <c r="I48" s="10">
        <f t="shared" si="1"/>
        <v>20153.379321178531</v>
      </c>
      <c r="J48" s="9">
        <v>504348.68751470291</v>
      </c>
      <c r="K48" s="9">
        <v>510092.43547542382</v>
      </c>
      <c r="L48" s="8">
        <v>1</v>
      </c>
      <c r="M48" s="8">
        <v>1</v>
      </c>
    </row>
    <row r="49" spans="1:13">
      <c r="A49" s="7">
        <v>48903</v>
      </c>
      <c r="B49" s="8" t="s">
        <v>53</v>
      </c>
      <c r="C49" s="9">
        <v>66082791</v>
      </c>
      <c r="D49" s="10">
        <v>275.75799999999998</v>
      </c>
      <c r="E49" s="8">
        <v>148</v>
      </c>
      <c r="F49" s="8">
        <v>1.8632297297297296</v>
      </c>
      <c r="G49" s="11">
        <v>83</v>
      </c>
      <c r="H49" s="10">
        <f t="shared" si="0"/>
        <v>154.64806756756755</v>
      </c>
      <c r="I49" s="10">
        <f t="shared" si="1"/>
        <v>121.10993243243243</v>
      </c>
      <c r="J49" s="9">
        <v>239640.52176183468</v>
      </c>
      <c r="K49" s="9">
        <v>545643.03416540811</v>
      </c>
      <c r="L49" s="8">
        <v>0</v>
      </c>
      <c r="M49" s="8">
        <v>1</v>
      </c>
    </row>
    <row r="50" spans="1:13">
      <c r="A50" s="7">
        <v>49902</v>
      </c>
      <c r="B50" s="8" t="s">
        <v>54</v>
      </c>
      <c r="C50" s="9">
        <v>307905184</v>
      </c>
      <c r="D50" s="10">
        <v>715.52</v>
      </c>
      <c r="E50" s="8">
        <v>479</v>
      </c>
      <c r="F50" s="8">
        <v>1.4937787056367431</v>
      </c>
      <c r="G50" s="11">
        <v>60</v>
      </c>
      <c r="H50" s="10">
        <f t="shared" si="0"/>
        <v>89.626722338204587</v>
      </c>
      <c r="I50" s="10">
        <f t="shared" si="1"/>
        <v>625.89327766179542</v>
      </c>
      <c r="J50" s="9">
        <v>430323.65831842576</v>
      </c>
      <c r="K50" s="9">
        <v>491945.18456927431</v>
      </c>
      <c r="L50" s="8">
        <v>1</v>
      </c>
      <c r="M50" s="8">
        <v>1</v>
      </c>
    </row>
    <row r="51" spans="1:13">
      <c r="A51" s="7">
        <v>49905</v>
      </c>
      <c r="B51" s="8" t="s">
        <v>55</v>
      </c>
      <c r="C51" s="9">
        <v>544494225</v>
      </c>
      <c r="D51" s="10">
        <v>1633.432</v>
      </c>
      <c r="E51" s="8">
        <v>1197</v>
      </c>
      <c r="F51" s="8">
        <v>1.3646048454469508</v>
      </c>
      <c r="G51" s="11">
        <v>137</v>
      </c>
      <c r="H51" s="10">
        <f t="shared" si="0"/>
        <v>186.95086382623225</v>
      </c>
      <c r="I51" s="10">
        <f t="shared" si="1"/>
        <v>1446.4811361737677</v>
      </c>
      <c r="J51" s="9">
        <v>333343.67454537441</v>
      </c>
      <c r="K51" s="9">
        <v>376426.77210454072</v>
      </c>
      <c r="L51" s="8">
        <v>1</v>
      </c>
      <c r="M51" s="8">
        <v>1</v>
      </c>
    </row>
    <row r="52" spans="1:13">
      <c r="A52" s="7">
        <v>49907</v>
      </c>
      <c r="B52" s="8" t="s">
        <v>56</v>
      </c>
      <c r="C52" s="9">
        <v>227323216</v>
      </c>
      <c r="D52" s="10">
        <v>724.60400000000004</v>
      </c>
      <c r="E52" s="8">
        <v>542</v>
      </c>
      <c r="F52" s="8">
        <v>1.3369077490774908</v>
      </c>
      <c r="G52" s="11">
        <v>133</v>
      </c>
      <c r="H52" s="10">
        <f t="shared" si="0"/>
        <v>177.80873062730626</v>
      </c>
      <c r="I52" s="10">
        <f t="shared" si="1"/>
        <v>546.79526937269384</v>
      </c>
      <c r="J52" s="9">
        <v>313720.61981440894</v>
      </c>
      <c r="K52" s="9">
        <v>415737.34948510909</v>
      </c>
      <c r="L52" s="8">
        <v>0</v>
      </c>
      <c r="M52" s="8">
        <v>1</v>
      </c>
    </row>
    <row r="53" spans="1:13">
      <c r="A53" s="7">
        <v>49908</v>
      </c>
      <c r="B53" s="8" t="s">
        <v>57</v>
      </c>
      <c r="C53" s="9">
        <v>24396297</v>
      </c>
      <c r="D53" s="10">
        <v>128.869</v>
      </c>
      <c r="E53" s="8">
        <v>63</v>
      </c>
      <c r="F53" s="8">
        <v>2.0455396825396823</v>
      </c>
      <c r="G53" s="11">
        <v>44</v>
      </c>
      <c r="H53" s="10">
        <f t="shared" si="0"/>
        <v>90.003746031746019</v>
      </c>
      <c r="I53" s="10">
        <f t="shared" si="1"/>
        <v>38.865253968253981</v>
      </c>
      <c r="J53" s="9">
        <v>189310.82727420868</v>
      </c>
      <c r="K53" s="9">
        <v>627714.84833027073</v>
      </c>
      <c r="L53" s="8">
        <v>0</v>
      </c>
      <c r="M53" s="8">
        <v>1</v>
      </c>
    </row>
    <row r="54" spans="1:13">
      <c r="A54" s="7">
        <v>49909</v>
      </c>
      <c r="B54" s="8" t="s">
        <v>58</v>
      </c>
      <c r="C54" s="9">
        <v>112477840</v>
      </c>
      <c r="D54" s="10">
        <v>121.468</v>
      </c>
      <c r="E54" s="8">
        <v>66</v>
      </c>
      <c r="F54" s="8">
        <v>1.8404242424242425</v>
      </c>
      <c r="G54" s="11">
        <v>33</v>
      </c>
      <c r="H54" s="10">
        <f t="shared" si="0"/>
        <v>60.734000000000002</v>
      </c>
      <c r="I54" s="10">
        <f t="shared" si="1"/>
        <v>60.734000000000002</v>
      </c>
      <c r="J54" s="9">
        <v>925987.42055520788</v>
      </c>
      <c r="K54" s="9">
        <v>1851974.8411104158</v>
      </c>
      <c r="L54" s="8">
        <v>1</v>
      </c>
      <c r="M54" s="8">
        <v>1</v>
      </c>
    </row>
    <row r="55" spans="1:13">
      <c r="A55" s="7">
        <v>50909</v>
      </c>
      <c r="B55" s="8" t="s">
        <v>59</v>
      </c>
      <c r="C55" s="9">
        <v>57594148</v>
      </c>
      <c r="D55" s="10">
        <v>232.202</v>
      </c>
      <c r="E55" s="8">
        <v>136</v>
      </c>
      <c r="F55" s="8">
        <v>1.7073676470588235</v>
      </c>
      <c r="G55" s="11">
        <v>37</v>
      </c>
      <c r="H55" s="10">
        <f t="shared" si="0"/>
        <v>63.172602941176471</v>
      </c>
      <c r="I55" s="10">
        <f t="shared" si="1"/>
        <v>169.02939705882352</v>
      </c>
      <c r="J55" s="9">
        <v>248034.67670390435</v>
      </c>
      <c r="K55" s="9">
        <v>340734.50537102018</v>
      </c>
      <c r="L55" s="8">
        <v>0</v>
      </c>
      <c r="M55" s="8">
        <v>1</v>
      </c>
    </row>
    <row r="56" spans="1:13">
      <c r="A56" s="7">
        <v>52901</v>
      </c>
      <c r="B56" s="8" t="s">
        <v>60</v>
      </c>
      <c r="C56" s="9">
        <v>2199073240</v>
      </c>
      <c r="D56" s="10">
        <v>1536.7049999999999</v>
      </c>
      <c r="E56" s="8">
        <v>1010</v>
      </c>
      <c r="F56" s="8">
        <v>1.521490099009901</v>
      </c>
      <c r="G56" s="11">
        <v>32</v>
      </c>
      <c r="H56" s="10">
        <f t="shared" si="0"/>
        <v>48.687683168316831</v>
      </c>
      <c r="I56" s="10">
        <f t="shared" si="1"/>
        <v>1488.017316831683</v>
      </c>
      <c r="J56" s="9">
        <v>1431031.4861993683</v>
      </c>
      <c r="K56" s="9">
        <v>1477854.602312231</v>
      </c>
      <c r="L56" s="8">
        <v>1</v>
      </c>
      <c r="M56" s="8">
        <v>1</v>
      </c>
    </row>
    <row r="57" spans="1:13">
      <c r="A57" s="7">
        <v>53001</v>
      </c>
      <c r="B57" s="8" t="s">
        <v>61</v>
      </c>
      <c r="C57" s="9">
        <v>2273801990</v>
      </c>
      <c r="D57" s="10">
        <v>1254.105</v>
      </c>
      <c r="E57" s="8">
        <v>754</v>
      </c>
      <c r="F57" s="8">
        <v>1.6632692307692307</v>
      </c>
      <c r="G57" s="11">
        <v>0</v>
      </c>
      <c r="H57" s="10">
        <f t="shared" si="0"/>
        <v>0</v>
      </c>
      <c r="I57" s="10">
        <f t="shared" si="1"/>
        <v>1254.105</v>
      </c>
      <c r="J57" s="9">
        <v>1813087.4129359184</v>
      </c>
      <c r="K57" s="9">
        <v>1813087.4129359184</v>
      </c>
      <c r="L57" s="8">
        <v>1</v>
      </c>
      <c r="M57" s="8">
        <v>1</v>
      </c>
    </row>
    <row r="58" spans="1:13">
      <c r="A58" s="7">
        <v>55901</v>
      </c>
      <c r="B58" s="8" t="s">
        <v>62</v>
      </c>
      <c r="C58" s="9">
        <v>298399313</v>
      </c>
      <c r="D58" s="10">
        <v>758.68700000000001</v>
      </c>
      <c r="E58" s="8">
        <v>464</v>
      </c>
      <c r="F58" s="8">
        <v>1.6351012931034483</v>
      </c>
      <c r="G58" s="11">
        <v>0</v>
      </c>
      <c r="H58" s="10">
        <f t="shared" si="0"/>
        <v>0</v>
      </c>
      <c r="I58" s="10">
        <f t="shared" si="1"/>
        <v>758.68700000000001</v>
      </c>
      <c r="J58" s="9">
        <v>393310.17007013434</v>
      </c>
      <c r="K58" s="9">
        <v>393310.17007013434</v>
      </c>
      <c r="L58" s="8">
        <v>1</v>
      </c>
      <c r="M58" s="8">
        <v>1</v>
      </c>
    </row>
    <row r="59" spans="1:13">
      <c r="A59" s="7">
        <v>57903</v>
      </c>
      <c r="B59" s="8" t="s">
        <v>63</v>
      </c>
      <c r="C59" s="9">
        <v>13047986849</v>
      </c>
      <c r="D59" s="10">
        <v>32937.232000000004</v>
      </c>
      <c r="E59" s="8">
        <v>26075</v>
      </c>
      <c r="F59" s="8">
        <v>1.2631728475551296</v>
      </c>
      <c r="G59" s="11">
        <v>188</v>
      </c>
      <c r="H59" s="10">
        <f t="shared" si="0"/>
        <v>237.47649534036435</v>
      </c>
      <c r="I59" s="10">
        <f t="shared" si="1"/>
        <v>32699.755504659639</v>
      </c>
      <c r="J59" s="9">
        <v>396147.03655121959</v>
      </c>
      <c r="K59" s="9">
        <v>399023.98802769923</v>
      </c>
      <c r="L59" s="8">
        <v>1</v>
      </c>
      <c r="M59" s="8">
        <v>1</v>
      </c>
    </row>
    <row r="60" spans="1:13">
      <c r="A60" s="7">
        <v>57905</v>
      </c>
      <c r="B60" s="8" t="s">
        <v>64</v>
      </c>
      <c r="C60" s="9">
        <v>75227203776</v>
      </c>
      <c r="D60" s="10">
        <v>197786.372</v>
      </c>
      <c r="E60" s="8">
        <v>156784</v>
      </c>
      <c r="F60" s="8">
        <v>1.2615214052454333</v>
      </c>
      <c r="G60" s="11">
        <v>723</v>
      </c>
      <c r="H60" s="10">
        <f t="shared" si="0"/>
        <v>912.07997599244834</v>
      </c>
      <c r="I60" s="10">
        <f t="shared" si="1"/>
        <v>196874.29202400756</v>
      </c>
      <c r="J60" s="9">
        <v>380345.73876505502</v>
      </c>
      <c r="K60" s="9">
        <v>382107.8059639525</v>
      </c>
      <c r="L60" s="8">
        <v>1</v>
      </c>
      <c r="M60" s="8">
        <v>1</v>
      </c>
    </row>
    <row r="61" spans="1:13">
      <c r="A61" s="7">
        <v>57911</v>
      </c>
      <c r="B61" s="8" t="s">
        <v>65</v>
      </c>
      <c r="C61" s="9">
        <v>11958653298</v>
      </c>
      <c r="D61" s="10">
        <v>7197.5739999999996</v>
      </c>
      <c r="E61" s="8">
        <v>6647</v>
      </c>
      <c r="F61" s="8">
        <v>1.0828304498269896</v>
      </c>
      <c r="G61" s="11">
        <v>0</v>
      </c>
      <c r="H61" s="10">
        <f t="shared" si="0"/>
        <v>0</v>
      </c>
      <c r="I61" s="10">
        <f t="shared" si="1"/>
        <v>7197.5739999999996</v>
      </c>
      <c r="J61" s="9">
        <v>1661483.896935273</v>
      </c>
      <c r="K61" s="9">
        <v>1661483.896935273</v>
      </c>
      <c r="L61" s="8">
        <v>1</v>
      </c>
      <c r="M61" s="8">
        <v>1</v>
      </c>
    </row>
    <row r="62" spans="1:13">
      <c r="A62" s="7">
        <v>57916</v>
      </c>
      <c r="B62" s="8" t="s">
        <v>66</v>
      </c>
      <c r="C62" s="9">
        <v>16156805401</v>
      </c>
      <c r="D62" s="10">
        <v>42741.243999999999</v>
      </c>
      <c r="E62" s="8">
        <v>35977</v>
      </c>
      <c r="F62" s="8">
        <v>1.188015787864469</v>
      </c>
      <c r="G62" s="11">
        <v>338</v>
      </c>
      <c r="H62" s="10">
        <f t="shared" si="0"/>
        <v>401.54933629819055</v>
      </c>
      <c r="I62" s="10">
        <f t="shared" si="1"/>
        <v>42339.694663701812</v>
      </c>
      <c r="J62" s="9">
        <v>378014.39286605699</v>
      </c>
      <c r="K62" s="9">
        <v>381599.47844053229</v>
      </c>
      <c r="L62" s="8">
        <v>1</v>
      </c>
      <c r="M62" s="8">
        <v>1</v>
      </c>
    </row>
    <row r="63" spans="1:13">
      <c r="A63" s="7">
        <v>57919</v>
      </c>
      <c r="B63" s="8" t="s">
        <v>67</v>
      </c>
      <c r="C63" s="9">
        <v>783059151</v>
      </c>
      <c r="D63" s="10">
        <v>1548.481</v>
      </c>
      <c r="E63" s="8">
        <v>1154</v>
      </c>
      <c r="F63" s="8">
        <v>1.3418379549393413</v>
      </c>
      <c r="G63" s="11">
        <v>85</v>
      </c>
      <c r="H63" s="10">
        <f t="shared" si="0"/>
        <v>114.05622616984401</v>
      </c>
      <c r="I63" s="10">
        <f t="shared" si="1"/>
        <v>1434.424773830156</v>
      </c>
      <c r="J63" s="9">
        <v>505695.03339078749</v>
      </c>
      <c r="K63" s="9">
        <v>545904.6478325245</v>
      </c>
      <c r="L63" s="8">
        <v>1</v>
      </c>
      <c r="M63" s="8">
        <v>1</v>
      </c>
    </row>
    <row r="64" spans="1:13">
      <c r="A64" s="7">
        <v>57922</v>
      </c>
      <c r="B64" s="8" t="s">
        <v>68</v>
      </c>
      <c r="C64" s="9">
        <v>7143333514</v>
      </c>
      <c r="D64" s="10">
        <v>11055.826999999999</v>
      </c>
      <c r="E64" s="8">
        <v>10190</v>
      </c>
      <c r="F64" s="8">
        <v>1.0849683022571148</v>
      </c>
      <c r="G64" s="11">
        <v>123</v>
      </c>
      <c r="H64" s="10">
        <f t="shared" si="0"/>
        <v>133.45110117762513</v>
      </c>
      <c r="I64" s="10">
        <f t="shared" si="1"/>
        <v>10922.375898822374</v>
      </c>
      <c r="J64" s="9">
        <v>646114.80570381577</v>
      </c>
      <c r="K64" s="9">
        <v>654009.1258688668</v>
      </c>
      <c r="L64" s="8">
        <v>1</v>
      </c>
      <c r="M64" s="8">
        <v>1</v>
      </c>
    </row>
    <row r="65" spans="1:13">
      <c r="A65" s="7">
        <v>58902</v>
      </c>
      <c r="B65" s="8" t="s">
        <v>69</v>
      </c>
      <c r="C65" s="9">
        <v>275056149</v>
      </c>
      <c r="D65" s="10">
        <v>240.97</v>
      </c>
      <c r="E65" s="8">
        <v>163</v>
      </c>
      <c r="F65" s="8">
        <v>1.4783435582822086</v>
      </c>
      <c r="G65" s="11">
        <v>58</v>
      </c>
      <c r="H65" s="10">
        <f t="shared" si="0"/>
        <v>85.743926380368094</v>
      </c>
      <c r="I65" s="10">
        <f t="shared" si="1"/>
        <v>155.2260736196319</v>
      </c>
      <c r="J65" s="9">
        <v>1141453.9112752625</v>
      </c>
      <c r="K65" s="9">
        <v>1771971.3098844551</v>
      </c>
      <c r="L65" s="8">
        <v>1</v>
      </c>
      <c r="M65" s="8">
        <v>1</v>
      </c>
    </row>
    <row r="66" spans="1:13">
      <c r="A66" s="7">
        <v>58905</v>
      </c>
      <c r="B66" s="8" t="s">
        <v>70</v>
      </c>
      <c r="C66" s="9">
        <v>612368507</v>
      </c>
      <c r="D66" s="10">
        <v>424.36900000000003</v>
      </c>
      <c r="E66" s="8">
        <v>238</v>
      </c>
      <c r="F66" s="8">
        <v>1.7830630252100841</v>
      </c>
      <c r="G66" s="11">
        <v>114</v>
      </c>
      <c r="H66" s="10">
        <f t="shared" si="0"/>
        <v>203.2691848739496</v>
      </c>
      <c r="I66" s="10">
        <f t="shared" si="1"/>
        <v>221.09981512605043</v>
      </c>
      <c r="J66" s="9">
        <v>1443009.5200167778</v>
      </c>
      <c r="K66" s="9">
        <v>2769647.3045483315</v>
      </c>
      <c r="L66" s="8">
        <v>1</v>
      </c>
      <c r="M66" s="8">
        <v>1</v>
      </c>
    </row>
    <row r="67" spans="1:13">
      <c r="A67" s="7">
        <v>58909</v>
      </c>
      <c r="B67" s="8" t="s">
        <v>71</v>
      </c>
      <c r="C67" s="9">
        <v>405486846</v>
      </c>
      <c r="D67" s="10">
        <v>406.35399999999998</v>
      </c>
      <c r="E67" s="8">
        <v>242</v>
      </c>
      <c r="F67" s="8">
        <v>1.6791487603305784</v>
      </c>
      <c r="G67" s="11">
        <v>63</v>
      </c>
      <c r="H67" s="10">
        <f t="shared" ref="H67:H130" si="2">F67*G67</f>
        <v>105.78637190082644</v>
      </c>
      <c r="I67" s="10">
        <f t="shared" ref="I67:I130" si="3">D67-H67</f>
        <v>300.56762809917353</v>
      </c>
      <c r="J67" s="9">
        <v>997866.01337749849</v>
      </c>
      <c r="K67" s="9">
        <v>1349070.2527226517</v>
      </c>
      <c r="L67" s="8">
        <v>1</v>
      </c>
      <c r="M67" s="8">
        <v>1</v>
      </c>
    </row>
    <row r="68" spans="1:13">
      <c r="A68" s="7">
        <v>59902</v>
      </c>
      <c r="B68" s="8" t="s">
        <v>72</v>
      </c>
      <c r="C68" s="9">
        <v>44078262</v>
      </c>
      <c r="D68" s="10">
        <v>228.69300000000001</v>
      </c>
      <c r="E68" s="8">
        <v>126</v>
      </c>
      <c r="F68" s="8">
        <v>1.8150238095238096</v>
      </c>
      <c r="G68" s="11">
        <v>78</v>
      </c>
      <c r="H68" s="10">
        <f t="shared" si="2"/>
        <v>141.57185714285714</v>
      </c>
      <c r="I68" s="10">
        <f t="shared" si="3"/>
        <v>87.121142857142871</v>
      </c>
      <c r="J68" s="9">
        <v>192739.8827248757</v>
      </c>
      <c r="K68" s="9">
        <v>505942.19215279864</v>
      </c>
      <c r="L68" s="8">
        <v>0</v>
      </c>
      <c r="M68" s="8">
        <v>1</v>
      </c>
    </row>
    <row r="69" spans="1:13">
      <c r="A69" s="7">
        <v>61902</v>
      </c>
      <c r="B69" s="8" t="s">
        <v>73</v>
      </c>
      <c r="C69" s="9">
        <v>22500390406</v>
      </c>
      <c r="D69" s="10">
        <v>59740.868000000002</v>
      </c>
      <c r="E69" s="8">
        <v>51298</v>
      </c>
      <c r="F69" s="8">
        <v>1.1645847401458147</v>
      </c>
      <c r="G69" s="11">
        <v>85</v>
      </c>
      <c r="H69" s="10">
        <f t="shared" si="2"/>
        <v>98.98970291239425</v>
      </c>
      <c r="I69" s="10">
        <f t="shared" si="3"/>
        <v>59641.878297087605</v>
      </c>
      <c r="J69" s="9">
        <v>376633.13505923614</v>
      </c>
      <c r="K69" s="9">
        <v>377258.24619273812</v>
      </c>
      <c r="L69" s="8">
        <v>1</v>
      </c>
      <c r="M69" s="8">
        <v>1</v>
      </c>
    </row>
    <row r="70" spans="1:13">
      <c r="A70" s="7">
        <v>61905</v>
      </c>
      <c r="B70" s="8" t="s">
        <v>74</v>
      </c>
      <c r="C70" s="9">
        <v>741708482</v>
      </c>
      <c r="D70" s="10">
        <v>2238.8389999999999</v>
      </c>
      <c r="E70" s="8">
        <v>1692</v>
      </c>
      <c r="F70" s="8">
        <v>1.3231908983451537</v>
      </c>
      <c r="G70" s="11">
        <v>42</v>
      </c>
      <c r="H70" s="10">
        <f t="shared" si="2"/>
        <v>55.574017730496458</v>
      </c>
      <c r="I70" s="10">
        <f t="shared" si="3"/>
        <v>2183.2649822695034</v>
      </c>
      <c r="J70" s="9">
        <v>331291.56763840542</v>
      </c>
      <c r="K70" s="9">
        <v>339724.4439055649</v>
      </c>
      <c r="L70" s="8">
        <v>1</v>
      </c>
      <c r="M70" s="8">
        <v>1</v>
      </c>
    </row>
    <row r="71" spans="1:13">
      <c r="A71" s="7">
        <v>61906</v>
      </c>
      <c r="B71" s="8" t="s">
        <v>75</v>
      </c>
      <c r="C71" s="9">
        <v>915267033</v>
      </c>
      <c r="D71" s="10">
        <v>1641.124</v>
      </c>
      <c r="E71" s="8">
        <v>1225</v>
      </c>
      <c r="F71" s="8">
        <v>1.3396930612244897</v>
      </c>
      <c r="G71" s="11">
        <v>102</v>
      </c>
      <c r="H71" s="10">
        <f t="shared" si="2"/>
        <v>136.64869224489794</v>
      </c>
      <c r="I71" s="10">
        <f t="shared" si="3"/>
        <v>1504.475307755102</v>
      </c>
      <c r="J71" s="9">
        <v>557707.42064585001</v>
      </c>
      <c r="K71" s="9">
        <v>608362.94772143033</v>
      </c>
      <c r="L71" s="8">
        <v>1</v>
      </c>
      <c r="M71" s="8">
        <v>1</v>
      </c>
    </row>
    <row r="72" spans="1:13">
      <c r="A72" s="7">
        <v>61910</v>
      </c>
      <c r="B72" s="8" t="s">
        <v>76</v>
      </c>
      <c r="C72" s="9">
        <v>1032239121</v>
      </c>
      <c r="D72" s="10">
        <v>2187.3760000000002</v>
      </c>
      <c r="E72" s="8">
        <v>1820</v>
      </c>
      <c r="F72" s="8">
        <v>1.2018549450549452</v>
      </c>
      <c r="G72" s="11">
        <v>65</v>
      </c>
      <c r="H72" s="10">
        <f t="shared" si="2"/>
        <v>78.120571428571438</v>
      </c>
      <c r="I72" s="10">
        <f t="shared" si="3"/>
        <v>2109.2554285714286</v>
      </c>
      <c r="J72" s="9">
        <v>471907.49144180055</v>
      </c>
      <c r="K72" s="9">
        <v>489385.54668038577</v>
      </c>
      <c r="L72" s="8">
        <v>1</v>
      </c>
      <c r="M72" s="8">
        <v>1</v>
      </c>
    </row>
    <row r="73" spans="1:13">
      <c r="A73" s="7">
        <v>61911</v>
      </c>
      <c r="B73" s="8" t="s">
        <v>77</v>
      </c>
      <c r="C73" s="9">
        <v>10239291005</v>
      </c>
      <c r="D73" s="10">
        <v>19696.816999999999</v>
      </c>
      <c r="E73" s="8">
        <v>15293</v>
      </c>
      <c r="F73" s="8">
        <v>1.2879629242136925</v>
      </c>
      <c r="G73" s="11">
        <v>241</v>
      </c>
      <c r="H73" s="10">
        <f t="shared" si="2"/>
        <v>310.39906473549991</v>
      </c>
      <c r="I73" s="10">
        <f t="shared" si="3"/>
        <v>19386.417935264501</v>
      </c>
      <c r="J73" s="9">
        <v>519844.95794422016</v>
      </c>
      <c r="K73" s="9">
        <v>528168.27942073869</v>
      </c>
      <c r="L73" s="8">
        <v>1</v>
      </c>
      <c r="M73" s="8">
        <v>1</v>
      </c>
    </row>
    <row r="74" spans="1:13">
      <c r="A74" s="7">
        <v>62902</v>
      </c>
      <c r="B74" s="8" t="s">
        <v>78</v>
      </c>
      <c r="C74" s="9">
        <v>123185919</v>
      </c>
      <c r="D74" s="10">
        <v>230.41200000000001</v>
      </c>
      <c r="E74" s="8">
        <v>113</v>
      </c>
      <c r="F74" s="8">
        <v>2.0390442477876105</v>
      </c>
      <c r="G74" s="11">
        <v>35</v>
      </c>
      <c r="H74" s="10">
        <f t="shared" si="2"/>
        <v>71.366548672566367</v>
      </c>
      <c r="I74" s="10">
        <f t="shared" si="3"/>
        <v>159.04545132743363</v>
      </c>
      <c r="J74" s="9">
        <v>534633.26128847455</v>
      </c>
      <c r="K74" s="9">
        <v>774532.80161022593</v>
      </c>
      <c r="L74" s="8">
        <v>1</v>
      </c>
      <c r="M74" s="8">
        <v>1</v>
      </c>
    </row>
    <row r="75" spans="1:13">
      <c r="A75" s="7">
        <v>62905</v>
      </c>
      <c r="B75" s="8" t="s">
        <v>79</v>
      </c>
      <c r="C75" s="9">
        <v>27637653</v>
      </c>
      <c r="D75" s="10">
        <v>122.604</v>
      </c>
      <c r="E75" s="8">
        <v>37</v>
      </c>
      <c r="F75" s="8">
        <v>3.3136216216216217</v>
      </c>
      <c r="G75" s="11">
        <v>16</v>
      </c>
      <c r="H75" s="10">
        <f t="shared" si="2"/>
        <v>53.017945945945947</v>
      </c>
      <c r="I75" s="10">
        <f t="shared" si="3"/>
        <v>69.586054054054046</v>
      </c>
      <c r="J75" s="9">
        <v>225422.11510228051</v>
      </c>
      <c r="K75" s="9">
        <v>397172.2980373514</v>
      </c>
      <c r="L75" s="8">
        <v>0</v>
      </c>
      <c r="M75" s="8">
        <v>1</v>
      </c>
    </row>
    <row r="76" spans="1:13">
      <c r="A76" s="7">
        <v>62906</v>
      </c>
      <c r="B76" s="8" t="s">
        <v>80</v>
      </c>
      <c r="C76" s="9">
        <v>63551701</v>
      </c>
      <c r="D76" s="10">
        <v>243.65799999999999</v>
      </c>
      <c r="E76" s="8">
        <v>158</v>
      </c>
      <c r="F76" s="8">
        <v>1.542139240506329</v>
      </c>
      <c r="G76" s="11">
        <v>39</v>
      </c>
      <c r="H76" s="10">
        <f t="shared" si="2"/>
        <v>60.143430379746832</v>
      </c>
      <c r="I76" s="10">
        <f t="shared" si="3"/>
        <v>183.51456962025316</v>
      </c>
      <c r="J76" s="9">
        <v>260823.37128269955</v>
      </c>
      <c r="K76" s="9">
        <v>346303.29968627333</v>
      </c>
      <c r="L76" s="8">
        <v>0</v>
      </c>
      <c r="M76" s="8">
        <v>1</v>
      </c>
    </row>
    <row r="77" spans="1:13">
      <c r="A77" s="7">
        <v>63903</v>
      </c>
      <c r="B77" s="8" t="s">
        <v>81</v>
      </c>
      <c r="C77" s="9">
        <v>272843406</v>
      </c>
      <c r="D77" s="10">
        <v>531.45500000000004</v>
      </c>
      <c r="E77" s="8">
        <v>305</v>
      </c>
      <c r="F77" s="8">
        <v>1.7424754098360657</v>
      </c>
      <c r="G77" s="11">
        <v>13</v>
      </c>
      <c r="H77" s="10">
        <f t="shared" si="2"/>
        <v>22.652180327868855</v>
      </c>
      <c r="I77" s="10">
        <f t="shared" si="3"/>
        <v>508.80281967213119</v>
      </c>
      <c r="J77" s="9">
        <v>513389.47982425604</v>
      </c>
      <c r="K77" s="9">
        <v>536245.86077533592</v>
      </c>
      <c r="L77" s="8">
        <v>1</v>
      </c>
      <c r="M77" s="8">
        <v>1</v>
      </c>
    </row>
    <row r="78" spans="1:13">
      <c r="A78" s="7">
        <v>66005</v>
      </c>
      <c r="B78" s="8" t="s">
        <v>82</v>
      </c>
      <c r="C78" s="9">
        <v>26116869</v>
      </c>
      <c r="D78" s="10">
        <v>96.021000000000001</v>
      </c>
      <c r="E78" s="8">
        <v>40</v>
      </c>
      <c r="F78" s="8">
        <v>2.400525</v>
      </c>
      <c r="G78" s="11">
        <v>27</v>
      </c>
      <c r="H78" s="10">
        <f t="shared" si="2"/>
        <v>64.814175000000006</v>
      </c>
      <c r="I78" s="10">
        <f t="shared" si="3"/>
        <v>31.206824999999995</v>
      </c>
      <c r="J78" s="9">
        <v>271991.2206704783</v>
      </c>
      <c r="K78" s="9">
        <v>836896.06360147195</v>
      </c>
      <c r="L78" s="8">
        <v>0</v>
      </c>
      <c r="M78" s="8">
        <v>1</v>
      </c>
    </row>
    <row r="79" spans="1:13">
      <c r="A79" s="7">
        <v>66901</v>
      </c>
      <c r="B79" s="8" t="s">
        <v>83</v>
      </c>
      <c r="C79" s="9">
        <v>285808500</v>
      </c>
      <c r="D79" s="10">
        <v>687.32100000000003</v>
      </c>
      <c r="E79" s="8">
        <v>390</v>
      </c>
      <c r="F79" s="8">
        <v>1.7623615384615385</v>
      </c>
      <c r="G79" s="11">
        <v>6</v>
      </c>
      <c r="H79" s="10">
        <f t="shared" si="2"/>
        <v>10.574169230769231</v>
      </c>
      <c r="I79" s="10">
        <f t="shared" si="3"/>
        <v>676.74683076923077</v>
      </c>
      <c r="J79" s="9">
        <v>415829.72148384812</v>
      </c>
      <c r="K79" s="9">
        <v>422327.06088203331</v>
      </c>
      <c r="L79" s="8">
        <v>1</v>
      </c>
      <c r="M79" s="8">
        <v>1</v>
      </c>
    </row>
    <row r="80" spans="1:13">
      <c r="A80" s="7">
        <v>66903</v>
      </c>
      <c r="B80" s="8" t="s">
        <v>84</v>
      </c>
      <c r="C80" s="9">
        <v>415316327</v>
      </c>
      <c r="D80" s="10">
        <v>1307.123</v>
      </c>
      <c r="E80" s="8">
        <v>835</v>
      </c>
      <c r="F80" s="8">
        <v>1.565416766467066</v>
      </c>
      <c r="G80" s="11">
        <v>6</v>
      </c>
      <c r="H80" s="10">
        <f t="shared" si="2"/>
        <v>9.3925005988023962</v>
      </c>
      <c r="I80" s="10">
        <f t="shared" si="3"/>
        <v>1297.7304994011977</v>
      </c>
      <c r="J80" s="9">
        <v>317733.16436173185</v>
      </c>
      <c r="K80" s="9">
        <v>320032.80125699163</v>
      </c>
      <c r="L80" s="8">
        <v>0</v>
      </c>
      <c r="M80" s="8">
        <v>1</v>
      </c>
    </row>
    <row r="81" spans="1:13">
      <c r="A81" s="7">
        <v>67902</v>
      </c>
      <c r="B81" s="8" t="s">
        <v>85</v>
      </c>
      <c r="C81" s="9">
        <v>434787046</v>
      </c>
      <c r="D81" s="10">
        <v>1279.682</v>
      </c>
      <c r="E81" s="8">
        <v>838</v>
      </c>
      <c r="F81" s="8">
        <v>1.5270668257756563</v>
      </c>
      <c r="G81" s="11">
        <v>37</v>
      </c>
      <c r="H81" s="10">
        <f t="shared" si="2"/>
        <v>56.501472553699287</v>
      </c>
      <c r="I81" s="10">
        <f t="shared" si="3"/>
        <v>1223.1805274463006</v>
      </c>
      <c r="J81" s="9">
        <v>339761.78925701854</v>
      </c>
      <c r="K81" s="9">
        <v>355456.15405415924</v>
      </c>
      <c r="L81" s="8">
        <v>1</v>
      </c>
      <c r="M81" s="8">
        <v>1</v>
      </c>
    </row>
    <row r="82" spans="1:13">
      <c r="A82" s="7">
        <v>69901</v>
      </c>
      <c r="B82" s="8" t="s">
        <v>86</v>
      </c>
      <c r="C82" s="9">
        <v>283668881</v>
      </c>
      <c r="D82" s="10">
        <v>541.88199999999995</v>
      </c>
      <c r="E82" s="8">
        <v>303</v>
      </c>
      <c r="F82" s="8">
        <v>1.7883894389438941</v>
      </c>
      <c r="G82" s="11">
        <v>4</v>
      </c>
      <c r="H82" s="10">
        <f t="shared" si="2"/>
        <v>7.1535577557755765</v>
      </c>
      <c r="I82" s="10">
        <f t="shared" si="3"/>
        <v>534.72844224422442</v>
      </c>
      <c r="J82" s="9">
        <v>523488.28896327986</v>
      </c>
      <c r="K82" s="9">
        <v>530491.47677549766</v>
      </c>
      <c r="L82" s="8">
        <v>1</v>
      </c>
      <c r="M82" s="8">
        <v>1</v>
      </c>
    </row>
    <row r="83" spans="1:13">
      <c r="A83" s="7">
        <v>69902</v>
      </c>
      <c r="B83" s="8" t="s">
        <v>87</v>
      </c>
      <c r="C83" s="9">
        <v>213105404</v>
      </c>
      <c r="D83" s="10">
        <v>554.04100000000005</v>
      </c>
      <c r="E83" s="8">
        <v>281</v>
      </c>
      <c r="F83" s="8">
        <v>1.97167615658363</v>
      </c>
      <c r="G83" s="11">
        <v>0</v>
      </c>
      <c r="H83" s="10">
        <f t="shared" si="2"/>
        <v>0</v>
      </c>
      <c r="I83" s="10">
        <f t="shared" si="3"/>
        <v>554.04100000000005</v>
      </c>
      <c r="J83" s="9">
        <v>384638.32821036706</v>
      </c>
      <c r="K83" s="9">
        <v>384638.32821036706</v>
      </c>
      <c r="L83" s="8">
        <v>1</v>
      </c>
      <c r="M83" s="8">
        <v>1</v>
      </c>
    </row>
    <row r="84" spans="1:13">
      <c r="A84" s="7">
        <v>72901</v>
      </c>
      <c r="B84" s="8" t="s">
        <v>88</v>
      </c>
      <c r="C84" s="9">
        <v>43664760</v>
      </c>
      <c r="D84" s="10">
        <v>128.32400000000001</v>
      </c>
      <c r="E84" s="8">
        <v>68</v>
      </c>
      <c r="F84" s="8">
        <v>1.8871176470588238</v>
      </c>
      <c r="G84" s="11">
        <v>3</v>
      </c>
      <c r="H84" s="10">
        <f t="shared" si="2"/>
        <v>5.6613529411764709</v>
      </c>
      <c r="I84" s="10">
        <f t="shared" si="3"/>
        <v>122.66264705882354</v>
      </c>
      <c r="J84" s="9">
        <v>340269.62999906484</v>
      </c>
      <c r="K84" s="9">
        <v>355974.38215286785</v>
      </c>
      <c r="L84" s="8">
        <v>1</v>
      </c>
      <c r="M84" s="8">
        <v>1</v>
      </c>
    </row>
    <row r="85" spans="1:13">
      <c r="A85" s="7">
        <v>72904</v>
      </c>
      <c r="B85" s="8" t="s">
        <v>89</v>
      </c>
      <c r="C85" s="9">
        <v>120450806</v>
      </c>
      <c r="D85" s="10">
        <v>163.20500000000001</v>
      </c>
      <c r="E85" s="8">
        <v>96</v>
      </c>
      <c r="F85" s="8">
        <v>1.7000520833333335</v>
      </c>
      <c r="G85" s="11">
        <v>10</v>
      </c>
      <c r="H85" s="10">
        <f t="shared" si="2"/>
        <v>17.000520833333333</v>
      </c>
      <c r="I85" s="10">
        <f t="shared" si="3"/>
        <v>146.20447916666669</v>
      </c>
      <c r="J85" s="9">
        <v>738033.79798413033</v>
      </c>
      <c r="K85" s="9">
        <v>823851.68147065712</v>
      </c>
      <c r="L85" s="8">
        <v>1</v>
      </c>
      <c r="M85" s="8">
        <v>1</v>
      </c>
    </row>
    <row r="86" spans="1:13">
      <c r="A86" s="7">
        <v>72908</v>
      </c>
      <c r="B86" s="8" t="s">
        <v>90</v>
      </c>
      <c r="C86" s="9">
        <v>113952192</v>
      </c>
      <c r="D86" s="10">
        <v>304.94099999999997</v>
      </c>
      <c r="E86" s="8">
        <v>188</v>
      </c>
      <c r="F86" s="8">
        <v>1.6220265957446807</v>
      </c>
      <c r="G86" s="11">
        <v>64</v>
      </c>
      <c r="H86" s="10">
        <f t="shared" si="2"/>
        <v>103.80970212765956</v>
      </c>
      <c r="I86" s="10">
        <f t="shared" si="3"/>
        <v>201.13129787234041</v>
      </c>
      <c r="J86" s="9">
        <v>373686.03106830502</v>
      </c>
      <c r="K86" s="9">
        <v>566556.2406519464</v>
      </c>
      <c r="L86" s="8">
        <v>1</v>
      </c>
      <c r="M86" s="8">
        <v>1</v>
      </c>
    </row>
    <row r="87" spans="1:13">
      <c r="A87" s="7">
        <v>72909</v>
      </c>
      <c r="B87" s="8" t="s">
        <v>91</v>
      </c>
      <c r="C87" s="9">
        <v>100028030</v>
      </c>
      <c r="D87" s="10">
        <v>351.17099999999999</v>
      </c>
      <c r="E87" s="8">
        <v>235</v>
      </c>
      <c r="F87" s="8">
        <v>1.4943446808510639</v>
      </c>
      <c r="G87" s="11">
        <v>59</v>
      </c>
      <c r="H87" s="10">
        <f t="shared" si="2"/>
        <v>88.166336170212773</v>
      </c>
      <c r="I87" s="10">
        <f t="shared" si="3"/>
        <v>263.00466382978721</v>
      </c>
      <c r="J87" s="9">
        <v>284841.3735758363</v>
      </c>
      <c r="K87" s="9">
        <v>380327.97039955418</v>
      </c>
      <c r="L87" s="8">
        <v>0</v>
      </c>
      <c r="M87" s="8">
        <v>1</v>
      </c>
    </row>
    <row r="88" spans="1:13">
      <c r="A88" s="7">
        <v>72910</v>
      </c>
      <c r="B88" s="8" t="s">
        <v>92</v>
      </c>
      <c r="C88" s="9">
        <v>74398513</v>
      </c>
      <c r="D88" s="10">
        <v>168.55500000000001</v>
      </c>
      <c r="E88" s="8">
        <v>116</v>
      </c>
      <c r="F88" s="8">
        <v>1.4530603448275863</v>
      </c>
      <c r="G88" s="11">
        <v>32</v>
      </c>
      <c r="H88" s="10">
        <f t="shared" si="2"/>
        <v>46.497931034482761</v>
      </c>
      <c r="I88" s="10">
        <f t="shared" si="3"/>
        <v>122.05706896551725</v>
      </c>
      <c r="J88" s="9">
        <v>441390.12785144313</v>
      </c>
      <c r="K88" s="9">
        <v>609538.74798532622</v>
      </c>
      <c r="L88" s="8">
        <v>1</v>
      </c>
      <c r="M88" s="8">
        <v>1</v>
      </c>
    </row>
    <row r="89" spans="1:13">
      <c r="A89" s="7">
        <v>73904</v>
      </c>
      <c r="B89" s="8" t="s">
        <v>93</v>
      </c>
      <c r="C89" s="9">
        <v>14421148</v>
      </c>
      <c r="D89" s="10">
        <v>225.44</v>
      </c>
      <c r="E89" s="8">
        <v>155</v>
      </c>
      <c r="F89" s="8">
        <v>1.4544516129032259</v>
      </c>
      <c r="G89" s="11">
        <v>130</v>
      </c>
      <c r="H89" s="10">
        <f t="shared" si="2"/>
        <v>189.07870967741937</v>
      </c>
      <c r="I89" s="10">
        <f t="shared" si="3"/>
        <v>36.361290322580629</v>
      </c>
      <c r="J89" s="9">
        <v>63968.896380411643</v>
      </c>
      <c r="K89" s="9">
        <v>396607.15755855234</v>
      </c>
      <c r="L89" s="8">
        <v>0</v>
      </c>
      <c r="M89" s="8">
        <v>1</v>
      </c>
    </row>
    <row r="90" spans="1:13">
      <c r="A90" s="7">
        <v>75902</v>
      </c>
      <c r="B90" s="8" t="s">
        <v>94</v>
      </c>
      <c r="C90" s="9">
        <v>921612384</v>
      </c>
      <c r="D90" s="10">
        <v>2474.547</v>
      </c>
      <c r="E90" s="8">
        <v>1884</v>
      </c>
      <c r="F90" s="8">
        <v>1.313453821656051</v>
      </c>
      <c r="G90" s="11">
        <v>54</v>
      </c>
      <c r="H90" s="10">
        <f t="shared" si="2"/>
        <v>70.926506369426747</v>
      </c>
      <c r="I90" s="10">
        <f t="shared" si="3"/>
        <v>2403.6204936305735</v>
      </c>
      <c r="J90" s="9">
        <v>372436.80722168542</v>
      </c>
      <c r="K90" s="9">
        <v>383426.74579544005</v>
      </c>
      <c r="L90" s="8">
        <v>1</v>
      </c>
      <c r="M90" s="8">
        <v>1</v>
      </c>
    </row>
    <row r="91" spans="1:13">
      <c r="A91" s="7">
        <v>75903</v>
      </c>
      <c r="B91" s="8" t="s">
        <v>95</v>
      </c>
      <c r="C91" s="9">
        <v>348983416</v>
      </c>
      <c r="D91" s="10">
        <v>1060.9490000000001</v>
      </c>
      <c r="E91" s="8">
        <v>720</v>
      </c>
      <c r="F91" s="8">
        <v>1.473540277777778</v>
      </c>
      <c r="G91" s="11">
        <v>52</v>
      </c>
      <c r="H91" s="10">
        <f t="shared" si="2"/>
        <v>76.624094444444452</v>
      </c>
      <c r="I91" s="10">
        <f t="shared" si="3"/>
        <v>984.32490555555557</v>
      </c>
      <c r="J91" s="9">
        <v>328935.14768381888</v>
      </c>
      <c r="K91" s="9">
        <v>354540.87774303835</v>
      </c>
      <c r="L91" s="8">
        <v>1</v>
      </c>
      <c r="M91" s="8">
        <v>1</v>
      </c>
    </row>
    <row r="92" spans="1:13">
      <c r="A92" s="7">
        <v>75906</v>
      </c>
      <c r="B92" s="8" t="s">
        <v>96</v>
      </c>
      <c r="C92" s="9">
        <v>166026674</v>
      </c>
      <c r="D92" s="10">
        <v>332.53500000000003</v>
      </c>
      <c r="E92" s="8">
        <v>219</v>
      </c>
      <c r="F92" s="8">
        <v>1.5184246575342466</v>
      </c>
      <c r="G92" s="11">
        <v>60</v>
      </c>
      <c r="H92" s="10">
        <f t="shared" si="2"/>
        <v>91.105479452054794</v>
      </c>
      <c r="I92" s="10">
        <f t="shared" si="3"/>
        <v>241.42952054794523</v>
      </c>
      <c r="J92" s="9">
        <v>499275.787511089</v>
      </c>
      <c r="K92" s="9">
        <v>687681.74506244331</v>
      </c>
      <c r="L92" s="8">
        <v>1</v>
      </c>
      <c r="M92" s="8">
        <v>1</v>
      </c>
    </row>
    <row r="93" spans="1:13">
      <c r="A93" s="7">
        <v>75908</v>
      </c>
      <c r="B93" s="8" t="s">
        <v>97</v>
      </c>
      <c r="C93" s="9">
        <v>326747105</v>
      </c>
      <c r="D93" s="10">
        <v>387.27600000000001</v>
      </c>
      <c r="E93" s="8">
        <v>246</v>
      </c>
      <c r="F93" s="8">
        <v>1.5742926829268293</v>
      </c>
      <c r="G93" s="11">
        <v>60</v>
      </c>
      <c r="H93" s="10">
        <f t="shared" si="2"/>
        <v>94.457560975609766</v>
      </c>
      <c r="I93" s="10">
        <f t="shared" si="3"/>
        <v>292.81843902439027</v>
      </c>
      <c r="J93" s="9">
        <v>843706.05201458384</v>
      </c>
      <c r="K93" s="9">
        <v>1115869.2945999335</v>
      </c>
      <c r="L93" s="8">
        <v>1</v>
      </c>
      <c r="M93" s="8">
        <v>1</v>
      </c>
    </row>
    <row r="94" spans="1:13">
      <c r="A94" s="7">
        <v>79901</v>
      </c>
      <c r="B94" s="8" t="s">
        <v>98</v>
      </c>
      <c r="C94" s="9">
        <v>9880865868</v>
      </c>
      <c r="D94" s="10">
        <v>30590.627</v>
      </c>
      <c r="E94" s="8">
        <v>24535</v>
      </c>
      <c r="F94" s="8">
        <v>1.2468158549011616</v>
      </c>
      <c r="G94" s="11">
        <v>186</v>
      </c>
      <c r="H94" s="10">
        <f t="shared" si="2"/>
        <v>231.90774901161606</v>
      </c>
      <c r="I94" s="10">
        <f t="shared" si="3"/>
        <v>30358.719250988383</v>
      </c>
      <c r="J94" s="9">
        <v>323003.05149024894</v>
      </c>
      <c r="K94" s="9">
        <v>325470.44512354751</v>
      </c>
      <c r="L94" s="8">
        <v>1</v>
      </c>
      <c r="M94" s="8">
        <v>1</v>
      </c>
    </row>
    <row r="95" spans="1:13">
      <c r="A95" s="7">
        <v>79910</v>
      </c>
      <c r="B95" s="8" t="s">
        <v>99</v>
      </c>
      <c r="C95" s="9">
        <v>2024859024</v>
      </c>
      <c r="D95" s="10">
        <v>4178.3959999999997</v>
      </c>
      <c r="E95" s="8">
        <v>3215</v>
      </c>
      <c r="F95" s="8">
        <v>1.2996566096423017</v>
      </c>
      <c r="G95" s="11">
        <v>600</v>
      </c>
      <c r="H95" s="10">
        <f t="shared" si="2"/>
        <v>779.79396578538103</v>
      </c>
      <c r="I95" s="10">
        <f t="shared" si="3"/>
        <v>3398.6020342146185</v>
      </c>
      <c r="J95" s="9">
        <v>484601.99176909035</v>
      </c>
      <c r="K95" s="9">
        <v>595791.74131457962</v>
      </c>
      <c r="L95" s="8">
        <v>1</v>
      </c>
      <c r="M95" s="8">
        <v>1</v>
      </c>
    </row>
    <row r="96" spans="1:13">
      <c r="A96" s="7">
        <v>80901</v>
      </c>
      <c r="B96" s="8" t="s">
        <v>100</v>
      </c>
      <c r="C96" s="9">
        <v>892845152</v>
      </c>
      <c r="D96" s="10">
        <v>2001.3320000000001</v>
      </c>
      <c r="E96" s="8">
        <v>1561</v>
      </c>
      <c r="F96" s="8">
        <v>1.2820832799487509</v>
      </c>
      <c r="G96" s="11">
        <v>32</v>
      </c>
      <c r="H96" s="10">
        <f t="shared" si="2"/>
        <v>41.02666495836003</v>
      </c>
      <c r="I96" s="10">
        <f t="shared" si="3"/>
        <v>1960.3053350416401</v>
      </c>
      <c r="J96" s="9">
        <v>446125.45644600695</v>
      </c>
      <c r="K96" s="9">
        <v>455462.28745076311</v>
      </c>
      <c r="L96" s="8">
        <v>1</v>
      </c>
      <c r="M96" s="8">
        <v>1</v>
      </c>
    </row>
    <row r="97" spans="1:13">
      <c r="A97" s="7">
        <v>81902</v>
      </c>
      <c r="B97" s="8" t="s">
        <v>101</v>
      </c>
      <c r="C97" s="9">
        <v>2164001088</v>
      </c>
      <c r="D97" s="10">
        <v>2316.6779999999999</v>
      </c>
      <c r="E97" s="8">
        <v>1769</v>
      </c>
      <c r="F97" s="8">
        <v>1.3095975127190502</v>
      </c>
      <c r="G97" s="11">
        <v>69</v>
      </c>
      <c r="H97" s="10">
        <f t="shared" si="2"/>
        <v>90.362228377614471</v>
      </c>
      <c r="I97" s="10">
        <f t="shared" si="3"/>
        <v>2226.3157716223855</v>
      </c>
      <c r="J97" s="9">
        <v>934096.61938344478</v>
      </c>
      <c r="K97" s="9">
        <v>972009.95275841991</v>
      </c>
      <c r="L97" s="8">
        <v>1</v>
      </c>
      <c r="M97" s="8">
        <v>1</v>
      </c>
    </row>
    <row r="98" spans="1:13">
      <c r="A98" s="7">
        <v>81904</v>
      </c>
      <c r="B98" s="8" t="s">
        <v>102</v>
      </c>
      <c r="C98" s="9">
        <v>1567935352</v>
      </c>
      <c r="D98" s="10">
        <v>1590.854</v>
      </c>
      <c r="E98" s="8">
        <v>1254</v>
      </c>
      <c r="F98" s="8">
        <v>1.2686236044657098</v>
      </c>
      <c r="G98" s="11">
        <v>69</v>
      </c>
      <c r="H98" s="10">
        <f t="shared" si="2"/>
        <v>87.535028708133979</v>
      </c>
      <c r="I98" s="10">
        <f t="shared" si="3"/>
        <v>1503.3189712918661</v>
      </c>
      <c r="J98" s="9">
        <v>985593.49380898557</v>
      </c>
      <c r="K98" s="9">
        <v>1042982.4820560911</v>
      </c>
      <c r="L98" s="8">
        <v>1</v>
      </c>
      <c r="M98" s="8">
        <v>1</v>
      </c>
    </row>
    <row r="99" spans="1:13">
      <c r="A99" s="7">
        <v>81906</v>
      </c>
      <c r="B99" s="8" t="s">
        <v>103</v>
      </c>
      <c r="C99" s="9">
        <v>376457596</v>
      </c>
      <c r="D99" s="10">
        <v>201.643</v>
      </c>
      <c r="E99" s="8">
        <v>163</v>
      </c>
      <c r="F99" s="8">
        <v>1.2370736196319019</v>
      </c>
      <c r="G99" s="11">
        <v>74</v>
      </c>
      <c r="H99" s="10">
        <f t="shared" si="2"/>
        <v>91.543447852760735</v>
      </c>
      <c r="I99" s="10">
        <f t="shared" si="3"/>
        <v>110.09955214723927</v>
      </c>
      <c r="J99" s="9">
        <v>1866950.9777180462</v>
      </c>
      <c r="K99" s="9">
        <v>3419247.2962701297</v>
      </c>
      <c r="L99" s="8">
        <v>1</v>
      </c>
      <c r="M99" s="8">
        <v>1</v>
      </c>
    </row>
    <row r="100" spans="1:13">
      <c r="A100" s="7">
        <v>83902</v>
      </c>
      <c r="B100" s="8" t="s">
        <v>104</v>
      </c>
      <c r="C100" s="9">
        <v>497560058</v>
      </c>
      <c r="D100" s="10">
        <v>259.25700000000001</v>
      </c>
      <c r="E100" s="8">
        <v>123</v>
      </c>
      <c r="F100" s="8">
        <v>2.1077804878048783</v>
      </c>
      <c r="G100" s="11">
        <v>28</v>
      </c>
      <c r="H100" s="10">
        <f t="shared" si="2"/>
        <v>59.017853658536595</v>
      </c>
      <c r="I100" s="10">
        <f t="shared" si="3"/>
        <v>200.23914634146342</v>
      </c>
      <c r="J100" s="9">
        <v>1919176.9479705465</v>
      </c>
      <c r="K100" s="9">
        <v>2484829.1010566023</v>
      </c>
      <c r="L100" s="8">
        <v>1</v>
      </c>
      <c r="M100" s="8">
        <v>1</v>
      </c>
    </row>
    <row r="101" spans="1:13">
      <c r="A101" s="7">
        <v>83903</v>
      </c>
      <c r="B101" s="8" t="s">
        <v>105</v>
      </c>
      <c r="C101" s="9">
        <v>4836405046</v>
      </c>
      <c r="D101" s="10">
        <v>3192.5880000000002</v>
      </c>
      <c r="E101" s="8">
        <v>2428</v>
      </c>
      <c r="F101" s="8">
        <v>1.3149044481054366</v>
      </c>
      <c r="G101" s="11">
        <v>6</v>
      </c>
      <c r="H101" s="10">
        <f t="shared" si="2"/>
        <v>7.8894266886326196</v>
      </c>
      <c r="I101" s="10">
        <f t="shared" si="3"/>
        <v>3184.6985733113675</v>
      </c>
      <c r="J101" s="9">
        <v>1514885.430252823</v>
      </c>
      <c r="K101" s="9">
        <v>1518638.2430445312</v>
      </c>
      <c r="L101" s="8">
        <v>1</v>
      </c>
      <c r="M101" s="8">
        <v>1</v>
      </c>
    </row>
    <row r="102" spans="1:13">
      <c r="A102" s="7">
        <v>84902</v>
      </c>
      <c r="B102" s="8" t="s">
        <v>106</v>
      </c>
      <c r="C102" s="9">
        <v>4506894347</v>
      </c>
      <c r="D102" s="10">
        <v>8202.2890000000007</v>
      </c>
      <c r="E102" s="8">
        <v>6440</v>
      </c>
      <c r="F102" s="8">
        <v>1.2736473602484473</v>
      </c>
      <c r="G102" s="11">
        <v>241</v>
      </c>
      <c r="H102" s="10">
        <f t="shared" si="2"/>
        <v>306.9490138198758</v>
      </c>
      <c r="I102" s="10">
        <f t="shared" si="3"/>
        <v>7895.3399861801245</v>
      </c>
      <c r="J102" s="9">
        <v>549467.87988084788</v>
      </c>
      <c r="K102" s="9">
        <v>570829.67356552032</v>
      </c>
      <c r="L102" s="8">
        <v>1</v>
      </c>
      <c r="M102" s="8">
        <v>1</v>
      </c>
    </row>
    <row r="103" spans="1:13">
      <c r="A103" s="7">
        <v>84903</v>
      </c>
      <c r="B103" s="8" t="s">
        <v>107</v>
      </c>
      <c r="C103" s="9">
        <v>63749690</v>
      </c>
      <c r="D103" s="10">
        <v>283.68599999999998</v>
      </c>
      <c r="E103" s="8">
        <v>179</v>
      </c>
      <c r="F103" s="8">
        <v>1.5848379888268156</v>
      </c>
      <c r="G103" s="11">
        <v>99</v>
      </c>
      <c r="H103" s="10">
        <f t="shared" si="2"/>
        <v>156.89896089385473</v>
      </c>
      <c r="I103" s="10">
        <f t="shared" si="3"/>
        <v>126.78703910614524</v>
      </c>
      <c r="J103" s="9">
        <v>224719.19657649656</v>
      </c>
      <c r="K103" s="9">
        <v>502809.20233991108</v>
      </c>
      <c r="L103" s="8">
        <v>0</v>
      </c>
      <c r="M103" s="8">
        <v>1</v>
      </c>
    </row>
    <row r="104" spans="1:13">
      <c r="A104" s="7">
        <v>84904</v>
      </c>
      <c r="B104" s="8" t="s">
        <v>108</v>
      </c>
      <c r="C104" s="9">
        <v>1403926168</v>
      </c>
      <c r="D104" s="10">
        <v>4135.5929999999998</v>
      </c>
      <c r="E104" s="8">
        <v>2971</v>
      </c>
      <c r="F104" s="8">
        <v>1.391986873106698</v>
      </c>
      <c r="G104" s="11">
        <v>53</v>
      </c>
      <c r="H104" s="10">
        <f t="shared" si="2"/>
        <v>73.775304274654999</v>
      </c>
      <c r="I104" s="10">
        <f t="shared" si="3"/>
        <v>4061.8176957253449</v>
      </c>
      <c r="J104" s="9">
        <v>339473.96854574425</v>
      </c>
      <c r="K104" s="9">
        <v>345639.876816109</v>
      </c>
      <c r="L104" s="8">
        <v>1</v>
      </c>
      <c r="M104" s="8">
        <v>1</v>
      </c>
    </row>
    <row r="105" spans="1:13">
      <c r="A105" s="7">
        <v>84906</v>
      </c>
      <c r="B105" s="8" t="s">
        <v>109</v>
      </c>
      <c r="C105" s="9">
        <v>3742606839</v>
      </c>
      <c r="D105" s="10">
        <v>7132.83</v>
      </c>
      <c r="E105" s="8">
        <v>5781</v>
      </c>
      <c r="F105" s="8">
        <v>1.233840166061235</v>
      </c>
      <c r="G105" s="11">
        <v>198</v>
      </c>
      <c r="H105" s="10">
        <f t="shared" si="2"/>
        <v>244.30035288012454</v>
      </c>
      <c r="I105" s="10">
        <f t="shared" si="3"/>
        <v>6888.5296471198753</v>
      </c>
      <c r="J105" s="9">
        <v>524701.53347268899</v>
      </c>
      <c r="K105" s="9">
        <v>543309.97044700244</v>
      </c>
      <c r="L105" s="8">
        <v>1</v>
      </c>
      <c r="M105" s="8">
        <v>1</v>
      </c>
    </row>
    <row r="106" spans="1:13">
      <c r="A106" s="7">
        <v>84910</v>
      </c>
      <c r="B106" s="8" t="s">
        <v>110</v>
      </c>
      <c r="C106" s="9">
        <v>15316666927</v>
      </c>
      <c r="D106" s="10">
        <v>45616.114999999998</v>
      </c>
      <c r="E106" s="8">
        <v>38250</v>
      </c>
      <c r="F106" s="8">
        <v>1.1925781699346405</v>
      </c>
      <c r="G106" s="11">
        <v>0</v>
      </c>
      <c r="H106" s="10">
        <f t="shared" si="2"/>
        <v>0</v>
      </c>
      <c r="I106" s="10">
        <f t="shared" si="3"/>
        <v>45616.114999999998</v>
      </c>
      <c r="J106" s="9">
        <v>335773.15663554426</v>
      </c>
      <c r="K106" s="9">
        <v>335773.15663554426</v>
      </c>
      <c r="L106" s="8">
        <v>1</v>
      </c>
      <c r="M106" s="8">
        <v>1</v>
      </c>
    </row>
    <row r="107" spans="1:13">
      <c r="A107" s="7">
        <v>85902</v>
      </c>
      <c r="B107" s="8" t="s">
        <v>111</v>
      </c>
      <c r="C107" s="9">
        <v>774974706</v>
      </c>
      <c r="D107" s="10">
        <v>1309.242</v>
      </c>
      <c r="E107" s="8">
        <v>777</v>
      </c>
      <c r="F107" s="8">
        <v>1.684996138996139</v>
      </c>
      <c r="G107" s="11">
        <v>11</v>
      </c>
      <c r="H107" s="10">
        <f t="shared" si="2"/>
        <v>18.534957528957527</v>
      </c>
      <c r="I107" s="10">
        <f t="shared" si="3"/>
        <v>1290.7070424710425</v>
      </c>
      <c r="J107" s="9">
        <v>591926.24892876949</v>
      </c>
      <c r="K107" s="9">
        <v>600426.49532330793</v>
      </c>
      <c r="L107" s="8">
        <v>1</v>
      </c>
      <c r="M107" s="8">
        <v>1</v>
      </c>
    </row>
    <row r="108" spans="1:13">
      <c r="A108" s="7">
        <v>85903</v>
      </c>
      <c r="B108" s="8" t="s">
        <v>112</v>
      </c>
      <c r="C108" s="9">
        <v>80146417</v>
      </c>
      <c r="D108" s="10">
        <v>268.52800000000002</v>
      </c>
      <c r="E108" s="8">
        <v>153</v>
      </c>
      <c r="F108" s="8">
        <v>1.7550849673202615</v>
      </c>
      <c r="G108" s="11">
        <v>114</v>
      </c>
      <c r="H108" s="10">
        <f t="shared" si="2"/>
        <v>200.07968627450981</v>
      </c>
      <c r="I108" s="10">
        <f t="shared" si="3"/>
        <v>68.448313725490209</v>
      </c>
      <c r="J108" s="9">
        <v>298465.77265685512</v>
      </c>
      <c r="K108" s="9">
        <v>1170904.1850384315</v>
      </c>
      <c r="L108" s="8">
        <v>0</v>
      </c>
      <c r="M108" s="8">
        <v>1</v>
      </c>
    </row>
    <row r="109" spans="1:13">
      <c r="A109" s="7">
        <v>86024</v>
      </c>
      <c r="B109" s="8" t="s">
        <v>113</v>
      </c>
      <c r="C109" s="9">
        <v>34973189</v>
      </c>
      <c r="D109" s="10">
        <v>108.429</v>
      </c>
      <c r="E109" s="8">
        <v>20</v>
      </c>
      <c r="F109" s="8">
        <v>5.4214500000000001</v>
      </c>
      <c r="G109" s="11">
        <v>11</v>
      </c>
      <c r="H109" s="10">
        <f t="shared" si="2"/>
        <v>59.635950000000001</v>
      </c>
      <c r="I109" s="10">
        <f t="shared" si="3"/>
        <v>48.793050000000001</v>
      </c>
      <c r="J109" s="9">
        <v>322544.6052255393</v>
      </c>
      <c r="K109" s="9">
        <v>716765.78939008736</v>
      </c>
      <c r="L109" s="8">
        <v>1</v>
      </c>
      <c r="M109" s="8">
        <v>1</v>
      </c>
    </row>
    <row r="110" spans="1:13">
      <c r="A110" s="7">
        <v>86901</v>
      </c>
      <c r="B110" s="8" t="s">
        <v>114</v>
      </c>
      <c r="C110" s="9">
        <v>2281733004</v>
      </c>
      <c r="D110" s="10">
        <v>3690.683</v>
      </c>
      <c r="E110" s="8">
        <v>2950</v>
      </c>
      <c r="F110" s="8">
        <v>1.2510789830508475</v>
      </c>
      <c r="G110" s="11">
        <v>61</v>
      </c>
      <c r="H110" s="10">
        <f t="shared" si="2"/>
        <v>76.315817966101704</v>
      </c>
      <c r="I110" s="10">
        <f t="shared" si="3"/>
        <v>3614.3671820338982</v>
      </c>
      <c r="J110" s="9">
        <v>618241.39434354019</v>
      </c>
      <c r="K110" s="9">
        <v>631295.29709707294</v>
      </c>
      <c r="L110" s="8">
        <v>1</v>
      </c>
      <c r="M110" s="8">
        <v>1</v>
      </c>
    </row>
    <row r="111" spans="1:13">
      <c r="A111" s="7">
        <v>86902</v>
      </c>
      <c r="B111" s="8" t="s">
        <v>115</v>
      </c>
      <c r="C111" s="9">
        <v>364312016</v>
      </c>
      <c r="D111" s="10">
        <v>1024.807</v>
      </c>
      <c r="E111" s="8">
        <v>599</v>
      </c>
      <c r="F111" s="8">
        <v>1.7108631051752923</v>
      </c>
      <c r="G111" s="11">
        <v>82</v>
      </c>
      <c r="H111" s="10">
        <f t="shared" si="2"/>
        <v>140.29077462437397</v>
      </c>
      <c r="I111" s="10">
        <f t="shared" si="3"/>
        <v>884.51622537562605</v>
      </c>
      <c r="J111" s="9">
        <v>355493.29385923396</v>
      </c>
      <c r="K111" s="9">
        <v>411877.14317539876</v>
      </c>
      <c r="L111" s="8">
        <v>1</v>
      </c>
      <c r="M111" s="8">
        <v>1</v>
      </c>
    </row>
    <row r="112" spans="1:13">
      <c r="A112" s="7">
        <v>87901</v>
      </c>
      <c r="B112" s="8" t="s">
        <v>116</v>
      </c>
      <c r="C112" s="9">
        <v>1251737674</v>
      </c>
      <c r="D112" s="10">
        <v>494.06299999999999</v>
      </c>
      <c r="E112" s="8">
        <v>283</v>
      </c>
      <c r="F112" s="8">
        <v>1.7458056537102473</v>
      </c>
      <c r="G112" s="11">
        <v>26</v>
      </c>
      <c r="H112" s="10">
        <f t="shared" si="2"/>
        <v>45.390946996466432</v>
      </c>
      <c r="I112" s="10">
        <f t="shared" si="3"/>
        <v>448.67205300353356</v>
      </c>
      <c r="J112" s="9">
        <v>2533558.825493915</v>
      </c>
      <c r="K112" s="9">
        <v>2789872.1697073071</v>
      </c>
      <c r="L112" s="8">
        <v>1</v>
      </c>
      <c r="M112" s="8">
        <v>1</v>
      </c>
    </row>
    <row r="113" spans="1:13">
      <c r="A113" s="7">
        <v>88902</v>
      </c>
      <c r="B113" s="8" t="s">
        <v>117</v>
      </c>
      <c r="C113" s="9">
        <v>1022881648</v>
      </c>
      <c r="D113" s="10">
        <v>1958.0319999999999</v>
      </c>
      <c r="E113" s="8">
        <v>1360</v>
      </c>
      <c r="F113" s="8">
        <v>1.4397294117647059</v>
      </c>
      <c r="G113" s="11">
        <v>118</v>
      </c>
      <c r="H113" s="10">
        <f t="shared" si="2"/>
        <v>169.88807058823531</v>
      </c>
      <c r="I113" s="10">
        <f t="shared" si="3"/>
        <v>1788.1439294117647</v>
      </c>
      <c r="J113" s="9">
        <v>522402.9270206003</v>
      </c>
      <c r="K113" s="9">
        <v>572035.41123028693</v>
      </c>
      <c r="L113" s="8">
        <v>1</v>
      </c>
      <c r="M113" s="8">
        <v>1</v>
      </c>
    </row>
    <row r="114" spans="1:13">
      <c r="A114" s="7">
        <v>90902</v>
      </c>
      <c r="B114" s="8" t="s">
        <v>118</v>
      </c>
      <c r="C114" s="9">
        <v>157466652</v>
      </c>
      <c r="D114" s="10">
        <v>262.85500000000002</v>
      </c>
      <c r="E114" s="8">
        <v>174</v>
      </c>
      <c r="F114" s="8">
        <v>1.5106609195402301</v>
      </c>
      <c r="G114" s="11">
        <v>52</v>
      </c>
      <c r="H114" s="10">
        <f t="shared" si="2"/>
        <v>78.554367816091968</v>
      </c>
      <c r="I114" s="10">
        <f t="shared" si="3"/>
        <v>184.30063218390805</v>
      </c>
      <c r="J114" s="9">
        <v>599062.7988815126</v>
      </c>
      <c r="K114" s="9">
        <v>854401.04102773115</v>
      </c>
      <c r="L114" s="8">
        <v>1</v>
      </c>
      <c r="M114" s="8">
        <v>1</v>
      </c>
    </row>
    <row r="115" spans="1:13">
      <c r="A115" s="7">
        <v>90903</v>
      </c>
      <c r="B115" s="8" t="s">
        <v>119</v>
      </c>
      <c r="C115" s="9">
        <v>142996459</v>
      </c>
      <c r="D115" s="10">
        <v>386.72899999999998</v>
      </c>
      <c r="E115" s="8">
        <v>216</v>
      </c>
      <c r="F115" s="8">
        <v>1.7904120370370369</v>
      </c>
      <c r="G115" s="11">
        <v>17</v>
      </c>
      <c r="H115" s="10">
        <f t="shared" si="2"/>
        <v>30.437004629629627</v>
      </c>
      <c r="I115" s="10">
        <f t="shared" si="3"/>
        <v>356.29199537037039</v>
      </c>
      <c r="J115" s="9">
        <v>369758.82077630592</v>
      </c>
      <c r="K115" s="9">
        <v>401346.25772704557</v>
      </c>
      <c r="L115" s="8">
        <v>1</v>
      </c>
      <c r="M115" s="8">
        <v>1</v>
      </c>
    </row>
    <row r="116" spans="1:13">
      <c r="A116" s="7">
        <v>90905</v>
      </c>
      <c r="B116" s="8" t="s">
        <v>120</v>
      </c>
      <c r="C116" s="9">
        <v>123139450</v>
      </c>
      <c r="D116" s="10">
        <v>90.584999999999994</v>
      </c>
      <c r="E116" s="8">
        <v>44</v>
      </c>
      <c r="F116" s="8">
        <v>2.0587499999999999</v>
      </c>
      <c r="G116" s="11">
        <v>38</v>
      </c>
      <c r="H116" s="10">
        <f t="shared" si="2"/>
        <v>78.232499999999987</v>
      </c>
      <c r="I116" s="10">
        <f t="shared" si="3"/>
        <v>12.352500000000006</v>
      </c>
      <c r="J116" s="9">
        <v>1359380.1401998124</v>
      </c>
      <c r="K116" s="9">
        <v>9968787.6947986186</v>
      </c>
      <c r="L116" s="8">
        <v>1</v>
      </c>
      <c r="M116" s="8">
        <v>1</v>
      </c>
    </row>
    <row r="117" spans="1:13">
      <c r="A117" s="7">
        <v>91907</v>
      </c>
      <c r="B117" s="8" t="s">
        <v>121</v>
      </c>
      <c r="C117" s="9">
        <v>72888432</v>
      </c>
      <c r="D117" s="10">
        <v>235.07900000000001</v>
      </c>
      <c r="E117" s="8">
        <v>141</v>
      </c>
      <c r="F117" s="8">
        <v>1.66722695035461</v>
      </c>
      <c r="G117" s="11">
        <v>27</v>
      </c>
      <c r="H117" s="10">
        <f t="shared" si="2"/>
        <v>45.015127659574468</v>
      </c>
      <c r="I117" s="10">
        <f t="shared" si="3"/>
        <v>190.06387234042555</v>
      </c>
      <c r="J117" s="9">
        <v>310059.30772208492</v>
      </c>
      <c r="K117" s="9">
        <v>383494.40691942081</v>
      </c>
      <c r="L117" s="8">
        <v>0</v>
      </c>
      <c r="M117" s="8">
        <v>1</v>
      </c>
    </row>
    <row r="118" spans="1:13">
      <c r="A118" s="7">
        <v>91913</v>
      </c>
      <c r="B118" s="8" t="s">
        <v>122</v>
      </c>
      <c r="C118" s="9">
        <v>658012798</v>
      </c>
      <c r="D118" s="10">
        <v>1638.5239999999999</v>
      </c>
      <c r="E118" s="8">
        <v>1281</v>
      </c>
      <c r="F118" s="8">
        <v>1.2790975800156128</v>
      </c>
      <c r="G118" s="11">
        <v>16</v>
      </c>
      <c r="H118" s="10">
        <f t="shared" si="2"/>
        <v>20.465561280249805</v>
      </c>
      <c r="I118" s="10">
        <f t="shared" si="3"/>
        <v>1618.05843871975</v>
      </c>
      <c r="J118" s="9">
        <v>401588.74572481087</v>
      </c>
      <c r="K118" s="9">
        <v>406668.12906994688</v>
      </c>
      <c r="L118" s="8">
        <v>1</v>
      </c>
      <c r="M118" s="8">
        <v>1</v>
      </c>
    </row>
    <row r="119" spans="1:13">
      <c r="A119" s="7">
        <v>91914</v>
      </c>
      <c r="B119" s="8" t="s">
        <v>123</v>
      </c>
      <c r="C119" s="9">
        <v>339352593</v>
      </c>
      <c r="D119" s="10">
        <v>1161.5350000000001</v>
      </c>
      <c r="E119" s="8">
        <v>824</v>
      </c>
      <c r="F119" s="8">
        <v>1.4096298543689321</v>
      </c>
      <c r="G119" s="11">
        <v>76</v>
      </c>
      <c r="H119" s="10">
        <f t="shared" si="2"/>
        <v>107.13186893203884</v>
      </c>
      <c r="I119" s="10">
        <f t="shared" si="3"/>
        <v>1054.4031310679613</v>
      </c>
      <c r="J119" s="9">
        <v>292158.73219489725</v>
      </c>
      <c r="K119" s="9">
        <v>321843.30926282797</v>
      </c>
      <c r="L119" s="8">
        <v>0</v>
      </c>
      <c r="M119" s="8">
        <v>1</v>
      </c>
    </row>
    <row r="120" spans="1:13">
      <c r="A120" s="7">
        <v>92902</v>
      </c>
      <c r="B120" s="8" t="s">
        <v>124</v>
      </c>
      <c r="C120" s="9">
        <v>1698268804</v>
      </c>
      <c r="D120" s="10">
        <v>4707.0649999999996</v>
      </c>
      <c r="E120" s="8">
        <v>3884</v>
      </c>
      <c r="F120" s="8">
        <v>1.2119116889804324</v>
      </c>
      <c r="G120" s="11">
        <v>141</v>
      </c>
      <c r="H120" s="10">
        <f t="shared" si="2"/>
        <v>170.87954814624098</v>
      </c>
      <c r="I120" s="10">
        <f t="shared" si="3"/>
        <v>4536.1854518537584</v>
      </c>
      <c r="J120" s="9">
        <v>360791.44944886043</v>
      </c>
      <c r="K120" s="9">
        <v>374382.57805486879</v>
      </c>
      <c r="L120" s="8">
        <v>1</v>
      </c>
      <c r="M120" s="8">
        <v>1</v>
      </c>
    </row>
    <row r="121" spans="1:13">
      <c r="A121" s="7">
        <v>92903</v>
      </c>
      <c r="B121" s="8" t="s">
        <v>125</v>
      </c>
      <c r="C121" s="9">
        <v>3735077681</v>
      </c>
      <c r="D121" s="10">
        <v>10310.773999999999</v>
      </c>
      <c r="E121" s="8">
        <v>8482</v>
      </c>
      <c r="F121" s="8">
        <v>1.2156064607403914</v>
      </c>
      <c r="G121" s="11">
        <v>289</v>
      </c>
      <c r="H121" s="10">
        <f t="shared" si="2"/>
        <v>351.31026715397309</v>
      </c>
      <c r="I121" s="10">
        <f t="shared" si="3"/>
        <v>9959.4637328460267</v>
      </c>
      <c r="J121" s="9">
        <v>362249.98055432114</v>
      </c>
      <c r="K121" s="9">
        <v>375027.99158571364</v>
      </c>
      <c r="L121" s="8">
        <v>1</v>
      </c>
      <c r="M121" s="8">
        <v>1</v>
      </c>
    </row>
    <row r="122" spans="1:13">
      <c r="A122" s="7">
        <v>93901</v>
      </c>
      <c r="B122" s="8" t="s">
        <v>126</v>
      </c>
      <c r="C122" s="9">
        <v>449666156</v>
      </c>
      <c r="D122" s="10">
        <v>1046.3920000000001</v>
      </c>
      <c r="E122" s="8">
        <v>736</v>
      </c>
      <c r="F122" s="8">
        <v>1.4217282608695654</v>
      </c>
      <c r="G122" s="11">
        <v>166</v>
      </c>
      <c r="H122" s="10">
        <f t="shared" si="2"/>
        <v>236.00689130434785</v>
      </c>
      <c r="I122" s="10">
        <f t="shared" si="3"/>
        <v>810.38510869565221</v>
      </c>
      <c r="J122" s="9">
        <v>429730.11643819907</v>
      </c>
      <c r="K122" s="9">
        <v>554879.58894476225</v>
      </c>
      <c r="L122" s="8">
        <v>1</v>
      </c>
      <c r="M122" s="8">
        <v>1</v>
      </c>
    </row>
    <row r="123" spans="1:13">
      <c r="A123" s="7">
        <v>93904</v>
      </c>
      <c r="B123" s="8" t="s">
        <v>127</v>
      </c>
      <c r="C123" s="9">
        <v>1312187108</v>
      </c>
      <c r="D123" s="10">
        <v>3927.652</v>
      </c>
      <c r="E123" s="8">
        <v>2916</v>
      </c>
      <c r="F123" s="8">
        <v>1.3469314128943759</v>
      </c>
      <c r="G123" s="11">
        <v>23</v>
      </c>
      <c r="H123" s="10">
        <f t="shared" si="2"/>
        <v>30.979422496570646</v>
      </c>
      <c r="I123" s="10">
        <f t="shared" si="3"/>
        <v>3896.6725775034292</v>
      </c>
      <c r="J123" s="9">
        <v>334089.45293523965</v>
      </c>
      <c r="K123" s="9">
        <v>336745.53914938087</v>
      </c>
      <c r="L123" s="8">
        <v>1</v>
      </c>
      <c r="M123" s="8">
        <v>1</v>
      </c>
    </row>
    <row r="124" spans="1:13">
      <c r="A124" s="7">
        <v>93905</v>
      </c>
      <c r="B124" s="8" t="s">
        <v>128</v>
      </c>
      <c r="C124" s="9">
        <v>149490722</v>
      </c>
      <c r="D124" s="10">
        <v>231.035</v>
      </c>
      <c r="E124" s="8">
        <v>152</v>
      </c>
      <c r="F124" s="8">
        <v>1.5199671052631578</v>
      </c>
      <c r="G124" s="11">
        <v>5</v>
      </c>
      <c r="H124" s="10">
        <f t="shared" si="2"/>
        <v>7.5998355263157888</v>
      </c>
      <c r="I124" s="10">
        <f t="shared" si="3"/>
        <v>223.43516447368421</v>
      </c>
      <c r="J124" s="9">
        <v>647047.94511654077</v>
      </c>
      <c r="K124" s="9">
        <v>669056.37862390617</v>
      </c>
      <c r="L124" s="8">
        <v>1</v>
      </c>
      <c r="M124" s="8">
        <v>1</v>
      </c>
    </row>
    <row r="125" spans="1:13">
      <c r="A125" s="7">
        <v>95901</v>
      </c>
      <c r="B125" s="8" t="s">
        <v>129</v>
      </c>
      <c r="C125" s="9">
        <v>465786303</v>
      </c>
      <c r="D125" s="10">
        <v>1166.6669999999999</v>
      </c>
      <c r="E125" s="8">
        <v>785</v>
      </c>
      <c r="F125" s="8">
        <v>1.4862</v>
      </c>
      <c r="G125" s="11">
        <v>26</v>
      </c>
      <c r="H125" s="10">
        <f t="shared" si="2"/>
        <v>38.641199999999998</v>
      </c>
      <c r="I125" s="10">
        <f t="shared" si="3"/>
        <v>1128.0257999999999</v>
      </c>
      <c r="J125" s="9">
        <v>399245.28850134619</v>
      </c>
      <c r="K125" s="9">
        <v>412921.67519572697</v>
      </c>
      <c r="L125" s="8">
        <v>1</v>
      </c>
      <c r="M125" s="8">
        <v>1</v>
      </c>
    </row>
    <row r="126" spans="1:13">
      <c r="A126" s="7">
        <v>98901</v>
      </c>
      <c r="B126" s="8" t="s">
        <v>130</v>
      </c>
      <c r="C126" s="9">
        <v>435516018</v>
      </c>
      <c r="D126" s="10">
        <v>755.01499999999999</v>
      </c>
      <c r="E126" s="8">
        <v>417</v>
      </c>
      <c r="F126" s="8">
        <v>1.8105875299760192</v>
      </c>
      <c r="G126" s="11">
        <v>14</v>
      </c>
      <c r="H126" s="10">
        <f t="shared" si="2"/>
        <v>25.348225419664271</v>
      </c>
      <c r="I126" s="10">
        <f t="shared" si="3"/>
        <v>729.66677458033575</v>
      </c>
      <c r="J126" s="9">
        <v>576830.94772951526</v>
      </c>
      <c r="K126" s="9">
        <v>596869.73995833215</v>
      </c>
      <c r="L126" s="8">
        <v>1</v>
      </c>
      <c r="M126" s="8">
        <v>1</v>
      </c>
    </row>
    <row r="127" spans="1:13">
      <c r="A127" s="7">
        <v>98903</v>
      </c>
      <c r="B127" s="8" t="s">
        <v>131</v>
      </c>
      <c r="C127" s="9">
        <v>246004780</v>
      </c>
      <c r="D127" s="10">
        <v>226.428</v>
      </c>
      <c r="E127" s="8">
        <v>121</v>
      </c>
      <c r="F127" s="8">
        <v>1.8713057851239669</v>
      </c>
      <c r="G127" s="11">
        <v>68</v>
      </c>
      <c r="H127" s="10">
        <f t="shared" si="2"/>
        <v>127.24879338842975</v>
      </c>
      <c r="I127" s="10">
        <f t="shared" si="3"/>
        <v>99.179206611570251</v>
      </c>
      <c r="J127" s="9">
        <v>1086459.1834932077</v>
      </c>
      <c r="K127" s="9">
        <v>2480406.81514487</v>
      </c>
      <c r="L127" s="8">
        <v>1</v>
      </c>
      <c r="M127" s="8">
        <v>1</v>
      </c>
    </row>
    <row r="128" spans="1:13">
      <c r="A128" s="7">
        <v>98904</v>
      </c>
      <c r="B128" s="8" t="s">
        <v>132</v>
      </c>
      <c r="C128" s="9">
        <v>448667920</v>
      </c>
      <c r="D128" s="10">
        <v>1323.3920000000001</v>
      </c>
      <c r="E128" s="8">
        <v>832</v>
      </c>
      <c r="F128" s="8">
        <v>1.5906153846153848</v>
      </c>
      <c r="G128" s="11">
        <v>10</v>
      </c>
      <c r="H128" s="10">
        <f t="shared" si="2"/>
        <v>15.906153846153847</v>
      </c>
      <c r="I128" s="10">
        <f t="shared" si="3"/>
        <v>1307.4858461538463</v>
      </c>
      <c r="J128" s="9">
        <v>339028.73827256018</v>
      </c>
      <c r="K128" s="9">
        <v>343153.17547782249</v>
      </c>
      <c r="L128" s="8">
        <v>1</v>
      </c>
      <c r="M128" s="8">
        <v>1</v>
      </c>
    </row>
    <row r="129" spans="1:13">
      <c r="A129" s="7">
        <v>99902</v>
      </c>
      <c r="B129" s="8" t="s">
        <v>133</v>
      </c>
      <c r="C129" s="9">
        <v>117618625</v>
      </c>
      <c r="D129" s="10">
        <v>319.92500000000001</v>
      </c>
      <c r="E129" s="8">
        <v>196</v>
      </c>
      <c r="F129" s="8">
        <v>1.6322704081632653</v>
      </c>
      <c r="G129" s="11">
        <v>10</v>
      </c>
      <c r="H129" s="10">
        <f t="shared" si="2"/>
        <v>16.322704081632654</v>
      </c>
      <c r="I129" s="10">
        <f t="shared" si="3"/>
        <v>303.60229591836736</v>
      </c>
      <c r="J129" s="9">
        <v>367644.3697741658</v>
      </c>
      <c r="K129" s="9">
        <v>387410.19610611018</v>
      </c>
      <c r="L129" s="8">
        <v>1</v>
      </c>
      <c r="M129" s="8">
        <v>1</v>
      </c>
    </row>
    <row r="130" spans="1:13">
      <c r="A130" s="7">
        <v>100905</v>
      </c>
      <c r="B130" s="8" t="s">
        <v>134</v>
      </c>
      <c r="C130" s="9">
        <v>1046402558</v>
      </c>
      <c r="D130" s="10">
        <v>2524.02</v>
      </c>
      <c r="E130" s="8">
        <v>2022</v>
      </c>
      <c r="F130" s="8">
        <v>1.2482789317507419</v>
      </c>
      <c r="G130" s="11">
        <v>49</v>
      </c>
      <c r="H130" s="10">
        <f t="shared" si="2"/>
        <v>61.165667655786351</v>
      </c>
      <c r="I130" s="10">
        <f t="shared" si="3"/>
        <v>2462.8543323442136</v>
      </c>
      <c r="J130" s="9">
        <v>414577.76008114038</v>
      </c>
      <c r="K130" s="9">
        <v>424873.91327119409</v>
      </c>
      <c r="L130" s="8">
        <v>1</v>
      </c>
      <c r="M130" s="8">
        <v>1</v>
      </c>
    </row>
    <row r="131" spans="1:13">
      <c r="A131" s="7">
        <v>101908</v>
      </c>
      <c r="B131" s="8" t="s">
        <v>135</v>
      </c>
      <c r="C131" s="9">
        <v>6801299539</v>
      </c>
      <c r="D131" s="10">
        <v>15136.253000000001</v>
      </c>
      <c r="E131" s="8">
        <v>12533</v>
      </c>
      <c r="F131" s="8">
        <v>1.2077118806351232</v>
      </c>
      <c r="G131" s="11">
        <v>1477</v>
      </c>
      <c r="H131" s="10">
        <f t="shared" ref="H131:H194" si="4">F131*G131</f>
        <v>1783.7904476980771</v>
      </c>
      <c r="I131" s="10">
        <f t="shared" ref="I131:I194" si="5">D131-H131</f>
        <v>13352.462552301924</v>
      </c>
      <c r="J131" s="9">
        <v>449338.38903194864</v>
      </c>
      <c r="K131" s="9">
        <v>509366.68141619139</v>
      </c>
      <c r="L131" s="8">
        <v>1</v>
      </c>
      <c r="M131" s="8">
        <v>1</v>
      </c>
    </row>
    <row r="132" spans="1:13">
      <c r="A132" s="7">
        <v>101912</v>
      </c>
      <c r="B132" s="8" t="s">
        <v>136</v>
      </c>
      <c r="C132" s="9">
        <v>104937180911</v>
      </c>
      <c r="D132" s="10">
        <v>255373.55300000001</v>
      </c>
      <c r="E132" s="8">
        <v>202315</v>
      </c>
      <c r="F132" s="8">
        <v>1.2622571386204682</v>
      </c>
      <c r="G132" s="11">
        <v>2260</v>
      </c>
      <c r="H132" s="10">
        <f t="shared" si="4"/>
        <v>2852.7011332822581</v>
      </c>
      <c r="I132" s="10">
        <f t="shared" si="5"/>
        <v>252520.85186671777</v>
      </c>
      <c r="J132" s="9">
        <v>410916.39944015659</v>
      </c>
      <c r="K132" s="9">
        <v>415558.47818217624</v>
      </c>
      <c r="L132" s="8">
        <v>1</v>
      </c>
      <c r="M132" s="8">
        <v>1</v>
      </c>
    </row>
    <row r="133" spans="1:13">
      <c r="A133" s="7">
        <v>101916</v>
      </c>
      <c r="B133" s="8" t="s">
        <v>137</v>
      </c>
      <c r="C133" s="9">
        <v>5977113370</v>
      </c>
      <c r="D133" s="10">
        <v>9288.4390000000003</v>
      </c>
      <c r="E133" s="8">
        <v>7785</v>
      </c>
      <c r="F133" s="8">
        <v>1.1931199743095697</v>
      </c>
      <c r="G133" s="11">
        <v>154</v>
      </c>
      <c r="H133" s="10">
        <f t="shared" si="4"/>
        <v>183.74047604367374</v>
      </c>
      <c r="I133" s="10">
        <f t="shared" si="5"/>
        <v>9104.6985239563273</v>
      </c>
      <c r="J133" s="9">
        <v>643500.30936306948</v>
      </c>
      <c r="K133" s="9">
        <v>656486.6869861742</v>
      </c>
      <c r="L133" s="8">
        <v>1</v>
      </c>
      <c r="M133" s="8">
        <v>1</v>
      </c>
    </row>
    <row r="134" spans="1:13">
      <c r="A134" s="7">
        <v>101920</v>
      </c>
      <c r="B134" s="8" t="s">
        <v>138</v>
      </c>
      <c r="C134" s="9">
        <v>18990380031</v>
      </c>
      <c r="D134" s="10">
        <v>40083.616000000002</v>
      </c>
      <c r="E134" s="8">
        <v>32879</v>
      </c>
      <c r="F134" s="8">
        <v>1.2191251558745704</v>
      </c>
      <c r="G134" s="11">
        <v>721</v>
      </c>
      <c r="H134" s="10">
        <f t="shared" si="4"/>
        <v>878.98923738556527</v>
      </c>
      <c r="I134" s="10">
        <f t="shared" si="5"/>
        <v>39204.62676261444</v>
      </c>
      <c r="J134" s="9">
        <v>473769.13377775095</v>
      </c>
      <c r="K134" s="9">
        <v>484391.29763911536</v>
      </c>
      <c r="L134" s="8">
        <v>1</v>
      </c>
      <c r="M134" s="8">
        <v>1</v>
      </c>
    </row>
    <row r="135" spans="1:13">
      <c r="A135" s="7">
        <v>101921</v>
      </c>
      <c r="B135" s="8" t="s">
        <v>139</v>
      </c>
      <c r="C135" s="9">
        <v>5124116088</v>
      </c>
      <c r="D135" s="10">
        <v>12336.079</v>
      </c>
      <c r="E135" s="8">
        <v>10609</v>
      </c>
      <c r="F135" s="8">
        <v>1.1627937600150815</v>
      </c>
      <c r="G135" s="11">
        <v>182</v>
      </c>
      <c r="H135" s="10">
        <f t="shared" si="4"/>
        <v>211.62846432274483</v>
      </c>
      <c r="I135" s="10">
        <f t="shared" si="5"/>
        <v>12124.450535677255</v>
      </c>
      <c r="J135" s="9">
        <v>415376.40023219696</v>
      </c>
      <c r="K135" s="9">
        <v>422626.66443496477</v>
      </c>
      <c r="L135" s="8">
        <v>1</v>
      </c>
      <c r="M135" s="8">
        <v>1</v>
      </c>
    </row>
    <row r="136" spans="1:13">
      <c r="A136" s="7">
        <v>101924</v>
      </c>
      <c r="B136" s="8" t="s">
        <v>140</v>
      </c>
      <c r="C136" s="9">
        <v>4131135907</v>
      </c>
      <c r="D136" s="10">
        <v>8813.4920000000002</v>
      </c>
      <c r="E136" s="8">
        <v>6809</v>
      </c>
      <c r="F136" s="8">
        <v>1.2943886033191365</v>
      </c>
      <c r="G136" s="11">
        <v>98</v>
      </c>
      <c r="H136" s="10">
        <f t="shared" si="4"/>
        <v>126.85008312527538</v>
      </c>
      <c r="I136" s="10">
        <f t="shared" si="5"/>
        <v>8686.6419168747252</v>
      </c>
      <c r="J136" s="9">
        <v>468728.61596742814</v>
      </c>
      <c r="K136" s="9">
        <v>475573.40875014424</v>
      </c>
      <c r="L136" s="8">
        <v>1</v>
      </c>
      <c r="M136" s="8">
        <v>1</v>
      </c>
    </row>
    <row r="137" spans="1:13">
      <c r="A137" s="7">
        <v>102901</v>
      </c>
      <c r="B137" s="8" t="s">
        <v>141</v>
      </c>
      <c r="C137" s="9">
        <v>233134622</v>
      </c>
      <c r="D137" s="10">
        <v>281.77199999999999</v>
      </c>
      <c r="E137" s="8">
        <v>213</v>
      </c>
      <c r="F137" s="8">
        <v>1.3228732394366196</v>
      </c>
      <c r="G137" s="11">
        <v>4</v>
      </c>
      <c r="H137" s="10">
        <f t="shared" si="4"/>
        <v>5.2914929577464784</v>
      </c>
      <c r="I137" s="10">
        <f t="shared" si="5"/>
        <v>276.48050704225352</v>
      </c>
      <c r="J137" s="9">
        <v>827387.46930142108</v>
      </c>
      <c r="K137" s="9">
        <v>843222.63617800327</v>
      </c>
      <c r="L137" s="8">
        <v>1</v>
      </c>
      <c r="M137" s="8">
        <v>1</v>
      </c>
    </row>
    <row r="138" spans="1:13">
      <c r="A138" s="7">
        <v>102902</v>
      </c>
      <c r="B138" s="8" t="s">
        <v>142</v>
      </c>
      <c r="C138" s="9">
        <v>2827210368</v>
      </c>
      <c r="D138" s="10">
        <v>7202.9359999999997</v>
      </c>
      <c r="E138" s="8">
        <v>5829</v>
      </c>
      <c r="F138" s="8">
        <v>1.2357069823297306</v>
      </c>
      <c r="G138" s="11">
        <v>42</v>
      </c>
      <c r="H138" s="10">
        <f t="shared" si="4"/>
        <v>51.899693257848689</v>
      </c>
      <c r="I138" s="10">
        <f t="shared" si="5"/>
        <v>7151.0363067421513</v>
      </c>
      <c r="J138" s="9">
        <v>392508.05060603068</v>
      </c>
      <c r="K138" s="9">
        <v>395356.73526569078</v>
      </c>
      <c r="L138" s="8">
        <v>1</v>
      </c>
      <c r="M138" s="8">
        <v>1</v>
      </c>
    </row>
    <row r="139" spans="1:13">
      <c r="A139" s="7">
        <v>102903</v>
      </c>
      <c r="B139" s="8" t="s">
        <v>143</v>
      </c>
      <c r="C139" s="9">
        <v>457866639</v>
      </c>
      <c r="D139" s="10">
        <v>1218.98</v>
      </c>
      <c r="E139" s="8">
        <v>786</v>
      </c>
      <c r="F139" s="8">
        <v>1.5508651399491094</v>
      </c>
      <c r="G139" s="11">
        <v>45</v>
      </c>
      <c r="H139" s="10">
        <f t="shared" si="4"/>
        <v>69.788931297709922</v>
      </c>
      <c r="I139" s="10">
        <f t="shared" si="5"/>
        <v>1149.1910687022901</v>
      </c>
      <c r="J139" s="9">
        <v>375614.56217493315</v>
      </c>
      <c r="K139" s="9">
        <v>398425.16311673069</v>
      </c>
      <c r="L139" s="8">
        <v>1</v>
      </c>
      <c r="M139" s="8">
        <v>1</v>
      </c>
    </row>
    <row r="140" spans="1:13">
      <c r="A140" s="7">
        <v>102904</v>
      </c>
      <c r="B140" s="8" t="s">
        <v>144</v>
      </c>
      <c r="C140" s="9">
        <v>2231521108</v>
      </c>
      <c r="D140" s="10">
        <v>5639.0029999999997</v>
      </c>
      <c r="E140" s="8">
        <v>4317</v>
      </c>
      <c r="F140" s="8">
        <v>1.3062318739865646</v>
      </c>
      <c r="G140" s="11">
        <v>88</v>
      </c>
      <c r="H140" s="10">
        <f t="shared" si="4"/>
        <v>114.94840491081769</v>
      </c>
      <c r="I140" s="10">
        <f t="shared" si="5"/>
        <v>5524.0545950891819</v>
      </c>
      <c r="J140" s="9">
        <v>395729.72527235758</v>
      </c>
      <c r="K140" s="9">
        <v>403964.34712716186</v>
      </c>
      <c r="L140" s="8">
        <v>1</v>
      </c>
      <c r="M140" s="8">
        <v>1</v>
      </c>
    </row>
    <row r="141" spans="1:13">
      <c r="A141" s="7">
        <v>102906</v>
      </c>
      <c r="B141" s="8" t="s">
        <v>145</v>
      </c>
      <c r="C141" s="9">
        <v>638237153</v>
      </c>
      <c r="D141" s="10">
        <v>1410.4939999999999</v>
      </c>
      <c r="E141" s="8">
        <v>1043</v>
      </c>
      <c r="F141" s="8">
        <v>1.3523432406519653</v>
      </c>
      <c r="G141" s="11">
        <v>17</v>
      </c>
      <c r="H141" s="10">
        <f t="shared" si="4"/>
        <v>22.98983509108341</v>
      </c>
      <c r="I141" s="10">
        <f t="shared" si="5"/>
        <v>1387.5041649089164</v>
      </c>
      <c r="J141" s="9">
        <v>452491.93048676563</v>
      </c>
      <c r="K141" s="9">
        <v>459989.36013420724</v>
      </c>
      <c r="L141" s="8">
        <v>1</v>
      </c>
      <c r="M141" s="8">
        <v>1</v>
      </c>
    </row>
    <row r="142" spans="1:13">
      <c r="A142" s="7">
        <v>103901</v>
      </c>
      <c r="B142" s="8" t="s">
        <v>146</v>
      </c>
      <c r="C142" s="9">
        <v>153973906</v>
      </c>
      <c r="D142" s="10">
        <v>298.88200000000001</v>
      </c>
      <c r="E142" s="8">
        <v>153</v>
      </c>
      <c r="F142" s="8">
        <v>1.9534771241830067</v>
      </c>
      <c r="G142" s="11">
        <v>67</v>
      </c>
      <c r="H142" s="10">
        <f t="shared" si="4"/>
        <v>130.88296732026146</v>
      </c>
      <c r="I142" s="10">
        <f t="shared" si="5"/>
        <v>167.99903267973855</v>
      </c>
      <c r="J142" s="9">
        <v>515166.20606125495</v>
      </c>
      <c r="K142" s="9">
        <v>916516.62241130252</v>
      </c>
      <c r="L142" s="8">
        <v>1</v>
      </c>
      <c r="M142" s="8">
        <v>1</v>
      </c>
    </row>
    <row r="143" spans="1:13">
      <c r="A143" s="7">
        <v>104907</v>
      </c>
      <c r="B143" s="8" t="s">
        <v>147</v>
      </c>
      <c r="C143" s="9">
        <v>36633472</v>
      </c>
      <c r="D143" s="10">
        <v>296.57</v>
      </c>
      <c r="E143" s="8">
        <v>169</v>
      </c>
      <c r="F143" s="8">
        <v>1.7548520710059172</v>
      </c>
      <c r="G143" s="11">
        <v>135</v>
      </c>
      <c r="H143" s="10">
        <f t="shared" si="4"/>
        <v>236.90502958579881</v>
      </c>
      <c r="I143" s="10">
        <f t="shared" si="5"/>
        <v>59.664970414201179</v>
      </c>
      <c r="J143" s="9">
        <v>123523.86283170921</v>
      </c>
      <c r="K143" s="9">
        <v>613986.25936937821</v>
      </c>
      <c r="L143" s="8">
        <v>0</v>
      </c>
      <c r="M143" s="8">
        <v>1</v>
      </c>
    </row>
    <row r="144" spans="1:13">
      <c r="A144" s="7">
        <v>105902</v>
      </c>
      <c r="B144" s="8" t="s">
        <v>148</v>
      </c>
      <c r="C144" s="9">
        <v>3296757102</v>
      </c>
      <c r="D144" s="10">
        <v>8948.0300000000007</v>
      </c>
      <c r="E144" s="8">
        <v>7377</v>
      </c>
      <c r="F144" s="8">
        <v>1.2129632641995391</v>
      </c>
      <c r="G144" s="11">
        <v>77</v>
      </c>
      <c r="H144" s="10">
        <f t="shared" si="4"/>
        <v>93.39817134336451</v>
      </c>
      <c r="I144" s="10">
        <f t="shared" si="5"/>
        <v>8854.6318286566366</v>
      </c>
      <c r="J144" s="9">
        <v>368433.84543860488</v>
      </c>
      <c r="K144" s="9">
        <v>372320.06545213534</v>
      </c>
      <c r="L144" s="8">
        <v>1</v>
      </c>
      <c r="M144" s="8">
        <v>1</v>
      </c>
    </row>
    <row r="145" spans="1:13">
      <c r="A145" s="7">
        <v>105904</v>
      </c>
      <c r="B145" s="8" t="s">
        <v>149</v>
      </c>
      <c r="C145" s="9">
        <v>2501044288</v>
      </c>
      <c r="D145" s="10">
        <v>5194.6819999999998</v>
      </c>
      <c r="E145" s="8">
        <v>4468</v>
      </c>
      <c r="F145" s="8">
        <v>1.1626414503133393</v>
      </c>
      <c r="G145" s="11">
        <v>86</v>
      </c>
      <c r="H145" s="10">
        <f t="shared" si="4"/>
        <v>99.987164726947185</v>
      </c>
      <c r="I145" s="10">
        <f t="shared" si="5"/>
        <v>5094.6948352730524</v>
      </c>
      <c r="J145" s="9">
        <v>481462.4433218434</v>
      </c>
      <c r="K145" s="9">
        <v>490911.50085851125</v>
      </c>
      <c r="L145" s="8">
        <v>1</v>
      </c>
      <c r="M145" s="8">
        <v>1</v>
      </c>
    </row>
    <row r="146" spans="1:13">
      <c r="A146" s="7">
        <v>105905</v>
      </c>
      <c r="B146" s="8" t="s">
        <v>150</v>
      </c>
      <c r="C146" s="9">
        <v>1405314916</v>
      </c>
      <c r="D146" s="10">
        <v>2474.2159999999999</v>
      </c>
      <c r="E146" s="8">
        <v>2002</v>
      </c>
      <c r="F146" s="8">
        <v>1.2358721278721279</v>
      </c>
      <c r="G146" s="11">
        <v>150</v>
      </c>
      <c r="H146" s="10">
        <f t="shared" si="4"/>
        <v>185.38081918081917</v>
      </c>
      <c r="I146" s="10">
        <f t="shared" si="5"/>
        <v>2288.8351808191806</v>
      </c>
      <c r="J146" s="9">
        <v>567983.92541314103</v>
      </c>
      <c r="K146" s="9">
        <v>613986.94313018804</v>
      </c>
      <c r="L146" s="8">
        <v>1</v>
      </c>
      <c r="M146" s="8">
        <v>1</v>
      </c>
    </row>
    <row r="147" spans="1:13">
      <c r="A147" s="7">
        <v>106901</v>
      </c>
      <c r="B147" s="8" t="s">
        <v>151</v>
      </c>
      <c r="C147" s="9">
        <v>1641487847</v>
      </c>
      <c r="D147" s="10">
        <v>1275.877</v>
      </c>
      <c r="E147" s="8">
        <v>848</v>
      </c>
      <c r="F147" s="8">
        <v>1.5045719339622641</v>
      </c>
      <c r="G147" s="11">
        <v>35</v>
      </c>
      <c r="H147" s="10">
        <f t="shared" si="4"/>
        <v>52.66001768867924</v>
      </c>
      <c r="I147" s="10">
        <f t="shared" si="5"/>
        <v>1223.2169823113206</v>
      </c>
      <c r="J147" s="9">
        <v>1286556.4995685322</v>
      </c>
      <c r="K147" s="9">
        <v>1341943.3107430693</v>
      </c>
      <c r="L147" s="8">
        <v>1</v>
      </c>
      <c r="M147" s="8">
        <v>1</v>
      </c>
    </row>
    <row r="148" spans="1:13">
      <c r="A148" s="7">
        <v>107904</v>
      </c>
      <c r="B148" s="8" t="s">
        <v>152</v>
      </c>
      <c r="C148" s="9">
        <v>346170274</v>
      </c>
      <c r="D148" s="10">
        <v>976.14</v>
      </c>
      <c r="E148" s="8">
        <v>609</v>
      </c>
      <c r="F148" s="8">
        <v>1.6028571428571428</v>
      </c>
      <c r="G148" s="11">
        <v>79</v>
      </c>
      <c r="H148" s="10">
        <f t="shared" si="4"/>
        <v>126.62571428571428</v>
      </c>
      <c r="I148" s="10">
        <f t="shared" si="5"/>
        <v>849.51428571428573</v>
      </c>
      <c r="J148" s="9">
        <v>354631.78847296495</v>
      </c>
      <c r="K148" s="9">
        <v>407491.99845289742</v>
      </c>
      <c r="L148" s="8">
        <v>1</v>
      </c>
      <c r="M148" s="8">
        <v>1</v>
      </c>
    </row>
    <row r="149" spans="1:13">
      <c r="A149" s="7">
        <v>107906</v>
      </c>
      <c r="B149" s="8" t="s">
        <v>153</v>
      </c>
      <c r="C149" s="9">
        <v>998717294</v>
      </c>
      <c r="D149" s="10">
        <v>1745.5609999999999</v>
      </c>
      <c r="E149" s="8">
        <v>1264</v>
      </c>
      <c r="F149" s="8">
        <v>1.3809818037974684</v>
      </c>
      <c r="G149" s="11">
        <v>144</v>
      </c>
      <c r="H149" s="10">
        <f t="shared" si="4"/>
        <v>198.86137974683544</v>
      </c>
      <c r="I149" s="10">
        <f t="shared" si="5"/>
        <v>1546.6996202531645</v>
      </c>
      <c r="J149" s="9">
        <v>572146.88802052755</v>
      </c>
      <c r="K149" s="9">
        <v>645708.63076602388</v>
      </c>
      <c r="L149" s="8">
        <v>1</v>
      </c>
      <c r="M149" s="8">
        <v>1</v>
      </c>
    </row>
    <row r="150" spans="1:13">
      <c r="A150" s="7">
        <v>107908</v>
      </c>
      <c r="B150" s="8" t="s">
        <v>154</v>
      </c>
      <c r="C150" s="9">
        <v>41141150</v>
      </c>
      <c r="D150" s="10">
        <v>246.94300000000001</v>
      </c>
      <c r="E150" s="8">
        <v>138</v>
      </c>
      <c r="F150" s="8">
        <v>1.7894420289855073</v>
      </c>
      <c r="G150" s="11">
        <v>76</v>
      </c>
      <c r="H150" s="10">
        <f t="shared" si="4"/>
        <v>135.99759420289857</v>
      </c>
      <c r="I150" s="10">
        <f t="shared" si="5"/>
        <v>110.94540579710144</v>
      </c>
      <c r="J150" s="9">
        <v>166601.80689470848</v>
      </c>
      <c r="K150" s="9">
        <v>370823.37663660926</v>
      </c>
      <c r="L150" s="8">
        <v>0</v>
      </c>
      <c r="M150" s="8">
        <v>1</v>
      </c>
    </row>
    <row r="151" spans="1:13">
      <c r="A151" s="7">
        <v>107910</v>
      </c>
      <c r="B151" s="8" t="s">
        <v>155</v>
      </c>
      <c r="C151" s="9">
        <v>372432623</v>
      </c>
      <c r="D151" s="10">
        <v>709.6</v>
      </c>
      <c r="E151" s="8">
        <v>461</v>
      </c>
      <c r="F151" s="8">
        <v>1.5392624728850326</v>
      </c>
      <c r="G151" s="11">
        <v>8</v>
      </c>
      <c r="H151" s="10">
        <f t="shared" si="4"/>
        <v>12.314099783080261</v>
      </c>
      <c r="I151" s="10">
        <f t="shared" si="5"/>
        <v>697.2859002169198</v>
      </c>
      <c r="J151" s="9">
        <v>524848.67953776778</v>
      </c>
      <c r="K151" s="9">
        <v>534117.53039053187</v>
      </c>
      <c r="L151" s="8">
        <v>1</v>
      </c>
      <c r="M151" s="8">
        <v>1</v>
      </c>
    </row>
    <row r="152" spans="1:13">
      <c r="A152" s="7">
        <v>109903</v>
      </c>
      <c r="B152" s="8" t="s">
        <v>156</v>
      </c>
      <c r="C152" s="9">
        <v>97086688</v>
      </c>
      <c r="D152" s="10">
        <v>450.01</v>
      </c>
      <c r="E152" s="8">
        <v>286</v>
      </c>
      <c r="F152" s="8">
        <v>1.5734615384615385</v>
      </c>
      <c r="G152" s="11">
        <v>105</v>
      </c>
      <c r="H152" s="10">
        <f t="shared" si="4"/>
        <v>165.21346153846153</v>
      </c>
      <c r="I152" s="10">
        <f t="shared" si="5"/>
        <v>284.79653846153849</v>
      </c>
      <c r="J152" s="9">
        <v>215743.40125774982</v>
      </c>
      <c r="K152" s="9">
        <v>340898.41303710744</v>
      </c>
      <c r="L152" s="8">
        <v>0</v>
      </c>
      <c r="M152" s="8">
        <v>1</v>
      </c>
    </row>
    <row r="153" spans="1:13">
      <c r="A153" s="7">
        <v>109908</v>
      </c>
      <c r="B153" s="8" t="s">
        <v>157</v>
      </c>
      <c r="C153" s="9">
        <v>34061455</v>
      </c>
      <c r="D153" s="10">
        <v>151.90199999999999</v>
      </c>
      <c r="E153" s="8">
        <v>99</v>
      </c>
      <c r="F153" s="8">
        <v>1.5343636363636362</v>
      </c>
      <c r="G153" s="11">
        <v>38</v>
      </c>
      <c r="H153" s="10">
        <f t="shared" si="4"/>
        <v>58.305818181818175</v>
      </c>
      <c r="I153" s="10">
        <f t="shared" si="5"/>
        <v>93.596181818181805</v>
      </c>
      <c r="J153" s="9">
        <v>224233.0910718753</v>
      </c>
      <c r="K153" s="9">
        <v>363919.27895271569</v>
      </c>
      <c r="L153" s="8">
        <v>0</v>
      </c>
      <c r="M153" s="8">
        <v>1</v>
      </c>
    </row>
    <row r="154" spans="1:13">
      <c r="A154" s="7">
        <v>110901</v>
      </c>
      <c r="B154" s="8" t="s">
        <v>158</v>
      </c>
      <c r="C154" s="9">
        <v>120850430</v>
      </c>
      <c r="D154" s="10">
        <v>384.46199999999999</v>
      </c>
      <c r="E154" s="8">
        <v>244</v>
      </c>
      <c r="F154" s="8">
        <v>1.5756639344262295</v>
      </c>
      <c r="G154" s="11">
        <v>17</v>
      </c>
      <c r="H154" s="10">
        <f t="shared" si="4"/>
        <v>26.786286885245904</v>
      </c>
      <c r="I154" s="10">
        <f t="shared" si="5"/>
        <v>357.6757131147541</v>
      </c>
      <c r="J154" s="9">
        <v>314336.47538638412</v>
      </c>
      <c r="K154" s="9">
        <v>337877.09248580493</v>
      </c>
      <c r="L154" s="8">
        <v>0</v>
      </c>
      <c r="M154" s="8">
        <v>1</v>
      </c>
    </row>
    <row r="155" spans="1:13">
      <c r="A155" s="7">
        <v>110902</v>
      </c>
      <c r="B155" s="8" t="s">
        <v>159</v>
      </c>
      <c r="C155" s="9">
        <v>1618339961</v>
      </c>
      <c r="D155" s="10">
        <v>4000.1410000000001</v>
      </c>
      <c r="E155" s="8">
        <v>2918</v>
      </c>
      <c r="F155" s="8">
        <v>1.3708502398903359</v>
      </c>
      <c r="G155" s="11">
        <v>53</v>
      </c>
      <c r="H155" s="10">
        <f t="shared" si="4"/>
        <v>72.655062714187807</v>
      </c>
      <c r="I155" s="10">
        <f t="shared" si="5"/>
        <v>3927.4859372858123</v>
      </c>
      <c r="J155" s="9">
        <v>404570.72913179809</v>
      </c>
      <c r="K155" s="9">
        <v>412054.93459217693</v>
      </c>
      <c r="L155" s="8">
        <v>1</v>
      </c>
      <c r="M155" s="8">
        <v>1</v>
      </c>
    </row>
    <row r="156" spans="1:13">
      <c r="A156" s="7">
        <v>110907</v>
      </c>
      <c r="B156" s="8" t="s">
        <v>160</v>
      </c>
      <c r="C156" s="9">
        <v>1593430193</v>
      </c>
      <c r="D156" s="10">
        <v>958.654</v>
      </c>
      <c r="E156" s="8">
        <v>667</v>
      </c>
      <c r="F156" s="8">
        <v>1.4372623688155921</v>
      </c>
      <c r="G156" s="11">
        <v>194</v>
      </c>
      <c r="H156" s="10">
        <f t="shared" si="4"/>
        <v>278.82889955022489</v>
      </c>
      <c r="I156" s="10">
        <f t="shared" si="5"/>
        <v>679.82510044977516</v>
      </c>
      <c r="J156" s="9">
        <v>1662153.5955621111</v>
      </c>
      <c r="K156" s="9">
        <v>2343882.5544184525</v>
      </c>
      <c r="L156" s="8">
        <v>1</v>
      </c>
      <c r="M156" s="8">
        <v>1</v>
      </c>
    </row>
    <row r="157" spans="1:13">
      <c r="A157" s="7">
        <v>110908</v>
      </c>
      <c r="B157" s="8" t="s">
        <v>161</v>
      </c>
      <c r="C157" s="9">
        <v>81251653</v>
      </c>
      <c r="D157" s="10">
        <v>308.50299999999999</v>
      </c>
      <c r="E157" s="8">
        <v>191</v>
      </c>
      <c r="F157" s="8">
        <v>1.6151989528795812</v>
      </c>
      <c r="G157" s="11">
        <v>130</v>
      </c>
      <c r="H157" s="10">
        <f t="shared" si="4"/>
        <v>209.97586387434555</v>
      </c>
      <c r="I157" s="10">
        <f t="shared" si="5"/>
        <v>98.527136125654437</v>
      </c>
      <c r="J157" s="9">
        <v>263373.94774118892</v>
      </c>
      <c r="K157" s="9">
        <v>824662.68882896868</v>
      </c>
      <c r="L157" s="8">
        <v>0</v>
      </c>
      <c r="M157" s="8">
        <v>1</v>
      </c>
    </row>
    <row r="158" spans="1:13">
      <c r="A158" s="7">
        <v>111901</v>
      </c>
      <c r="B158" s="8" t="s">
        <v>162</v>
      </c>
      <c r="C158" s="9">
        <v>4738669330</v>
      </c>
      <c r="D158" s="10">
        <v>7832.0050000000001</v>
      </c>
      <c r="E158" s="8">
        <v>6573</v>
      </c>
      <c r="F158" s="8">
        <v>1.1915419138901566</v>
      </c>
      <c r="G158" s="11">
        <v>33</v>
      </c>
      <c r="H158" s="10">
        <f t="shared" si="4"/>
        <v>39.320883158375167</v>
      </c>
      <c r="I158" s="10">
        <f t="shared" si="5"/>
        <v>7792.6841168416249</v>
      </c>
      <c r="J158" s="9">
        <v>605039.10939791275</v>
      </c>
      <c r="K158" s="9">
        <v>608092.05903248943</v>
      </c>
      <c r="L158" s="8">
        <v>1</v>
      </c>
      <c r="M158" s="8">
        <v>1</v>
      </c>
    </row>
    <row r="159" spans="1:13">
      <c r="A159" s="7">
        <v>111902</v>
      </c>
      <c r="B159" s="8" t="s">
        <v>163</v>
      </c>
      <c r="C159" s="9">
        <v>182222745</v>
      </c>
      <c r="D159" s="10">
        <v>409.93799999999999</v>
      </c>
      <c r="E159" s="8">
        <v>278</v>
      </c>
      <c r="F159" s="8">
        <v>1.4745971223021583</v>
      </c>
      <c r="G159" s="11">
        <v>20</v>
      </c>
      <c r="H159" s="10">
        <f t="shared" si="4"/>
        <v>29.491942446043169</v>
      </c>
      <c r="I159" s="10">
        <f t="shared" si="5"/>
        <v>380.44605755395685</v>
      </c>
      <c r="J159" s="9">
        <v>444512.93854192586</v>
      </c>
      <c r="K159" s="9">
        <v>478971.30587075732</v>
      </c>
      <c r="L159" s="8">
        <v>1</v>
      </c>
      <c r="M159" s="8">
        <v>1</v>
      </c>
    </row>
    <row r="160" spans="1:13">
      <c r="A160" s="7">
        <v>113902</v>
      </c>
      <c r="B160" s="8" t="s">
        <v>164</v>
      </c>
      <c r="C160" s="9">
        <v>252675752</v>
      </c>
      <c r="D160" s="10">
        <v>753.91200000000003</v>
      </c>
      <c r="E160" s="8">
        <v>507</v>
      </c>
      <c r="F160" s="8">
        <v>1.4870059171597634</v>
      </c>
      <c r="G160" s="11">
        <v>25</v>
      </c>
      <c r="H160" s="10">
        <f t="shared" si="4"/>
        <v>37.175147928994086</v>
      </c>
      <c r="I160" s="10">
        <f t="shared" si="5"/>
        <v>716.73685207100596</v>
      </c>
      <c r="J160" s="9">
        <v>335152.84542493022</v>
      </c>
      <c r="K160" s="9">
        <v>352536.29176439752</v>
      </c>
      <c r="L160" s="8">
        <v>1</v>
      </c>
      <c r="M160" s="8">
        <v>1</v>
      </c>
    </row>
    <row r="161" spans="1:13">
      <c r="A161" s="7">
        <v>114902</v>
      </c>
      <c r="B161" s="8" t="s">
        <v>165</v>
      </c>
      <c r="C161" s="9">
        <v>387703355</v>
      </c>
      <c r="D161" s="10">
        <v>1233.127</v>
      </c>
      <c r="E161" s="8">
        <v>772</v>
      </c>
      <c r="F161" s="8">
        <v>1.5973147668393781</v>
      </c>
      <c r="G161" s="11">
        <v>150</v>
      </c>
      <c r="H161" s="10">
        <f t="shared" si="4"/>
        <v>239.59721502590671</v>
      </c>
      <c r="I161" s="10">
        <f t="shared" si="5"/>
        <v>993.52978497409322</v>
      </c>
      <c r="J161" s="9">
        <v>314406.6710079335</v>
      </c>
      <c r="K161" s="9">
        <v>390228.21546322294</v>
      </c>
      <c r="L161" s="8">
        <v>0</v>
      </c>
      <c r="M161" s="8">
        <v>1</v>
      </c>
    </row>
    <row r="162" spans="1:13">
      <c r="A162" s="7">
        <v>114904</v>
      </c>
      <c r="B162" s="8" t="s">
        <v>166</v>
      </c>
      <c r="C162" s="9">
        <v>515561351</v>
      </c>
      <c r="D162" s="10">
        <v>969.06</v>
      </c>
      <c r="E162" s="8">
        <v>689</v>
      </c>
      <c r="F162" s="8">
        <v>1.4064731494920173</v>
      </c>
      <c r="G162" s="11">
        <v>243</v>
      </c>
      <c r="H162" s="10">
        <f t="shared" si="4"/>
        <v>341.77297532656019</v>
      </c>
      <c r="I162" s="10">
        <f t="shared" si="5"/>
        <v>627.28702467343976</v>
      </c>
      <c r="J162" s="9">
        <v>532022.11524570209</v>
      </c>
      <c r="K162" s="9">
        <v>821890.66682575946</v>
      </c>
      <c r="L162" s="8">
        <v>1</v>
      </c>
      <c r="M162" s="8">
        <v>1</v>
      </c>
    </row>
    <row r="163" spans="1:13">
      <c r="A163" s="7">
        <v>117904</v>
      </c>
      <c r="B163" s="8" t="s">
        <v>167</v>
      </c>
      <c r="C163" s="9">
        <v>966506778</v>
      </c>
      <c r="D163" s="10">
        <v>1039.306</v>
      </c>
      <c r="E163" s="8">
        <v>617</v>
      </c>
      <c r="F163" s="8">
        <v>1.68445056726094</v>
      </c>
      <c r="G163" s="11">
        <v>107</v>
      </c>
      <c r="H163" s="10">
        <f t="shared" si="4"/>
        <v>180.23621069692058</v>
      </c>
      <c r="I163" s="10">
        <f t="shared" si="5"/>
        <v>859.06978930307946</v>
      </c>
      <c r="J163" s="9">
        <v>929954.00584620889</v>
      </c>
      <c r="K163" s="9">
        <v>1125062.0031511977</v>
      </c>
      <c r="L163" s="8">
        <v>1</v>
      </c>
      <c r="M163" s="8">
        <v>1</v>
      </c>
    </row>
    <row r="164" spans="1:13">
      <c r="A164" s="7">
        <v>117907</v>
      </c>
      <c r="B164" s="8" t="s">
        <v>168</v>
      </c>
      <c r="C164" s="9">
        <v>56598485</v>
      </c>
      <c r="D164" s="10">
        <v>133.94300000000001</v>
      </c>
      <c r="E164" s="8">
        <v>81</v>
      </c>
      <c r="F164" s="8">
        <v>1.6536172839506174</v>
      </c>
      <c r="G164" s="11">
        <v>77</v>
      </c>
      <c r="H164" s="10">
        <f t="shared" si="4"/>
        <v>127.32853086419753</v>
      </c>
      <c r="I164" s="10">
        <f t="shared" si="5"/>
        <v>6.6144691358024801</v>
      </c>
      <c r="J164" s="9">
        <v>422556.49791329145</v>
      </c>
      <c r="K164" s="9">
        <v>8556769.0827441383</v>
      </c>
      <c r="L164" s="8">
        <v>1</v>
      </c>
      <c r="M164" s="8">
        <v>1</v>
      </c>
    </row>
    <row r="165" spans="1:13">
      <c r="A165" s="7">
        <v>118902</v>
      </c>
      <c r="B165" s="8" t="s">
        <v>169</v>
      </c>
      <c r="C165" s="9">
        <v>691306631</v>
      </c>
      <c r="D165" s="10">
        <v>565.51099999999997</v>
      </c>
      <c r="E165" s="8">
        <v>328</v>
      </c>
      <c r="F165" s="8">
        <v>1.7241189024390242</v>
      </c>
      <c r="G165" s="11">
        <v>36</v>
      </c>
      <c r="H165" s="10">
        <f t="shared" si="4"/>
        <v>62.06828048780487</v>
      </c>
      <c r="I165" s="10">
        <f t="shared" si="5"/>
        <v>503.44271951219508</v>
      </c>
      <c r="J165" s="9">
        <v>1222445.9488851677</v>
      </c>
      <c r="K165" s="9">
        <v>1373158.4631312843</v>
      </c>
      <c r="L165" s="8">
        <v>1</v>
      </c>
      <c r="M165" s="8">
        <v>1</v>
      </c>
    </row>
    <row r="166" spans="1:13">
      <c r="A166" s="7">
        <v>119901</v>
      </c>
      <c r="B166" s="8" t="s">
        <v>170</v>
      </c>
      <c r="C166" s="9">
        <v>149877597</v>
      </c>
      <c r="D166" s="10">
        <v>280.47899999999998</v>
      </c>
      <c r="E166" s="8">
        <v>206</v>
      </c>
      <c r="F166" s="8">
        <v>1.3615485436893202</v>
      </c>
      <c r="G166" s="11">
        <v>22</v>
      </c>
      <c r="H166" s="10">
        <f t="shared" si="4"/>
        <v>29.954067961165045</v>
      </c>
      <c r="I166" s="10">
        <f t="shared" si="5"/>
        <v>250.52493203883495</v>
      </c>
      <c r="J166" s="9">
        <v>534362.98974254762</v>
      </c>
      <c r="K166" s="9">
        <v>598254.21677698265</v>
      </c>
      <c r="L166" s="8">
        <v>1</v>
      </c>
      <c r="M166" s="8">
        <v>1</v>
      </c>
    </row>
    <row r="167" spans="1:13">
      <c r="A167" s="7">
        <v>119902</v>
      </c>
      <c r="B167" s="8" t="s">
        <v>171</v>
      </c>
      <c r="C167" s="9">
        <v>764081987</v>
      </c>
      <c r="D167" s="10">
        <v>1468.6510000000001</v>
      </c>
      <c r="E167" s="8">
        <v>935</v>
      </c>
      <c r="F167" s="8">
        <v>1.570749732620321</v>
      </c>
      <c r="G167" s="11">
        <v>42</v>
      </c>
      <c r="H167" s="10">
        <f t="shared" si="4"/>
        <v>65.971488770053483</v>
      </c>
      <c r="I167" s="10">
        <f t="shared" si="5"/>
        <v>1402.6795112299467</v>
      </c>
      <c r="J167" s="9">
        <v>520261.10151424672</v>
      </c>
      <c r="K167" s="9">
        <v>544730.26866273314</v>
      </c>
      <c r="L167" s="8">
        <v>1</v>
      </c>
      <c r="M167" s="8">
        <v>1</v>
      </c>
    </row>
    <row r="168" spans="1:13">
      <c r="A168" s="7">
        <v>119903</v>
      </c>
      <c r="B168" s="8" t="s">
        <v>172</v>
      </c>
      <c r="C168" s="9">
        <v>375820106</v>
      </c>
      <c r="D168" s="10">
        <v>586.14300000000003</v>
      </c>
      <c r="E168" s="8">
        <v>385</v>
      </c>
      <c r="F168" s="8">
        <v>1.5224493506493508</v>
      </c>
      <c r="G168" s="11">
        <v>67</v>
      </c>
      <c r="H168" s="10">
        <f t="shared" si="4"/>
        <v>102.00410649350651</v>
      </c>
      <c r="I168" s="10">
        <f t="shared" si="5"/>
        <v>484.1388935064935</v>
      </c>
      <c r="J168" s="9">
        <v>641174.77475633076</v>
      </c>
      <c r="K168" s="9">
        <v>776265.05748801061</v>
      </c>
      <c r="L168" s="8">
        <v>1</v>
      </c>
      <c r="M168" s="8">
        <v>1</v>
      </c>
    </row>
    <row r="169" spans="1:13">
      <c r="A169" s="7">
        <v>120905</v>
      </c>
      <c r="B169" s="8" t="s">
        <v>173</v>
      </c>
      <c r="C169" s="9">
        <v>520751902</v>
      </c>
      <c r="D169" s="10">
        <v>1595.875</v>
      </c>
      <c r="E169" s="8">
        <v>1123</v>
      </c>
      <c r="F169" s="8">
        <v>1.4210819234194123</v>
      </c>
      <c r="G169" s="11">
        <v>149</v>
      </c>
      <c r="H169" s="10">
        <f t="shared" si="4"/>
        <v>211.74120658949244</v>
      </c>
      <c r="I169" s="10">
        <f t="shared" si="5"/>
        <v>1384.1337934105077</v>
      </c>
      <c r="J169" s="9">
        <v>326311.20983786322</v>
      </c>
      <c r="K169" s="9">
        <v>376229.454463984</v>
      </c>
      <c r="L169" s="8">
        <v>1</v>
      </c>
      <c r="M169" s="8">
        <v>1</v>
      </c>
    </row>
    <row r="170" spans="1:13">
      <c r="A170" s="7">
        <v>121906</v>
      </c>
      <c r="B170" s="8" t="s">
        <v>174</v>
      </c>
      <c r="C170" s="9">
        <v>354525647</v>
      </c>
      <c r="D170" s="10">
        <v>654.76900000000001</v>
      </c>
      <c r="E170" s="8">
        <v>429</v>
      </c>
      <c r="F170" s="8">
        <v>1.5262680652680654</v>
      </c>
      <c r="G170" s="11">
        <v>95</v>
      </c>
      <c r="H170" s="10">
        <f t="shared" si="4"/>
        <v>144.99546620046621</v>
      </c>
      <c r="I170" s="10">
        <f t="shared" si="5"/>
        <v>509.77353379953377</v>
      </c>
      <c r="J170" s="9">
        <v>541451.48441664164</v>
      </c>
      <c r="K170" s="9">
        <v>695457.14615191391</v>
      </c>
      <c r="L170" s="8">
        <v>1</v>
      </c>
      <c r="M170" s="8">
        <v>1</v>
      </c>
    </row>
    <row r="171" spans="1:13">
      <c r="A171" s="7">
        <v>123907</v>
      </c>
      <c r="B171" s="8" t="s">
        <v>175</v>
      </c>
      <c r="C171" s="9">
        <v>4376458960</v>
      </c>
      <c r="D171" s="10">
        <v>10988.366</v>
      </c>
      <c r="E171" s="8">
        <v>8898</v>
      </c>
      <c r="F171" s="8">
        <v>1.2349253764890986</v>
      </c>
      <c r="G171" s="11">
        <v>13</v>
      </c>
      <c r="H171" s="10">
        <f t="shared" si="4"/>
        <v>16.054029894358283</v>
      </c>
      <c r="I171" s="10">
        <f t="shared" si="5"/>
        <v>10972.311970105642</v>
      </c>
      <c r="J171" s="9">
        <v>398281.14207335288</v>
      </c>
      <c r="K171" s="9">
        <v>398863.8831928749</v>
      </c>
      <c r="L171" s="8">
        <v>1</v>
      </c>
      <c r="M171" s="8">
        <v>1</v>
      </c>
    </row>
    <row r="172" spans="1:13">
      <c r="A172" s="7">
        <v>123908</v>
      </c>
      <c r="B172" s="8" t="s">
        <v>176</v>
      </c>
      <c r="C172" s="9">
        <v>2752748497</v>
      </c>
      <c r="D172" s="10">
        <v>5482.0479999999998</v>
      </c>
      <c r="E172" s="8">
        <v>4667</v>
      </c>
      <c r="F172" s="8">
        <v>1.1746406685236768</v>
      </c>
      <c r="G172" s="11">
        <v>68</v>
      </c>
      <c r="H172" s="10">
        <f t="shared" si="4"/>
        <v>79.875565459610016</v>
      </c>
      <c r="I172" s="10">
        <f t="shared" si="5"/>
        <v>5402.17243454039</v>
      </c>
      <c r="J172" s="9">
        <v>502138.70746844978</v>
      </c>
      <c r="K172" s="9">
        <v>509563.24152103829</v>
      </c>
      <c r="L172" s="8">
        <v>1</v>
      </c>
      <c r="M172" s="8">
        <v>1</v>
      </c>
    </row>
    <row r="173" spans="1:13">
      <c r="A173" s="7">
        <v>123910</v>
      </c>
      <c r="B173" s="8" t="s">
        <v>177</v>
      </c>
      <c r="C173" s="9">
        <v>8788794079</v>
      </c>
      <c r="D173" s="10">
        <v>23940.582999999999</v>
      </c>
      <c r="E173" s="8">
        <v>19817</v>
      </c>
      <c r="F173" s="8">
        <v>1.2080831104607155</v>
      </c>
      <c r="G173" s="11">
        <v>28</v>
      </c>
      <c r="H173" s="10">
        <f t="shared" si="4"/>
        <v>33.82632709290003</v>
      </c>
      <c r="I173" s="10">
        <f t="shared" si="5"/>
        <v>23906.7566729071</v>
      </c>
      <c r="J173" s="9">
        <v>367108.60712957574</v>
      </c>
      <c r="K173" s="9">
        <v>367628.03918777109</v>
      </c>
      <c r="L173" s="8">
        <v>1</v>
      </c>
      <c r="M173" s="8">
        <v>1</v>
      </c>
    </row>
    <row r="174" spans="1:13">
      <c r="A174" s="7">
        <v>123913</v>
      </c>
      <c r="B174" s="8" t="s">
        <v>178</v>
      </c>
      <c r="C174" s="9">
        <v>609171717</v>
      </c>
      <c r="D174" s="10">
        <v>566.57299999999998</v>
      </c>
      <c r="E174" s="8">
        <v>333</v>
      </c>
      <c r="F174" s="8">
        <v>1.7014204204204204</v>
      </c>
      <c r="G174" s="11">
        <v>275</v>
      </c>
      <c r="H174" s="10">
        <f t="shared" si="4"/>
        <v>467.89061561561562</v>
      </c>
      <c r="I174" s="10">
        <f t="shared" si="5"/>
        <v>98.682384384384363</v>
      </c>
      <c r="J174" s="9">
        <v>1075186.6343789769</v>
      </c>
      <c r="K174" s="9">
        <v>6173054.2973827468</v>
      </c>
      <c r="L174" s="8">
        <v>1</v>
      </c>
      <c r="M174" s="8">
        <v>1</v>
      </c>
    </row>
    <row r="175" spans="1:13">
      <c r="A175" s="7">
        <v>125906</v>
      </c>
      <c r="B175" s="8" t="s">
        <v>179</v>
      </c>
      <c r="C175" s="9">
        <v>48061445</v>
      </c>
      <c r="D175" s="10">
        <v>172.63</v>
      </c>
      <c r="E175" s="8">
        <v>113</v>
      </c>
      <c r="F175" s="8">
        <v>1.5276991150442478</v>
      </c>
      <c r="G175" s="11">
        <v>83</v>
      </c>
      <c r="H175" s="10">
        <f t="shared" si="4"/>
        <v>126.79902654867257</v>
      </c>
      <c r="I175" s="10">
        <f t="shared" si="5"/>
        <v>45.830973451327424</v>
      </c>
      <c r="J175" s="9">
        <v>278407.25829809421</v>
      </c>
      <c r="K175" s="9">
        <v>1048667.3395894885</v>
      </c>
      <c r="L175" s="8">
        <v>0</v>
      </c>
      <c r="M175" s="8">
        <v>1</v>
      </c>
    </row>
    <row r="176" spans="1:13">
      <c r="A176" s="7">
        <v>126901</v>
      </c>
      <c r="B176" s="8" t="s">
        <v>180</v>
      </c>
      <c r="C176" s="9">
        <v>1536036178</v>
      </c>
      <c r="D176" s="10">
        <v>4294.3599999999997</v>
      </c>
      <c r="E176" s="8">
        <v>3511</v>
      </c>
      <c r="F176" s="8">
        <v>1.2231159213899172</v>
      </c>
      <c r="G176" s="11">
        <v>103</v>
      </c>
      <c r="H176" s="10">
        <f t="shared" si="4"/>
        <v>125.98093990316147</v>
      </c>
      <c r="I176" s="10">
        <f t="shared" si="5"/>
        <v>4168.3790600968387</v>
      </c>
      <c r="J176" s="9">
        <v>357686.86789183953</v>
      </c>
      <c r="K176" s="9">
        <v>368497.23977941566</v>
      </c>
      <c r="L176" s="8">
        <v>1</v>
      </c>
      <c r="M176" s="8">
        <v>1</v>
      </c>
    </row>
    <row r="177" spans="1:13">
      <c r="A177" s="7">
        <v>126903</v>
      </c>
      <c r="B177" s="8" t="s">
        <v>181</v>
      </c>
      <c r="C177" s="9">
        <v>2956444927</v>
      </c>
      <c r="D177" s="10">
        <v>8394.2279999999992</v>
      </c>
      <c r="E177" s="8">
        <v>6906</v>
      </c>
      <c r="F177" s="8">
        <v>1.2154978279756732</v>
      </c>
      <c r="G177" s="11">
        <v>74</v>
      </c>
      <c r="H177" s="10">
        <f t="shared" si="4"/>
        <v>89.946839270199817</v>
      </c>
      <c r="I177" s="10">
        <f t="shared" si="5"/>
        <v>8304.281160729799</v>
      </c>
      <c r="J177" s="9">
        <v>352199.74094103713</v>
      </c>
      <c r="K177" s="9">
        <v>356014.55078144063</v>
      </c>
      <c r="L177" s="8">
        <v>1</v>
      </c>
      <c r="M177" s="8">
        <v>1</v>
      </c>
    </row>
    <row r="178" spans="1:13">
      <c r="A178" s="7">
        <v>126911</v>
      </c>
      <c r="B178" s="8" t="s">
        <v>182</v>
      </c>
      <c r="C178" s="9">
        <v>1336372072</v>
      </c>
      <c r="D178" s="10">
        <v>2145.2629999999999</v>
      </c>
      <c r="E178" s="8">
        <v>1581</v>
      </c>
      <c r="F178" s="8">
        <v>1.3569025932953827</v>
      </c>
      <c r="G178" s="11">
        <v>96</v>
      </c>
      <c r="H178" s="10">
        <f t="shared" si="4"/>
        <v>130.26264895635674</v>
      </c>
      <c r="I178" s="10">
        <f t="shared" si="5"/>
        <v>2015.0003510436431</v>
      </c>
      <c r="J178" s="9">
        <v>622940.90374933055</v>
      </c>
      <c r="K178" s="9">
        <v>663211.83086039836</v>
      </c>
      <c r="L178" s="8">
        <v>1</v>
      </c>
      <c r="M178" s="8">
        <v>1</v>
      </c>
    </row>
    <row r="179" spans="1:13">
      <c r="A179" s="7">
        <v>127905</v>
      </c>
      <c r="B179" s="8" t="s">
        <v>183</v>
      </c>
      <c r="C179" s="9">
        <v>63512653</v>
      </c>
      <c r="D179" s="10">
        <v>243.322</v>
      </c>
      <c r="E179" s="8">
        <v>126</v>
      </c>
      <c r="F179" s="8">
        <v>1.9311269841269842</v>
      </c>
      <c r="G179" s="11">
        <v>27</v>
      </c>
      <c r="H179" s="10">
        <f t="shared" si="4"/>
        <v>52.140428571428572</v>
      </c>
      <c r="I179" s="10">
        <f t="shared" si="5"/>
        <v>191.18157142857143</v>
      </c>
      <c r="J179" s="9">
        <v>261023.05997813598</v>
      </c>
      <c r="K179" s="9">
        <v>332211.16724490031</v>
      </c>
      <c r="L179" s="8">
        <v>0</v>
      </c>
      <c r="M179" s="8">
        <v>1</v>
      </c>
    </row>
    <row r="180" spans="1:13">
      <c r="A180" s="7">
        <v>130901</v>
      </c>
      <c r="B180" s="8" t="s">
        <v>184</v>
      </c>
      <c r="C180" s="9">
        <v>4477920918</v>
      </c>
      <c r="D180" s="10">
        <v>7411.4089999999997</v>
      </c>
      <c r="E180" s="8">
        <v>6632</v>
      </c>
      <c r="F180" s="8">
        <v>1.117522466827503</v>
      </c>
      <c r="G180" s="11">
        <v>85</v>
      </c>
      <c r="H180" s="10">
        <f t="shared" si="4"/>
        <v>94.989409680337758</v>
      </c>
      <c r="I180" s="10">
        <f t="shared" si="5"/>
        <v>7316.4195903196614</v>
      </c>
      <c r="J180" s="9">
        <v>604192.92984640307</v>
      </c>
      <c r="K180" s="9">
        <v>612037.19424795255</v>
      </c>
      <c r="L180" s="8">
        <v>1</v>
      </c>
      <c r="M180" s="8">
        <v>1</v>
      </c>
    </row>
    <row r="181" spans="1:13">
      <c r="A181" s="7">
        <v>130902</v>
      </c>
      <c r="B181" s="8" t="s">
        <v>185</v>
      </c>
      <c r="C181" s="9">
        <v>647108316</v>
      </c>
      <c r="D181" s="10">
        <v>1752.0139999999999</v>
      </c>
      <c r="E181" s="8">
        <v>1167</v>
      </c>
      <c r="F181" s="8">
        <v>1.5012973436161097</v>
      </c>
      <c r="G181" s="11">
        <v>23</v>
      </c>
      <c r="H181" s="10">
        <f t="shared" si="4"/>
        <v>34.529838903170521</v>
      </c>
      <c r="I181" s="10">
        <f t="shared" si="5"/>
        <v>1717.4841610968294</v>
      </c>
      <c r="J181" s="9">
        <v>369351.11020802346</v>
      </c>
      <c r="K181" s="9">
        <v>376776.87553563231</v>
      </c>
      <c r="L181" s="8">
        <v>1</v>
      </c>
      <c r="M181" s="8">
        <v>1</v>
      </c>
    </row>
    <row r="182" spans="1:13">
      <c r="A182" s="7">
        <v>131001</v>
      </c>
      <c r="B182" s="8" t="s">
        <v>186</v>
      </c>
      <c r="C182" s="9">
        <v>1067504452</v>
      </c>
      <c r="D182" s="10">
        <v>157.22</v>
      </c>
      <c r="E182" s="8">
        <v>80</v>
      </c>
      <c r="F182" s="8">
        <v>1.9652499999999999</v>
      </c>
      <c r="G182" s="11">
        <v>30</v>
      </c>
      <c r="H182" s="10">
        <f t="shared" si="4"/>
        <v>58.957499999999996</v>
      </c>
      <c r="I182" s="10">
        <f t="shared" si="5"/>
        <v>98.262500000000003</v>
      </c>
      <c r="J182" s="9">
        <v>6789876.9367764918</v>
      </c>
      <c r="K182" s="9">
        <v>10863803.098842386</v>
      </c>
      <c r="L182" s="8">
        <v>1</v>
      </c>
      <c r="M182" s="8">
        <v>1</v>
      </c>
    </row>
    <row r="183" spans="1:13">
      <c r="A183" s="7">
        <v>132902</v>
      </c>
      <c r="B183" s="8" t="s">
        <v>187</v>
      </c>
      <c r="C183" s="9">
        <v>672412247</v>
      </c>
      <c r="D183" s="10">
        <v>277.55700000000002</v>
      </c>
      <c r="E183" s="8">
        <v>153</v>
      </c>
      <c r="F183" s="8">
        <v>1.8140980392156865</v>
      </c>
      <c r="G183" s="11">
        <v>5</v>
      </c>
      <c r="H183" s="10">
        <f t="shared" si="4"/>
        <v>9.070490196078433</v>
      </c>
      <c r="I183" s="10">
        <f t="shared" si="5"/>
        <v>268.48650980392159</v>
      </c>
      <c r="J183" s="9">
        <v>2422609.5792936226</v>
      </c>
      <c r="K183" s="9">
        <v>2504454.4975130013</v>
      </c>
      <c r="L183" s="8">
        <v>1</v>
      </c>
      <c r="M183" s="8">
        <v>1</v>
      </c>
    </row>
    <row r="184" spans="1:13">
      <c r="A184" s="7">
        <v>133902</v>
      </c>
      <c r="B184" s="8" t="s">
        <v>188</v>
      </c>
      <c r="C184" s="9">
        <v>301602058</v>
      </c>
      <c r="D184" s="10">
        <v>255.196</v>
      </c>
      <c r="E184" s="8">
        <v>181</v>
      </c>
      <c r="F184" s="8">
        <v>1.4099226519337016</v>
      </c>
      <c r="G184" s="11">
        <v>44</v>
      </c>
      <c r="H184" s="10">
        <f t="shared" si="4"/>
        <v>62.03659668508287</v>
      </c>
      <c r="I184" s="10">
        <f t="shared" si="5"/>
        <v>193.15940331491714</v>
      </c>
      <c r="J184" s="9">
        <v>1181844.7702942053</v>
      </c>
      <c r="K184" s="9">
        <v>1561415.3534543877</v>
      </c>
      <c r="L184" s="8">
        <v>1</v>
      </c>
      <c r="M184" s="8">
        <v>1</v>
      </c>
    </row>
    <row r="185" spans="1:13">
      <c r="A185" s="7">
        <v>133903</v>
      </c>
      <c r="B185" s="8" t="s">
        <v>189</v>
      </c>
      <c r="C185" s="9">
        <v>2205428089</v>
      </c>
      <c r="D185" s="10">
        <v>5804.2550000000001</v>
      </c>
      <c r="E185" s="8">
        <v>4859</v>
      </c>
      <c r="F185" s="8">
        <v>1.1945369417575633</v>
      </c>
      <c r="G185" s="11">
        <v>143</v>
      </c>
      <c r="H185" s="10">
        <f t="shared" si="4"/>
        <v>170.81878267133155</v>
      </c>
      <c r="I185" s="10">
        <f t="shared" si="5"/>
        <v>5633.4362173286681</v>
      </c>
      <c r="J185" s="9">
        <v>379967.47024381248</v>
      </c>
      <c r="K185" s="9">
        <v>391488.96054170589</v>
      </c>
      <c r="L185" s="8">
        <v>1</v>
      </c>
      <c r="M185" s="8">
        <v>1</v>
      </c>
    </row>
    <row r="186" spans="1:13">
      <c r="A186" s="7">
        <v>133904</v>
      </c>
      <c r="B186" s="8" t="s">
        <v>190</v>
      </c>
      <c r="C186" s="9">
        <v>431962957</v>
      </c>
      <c r="D186" s="10">
        <v>1392.558</v>
      </c>
      <c r="E186" s="8">
        <v>1050</v>
      </c>
      <c r="F186" s="8">
        <v>1.3262457142857143</v>
      </c>
      <c r="G186" s="11">
        <v>108</v>
      </c>
      <c r="H186" s="10">
        <f t="shared" si="4"/>
        <v>143.23453714285714</v>
      </c>
      <c r="I186" s="10">
        <f t="shared" si="5"/>
        <v>1249.3234628571429</v>
      </c>
      <c r="J186" s="9">
        <v>310193.87127861101</v>
      </c>
      <c r="K186" s="9">
        <v>345757.49983284669</v>
      </c>
      <c r="L186" s="8">
        <v>0</v>
      </c>
      <c r="M186" s="8">
        <v>1</v>
      </c>
    </row>
    <row r="187" spans="1:13">
      <c r="A187" s="7">
        <v>133905</v>
      </c>
      <c r="B187" s="8" t="s">
        <v>191</v>
      </c>
      <c r="C187" s="9">
        <v>51573337</v>
      </c>
      <c r="D187" s="10">
        <v>84.570999999999998</v>
      </c>
      <c r="E187" s="8">
        <v>24</v>
      </c>
      <c r="F187" s="8">
        <v>3.5237916666666664</v>
      </c>
      <c r="G187" s="11">
        <v>8</v>
      </c>
      <c r="H187" s="10">
        <f t="shared" si="4"/>
        <v>28.190333333333331</v>
      </c>
      <c r="I187" s="10">
        <f t="shared" si="5"/>
        <v>56.38066666666667</v>
      </c>
      <c r="J187" s="9">
        <v>609822.95349469676</v>
      </c>
      <c r="K187" s="9">
        <v>914734.43024204508</v>
      </c>
      <c r="L187" s="8">
        <v>1</v>
      </c>
      <c r="M187" s="8">
        <v>1</v>
      </c>
    </row>
    <row r="188" spans="1:13">
      <c r="A188" s="7">
        <v>135001</v>
      </c>
      <c r="B188" s="8" t="s">
        <v>192</v>
      </c>
      <c r="C188" s="9">
        <v>268322671</v>
      </c>
      <c r="D188" s="10">
        <v>265.57900000000001</v>
      </c>
      <c r="E188" s="8">
        <v>116</v>
      </c>
      <c r="F188" s="8">
        <v>2.2894741379310344</v>
      </c>
      <c r="G188" s="11">
        <v>61</v>
      </c>
      <c r="H188" s="10">
        <f t="shared" si="4"/>
        <v>139.6579224137931</v>
      </c>
      <c r="I188" s="10">
        <f t="shared" si="5"/>
        <v>125.92107758620691</v>
      </c>
      <c r="J188" s="9">
        <v>1010330.9034223338</v>
      </c>
      <c r="K188" s="9">
        <v>2130879.7235816494</v>
      </c>
      <c r="L188" s="8">
        <v>1</v>
      </c>
      <c r="M188" s="8">
        <v>1</v>
      </c>
    </row>
    <row r="189" spans="1:13">
      <c r="A189" s="7">
        <v>137903</v>
      </c>
      <c r="B189" s="8" t="s">
        <v>193</v>
      </c>
      <c r="C189" s="9">
        <v>272125098</v>
      </c>
      <c r="D189" s="10">
        <v>885.63599999999997</v>
      </c>
      <c r="E189" s="8">
        <v>489</v>
      </c>
      <c r="F189" s="8">
        <v>1.8111165644171778</v>
      </c>
      <c r="G189" s="11">
        <v>199</v>
      </c>
      <c r="H189" s="10">
        <f t="shared" si="4"/>
        <v>360.41219631901839</v>
      </c>
      <c r="I189" s="10">
        <f t="shared" si="5"/>
        <v>525.22380368098152</v>
      </c>
      <c r="J189" s="9">
        <v>307265.17214747367</v>
      </c>
      <c r="K189" s="9">
        <v>518112.65234522294</v>
      </c>
      <c r="L189" s="8">
        <v>0</v>
      </c>
      <c r="M189" s="8">
        <v>1</v>
      </c>
    </row>
    <row r="190" spans="1:13">
      <c r="A190" s="7">
        <v>137904</v>
      </c>
      <c r="B190" s="8" t="s">
        <v>194</v>
      </c>
      <c r="C190" s="9">
        <v>180386496</v>
      </c>
      <c r="D190" s="10">
        <v>627.03</v>
      </c>
      <c r="E190" s="8">
        <v>401</v>
      </c>
      <c r="F190" s="8">
        <v>1.5636658354114712</v>
      </c>
      <c r="G190" s="11">
        <v>362</v>
      </c>
      <c r="H190" s="10">
        <f t="shared" si="4"/>
        <v>566.04703241895254</v>
      </c>
      <c r="I190" s="10">
        <f t="shared" si="5"/>
        <v>60.982967581047433</v>
      </c>
      <c r="J190" s="9">
        <v>287683.99598105357</v>
      </c>
      <c r="K190" s="9">
        <v>2957981.5997026251</v>
      </c>
      <c r="L190" s="8">
        <v>0</v>
      </c>
      <c r="M190" s="8">
        <v>1</v>
      </c>
    </row>
    <row r="191" spans="1:13">
      <c r="A191" s="7">
        <v>139905</v>
      </c>
      <c r="B191" s="8" t="s">
        <v>195</v>
      </c>
      <c r="C191" s="9">
        <v>777768535</v>
      </c>
      <c r="D191" s="10">
        <v>1200.2260000000001</v>
      </c>
      <c r="E191" s="8">
        <v>819</v>
      </c>
      <c r="F191" s="8">
        <v>1.4654774114774116</v>
      </c>
      <c r="G191" s="11">
        <v>190</v>
      </c>
      <c r="H191" s="10">
        <f t="shared" si="4"/>
        <v>278.44070818070821</v>
      </c>
      <c r="I191" s="10">
        <f t="shared" si="5"/>
        <v>921.78529181929184</v>
      </c>
      <c r="J191" s="9">
        <v>648018.40236755402</v>
      </c>
      <c r="K191" s="9">
        <v>843763.22979177558</v>
      </c>
      <c r="L191" s="8">
        <v>1</v>
      </c>
      <c r="M191" s="8">
        <v>1</v>
      </c>
    </row>
    <row r="192" spans="1:13">
      <c r="A192" s="7">
        <v>140908</v>
      </c>
      <c r="B192" s="8" t="s">
        <v>196</v>
      </c>
      <c r="C192" s="9">
        <v>368944497</v>
      </c>
      <c r="D192" s="10">
        <v>761.47400000000005</v>
      </c>
      <c r="E192" s="8">
        <v>428</v>
      </c>
      <c r="F192" s="8">
        <v>1.7791448598130841</v>
      </c>
      <c r="G192" s="11">
        <v>78</v>
      </c>
      <c r="H192" s="10">
        <f t="shared" si="4"/>
        <v>138.77329906542056</v>
      </c>
      <c r="I192" s="10">
        <f t="shared" si="5"/>
        <v>622.70070093457946</v>
      </c>
      <c r="J192" s="9">
        <v>484513.58418015583</v>
      </c>
      <c r="K192" s="9">
        <v>592490.89722601918</v>
      </c>
      <c r="L192" s="8">
        <v>1</v>
      </c>
      <c r="M192" s="8">
        <v>1</v>
      </c>
    </row>
    <row r="193" spans="1:13">
      <c r="A193" s="7">
        <v>143901</v>
      </c>
      <c r="B193" s="8" t="s">
        <v>197</v>
      </c>
      <c r="C193" s="9">
        <v>617413066</v>
      </c>
      <c r="D193" s="10">
        <v>1396.751</v>
      </c>
      <c r="E193" s="8">
        <v>886</v>
      </c>
      <c r="F193" s="8">
        <v>1.5764683972911964</v>
      </c>
      <c r="G193" s="11">
        <v>128</v>
      </c>
      <c r="H193" s="10">
        <f t="shared" si="4"/>
        <v>201.78795485327313</v>
      </c>
      <c r="I193" s="10">
        <f t="shared" si="5"/>
        <v>1194.9630451467269</v>
      </c>
      <c r="J193" s="9">
        <v>442035.17019139417</v>
      </c>
      <c r="K193" s="9">
        <v>516679.63164851611</v>
      </c>
      <c r="L193" s="8">
        <v>1</v>
      </c>
      <c r="M193" s="8">
        <v>1</v>
      </c>
    </row>
    <row r="194" spans="1:13">
      <c r="A194" s="7">
        <v>143904</v>
      </c>
      <c r="B194" s="8" t="s">
        <v>198</v>
      </c>
      <c r="C194" s="9">
        <v>49719939</v>
      </c>
      <c r="D194" s="10">
        <v>155.88999999999999</v>
      </c>
      <c r="E194" s="8">
        <v>91</v>
      </c>
      <c r="F194" s="8">
        <v>1.7130769230769229</v>
      </c>
      <c r="G194" s="11">
        <v>50</v>
      </c>
      <c r="H194" s="10">
        <f t="shared" si="4"/>
        <v>85.653846153846146</v>
      </c>
      <c r="I194" s="10">
        <f t="shared" si="5"/>
        <v>70.23615384615384</v>
      </c>
      <c r="J194" s="9">
        <v>318942.45301173907</v>
      </c>
      <c r="K194" s="9">
        <v>707896.66400166473</v>
      </c>
      <c r="L194" s="8">
        <v>0</v>
      </c>
      <c r="M194" s="8">
        <v>1</v>
      </c>
    </row>
    <row r="195" spans="1:13">
      <c r="A195" s="7">
        <v>143905</v>
      </c>
      <c r="B195" s="8" t="s">
        <v>199</v>
      </c>
      <c r="C195" s="9">
        <v>51912528</v>
      </c>
      <c r="D195" s="10">
        <v>196.59899999999999</v>
      </c>
      <c r="E195" s="8">
        <v>129</v>
      </c>
      <c r="F195" s="8">
        <v>1.5240232558139535</v>
      </c>
      <c r="G195" s="11">
        <v>66</v>
      </c>
      <c r="H195" s="10">
        <f t="shared" ref="H195:H258" si="6">F195*G195</f>
        <v>100.58553488372092</v>
      </c>
      <c r="I195" s="10">
        <f t="shared" ref="I195:I258" si="7">D195-H195</f>
        <v>96.013465116279065</v>
      </c>
      <c r="J195" s="9">
        <v>264052.85886499932</v>
      </c>
      <c r="K195" s="9">
        <v>540679.66339023667</v>
      </c>
      <c r="L195" s="8">
        <v>0</v>
      </c>
      <c r="M195" s="8">
        <v>1</v>
      </c>
    </row>
    <row r="196" spans="1:13">
      <c r="A196" s="7">
        <v>143906</v>
      </c>
      <c r="B196" s="8" t="s">
        <v>200</v>
      </c>
      <c r="C196" s="9">
        <v>91549286</v>
      </c>
      <c r="D196" s="10">
        <v>121.523</v>
      </c>
      <c r="E196" s="8">
        <v>62</v>
      </c>
      <c r="F196" s="8">
        <v>1.9600483870967742</v>
      </c>
      <c r="G196" s="11">
        <v>18</v>
      </c>
      <c r="H196" s="10">
        <f t="shared" si="6"/>
        <v>35.280870967741933</v>
      </c>
      <c r="I196" s="10">
        <f t="shared" si="7"/>
        <v>86.242129032258063</v>
      </c>
      <c r="J196" s="9">
        <v>753349.45648148912</v>
      </c>
      <c r="K196" s="9">
        <v>1061537.8704966437</v>
      </c>
      <c r="L196" s="8">
        <v>1</v>
      </c>
      <c r="M196" s="8">
        <v>1</v>
      </c>
    </row>
    <row r="197" spans="1:13">
      <c r="A197" s="7">
        <v>144901</v>
      </c>
      <c r="B197" s="8" t="s">
        <v>201</v>
      </c>
      <c r="C197" s="9">
        <v>775835576</v>
      </c>
      <c r="D197" s="10">
        <v>2475.5250000000001</v>
      </c>
      <c r="E197" s="8">
        <v>1895</v>
      </c>
      <c r="F197" s="8">
        <v>1.3063456464379948</v>
      </c>
      <c r="G197" s="11">
        <v>48</v>
      </c>
      <c r="H197" s="10">
        <f t="shared" si="6"/>
        <v>62.704591029023746</v>
      </c>
      <c r="I197" s="10">
        <f t="shared" si="7"/>
        <v>2412.8204089709761</v>
      </c>
      <c r="J197" s="9">
        <v>313402.44029044342</v>
      </c>
      <c r="K197" s="9">
        <v>321547.17073654052</v>
      </c>
      <c r="L197" s="8">
        <v>0</v>
      </c>
      <c r="M197" s="8">
        <v>1</v>
      </c>
    </row>
    <row r="198" spans="1:13">
      <c r="A198" s="7">
        <v>144903</v>
      </c>
      <c r="B198" s="8" t="s">
        <v>202</v>
      </c>
      <c r="C198" s="9">
        <v>177309605</v>
      </c>
      <c r="D198" s="10">
        <v>288.97300000000001</v>
      </c>
      <c r="E198" s="8">
        <v>173</v>
      </c>
      <c r="F198" s="8">
        <v>1.6703641618497111</v>
      </c>
      <c r="G198" s="11">
        <v>10</v>
      </c>
      <c r="H198" s="10">
        <f t="shared" si="6"/>
        <v>16.703641618497112</v>
      </c>
      <c r="I198" s="10">
        <f t="shared" si="7"/>
        <v>272.26935838150291</v>
      </c>
      <c r="J198" s="9">
        <v>613585.36956739903</v>
      </c>
      <c r="K198" s="9">
        <v>651228.64377398789</v>
      </c>
      <c r="L198" s="8">
        <v>1</v>
      </c>
      <c r="M198" s="8">
        <v>1</v>
      </c>
    </row>
    <row r="199" spans="1:13">
      <c r="A199" s="7">
        <v>145906</v>
      </c>
      <c r="B199" s="8" t="s">
        <v>203</v>
      </c>
      <c r="C199" s="9">
        <v>297555881</v>
      </c>
      <c r="D199" s="10">
        <v>850.98800000000006</v>
      </c>
      <c r="E199" s="8">
        <v>518</v>
      </c>
      <c r="F199" s="8">
        <v>1.642833976833977</v>
      </c>
      <c r="G199" s="11">
        <v>31</v>
      </c>
      <c r="H199" s="10">
        <f t="shared" si="6"/>
        <v>50.927853281853288</v>
      </c>
      <c r="I199" s="10">
        <f t="shared" si="7"/>
        <v>800.06014671814683</v>
      </c>
      <c r="J199" s="9">
        <v>349659.31481995044</v>
      </c>
      <c r="K199" s="9">
        <v>371916.88927460846</v>
      </c>
      <c r="L199" s="8">
        <v>1</v>
      </c>
      <c r="M199" s="8">
        <v>1</v>
      </c>
    </row>
    <row r="200" spans="1:13">
      <c r="A200" s="7">
        <v>145907</v>
      </c>
      <c r="B200" s="8" t="s">
        <v>204</v>
      </c>
      <c r="C200" s="9">
        <v>183769062</v>
      </c>
      <c r="D200" s="10">
        <v>358.66199999999998</v>
      </c>
      <c r="E200" s="8">
        <v>209</v>
      </c>
      <c r="F200" s="8">
        <v>1.7160861244019137</v>
      </c>
      <c r="G200" s="11">
        <v>3</v>
      </c>
      <c r="H200" s="10">
        <f t="shared" si="6"/>
        <v>5.1482583732057412</v>
      </c>
      <c r="I200" s="10">
        <f t="shared" si="7"/>
        <v>353.51374162679423</v>
      </c>
      <c r="J200" s="9">
        <v>512373.93980962579</v>
      </c>
      <c r="K200" s="9">
        <v>519835.69621462037</v>
      </c>
      <c r="L200" s="8">
        <v>1</v>
      </c>
      <c r="M200" s="8">
        <v>1</v>
      </c>
    </row>
    <row r="201" spans="1:13">
      <c r="A201" s="7">
        <v>145911</v>
      </c>
      <c r="B201" s="8" t="s">
        <v>205</v>
      </c>
      <c r="C201" s="9">
        <v>907733174</v>
      </c>
      <c r="D201" s="10">
        <v>1205.8920000000001</v>
      </c>
      <c r="E201" s="8">
        <v>782</v>
      </c>
      <c r="F201" s="8">
        <v>1.5420613810741688</v>
      </c>
      <c r="G201" s="11">
        <v>44</v>
      </c>
      <c r="H201" s="10">
        <f t="shared" si="6"/>
        <v>67.850700767263433</v>
      </c>
      <c r="I201" s="10">
        <f t="shared" si="7"/>
        <v>1138.0412992327367</v>
      </c>
      <c r="J201" s="9">
        <v>752748.31742809468</v>
      </c>
      <c r="K201" s="9">
        <v>797627.62090619246</v>
      </c>
      <c r="L201" s="8">
        <v>1</v>
      </c>
      <c r="M201" s="8">
        <v>1</v>
      </c>
    </row>
    <row r="202" spans="1:13">
      <c r="A202" s="7">
        <v>146903</v>
      </c>
      <c r="B202" s="8" t="s">
        <v>206</v>
      </c>
      <c r="C202" s="9">
        <v>290242458</v>
      </c>
      <c r="D202" s="10">
        <v>253.58500000000001</v>
      </c>
      <c r="E202" s="8">
        <v>178</v>
      </c>
      <c r="F202" s="8">
        <v>1.4246348314606743</v>
      </c>
      <c r="G202" s="11">
        <v>51</v>
      </c>
      <c r="H202" s="10">
        <f t="shared" si="6"/>
        <v>72.656376404494381</v>
      </c>
      <c r="I202" s="10">
        <f t="shared" si="7"/>
        <v>180.92862359550563</v>
      </c>
      <c r="J202" s="9">
        <v>1144556.8862511583</v>
      </c>
      <c r="K202" s="9">
        <v>1604182.0925409936</v>
      </c>
      <c r="L202" s="8">
        <v>1</v>
      </c>
      <c r="M202" s="8">
        <v>1</v>
      </c>
    </row>
    <row r="203" spans="1:13">
      <c r="A203" s="7">
        <v>146905</v>
      </c>
      <c r="B203" s="8" t="s">
        <v>207</v>
      </c>
      <c r="C203" s="9">
        <v>268632685</v>
      </c>
      <c r="D203" s="10">
        <v>762.84500000000003</v>
      </c>
      <c r="E203" s="8">
        <v>508</v>
      </c>
      <c r="F203" s="8">
        <v>1.5016633858267716</v>
      </c>
      <c r="G203" s="11">
        <v>46</v>
      </c>
      <c r="H203" s="10">
        <f t="shared" si="6"/>
        <v>69.076515748031497</v>
      </c>
      <c r="I203" s="10">
        <f t="shared" si="7"/>
        <v>693.76848425196852</v>
      </c>
      <c r="J203" s="9">
        <v>352145.82910027594</v>
      </c>
      <c r="K203" s="9">
        <v>387207.96792844194</v>
      </c>
      <c r="L203" s="8">
        <v>1</v>
      </c>
      <c r="M203" s="8">
        <v>1</v>
      </c>
    </row>
    <row r="204" spans="1:13">
      <c r="A204" s="7">
        <v>147902</v>
      </c>
      <c r="B204" s="8" t="s">
        <v>208</v>
      </c>
      <c r="C204" s="9">
        <v>2206983065</v>
      </c>
      <c r="D204" s="10">
        <v>2062.8620000000001</v>
      </c>
      <c r="E204" s="8">
        <v>1577</v>
      </c>
      <c r="F204" s="8">
        <v>1.3080925808497148</v>
      </c>
      <c r="G204" s="11">
        <v>64</v>
      </c>
      <c r="H204" s="10">
        <f t="shared" si="6"/>
        <v>83.717925174381747</v>
      </c>
      <c r="I204" s="10">
        <f t="shared" si="7"/>
        <v>1979.1440748256184</v>
      </c>
      <c r="J204" s="9">
        <v>1069864.6177010387</v>
      </c>
      <c r="K204" s="9">
        <v>1115119.9617412675</v>
      </c>
      <c r="L204" s="8">
        <v>1</v>
      </c>
      <c r="M204" s="8">
        <v>1</v>
      </c>
    </row>
    <row r="205" spans="1:13">
      <c r="A205" s="7">
        <v>148901</v>
      </c>
      <c r="B205" s="8" t="s">
        <v>209</v>
      </c>
      <c r="C205" s="9">
        <v>252857526</v>
      </c>
      <c r="D205" s="10">
        <v>729.59799999999996</v>
      </c>
      <c r="E205" s="8">
        <v>388</v>
      </c>
      <c r="F205" s="8">
        <v>1.8804072164948453</v>
      </c>
      <c r="G205" s="11">
        <v>20</v>
      </c>
      <c r="H205" s="10">
        <f t="shared" si="6"/>
        <v>37.608144329896909</v>
      </c>
      <c r="I205" s="10">
        <f t="shared" si="7"/>
        <v>691.989855670103</v>
      </c>
      <c r="J205" s="9">
        <v>346571.02404337731</v>
      </c>
      <c r="K205" s="9">
        <v>365406.40578486526</v>
      </c>
      <c r="L205" s="8">
        <v>1</v>
      </c>
      <c r="M205" s="8">
        <v>1</v>
      </c>
    </row>
    <row r="206" spans="1:13">
      <c r="A206" s="7">
        <v>148902</v>
      </c>
      <c r="B206" s="8" t="s">
        <v>210</v>
      </c>
      <c r="C206" s="9">
        <v>288800407</v>
      </c>
      <c r="D206" s="10">
        <v>266.44299999999998</v>
      </c>
      <c r="E206" s="8">
        <v>175</v>
      </c>
      <c r="F206" s="8">
        <v>1.5225314285714284</v>
      </c>
      <c r="G206" s="11">
        <v>35</v>
      </c>
      <c r="H206" s="10">
        <f t="shared" si="6"/>
        <v>53.288599999999995</v>
      </c>
      <c r="I206" s="10">
        <f t="shared" si="7"/>
        <v>213.15439999999998</v>
      </c>
      <c r="J206" s="9">
        <v>1083910.6563129826</v>
      </c>
      <c r="K206" s="9">
        <v>1354888.3203912282</v>
      </c>
      <c r="L206" s="8">
        <v>1</v>
      </c>
      <c r="M206" s="8">
        <v>1</v>
      </c>
    </row>
    <row r="207" spans="1:13">
      <c r="A207" s="7">
        <v>148903</v>
      </c>
      <c r="B207" s="8" t="s">
        <v>211</v>
      </c>
      <c r="C207" s="9">
        <v>316797220</v>
      </c>
      <c r="D207" s="10">
        <v>131.64099999999999</v>
      </c>
      <c r="E207" s="8">
        <v>101</v>
      </c>
      <c r="F207" s="8">
        <v>1.3033762376237623</v>
      </c>
      <c r="G207" s="11">
        <v>17</v>
      </c>
      <c r="H207" s="10">
        <f t="shared" si="6"/>
        <v>22.15739603960396</v>
      </c>
      <c r="I207" s="10">
        <f t="shared" si="7"/>
        <v>109.48360396039604</v>
      </c>
      <c r="J207" s="9">
        <v>2406523.9553026794</v>
      </c>
      <c r="K207" s="9">
        <v>2893558.565304412</v>
      </c>
      <c r="L207" s="8">
        <v>1</v>
      </c>
      <c r="M207" s="8">
        <v>1</v>
      </c>
    </row>
    <row r="208" spans="1:13">
      <c r="A208" s="7">
        <v>148905</v>
      </c>
      <c r="B208" s="8" t="s">
        <v>212</v>
      </c>
      <c r="C208" s="9">
        <v>196421531</v>
      </c>
      <c r="D208" s="10">
        <v>262.06</v>
      </c>
      <c r="E208" s="8">
        <v>156</v>
      </c>
      <c r="F208" s="8">
        <v>1.6798717948717949</v>
      </c>
      <c r="G208" s="11">
        <v>101</v>
      </c>
      <c r="H208" s="10">
        <f t="shared" si="6"/>
        <v>169.66705128205129</v>
      </c>
      <c r="I208" s="10">
        <f t="shared" si="7"/>
        <v>92.392948717948713</v>
      </c>
      <c r="J208" s="9">
        <v>749528.85217125854</v>
      </c>
      <c r="K208" s="9">
        <v>2125936.3807039331</v>
      </c>
      <c r="L208" s="8">
        <v>1</v>
      </c>
      <c r="M208" s="8">
        <v>1</v>
      </c>
    </row>
    <row r="209" spans="1:13">
      <c r="A209" s="7">
        <v>149901</v>
      </c>
      <c r="B209" s="8" t="s">
        <v>213</v>
      </c>
      <c r="C209" s="9">
        <v>489162989</v>
      </c>
      <c r="D209" s="10">
        <v>1602.606</v>
      </c>
      <c r="E209" s="8">
        <v>1091</v>
      </c>
      <c r="F209" s="8">
        <v>1.4689330889092576</v>
      </c>
      <c r="G209" s="11">
        <v>57</v>
      </c>
      <c r="H209" s="10">
        <f t="shared" si="6"/>
        <v>83.729186067827683</v>
      </c>
      <c r="I209" s="10">
        <f t="shared" si="7"/>
        <v>1518.8768139321724</v>
      </c>
      <c r="J209" s="9">
        <v>305229.72521006409</v>
      </c>
      <c r="K209" s="9">
        <v>322055.73520713724</v>
      </c>
      <c r="L209" s="8">
        <v>0</v>
      </c>
      <c r="M209" s="8">
        <v>1</v>
      </c>
    </row>
    <row r="210" spans="1:13">
      <c r="A210" s="7">
        <v>149902</v>
      </c>
      <c r="B210" s="8" t="s">
        <v>214</v>
      </c>
      <c r="C210" s="9">
        <v>576743366</v>
      </c>
      <c r="D210" s="10">
        <v>1029.481</v>
      </c>
      <c r="E210" s="8">
        <v>600</v>
      </c>
      <c r="F210" s="8">
        <v>1.7158016666666667</v>
      </c>
      <c r="G210" s="11">
        <v>37</v>
      </c>
      <c r="H210" s="10">
        <f t="shared" si="6"/>
        <v>63.484661666666668</v>
      </c>
      <c r="I210" s="10">
        <f t="shared" si="7"/>
        <v>965.99633833333337</v>
      </c>
      <c r="J210" s="9">
        <v>560227.30482641258</v>
      </c>
      <c r="K210" s="9">
        <v>597045.08507255325</v>
      </c>
      <c r="L210" s="8">
        <v>1</v>
      </c>
      <c r="M210" s="8">
        <v>1</v>
      </c>
    </row>
    <row r="211" spans="1:13">
      <c r="A211" s="7">
        <v>150901</v>
      </c>
      <c r="B211" s="8" t="s">
        <v>215</v>
      </c>
      <c r="C211" s="9">
        <v>2911389015</v>
      </c>
      <c r="D211" s="10">
        <v>2485.4670000000001</v>
      </c>
      <c r="E211" s="8">
        <v>1908</v>
      </c>
      <c r="F211" s="8">
        <v>1.3026556603773585</v>
      </c>
      <c r="G211" s="11">
        <v>25</v>
      </c>
      <c r="H211" s="10">
        <f t="shared" si="6"/>
        <v>32.566391509433963</v>
      </c>
      <c r="I211" s="10">
        <f t="shared" si="7"/>
        <v>2452.9006084905664</v>
      </c>
      <c r="J211" s="9">
        <v>1171364.9849303972</v>
      </c>
      <c r="K211" s="9">
        <v>1186916.8301896963</v>
      </c>
      <c r="L211" s="8">
        <v>1</v>
      </c>
      <c r="M211" s="8">
        <v>1</v>
      </c>
    </row>
    <row r="212" spans="1:13">
      <c r="A212" s="7">
        <v>155901</v>
      </c>
      <c r="B212" s="8" t="s">
        <v>216</v>
      </c>
      <c r="C212" s="9">
        <v>582520104</v>
      </c>
      <c r="D212" s="10">
        <v>1779.6110000000001</v>
      </c>
      <c r="E212" s="8">
        <v>1225</v>
      </c>
      <c r="F212" s="8">
        <v>1.4527436734693879</v>
      </c>
      <c r="G212" s="11">
        <v>33</v>
      </c>
      <c r="H212" s="10">
        <f t="shared" si="6"/>
        <v>47.940541224489799</v>
      </c>
      <c r="I212" s="10">
        <f t="shared" si="7"/>
        <v>1731.6704587755103</v>
      </c>
      <c r="J212" s="9">
        <v>327330.01987512998</v>
      </c>
      <c r="K212" s="9">
        <v>336392.00868039788</v>
      </c>
      <c r="L212" s="8">
        <v>1</v>
      </c>
      <c r="M212" s="8">
        <v>1</v>
      </c>
    </row>
    <row r="213" spans="1:13">
      <c r="A213" s="7">
        <v>156902</v>
      </c>
      <c r="B213" s="8" t="s">
        <v>217</v>
      </c>
      <c r="C213" s="9">
        <v>866135312</v>
      </c>
      <c r="D213" s="10">
        <v>1266.0309999999999</v>
      </c>
      <c r="E213" s="8">
        <v>773</v>
      </c>
      <c r="F213" s="8">
        <v>1.6378150064683052</v>
      </c>
      <c r="G213" s="11">
        <v>11</v>
      </c>
      <c r="H213" s="10">
        <f t="shared" si="6"/>
        <v>18.015965071151356</v>
      </c>
      <c r="I213" s="10">
        <f t="shared" si="7"/>
        <v>1248.0150349288485</v>
      </c>
      <c r="J213" s="9">
        <v>684134.36321859423</v>
      </c>
      <c r="K213" s="9">
        <v>694010.31859314092</v>
      </c>
      <c r="L213" s="8">
        <v>1</v>
      </c>
      <c r="M213" s="8">
        <v>1</v>
      </c>
    </row>
    <row r="214" spans="1:13">
      <c r="A214" s="7">
        <v>156905</v>
      </c>
      <c r="B214" s="8" t="s">
        <v>218</v>
      </c>
      <c r="C214" s="9">
        <v>893164620</v>
      </c>
      <c r="D214" s="10">
        <v>314.07600000000002</v>
      </c>
      <c r="E214" s="8">
        <v>226</v>
      </c>
      <c r="F214" s="8">
        <v>1.3897168141592922</v>
      </c>
      <c r="G214" s="11">
        <v>77</v>
      </c>
      <c r="H214" s="10">
        <f t="shared" si="6"/>
        <v>107.0081946902655</v>
      </c>
      <c r="I214" s="10">
        <f t="shared" si="7"/>
        <v>207.06780530973452</v>
      </c>
      <c r="J214" s="9">
        <v>2843785.007450426</v>
      </c>
      <c r="K214" s="9">
        <v>4313392.0247234646</v>
      </c>
      <c r="L214" s="8">
        <v>1</v>
      </c>
      <c r="M214" s="8">
        <v>1</v>
      </c>
    </row>
    <row r="215" spans="1:13">
      <c r="A215" s="7">
        <v>158902</v>
      </c>
      <c r="B215" s="8" t="s">
        <v>219</v>
      </c>
      <c r="C215" s="9">
        <v>1142702360</v>
      </c>
      <c r="D215" s="10">
        <v>1338.6569999999999</v>
      </c>
      <c r="E215" s="8">
        <v>803</v>
      </c>
      <c r="F215" s="8">
        <v>1.6670697384806974</v>
      </c>
      <c r="G215" s="11">
        <v>54</v>
      </c>
      <c r="H215" s="10">
        <f t="shared" si="6"/>
        <v>90.021765877957662</v>
      </c>
      <c r="I215" s="10">
        <f t="shared" si="7"/>
        <v>1248.6352341220422</v>
      </c>
      <c r="J215" s="9">
        <v>853618.48479483544</v>
      </c>
      <c r="K215" s="9">
        <v>915161.07248364878</v>
      </c>
      <c r="L215" s="8">
        <v>1</v>
      </c>
      <c r="M215" s="8">
        <v>1</v>
      </c>
    </row>
    <row r="216" spans="1:13">
      <c r="A216" s="7">
        <v>158904</v>
      </c>
      <c r="B216" s="8" t="s">
        <v>220</v>
      </c>
      <c r="C216" s="9">
        <v>253028876</v>
      </c>
      <c r="D216" s="10">
        <v>204.54900000000001</v>
      </c>
      <c r="E216" s="8">
        <v>105</v>
      </c>
      <c r="F216" s="8">
        <v>1.9480857142857144</v>
      </c>
      <c r="G216" s="11">
        <v>40</v>
      </c>
      <c r="H216" s="10">
        <f t="shared" si="6"/>
        <v>77.923428571428573</v>
      </c>
      <c r="I216" s="10">
        <f t="shared" si="7"/>
        <v>126.62557142857143</v>
      </c>
      <c r="J216" s="9">
        <v>1237008.6189617158</v>
      </c>
      <c r="K216" s="9">
        <v>1998244.6921689254</v>
      </c>
      <c r="L216" s="8">
        <v>1</v>
      </c>
      <c r="M216" s="8">
        <v>1</v>
      </c>
    </row>
    <row r="217" spans="1:13">
      <c r="A217" s="7">
        <v>158905</v>
      </c>
      <c r="B217" s="8" t="s">
        <v>221</v>
      </c>
      <c r="C217" s="9">
        <v>1561575280</v>
      </c>
      <c r="D217" s="10">
        <v>2112.915</v>
      </c>
      <c r="E217" s="8">
        <v>1522</v>
      </c>
      <c r="F217" s="8">
        <v>1.3882490144546649</v>
      </c>
      <c r="G217" s="11">
        <v>37</v>
      </c>
      <c r="H217" s="10">
        <f t="shared" si="6"/>
        <v>51.365213534822601</v>
      </c>
      <c r="I217" s="10">
        <f t="shared" si="7"/>
        <v>2061.5497864651775</v>
      </c>
      <c r="J217" s="9">
        <v>739062.04461608722</v>
      </c>
      <c r="K217" s="9">
        <v>757476.38512167323</v>
      </c>
      <c r="L217" s="8">
        <v>1</v>
      </c>
      <c r="M217" s="8">
        <v>1</v>
      </c>
    </row>
    <row r="218" spans="1:13">
      <c r="A218" s="7">
        <v>158906</v>
      </c>
      <c r="B218" s="8" t="s">
        <v>222</v>
      </c>
      <c r="C218" s="9">
        <v>539376404</v>
      </c>
      <c r="D218" s="10">
        <v>1540.807</v>
      </c>
      <c r="E218" s="8">
        <v>951</v>
      </c>
      <c r="F218" s="8">
        <v>1.6201966351209254</v>
      </c>
      <c r="G218" s="11">
        <v>108</v>
      </c>
      <c r="H218" s="10">
        <f t="shared" si="6"/>
        <v>174.98123659305995</v>
      </c>
      <c r="I218" s="10">
        <f t="shared" si="7"/>
        <v>1365.82576340694</v>
      </c>
      <c r="J218" s="9">
        <v>350060.97713730531</v>
      </c>
      <c r="K218" s="9">
        <v>394908.64680614159</v>
      </c>
      <c r="L218" s="8">
        <v>1</v>
      </c>
      <c r="M218" s="8">
        <v>1</v>
      </c>
    </row>
    <row r="219" spans="1:13">
      <c r="A219" s="7">
        <v>161903</v>
      </c>
      <c r="B219" s="8" t="s">
        <v>40</v>
      </c>
      <c r="C219" s="9">
        <v>3471439502</v>
      </c>
      <c r="D219" s="10">
        <v>8150.8909999999996</v>
      </c>
      <c r="E219" s="8">
        <v>7183</v>
      </c>
      <c r="F219" s="8">
        <v>1.1347474592788529</v>
      </c>
      <c r="G219" s="11">
        <v>161</v>
      </c>
      <c r="H219" s="10">
        <f t="shared" si="6"/>
        <v>182.69434094389533</v>
      </c>
      <c r="I219" s="10">
        <f t="shared" si="7"/>
        <v>7968.1966590561042</v>
      </c>
      <c r="J219" s="9">
        <v>425896.93593007198</v>
      </c>
      <c r="K219" s="9">
        <v>435661.87564592808</v>
      </c>
      <c r="L219" s="8">
        <v>1</v>
      </c>
      <c r="M219" s="8">
        <v>1</v>
      </c>
    </row>
    <row r="220" spans="1:13">
      <c r="A220" s="7">
        <v>161912</v>
      </c>
      <c r="B220" s="8" t="s">
        <v>223</v>
      </c>
      <c r="C220" s="9">
        <v>265774528</v>
      </c>
      <c r="D220" s="10">
        <v>886.43499999999995</v>
      </c>
      <c r="E220" s="8">
        <v>588</v>
      </c>
      <c r="F220" s="8">
        <v>1.5075425170068026</v>
      </c>
      <c r="G220" s="11">
        <v>92</v>
      </c>
      <c r="H220" s="10">
        <f t="shared" si="6"/>
        <v>138.69391156462584</v>
      </c>
      <c r="I220" s="10">
        <f t="shared" si="7"/>
        <v>747.74108843537408</v>
      </c>
      <c r="J220" s="9">
        <v>299824.04575631605</v>
      </c>
      <c r="K220" s="9">
        <v>355436.57037240692</v>
      </c>
      <c r="L220" s="8">
        <v>0</v>
      </c>
      <c r="M220" s="8">
        <v>1</v>
      </c>
    </row>
    <row r="221" spans="1:13">
      <c r="A221" s="7">
        <v>161924</v>
      </c>
      <c r="B221" s="8" t="s">
        <v>224</v>
      </c>
      <c r="C221" s="9">
        <v>67253187</v>
      </c>
      <c r="D221" s="10">
        <v>148.577</v>
      </c>
      <c r="E221" s="8">
        <v>94</v>
      </c>
      <c r="F221" s="8">
        <v>1.5806063829787234</v>
      </c>
      <c r="G221" s="11">
        <v>14</v>
      </c>
      <c r="H221" s="10">
        <f t="shared" si="6"/>
        <v>22.128489361702126</v>
      </c>
      <c r="I221" s="10">
        <f t="shared" si="7"/>
        <v>126.44851063829788</v>
      </c>
      <c r="J221" s="9">
        <v>452648.70740424161</v>
      </c>
      <c r="K221" s="9">
        <v>531862.23119998386</v>
      </c>
      <c r="L221" s="8">
        <v>1</v>
      </c>
      <c r="M221" s="8">
        <v>1</v>
      </c>
    </row>
    <row r="222" spans="1:13">
      <c r="A222" s="7">
        <v>162904</v>
      </c>
      <c r="B222" s="8" t="s">
        <v>225</v>
      </c>
      <c r="C222" s="9">
        <v>468311949</v>
      </c>
      <c r="D222" s="10">
        <v>290.86599999999999</v>
      </c>
      <c r="E222" s="8">
        <v>178</v>
      </c>
      <c r="F222" s="8">
        <v>1.6340786516853931</v>
      </c>
      <c r="G222" s="11">
        <v>61</v>
      </c>
      <c r="H222" s="10">
        <f t="shared" si="6"/>
        <v>99.678797752808975</v>
      </c>
      <c r="I222" s="10">
        <f t="shared" si="7"/>
        <v>191.18720224719101</v>
      </c>
      <c r="J222" s="9">
        <v>1610060.8149457138</v>
      </c>
      <c r="K222" s="9">
        <v>2449494.2312849322</v>
      </c>
      <c r="L222" s="8">
        <v>1</v>
      </c>
      <c r="M222" s="8">
        <v>1</v>
      </c>
    </row>
    <row r="223" spans="1:13">
      <c r="A223" s="7">
        <v>165901</v>
      </c>
      <c r="B223" s="8" t="s">
        <v>226</v>
      </c>
      <c r="C223" s="9">
        <v>10870578794</v>
      </c>
      <c r="D223" s="10">
        <v>25013.785</v>
      </c>
      <c r="E223" s="8">
        <v>21611</v>
      </c>
      <c r="F223" s="8">
        <v>1.1574561565869232</v>
      </c>
      <c r="G223" s="11">
        <v>41</v>
      </c>
      <c r="H223" s="10">
        <f t="shared" si="6"/>
        <v>47.455702420063851</v>
      </c>
      <c r="I223" s="10">
        <f t="shared" si="7"/>
        <v>24966.329297579938</v>
      </c>
      <c r="J223" s="9">
        <v>434583.52240574546</v>
      </c>
      <c r="K223" s="9">
        <v>435409.57360735117</v>
      </c>
      <c r="L223" s="8">
        <v>1</v>
      </c>
      <c r="M223" s="8">
        <v>1</v>
      </c>
    </row>
    <row r="224" spans="1:13">
      <c r="A224" s="7">
        <v>165902</v>
      </c>
      <c r="B224" s="8" t="s">
        <v>227</v>
      </c>
      <c r="C224" s="9">
        <v>767193987</v>
      </c>
      <c r="D224" s="10">
        <v>2077.973</v>
      </c>
      <c r="E224" s="8">
        <v>1701</v>
      </c>
      <c r="F224" s="8">
        <v>1.2216184597295707</v>
      </c>
      <c r="G224" s="11">
        <v>59</v>
      </c>
      <c r="H224" s="10">
        <f t="shared" si="6"/>
        <v>72.07548912404468</v>
      </c>
      <c r="I224" s="10">
        <f t="shared" si="7"/>
        <v>2005.8975108759553</v>
      </c>
      <c r="J224" s="9">
        <v>369203.05846129858</v>
      </c>
      <c r="K224" s="9">
        <v>382469.18540966435</v>
      </c>
      <c r="L224" s="8">
        <v>1</v>
      </c>
      <c r="M224" s="8">
        <v>1</v>
      </c>
    </row>
    <row r="225" spans="1:13">
      <c r="A225" s="7">
        <v>166902</v>
      </c>
      <c r="B225" s="8" t="s">
        <v>228</v>
      </c>
      <c r="C225" s="9">
        <v>79696568</v>
      </c>
      <c r="D225" s="10">
        <v>255.536</v>
      </c>
      <c r="E225" s="8">
        <v>181</v>
      </c>
      <c r="F225" s="8">
        <v>1.4118011049723758</v>
      </c>
      <c r="G225" s="11">
        <v>70</v>
      </c>
      <c r="H225" s="10">
        <f t="shared" si="6"/>
        <v>98.826077348066306</v>
      </c>
      <c r="I225" s="10">
        <f t="shared" si="7"/>
        <v>156.70992265193371</v>
      </c>
      <c r="J225" s="9">
        <v>311880.00125226972</v>
      </c>
      <c r="K225" s="9">
        <v>508561.08312307048</v>
      </c>
      <c r="L225" s="8">
        <v>0</v>
      </c>
      <c r="M225" s="8">
        <v>1</v>
      </c>
    </row>
    <row r="226" spans="1:13">
      <c r="A226" s="7">
        <v>166904</v>
      </c>
      <c r="B226" s="8" t="s">
        <v>229</v>
      </c>
      <c r="C226" s="9">
        <v>1246175997</v>
      </c>
      <c r="D226" s="10">
        <v>2151.2559999999999</v>
      </c>
      <c r="E226" s="8">
        <v>1696</v>
      </c>
      <c r="F226" s="8">
        <v>1.2684292452830188</v>
      </c>
      <c r="G226" s="11">
        <v>41</v>
      </c>
      <c r="H226" s="10">
        <f t="shared" si="6"/>
        <v>52.005599056603771</v>
      </c>
      <c r="I226" s="10">
        <f t="shared" si="7"/>
        <v>2099.250400943396</v>
      </c>
      <c r="J226" s="9">
        <v>579278.33646948577</v>
      </c>
      <c r="K226" s="9">
        <v>593629.03846057272</v>
      </c>
      <c r="L226" s="8">
        <v>1</v>
      </c>
      <c r="M226" s="8">
        <v>1</v>
      </c>
    </row>
    <row r="227" spans="1:13">
      <c r="A227" s="7">
        <v>167902</v>
      </c>
      <c r="B227" s="8" t="s">
        <v>230</v>
      </c>
      <c r="C227" s="9">
        <v>53807999</v>
      </c>
      <c r="D227" s="10">
        <v>182.19200000000001</v>
      </c>
      <c r="E227" s="8">
        <v>103</v>
      </c>
      <c r="F227" s="8">
        <v>1.7688543689320388</v>
      </c>
      <c r="G227" s="11">
        <v>23</v>
      </c>
      <c r="H227" s="10">
        <f t="shared" si="6"/>
        <v>40.683650485436893</v>
      </c>
      <c r="I227" s="10">
        <f t="shared" si="7"/>
        <v>141.50834951456312</v>
      </c>
      <c r="J227" s="9">
        <v>295336.78207605163</v>
      </c>
      <c r="K227" s="9">
        <v>380246.10692291643</v>
      </c>
      <c r="L227" s="8">
        <v>0</v>
      </c>
      <c r="M227" s="8">
        <v>1</v>
      </c>
    </row>
    <row r="228" spans="1:13">
      <c r="A228" s="7">
        <v>167903</v>
      </c>
      <c r="B228" s="8" t="s">
        <v>231</v>
      </c>
      <c r="C228" s="9">
        <v>31716452</v>
      </c>
      <c r="D228" s="10">
        <v>116.607</v>
      </c>
      <c r="E228" s="8">
        <v>57</v>
      </c>
      <c r="F228" s="8">
        <v>2.0457368421052631</v>
      </c>
      <c r="G228" s="11">
        <v>9</v>
      </c>
      <c r="H228" s="10">
        <f t="shared" si="6"/>
        <v>18.411631578947368</v>
      </c>
      <c r="I228" s="10">
        <f t="shared" si="7"/>
        <v>98.195368421052635</v>
      </c>
      <c r="J228" s="9">
        <v>271994.40856895386</v>
      </c>
      <c r="K228" s="9">
        <v>322993.3601756327</v>
      </c>
      <c r="L228" s="8">
        <v>0</v>
      </c>
      <c r="M228" s="8">
        <v>1</v>
      </c>
    </row>
    <row r="229" spans="1:13">
      <c r="A229" s="7">
        <v>168903</v>
      </c>
      <c r="B229" s="8" t="s">
        <v>232</v>
      </c>
      <c r="C229" s="9">
        <v>553483980</v>
      </c>
      <c r="D229" s="10">
        <v>331.72399999999999</v>
      </c>
      <c r="E229" s="8">
        <v>211</v>
      </c>
      <c r="F229" s="8">
        <v>1.5721516587677724</v>
      </c>
      <c r="G229" s="11">
        <v>84</v>
      </c>
      <c r="H229" s="10">
        <f t="shared" si="6"/>
        <v>132.06073933649287</v>
      </c>
      <c r="I229" s="10">
        <f t="shared" si="7"/>
        <v>199.66326066350712</v>
      </c>
      <c r="J229" s="9">
        <v>1668507.4941819103</v>
      </c>
      <c r="K229" s="9">
        <v>2772087.2541132523</v>
      </c>
      <c r="L229" s="8">
        <v>1</v>
      </c>
      <c r="M229" s="8">
        <v>1</v>
      </c>
    </row>
    <row r="230" spans="1:13">
      <c r="A230" s="7">
        <v>169906</v>
      </c>
      <c r="B230" s="8" t="s">
        <v>233</v>
      </c>
      <c r="C230" s="9">
        <v>67035986</v>
      </c>
      <c r="D230" s="10">
        <v>244.57599999999999</v>
      </c>
      <c r="E230" s="8">
        <v>106</v>
      </c>
      <c r="F230" s="8">
        <v>2.3073207547169812</v>
      </c>
      <c r="G230" s="11">
        <v>39</v>
      </c>
      <c r="H230" s="10">
        <f t="shared" si="6"/>
        <v>89.985509433962264</v>
      </c>
      <c r="I230" s="10">
        <f t="shared" si="7"/>
        <v>154.59049056603772</v>
      </c>
      <c r="J230" s="9">
        <v>274090.61396048672</v>
      </c>
      <c r="K230" s="9">
        <v>433635.89671360591</v>
      </c>
      <c r="L230" s="8">
        <v>0</v>
      </c>
      <c r="M230" s="8">
        <v>1</v>
      </c>
    </row>
    <row r="231" spans="1:13">
      <c r="A231" s="7">
        <v>169908</v>
      </c>
      <c r="B231" s="8" t="s">
        <v>234</v>
      </c>
      <c r="C231" s="9">
        <v>30361268</v>
      </c>
      <c r="D231" s="10">
        <v>151.53800000000001</v>
      </c>
      <c r="E231" s="8">
        <v>102</v>
      </c>
      <c r="F231" s="8">
        <v>1.4856666666666667</v>
      </c>
      <c r="G231" s="11">
        <v>58</v>
      </c>
      <c r="H231" s="10">
        <f t="shared" si="6"/>
        <v>86.168666666666667</v>
      </c>
      <c r="I231" s="10">
        <f t="shared" si="7"/>
        <v>65.369333333333344</v>
      </c>
      <c r="J231" s="9">
        <v>200354.15539336667</v>
      </c>
      <c r="K231" s="9">
        <v>464457.36023007723</v>
      </c>
      <c r="L231" s="8">
        <v>0</v>
      </c>
      <c r="M231" s="8">
        <v>1</v>
      </c>
    </row>
    <row r="232" spans="1:13">
      <c r="A232" s="7">
        <v>169909</v>
      </c>
      <c r="B232" s="8" t="s">
        <v>235</v>
      </c>
      <c r="C232" s="9">
        <v>129820812</v>
      </c>
      <c r="D232" s="10">
        <v>241.43700000000001</v>
      </c>
      <c r="E232" s="8">
        <v>138</v>
      </c>
      <c r="F232" s="8">
        <v>1.7495434782608696</v>
      </c>
      <c r="G232" s="11">
        <v>95</v>
      </c>
      <c r="H232" s="10">
        <f t="shared" si="6"/>
        <v>166.20663043478262</v>
      </c>
      <c r="I232" s="10">
        <f t="shared" si="7"/>
        <v>75.230369565217387</v>
      </c>
      <c r="J232" s="9">
        <v>537700.56784999813</v>
      </c>
      <c r="K232" s="9">
        <v>1725643.682867436</v>
      </c>
      <c r="L232" s="8">
        <v>1</v>
      </c>
      <c r="M232" s="8">
        <v>1</v>
      </c>
    </row>
    <row r="233" spans="1:13">
      <c r="A233" s="7">
        <v>169910</v>
      </c>
      <c r="B233" s="8" t="s">
        <v>236</v>
      </c>
      <c r="C233" s="9">
        <v>135926067</v>
      </c>
      <c r="D233" s="10">
        <v>323.83999999999997</v>
      </c>
      <c r="E233" s="8">
        <v>222</v>
      </c>
      <c r="F233" s="8">
        <v>1.4587387387387387</v>
      </c>
      <c r="G233" s="11">
        <v>74</v>
      </c>
      <c r="H233" s="10">
        <f t="shared" si="6"/>
        <v>107.94666666666666</v>
      </c>
      <c r="I233" s="10">
        <f t="shared" si="7"/>
        <v>215.89333333333332</v>
      </c>
      <c r="J233" s="9">
        <v>419732.17329545459</v>
      </c>
      <c r="K233" s="9">
        <v>629598.25994318188</v>
      </c>
      <c r="L233" s="8">
        <v>1</v>
      </c>
      <c r="M233" s="8">
        <v>1</v>
      </c>
    </row>
    <row r="234" spans="1:13">
      <c r="A234" s="7">
        <v>169911</v>
      </c>
      <c r="B234" s="8" t="s">
        <v>237</v>
      </c>
      <c r="C234" s="9">
        <v>172194439</v>
      </c>
      <c r="D234" s="10">
        <v>474.99799999999999</v>
      </c>
      <c r="E234" s="8">
        <v>293</v>
      </c>
      <c r="F234" s="8">
        <v>1.6211535836177473</v>
      </c>
      <c r="G234" s="11">
        <v>28</v>
      </c>
      <c r="H234" s="10">
        <f t="shared" si="6"/>
        <v>45.392300341296924</v>
      </c>
      <c r="I234" s="10">
        <f t="shared" si="7"/>
        <v>429.60569965870309</v>
      </c>
      <c r="J234" s="9">
        <v>362516.13480477815</v>
      </c>
      <c r="K234" s="9">
        <v>400819.72640679241</v>
      </c>
      <c r="L234" s="8">
        <v>1</v>
      </c>
      <c r="M234" s="8">
        <v>1</v>
      </c>
    </row>
    <row r="235" spans="1:13">
      <c r="A235" s="7">
        <v>170902</v>
      </c>
      <c r="B235" s="8" t="s">
        <v>238</v>
      </c>
      <c r="C235" s="9">
        <v>20197453537</v>
      </c>
      <c r="D235" s="10">
        <v>60442.588000000003</v>
      </c>
      <c r="E235" s="8">
        <v>50849</v>
      </c>
      <c r="F235" s="8">
        <v>1.18866817439871</v>
      </c>
      <c r="G235" s="11">
        <v>296</v>
      </c>
      <c r="H235" s="10">
        <f t="shared" si="6"/>
        <v>351.84577962201814</v>
      </c>
      <c r="I235" s="10">
        <f t="shared" si="7"/>
        <v>60090.742220377986</v>
      </c>
      <c r="J235" s="9">
        <v>334159.31060066452</v>
      </c>
      <c r="K235" s="9">
        <v>336115.89390804089</v>
      </c>
      <c r="L235" s="8">
        <v>1</v>
      </c>
      <c r="M235" s="8">
        <v>1</v>
      </c>
    </row>
    <row r="236" spans="1:13">
      <c r="A236" s="7">
        <v>170903</v>
      </c>
      <c r="B236" s="8" t="s">
        <v>239</v>
      </c>
      <c r="C236" s="9">
        <v>3542263753</v>
      </c>
      <c r="D236" s="10">
        <v>8033.2969999999996</v>
      </c>
      <c r="E236" s="8">
        <v>6892</v>
      </c>
      <c r="F236" s="8">
        <v>1.1655973592571096</v>
      </c>
      <c r="G236" s="11">
        <v>218</v>
      </c>
      <c r="H236" s="10">
        <f t="shared" si="6"/>
        <v>254.1002243180499</v>
      </c>
      <c r="I236" s="10">
        <f t="shared" si="7"/>
        <v>7779.1967756819495</v>
      </c>
      <c r="J236" s="9">
        <v>440947.68972191622</v>
      </c>
      <c r="K236" s="9">
        <v>455350.83571523021</v>
      </c>
      <c r="L236" s="8">
        <v>1</v>
      </c>
      <c r="M236" s="8">
        <v>1</v>
      </c>
    </row>
    <row r="237" spans="1:13">
      <c r="A237" s="7">
        <v>171901</v>
      </c>
      <c r="B237" s="8" t="s">
        <v>240</v>
      </c>
      <c r="C237" s="9">
        <v>2070931623</v>
      </c>
      <c r="D237" s="10">
        <v>5608.87</v>
      </c>
      <c r="E237" s="8">
        <v>4528</v>
      </c>
      <c r="F237" s="8">
        <v>1.238708038869258</v>
      </c>
      <c r="G237" s="11">
        <v>2</v>
      </c>
      <c r="H237" s="10">
        <f t="shared" si="6"/>
        <v>2.4774160777385159</v>
      </c>
      <c r="I237" s="10">
        <f t="shared" si="7"/>
        <v>5606.3925839222611</v>
      </c>
      <c r="J237" s="9">
        <v>369224.39332699816</v>
      </c>
      <c r="K237" s="9">
        <v>369387.55037221557</v>
      </c>
      <c r="L237" s="8">
        <v>1</v>
      </c>
      <c r="M237" s="8">
        <v>1</v>
      </c>
    </row>
    <row r="238" spans="1:13">
      <c r="A238" s="7">
        <v>171902</v>
      </c>
      <c r="B238" s="8" t="s">
        <v>241</v>
      </c>
      <c r="C238" s="9">
        <v>401575051</v>
      </c>
      <c r="D238" s="10">
        <v>787.13599999999997</v>
      </c>
      <c r="E238" s="8">
        <v>534</v>
      </c>
      <c r="F238" s="8">
        <v>1.4740374531835205</v>
      </c>
      <c r="G238" s="11">
        <v>48</v>
      </c>
      <c r="H238" s="10">
        <f t="shared" si="6"/>
        <v>70.753797752808993</v>
      </c>
      <c r="I238" s="10">
        <f t="shared" si="7"/>
        <v>716.382202247191</v>
      </c>
      <c r="J238" s="9">
        <v>510172.38571225305</v>
      </c>
      <c r="K238" s="9">
        <v>560559.78183198173</v>
      </c>
      <c r="L238" s="8">
        <v>1</v>
      </c>
      <c r="M238" s="8">
        <v>1</v>
      </c>
    </row>
    <row r="239" spans="1:13">
      <c r="A239" s="7">
        <v>172902</v>
      </c>
      <c r="B239" s="8" t="s">
        <v>242</v>
      </c>
      <c r="C239" s="9">
        <v>730254612</v>
      </c>
      <c r="D239" s="10">
        <v>1721.8409999999999</v>
      </c>
      <c r="E239" s="8">
        <v>1227</v>
      </c>
      <c r="F239" s="8">
        <v>1.4032933985330072</v>
      </c>
      <c r="G239" s="11">
        <v>34</v>
      </c>
      <c r="H239" s="10">
        <f t="shared" si="6"/>
        <v>47.711975550122247</v>
      </c>
      <c r="I239" s="10">
        <f t="shared" si="7"/>
        <v>1674.1290244498778</v>
      </c>
      <c r="J239" s="9">
        <v>424112.68636302656</v>
      </c>
      <c r="K239" s="9">
        <v>436199.72017387557</v>
      </c>
      <c r="L239" s="8">
        <v>1</v>
      </c>
      <c r="M239" s="8">
        <v>1</v>
      </c>
    </row>
    <row r="240" spans="1:13">
      <c r="A240" s="7">
        <v>174902</v>
      </c>
      <c r="B240" s="8" t="s">
        <v>243</v>
      </c>
      <c r="C240" s="9">
        <v>424888079</v>
      </c>
      <c r="D240" s="10">
        <v>736.93700000000001</v>
      </c>
      <c r="E240" s="8">
        <v>483</v>
      </c>
      <c r="F240" s="8">
        <v>1.5257494824016564</v>
      </c>
      <c r="G240" s="11">
        <v>11</v>
      </c>
      <c r="H240" s="10">
        <f t="shared" si="6"/>
        <v>16.783244306418222</v>
      </c>
      <c r="I240" s="10">
        <f t="shared" si="7"/>
        <v>720.15375569358184</v>
      </c>
      <c r="J240" s="9">
        <v>576559.56886409561</v>
      </c>
      <c r="K240" s="9">
        <v>589996.33847745368</v>
      </c>
      <c r="L240" s="8">
        <v>1</v>
      </c>
      <c r="M240" s="8">
        <v>1</v>
      </c>
    </row>
    <row r="241" spans="1:13">
      <c r="A241" s="7">
        <v>174911</v>
      </c>
      <c r="B241" s="8" t="s">
        <v>244</v>
      </c>
      <c r="C241" s="9">
        <v>179281069</v>
      </c>
      <c r="D241" s="10">
        <v>547.92999999999995</v>
      </c>
      <c r="E241" s="8">
        <v>372</v>
      </c>
      <c r="F241" s="8">
        <v>1.4729301075268817</v>
      </c>
      <c r="G241" s="11">
        <v>61</v>
      </c>
      <c r="H241" s="10">
        <f t="shared" si="6"/>
        <v>89.84873655913978</v>
      </c>
      <c r="I241" s="10">
        <f t="shared" si="7"/>
        <v>458.0812634408602</v>
      </c>
      <c r="J241" s="9">
        <v>327197.03064260038</v>
      </c>
      <c r="K241" s="9">
        <v>391373.9401898628</v>
      </c>
      <c r="L241" s="8">
        <v>1</v>
      </c>
      <c r="M241" s="8">
        <v>1</v>
      </c>
    </row>
    <row r="242" spans="1:13">
      <c r="A242" s="7">
        <v>175910</v>
      </c>
      <c r="B242" s="8" t="s">
        <v>245</v>
      </c>
      <c r="C242" s="9">
        <v>376192352</v>
      </c>
      <c r="D242" s="10">
        <v>1071.057</v>
      </c>
      <c r="E242" s="8">
        <v>740</v>
      </c>
      <c r="F242" s="8">
        <v>1.4473743243243244</v>
      </c>
      <c r="G242" s="11">
        <v>105</v>
      </c>
      <c r="H242" s="10">
        <f t="shared" si="6"/>
        <v>151.97430405405407</v>
      </c>
      <c r="I242" s="10">
        <f t="shared" si="7"/>
        <v>919.08269594594594</v>
      </c>
      <c r="J242" s="9">
        <v>351234.67005024006</v>
      </c>
      <c r="K242" s="9">
        <v>409312.84383807506</v>
      </c>
      <c r="L242" s="8">
        <v>1</v>
      </c>
      <c r="M242" s="8">
        <v>1</v>
      </c>
    </row>
    <row r="243" spans="1:13">
      <c r="A243" s="7">
        <v>176901</v>
      </c>
      <c r="B243" s="8" t="s">
        <v>246</v>
      </c>
      <c r="C243" s="9">
        <v>159611509</v>
      </c>
      <c r="D243" s="10">
        <v>505.54899999999998</v>
      </c>
      <c r="E243" s="8">
        <v>299</v>
      </c>
      <c r="F243" s="8">
        <v>1.6907993311036789</v>
      </c>
      <c r="G243" s="11">
        <v>6</v>
      </c>
      <c r="H243" s="10">
        <f t="shared" si="6"/>
        <v>10.144795986622073</v>
      </c>
      <c r="I243" s="10">
        <f t="shared" si="7"/>
        <v>495.40420401337792</v>
      </c>
      <c r="J243" s="9">
        <v>315719.16668809555</v>
      </c>
      <c r="K243" s="9">
        <v>322184.40559638414</v>
      </c>
      <c r="L243" s="8">
        <v>0</v>
      </c>
      <c r="M243" s="8">
        <v>1</v>
      </c>
    </row>
    <row r="244" spans="1:13">
      <c r="A244" s="7">
        <v>176903</v>
      </c>
      <c r="B244" s="8" t="s">
        <v>247</v>
      </c>
      <c r="C244" s="9">
        <v>420454950</v>
      </c>
      <c r="D244" s="10">
        <v>947.75300000000004</v>
      </c>
      <c r="E244" s="8">
        <v>692</v>
      </c>
      <c r="F244" s="8">
        <v>1.3695852601156071</v>
      </c>
      <c r="G244" s="11">
        <v>44</v>
      </c>
      <c r="H244" s="10">
        <f t="shared" si="6"/>
        <v>60.261751445086716</v>
      </c>
      <c r="I244" s="10">
        <f t="shared" si="7"/>
        <v>887.49124855491334</v>
      </c>
      <c r="J244" s="9">
        <v>443633.46779171366</v>
      </c>
      <c r="K244" s="9">
        <v>473756.72795041022</v>
      </c>
      <c r="L244" s="8">
        <v>1</v>
      </c>
      <c r="M244" s="8">
        <v>1</v>
      </c>
    </row>
    <row r="245" spans="1:13">
      <c r="A245" s="7">
        <v>177903</v>
      </c>
      <c r="B245" s="8" t="s">
        <v>248</v>
      </c>
      <c r="C245" s="9">
        <v>274015231</v>
      </c>
      <c r="D245" s="10">
        <v>304.76299999999998</v>
      </c>
      <c r="E245" s="8">
        <v>164</v>
      </c>
      <c r="F245" s="8">
        <v>1.858310975609756</v>
      </c>
      <c r="G245" s="11">
        <v>26</v>
      </c>
      <c r="H245" s="10">
        <f t="shared" si="6"/>
        <v>48.316085365853652</v>
      </c>
      <c r="I245" s="10">
        <f t="shared" si="7"/>
        <v>256.44691463414631</v>
      </c>
      <c r="J245" s="9">
        <v>899109.24554489891</v>
      </c>
      <c r="K245" s="9">
        <v>1068506.6396330683</v>
      </c>
      <c r="L245" s="8">
        <v>1</v>
      </c>
      <c r="M245" s="8">
        <v>1</v>
      </c>
    </row>
    <row r="246" spans="1:13">
      <c r="A246" s="7">
        <v>177905</v>
      </c>
      <c r="B246" s="8" t="s">
        <v>249</v>
      </c>
      <c r="C246" s="9">
        <v>201081592</v>
      </c>
      <c r="D246" s="10">
        <v>347.27699999999999</v>
      </c>
      <c r="E246" s="8">
        <v>222</v>
      </c>
      <c r="F246" s="8">
        <v>1.5643108108108108</v>
      </c>
      <c r="G246" s="11">
        <v>145</v>
      </c>
      <c r="H246" s="10">
        <f t="shared" si="6"/>
        <v>226.82506756756757</v>
      </c>
      <c r="I246" s="10">
        <f t="shared" si="7"/>
        <v>120.45193243243241</v>
      </c>
      <c r="J246" s="9">
        <v>579023.63819083909</v>
      </c>
      <c r="K246" s="9">
        <v>1669392.82699177</v>
      </c>
      <c r="L246" s="8">
        <v>1</v>
      </c>
      <c r="M246" s="8">
        <v>1</v>
      </c>
    </row>
    <row r="247" spans="1:13">
      <c r="A247" s="7">
        <v>178902</v>
      </c>
      <c r="B247" s="8" t="s">
        <v>250</v>
      </c>
      <c r="C247" s="9">
        <v>462993135</v>
      </c>
      <c r="D247" s="10">
        <v>1654.115</v>
      </c>
      <c r="E247" s="8">
        <v>1234</v>
      </c>
      <c r="F247" s="8">
        <v>1.3404497568881686</v>
      </c>
      <c r="G247" s="11">
        <v>208</v>
      </c>
      <c r="H247" s="10">
        <f t="shared" si="6"/>
        <v>278.81354943273908</v>
      </c>
      <c r="I247" s="10">
        <f t="shared" si="7"/>
        <v>1375.3014505672609</v>
      </c>
      <c r="J247" s="9">
        <v>279903.8367949024</v>
      </c>
      <c r="K247" s="9">
        <v>336648.47427379101</v>
      </c>
      <c r="L247" s="8">
        <v>0</v>
      </c>
      <c r="M247" s="8">
        <v>1</v>
      </c>
    </row>
    <row r="248" spans="1:13">
      <c r="A248" s="7">
        <v>178905</v>
      </c>
      <c r="B248" s="8" t="s">
        <v>251</v>
      </c>
      <c r="C248" s="9">
        <v>138645178</v>
      </c>
      <c r="D248" s="10">
        <v>399.95800000000003</v>
      </c>
      <c r="E248" s="8">
        <v>294</v>
      </c>
      <c r="F248" s="8">
        <v>1.3604013605442178</v>
      </c>
      <c r="G248" s="11">
        <v>61</v>
      </c>
      <c r="H248" s="10">
        <f t="shared" si="6"/>
        <v>82.98448299319729</v>
      </c>
      <c r="I248" s="10">
        <f t="shared" si="7"/>
        <v>316.97351700680275</v>
      </c>
      <c r="J248" s="9">
        <v>346649.34318103397</v>
      </c>
      <c r="K248" s="9">
        <v>437403.03388508147</v>
      </c>
      <c r="L248" s="8">
        <v>1</v>
      </c>
      <c r="M248" s="8">
        <v>1</v>
      </c>
    </row>
    <row r="249" spans="1:13">
      <c r="A249" s="7">
        <v>178906</v>
      </c>
      <c r="B249" s="8" t="s">
        <v>252</v>
      </c>
      <c r="C249" s="9">
        <v>219828019</v>
      </c>
      <c r="D249" s="10">
        <v>602.32299999999998</v>
      </c>
      <c r="E249" s="8">
        <v>394</v>
      </c>
      <c r="F249" s="8">
        <v>1.528738578680203</v>
      </c>
      <c r="G249" s="11">
        <v>150</v>
      </c>
      <c r="H249" s="10">
        <f t="shared" si="6"/>
        <v>229.31078680203046</v>
      </c>
      <c r="I249" s="10">
        <f t="shared" si="7"/>
        <v>373.01221319796952</v>
      </c>
      <c r="J249" s="9">
        <v>364967.00109409739</v>
      </c>
      <c r="K249" s="9">
        <v>589331.96078309172</v>
      </c>
      <c r="L249" s="8">
        <v>1</v>
      </c>
      <c r="M249" s="8">
        <v>1</v>
      </c>
    </row>
    <row r="250" spans="1:13">
      <c r="A250" s="7">
        <v>178908</v>
      </c>
      <c r="B250" s="8" t="s">
        <v>253</v>
      </c>
      <c r="C250" s="9">
        <v>1609227228</v>
      </c>
      <c r="D250" s="10">
        <v>786.27700000000004</v>
      </c>
      <c r="E250" s="8">
        <v>568</v>
      </c>
      <c r="F250" s="8">
        <v>1.3842904929577466</v>
      </c>
      <c r="G250" s="11">
        <v>36</v>
      </c>
      <c r="H250" s="10">
        <f t="shared" si="6"/>
        <v>49.834457746478876</v>
      </c>
      <c r="I250" s="10">
        <f t="shared" si="7"/>
        <v>736.4425422535212</v>
      </c>
      <c r="J250" s="9">
        <v>2046641.6135789293</v>
      </c>
      <c r="K250" s="9">
        <v>2185136.1588587067</v>
      </c>
      <c r="L250" s="8">
        <v>1</v>
      </c>
      <c r="M250" s="8">
        <v>1</v>
      </c>
    </row>
    <row r="251" spans="1:13">
      <c r="A251" s="7">
        <v>178912</v>
      </c>
      <c r="B251" s="8" t="s">
        <v>254</v>
      </c>
      <c r="C251" s="9">
        <v>1472414412</v>
      </c>
      <c r="D251" s="10">
        <v>4474.8469999999998</v>
      </c>
      <c r="E251" s="8">
        <v>3550</v>
      </c>
      <c r="F251" s="8">
        <v>1.2605202816901409</v>
      </c>
      <c r="G251" s="11">
        <v>805</v>
      </c>
      <c r="H251" s="10">
        <f t="shared" si="6"/>
        <v>1014.7188267605634</v>
      </c>
      <c r="I251" s="10">
        <f t="shared" si="7"/>
        <v>3460.1281732394364</v>
      </c>
      <c r="J251" s="9">
        <v>329042.40346094518</v>
      </c>
      <c r="K251" s="9">
        <v>425537.53453054838</v>
      </c>
      <c r="L251" s="8">
        <v>1</v>
      </c>
      <c r="M251" s="8">
        <v>1</v>
      </c>
    </row>
    <row r="252" spans="1:13">
      <c r="A252" s="7">
        <v>178914</v>
      </c>
      <c r="B252" s="8" t="s">
        <v>255</v>
      </c>
      <c r="C252" s="9">
        <v>2255311527</v>
      </c>
      <c r="D252" s="10">
        <v>6452.8209999999999</v>
      </c>
      <c r="E252" s="8">
        <v>5526</v>
      </c>
      <c r="F252" s="8">
        <v>1.167720050669562</v>
      </c>
      <c r="G252" s="11">
        <v>612</v>
      </c>
      <c r="H252" s="10">
        <f t="shared" si="6"/>
        <v>714.64467100977197</v>
      </c>
      <c r="I252" s="10">
        <f t="shared" si="7"/>
        <v>5738.1763289902283</v>
      </c>
      <c r="J252" s="9">
        <v>349507.83959449676</v>
      </c>
      <c r="K252" s="9">
        <v>393036.2884817234</v>
      </c>
      <c r="L252" s="8">
        <v>1</v>
      </c>
      <c r="M252" s="8">
        <v>1</v>
      </c>
    </row>
    <row r="253" spans="1:13">
      <c r="A253" s="7">
        <v>179901</v>
      </c>
      <c r="B253" s="8" t="s">
        <v>256</v>
      </c>
      <c r="C253" s="9">
        <v>979114198</v>
      </c>
      <c r="D253" s="10">
        <v>2936.4319999999998</v>
      </c>
      <c r="E253" s="8">
        <v>2287</v>
      </c>
      <c r="F253" s="8">
        <v>1.2839667686926104</v>
      </c>
      <c r="G253" s="11">
        <v>1</v>
      </c>
      <c r="H253" s="10">
        <f t="shared" si="6"/>
        <v>1.2839667686926104</v>
      </c>
      <c r="I253" s="10">
        <f t="shared" si="7"/>
        <v>2935.1480332313072</v>
      </c>
      <c r="J253" s="9">
        <v>333436.7007306827</v>
      </c>
      <c r="K253" s="9">
        <v>333582.56105471187</v>
      </c>
      <c r="L253" s="8">
        <v>1</v>
      </c>
      <c r="M253" s="8">
        <v>1</v>
      </c>
    </row>
    <row r="254" spans="1:13">
      <c r="A254" s="7">
        <v>180903</v>
      </c>
      <c r="B254" s="8" t="s">
        <v>257</v>
      </c>
      <c r="C254" s="9">
        <v>44269808</v>
      </c>
      <c r="D254" s="10">
        <v>281.279</v>
      </c>
      <c r="E254" s="8">
        <v>136</v>
      </c>
      <c r="F254" s="8">
        <v>2.0682279411764704</v>
      </c>
      <c r="G254" s="11">
        <v>86</v>
      </c>
      <c r="H254" s="10">
        <f t="shared" si="6"/>
        <v>177.86760294117644</v>
      </c>
      <c r="I254" s="10">
        <f t="shared" si="7"/>
        <v>103.41139705882355</v>
      </c>
      <c r="J254" s="9">
        <v>157387.53337433652</v>
      </c>
      <c r="K254" s="9">
        <v>428094.09077819524</v>
      </c>
      <c r="L254" s="8">
        <v>0</v>
      </c>
      <c r="M254" s="8">
        <v>1</v>
      </c>
    </row>
    <row r="255" spans="1:13">
      <c r="A255" s="7">
        <v>180904</v>
      </c>
      <c r="B255" s="8" t="s">
        <v>258</v>
      </c>
      <c r="C255" s="9">
        <v>38444122</v>
      </c>
      <c r="D255" s="10">
        <v>171.946</v>
      </c>
      <c r="E255" s="8">
        <v>101</v>
      </c>
      <c r="F255" s="8">
        <v>1.7024356435643564</v>
      </c>
      <c r="G255" s="11">
        <v>53</v>
      </c>
      <c r="H255" s="10">
        <f t="shared" si="6"/>
        <v>90.229089108910884</v>
      </c>
      <c r="I255" s="10">
        <f t="shared" si="7"/>
        <v>81.716910891089114</v>
      </c>
      <c r="J255" s="9">
        <v>223582.53172507649</v>
      </c>
      <c r="K255" s="9">
        <v>470454.91050484841</v>
      </c>
      <c r="L255" s="8">
        <v>0</v>
      </c>
      <c r="M255" s="8">
        <v>1</v>
      </c>
    </row>
    <row r="256" spans="1:13">
      <c r="A256" s="7">
        <v>181906</v>
      </c>
      <c r="B256" s="8" t="s">
        <v>259</v>
      </c>
      <c r="C256" s="9">
        <v>1550526179</v>
      </c>
      <c r="D256" s="10">
        <v>3335.1019999999999</v>
      </c>
      <c r="E256" s="8">
        <v>2529</v>
      </c>
      <c r="F256" s="8">
        <v>1.318743376828786</v>
      </c>
      <c r="G256" s="11">
        <v>58</v>
      </c>
      <c r="H256" s="10">
        <f t="shared" si="6"/>
        <v>76.487115856069579</v>
      </c>
      <c r="I256" s="10">
        <f t="shared" si="7"/>
        <v>3258.6148841439303</v>
      </c>
      <c r="J256" s="9">
        <v>464911.17183222587</v>
      </c>
      <c r="K256" s="9">
        <v>475823.69630258967</v>
      </c>
      <c r="L256" s="8">
        <v>1</v>
      </c>
      <c r="M256" s="8">
        <v>1</v>
      </c>
    </row>
    <row r="257" spans="1:13">
      <c r="A257" s="7">
        <v>182901</v>
      </c>
      <c r="B257" s="8" t="s">
        <v>260</v>
      </c>
      <c r="C257" s="9">
        <v>139527792</v>
      </c>
      <c r="D257" s="10">
        <v>343.71100000000001</v>
      </c>
      <c r="E257" s="8">
        <v>222</v>
      </c>
      <c r="F257" s="8">
        <v>1.5482477477477479</v>
      </c>
      <c r="G257" s="11">
        <v>60</v>
      </c>
      <c r="H257" s="10">
        <f t="shared" si="6"/>
        <v>92.894864864864871</v>
      </c>
      <c r="I257" s="10">
        <f t="shared" si="7"/>
        <v>250.81613513513514</v>
      </c>
      <c r="J257" s="9">
        <v>405945.08758811909</v>
      </c>
      <c r="K257" s="9">
        <v>556295.12002816319</v>
      </c>
      <c r="L257" s="8">
        <v>1</v>
      </c>
      <c r="M257" s="8">
        <v>1</v>
      </c>
    </row>
    <row r="258" spans="1:13">
      <c r="A258" s="7">
        <v>182902</v>
      </c>
      <c r="B258" s="8" t="s">
        <v>261</v>
      </c>
      <c r="C258" s="9">
        <v>706359534</v>
      </c>
      <c r="D258" s="10">
        <v>498.85599999999999</v>
      </c>
      <c r="E258" s="8">
        <v>298</v>
      </c>
      <c r="F258" s="8">
        <v>1.674013422818792</v>
      </c>
      <c r="G258" s="11">
        <v>40</v>
      </c>
      <c r="H258" s="10">
        <f t="shared" si="6"/>
        <v>66.960536912751678</v>
      </c>
      <c r="I258" s="10">
        <f t="shared" si="7"/>
        <v>431.89546308724834</v>
      </c>
      <c r="J258" s="9">
        <v>1415958.7816925126</v>
      </c>
      <c r="K258" s="9">
        <v>1635487.2749781732</v>
      </c>
      <c r="L258" s="8">
        <v>1</v>
      </c>
      <c r="M258" s="8">
        <v>1</v>
      </c>
    </row>
    <row r="259" spans="1:13">
      <c r="A259" s="7">
        <v>182904</v>
      </c>
      <c r="B259" s="8" t="s">
        <v>262</v>
      </c>
      <c r="C259" s="9">
        <v>259644679</v>
      </c>
      <c r="D259" s="10">
        <v>761.22699999999998</v>
      </c>
      <c r="E259" s="8">
        <v>523</v>
      </c>
      <c r="F259" s="8">
        <v>1.4555009560229446</v>
      </c>
      <c r="G259" s="11">
        <v>27</v>
      </c>
      <c r="H259" s="10">
        <f t="shared" ref="H259:H322" si="8">F259*G259</f>
        <v>39.298525812619502</v>
      </c>
      <c r="I259" s="10">
        <f t="shared" ref="I259:I322" si="9">D259-H259</f>
        <v>721.92847418738052</v>
      </c>
      <c r="J259" s="9">
        <v>341087.05944481737</v>
      </c>
      <c r="K259" s="9">
        <v>359654.29856782156</v>
      </c>
      <c r="L259" s="8">
        <v>1</v>
      </c>
      <c r="M259" s="8">
        <v>1</v>
      </c>
    </row>
    <row r="260" spans="1:13">
      <c r="A260" s="7">
        <v>182906</v>
      </c>
      <c r="B260" s="8" t="s">
        <v>263</v>
      </c>
      <c r="C260" s="9">
        <v>475658571</v>
      </c>
      <c r="D260" s="10">
        <v>159.32499999999999</v>
      </c>
      <c r="E260" s="8">
        <v>110</v>
      </c>
      <c r="F260" s="8">
        <v>1.4484090909090908</v>
      </c>
      <c r="G260" s="11">
        <v>49</v>
      </c>
      <c r="H260" s="10">
        <f t="shared" si="8"/>
        <v>70.972045454545452</v>
      </c>
      <c r="I260" s="10">
        <f t="shared" si="9"/>
        <v>88.352954545454537</v>
      </c>
      <c r="J260" s="9">
        <v>2985460.9822689472</v>
      </c>
      <c r="K260" s="9">
        <v>5383618.1647472819</v>
      </c>
      <c r="L260" s="8">
        <v>1</v>
      </c>
      <c r="M260" s="8">
        <v>1</v>
      </c>
    </row>
    <row r="261" spans="1:13">
      <c r="A261" s="7">
        <v>183901</v>
      </c>
      <c r="B261" s="8" t="s">
        <v>264</v>
      </c>
      <c r="C261" s="9">
        <v>733790593</v>
      </c>
      <c r="D261" s="10">
        <v>984.48699999999997</v>
      </c>
      <c r="E261" s="8">
        <v>681</v>
      </c>
      <c r="F261" s="8">
        <v>1.4456490455212923</v>
      </c>
      <c r="G261" s="11">
        <v>89</v>
      </c>
      <c r="H261" s="10">
        <f t="shared" si="8"/>
        <v>128.66276505139501</v>
      </c>
      <c r="I261" s="10">
        <f t="shared" si="9"/>
        <v>855.82423494860495</v>
      </c>
      <c r="J261" s="9">
        <v>745353.25809279352</v>
      </c>
      <c r="K261" s="9">
        <v>857408.055339852</v>
      </c>
      <c r="L261" s="8">
        <v>1</v>
      </c>
      <c r="M261" s="8">
        <v>1</v>
      </c>
    </row>
    <row r="262" spans="1:13">
      <c r="A262" s="7">
        <v>183902</v>
      </c>
      <c r="B262" s="8" t="s">
        <v>265</v>
      </c>
      <c r="C262" s="9">
        <v>3435287384</v>
      </c>
      <c r="D262" s="10">
        <v>3397.681</v>
      </c>
      <c r="E262" s="8">
        <v>2856</v>
      </c>
      <c r="F262" s="8">
        <v>1.1896642156862745</v>
      </c>
      <c r="G262" s="11">
        <v>38</v>
      </c>
      <c r="H262" s="10">
        <f t="shared" si="8"/>
        <v>45.20724019607843</v>
      </c>
      <c r="I262" s="10">
        <f t="shared" si="9"/>
        <v>3352.4737598039214</v>
      </c>
      <c r="J262" s="9">
        <v>1011068.2503742994</v>
      </c>
      <c r="K262" s="9">
        <v>1024702.2438144071</v>
      </c>
      <c r="L262" s="8">
        <v>1</v>
      </c>
      <c r="M262" s="8">
        <v>1</v>
      </c>
    </row>
    <row r="263" spans="1:13">
      <c r="A263" s="7">
        <v>183904</v>
      </c>
      <c r="B263" s="8" t="s">
        <v>266</v>
      </c>
      <c r="C263" s="9">
        <v>318288453</v>
      </c>
      <c r="D263" s="10">
        <v>618.61500000000001</v>
      </c>
      <c r="E263" s="8">
        <v>417</v>
      </c>
      <c r="F263" s="8">
        <v>1.4834892086330935</v>
      </c>
      <c r="G263" s="11">
        <v>75</v>
      </c>
      <c r="H263" s="10">
        <f t="shared" si="8"/>
        <v>111.26169064748201</v>
      </c>
      <c r="I263" s="10">
        <f t="shared" si="9"/>
        <v>507.35330935251801</v>
      </c>
      <c r="J263" s="9">
        <v>514517.8390436701</v>
      </c>
      <c r="K263" s="9">
        <v>627350.69848307141</v>
      </c>
      <c r="L263" s="8">
        <v>1</v>
      </c>
      <c r="M263" s="8">
        <v>1</v>
      </c>
    </row>
    <row r="264" spans="1:13">
      <c r="A264" s="7">
        <v>184903</v>
      </c>
      <c r="B264" s="8" t="s">
        <v>267</v>
      </c>
      <c r="C264" s="9">
        <v>3365735977</v>
      </c>
      <c r="D264" s="10">
        <v>9304.0589999999993</v>
      </c>
      <c r="E264" s="8">
        <v>7639</v>
      </c>
      <c r="F264" s="8">
        <v>1.2179681895536063</v>
      </c>
      <c r="G264" s="11">
        <v>211</v>
      </c>
      <c r="H264" s="10">
        <f t="shared" si="8"/>
        <v>256.99128799581092</v>
      </c>
      <c r="I264" s="10">
        <f t="shared" si="9"/>
        <v>9047.0677120041892</v>
      </c>
      <c r="J264" s="9">
        <v>361749.20827565691</v>
      </c>
      <c r="K264" s="9">
        <v>372025.06758451037</v>
      </c>
      <c r="L264" s="8">
        <v>1</v>
      </c>
      <c r="M264" s="8">
        <v>1</v>
      </c>
    </row>
    <row r="265" spans="1:13">
      <c r="A265" s="7">
        <v>184904</v>
      </c>
      <c r="B265" s="8" t="s">
        <v>268</v>
      </c>
      <c r="C265" s="9">
        <v>290655240</v>
      </c>
      <c r="D265" s="10">
        <v>1087.5409999999999</v>
      </c>
      <c r="E265" s="8">
        <v>787</v>
      </c>
      <c r="F265" s="8">
        <v>1.3818818297331639</v>
      </c>
      <c r="G265" s="11">
        <v>228</v>
      </c>
      <c r="H265" s="10">
        <f t="shared" si="8"/>
        <v>315.06905717916135</v>
      </c>
      <c r="I265" s="10">
        <f t="shared" si="9"/>
        <v>772.47194282083865</v>
      </c>
      <c r="J265" s="9">
        <v>267259.11023124645</v>
      </c>
      <c r="K265" s="9">
        <v>376266.40384971548</v>
      </c>
      <c r="L265" s="8">
        <v>0</v>
      </c>
      <c r="M265" s="8">
        <v>1</v>
      </c>
    </row>
    <row r="266" spans="1:13">
      <c r="A266" s="7">
        <v>184907</v>
      </c>
      <c r="B266" s="8" t="s">
        <v>269</v>
      </c>
      <c r="C266" s="9">
        <v>2578963597</v>
      </c>
      <c r="D266" s="10">
        <v>5401.4309999999996</v>
      </c>
      <c r="E266" s="8">
        <v>4624</v>
      </c>
      <c r="F266" s="8">
        <v>1.1681295415224913</v>
      </c>
      <c r="G266" s="11">
        <v>103</v>
      </c>
      <c r="H266" s="10">
        <f t="shared" si="8"/>
        <v>120.3173427768166</v>
      </c>
      <c r="I266" s="10">
        <f t="shared" si="9"/>
        <v>5281.1136572231826</v>
      </c>
      <c r="J266" s="9">
        <v>477459.32457528386</v>
      </c>
      <c r="K266" s="9">
        <v>488337.07516835054</v>
      </c>
      <c r="L266" s="8">
        <v>1</v>
      </c>
      <c r="M266" s="8">
        <v>1</v>
      </c>
    </row>
    <row r="267" spans="1:13">
      <c r="A267" s="7">
        <v>184909</v>
      </c>
      <c r="B267" s="8" t="s">
        <v>270</v>
      </c>
      <c r="C267" s="9">
        <v>462349704</v>
      </c>
      <c r="D267" s="10">
        <v>1201.55</v>
      </c>
      <c r="E267" s="8">
        <v>894</v>
      </c>
      <c r="F267" s="8">
        <v>1.3440156599552573</v>
      </c>
      <c r="G267" s="11">
        <v>98</v>
      </c>
      <c r="H267" s="10">
        <f t="shared" si="8"/>
        <v>131.71353467561522</v>
      </c>
      <c r="I267" s="10">
        <f t="shared" si="9"/>
        <v>1069.8364653243848</v>
      </c>
      <c r="J267" s="9">
        <v>384794.393907869</v>
      </c>
      <c r="K267" s="9">
        <v>432168.5780824559</v>
      </c>
      <c r="L267" s="8">
        <v>1</v>
      </c>
      <c r="M267" s="8">
        <v>1</v>
      </c>
    </row>
    <row r="268" spans="1:13">
      <c r="A268" s="7">
        <v>184911</v>
      </c>
      <c r="B268" s="8" t="s">
        <v>271</v>
      </c>
      <c r="C268" s="9">
        <v>152586742</v>
      </c>
      <c r="D268" s="10">
        <v>332.16399999999999</v>
      </c>
      <c r="E268" s="8">
        <v>204</v>
      </c>
      <c r="F268" s="8">
        <v>1.6282549019607842</v>
      </c>
      <c r="G268" s="11">
        <v>46</v>
      </c>
      <c r="H268" s="10">
        <f t="shared" si="8"/>
        <v>74.899725490196076</v>
      </c>
      <c r="I268" s="10">
        <f t="shared" si="9"/>
        <v>257.2642745098039</v>
      </c>
      <c r="J268" s="9">
        <v>459371.70193037175</v>
      </c>
      <c r="K268" s="9">
        <v>593112.83034048008</v>
      </c>
      <c r="L268" s="8">
        <v>1</v>
      </c>
      <c r="M268" s="8">
        <v>1</v>
      </c>
    </row>
    <row r="269" spans="1:13">
      <c r="A269" s="7">
        <v>186901</v>
      </c>
      <c r="B269" s="8" t="s">
        <v>272</v>
      </c>
      <c r="C269" s="9">
        <v>238299391</v>
      </c>
      <c r="D269" s="10">
        <v>259.35000000000002</v>
      </c>
      <c r="E269" s="8">
        <v>105</v>
      </c>
      <c r="F269" s="8">
        <v>2.4700000000000002</v>
      </c>
      <c r="G269" s="11">
        <v>42</v>
      </c>
      <c r="H269" s="10">
        <f t="shared" si="8"/>
        <v>103.74000000000001</v>
      </c>
      <c r="I269" s="10">
        <f t="shared" si="9"/>
        <v>155.61000000000001</v>
      </c>
      <c r="J269" s="9">
        <v>918833.20223636006</v>
      </c>
      <c r="K269" s="9">
        <v>1531388.6703939333</v>
      </c>
      <c r="L269" s="8">
        <v>1</v>
      </c>
      <c r="M269" s="8">
        <v>1</v>
      </c>
    </row>
    <row r="270" spans="1:13">
      <c r="A270" s="7">
        <v>186902</v>
      </c>
      <c r="B270" s="8" t="s">
        <v>273</v>
      </c>
      <c r="C270" s="9">
        <v>1871699193</v>
      </c>
      <c r="D270" s="10">
        <v>3106.6010000000001</v>
      </c>
      <c r="E270" s="8">
        <v>2364</v>
      </c>
      <c r="F270" s="8">
        <v>1.3141290186125212</v>
      </c>
      <c r="G270" s="11">
        <v>0</v>
      </c>
      <c r="H270" s="10">
        <f t="shared" si="8"/>
        <v>0</v>
      </c>
      <c r="I270" s="10">
        <f t="shared" si="9"/>
        <v>3106.6010000000001</v>
      </c>
      <c r="J270" s="9">
        <v>602491.01606546831</v>
      </c>
      <c r="K270" s="9">
        <v>602491.01606546831</v>
      </c>
      <c r="L270" s="8">
        <v>1</v>
      </c>
      <c r="M270" s="8">
        <v>1</v>
      </c>
    </row>
    <row r="271" spans="1:13">
      <c r="A271" s="7">
        <v>186903</v>
      </c>
      <c r="B271" s="8" t="s">
        <v>274</v>
      </c>
      <c r="C271" s="9">
        <v>1754861541</v>
      </c>
      <c r="D271" s="10">
        <v>1026.837</v>
      </c>
      <c r="E271" s="8">
        <v>481</v>
      </c>
      <c r="F271" s="8">
        <v>2.1347962577962578</v>
      </c>
      <c r="G271" s="11">
        <v>79</v>
      </c>
      <c r="H271" s="10">
        <f t="shared" si="8"/>
        <v>168.64890436590437</v>
      </c>
      <c r="I271" s="10">
        <f t="shared" si="9"/>
        <v>858.18809563409559</v>
      </c>
      <c r="J271" s="9">
        <v>1708997.183584152</v>
      </c>
      <c r="K271" s="9">
        <v>2044844.8888158638</v>
      </c>
      <c r="L271" s="8">
        <v>1</v>
      </c>
      <c r="M271" s="8">
        <v>1</v>
      </c>
    </row>
    <row r="272" spans="1:13">
      <c r="A272" s="7">
        <v>187901</v>
      </c>
      <c r="B272" s="8" t="s">
        <v>275</v>
      </c>
      <c r="C272" s="9">
        <v>278305845</v>
      </c>
      <c r="D272" s="10">
        <v>750.06100000000004</v>
      </c>
      <c r="E272" s="8">
        <v>483</v>
      </c>
      <c r="F272" s="8">
        <v>1.5529213250517599</v>
      </c>
      <c r="G272" s="11">
        <v>54</v>
      </c>
      <c r="H272" s="10">
        <f t="shared" si="8"/>
        <v>83.857751552795037</v>
      </c>
      <c r="I272" s="10">
        <f t="shared" si="9"/>
        <v>666.20324844720494</v>
      </c>
      <c r="J272" s="9">
        <v>371044.28173175245</v>
      </c>
      <c r="K272" s="9">
        <v>417749.15635532973</v>
      </c>
      <c r="L272" s="8">
        <v>1</v>
      </c>
      <c r="M272" s="8">
        <v>1</v>
      </c>
    </row>
    <row r="273" spans="1:13">
      <c r="A273" s="7">
        <v>187906</v>
      </c>
      <c r="B273" s="8" t="s">
        <v>276</v>
      </c>
      <c r="C273" s="9">
        <v>140578014</v>
      </c>
      <c r="D273" s="10">
        <v>302.05399999999997</v>
      </c>
      <c r="E273" s="8">
        <v>194</v>
      </c>
      <c r="F273" s="8">
        <v>1.5569793814432988</v>
      </c>
      <c r="G273" s="11">
        <v>8</v>
      </c>
      <c r="H273" s="10">
        <f t="shared" si="8"/>
        <v>12.455835051546391</v>
      </c>
      <c r="I273" s="10">
        <f t="shared" si="9"/>
        <v>289.59816494845359</v>
      </c>
      <c r="J273" s="9">
        <v>465406.89413151296</v>
      </c>
      <c r="K273" s="9">
        <v>485424.39495437371</v>
      </c>
      <c r="L273" s="8">
        <v>1</v>
      </c>
      <c r="M273" s="8">
        <v>1</v>
      </c>
    </row>
    <row r="274" spans="1:13">
      <c r="A274" s="7">
        <v>188903</v>
      </c>
      <c r="B274" s="8" t="s">
        <v>65</v>
      </c>
      <c r="C274" s="9">
        <v>852907293</v>
      </c>
      <c r="D274" s="10">
        <v>1368.104</v>
      </c>
      <c r="E274" s="8">
        <v>983</v>
      </c>
      <c r="F274" s="8">
        <v>1.3917639877924721</v>
      </c>
      <c r="G274" s="11">
        <v>258</v>
      </c>
      <c r="H274" s="10">
        <f t="shared" si="8"/>
        <v>359.07510885045781</v>
      </c>
      <c r="I274" s="10">
        <f t="shared" si="9"/>
        <v>1009.0288911495422</v>
      </c>
      <c r="J274" s="9">
        <v>623422.84870156064</v>
      </c>
      <c r="K274" s="9">
        <v>845275.39348087471</v>
      </c>
      <c r="L274" s="8">
        <v>1</v>
      </c>
      <c r="M274" s="8">
        <v>1</v>
      </c>
    </row>
    <row r="275" spans="1:13">
      <c r="A275" s="7">
        <v>188904</v>
      </c>
      <c r="B275" s="8" t="s">
        <v>277</v>
      </c>
      <c r="C275" s="9">
        <v>822370831</v>
      </c>
      <c r="D275" s="10">
        <v>1780.7159999999999</v>
      </c>
      <c r="E275" s="8">
        <v>1306</v>
      </c>
      <c r="F275" s="8">
        <v>1.3634885145482387</v>
      </c>
      <c r="G275" s="11">
        <v>231</v>
      </c>
      <c r="H275" s="10">
        <f t="shared" si="8"/>
        <v>314.96584686064313</v>
      </c>
      <c r="I275" s="10">
        <f t="shared" si="9"/>
        <v>1465.7501531393568</v>
      </c>
      <c r="J275" s="9">
        <v>461820.3189054291</v>
      </c>
      <c r="K275" s="9">
        <v>561057.98743301432</v>
      </c>
      <c r="L275" s="8">
        <v>1</v>
      </c>
      <c r="M275" s="8">
        <v>1</v>
      </c>
    </row>
    <row r="276" spans="1:13">
      <c r="A276" s="7">
        <v>192901</v>
      </c>
      <c r="B276" s="8" t="s">
        <v>278</v>
      </c>
      <c r="C276" s="9">
        <v>1790906660</v>
      </c>
      <c r="D276" s="10">
        <v>1394.15</v>
      </c>
      <c r="E276" s="8">
        <v>790</v>
      </c>
      <c r="F276" s="8">
        <v>1.764746835443038</v>
      </c>
      <c r="G276" s="11">
        <v>13</v>
      </c>
      <c r="H276" s="10">
        <f t="shared" si="8"/>
        <v>22.941708860759494</v>
      </c>
      <c r="I276" s="10">
        <f t="shared" si="9"/>
        <v>1371.2082911392406</v>
      </c>
      <c r="J276" s="9">
        <v>1284586.7804755585</v>
      </c>
      <c r="K276" s="9">
        <v>1306079.223392138</v>
      </c>
      <c r="L276" s="8">
        <v>1</v>
      </c>
      <c r="M276" s="8">
        <v>1</v>
      </c>
    </row>
    <row r="277" spans="1:13">
      <c r="A277" s="7">
        <v>193902</v>
      </c>
      <c r="B277" s="8" t="s">
        <v>279</v>
      </c>
      <c r="C277" s="9">
        <v>271781535</v>
      </c>
      <c r="D277" s="10">
        <v>461.11599999999999</v>
      </c>
      <c r="E277" s="8">
        <v>252</v>
      </c>
      <c r="F277" s="8">
        <v>1.8298253968253968</v>
      </c>
      <c r="G277" s="11">
        <v>17</v>
      </c>
      <c r="H277" s="10">
        <f t="shared" si="8"/>
        <v>31.107031746031744</v>
      </c>
      <c r="I277" s="10">
        <f t="shared" si="9"/>
        <v>430.00896825396825</v>
      </c>
      <c r="J277" s="9">
        <v>589399.4894993885</v>
      </c>
      <c r="K277" s="9">
        <v>632036.89937806758</v>
      </c>
      <c r="L277" s="8">
        <v>1</v>
      </c>
      <c r="M277" s="8">
        <v>1</v>
      </c>
    </row>
    <row r="278" spans="1:13">
      <c r="A278" s="7">
        <v>195901</v>
      </c>
      <c r="B278" s="8" t="s">
        <v>280</v>
      </c>
      <c r="C278" s="9">
        <v>950642367</v>
      </c>
      <c r="D278" s="10">
        <v>2950.3310000000001</v>
      </c>
      <c r="E278" s="8">
        <v>2164</v>
      </c>
      <c r="F278" s="8">
        <v>1.3633692236598891</v>
      </c>
      <c r="G278" s="11">
        <v>2</v>
      </c>
      <c r="H278" s="10">
        <f t="shared" si="8"/>
        <v>2.7267384473197782</v>
      </c>
      <c r="I278" s="10">
        <f t="shared" si="9"/>
        <v>2947.6042615526803</v>
      </c>
      <c r="J278" s="9">
        <v>322215.49615958345</v>
      </c>
      <c r="K278" s="9">
        <v>322513.56784890773</v>
      </c>
      <c r="L278" s="8">
        <v>1</v>
      </c>
      <c r="M278" s="8">
        <v>1</v>
      </c>
    </row>
    <row r="279" spans="1:13">
      <c r="A279" s="7">
        <v>196901</v>
      </c>
      <c r="B279" s="8" t="s">
        <v>281</v>
      </c>
      <c r="C279" s="9">
        <v>444677038</v>
      </c>
      <c r="D279" s="10">
        <v>244.464</v>
      </c>
      <c r="E279" s="8">
        <v>150</v>
      </c>
      <c r="F279" s="8">
        <v>1.6297600000000001</v>
      </c>
      <c r="G279" s="11">
        <v>36</v>
      </c>
      <c r="H279" s="10">
        <f t="shared" si="8"/>
        <v>58.671360000000007</v>
      </c>
      <c r="I279" s="10">
        <f t="shared" si="9"/>
        <v>185.79264000000001</v>
      </c>
      <c r="J279" s="9">
        <v>1818987.8182472675</v>
      </c>
      <c r="K279" s="9">
        <v>2393405.0240095626</v>
      </c>
      <c r="L279" s="8">
        <v>1</v>
      </c>
      <c r="M279" s="8">
        <v>1</v>
      </c>
    </row>
    <row r="280" spans="1:13">
      <c r="A280" s="7">
        <v>196903</v>
      </c>
      <c r="B280" s="8" t="s">
        <v>282</v>
      </c>
      <c r="C280" s="9">
        <v>596434052</v>
      </c>
      <c r="D280" s="10">
        <v>1201.1890000000001</v>
      </c>
      <c r="E280" s="8">
        <v>727</v>
      </c>
      <c r="F280" s="8">
        <v>1.6522544704264099</v>
      </c>
      <c r="G280" s="11">
        <v>29</v>
      </c>
      <c r="H280" s="10">
        <f t="shared" si="8"/>
        <v>47.915379642365892</v>
      </c>
      <c r="I280" s="10">
        <f t="shared" si="9"/>
        <v>1153.2736203576342</v>
      </c>
      <c r="J280" s="9">
        <v>496536.39185840025</v>
      </c>
      <c r="K280" s="9">
        <v>517166.1273367579</v>
      </c>
      <c r="L280" s="8">
        <v>1</v>
      </c>
      <c r="M280" s="8">
        <v>1</v>
      </c>
    </row>
    <row r="281" spans="1:13">
      <c r="A281" s="7">
        <v>197902</v>
      </c>
      <c r="B281" s="8" t="s">
        <v>283</v>
      </c>
      <c r="C281" s="9">
        <v>780382083</v>
      </c>
      <c r="D281" s="10">
        <v>290.73399999999998</v>
      </c>
      <c r="E281" s="8">
        <v>190</v>
      </c>
      <c r="F281" s="8">
        <v>1.5301789473684209</v>
      </c>
      <c r="G281" s="11">
        <v>43</v>
      </c>
      <c r="H281" s="10">
        <f t="shared" si="8"/>
        <v>65.797694736842104</v>
      </c>
      <c r="I281" s="10">
        <f t="shared" si="9"/>
        <v>224.93630526315786</v>
      </c>
      <c r="J281" s="9">
        <v>2684178.9505183436</v>
      </c>
      <c r="K281" s="9">
        <v>3469346.9428468389</v>
      </c>
      <c r="L281" s="8">
        <v>1</v>
      </c>
      <c r="M281" s="8">
        <v>1</v>
      </c>
    </row>
    <row r="282" spans="1:13">
      <c r="A282" s="7">
        <v>198901</v>
      </c>
      <c r="B282" s="8" t="s">
        <v>284</v>
      </c>
      <c r="C282" s="9">
        <v>403424464</v>
      </c>
      <c r="D282" s="10">
        <v>676.38699999999994</v>
      </c>
      <c r="E282" s="8">
        <v>460</v>
      </c>
      <c r="F282" s="8">
        <v>1.4704065217391302</v>
      </c>
      <c r="G282" s="11">
        <v>11</v>
      </c>
      <c r="H282" s="10">
        <f t="shared" si="8"/>
        <v>16.174471739130432</v>
      </c>
      <c r="I282" s="10">
        <f t="shared" si="9"/>
        <v>660.21252826086948</v>
      </c>
      <c r="J282" s="9">
        <v>596440.29823163373</v>
      </c>
      <c r="K282" s="9">
        <v>611052.42135089426</v>
      </c>
      <c r="L282" s="8">
        <v>1</v>
      </c>
      <c r="M282" s="8">
        <v>1</v>
      </c>
    </row>
    <row r="283" spans="1:13">
      <c r="A283" s="7">
        <v>198903</v>
      </c>
      <c r="B283" s="8" t="s">
        <v>285</v>
      </c>
      <c r="C283" s="9">
        <v>3166525609</v>
      </c>
      <c r="D283" s="10">
        <v>1509.963</v>
      </c>
      <c r="E283" s="8">
        <v>1072</v>
      </c>
      <c r="F283" s="8">
        <v>1.4085475746268656</v>
      </c>
      <c r="G283" s="11">
        <v>30</v>
      </c>
      <c r="H283" s="10">
        <f t="shared" si="8"/>
        <v>42.256427238805969</v>
      </c>
      <c r="I283" s="10">
        <f t="shared" si="9"/>
        <v>1467.7065727611939</v>
      </c>
      <c r="J283" s="9">
        <v>2097088.2127575311</v>
      </c>
      <c r="K283" s="9">
        <v>2157465.0327025657</v>
      </c>
      <c r="L283" s="8">
        <v>1</v>
      </c>
      <c r="M283" s="8">
        <v>1</v>
      </c>
    </row>
    <row r="284" spans="1:13">
      <c r="A284" s="7">
        <v>198906</v>
      </c>
      <c r="B284" s="8" t="s">
        <v>286</v>
      </c>
      <c r="C284" s="9">
        <v>94847428</v>
      </c>
      <c r="D284" s="10">
        <v>930</v>
      </c>
      <c r="E284" s="8">
        <v>549</v>
      </c>
      <c r="F284" s="8">
        <v>1.6939890710382515</v>
      </c>
      <c r="G284" s="11">
        <v>497</v>
      </c>
      <c r="H284" s="10">
        <f t="shared" si="8"/>
        <v>841.91256830601094</v>
      </c>
      <c r="I284" s="10">
        <f t="shared" si="9"/>
        <v>88.08743169398906</v>
      </c>
      <c r="J284" s="9">
        <v>101986.48172043011</v>
      </c>
      <c r="K284" s="9">
        <v>1076741.8935483873</v>
      </c>
      <c r="L284" s="8">
        <v>0</v>
      </c>
      <c r="M284" s="8">
        <v>1</v>
      </c>
    </row>
    <row r="285" spans="1:13">
      <c r="A285" s="7">
        <v>199901</v>
      </c>
      <c r="B285" s="8" t="s">
        <v>287</v>
      </c>
      <c r="C285" s="9">
        <v>5727477202</v>
      </c>
      <c r="D285" s="10">
        <v>16172.614</v>
      </c>
      <c r="E285" s="8">
        <v>13965</v>
      </c>
      <c r="F285" s="8">
        <v>1.1580819190834228</v>
      </c>
      <c r="G285" s="11">
        <v>222</v>
      </c>
      <c r="H285" s="10">
        <f t="shared" si="8"/>
        <v>257.09418603651989</v>
      </c>
      <c r="I285" s="10">
        <f t="shared" si="9"/>
        <v>15915.519813963479</v>
      </c>
      <c r="J285" s="9">
        <v>354146.65817164746</v>
      </c>
      <c r="K285" s="9">
        <v>359867.42933617526</v>
      </c>
      <c r="L285" s="8">
        <v>1</v>
      </c>
      <c r="M285" s="8">
        <v>1</v>
      </c>
    </row>
    <row r="286" spans="1:13">
      <c r="A286" s="7">
        <v>201902</v>
      </c>
      <c r="B286" s="8" t="s">
        <v>288</v>
      </c>
      <c r="C286" s="9">
        <v>1855864560</v>
      </c>
      <c r="D286" s="10">
        <v>4192.1000000000004</v>
      </c>
      <c r="E286" s="8">
        <v>3327</v>
      </c>
      <c r="F286" s="8">
        <v>1.260024045686805</v>
      </c>
      <c r="G286" s="11">
        <v>152</v>
      </c>
      <c r="H286" s="10">
        <f t="shared" si="8"/>
        <v>191.52365494439437</v>
      </c>
      <c r="I286" s="10">
        <f t="shared" si="9"/>
        <v>4000.576345055606</v>
      </c>
      <c r="J286" s="9">
        <v>442705.22172658093</v>
      </c>
      <c r="K286" s="9">
        <v>463899.29848325503</v>
      </c>
      <c r="L286" s="8">
        <v>1</v>
      </c>
      <c r="M286" s="8">
        <v>1</v>
      </c>
    </row>
    <row r="287" spans="1:13">
      <c r="A287" s="7">
        <v>201903</v>
      </c>
      <c r="B287" s="8" t="s">
        <v>289</v>
      </c>
      <c r="C287" s="9">
        <v>87916386</v>
      </c>
      <c r="D287" s="10">
        <v>291.82799999999997</v>
      </c>
      <c r="E287" s="8">
        <v>174</v>
      </c>
      <c r="F287" s="8">
        <v>1.6771724137931032</v>
      </c>
      <c r="G287" s="11">
        <v>25</v>
      </c>
      <c r="H287" s="10">
        <f t="shared" si="8"/>
        <v>41.929310344827577</v>
      </c>
      <c r="I287" s="10">
        <f t="shared" si="9"/>
        <v>249.8986896551724</v>
      </c>
      <c r="J287" s="9">
        <v>301260.96878983511</v>
      </c>
      <c r="K287" s="9">
        <v>351808.11120423698</v>
      </c>
      <c r="L287" s="8">
        <v>0</v>
      </c>
      <c r="M287" s="8">
        <v>1</v>
      </c>
    </row>
    <row r="288" spans="1:13">
      <c r="A288" s="7">
        <v>201910</v>
      </c>
      <c r="B288" s="8" t="s">
        <v>290</v>
      </c>
      <c r="C288" s="9">
        <v>1942609823</v>
      </c>
      <c r="D288" s="10">
        <v>2060.924</v>
      </c>
      <c r="E288" s="8">
        <v>1537</v>
      </c>
      <c r="F288" s="8">
        <v>1.3408744307091738</v>
      </c>
      <c r="G288" s="11">
        <v>270</v>
      </c>
      <c r="H288" s="10">
        <f t="shared" si="8"/>
        <v>362.03609629147689</v>
      </c>
      <c r="I288" s="10">
        <f t="shared" si="9"/>
        <v>1698.887903708523</v>
      </c>
      <c r="J288" s="9">
        <v>942591.68363316648</v>
      </c>
      <c r="K288" s="9">
        <v>1143459.6825131625</v>
      </c>
      <c r="L288" s="8">
        <v>1</v>
      </c>
      <c r="M288" s="8">
        <v>1</v>
      </c>
    </row>
    <row r="289" spans="1:13">
      <c r="A289" s="7">
        <v>201914</v>
      </c>
      <c r="B289" s="8" t="s">
        <v>291</v>
      </c>
      <c r="C289" s="9">
        <v>465345077</v>
      </c>
      <c r="D289" s="10">
        <v>1297.6369999999999</v>
      </c>
      <c r="E289" s="8">
        <v>959</v>
      </c>
      <c r="F289" s="8">
        <v>1.3531147028154327</v>
      </c>
      <c r="G289" s="11">
        <v>53</v>
      </c>
      <c r="H289" s="10">
        <f t="shared" si="8"/>
        <v>71.715079249217936</v>
      </c>
      <c r="I289" s="10">
        <f t="shared" si="9"/>
        <v>1225.921920750782</v>
      </c>
      <c r="J289" s="9">
        <v>358609.59343791835</v>
      </c>
      <c r="K289" s="9">
        <v>379587.85883770825</v>
      </c>
      <c r="L289" s="8">
        <v>1</v>
      </c>
      <c r="M289" s="8">
        <v>1</v>
      </c>
    </row>
    <row r="290" spans="1:13">
      <c r="A290" s="7">
        <v>204901</v>
      </c>
      <c r="B290" s="8" t="s">
        <v>292</v>
      </c>
      <c r="C290" s="9">
        <v>901846611</v>
      </c>
      <c r="D290" s="10">
        <v>2218.614</v>
      </c>
      <c r="E290" s="8">
        <v>1651</v>
      </c>
      <c r="F290" s="8">
        <v>1.3438001211387038</v>
      </c>
      <c r="G290" s="11">
        <v>8</v>
      </c>
      <c r="H290" s="10">
        <f t="shared" si="8"/>
        <v>10.750400969109631</v>
      </c>
      <c r="I290" s="10">
        <f t="shared" si="9"/>
        <v>2207.8635990308903</v>
      </c>
      <c r="J290" s="9">
        <v>406490.99437757087</v>
      </c>
      <c r="K290" s="9">
        <v>408470.25667520968</v>
      </c>
      <c r="L290" s="8">
        <v>1</v>
      </c>
      <c r="M290" s="8">
        <v>1</v>
      </c>
    </row>
    <row r="291" spans="1:13">
      <c r="A291" s="7">
        <v>205903</v>
      </c>
      <c r="B291" s="8" t="s">
        <v>293</v>
      </c>
      <c r="C291" s="9">
        <v>1161239759</v>
      </c>
      <c r="D291" s="10">
        <v>2577.2040000000002</v>
      </c>
      <c r="E291" s="8">
        <v>2152</v>
      </c>
      <c r="F291" s="8">
        <v>1.1975855018587362</v>
      </c>
      <c r="G291" s="11">
        <v>37</v>
      </c>
      <c r="H291" s="10">
        <f t="shared" si="8"/>
        <v>44.310663568773244</v>
      </c>
      <c r="I291" s="10">
        <f t="shared" si="9"/>
        <v>2532.893336431227</v>
      </c>
      <c r="J291" s="9">
        <v>450581.23415918957</v>
      </c>
      <c r="K291" s="9">
        <v>458463.74274731718</v>
      </c>
      <c r="L291" s="8">
        <v>1</v>
      </c>
      <c r="M291" s="8">
        <v>1</v>
      </c>
    </row>
    <row r="292" spans="1:13">
      <c r="A292" s="7">
        <v>207901</v>
      </c>
      <c r="B292" s="8" t="s">
        <v>294</v>
      </c>
      <c r="C292" s="9">
        <v>380872647</v>
      </c>
      <c r="D292" s="10">
        <v>1033.383</v>
      </c>
      <c r="E292" s="8">
        <v>592</v>
      </c>
      <c r="F292" s="8">
        <v>1.745579391891892</v>
      </c>
      <c r="G292" s="11">
        <v>2</v>
      </c>
      <c r="H292" s="10">
        <f t="shared" si="8"/>
        <v>3.4911587837837841</v>
      </c>
      <c r="I292" s="10">
        <f t="shared" si="9"/>
        <v>1029.8918412162163</v>
      </c>
      <c r="J292" s="9">
        <v>368568.71750357805</v>
      </c>
      <c r="K292" s="9">
        <v>369818.102986641</v>
      </c>
      <c r="L292" s="8">
        <v>1</v>
      </c>
      <c r="M292" s="8">
        <v>1</v>
      </c>
    </row>
    <row r="293" spans="1:13">
      <c r="A293" s="7">
        <v>208901</v>
      </c>
      <c r="B293" s="8" t="s">
        <v>295</v>
      </c>
      <c r="C293" s="9">
        <v>400135257</v>
      </c>
      <c r="D293" s="10">
        <v>399.22300000000001</v>
      </c>
      <c r="E293" s="8">
        <v>230</v>
      </c>
      <c r="F293" s="8">
        <v>1.7357521739130435</v>
      </c>
      <c r="G293" s="11">
        <v>98</v>
      </c>
      <c r="H293" s="10">
        <f t="shared" si="8"/>
        <v>170.10371304347825</v>
      </c>
      <c r="I293" s="10">
        <f t="shared" si="9"/>
        <v>229.11928695652176</v>
      </c>
      <c r="J293" s="9">
        <v>1002285.0812703676</v>
      </c>
      <c r="K293" s="9">
        <v>1746405.8234256406</v>
      </c>
      <c r="L293" s="8">
        <v>1</v>
      </c>
      <c r="M293" s="8">
        <v>1</v>
      </c>
    </row>
    <row r="294" spans="1:13">
      <c r="A294" s="7">
        <v>208902</v>
      </c>
      <c r="B294" s="8" t="s">
        <v>296</v>
      </c>
      <c r="C294" s="9">
        <v>2395447393</v>
      </c>
      <c r="D294" s="10">
        <v>3572.451</v>
      </c>
      <c r="E294" s="8">
        <v>2783</v>
      </c>
      <c r="F294" s="8">
        <v>1.2836690621631333</v>
      </c>
      <c r="G294" s="11">
        <v>20</v>
      </c>
      <c r="H294" s="10">
        <f t="shared" si="8"/>
        <v>25.673381243262664</v>
      </c>
      <c r="I294" s="10">
        <f t="shared" si="9"/>
        <v>3546.7776187567374</v>
      </c>
      <c r="J294" s="9">
        <v>670533.30976408068</v>
      </c>
      <c r="K294" s="9">
        <v>675386.97107254318</v>
      </c>
      <c r="L294" s="8">
        <v>1</v>
      </c>
      <c r="M294" s="8">
        <v>1</v>
      </c>
    </row>
    <row r="295" spans="1:13">
      <c r="A295" s="7">
        <v>208903</v>
      </c>
      <c r="B295" s="8" t="s">
        <v>297</v>
      </c>
      <c r="C295" s="9">
        <v>227069061</v>
      </c>
      <c r="D295" s="10">
        <v>434.62900000000002</v>
      </c>
      <c r="E295" s="8">
        <v>256</v>
      </c>
      <c r="F295" s="8">
        <v>1.6977695312500001</v>
      </c>
      <c r="G295" s="11">
        <v>151</v>
      </c>
      <c r="H295" s="10">
        <f t="shared" si="8"/>
        <v>256.36319921875003</v>
      </c>
      <c r="I295" s="10">
        <f t="shared" si="9"/>
        <v>178.26580078124999</v>
      </c>
      <c r="J295" s="9">
        <v>522443.41956013057</v>
      </c>
      <c r="K295" s="9">
        <v>1273766.813403747</v>
      </c>
      <c r="L295" s="8">
        <v>1</v>
      </c>
      <c r="M295" s="8">
        <v>1</v>
      </c>
    </row>
    <row r="296" spans="1:13">
      <c r="A296" s="7">
        <v>209901</v>
      </c>
      <c r="B296" s="8" t="s">
        <v>298</v>
      </c>
      <c r="C296" s="9">
        <v>300284887</v>
      </c>
      <c r="D296" s="10">
        <v>882.50400000000002</v>
      </c>
      <c r="E296" s="8">
        <v>504</v>
      </c>
      <c r="F296" s="8">
        <v>1.7510000000000001</v>
      </c>
      <c r="G296" s="11">
        <v>29</v>
      </c>
      <c r="H296" s="10">
        <f t="shared" si="8"/>
        <v>50.779000000000003</v>
      </c>
      <c r="I296" s="10">
        <f t="shared" si="9"/>
        <v>831.72500000000002</v>
      </c>
      <c r="J296" s="9">
        <v>340264.61863062374</v>
      </c>
      <c r="K296" s="9">
        <v>361038.66903123027</v>
      </c>
      <c r="L296" s="8">
        <v>1</v>
      </c>
      <c r="M296" s="8">
        <v>1</v>
      </c>
    </row>
    <row r="297" spans="1:13">
      <c r="A297" s="7">
        <v>209902</v>
      </c>
      <c r="B297" s="8" t="s">
        <v>299</v>
      </c>
      <c r="C297" s="9">
        <v>59254947</v>
      </c>
      <c r="D297" s="10">
        <v>289.54500000000002</v>
      </c>
      <c r="E297" s="8">
        <v>161</v>
      </c>
      <c r="F297" s="8">
        <v>1.798416149068323</v>
      </c>
      <c r="G297" s="11">
        <v>96</v>
      </c>
      <c r="H297" s="10">
        <f t="shared" si="8"/>
        <v>172.647950310559</v>
      </c>
      <c r="I297" s="10">
        <f t="shared" si="9"/>
        <v>116.89704968944102</v>
      </c>
      <c r="J297" s="9">
        <v>204648.48987204061</v>
      </c>
      <c r="K297" s="9">
        <v>506898.56722151587</v>
      </c>
      <c r="L297" s="8">
        <v>0</v>
      </c>
      <c r="M297" s="8">
        <v>1</v>
      </c>
    </row>
    <row r="298" spans="1:13">
      <c r="A298" s="7">
        <v>210906</v>
      </c>
      <c r="B298" s="8" t="s">
        <v>300</v>
      </c>
      <c r="C298" s="9">
        <v>46515765</v>
      </c>
      <c r="D298" s="10">
        <v>187.78899999999999</v>
      </c>
      <c r="E298" s="8">
        <v>115</v>
      </c>
      <c r="F298" s="8">
        <v>1.6329478260869563</v>
      </c>
      <c r="G298" s="11">
        <v>51</v>
      </c>
      <c r="H298" s="10">
        <f t="shared" si="8"/>
        <v>83.280339130434768</v>
      </c>
      <c r="I298" s="10">
        <f t="shared" si="9"/>
        <v>104.50866086956522</v>
      </c>
      <c r="J298" s="9">
        <v>247702.28820644447</v>
      </c>
      <c r="K298" s="9">
        <v>445090.04912095488</v>
      </c>
      <c r="L298" s="8">
        <v>0</v>
      </c>
      <c r="M298" s="8">
        <v>1</v>
      </c>
    </row>
    <row r="299" spans="1:13">
      <c r="A299" s="7">
        <v>211901</v>
      </c>
      <c r="B299" s="8" t="s">
        <v>301</v>
      </c>
      <c r="C299" s="9">
        <v>157395360</v>
      </c>
      <c r="D299" s="10">
        <v>210.143</v>
      </c>
      <c r="E299" s="8">
        <v>368</v>
      </c>
      <c r="F299" s="8">
        <v>0.57104076086956523</v>
      </c>
      <c r="G299" s="11">
        <v>0</v>
      </c>
      <c r="H299" s="10">
        <f t="shared" si="8"/>
        <v>0</v>
      </c>
      <c r="I299" s="10">
        <f t="shared" si="9"/>
        <v>210.143</v>
      </c>
      <c r="J299" s="9">
        <v>748991.6866134014</v>
      </c>
      <c r="K299" s="9">
        <v>748991.6866134014</v>
      </c>
      <c r="L299" s="8">
        <v>1</v>
      </c>
      <c r="M299" s="8">
        <v>1</v>
      </c>
    </row>
    <row r="300" spans="1:13">
      <c r="A300" s="7">
        <v>211902</v>
      </c>
      <c r="B300" s="8" t="s">
        <v>302</v>
      </c>
      <c r="C300" s="9">
        <v>461905875</v>
      </c>
      <c r="D300" s="10">
        <v>983.97400000000005</v>
      </c>
      <c r="E300" s="8">
        <v>589</v>
      </c>
      <c r="F300" s="8">
        <v>1.6705840407470289</v>
      </c>
      <c r="G300" s="11">
        <v>4</v>
      </c>
      <c r="H300" s="10">
        <f t="shared" si="8"/>
        <v>6.6823361629881157</v>
      </c>
      <c r="I300" s="10">
        <f t="shared" si="9"/>
        <v>977.29166383701192</v>
      </c>
      <c r="J300" s="9">
        <v>469428.9432444353</v>
      </c>
      <c r="K300" s="9">
        <v>472638.71379653399</v>
      </c>
      <c r="L300" s="8">
        <v>1</v>
      </c>
      <c r="M300" s="8">
        <v>1</v>
      </c>
    </row>
    <row r="301" spans="1:13">
      <c r="A301" s="7">
        <v>212901</v>
      </c>
      <c r="B301" s="8" t="s">
        <v>303</v>
      </c>
      <c r="C301" s="9">
        <v>369413544</v>
      </c>
      <c r="D301" s="10">
        <v>1211.828</v>
      </c>
      <c r="E301" s="8">
        <v>896</v>
      </c>
      <c r="F301" s="8">
        <v>1.3524866071428572</v>
      </c>
      <c r="G301" s="11">
        <v>84</v>
      </c>
      <c r="H301" s="10">
        <f t="shared" si="8"/>
        <v>113.608875</v>
      </c>
      <c r="I301" s="10">
        <f t="shared" si="9"/>
        <v>1098.2191250000001</v>
      </c>
      <c r="J301" s="9">
        <v>304839.9145753358</v>
      </c>
      <c r="K301" s="9">
        <v>336375.07815209462</v>
      </c>
      <c r="L301" s="8">
        <v>0</v>
      </c>
      <c r="M301" s="8">
        <v>1</v>
      </c>
    </row>
    <row r="302" spans="1:13">
      <c r="A302" s="7">
        <v>213901</v>
      </c>
      <c r="B302" s="8" t="s">
        <v>304</v>
      </c>
      <c r="C302" s="9">
        <v>3406434557</v>
      </c>
      <c r="D302" s="10">
        <v>2113.1329999999998</v>
      </c>
      <c r="E302" s="8">
        <v>1640</v>
      </c>
      <c r="F302" s="8">
        <v>1.2884957317073169</v>
      </c>
      <c r="G302" s="11">
        <v>21</v>
      </c>
      <c r="H302" s="10">
        <f t="shared" si="8"/>
        <v>27.058410365853653</v>
      </c>
      <c r="I302" s="10">
        <f t="shared" si="9"/>
        <v>2086.0745896341464</v>
      </c>
      <c r="J302" s="9">
        <v>1612030.362972894</v>
      </c>
      <c r="K302" s="9">
        <v>1632939.9600219554</v>
      </c>
      <c r="L302" s="8">
        <v>1</v>
      </c>
      <c r="M302" s="8">
        <v>1</v>
      </c>
    </row>
    <row r="303" spans="1:13">
      <c r="A303" s="7">
        <v>214902</v>
      </c>
      <c r="B303" s="8" t="s">
        <v>305</v>
      </c>
      <c r="C303" s="9">
        <v>306443536</v>
      </c>
      <c r="D303" s="10">
        <v>486.85199999999998</v>
      </c>
      <c r="E303" s="8">
        <v>272</v>
      </c>
      <c r="F303" s="8">
        <v>1.7898970588235292</v>
      </c>
      <c r="G303" s="11">
        <v>49</v>
      </c>
      <c r="H303" s="10">
        <f t="shared" si="8"/>
        <v>87.704955882352934</v>
      </c>
      <c r="I303" s="10">
        <f t="shared" si="9"/>
        <v>399.14704411764706</v>
      </c>
      <c r="J303" s="9">
        <v>629438.79454125697</v>
      </c>
      <c r="K303" s="9">
        <v>767745.97361086041</v>
      </c>
      <c r="L303" s="8">
        <v>1</v>
      </c>
      <c r="M303" s="8">
        <v>1</v>
      </c>
    </row>
    <row r="304" spans="1:13">
      <c r="A304" s="7">
        <v>215901</v>
      </c>
      <c r="B304" s="8" t="s">
        <v>306</v>
      </c>
      <c r="C304" s="9">
        <v>850849079</v>
      </c>
      <c r="D304" s="10">
        <v>2044.7139999999999</v>
      </c>
      <c r="E304" s="8">
        <v>1559</v>
      </c>
      <c r="F304" s="8">
        <v>1.3115548428479795</v>
      </c>
      <c r="G304" s="11">
        <v>11</v>
      </c>
      <c r="H304" s="10">
        <f t="shared" si="8"/>
        <v>14.427103271327775</v>
      </c>
      <c r="I304" s="10">
        <f t="shared" si="9"/>
        <v>2030.2868967286722</v>
      </c>
      <c r="J304" s="9">
        <v>416121.3152548474</v>
      </c>
      <c r="K304" s="9">
        <v>419078.24966557306</v>
      </c>
      <c r="L304" s="8">
        <v>1</v>
      </c>
      <c r="M304" s="8">
        <v>1</v>
      </c>
    </row>
    <row r="305" spans="1:13">
      <c r="A305" s="7">
        <v>216901</v>
      </c>
      <c r="B305" s="8" t="s">
        <v>307</v>
      </c>
      <c r="C305" s="9">
        <v>902406595</v>
      </c>
      <c r="D305" s="10">
        <v>400.97699999999998</v>
      </c>
      <c r="E305" s="8">
        <v>215</v>
      </c>
      <c r="F305" s="8">
        <v>1.8650093023255814</v>
      </c>
      <c r="G305" s="11">
        <v>5</v>
      </c>
      <c r="H305" s="10">
        <f t="shared" si="8"/>
        <v>9.3250465116279067</v>
      </c>
      <c r="I305" s="10">
        <f t="shared" si="9"/>
        <v>391.65195348837204</v>
      </c>
      <c r="J305" s="9">
        <v>2250519.5933931372</v>
      </c>
      <c r="K305" s="9">
        <v>2304103.3932358315</v>
      </c>
      <c r="L305" s="8">
        <v>1</v>
      </c>
      <c r="M305" s="8">
        <v>1</v>
      </c>
    </row>
    <row r="306" spans="1:13">
      <c r="A306" s="7">
        <v>217901</v>
      </c>
      <c r="B306" s="8" t="s">
        <v>308</v>
      </c>
      <c r="C306" s="9">
        <v>216602360</v>
      </c>
      <c r="D306" s="10">
        <v>413.13900000000001</v>
      </c>
      <c r="E306" s="8">
        <v>240</v>
      </c>
      <c r="F306" s="8">
        <v>1.7214125</v>
      </c>
      <c r="G306" s="11">
        <v>0</v>
      </c>
      <c r="H306" s="10">
        <f t="shared" si="8"/>
        <v>0</v>
      </c>
      <c r="I306" s="10">
        <f t="shared" si="9"/>
        <v>413.13900000000001</v>
      </c>
      <c r="J306" s="9">
        <v>524284.4660029675</v>
      </c>
      <c r="K306" s="9">
        <v>524284.4660029675</v>
      </c>
      <c r="L306" s="8">
        <v>1</v>
      </c>
      <c r="M306" s="8">
        <v>1</v>
      </c>
    </row>
    <row r="307" spans="1:13">
      <c r="A307" s="7">
        <v>218901</v>
      </c>
      <c r="B307" s="8" t="s">
        <v>309</v>
      </c>
      <c r="C307" s="9">
        <v>1068236482</v>
      </c>
      <c r="D307" s="10">
        <v>1418.51</v>
      </c>
      <c r="E307" s="8">
        <v>915</v>
      </c>
      <c r="F307" s="8">
        <v>1.5502841530054645</v>
      </c>
      <c r="G307" s="11">
        <v>17</v>
      </c>
      <c r="H307" s="10">
        <f t="shared" si="8"/>
        <v>26.354830601092896</v>
      </c>
      <c r="I307" s="10">
        <f t="shared" si="9"/>
        <v>1392.155169398907</v>
      </c>
      <c r="J307" s="9">
        <v>753069.40522097133</v>
      </c>
      <c r="K307" s="9">
        <v>767325.73026413005</v>
      </c>
      <c r="L307" s="8">
        <v>1</v>
      </c>
      <c r="M307" s="8">
        <v>1</v>
      </c>
    </row>
    <row r="308" spans="1:13">
      <c r="A308" s="7">
        <v>220906</v>
      </c>
      <c r="B308" s="8" t="s">
        <v>310</v>
      </c>
      <c r="C308" s="9">
        <v>9881995591</v>
      </c>
      <c r="D308" s="10">
        <v>15374.977000000001</v>
      </c>
      <c r="E308" s="8">
        <v>13614</v>
      </c>
      <c r="F308" s="8">
        <v>1.1293504480681651</v>
      </c>
      <c r="G308" s="11">
        <v>195</v>
      </c>
      <c r="H308" s="10">
        <f t="shared" si="8"/>
        <v>220.2233373732922</v>
      </c>
      <c r="I308" s="10">
        <f t="shared" si="9"/>
        <v>15154.753662626708</v>
      </c>
      <c r="J308" s="9">
        <v>642732.38203868526</v>
      </c>
      <c r="K308" s="9">
        <v>652072.33393506682</v>
      </c>
      <c r="L308" s="8">
        <v>1</v>
      </c>
      <c r="M308" s="8">
        <v>1</v>
      </c>
    </row>
    <row r="309" spans="1:13">
      <c r="A309" s="7">
        <v>220915</v>
      </c>
      <c r="B309" s="8" t="s">
        <v>311</v>
      </c>
      <c r="C309" s="9">
        <v>2351893097</v>
      </c>
      <c r="D309" s="10">
        <v>6700.5360000000001</v>
      </c>
      <c r="E309" s="8">
        <v>5754</v>
      </c>
      <c r="F309" s="8">
        <v>1.1645005213764339</v>
      </c>
      <c r="G309" s="11">
        <v>43</v>
      </c>
      <c r="H309" s="10">
        <f t="shared" si="8"/>
        <v>50.073522419186659</v>
      </c>
      <c r="I309" s="10">
        <f t="shared" si="9"/>
        <v>6650.4624775808134</v>
      </c>
      <c r="J309" s="9">
        <v>351000.74038853013</v>
      </c>
      <c r="K309" s="9">
        <v>353643.54057005816</v>
      </c>
      <c r="L309" s="8">
        <v>1</v>
      </c>
      <c r="M309" s="8">
        <v>1</v>
      </c>
    </row>
    <row r="310" spans="1:13">
      <c r="A310" s="7">
        <v>220919</v>
      </c>
      <c r="B310" s="8" t="s">
        <v>312</v>
      </c>
      <c r="C310" s="9">
        <v>5278933739</v>
      </c>
      <c r="D310" s="10">
        <v>8537.6509999999998</v>
      </c>
      <c r="E310" s="8">
        <v>7642</v>
      </c>
      <c r="F310" s="8">
        <v>1.1172011253598535</v>
      </c>
      <c r="G310" s="11">
        <v>260</v>
      </c>
      <c r="H310" s="10">
        <f t="shared" si="8"/>
        <v>290.47229259356192</v>
      </c>
      <c r="I310" s="10">
        <f t="shared" si="9"/>
        <v>8247.1787074064378</v>
      </c>
      <c r="J310" s="9">
        <v>618312.19605954853</v>
      </c>
      <c r="K310" s="9">
        <v>640089.65081103623</v>
      </c>
      <c r="L310" s="8">
        <v>1</v>
      </c>
      <c r="M310" s="8">
        <v>1</v>
      </c>
    </row>
    <row r="311" spans="1:13">
      <c r="A311" s="7">
        <v>221905</v>
      </c>
      <c r="B311" s="8" t="s">
        <v>313</v>
      </c>
      <c r="C311" s="9">
        <v>149147396</v>
      </c>
      <c r="D311" s="10">
        <v>324.44499999999999</v>
      </c>
      <c r="E311" s="8">
        <v>196</v>
      </c>
      <c r="F311" s="8">
        <v>1.6553316326530612</v>
      </c>
      <c r="G311" s="11">
        <v>69</v>
      </c>
      <c r="H311" s="10">
        <f t="shared" si="8"/>
        <v>114.21788265306122</v>
      </c>
      <c r="I311" s="10">
        <f t="shared" si="9"/>
        <v>210.22711734693877</v>
      </c>
      <c r="J311" s="9">
        <v>459700.09092450183</v>
      </c>
      <c r="K311" s="9">
        <v>709458.40804096346</v>
      </c>
      <c r="L311" s="8">
        <v>1</v>
      </c>
      <c r="M311" s="8">
        <v>1</v>
      </c>
    </row>
    <row r="312" spans="1:13">
      <c r="A312" s="7">
        <v>221912</v>
      </c>
      <c r="B312" s="8" t="s">
        <v>314</v>
      </c>
      <c r="C312" s="9">
        <v>1239779112</v>
      </c>
      <c r="D312" s="10">
        <v>3794.2370000000001</v>
      </c>
      <c r="E312" s="8">
        <v>3331</v>
      </c>
      <c r="F312" s="8">
        <v>1.1390684479135396</v>
      </c>
      <c r="G312" s="11">
        <v>27</v>
      </c>
      <c r="H312" s="10">
        <f t="shared" si="8"/>
        <v>30.754848093665569</v>
      </c>
      <c r="I312" s="10">
        <f t="shared" si="9"/>
        <v>3763.4821519063344</v>
      </c>
      <c r="J312" s="9">
        <v>326753.20808900445</v>
      </c>
      <c r="K312" s="9">
        <v>329423.40682338795</v>
      </c>
      <c r="L312" s="8">
        <v>1</v>
      </c>
      <c r="M312" s="8">
        <v>1</v>
      </c>
    </row>
    <row r="313" spans="1:13">
      <c r="A313" s="7">
        <v>222901</v>
      </c>
      <c r="B313" s="8" t="s">
        <v>315</v>
      </c>
      <c r="C313" s="9">
        <v>642754072</v>
      </c>
      <c r="D313" s="10">
        <v>304.14600000000002</v>
      </c>
      <c r="E313" s="8">
        <v>138</v>
      </c>
      <c r="F313" s="8">
        <v>2.2039565217391304</v>
      </c>
      <c r="G313" s="11">
        <v>3</v>
      </c>
      <c r="H313" s="10">
        <f t="shared" si="8"/>
        <v>6.6118695652173916</v>
      </c>
      <c r="I313" s="10">
        <f t="shared" si="9"/>
        <v>297.53413043478264</v>
      </c>
      <c r="J313" s="9">
        <v>2113307.6614520657</v>
      </c>
      <c r="K313" s="9">
        <v>2160270.053928778</v>
      </c>
      <c r="L313" s="8">
        <v>1</v>
      </c>
      <c r="M313" s="8">
        <v>1</v>
      </c>
    </row>
    <row r="314" spans="1:13">
      <c r="A314" s="7">
        <v>223901</v>
      </c>
      <c r="B314" s="8" t="s">
        <v>316</v>
      </c>
      <c r="C314" s="9">
        <v>796771952</v>
      </c>
      <c r="D314" s="10">
        <v>2418.0300000000002</v>
      </c>
      <c r="E314" s="8">
        <v>1803</v>
      </c>
      <c r="F314" s="8">
        <v>1.3411148086522464</v>
      </c>
      <c r="G314" s="11">
        <v>15</v>
      </c>
      <c r="H314" s="10">
        <f t="shared" si="8"/>
        <v>20.116722129783696</v>
      </c>
      <c r="I314" s="10">
        <f t="shared" si="9"/>
        <v>2397.9132778702165</v>
      </c>
      <c r="J314" s="9">
        <v>329512.84806226555</v>
      </c>
      <c r="K314" s="9">
        <v>332277.21759298927</v>
      </c>
      <c r="L314" s="8">
        <v>1</v>
      </c>
      <c r="M314" s="8">
        <v>1</v>
      </c>
    </row>
    <row r="315" spans="1:13">
      <c r="A315" s="7">
        <v>223904</v>
      </c>
      <c r="B315" s="8" t="s">
        <v>317</v>
      </c>
      <c r="C315" s="9">
        <v>182124065</v>
      </c>
      <c r="D315" s="10">
        <v>356.54700000000003</v>
      </c>
      <c r="E315" s="8">
        <v>229</v>
      </c>
      <c r="F315" s="8">
        <v>1.5569737991266377</v>
      </c>
      <c r="G315" s="11">
        <v>110</v>
      </c>
      <c r="H315" s="10">
        <f t="shared" si="8"/>
        <v>171.26711790393014</v>
      </c>
      <c r="I315" s="10">
        <f t="shared" si="9"/>
        <v>185.27988209606988</v>
      </c>
      <c r="J315" s="9">
        <v>510799.60005272791</v>
      </c>
      <c r="K315" s="9">
        <v>982967.29758045962</v>
      </c>
      <c r="L315" s="8">
        <v>1</v>
      </c>
      <c r="M315" s="8">
        <v>1</v>
      </c>
    </row>
    <row r="316" spans="1:13">
      <c r="A316" s="7">
        <v>224901</v>
      </c>
      <c r="B316" s="8" t="s">
        <v>318</v>
      </c>
      <c r="C316" s="9">
        <v>122661088</v>
      </c>
      <c r="D316" s="10">
        <v>376.71100000000001</v>
      </c>
      <c r="E316" s="8">
        <v>211</v>
      </c>
      <c r="F316" s="8">
        <v>1.7853601895734599</v>
      </c>
      <c r="G316" s="11">
        <v>4</v>
      </c>
      <c r="H316" s="10">
        <f t="shared" si="8"/>
        <v>7.1414407582938395</v>
      </c>
      <c r="I316" s="10">
        <f t="shared" si="9"/>
        <v>369.5695592417062</v>
      </c>
      <c r="J316" s="9">
        <v>325610.58211732598</v>
      </c>
      <c r="K316" s="9">
        <v>331902.57404229848</v>
      </c>
      <c r="L316" s="8">
        <v>1</v>
      </c>
      <c r="M316" s="8">
        <v>1</v>
      </c>
    </row>
    <row r="317" spans="1:13">
      <c r="A317" s="7">
        <v>225902</v>
      </c>
      <c r="B317" s="8" t="s">
        <v>319</v>
      </c>
      <c r="C317" s="9">
        <v>2151598043</v>
      </c>
      <c r="D317" s="10">
        <v>6800.6459999999997</v>
      </c>
      <c r="E317" s="8">
        <v>5290</v>
      </c>
      <c r="F317" s="8">
        <v>1.2855663516068052</v>
      </c>
      <c r="G317" s="11">
        <v>331</v>
      </c>
      <c r="H317" s="10">
        <f t="shared" si="8"/>
        <v>425.52246238185251</v>
      </c>
      <c r="I317" s="10">
        <f t="shared" si="9"/>
        <v>6375.1235376181476</v>
      </c>
      <c r="J317" s="9">
        <v>316381.42067680042</v>
      </c>
      <c r="K317" s="9">
        <v>337499.03516440291</v>
      </c>
      <c r="L317" s="8">
        <v>0</v>
      </c>
      <c r="M317" s="8">
        <v>1</v>
      </c>
    </row>
    <row r="318" spans="1:13">
      <c r="A318" s="7">
        <v>226901</v>
      </c>
      <c r="B318" s="8" t="s">
        <v>320</v>
      </c>
      <c r="C318" s="9">
        <v>278330768</v>
      </c>
      <c r="D318" s="10">
        <v>743.49800000000005</v>
      </c>
      <c r="E318" s="8">
        <v>450</v>
      </c>
      <c r="F318" s="8">
        <v>1.6522177777777778</v>
      </c>
      <c r="G318" s="11">
        <v>101</v>
      </c>
      <c r="H318" s="10">
        <f t="shared" si="8"/>
        <v>166.87399555555555</v>
      </c>
      <c r="I318" s="10">
        <f t="shared" si="9"/>
        <v>576.62400444444449</v>
      </c>
      <c r="J318" s="9">
        <v>374353.08232167398</v>
      </c>
      <c r="K318" s="9">
        <v>482690.22075860546</v>
      </c>
      <c r="L318" s="8">
        <v>1</v>
      </c>
      <c r="M318" s="8">
        <v>1</v>
      </c>
    </row>
    <row r="319" spans="1:13">
      <c r="A319" s="7">
        <v>226908</v>
      </c>
      <c r="B319" s="8" t="s">
        <v>321</v>
      </c>
      <c r="C319" s="9">
        <v>84284992</v>
      </c>
      <c r="D319" s="10">
        <v>390.32900000000001</v>
      </c>
      <c r="E319" s="8">
        <v>274</v>
      </c>
      <c r="F319" s="8">
        <v>1.4245583941605839</v>
      </c>
      <c r="G319" s="11">
        <v>121</v>
      </c>
      <c r="H319" s="10">
        <f t="shared" si="8"/>
        <v>172.37156569343065</v>
      </c>
      <c r="I319" s="10">
        <f t="shared" si="9"/>
        <v>217.95743430656935</v>
      </c>
      <c r="J319" s="9">
        <v>215933.20506547039</v>
      </c>
      <c r="K319" s="9">
        <v>386703.90972509078</v>
      </c>
      <c r="L319" s="8">
        <v>0</v>
      </c>
      <c r="M319" s="8">
        <v>1</v>
      </c>
    </row>
    <row r="320" spans="1:13">
      <c r="A320" s="7">
        <v>227901</v>
      </c>
      <c r="B320" s="8" t="s">
        <v>322</v>
      </c>
      <c r="C320" s="9">
        <v>59878940779</v>
      </c>
      <c r="D320" s="10">
        <v>103851.01</v>
      </c>
      <c r="E320" s="8">
        <v>85273</v>
      </c>
      <c r="F320" s="8">
        <v>1.21786509211591</v>
      </c>
      <c r="G320" s="11">
        <v>414</v>
      </c>
      <c r="H320" s="10">
        <f t="shared" si="8"/>
        <v>504.19614813598673</v>
      </c>
      <c r="I320" s="10">
        <f t="shared" si="9"/>
        <v>103346.813851864</v>
      </c>
      <c r="J320" s="9">
        <v>576585.05949051434</v>
      </c>
      <c r="K320" s="9">
        <v>579398.03412642889</v>
      </c>
      <c r="L320" s="8">
        <v>1</v>
      </c>
      <c r="M320" s="8">
        <v>1</v>
      </c>
    </row>
    <row r="321" spans="1:13">
      <c r="A321" s="7">
        <v>227909</v>
      </c>
      <c r="B321" s="8" t="s">
        <v>323</v>
      </c>
      <c r="C321" s="9">
        <v>9177352917</v>
      </c>
      <c r="D321" s="10">
        <v>8396.348</v>
      </c>
      <c r="E321" s="8">
        <v>7691</v>
      </c>
      <c r="F321" s="8">
        <v>1.0917108308412431</v>
      </c>
      <c r="G321" s="11">
        <v>587</v>
      </c>
      <c r="H321" s="10">
        <f t="shared" si="8"/>
        <v>640.83425770380973</v>
      </c>
      <c r="I321" s="10">
        <f t="shared" si="9"/>
        <v>7755.5137422961907</v>
      </c>
      <c r="J321" s="9">
        <v>1093017.2161754135</v>
      </c>
      <c r="K321" s="9">
        <v>1183332.6871628806</v>
      </c>
      <c r="L321" s="8">
        <v>1</v>
      </c>
      <c r="M321" s="8">
        <v>1</v>
      </c>
    </row>
    <row r="322" spans="1:13">
      <c r="A322" s="7">
        <v>227912</v>
      </c>
      <c r="B322" s="8" t="s">
        <v>324</v>
      </c>
      <c r="C322" s="9">
        <v>1411602331</v>
      </c>
      <c r="D322" s="10">
        <v>1554.8589999999999</v>
      </c>
      <c r="E322" s="8">
        <v>1276</v>
      </c>
      <c r="F322" s="8">
        <v>1.2185415360501566</v>
      </c>
      <c r="G322" s="11">
        <v>17</v>
      </c>
      <c r="H322" s="10">
        <f t="shared" si="8"/>
        <v>20.715206112852663</v>
      </c>
      <c r="I322" s="10">
        <f t="shared" si="9"/>
        <v>1534.1437938871472</v>
      </c>
      <c r="J322" s="9">
        <v>907865.17041095044</v>
      </c>
      <c r="K322" s="9">
        <v>920123.87406225002</v>
      </c>
      <c r="L322" s="8">
        <v>1</v>
      </c>
      <c r="M322" s="8">
        <v>1</v>
      </c>
    </row>
    <row r="323" spans="1:13">
      <c r="A323" s="7">
        <v>227913</v>
      </c>
      <c r="B323" s="8" t="s">
        <v>325</v>
      </c>
      <c r="C323" s="9">
        <v>6787465234</v>
      </c>
      <c r="D323" s="10">
        <v>7997.0469999999996</v>
      </c>
      <c r="E323" s="8">
        <v>6940</v>
      </c>
      <c r="F323" s="8">
        <v>1.1523122478386167</v>
      </c>
      <c r="G323" s="11">
        <v>107</v>
      </c>
      <c r="H323" s="10">
        <f t="shared" ref="H323:H357" si="10">F323*G323</f>
        <v>123.29741051873199</v>
      </c>
      <c r="I323" s="10">
        <f t="shared" ref="I323:I357" si="11">D323-H323</f>
        <v>7873.7495894812673</v>
      </c>
      <c r="J323" s="9">
        <v>848746.44778253778</v>
      </c>
      <c r="K323" s="9">
        <v>862037.22341735871</v>
      </c>
      <c r="L323" s="8">
        <v>1</v>
      </c>
      <c r="M323" s="8">
        <v>1</v>
      </c>
    </row>
    <row r="324" spans="1:13">
      <c r="A324" s="7">
        <v>229903</v>
      </c>
      <c r="B324" s="8" t="s">
        <v>326</v>
      </c>
      <c r="C324" s="9">
        <v>905134370</v>
      </c>
      <c r="D324" s="10">
        <v>1978.99</v>
      </c>
      <c r="E324" s="8">
        <v>1276</v>
      </c>
      <c r="F324" s="8">
        <v>1.5509326018808778</v>
      </c>
      <c r="G324" s="11">
        <v>107</v>
      </c>
      <c r="H324" s="10">
        <f t="shared" si="10"/>
        <v>165.94978840125393</v>
      </c>
      <c r="I324" s="10">
        <f t="shared" si="11"/>
        <v>1813.0402115987461</v>
      </c>
      <c r="J324" s="9">
        <v>457371.87656329741</v>
      </c>
      <c r="K324" s="9">
        <v>499235.68391340249</v>
      </c>
      <c r="L324" s="8">
        <v>1</v>
      </c>
      <c r="M324" s="8">
        <v>1</v>
      </c>
    </row>
    <row r="325" spans="1:13">
      <c r="A325" s="7">
        <v>231901</v>
      </c>
      <c r="B325" s="8" t="s">
        <v>327</v>
      </c>
      <c r="C325" s="9">
        <v>1529022230</v>
      </c>
      <c r="D325" s="10">
        <v>896.46500000000003</v>
      </c>
      <c r="E325" s="8">
        <v>483</v>
      </c>
      <c r="F325" s="8">
        <v>1.8560351966873707</v>
      </c>
      <c r="G325" s="11">
        <v>8</v>
      </c>
      <c r="H325" s="10">
        <f t="shared" si="10"/>
        <v>14.848281573498966</v>
      </c>
      <c r="I325" s="10">
        <f t="shared" si="11"/>
        <v>881.61671842650105</v>
      </c>
      <c r="J325" s="9">
        <v>1705612.8571667606</v>
      </c>
      <c r="K325" s="9">
        <v>1734338.9684453586</v>
      </c>
      <c r="L325" s="8">
        <v>1</v>
      </c>
      <c r="M325" s="8">
        <v>1</v>
      </c>
    </row>
    <row r="326" spans="1:13">
      <c r="A326" s="7">
        <v>231902</v>
      </c>
      <c r="B326" s="8" t="s">
        <v>328</v>
      </c>
      <c r="C326" s="9">
        <v>2452880660</v>
      </c>
      <c r="D326" s="10">
        <v>432.24900000000002</v>
      </c>
      <c r="E326" s="8">
        <v>228</v>
      </c>
      <c r="F326" s="8">
        <v>1.8958289473684211</v>
      </c>
      <c r="G326" s="11">
        <v>12</v>
      </c>
      <c r="H326" s="10">
        <f t="shared" si="10"/>
        <v>22.749947368421054</v>
      </c>
      <c r="I326" s="10">
        <f t="shared" si="11"/>
        <v>409.49905263157899</v>
      </c>
      <c r="J326" s="9">
        <v>5674693.6603670567</v>
      </c>
      <c r="K326" s="9">
        <v>5989954.4192763371</v>
      </c>
      <c r="L326" s="8">
        <v>1</v>
      </c>
      <c r="M326" s="8">
        <v>1</v>
      </c>
    </row>
    <row r="327" spans="1:13">
      <c r="A327" s="7">
        <v>232904</v>
      </c>
      <c r="B327" s="8" t="s">
        <v>329</v>
      </c>
      <c r="C327" s="9">
        <v>167011847</v>
      </c>
      <c r="D327" s="10">
        <v>374.45100000000002</v>
      </c>
      <c r="E327" s="8">
        <v>209</v>
      </c>
      <c r="F327" s="8">
        <v>1.7916315789473685</v>
      </c>
      <c r="G327" s="11">
        <v>43</v>
      </c>
      <c r="H327" s="10">
        <f t="shared" si="10"/>
        <v>77.040157894736851</v>
      </c>
      <c r="I327" s="10">
        <f t="shared" si="11"/>
        <v>297.41084210526316</v>
      </c>
      <c r="J327" s="9">
        <v>446017.89553239272</v>
      </c>
      <c r="K327" s="9">
        <v>561552.65160403668</v>
      </c>
      <c r="L327" s="8">
        <v>1</v>
      </c>
      <c r="M327" s="8">
        <v>1</v>
      </c>
    </row>
    <row r="328" spans="1:13">
      <c r="A328" s="7">
        <v>233903</v>
      </c>
      <c r="B328" s="8" t="s">
        <v>330</v>
      </c>
      <c r="C328" s="9">
        <v>185260689</v>
      </c>
      <c r="D328" s="10">
        <v>377.82400000000001</v>
      </c>
      <c r="E328" s="8">
        <v>210</v>
      </c>
      <c r="F328" s="8">
        <v>1.7991619047619047</v>
      </c>
      <c r="G328" s="11">
        <v>149</v>
      </c>
      <c r="H328" s="10">
        <f t="shared" si="10"/>
        <v>268.0751238095238</v>
      </c>
      <c r="I328" s="10">
        <f t="shared" si="11"/>
        <v>109.74887619047621</v>
      </c>
      <c r="J328" s="9">
        <v>490335.94742525619</v>
      </c>
      <c r="K328" s="9">
        <v>1688041.7862180949</v>
      </c>
      <c r="L328" s="8">
        <v>1</v>
      </c>
      <c r="M328" s="8">
        <v>1</v>
      </c>
    </row>
    <row r="329" spans="1:13">
      <c r="A329" s="7">
        <v>235904</v>
      </c>
      <c r="B329" s="8" t="s">
        <v>331</v>
      </c>
      <c r="C329" s="9">
        <v>180005829</v>
      </c>
      <c r="D329" s="10">
        <v>185.548</v>
      </c>
      <c r="E329" s="8">
        <v>111</v>
      </c>
      <c r="F329" s="8">
        <v>1.6716036036036037</v>
      </c>
      <c r="G329" s="11">
        <v>0</v>
      </c>
      <c r="H329" s="10">
        <f t="shared" si="10"/>
        <v>0</v>
      </c>
      <c r="I329" s="10">
        <f t="shared" si="11"/>
        <v>185.548</v>
      </c>
      <c r="J329" s="9">
        <v>970130.79634380317</v>
      </c>
      <c r="K329" s="9">
        <v>970130.79634380317</v>
      </c>
      <c r="L329" s="8">
        <v>1</v>
      </c>
      <c r="M329" s="8">
        <v>1</v>
      </c>
    </row>
    <row r="330" spans="1:13">
      <c r="A330" s="7">
        <v>238902</v>
      </c>
      <c r="B330" s="8" t="s">
        <v>332</v>
      </c>
      <c r="C330" s="9">
        <v>1378403110</v>
      </c>
      <c r="D330" s="10">
        <v>2569.5569999999998</v>
      </c>
      <c r="E330" s="8">
        <v>1968</v>
      </c>
      <c r="F330" s="8">
        <v>1.305669207317073</v>
      </c>
      <c r="G330" s="11">
        <v>19</v>
      </c>
      <c r="H330" s="10">
        <f t="shared" si="10"/>
        <v>24.807714939024386</v>
      </c>
      <c r="I330" s="10">
        <f t="shared" si="11"/>
        <v>2544.7492850609756</v>
      </c>
      <c r="J330" s="9">
        <v>536436.08995636215</v>
      </c>
      <c r="K330" s="9">
        <v>541665.584932848</v>
      </c>
      <c r="L330" s="8">
        <v>1</v>
      </c>
      <c r="M330" s="8">
        <v>1</v>
      </c>
    </row>
    <row r="331" spans="1:13">
      <c r="A331" s="7">
        <v>238904</v>
      </c>
      <c r="B331" s="8" t="s">
        <v>333</v>
      </c>
      <c r="C331" s="9">
        <v>121307030</v>
      </c>
      <c r="D331" s="10">
        <v>245.68299999999999</v>
      </c>
      <c r="E331" s="8">
        <v>113</v>
      </c>
      <c r="F331" s="8">
        <v>2.1741858407079646</v>
      </c>
      <c r="G331" s="11">
        <v>21</v>
      </c>
      <c r="H331" s="10">
        <f t="shared" si="10"/>
        <v>45.657902654867257</v>
      </c>
      <c r="I331" s="10">
        <f t="shared" si="11"/>
        <v>200.02509734513274</v>
      </c>
      <c r="J331" s="9">
        <v>493754.26871212095</v>
      </c>
      <c r="K331" s="9">
        <v>606459.04743988765</v>
      </c>
      <c r="L331" s="8">
        <v>1</v>
      </c>
      <c r="M331" s="8">
        <v>1</v>
      </c>
    </row>
    <row r="332" spans="1:13">
      <c r="A332" s="7">
        <v>239903</v>
      </c>
      <c r="B332" s="8" t="s">
        <v>334</v>
      </c>
      <c r="C332" s="9">
        <v>372041403</v>
      </c>
      <c r="D332" s="10">
        <v>584.96699999999998</v>
      </c>
      <c r="E332" s="8">
        <v>371</v>
      </c>
      <c r="F332" s="8">
        <v>1.5767304582210242</v>
      </c>
      <c r="G332" s="11">
        <v>33</v>
      </c>
      <c r="H332" s="10">
        <f t="shared" si="10"/>
        <v>52.032105121293796</v>
      </c>
      <c r="I332" s="10">
        <f t="shared" si="11"/>
        <v>532.93489487870625</v>
      </c>
      <c r="J332" s="9">
        <v>636004.08741005906</v>
      </c>
      <c r="K332" s="9">
        <v>698099.16103293456</v>
      </c>
      <c r="L332" s="8">
        <v>1</v>
      </c>
      <c r="M332" s="8">
        <v>1</v>
      </c>
    </row>
    <row r="333" spans="1:13">
      <c r="A333" s="7">
        <v>240904</v>
      </c>
      <c r="B333" s="8" t="s">
        <v>335</v>
      </c>
      <c r="C333" s="9">
        <v>1481653187</v>
      </c>
      <c r="D333" s="10">
        <v>569.33799999999997</v>
      </c>
      <c r="E333" s="8">
        <v>350</v>
      </c>
      <c r="F333" s="8">
        <v>1.6266799999999999</v>
      </c>
      <c r="G333" s="11">
        <v>9</v>
      </c>
      <c r="H333" s="10">
        <f t="shared" si="10"/>
        <v>14.64012</v>
      </c>
      <c r="I333" s="10">
        <f t="shared" si="11"/>
        <v>554.69787999999994</v>
      </c>
      <c r="J333" s="9">
        <v>2602414.0089015667</v>
      </c>
      <c r="K333" s="9">
        <v>2671099.4226262416</v>
      </c>
      <c r="L333" s="8">
        <v>1</v>
      </c>
      <c r="M333" s="8">
        <v>1</v>
      </c>
    </row>
    <row r="334" spans="1:13">
      <c r="A334" s="7">
        <v>242903</v>
      </c>
      <c r="B334" s="8" t="s">
        <v>336</v>
      </c>
      <c r="C334" s="9">
        <v>298169022</v>
      </c>
      <c r="D334" s="10">
        <v>628.83299999999997</v>
      </c>
      <c r="E334" s="8">
        <v>423</v>
      </c>
      <c r="F334" s="8">
        <v>1.4866028368794326</v>
      </c>
      <c r="G334" s="11">
        <v>24</v>
      </c>
      <c r="H334" s="10">
        <f t="shared" si="10"/>
        <v>35.678468085106381</v>
      </c>
      <c r="I334" s="10">
        <f t="shared" si="11"/>
        <v>593.1545319148936</v>
      </c>
      <c r="J334" s="9">
        <v>474162.49147229869</v>
      </c>
      <c r="K334" s="9">
        <v>502683.5435909332</v>
      </c>
      <c r="L334" s="8">
        <v>1</v>
      </c>
      <c r="M334" s="8">
        <v>1</v>
      </c>
    </row>
    <row r="335" spans="1:13">
      <c r="A335" s="7">
        <v>242905</v>
      </c>
      <c r="B335" s="8" t="s">
        <v>337</v>
      </c>
      <c r="C335" s="9">
        <v>754431298</v>
      </c>
      <c r="D335" s="10">
        <v>317.95400000000001</v>
      </c>
      <c r="E335" s="8">
        <v>152</v>
      </c>
      <c r="F335" s="8">
        <v>2.0918026315789473</v>
      </c>
      <c r="G335" s="11">
        <v>126</v>
      </c>
      <c r="H335" s="10">
        <f t="shared" si="10"/>
        <v>263.56713157894734</v>
      </c>
      <c r="I335" s="10">
        <f t="shared" si="11"/>
        <v>54.386868421052668</v>
      </c>
      <c r="J335" s="9">
        <v>2372768.6961006937</v>
      </c>
      <c r="K335" s="9">
        <v>13871570.838742508</v>
      </c>
      <c r="L335" s="8">
        <v>1</v>
      </c>
      <c r="M335" s="8">
        <v>1</v>
      </c>
    </row>
    <row r="336" spans="1:13">
      <c r="A336" s="7">
        <v>242906</v>
      </c>
      <c r="B336" s="8" t="s">
        <v>338</v>
      </c>
      <c r="C336" s="9">
        <v>1592894429</v>
      </c>
      <c r="D336" s="10">
        <v>289.08100000000002</v>
      </c>
      <c r="E336" s="8">
        <v>144</v>
      </c>
      <c r="F336" s="8">
        <v>2.0075069444444447</v>
      </c>
      <c r="G336" s="11">
        <v>7</v>
      </c>
      <c r="H336" s="10">
        <f t="shared" si="10"/>
        <v>14.052548611111114</v>
      </c>
      <c r="I336" s="10">
        <f t="shared" si="11"/>
        <v>275.02845138888893</v>
      </c>
      <c r="J336" s="9">
        <v>5510201.0474572871</v>
      </c>
      <c r="K336" s="9">
        <v>5791744.1666704323</v>
      </c>
      <c r="L336" s="8">
        <v>1</v>
      </c>
      <c r="M336" s="8">
        <v>1</v>
      </c>
    </row>
    <row r="337" spans="1:13">
      <c r="A337" s="7">
        <v>243902</v>
      </c>
      <c r="B337" s="8" t="s">
        <v>339</v>
      </c>
      <c r="C337" s="9">
        <v>243537941</v>
      </c>
      <c r="D337" s="10">
        <v>735.49400000000003</v>
      </c>
      <c r="E337" s="8">
        <v>465</v>
      </c>
      <c r="F337" s="8">
        <v>1.5817075268817204</v>
      </c>
      <c r="G337" s="11">
        <v>4</v>
      </c>
      <c r="H337" s="10">
        <f t="shared" si="10"/>
        <v>6.3268301075268818</v>
      </c>
      <c r="I337" s="10">
        <f t="shared" si="11"/>
        <v>729.16716989247311</v>
      </c>
      <c r="J337" s="9">
        <v>331121.5876676084</v>
      </c>
      <c r="K337" s="9">
        <v>333994.66001179593</v>
      </c>
      <c r="L337" s="8">
        <v>1</v>
      </c>
      <c r="M337" s="8">
        <v>1</v>
      </c>
    </row>
    <row r="338" spans="1:13">
      <c r="A338" s="7">
        <v>244901</v>
      </c>
      <c r="B338" s="8" t="s">
        <v>340</v>
      </c>
      <c r="C338" s="9">
        <v>47780392</v>
      </c>
      <c r="D338" s="10">
        <v>157.07499999999999</v>
      </c>
      <c r="E338" s="8">
        <v>109</v>
      </c>
      <c r="F338" s="8">
        <v>1.4410550458715596</v>
      </c>
      <c r="G338" s="11">
        <v>90</v>
      </c>
      <c r="H338" s="10">
        <f t="shared" si="10"/>
        <v>129.69495412844037</v>
      </c>
      <c r="I338" s="10">
        <f t="shared" si="11"/>
        <v>27.380045871559616</v>
      </c>
      <c r="J338" s="9">
        <v>304188.39407926152</v>
      </c>
      <c r="K338" s="9">
        <v>1745080.7870862908</v>
      </c>
      <c r="L338" s="8">
        <v>0</v>
      </c>
      <c r="M338" s="8">
        <v>1</v>
      </c>
    </row>
    <row r="339" spans="1:13">
      <c r="A339" s="7">
        <v>244905</v>
      </c>
      <c r="B339" s="8" t="s">
        <v>341</v>
      </c>
      <c r="C339" s="9">
        <v>27943733</v>
      </c>
      <c r="D339" s="10">
        <v>307.50599999999997</v>
      </c>
      <c r="E339" s="8">
        <v>193</v>
      </c>
      <c r="F339" s="8">
        <v>1.5932953367875646</v>
      </c>
      <c r="G339" s="11">
        <v>148</v>
      </c>
      <c r="H339" s="10">
        <f t="shared" si="10"/>
        <v>235.80770984455955</v>
      </c>
      <c r="I339" s="10">
        <f t="shared" si="11"/>
        <v>71.698290155440418</v>
      </c>
      <c r="J339" s="9">
        <v>90872.155340058409</v>
      </c>
      <c r="K339" s="9">
        <v>389740.5773473616</v>
      </c>
      <c r="L339" s="8">
        <v>0</v>
      </c>
      <c r="M339" s="8">
        <v>1</v>
      </c>
    </row>
    <row r="340" spans="1:13">
      <c r="A340" s="7">
        <v>246904</v>
      </c>
      <c r="B340" s="8" t="s">
        <v>342</v>
      </c>
      <c r="C340" s="9">
        <v>5302577646</v>
      </c>
      <c r="D340" s="10">
        <v>11981.478999999999</v>
      </c>
      <c r="E340" s="8">
        <v>10411</v>
      </c>
      <c r="F340" s="8">
        <v>1.1508480453366632</v>
      </c>
      <c r="G340" s="11">
        <v>111</v>
      </c>
      <c r="H340" s="10">
        <f t="shared" si="10"/>
        <v>127.74413303236962</v>
      </c>
      <c r="I340" s="10">
        <f t="shared" si="11"/>
        <v>11853.73486696763</v>
      </c>
      <c r="J340" s="9">
        <v>442564.53197472537</v>
      </c>
      <c r="K340" s="9">
        <v>447333.91673678305</v>
      </c>
      <c r="L340" s="8">
        <v>1</v>
      </c>
      <c r="M340" s="8">
        <v>1</v>
      </c>
    </row>
    <row r="341" spans="1:13">
      <c r="A341" s="7">
        <v>246907</v>
      </c>
      <c r="B341" s="8" t="s">
        <v>343</v>
      </c>
      <c r="C341" s="9">
        <v>621318481</v>
      </c>
      <c r="D341" s="10">
        <v>1407.777</v>
      </c>
      <c r="E341" s="8">
        <v>975</v>
      </c>
      <c r="F341" s="8">
        <v>1.4438738461538463</v>
      </c>
      <c r="G341" s="11">
        <v>26</v>
      </c>
      <c r="H341" s="10">
        <f t="shared" si="10"/>
        <v>37.54072</v>
      </c>
      <c r="I341" s="10">
        <f t="shared" si="11"/>
        <v>1370.2362800000001</v>
      </c>
      <c r="J341" s="9">
        <v>441347.23113106692</v>
      </c>
      <c r="K341" s="9">
        <v>453438.93609356188</v>
      </c>
      <c r="L341" s="8">
        <v>1</v>
      </c>
      <c r="M341" s="8">
        <v>1</v>
      </c>
    </row>
    <row r="342" spans="1:13">
      <c r="A342" s="7">
        <v>246908</v>
      </c>
      <c r="B342" s="8" t="s">
        <v>344</v>
      </c>
      <c r="C342" s="9">
        <v>1018942192</v>
      </c>
      <c r="D342" s="10">
        <v>3412.0140000000001</v>
      </c>
      <c r="E342" s="8">
        <v>2705</v>
      </c>
      <c r="F342" s="8">
        <v>1.2613730129390019</v>
      </c>
      <c r="G342" s="11">
        <v>255</v>
      </c>
      <c r="H342" s="10">
        <f t="shared" si="10"/>
        <v>321.65011829944552</v>
      </c>
      <c r="I342" s="10">
        <f t="shared" si="11"/>
        <v>3090.3638817005544</v>
      </c>
      <c r="J342" s="9">
        <v>298633.64921714854</v>
      </c>
      <c r="K342" s="9">
        <v>329715.92699281097</v>
      </c>
      <c r="L342" s="8">
        <v>0</v>
      </c>
      <c r="M342" s="8">
        <v>1</v>
      </c>
    </row>
    <row r="343" spans="1:13">
      <c r="A343" s="7">
        <v>246909</v>
      </c>
      <c r="B343" s="8" t="s">
        <v>345</v>
      </c>
      <c r="C343" s="9">
        <v>19869616193</v>
      </c>
      <c r="D343" s="10">
        <v>51279.021999999997</v>
      </c>
      <c r="E343" s="8">
        <v>44590</v>
      </c>
      <c r="F343" s="8">
        <v>1.1500117066606861</v>
      </c>
      <c r="G343" s="11">
        <v>378</v>
      </c>
      <c r="H343" s="10">
        <f t="shared" si="10"/>
        <v>434.70442511773933</v>
      </c>
      <c r="I343" s="10">
        <f t="shared" si="11"/>
        <v>50844.317574882261</v>
      </c>
      <c r="J343" s="9">
        <v>387480.40461848123</v>
      </c>
      <c r="K343" s="9">
        <v>390793.25164973486</v>
      </c>
      <c r="L343" s="8">
        <v>1</v>
      </c>
      <c r="M343" s="8">
        <v>1</v>
      </c>
    </row>
    <row r="344" spans="1:13">
      <c r="A344" s="7">
        <v>246913</v>
      </c>
      <c r="B344" s="8" t="s">
        <v>346</v>
      </c>
      <c r="C344" s="9">
        <v>12848267104</v>
      </c>
      <c r="D344" s="10">
        <v>38372.970999999998</v>
      </c>
      <c r="E344" s="8">
        <v>32034</v>
      </c>
      <c r="F344" s="8">
        <v>1.1978825934944122</v>
      </c>
      <c r="G344" s="11">
        <v>254</v>
      </c>
      <c r="H344" s="10">
        <f t="shared" si="10"/>
        <v>304.26217874758072</v>
      </c>
      <c r="I344" s="10">
        <f t="shared" si="11"/>
        <v>38068.708821252418</v>
      </c>
      <c r="J344" s="9">
        <v>334825.9665377487</v>
      </c>
      <c r="K344" s="9">
        <v>337502.04569132288</v>
      </c>
      <c r="L344" s="8">
        <v>1</v>
      </c>
      <c r="M344" s="8">
        <v>1</v>
      </c>
    </row>
    <row r="345" spans="1:13">
      <c r="A345" s="7">
        <v>246914</v>
      </c>
      <c r="B345" s="8" t="s">
        <v>347</v>
      </c>
      <c r="C345" s="9">
        <v>55020768</v>
      </c>
      <c r="D345" s="10">
        <v>216.798</v>
      </c>
      <c r="E345" s="8">
        <v>124</v>
      </c>
      <c r="F345" s="8">
        <v>1.7483709677419355</v>
      </c>
      <c r="G345" s="11">
        <v>50</v>
      </c>
      <c r="H345" s="10">
        <f t="shared" si="10"/>
        <v>87.418548387096777</v>
      </c>
      <c r="I345" s="10">
        <f t="shared" si="11"/>
        <v>129.37945161290321</v>
      </c>
      <c r="J345" s="9">
        <v>253788.17147759665</v>
      </c>
      <c r="K345" s="9">
        <v>425266.66571921605</v>
      </c>
      <c r="L345" s="8">
        <v>0</v>
      </c>
      <c r="M345" s="8">
        <v>1</v>
      </c>
    </row>
    <row r="346" spans="1:13">
      <c r="A346" s="7">
        <v>248901</v>
      </c>
      <c r="B346" s="8" t="s">
        <v>348</v>
      </c>
      <c r="C346" s="9">
        <v>981727322</v>
      </c>
      <c r="D346" s="10">
        <v>1784.905</v>
      </c>
      <c r="E346" s="8">
        <v>1212</v>
      </c>
      <c r="F346" s="8">
        <v>1.472693894389439</v>
      </c>
      <c r="G346" s="11">
        <v>11</v>
      </c>
      <c r="H346" s="10">
        <f t="shared" si="10"/>
        <v>16.199632838283829</v>
      </c>
      <c r="I346" s="10">
        <f t="shared" si="11"/>
        <v>1768.7053671617161</v>
      </c>
      <c r="J346" s="9">
        <v>550016.56782853988</v>
      </c>
      <c r="K346" s="9">
        <v>555054.18834986712</v>
      </c>
      <c r="L346" s="8">
        <v>1</v>
      </c>
      <c r="M346" s="8">
        <v>1</v>
      </c>
    </row>
    <row r="347" spans="1:13">
      <c r="A347" s="7">
        <v>248902</v>
      </c>
      <c r="B347" s="8" t="s">
        <v>349</v>
      </c>
      <c r="C347" s="9">
        <v>1392055112</v>
      </c>
      <c r="D347" s="10">
        <v>530.46699999999998</v>
      </c>
      <c r="E347" s="8">
        <v>356</v>
      </c>
      <c r="F347" s="8">
        <v>1.4900758426966292</v>
      </c>
      <c r="G347" s="11">
        <v>106</v>
      </c>
      <c r="H347" s="10">
        <f t="shared" si="10"/>
        <v>157.9480393258427</v>
      </c>
      <c r="I347" s="10">
        <f t="shared" si="11"/>
        <v>372.51896067415726</v>
      </c>
      <c r="J347" s="9">
        <v>2624206.8064554441</v>
      </c>
      <c r="K347" s="9">
        <v>3736870.4923925526</v>
      </c>
      <c r="L347" s="8">
        <v>1</v>
      </c>
      <c r="M347" s="8">
        <v>1</v>
      </c>
    </row>
    <row r="348" spans="1:13">
      <c r="A348" s="6">
        <v>249902</v>
      </c>
      <c r="B348" s="12" t="s">
        <v>350</v>
      </c>
      <c r="C348" s="13">
        <v>825918773</v>
      </c>
      <c r="D348" s="14">
        <v>1458.509</v>
      </c>
      <c r="E348" s="12">
        <v>1114</v>
      </c>
      <c r="F348" s="12">
        <v>1.3092540394973071</v>
      </c>
      <c r="G348" s="12">
        <v>118</v>
      </c>
      <c r="H348" s="14">
        <f t="shared" si="10"/>
        <v>154.49197666068224</v>
      </c>
      <c r="I348" s="14">
        <f t="shared" si="11"/>
        <v>1304.0170233393178</v>
      </c>
      <c r="J348" s="13">
        <v>566276.08948590653</v>
      </c>
      <c r="K348" s="13">
        <v>633365.02378242952</v>
      </c>
      <c r="L348" s="12">
        <v>1</v>
      </c>
      <c r="M348" s="12">
        <v>1</v>
      </c>
    </row>
    <row r="349" spans="1:13">
      <c r="A349" s="6">
        <v>249903</v>
      </c>
      <c r="B349" s="12" t="s">
        <v>351</v>
      </c>
      <c r="C349" s="13">
        <v>1226863541</v>
      </c>
      <c r="D349" s="14">
        <v>3053.1469999999999</v>
      </c>
      <c r="E349" s="12">
        <v>2287</v>
      </c>
      <c r="F349" s="12">
        <v>1.3350008745080892</v>
      </c>
      <c r="G349" s="12">
        <v>94</v>
      </c>
      <c r="H349" s="14">
        <f t="shared" si="10"/>
        <v>125.49008220376039</v>
      </c>
      <c r="I349" s="14">
        <f t="shared" si="11"/>
        <v>2927.6569177962397</v>
      </c>
      <c r="J349" s="13">
        <v>401835.72589200584</v>
      </c>
      <c r="K349" s="13">
        <v>419059.87465345068</v>
      </c>
      <c r="L349" s="12">
        <v>1</v>
      </c>
      <c r="M349" s="12">
        <v>1</v>
      </c>
    </row>
    <row r="350" spans="1:13">
      <c r="A350" s="6">
        <v>249904</v>
      </c>
      <c r="B350" s="12" t="s">
        <v>352</v>
      </c>
      <c r="C350" s="13">
        <v>536810122</v>
      </c>
      <c r="D350" s="14">
        <v>867.69799999999998</v>
      </c>
      <c r="E350" s="12">
        <v>579</v>
      </c>
      <c r="F350" s="12">
        <v>1.498614853195164</v>
      </c>
      <c r="G350" s="12">
        <v>33</v>
      </c>
      <c r="H350" s="14">
        <f t="shared" si="10"/>
        <v>49.454290155440411</v>
      </c>
      <c r="I350" s="14">
        <f t="shared" si="11"/>
        <v>818.24370984455959</v>
      </c>
      <c r="J350" s="13">
        <v>618660.08910934452</v>
      </c>
      <c r="K350" s="13">
        <v>656051.63295661262</v>
      </c>
      <c r="L350" s="12">
        <v>1</v>
      </c>
      <c r="M350" s="12">
        <v>1</v>
      </c>
    </row>
    <row r="351" spans="1:13">
      <c r="A351" s="6">
        <v>249905</v>
      </c>
      <c r="B351" s="12" t="s">
        <v>353</v>
      </c>
      <c r="C351" s="13">
        <v>2298498258</v>
      </c>
      <c r="D351" s="14">
        <v>3828.375</v>
      </c>
      <c r="E351" s="12">
        <v>3007</v>
      </c>
      <c r="F351" s="12">
        <v>1.2731543066178916</v>
      </c>
      <c r="G351" s="12">
        <v>141</v>
      </c>
      <c r="H351" s="14">
        <f t="shared" si="10"/>
        <v>179.51475723312271</v>
      </c>
      <c r="I351" s="14">
        <f t="shared" si="11"/>
        <v>3648.8602427668775</v>
      </c>
      <c r="J351" s="13">
        <v>600384.8259378979</v>
      </c>
      <c r="K351" s="13">
        <v>629922.25107999262</v>
      </c>
      <c r="L351" s="12">
        <v>1</v>
      </c>
      <c r="M351" s="12">
        <v>1</v>
      </c>
    </row>
    <row r="352" spans="1:13">
      <c r="A352" s="6">
        <v>249908</v>
      </c>
      <c r="B352" s="12" t="s">
        <v>354</v>
      </c>
      <c r="C352" s="13">
        <v>201771505</v>
      </c>
      <c r="D352" s="14">
        <v>357.87900000000002</v>
      </c>
      <c r="E352" s="12">
        <v>264</v>
      </c>
      <c r="F352" s="12">
        <v>1.3556022727272727</v>
      </c>
      <c r="G352" s="12">
        <v>22</v>
      </c>
      <c r="H352" s="14">
        <f t="shared" si="10"/>
        <v>29.823250000000002</v>
      </c>
      <c r="I352" s="14">
        <f t="shared" si="11"/>
        <v>328.05574999999999</v>
      </c>
      <c r="J352" s="13">
        <v>563798.11332880659</v>
      </c>
      <c r="K352" s="13">
        <v>615052.48726778908</v>
      </c>
      <c r="L352" s="12">
        <v>1</v>
      </c>
      <c r="M352" s="12">
        <v>1</v>
      </c>
    </row>
    <row r="353" spans="1:13">
      <c r="A353" s="6">
        <v>250902</v>
      </c>
      <c r="B353" s="12" t="s">
        <v>355</v>
      </c>
      <c r="C353" s="13">
        <v>617112754</v>
      </c>
      <c r="D353" s="14">
        <v>1116.617</v>
      </c>
      <c r="E353" s="12">
        <v>741</v>
      </c>
      <c r="F353" s="12">
        <v>1.5069055330634278</v>
      </c>
      <c r="G353" s="12">
        <v>70</v>
      </c>
      <c r="H353" s="14">
        <f t="shared" si="10"/>
        <v>105.48338731443994</v>
      </c>
      <c r="I353" s="14">
        <f t="shared" si="11"/>
        <v>1011.13361268556</v>
      </c>
      <c r="J353" s="13">
        <v>552662.86828876869</v>
      </c>
      <c r="K353" s="13">
        <v>610317.71296867006</v>
      </c>
      <c r="L353" s="12">
        <v>1</v>
      </c>
      <c r="M353" s="12">
        <v>1</v>
      </c>
    </row>
    <row r="354" spans="1:13">
      <c r="A354" s="6">
        <v>250905</v>
      </c>
      <c r="B354" s="12" t="s">
        <v>356</v>
      </c>
      <c r="C354" s="13">
        <v>260174767</v>
      </c>
      <c r="D354" s="14">
        <v>584.29700000000003</v>
      </c>
      <c r="E354" s="12">
        <v>357</v>
      </c>
      <c r="F354" s="12">
        <v>1.6366862745098041</v>
      </c>
      <c r="G354" s="12">
        <v>31</v>
      </c>
      <c r="H354" s="14">
        <f t="shared" si="10"/>
        <v>50.737274509803925</v>
      </c>
      <c r="I354" s="14">
        <f t="shared" si="11"/>
        <v>533.55972549019612</v>
      </c>
      <c r="J354" s="13">
        <v>445278.28655632323</v>
      </c>
      <c r="K354" s="13">
        <v>487620.70030861162</v>
      </c>
      <c r="L354" s="12">
        <v>1</v>
      </c>
      <c r="M354" s="12">
        <v>1</v>
      </c>
    </row>
    <row r="355" spans="1:13">
      <c r="A355" s="6">
        <v>251901</v>
      </c>
      <c r="B355" s="12" t="s">
        <v>357</v>
      </c>
      <c r="C355" s="13">
        <v>3015083166</v>
      </c>
      <c r="D355" s="14">
        <v>1975.742</v>
      </c>
      <c r="E355" s="12">
        <v>1531</v>
      </c>
      <c r="F355" s="12">
        <v>1.2904911822338341</v>
      </c>
      <c r="G355" s="12">
        <v>132</v>
      </c>
      <c r="H355" s="14">
        <f t="shared" si="10"/>
        <v>170.34483605486611</v>
      </c>
      <c r="I355" s="14">
        <f t="shared" si="11"/>
        <v>1805.3971639451338</v>
      </c>
      <c r="J355" s="13">
        <v>1526051.0562613944</v>
      </c>
      <c r="K355" s="13">
        <v>1670038.7184676162</v>
      </c>
      <c r="L355" s="12">
        <v>1</v>
      </c>
      <c r="M355" s="12">
        <v>1</v>
      </c>
    </row>
    <row r="356" spans="1:13">
      <c r="A356" s="6">
        <v>251902</v>
      </c>
      <c r="B356" s="12" t="s">
        <v>358</v>
      </c>
      <c r="C356" s="13">
        <v>990006857</v>
      </c>
      <c r="D356" s="14">
        <v>870.274</v>
      </c>
      <c r="E356" s="12">
        <v>501</v>
      </c>
      <c r="F356" s="12">
        <v>1.7370738522954092</v>
      </c>
      <c r="G356" s="12">
        <v>18</v>
      </c>
      <c r="H356" s="14">
        <f t="shared" si="10"/>
        <v>31.267329341317367</v>
      </c>
      <c r="I356" s="14">
        <f t="shared" si="11"/>
        <v>839.00667065868265</v>
      </c>
      <c r="J356" s="13">
        <v>1137580.6435674282</v>
      </c>
      <c r="K356" s="13">
        <v>1179974.9532655932</v>
      </c>
      <c r="L356" s="12">
        <v>1</v>
      </c>
      <c r="M356" s="12">
        <v>1</v>
      </c>
    </row>
    <row r="357" spans="1:13">
      <c r="A357" s="6">
        <v>253901</v>
      </c>
      <c r="B357" s="12" t="s">
        <v>359</v>
      </c>
      <c r="C357" s="13">
        <v>2706263297</v>
      </c>
      <c r="D357" s="14">
        <v>4640.03</v>
      </c>
      <c r="E357" s="12">
        <v>3724</v>
      </c>
      <c r="F357" s="12">
        <v>1.2459801288936627</v>
      </c>
      <c r="G357" s="12">
        <v>0</v>
      </c>
      <c r="H357" s="14">
        <f t="shared" si="10"/>
        <v>0</v>
      </c>
      <c r="I357" s="14">
        <f t="shared" si="11"/>
        <v>4640.03</v>
      </c>
      <c r="J357" s="13">
        <v>583242.62925024191</v>
      </c>
      <c r="K357" s="13">
        <v>583242.62925024191</v>
      </c>
      <c r="L357" s="12">
        <v>1</v>
      </c>
      <c r="M357" s="12">
        <v>1</v>
      </c>
    </row>
    <row r="359" spans="1:13">
      <c r="L359" s="12">
        <f>COUNTIF(L2:L357,1)</f>
        <v>293</v>
      </c>
      <c r="M359" s="12">
        <f>COUNTIF(M2:M357,1)</f>
        <v>356</v>
      </c>
    </row>
  </sheetData>
  <pageMargins left="0.75" right="0.75" top="1" bottom="1" header="0.5" footer="0.5"/>
  <pageSetup paperSize="5" scale="78" fitToHeight="1000" orientation="landscape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2011-12 Ch. 41 Districts</vt:lpstr>
      <vt:lpstr>DOWN</vt:lpstr>
      <vt:lpstr>'2011-12 Ch. 41 Districts'!Print_Titles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Bobb</dc:creator>
  <cp:lastModifiedBy>Nicole Schuessler</cp:lastModifiedBy>
  <dcterms:created xsi:type="dcterms:W3CDTF">2011-09-23T17:52:03Z</dcterms:created>
  <dcterms:modified xsi:type="dcterms:W3CDTF">2011-10-26T17:37:31Z</dcterms:modified>
</cp:coreProperties>
</file>