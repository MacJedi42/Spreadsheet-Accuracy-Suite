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812"/>
  <workbookPr showInkAnnotation="0" autoCompressPictures="0"/>
  <bookViews>
    <workbookView xWindow="1820" yWindow="880" windowWidth="20780" windowHeight="16400"/>
  </bookViews>
  <sheets>
    <sheet name="Sheet1" sheetId="1" r:id="rId1"/>
  </sheets>
  <definedNames>
    <definedName name="f">Sheet1!#REF!</definedName>
    <definedName name="Grade">Sheet1!$A$1:$A$14</definedName>
    <definedName name="Grades">Sheet1!$A$1:$A$13</definedName>
    <definedName name="_xlnm.Print_Area" localSheetId="0">Sheet1!$A$1:$W$35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4" i="1" l="1"/>
  <c r="F16" i="1"/>
  <c r="F17" i="1"/>
  <c r="F18" i="1"/>
  <c r="F19" i="1"/>
  <c r="X35" i="1"/>
  <c r="E6" i="1"/>
  <c r="F6" i="1"/>
  <c r="E7" i="1"/>
  <c r="F7" i="1"/>
  <c r="E8" i="1"/>
  <c r="F8" i="1"/>
  <c r="F11" i="1"/>
  <c r="X6" i="1"/>
  <c r="E14" i="1"/>
  <c r="E19" i="1"/>
  <c r="E11" i="1"/>
  <c r="X4" i="1"/>
  <c r="X34" i="1"/>
  <c r="W35" i="1"/>
  <c r="E15" i="1"/>
  <c r="E16" i="1"/>
  <c r="E17" i="1"/>
  <c r="E18" i="1"/>
  <c r="F15" i="1"/>
  <c r="D19" i="1"/>
  <c r="E9" i="1"/>
  <c r="E10" i="1"/>
  <c r="F9" i="1"/>
  <c r="F10" i="1"/>
  <c r="D11" i="1"/>
  <c r="J6" i="1"/>
  <c r="J7" i="1"/>
  <c r="J8" i="1"/>
  <c r="J9" i="1"/>
  <c r="J10" i="1"/>
  <c r="J11" i="1"/>
  <c r="I11" i="1"/>
  <c r="O6" i="1"/>
  <c r="O7" i="1"/>
  <c r="O8" i="1"/>
  <c r="O9" i="1"/>
  <c r="O10" i="1"/>
  <c r="O11" i="1"/>
  <c r="N11" i="1"/>
  <c r="T6" i="1"/>
  <c r="T7" i="1"/>
  <c r="T8" i="1"/>
  <c r="T9" i="1"/>
  <c r="T10" i="1"/>
  <c r="T11" i="1"/>
  <c r="S11" i="1"/>
  <c r="T14" i="1"/>
  <c r="T15" i="1"/>
  <c r="T16" i="1"/>
  <c r="T17" i="1"/>
  <c r="T18" i="1"/>
  <c r="T19" i="1"/>
  <c r="S19" i="1"/>
  <c r="O14" i="1"/>
  <c r="O15" i="1"/>
  <c r="O16" i="1"/>
  <c r="O17" i="1"/>
  <c r="O18" i="1"/>
  <c r="O19" i="1"/>
  <c r="N19" i="1"/>
  <c r="J14" i="1"/>
  <c r="J15" i="1"/>
  <c r="J16" i="1"/>
  <c r="J17" i="1"/>
  <c r="J18" i="1"/>
  <c r="J19" i="1"/>
  <c r="I19" i="1"/>
  <c r="E24" i="1"/>
  <c r="E25" i="1"/>
  <c r="E26" i="1"/>
  <c r="E27" i="1"/>
  <c r="D27" i="1"/>
  <c r="E30" i="1"/>
  <c r="E31" i="1"/>
  <c r="E32" i="1"/>
  <c r="E33" i="1"/>
  <c r="E34" i="1"/>
  <c r="E35" i="1"/>
  <c r="D35" i="1"/>
  <c r="J24" i="1"/>
  <c r="J25" i="1"/>
  <c r="J26" i="1"/>
  <c r="J27" i="1"/>
  <c r="I27" i="1"/>
  <c r="J30" i="1"/>
  <c r="J31" i="1"/>
  <c r="J32" i="1"/>
  <c r="J33" i="1"/>
  <c r="J34" i="1"/>
  <c r="J35" i="1"/>
  <c r="I35" i="1"/>
  <c r="O24" i="1"/>
  <c r="O25" i="1"/>
  <c r="O26" i="1"/>
  <c r="O27" i="1"/>
  <c r="N27" i="1"/>
  <c r="O30" i="1"/>
  <c r="O31" i="1"/>
  <c r="O32" i="1"/>
  <c r="O33" i="1"/>
  <c r="O34" i="1"/>
  <c r="O35" i="1"/>
  <c r="N35" i="1"/>
  <c r="T24" i="1"/>
  <c r="T25" i="1"/>
  <c r="T26" i="1"/>
  <c r="T27" i="1"/>
  <c r="S27" i="1"/>
  <c r="T30" i="1"/>
  <c r="T31" i="1"/>
  <c r="T32" i="1"/>
  <c r="T33" i="1"/>
  <c r="T34" i="1"/>
  <c r="T35" i="1"/>
  <c r="S35" i="1"/>
  <c r="C19" i="1"/>
  <c r="C11" i="1"/>
  <c r="R35" i="1"/>
  <c r="H11" i="1"/>
  <c r="M11" i="1"/>
  <c r="R11" i="1"/>
  <c r="H19" i="1"/>
  <c r="M19" i="1"/>
  <c r="R19" i="1"/>
  <c r="C27" i="1"/>
  <c r="H27" i="1"/>
  <c r="M27" i="1"/>
  <c r="R27" i="1"/>
  <c r="C35" i="1"/>
  <c r="H35" i="1"/>
  <c r="M35" i="1"/>
  <c r="V35" i="1"/>
  <c r="F26" i="1"/>
  <c r="K26" i="1"/>
  <c r="P26" i="1"/>
  <c r="U26" i="1"/>
  <c r="K6" i="1"/>
  <c r="K7" i="1"/>
  <c r="K9" i="1"/>
  <c r="K10" i="1"/>
  <c r="K8" i="1"/>
  <c r="K11" i="1"/>
  <c r="O23" i="1"/>
  <c r="O22" i="1"/>
  <c r="U31" i="1"/>
  <c r="U23" i="1"/>
  <c r="U22" i="1"/>
  <c r="U15" i="1"/>
  <c r="U8" i="1"/>
  <c r="P31" i="1"/>
  <c r="P23" i="1"/>
  <c r="P22" i="1"/>
  <c r="P15" i="1"/>
  <c r="P8" i="1"/>
  <c r="K31" i="1"/>
  <c r="K23" i="1"/>
  <c r="K22" i="1"/>
  <c r="K15" i="1"/>
  <c r="F31" i="1"/>
  <c r="F23" i="1"/>
  <c r="T23" i="1"/>
  <c r="T22" i="1"/>
  <c r="J23" i="1"/>
  <c r="J22" i="1"/>
  <c r="E23" i="1"/>
  <c r="E22" i="1"/>
  <c r="F22" i="1"/>
  <c r="K16" i="1"/>
  <c r="K14" i="1"/>
  <c r="K17" i="1"/>
  <c r="K18" i="1"/>
  <c r="K19" i="1"/>
  <c r="K24" i="1"/>
  <c r="K25" i="1"/>
  <c r="K27" i="1"/>
  <c r="U30" i="1"/>
  <c r="U32" i="1"/>
  <c r="U33" i="1"/>
  <c r="U34" i="1"/>
  <c r="U35" i="1"/>
  <c r="P30" i="1"/>
  <c r="P32" i="1"/>
  <c r="P33" i="1"/>
  <c r="P34" i="1"/>
  <c r="P35" i="1"/>
  <c r="U24" i="1"/>
  <c r="U25" i="1"/>
  <c r="U27" i="1"/>
  <c r="P24" i="1"/>
  <c r="P25" i="1"/>
  <c r="P27" i="1"/>
  <c r="U14" i="1"/>
  <c r="U16" i="1"/>
  <c r="U17" i="1"/>
  <c r="U18" i="1"/>
  <c r="U19" i="1"/>
  <c r="P14" i="1"/>
  <c r="P16" i="1"/>
  <c r="P17" i="1"/>
  <c r="P18" i="1"/>
  <c r="P19" i="1"/>
  <c r="U6" i="1"/>
  <c r="U7" i="1"/>
  <c r="U9" i="1"/>
  <c r="U10" i="1"/>
  <c r="U11" i="1"/>
  <c r="P6" i="1"/>
  <c r="P7" i="1"/>
  <c r="P9" i="1"/>
  <c r="P10" i="1"/>
  <c r="P11" i="1"/>
  <c r="K30" i="1"/>
  <c r="K32" i="1"/>
  <c r="K33" i="1"/>
  <c r="K34" i="1"/>
  <c r="K35" i="1"/>
  <c r="F30" i="1"/>
  <c r="F32" i="1"/>
  <c r="F33" i="1"/>
  <c r="F34" i="1"/>
  <c r="F35" i="1"/>
  <c r="F24" i="1"/>
  <c r="F25" i="1"/>
  <c r="F27" i="1"/>
</calcChain>
</file>

<file path=xl/sharedStrings.xml><?xml version="1.0" encoding="utf-8"?>
<sst xmlns="http://schemas.openxmlformats.org/spreadsheetml/2006/main" count="136" uniqueCount="36">
  <si>
    <t>COURSE</t>
  </si>
  <si>
    <t>CREDITS</t>
  </si>
  <si>
    <t>GRADE</t>
  </si>
  <si>
    <t>A</t>
  </si>
  <si>
    <t>Quality PTS</t>
  </si>
  <si>
    <t>QP/Credits</t>
  </si>
  <si>
    <t>A-</t>
  </si>
  <si>
    <t>D-</t>
  </si>
  <si>
    <t>D</t>
  </si>
  <si>
    <t>C-</t>
  </si>
  <si>
    <t>C</t>
  </si>
  <si>
    <t>B</t>
  </si>
  <si>
    <t>Cumulative GPA</t>
  </si>
  <si>
    <t>B-</t>
  </si>
  <si>
    <t>C+</t>
  </si>
  <si>
    <t>D+</t>
  </si>
  <si>
    <t>F</t>
  </si>
  <si>
    <t>Winter 20__</t>
  </si>
  <si>
    <t>Fall 20__</t>
  </si>
  <si>
    <t>Spring 20__</t>
  </si>
  <si>
    <t>Summer 20__</t>
  </si>
  <si>
    <t>Fall  20__</t>
  </si>
  <si>
    <t>Total Credits</t>
  </si>
  <si>
    <t>R</t>
  </si>
  <si>
    <t>Term GPA</t>
  </si>
  <si>
    <t>Name:</t>
  </si>
  <si>
    <t xml:space="preserve"> ID#:</t>
  </si>
  <si>
    <t>Email:</t>
  </si>
  <si>
    <t>SUM QP</t>
  </si>
  <si>
    <t>SUM QP/Credits</t>
  </si>
  <si>
    <t>My Cumulative GPA</t>
  </si>
  <si>
    <t>My Cumulative # of Credits</t>
  </si>
  <si>
    <r>
      <t xml:space="preserve">Input Info for </t>
    </r>
    <r>
      <rPr>
        <b/>
        <sz val="10"/>
        <color theme="5" tint="-0.249977111117893"/>
        <rFont val="Cambria"/>
        <scheme val="major"/>
      </rPr>
      <t>COMPLETED</t>
    </r>
    <r>
      <rPr>
        <b/>
        <sz val="9.5"/>
        <rFont val="Cambria"/>
        <scheme val="major"/>
      </rPr>
      <t xml:space="preserve"> Credits </t>
    </r>
    <r>
      <rPr>
        <sz val="9.5"/>
        <rFont val="Wingdings"/>
      </rPr>
      <t></t>
    </r>
  </si>
  <si>
    <t>Special Notes:</t>
  </si>
  <si>
    <t xml:space="preserve">    </t>
  </si>
  <si>
    <r>
      <rPr>
        <sz val="7.5"/>
        <rFont val="Wingdings"/>
      </rPr>
      <t xml:space="preserve"> </t>
    </r>
    <r>
      <rPr>
        <b/>
        <sz val="7.5"/>
        <color theme="5" tint="-0.499984740745262"/>
        <rFont val="Cambria"/>
        <scheme val="major"/>
      </rPr>
      <t>Some classes may not be offered every year. Check major/departmental website for your 2 or 4 year projected course schedules. Schedules often change, and it is your responsibility to keep your plan up to date.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</si>
</sst>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name val="Arial"/>
    </font>
    <font>
      <sz val="10"/>
      <name val="Times New Roman"/>
      <family val="1"/>
    </font>
    <font>
      <sz val="8"/>
      <name val="Arial Rounded MT Bold"/>
      <family val="2"/>
    </font>
    <font>
      <b/>
      <sz val="10"/>
      <name val="Arial Rounded MT Bold"/>
      <family val="2"/>
    </font>
    <font>
      <b/>
      <sz val="10"/>
      <name val="Arial"/>
    </font>
    <font>
      <b/>
      <sz val="18"/>
      <color theme="3"/>
      <name val="Cambria"/>
      <family val="2"/>
      <scheme val="major"/>
    </font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6"/>
      <name val="Arial Rounded MT Bold"/>
    </font>
    <font>
      <b/>
      <sz val="11"/>
      <name val="Times New Roman"/>
    </font>
    <font>
      <b/>
      <sz val="10"/>
      <name val="Cambria"/>
      <scheme val="major"/>
    </font>
    <font>
      <sz val="10"/>
      <color rgb="FF800000"/>
      <name val="Times New Roman"/>
    </font>
    <font>
      <b/>
      <sz val="10"/>
      <color rgb="FF800000"/>
      <name val="Times New Roman"/>
    </font>
    <font>
      <b/>
      <sz val="10"/>
      <color rgb="FF800000"/>
      <name val="Arial"/>
    </font>
    <font>
      <b/>
      <sz val="10"/>
      <name val="Times New Roman"/>
      <family val="1"/>
    </font>
    <font>
      <b/>
      <sz val="8"/>
      <name val="Arial Rounded MT Bold"/>
      <family val="2"/>
    </font>
    <font>
      <sz val="10"/>
      <name val=".20"/>
    </font>
    <font>
      <b/>
      <sz val="10"/>
      <name val=".20"/>
    </font>
    <font>
      <b/>
      <sz val="8"/>
      <color theme="0"/>
      <name val="Arial"/>
    </font>
    <font>
      <b/>
      <sz val="8"/>
      <color theme="0"/>
      <name val="Cambria"/>
      <scheme val="major"/>
    </font>
    <font>
      <b/>
      <sz val="9.5"/>
      <name val="Cambria"/>
      <scheme val="major"/>
    </font>
    <font>
      <sz val="9.5"/>
      <name val="Wingdings"/>
    </font>
    <font>
      <b/>
      <sz val="10"/>
      <name val="Times"/>
    </font>
    <font>
      <b/>
      <sz val="6"/>
      <color theme="0"/>
      <name val="Cambria"/>
      <scheme val="major"/>
    </font>
    <font>
      <b/>
      <sz val="6"/>
      <name val="Times"/>
    </font>
    <font>
      <b/>
      <sz val="10"/>
      <color theme="5" tint="-0.249977111117893"/>
      <name val="Cambria"/>
      <scheme val="major"/>
    </font>
    <font>
      <b/>
      <sz val="8"/>
      <color theme="5" tint="-0.499984740745262"/>
      <name val="Cambria"/>
      <scheme val="major"/>
    </font>
    <font>
      <sz val="7.5"/>
      <name val="Wingdings"/>
    </font>
    <font>
      <b/>
      <sz val="7.5"/>
      <color theme="5" tint="-0.499984740745262"/>
      <name val="Cambria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47">
    <xf numFmtId="0" fontId="0" fillId="0" borderId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0" xfId="0" applyFont="1" applyFill="1"/>
    <xf numFmtId="0" fontId="2" fillId="0" borderId="2" xfId="0" applyFont="1" applyBorder="1" applyAlignment="1">
      <alignment vertical="top" wrapText="1"/>
    </xf>
    <xf numFmtId="0" fontId="0" fillId="0" borderId="0" xfId="0" applyBorder="1"/>
    <xf numFmtId="0" fontId="1" fillId="0" borderId="4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1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0" fillId="0" borderId="0" xfId="0" applyFill="1" applyBorder="1"/>
    <xf numFmtId="0" fontId="0" fillId="0" borderId="0" xfId="0" applyFont="1" applyFill="1"/>
    <xf numFmtId="0" fontId="13" fillId="3" borderId="14" xfId="0" applyFont="1" applyFill="1" applyBorder="1" applyAlignment="1">
      <alignment vertical="top" wrapText="1"/>
    </xf>
    <xf numFmtId="0" fontId="10" fillId="3" borderId="13" xfId="0" applyFont="1" applyFill="1" applyBorder="1" applyAlignment="1">
      <alignment vertical="top" wrapText="1"/>
    </xf>
    <xf numFmtId="0" fontId="1" fillId="3" borderId="14" xfId="0" applyFont="1" applyFill="1" applyBorder="1" applyAlignment="1">
      <alignment vertical="top" wrapText="1"/>
    </xf>
    <xf numFmtId="0" fontId="12" fillId="3" borderId="14" xfId="0" applyFont="1" applyFill="1" applyBorder="1" applyAlignment="1">
      <alignment vertical="top" wrapText="1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7" fillId="0" borderId="0" xfId="0" applyFont="1"/>
    <xf numFmtId="0" fontId="17" fillId="0" borderId="4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3" fillId="2" borderId="24" xfId="0" applyFont="1" applyFill="1" applyBorder="1" applyAlignment="1">
      <alignment horizontal="center" vertical="top" wrapText="1"/>
    </xf>
    <xf numFmtId="0" fontId="4" fillId="0" borderId="15" xfId="1" applyFont="1" applyBorder="1" applyAlignment="1">
      <alignment horizontal="right" vertical="center"/>
    </xf>
    <xf numFmtId="0" fontId="4" fillId="0" borderId="17" xfId="1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top" wrapText="1"/>
    </xf>
    <xf numFmtId="0" fontId="0" fillId="0" borderId="23" xfId="0" applyBorder="1" applyAlignment="1"/>
    <xf numFmtId="0" fontId="0" fillId="0" borderId="0" xfId="0" applyAlignment="1"/>
    <xf numFmtId="0" fontId="4" fillId="0" borderId="23" xfId="0" applyFont="1" applyFill="1" applyBorder="1" applyAlignment="1"/>
    <xf numFmtId="0" fontId="4" fillId="0" borderId="0" xfId="0" applyFont="1" applyFill="1" applyAlignment="1"/>
    <xf numFmtId="0" fontId="0" fillId="0" borderId="28" xfId="0" applyBorder="1" applyAlignment="1"/>
    <xf numFmtId="0" fontId="0" fillId="0" borderId="12" xfId="0" applyBorder="1" applyAlignment="1"/>
    <xf numFmtId="0" fontId="15" fillId="0" borderId="2" xfId="0" applyFont="1" applyBorder="1" applyAlignment="1" applyProtection="1">
      <alignment horizontal="left" vertical="top" wrapText="1"/>
      <protection locked="0"/>
    </xf>
    <xf numFmtId="0" fontId="15" fillId="0" borderId="1" xfId="0" applyFont="1" applyBorder="1" applyAlignment="1" applyProtection="1">
      <alignment horizontal="left" vertical="top" wrapText="1"/>
      <protection locked="0"/>
    </xf>
    <xf numFmtId="0" fontId="15" fillId="0" borderId="3" xfId="0" applyFont="1" applyBorder="1" applyAlignment="1" applyProtection="1">
      <alignment horizontal="left" vertical="top" wrapText="1"/>
      <protection locked="0"/>
    </xf>
    <xf numFmtId="0" fontId="15" fillId="0" borderId="4" xfId="0" applyFont="1" applyBorder="1" applyAlignment="1" applyProtection="1">
      <alignment horizontal="left" vertical="top" wrapText="1"/>
      <protection locked="0"/>
    </xf>
    <xf numFmtId="0" fontId="18" fillId="0" borderId="3" xfId="0" applyFont="1" applyBorder="1" applyAlignment="1" applyProtection="1">
      <alignment horizontal="left" vertical="top" wrapText="1"/>
      <protection locked="0"/>
    </xf>
    <xf numFmtId="0" fontId="18" fillId="0" borderId="4" xfId="0" applyFont="1" applyBorder="1" applyAlignment="1" applyProtection="1">
      <alignment horizontal="left" vertical="top" wrapText="1"/>
      <protection locked="0"/>
    </xf>
    <xf numFmtId="0" fontId="16" fillId="0" borderId="2" xfId="0" applyFont="1" applyBorder="1" applyAlignment="1" applyProtection="1">
      <alignment vertical="top" wrapText="1"/>
      <protection locked="0"/>
    </xf>
    <xf numFmtId="0" fontId="16" fillId="0" borderId="1" xfId="0" applyFont="1" applyBorder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protection locked="0"/>
    </xf>
    <xf numFmtId="0" fontId="11" fillId="0" borderId="0" xfId="1" applyFont="1" applyBorder="1" applyAlignment="1" applyProtection="1">
      <alignment vertical="top"/>
      <protection locked="0"/>
    </xf>
    <xf numFmtId="0" fontId="23" fillId="0" borderId="18" xfId="1" applyFont="1" applyBorder="1" applyAlignment="1" applyProtection="1">
      <alignment horizontal="center" vertical="center"/>
      <protection locked="0"/>
    </xf>
    <xf numFmtId="0" fontId="25" fillId="0" borderId="18" xfId="1" applyFont="1" applyBorder="1" applyAlignment="1" applyProtection="1">
      <alignment horizontal="center" vertical="center"/>
      <protection locked="0"/>
    </xf>
    <xf numFmtId="0" fontId="4" fillId="0" borderId="25" xfId="1" applyFont="1" applyBorder="1" applyAlignment="1" applyProtection="1">
      <alignment horizontal="center" vertical="center"/>
      <protection locked="0"/>
    </xf>
    <xf numFmtId="0" fontId="4" fillId="0" borderId="26" xfId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/>
      <protection locked="0"/>
    </xf>
    <xf numFmtId="0" fontId="4" fillId="0" borderId="27" xfId="1" applyFont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33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0" fillId="0" borderId="10" xfId="0" applyBorder="1" applyAlignment="1" applyProtection="1">
      <alignment horizontal="center" vertical="top"/>
      <protection locked="0"/>
    </xf>
    <xf numFmtId="0" fontId="0" fillId="0" borderId="29" xfId="0" applyBorder="1" applyAlignment="1" applyProtection="1">
      <alignment horizontal="center" vertical="top"/>
      <protection locked="0"/>
    </xf>
    <xf numFmtId="0" fontId="19" fillId="5" borderId="15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 applyProtection="1">
      <alignment horizontal="center"/>
      <protection locked="0"/>
    </xf>
    <xf numFmtId="0" fontId="19" fillId="5" borderId="16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top" wrapText="1"/>
    </xf>
    <xf numFmtId="0" fontId="11" fillId="0" borderId="15" xfId="1" applyFont="1" applyBorder="1" applyAlignment="1" applyProtection="1">
      <alignment horizontal="left" vertical="top"/>
      <protection locked="0"/>
    </xf>
    <xf numFmtId="0" fontId="11" fillId="0" borderId="34" xfId="1" applyFont="1" applyBorder="1" applyAlignment="1" applyProtection="1">
      <alignment horizontal="left" vertical="top"/>
      <protection locked="0"/>
    </xf>
    <xf numFmtId="0" fontId="11" fillId="0" borderId="16" xfId="1" applyFont="1" applyBorder="1" applyAlignment="1" applyProtection="1">
      <alignment horizontal="left" vertical="top"/>
      <protection locked="0"/>
    </xf>
    <xf numFmtId="0" fontId="24" fillId="5" borderId="30" xfId="1" applyFont="1" applyFill="1" applyBorder="1" applyAlignment="1" applyProtection="1">
      <alignment horizontal="center" vertical="center" wrapText="1"/>
    </xf>
    <xf numFmtId="0" fontId="24" fillId="5" borderId="32" xfId="1" applyFont="1" applyFill="1" applyBorder="1" applyAlignment="1" applyProtection="1">
      <alignment horizontal="center" vertical="center" wrapText="1"/>
    </xf>
    <xf numFmtId="0" fontId="20" fillId="5" borderId="32" xfId="1" applyFont="1" applyFill="1" applyBorder="1" applyAlignment="1" applyProtection="1">
      <alignment horizontal="center" vertical="center" wrapText="1"/>
    </xf>
    <xf numFmtId="0" fontId="21" fillId="0" borderId="30" xfId="1" applyFont="1" applyBorder="1" applyAlignment="1" applyProtection="1">
      <alignment horizontal="center" vertical="center" wrapText="1"/>
    </xf>
    <xf numFmtId="0" fontId="21" fillId="0" borderId="31" xfId="1" applyFont="1" applyBorder="1" applyAlignment="1" applyProtection="1">
      <alignment horizontal="center" vertical="center" wrapText="1"/>
    </xf>
    <xf numFmtId="0" fontId="21" fillId="0" borderId="32" xfId="1" applyFont="1" applyBorder="1" applyAlignment="1" applyProtection="1">
      <alignment horizontal="center" vertical="center" wrapText="1"/>
    </xf>
    <xf numFmtId="0" fontId="27" fillId="0" borderId="17" xfId="1" applyFont="1" applyBorder="1" applyAlignment="1" applyProtection="1">
      <alignment horizontal="left" vertical="top" wrapText="1"/>
      <protection locked="0"/>
    </xf>
    <xf numFmtId="0" fontId="27" fillId="0" borderId="0" xfId="1" applyFont="1" applyBorder="1" applyAlignment="1" applyProtection="1">
      <alignment horizontal="left" vertical="top" wrapText="1"/>
      <protection locked="0"/>
    </xf>
    <xf numFmtId="0" fontId="27" fillId="0" borderId="5" xfId="1" applyFont="1" applyBorder="1" applyAlignment="1" applyProtection="1">
      <alignment horizontal="left" vertical="top" wrapText="1"/>
      <protection locked="0"/>
    </xf>
    <xf numFmtId="0" fontId="27" fillId="0" borderId="11" xfId="1" applyFont="1" applyBorder="1" applyAlignment="1" applyProtection="1">
      <alignment horizontal="left" vertical="top" wrapText="1"/>
      <protection locked="0"/>
    </xf>
    <xf numFmtId="0" fontId="27" fillId="0" borderId="12" xfId="1" applyFont="1" applyBorder="1" applyAlignment="1" applyProtection="1">
      <alignment horizontal="left" vertical="top" wrapText="1"/>
      <protection locked="0"/>
    </xf>
    <xf numFmtId="0" fontId="27" fillId="0" borderId="33" xfId="1" applyFont="1" applyBorder="1" applyAlignment="1" applyProtection="1">
      <alignment horizontal="left" vertical="top" wrapText="1"/>
      <protection locked="0"/>
    </xf>
  </cellXfs>
  <cellStyles count="47">
    <cellStyle name="Followed Hyperlink" xfId="3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2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  <cellStyle name="Normal 4" xfId="4"/>
    <cellStyle name="Title" xfId="1" builtinId="15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attleu.edu/core/faqs/%23Am_I_required_to_take_the_new_core_courses_in_sequence?" TargetMode="Externa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12700</xdr:colOff>
      <xdr:row>9</xdr:row>
      <xdr:rowOff>139700</xdr:rowOff>
    </xdr:from>
    <xdr:to>
      <xdr:col>23</xdr:col>
      <xdr:colOff>0</xdr:colOff>
      <xdr:row>11</xdr:row>
      <xdr:rowOff>114300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7378700" y="1778000"/>
          <a:ext cx="1333500" cy="34290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  <a:effectLst/>
        <a:extLst>
          <a:ext uri="{FAA26D3D-D897-4be2-8F04-BA451C77F1D7}">
            <ma14:placeholderFlag xmlns:ma14="http://schemas.microsoft.com/office/mac/drawingml/2011/main"/>
          </a:ext>
        </a:extLst>
      </xdr:spPr>
      <xdr:txBody>
        <a:bodyPr rot="0" vert="horz" wrap="square" lIns="137160" tIns="45720" rIns="137160" bIns="45720" anchor="ctr" anchorCtr="0" upright="1">
          <a:noAutofit/>
        </a:bodyPr>
        <a:lstStyle/>
        <a:p>
          <a:r>
            <a:rPr lang="en-US" sz="1150" b="1">
              <a:solidFill>
                <a:schemeClr val="bg1"/>
              </a:solidFill>
            </a:rPr>
            <a:t>Module</a:t>
          </a:r>
          <a:r>
            <a:rPr lang="en-US" sz="1150" b="1" baseline="0">
              <a:solidFill>
                <a:schemeClr val="bg1"/>
              </a:solidFill>
            </a:rPr>
            <a:t> I (cont.)</a:t>
          </a:r>
          <a:endParaRPr lang="en-US" sz="1150" b="1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228600</xdr:colOff>
      <xdr:row>11</xdr:row>
      <xdr:rowOff>139699</xdr:rowOff>
    </xdr:from>
    <xdr:to>
      <xdr:col>22</xdr:col>
      <xdr:colOff>520700</xdr:colOff>
      <xdr:row>16</xdr:row>
      <xdr:rowOff>76201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7594600" y="2146299"/>
          <a:ext cx="965200" cy="7874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FAA26D3D-D897-4be2-8F04-BA451C77F1D7}">
            <ma14:placeholderFlag xmlns:ma14="http://schemas.microsoft.com/office/mac/drawingml/2011/main"/>
          </a:ex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rot="0" vert="horz" wrap="square" lIns="91440" tIns="91440" rIns="91440" bIns="91440" anchor="t" anchorCtr="0" upright="1">
          <a:noAutofit/>
        </a:bodyPr>
        <a:lstStyle/>
        <a:p>
          <a:r>
            <a:rPr lang="en-US" sz="800">
              <a:latin typeface="Arial Narrow"/>
              <a:cs typeface="Arial Narrow"/>
            </a:rPr>
            <a:t> UCOR 1410-1440  </a:t>
          </a:r>
        </a:p>
        <a:p>
          <a:r>
            <a:rPr lang="en-US" sz="800">
              <a:latin typeface="Arial Narrow"/>
              <a:cs typeface="Arial Narrow"/>
            </a:rPr>
            <a:t>  </a:t>
          </a:r>
          <a:r>
            <a:rPr lang="en-US" sz="800" baseline="0">
              <a:latin typeface="Arial Narrow"/>
              <a:cs typeface="Arial Narrow"/>
            </a:rPr>
            <a:t> </a:t>
          </a:r>
          <a:endParaRPr lang="en-US" sz="800">
            <a:latin typeface="Arial Narrow"/>
            <a:cs typeface="Arial Narrow"/>
          </a:endParaRPr>
        </a:p>
        <a:p>
          <a:r>
            <a:rPr lang="en-US" sz="800" baseline="0">
              <a:latin typeface="Arial Narrow"/>
              <a:cs typeface="Arial Narrow"/>
            </a:rPr>
            <a:t>  </a:t>
          </a:r>
          <a:r>
            <a:rPr lang="en-US" sz="800">
              <a:latin typeface="Arial Narrow"/>
              <a:cs typeface="Arial Narrow"/>
            </a:rPr>
            <a:t>UCOR 1610-1640                     </a:t>
          </a:r>
        </a:p>
        <a:p>
          <a:r>
            <a:rPr lang="en-US" sz="800">
              <a:latin typeface="Arial Narrow"/>
              <a:cs typeface="Arial Narrow"/>
            </a:rPr>
            <a:t>    </a:t>
          </a:r>
        </a:p>
        <a:p>
          <a:r>
            <a:rPr lang="en-US" sz="800" baseline="0">
              <a:latin typeface="Arial Narrow"/>
              <a:cs typeface="Arial Narrow"/>
            </a:rPr>
            <a:t>  </a:t>
          </a:r>
          <a:r>
            <a:rPr lang="en-US" sz="800">
              <a:latin typeface="Arial Narrow"/>
              <a:cs typeface="Arial Narrow"/>
            </a:rPr>
            <a:t>UCOR 1810-1840</a:t>
          </a:r>
        </a:p>
        <a:p>
          <a:r>
            <a:rPr lang="en-US" sz="800">
              <a:latin typeface="Arial Narrow"/>
              <a:cs typeface="Arial Narrow"/>
            </a:rPr>
            <a:t>   </a:t>
          </a:r>
        </a:p>
      </xdr:txBody>
    </xdr:sp>
    <xdr:clientData/>
  </xdr:twoCellAnchor>
  <xdr:twoCellAnchor>
    <xdr:from>
      <xdr:col>21</xdr:col>
      <xdr:colOff>12700</xdr:colOff>
      <xdr:row>2</xdr:row>
      <xdr:rowOff>190500</xdr:rowOff>
    </xdr:from>
    <xdr:to>
      <xdr:col>23</xdr:col>
      <xdr:colOff>0</xdr:colOff>
      <xdr:row>5</xdr:row>
      <xdr:rowOff>12700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7378700" y="596900"/>
          <a:ext cx="1333500" cy="342900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  <a:effectLst/>
        <a:extLst>
          <a:ext uri="{FAA26D3D-D897-4be2-8F04-BA451C77F1D7}">
            <ma14:placeholderFlag xmlns:ma14="http://schemas.microsoft.com/office/mac/drawingml/2011/main"/>
          </a:ext>
        </a:extLst>
      </xdr:spPr>
      <xdr:txBody>
        <a:bodyPr rot="0" vert="horz" wrap="square" lIns="137160" tIns="45720" rIns="137160" bIns="45720" anchor="ctr" anchorCtr="0" upright="1">
          <a:noAutofit/>
        </a:bodyPr>
        <a:lstStyle/>
        <a:p>
          <a:pPr>
            <a:lnSpc>
              <a:spcPct val="100000"/>
            </a:lnSpc>
          </a:pPr>
          <a:r>
            <a:rPr lang="en-US" sz="1200" b="1">
              <a:solidFill>
                <a:schemeClr val="bg1"/>
              </a:solidFill>
              <a:latin typeface="Arial Narrow"/>
              <a:cs typeface="Arial Narrow"/>
            </a:rPr>
            <a:t>Module</a:t>
          </a:r>
          <a:r>
            <a:rPr lang="en-US" sz="1200" b="1" baseline="0">
              <a:solidFill>
                <a:schemeClr val="bg1"/>
              </a:solidFill>
              <a:latin typeface="Arial Narrow"/>
              <a:cs typeface="Arial Narrow"/>
            </a:rPr>
            <a:t> I</a:t>
          </a:r>
          <a:endParaRPr lang="en-US" sz="1200" b="1">
            <a:solidFill>
              <a:schemeClr val="bg1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21</xdr:col>
      <xdr:colOff>12700</xdr:colOff>
      <xdr:row>16</xdr:row>
      <xdr:rowOff>88900</xdr:rowOff>
    </xdr:from>
    <xdr:to>
      <xdr:col>23</xdr:col>
      <xdr:colOff>0</xdr:colOff>
      <xdr:row>18</xdr:row>
      <xdr:rowOff>63500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7378700" y="2946400"/>
          <a:ext cx="1333500" cy="3429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  <a:effectLst/>
        <a:extLst>
          <a:ext uri="{FAA26D3D-D897-4be2-8F04-BA451C77F1D7}">
            <ma14:placeholderFlag xmlns:ma14="http://schemas.microsoft.com/office/mac/drawingml/2011/main"/>
          </a:ext>
        </a:extLst>
      </xdr:spPr>
      <xdr:txBody>
        <a:bodyPr rot="0" vert="horz" wrap="square" lIns="137160" tIns="45720" rIns="137160" bIns="45720" anchor="ctr" anchorCtr="0" upright="1">
          <a:noAutofit/>
        </a:bodyPr>
        <a:lstStyle/>
        <a:p>
          <a:r>
            <a:rPr lang="en-US" sz="1200" b="1">
              <a:solidFill>
                <a:schemeClr val="bg1"/>
              </a:solidFill>
              <a:latin typeface=""/>
            </a:rPr>
            <a:t>Module II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5</xdr:row>
          <xdr:rowOff>76200</xdr:rowOff>
        </xdr:from>
        <xdr:to>
          <xdr:col>24</xdr:col>
          <xdr:colOff>571500</xdr:colOff>
          <xdr:row>6</xdr:row>
          <xdr:rowOff>114300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6</xdr:row>
          <xdr:rowOff>139700</xdr:rowOff>
        </xdr:from>
        <xdr:to>
          <xdr:col>24</xdr:col>
          <xdr:colOff>571500</xdr:colOff>
          <xdr:row>8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76200</xdr:colOff>
          <xdr:row>8</xdr:row>
          <xdr:rowOff>12700</xdr:rowOff>
        </xdr:from>
        <xdr:to>
          <xdr:col>22</xdr:col>
          <xdr:colOff>254000</xdr:colOff>
          <xdr:row>9</xdr:row>
          <xdr:rowOff>50800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>
    <xdr:from>
      <xdr:col>21</xdr:col>
      <xdr:colOff>279400</xdr:colOff>
      <xdr:row>5</xdr:row>
      <xdr:rowOff>31751</xdr:rowOff>
    </xdr:from>
    <xdr:to>
      <xdr:col>22</xdr:col>
      <xdr:colOff>419100</xdr:colOff>
      <xdr:row>10</xdr:row>
      <xdr:rowOff>63501</xdr:rowOff>
    </xdr:to>
    <xdr:sp macro="" textlink="">
      <xdr:nvSpPr>
        <xdr:cNvPr id="16" name="Text Box 21"/>
        <xdr:cNvSpPr txBox="1">
          <a:spLocks noChangeArrowheads="1"/>
        </xdr:cNvSpPr>
      </xdr:nvSpPr>
      <xdr:spPr bwMode="auto">
        <a:xfrm>
          <a:off x="7645400" y="958851"/>
          <a:ext cx="81280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FAA26D3D-D897-4be2-8F04-BA451C77F1D7}">
            <ma14:placeholderFlag xmlns:ma14="http://schemas.microsoft.com/office/mac/drawingml/2011/main"/>
          </a:ex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rot="0" vert="horz" wrap="square" lIns="91440" tIns="91440" rIns="91440" bIns="91440" anchor="t" anchorCtr="0" upright="1">
          <a:noAutofit/>
        </a:bodyPr>
        <a:lstStyle/>
        <a:p>
          <a:r>
            <a:rPr lang="en-US" sz="800">
              <a:solidFill>
                <a:schemeClr val="tx1"/>
              </a:solidFill>
              <a:latin typeface="Arial Narrow"/>
              <a:cs typeface="Arial Narrow"/>
            </a:rPr>
            <a:t>UCOR 1110</a:t>
          </a:r>
        </a:p>
        <a:p>
          <a:endParaRPr lang="en-US" sz="800">
            <a:solidFill>
              <a:schemeClr val="tx1"/>
            </a:solidFill>
            <a:latin typeface="Arial Narrow"/>
            <a:cs typeface="Arial Narrow"/>
          </a:endParaRPr>
        </a:p>
        <a:p>
          <a:r>
            <a:rPr lang="en-US" sz="800">
              <a:solidFill>
                <a:schemeClr val="tx1"/>
              </a:solidFill>
              <a:latin typeface="Arial Narrow"/>
              <a:cs typeface="Arial Narrow"/>
            </a:rPr>
            <a:t>UCOR</a:t>
          </a:r>
          <a:r>
            <a:rPr lang="en-US" sz="800" baseline="0">
              <a:solidFill>
                <a:schemeClr val="tx1"/>
              </a:solidFill>
              <a:latin typeface="Arial Narrow"/>
              <a:cs typeface="Arial Narrow"/>
            </a:rPr>
            <a:t> 1200</a:t>
          </a:r>
        </a:p>
        <a:p>
          <a:endParaRPr lang="en-US" sz="800" baseline="0">
            <a:solidFill>
              <a:schemeClr val="tx1"/>
            </a:solidFill>
            <a:latin typeface="Arial Narrow"/>
            <a:cs typeface="Arial Narrow"/>
          </a:endParaRPr>
        </a:p>
        <a:p>
          <a:r>
            <a:rPr lang="en-US" sz="800" baseline="0">
              <a:solidFill>
                <a:schemeClr val="tx1"/>
              </a:solidFill>
              <a:latin typeface="Arial Narrow"/>
              <a:cs typeface="Arial Narrow"/>
            </a:rPr>
            <a:t>UCOR 1300</a:t>
          </a:r>
          <a:endParaRPr lang="en-US" sz="800">
            <a:solidFill>
              <a:schemeClr val="tx1"/>
            </a:solidFill>
            <a:latin typeface="Arial Narrow"/>
            <a:cs typeface="Arial Narrow"/>
          </a:endParaRPr>
        </a:p>
      </xdr:txBody>
    </xdr:sp>
    <xdr:clientData/>
  </xdr:twoCellAnchor>
  <xdr:twoCellAnchor>
    <xdr:from>
      <xdr:col>21</xdr:col>
      <xdr:colOff>266700</xdr:colOff>
      <xdr:row>18</xdr:row>
      <xdr:rowOff>50800</xdr:rowOff>
    </xdr:from>
    <xdr:to>
      <xdr:col>22</xdr:col>
      <xdr:colOff>596900</xdr:colOff>
      <xdr:row>23</xdr:row>
      <xdr:rowOff>133350</xdr:rowOff>
    </xdr:to>
    <xdr:sp macro="" textlink="">
      <xdr:nvSpPr>
        <xdr:cNvPr id="17" name="Text Box 21"/>
        <xdr:cNvSpPr txBox="1">
          <a:spLocks noChangeArrowheads="1"/>
        </xdr:cNvSpPr>
      </xdr:nvSpPr>
      <xdr:spPr bwMode="auto">
        <a:xfrm>
          <a:off x="7632700" y="3276600"/>
          <a:ext cx="100330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FAA26D3D-D897-4be2-8F04-BA451C77F1D7}">
            <ma14:placeholderFlag xmlns:ma14="http://schemas.microsoft.com/office/mac/drawingml/2011/main"/>
          </a:ex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rot="0" vert="horz" wrap="square" lIns="91440" tIns="91440" rIns="91440" bIns="91440" anchor="t" anchorCtr="0" upright="1">
          <a:noAutofit/>
        </a:bodyPr>
        <a:lstStyle/>
        <a:p>
          <a:r>
            <a:rPr lang="en-US" sz="800">
              <a:latin typeface="Arial"/>
              <a:cs typeface="Arial"/>
            </a:rPr>
            <a:t>UCOR 2100 </a:t>
          </a:r>
        </a:p>
        <a:p>
          <a:endParaRPr lang="en-US" sz="800" i="1">
            <a:latin typeface="Arial"/>
            <a:cs typeface="Arial"/>
          </a:endParaRPr>
        </a:p>
        <a:p>
          <a:r>
            <a:rPr lang="en-US" sz="800" i="0">
              <a:latin typeface="Arial"/>
              <a:cs typeface="Arial"/>
            </a:rPr>
            <a:t>UCOR 2500</a:t>
          </a:r>
        </a:p>
        <a:p>
          <a:endParaRPr lang="en-US" sz="800" i="0">
            <a:latin typeface="Arial"/>
            <a:cs typeface="Arial"/>
          </a:endParaRPr>
        </a:p>
        <a:p>
          <a:r>
            <a:rPr lang="en-US" sz="800" i="0">
              <a:latin typeface="Arial"/>
              <a:cs typeface="Arial"/>
            </a:rPr>
            <a:t>UCOR 2900-2920</a:t>
          </a:r>
        </a:p>
        <a:p>
          <a:endParaRPr lang="en-US" sz="800" i="0"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279400</xdr:colOff>
      <xdr:row>24</xdr:row>
      <xdr:rowOff>152400</xdr:rowOff>
    </xdr:from>
    <xdr:to>
      <xdr:col>22</xdr:col>
      <xdr:colOff>558800</xdr:colOff>
      <xdr:row>31</xdr:row>
      <xdr:rowOff>114300</xdr:rowOff>
    </xdr:to>
    <xdr:sp macro="" textlink="">
      <xdr:nvSpPr>
        <xdr:cNvPr id="18" name="Text Box 21"/>
        <xdr:cNvSpPr txBox="1">
          <a:spLocks noChangeArrowheads="1"/>
        </xdr:cNvSpPr>
      </xdr:nvSpPr>
      <xdr:spPr bwMode="auto">
        <a:xfrm>
          <a:off x="7645400" y="4394200"/>
          <a:ext cx="952500" cy="113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FAA26D3D-D897-4be2-8F04-BA451C77F1D7}">
            <ma14:placeholderFlag xmlns:ma14="http://schemas.microsoft.com/office/mac/drawingml/2011/main"/>
          </a:ex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rot="0" vert="horz" wrap="square" lIns="91440" tIns="91440" rIns="91440" bIns="91440" anchor="t" anchorCtr="0" upright="1">
          <a:noAutofit/>
        </a:bodyPr>
        <a:lstStyle/>
        <a:p>
          <a:r>
            <a:rPr lang="en-US" sz="800">
              <a:latin typeface="Arial Narrow"/>
              <a:cs typeface="Arial Narrow"/>
            </a:rPr>
            <a:t>UCOR 3100</a:t>
          </a:r>
        </a:p>
        <a:p>
          <a:endParaRPr lang="en-US" sz="800">
            <a:latin typeface="Arial Narrow"/>
            <a:cs typeface="Arial Narrow"/>
          </a:endParaRPr>
        </a:p>
        <a:p>
          <a:r>
            <a:rPr lang="en-US" sz="1000" b="1">
              <a:solidFill>
                <a:schemeClr val="accent2">
                  <a:lumMod val="50000"/>
                </a:schemeClr>
              </a:solidFill>
              <a:latin typeface="Arial Narrow"/>
              <a:cs typeface="Arial Narrow"/>
            </a:rPr>
            <a:t>Two</a:t>
          </a:r>
          <a:r>
            <a:rPr lang="en-US" sz="1000" b="1" baseline="0">
              <a:solidFill>
                <a:schemeClr val="accent2">
                  <a:lumMod val="50000"/>
                </a:schemeClr>
              </a:solidFill>
              <a:latin typeface="Arial Narrow"/>
              <a:cs typeface="Arial Narrow"/>
            </a:rPr>
            <a:t> of:</a:t>
          </a:r>
        </a:p>
        <a:p>
          <a:r>
            <a:rPr lang="en-US" sz="800" baseline="0">
              <a:latin typeface="Arial Narrow"/>
              <a:cs typeface="Arial Narrow"/>
            </a:rPr>
            <a:t>UCOR 3410-3440</a:t>
          </a:r>
        </a:p>
        <a:p>
          <a:endParaRPr lang="en-US" sz="800" baseline="0">
            <a:latin typeface="Arial Narrow"/>
            <a:cs typeface="Arial Narrow"/>
          </a:endParaRPr>
        </a:p>
        <a:p>
          <a:r>
            <a:rPr lang="en-US" sz="800" baseline="0">
              <a:latin typeface="Arial Narrow"/>
              <a:cs typeface="Arial Narrow"/>
            </a:rPr>
            <a:t>UCOR 3610-3640</a:t>
          </a:r>
        </a:p>
        <a:p>
          <a:endParaRPr lang="en-US" sz="800" baseline="0">
            <a:latin typeface="Arial Narrow"/>
            <a:cs typeface="Arial Narrow"/>
          </a:endParaRPr>
        </a:p>
        <a:p>
          <a:r>
            <a:rPr lang="en-US" sz="800" baseline="0">
              <a:latin typeface="Arial Narrow"/>
              <a:cs typeface="Arial Narrow"/>
            </a:rPr>
            <a:t>UCOR 3810-3840</a:t>
          </a:r>
          <a:endParaRPr lang="en-US" sz="800">
            <a:latin typeface="Arial Narrow"/>
            <a:cs typeface="Arial Narrow"/>
          </a:endParaRPr>
        </a:p>
      </xdr:txBody>
    </xdr:sp>
    <xdr:clientData/>
  </xdr:twoCellAnchor>
  <xdr:twoCellAnchor>
    <xdr:from>
      <xdr:col>21</xdr:col>
      <xdr:colOff>12700</xdr:colOff>
      <xdr:row>23</xdr:row>
      <xdr:rowOff>0</xdr:rowOff>
    </xdr:from>
    <xdr:to>
      <xdr:col>23</xdr:col>
      <xdr:colOff>0</xdr:colOff>
      <xdr:row>24</xdr:row>
      <xdr:rowOff>165100</xdr:rowOff>
    </xdr:to>
    <xdr:sp macro="" textlink="">
      <xdr:nvSpPr>
        <xdr:cNvPr id="19" name="Rectangle 18"/>
        <xdr:cNvSpPr>
          <a:spLocks noChangeArrowheads="1"/>
        </xdr:cNvSpPr>
      </xdr:nvSpPr>
      <xdr:spPr bwMode="auto">
        <a:xfrm>
          <a:off x="7378700" y="4064000"/>
          <a:ext cx="1333500" cy="3429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  <a:extLst>
          <a:ext uri="{FAA26D3D-D897-4be2-8F04-BA451C77F1D7}">
            <ma14:placeholderFlag xmlns:ma14="http://schemas.microsoft.com/office/mac/drawingml/2011/main"/>
          </a:ext>
        </a:extLst>
      </xdr:spPr>
      <xdr:txBody>
        <a:bodyPr rot="0" vert="horz" wrap="square" lIns="137160" tIns="45720" rIns="137160" bIns="45720" anchor="ctr" anchorCtr="0" upright="1">
          <a:noAutofit/>
        </a:bodyPr>
        <a:lstStyle/>
        <a:p>
          <a:r>
            <a:rPr lang="en-US" sz="1200" b="1">
              <a:solidFill>
                <a:schemeClr val="bg1"/>
              </a:solidFill>
              <a:latin typeface=""/>
            </a:rPr>
            <a:t>Module III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11</xdr:row>
          <xdr:rowOff>165100</xdr:rowOff>
        </xdr:from>
        <xdr:to>
          <xdr:col>22</xdr:col>
          <xdr:colOff>266700</xdr:colOff>
          <xdr:row>13</xdr:row>
          <xdr:rowOff>63500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13</xdr:row>
          <xdr:rowOff>101600</xdr:rowOff>
        </xdr:from>
        <xdr:to>
          <xdr:col>22</xdr:col>
          <xdr:colOff>266700</xdr:colOff>
          <xdr:row>14</xdr:row>
          <xdr:rowOff>139700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14</xdr:row>
          <xdr:rowOff>165100</xdr:rowOff>
        </xdr:from>
        <xdr:to>
          <xdr:col>22</xdr:col>
          <xdr:colOff>266700</xdr:colOff>
          <xdr:row>16</xdr:row>
          <xdr:rowOff>25400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18</xdr:row>
          <xdr:rowOff>88900</xdr:rowOff>
        </xdr:from>
        <xdr:to>
          <xdr:col>22</xdr:col>
          <xdr:colOff>266700</xdr:colOff>
          <xdr:row>19</xdr:row>
          <xdr:rowOff>114300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19</xdr:row>
          <xdr:rowOff>127000</xdr:rowOff>
        </xdr:from>
        <xdr:to>
          <xdr:col>22</xdr:col>
          <xdr:colOff>266700</xdr:colOff>
          <xdr:row>21</xdr:row>
          <xdr:rowOff>50800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88900</xdr:colOff>
          <xdr:row>21</xdr:row>
          <xdr:rowOff>76200</xdr:rowOff>
        </xdr:from>
        <xdr:to>
          <xdr:col>22</xdr:col>
          <xdr:colOff>266700</xdr:colOff>
          <xdr:row>22</xdr:row>
          <xdr:rowOff>114300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101600</xdr:colOff>
          <xdr:row>25</xdr:row>
          <xdr:rowOff>12700</xdr:rowOff>
        </xdr:from>
        <xdr:to>
          <xdr:col>22</xdr:col>
          <xdr:colOff>279400</xdr:colOff>
          <xdr:row>26</xdr:row>
          <xdr:rowOff>50800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101600</xdr:colOff>
          <xdr:row>28</xdr:row>
          <xdr:rowOff>0</xdr:rowOff>
        </xdr:from>
        <xdr:to>
          <xdr:col>22</xdr:col>
          <xdr:colOff>279400</xdr:colOff>
          <xdr:row>29</xdr:row>
          <xdr:rowOff>101600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101600</xdr:colOff>
          <xdr:row>30</xdr:row>
          <xdr:rowOff>0</xdr:rowOff>
        </xdr:from>
        <xdr:to>
          <xdr:col>22</xdr:col>
          <xdr:colOff>279400</xdr:colOff>
          <xdr:row>31</xdr:row>
          <xdr:rowOff>38100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LocksWithSheet="0"/>
      </xdr:twoCellAnchor>
    </mc:Choice>
    <mc:Fallback/>
  </mc:AlternateContent>
  <xdr:twoCellAnchor editAs="oneCell">
    <xdr:from>
      <xdr:col>22</xdr:col>
      <xdr:colOff>342900</xdr:colOff>
      <xdr:row>19</xdr:row>
      <xdr:rowOff>0</xdr:rowOff>
    </xdr:from>
    <xdr:to>
      <xdr:col>22</xdr:col>
      <xdr:colOff>586741</xdr:colOff>
      <xdr:row>20</xdr:row>
      <xdr:rowOff>114300</xdr:rowOff>
    </xdr:to>
    <xdr:pic>
      <xdr:nvPicPr>
        <xdr:cNvPr id="8" name="Picture 7" descr="questionMarkBlueCircleSmall.png">
          <a:hlinkClick xmlns:r="http://schemas.openxmlformats.org/officeDocument/2006/relationships" r:id="rId1" tooltip="Click this link for important prerequisite information about these courses.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3416300"/>
          <a:ext cx="243841" cy="279400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25</xdr:row>
      <xdr:rowOff>88900</xdr:rowOff>
    </xdr:from>
    <xdr:to>
      <xdr:col>22</xdr:col>
      <xdr:colOff>586741</xdr:colOff>
      <xdr:row>27</xdr:row>
      <xdr:rowOff>12700</xdr:rowOff>
    </xdr:to>
    <xdr:pic>
      <xdr:nvPicPr>
        <xdr:cNvPr id="31" name="Picture 30" descr="questionMarkBlueCircleSmall.png">
          <a:hlinkClick xmlns:r="http://schemas.openxmlformats.org/officeDocument/2006/relationships" r:id="rId1" tooltip="Click this link for important prerequisite information about these courses.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4508500"/>
          <a:ext cx="243841" cy="27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9" Type="http://schemas.openxmlformats.org/officeDocument/2006/relationships/ctrlProp" Target="../ctrlProps/ctrlProp7.xml"/><Relationship Id="rId10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5"/>
  <sheetViews>
    <sheetView showGridLines="0" tabSelected="1" view="pageLayout" topLeftCell="B1" workbookViewId="0">
      <selection activeCell="R8" sqref="R8"/>
    </sheetView>
  </sheetViews>
  <sheetFormatPr baseColWidth="10" defaultColWidth="8.83203125" defaultRowHeight="12" x14ac:dyDescent="0"/>
  <cols>
    <col min="1" max="1" width="8.83203125" hidden="1" customWidth="1"/>
    <col min="2" max="2" width="10.83203125" customWidth="1"/>
    <col min="3" max="4" width="6.6640625" customWidth="1"/>
    <col min="5" max="6" width="7" hidden="1" customWidth="1"/>
    <col min="7" max="7" width="10.83203125" customWidth="1"/>
    <col min="8" max="9" width="6.6640625" customWidth="1"/>
    <col min="10" max="10" width="7" hidden="1" customWidth="1"/>
    <col min="11" max="11" width="8.83203125" hidden="1" customWidth="1"/>
    <col min="12" max="12" width="10.83203125" customWidth="1"/>
    <col min="13" max="14" width="6.6640625" customWidth="1"/>
    <col min="15" max="16" width="8.83203125" hidden="1" customWidth="1"/>
    <col min="17" max="17" width="10.83203125" customWidth="1"/>
    <col min="18" max="19" width="6.6640625" customWidth="1"/>
    <col min="20" max="21" width="8.83203125" hidden="1" customWidth="1"/>
    <col min="22" max="23" width="8.83203125" customWidth="1"/>
    <col min="24" max="24" width="0" hidden="1" customWidth="1"/>
  </cols>
  <sheetData>
    <row r="1" spans="1:24" s="5" customFormat="1" ht="15" customHeight="1">
      <c r="A1" s="5" t="s">
        <v>3</v>
      </c>
      <c r="B1" s="25" t="s">
        <v>25</v>
      </c>
      <c r="C1" s="48"/>
      <c r="D1" s="49"/>
      <c r="E1" s="12"/>
      <c r="F1" s="12"/>
      <c r="G1" s="76" t="s">
        <v>32</v>
      </c>
      <c r="H1" s="73" t="s">
        <v>30</v>
      </c>
      <c r="I1" s="73" t="s">
        <v>31</v>
      </c>
      <c r="J1" s="45"/>
      <c r="K1" s="45"/>
      <c r="L1" s="70" t="s">
        <v>33</v>
      </c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</row>
    <row r="2" spans="1:24" s="5" customFormat="1" ht="17" customHeight="1" thickBot="1">
      <c r="A2" s="5" t="s">
        <v>6</v>
      </c>
      <c r="B2" s="26" t="s">
        <v>26</v>
      </c>
      <c r="C2" s="50"/>
      <c r="D2" s="51"/>
      <c r="E2" s="11"/>
      <c r="F2" s="11"/>
      <c r="G2" s="77"/>
      <c r="H2" s="74"/>
      <c r="I2" s="75"/>
      <c r="J2" s="45"/>
      <c r="K2" s="45"/>
      <c r="L2" s="79" t="s">
        <v>35</v>
      </c>
      <c r="M2" s="80"/>
      <c r="N2" s="80"/>
      <c r="O2" s="80"/>
      <c r="P2" s="80"/>
      <c r="Q2" s="80"/>
      <c r="R2" s="80"/>
      <c r="S2" s="80"/>
      <c r="T2" s="80"/>
      <c r="U2" s="80"/>
      <c r="V2" s="80"/>
      <c r="W2" s="81"/>
    </row>
    <row r="3" spans="1:24" s="5" customFormat="1" ht="16" customHeight="1" thickBot="1">
      <c r="B3" s="27" t="s">
        <v>27</v>
      </c>
      <c r="C3" s="60"/>
      <c r="D3" s="61"/>
      <c r="E3" s="8"/>
      <c r="F3" s="8"/>
      <c r="G3" s="78"/>
      <c r="H3" s="46"/>
      <c r="I3" s="47"/>
      <c r="J3" s="45"/>
      <c r="K3" s="45"/>
      <c r="L3" s="82"/>
      <c r="M3" s="83"/>
      <c r="N3" s="83"/>
      <c r="O3" s="83"/>
      <c r="P3" s="83"/>
      <c r="Q3" s="83"/>
      <c r="R3" s="83"/>
      <c r="S3" s="83"/>
      <c r="T3" s="83"/>
      <c r="U3" s="83"/>
      <c r="V3" s="83"/>
      <c r="W3" s="84"/>
      <c r="X3" s="5" t="s">
        <v>28</v>
      </c>
    </row>
    <row r="4" spans="1:24" s="3" customFormat="1" ht="15" customHeight="1" thickBot="1">
      <c r="A4" s="14" t="s">
        <v>11</v>
      </c>
      <c r="B4" s="69" t="s">
        <v>18</v>
      </c>
      <c r="C4" s="53"/>
      <c r="D4" s="53"/>
      <c r="E4" s="59"/>
      <c r="F4" s="7"/>
      <c r="G4" s="55" t="s">
        <v>17</v>
      </c>
      <c r="H4" s="56"/>
      <c r="I4" s="56"/>
      <c r="J4" s="56"/>
      <c r="K4" s="28"/>
      <c r="L4" s="52" t="s">
        <v>34</v>
      </c>
      <c r="M4" s="53"/>
      <c r="N4" s="53"/>
      <c r="O4" s="53"/>
      <c r="P4" s="24"/>
      <c r="Q4" s="52" t="s">
        <v>20</v>
      </c>
      <c r="R4" s="53"/>
      <c r="S4" s="53"/>
      <c r="T4" s="54"/>
      <c r="U4" s="24"/>
      <c r="X4" s="3">
        <f>SUM(E11,E19,E27,E35,J11,J19,J27,J35,O11,O19,O27,O35,T11,T19,T27,T35,I3)</f>
        <v>0</v>
      </c>
    </row>
    <row r="5" spans="1:24" ht="10" customHeight="1">
      <c r="A5" s="13" t="s">
        <v>13</v>
      </c>
      <c r="B5" s="23" t="s">
        <v>0</v>
      </c>
      <c r="C5" s="1" t="s">
        <v>1</v>
      </c>
      <c r="D5" s="1" t="s">
        <v>2</v>
      </c>
      <c r="E5" s="9" t="s">
        <v>4</v>
      </c>
      <c r="F5" s="9" t="s">
        <v>5</v>
      </c>
      <c r="G5" s="4" t="s">
        <v>0</v>
      </c>
      <c r="H5" s="1" t="s">
        <v>1</v>
      </c>
      <c r="I5" s="1" t="s">
        <v>2</v>
      </c>
      <c r="J5" s="9" t="s">
        <v>4</v>
      </c>
      <c r="K5" s="9" t="s">
        <v>5</v>
      </c>
      <c r="L5" s="4" t="s">
        <v>0</v>
      </c>
      <c r="M5" s="1" t="s">
        <v>1</v>
      </c>
      <c r="N5" s="1" t="s">
        <v>2</v>
      </c>
      <c r="O5" s="9" t="s">
        <v>4</v>
      </c>
      <c r="P5" s="9" t="s">
        <v>5</v>
      </c>
      <c r="Q5" s="4" t="s">
        <v>0</v>
      </c>
      <c r="R5" s="1" t="s">
        <v>1</v>
      </c>
      <c r="S5" s="1" t="s">
        <v>2</v>
      </c>
      <c r="T5" s="9" t="s">
        <v>4</v>
      </c>
      <c r="U5" s="9" t="s">
        <v>5</v>
      </c>
      <c r="X5" t="s">
        <v>29</v>
      </c>
    </row>
    <row r="6" spans="1:24" ht="14" customHeight="1">
      <c r="A6" s="13" t="s">
        <v>14</v>
      </c>
      <c r="B6" s="35"/>
      <c r="C6" s="36"/>
      <c r="D6" s="36"/>
      <c r="E6" s="36" t="str">
        <f>IF(D6="A",C6,IF(D6="R","",IF(D6="B",C6,IF(D6="C",C6,IF(D6="D",C6,IF(D6="F",C6,IF(D6="A-",C6,IF(D6="B+",C6,IF(D6="B-",C6,IF(D6="C+",C6,IF(D6="C-",C6,IF(D6="D+",C6,IF(D6="D-",C6," ")))))))))))))</f>
        <v xml:space="preserve"> </v>
      </c>
      <c r="F6" s="36" t="str">
        <f>IF(D6="A",4*E6,IF(D6="R","",IF(D6="C-",1.7*E6,IF(D6="D-",0.7*E6,IF(D6="B+",3.3*E6,IF(D6="B-",2.7*E6,IF(D6="C+",2.3*E6,IF(D6="A-",3.7*E6,IF(D6="B",3*E6,IF(D6="C",2*E6,IF(D6="D",1*E6,IF(D6="F","0",""))))))))))))</f>
        <v/>
      </c>
      <c r="G6" s="35"/>
      <c r="H6" s="36"/>
      <c r="I6" s="36"/>
      <c r="J6" s="36" t="str">
        <f>IF(I6="A",H6,IF(I6="B",H6,IF(I6="C",H6,IF(I6="D",H6,IF(I6="F",H6,IF(I6="A-",H6,IF(I6="B+",H6,IF(I6="B-",H6,IF(I6="C+",H6,IF(I6="C-",H6,IF(I6="D+",H6,IF(I6="D-",H6," "))))))))))))</f>
        <v xml:space="preserve"> </v>
      </c>
      <c r="K6" s="36" t="str">
        <f>IF(I6="A",4*J6,IF(I6="C-",1.7*J6,IF(I6="D-",0.7*J6,IF(I6="B+",3.3*J6,IF(I6="B-",2.7*J6,IF(I6="C+",2.3*J6,IF(I6="A-",3.7*J6,IF(I6="B",3*J6,IF(I6="C",2*J6,IF(I6="D",1*J6,IF(I6="F","0","")))))))))))</f>
        <v/>
      </c>
      <c r="L6" s="35"/>
      <c r="M6" s="36"/>
      <c r="N6" s="36"/>
      <c r="O6" s="36" t="str">
        <f>IF(N6="A",M6,IF(N6="B",M6,IF(N6="C",M6,IF(N6="D",M6,IF(N6="F",M6,IF(N6="A-",M6,IF(N6="B+",M6,IF(N6="B-",M6,IF(N6="C+",M6,IF(N6="C-",M6,IF(N6="D+",M6,IF(N6="D-",M6," "))))))))))))</f>
        <v xml:space="preserve"> </v>
      </c>
      <c r="P6" s="36" t="str">
        <f>IF(N6="A",4*O6,IF(N6="C-",1.7*O6,IF(N6="D-",0.7*O6,IF(N6="B+",3.3*O6,IF(N6="B-",2.7*O6,IF(N6="C+",2.3*O6,IF(N6="A-",3.7*O6,IF(N6="B",3*O6,IF(N6="C",2*O6,IF(N6="D",1*O6,IF(N6="F","0","")))))))))))</f>
        <v/>
      </c>
      <c r="Q6" s="35"/>
      <c r="R6" s="36"/>
      <c r="S6" s="36"/>
      <c r="T6" s="2" t="str">
        <f>IF(S6="A",R6,IF(S6="B",R6,IF(S6="C",R6,IF(S6="D",R6,IF(S6="F",R6,IF(S6="A-",R6,IF(S6="B+",R6,IF(S6="B-",R6,IF(S6="C+",R6,IF(S6="C-",R6,IF(S6="D+",R6,IF(S6="D-",R6," "))))))))))))</f>
        <v xml:space="preserve"> </v>
      </c>
      <c r="U6" s="2" t="str">
        <f>IF(S6="A",4*T6,IF(S6="C-",1.7*T6,IF(S6="D-",0.7*T6,IF(S6="B+",3.3*T6,IF(S6="B-",2.7*T6,IF(S6="C+",2.3*T6,IF(S6="A-",3.7*T6,IF(S6="B",3*T6,IF(S6="C",2*T6,IF(S6="D",1*T6,IF(S6="F","0","")))))))))))</f>
        <v/>
      </c>
      <c r="V6" s="64"/>
      <c r="W6" s="65"/>
      <c r="X6">
        <f>SUM(F11,F19,F27,F35,K11,K19,K27,K35,P11,P19,U11,U19,U27,U35,P35,P27,X35)</f>
        <v>0</v>
      </c>
    </row>
    <row r="7" spans="1:24" ht="14" customHeight="1">
      <c r="A7" s="13" t="s">
        <v>10</v>
      </c>
      <c r="B7" s="35"/>
      <c r="C7" s="36"/>
      <c r="D7" s="36"/>
      <c r="E7" s="36" t="str">
        <f>IF(D7="A",C7,IF(D7="R","",IF(D7="B",C7,IF(D7="C",C7,IF(D7="D",C7,IF(D7="F",C7,IF(D7="A-",C7,IF(D7="B+",C7,IF(D7="B-",C7,IF(D7="C+",C7,IF(D7="C-",C7,IF(D7="D+",C7,IF(D7="D-",C7," ")))))))))))))</f>
        <v xml:space="preserve"> </v>
      </c>
      <c r="F7" s="36" t="str">
        <f>IF(D7="A",4*E7,IF(D7="R","",IF(D7="C-",1.7*E7,IF(D7="D-",0.7*E7,IF(D7="B+",3.3*E7,IF(D7="B-",2.7*E7,IF(D7="C+",2.3*E7,IF(D7="A-",3.7*E7,IF(D7="B",3*E7,IF(D7="C",2*E7,IF(D7="D",1*E7,IF(D7="F","0",""))))))))))))</f>
        <v/>
      </c>
      <c r="G7" s="35"/>
      <c r="H7" s="36"/>
      <c r="I7" s="36"/>
      <c r="J7" s="36" t="str">
        <f>IF(I7="A",H7,IF(I7="B",H7,IF(I7="C",H7,IF(I7="D",H7,IF(I7="F",H7,IF(I7="A-",H7,IF(I7="B+",H7,IF(I7="B-",H7,IF(I7="C+",H7,IF(I7="C-",H7,IF(I7="D+",H7,IF(I7="D-",H7," "))))))))))))</f>
        <v xml:space="preserve"> </v>
      </c>
      <c r="K7" s="36" t="str">
        <f>IF(I7="A",4*J6,IF(I7="C-",1.7*J6,IF(I7="D-",0.7*J6,IF(I7="B+",3.3*J6,IF(I7="B-",2.7*J6,IF(I7="C+",2.3*J6,IF(I7="A-",3.7*J6,IF(I7="B",3*J6,IF(I7="C",2*J6,IF(I7="D",1*J6,IF(I7="F","0","")))))))))))</f>
        <v/>
      </c>
      <c r="L7" s="35"/>
      <c r="M7" s="36"/>
      <c r="N7" s="36"/>
      <c r="O7" s="36" t="str">
        <f>IF(N7="A",M7,IF(N7="B",M7,IF(N7="C",M7,IF(N7="D",M7,IF(N7="F",M7,IF(N7="A-",M7,IF(N7="B+",M7,IF(N7="B-",M7,IF(N7="C+",M7,IF(N7="C-",M7,IF(N7="D+",M7,IF(N7="D-",M7," "))))))))))))</f>
        <v xml:space="preserve"> </v>
      </c>
      <c r="P7" s="36" t="str">
        <f>IF(N7="A",4*O6,IF(N7="C-",1.7*O6,IF(N7="D-",0.7*O6,IF(N7="B+",3.3*O6,IF(N7="B-",2.7*O6,IF(N7="C+",2.3*O6,IF(N7="A-",3.7*O6,IF(N7="B",3*O6,IF(N7="C",2*O6,IF(N7="D",1*O6,IF(N7="F","0","")))))))))))</f>
        <v/>
      </c>
      <c r="Q7" s="35"/>
      <c r="R7" s="36"/>
      <c r="S7" s="36"/>
      <c r="T7" s="2" t="str">
        <f>IF(S7="A",R7,IF(S7="B",R7,IF(S7="C",R7,IF(S7="D",R7,IF(S7="F",R7,IF(S7="A-",R7,IF(S7="B+",R7,IF(S7="B-",R7,IF(S7="C+",R7,IF(S7="C-",R7,IF(S7="D+",R7,IF(S7="D-",R7," "))))))))))))</f>
        <v xml:space="preserve"> </v>
      </c>
      <c r="U7" s="2" t="str">
        <f>IF(S7="A",4*T6,IF(S7="C-",1.7*T6,IF(S7="D-",0.7*T6,IF(S7="B+",3.3*T6,IF(S7="B-",2.7*T6,IF(S7="C+",2.3*T6,IF(S7="A-",3.7*T6,IF(S7="B",3*T6,IF(S7="C",2*T6,IF(S7="D",1*T6,IF(S7="F","0","")))))))))))</f>
        <v/>
      </c>
      <c r="V7" s="64"/>
      <c r="W7" s="65"/>
    </row>
    <row r="8" spans="1:24" ht="14" customHeight="1">
      <c r="A8" s="13"/>
      <c r="B8" s="35"/>
      <c r="C8" s="36"/>
      <c r="D8" s="36"/>
      <c r="E8" s="36" t="str">
        <f>IF(D8="A",C8,IF(D8="R","",IF(D8="B",C8,IF(D8="C",C8,IF(D8="D",C8,IF(D8="F",C8,IF(D8="A-",C8,IF(D8="B+",C8,IF(D8="B-",C8,IF(D8="C+",C8,IF(D8="C-",C8,IF(D8="D+",C8,IF(D8="D-",C8," ")))))))))))))</f>
        <v xml:space="preserve"> </v>
      </c>
      <c r="F8" s="36" t="str">
        <f>IF(D8="A",4*E8,IF(D8="R","",IF(D8="C-",1.7*E8,IF(D8="D-",0.7*E8,IF(D8="B+",3.3*E8,IF(D8="B-",2.7*E8,IF(D8="C+",2.3*E8,IF(D8="A-",3.7*E8,IF(D8="B",3*E8,IF(D8="C",2*E8,IF(D8="D",1*E8,IF(D8="F","0",""))))))))))))</f>
        <v/>
      </c>
      <c r="G8" s="35"/>
      <c r="H8" s="36"/>
      <c r="I8" s="36"/>
      <c r="J8" s="36" t="str">
        <f>IF(I8="A",H8,IF(I8="R","",IF(I8="B",H8,IF(I8="C",H8,IF(I8="D",H8,IF(I8="F",H8,IF(I8="A-",H8,IF(I8="B+",H8,IF(I8="B-",H8,IF(I8="C+",H8,IF(I8="C-",H8,IF(I8="D+",H8,IF(I8="D-",H8," ")))))))))))))</f>
        <v xml:space="preserve"> </v>
      </c>
      <c r="K8" s="36" t="str">
        <f>IF(I8="A",4*J8,IF(I8="R","",IF(I8="C-",1.7*J8,IF(I8="D-",0.7*J8,IF(I8="B+",3.3*J8,IF(I8="B-",2.7*J8,IF(I8="C+",2.3*J8,IF(I8="A-",3.7*J8,IF(I8="B",3*J8,IF(I8="C",2*J8,IF(I8="D",1*J8,IF(I8="F","0",""))))))))))))</f>
        <v/>
      </c>
      <c r="L8" s="35"/>
      <c r="M8" s="36"/>
      <c r="N8" s="36"/>
      <c r="O8" s="36" t="str">
        <f>IF(N8="A",M8,IF(N8="R","",IF(N8="B",M8,IF(N8="C",M8,IF(N8="D",M8,IF(N8="F",M8,IF(N8="A-",M8,IF(N8="B+",M8,IF(N8="B-",M8,IF(N8="C+",M8,IF(N8="C-",M8,IF(N8="D+",M8,IF(N8="D-",M8," ")))))))))))))</f>
        <v xml:space="preserve"> </v>
      </c>
      <c r="P8" s="36" t="str">
        <f>IF(N8="A",4*O8,IF(N8="R","",IF(N8="C-",1.7*O8,IF(N8="D-",0.7*O8,IF(N8="B+",3.3*O8,IF(N8="B-",2.7*O8,IF(N8="C+",2.3*O8,IF(N8="A-",3.7*O8,IF(N8="B",3*O8,IF(N8="C",2*O8,IF(N8="D",1*O8,IF(N8="F","0",""))))))))))))</f>
        <v/>
      </c>
      <c r="Q8" s="35"/>
      <c r="R8" s="36"/>
      <c r="S8" s="36"/>
      <c r="T8" s="36" t="str">
        <f>IF(S8="A",R8,IF(S8="B",R8,IF(S8="C",R8,IF(S8="D",R8,IF(S8="F",R8,IF(S8="A-",R8,IF(S8="B+",R8,IF(S8="B-",R8,IF(S8="C+",R8,IF(S8="C-",R8,IF(S8="D+",R8,IF(S8="D-",R8," "))))))))))))</f>
        <v xml:space="preserve"> </v>
      </c>
      <c r="U8" s="36" t="str">
        <f>IF(S8="A",4*T8,IF(S8="R","",IF(S8="C-",1.7*T8,IF(S8="D-",0.7*T8,IF(S8="B+",3.3*T8,IF(S8="B-",2.7*T8,IF(S8="C+",2.3*T8,IF(S8="A-",3.7*T8,IF(S8="B",3*T8,IF(S8="C",2*T8,IF(S8="D",1*T8,IF(S8="F","0",""))))))))))))</f>
        <v/>
      </c>
      <c r="V8" s="64"/>
      <c r="W8" s="65"/>
    </row>
    <row r="9" spans="1:24" ht="14" customHeight="1">
      <c r="A9" s="13" t="s">
        <v>9</v>
      </c>
      <c r="B9" s="35"/>
      <c r="C9" s="36"/>
      <c r="D9" s="36"/>
      <c r="E9" s="36" t="str">
        <f>IF(D9="A",C9,IF(D9="B",C9,IF(D9="C",C9,IF(D9="D",C9,IF(D9="F",C9,IF(D9="A-",C9,IF(D9="B+",C9,IF(D9="B-",C9,IF(D9="C+",C9,IF(D9="C-",C9,IF(D9="D+",C9,IF(D9="D-",C9," "))))))))))))</f>
        <v xml:space="preserve"> </v>
      </c>
      <c r="F9" s="36" t="str">
        <f>IF(D9="A",4*E9,IF(D9="R","",IF(D9="C-",1.7*E9,IF(D9="D-",0.7*E9,IF(D9="B+",3.3*E9,IF(D9="B-",2.7*E9,IF(D9="C+",2.3*E9,IF(D9="A-",3.7*E9,IF(D9="B",3*E9,IF(D9="C",2*E9,IF(D9="D",1*E9,IF(D9="F","0",""))))))))))))</f>
        <v/>
      </c>
      <c r="G9" s="35"/>
      <c r="H9" s="36"/>
      <c r="I9" s="36"/>
      <c r="J9" s="36" t="str">
        <f>IF(I9="A",H9,IF(I9="B",H9,IF(I9="C",H9,IF(I9="D",H9,IF(I9="F",H9,IF(I9="A-",H9,IF(I9="B+",H9,IF(I9="B-",H9,IF(I9="C+",H9,IF(I9="C-",H9,IF(I9="D+",H9,IF(I9="D-",H9," "))))))))))))</f>
        <v xml:space="preserve"> </v>
      </c>
      <c r="K9" s="36" t="str">
        <f>IF(I9="A",4*J6,IF(I9="C-",1.7*J6,IF(I9="D-",0.7*J6,IF(I9="B+",3.3*J6,IF(I9="B-",2.7*J6,IF(I9="C+",2.3*J6,IF(I9="A-",3.7*J6,IF(I9="B",3*J6,IF(I9="C",2*J6,IF(I9="D",1*J6,IF(I9="F","0","")))))))))))</f>
        <v/>
      </c>
      <c r="L9" s="35"/>
      <c r="M9" s="36"/>
      <c r="N9" s="36"/>
      <c r="O9" s="36" t="str">
        <f>IF(N9="A",M9,IF(N9="B",M9,IF(N9="C",M9,IF(N9="D",M9,IF(N9="F",M9,IF(N9="A-",M9,IF(N9="B+",M9,IF(N9="B-",M9,IF(N9="C+",M9,IF(N9="C-",M9,IF(N9="D+",M9,IF(N9="D-",M9," "))))))))))))</f>
        <v xml:space="preserve"> </v>
      </c>
      <c r="P9" s="36" t="str">
        <f>IF(N9="A",4*O6,IF(N9="C-",1.7*O6,IF(N9="D-",0.7*O6,IF(N9="B+",3.3*O6,IF(N9="B-",2.7*O6,IF(N9="C+",2.3*O6,IF(N9="A-",3.7*O6,IF(N9="B",3*O6,IF(N9="C",2*O6,IF(N9="D",1*O6,IF(N9="F","0","")))))))))))</f>
        <v/>
      </c>
      <c r="Q9" s="35"/>
      <c r="R9" s="36"/>
      <c r="S9" s="36"/>
      <c r="T9" s="2" t="str">
        <f>IF(S9="A",R9,IF(S9="B",R9,IF(S9="C",R9,IF(S9="D",R9,IF(S9="F",R9,IF(S9="A-",R9,IF(S9="B+",R9,IF(S9="B-",R9,IF(S9="C+",R9,IF(S9="C-",R9,IF(S9="D+",R9,IF(S9="D-",R9," "))))))))))))</f>
        <v xml:space="preserve"> </v>
      </c>
      <c r="U9" s="2" t="str">
        <f>IF(S9="A",4*T6,IF(S9="C-",1.7*T6,IF(S9="D-",0.7*T6,IF(S9="B+",3.3*T6,IF(S9="B-",2.7*T6,IF(S9="C+",2.3*T6,IF(S9="A-",3.7*T6,IF(S9="B",3*T6,IF(S9="C",2*T6,IF(S9="D",1*T6,IF(S9="F","0","")))))))))))</f>
        <v/>
      </c>
      <c r="V9" s="64"/>
      <c r="W9" s="65"/>
    </row>
    <row r="10" spans="1:24" ht="14" customHeight="1" thickBot="1">
      <c r="A10" s="13" t="s">
        <v>15</v>
      </c>
      <c r="B10" s="37"/>
      <c r="C10" s="38"/>
      <c r="D10" s="38"/>
      <c r="E10" s="38" t="str">
        <f>IF(D10="A",C10,IF(D10="B",C10,IF(D10="C",C10,IF(D10="D",C10,IF(D10="F",C10,IF(D10="A-",C10,IF(D10="B+",C10,IF(D10="B-",C10,IF(D10="C+",C10,IF(D10="C-",C10,IF(D10="D+",C10,IF(D10="D-",C10," "))))))))))))</f>
        <v xml:space="preserve"> </v>
      </c>
      <c r="F10" s="36" t="str">
        <f>IF(D10="A",4*E10,IF(D10="R","",IF(D10="C-",1.7*E10,IF(D10="D-",0.7*E10,IF(D10="B+",3.3*E10,IF(D10="B-",2.7*E10,IF(D10="C+",2.3*E10,IF(D10="A-",3.7*E10,IF(D10="B",3*E10,IF(D10="C",2*E10,IF(D10="D",1*E10,IF(D10="F","0",""))))))))))))</f>
        <v/>
      </c>
      <c r="G10" s="37"/>
      <c r="H10" s="38"/>
      <c r="I10" s="38"/>
      <c r="J10" s="38" t="str">
        <f>IF(I10="A",H10,IF(I10="B",H10,IF(I10="C",H10,IF(I10="D",H10,IF(I10="F",H10,IF(I10="A-",H10,IF(I10="B+",H10,IF(I10="B-",H10,IF(I10="C+",H10,IF(I10="C-",H10,IF(I10="D+",H10,IF(I10="D-",H10," "))))))))))))</f>
        <v xml:space="preserve"> </v>
      </c>
      <c r="K10" s="38" t="str">
        <f>IF(I10="A",4*J6,IF(I10="C-",1.7*J6,IF(I10="D-",0.7*J6,IF(I10="B+",3.3*J6,IF(I10="B-",2.7*J6,IF(I10="C+",2.3*J6,IF(I10="A-",3.7*J6,IF(I10="B",3*J6,IF(I10="C",2*J6,IF(I10="D",1*J6,IF(I10="F","0","")))))))))))</f>
        <v/>
      </c>
      <c r="L10" s="37"/>
      <c r="M10" s="38"/>
      <c r="N10" s="38"/>
      <c r="O10" s="38" t="str">
        <f>IF(N10="A",M10,IF(N10="B",M10,IF(N10="C",M10,IF(N10="D",M10,IF(N10="F",M10,IF(N10="A-",M10,IF(N10="B+",M10,IF(N10="B-",M10,IF(N10="C+",M10,IF(N10="C-",M10,IF(N10="D+",M10,IF(N10="D-",M10," "))))))))))))</f>
        <v xml:space="preserve"> </v>
      </c>
      <c r="P10" s="38" t="str">
        <f>IF(N10="A",4*O6,IF(N10="C-",1.7*O6,IF(N10="D-",0.7*O6,IF(N10="B+",3.3*O6,IF(N10="B-",2.7*O6,IF(N10="C+",2.3*O6,IF(N10="A-",3.7*O6,IF(N10="B",3*O6,IF(N10="C",2*O6,IF(N10="D",1*O6,IF(N10="F","0","")))))))))))</f>
        <v/>
      </c>
      <c r="Q10" s="37"/>
      <c r="R10" s="38"/>
      <c r="S10" s="38"/>
      <c r="T10" s="6" t="str">
        <f>IF(S10="A",R10,IF(S10="B",R10,IF(S10="C",R10,IF(S10="D",R10,IF(S10="F",R10,IF(S10="A-",R10,IF(S10="B+",R10,IF(S10="B-",R10,IF(S10="C+",R10,IF(S10="C-",R10,IF(S10="D+",R10,IF(S10="D-",R10," "))))))))))))</f>
        <v xml:space="preserve"> </v>
      </c>
      <c r="U10" s="6" t="str">
        <f>IF(S10="A",4*T6,IF(S10="C-",1.7*T6,IF(S10="D-",0.7*T6,IF(S10="B+",3.3*T6,IF(S10="B-",2.7*T6,IF(S10="C+",2.3*T6,IF(S10="A-",3.7*T6,IF(S10="B",3*T6,IF(S10="C",2*T6,IF(S10="D",1*T6,IF(S10="F","0","")))))))))))</f>
        <v/>
      </c>
      <c r="V10" s="64"/>
      <c r="W10" s="65"/>
    </row>
    <row r="11" spans="1:24" ht="15" customHeight="1" thickBot="1">
      <c r="A11" s="13" t="s">
        <v>8</v>
      </c>
      <c r="B11" s="16" t="s">
        <v>24</v>
      </c>
      <c r="C11" s="17">
        <f>SUMIF(D5:D10,"&lt;&gt;R",C5:C10)</f>
        <v>0</v>
      </c>
      <c r="D11" s="15" t="str">
        <f>IF(E11=0, "", F11/E11)</f>
        <v/>
      </c>
      <c r="E11" s="17">
        <f>SUM(E6:E10)</f>
        <v>0</v>
      </c>
      <c r="F11" s="17">
        <f>SUM(F6:F10)</f>
        <v>0</v>
      </c>
      <c r="G11" s="16" t="s">
        <v>24</v>
      </c>
      <c r="H11" s="17">
        <f>SUMIF(I5:I10,"&lt;&gt;R",H5:H10)</f>
        <v>0</v>
      </c>
      <c r="I11" s="15" t="str">
        <f>IF(J11=0, "", K11/J11)</f>
        <v/>
      </c>
      <c r="J11" s="17">
        <f>SUM(J6:J10)</f>
        <v>0</v>
      </c>
      <c r="K11" s="17">
        <f>SUM(K6:K10)</f>
        <v>0</v>
      </c>
      <c r="L11" s="16" t="s">
        <v>24</v>
      </c>
      <c r="M11" s="17">
        <f>SUMIF(N5:N10,"&lt;&gt;R",M5:M10)</f>
        <v>0</v>
      </c>
      <c r="N11" s="18" t="str">
        <f>IF(O11=0, "", P11/O11)</f>
        <v/>
      </c>
      <c r="O11" s="17">
        <f>SUM(O6:O10)</f>
        <v>0</v>
      </c>
      <c r="P11" s="17">
        <f>SUM(P6:P10)</f>
        <v>0</v>
      </c>
      <c r="Q11" s="16" t="s">
        <v>24</v>
      </c>
      <c r="R11" s="17">
        <f>SUMIF(S5:S10,"&lt;&gt;R",R5:R10)</f>
        <v>0</v>
      </c>
      <c r="S11" s="15" t="str">
        <f>IF(T11=0, "", U11/T11)</f>
        <v/>
      </c>
      <c r="T11" s="10">
        <f>SUM(T6:T10)</f>
        <v>0</v>
      </c>
      <c r="U11" s="10">
        <f>SUM(U6:U10)</f>
        <v>0</v>
      </c>
    </row>
    <row r="12" spans="1:24" s="3" customFormat="1" ht="15" customHeight="1" thickBot="1">
      <c r="A12" s="14" t="s">
        <v>7</v>
      </c>
      <c r="B12" s="58" t="s">
        <v>21</v>
      </c>
      <c r="C12" s="59"/>
      <c r="D12" s="59"/>
      <c r="E12" s="59"/>
      <c r="F12" s="7"/>
      <c r="G12" s="58" t="s">
        <v>17</v>
      </c>
      <c r="H12" s="59"/>
      <c r="I12" s="59"/>
      <c r="J12" s="59"/>
      <c r="K12" s="7"/>
      <c r="L12" s="58" t="s">
        <v>19</v>
      </c>
      <c r="M12" s="59"/>
      <c r="N12" s="59"/>
      <c r="O12" s="59"/>
      <c r="P12" s="7"/>
      <c r="Q12" s="55" t="s">
        <v>20</v>
      </c>
      <c r="R12" s="56"/>
      <c r="S12" s="56"/>
      <c r="T12" s="57"/>
      <c r="U12" s="7"/>
      <c r="V12" s="31"/>
      <c r="W12" s="32"/>
    </row>
    <row r="13" spans="1:24" ht="10" customHeight="1">
      <c r="A13" s="14" t="s">
        <v>16</v>
      </c>
      <c r="B13" s="4" t="s">
        <v>0</v>
      </c>
      <c r="C13" s="1" t="s">
        <v>1</v>
      </c>
      <c r="D13" s="1" t="s">
        <v>2</v>
      </c>
      <c r="E13" s="9" t="s">
        <v>4</v>
      </c>
      <c r="F13" s="9" t="s">
        <v>5</v>
      </c>
      <c r="G13" s="4" t="s">
        <v>0</v>
      </c>
      <c r="H13" s="1" t="s">
        <v>1</v>
      </c>
      <c r="I13" s="1" t="s">
        <v>2</v>
      </c>
      <c r="J13" s="9" t="s">
        <v>4</v>
      </c>
      <c r="K13" s="9" t="s">
        <v>5</v>
      </c>
      <c r="L13" s="4" t="s">
        <v>0</v>
      </c>
      <c r="M13" s="1" t="s">
        <v>1</v>
      </c>
      <c r="N13" s="1" t="s">
        <v>2</v>
      </c>
      <c r="O13" s="9" t="s">
        <v>4</v>
      </c>
      <c r="P13" s="9" t="s">
        <v>5</v>
      </c>
      <c r="Q13" s="4" t="s">
        <v>0</v>
      </c>
      <c r="R13" s="1" t="s">
        <v>1</v>
      </c>
      <c r="S13" s="1" t="s">
        <v>2</v>
      </c>
      <c r="T13" s="9" t="s">
        <v>4</v>
      </c>
      <c r="U13" s="9" t="s">
        <v>5</v>
      </c>
      <c r="V13" s="31"/>
      <c r="W13" s="32"/>
    </row>
    <row r="14" spans="1:24" ht="14" customHeight="1">
      <c r="A14" s="14" t="s">
        <v>23</v>
      </c>
      <c r="B14" s="35"/>
      <c r="C14" s="36"/>
      <c r="D14" s="36"/>
      <c r="E14" s="36" t="str">
        <f>IF(D14="A",C14,IF(D14="B",C14,IF(D14="C",C14,IF(D14="D",C14,IF(D14="F",C14,IF(D14="A-",C14,IF(D14="B+",C14,IF(D14="B-",C14,IF(D14="C+",C14,IF(D14="C-",C14,IF(D14="D+",C14,IF(D14="D-",C14," "))))))))))))</f>
        <v xml:space="preserve"> </v>
      </c>
      <c r="F14" s="36" t="str">
        <f>IF(D14="A",4*E14,IF(D14="C-",1.7*E14,IF(D14="D-",0.7*E14,IF(D14="B+",3.3*E14,IF(D14="B-",2.7*E14,IF(D14="C+",2.3*E14,IF(D14="A-",3.7*E14,IF(D14="B",3*E14,IF(D14="C",2*E14,IF(D14="D",1*E14,IF(D14="F","0","")))))))))))</f>
        <v/>
      </c>
      <c r="G14" s="35"/>
      <c r="H14" s="36"/>
      <c r="I14" s="36"/>
      <c r="J14" s="36" t="str">
        <f>IF(I14="A",H14,IF(I14="B",H14,IF(I14="C",H14,IF(I14="D",H14,IF(I14="F",H14,IF(I14="A-",H14,IF(I14="B+",H14,IF(I14="B-",H14,IF(I14="C+",H14,IF(I14="C-",H14,IF(I14="D+",H14,IF(I14="D-",H14," "))))))))))))</f>
        <v xml:space="preserve"> </v>
      </c>
      <c r="K14" s="36" t="str">
        <f>IF(I14="A",4*J14,IF(I14="C-",1.7*J14,IF(I14="D-",0.7*J14,IF(I14="B+",3.3*J14,IF(I14="B-",2.7*J14,IF(I14="C+",2.3*J14,IF(I14="A-",3.7*J14,IF(I14="B",3*J14,IF(I14="C",2*J14,IF(I14="D",1*J14,IF(I14="F","0","")))))))))))</f>
        <v/>
      </c>
      <c r="L14" s="35"/>
      <c r="M14" s="36"/>
      <c r="N14" s="36"/>
      <c r="O14" s="36" t="str">
        <f>IF(N14="A",M14,IF(N14="B",M14,IF(N14="C",M14,IF(N14="D",M14,IF(N14="F",M14,IF(N14="A-",M14,IF(N14="B+",M14,IF(N14="B-",M14,IF(N14="C+",M14,IF(N14="C-",M14,IF(N14="D+",M14,IF(N14="D-",M14," "))))))))))))</f>
        <v xml:space="preserve"> </v>
      </c>
      <c r="P14" s="36" t="str">
        <f>IF(N14="A",4*O14,IF(N14="C-",1.7*O14,IF(N14="D-",0.7*O14,IF(N14="B+",3.3*O14,IF(N14="B-",2.7*O14,IF(N14="C+",2.3*O14,IF(N14="A-",3.7*O14,IF(N14="B",3*O14,IF(N14="C",2*O14,IF(N14="D",1*O14,IF(N14="F","0","")))))))))))</f>
        <v/>
      </c>
      <c r="Q14" s="35"/>
      <c r="R14" s="36"/>
      <c r="S14" s="36"/>
      <c r="T14" s="2" t="str">
        <f>IF(S14="A",R14,IF(S14="B",R14,IF(S14="C",R14,IF(S14="D",R14,IF(S14="F",R14,IF(S14="A-",R14,IF(S14="B+",R14,IF(S14="B-",R14,IF(S14="C+",R14,IF(S14="C-",R14,IF(S14="D+",R14,IF(S14="D-",R14," "))))))))))))</f>
        <v xml:space="preserve"> </v>
      </c>
      <c r="U14" s="2" t="str">
        <f>IF(S14="A",4*T14,IF(S14="C-",1.7*T14,IF(S14="D-",0.7*T14,IF(S14="B+",3.3*T14,IF(S14="B-",2.7*T14,IF(S14="C+",2.3*T14,IF(S14="A-",3.7*T14,IF(S14="B",3*T14,IF(S14="C",2*T14,IF(S14="D",1*T14,IF(S14="F","0","")))))))))))</f>
        <v/>
      </c>
      <c r="V14" s="31"/>
      <c r="W14" s="32"/>
    </row>
    <row r="15" spans="1:24" ht="14" customHeight="1">
      <c r="A15" s="14"/>
      <c r="B15" s="35"/>
      <c r="C15" s="36"/>
      <c r="D15" s="36"/>
      <c r="E15" s="36" t="str">
        <f>IF(D15="A",C15,IF(D15="R","",IF(D15="B",C15,IF(D15="C",C15,IF(D15="D",C15,IF(D15="F",C15,IF(D15="A-",C15,IF(D15="B+",C15,IF(D15="B-",C15,IF(D15="C+",C15,IF(D15="C-",C15,IF(D15="D+",C15,IF(D15="D-",C15," ")))))))))))))</f>
        <v xml:space="preserve"> </v>
      </c>
      <c r="F15" s="36" t="str">
        <f>IF(D15="A",4*E15,IF(D15="R","",IF(D15="C-",1.7*E15,IF(D15="D-",0.7*E15,IF(D15="B+",3.3*E15,IF(D15="B-",2.7*E15,IF(D15="C+",2.3*E15,IF(D15="A-",3.7*E15,IF(D15="B",3*E15,IF(D15="C",2*E15,IF(D15="D",1*E15,IF(D15="F","0",""))))))))))))</f>
        <v/>
      </c>
      <c r="G15" s="35"/>
      <c r="H15" s="36"/>
      <c r="I15" s="36"/>
      <c r="J15" s="36" t="str">
        <f>IF(I15="A",H15,IF(I15="R","",IF(I15="B",H15,IF(I15="C",H15,IF(I15="D",H15,IF(I15="F",H15,IF(I15="A-",H15,IF(I15="B+",H15,IF(I15="B-",H15,IF(I15="C+",H15,IF(I15="C-",H15,IF(I15="D+",H15,IF(I15="D-",H15," ")))))))))))))</f>
        <v xml:space="preserve"> </v>
      </c>
      <c r="K15" s="36" t="str">
        <f>IF(I15="A",4*J15,IF(I15="R","",IF(I15="C-",1.7*J15,IF(I15="D-",0.7*J15,IF(I15="B+",3.3*J15,IF(I15="B-",2.7*J15,IF(I15="C+",2.3*J15,IF(I15="A-",3.7*J15,IF(I15="B",3*J15,IF(I15="C",2*J15,IF(I15="D",1*J15,IF(I15="F","0",""))))))))))))</f>
        <v/>
      </c>
      <c r="L15" s="35"/>
      <c r="M15" s="36"/>
      <c r="N15" s="36"/>
      <c r="O15" s="36" t="str">
        <f>IF(N15="A",M15,IF(N15="R","",IF(N15="B",M15,IF(N15="C",M15,IF(N15="D",M15,IF(N15="F",M15,IF(N15="A-",M15,IF(N15="B+",M15,IF(N15="B-",M15,IF(N15="C+",M15,IF(N15="C-",M15,IF(N15="D+",M15,IF(N15="D-",M15," ")))))))))))))</f>
        <v xml:space="preserve"> </v>
      </c>
      <c r="P15" s="36" t="str">
        <f>IF(N15="A",4*O15,IF(N15="R","",IF(N15="C-",1.7*O15,IF(N15="D-",0.7*O15,IF(N15="B+",3.3*O15,IF(N15="B-",2.7*O15,IF(N15="C+",2.3*O15,IF(N15="A-",3.7*O15,IF(N15="B",3*O15,IF(N15="C",2*O15,IF(N15="D",1*O15,IF(N15="F","0",""))))))))))))</f>
        <v/>
      </c>
      <c r="Q15" s="35"/>
      <c r="R15" s="36"/>
      <c r="S15" s="36"/>
      <c r="T15" s="36" t="str">
        <f>IF(S15="A",R15,IF(S15="B",R15,IF(S15="C",R15,IF(S15="D",R15,IF(S15="F",R15,IF(S15="A-",R15,IF(S15="B+",R15,IF(S15="B-",R15,IF(S15="C+",R15,IF(S15="C-",R15,IF(S15="D+",R15,IF(S15="D-",R15," "))))))))))))</f>
        <v xml:space="preserve"> </v>
      </c>
      <c r="U15" s="36" t="str">
        <f>IF(S15="A",4*T15,IF(S15="R","",IF(S15="C-",1.7*T15,IF(S15="D-",0.7*T15,IF(S15="B+",3.3*T15,IF(S15="B-",2.7*T15,IF(S15="C+",2.3*T15,IF(S15="A-",3.7*T15,IF(S15="B",3*T15,IF(S15="C",2*T15,IF(S15="D",1*T15,IF(S15="F","0",""))))))))))))</f>
        <v/>
      </c>
      <c r="V15" s="31"/>
      <c r="W15" s="32"/>
    </row>
    <row r="16" spans="1:24" ht="14" customHeight="1">
      <c r="B16" s="35"/>
      <c r="C16" s="36"/>
      <c r="D16" s="36"/>
      <c r="E16" s="36" t="str">
        <f>IF(D16="A",C16,IF(D16="B",C16,IF(D16="C",C16,IF(D16="D",C16,IF(D16="F",C16,IF(D16="A-",C16,IF(D16="B+",C16,IF(D16="B-",C16,IF(D16="C+",C16,IF(D16="C-",C16,IF(D16="D+",C16,IF(D16="D-",C16," "))))))))))))</f>
        <v xml:space="preserve"> </v>
      </c>
      <c r="F16" s="36" t="str">
        <f>IF(D16="A",4*E14,IF(D16="C-",1.7*E14,IF(D16="D-",0.7*E14,IF(D16="B+",3.3*E14,IF(D16="B-",2.7*E14,IF(D16="C+",2.3*E14,IF(D16="A-",3.7*E14,IF(D16="B",3*E14,IF(D16="C",2*E14,IF(D16="D",1*E14,IF(D16="F","0","")))))))))))</f>
        <v/>
      </c>
      <c r="G16" s="35"/>
      <c r="H16" s="36"/>
      <c r="I16" s="36"/>
      <c r="J16" s="36" t="str">
        <f>IF(I16="A",H16,IF(I16="B",H16,IF(I16="C",H16,IF(I16="D",H16,IF(I16="F",H16,IF(I16="A-",H16,IF(I16="B+",H16,IF(I16="B-",H16,IF(I16="C+",H16,IF(I16="C-",H16,IF(I16="D+",H16,IF(I16="D-",H16," "))))))))))))</f>
        <v xml:space="preserve"> </v>
      </c>
      <c r="K16" s="36" t="str">
        <f>IF(I16="A",4*J14,IF(I16="C-",1.7*J14,IF(I16="D-",0.7*J14,IF(I16="B+",3.3*J14,IF(I16="B-",2.7*J14,IF(I16="C+",2.3*J14,IF(I16="A-",3.7*J14,IF(I16="B",3*J14,IF(I16="C",2*J14,IF(I16="D",1*J14,IF(I16="F","0","")))))))))))</f>
        <v/>
      </c>
      <c r="L16" s="35"/>
      <c r="M16" s="36"/>
      <c r="N16" s="36"/>
      <c r="O16" s="36" t="str">
        <f>IF(N16="A",M16,IF(N16="B",M16,IF(N16="C",M16,IF(N16="D",M16,IF(N16="F",M16,IF(N16="A-",M16,IF(N16="B+",M16,IF(N16="B-",M16,IF(N16="C+",M16,IF(N16="C-",M16,IF(N16="D+",M16,IF(N16="D-",M16," "))))))))))))</f>
        <v xml:space="preserve"> </v>
      </c>
      <c r="P16" s="36" t="str">
        <f>IF(N16="A",4*O14,IF(N16="C-",1.7*O14,IF(N16="D-",0.7*O14,IF(N16="B+",3.3*O14,IF(N16="B-",2.7*O14,IF(N16="C+",2.3*O14,IF(N16="A-",3.7*O14,IF(N16="B",3*O14,IF(N16="C",2*O14,IF(N16="D",1*O14,IF(N16="F","0","")))))))))))</f>
        <v/>
      </c>
      <c r="Q16" s="35"/>
      <c r="R16" s="36"/>
      <c r="S16" s="36"/>
      <c r="T16" s="2" t="str">
        <f>IF(S16="A",R16,IF(S16="B",R16,IF(S16="C",R16,IF(S16="D",R16,IF(S16="F",R16,IF(S16="A-",R16,IF(S16="B+",R16,IF(S16="B-",R16,IF(S16="C+",R16,IF(S16="C-",R16,IF(S16="D+",R16,IF(S16="D-",R16," "))))))))))))</f>
        <v xml:space="preserve"> </v>
      </c>
      <c r="U16" s="2" t="str">
        <f>IF(S16="A",4*T14,IF(S16="C-",1.7*T14,IF(S16="D-",0.7*T14,IF(S16="B+",3.3*T14,IF(S16="B-",2.7*T14,IF(S16="C+",2.3*T14,IF(S16="A-",3.7*T14,IF(S16="B",3*T14,IF(S16="C",2*T14,IF(S16="D",1*T14,IF(S16="F","0","")))))))))))</f>
        <v/>
      </c>
      <c r="V16" s="31"/>
      <c r="W16" s="32"/>
    </row>
    <row r="17" spans="2:23" ht="14" customHeight="1">
      <c r="B17" s="35"/>
      <c r="C17" s="36"/>
      <c r="D17" s="36"/>
      <c r="E17" s="36" t="str">
        <f>IF(D17="A",C17,IF(D17="B",C17,IF(D17="C",C17,IF(D17="D",C17,IF(D17="F",C17,IF(D17="A-",C17,IF(D17="B+",C17,IF(D17="B-",C17,IF(D17="C+",C17,IF(D17="C-",C17,IF(D17="D+",C17,IF(D17="D-",C17," "))))))))))))</f>
        <v xml:space="preserve"> </v>
      </c>
      <c r="F17" s="36" t="str">
        <f>IF(D17="A",4*E14,IF(D17="C-",1.7*E14,IF(D17="D-",0.7*E14,IF(D17="B+",3.3*E14,IF(D17="B-",2.7*E14,IF(D17="C+",2.3*E14,IF(D17="A-",3.7*E14,IF(D17="B",3*E14,IF(D17="C",2*E14,IF(D17="D",1*E14,IF(D17="F","0","")))))))))))</f>
        <v/>
      </c>
      <c r="G17" s="35"/>
      <c r="H17" s="36"/>
      <c r="I17" s="36"/>
      <c r="J17" s="36" t="str">
        <f>IF(I17="A",H17,IF(I17="B",H17,IF(I17="C",H17,IF(I17="D",H17,IF(I17="F",H17,IF(I17="A-",H17,IF(I17="B+",H17,IF(I17="B-",H17,IF(I17="C+",H17,IF(I17="C-",H17,IF(I17="D+",H17,IF(I17="D-",H17," "))))))))))))</f>
        <v xml:space="preserve"> </v>
      </c>
      <c r="K17" s="36" t="str">
        <f>IF(I17="A",4*J14,IF(I17="C-",1.7*J14,IF(I17="D-",0.7*J14,IF(I17="B+",3.3*J14,IF(I17="B-",2.7*J14,IF(I17="C+",2.3*J14,IF(I17="A-",3.7*J14,IF(I17="B",3*J14,IF(I17="C",2*J14,IF(I17="D",1*J14,IF(I17="F","0","")))))))))))</f>
        <v/>
      </c>
      <c r="L17" s="35"/>
      <c r="M17" s="36"/>
      <c r="N17" s="36"/>
      <c r="O17" s="36" t="str">
        <f>IF(N17="A",M17,IF(N17="B",M17,IF(N17="C",M17,IF(N17="D",M17,IF(N17="F",M17,IF(N17="A-",M17,IF(N17="B+",M17,IF(N17="B-",M17,IF(N17="C+",M17,IF(N17="C-",M17,IF(N17="D+",M17,IF(N17="D-",M17," "))))))))))))</f>
        <v xml:space="preserve"> </v>
      </c>
      <c r="P17" s="36" t="str">
        <f>IF(N17="A",4*O14,IF(N17="C-",1.7*O14,IF(N17="D-",0.7*O14,IF(N17="B+",3.3*O14,IF(N17="B-",2.7*O14,IF(N17="C+",2.3*O14,IF(N17="A-",3.7*O14,IF(N17="B",3*O14,IF(N17="C",2*O14,IF(N17="D",1*O14,IF(N17="F","0","")))))))))))</f>
        <v/>
      </c>
      <c r="Q17" s="35"/>
      <c r="R17" s="36"/>
      <c r="S17" s="36"/>
      <c r="T17" s="2" t="str">
        <f>IF(S17="A",R17,IF(S17="B",R17,IF(S17="C",R17,IF(S17="D",R17,IF(S17="F",R17,IF(S17="A-",R17,IF(S17="B+",R17,IF(S17="B-",R17,IF(S17="C+",R17,IF(S17="C-",R17,IF(S17="D+",R17,IF(S17="D-",R17," "))))))))))))</f>
        <v xml:space="preserve"> </v>
      </c>
      <c r="U17" s="2" t="str">
        <f>IF(S17="A",4*T14,IF(S17="C-",1.7*T14,IF(S17="D-",0.7*T14,IF(S17="B+",3.3*T14,IF(S17="B-",2.7*T14,IF(S17="C+",2.3*T14,IF(S17="A-",3.7*T14,IF(S17="B",3*T14,IF(S17="C",2*T14,IF(S17="D",1*T14,IF(S17="F","0","")))))))))))</f>
        <v/>
      </c>
      <c r="V17" s="31"/>
      <c r="W17" s="32"/>
    </row>
    <row r="18" spans="2:23" s="21" customFormat="1" ht="15" customHeight="1" thickBot="1">
      <c r="B18" s="39"/>
      <c r="C18" s="40"/>
      <c r="D18" s="40"/>
      <c r="E18" s="40" t="str">
        <f>IF(D18="A",C18,IF(D18="B",C18,IF(D18="C",C18,IF(D18="D",C18,IF(D18="F",C18,IF(D18="A-",C18,IF(D18="B+",C18,IF(D18="B-",C18,IF(D18="C+",C18,IF(D18="C-",C18,IF(D18="D+",C18,IF(D18="D-",C18," "))))))))))))</f>
        <v xml:space="preserve"> </v>
      </c>
      <c r="F18" s="40" t="str">
        <f>IF(D18="A",4*E14,IF(D18="C-",1.7*E14,IF(D18="D-",0.7*E14,IF(D18="B+",3.3*E14,IF(D18="B-",2.7*E14,IF(D18="C+",2.3*E14,IF(D18="A-",3.7*E14,IF(D18="B",3*E14,IF(D18="C",2*E14,IF(D18="D",1*E14,IF(D18="F","0","")))))))))))</f>
        <v/>
      </c>
      <c r="G18" s="39"/>
      <c r="H18" s="40"/>
      <c r="I18" s="40"/>
      <c r="J18" s="40" t="str">
        <f>IF(I18="A",H18,IF(I18="B",H18,IF(I18="C",H18,IF(I18="D",H18,IF(I18="F",H18,IF(I18="A-",H18,IF(I18="B+",H18,IF(I18="B-",H18,IF(I18="C+",H18,IF(I18="C-",H18,IF(I18="D+",H18,IF(I18="D-",H18," "))))))))))))</f>
        <v xml:space="preserve"> </v>
      </c>
      <c r="K18" s="40" t="str">
        <f>IF(I18="A",4*J14,IF(I18="C-",1.7*J14,IF(I18="D-",0.7*J14,IF(I18="B+",3.3*J14,IF(I18="B-",2.7*J14,IF(I18="C+",2.3*J14,IF(I18="A-",3.7*J14,IF(I18="B",3*J14,IF(I18="C",2*J14,IF(I18="D",1*J14,IF(I18="F","0","")))))))))))</f>
        <v/>
      </c>
      <c r="L18" s="39"/>
      <c r="M18" s="40"/>
      <c r="N18" s="40"/>
      <c r="O18" s="40" t="str">
        <f>IF(N18="A",M18,IF(N18="B",M18,IF(N18="C",M18,IF(N18="D",M18,IF(N18="F",M18,IF(N18="A-",M18,IF(N18="B+",M18,IF(N18="B-",M18,IF(N18="C+",M18,IF(N18="C-",M18,IF(N18="D+",M18,IF(N18="D-",M18," "))))))))))))</f>
        <v xml:space="preserve"> </v>
      </c>
      <c r="P18" s="40" t="str">
        <f>IF(N18="A",4*O14,IF(N18="C-",1.7*O14,IF(N18="D-",0.7*O14,IF(N18="B+",3.3*O14,IF(N18="B-",2.7*O14,IF(N18="C+",2.3*O14,IF(N18="A-",3.7*O14,IF(N18="B",3*O14,IF(N18="C",2*O14,IF(N18="D",1*O14,IF(N18="F","0","")))))))))))</f>
        <v/>
      </c>
      <c r="Q18" s="39"/>
      <c r="R18" s="40"/>
      <c r="S18" s="40"/>
      <c r="T18" s="22" t="str">
        <f>IF(S18="A",R18,IF(S18="B",R18,IF(S18="C",R18,IF(S18="D",R18,IF(S18="F",R18,IF(S18="A-",R18,IF(S18="B+",R18,IF(S18="B-",R18,IF(S18="C+",R18,IF(S18="C-",R18,IF(S18="D+",R18,IF(S18="D-",R18," "))))))))))))</f>
        <v xml:space="preserve"> </v>
      </c>
      <c r="U18" s="22" t="str">
        <f>IF(S18="A",4*T14,IF(S18="C-",1.7*T14,IF(S18="D-",0.7*T14,IF(S18="B+",3.3*T14,IF(S18="B-",2.7*T14,IF(S18="C+",2.3*T14,IF(S18="A-",3.7*T14,IF(S18="B",3*T14,IF(S18="C",2*T14,IF(S18="D",1*T14,IF(S18="F","0","")))))))))))</f>
        <v/>
      </c>
    </row>
    <row r="19" spans="2:23" s="3" customFormat="1" ht="15" customHeight="1" thickBot="1">
      <c r="B19" s="16" t="s">
        <v>24</v>
      </c>
      <c r="C19" s="17">
        <f>SUMIF(D14:D18,"&lt;&gt;R",C14:C18)</f>
        <v>0</v>
      </c>
      <c r="D19" s="15" t="str">
        <f>IF(E19=0, "", F19/E19)</f>
        <v/>
      </c>
      <c r="E19" s="17">
        <f>SUM(E14:E18)</f>
        <v>0</v>
      </c>
      <c r="F19" s="17">
        <f>SUM(F14:F18)</f>
        <v>0</v>
      </c>
      <c r="G19" s="16" t="s">
        <v>24</v>
      </c>
      <c r="H19" s="17">
        <f>SUMIF(I14:I18,"&lt;&gt;R",H14:H18)</f>
        <v>0</v>
      </c>
      <c r="I19" s="15" t="str">
        <f>IF(J19=0, "", K19/J19)</f>
        <v/>
      </c>
      <c r="J19" s="17">
        <f>SUM(J14:J18)</f>
        <v>0</v>
      </c>
      <c r="K19" s="17">
        <f>SUM(K14:K18)</f>
        <v>0</v>
      </c>
      <c r="L19" s="16" t="s">
        <v>24</v>
      </c>
      <c r="M19" s="17">
        <f>SUMIF(N14:N18,"&lt;&gt;R",M14:M18)</f>
        <v>0</v>
      </c>
      <c r="N19" s="15" t="str">
        <f>IF(O19=0, "", P19/O19)</f>
        <v/>
      </c>
      <c r="O19" s="17">
        <f>SUM(O14:O18)</f>
        <v>0</v>
      </c>
      <c r="P19" s="17">
        <f>SUM(P14:P18)</f>
        <v>0</v>
      </c>
      <c r="Q19" s="16" t="s">
        <v>24</v>
      </c>
      <c r="R19" s="17">
        <f>SUMIF(S14:S18,"&lt;&gt;R",R14:R18)</f>
        <v>0</v>
      </c>
      <c r="S19" s="15" t="str">
        <f>IF(T19=0, "", U19/T19)</f>
        <v/>
      </c>
      <c r="T19" s="10">
        <f>SUM(T14:T18)</f>
        <v>0</v>
      </c>
      <c r="U19" s="10">
        <f>SUM(U14:U18)</f>
        <v>0</v>
      </c>
      <c r="V19" s="31"/>
      <c r="W19" s="66"/>
    </row>
    <row r="20" spans="2:23" ht="13" thickBot="1">
      <c r="B20" s="58" t="s">
        <v>18</v>
      </c>
      <c r="C20" s="59"/>
      <c r="D20" s="59"/>
      <c r="E20" s="59"/>
      <c r="F20" s="7"/>
      <c r="G20" s="58" t="s">
        <v>17</v>
      </c>
      <c r="H20" s="59"/>
      <c r="I20" s="59"/>
      <c r="J20" s="59"/>
      <c r="K20" s="7"/>
      <c r="L20" s="58" t="s">
        <v>19</v>
      </c>
      <c r="M20" s="59"/>
      <c r="N20" s="59"/>
      <c r="O20" s="59"/>
      <c r="P20" s="7"/>
      <c r="Q20" s="58" t="s">
        <v>20</v>
      </c>
      <c r="R20" s="59"/>
      <c r="S20" s="59"/>
      <c r="T20" s="59"/>
      <c r="U20" s="7"/>
      <c r="V20" s="31"/>
      <c r="W20" s="66"/>
    </row>
    <row r="21" spans="2:23" ht="10" customHeight="1">
      <c r="B21" s="4" t="s">
        <v>0</v>
      </c>
      <c r="C21" s="1" t="s">
        <v>1</v>
      </c>
      <c r="D21" s="1" t="s">
        <v>2</v>
      </c>
      <c r="E21" s="9" t="s">
        <v>4</v>
      </c>
      <c r="F21" s="9" t="s">
        <v>5</v>
      </c>
      <c r="G21" s="4" t="s">
        <v>0</v>
      </c>
      <c r="H21" s="1" t="s">
        <v>1</v>
      </c>
      <c r="I21" s="1" t="s">
        <v>2</v>
      </c>
      <c r="J21" s="9" t="s">
        <v>4</v>
      </c>
      <c r="K21" s="9" t="s">
        <v>5</v>
      </c>
      <c r="L21" s="4" t="s">
        <v>0</v>
      </c>
      <c r="M21" s="1" t="s">
        <v>1</v>
      </c>
      <c r="N21" s="1" t="s">
        <v>2</v>
      </c>
      <c r="O21" s="9" t="s">
        <v>4</v>
      </c>
      <c r="P21" s="9" t="s">
        <v>5</v>
      </c>
      <c r="Q21" s="4" t="s">
        <v>0</v>
      </c>
      <c r="R21" s="1" t="s">
        <v>1</v>
      </c>
      <c r="S21" s="1" t="s">
        <v>2</v>
      </c>
      <c r="T21" s="9" t="s">
        <v>4</v>
      </c>
      <c r="U21" s="9" t="s">
        <v>5</v>
      </c>
      <c r="V21" s="31"/>
      <c r="W21" s="66"/>
    </row>
    <row r="22" spans="2:23" ht="14" customHeight="1">
      <c r="B22" s="41"/>
      <c r="C22" s="42"/>
      <c r="D22" s="42"/>
      <c r="E22" s="36" t="str">
        <f>IF(D22="A",C22,IF(D22="R","",IF(D22="B",C22,IF(D22="C",C22,IF(D22="D",C22,IF(D22="F",C22,IF(D22="A-",C22,IF(D22="B+",C22,IF(D22="B-",C22,IF(D22="C+",C22,IF(D22="C-",C22,IF(D22="D+",C22,IF(D22="D-",C22," ")))))))))))))</f>
        <v xml:space="preserve"> </v>
      </c>
      <c r="F22" s="36" t="str">
        <f>IF(D22="A",4*E22,IF(D22="R","",IF(D22="C-",1.7*E22,IF(D22="D-",0.7*E22,IF(D22="B+",3.3*E22,IF(D22="B-",2.7*E22,IF(D22="C+",2.3*E22,IF(D22="A-",3.7*E22,IF(D22="B",3*E22,IF(D22="C",2*E22,IF(D22="D",1*E22,IF(D22="F","0",""))))))))))))</f>
        <v/>
      </c>
      <c r="G22" s="41"/>
      <c r="H22" s="42"/>
      <c r="I22" s="42"/>
      <c r="J22" s="36" t="str">
        <f t="shared" ref="J22:J26" si="0">IF(I22="A",H22,IF(I22="B",H22,IF(I22="C",H22,IF(I22="D",H22,IF(I22="F",H22,IF(I22="A-",H22,IF(I22="B+",H22,IF(I22="B-",H22,IF(I22="C+",H22,IF(I22="C-",H22,IF(I22="D+",H22,IF(I22="D-",H22," "))))))))))))</f>
        <v xml:space="preserve"> </v>
      </c>
      <c r="K22" s="36" t="str">
        <f>IF(I22="A",4*J22,IF(I22="R","",IF(I22="C-",1.7*J22,IF(I22="D-",0.7*J22,IF(I22="B+",3.3*J22,IF(I22="B-",2.7*J22,IF(I22="C+",2.3*J22,IF(I22="A-",3.7*J22,IF(I22="B",3*J22,IF(I22="C",2*J22,IF(I22="D",1*J22,IF(I22="F","0",""))))))))))))</f>
        <v/>
      </c>
      <c r="L22" s="41"/>
      <c r="M22" s="42"/>
      <c r="N22" s="42"/>
      <c r="O22" s="36" t="str">
        <f t="shared" ref="O22:O26" si="1">IF(N22="A",M22,IF(N22="B",M22,IF(N22="C",M22,IF(N22="D",M22,IF(N22="F",M22,IF(N22="A-",M22,IF(N22="B+",M22,IF(N22="B-",M22,IF(N22="C+",M22,IF(N22="C-",M22,IF(N22="D+",M22,IF(N22="D-",M22," "))))))))))))</f>
        <v xml:space="preserve"> </v>
      </c>
      <c r="P22" s="36" t="str">
        <f>IF(N22="A",4*O22,IF(N22="R","",IF(N22="C-",1.7*O22,IF(N22="D-",0.7*O22,IF(N22="B+",3.3*O22,IF(N22="B-",2.7*O22,IF(N22="C+",2.3*O22,IF(N22="A-",3.7*O22,IF(N22="B",3*O22,IF(N22="C",2*O22,IF(N22="D",1*O22,IF(N22="F","0",""))))))))))))</f>
        <v/>
      </c>
      <c r="Q22" s="41"/>
      <c r="R22" s="42"/>
      <c r="S22" s="42"/>
      <c r="T22" s="36" t="str">
        <f t="shared" ref="T22:T26" si="2">IF(S22="A",R22,IF(S22="B",R22,IF(S22="C",R22,IF(S22="D",R22,IF(S22="F",R22,IF(S22="A-",R22,IF(S22="B+",R22,IF(S22="B-",R22,IF(S22="C+",R22,IF(S22="C-",R22,IF(S22="D+",R22,IF(S22="D-",R22," "))))))))))))</f>
        <v xml:space="preserve"> </v>
      </c>
      <c r="U22" s="36" t="str">
        <f>IF(S22="A",4*T22,IF(S22="R","",IF(S22="C-",1.7*T22,IF(S22="D-",0.7*T22,IF(S22="B+",3.3*T22,IF(S22="B-",2.7*T22,IF(S22="C+",2.3*T22,IF(S22="A-",3.7*T22,IF(S22="B",3*T22,IF(S22="C",2*T22,IF(S22="D",1*T22,IF(S22="F","0",""))))))))))))</f>
        <v/>
      </c>
      <c r="V22" s="31"/>
      <c r="W22" s="66"/>
    </row>
    <row r="23" spans="2:23" ht="14" customHeight="1">
      <c r="B23" s="41"/>
      <c r="C23" s="42"/>
      <c r="D23" s="42"/>
      <c r="E23" s="36" t="str">
        <f>IF(D23="A",C23,IF(D23="R","",IF(D23="B",C23,IF(D23="C",C23,IF(D23="D",C23,IF(D23="F",C23,IF(D23="A-",C23,IF(D23="B+",C23,IF(D23="B-",C23,IF(D23="C+",C23,IF(D23="C-",C23,IF(D23="D+",C23,IF(D23="D-",C23," ")))))))))))))</f>
        <v xml:space="preserve"> </v>
      </c>
      <c r="F23" s="36" t="str">
        <f>IF(D23="A",4*E23,IF(D23="R","",IF(D23="C-",1.7*E23,IF(D23="D-",0.7*E23,IF(D23="B+",3.3*E23,IF(D23="B-",2.7*E23,IF(D23="C+",2.3*E23,IF(D23="A-",3.7*E23,IF(D23="B",3*E23,IF(D23="C",2*E23,IF(D23="D",1*E23,IF(D23="F","0",""))))))))))))</f>
        <v/>
      </c>
      <c r="G23" s="41"/>
      <c r="H23" s="42"/>
      <c r="I23" s="42"/>
      <c r="J23" s="36" t="str">
        <f t="shared" si="0"/>
        <v xml:space="preserve"> </v>
      </c>
      <c r="K23" s="36" t="str">
        <f>IF(I23="A",4*J23,IF(I23="R","",IF(I23="C-",1.7*J23,IF(I23="D-",0.7*J23,IF(I23="B+",3.3*J23,IF(I23="B-",2.7*J23,IF(I23="C+",2.3*J23,IF(I23="A-",3.7*J23,IF(I23="B",3*J23,IF(I23="C",2*J23,IF(I23="D",1*J23,IF(I23="F","0",""))))))))))))</f>
        <v/>
      </c>
      <c r="L23" s="41"/>
      <c r="M23" s="42"/>
      <c r="N23" s="42"/>
      <c r="O23" s="36" t="str">
        <f t="shared" si="1"/>
        <v xml:space="preserve"> </v>
      </c>
      <c r="P23" s="36" t="str">
        <f>IF(N23="A",4*O23,IF(N23="R","",IF(N23="C-",1.7*O23,IF(N23="D-",0.7*O23,IF(N23="B+",3.3*O23,IF(N23="B-",2.7*O23,IF(N23="C+",2.3*O23,IF(N23="A-",3.7*O23,IF(N23="B",3*O23,IF(N23="C",2*O23,IF(N23="D",1*O23,IF(N23="F","0",""))))))))))))</f>
        <v/>
      </c>
      <c r="Q23" s="41"/>
      <c r="R23" s="42"/>
      <c r="S23" s="42"/>
      <c r="T23" s="36" t="str">
        <f t="shared" si="2"/>
        <v xml:space="preserve"> </v>
      </c>
      <c r="U23" s="36" t="str">
        <f>IF(S23="A",4*T23,IF(S23="R","",IF(S23="C-",1.7*T23,IF(S23="D-",0.7*T23,IF(S23="B+",3.3*T23,IF(S23="B-",2.7*T23,IF(S23="C+",2.3*T23,IF(S23="A-",3.7*T23,IF(S23="B",3*T23,IF(S23="C",2*T23,IF(S23="D",1*T23,IF(S23="F","0",""))))))))))))</f>
        <v/>
      </c>
      <c r="V23" s="31"/>
      <c r="W23" s="32"/>
    </row>
    <row r="24" spans="2:23" ht="14" customHeight="1">
      <c r="B24" s="35"/>
      <c r="C24" s="36"/>
      <c r="D24" s="36"/>
      <c r="E24" s="36" t="str">
        <f>IF(D24="A",C24,IF(D24="B",C24,IF(D24="C",C24,IF(D24="D",C24,IF(D24="F",C24,IF(D24="A-",C24,IF(D24="B+",C24,IF(D24="B-",C24,IF(D24="C+",C24,IF(D24="C-",C24,IF(D24="D+",C24,IF(D24="D-",C24," "))))))))))))</f>
        <v xml:space="preserve"> </v>
      </c>
      <c r="F24" s="36" t="str">
        <f>IF(D24="A",4*E24,IF(D24="C-",1.7*E24,IF(D24="D-",0.7*E24,IF(D24="B+",3.3*E24,IF(D24="B-",2.7*E24,IF(D24="C+",2.3*E24,IF(D24="A-",3.7*E24,IF(D24="B",3*E24,IF(D24="C",2*E24,IF(D24="D",1*E24,IF(D24="F","0","")))))))))))</f>
        <v/>
      </c>
      <c r="G24" s="35"/>
      <c r="H24" s="36"/>
      <c r="I24" s="36"/>
      <c r="J24" s="36" t="str">
        <f t="shared" si="0"/>
        <v xml:space="preserve"> </v>
      </c>
      <c r="K24" s="36" t="str">
        <f>IF(I24="A",4*J24,IF(I24="C-",1.7*J24,IF(I24="D-",0.7*J24,IF(I24="B+",3.3*J24,IF(I24="B-",2.7*J24,IF(I24="C+",2.3*J24,IF(I24="A-",3.7*J24,IF(I24="B",3*J24,IF(I24="C",2*J24,IF(I24="D",1*J24,IF(I24="F","0","")))))))))))</f>
        <v/>
      </c>
      <c r="L24" s="35"/>
      <c r="M24" s="36"/>
      <c r="N24" s="36"/>
      <c r="O24" s="36" t="str">
        <f t="shared" si="1"/>
        <v xml:space="preserve"> </v>
      </c>
      <c r="P24" s="36" t="str">
        <f>IF(N24="A",4*O24,IF(N24="C-",1.7*O24,IF(N24="D-",0.7*O24,IF(N24="B+",3.3*O24,IF(N24="B-",2.7*O24,IF(N24="C+",2.3*O24,IF(N24="A-",3.7*O24,IF(N24="B",3*O24,IF(N24="C",2*O24,IF(N24="D",1*O24,IF(N24="F","0","")))))))))))</f>
        <v/>
      </c>
      <c r="Q24" s="35"/>
      <c r="R24" s="36"/>
      <c r="S24" s="36"/>
      <c r="T24" s="2" t="str">
        <f t="shared" si="2"/>
        <v xml:space="preserve"> </v>
      </c>
      <c r="U24" s="2" t="str">
        <f>IF(S24="A",4*T24,IF(S24="C-",1.7*T24,IF(S24="D-",0.7*T24,IF(S24="B+",3.3*T24,IF(S24="B-",2.7*T24,IF(S24="C+",2.3*T24,IF(S24="A-",3.7*T24,IF(S24="B",3*T24,IF(S24="C",2*T24,IF(S24="D",1*T24,IF(S24="F","0","")))))))))))</f>
        <v/>
      </c>
    </row>
    <row r="25" spans="2:23" ht="14" customHeight="1">
      <c r="B25" s="35"/>
      <c r="C25" s="36"/>
      <c r="D25" s="36"/>
      <c r="E25" s="36" t="str">
        <f>IF(D25="A",C25,IF(D25="B",C25,IF(D25="C",C25,IF(D25="D",C25,IF(D25="F",C25,IF(D25="A-",C25,IF(D25="B+",C25,IF(D25="B-",C25,IF(D25="C+",C25,IF(D25="C-",C25,IF(D25="D+",C25,IF(D25="D-",C25," "))))))))))))</f>
        <v xml:space="preserve"> </v>
      </c>
      <c r="F25" s="36" t="str">
        <f>IF(D25="A",4*E24,IF(D25="C-",1.7*E24,IF(D25="D-",0.7*E24,IF(D25="B+",3.3*E24,IF(D25="B-",2.7*E24,IF(D25="C+",2.3*E24,IF(D25="A-",3.7*E24,IF(D25="B",3*E24,IF(D25="C",2*E24,IF(D25="D",1*E24,IF(D25="F","0","")))))))))))</f>
        <v/>
      </c>
      <c r="G25" s="35"/>
      <c r="H25" s="36"/>
      <c r="I25" s="36"/>
      <c r="J25" s="36" t="str">
        <f t="shared" si="0"/>
        <v xml:space="preserve"> </v>
      </c>
      <c r="K25" s="36" t="str">
        <f>IF(I25="A",4*J24,IF(I25="C-",1.7*J24,IF(I25="D-",0.7*J24,IF(I25="B+",3.3*J24,IF(I25="B-",2.7*J24,IF(I25="C+",2.3*J24,IF(I25="A-",3.7*J24,IF(I25="B",3*J24,IF(I25="C",2*J24,IF(I25="D",1*J24,IF(I25="F","0","")))))))))))</f>
        <v/>
      </c>
      <c r="L25" s="35"/>
      <c r="M25" s="36"/>
      <c r="N25" s="36"/>
      <c r="O25" s="36" t="str">
        <f t="shared" si="1"/>
        <v xml:space="preserve"> </v>
      </c>
      <c r="P25" s="36" t="str">
        <f>IF(N25="A",4*O24,IF(N25="C-",1.7*O24,IF(N25="D-",0.7*O24,IF(N25="B+",3.3*O24,IF(N25="B-",2.7*O24,IF(N25="C+",2.3*O24,IF(N25="A-",3.7*O24,IF(N25="B",3*O24,IF(N25="C",2*O24,IF(N25="D",1*O24,IF(N25="F","0","")))))))))))</f>
        <v/>
      </c>
      <c r="Q25" s="35"/>
      <c r="R25" s="36"/>
      <c r="S25" s="36"/>
      <c r="T25" s="2" t="str">
        <f t="shared" si="2"/>
        <v xml:space="preserve"> </v>
      </c>
      <c r="U25" s="2" t="str">
        <f>IF(S25="A",4*T24,IF(S25="C-",1.7*T24,IF(S25="D-",0.7*T24,IF(S25="B+",3.3*T24,IF(S25="B-",2.7*T24,IF(S25="C+",2.3*T24,IF(S25="A-",3.7*T24,IF(S25="B",3*T24,IF(S25="C",2*T24,IF(S25="D",1*T24,IF(S25="F","0","")))))))))))</f>
        <v/>
      </c>
      <c r="W25" s="43"/>
    </row>
    <row r="26" spans="2:23" ht="14" customHeight="1" thickBot="1">
      <c r="B26" s="35"/>
      <c r="C26" s="36"/>
      <c r="D26" s="36"/>
      <c r="E26" s="36" t="str">
        <f>IF(D26="A",C26,IF(D26="B",C26,IF(D26="C",C26,IF(D26="D",C26,IF(D26="F",C26,IF(D26="A-",C26,IF(D26="B+",C26,IF(D26="B-",C26,IF(D26="C+",C26,IF(D26="C-",C26,IF(D26="D+",C26,IF(D26="D-",C26," "))))))))))))</f>
        <v xml:space="preserve"> </v>
      </c>
      <c r="F26" s="36" t="str">
        <f>IF(D26="A",4*E24,IF(D26="C-",1.7*E24,IF(D26="D-",0.7*E24,IF(D26="B+",3.3*E24,IF(D26="B-",2.7*E24,IF(D26="C+",2.3*E24,IF(D26="A-",3.7*E24,IF(D26="B",3*E24,IF(D26="C",2*E24,IF(D26="D",1*E24,IF(D26="F","0","")))))))))))</f>
        <v/>
      </c>
      <c r="G26" s="35"/>
      <c r="H26" s="36"/>
      <c r="I26" s="36"/>
      <c r="J26" s="36" t="str">
        <f t="shared" si="0"/>
        <v xml:space="preserve"> </v>
      </c>
      <c r="K26" s="36" t="str">
        <f>IF(I26="A",4*J24,IF(I26="C-",1.7*J24,IF(I26="D-",0.7*J24,IF(I26="B+",3.3*J24,IF(I26="B-",2.7*J24,IF(I26="C+",2.3*J24,IF(I26="A-",3.7*J24,IF(I26="B",3*J24,IF(I26="C",2*J24,IF(I26="D",1*J24,IF(I26="F","0","")))))))))))</f>
        <v/>
      </c>
      <c r="L26" s="35"/>
      <c r="M26" s="36"/>
      <c r="N26" s="36"/>
      <c r="O26" s="36" t="str">
        <f t="shared" si="1"/>
        <v xml:space="preserve"> </v>
      </c>
      <c r="P26" s="36" t="str">
        <f>IF(N26="A",4*O24,IF(N26="C-",1.7*O24,IF(N26="D-",0.7*O24,IF(N26="B+",3.3*O24,IF(N26="B-",2.7*O24,IF(N26="C+",2.3*O24,IF(N26="A-",3.7*O24,IF(N26="B",3*O24,IF(N26="C",2*O24,IF(N26="D",1*O24,IF(N26="F","0","")))))))))))</f>
        <v/>
      </c>
      <c r="Q26" s="35"/>
      <c r="R26" s="36"/>
      <c r="S26" s="36"/>
      <c r="T26" s="2" t="str">
        <f t="shared" si="2"/>
        <v xml:space="preserve"> </v>
      </c>
      <c r="U26" s="2" t="str">
        <f>IF(S26="A",4*T24,IF(S26="C-",1.7*T24,IF(S26="D-",0.7*T24,IF(S26="B+",3.3*T24,IF(S26="B-",2.7*T24,IF(S26="C+",2.3*T24,IF(S26="A-",3.7*T24,IF(S26="B",3*T24,IF(S26="C",2*T24,IF(S26="D",1*T24,IF(S26="F","0","")))))))))))</f>
        <v/>
      </c>
      <c r="V26" s="29"/>
      <c r="W26" s="44"/>
    </row>
    <row r="27" spans="2:23" ht="14" thickBot="1">
      <c r="B27" s="16" t="s">
        <v>24</v>
      </c>
      <c r="C27" s="17">
        <f>SUMIF(D22:D26,"&lt;&gt;R",C22:C26)</f>
        <v>0</v>
      </c>
      <c r="D27" s="15" t="str">
        <f>IF(E27=0, "", F27/E27)</f>
        <v/>
      </c>
      <c r="E27" s="17">
        <f>SUM(E24:E26)</f>
        <v>0</v>
      </c>
      <c r="F27" s="17">
        <f>SUM(F24:F26)</f>
        <v>0</v>
      </c>
      <c r="G27" s="16" t="s">
        <v>24</v>
      </c>
      <c r="H27" s="17">
        <f>SUMIF(I22:I26,"&lt;&gt;R",H22:H26)</f>
        <v>0</v>
      </c>
      <c r="I27" s="15" t="str">
        <f>IF(J27=0, "", K27/J27)</f>
        <v/>
      </c>
      <c r="J27" s="17">
        <f>SUM(J24:J26)</f>
        <v>0</v>
      </c>
      <c r="K27" s="17">
        <f>SUM(K24:K26)</f>
        <v>0</v>
      </c>
      <c r="L27" s="16" t="s">
        <v>24</v>
      </c>
      <c r="M27" s="17">
        <f>SUMIF(N22:N26,"&lt;&gt;R",M22:M26)</f>
        <v>0</v>
      </c>
      <c r="N27" s="15" t="str">
        <f>IF(O27=0, "", P27/O27)</f>
        <v/>
      </c>
      <c r="O27" s="17">
        <f>SUM(O24:O26)</f>
        <v>0</v>
      </c>
      <c r="P27" s="17">
        <f>SUM(P24:P26)</f>
        <v>0</v>
      </c>
      <c r="Q27" s="16" t="s">
        <v>24</v>
      </c>
      <c r="R27" s="17">
        <f>SUMIF(S22:S26,"&lt;&gt;R",R22:R26)</f>
        <v>0</v>
      </c>
      <c r="S27" s="15" t="str">
        <f>IF(T27=0, "", U27/T27)</f>
        <v/>
      </c>
      <c r="T27" s="10">
        <f>SUM(T24:T26)</f>
        <v>0</v>
      </c>
      <c r="U27" s="10">
        <f>SUM(U24:U26)</f>
        <v>0</v>
      </c>
      <c r="V27" s="29"/>
      <c r="W27" s="44"/>
    </row>
    <row r="28" spans="2:23" ht="13" thickBot="1">
      <c r="B28" s="58" t="s">
        <v>18</v>
      </c>
      <c r="C28" s="59"/>
      <c r="D28" s="59"/>
      <c r="E28" s="59"/>
      <c r="F28" s="7"/>
      <c r="G28" s="58" t="s">
        <v>17</v>
      </c>
      <c r="H28" s="59"/>
      <c r="I28" s="59"/>
      <c r="J28" s="59"/>
      <c r="K28" s="7"/>
      <c r="L28" s="58" t="s">
        <v>19</v>
      </c>
      <c r="M28" s="59"/>
      <c r="N28" s="59"/>
      <c r="O28" s="59"/>
      <c r="P28" s="7"/>
      <c r="Q28" s="55" t="s">
        <v>20</v>
      </c>
      <c r="R28" s="56"/>
      <c r="S28" s="56"/>
      <c r="T28" s="57"/>
      <c r="U28" s="7"/>
      <c r="V28" s="29"/>
      <c r="W28" s="44"/>
    </row>
    <row r="29" spans="2:23" ht="9" customHeight="1">
      <c r="B29" s="4" t="s">
        <v>0</v>
      </c>
      <c r="C29" s="1" t="s">
        <v>1</v>
      </c>
      <c r="D29" s="1" t="s">
        <v>2</v>
      </c>
      <c r="E29" s="9" t="s">
        <v>4</v>
      </c>
      <c r="F29" s="9" t="s">
        <v>5</v>
      </c>
      <c r="G29" s="4" t="s">
        <v>0</v>
      </c>
      <c r="H29" s="1" t="s">
        <v>1</v>
      </c>
      <c r="I29" s="1" t="s">
        <v>2</v>
      </c>
      <c r="J29" s="9" t="s">
        <v>4</v>
      </c>
      <c r="K29" s="9" t="s">
        <v>5</v>
      </c>
      <c r="L29" s="4" t="s">
        <v>0</v>
      </c>
      <c r="M29" s="1" t="s">
        <v>1</v>
      </c>
      <c r="N29" s="1" t="s">
        <v>2</v>
      </c>
      <c r="O29" s="9" t="s">
        <v>4</v>
      </c>
      <c r="P29" s="9" t="s">
        <v>5</v>
      </c>
      <c r="Q29" s="4" t="s">
        <v>0</v>
      </c>
      <c r="R29" s="1" t="s">
        <v>1</v>
      </c>
      <c r="S29" s="1" t="s">
        <v>2</v>
      </c>
      <c r="T29" s="9" t="s">
        <v>4</v>
      </c>
      <c r="U29" s="9" t="s">
        <v>5</v>
      </c>
      <c r="V29" s="29"/>
      <c r="W29" s="30"/>
    </row>
    <row r="30" spans="2:23" ht="14" customHeight="1">
      <c r="B30" s="35"/>
      <c r="C30" s="36"/>
      <c r="D30" s="36"/>
      <c r="E30" s="36" t="str">
        <f>IF(D30="A",C30,IF(D30="B",C30,IF(D30="C",C30,IF(D30="D",C30,IF(D30="F",C30,IF(D30="A-",C30,IF(D30="B+",C30,IF(D30="B-",C30,IF(D30="C+",C30,IF(D30="C-",C30,IF(D30="D+",C30,IF(D30="D-",C30," "))))))))))))</f>
        <v xml:space="preserve"> </v>
      </c>
      <c r="F30" s="36" t="str">
        <f>IF(D30="A",4*E30,IF(D30="C-",1.7*E30,IF(D30="D-",0.7*E30,IF(D30="B+",3.3*E30,IF(D30="B-",2.7*E30,IF(D30="C+",2.3*E30,IF(D30="A-",3.7*E30,IF(D30="B",3*E30,IF(D30="C",2*E30,IF(D30="D",1*E30,IF(D30="F","0","")))))))))))</f>
        <v/>
      </c>
      <c r="G30" s="35"/>
      <c r="H30" s="36"/>
      <c r="I30" s="36"/>
      <c r="J30" s="36" t="str">
        <f>IF(I30="A",H30,IF(I30="B",H30,IF(I30="C",H30,IF(I30="D",H30,IF(I30="F",H30,IF(I30="A-",H30,IF(I30="B+",H30,IF(I30="B-",H30,IF(I30="C+",H30,IF(I30="C-",H30,IF(I30="D+",H30,IF(I30="D-",H30," "))))))))))))</f>
        <v xml:space="preserve"> </v>
      </c>
      <c r="K30" s="36" t="str">
        <f>IF(I30="A",4*J30,IF(I30="C-",1.7*J30,IF(I30="D-",0.7*J30,IF(I30="B+",3.3*J30,IF(I30="B-",2.7*J30,IF(I30="C+",2.3*J30,IF(I30="A-",3.7*J30,IF(I30="B",3*J30,IF(I30="C",2*J30,IF(I30="D",1*J30,IF(I30="F","0","")))))))))))</f>
        <v/>
      </c>
      <c r="L30" s="35"/>
      <c r="M30" s="36"/>
      <c r="N30" s="36"/>
      <c r="O30" s="36" t="str">
        <f>IF(N30="A",M30,IF(N30="B",M30,IF(N30="C",M30,IF(N30="D",M30,IF(N30="F",M30,IF(N30="A-",M30,IF(N30="B+",M30,IF(N30="B-",M30,IF(N30="C+",M30,IF(N30="C-",M30,IF(N30="D+",M30,IF(N30="D-",M30," "))))))))))))</f>
        <v xml:space="preserve"> </v>
      </c>
      <c r="P30" s="36" t="str">
        <f>IF(N30="A",4*O30,IF(N30="C-",1.7*O30,IF(N30="D-",0.7*O30,IF(N30="B+",3.3*O30,IF(N30="B-",2.7*O30,IF(N30="C+",2.3*O30,IF(N30="A-",3.7*O30,IF(N30="B",3*O30,IF(N30="C",2*O30,IF(N30="D",1*O30,IF(N30="F","0","")))))))))))</f>
        <v/>
      </c>
      <c r="Q30" s="35"/>
      <c r="R30" s="36"/>
      <c r="S30" s="36"/>
      <c r="T30" s="2" t="str">
        <f>IF(S30="A",R30,IF(S30="B",R30,IF(S30="C",R30,IF(S30="D",R30,IF(S30="F",R30,IF(S30="A-",R30,IF(S30="B+",R30,IF(S30="B-",R30,IF(S30="C+",R30,IF(S30="C-",R30,IF(S30="D+",R30,IF(S30="D-",R30," "))))))))))))</f>
        <v xml:space="preserve"> </v>
      </c>
      <c r="U30" s="2" t="str">
        <f>IF(S30="A",4*T30,IF(S30="C-",1.7*T30,IF(S30="D-",0.7*T30,IF(S30="B+",3.3*T30,IF(S30="B-",2.7*T30,IF(S30="C+",2.3*T30,IF(S30="A-",3.7*T30,IF(S30="B",3*T30,IF(S30="C",2*T30,IF(S30="D",1*T30,IF(S30="F","0","")))))))))))</f>
        <v/>
      </c>
      <c r="V30" s="29"/>
      <c r="W30" s="30"/>
    </row>
    <row r="31" spans="2:23" ht="14" customHeight="1">
      <c r="B31" s="35"/>
      <c r="C31" s="36"/>
      <c r="D31" s="36"/>
      <c r="E31" s="36" t="str">
        <f>IF(D31="A",C31,IF(D31="R","",IF(D31="B",C31,IF(D31="C",C31,IF(D31="D",C31,IF(D31="F",C31,IF(D31="A-",C31,IF(D31="B+",C31,IF(D31="B-",C31,IF(D31="C+",C31,IF(D31="C-",C31,IF(D31="D+",C31,IF(D31="D-",C31," ")))))))))))))</f>
        <v xml:space="preserve"> </v>
      </c>
      <c r="F31" s="36" t="str">
        <f>IF(D31="A",4*E31,IF(D31="R","",IF(D31="C-",1.7*E31,IF(D31="D-",0.7*E31,IF(D31="B+",3.3*E31,IF(D31="B-",2.7*E31,IF(D31="C+",2.3*E31,IF(D31="A-",3.7*E31,IF(D31="B",3*E31,IF(D31="C",2*E31,IF(D31="D",1*E31,IF(D31="F","0",""))))))))))))</f>
        <v/>
      </c>
      <c r="G31" s="35"/>
      <c r="H31" s="36"/>
      <c r="I31" s="36"/>
      <c r="J31" s="36" t="str">
        <f>IF(I31="A",H31,IF(I31="B",H31,IF(I31="C",H31,IF(I31="D",H31,IF(I31="F",H31,IF(I31="A-",H31,IF(I31="B+",H31,IF(I31="B-",H31,IF(I31="C+",H31,IF(I31="C-",H31,IF(I31="D+",H31,IF(I31="D-",H31," "))))))))))))</f>
        <v xml:space="preserve"> </v>
      </c>
      <c r="K31" s="36" t="str">
        <f>IF(I31="A",4*J31,IF(I31="R","",IF(I31="C-",1.7*J31,IF(I31="D-",0.7*J31,IF(I31="B+",3.3*J31,IF(I31="B-",2.7*J31,IF(I31="C+",2.3*J31,IF(I31="A-",3.7*J31,IF(I31="B",3*J31,IF(I31="C",2*J31,IF(I31="D",1*J31,IF(I31="F","0",""))))))))))))</f>
        <v/>
      </c>
      <c r="L31" s="35"/>
      <c r="M31" s="36"/>
      <c r="N31" s="36"/>
      <c r="O31" s="36" t="str">
        <f>IF(N31="A",M31,IF(N31="B",M31,IF(N31="C",M31,IF(N31="D",M31,IF(N31="F",M31,IF(N31="A-",M31,IF(N31="B+",M31,IF(N31="B-",M31,IF(N31="C+",M31,IF(N31="C-",M31,IF(N31="D+",M31,IF(N31="D-",M31," "))))))))))))</f>
        <v xml:space="preserve"> </v>
      </c>
      <c r="P31" s="36" t="str">
        <f>IF(N31="A",4*O31,IF(N31="R","",IF(N31="C-",1.7*O31,IF(N31="D-",0.7*O31,IF(N31="B+",3.3*O31,IF(N31="B-",2.7*O31,IF(N31="C+",2.3*O31,IF(N31="A-",3.7*O31,IF(N31="B",3*O31,IF(N31="C",2*O31,IF(N31="D",1*O31,IF(N31="F","0",""))))))))))))</f>
        <v/>
      </c>
      <c r="Q31" s="35"/>
      <c r="R31" s="36"/>
      <c r="S31" s="36"/>
      <c r="T31" s="36" t="str">
        <f>IF(S31="A",R31,IF(S31="B",R31,IF(S31="C",R31,IF(S31="D",R31,IF(S31="F",R31,IF(S31="A-",R31,IF(S31="B+",R31,IF(S31="B-",R31,IF(S31="C+",R31,IF(S31="C-",R31,IF(S31="D+",R31,IF(S31="D-",R31," "))))))))))))</f>
        <v xml:space="preserve"> </v>
      </c>
      <c r="U31" s="36" t="str">
        <f>IF(S31="A",4*T31,IF(S31="R","",IF(S31="C-",1.7*T31,IF(S31="D-",0.7*T31,IF(S31="B+",3.3*T31,IF(S31="B-",2.7*T31,IF(S31="C+",2.3*T31,IF(S31="A-",3.7*T31,IF(S31="B",3*T31,IF(S31="C",2*T31,IF(S31="D",1*T31,IF(S31="F","0",""))))))))))))</f>
        <v/>
      </c>
      <c r="V31" s="29"/>
      <c r="W31" s="30"/>
    </row>
    <row r="32" spans="2:23" ht="14" customHeight="1" thickBot="1">
      <c r="B32" s="35"/>
      <c r="C32" s="36"/>
      <c r="D32" s="36"/>
      <c r="E32" s="36" t="str">
        <f>IF(D32="A",C32,IF(D32="B",C32,IF(D32="C",C32,IF(D32="D",C32,IF(D32="F",C32,IF(D32="A-",C32,IF(D32="B+",C32,IF(D32="B-",C32,IF(D32="C+",C32,IF(D32="C-",C32,IF(D32="D+",C32,IF(D32="D-",C32," "))))))))))))</f>
        <v xml:space="preserve"> </v>
      </c>
      <c r="F32" s="36" t="str">
        <f>IF(D32="A",4*E30,IF(D32="C-",1.7*E30,IF(D32="D-",0.7*E30,IF(D32="B+",3.3*E30,IF(D32="B-",2.7*E30,IF(D32="C+",2.3*E30,IF(D32="A-",3.7*E30,IF(D32="B",3*E30,IF(D32="C",2*E30,IF(D32="D",1*E30,IF(D32="F","0","")))))))))))</f>
        <v/>
      </c>
      <c r="G32" s="35"/>
      <c r="H32" s="36"/>
      <c r="I32" s="36"/>
      <c r="J32" s="36" t="str">
        <f>IF(I32="A",H32,IF(I32="B",H32,IF(I32="C",H32,IF(I32="D",H32,IF(I32="F",H32,IF(I32="A-",H32,IF(I32="B+",H32,IF(I32="B-",H32,IF(I32="C+",H32,IF(I32="C-",H32,IF(I32="D+",H32,IF(I32="D-",H32," "))))))))))))</f>
        <v xml:space="preserve"> </v>
      </c>
      <c r="K32" s="36" t="str">
        <f>IF(I32="A",4*J30,IF(I32="C-",1.7*J30,IF(I32="D-",0.7*J30,IF(I32="B+",3.3*J30,IF(I32="B-",2.7*J30,IF(I32="C+",2.3*J30,IF(I32="A-",3.7*J30,IF(I32="B",3*J30,IF(I32="C",2*J30,IF(I32="D",1*J30,IF(I32="F","0","")))))))))))</f>
        <v/>
      </c>
      <c r="L32" s="35"/>
      <c r="M32" s="36"/>
      <c r="N32" s="36"/>
      <c r="O32" s="36" t="str">
        <f>IF(N32="A",M32,IF(N32="B",M32,IF(N32="C",M32,IF(N32="D",M32,IF(N32="F",M32,IF(N32="A-",M32,IF(N32="B+",M32,IF(N32="B-",M32,IF(N32="C+",M32,IF(N32="C-",M32,IF(N32="D+",M32,IF(N32="D-",M32," "))))))))))))</f>
        <v xml:space="preserve"> </v>
      </c>
      <c r="P32" s="36" t="str">
        <f>IF(N32="A",4*O30,IF(N32="C-",1.7*O30,IF(N32="D-",0.7*O30,IF(N32="B+",3.3*O30,IF(N32="B-",2.7*O30,IF(N32="C+",2.3*O30,IF(N32="A-",3.7*O30,IF(N32="B",3*O30,IF(N32="C",2*O30,IF(N32="D",1*O30,IF(N32="F","0","")))))))))))</f>
        <v/>
      </c>
      <c r="Q32" s="35"/>
      <c r="R32" s="36"/>
      <c r="S32" s="36"/>
      <c r="T32" s="2" t="str">
        <f>IF(S32="A",R32,IF(S32="B",R32,IF(S32="C",R32,IF(S32="D",R32,IF(S32="F",R32,IF(S32="A-",R32,IF(S32="B+",R32,IF(S32="B-",R32,IF(S32="C+",R32,IF(S32="C-",R32,IF(S32="D+",R32,IF(S32="D-",R32," "))))))))))))</f>
        <v xml:space="preserve"> </v>
      </c>
      <c r="U32" s="2" t="str">
        <f>IF(S32="A",4*T30,IF(S32="C-",1.7*T30,IF(S32="D-",0.7*T30,IF(S32="B+",3.3*T30,IF(S32="B-",2.7*T30,IF(S32="C+",2.3*T30,IF(S32="A-",3.7*T30,IF(S32="B",3*T30,IF(S32="C",2*T30,IF(S32="D",1*T30,IF(S32="F","0","")))))))))))</f>
        <v/>
      </c>
      <c r="V32" s="33"/>
      <c r="W32" s="34"/>
    </row>
    <row r="33" spans="2:24" ht="14" customHeight="1">
      <c r="B33" s="35"/>
      <c r="C33" s="36"/>
      <c r="D33" s="36"/>
      <c r="E33" s="36" t="str">
        <f>IF(D33="A",C33,IF(D33="B",C33,IF(D33="C",C33,IF(D33="D",C33,IF(D33="F",C33,IF(D33="A-",C33,IF(D33="B+",C33,IF(D33="B-",C33,IF(D33="C+",C33,IF(D33="C-",C33,IF(D33="D+",C33,IF(D33="D-",C33," "))))))))))))</f>
        <v xml:space="preserve"> </v>
      </c>
      <c r="F33" s="36" t="str">
        <f>IF(D33="A",4*E30,IF(D33="C-",1.7*E30,IF(D33="D-",0.7*E30,IF(D33="B+",3.3*E30,IF(D33="B-",2.7*E30,IF(D33="C+",2.3*E30,IF(D33="A-",3.7*E30,IF(D33="B",3*E30,IF(D33="C",2*E30,IF(D33="D",1*E30,IF(D33="F","0","")))))))))))</f>
        <v/>
      </c>
      <c r="G33" s="35"/>
      <c r="H33" s="36"/>
      <c r="I33" s="36"/>
      <c r="J33" s="36" t="str">
        <f>IF(I33="A",H33,IF(I33="B",H33,IF(I33="C",H33,IF(I33="D",H33,IF(I33="F",H33,IF(I33="A-",H33,IF(I33="B+",H33,IF(I33="B-",H33,IF(I33="C+",H33,IF(I33="C-",H33,IF(I33="D+",H33,IF(I33="D-",H33," "))))))))))))</f>
        <v xml:space="preserve"> </v>
      </c>
      <c r="K33" s="36" t="str">
        <f>IF(I33="A",4*J30,IF(I33="C-",1.7*J30,IF(I33="D-",0.7*J30,IF(I33="B+",3.3*J30,IF(I33="B-",2.7*J30,IF(I33="C+",2.3*J30,IF(I33="A-",3.7*J30,IF(I33="B",3*J30,IF(I33="C",2*J30,IF(I33="D",1*J30,IF(I33="F","0","")))))))))))</f>
        <v/>
      </c>
      <c r="L33" s="35"/>
      <c r="M33" s="36"/>
      <c r="N33" s="36"/>
      <c r="O33" s="36" t="str">
        <f>IF(N33="A",M33,IF(N33="B",M33,IF(N33="C",M33,IF(N33="D",M33,IF(N33="F",M33,IF(N33="A-",M33,IF(N33="B+",M33,IF(N33="B-",M33,IF(N33="C+",M33,IF(N33="C-",M33,IF(N33="D+",M33,IF(N33="D-",M33," "))))))))))))</f>
        <v xml:space="preserve"> </v>
      </c>
      <c r="P33" s="36" t="str">
        <f>IF(N33="A",4*O30,IF(N33="C-",1.7*O30,IF(N33="D-",0.7*O30,IF(N33="B+",3.3*O30,IF(N33="B-",2.7*O30,IF(N33="C+",2.3*O30,IF(N33="A-",3.7*O30,IF(N33="B",3*O30,IF(N33="C",2*O30,IF(N33="D",1*O30,IF(N33="F","0","")))))))))))</f>
        <v/>
      </c>
      <c r="Q33" s="35"/>
      <c r="R33" s="36"/>
      <c r="S33" s="36"/>
      <c r="T33" s="2" t="str">
        <f>IF(S33="A",R33,IF(S33="B",R33,IF(S33="C",R33,IF(S33="D",R33,IF(S33="F",R33,IF(S33="A-",R33,IF(S33="B+",R33,IF(S33="B-",R33,IF(S33="C+",R33,IF(S33="C-",R33,IF(S33="D+",R33,IF(S33="D-",R33," "))))))))))))</f>
        <v xml:space="preserve"> </v>
      </c>
      <c r="U33" s="2" t="str">
        <f>IF(S33="A",4*T30,IF(S33="C-",1.7*T30,IF(S33="D-",0.7*T30,IF(S33="B+",3.3*T30,IF(S33="B-",2.7*T30,IF(S33="C+",2.3*T30,IF(S33="A-",3.7*T30,IF(S33="B",3*T30,IF(S33="C",2*T30,IF(S33="D",1*T30,IF(S33="F","0","")))))))))))</f>
        <v/>
      </c>
      <c r="V33" s="67" t="s">
        <v>22</v>
      </c>
      <c r="W33" s="62" t="s">
        <v>12</v>
      </c>
    </row>
    <row r="34" spans="2:24" ht="14" customHeight="1" thickBot="1">
      <c r="B34" s="37"/>
      <c r="C34" s="38"/>
      <c r="D34" s="38"/>
      <c r="E34" s="38" t="str">
        <f>IF(D34="A",C34,IF(D34="B",C34,IF(D34="C",C34,IF(D34="D",C34,IF(D34="F",C34,IF(D34="A-",C34,IF(D34="B+",C34,IF(D34="B-",C34,IF(D34="C+",C34,IF(D34="C-",C34,IF(D34="D+",C34,IF(D34="D-",C34," "))))))))))))</f>
        <v xml:space="preserve"> </v>
      </c>
      <c r="F34" s="38" t="str">
        <f>IF(D34="A",4*E30,IF(D34="C-",1.7*E30,IF(D34="D-",0.7*E30,IF(D34="B+",3.3*E30,IF(D34="B-",2.7*E30,IF(D34="C+",2.3*E30,IF(D34="A-",3.7*E30,IF(D34="B",3*E30,IF(D34="C",2*E30,IF(D34="D",1*E30,IF(D34="F","0","")))))))))))</f>
        <v/>
      </c>
      <c r="G34" s="37"/>
      <c r="H34" s="38"/>
      <c r="I34" s="38"/>
      <c r="J34" s="38" t="str">
        <f>IF(I34="A",H34,IF(I34="B",H34,IF(I34="C",H34,IF(I34="D",H34,IF(I34="F",H34,IF(I34="A-",H34,IF(I34="B+",H34,IF(I34="B-",H34,IF(I34="C+",H34,IF(I34="C-",H34,IF(I34="D+",H34,IF(I34="D-",H34," "))))))))))))</f>
        <v xml:space="preserve"> </v>
      </c>
      <c r="K34" s="38" t="str">
        <f>IF(I34="A",4*J30,IF(I34="C-",1.7*J30,IF(I34="D-",0.7*J30,IF(I34="B+",3.3*J30,IF(I34="B-",2.7*J30,IF(I34="C+",2.3*J30,IF(I34="A-",3.7*J30,IF(I34="B",3*J30,IF(I34="C",2*J30,IF(I34="D",1*J30,IF(I34="F","0","")))))))))))</f>
        <v/>
      </c>
      <c r="L34" s="37"/>
      <c r="M34" s="38"/>
      <c r="N34" s="38"/>
      <c r="O34" s="38" t="str">
        <f>IF(N34="A",M34,IF(N34="B",M34,IF(N34="C",M34,IF(N34="D",M34,IF(N34="F",M34,IF(N34="A-",M34,IF(N34="B+",M34,IF(N34="B-",M34,IF(N34="C+",M34,IF(N34="C-",M34,IF(N34="D+",M34,IF(N34="D-",M34," "))))))))))))</f>
        <v xml:space="preserve"> </v>
      </c>
      <c r="P34" s="38" t="str">
        <f>IF(N34="A",4*O30,IF(N34="C-",1.7*O30,IF(N34="D-",0.7*O30,IF(N34="B+",3.3*O30,IF(N34="B-",2.7*O30,IF(N34="C+",2.3*O30,IF(N34="A-",3.7*O30,IF(N34="B",3*O30,IF(N34="C",2*O30,IF(N34="D",1*O30,IF(N34="F","0","")))))))))))</f>
        <v/>
      </c>
      <c r="Q34" s="37"/>
      <c r="R34" s="38"/>
      <c r="S34" s="38"/>
      <c r="T34" s="6" t="str">
        <f>IF(S34="A",R34,IF(S34="B",R34,IF(S34="C",R34,IF(S34="D",R34,IF(S34="F",R34,IF(S34="A-",R34,IF(S34="B+",R34,IF(S34="B-",R34,IF(S34="C+",R34,IF(S34="C-",R34,IF(S34="D+",R34,IF(S34="D-",R34," "))))))))))))</f>
        <v xml:space="preserve"> </v>
      </c>
      <c r="U34" s="6" t="str">
        <f>IF(S34="A",4*T30,IF(S34="C-",1.7*T30,IF(S34="D-",0.7*T30,IF(S34="B+",3.3*T30,IF(S34="B-",2.7*T30,IF(S34="C+",2.3*T30,IF(S34="A-",3.7*T30,IF(S34="B",3*T30,IF(S34="C",2*T30,IF(S34="D",1*T30,IF(S34="F","0","")))))))))))</f>
        <v/>
      </c>
      <c r="V34" s="68"/>
      <c r="W34" s="63"/>
      <c r="X34">
        <f>IFERROR((X6/X4),0)</f>
        <v>0</v>
      </c>
    </row>
    <row r="35" spans="2:24" ht="16" customHeight="1" thickBot="1">
      <c r="B35" s="16" t="s">
        <v>24</v>
      </c>
      <c r="C35" s="17">
        <f>SUMIF(D30:D34,"&lt;&gt;R",C30:C34)</f>
        <v>0</v>
      </c>
      <c r="D35" s="15" t="str">
        <f>IF(E35=0, "", F35/E35)</f>
        <v/>
      </c>
      <c r="E35" s="17">
        <f>SUM(E30:E34)</f>
        <v>0</v>
      </c>
      <c r="F35" s="17">
        <f>SUM(F30:F34)</f>
        <v>0</v>
      </c>
      <c r="G35" s="16" t="s">
        <v>24</v>
      </c>
      <c r="H35" s="17">
        <f>SUMIF(I30:I34,"&lt;&gt;R",H30:H34)</f>
        <v>0</v>
      </c>
      <c r="I35" s="15" t="str">
        <f>IF(J35=0, "", K35/J35)</f>
        <v/>
      </c>
      <c r="J35" s="17">
        <f>SUM(J30:J34)</f>
        <v>0</v>
      </c>
      <c r="K35" s="17">
        <f>SUM(K30:K34)</f>
        <v>0</v>
      </c>
      <c r="L35" s="16" t="s">
        <v>24</v>
      </c>
      <c r="M35" s="17">
        <f>SUMIF(N30:N34,"&lt;&gt;R",M30:M34)</f>
        <v>0</v>
      </c>
      <c r="N35" s="15" t="str">
        <f>IF(O35=0, "", P35/O35)</f>
        <v/>
      </c>
      <c r="O35" s="17">
        <f>SUM(O30:O34)</f>
        <v>0</v>
      </c>
      <c r="P35" s="17">
        <f>SUM(P30:P34)</f>
        <v>0</v>
      </c>
      <c r="Q35" s="16" t="s">
        <v>24</v>
      </c>
      <c r="R35" s="17">
        <f>SUMIF(S30:S34,"&lt;&gt;R",R30:R34)</f>
        <v>0</v>
      </c>
      <c r="S35" s="15" t="str">
        <f>IF(T35=0, "", U35/T35)</f>
        <v/>
      </c>
      <c r="T35" s="10">
        <f>SUM(T30:T34)</f>
        <v>0</v>
      </c>
      <c r="U35" s="10">
        <f>SUM(U30:U34)</f>
        <v>0</v>
      </c>
      <c r="V35" s="19">
        <f>IFERROR(SUM(C11,H11,M11,R11,C19,H19,M19,R19,C27,H27,M27,R27,C35,H35,M35,R35+I3),0)</f>
        <v>0</v>
      </c>
      <c r="W35" s="20">
        <f>ROUND(X34,2)</f>
        <v>0</v>
      </c>
      <c r="X35">
        <f>H3*I3</f>
        <v>0</v>
      </c>
    </row>
  </sheetData>
  <sheetProtection sheet="1" objects="1" scenarios="1" selectLockedCells="1"/>
  <mergeCells count="28">
    <mergeCell ref="B28:E28"/>
    <mergeCell ref="G28:J28"/>
    <mergeCell ref="G20:J20"/>
    <mergeCell ref="B20:E20"/>
    <mergeCell ref="L4:O4"/>
    <mergeCell ref="L12:O12"/>
    <mergeCell ref="L20:O20"/>
    <mergeCell ref="B4:E4"/>
    <mergeCell ref="B12:E12"/>
    <mergeCell ref="G12:J12"/>
    <mergeCell ref="W33:W34"/>
    <mergeCell ref="V6:W10"/>
    <mergeCell ref="W19:W22"/>
    <mergeCell ref="V33:V34"/>
    <mergeCell ref="L28:O28"/>
    <mergeCell ref="Q28:T28"/>
    <mergeCell ref="C1:D1"/>
    <mergeCell ref="C2:D2"/>
    <mergeCell ref="Q4:T4"/>
    <mergeCell ref="Q12:T12"/>
    <mergeCell ref="Q20:T20"/>
    <mergeCell ref="G4:J4"/>
    <mergeCell ref="C3:D3"/>
    <mergeCell ref="H1:H2"/>
    <mergeCell ref="I1:I2"/>
    <mergeCell ref="G1:G3"/>
    <mergeCell ref="L1:W1"/>
    <mergeCell ref="L2:W3"/>
  </mergeCells>
  <phoneticPr fontId="0" type="noConversion"/>
  <dataValidations xWindow="947" yWindow="634" count="3">
    <dataValidation type="list" allowBlank="1" showInputMessage="1" showErrorMessage="1" sqref="D6:D10 D14:D18 D22:D26 D30:D34 I6:I10 I14:I18 I22:I26 I30:I34 N6:N10 N14:N18 N22:N26 N30:N34 S6:S10 S14:S18 S22:S26 S30:S34">
      <formula1>Grade</formula1>
    </dataValidation>
    <dataValidation allowBlank="1" showInputMessage="1" promptTitle="Exploring the Self and Others" prompt="UCOR 1100 is a prerequisite for both UCOR 2100 and 2500._x000d__x000d_UCOR 2500 is a prerequisite for UCOR 2900-2920." sqref="W19:W22"/>
    <dataValidation allowBlank="1" showInputMessage="1" showErrorMessage="1" promptTitle="Engaging the World" prompt="Choose two global challenge courses OUTSIDE your major area. You should decide on a major before you take these courses._x000d__x000d_The choices are:_x000d_UCOR 3410-3440 (Humanities)_x000d_UCOR 3610-3640 (Social Sciences)_x000d_UCOR 3810-3840 (Naturual Sciences)" sqref="W26:W28"/>
  </dataValidations>
  <printOptions horizontalCentered="1"/>
  <pageMargins left="0.7" right="0.7" top="0.75" bottom="0.75" header="0.3" footer="0.3"/>
  <pageSetup orientation="landscape" horizontalDpi="4294967293" verticalDpi="4294967293"/>
  <headerFooter>
    <oddHeader>&amp;L&amp;"Arial Black,Regular"&amp;20&amp;K05+000                Seattle University | &amp;K000000Academic Planning Grid</oddHeader>
    <oddFooter>&amp;RLast Modified by B. Foster |  10.1.13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Check Box 3">
              <controlPr locked="0" defaultSize="0" autoFill="0" autoLine="0" autoPict="0">
                <anchor moveWithCells="1">
                  <from>
                    <xdr:col>21</xdr:col>
                    <xdr:colOff>76200</xdr:colOff>
                    <xdr:row>5</xdr:row>
                    <xdr:rowOff>76200</xdr:rowOff>
                  </from>
                  <to>
                    <xdr:col>24</xdr:col>
                    <xdr:colOff>571500</xdr:colOff>
                    <xdr:row>6</xdr:row>
                    <xdr:rowOff>114300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1" r:id="rId4" name="Check Box 7">
              <controlPr locked="0" defaultSize="0" autoFill="0" autoLine="0" autoPict="0">
                <anchor moveWithCells="1">
                  <from>
                    <xdr:col>21</xdr:col>
                    <xdr:colOff>76200</xdr:colOff>
                    <xdr:row>6</xdr:row>
                    <xdr:rowOff>139700</xdr:rowOff>
                  </from>
                  <to>
                    <xdr:col>24</xdr:col>
                    <xdr:colOff>571500</xdr:colOff>
                    <xdr:row>8</xdr:row>
                    <xdr:rowOff>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2" r:id="rId5" name="Check Box 8">
              <controlPr locked="0" defaultSize="0" autoFill="0" autoLine="0" autoPict="0">
                <anchor moveWithCells="1">
                  <from>
                    <xdr:col>21</xdr:col>
                    <xdr:colOff>76200</xdr:colOff>
                    <xdr:row>8</xdr:row>
                    <xdr:rowOff>12700</xdr:rowOff>
                  </from>
                  <to>
                    <xdr:col>22</xdr:col>
                    <xdr:colOff>254000</xdr:colOff>
                    <xdr:row>9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4" r:id="rId6" name="Check Box 10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11</xdr:row>
                    <xdr:rowOff>165100</xdr:rowOff>
                  </from>
                  <to>
                    <xdr:col>22</xdr:col>
                    <xdr:colOff>266700</xdr:colOff>
                    <xdr:row>13</xdr:row>
                    <xdr:rowOff>63500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5" r:id="rId7" name="Check Box 11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13</xdr:row>
                    <xdr:rowOff>101600</xdr:rowOff>
                  </from>
                  <to>
                    <xdr:col>22</xdr:col>
                    <xdr:colOff>266700</xdr:colOff>
                    <xdr:row>14</xdr:row>
                    <xdr:rowOff>139700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6" r:id="rId8" name="Check Box 12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14</xdr:row>
                    <xdr:rowOff>165100</xdr:rowOff>
                  </from>
                  <to>
                    <xdr:col>22</xdr:col>
                    <xdr:colOff>266700</xdr:colOff>
                    <xdr:row>16</xdr:row>
                    <xdr:rowOff>25400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7" r:id="rId9" name="Check Box 13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18</xdr:row>
                    <xdr:rowOff>88900</xdr:rowOff>
                  </from>
                  <to>
                    <xdr:col>22</xdr:col>
                    <xdr:colOff>266700</xdr:colOff>
                    <xdr:row>19</xdr:row>
                    <xdr:rowOff>114300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8" r:id="rId10" name="Check Box 14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19</xdr:row>
                    <xdr:rowOff>127000</xdr:rowOff>
                  </from>
                  <to>
                    <xdr:col>22</xdr:col>
                    <xdr:colOff>266700</xdr:colOff>
                    <xdr:row>21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39" r:id="rId11" name="Check Box 15">
              <controlPr locked="0" defaultSize="0" autoFill="0" autoLine="0" autoPict="0">
                <anchor moveWithCells="1">
                  <from>
                    <xdr:col>21</xdr:col>
                    <xdr:colOff>88900</xdr:colOff>
                    <xdr:row>21</xdr:row>
                    <xdr:rowOff>76200</xdr:rowOff>
                  </from>
                  <to>
                    <xdr:col>22</xdr:col>
                    <xdr:colOff>266700</xdr:colOff>
                    <xdr:row>22</xdr:row>
                    <xdr:rowOff>114300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0" r:id="rId12" name="Check Box 16">
              <controlPr locked="0" defaultSize="0" autoFill="0" autoLine="0" autoPict="0">
                <anchor moveWithCells="1">
                  <from>
                    <xdr:col>21</xdr:col>
                    <xdr:colOff>101600</xdr:colOff>
                    <xdr:row>25</xdr:row>
                    <xdr:rowOff>12700</xdr:rowOff>
                  </from>
                  <to>
                    <xdr:col>22</xdr:col>
                    <xdr:colOff>279400</xdr:colOff>
                    <xdr:row>26</xdr:row>
                    <xdr:rowOff>50800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1" r:id="rId13" name="Check Box 17">
              <controlPr locked="0" defaultSize="0" autoFill="0" autoLine="0" autoPict="0">
                <anchor moveWithCells="1">
                  <from>
                    <xdr:col>21</xdr:col>
                    <xdr:colOff>101600</xdr:colOff>
                    <xdr:row>28</xdr:row>
                    <xdr:rowOff>0</xdr:rowOff>
                  </from>
                  <to>
                    <xdr:col>22</xdr:col>
                    <xdr:colOff>279400</xdr:colOff>
                    <xdr:row>29</xdr:row>
                    <xdr:rowOff>101600</xdr:rowOff>
                  </to>
                </anchor>
              </controlPr>
            </control>
          </mc:Choice>
          <mc:Fallback/>
        </mc:AlternateContent>
        <mc:AlternateContent xmlns:mc="http://schemas.openxmlformats.org/markup-compatibility/2006">
          <mc:Choice Requires="x14">
            <control shapeId="1042" r:id="rId14" name="Check Box 18">
              <controlPr locked="0" defaultSize="0" autoFill="0" autoLine="0" autoPict="0">
                <anchor moveWithCells="1">
                  <from>
                    <xdr:col>21</xdr:col>
                    <xdr:colOff>101600</xdr:colOff>
                    <xdr:row>30</xdr:row>
                    <xdr:rowOff>0</xdr:rowOff>
                  </from>
                  <to>
                    <xdr:col>22</xdr:col>
                    <xdr:colOff>279400</xdr:colOff>
                    <xdr:row>31</xdr:row>
                    <xdr:rowOff>38100</xdr:rowOff>
                  </to>
                </anchor>
              </controlPr>
            </control>
          </mc:Choice>
          <mc:Fallback/>
        </mc:AlternateContent>
      </controls>
    </mc:Choice>
    <mc:Fallback/>
  </mc:AlternateContent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Brian Foster</cp:lastModifiedBy>
  <cp:lastPrinted>2013-10-02T23:29:08Z</cp:lastPrinted>
  <dcterms:created xsi:type="dcterms:W3CDTF">2001-03-22T05:15:41Z</dcterms:created>
  <dcterms:modified xsi:type="dcterms:W3CDTF">2013-10-11T23:03:45Z</dcterms:modified>
</cp:coreProperties>
</file>