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9140" windowHeight="6615"/>
  </bookViews>
  <sheets>
    <sheet name="CPI-based on June12" sheetId="1" r:id="rId1"/>
    <sheet name="CPI-June2012" sheetId="2" r:id="rId2"/>
  </sheets>
  <definedNames>
    <definedName name="_Regression_Int" localSheetId="0" hidden="1">1</definedName>
    <definedName name="_xlnm.Print_Area" localSheetId="0">'CPI-based on June12'!$A$3:$R$46</definedName>
    <definedName name="Print_Area_MI">'CPI-based on June12'!$A$3:$K$45</definedName>
    <definedName name="_xlnm.Print_Titles" localSheetId="1">'CPI-June2012'!$1:$1</definedName>
  </definedNames>
  <calcPr calcId="145621" fullCalcOnLoad="1"/>
</workbook>
</file>

<file path=xl/calcChain.xml><?xml version="1.0" encoding="utf-8"?>
<calcChain xmlns="http://schemas.openxmlformats.org/spreadsheetml/2006/main">
  <c r="O32" i="1" l="1"/>
  <c r="P32" i="1"/>
  <c r="M42" i="1"/>
  <c r="J42" i="1"/>
  <c r="J41" i="1"/>
  <c r="I42" i="1"/>
  <c r="L42" i="1"/>
  <c r="G42" i="1"/>
  <c r="F42" i="1"/>
  <c r="E42" i="1"/>
  <c r="D42" i="1"/>
  <c r="R42" i="1"/>
  <c r="N42" i="1"/>
  <c r="H42" i="1"/>
  <c r="G253" i="2"/>
  <c r="F253" i="2"/>
  <c r="E253" i="2"/>
  <c r="G252" i="2"/>
  <c r="F252" i="2"/>
  <c r="E252" i="2"/>
  <c r="G251" i="2"/>
  <c r="F251" i="2"/>
  <c r="E251" i="2"/>
  <c r="G250" i="2"/>
  <c r="F250" i="2"/>
  <c r="E250" i="2"/>
  <c r="F249" i="2"/>
  <c r="E249" i="2"/>
  <c r="R29" i="1"/>
  <c r="R34" i="1"/>
  <c r="N41" i="1"/>
  <c r="N40" i="1"/>
  <c r="N39" i="1"/>
  <c r="N38" i="1"/>
  <c r="N37" i="1"/>
  <c r="N36" i="1"/>
  <c r="N35" i="1"/>
  <c r="N34" i="1"/>
  <c r="N33" i="1"/>
  <c r="G189" i="2"/>
  <c r="F189" i="2"/>
  <c r="G249" i="2"/>
  <c r="F232" i="2"/>
  <c r="G231" i="2"/>
  <c r="O30" i="1"/>
  <c r="G41" i="1"/>
  <c r="F41" i="1"/>
  <c r="E41" i="1"/>
  <c r="D41" i="1"/>
  <c r="E248" i="2"/>
  <c r="E247" i="2"/>
  <c r="E246" i="2"/>
  <c r="F246" i="2"/>
  <c r="F247" i="2"/>
  <c r="F248" i="2"/>
  <c r="G248" i="2"/>
  <c r="G247" i="2"/>
  <c r="G246" i="2"/>
  <c r="G245" i="2"/>
  <c r="F213" i="2"/>
  <c r="G213" i="2"/>
  <c r="F206" i="2"/>
  <c r="G3" i="2"/>
  <c r="F3" i="2"/>
  <c r="E3" i="2"/>
  <c r="R28" i="1"/>
  <c r="O28" i="1"/>
  <c r="G40" i="1"/>
  <c r="F40" i="1"/>
  <c r="E40" i="1"/>
  <c r="D40" i="1"/>
  <c r="F39" i="1"/>
  <c r="G39" i="1"/>
  <c r="F24" i="1"/>
  <c r="G24" i="1"/>
  <c r="D25" i="1"/>
  <c r="E25" i="1"/>
  <c r="F38" i="1"/>
  <c r="G38" i="1"/>
  <c r="D39" i="1"/>
  <c r="E39" i="1"/>
  <c r="F245" i="2"/>
  <c r="E245" i="2"/>
  <c r="G244" i="2"/>
  <c r="F244" i="2"/>
  <c r="E244" i="2"/>
  <c r="G243" i="2"/>
  <c r="F243" i="2"/>
  <c r="E243" i="2"/>
  <c r="G242" i="2"/>
  <c r="F242" i="2"/>
  <c r="E242" i="2"/>
  <c r="F11" i="2"/>
  <c r="G11" i="2"/>
  <c r="G203" i="2"/>
  <c r="F203" i="2"/>
  <c r="H199" i="2"/>
  <c r="H203" i="2"/>
  <c r="I199" i="2"/>
  <c r="I203" i="2"/>
  <c r="F4" i="2"/>
  <c r="F5" i="2"/>
  <c r="F6" i="2"/>
  <c r="F7" i="2"/>
  <c r="F8" i="2"/>
  <c r="F9" i="2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4" i="2"/>
  <c r="F205" i="2"/>
  <c r="F207" i="2"/>
  <c r="F208" i="2"/>
  <c r="F209" i="2"/>
  <c r="F210" i="2"/>
  <c r="F211" i="2"/>
  <c r="F212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3" i="2"/>
  <c r="F234" i="2"/>
  <c r="F235" i="2"/>
  <c r="F236" i="2"/>
  <c r="F237" i="2"/>
  <c r="F238" i="2"/>
  <c r="F239" i="2"/>
  <c r="F240" i="2"/>
  <c r="F241" i="2"/>
  <c r="G201" i="2"/>
  <c r="I211" i="2"/>
  <c r="I207" i="2"/>
  <c r="H211" i="2"/>
  <c r="H207" i="2"/>
  <c r="G4" i="2"/>
  <c r="G5" i="2"/>
  <c r="G6" i="2"/>
  <c r="G7" i="2"/>
  <c r="G8" i="2"/>
  <c r="G9" i="2"/>
  <c r="G10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90" i="2"/>
  <c r="G191" i="2"/>
  <c r="G192" i="2"/>
  <c r="G193" i="2"/>
  <c r="G194" i="2"/>
  <c r="G195" i="2"/>
  <c r="G196" i="2"/>
  <c r="G197" i="2"/>
  <c r="G198" i="2"/>
  <c r="G199" i="2"/>
  <c r="G200" i="2"/>
  <c r="G202" i="2"/>
  <c r="G204" i="2"/>
  <c r="G205" i="2"/>
  <c r="G206" i="2"/>
  <c r="G207" i="2"/>
  <c r="G208" i="2"/>
  <c r="G209" i="2"/>
  <c r="G210" i="2"/>
  <c r="G211" i="2"/>
  <c r="G212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2" i="2"/>
  <c r="G233" i="2"/>
  <c r="G234" i="2"/>
  <c r="G235" i="2"/>
  <c r="G236" i="2"/>
  <c r="G237" i="2"/>
  <c r="G238" i="2"/>
  <c r="G239" i="2"/>
  <c r="G240" i="2"/>
  <c r="G241" i="2"/>
  <c r="F28" i="1"/>
  <c r="G28" i="1"/>
  <c r="D29" i="1"/>
  <c r="E29" i="1"/>
  <c r="E241" i="2"/>
  <c r="E240" i="2"/>
  <c r="E239" i="2"/>
  <c r="E238" i="2"/>
  <c r="F37" i="1"/>
  <c r="G37" i="1"/>
  <c r="D38" i="1"/>
  <c r="E38" i="1"/>
  <c r="F25" i="1"/>
  <c r="G25" i="1"/>
  <c r="D26" i="1"/>
  <c r="E26" i="1"/>
  <c r="F26" i="1"/>
  <c r="G26" i="1"/>
  <c r="D27" i="1"/>
  <c r="E27" i="1"/>
  <c r="F27" i="1"/>
  <c r="G27" i="1"/>
  <c r="D28" i="1"/>
  <c r="E28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E237" i="2"/>
  <c r="E236" i="2"/>
  <c r="E235" i="2"/>
  <c r="E234" i="2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R26" i="1"/>
  <c r="R27" i="1"/>
  <c r="N32" i="1"/>
  <c r="N31" i="1"/>
  <c r="N30" i="1"/>
  <c r="N29" i="1"/>
  <c r="O29" i="1"/>
  <c r="E24" i="1"/>
  <c r="D24" i="1"/>
  <c r="G23" i="1"/>
  <c r="F23" i="1"/>
  <c r="E23" i="1"/>
  <c r="D23" i="1"/>
  <c r="C30" i="1"/>
  <c r="C31" i="1"/>
  <c r="C32" i="1"/>
  <c r="C33" i="1"/>
  <c r="C34" i="1"/>
  <c r="N27" i="1"/>
  <c r="O27" i="1"/>
  <c r="P27" i="1"/>
  <c r="Q27" i="1"/>
  <c r="N28" i="1"/>
  <c r="P28" i="1"/>
  <c r="Q28" i="1"/>
  <c r="P29" i="1"/>
  <c r="Q29" i="1"/>
  <c r="P30" i="1"/>
  <c r="Q30" i="1"/>
  <c r="N26" i="1"/>
  <c r="O26" i="1"/>
  <c r="P26" i="1"/>
  <c r="Q26" i="1"/>
  <c r="A25" i="1"/>
  <c r="A26" i="1"/>
  <c r="A27" i="1"/>
  <c r="A28" i="1"/>
  <c r="A29" i="1"/>
  <c r="A30" i="1"/>
  <c r="A31" i="1"/>
  <c r="A32" i="1"/>
  <c r="A33" i="1"/>
  <c r="A34" i="1"/>
  <c r="H39" i="1"/>
  <c r="H30" i="1"/>
  <c r="H35" i="1"/>
  <c r="H32" i="1"/>
  <c r="H38" i="1"/>
  <c r="O31" i="1"/>
  <c r="P31" i="1"/>
  <c r="Q31" i="1"/>
  <c r="H41" i="1"/>
  <c r="H31" i="1"/>
  <c r="I31" i="1"/>
  <c r="H37" i="1"/>
  <c r="H36" i="1"/>
  <c r="I36" i="1"/>
  <c r="L36" i="1"/>
  <c r="H34" i="1"/>
  <c r="H33" i="1"/>
  <c r="I33" i="1"/>
  <c r="H28" i="1"/>
  <c r="H27" i="1"/>
  <c r="H26" i="1"/>
  <c r="I27" i="1"/>
  <c r="H29" i="1"/>
  <c r="I30" i="1"/>
  <c r="H25" i="1"/>
  <c r="J34" i="1"/>
  <c r="M38" i="1"/>
  <c r="O38" i="1"/>
  <c r="P38" i="1"/>
  <c r="Q38" i="1"/>
  <c r="J27" i="1"/>
  <c r="Q32" i="1"/>
  <c r="J31" i="1"/>
  <c r="J26" i="1"/>
  <c r="M36" i="1"/>
  <c r="O36" i="1"/>
  <c r="P36" i="1"/>
  <c r="Q36" i="1"/>
  <c r="H40" i="1"/>
  <c r="M40" i="1"/>
  <c r="O40" i="1"/>
  <c r="P40" i="1"/>
  <c r="Q40" i="1"/>
  <c r="M37" i="1"/>
  <c r="O37" i="1"/>
  <c r="P37" i="1"/>
  <c r="Q37" i="1"/>
  <c r="J32" i="1"/>
  <c r="J36" i="1"/>
  <c r="J29" i="1"/>
  <c r="J30" i="1"/>
  <c r="I26" i="1"/>
  <c r="J40" i="1"/>
  <c r="J39" i="1"/>
  <c r="I28" i="1"/>
  <c r="M34" i="1"/>
  <c r="O34" i="1"/>
  <c r="P34" i="1"/>
  <c r="Q34" i="1"/>
  <c r="M41" i="1"/>
  <c r="O41" i="1"/>
  <c r="P41" i="1"/>
  <c r="Q41" i="1"/>
  <c r="I39" i="1"/>
  <c r="L39" i="1"/>
  <c r="H24" i="1"/>
  <c r="I25" i="1"/>
  <c r="R35" i="1"/>
  <c r="R37" i="1"/>
  <c r="R39" i="1"/>
  <c r="R41" i="1"/>
  <c r="R36" i="1"/>
  <c r="R38" i="1"/>
  <c r="R40" i="1"/>
  <c r="R30" i="1"/>
  <c r="R31" i="1"/>
  <c r="R32" i="1"/>
  <c r="R33" i="1"/>
  <c r="M35" i="1"/>
  <c r="O35" i="1"/>
  <c r="P35" i="1"/>
  <c r="Q35" i="1"/>
  <c r="O33" i="1"/>
  <c r="P33" i="1"/>
  <c r="Q33" i="1"/>
  <c r="J37" i="1"/>
  <c r="J35" i="1"/>
  <c r="I35" i="1"/>
  <c r="L35" i="1"/>
  <c r="I32" i="1"/>
  <c r="J33" i="1"/>
  <c r="I34" i="1"/>
  <c r="L34" i="1"/>
  <c r="O42" i="1"/>
  <c r="P42" i="1"/>
  <c r="Q42" i="1"/>
  <c r="J28" i="1"/>
  <c r="J38" i="1"/>
  <c r="M39" i="1"/>
  <c r="O39" i="1"/>
  <c r="P39" i="1"/>
  <c r="Q39" i="1"/>
  <c r="I37" i="1"/>
  <c r="L37" i="1"/>
  <c r="I41" i="1"/>
  <c r="L41" i="1"/>
  <c r="I29" i="1"/>
  <c r="I40" i="1"/>
  <c r="L40" i="1"/>
  <c r="I38" i="1"/>
  <c r="L38" i="1"/>
</calcChain>
</file>

<file path=xl/sharedStrings.xml><?xml version="1.0" encoding="utf-8"?>
<sst xmlns="http://schemas.openxmlformats.org/spreadsheetml/2006/main" count="341" uniqueCount="312">
  <si>
    <t>CALENDAR</t>
  </si>
  <si>
    <t>FISCAL</t>
  </si>
  <si>
    <t>RATE OF</t>
  </si>
  <si>
    <t>CUMMULATIVE</t>
  </si>
  <si>
    <t>QUARTER</t>
  </si>
  <si>
    <t>YEAR</t>
  </si>
  <si>
    <t>INCREASE</t>
  </si>
  <si>
    <t>1</t>
  </si>
  <si>
    <t>2</t>
  </si>
  <si>
    <t>3</t>
  </si>
  <si>
    <t>4</t>
  </si>
  <si>
    <t>AVERAGE</t>
  </si>
  <si>
    <t>(PYQ3+PYQ4+CYQ1+CYQ2)/4</t>
  </si>
  <si>
    <t>(CY AVG/PY AVG)-1</t>
  </si>
  <si>
    <t>CPI - Urban Consumers</t>
  </si>
  <si>
    <t>(CY % / BASE YR %)</t>
  </si>
  <si>
    <t>Ratio</t>
  </si>
  <si>
    <t xml:space="preserve">Projected </t>
  </si>
  <si>
    <t>Inflation</t>
  </si>
  <si>
    <t>Std. Cap</t>
  </si>
  <si>
    <t>Projected</t>
  </si>
  <si>
    <t>Increase</t>
  </si>
  <si>
    <t>over</t>
  </si>
  <si>
    <t>FY 2004</t>
  </si>
  <si>
    <t>Alt. Cap*</t>
  </si>
  <si>
    <t>Annual</t>
  </si>
  <si>
    <t>Fiscal</t>
  </si>
  <si>
    <t>Year</t>
  </si>
  <si>
    <t>Source of CPI Data: DOF- John Peloquin</t>
  </si>
  <si>
    <t>Formula</t>
  </si>
  <si>
    <t>Allow Based</t>
  </si>
  <si>
    <t>Based</t>
  </si>
  <si>
    <t>A</t>
  </si>
  <si>
    <t>B</t>
  </si>
  <si>
    <t>C</t>
  </si>
  <si>
    <t>D</t>
  </si>
  <si>
    <t>E</t>
  </si>
  <si>
    <t>F</t>
  </si>
  <si>
    <t>G</t>
  </si>
  <si>
    <t>Gtr of C or D</t>
  </si>
  <si>
    <t>obs</t>
  </si>
  <si>
    <t>Calendar</t>
  </si>
  <si>
    <t>1st</t>
  </si>
  <si>
    <t>2nd</t>
  </si>
  <si>
    <t>3rd</t>
  </si>
  <si>
    <t>4th</t>
  </si>
  <si>
    <t>previous</t>
  </si>
  <si>
    <t>diff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</si>
  <si>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</si>
  <si>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</si>
  <si>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</si>
  <si>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</si>
  <si>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</si>
  <si>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</si>
  <si>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</si>
  <si>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</si>
  <si>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</si>
  <si>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</si>
  <si>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</si>
  <si>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</si>
  <si>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</si>
  <si>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</si>
  <si>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</si>
  <si>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</si>
  <si>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</si>
  <si>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</si>
  <si>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</si>
  <si>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</si>
  <si>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</si>
  <si>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</si>
  <si>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</si>
  <si>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</si>
  <si>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</si>
  <si>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</si>
  <si>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</si>
  <si>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</si>
  <si>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</si>
  <si>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</si>
  <si>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</si>
  <si>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</si>
  <si>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</si>
  <si>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</si>
  <si>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</si>
  <si>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</si>
  <si>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</si>
  <si>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</si>
  <si>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</si>
  <si>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</si>
  <si>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</si>
  <si>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</si>
  <si>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</si>
  <si>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</si>
  <si>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</si>
  <si>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</si>
  <si>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</si>
  <si>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</si>
  <si>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</si>
  <si>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</si>
  <si>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</si>
  <si>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</si>
  <si>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</si>
  <si>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</si>
  <si>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</si>
  <si>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</si>
  <si>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</si>
  <si>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</si>
  <si>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</si>
  <si>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</si>
  <si>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</si>
  <si>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</si>
  <si>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</si>
  <si>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</si>
  <si>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</si>
  <si>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</si>
  <si>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</si>
  <si>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</si>
  <si>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</si>
  <si>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</si>
  <si>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</si>
  <si>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</si>
  <si>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</si>
  <si>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</si>
  <si>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</si>
  <si>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</si>
  <si>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</si>
  <si>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</si>
  <si>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</si>
  <si>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</si>
  <si>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</si>
  <si>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</si>
  <si>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</si>
  <si>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</si>
  <si>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</si>
  <si>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</si>
  <si>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</si>
  <si>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</si>
  <si>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</si>
  <si>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</si>
  <si>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</si>
  <si>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</si>
  <si>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</si>
  <si>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</si>
  <si>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</si>
  <si>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</si>
  <si>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</si>
  <si>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</si>
  <si>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</si>
  <si>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</si>
  <si>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</si>
  <si>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</si>
  <si>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</si>
  <si>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</si>
  <si>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</si>
  <si>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</si>
  <si>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</si>
  <si>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</si>
  <si>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</si>
  <si>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</si>
  <si>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</si>
  <si>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</si>
  <si>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</si>
  <si>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</si>
  <si>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</si>
  <si>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</si>
  <si>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</si>
  <si>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</si>
  <si>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</si>
  <si>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</si>
  <si>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</si>
  <si>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</si>
  <si>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</si>
  <si>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</si>
  <si>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</si>
  <si>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</si>
  <si>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</si>
  <si>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</si>
  <si>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</si>
  <si>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</si>
  <si>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</si>
  <si>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</si>
  <si>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</si>
  <si>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</si>
  <si>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</si>
  <si>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</si>
  <si>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</si>
  <si>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</si>
  <si>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</si>
  <si>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</si>
  <si>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</si>
  <si>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</si>
  <si>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</si>
  <si>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</si>
  <si>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</si>
  <si>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</si>
  <si>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</si>
  <si>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</si>
  <si>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</si>
  <si>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</si>
  <si>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</si>
  <si>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</si>
  <si>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</si>
  <si>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</si>
  <si>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</si>
  <si>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</si>
  <si>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</si>
  <si>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</si>
  <si>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</si>
  <si>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</si>
  <si>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</si>
  <si>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</si>
  <si>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</si>
  <si>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</si>
  <si>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</si>
  <si>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</si>
  <si>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</si>
  <si>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</si>
  <si>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</si>
  <si>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</si>
  <si>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</si>
  <si>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</si>
  <si>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</si>
  <si>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</si>
  <si>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</si>
  <si>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</si>
  <si>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</si>
  <si>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</si>
  <si>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</si>
  <si>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</si>
  <si>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</si>
  <si>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</si>
  <si>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</si>
  <si>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</si>
  <si>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</si>
  <si>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</si>
  <si>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</si>
  <si>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</si>
  <si>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</si>
  <si>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</si>
  <si>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</si>
  <si>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</si>
  <si>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</si>
  <si>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</si>
  <si>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</si>
  <si>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</si>
  <si>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</si>
  <si>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</si>
  <si>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</si>
  <si>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</si>
  <si>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</si>
  <si>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</si>
  <si>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</si>
  <si>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</si>
  <si>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</si>
  <si>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</si>
  <si>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</si>
  <si>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</si>
  <si>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</si>
  <si>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</si>
  <si>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</si>
  <si>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</si>
  <si>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</si>
  <si>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</si>
  <si>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</si>
  <si>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</si>
  <si>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</si>
  <si>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</si>
  <si>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</si>
  <si>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</si>
  <si>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</si>
  <si>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</si>
  <si>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</si>
  <si>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</si>
  <si>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</si>
  <si>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</si>
  <si>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</si>
  <si>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</si>
  <si>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</si>
  <si>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</si>
  <si>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</si>
  <si>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</si>
  <si>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</si>
  <si>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</si>
  <si>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</si>
  <si>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</si>
  <si>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</si>
  <si>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</si>
  <si>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</si>
  <si>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</si>
  <si>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df-current</t>
  </si>
  <si>
    <t>df-previous</t>
  </si>
  <si>
    <t>2019Q1</t>
  </si>
  <si>
    <t>2019Q2</t>
  </si>
  <si>
    <t>2019Q3</t>
  </si>
  <si>
    <t>2019Q4</t>
  </si>
  <si>
    <t>Notes:</t>
  </si>
  <si>
    <t>2020Q1</t>
  </si>
  <si>
    <t>2020Q2</t>
  </si>
  <si>
    <t>2020Q3</t>
  </si>
  <si>
    <t>2020Q4</t>
  </si>
  <si>
    <t>e</t>
  </si>
  <si>
    <t>With new formula allowances and finalized FY 2011 data</t>
  </si>
  <si>
    <t>1.  Assumes no increase in formula allowance after FY 2013 as per current law.</t>
  </si>
  <si>
    <t>Revised Referendum Cap Inflation Estimates</t>
  </si>
  <si>
    <t>June 2012 Update</t>
  </si>
  <si>
    <t>CPI</t>
  </si>
  <si>
    <t>2021Q1</t>
  </si>
  <si>
    <t>2021Q2</t>
  </si>
  <si>
    <t>2021Q3</t>
  </si>
  <si>
    <t>2021Q4</t>
  </si>
  <si>
    <t>FY 2005 - FY 2021</t>
  </si>
  <si>
    <t>2.  Finalized calculation through FY 2012 based on actual Bureau of Labor Statistics data.</t>
  </si>
  <si>
    <t>Date: July 17,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</si>
</sst>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_);\(#,##0.0000\)"/>
    <numFmt numFmtId="165" formatCode="0.0%"/>
    <numFmt numFmtId="166" formatCode="0.0000_)"/>
    <numFmt numFmtId="170" formatCode="0.0000%"/>
    <numFmt numFmtId="171" formatCode="0.00000000000000%"/>
    <numFmt numFmtId="174" formatCode="_(* #,##0.0000_);_(* \(#,##0.0000\);_(* &quot;-&quot;??_);_(@_)"/>
    <numFmt numFmtId="180" formatCode="0.0000"/>
    <numFmt numFmtId="181" formatCode="0.0000_);[Red]\(0.0000\)"/>
  </numFmts>
  <fonts count="9" x14ac:knownFonts="1">
    <font>
      <sz val="8"/>
      <name val="Times New Roman"/>
    </font>
    <font>
      <sz val="8"/>
      <name val="Courier"/>
      <family val="3"/>
    </font>
    <font>
      <sz val="10"/>
      <name val="Times New Roman"/>
      <family val="1"/>
    </font>
    <font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33">
    <xf numFmtId="0" fontId="0" fillId="0" borderId="0" xfId="0"/>
    <xf numFmtId="166" fontId="0" fillId="0" borderId="0" xfId="0" applyNumberFormat="1" applyProtection="1"/>
    <xf numFmtId="165" fontId="0" fillId="0" borderId="0" xfId="0" applyNumberFormat="1" applyProtection="1"/>
    <xf numFmtId="0" fontId="2" fillId="0" borderId="0" xfId="0" applyFont="1" applyAlignment="1" applyProtection="1">
      <alignment horizontal="left"/>
    </xf>
    <xf numFmtId="0" fontId="2" fillId="0" borderId="0" xfId="0" applyFont="1"/>
    <xf numFmtId="0" fontId="2" fillId="0" borderId="0" xfId="0" applyFont="1" applyAlignment="1" applyProtection="1">
      <alignment horizontal="center"/>
    </xf>
    <xf numFmtId="164" fontId="2" fillId="0" borderId="0" xfId="0" applyNumberFormat="1" applyFont="1" applyAlignment="1" applyProtection="1">
      <alignment horizontal="left"/>
    </xf>
    <xf numFmtId="165" fontId="2" fillId="0" borderId="0" xfId="0" applyNumberFormat="1" applyFont="1" applyAlignment="1" applyProtection="1">
      <alignment horizontal="left"/>
    </xf>
    <xf numFmtId="0" fontId="2" fillId="0" borderId="0" xfId="0" applyFont="1" applyAlignment="1" applyProtection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Protection="1"/>
    <xf numFmtId="164" fontId="2" fillId="0" borderId="0" xfId="0" applyNumberFormat="1" applyFont="1" applyProtection="1"/>
    <xf numFmtId="170" fontId="2" fillId="0" borderId="0" xfId="0" applyNumberFormat="1" applyFont="1" applyProtection="1"/>
    <xf numFmtId="10" fontId="2" fillId="0" borderId="0" xfId="0" applyNumberFormat="1" applyFont="1"/>
    <xf numFmtId="174" fontId="2" fillId="0" borderId="0" xfId="1" applyNumberFormat="1" applyFont="1"/>
    <xf numFmtId="174" fontId="2" fillId="0" borderId="0" xfId="0" applyNumberFormat="1" applyFont="1"/>
    <xf numFmtId="171" fontId="2" fillId="0" borderId="0" xfId="0" applyNumberFormat="1" applyFont="1"/>
    <xf numFmtId="166" fontId="2" fillId="0" borderId="0" xfId="0" applyNumberFormat="1" applyFont="1" applyProtection="1"/>
    <xf numFmtId="165" fontId="2" fillId="0" borderId="0" xfId="0" applyNumberFormat="1" applyFont="1" applyProtection="1"/>
    <xf numFmtId="44" fontId="2" fillId="0" borderId="0" xfId="2" applyFont="1"/>
    <xf numFmtId="0" fontId="3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3" applyFont="1"/>
    <xf numFmtId="46" fontId="8" fillId="0" borderId="0" xfId="0" applyNumberFormat="1" applyFont="1"/>
    <xf numFmtId="0" fontId="8" fillId="0" borderId="0" xfId="0" applyFont="1"/>
    <xf numFmtId="180" fontId="7" fillId="0" borderId="0" xfId="3" applyNumberFormat="1" applyFont="1"/>
    <xf numFmtId="0" fontId="7" fillId="0" borderId="0" xfId="3" applyFont="1" applyAlignment="1">
      <alignment horizontal="right"/>
    </xf>
    <xf numFmtId="46" fontId="8" fillId="0" borderId="0" xfId="0" applyNumberFormat="1" applyFont="1" applyAlignment="1">
      <alignment horizontal="right"/>
    </xf>
    <xf numFmtId="181" fontId="7" fillId="0" borderId="0" xfId="3" applyNumberFormat="1" applyFont="1"/>
    <xf numFmtId="0" fontId="2" fillId="0" borderId="0" xfId="0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_CPI-Oct 2005 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R49"/>
  <sheetViews>
    <sheetView tabSelected="1" workbookViewId="0"/>
  </sheetViews>
  <sheetFormatPr defaultColWidth="9.83203125" defaultRowHeight="11.25" x14ac:dyDescent="0.2"/>
  <cols>
    <col min="2" max="2" width="2.1640625" bestFit="1" customWidth="1"/>
    <col min="3" max="3" width="12" hidden="1" customWidth="1"/>
    <col min="4" max="10" width="12.83203125" hidden="1" customWidth="1"/>
    <col min="11" max="11" width="2.1640625" customWidth="1"/>
    <col min="12" max="12" width="15.1640625" customWidth="1"/>
    <col min="13" max="18" width="16.83203125" customWidth="1"/>
  </cols>
  <sheetData>
    <row r="1" spans="1:18" ht="15.75" x14ac:dyDescent="0.25">
      <c r="M1" s="31" t="s">
        <v>302</v>
      </c>
      <c r="N1" s="31"/>
      <c r="O1" s="31"/>
      <c r="P1" s="31"/>
    </row>
    <row r="2" spans="1:18" ht="15.75" x14ac:dyDescent="0.25">
      <c r="M2" s="32" t="s">
        <v>309</v>
      </c>
      <c r="N2" s="31"/>
      <c r="O2" s="31"/>
      <c r="P2" s="31"/>
    </row>
    <row r="3" spans="1:18" ht="12.75" x14ac:dyDescent="0.2">
      <c r="A3" s="3" t="s">
        <v>14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2.75" x14ac:dyDescent="0.2">
      <c r="A4" s="3" t="s">
        <v>303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2.75" x14ac:dyDescent="0.2">
      <c r="A5" s="3" t="s">
        <v>300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2.7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2.75" x14ac:dyDescent="0.2">
      <c r="A7" s="3" t="s">
        <v>28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2.7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12.75" x14ac:dyDescent="0.2">
      <c r="A9" s="3" t="s">
        <v>311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2.75" hidden="1" x14ac:dyDescent="0.2">
      <c r="A10" s="3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2.75" hidden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2.75" hidden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12.75" hidden="1" x14ac:dyDescent="0.2">
      <c r="A13" s="3"/>
      <c r="B13" s="3"/>
      <c r="C13" s="4"/>
      <c r="D13" s="3" t="s">
        <v>0</v>
      </c>
      <c r="E13" s="3" t="s">
        <v>0</v>
      </c>
      <c r="F13" s="3" t="s">
        <v>0</v>
      </c>
      <c r="G13" s="3" t="s">
        <v>0</v>
      </c>
      <c r="H13" s="3" t="s">
        <v>1</v>
      </c>
      <c r="I13" s="3" t="s">
        <v>2</v>
      </c>
      <c r="J13" s="3" t="s">
        <v>3</v>
      </c>
      <c r="K13" s="4"/>
      <c r="L13" s="4"/>
      <c r="M13" s="4"/>
      <c r="N13" s="4"/>
      <c r="O13" s="4"/>
      <c r="P13" s="4"/>
      <c r="Q13" s="4"/>
      <c r="R13" s="4"/>
    </row>
    <row r="14" spans="1:18" ht="12.75" hidden="1" x14ac:dyDescent="0.2">
      <c r="A14" s="4"/>
      <c r="B14" s="4"/>
      <c r="C14" s="4"/>
      <c r="D14" s="3" t="s">
        <v>4</v>
      </c>
      <c r="E14" s="3" t="s">
        <v>4</v>
      </c>
      <c r="F14" s="3" t="s">
        <v>4</v>
      </c>
      <c r="G14" s="3" t="s">
        <v>4</v>
      </c>
      <c r="H14" s="3" t="s">
        <v>5</v>
      </c>
      <c r="I14" s="3" t="s">
        <v>6</v>
      </c>
      <c r="J14" s="3" t="s">
        <v>2</v>
      </c>
      <c r="K14" s="4"/>
      <c r="L14" s="4"/>
      <c r="M14" s="4"/>
      <c r="N14" s="4"/>
      <c r="O14" s="4"/>
      <c r="P14" s="4"/>
      <c r="Q14" s="4"/>
      <c r="R14" s="4"/>
    </row>
    <row r="15" spans="1:18" ht="12.75" hidden="1" x14ac:dyDescent="0.2">
      <c r="A15" s="4"/>
      <c r="B15" s="4"/>
      <c r="C15" s="4"/>
      <c r="D15" s="5" t="s">
        <v>7</v>
      </c>
      <c r="E15" s="5" t="s">
        <v>8</v>
      </c>
      <c r="F15" s="5" t="s">
        <v>9</v>
      </c>
      <c r="G15" s="5" t="s">
        <v>10</v>
      </c>
      <c r="H15" s="3" t="s">
        <v>11</v>
      </c>
      <c r="I15" s="4"/>
      <c r="J15" s="3" t="s">
        <v>6</v>
      </c>
      <c r="K15" s="4"/>
      <c r="L15" s="4"/>
      <c r="M15" s="4"/>
      <c r="N15" s="4"/>
      <c r="O15" s="4"/>
      <c r="P15" s="4"/>
      <c r="Q15" s="4"/>
      <c r="R15" s="4"/>
    </row>
    <row r="16" spans="1:18" ht="12.75" hidden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21" t="s">
        <v>32</v>
      </c>
      <c r="M17" s="21" t="s">
        <v>33</v>
      </c>
      <c r="N17" s="21" t="s">
        <v>34</v>
      </c>
      <c r="O17" s="21" t="s">
        <v>35</v>
      </c>
      <c r="P17" s="21" t="s">
        <v>36</v>
      </c>
      <c r="Q17" s="21" t="s">
        <v>37</v>
      </c>
      <c r="R17" s="21" t="s">
        <v>38</v>
      </c>
    </row>
    <row r="18" spans="1:18" ht="12.75" x14ac:dyDescent="0.2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ht="12.75" x14ac:dyDescent="0.2">
      <c r="A19" s="3"/>
      <c r="B19" s="3"/>
      <c r="C19" s="4"/>
      <c r="D19" s="4"/>
      <c r="E19" s="4"/>
      <c r="F19" s="4"/>
      <c r="G19" s="4"/>
      <c r="H19" s="6" t="s">
        <v>12</v>
      </c>
      <c r="I19" s="4"/>
      <c r="J19" s="4"/>
      <c r="K19" s="4"/>
      <c r="L19" s="21"/>
      <c r="M19" s="21" t="s">
        <v>17</v>
      </c>
      <c r="N19" s="21"/>
      <c r="O19" s="21" t="s">
        <v>17</v>
      </c>
      <c r="P19" s="21"/>
      <c r="Q19" s="21" t="s">
        <v>19</v>
      </c>
      <c r="R19" s="21" t="s">
        <v>20</v>
      </c>
    </row>
    <row r="20" spans="1:18" ht="12.75" x14ac:dyDescent="0.2">
      <c r="A20" s="3"/>
      <c r="B20" s="3"/>
      <c r="C20" s="4"/>
      <c r="D20" s="4"/>
      <c r="E20" s="4"/>
      <c r="F20" s="4"/>
      <c r="G20" s="4"/>
      <c r="H20" s="4"/>
      <c r="I20" s="7" t="s">
        <v>13</v>
      </c>
      <c r="J20" s="4"/>
      <c r="K20" s="4"/>
      <c r="L20" s="21" t="s">
        <v>25</v>
      </c>
      <c r="M20" s="21" t="s">
        <v>18</v>
      </c>
      <c r="N20" s="21" t="s">
        <v>29</v>
      </c>
      <c r="O20" s="21" t="s">
        <v>18</v>
      </c>
      <c r="P20" s="21" t="s">
        <v>20</v>
      </c>
      <c r="Q20" s="21" t="s">
        <v>21</v>
      </c>
      <c r="R20" s="21" t="s">
        <v>18</v>
      </c>
    </row>
    <row r="21" spans="1:18" ht="12.75" x14ac:dyDescent="0.2">
      <c r="A21" s="8" t="s">
        <v>26</v>
      </c>
      <c r="B21" s="8"/>
      <c r="C21" s="9" t="s">
        <v>41</v>
      </c>
      <c r="D21" s="9" t="s">
        <v>42</v>
      </c>
      <c r="E21" s="9" t="s">
        <v>43</v>
      </c>
      <c r="F21" s="9" t="s">
        <v>44</v>
      </c>
      <c r="G21" s="9" t="s">
        <v>45</v>
      </c>
      <c r="H21" s="4"/>
      <c r="I21" s="4"/>
      <c r="J21" s="7" t="s">
        <v>15</v>
      </c>
      <c r="K21" s="4"/>
      <c r="L21" s="21" t="s">
        <v>20</v>
      </c>
      <c r="M21" s="21" t="s">
        <v>16</v>
      </c>
      <c r="N21" s="21" t="s">
        <v>30</v>
      </c>
      <c r="O21" s="21" t="s">
        <v>31</v>
      </c>
      <c r="P21" s="21" t="s">
        <v>19</v>
      </c>
      <c r="Q21" s="21" t="s">
        <v>22</v>
      </c>
      <c r="R21" s="21" t="s">
        <v>16</v>
      </c>
    </row>
    <row r="22" spans="1:18" ht="12.75" x14ac:dyDescent="0.2">
      <c r="A22" s="9" t="s">
        <v>27</v>
      </c>
      <c r="B22" s="9"/>
      <c r="C22" s="9" t="s">
        <v>27</v>
      </c>
      <c r="D22" s="4"/>
      <c r="E22" s="4"/>
      <c r="F22" s="4"/>
      <c r="G22" s="4"/>
      <c r="H22" s="4"/>
      <c r="I22" s="4"/>
      <c r="J22" s="4"/>
      <c r="K22" s="4"/>
      <c r="L22" s="21" t="s">
        <v>18</v>
      </c>
      <c r="M22" s="21" t="s">
        <v>19</v>
      </c>
      <c r="N22" s="21" t="s">
        <v>19</v>
      </c>
      <c r="O22" s="21" t="s">
        <v>19</v>
      </c>
      <c r="P22" s="21" t="s">
        <v>39</v>
      </c>
      <c r="Q22" s="21" t="s">
        <v>23</v>
      </c>
      <c r="R22" s="21" t="s">
        <v>24</v>
      </c>
    </row>
    <row r="23" spans="1:18" ht="12" customHeight="1" x14ac:dyDescent="0.2">
      <c r="A23" s="4"/>
      <c r="B23" s="4"/>
      <c r="C23" s="4"/>
      <c r="D23">
        <f>'CPI-June2012'!C174</f>
        <v>1.780667</v>
      </c>
      <c r="E23">
        <f>'CPI-June2012'!C175</f>
        <v>1.794667</v>
      </c>
      <c r="F23">
        <f>'CPI-June2012'!C176</f>
        <v>1.804333</v>
      </c>
      <c r="G23">
        <f>'CPI-June2012'!C177</f>
        <v>1.8149999999999999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12.75" hidden="1" x14ac:dyDescent="0.2">
      <c r="A24" s="10">
        <v>2003</v>
      </c>
      <c r="B24" s="10"/>
      <c r="C24" s="4">
        <v>2003</v>
      </c>
      <c r="D24">
        <f>'CPI-June2012'!C178</f>
        <v>1.8336669999999999</v>
      </c>
      <c r="E24">
        <f>'CPI-June2012'!C179</f>
        <v>1.830667</v>
      </c>
      <c r="F24">
        <f>'CPI-June2012'!C180</f>
        <v>1.844333</v>
      </c>
      <c r="G24">
        <f>'CPI-June2012'!C181</f>
        <v>1.8513329999999999</v>
      </c>
      <c r="H24" s="11">
        <f>(F23+G23+D24+E24)/4</f>
        <v>1.8209167500000001</v>
      </c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12.75" hidden="1" x14ac:dyDescent="0.2">
      <c r="A25" s="10">
        <f>A24+1</f>
        <v>2004</v>
      </c>
      <c r="B25" s="10"/>
      <c r="C25" s="4">
        <v>2004</v>
      </c>
      <c r="D25">
        <f>'CPI-June2012'!C182</f>
        <v>1.867</v>
      </c>
      <c r="E25">
        <f>'CPI-June2012'!C183</f>
        <v>1.881667</v>
      </c>
      <c r="F25">
        <f>'CPI-June2012'!C184</f>
        <v>1.893667</v>
      </c>
      <c r="G25">
        <f>'CPI-June2012'!C185</f>
        <v>1.9139999999999999</v>
      </c>
      <c r="H25" s="11">
        <f>(F24+G24+D25+E25)/4</f>
        <v>1.8610832500000001</v>
      </c>
      <c r="I25" s="12">
        <f>ROUND((H25/H24)-1,4)</f>
        <v>2.2100000000000002E-2</v>
      </c>
      <c r="J25" s="4"/>
      <c r="K25" s="4"/>
      <c r="L25" s="4"/>
      <c r="M25" s="4"/>
      <c r="N25" s="4"/>
      <c r="O25" s="4"/>
      <c r="P25" s="4"/>
      <c r="Q25" s="4"/>
      <c r="R25" s="4"/>
    </row>
    <row r="26" spans="1:18" ht="12.75" x14ac:dyDescent="0.2">
      <c r="A26" s="10">
        <f t="shared" ref="A26:C34" si="0">A25+1</f>
        <v>2005</v>
      </c>
      <c r="B26" s="10"/>
      <c r="C26" s="4">
        <v>2005</v>
      </c>
      <c r="D26">
        <f>'CPI-June2012'!C186</f>
        <v>1.923667</v>
      </c>
      <c r="E26">
        <f>'CPI-June2012'!C187</f>
        <v>1.9366669999999999</v>
      </c>
      <c r="F26">
        <f>'CPI-June2012'!C188</f>
        <v>1.966</v>
      </c>
      <c r="G26">
        <f>'CPI-June2012'!C189</f>
        <v>1.9843329999999999</v>
      </c>
      <c r="H26" s="11">
        <f>(F25+G25+D26+E26)/4</f>
        <v>1.9170002500000001</v>
      </c>
      <c r="I26" s="12">
        <f t="shared" ref="I26:I37" si="1">(H26/H25)-1</f>
        <v>3.0045405008078063E-2</v>
      </c>
      <c r="J26" s="12">
        <f>(H26/$H$25)-1</f>
        <v>3.0045405008078063E-2</v>
      </c>
      <c r="K26" s="4"/>
      <c r="L26" s="13">
        <v>3.0099999999999998E-2</v>
      </c>
      <c r="M26" s="14">
        <v>1.0301</v>
      </c>
      <c r="N26" s="19">
        <f>ROUND(4601*0.186,2)</f>
        <v>855.79</v>
      </c>
      <c r="O26" s="19">
        <f>M26*855.79</f>
        <v>881.54927899999996</v>
      </c>
      <c r="P26" s="19">
        <f>IF(N26&gt;O26,N26,O26)</f>
        <v>881.54927899999996</v>
      </c>
      <c r="Q26" s="19">
        <f>P26-855.79</f>
        <v>25.759278999999992</v>
      </c>
      <c r="R26" s="15">
        <f>M26</f>
        <v>1.0301</v>
      </c>
    </row>
    <row r="27" spans="1:18" ht="12.75" x14ac:dyDescent="0.2">
      <c r="A27" s="10">
        <f t="shared" si="0"/>
        <v>2006</v>
      </c>
      <c r="B27" s="10"/>
      <c r="C27" s="4">
        <v>2006</v>
      </c>
      <c r="D27">
        <f>'CPI-June2012'!C190</f>
        <v>1.994667</v>
      </c>
      <c r="E27">
        <f>'CPI-June2012'!C191</f>
        <v>2.012667</v>
      </c>
      <c r="F27">
        <f>'CPI-June2012'!C192</f>
        <v>2.0316670000000001</v>
      </c>
      <c r="G27">
        <f>'CPI-June2012'!C193</f>
        <v>2.023333</v>
      </c>
      <c r="H27" s="11">
        <f t="shared" ref="H27:H32" si="2">(F26+G26+D27+E27)/4</f>
        <v>1.9894167499999997</v>
      </c>
      <c r="I27" s="12">
        <f t="shared" si="1"/>
        <v>3.7775947081905459E-2</v>
      </c>
      <c r="J27" s="12">
        <f t="shared" ref="J27:J32" si="3">(H27/$H$25)-1</f>
        <v>6.8956345719622947E-2</v>
      </c>
      <c r="K27" s="4"/>
      <c r="L27" s="13">
        <v>3.8100000000000002E-2</v>
      </c>
      <c r="M27" s="14">
        <v>1.0692999999999999</v>
      </c>
      <c r="N27" s="19">
        <f>ROUND(4783*0.186,2)</f>
        <v>889.64</v>
      </c>
      <c r="O27" s="19">
        <f>M27*855.79</f>
        <v>915.09624699999983</v>
      </c>
      <c r="P27" s="19">
        <f t="shared" ref="P27:P36" si="4">IF(N27&gt;O27,N27,O27)</f>
        <v>915.09624699999983</v>
      </c>
      <c r="Q27" s="19">
        <f t="shared" ref="Q27:Q37" si="5">P27-855.79</f>
        <v>59.306246999999871</v>
      </c>
      <c r="R27" s="15">
        <f>M27</f>
        <v>1.0692999999999999</v>
      </c>
    </row>
    <row r="28" spans="1:18" ht="12.75" x14ac:dyDescent="0.2">
      <c r="A28" s="10">
        <f t="shared" si="0"/>
        <v>2007</v>
      </c>
      <c r="B28" s="10"/>
      <c r="C28" s="4">
        <v>2007</v>
      </c>
      <c r="D28">
        <f>'CPI-June2012'!C194</f>
        <v>2.0431699999999999</v>
      </c>
      <c r="E28">
        <f>'CPI-June2012'!C195</f>
        <v>2.0663100000000001</v>
      </c>
      <c r="F28">
        <f>'CPI-June2012'!C196</f>
        <v>2.0793900000000001</v>
      </c>
      <c r="G28">
        <f>'CPI-June2012'!C197</f>
        <v>2.1048969999999998</v>
      </c>
      <c r="H28" s="11">
        <f t="shared" si="2"/>
        <v>2.0411199999999998</v>
      </c>
      <c r="I28" s="12">
        <f t="shared" si="1"/>
        <v>2.5989149834995562E-2</v>
      </c>
      <c r="J28" s="12">
        <f t="shared" si="3"/>
        <v>9.6737612355599856E-2</v>
      </c>
      <c r="K28" s="4"/>
      <c r="L28" s="13">
        <v>2.6100000000000002E-2</v>
      </c>
      <c r="M28" s="14">
        <v>1.0972999999999999</v>
      </c>
      <c r="N28" s="19">
        <f>ROUND(4974*0.26,2)</f>
        <v>1293.24</v>
      </c>
      <c r="O28" s="19">
        <f>M28*1294</f>
        <v>1419.9061999999999</v>
      </c>
      <c r="P28" s="19">
        <f t="shared" si="4"/>
        <v>1419.9061999999999</v>
      </c>
      <c r="Q28" s="19">
        <f t="shared" si="5"/>
        <v>564.11619999999994</v>
      </c>
      <c r="R28" s="15">
        <f>M28</f>
        <v>1.0972999999999999</v>
      </c>
    </row>
    <row r="29" spans="1:18" ht="12.75" x14ac:dyDescent="0.2">
      <c r="A29" s="10">
        <f t="shared" si="0"/>
        <v>2008</v>
      </c>
      <c r="B29" s="10"/>
      <c r="C29" s="4">
        <v>2008</v>
      </c>
      <c r="D29">
        <f>'CPI-June2012'!C198</f>
        <v>2.1275430000000002</v>
      </c>
      <c r="E29">
        <f>'CPI-June2012'!C199</f>
        <v>2.1554899999999999</v>
      </c>
      <c r="F29">
        <f>'CPI-June2012'!C200</f>
        <v>2.1890369999999999</v>
      </c>
      <c r="G29">
        <f>'CPI-June2012'!C201</f>
        <v>2.138137</v>
      </c>
      <c r="H29" s="11">
        <f t="shared" si="2"/>
        <v>2.1168299999999998</v>
      </c>
      <c r="I29" s="12">
        <f t="shared" si="1"/>
        <v>3.7092380653758639E-2</v>
      </c>
      <c r="J29" s="12">
        <f t="shared" si="3"/>
        <v>0.13741822135038806</v>
      </c>
      <c r="K29" s="4"/>
      <c r="L29" s="13">
        <v>3.6700000000000003E-2</v>
      </c>
      <c r="M29" s="14">
        <v>1.1375999999999999</v>
      </c>
      <c r="N29" s="19">
        <f>ROUND(5074*0.26,2)</f>
        <v>1319.24</v>
      </c>
      <c r="O29" s="19">
        <f>M29*1294</f>
        <v>1472.0544</v>
      </c>
      <c r="P29" s="19">
        <f t="shared" si="4"/>
        <v>1472.0544</v>
      </c>
      <c r="Q29" s="19">
        <f t="shared" si="5"/>
        <v>616.26440000000002</v>
      </c>
      <c r="R29" s="15">
        <f>M29</f>
        <v>1.1375999999999999</v>
      </c>
    </row>
    <row r="30" spans="1:18" ht="12.75" x14ac:dyDescent="0.2">
      <c r="A30" s="10">
        <f t="shared" si="0"/>
        <v>2009</v>
      </c>
      <c r="B30" s="10"/>
      <c r="C30" s="10">
        <f t="shared" si="0"/>
        <v>2009</v>
      </c>
      <c r="D30">
        <f>'CPI-June2012'!C202</f>
        <v>2.1244869999999998</v>
      </c>
      <c r="E30">
        <f>'CPI-June2012'!C203</f>
        <v>2.1347529999999999</v>
      </c>
      <c r="F30">
        <f>'CPI-June2012'!C204</f>
        <v>2.1536270000000002</v>
      </c>
      <c r="G30">
        <f>'CPI-June2012'!C205</f>
        <v>2.1697299999999999</v>
      </c>
      <c r="H30" s="11">
        <f t="shared" si="2"/>
        <v>2.1466034999999999</v>
      </c>
      <c r="I30" s="12">
        <f t="shared" si="1"/>
        <v>1.4065135131304807E-2</v>
      </c>
      <c r="J30" s="12">
        <f t="shared" si="3"/>
        <v>0.15341616233448985</v>
      </c>
      <c r="K30" s="4"/>
      <c r="L30" s="13">
        <v>1.4200000000000001E-2</v>
      </c>
      <c r="M30" s="14">
        <v>1.1536999999999999</v>
      </c>
      <c r="N30" s="19">
        <f>ROUND(5124*0.26,2)</f>
        <v>1332.24</v>
      </c>
      <c r="O30" s="19">
        <f>M30*1294</f>
        <v>1492.8878</v>
      </c>
      <c r="P30" s="19">
        <f t="shared" si="4"/>
        <v>1492.8878</v>
      </c>
      <c r="Q30" s="19">
        <f t="shared" si="5"/>
        <v>637.09780000000001</v>
      </c>
      <c r="R30" s="15">
        <f>R$29+(0.25*(5124/5074-1))</f>
        <v>1.1400635396137169</v>
      </c>
    </row>
    <row r="31" spans="1:18" ht="12.75" x14ac:dyDescent="0.2">
      <c r="A31" s="10">
        <f t="shared" si="0"/>
        <v>2010</v>
      </c>
      <c r="B31" s="3"/>
      <c r="C31" s="10">
        <f t="shared" si="0"/>
        <v>2010</v>
      </c>
      <c r="D31">
        <f>'CPI-June2012'!C206</f>
        <v>2.174353</v>
      </c>
      <c r="E31">
        <f>'CPI-June2012'!C207</f>
        <v>2.1725370000000002</v>
      </c>
      <c r="F31">
        <f>'CPI-June2012'!C208</f>
        <v>2.18025</v>
      </c>
      <c r="G31">
        <f>'CPI-June2012'!C209</f>
        <v>2.19625</v>
      </c>
      <c r="H31" s="11">
        <f>(F30+G30+D31+E31)/4</f>
        <v>2.16756175</v>
      </c>
      <c r="I31" s="12">
        <f>(H31/H30)-1</f>
        <v>9.7634472318712806E-3</v>
      </c>
      <c r="J31" s="12">
        <f t="shared" si="3"/>
        <v>0.16467748017183004</v>
      </c>
      <c r="K31" s="4"/>
      <c r="L31" s="13">
        <v>9.2999999999999992E-3</v>
      </c>
      <c r="M31" s="14">
        <v>1.1644000000000001</v>
      </c>
      <c r="N31" s="19">
        <f>ROUND(5124*0.26,2)</f>
        <v>1332.24</v>
      </c>
      <c r="O31" s="19">
        <f t="shared" ref="O31:O36" si="6">M31*1294</f>
        <v>1506.7336</v>
      </c>
      <c r="P31" s="19">
        <f t="shared" si="4"/>
        <v>1506.7336</v>
      </c>
      <c r="Q31" s="19">
        <f t="shared" si="5"/>
        <v>650.94360000000006</v>
      </c>
      <c r="R31" s="15">
        <f>R30</f>
        <v>1.1400635396137169</v>
      </c>
    </row>
    <row r="32" spans="1:18" ht="12.75" x14ac:dyDescent="0.2">
      <c r="A32" s="10">
        <f t="shared" si="0"/>
        <v>2011</v>
      </c>
      <c r="B32" s="3"/>
      <c r="C32" s="10">
        <f t="shared" si="0"/>
        <v>2011</v>
      </c>
      <c r="D32">
        <f>'CPI-June2012'!C210</f>
        <v>2.22079</v>
      </c>
      <c r="E32">
        <f>'CPI-June2012'!C211</f>
        <v>2.2450030000000001</v>
      </c>
      <c r="F32">
        <f>'CPI-June2012'!C212</f>
        <v>2.2621699999999998</v>
      </c>
      <c r="G32">
        <f>'CPI-June2012'!C213</f>
        <v>2.2695029999999998</v>
      </c>
      <c r="H32" s="11">
        <f t="shared" si="2"/>
        <v>2.2105732499999999</v>
      </c>
      <c r="I32" s="12">
        <f t="shared" si="1"/>
        <v>1.9843263980830139E-2</v>
      </c>
      <c r="J32" s="12">
        <f t="shared" si="3"/>
        <v>0.18778848286340755</v>
      </c>
      <c r="K32" s="4"/>
      <c r="L32" s="13">
        <v>2.0299999999999999E-2</v>
      </c>
      <c r="M32" s="14">
        <v>1.1880999999999999</v>
      </c>
      <c r="N32" s="19">
        <f>ROUND(5124*0.26,2)</f>
        <v>1332.24</v>
      </c>
      <c r="O32" s="19">
        <f>M32*1294</f>
        <v>1537.4014</v>
      </c>
      <c r="P32" s="19">
        <f>IF(N32&gt;O32,N32,O32)</f>
        <v>1537.4014</v>
      </c>
      <c r="Q32" s="19">
        <f t="shared" si="5"/>
        <v>681.6114</v>
      </c>
      <c r="R32" s="15">
        <f>R31</f>
        <v>1.1400635396137169</v>
      </c>
    </row>
    <row r="33" spans="1:18" ht="12.75" x14ac:dyDescent="0.2">
      <c r="A33" s="10">
        <f t="shared" si="0"/>
        <v>2012</v>
      </c>
      <c r="B33" s="3"/>
      <c r="C33" s="10">
        <f t="shared" si="0"/>
        <v>2012</v>
      </c>
      <c r="D33">
        <f>'CPI-June2012'!C214</f>
        <v>2.2834530000000002</v>
      </c>
      <c r="E33">
        <f>'CPI-June2012'!C215</f>
        <v>2.2866970000000002</v>
      </c>
      <c r="F33">
        <f>'CPI-June2012'!C216</f>
        <v>2.2854109999999999</v>
      </c>
      <c r="G33">
        <f>'CPI-June2012'!C217</f>
        <v>2.2932160000000001</v>
      </c>
      <c r="H33" s="11">
        <f t="shared" ref="H33:H38" si="7">(F32+G32+D33+E33)/4</f>
        <v>2.2754557499999999</v>
      </c>
      <c r="I33" s="12">
        <f t="shared" si="1"/>
        <v>2.9350983958572607E-2</v>
      </c>
      <c r="J33" s="12">
        <f t="shared" ref="J33:J38" si="8">(H33/$H$25)-1</f>
        <v>0.2226512435701089</v>
      </c>
      <c r="K33" s="4"/>
      <c r="L33" s="13">
        <v>2.9399999999999999E-2</v>
      </c>
      <c r="M33" s="14">
        <v>1.2230000000000001</v>
      </c>
      <c r="N33" s="19">
        <f>ROUND(5174*0.26,2)</f>
        <v>1345.24</v>
      </c>
      <c r="O33" s="19">
        <f t="shared" si="6"/>
        <v>1582.5620000000001</v>
      </c>
      <c r="P33" s="19">
        <f t="shared" si="4"/>
        <v>1582.5620000000001</v>
      </c>
      <c r="Q33" s="19">
        <f t="shared" si="5"/>
        <v>726.77200000000016</v>
      </c>
      <c r="R33" s="15">
        <f>R$29+(0.25*(5174/5074-1))</f>
        <v>1.1425270792274338</v>
      </c>
    </row>
    <row r="34" spans="1:18" ht="12.75" x14ac:dyDescent="0.2">
      <c r="A34" s="10">
        <f t="shared" si="0"/>
        <v>2013</v>
      </c>
      <c r="B34" s="3" t="s">
        <v>299</v>
      </c>
      <c r="C34" s="10">
        <f t="shared" si="0"/>
        <v>2013</v>
      </c>
      <c r="D34">
        <f>'CPI-June2012'!C218</f>
        <v>2.301574</v>
      </c>
      <c r="E34">
        <f>'CPI-June2012'!C219</f>
        <v>2.3083320000000001</v>
      </c>
      <c r="F34">
        <f>'CPI-June2012'!C220</f>
        <v>2.3217530000000002</v>
      </c>
      <c r="G34">
        <f>'CPI-June2012'!C221</f>
        <v>2.3353280000000001</v>
      </c>
      <c r="H34" s="11">
        <f t="shared" si="7"/>
        <v>2.2971332499999999</v>
      </c>
      <c r="I34" s="12">
        <f t="shared" si="1"/>
        <v>9.5266629553223403E-3</v>
      </c>
      <c r="J34" s="12">
        <f t="shared" si="8"/>
        <v>0.2342990298795069</v>
      </c>
      <c r="K34" s="16"/>
      <c r="L34" s="13">
        <f t="shared" ref="L34:L42" si="9">ROUND(I34,4)</f>
        <v>9.4999999999999998E-3</v>
      </c>
      <c r="M34" s="14">
        <f t="shared" ref="M34:M41" si="10">ROUND(H34/H$25,4)</f>
        <v>1.2343</v>
      </c>
      <c r="N34" s="19">
        <f>ROUND(5224*0.26,2)</f>
        <v>1358.24</v>
      </c>
      <c r="O34" s="19">
        <f>M34*1294</f>
        <v>1597.1841999999999</v>
      </c>
      <c r="P34" s="19">
        <f t="shared" si="4"/>
        <v>1597.1841999999999</v>
      </c>
      <c r="Q34" s="19">
        <f t="shared" si="5"/>
        <v>741.39419999999996</v>
      </c>
      <c r="R34" s="15">
        <f>R$29+(0.25*(5224/5074-1))</f>
        <v>1.1449906188411509</v>
      </c>
    </row>
    <row r="35" spans="1:18" ht="12.75" x14ac:dyDescent="0.2">
      <c r="A35" s="9">
        <v>2014</v>
      </c>
      <c r="B35" s="3" t="s">
        <v>299</v>
      </c>
      <c r="C35" s="9">
        <v>2014</v>
      </c>
      <c r="D35">
        <f>'CPI-June2012'!C222</f>
        <v>2.3508659999999999</v>
      </c>
      <c r="E35">
        <f>'CPI-June2012'!C223</f>
        <v>2.3665060000000002</v>
      </c>
      <c r="F35">
        <f>'CPI-June2012'!C224</f>
        <v>2.380039</v>
      </c>
      <c r="G35">
        <f>'CPI-June2012'!C225</f>
        <v>2.3906000000000001</v>
      </c>
      <c r="H35" s="11">
        <f t="shared" si="7"/>
        <v>2.3436132499999998</v>
      </c>
      <c r="I35" s="12">
        <f t="shared" si="1"/>
        <v>2.0233915468334196E-2</v>
      </c>
      <c r="J35" s="12">
        <f t="shared" si="8"/>
        <v>0.25927373211273586</v>
      </c>
      <c r="K35" s="16"/>
      <c r="L35" s="13">
        <f t="shared" si="9"/>
        <v>2.0199999999999999E-2</v>
      </c>
      <c r="M35" s="14">
        <f t="shared" si="10"/>
        <v>1.2593000000000001</v>
      </c>
      <c r="N35" s="19">
        <f t="shared" ref="N35:N42" si="11">ROUND(5224*0.26,2)</f>
        <v>1358.24</v>
      </c>
      <c r="O35" s="19">
        <f t="shared" si="6"/>
        <v>1629.5342000000001</v>
      </c>
      <c r="P35" s="19">
        <f t="shared" si="4"/>
        <v>1629.5342000000001</v>
      </c>
      <c r="Q35" s="19">
        <f t="shared" si="5"/>
        <v>773.74420000000009</v>
      </c>
      <c r="R35" s="15">
        <f>R34</f>
        <v>1.1449906188411509</v>
      </c>
    </row>
    <row r="36" spans="1:18" ht="12.75" x14ac:dyDescent="0.2">
      <c r="A36" s="9">
        <v>2015</v>
      </c>
      <c r="B36" s="3" t="s">
        <v>299</v>
      </c>
      <c r="C36" s="9">
        <v>2015</v>
      </c>
      <c r="D36">
        <f>'CPI-June2012'!C226</f>
        <v>2.402466</v>
      </c>
      <c r="E36">
        <f>'CPI-June2012'!C227</f>
        <v>2.414209</v>
      </c>
      <c r="F36">
        <f>'CPI-June2012'!C228</f>
        <v>2.4258510000000002</v>
      </c>
      <c r="G36">
        <f>'CPI-June2012'!C229</f>
        <v>2.4370729999999998</v>
      </c>
      <c r="H36" s="11">
        <f t="shared" si="7"/>
        <v>2.3968284999999998</v>
      </c>
      <c r="I36" s="12">
        <f t="shared" si="1"/>
        <v>2.2706498181813917E-2</v>
      </c>
      <c r="J36" s="12">
        <f t="shared" si="8"/>
        <v>0.28786742882135963</v>
      </c>
      <c r="K36" s="4"/>
      <c r="L36" s="13">
        <f t="shared" si="9"/>
        <v>2.2700000000000001E-2</v>
      </c>
      <c r="M36" s="14">
        <f t="shared" si="10"/>
        <v>1.2879</v>
      </c>
      <c r="N36" s="19">
        <f t="shared" si="11"/>
        <v>1358.24</v>
      </c>
      <c r="O36" s="19">
        <f t="shared" si="6"/>
        <v>1666.5426</v>
      </c>
      <c r="P36" s="19">
        <f t="shared" si="4"/>
        <v>1666.5426</v>
      </c>
      <c r="Q36" s="19">
        <f t="shared" si="5"/>
        <v>810.75260000000003</v>
      </c>
      <c r="R36" s="15">
        <f t="shared" ref="R36:R42" si="12">R34</f>
        <v>1.1449906188411509</v>
      </c>
    </row>
    <row r="37" spans="1:18" ht="12.75" x14ac:dyDescent="0.2">
      <c r="A37" s="9">
        <v>2016</v>
      </c>
      <c r="B37" s="3" t="s">
        <v>299</v>
      </c>
      <c r="C37" s="9">
        <v>2016</v>
      </c>
      <c r="D37">
        <f>'CPI-June2012'!C230</f>
        <v>2.4477690000000001</v>
      </c>
      <c r="E37">
        <f>'CPI-June2012'!C231</f>
        <v>2.4581140000000001</v>
      </c>
      <c r="F37">
        <f>'CPI-June2012'!C232</f>
        <v>2.4680580000000001</v>
      </c>
      <c r="G37">
        <f>'CPI-June2012'!C233</f>
        <v>2.4778820000000001</v>
      </c>
      <c r="H37" s="11">
        <f t="shared" si="7"/>
        <v>2.4422017499999997</v>
      </c>
      <c r="I37" s="12">
        <f t="shared" si="1"/>
        <v>1.8930536748874571E-2</v>
      </c>
      <c r="J37" s="12">
        <f t="shared" si="8"/>
        <v>0.31224745051034097</v>
      </c>
      <c r="K37" s="4"/>
      <c r="L37" s="13">
        <f t="shared" si="9"/>
        <v>1.89E-2</v>
      </c>
      <c r="M37" s="14">
        <f t="shared" si="10"/>
        <v>1.3122</v>
      </c>
      <c r="N37" s="19">
        <f t="shared" si="11"/>
        <v>1358.24</v>
      </c>
      <c r="O37" s="19">
        <f t="shared" ref="O37:O42" si="13">M37*1294</f>
        <v>1697.9868000000001</v>
      </c>
      <c r="P37" s="19">
        <f t="shared" ref="P37:P42" si="14">IF(N37&gt;O37,N37,O37)</f>
        <v>1697.9868000000001</v>
      </c>
      <c r="Q37" s="19">
        <f t="shared" si="5"/>
        <v>842.19680000000017</v>
      </c>
      <c r="R37" s="15">
        <f t="shared" si="12"/>
        <v>1.1449906188411509</v>
      </c>
    </row>
    <row r="38" spans="1:18" ht="12.75" x14ac:dyDescent="0.2">
      <c r="A38" s="9">
        <v>2017</v>
      </c>
      <c r="B38" s="3" t="s">
        <v>299</v>
      </c>
      <c r="C38" s="9">
        <v>2017</v>
      </c>
      <c r="D38">
        <f>'CPI-June2012'!C234</f>
        <v>2.488213</v>
      </c>
      <c r="E38">
        <f>'CPI-June2012'!C235</f>
        <v>2.4980030000000002</v>
      </c>
      <c r="F38">
        <f>'CPI-June2012'!C236</f>
        <v>2.5079660000000001</v>
      </c>
      <c r="G38">
        <f>'CPI-June2012'!C237</f>
        <v>2.5182639999999998</v>
      </c>
      <c r="H38" s="11">
        <f t="shared" si="7"/>
        <v>2.4830390000000002</v>
      </c>
      <c r="I38" s="12">
        <f>(H38/H37)-1</f>
        <v>1.6721489123493027E-2</v>
      </c>
      <c r="J38" s="12">
        <f t="shared" si="8"/>
        <v>0.33419018198138106</v>
      </c>
      <c r="K38" s="4"/>
      <c r="L38" s="13">
        <f t="shared" si="9"/>
        <v>1.67E-2</v>
      </c>
      <c r="M38" s="14">
        <f t="shared" si="10"/>
        <v>1.3342000000000001</v>
      </c>
      <c r="N38" s="19">
        <f t="shared" si="11"/>
        <v>1358.24</v>
      </c>
      <c r="O38" s="19">
        <f t="shared" si="13"/>
        <v>1726.4548</v>
      </c>
      <c r="P38" s="19">
        <f t="shared" si="14"/>
        <v>1726.4548</v>
      </c>
      <c r="Q38" s="19">
        <f>P38-855.79</f>
        <v>870.66480000000001</v>
      </c>
      <c r="R38" s="15">
        <f t="shared" si="12"/>
        <v>1.1449906188411509</v>
      </c>
    </row>
    <row r="39" spans="1:18" ht="12.75" x14ac:dyDescent="0.2">
      <c r="A39" s="9">
        <v>2018</v>
      </c>
      <c r="B39" s="3" t="s">
        <v>299</v>
      </c>
      <c r="C39" s="9">
        <v>2018</v>
      </c>
      <c r="D39">
        <f>'CPI-June2012'!C238</f>
        <v>2.530389</v>
      </c>
      <c r="E39">
        <f>'CPI-June2012'!C239</f>
        <v>2.5411519999999999</v>
      </c>
      <c r="F39">
        <f>'CPI-June2012'!C240</f>
        <v>2.5521850000000001</v>
      </c>
      <c r="G39">
        <f>'CPI-June2012'!C241</f>
        <v>2.5626099999999998</v>
      </c>
      <c r="H39" s="11">
        <f>(F38+G38+D39+E39)/4</f>
        <v>2.52444275</v>
      </c>
      <c r="I39" s="12">
        <f>(H39/H38)-1</f>
        <v>1.667462734173708E-2</v>
      </c>
      <c r="J39" s="12">
        <f>(H39/$H$25)-1</f>
        <v>0.35643730606892521</v>
      </c>
      <c r="K39" s="4"/>
      <c r="L39" s="13">
        <f t="shared" si="9"/>
        <v>1.67E-2</v>
      </c>
      <c r="M39" s="14">
        <f t="shared" si="10"/>
        <v>1.3564000000000001</v>
      </c>
      <c r="N39" s="19">
        <f t="shared" si="11"/>
        <v>1358.24</v>
      </c>
      <c r="O39" s="19">
        <f t="shared" si="13"/>
        <v>1755.1816000000001</v>
      </c>
      <c r="P39" s="19">
        <f t="shared" si="14"/>
        <v>1755.1816000000001</v>
      </c>
      <c r="Q39" s="19">
        <f>P39-855.79</f>
        <v>899.39160000000015</v>
      </c>
      <c r="R39" s="15">
        <f t="shared" si="12"/>
        <v>1.1449906188411509</v>
      </c>
    </row>
    <row r="40" spans="1:18" ht="12.75" x14ac:dyDescent="0.2">
      <c r="A40" s="9">
        <v>2019</v>
      </c>
      <c r="B40" s="3" t="s">
        <v>299</v>
      </c>
      <c r="C40" s="9">
        <v>2019</v>
      </c>
      <c r="D40">
        <f>'CPI-June2012'!C242</f>
        <v>2.5740400000000001</v>
      </c>
      <c r="E40">
        <f>'CPI-June2012'!C243</f>
        <v>2.584514</v>
      </c>
      <c r="F40">
        <f>'CPI-June2012'!C244</f>
        <v>2.5950310000000001</v>
      </c>
      <c r="G40">
        <f>'CPI-June2012'!C245</f>
        <v>2.605791</v>
      </c>
      <c r="H40" s="11">
        <f>(F39+G39+D40+E40)/4</f>
        <v>2.5683372499999999</v>
      </c>
      <c r="I40" s="12">
        <f>(H40/H39)-1</f>
        <v>1.7387797762496326E-2</v>
      </c>
      <c r="J40" s="12">
        <f>(H40/$H$25)-1</f>
        <v>0.38002276362435694</v>
      </c>
      <c r="K40" s="4"/>
      <c r="L40" s="13">
        <f t="shared" si="9"/>
        <v>1.7399999999999999E-2</v>
      </c>
      <c r="M40" s="14">
        <f t="shared" si="10"/>
        <v>1.38</v>
      </c>
      <c r="N40" s="19">
        <f t="shared" si="11"/>
        <v>1358.24</v>
      </c>
      <c r="O40" s="19">
        <f t="shared" si="13"/>
        <v>1785.7199999999998</v>
      </c>
      <c r="P40" s="19">
        <f t="shared" si="14"/>
        <v>1785.7199999999998</v>
      </c>
      <c r="Q40" s="19">
        <f>P40-855.79</f>
        <v>929.92999999999984</v>
      </c>
      <c r="R40" s="15">
        <f t="shared" si="12"/>
        <v>1.1449906188411509</v>
      </c>
    </row>
    <row r="41" spans="1:18" ht="12.75" x14ac:dyDescent="0.2">
      <c r="A41" s="9">
        <v>2020</v>
      </c>
      <c r="B41" s="3" t="s">
        <v>299</v>
      </c>
      <c r="C41" s="9">
        <v>2020</v>
      </c>
      <c r="D41">
        <f>'CPI-June2012'!C246</f>
        <v>2.617143</v>
      </c>
      <c r="E41">
        <f>'CPI-June2012'!C247</f>
        <v>2.627373</v>
      </c>
      <c r="F41">
        <f>'CPI-June2012'!C248</f>
        <v>2.6392920000000002</v>
      </c>
      <c r="G41">
        <f>'CPI-June2012'!C249</f>
        <v>2.6527159999999999</v>
      </c>
      <c r="H41" s="11">
        <f>(F40+G40+D41+E41)/4</f>
        <v>2.6113345000000003</v>
      </c>
      <c r="I41" s="12">
        <f>(H41/H40)-1</f>
        <v>1.6741278817647753E-2</v>
      </c>
      <c r="J41" s="12">
        <f>(H41/$H$25)-1</f>
        <v>0.4031261094848928</v>
      </c>
      <c r="K41" s="4"/>
      <c r="L41" s="13">
        <f t="shared" si="9"/>
        <v>1.67E-2</v>
      </c>
      <c r="M41" s="14">
        <f t="shared" si="10"/>
        <v>1.4031</v>
      </c>
      <c r="N41" s="19">
        <f t="shared" si="11"/>
        <v>1358.24</v>
      </c>
      <c r="O41" s="19">
        <f t="shared" si="13"/>
        <v>1815.6114</v>
      </c>
      <c r="P41" s="19">
        <f t="shared" si="14"/>
        <v>1815.6114</v>
      </c>
      <c r="Q41" s="19">
        <f>P41-855.79</f>
        <v>959.82140000000004</v>
      </c>
      <c r="R41" s="15">
        <f t="shared" si="12"/>
        <v>1.1449906188411509</v>
      </c>
    </row>
    <row r="42" spans="1:18" ht="12.75" x14ac:dyDescent="0.2">
      <c r="A42" s="9">
        <v>2021</v>
      </c>
      <c r="B42" s="3" t="s">
        <v>299</v>
      </c>
      <c r="C42" s="9">
        <v>2021</v>
      </c>
      <c r="D42">
        <f>'CPI-June2012'!C250</f>
        <v>2.666496</v>
      </c>
      <c r="E42">
        <f>'CPI-June2012'!C251</f>
        <v>2.6804030000000001</v>
      </c>
      <c r="F42">
        <f>'CPI-June2012'!C252</f>
        <v>2.694528</v>
      </c>
      <c r="G42">
        <f>'CPI-June2012'!C253</f>
        <v>2.7089180000000002</v>
      </c>
      <c r="H42" s="11">
        <f>(F41+G41+D42+E42)/4</f>
        <v>2.6597267499999999</v>
      </c>
      <c r="I42" s="12">
        <f>(H42/H41)-1</f>
        <v>1.8531616688708175E-2</v>
      </c>
      <c r="J42" s="12">
        <f>(H42/$H$25)-1</f>
        <v>0.42912830471178531</v>
      </c>
      <c r="K42" s="4"/>
      <c r="L42" s="13">
        <f t="shared" si="9"/>
        <v>1.8499999999999999E-2</v>
      </c>
      <c r="M42" s="14">
        <f>ROUND(H42/H$25,4)</f>
        <v>1.4291</v>
      </c>
      <c r="N42" s="19">
        <f t="shared" si="11"/>
        <v>1358.24</v>
      </c>
      <c r="O42" s="19">
        <f t="shared" si="13"/>
        <v>1849.2554</v>
      </c>
      <c r="P42" s="19">
        <f t="shared" si="14"/>
        <v>1849.2554</v>
      </c>
      <c r="Q42" s="19">
        <f>P42-855.79</f>
        <v>993.46540000000005</v>
      </c>
      <c r="R42" s="15">
        <f t="shared" si="12"/>
        <v>1.1449906188411509</v>
      </c>
    </row>
    <row r="43" spans="1:18" ht="15.75" x14ac:dyDescent="0.25">
      <c r="A43" s="4"/>
      <c r="B43" s="4"/>
      <c r="C43" s="4"/>
      <c r="D43" s="17"/>
      <c r="E43" s="17"/>
      <c r="F43" s="17"/>
      <c r="G43" s="17"/>
      <c r="H43" s="4"/>
      <c r="I43" s="4"/>
      <c r="J43" s="18"/>
      <c r="K43" s="4"/>
      <c r="L43" s="4"/>
      <c r="M43" s="4"/>
      <c r="N43" s="4"/>
      <c r="O43" s="4"/>
      <c r="P43" s="4"/>
      <c r="Q43" s="4"/>
      <c r="R43" s="20"/>
    </row>
    <row r="44" spans="1:18" ht="15.75" x14ac:dyDescent="0.25">
      <c r="A44" s="4" t="s">
        <v>294</v>
      </c>
      <c r="B44" s="4"/>
      <c r="C44" s="4"/>
      <c r="D44" s="17"/>
      <c r="E44" s="17"/>
      <c r="F44" s="17"/>
      <c r="G44" s="17"/>
      <c r="H44" s="4"/>
      <c r="I44" s="4"/>
      <c r="J44" s="18"/>
      <c r="K44" s="4"/>
      <c r="L44" s="4"/>
      <c r="M44" s="4"/>
      <c r="N44" s="4"/>
      <c r="O44" s="4"/>
      <c r="P44" s="4"/>
      <c r="Q44" s="4"/>
      <c r="R44" s="20"/>
    </row>
    <row r="45" spans="1:18" ht="12.75" x14ac:dyDescent="0.2">
      <c r="A45" s="4" t="s">
        <v>301</v>
      </c>
      <c r="B45" s="4"/>
      <c r="C45" s="4"/>
      <c r="D45" s="17"/>
      <c r="E45" s="17"/>
      <c r="F45" s="17"/>
      <c r="G45" s="17"/>
      <c r="H45" s="4"/>
      <c r="I45" s="4"/>
      <c r="J45" s="18"/>
      <c r="K45" s="4"/>
      <c r="L45" s="4"/>
      <c r="M45" s="4"/>
      <c r="N45" s="4"/>
      <c r="O45" s="4"/>
      <c r="P45" s="4"/>
      <c r="Q45" s="4"/>
      <c r="R45" s="4"/>
    </row>
    <row r="46" spans="1:18" ht="12.75" x14ac:dyDescent="0.2">
      <c r="A46" s="4" t="s">
        <v>310</v>
      </c>
      <c r="B46" s="4"/>
      <c r="D46" s="1"/>
      <c r="E46" s="1"/>
      <c r="F46" s="1"/>
      <c r="G46" s="1"/>
      <c r="J46" s="2"/>
    </row>
    <row r="47" spans="1:18" x14ac:dyDescent="0.2">
      <c r="D47" s="1"/>
      <c r="E47" s="1"/>
      <c r="F47" s="1"/>
      <c r="G47" s="1"/>
      <c r="J47" s="2"/>
    </row>
    <row r="48" spans="1:18" x14ac:dyDescent="0.2">
      <c r="J48" s="2"/>
    </row>
    <row r="49" spans="10:10" x14ac:dyDescent="0.2">
      <c r="J49" s="2"/>
    </row>
  </sheetData>
  <mergeCells count="2">
    <mergeCell ref="M1:P1"/>
    <mergeCell ref="M2:P2"/>
  </mergeCells>
  <phoneticPr fontId="0" type="noConversion"/>
  <pageMargins left="0.75" right="0.75" top="1.79" bottom="1" header="1.03" footer="0.5"/>
  <pageSetup scale="98" orientation="landscape" r:id="rId1"/>
  <headerFooter alignWithMargins="0">
    <oddHeader>&amp;L&amp;10MDE / School Finance&amp;C&amp;12Revised Referendum Cap Inflation Estimates,
 FY 2005 - FY 2021
&amp;R&amp;10 7/17/2012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3"/>
  <sheetViews>
    <sheetView workbookViewId="0">
      <pane xSplit="1" ySplit="1" topLeftCell="B207" activePane="bottomRight" state="frozen"/>
      <selection pane="topRight" activeCell="B1" sqref="B1"/>
      <selection pane="bottomLeft" activeCell="A2" sqref="A2"/>
      <selection pane="bottomRight" activeCell="C250" sqref="C250"/>
    </sheetView>
  </sheetViews>
  <sheetFormatPr defaultColWidth="10.6640625" defaultRowHeight="11.25" x14ac:dyDescent="0.2"/>
  <cols>
    <col min="1" max="1" width="21.1640625" style="23" customWidth="1"/>
    <col min="2" max="2" width="11" style="23" customWidth="1"/>
    <col min="3" max="16384" width="10.6640625" style="23"/>
  </cols>
  <sheetData>
    <row r="1" spans="1:7" x14ac:dyDescent="0.2">
      <c r="A1" s="22" t="s">
        <v>40</v>
      </c>
      <c r="B1" s="22" t="s">
        <v>40</v>
      </c>
      <c r="C1" s="22" t="s">
        <v>304</v>
      </c>
      <c r="D1" s="27" t="s">
        <v>46</v>
      </c>
      <c r="E1" s="27" t="s">
        <v>47</v>
      </c>
      <c r="F1" s="27" t="s">
        <v>288</v>
      </c>
      <c r="G1" s="27" t="s">
        <v>289</v>
      </c>
    </row>
    <row r="2" spans="1:7" x14ac:dyDescent="0.2">
      <c r="A2" s="24">
        <v>81.625694444444449</v>
      </c>
      <c r="B2" s="28" t="s">
        <v>48</v>
      </c>
      <c r="C2" s="25">
        <v>0.289933</v>
      </c>
      <c r="D2" s="25">
        <v>0.289933</v>
      </c>
      <c r="E2" s="26">
        <f>C2-D2</f>
        <v>0</v>
      </c>
      <c r="F2" s="26"/>
    </row>
    <row r="3" spans="1:7" x14ac:dyDescent="0.2">
      <c r="A3" s="24">
        <v>81.626388888888883</v>
      </c>
      <c r="B3" s="28" t="s">
        <v>49</v>
      </c>
      <c r="C3" s="25">
        <v>0.290433</v>
      </c>
      <c r="D3" s="25">
        <v>0.290433</v>
      </c>
      <c r="E3" s="26">
        <f>C3-D3</f>
        <v>0</v>
      </c>
      <c r="F3" s="29">
        <f>C3-C2</f>
        <v>5.0000000000000044E-4</v>
      </c>
      <c r="G3" s="29">
        <f>D3-D2</f>
        <v>5.0000000000000044E-4</v>
      </c>
    </row>
    <row r="4" spans="1:7" x14ac:dyDescent="0.2">
      <c r="A4" s="24">
        <v>81.627083333333331</v>
      </c>
      <c r="B4" s="28" t="s">
        <v>50</v>
      </c>
      <c r="C4" s="25">
        <v>0.291933</v>
      </c>
      <c r="D4" s="25">
        <v>0.291933</v>
      </c>
      <c r="E4" s="26">
        <f t="shared" ref="E4:E66" si="0">C4-D4</f>
        <v>0</v>
      </c>
      <c r="F4" s="29">
        <f t="shared" ref="F4:F67" si="1">C4-C3</f>
        <v>1.5000000000000013E-3</v>
      </c>
      <c r="G4" s="29">
        <f t="shared" ref="G4:G67" si="2">D4-D3</f>
        <v>1.5000000000000013E-3</v>
      </c>
    </row>
    <row r="5" spans="1:7" x14ac:dyDescent="0.2">
      <c r="A5" s="24">
        <v>81.62777777777778</v>
      </c>
      <c r="B5" s="28" t="s">
        <v>51</v>
      </c>
      <c r="C5" s="25">
        <v>0.29370000000000002</v>
      </c>
      <c r="D5" s="25">
        <v>0.29370000000000002</v>
      </c>
      <c r="E5" s="26">
        <f t="shared" si="0"/>
        <v>0</v>
      </c>
      <c r="F5" s="29">
        <f t="shared" si="1"/>
        <v>1.7670000000000186E-3</v>
      </c>
      <c r="G5" s="29">
        <f t="shared" si="2"/>
        <v>1.7670000000000186E-3</v>
      </c>
    </row>
    <row r="6" spans="1:7" x14ac:dyDescent="0.2">
      <c r="A6" s="24">
        <v>81.667361111111106</v>
      </c>
      <c r="B6" s="28" t="s">
        <v>52</v>
      </c>
      <c r="C6" s="25">
        <v>0.29396699999999998</v>
      </c>
      <c r="D6" s="25">
        <v>0.29396699999999998</v>
      </c>
      <c r="E6" s="26">
        <f t="shared" si="0"/>
        <v>0</v>
      </c>
      <c r="F6" s="29">
        <f t="shared" si="1"/>
        <v>2.6699999999996171E-4</v>
      </c>
      <c r="G6" s="29">
        <f t="shared" si="2"/>
        <v>2.6699999999996171E-4</v>
      </c>
    </row>
    <row r="7" spans="1:7" x14ac:dyDescent="0.2">
      <c r="A7" s="24">
        <v>81.668055555555554</v>
      </c>
      <c r="B7" s="28" t="s">
        <v>53</v>
      </c>
      <c r="C7" s="25">
        <v>0.29573300000000002</v>
      </c>
      <c r="D7" s="25">
        <v>0.29573300000000002</v>
      </c>
      <c r="E7" s="26">
        <f>C7-D7</f>
        <v>0</v>
      </c>
      <c r="F7" s="29">
        <f t="shared" si="1"/>
        <v>1.7660000000000453E-3</v>
      </c>
      <c r="G7" s="29">
        <f t="shared" si="2"/>
        <v>1.7660000000000453E-3</v>
      </c>
    </row>
    <row r="8" spans="1:7" x14ac:dyDescent="0.2">
      <c r="A8" s="24">
        <v>81.668750000000003</v>
      </c>
      <c r="B8" s="28" t="s">
        <v>54</v>
      </c>
      <c r="C8" s="25">
        <v>0.2959</v>
      </c>
      <c r="D8" s="25">
        <v>0.2959</v>
      </c>
      <c r="E8" s="26">
        <f t="shared" si="0"/>
        <v>0</v>
      </c>
      <c r="F8" s="29">
        <f t="shared" si="1"/>
        <v>1.6699999999997273E-4</v>
      </c>
      <c r="G8" s="29">
        <f t="shared" si="2"/>
        <v>1.6699999999997273E-4</v>
      </c>
    </row>
    <row r="9" spans="1:7" x14ac:dyDescent="0.2">
      <c r="A9" s="24">
        <v>81.669444444444437</v>
      </c>
      <c r="B9" s="28" t="s">
        <v>55</v>
      </c>
      <c r="C9" s="25">
        <v>0.29780000000000001</v>
      </c>
      <c r="D9" s="25">
        <v>0.29780000000000001</v>
      </c>
      <c r="E9" s="26">
        <f t="shared" si="0"/>
        <v>0</v>
      </c>
      <c r="F9" s="29">
        <f t="shared" si="1"/>
        <v>1.9000000000000128E-3</v>
      </c>
      <c r="G9" s="29">
        <f t="shared" si="2"/>
        <v>1.9000000000000128E-3</v>
      </c>
    </row>
    <row r="10" spans="1:7" x14ac:dyDescent="0.2">
      <c r="A10" s="24">
        <v>81.709027777777777</v>
      </c>
      <c r="B10" s="28" t="s">
        <v>56</v>
      </c>
      <c r="C10" s="25">
        <v>0.2984</v>
      </c>
      <c r="D10" s="25">
        <v>0.2984</v>
      </c>
      <c r="E10" s="26">
        <f t="shared" si="0"/>
        <v>0</v>
      </c>
      <c r="F10" s="29">
        <f t="shared" si="1"/>
        <v>5.9999999999998943E-4</v>
      </c>
      <c r="G10" s="29">
        <f t="shared" si="2"/>
        <v>5.9999999999998943E-4</v>
      </c>
    </row>
    <row r="11" spans="1:7" x14ac:dyDescent="0.2">
      <c r="A11" s="24">
        <v>81.709722222222226</v>
      </c>
      <c r="B11" s="28" t="s">
        <v>57</v>
      </c>
      <c r="C11" s="25">
        <v>0.29830000000000001</v>
      </c>
      <c r="D11" s="25">
        <v>0.29830000000000001</v>
      </c>
      <c r="E11" s="26">
        <f t="shared" si="0"/>
        <v>0</v>
      </c>
      <c r="F11" s="29">
        <f>C11-C10</f>
        <v>-9.9999999999988987E-5</v>
      </c>
      <c r="G11" s="29">
        <f>D11-D10</f>
        <v>-9.9999999999988987E-5</v>
      </c>
    </row>
    <row r="12" spans="1:7" x14ac:dyDescent="0.2">
      <c r="A12" s="24">
        <v>81.71041666666666</v>
      </c>
      <c r="B12" s="28" t="s">
        <v>58</v>
      </c>
      <c r="C12" s="25">
        <v>0.29946699999999998</v>
      </c>
      <c r="D12" s="25">
        <v>0.29946699999999998</v>
      </c>
      <c r="E12" s="26">
        <f t="shared" si="0"/>
        <v>0</v>
      </c>
      <c r="F12" s="29">
        <f t="shared" si="1"/>
        <v>1.1669999999999736E-3</v>
      </c>
      <c r="G12" s="29">
        <f t="shared" si="2"/>
        <v>1.1669999999999736E-3</v>
      </c>
    </row>
    <row r="13" spans="1:7" x14ac:dyDescent="0.2">
      <c r="A13" s="24">
        <v>81.711111111111109</v>
      </c>
      <c r="B13" s="28" t="s">
        <v>59</v>
      </c>
      <c r="C13" s="25">
        <v>0.2999</v>
      </c>
      <c r="D13" s="25">
        <v>0.2999</v>
      </c>
      <c r="E13" s="26">
        <f t="shared" si="0"/>
        <v>0</v>
      </c>
      <c r="F13" s="29">
        <f t="shared" si="1"/>
        <v>4.330000000000167E-4</v>
      </c>
      <c r="G13" s="29">
        <f t="shared" si="2"/>
        <v>4.330000000000167E-4</v>
      </c>
    </row>
    <row r="14" spans="1:7" x14ac:dyDescent="0.2">
      <c r="A14" s="24">
        <v>81.750694444444449</v>
      </c>
      <c r="B14" s="28" t="s">
        <v>60</v>
      </c>
      <c r="C14" s="25">
        <v>0.30106699999999997</v>
      </c>
      <c r="D14" s="25">
        <v>0.30106699999999997</v>
      </c>
      <c r="E14" s="26">
        <f t="shared" si="0"/>
        <v>0</v>
      </c>
      <c r="F14" s="29">
        <f t="shared" si="1"/>
        <v>1.1669999999999736E-3</v>
      </c>
      <c r="G14" s="29">
        <f t="shared" si="2"/>
        <v>1.1669999999999736E-3</v>
      </c>
    </row>
    <row r="15" spans="1:7" x14ac:dyDescent="0.2">
      <c r="A15" s="24">
        <v>81.751388888888883</v>
      </c>
      <c r="B15" s="28" t="s">
        <v>61</v>
      </c>
      <c r="C15" s="25">
        <v>0.30220000000000002</v>
      </c>
      <c r="D15" s="25">
        <v>0.30220000000000002</v>
      </c>
      <c r="E15" s="26">
        <f t="shared" si="0"/>
        <v>0</v>
      </c>
      <c r="F15" s="29">
        <f t="shared" si="1"/>
        <v>1.1330000000000506E-3</v>
      </c>
      <c r="G15" s="29">
        <f t="shared" si="2"/>
        <v>1.1330000000000506E-3</v>
      </c>
    </row>
    <row r="16" spans="1:7" x14ac:dyDescent="0.2">
      <c r="A16" s="24">
        <v>81.752083333333331</v>
      </c>
      <c r="B16" s="28" t="s">
        <v>62</v>
      </c>
      <c r="C16" s="25">
        <v>0.30306699999999998</v>
      </c>
      <c r="D16" s="25">
        <v>0.30306699999999998</v>
      </c>
      <c r="E16" s="26">
        <f t="shared" si="0"/>
        <v>0</v>
      </c>
      <c r="F16" s="29">
        <f t="shared" si="1"/>
        <v>8.6699999999995114E-4</v>
      </c>
      <c r="G16" s="29">
        <f t="shared" si="2"/>
        <v>8.6699999999995114E-4</v>
      </c>
    </row>
    <row r="17" spans="1:7" x14ac:dyDescent="0.2">
      <c r="A17" s="24">
        <v>81.75277777777778</v>
      </c>
      <c r="B17" s="28" t="s">
        <v>63</v>
      </c>
      <c r="C17" s="25">
        <v>0.30380000000000001</v>
      </c>
      <c r="D17" s="25">
        <v>0.30380000000000001</v>
      </c>
      <c r="E17" s="26">
        <f t="shared" si="0"/>
        <v>0</v>
      </c>
      <c r="F17" s="29">
        <f t="shared" si="1"/>
        <v>7.3300000000003918E-4</v>
      </c>
      <c r="G17" s="29">
        <f t="shared" si="2"/>
        <v>7.3300000000003918E-4</v>
      </c>
    </row>
    <row r="18" spans="1:7" x14ac:dyDescent="0.2">
      <c r="A18" s="24">
        <v>81.792361111111106</v>
      </c>
      <c r="B18" s="28" t="s">
        <v>64</v>
      </c>
      <c r="C18" s="25">
        <v>0.30476700000000001</v>
      </c>
      <c r="D18" s="25">
        <v>0.30476700000000001</v>
      </c>
      <c r="E18" s="26">
        <f t="shared" si="0"/>
        <v>0</v>
      </c>
      <c r="F18" s="29">
        <f t="shared" si="1"/>
        <v>9.6699999999999564E-4</v>
      </c>
      <c r="G18" s="29">
        <f t="shared" si="2"/>
        <v>9.6699999999999564E-4</v>
      </c>
    </row>
    <row r="19" spans="1:7" x14ac:dyDescent="0.2">
      <c r="A19" s="24">
        <v>81.793055555555554</v>
      </c>
      <c r="B19" s="28" t="s">
        <v>65</v>
      </c>
      <c r="C19" s="25">
        <v>0.30533300000000002</v>
      </c>
      <c r="D19" s="25">
        <v>0.30533300000000002</v>
      </c>
      <c r="E19" s="26">
        <f t="shared" si="0"/>
        <v>0</v>
      </c>
      <c r="F19" s="29">
        <f t="shared" si="1"/>
        <v>5.6600000000001094E-4</v>
      </c>
      <c r="G19" s="29">
        <f t="shared" si="2"/>
        <v>5.6600000000001094E-4</v>
      </c>
    </row>
    <row r="20" spans="1:7" x14ac:dyDescent="0.2">
      <c r="A20" s="24">
        <v>81.793750000000003</v>
      </c>
      <c r="B20" s="28" t="s">
        <v>66</v>
      </c>
      <c r="C20" s="25">
        <v>0.30719999999999997</v>
      </c>
      <c r="D20" s="25">
        <v>0.30719999999999997</v>
      </c>
      <c r="E20" s="26">
        <f t="shared" si="0"/>
        <v>0</v>
      </c>
      <c r="F20" s="29">
        <f t="shared" si="1"/>
        <v>1.866999999999952E-3</v>
      </c>
      <c r="G20" s="29">
        <f t="shared" si="2"/>
        <v>1.866999999999952E-3</v>
      </c>
    </row>
    <row r="21" spans="1:7" x14ac:dyDescent="0.2">
      <c r="A21" s="24">
        <v>81.794444444444437</v>
      </c>
      <c r="B21" s="28" t="s">
        <v>67</v>
      </c>
      <c r="C21" s="25">
        <v>0.308033</v>
      </c>
      <c r="D21" s="25">
        <v>0.308033</v>
      </c>
      <c r="E21" s="26">
        <f t="shared" si="0"/>
        <v>0</v>
      </c>
      <c r="F21" s="29">
        <f t="shared" si="1"/>
        <v>8.3300000000002816E-4</v>
      </c>
      <c r="G21" s="29">
        <f t="shared" si="2"/>
        <v>8.3300000000002816E-4</v>
      </c>
    </row>
    <row r="22" spans="1:7" x14ac:dyDescent="0.2">
      <c r="A22" s="24">
        <v>81.834027777777777</v>
      </c>
      <c r="B22" s="28" t="s">
        <v>68</v>
      </c>
      <c r="C22" s="25">
        <v>0.30930000000000002</v>
      </c>
      <c r="D22" s="25">
        <v>0.30930000000000002</v>
      </c>
      <c r="E22" s="26">
        <f t="shared" si="0"/>
        <v>0</v>
      </c>
      <c r="F22" s="29">
        <f t="shared" si="1"/>
        <v>1.2670000000000181E-3</v>
      </c>
      <c r="G22" s="29">
        <f t="shared" si="2"/>
        <v>1.2670000000000181E-3</v>
      </c>
    </row>
    <row r="23" spans="1:7" x14ac:dyDescent="0.2">
      <c r="A23" s="24">
        <v>81.834722222222226</v>
      </c>
      <c r="B23" s="28" t="s">
        <v>69</v>
      </c>
      <c r="C23" s="25">
        <v>0.30980000000000002</v>
      </c>
      <c r="D23" s="25">
        <v>0.30980000000000002</v>
      </c>
      <c r="E23" s="26">
        <f t="shared" si="0"/>
        <v>0</v>
      </c>
      <c r="F23" s="29">
        <f t="shared" si="1"/>
        <v>5.0000000000000044E-4</v>
      </c>
      <c r="G23" s="29">
        <f t="shared" si="2"/>
        <v>5.0000000000000044E-4</v>
      </c>
    </row>
    <row r="24" spans="1:7" x14ac:dyDescent="0.2">
      <c r="A24" s="24">
        <v>81.83541666666666</v>
      </c>
      <c r="B24" s="28" t="s">
        <v>70</v>
      </c>
      <c r="C24" s="25">
        <v>0.3105</v>
      </c>
      <c r="D24" s="25">
        <v>0.3105</v>
      </c>
      <c r="E24" s="26">
        <f t="shared" si="0"/>
        <v>0</v>
      </c>
      <c r="F24" s="29">
        <f t="shared" si="1"/>
        <v>6.9999999999997842E-4</v>
      </c>
      <c r="G24" s="29">
        <f t="shared" si="2"/>
        <v>6.9999999999997842E-4</v>
      </c>
    </row>
    <row r="25" spans="1:7" x14ac:dyDescent="0.2">
      <c r="A25" s="24">
        <v>81.836111111111109</v>
      </c>
      <c r="B25" s="28" t="s">
        <v>71</v>
      </c>
      <c r="C25" s="25">
        <v>0.31193300000000002</v>
      </c>
      <c r="D25" s="25">
        <v>0.31193300000000002</v>
      </c>
      <c r="E25" s="26">
        <f t="shared" si="0"/>
        <v>0</v>
      </c>
      <c r="F25" s="29">
        <f t="shared" si="1"/>
        <v>1.4330000000000176E-3</v>
      </c>
      <c r="G25" s="29">
        <f t="shared" si="2"/>
        <v>1.4330000000000176E-3</v>
      </c>
    </row>
    <row r="26" spans="1:7" x14ac:dyDescent="0.2">
      <c r="A26" s="24">
        <v>81.875694444444449</v>
      </c>
      <c r="B26" s="28" t="s">
        <v>72</v>
      </c>
      <c r="C26" s="25">
        <v>0.31290000000000001</v>
      </c>
      <c r="D26" s="25">
        <v>0.31290000000000001</v>
      </c>
      <c r="E26" s="26">
        <f t="shared" si="0"/>
        <v>0</v>
      </c>
      <c r="F26" s="29">
        <f t="shared" si="1"/>
        <v>9.6699999999999564E-4</v>
      </c>
      <c r="G26" s="29">
        <f t="shared" si="2"/>
        <v>9.6699999999999564E-4</v>
      </c>
    </row>
    <row r="27" spans="1:7" x14ac:dyDescent="0.2">
      <c r="A27" s="24">
        <v>81.876388888888883</v>
      </c>
      <c r="B27" s="28" t="s">
        <v>73</v>
      </c>
      <c r="C27" s="25">
        <v>0.31490000000000001</v>
      </c>
      <c r="D27" s="25">
        <v>0.31490000000000001</v>
      </c>
      <c r="E27" s="26">
        <f t="shared" si="0"/>
        <v>0</v>
      </c>
      <c r="F27" s="29">
        <f t="shared" si="1"/>
        <v>2.0000000000000018E-3</v>
      </c>
      <c r="G27" s="29">
        <f t="shared" si="2"/>
        <v>2.0000000000000018E-3</v>
      </c>
    </row>
    <row r="28" spans="1:7" x14ac:dyDescent="0.2">
      <c r="A28" s="24">
        <v>81.877083333333331</v>
      </c>
      <c r="B28" s="28" t="s">
        <v>74</v>
      </c>
      <c r="C28" s="25">
        <v>0.31583299999999997</v>
      </c>
      <c r="D28" s="25">
        <v>0.31583299999999997</v>
      </c>
      <c r="E28" s="26">
        <f t="shared" si="0"/>
        <v>0</v>
      </c>
      <c r="F28" s="29">
        <f t="shared" si="1"/>
        <v>9.3299999999996164E-4</v>
      </c>
      <c r="G28" s="29">
        <f t="shared" si="2"/>
        <v>9.3299999999996164E-4</v>
      </c>
    </row>
    <row r="29" spans="1:7" x14ac:dyDescent="0.2">
      <c r="A29" s="24">
        <v>81.87777777777778</v>
      </c>
      <c r="B29" s="28" t="s">
        <v>75</v>
      </c>
      <c r="C29" s="25">
        <v>0.3175</v>
      </c>
      <c r="D29" s="25">
        <v>0.3175</v>
      </c>
      <c r="E29" s="26">
        <f t="shared" si="0"/>
        <v>0</v>
      </c>
      <c r="F29" s="29">
        <f t="shared" si="1"/>
        <v>1.6670000000000296E-3</v>
      </c>
      <c r="G29" s="29">
        <f t="shared" si="2"/>
        <v>1.6670000000000296E-3</v>
      </c>
    </row>
    <row r="30" spans="1:7" x14ac:dyDescent="0.2">
      <c r="A30" s="24">
        <v>81.917361111111106</v>
      </c>
      <c r="B30" s="28" t="s">
        <v>76</v>
      </c>
      <c r="C30" s="25">
        <v>0.320467</v>
      </c>
      <c r="D30" s="25">
        <v>0.320467</v>
      </c>
      <c r="E30" s="26">
        <f t="shared" si="0"/>
        <v>0</v>
      </c>
      <c r="F30" s="29">
        <f t="shared" si="1"/>
        <v>2.9669999999999974E-3</v>
      </c>
      <c r="G30" s="29">
        <f t="shared" si="2"/>
        <v>2.9669999999999974E-3</v>
      </c>
    </row>
    <row r="31" spans="1:7" x14ac:dyDescent="0.2">
      <c r="A31" s="24">
        <v>81.918055555555554</v>
      </c>
      <c r="B31" s="28" t="s">
        <v>77</v>
      </c>
      <c r="C31" s="25">
        <v>0.32336700000000002</v>
      </c>
      <c r="D31" s="25">
        <v>0.32336700000000002</v>
      </c>
      <c r="E31" s="26">
        <f t="shared" si="0"/>
        <v>0</v>
      </c>
      <c r="F31" s="29">
        <f t="shared" si="1"/>
        <v>2.9000000000000137E-3</v>
      </c>
      <c r="G31" s="29">
        <f t="shared" si="2"/>
        <v>2.9000000000000137E-3</v>
      </c>
    </row>
    <row r="32" spans="1:7" x14ac:dyDescent="0.2">
      <c r="A32" s="24">
        <v>81.918750000000003</v>
      </c>
      <c r="B32" s="28" t="s">
        <v>78</v>
      </c>
      <c r="C32" s="25">
        <v>0.32616699999999998</v>
      </c>
      <c r="D32" s="25">
        <v>0.32616699999999998</v>
      </c>
      <c r="E32" s="26">
        <f t="shared" si="0"/>
        <v>0</v>
      </c>
      <c r="F32" s="29">
        <f t="shared" si="1"/>
        <v>2.7999999999999692E-3</v>
      </c>
      <c r="G32" s="29">
        <f t="shared" si="2"/>
        <v>2.7999999999999692E-3</v>
      </c>
    </row>
    <row r="33" spans="1:7" x14ac:dyDescent="0.2">
      <c r="A33" s="24">
        <v>81.919444444444437</v>
      </c>
      <c r="B33" s="28" t="s">
        <v>79</v>
      </c>
      <c r="C33" s="25">
        <v>0.32883299999999999</v>
      </c>
      <c r="D33" s="25">
        <v>0.32883299999999999</v>
      </c>
      <c r="E33" s="26">
        <f t="shared" si="0"/>
        <v>0</v>
      </c>
      <c r="F33" s="29">
        <f t="shared" si="1"/>
        <v>2.6660000000000017E-3</v>
      </c>
      <c r="G33" s="29">
        <f t="shared" si="2"/>
        <v>2.6660000000000017E-3</v>
      </c>
    </row>
    <row r="34" spans="1:7" x14ac:dyDescent="0.2">
      <c r="A34" s="24">
        <v>81.959027777777777</v>
      </c>
      <c r="B34" s="28" t="s">
        <v>80</v>
      </c>
      <c r="C34" s="25">
        <v>0.32966699999999999</v>
      </c>
      <c r="D34" s="25">
        <v>0.32966699999999999</v>
      </c>
      <c r="E34" s="26">
        <f t="shared" si="0"/>
        <v>0</v>
      </c>
      <c r="F34" s="29">
        <f t="shared" si="1"/>
        <v>8.3400000000000141E-4</v>
      </c>
      <c r="G34" s="29">
        <f t="shared" si="2"/>
        <v>8.3400000000000141E-4</v>
      </c>
    </row>
    <row r="35" spans="1:7" x14ac:dyDescent="0.2">
      <c r="A35" s="24">
        <v>81.959722222222226</v>
      </c>
      <c r="B35" s="28" t="s">
        <v>81</v>
      </c>
      <c r="C35" s="25">
        <v>0.33166699999999999</v>
      </c>
      <c r="D35" s="25">
        <v>0.33166699999999999</v>
      </c>
      <c r="E35" s="26">
        <f t="shared" si="0"/>
        <v>0</v>
      </c>
      <c r="F35" s="29">
        <f t="shared" si="1"/>
        <v>2.0000000000000018E-3</v>
      </c>
      <c r="G35" s="29">
        <f t="shared" si="2"/>
        <v>2.0000000000000018E-3</v>
      </c>
    </row>
    <row r="36" spans="1:7" x14ac:dyDescent="0.2">
      <c r="A36" s="24">
        <v>81.96041666666666</v>
      </c>
      <c r="B36" s="28" t="s">
        <v>82</v>
      </c>
      <c r="C36" s="25">
        <v>0.33500000000000002</v>
      </c>
      <c r="D36" s="25">
        <v>0.33500000000000002</v>
      </c>
      <c r="E36" s="26">
        <f t="shared" si="0"/>
        <v>0</v>
      </c>
      <c r="F36" s="29">
        <f t="shared" si="1"/>
        <v>3.3330000000000304E-3</v>
      </c>
      <c r="G36" s="29">
        <f t="shared" si="2"/>
        <v>3.3330000000000304E-3</v>
      </c>
    </row>
    <row r="37" spans="1:7" x14ac:dyDescent="0.2">
      <c r="A37" s="24">
        <v>81.961111111111109</v>
      </c>
      <c r="B37" s="28" t="s">
        <v>83</v>
      </c>
      <c r="C37" s="25">
        <v>0.338667</v>
      </c>
      <c r="D37" s="25">
        <v>0.338667</v>
      </c>
      <c r="E37" s="26">
        <f t="shared" si="0"/>
        <v>0</v>
      </c>
      <c r="F37" s="29">
        <f t="shared" si="1"/>
        <v>3.6669999999999758E-3</v>
      </c>
      <c r="G37" s="29">
        <f t="shared" si="2"/>
        <v>3.6669999999999758E-3</v>
      </c>
    </row>
    <row r="38" spans="1:7" x14ac:dyDescent="0.2">
      <c r="A38" s="24">
        <v>82.000694444444449</v>
      </c>
      <c r="B38" s="28" t="s">
        <v>84</v>
      </c>
      <c r="C38" s="25">
        <v>0.34200000000000003</v>
      </c>
      <c r="D38" s="25">
        <v>0.34200000000000003</v>
      </c>
      <c r="E38" s="26">
        <f t="shared" si="0"/>
        <v>0</v>
      </c>
      <c r="F38" s="29">
        <f t="shared" si="1"/>
        <v>3.3330000000000304E-3</v>
      </c>
      <c r="G38" s="29">
        <f t="shared" si="2"/>
        <v>3.3330000000000304E-3</v>
      </c>
    </row>
    <row r="39" spans="1:7" x14ac:dyDescent="0.2">
      <c r="A39" s="24">
        <v>82.001388888888883</v>
      </c>
      <c r="B39" s="28" t="s">
        <v>85</v>
      </c>
      <c r="C39" s="25">
        <v>0.345333</v>
      </c>
      <c r="D39" s="25">
        <v>0.345333</v>
      </c>
      <c r="E39" s="26">
        <f t="shared" si="0"/>
        <v>0</v>
      </c>
      <c r="F39" s="29">
        <f t="shared" si="1"/>
        <v>3.3329999999999749E-3</v>
      </c>
      <c r="G39" s="29">
        <f t="shared" si="2"/>
        <v>3.3329999999999749E-3</v>
      </c>
    </row>
    <row r="40" spans="1:7" x14ac:dyDescent="0.2">
      <c r="A40" s="24">
        <v>82.002083333333331</v>
      </c>
      <c r="B40" s="28" t="s">
        <v>86</v>
      </c>
      <c r="C40" s="25">
        <v>0.35</v>
      </c>
      <c r="D40" s="25">
        <v>0.35</v>
      </c>
      <c r="E40" s="26">
        <f t="shared" si="0"/>
        <v>0</v>
      </c>
      <c r="F40" s="29">
        <f t="shared" si="1"/>
        <v>4.6669999999999767E-3</v>
      </c>
      <c r="G40" s="29">
        <f t="shared" si="2"/>
        <v>4.6669999999999767E-3</v>
      </c>
    </row>
    <row r="41" spans="1:7" x14ac:dyDescent="0.2">
      <c r="A41" s="24">
        <v>82.00277777777778</v>
      </c>
      <c r="B41" s="28" t="s">
        <v>87</v>
      </c>
      <c r="C41" s="25">
        <v>0.35433300000000001</v>
      </c>
      <c r="D41" s="25">
        <v>0.35433300000000001</v>
      </c>
      <c r="E41" s="26">
        <f t="shared" si="0"/>
        <v>0</v>
      </c>
      <c r="F41" s="29">
        <f t="shared" si="1"/>
        <v>4.3330000000000313E-3</v>
      </c>
      <c r="G41" s="29">
        <f t="shared" si="2"/>
        <v>4.3330000000000313E-3</v>
      </c>
    </row>
    <row r="42" spans="1:7" x14ac:dyDescent="0.2">
      <c r="A42" s="24">
        <v>82.042361111111106</v>
      </c>
      <c r="B42" s="28" t="s">
        <v>88</v>
      </c>
      <c r="C42" s="25">
        <v>0.35866700000000001</v>
      </c>
      <c r="D42" s="25">
        <v>0.35866700000000001</v>
      </c>
      <c r="E42" s="26">
        <f t="shared" si="0"/>
        <v>0</v>
      </c>
      <c r="F42" s="29">
        <f t="shared" si="1"/>
        <v>4.3340000000000045E-3</v>
      </c>
      <c r="G42" s="29">
        <f t="shared" si="2"/>
        <v>4.3340000000000045E-3</v>
      </c>
    </row>
    <row r="43" spans="1:7" x14ac:dyDescent="0.2">
      <c r="A43" s="24">
        <v>82.043055555555554</v>
      </c>
      <c r="B43" s="28" t="s">
        <v>89</v>
      </c>
      <c r="C43" s="25">
        <v>0.36433300000000002</v>
      </c>
      <c r="D43" s="25">
        <v>0.36433300000000002</v>
      </c>
      <c r="E43" s="26">
        <f t="shared" si="0"/>
        <v>0</v>
      </c>
      <c r="F43" s="29">
        <f t="shared" si="1"/>
        <v>5.6660000000000044E-3</v>
      </c>
      <c r="G43" s="29">
        <f t="shared" si="2"/>
        <v>5.6660000000000044E-3</v>
      </c>
    </row>
    <row r="44" spans="1:7" x14ac:dyDescent="0.2">
      <c r="A44" s="24">
        <v>82.043750000000003</v>
      </c>
      <c r="B44" s="28" t="s">
        <v>90</v>
      </c>
      <c r="C44" s="25">
        <v>0.36933300000000002</v>
      </c>
      <c r="D44" s="25">
        <v>0.36933300000000002</v>
      </c>
      <c r="E44" s="26">
        <f t="shared" si="0"/>
        <v>0</v>
      </c>
      <c r="F44" s="29">
        <f t="shared" si="1"/>
        <v>5.0000000000000044E-3</v>
      </c>
      <c r="G44" s="29">
        <f t="shared" si="2"/>
        <v>5.0000000000000044E-3</v>
      </c>
    </row>
    <row r="45" spans="1:7" x14ac:dyDescent="0.2">
      <c r="A45" s="24">
        <v>82.044444444444437</v>
      </c>
      <c r="B45" s="28" t="s">
        <v>91</v>
      </c>
      <c r="C45" s="25">
        <v>0.375</v>
      </c>
      <c r="D45" s="25">
        <v>0.375</v>
      </c>
      <c r="E45" s="26">
        <f t="shared" si="0"/>
        <v>0</v>
      </c>
      <c r="F45" s="29">
        <f t="shared" si="1"/>
        <v>5.6669999999999776E-3</v>
      </c>
      <c r="G45" s="29">
        <f t="shared" si="2"/>
        <v>5.6669999999999776E-3</v>
      </c>
    </row>
    <row r="46" spans="1:7" x14ac:dyDescent="0.2">
      <c r="A46" s="24">
        <v>82.084027777777777</v>
      </c>
      <c r="B46" s="28" t="s">
        <v>92</v>
      </c>
      <c r="C46" s="25">
        <v>0.38100000000000001</v>
      </c>
      <c r="D46" s="25">
        <v>0.38100000000000001</v>
      </c>
      <c r="E46" s="26">
        <f t="shared" si="0"/>
        <v>0</v>
      </c>
      <c r="F46" s="29">
        <f t="shared" si="1"/>
        <v>6.0000000000000053E-3</v>
      </c>
      <c r="G46" s="29">
        <f t="shared" si="2"/>
        <v>6.0000000000000053E-3</v>
      </c>
    </row>
    <row r="47" spans="1:7" x14ac:dyDescent="0.2">
      <c r="A47" s="24">
        <v>82.084722222222226</v>
      </c>
      <c r="B47" s="28" t="s">
        <v>93</v>
      </c>
      <c r="C47" s="25">
        <v>0.38633299999999998</v>
      </c>
      <c r="D47" s="25">
        <v>0.38633299999999998</v>
      </c>
      <c r="E47" s="26">
        <f t="shared" si="0"/>
        <v>0</v>
      </c>
      <c r="F47" s="29">
        <f t="shared" si="1"/>
        <v>5.3329999999999766E-3</v>
      </c>
      <c r="G47" s="29">
        <f t="shared" si="2"/>
        <v>5.3329999999999766E-3</v>
      </c>
    </row>
    <row r="48" spans="1:7" x14ac:dyDescent="0.2">
      <c r="A48" s="24">
        <v>82.08541666666666</v>
      </c>
      <c r="B48" s="28" t="s">
        <v>94</v>
      </c>
      <c r="C48" s="25">
        <v>0.39033299999999999</v>
      </c>
      <c r="D48" s="25">
        <v>0.39033299999999999</v>
      </c>
      <c r="E48" s="26">
        <f t="shared" si="0"/>
        <v>0</v>
      </c>
      <c r="F48" s="29">
        <f t="shared" si="1"/>
        <v>4.0000000000000036E-3</v>
      </c>
      <c r="G48" s="29">
        <f t="shared" si="2"/>
        <v>4.0000000000000036E-3</v>
      </c>
    </row>
    <row r="49" spans="1:7" x14ac:dyDescent="0.2">
      <c r="A49" s="24">
        <v>82.086111111111109</v>
      </c>
      <c r="B49" s="28" t="s">
        <v>95</v>
      </c>
      <c r="C49" s="25">
        <v>0.39600000000000002</v>
      </c>
      <c r="D49" s="25">
        <v>0.39600000000000002</v>
      </c>
      <c r="E49" s="26">
        <f t="shared" si="0"/>
        <v>0</v>
      </c>
      <c r="F49" s="29">
        <f t="shared" si="1"/>
        <v>5.6670000000000331E-3</v>
      </c>
      <c r="G49" s="29">
        <f t="shared" si="2"/>
        <v>5.6670000000000331E-3</v>
      </c>
    </row>
    <row r="50" spans="1:7" x14ac:dyDescent="0.2">
      <c r="A50" s="24">
        <v>82.125694444444449</v>
      </c>
      <c r="B50" s="28" t="s">
        <v>96</v>
      </c>
      <c r="C50" s="25">
        <v>0.39933299999999999</v>
      </c>
      <c r="D50" s="25">
        <v>0.39933299999999999</v>
      </c>
      <c r="E50" s="26">
        <f t="shared" si="0"/>
        <v>0</v>
      </c>
      <c r="F50" s="29">
        <f t="shared" si="1"/>
        <v>3.3329999999999749E-3</v>
      </c>
      <c r="G50" s="29">
        <f t="shared" si="2"/>
        <v>3.3329999999999749E-3</v>
      </c>
    </row>
    <row r="51" spans="1:7" x14ac:dyDescent="0.2">
      <c r="A51" s="24">
        <v>82.126388888888883</v>
      </c>
      <c r="B51" s="28" t="s">
        <v>97</v>
      </c>
      <c r="C51" s="25">
        <v>0.40300000000000002</v>
      </c>
      <c r="D51" s="25">
        <v>0.40300000000000002</v>
      </c>
      <c r="E51" s="26">
        <f t="shared" si="0"/>
        <v>0</v>
      </c>
      <c r="F51" s="29">
        <f t="shared" si="1"/>
        <v>3.6670000000000313E-3</v>
      </c>
      <c r="G51" s="29">
        <f t="shared" si="2"/>
        <v>3.6670000000000313E-3</v>
      </c>
    </row>
    <row r="52" spans="1:7" x14ac:dyDescent="0.2">
      <c r="A52" s="24">
        <v>82.127083333333331</v>
      </c>
      <c r="B52" s="28" t="s">
        <v>98</v>
      </c>
      <c r="C52" s="25">
        <v>0.40699999999999997</v>
      </c>
      <c r="D52" s="25">
        <v>0.40699999999999997</v>
      </c>
      <c r="E52" s="26">
        <f t="shared" si="0"/>
        <v>0</v>
      </c>
      <c r="F52" s="29">
        <f t="shared" si="1"/>
        <v>3.999999999999948E-3</v>
      </c>
      <c r="G52" s="29">
        <f t="shared" si="2"/>
        <v>3.999999999999948E-3</v>
      </c>
    </row>
    <row r="53" spans="1:7" x14ac:dyDescent="0.2">
      <c r="A53" s="24">
        <v>82.12777777777778</v>
      </c>
      <c r="B53" s="28" t="s">
        <v>99</v>
      </c>
      <c r="C53" s="25">
        <v>0.41</v>
      </c>
      <c r="D53" s="25">
        <v>0.41</v>
      </c>
      <c r="E53" s="26">
        <f t="shared" si="0"/>
        <v>0</v>
      </c>
      <c r="F53" s="29">
        <f t="shared" si="1"/>
        <v>3.0000000000000027E-3</v>
      </c>
      <c r="G53" s="29">
        <f t="shared" si="2"/>
        <v>3.0000000000000027E-3</v>
      </c>
    </row>
    <row r="54" spans="1:7" x14ac:dyDescent="0.2">
      <c r="A54" s="24">
        <v>82.167361111111106</v>
      </c>
      <c r="B54" s="28" t="s">
        <v>100</v>
      </c>
      <c r="C54" s="25">
        <v>0.41333300000000001</v>
      </c>
      <c r="D54" s="25">
        <v>0.41333300000000001</v>
      </c>
      <c r="E54" s="26">
        <f t="shared" si="0"/>
        <v>0</v>
      </c>
      <c r="F54" s="29">
        <f t="shared" si="1"/>
        <v>3.3330000000000304E-3</v>
      </c>
      <c r="G54" s="29">
        <f t="shared" si="2"/>
        <v>3.3330000000000304E-3</v>
      </c>
    </row>
    <row r="55" spans="1:7" x14ac:dyDescent="0.2">
      <c r="A55" s="24">
        <v>82.168055555555554</v>
      </c>
      <c r="B55" s="28" t="s">
        <v>101</v>
      </c>
      <c r="C55" s="25">
        <v>0.41599999999999998</v>
      </c>
      <c r="D55" s="25">
        <v>0.41599999999999998</v>
      </c>
      <c r="E55" s="26">
        <f t="shared" si="0"/>
        <v>0</v>
      </c>
      <c r="F55" s="29">
        <f t="shared" si="1"/>
        <v>2.6669999999999749E-3</v>
      </c>
      <c r="G55" s="29">
        <f t="shared" si="2"/>
        <v>2.6669999999999749E-3</v>
      </c>
    </row>
    <row r="56" spans="1:7" x14ac:dyDescent="0.2">
      <c r="A56" s="24">
        <v>82.168750000000003</v>
      </c>
      <c r="B56" s="28" t="s">
        <v>102</v>
      </c>
      <c r="C56" s="25">
        <v>0.41933300000000001</v>
      </c>
      <c r="D56" s="25">
        <v>0.41933300000000001</v>
      </c>
      <c r="E56" s="26">
        <f t="shared" si="0"/>
        <v>0</v>
      </c>
      <c r="F56" s="29">
        <f t="shared" si="1"/>
        <v>3.3330000000000304E-3</v>
      </c>
      <c r="G56" s="29">
        <f t="shared" si="2"/>
        <v>3.3330000000000304E-3</v>
      </c>
    </row>
    <row r="57" spans="1:7" x14ac:dyDescent="0.2">
      <c r="A57" s="24">
        <v>82.169444444444437</v>
      </c>
      <c r="B57" s="28" t="s">
        <v>103</v>
      </c>
      <c r="C57" s="25">
        <v>0.42366700000000002</v>
      </c>
      <c r="D57" s="25">
        <v>0.42366700000000002</v>
      </c>
      <c r="E57" s="26">
        <f t="shared" si="0"/>
        <v>0</v>
      </c>
      <c r="F57" s="29">
        <f t="shared" si="1"/>
        <v>4.3340000000000045E-3</v>
      </c>
      <c r="G57" s="29">
        <f t="shared" si="2"/>
        <v>4.3340000000000045E-3</v>
      </c>
    </row>
    <row r="58" spans="1:7" x14ac:dyDescent="0.2">
      <c r="A58" s="24">
        <v>82.209027777777777</v>
      </c>
      <c r="B58" s="28" t="s">
        <v>104</v>
      </c>
      <c r="C58" s="25">
        <v>0.43033300000000002</v>
      </c>
      <c r="D58" s="25">
        <v>0.43033300000000002</v>
      </c>
      <c r="E58" s="26">
        <f t="shared" si="0"/>
        <v>0</v>
      </c>
      <c r="F58" s="29">
        <f t="shared" si="1"/>
        <v>6.6660000000000053E-3</v>
      </c>
      <c r="G58" s="29">
        <f t="shared" si="2"/>
        <v>6.6660000000000053E-3</v>
      </c>
    </row>
    <row r="59" spans="1:7" x14ac:dyDescent="0.2">
      <c r="A59" s="24">
        <v>82.209722222222226</v>
      </c>
      <c r="B59" s="28" t="s">
        <v>105</v>
      </c>
      <c r="C59" s="25">
        <v>0.43933299999999997</v>
      </c>
      <c r="D59" s="25">
        <v>0.43933299999999997</v>
      </c>
      <c r="E59" s="26">
        <f t="shared" si="0"/>
        <v>0</v>
      </c>
      <c r="F59" s="29">
        <f t="shared" si="1"/>
        <v>8.9999999999999525E-3</v>
      </c>
      <c r="G59" s="29">
        <f t="shared" si="2"/>
        <v>8.9999999999999525E-3</v>
      </c>
    </row>
    <row r="60" spans="1:7" x14ac:dyDescent="0.2">
      <c r="A60" s="24">
        <v>82.21041666666666</v>
      </c>
      <c r="B60" s="28" t="s">
        <v>106</v>
      </c>
      <c r="C60" s="25">
        <v>0.44800000000000001</v>
      </c>
      <c r="D60" s="25">
        <v>0.44800000000000001</v>
      </c>
      <c r="E60" s="26">
        <f t="shared" si="0"/>
        <v>0</v>
      </c>
      <c r="F60" s="29">
        <f t="shared" si="1"/>
        <v>8.6670000000000358E-3</v>
      </c>
      <c r="G60" s="29">
        <f t="shared" si="2"/>
        <v>8.6670000000000358E-3</v>
      </c>
    </row>
    <row r="61" spans="1:7" x14ac:dyDescent="0.2">
      <c r="A61" s="24">
        <v>82.211111111111109</v>
      </c>
      <c r="B61" s="28" t="s">
        <v>107</v>
      </c>
      <c r="C61" s="25">
        <v>0.45933299999999999</v>
      </c>
      <c r="D61" s="25">
        <v>0.45933299999999999</v>
      </c>
      <c r="E61" s="26">
        <f t="shared" si="0"/>
        <v>0</v>
      </c>
      <c r="F61" s="29">
        <f t="shared" si="1"/>
        <v>1.1332999999999982E-2</v>
      </c>
      <c r="G61" s="29">
        <f t="shared" si="2"/>
        <v>1.1332999999999982E-2</v>
      </c>
    </row>
    <row r="62" spans="1:7" x14ac:dyDescent="0.2">
      <c r="A62" s="24">
        <v>82.250694444444449</v>
      </c>
      <c r="B62" s="28" t="s">
        <v>108</v>
      </c>
      <c r="C62" s="25">
        <v>0.47299999999999998</v>
      </c>
      <c r="D62" s="25">
        <v>0.47299999999999998</v>
      </c>
      <c r="E62" s="26">
        <f t="shared" si="0"/>
        <v>0</v>
      </c>
      <c r="F62" s="29">
        <f t="shared" si="1"/>
        <v>1.3666999999999985E-2</v>
      </c>
      <c r="G62" s="29">
        <f t="shared" si="2"/>
        <v>1.3666999999999985E-2</v>
      </c>
    </row>
    <row r="63" spans="1:7" x14ac:dyDescent="0.2">
      <c r="A63" s="24">
        <v>82.251388888888883</v>
      </c>
      <c r="B63" s="28" t="s">
        <v>109</v>
      </c>
      <c r="C63" s="25">
        <v>0.48566700000000002</v>
      </c>
      <c r="D63" s="25">
        <v>0.48566700000000002</v>
      </c>
      <c r="E63" s="26">
        <f t="shared" si="0"/>
        <v>0</v>
      </c>
      <c r="F63" s="29">
        <f t="shared" si="1"/>
        <v>1.2667000000000039E-2</v>
      </c>
      <c r="G63" s="29">
        <f t="shared" si="2"/>
        <v>1.2667000000000039E-2</v>
      </c>
    </row>
    <row r="64" spans="1:7" x14ac:dyDescent="0.2">
      <c r="A64" s="24">
        <v>82.252083333333331</v>
      </c>
      <c r="B64" s="28" t="s">
        <v>110</v>
      </c>
      <c r="C64" s="25">
        <v>0.49933300000000003</v>
      </c>
      <c r="D64" s="25">
        <v>0.49933300000000003</v>
      </c>
      <c r="E64" s="26">
        <f t="shared" si="0"/>
        <v>0</v>
      </c>
      <c r="F64" s="29">
        <f t="shared" si="1"/>
        <v>1.3666000000000011E-2</v>
      </c>
      <c r="G64" s="29">
        <f t="shared" si="2"/>
        <v>1.3666000000000011E-2</v>
      </c>
    </row>
    <row r="65" spans="1:7" x14ac:dyDescent="0.2">
      <c r="A65" s="24">
        <v>82.25277777777778</v>
      </c>
      <c r="B65" s="28" t="s">
        <v>111</v>
      </c>
      <c r="C65" s="25">
        <v>0.51466699999999999</v>
      </c>
      <c r="D65" s="25">
        <v>0.51466699999999999</v>
      </c>
      <c r="E65" s="26">
        <f t="shared" si="0"/>
        <v>0</v>
      </c>
      <c r="F65" s="29">
        <f t="shared" si="1"/>
        <v>1.5333999999999959E-2</v>
      </c>
      <c r="G65" s="29">
        <f t="shared" si="2"/>
        <v>1.5333999999999959E-2</v>
      </c>
    </row>
    <row r="66" spans="1:7" x14ac:dyDescent="0.2">
      <c r="A66" s="24">
        <v>82.292361111111106</v>
      </c>
      <c r="B66" s="28" t="s">
        <v>112</v>
      </c>
      <c r="C66" s="25">
        <v>0.525667</v>
      </c>
      <c r="D66" s="25">
        <v>0.525667</v>
      </c>
      <c r="E66" s="26">
        <f t="shared" si="0"/>
        <v>0</v>
      </c>
      <c r="F66" s="29">
        <f t="shared" si="1"/>
        <v>1.100000000000001E-2</v>
      </c>
      <c r="G66" s="29">
        <f t="shared" si="2"/>
        <v>1.100000000000001E-2</v>
      </c>
    </row>
    <row r="67" spans="1:7" x14ac:dyDescent="0.2">
      <c r="A67" s="24">
        <v>82.293055555555554</v>
      </c>
      <c r="B67" s="28" t="s">
        <v>113</v>
      </c>
      <c r="C67" s="25">
        <v>0.53200000000000003</v>
      </c>
      <c r="D67" s="25">
        <v>0.53200000000000003</v>
      </c>
      <c r="E67" s="26">
        <f t="shared" ref="E67:E130" si="3">C67-D67</f>
        <v>0</v>
      </c>
      <c r="F67" s="29">
        <f t="shared" si="1"/>
        <v>6.333000000000033E-3</v>
      </c>
      <c r="G67" s="29">
        <f t="shared" si="2"/>
        <v>6.333000000000033E-3</v>
      </c>
    </row>
    <row r="68" spans="1:7" x14ac:dyDescent="0.2">
      <c r="A68" s="24">
        <v>82.293750000000003</v>
      </c>
      <c r="B68" s="28" t="s">
        <v>114</v>
      </c>
      <c r="C68" s="25">
        <v>0.54266700000000001</v>
      </c>
      <c r="D68" s="25">
        <v>0.54266700000000001</v>
      </c>
      <c r="E68" s="26">
        <f t="shared" si="3"/>
        <v>0</v>
      </c>
      <c r="F68" s="29">
        <f t="shared" ref="F68:F131" si="4">C68-C67</f>
        <v>1.0666999999999982E-2</v>
      </c>
      <c r="G68" s="29">
        <f t="shared" ref="G68:G131" si="5">D68-D67</f>
        <v>1.0666999999999982E-2</v>
      </c>
    </row>
    <row r="69" spans="1:7" x14ac:dyDescent="0.2">
      <c r="A69" s="24">
        <v>82.294444444444437</v>
      </c>
      <c r="B69" s="28" t="s">
        <v>115</v>
      </c>
      <c r="C69" s="25">
        <v>0.55266700000000002</v>
      </c>
      <c r="D69" s="25">
        <v>0.55266700000000002</v>
      </c>
      <c r="E69" s="26">
        <f t="shared" si="3"/>
        <v>0</v>
      </c>
      <c r="F69" s="29">
        <f t="shared" si="4"/>
        <v>1.0000000000000009E-2</v>
      </c>
      <c r="G69" s="29">
        <f t="shared" si="5"/>
        <v>1.0000000000000009E-2</v>
      </c>
    </row>
    <row r="70" spans="1:7" x14ac:dyDescent="0.2">
      <c r="A70" s="24">
        <v>82.334027777777777</v>
      </c>
      <c r="B70" s="28" t="s">
        <v>116</v>
      </c>
      <c r="C70" s="25">
        <v>0.55900000000000005</v>
      </c>
      <c r="D70" s="25">
        <v>0.55900000000000005</v>
      </c>
      <c r="E70" s="26">
        <f t="shared" si="3"/>
        <v>0</v>
      </c>
      <c r="F70" s="29">
        <f t="shared" si="4"/>
        <v>6.333000000000033E-3</v>
      </c>
      <c r="G70" s="29">
        <f t="shared" si="5"/>
        <v>6.333000000000033E-3</v>
      </c>
    </row>
    <row r="71" spans="1:7" x14ac:dyDescent="0.2">
      <c r="A71" s="24">
        <v>82.334722222222226</v>
      </c>
      <c r="B71" s="28" t="s">
        <v>117</v>
      </c>
      <c r="C71" s="25">
        <v>0.56399999999999995</v>
      </c>
      <c r="D71" s="25">
        <v>0.56399999999999995</v>
      </c>
      <c r="E71" s="26">
        <f t="shared" si="3"/>
        <v>0</v>
      </c>
      <c r="F71" s="29">
        <f t="shared" si="4"/>
        <v>4.9999999999998934E-3</v>
      </c>
      <c r="G71" s="29">
        <f t="shared" si="5"/>
        <v>4.9999999999998934E-3</v>
      </c>
    </row>
    <row r="72" spans="1:7" x14ac:dyDescent="0.2">
      <c r="A72" s="24">
        <v>82.33541666666666</v>
      </c>
      <c r="B72" s="28" t="s">
        <v>118</v>
      </c>
      <c r="C72" s="25">
        <v>0.57299999999999995</v>
      </c>
      <c r="D72" s="25">
        <v>0.57299999999999995</v>
      </c>
      <c r="E72" s="26">
        <f t="shared" si="3"/>
        <v>0</v>
      </c>
      <c r="F72" s="29">
        <f t="shared" si="4"/>
        <v>9.000000000000008E-3</v>
      </c>
      <c r="G72" s="29">
        <f t="shared" si="5"/>
        <v>9.000000000000008E-3</v>
      </c>
    </row>
    <row r="73" spans="1:7" x14ac:dyDescent="0.2">
      <c r="A73" s="24">
        <v>82.336111111111109</v>
      </c>
      <c r="B73" s="28" t="s">
        <v>119</v>
      </c>
      <c r="C73" s="25">
        <v>0.58133299999999999</v>
      </c>
      <c r="D73" s="25">
        <v>0.58133299999999999</v>
      </c>
      <c r="E73" s="26">
        <f t="shared" si="3"/>
        <v>0</v>
      </c>
      <c r="F73" s="29">
        <f t="shared" si="4"/>
        <v>8.3330000000000348E-3</v>
      </c>
      <c r="G73" s="29">
        <f t="shared" si="5"/>
        <v>8.3330000000000348E-3</v>
      </c>
    </row>
    <row r="74" spans="1:7" x14ac:dyDescent="0.2">
      <c r="A74" s="24">
        <v>82.375694444444449</v>
      </c>
      <c r="B74" s="28" t="s">
        <v>120</v>
      </c>
      <c r="C74" s="25">
        <v>0.59199999999999997</v>
      </c>
      <c r="D74" s="25">
        <v>0.59199999999999997</v>
      </c>
      <c r="E74" s="26">
        <f t="shared" si="3"/>
        <v>0</v>
      </c>
      <c r="F74" s="29">
        <f t="shared" si="4"/>
        <v>1.0666999999999982E-2</v>
      </c>
      <c r="G74" s="29">
        <f t="shared" si="5"/>
        <v>1.0666999999999982E-2</v>
      </c>
    </row>
    <row r="75" spans="1:7" x14ac:dyDescent="0.2">
      <c r="A75" s="24">
        <v>82.376388888888883</v>
      </c>
      <c r="B75" s="28" t="s">
        <v>121</v>
      </c>
      <c r="C75" s="25">
        <v>0.60233300000000001</v>
      </c>
      <c r="D75" s="25">
        <v>0.60233300000000001</v>
      </c>
      <c r="E75" s="26">
        <f t="shared" si="3"/>
        <v>0</v>
      </c>
      <c r="F75" s="29">
        <f t="shared" si="4"/>
        <v>1.0333000000000037E-2</v>
      </c>
      <c r="G75" s="29">
        <f t="shared" si="5"/>
        <v>1.0333000000000037E-2</v>
      </c>
    </row>
    <row r="76" spans="1:7" x14ac:dyDescent="0.2">
      <c r="A76" s="24">
        <v>82.377083333333331</v>
      </c>
      <c r="B76" s="28" t="s">
        <v>122</v>
      </c>
      <c r="C76" s="25">
        <v>0.61066699999999996</v>
      </c>
      <c r="D76" s="25">
        <v>0.61066699999999996</v>
      </c>
      <c r="E76" s="26">
        <f t="shared" si="3"/>
        <v>0</v>
      </c>
      <c r="F76" s="29">
        <f t="shared" si="4"/>
        <v>8.3339999999999526E-3</v>
      </c>
      <c r="G76" s="29">
        <f t="shared" si="5"/>
        <v>8.3339999999999526E-3</v>
      </c>
    </row>
    <row r="77" spans="1:7" x14ac:dyDescent="0.2">
      <c r="A77" s="24">
        <v>82.37777777777778</v>
      </c>
      <c r="B77" s="28" t="s">
        <v>123</v>
      </c>
      <c r="C77" s="25">
        <v>0.61966699999999997</v>
      </c>
      <c r="D77" s="25">
        <v>0.61966699999999997</v>
      </c>
      <c r="E77" s="26">
        <f t="shared" si="3"/>
        <v>0</v>
      </c>
      <c r="F77" s="29">
        <f t="shared" si="4"/>
        <v>9.000000000000008E-3</v>
      </c>
      <c r="G77" s="29">
        <f t="shared" si="5"/>
        <v>9.000000000000008E-3</v>
      </c>
    </row>
    <row r="78" spans="1:7" x14ac:dyDescent="0.2">
      <c r="A78" s="24">
        <v>82.417361111111106</v>
      </c>
      <c r="B78" s="28" t="s">
        <v>124</v>
      </c>
      <c r="C78" s="25">
        <v>0.63033300000000003</v>
      </c>
      <c r="D78" s="25">
        <v>0.63033300000000003</v>
      </c>
      <c r="E78" s="26">
        <f t="shared" si="3"/>
        <v>0</v>
      </c>
      <c r="F78" s="29">
        <f t="shared" si="4"/>
        <v>1.0666000000000064E-2</v>
      </c>
      <c r="G78" s="29">
        <f t="shared" si="5"/>
        <v>1.0666000000000064E-2</v>
      </c>
    </row>
    <row r="79" spans="1:7" x14ac:dyDescent="0.2">
      <c r="A79" s="24">
        <v>82.418055555555554</v>
      </c>
      <c r="B79" s="28" t="s">
        <v>125</v>
      </c>
      <c r="C79" s="25">
        <v>0.64466699999999999</v>
      </c>
      <c r="D79" s="25">
        <v>0.64466699999999999</v>
      </c>
      <c r="E79" s="26">
        <f t="shared" si="3"/>
        <v>0</v>
      </c>
      <c r="F79" s="29">
        <f t="shared" si="4"/>
        <v>1.4333999999999958E-2</v>
      </c>
      <c r="G79" s="29">
        <f t="shared" si="5"/>
        <v>1.4333999999999958E-2</v>
      </c>
    </row>
    <row r="80" spans="1:7" x14ac:dyDescent="0.2">
      <c r="A80" s="24">
        <v>82.418750000000003</v>
      </c>
      <c r="B80" s="28" t="s">
        <v>126</v>
      </c>
      <c r="C80" s="25">
        <v>0.659667</v>
      </c>
      <c r="D80" s="25">
        <v>0.659667</v>
      </c>
      <c r="E80" s="26">
        <f t="shared" si="3"/>
        <v>0</v>
      </c>
      <c r="F80" s="29">
        <f t="shared" si="4"/>
        <v>1.5000000000000013E-2</v>
      </c>
      <c r="G80" s="29">
        <f t="shared" si="5"/>
        <v>1.5000000000000013E-2</v>
      </c>
    </row>
    <row r="81" spans="1:7" x14ac:dyDescent="0.2">
      <c r="A81" s="24">
        <v>82.419444444444437</v>
      </c>
      <c r="B81" s="28" t="s">
        <v>127</v>
      </c>
      <c r="C81" s="25">
        <v>0.67500000000000004</v>
      </c>
      <c r="D81" s="25">
        <v>0.67500000000000004</v>
      </c>
      <c r="E81" s="26">
        <f t="shared" si="3"/>
        <v>0</v>
      </c>
      <c r="F81" s="29">
        <f t="shared" si="4"/>
        <v>1.5333000000000041E-2</v>
      </c>
      <c r="G81" s="29">
        <f t="shared" si="5"/>
        <v>1.5333000000000041E-2</v>
      </c>
    </row>
    <row r="82" spans="1:7" x14ac:dyDescent="0.2">
      <c r="A82" s="24">
        <v>82.459027777777777</v>
      </c>
      <c r="B82" s="28" t="s">
        <v>128</v>
      </c>
      <c r="C82" s="25">
        <v>0.69199999999999995</v>
      </c>
      <c r="D82" s="25">
        <v>0.69199999999999995</v>
      </c>
      <c r="E82" s="26">
        <f t="shared" si="3"/>
        <v>0</v>
      </c>
      <c r="F82" s="29">
        <f t="shared" si="4"/>
        <v>1.6999999999999904E-2</v>
      </c>
      <c r="G82" s="29">
        <f t="shared" si="5"/>
        <v>1.6999999999999904E-2</v>
      </c>
    </row>
    <row r="83" spans="1:7" x14ac:dyDescent="0.2">
      <c r="A83" s="24">
        <v>82.459722222222226</v>
      </c>
      <c r="B83" s="28" t="s">
        <v>129</v>
      </c>
      <c r="C83" s="25">
        <v>0.71399999999999997</v>
      </c>
      <c r="D83" s="25">
        <v>0.71399999999999997</v>
      </c>
      <c r="E83" s="26">
        <f t="shared" si="3"/>
        <v>0</v>
      </c>
      <c r="F83" s="29">
        <f t="shared" si="4"/>
        <v>2.200000000000002E-2</v>
      </c>
      <c r="G83" s="29">
        <f t="shared" si="5"/>
        <v>2.200000000000002E-2</v>
      </c>
    </row>
    <row r="84" spans="1:7" x14ac:dyDescent="0.2">
      <c r="A84" s="24">
        <v>82.46041666666666</v>
      </c>
      <c r="B84" s="28" t="s">
        <v>130</v>
      </c>
      <c r="C84" s="25">
        <v>0.73699999999999999</v>
      </c>
      <c r="D84" s="25">
        <v>0.73699999999999999</v>
      </c>
      <c r="E84" s="26">
        <f t="shared" si="3"/>
        <v>0</v>
      </c>
      <c r="F84" s="29">
        <f t="shared" si="4"/>
        <v>2.300000000000002E-2</v>
      </c>
      <c r="G84" s="29">
        <f t="shared" si="5"/>
        <v>2.300000000000002E-2</v>
      </c>
    </row>
    <row r="85" spans="1:7" x14ac:dyDescent="0.2">
      <c r="A85" s="24">
        <v>82.461111111111109</v>
      </c>
      <c r="B85" s="28" t="s">
        <v>131</v>
      </c>
      <c r="C85" s="25">
        <v>0.76033300000000004</v>
      </c>
      <c r="D85" s="25">
        <v>0.76033300000000004</v>
      </c>
      <c r="E85" s="26">
        <f t="shared" si="3"/>
        <v>0</v>
      </c>
      <c r="F85" s="29">
        <f t="shared" si="4"/>
        <v>2.3333000000000048E-2</v>
      </c>
      <c r="G85" s="29">
        <f t="shared" si="5"/>
        <v>2.3333000000000048E-2</v>
      </c>
    </row>
    <row r="86" spans="1:7" x14ac:dyDescent="0.2">
      <c r="A86" s="24">
        <v>82.500694444444449</v>
      </c>
      <c r="B86" s="28" t="s">
        <v>132</v>
      </c>
      <c r="C86" s="25">
        <v>0.79033299999999995</v>
      </c>
      <c r="D86" s="25">
        <v>0.79033299999999995</v>
      </c>
      <c r="E86" s="26">
        <f t="shared" si="3"/>
        <v>0</v>
      </c>
      <c r="F86" s="29">
        <f t="shared" si="4"/>
        <v>2.9999999999999916E-2</v>
      </c>
      <c r="G86" s="29">
        <f t="shared" si="5"/>
        <v>2.9999999999999916E-2</v>
      </c>
    </row>
    <row r="87" spans="1:7" x14ac:dyDescent="0.2">
      <c r="A87" s="24">
        <v>82.501388888888883</v>
      </c>
      <c r="B87" s="28" t="s">
        <v>133</v>
      </c>
      <c r="C87" s="25">
        <v>0.81699999999999995</v>
      </c>
      <c r="D87" s="25">
        <v>0.81699999999999995</v>
      </c>
      <c r="E87" s="26">
        <f t="shared" si="3"/>
        <v>0</v>
      </c>
      <c r="F87" s="29">
        <f t="shared" si="4"/>
        <v>2.6666999999999996E-2</v>
      </c>
      <c r="G87" s="29">
        <f t="shared" si="5"/>
        <v>2.6666999999999996E-2</v>
      </c>
    </row>
    <row r="88" spans="1:7" x14ac:dyDescent="0.2">
      <c r="A88" s="24">
        <v>82.502083333333331</v>
      </c>
      <c r="B88" s="28" t="s">
        <v>134</v>
      </c>
      <c r="C88" s="25">
        <v>0.83233299999999999</v>
      </c>
      <c r="D88" s="25">
        <v>0.83233299999999999</v>
      </c>
      <c r="E88" s="26">
        <f t="shared" si="3"/>
        <v>0</v>
      </c>
      <c r="F88" s="29">
        <f t="shared" si="4"/>
        <v>1.5333000000000041E-2</v>
      </c>
      <c r="G88" s="29">
        <f t="shared" si="5"/>
        <v>1.5333000000000041E-2</v>
      </c>
    </row>
    <row r="89" spans="1:7" x14ac:dyDescent="0.2">
      <c r="A89" s="24">
        <v>82.50277777777778</v>
      </c>
      <c r="B89" s="28" t="s">
        <v>135</v>
      </c>
      <c r="C89" s="25">
        <v>0.85566699999999996</v>
      </c>
      <c r="D89" s="25">
        <v>0.85566699999999996</v>
      </c>
      <c r="E89" s="26">
        <f t="shared" si="3"/>
        <v>0</v>
      </c>
      <c r="F89" s="29">
        <f t="shared" si="4"/>
        <v>2.3333999999999966E-2</v>
      </c>
      <c r="G89" s="29">
        <f t="shared" si="5"/>
        <v>2.3333999999999966E-2</v>
      </c>
    </row>
    <row r="90" spans="1:7" x14ac:dyDescent="0.2">
      <c r="A90" s="24">
        <v>82.542361111111106</v>
      </c>
      <c r="B90" s="28" t="s">
        <v>136</v>
      </c>
      <c r="C90" s="25">
        <v>0.87933300000000003</v>
      </c>
      <c r="D90" s="25">
        <v>0.87933300000000003</v>
      </c>
      <c r="E90" s="26">
        <f t="shared" si="3"/>
        <v>0</v>
      </c>
      <c r="F90" s="29">
        <f t="shared" si="4"/>
        <v>2.3666000000000076E-2</v>
      </c>
      <c r="G90" s="29">
        <f t="shared" si="5"/>
        <v>2.3666000000000076E-2</v>
      </c>
    </row>
    <row r="91" spans="1:7" x14ac:dyDescent="0.2">
      <c r="A91" s="24">
        <v>82.543055555555554</v>
      </c>
      <c r="B91" s="28" t="s">
        <v>137</v>
      </c>
      <c r="C91" s="25">
        <v>0.89766699999999999</v>
      </c>
      <c r="D91" s="25">
        <v>0.89766699999999999</v>
      </c>
      <c r="E91" s="26">
        <f t="shared" si="3"/>
        <v>0</v>
      </c>
      <c r="F91" s="29">
        <f t="shared" si="4"/>
        <v>1.8333999999999961E-2</v>
      </c>
      <c r="G91" s="29">
        <f t="shared" si="5"/>
        <v>1.8333999999999961E-2</v>
      </c>
    </row>
    <row r="92" spans="1:7" x14ac:dyDescent="0.2">
      <c r="A92" s="24">
        <v>82.543750000000003</v>
      </c>
      <c r="B92" s="28" t="s">
        <v>138</v>
      </c>
      <c r="C92" s="25">
        <v>0.92266700000000001</v>
      </c>
      <c r="D92" s="25">
        <v>0.92266700000000001</v>
      </c>
      <c r="E92" s="26">
        <f t="shared" si="3"/>
        <v>0</v>
      </c>
      <c r="F92" s="29">
        <f t="shared" si="4"/>
        <v>2.5000000000000022E-2</v>
      </c>
      <c r="G92" s="29">
        <f t="shared" si="5"/>
        <v>2.5000000000000022E-2</v>
      </c>
    </row>
    <row r="93" spans="1:7" x14ac:dyDescent="0.2">
      <c r="A93" s="24">
        <v>82.544444444444437</v>
      </c>
      <c r="B93" s="28" t="s">
        <v>139</v>
      </c>
      <c r="C93" s="25">
        <v>0.93766700000000003</v>
      </c>
      <c r="D93" s="25">
        <v>0.93766700000000003</v>
      </c>
      <c r="E93" s="26">
        <f t="shared" si="3"/>
        <v>0</v>
      </c>
      <c r="F93" s="29">
        <f t="shared" si="4"/>
        <v>1.5000000000000013E-2</v>
      </c>
      <c r="G93" s="29">
        <f t="shared" si="5"/>
        <v>1.5000000000000013E-2</v>
      </c>
    </row>
    <row r="94" spans="1:7" x14ac:dyDescent="0.2">
      <c r="A94" s="24">
        <v>82.584027777777777</v>
      </c>
      <c r="B94" s="28" t="s">
        <v>140</v>
      </c>
      <c r="C94" s="25">
        <v>0.94599999999999995</v>
      </c>
      <c r="D94" s="25">
        <v>0.94599999999999995</v>
      </c>
      <c r="E94" s="26">
        <f t="shared" si="3"/>
        <v>0</v>
      </c>
      <c r="F94" s="29">
        <f t="shared" si="4"/>
        <v>8.3329999999999238E-3</v>
      </c>
      <c r="G94" s="29">
        <f t="shared" si="5"/>
        <v>8.3329999999999238E-3</v>
      </c>
    </row>
    <row r="95" spans="1:7" x14ac:dyDescent="0.2">
      <c r="A95" s="24">
        <v>82.584722222222226</v>
      </c>
      <c r="B95" s="28" t="s">
        <v>141</v>
      </c>
      <c r="C95" s="25">
        <v>0.95966700000000005</v>
      </c>
      <c r="D95" s="25">
        <v>0.95966700000000005</v>
      </c>
      <c r="E95" s="26">
        <f t="shared" si="3"/>
        <v>0</v>
      </c>
      <c r="F95" s="29">
        <f t="shared" si="4"/>
        <v>1.3667000000000096E-2</v>
      </c>
      <c r="G95" s="29">
        <f t="shared" si="5"/>
        <v>1.3667000000000096E-2</v>
      </c>
    </row>
    <row r="96" spans="1:7" x14ac:dyDescent="0.2">
      <c r="A96" s="24">
        <v>82.58541666666666</v>
      </c>
      <c r="B96" s="28" t="s">
        <v>142</v>
      </c>
      <c r="C96" s="25">
        <v>0.97633300000000001</v>
      </c>
      <c r="D96" s="25">
        <v>0.97633300000000001</v>
      </c>
      <c r="E96" s="26">
        <f t="shared" si="3"/>
        <v>0</v>
      </c>
      <c r="F96" s="29">
        <f t="shared" si="4"/>
        <v>1.6665999999999959E-2</v>
      </c>
      <c r="G96" s="29">
        <f t="shared" si="5"/>
        <v>1.6665999999999959E-2</v>
      </c>
    </row>
    <row r="97" spans="1:7" x14ac:dyDescent="0.2">
      <c r="A97" s="24">
        <v>82.586111111111109</v>
      </c>
      <c r="B97" s="28" t="s">
        <v>143</v>
      </c>
      <c r="C97" s="25">
        <v>0.97933300000000001</v>
      </c>
      <c r="D97" s="25">
        <v>0.97933300000000001</v>
      </c>
      <c r="E97" s="26">
        <f t="shared" si="3"/>
        <v>0</v>
      </c>
      <c r="F97" s="29">
        <f t="shared" si="4"/>
        <v>3.0000000000000027E-3</v>
      </c>
      <c r="G97" s="29">
        <f t="shared" si="5"/>
        <v>3.0000000000000027E-3</v>
      </c>
    </row>
    <row r="98" spans="1:7" x14ac:dyDescent="0.2">
      <c r="A98" s="24">
        <v>82.625694444444449</v>
      </c>
      <c r="B98" s="28" t="s">
        <v>144</v>
      </c>
      <c r="C98" s="25">
        <v>0.98</v>
      </c>
      <c r="D98" s="25">
        <v>0.98</v>
      </c>
      <c r="E98" s="26">
        <f t="shared" si="3"/>
        <v>0</v>
      </c>
      <c r="F98" s="29">
        <f t="shared" si="4"/>
        <v>6.6699999999997317E-4</v>
      </c>
      <c r="G98" s="29">
        <f t="shared" si="5"/>
        <v>6.6699999999997317E-4</v>
      </c>
    </row>
    <row r="99" spans="1:7" x14ac:dyDescent="0.2">
      <c r="A99" s="24">
        <v>82.626388888888883</v>
      </c>
      <c r="B99" s="28" t="s">
        <v>145</v>
      </c>
      <c r="C99" s="25">
        <v>0.99133300000000002</v>
      </c>
      <c r="D99" s="25">
        <v>0.99133300000000002</v>
      </c>
      <c r="E99" s="26">
        <f t="shared" si="3"/>
        <v>0</v>
      </c>
      <c r="F99" s="29">
        <f t="shared" si="4"/>
        <v>1.1333000000000037E-2</v>
      </c>
      <c r="G99" s="29">
        <f t="shared" si="5"/>
        <v>1.1333000000000037E-2</v>
      </c>
    </row>
    <row r="100" spans="1:7" x14ac:dyDescent="0.2">
      <c r="A100" s="24">
        <v>82.627083333333331</v>
      </c>
      <c r="B100" s="28" t="s">
        <v>146</v>
      </c>
      <c r="C100" s="25">
        <v>1.0009999999999999</v>
      </c>
      <c r="D100" s="25">
        <v>1.0009999999999999</v>
      </c>
      <c r="E100" s="26">
        <f t="shared" si="3"/>
        <v>0</v>
      </c>
      <c r="F100" s="29">
        <f t="shared" si="4"/>
        <v>9.6669999999998701E-3</v>
      </c>
      <c r="G100" s="29">
        <f t="shared" si="5"/>
        <v>9.6669999999998701E-3</v>
      </c>
    </row>
    <row r="101" spans="1:7" x14ac:dyDescent="0.2">
      <c r="A101" s="24">
        <v>82.62777777777778</v>
      </c>
      <c r="B101" s="28" t="s">
        <v>147</v>
      </c>
      <c r="C101" s="25">
        <v>1.0109999999999999</v>
      </c>
      <c r="D101" s="25">
        <v>1.0109999999999999</v>
      </c>
      <c r="E101" s="26">
        <f t="shared" si="3"/>
        <v>0</v>
      </c>
      <c r="F101" s="29">
        <f t="shared" si="4"/>
        <v>1.0000000000000009E-2</v>
      </c>
      <c r="G101" s="29">
        <f t="shared" si="5"/>
        <v>1.0000000000000009E-2</v>
      </c>
    </row>
    <row r="102" spans="1:7" x14ac:dyDescent="0.2">
      <c r="A102" s="24">
        <v>82.667361111111106</v>
      </c>
      <c r="B102" s="28" t="s">
        <v>148</v>
      </c>
      <c r="C102" s="25">
        <v>1.025333</v>
      </c>
      <c r="D102" s="25">
        <v>1.025333</v>
      </c>
      <c r="E102" s="26">
        <f t="shared" si="3"/>
        <v>0</v>
      </c>
      <c r="F102" s="29">
        <f t="shared" si="4"/>
        <v>1.4333000000000151E-2</v>
      </c>
      <c r="G102" s="29">
        <f t="shared" si="5"/>
        <v>1.4333000000000151E-2</v>
      </c>
    </row>
    <row r="103" spans="1:7" x14ac:dyDescent="0.2">
      <c r="A103" s="24">
        <v>82.668055555555554</v>
      </c>
      <c r="B103" s="28" t="s">
        <v>149</v>
      </c>
      <c r="C103" s="25">
        <v>1.0349999999999999</v>
      </c>
      <c r="D103" s="25">
        <v>1.0349999999999999</v>
      </c>
      <c r="E103" s="26">
        <f t="shared" si="3"/>
        <v>0</v>
      </c>
      <c r="F103" s="29">
        <f t="shared" si="4"/>
        <v>9.6669999999998701E-3</v>
      </c>
      <c r="G103" s="29">
        <f t="shared" si="5"/>
        <v>9.6669999999998701E-3</v>
      </c>
    </row>
    <row r="104" spans="1:7" x14ac:dyDescent="0.2">
      <c r="A104" s="24">
        <v>82.668750000000003</v>
      </c>
      <c r="B104" s="28" t="s">
        <v>150</v>
      </c>
      <c r="C104" s="25">
        <v>1.044</v>
      </c>
      <c r="D104" s="25">
        <v>1.044</v>
      </c>
      <c r="E104" s="26">
        <f t="shared" si="3"/>
        <v>0</v>
      </c>
      <c r="F104" s="29">
        <f t="shared" si="4"/>
        <v>9.000000000000119E-3</v>
      </c>
      <c r="G104" s="29">
        <f t="shared" si="5"/>
        <v>9.000000000000119E-3</v>
      </c>
    </row>
    <row r="105" spans="1:7" x14ac:dyDescent="0.2">
      <c r="A105" s="24">
        <v>82.669444444444437</v>
      </c>
      <c r="B105" s="28" t="s">
        <v>151</v>
      </c>
      <c r="C105" s="25">
        <v>1.0529999999999999</v>
      </c>
      <c r="D105" s="25">
        <v>1.0529999999999999</v>
      </c>
      <c r="E105" s="26">
        <f t="shared" si="3"/>
        <v>0</v>
      </c>
      <c r="F105" s="29">
        <f t="shared" si="4"/>
        <v>8.999999999999897E-3</v>
      </c>
      <c r="G105" s="29">
        <f t="shared" si="5"/>
        <v>8.999999999999897E-3</v>
      </c>
    </row>
    <row r="106" spans="1:7" x14ac:dyDescent="0.2">
      <c r="A106" s="24">
        <v>82.709027777777777</v>
      </c>
      <c r="B106" s="28" t="s">
        <v>152</v>
      </c>
      <c r="C106" s="25">
        <v>1.062667</v>
      </c>
      <c r="D106" s="25">
        <v>1.062667</v>
      </c>
      <c r="E106" s="26">
        <f t="shared" si="3"/>
        <v>0</v>
      </c>
      <c r="F106" s="29">
        <f t="shared" si="4"/>
        <v>9.6670000000000922E-3</v>
      </c>
      <c r="G106" s="29">
        <f t="shared" si="5"/>
        <v>9.6670000000000922E-3</v>
      </c>
    </row>
    <row r="107" spans="1:7" x14ac:dyDescent="0.2">
      <c r="A107" s="24">
        <v>82.709722222222226</v>
      </c>
      <c r="B107" s="28" t="s">
        <v>153</v>
      </c>
      <c r="C107" s="25">
        <v>1.072333</v>
      </c>
      <c r="D107" s="25">
        <v>1.072333</v>
      </c>
      <c r="E107" s="26">
        <f t="shared" si="3"/>
        <v>0</v>
      </c>
      <c r="F107" s="29">
        <f t="shared" si="4"/>
        <v>9.6659999999999524E-3</v>
      </c>
      <c r="G107" s="29">
        <f t="shared" si="5"/>
        <v>9.6659999999999524E-3</v>
      </c>
    </row>
    <row r="108" spans="1:7" x14ac:dyDescent="0.2">
      <c r="A108" s="24">
        <v>82.71041666666666</v>
      </c>
      <c r="B108" s="28" t="s">
        <v>154</v>
      </c>
      <c r="C108" s="25">
        <v>1.079</v>
      </c>
      <c r="D108" s="25">
        <v>1.079</v>
      </c>
      <c r="E108" s="26">
        <f t="shared" si="3"/>
        <v>0</v>
      </c>
      <c r="F108" s="29">
        <f t="shared" si="4"/>
        <v>6.6669999999999785E-3</v>
      </c>
      <c r="G108" s="29">
        <f t="shared" si="5"/>
        <v>6.6669999999999785E-3</v>
      </c>
    </row>
    <row r="109" spans="1:7" x14ac:dyDescent="0.2">
      <c r="A109" s="24">
        <v>82.711111111111109</v>
      </c>
      <c r="B109" s="28" t="s">
        <v>155</v>
      </c>
      <c r="C109" s="25">
        <v>1.0900000000000001</v>
      </c>
      <c r="D109" s="25">
        <v>1.0900000000000001</v>
      </c>
      <c r="E109" s="26">
        <f t="shared" si="3"/>
        <v>0</v>
      </c>
      <c r="F109" s="29">
        <f t="shared" si="4"/>
        <v>1.1000000000000121E-2</v>
      </c>
      <c r="G109" s="29">
        <f t="shared" si="5"/>
        <v>1.1000000000000121E-2</v>
      </c>
    </row>
    <row r="110" spans="1:7" x14ac:dyDescent="0.2">
      <c r="A110" s="24">
        <v>82.750694444444449</v>
      </c>
      <c r="B110" s="28" t="s">
        <v>156</v>
      </c>
      <c r="C110" s="25">
        <v>1.0956669999999999</v>
      </c>
      <c r="D110" s="25">
        <v>1.0956669999999999</v>
      </c>
      <c r="E110" s="26">
        <f t="shared" si="3"/>
        <v>0</v>
      </c>
      <c r="F110" s="29">
        <f t="shared" si="4"/>
        <v>5.6669999999998666E-3</v>
      </c>
      <c r="G110" s="29">
        <f t="shared" si="5"/>
        <v>5.6669999999998666E-3</v>
      </c>
    </row>
    <row r="111" spans="1:7" x14ac:dyDescent="0.2">
      <c r="A111" s="24">
        <v>82.751388888888883</v>
      </c>
      <c r="B111" s="28" t="s">
        <v>157</v>
      </c>
      <c r="C111" s="25">
        <v>1.090333</v>
      </c>
      <c r="D111" s="25">
        <v>1.090333</v>
      </c>
      <c r="E111" s="26">
        <f t="shared" si="3"/>
        <v>0</v>
      </c>
      <c r="F111" s="29">
        <f t="shared" si="4"/>
        <v>-5.3339999999999499E-3</v>
      </c>
      <c r="G111" s="29">
        <f t="shared" si="5"/>
        <v>-5.3339999999999499E-3</v>
      </c>
    </row>
    <row r="112" spans="1:7" x14ac:dyDescent="0.2">
      <c r="A112" s="24">
        <v>82.752083333333331</v>
      </c>
      <c r="B112" s="28" t="s">
        <v>158</v>
      </c>
      <c r="C112" s="25">
        <v>1.097</v>
      </c>
      <c r="D112" s="25">
        <v>1.097</v>
      </c>
      <c r="E112" s="26">
        <f t="shared" si="3"/>
        <v>0</v>
      </c>
      <c r="F112" s="29">
        <f t="shared" si="4"/>
        <v>6.6669999999999785E-3</v>
      </c>
      <c r="G112" s="29">
        <f t="shared" si="5"/>
        <v>6.6669999999999785E-3</v>
      </c>
    </row>
    <row r="113" spans="1:7" x14ac:dyDescent="0.2">
      <c r="A113" s="24">
        <v>82.75277777777778</v>
      </c>
      <c r="B113" s="28" t="s">
        <v>159</v>
      </c>
      <c r="C113" s="25">
        <v>1.1046670000000001</v>
      </c>
      <c r="D113" s="25">
        <v>1.1046670000000001</v>
      </c>
      <c r="E113" s="26">
        <f t="shared" si="3"/>
        <v>0</v>
      </c>
      <c r="F113" s="29">
        <f t="shared" si="4"/>
        <v>7.6670000000000904E-3</v>
      </c>
      <c r="G113" s="29">
        <f t="shared" si="5"/>
        <v>7.6670000000000904E-3</v>
      </c>
    </row>
    <row r="114" spans="1:7" x14ac:dyDescent="0.2">
      <c r="A114" s="24">
        <v>82.792361111111106</v>
      </c>
      <c r="B114" s="28" t="s">
        <v>160</v>
      </c>
      <c r="C114" s="25">
        <v>1.1180000000000001</v>
      </c>
      <c r="D114" s="25">
        <v>1.1180000000000001</v>
      </c>
      <c r="E114" s="26">
        <f t="shared" si="3"/>
        <v>0</v>
      </c>
      <c r="F114" s="29">
        <f t="shared" si="4"/>
        <v>1.3333000000000039E-2</v>
      </c>
      <c r="G114" s="29">
        <f t="shared" si="5"/>
        <v>1.3333000000000039E-2</v>
      </c>
    </row>
    <row r="115" spans="1:7" x14ac:dyDescent="0.2">
      <c r="A115" s="24">
        <v>82.793055555555554</v>
      </c>
      <c r="B115" s="28" t="s">
        <v>161</v>
      </c>
      <c r="C115" s="25">
        <v>1.1306670000000001</v>
      </c>
      <c r="D115" s="25">
        <v>1.1306670000000001</v>
      </c>
      <c r="E115" s="26">
        <f t="shared" si="3"/>
        <v>0</v>
      </c>
      <c r="F115" s="29">
        <f t="shared" si="4"/>
        <v>1.2666999999999984E-2</v>
      </c>
      <c r="G115" s="29">
        <f t="shared" si="5"/>
        <v>1.2666999999999984E-2</v>
      </c>
    </row>
    <row r="116" spans="1:7" x14ac:dyDescent="0.2">
      <c r="A116" s="24">
        <v>82.793750000000003</v>
      </c>
      <c r="B116" s="28" t="s">
        <v>162</v>
      </c>
      <c r="C116" s="25">
        <v>1.1426670000000001</v>
      </c>
      <c r="D116" s="25">
        <v>1.1426670000000001</v>
      </c>
      <c r="E116" s="26">
        <f t="shared" si="3"/>
        <v>0</v>
      </c>
      <c r="F116" s="29">
        <f t="shared" si="4"/>
        <v>1.2000000000000011E-2</v>
      </c>
      <c r="G116" s="29">
        <f t="shared" si="5"/>
        <v>1.2000000000000011E-2</v>
      </c>
    </row>
    <row r="117" spans="1:7" x14ac:dyDescent="0.2">
      <c r="A117" s="24">
        <v>82.794444444444437</v>
      </c>
      <c r="B117" s="28" t="s">
        <v>163</v>
      </c>
      <c r="C117" s="25">
        <v>1.1533329999999999</v>
      </c>
      <c r="D117" s="25">
        <v>1.1533329999999999</v>
      </c>
      <c r="E117" s="26">
        <f t="shared" si="3"/>
        <v>0</v>
      </c>
      <c r="F117" s="29">
        <f t="shared" si="4"/>
        <v>1.0665999999999842E-2</v>
      </c>
      <c r="G117" s="29">
        <f t="shared" si="5"/>
        <v>1.0665999999999842E-2</v>
      </c>
    </row>
    <row r="118" spans="1:7" x14ac:dyDescent="0.2">
      <c r="A118" s="24">
        <v>82.834027777777777</v>
      </c>
      <c r="B118" s="28" t="s">
        <v>164</v>
      </c>
      <c r="C118" s="25">
        <v>1.1623330000000001</v>
      </c>
      <c r="D118" s="25">
        <v>1.1623330000000001</v>
      </c>
      <c r="E118" s="26">
        <f t="shared" si="3"/>
        <v>0</v>
      </c>
      <c r="F118" s="29">
        <f t="shared" si="4"/>
        <v>9.000000000000119E-3</v>
      </c>
      <c r="G118" s="29">
        <f t="shared" si="5"/>
        <v>9.000000000000119E-3</v>
      </c>
    </row>
    <row r="119" spans="1:7" x14ac:dyDescent="0.2">
      <c r="A119" s="24">
        <v>82.834722222222226</v>
      </c>
      <c r="B119" s="28" t="s">
        <v>165</v>
      </c>
      <c r="C119" s="25">
        <v>1.175667</v>
      </c>
      <c r="D119" s="25">
        <v>1.175667</v>
      </c>
      <c r="E119" s="26">
        <f t="shared" si="3"/>
        <v>0</v>
      </c>
      <c r="F119" s="29">
        <f t="shared" si="4"/>
        <v>1.3333999999999957E-2</v>
      </c>
      <c r="G119" s="29">
        <f t="shared" si="5"/>
        <v>1.3333999999999957E-2</v>
      </c>
    </row>
    <row r="120" spans="1:7" x14ac:dyDescent="0.2">
      <c r="A120" s="24">
        <v>82.83541666666666</v>
      </c>
      <c r="B120" s="28" t="s">
        <v>166</v>
      </c>
      <c r="C120" s="25">
        <v>1.19</v>
      </c>
      <c r="D120" s="25">
        <v>1.19</v>
      </c>
      <c r="E120" s="26">
        <f t="shared" si="3"/>
        <v>0</v>
      </c>
      <c r="F120" s="29">
        <f t="shared" si="4"/>
        <v>1.4332999999999929E-2</v>
      </c>
      <c r="G120" s="29">
        <f t="shared" si="5"/>
        <v>1.4332999999999929E-2</v>
      </c>
    </row>
    <row r="121" spans="1:7" x14ac:dyDescent="0.2">
      <c r="A121" s="24">
        <v>82.836111111111109</v>
      </c>
      <c r="B121" s="28" t="s">
        <v>167</v>
      </c>
      <c r="C121" s="25">
        <v>1.2030000000000001</v>
      </c>
      <c r="D121" s="25">
        <v>1.2030000000000001</v>
      </c>
      <c r="E121" s="26">
        <f t="shared" si="3"/>
        <v>0</v>
      </c>
      <c r="F121" s="29">
        <f t="shared" si="4"/>
        <v>1.3000000000000123E-2</v>
      </c>
      <c r="G121" s="29">
        <f t="shared" si="5"/>
        <v>1.3000000000000123E-2</v>
      </c>
    </row>
    <row r="122" spans="1:7" x14ac:dyDescent="0.2">
      <c r="A122" s="24">
        <v>82.875694444444449</v>
      </c>
      <c r="B122" s="28" t="s">
        <v>168</v>
      </c>
      <c r="C122" s="25">
        <v>1.2166669999999999</v>
      </c>
      <c r="D122" s="25">
        <v>1.2166669999999999</v>
      </c>
      <c r="E122" s="26">
        <f t="shared" si="3"/>
        <v>0</v>
      </c>
      <c r="F122" s="29">
        <f t="shared" si="4"/>
        <v>1.3666999999999874E-2</v>
      </c>
      <c r="G122" s="29">
        <f t="shared" si="5"/>
        <v>1.3666999999999874E-2</v>
      </c>
    </row>
    <row r="123" spans="1:7" x14ac:dyDescent="0.2">
      <c r="A123" s="24">
        <v>82.876388888888883</v>
      </c>
      <c r="B123" s="28" t="s">
        <v>169</v>
      </c>
      <c r="C123" s="25">
        <v>1.2363329999999999</v>
      </c>
      <c r="D123" s="25">
        <v>1.2363329999999999</v>
      </c>
      <c r="E123" s="26">
        <f t="shared" si="3"/>
        <v>0</v>
      </c>
      <c r="F123" s="29">
        <f t="shared" si="4"/>
        <v>1.9665999999999961E-2</v>
      </c>
      <c r="G123" s="29">
        <f t="shared" si="5"/>
        <v>1.9665999999999961E-2</v>
      </c>
    </row>
    <row r="124" spans="1:7" x14ac:dyDescent="0.2">
      <c r="A124" s="24">
        <v>82.877083333333331</v>
      </c>
      <c r="B124" s="28" t="s">
        <v>170</v>
      </c>
      <c r="C124" s="25">
        <v>1.246</v>
      </c>
      <c r="D124" s="25">
        <v>1.246</v>
      </c>
      <c r="E124" s="26">
        <f t="shared" si="3"/>
        <v>0</v>
      </c>
      <c r="F124" s="29">
        <f t="shared" si="4"/>
        <v>9.6670000000000922E-3</v>
      </c>
      <c r="G124" s="29">
        <f t="shared" si="5"/>
        <v>9.6670000000000922E-3</v>
      </c>
    </row>
    <row r="125" spans="1:7" x14ac:dyDescent="0.2">
      <c r="A125" s="24">
        <v>82.87777777777778</v>
      </c>
      <c r="B125" s="28" t="s">
        <v>171</v>
      </c>
      <c r="C125" s="25">
        <v>1.258667</v>
      </c>
      <c r="D125" s="25">
        <v>1.258667</v>
      </c>
      <c r="E125" s="26">
        <f t="shared" si="3"/>
        <v>0</v>
      </c>
      <c r="F125" s="29">
        <f t="shared" si="4"/>
        <v>1.2666999999999984E-2</v>
      </c>
      <c r="G125" s="29">
        <f t="shared" si="5"/>
        <v>1.2666999999999984E-2</v>
      </c>
    </row>
    <row r="126" spans="1:7" x14ac:dyDescent="0.2">
      <c r="A126" s="24">
        <v>82.917361111111106</v>
      </c>
      <c r="B126" s="28" t="s">
        <v>172</v>
      </c>
      <c r="C126" s="25">
        <v>1.2803329999999999</v>
      </c>
      <c r="D126" s="25">
        <v>1.2803329999999999</v>
      </c>
      <c r="E126" s="26">
        <f t="shared" si="3"/>
        <v>0</v>
      </c>
      <c r="F126" s="29">
        <f t="shared" si="4"/>
        <v>2.1665999999999963E-2</v>
      </c>
      <c r="G126" s="29">
        <f t="shared" si="5"/>
        <v>2.1665999999999963E-2</v>
      </c>
    </row>
    <row r="127" spans="1:7" x14ac:dyDescent="0.2">
      <c r="A127" s="24">
        <v>82.918055555555554</v>
      </c>
      <c r="B127" s="28" t="s">
        <v>173</v>
      </c>
      <c r="C127" s="25">
        <v>1.2929999999999999</v>
      </c>
      <c r="D127" s="25">
        <v>1.2929999999999999</v>
      </c>
      <c r="E127" s="26">
        <f t="shared" si="3"/>
        <v>0</v>
      </c>
      <c r="F127" s="29">
        <f t="shared" si="4"/>
        <v>1.2666999999999984E-2</v>
      </c>
      <c r="G127" s="29">
        <f t="shared" si="5"/>
        <v>1.2666999999999984E-2</v>
      </c>
    </row>
    <row r="128" spans="1:7" x14ac:dyDescent="0.2">
      <c r="A128" s="24">
        <v>82.918750000000003</v>
      </c>
      <c r="B128" s="28" t="s">
        <v>174</v>
      </c>
      <c r="C128" s="25">
        <v>1.3153330000000001</v>
      </c>
      <c r="D128" s="25">
        <v>1.3153330000000001</v>
      </c>
      <c r="E128" s="26">
        <f t="shared" si="3"/>
        <v>0</v>
      </c>
      <c r="F128" s="29">
        <f t="shared" si="4"/>
        <v>2.2333000000000158E-2</v>
      </c>
      <c r="G128" s="29">
        <f t="shared" si="5"/>
        <v>2.2333000000000158E-2</v>
      </c>
    </row>
    <row r="129" spans="1:7" x14ac:dyDescent="0.2">
      <c r="A129" s="24">
        <v>82.919444444444437</v>
      </c>
      <c r="B129" s="28" t="s">
        <v>175</v>
      </c>
      <c r="C129" s="25">
        <v>1.3376669999999999</v>
      </c>
      <c r="D129" s="25">
        <v>1.3376669999999999</v>
      </c>
      <c r="E129" s="26">
        <f t="shared" si="3"/>
        <v>0</v>
      </c>
      <c r="F129" s="29">
        <f t="shared" si="4"/>
        <v>2.2333999999999854E-2</v>
      </c>
      <c r="G129" s="29">
        <f t="shared" si="5"/>
        <v>2.2333999999999854E-2</v>
      </c>
    </row>
    <row r="130" spans="1:7" x14ac:dyDescent="0.2">
      <c r="A130" s="24">
        <v>82.959027777777777</v>
      </c>
      <c r="B130" s="28" t="s">
        <v>176</v>
      </c>
      <c r="C130" s="25">
        <v>1.3476669999999999</v>
      </c>
      <c r="D130" s="25">
        <v>1.3476669999999999</v>
      </c>
      <c r="E130" s="26">
        <f t="shared" si="3"/>
        <v>0</v>
      </c>
      <c r="F130" s="29">
        <f t="shared" si="4"/>
        <v>1.0000000000000009E-2</v>
      </c>
      <c r="G130" s="29">
        <f t="shared" si="5"/>
        <v>1.0000000000000009E-2</v>
      </c>
    </row>
    <row r="131" spans="1:7" x14ac:dyDescent="0.2">
      <c r="A131" s="24">
        <v>82.959722222222226</v>
      </c>
      <c r="B131" s="28" t="s">
        <v>177</v>
      </c>
      <c r="C131" s="25">
        <v>1.355667</v>
      </c>
      <c r="D131" s="25">
        <v>1.355667</v>
      </c>
      <c r="E131" s="26">
        <f t="shared" ref="E131:E194" si="6">C131-D131</f>
        <v>0</v>
      </c>
      <c r="F131" s="29">
        <f t="shared" si="4"/>
        <v>8.0000000000000071E-3</v>
      </c>
      <c r="G131" s="29">
        <f t="shared" si="5"/>
        <v>8.0000000000000071E-3</v>
      </c>
    </row>
    <row r="132" spans="1:7" x14ac:dyDescent="0.2">
      <c r="A132" s="24">
        <v>82.96041666666666</v>
      </c>
      <c r="B132" s="28" t="s">
        <v>178</v>
      </c>
      <c r="C132" s="25">
        <v>1.3660000000000001</v>
      </c>
      <c r="D132" s="25">
        <v>1.3660000000000001</v>
      </c>
      <c r="E132" s="26">
        <f t="shared" si="6"/>
        <v>0</v>
      </c>
      <c r="F132" s="29">
        <f t="shared" ref="F132:F195" si="7">C132-C131</f>
        <v>1.0333000000000148E-2</v>
      </c>
      <c r="G132" s="29">
        <f t="shared" ref="G132:G195" si="8">D132-D131</f>
        <v>1.0333000000000148E-2</v>
      </c>
    </row>
    <row r="133" spans="1:7" x14ac:dyDescent="0.2">
      <c r="A133" s="24">
        <v>82.961111111111109</v>
      </c>
      <c r="B133" s="28" t="s">
        <v>179</v>
      </c>
      <c r="C133" s="25">
        <v>1.3773329999999999</v>
      </c>
      <c r="D133" s="25">
        <v>1.3773329999999999</v>
      </c>
      <c r="E133" s="26">
        <f t="shared" si="6"/>
        <v>0</v>
      </c>
      <c r="F133" s="29">
        <f t="shared" si="7"/>
        <v>1.1332999999999815E-2</v>
      </c>
      <c r="G133" s="29">
        <f t="shared" si="8"/>
        <v>1.1332999999999815E-2</v>
      </c>
    </row>
    <row r="134" spans="1:7" x14ac:dyDescent="0.2">
      <c r="A134" s="24">
        <v>83.000694444444449</v>
      </c>
      <c r="B134" s="28" t="s">
        <v>180</v>
      </c>
      <c r="C134" s="25">
        <v>1.3866670000000001</v>
      </c>
      <c r="D134" s="25">
        <v>1.3866670000000001</v>
      </c>
      <c r="E134" s="26">
        <f t="shared" si="6"/>
        <v>0</v>
      </c>
      <c r="F134" s="29">
        <f t="shared" si="7"/>
        <v>9.3340000000001755E-3</v>
      </c>
      <c r="G134" s="29">
        <f t="shared" si="8"/>
        <v>9.3340000000001755E-3</v>
      </c>
    </row>
    <row r="135" spans="1:7" x14ac:dyDescent="0.2">
      <c r="A135" s="24">
        <v>83.001388888888883</v>
      </c>
      <c r="B135" s="28" t="s">
        <v>181</v>
      </c>
      <c r="C135" s="25">
        <v>1.3973329999999999</v>
      </c>
      <c r="D135" s="25">
        <v>1.3973329999999999</v>
      </c>
      <c r="E135" s="26">
        <f t="shared" si="6"/>
        <v>0</v>
      </c>
      <c r="F135" s="29">
        <f t="shared" si="7"/>
        <v>1.0665999999999842E-2</v>
      </c>
      <c r="G135" s="29">
        <f t="shared" si="8"/>
        <v>1.0665999999999842E-2</v>
      </c>
    </row>
    <row r="136" spans="1:7" x14ac:dyDescent="0.2">
      <c r="A136" s="24">
        <v>83.002083333333331</v>
      </c>
      <c r="B136" s="28" t="s">
        <v>182</v>
      </c>
      <c r="C136" s="25">
        <v>1.4079999999999999</v>
      </c>
      <c r="D136" s="25">
        <v>1.4079999999999999</v>
      </c>
      <c r="E136" s="26">
        <f t="shared" si="6"/>
        <v>0</v>
      </c>
      <c r="F136" s="29">
        <f t="shared" si="7"/>
        <v>1.0666999999999982E-2</v>
      </c>
      <c r="G136" s="29">
        <f t="shared" si="8"/>
        <v>1.0666999999999982E-2</v>
      </c>
    </row>
    <row r="137" spans="1:7" x14ac:dyDescent="0.2">
      <c r="A137" s="24">
        <v>83.00277777777778</v>
      </c>
      <c r="B137" s="28" t="s">
        <v>183</v>
      </c>
      <c r="C137" s="25">
        <v>1.4203330000000001</v>
      </c>
      <c r="D137" s="25">
        <v>1.4203330000000001</v>
      </c>
      <c r="E137" s="26">
        <f t="shared" si="6"/>
        <v>0</v>
      </c>
      <c r="F137" s="29">
        <f t="shared" si="7"/>
        <v>1.2333000000000149E-2</v>
      </c>
      <c r="G137" s="29">
        <f t="shared" si="8"/>
        <v>1.2333000000000149E-2</v>
      </c>
    </row>
    <row r="138" spans="1:7" x14ac:dyDescent="0.2">
      <c r="A138" s="24">
        <v>83.042361111111106</v>
      </c>
      <c r="B138" s="28" t="s">
        <v>184</v>
      </c>
      <c r="C138" s="25">
        <v>1.4306669999999999</v>
      </c>
      <c r="D138" s="25">
        <v>1.4306669999999999</v>
      </c>
      <c r="E138" s="26">
        <f t="shared" si="6"/>
        <v>0</v>
      </c>
      <c r="F138" s="29">
        <f t="shared" si="7"/>
        <v>1.0333999999999843E-2</v>
      </c>
      <c r="G138" s="29">
        <f t="shared" si="8"/>
        <v>1.0333999999999843E-2</v>
      </c>
    </row>
    <row r="139" spans="1:7" x14ac:dyDescent="0.2">
      <c r="A139" s="24">
        <v>83.043055555555554</v>
      </c>
      <c r="B139" s="28" t="s">
        <v>185</v>
      </c>
      <c r="C139" s="25">
        <v>1.4410000000000001</v>
      </c>
      <c r="D139" s="25">
        <v>1.4410000000000001</v>
      </c>
      <c r="E139" s="26">
        <f t="shared" si="6"/>
        <v>0</v>
      </c>
      <c r="F139" s="29">
        <f t="shared" si="7"/>
        <v>1.0333000000000148E-2</v>
      </c>
      <c r="G139" s="29">
        <f t="shared" si="8"/>
        <v>1.0333000000000148E-2</v>
      </c>
    </row>
    <row r="140" spans="1:7" x14ac:dyDescent="0.2">
      <c r="A140" s="24">
        <v>83.043750000000003</v>
      </c>
      <c r="B140" s="28" t="s">
        <v>186</v>
      </c>
      <c r="C140" s="25">
        <v>1.447667</v>
      </c>
      <c r="D140" s="25">
        <v>1.447667</v>
      </c>
      <c r="E140" s="26">
        <f t="shared" si="6"/>
        <v>0</v>
      </c>
      <c r="F140" s="29">
        <f t="shared" si="7"/>
        <v>6.6669999999999785E-3</v>
      </c>
      <c r="G140" s="29">
        <f t="shared" si="8"/>
        <v>6.6669999999999785E-3</v>
      </c>
    </row>
    <row r="141" spans="1:7" x14ac:dyDescent="0.2">
      <c r="A141" s="24">
        <v>83.044444444444437</v>
      </c>
      <c r="B141" s="28" t="s">
        <v>187</v>
      </c>
      <c r="C141" s="25">
        <v>1.459667</v>
      </c>
      <c r="D141" s="25">
        <v>1.459667</v>
      </c>
      <c r="E141" s="26">
        <f t="shared" si="6"/>
        <v>0</v>
      </c>
      <c r="F141" s="29">
        <f t="shared" si="7"/>
        <v>1.2000000000000011E-2</v>
      </c>
      <c r="G141" s="29">
        <f t="shared" si="8"/>
        <v>1.2000000000000011E-2</v>
      </c>
    </row>
    <row r="142" spans="1:7" x14ac:dyDescent="0.2">
      <c r="A142" s="24">
        <v>83.084027777777777</v>
      </c>
      <c r="B142" s="28" t="s">
        <v>188</v>
      </c>
      <c r="C142" s="25">
        <v>1.4670000000000001</v>
      </c>
      <c r="D142" s="25">
        <v>1.4670000000000001</v>
      </c>
      <c r="E142" s="26">
        <f t="shared" si="6"/>
        <v>0</v>
      </c>
      <c r="F142" s="29">
        <f t="shared" si="7"/>
        <v>7.3330000000000339E-3</v>
      </c>
      <c r="G142" s="29">
        <f t="shared" si="8"/>
        <v>7.3330000000000339E-3</v>
      </c>
    </row>
    <row r="143" spans="1:7" x14ac:dyDescent="0.2">
      <c r="A143" s="24">
        <v>83.084722222222226</v>
      </c>
      <c r="B143" s="28" t="s">
        <v>189</v>
      </c>
      <c r="C143" s="25">
        <v>1.475333</v>
      </c>
      <c r="D143" s="25">
        <v>1.475333</v>
      </c>
      <c r="E143" s="26">
        <f t="shared" si="6"/>
        <v>0</v>
      </c>
      <c r="F143" s="29">
        <f t="shared" si="7"/>
        <v>8.3329999999999238E-3</v>
      </c>
      <c r="G143" s="29">
        <f t="shared" si="8"/>
        <v>8.3329999999999238E-3</v>
      </c>
    </row>
    <row r="144" spans="1:7" x14ac:dyDescent="0.2">
      <c r="A144" s="24">
        <v>83.08541666666666</v>
      </c>
      <c r="B144" s="28" t="s">
        <v>190</v>
      </c>
      <c r="C144" s="25">
        <v>1.4890000000000001</v>
      </c>
      <c r="D144" s="25">
        <v>1.4890000000000001</v>
      </c>
      <c r="E144" s="26">
        <f t="shared" si="6"/>
        <v>0</v>
      </c>
      <c r="F144" s="29">
        <f t="shared" si="7"/>
        <v>1.3667000000000096E-2</v>
      </c>
      <c r="G144" s="29">
        <f t="shared" si="8"/>
        <v>1.3667000000000096E-2</v>
      </c>
    </row>
    <row r="145" spans="1:7" x14ac:dyDescent="0.2">
      <c r="A145" s="24">
        <v>83.086111111111109</v>
      </c>
      <c r="B145" s="28" t="s">
        <v>191</v>
      </c>
      <c r="C145" s="25">
        <v>1.4976670000000001</v>
      </c>
      <c r="D145" s="25">
        <v>1.4976670000000001</v>
      </c>
      <c r="E145" s="26">
        <f t="shared" si="6"/>
        <v>0</v>
      </c>
      <c r="F145" s="29">
        <f t="shared" si="7"/>
        <v>8.6669999999999803E-3</v>
      </c>
      <c r="G145" s="29">
        <f t="shared" si="8"/>
        <v>8.6669999999999803E-3</v>
      </c>
    </row>
    <row r="146" spans="1:7" x14ac:dyDescent="0.2">
      <c r="A146" s="24">
        <v>83.125694444444449</v>
      </c>
      <c r="B146" s="28" t="s">
        <v>192</v>
      </c>
      <c r="C146" s="25">
        <v>1.508667</v>
      </c>
      <c r="D146" s="25">
        <v>1.508667</v>
      </c>
      <c r="E146" s="26">
        <f t="shared" si="6"/>
        <v>0</v>
      </c>
      <c r="F146" s="29">
        <f t="shared" si="7"/>
        <v>1.0999999999999899E-2</v>
      </c>
      <c r="G146" s="29">
        <f t="shared" si="8"/>
        <v>1.0999999999999899E-2</v>
      </c>
    </row>
    <row r="147" spans="1:7" x14ac:dyDescent="0.2">
      <c r="A147" s="24">
        <v>83.126388888888883</v>
      </c>
      <c r="B147" s="28" t="s">
        <v>193</v>
      </c>
      <c r="C147" s="25">
        <v>1.5209999999999999</v>
      </c>
      <c r="D147" s="25">
        <v>1.5209999999999999</v>
      </c>
      <c r="E147" s="26">
        <f t="shared" si="6"/>
        <v>0</v>
      </c>
      <c r="F147" s="29">
        <f t="shared" si="7"/>
        <v>1.2332999999999927E-2</v>
      </c>
      <c r="G147" s="29">
        <f t="shared" si="8"/>
        <v>1.2332999999999927E-2</v>
      </c>
    </row>
    <row r="148" spans="1:7" x14ac:dyDescent="0.2">
      <c r="A148" s="24">
        <v>83.127083333333331</v>
      </c>
      <c r="B148" s="28" t="s">
        <v>194</v>
      </c>
      <c r="C148" s="25">
        <v>1.528667</v>
      </c>
      <c r="D148" s="25">
        <v>1.528667</v>
      </c>
      <c r="E148" s="26">
        <f t="shared" si="6"/>
        <v>0</v>
      </c>
      <c r="F148" s="29">
        <f t="shared" si="7"/>
        <v>7.6670000000000904E-3</v>
      </c>
      <c r="G148" s="29">
        <f t="shared" si="8"/>
        <v>7.6670000000000904E-3</v>
      </c>
    </row>
    <row r="149" spans="1:7" x14ac:dyDescent="0.2">
      <c r="A149" s="24">
        <v>83.12777777777778</v>
      </c>
      <c r="B149" s="28" t="s">
        <v>195</v>
      </c>
      <c r="C149" s="25">
        <v>1.5369999999999999</v>
      </c>
      <c r="D149" s="25">
        <v>1.5369999999999999</v>
      </c>
      <c r="E149" s="26">
        <f t="shared" si="6"/>
        <v>0</v>
      </c>
      <c r="F149" s="29">
        <f t="shared" si="7"/>
        <v>8.3329999999999238E-3</v>
      </c>
      <c r="G149" s="29">
        <f t="shared" si="8"/>
        <v>8.3329999999999238E-3</v>
      </c>
    </row>
    <row r="150" spans="1:7" x14ac:dyDescent="0.2">
      <c r="A150" s="24">
        <v>83.167361111111106</v>
      </c>
      <c r="B150" s="28" t="s">
        <v>196</v>
      </c>
      <c r="C150" s="25">
        <v>1.550667</v>
      </c>
      <c r="D150" s="25">
        <v>1.550667</v>
      </c>
      <c r="E150" s="26">
        <f t="shared" si="6"/>
        <v>0</v>
      </c>
      <c r="F150" s="29">
        <f t="shared" si="7"/>
        <v>1.3667000000000096E-2</v>
      </c>
      <c r="G150" s="29">
        <f t="shared" si="8"/>
        <v>1.3667000000000096E-2</v>
      </c>
    </row>
    <row r="151" spans="1:7" x14ac:dyDescent="0.2">
      <c r="A151" s="24">
        <v>83.168055555555554</v>
      </c>
      <c r="B151" s="28" t="s">
        <v>197</v>
      </c>
      <c r="C151" s="25">
        <v>1.5640000000000001</v>
      </c>
      <c r="D151" s="25">
        <v>1.5640000000000001</v>
      </c>
      <c r="E151" s="26">
        <f t="shared" si="6"/>
        <v>0</v>
      </c>
      <c r="F151" s="29">
        <f t="shared" si="7"/>
        <v>1.3333000000000039E-2</v>
      </c>
      <c r="G151" s="29">
        <f t="shared" si="8"/>
        <v>1.3333000000000039E-2</v>
      </c>
    </row>
    <row r="152" spans="1:7" x14ac:dyDescent="0.2">
      <c r="A152" s="24">
        <v>83.168750000000003</v>
      </c>
      <c r="B152" s="28" t="s">
        <v>198</v>
      </c>
      <c r="C152" s="25">
        <v>1.573</v>
      </c>
      <c r="D152" s="25">
        <v>1.573</v>
      </c>
      <c r="E152" s="26">
        <f t="shared" si="6"/>
        <v>0</v>
      </c>
      <c r="F152" s="29">
        <f t="shared" si="7"/>
        <v>8.999999999999897E-3</v>
      </c>
      <c r="G152" s="29">
        <f t="shared" si="8"/>
        <v>8.999999999999897E-3</v>
      </c>
    </row>
    <row r="153" spans="1:7" x14ac:dyDescent="0.2">
      <c r="A153" s="24">
        <v>83.169444444444437</v>
      </c>
      <c r="B153" s="28" t="s">
        <v>199</v>
      </c>
      <c r="C153" s="25">
        <v>1.586667</v>
      </c>
      <c r="D153" s="25">
        <v>1.586667</v>
      </c>
      <c r="E153" s="26">
        <f t="shared" si="6"/>
        <v>0</v>
      </c>
      <c r="F153" s="29">
        <f t="shared" si="7"/>
        <v>1.3667000000000096E-2</v>
      </c>
      <c r="G153" s="29">
        <f t="shared" si="8"/>
        <v>1.3667000000000096E-2</v>
      </c>
    </row>
    <row r="154" spans="1:7" x14ac:dyDescent="0.2">
      <c r="A154" s="24">
        <v>83.209027777777777</v>
      </c>
      <c r="B154" s="28" t="s">
        <v>200</v>
      </c>
      <c r="C154" s="25">
        <v>1.596333</v>
      </c>
      <c r="D154" s="25">
        <v>1.596333</v>
      </c>
      <c r="E154" s="26">
        <f t="shared" si="6"/>
        <v>0</v>
      </c>
      <c r="F154" s="29">
        <f t="shared" si="7"/>
        <v>9.6659999999999524E-3</v>
      </c>
      <c r="G154" s="29">
        <f t="shared" si="8"/>
        <v>9.6659999999999524E-3</v>
      </c>
    </row>
    <row r="155" spans="1:7" x14ac:dyDescent="0.2">
      <c r="A155" s="24">
        <v>83.209722222222226</v>
      </c>
      <c r="B155" s="28" t="s">
        <v>201</v>
      </c>
      <c r="C155" s="25">
        <v>1.6</v>
      </c>
      <c r="D155" s="25">
        <v>1.6</v>
      </c>
      <c r="E155" s="26">
        <f t="shared" si="6"/>
        <v>0</v>
      </c>
      <c r="F155" s="29">
        <f t="shared" si="7"/>
        <v>3.6670000000000869E-3</v>
      </c>
      <c r="G155" s="29">
        <f t="shared" si="8"/>
        <v>3.6670000000000869E-3</v>
      </c>
    </row>
    <row r="156" spans="1:7" x14ac:dyDescent="0.2">
      <c r="A156" s="24">
        <v>83.21041666666666</v>
      </c>
      <c r="B156" s="28" t="s">
        <v>202</v>
      </c>
      <c r="C156" s="25">
        <v>1.6080000000000001</v>
      </c>
      <c r="D156" s="25">
        <v>1.6080000000000001</v>
      </c>
      <c r="E156" s="26">
        <f t="shared" si="6"/>
        <v>0</v>
      </c>
      <c r="F156" s="29">
        <f t="shared" si="7"/>
        <v>8.0000000000000071E-3</v>
      </c>
      <c r="G156" s="29">
        <f t="shared" si="8"/>
        <v>8.0000000000000071E-3</v>
      </c>
    </row>
    <row r="157" spans="1:7" x14ac:dyDescent="0.2">
      <c r="A157" s="24">
        <v>83.211111111111109</v>
      </c>
      <c r="B157" s="28" t="s">
        <v>203</v>
      </c>
      <c r="C157" s="25">
        <v>1.6166670000000001</v>
      </c>
      <c r="D157" s="25">
        <v>1.6166670000000001</v>
      </c>
      <c r="E157" s="26">
        <f t="shared" si="6"/>
        <v>0</v>
      </c>
      <c r="F157" s="29">
        <f t="shared" si="7"/>
        <v>8.6669999999999803E-3</v>
      </c>
      <c r="G157" s="29">
        <f t="shared" si="8"/>
        <v>8.6669999999999803E-3</v>
      </c>
    </row>
    <row r="158" spans="1:7" x14ac:dyDescent="0.2">
      <c r="A158" s="24">
        <v>83.250694444444449</v>
      </c>
      <c r="B158" s="28" t="s">
        <v>204</v>
      </c>
      <c r="C158" s="25">
        <v>1.62</v>
      </c>
      <c r="D158" s="25">
        <v>1.62</v>
      </c>
      <c r="E158" s="26">
        <f t="shared" si="6"/>
        <v>0</v>
      </c>
      <c r="F158" s="29">
        <f t="shared" si="7"/>
        <v>3.3330000000000304E-3</v>
      </c>
      <c r="G158" s="29">
        <f t="shared" si="8"/>
        <v>3.3330000000000304E-3</v>
      </c>
    </row>
    <row r="159" spans="1:7" x14ac:dyDescent="0.2">
      <c r="A159" s="24">
        <v>83.251388888888883</v>
      </c>
      <c r="B159" s="28" t="s">
        <v>205</v>
      </c>
      <c r="C159" s="25">
        <v>1.6253329999999999</v>
      </c>
      <c r="D159" s="25">
        <v>1.6253329999999999</v>
      </c>
      <c r="E159" s="26">
        <f t="shared" si="6"/>
        <v>0</v>
      </c>
      <c r="F159" s="29">
        <f t="shared" si="7"/>
        <v>5.3329999999998101E-3</v>
      </c>
      <c r="G159" s="29">
        <f t="shared" si="8"/>
        <v>5.3329999999998101E-3</v>
      </c>
    </row>
    <row r="160" spans="1:7" x14ac:dyDescent="0.2">
      <c r="A160" s="24">
        <v>83.252083333333331</v>
      </c>
      <c r="B160" s="28" t="s">
        <v>206</v>
      </c>
      <c r="C160" s="25">
        <v>1.633667</v>
      </c>
      <c r="D160" s="25">
        <v>1.633667</v>
      </c>
      <c r="E160" s="26">
        <f t="shared" si="6"/>
        <v>0</v>
      </c>
      <c r="F160" s="29">
        <f t="shared" si="7"/>
        <v>8.3340000000000636E-3</v>
      </c>
      <c r="G160" s="29">
        <f t="shared" si="8"/>
        <v>8.3340000000000636E-3</v>
      </c>
    </row>
    <row r="161" spans="1:7" x14ac:dyDescent="0.2">
      <c r="A161" s="24">
        <v>83.25277777777778</v>
      </c>
      <c r="B161" s="28" t="s">
        <v>207</v>
      </c>
      <c r="C161" s="25">
        <v>1.6413329999999999</v>
      </c>
      <c r="D161" s="25">
        <v>1.6413329999999999</v>
      </c>
      <c r="E161" s="26">
        <f t="shared" si="6"/>
        <v>0</v>
      </c>
      <c r="F161" s="29">
        <f t="shared" si="7"/>
        <v>7.6659999999999506E-3</v>
      </c>
      <c r="G161" s="29">
        <f t="shared" si="8"/>
        <v>7.6659999999999506E-3</v>
      </c>
    </row>
    <row r="162" spans="1:7" x14ac:dyDescent="0.2">
      <c r="A162" s="24">
        <v>83.292361111111106</v>
      </c>
      <c r="B162" s="28" t="s">
        <v>208</v>
      </c>
      <c r="C162" s="25">
        <v>1.6473329999999999</v>
      </c>
      <c r="D162" s="25">
        <v>1.6473329999999999</v>
      </c>
      <c r="E162" s="26">
        <f t="shared" si="6"/>
        <v>0</v>
      </c>
      <c r="F162" s="29">
        <f t="shared" si="7"/>
        <v>6.0000000000000053E-3</v>
      </c>
      <c r="G162" s="29">
        <f t="shared" si="8"/>
        <v>6.0000000000000053E-3</v>
      </c>
    </row>
    <row r="163" spans="1:7" x14ac:dyDescent="0.2">
      <c r="A163" s="24">
        <v>83.293055555555554</v>
      </c>
      <c r="B163" s="28" t="s">
        <v>209</v>
      </c>
      <c r="C163" s="25">
        <v>1.659667</v>
      </c>
      <c r="D163" s="25">
        <v>1.659667</v>
      </c>
      <c r="E163" s="26">
        <f t="shared" si="6"/>
        <v>0</v>
      </c>
      <c r="F163" s="29">
        <f t="shared" si="7"/>
        <v>1.2334000000000067E-2</v>
      </c>
      <c r="G163" s="29">
        <f t="shared" si="8"/>
        <v>1.2334000000000067E-2</v>
      </c>
    </row>
    <row r="164" spans="1:7" x14ac:dyDescent="0.2">
      <c r="A164" s="24">
        <v>83.293750000000003</v>
      </c>
      <c r="B164" s="28" t="s">
        <v>210</v>
      </c>
      <c r="C164" s="25">
        <v>1.6719999999999999</v>
      </c>
      <c r="D164" s="25">
        <v>1.6719999999999999</v>
      </c>
      <c r="E164" s="26">
        <f t="shared" si="6"/>
        <v>0</v>
      </c>
      <c r="F164" s="29">
        <f t="shared" si="7"/>
        <v>1.2332999999999927E-2</v>
      </c>
      <c r="G164" s="29">
        <f t="shared" si="8"/>
        <v>1.2332999999999927E-2</v>
      </c>
    </row>
    <row r="165" spans="1:7" x14ac:dyDescent="0.2">
      <c r="A165" s="24">
        <v>83.294444444444437</v>
      </c>
      <c r="B165" s="28" t="s">
        <v>211</v>
      </c>
      <c r="C165" s="25">
        <v>1.6843330000000001</v>
      </c>
      <c r="D165" s="25">
        <v>1.6843330000000001</v>
      </c>
      <c r="E165" s="26">
        <f t="shared" si="6"/>
        <v>0</v>
      </c>
      <c r="F165" s="29">
        <f t="shared" si="7"/>
        <v>1.2333000000000149E-2</v>
      </c>
      <c r="G165" s="29">
        <f t="shared" si="8"/>
        <v>1.2333000000000149E-2</v>
      </c>
    </row>
    <row r="166" spans="1:7" x14ac:dyDescent="0.2">
      <c r="A166" s="24">
        <v>83.334027777777777</v>
      </c>
      <c r="B166" s="28" t="s">
        <v>212</v>
      </c>
      <c r="C166" s="25">
        <v>1.7010000000000001</v>
      </c>
      <c r="D166" s="25">
        <v>1.7010000000000001</v>
      </c>
      <c r="E166" s="26">
        <f t="shared" si="6"/>
        <v>0</v>
      </c>
      <c r="F166" s="29">
        <f t="shared" si="7"/>
        <v>1.6666999999999987E-2</v>
      </c>
      <c r="G166" s="29">
        <f t="shared" si="8"/>
        <v>1.6666999999999987E-2</v>
      </c>
    </row>
    <row r="167" spans="1:7" x14ac:dyDescent="0.2">
      <c r="A167" s="24">
        <v>83.334722222222226</v>
      </c>
      <c r="B167" s="28" t="s">
        <v>213</v>
      </c>
      <c r="C167" s="25">
        <v>1.7143330000000001</v>
      </c>
      <c r="D167" s="25">
        <v>1.7143330000000001</v>
      </c>
      <c r="E167" s="26">
        <f t="shared" si="6"/>
        <v>0</v>
      </c>
      <c r="F167" s="29">
        <f t="shared" si="7"/>
        <v>1.3333000000000039E-2</v>
      </c>
      <c r="G167" s="29">
        <f t="shared" si="8"/>
        <v>1.3333000000000039E-2</v>
      </c>
    </row>
    <row r="168" spans="1:7" x14ac:dyDescent="0.2">
      <c r="A168" s="24">
        <v>83.33541666666666</v>
      </c>
      <c r="B168" s="28" t="s">
        <v>214</v>
      </c>
      <c r="C168" s="25">
        <v>1.73</v>
      </c>
      <c r="D168" s="25">
        <v>1.73</v>
      </c>
      <c r="E168" s="26">
        <f t="shared" si="6"/>
        <v>0</v>
      </c>
      <c r="F168" s="29">
        <f t="shared" si="7"/>
        <v>1.5666999999999875E-2</v>
      </c>
      <c r="G168" s="29">
        <f t="shared" si="8"/>
        <v>1.5666999999999875E-2</v>
      </c>
    </row>
    <row r="169" spans="1:7" x14ac:dyDescent="0.2">
      <c r="A169" s="24">
        <v>83.336111111111109</v>
      </c>
      <c r="B169" s="28" t="s">
        <v>215</v>
      </c>
      <c r="C169" s="25">
        <v>1.7423329999999999</v>
      </c>
      <c r="D169" s="25">
        <v>1.7423329999999999</v>
      </c>
      <c r="E169" s="26">
        <f t="shared" si="6"/>
        <v>0</v>
      </c>
      <c r="F169" s="29">
        <f t="shared" si="7"/>
        <v>1.2332999999999927E-2</v>
      </c>
      <c r="G169" s="29">
        <f t="shared" si="8"/>
        <v>1.2332999999999927E-2</v>
      </c>
    </row>
    <row r="170" spans="1:7" x14ac:dyDescent="0.2">
      <c r="A170" s="24">
        <v>83.375694444444449</v>
      </c>
      <c r="B170" s="28" t="s">
        <v>216</v>
      </c>
      <c r="C170" s="25">
        <v>1.7589999999999999</v>
      </c>
      <c r="D170" s="25">
        <v>1.7589999999999999</v>
      </c>
      <c r="E170" s="26">
        <f t="shared" si="6"/>
        <v>0</v>
      </c>
      <c r="F170" s="29">
        <f t="shared" si="7"/>
        <v>1.6666999999999987E-2</v>
      </c>
      <c r="G170" s="29">
        <f t="shared" si="8"/>
        <v>1.6666999999999987E-2</v>
      </c>
    </row>
    <row r="171" spans="1:7" x14ac:dyDescent="0.2">
      <c r="A171" s="24">
        <v>83.376388888888883</v>
      </c>
      <c r="B171" s="28" t="s">
        <v>217</v>
      </c>
      <c r="C171" s="25">
        <v>1.771333</v>
      </c>
      <c r="D171" s="25">
        <v>1.771333</v>
      </c>
      <c r="E171" s="26">
        <f t="shared" si="6"/>
        <v>0</v>
      </c>
      <c r="F171" s="29">
        <f t="shared" si="7"/>
        <v>1.2333000000000149E-2</v>
      </c>
      <c r="G171" s="29">
        <f t="shared" si="8"/>
        <v>1.2333000000000149E-2</v>
      </c>
    </row>
    <row r="172" spans="1:7" x14ac:dyDescent="0.2">
      <c r="A172" s="24">
        <v>83.377083333333331</v>
      </c>
      <c r="B172" s="28" t="s">
        <v>218</v>
      </c>
      <c r="C172" s="25">
        <v>1.7763329999999999</v>
      </c>
      <c r="D172" s="25">
        <v>1.7763329999999999</v>
      </c>
      <c r="E172" s="26">
        <f t="shared" si="6"/>
        <v>0</v>
      </c>
      <c r="F172" s="29">
        <f t="shared" si="7"/>
        <v>4.9999999999998934E-3</v>
      </c>
      <c r="G172" s="29">
        <f t="shared" si="8"/>
        <v>4.9999999999998934E-3</v>
      </c>
    </row>
    <row r="173" spans="1:7" x14ac:dyDescent="0.2">
      <c r="A173" s="24">
        <v>83.37777777777778</v>
      </c>
      <c r="B173" s="28" t="s">
        <v>219</v>
      </c>
      <c r="C173" s="25">
        <v>1.7749999999999999</v>
      </c>
      <c r="D173" s="25">
        <v>1.7749999999999999</v>
      </c>
      <c r="E173" s="26">
        <f t="shared" si="6"/>
        <v>0</v>
      </c>
      <c r="F173" s="29">
        <f t="shared" si="7"/>
        <v>-1.3330000000000286E-3</v>
      </c>
      <c r="G173" s="29">
        <f t="shared" si="8"/>
        <v>-1.3330000000000286E-3</v>
      </c>
    </row>
    <row r="174" spans="1:7" x14ac:dyDescent="0.2">
      <c r="A174" s="24">
        <v>83.417361111111106</v>
      </c>
      <c r="B174" s="28" t="s">
        <v>220</v>
      </c>
      <c r="C174" s="25">
        <v>1.780667</v>
      </c>
      <c r="D174" s="25">
        <v>1.780667</v>
      </c>
      <c r="E174" s="26">
        <f t="shared" si="6"/>
        <v>0</v>
      </c>
      <c r="F174" s="29">
        <f t="shared" si="7"/>
        <v>5.6670000000000886E-3</v>
      </c>
      <c r="G174" s="29">
        <f t="shared" si="8"/>
        <v>5.6670000000000886E-3</v>
      </c>
    </row>
    <row r="175" spans="1:7" x14ac:dyDescent="0.2">
      <c r="A175" s="24">
        <v>83.418055555555554</v>
      </c>
      <c r="B175" s="28" t="s">
        <v>221</v>
      </c>
      <c r="C175" s="25">
        <v>1.794667</v>
      </c>
      <c r="D175" s="25">
        <v>1.794667</v>
      </c>
      <c r="E175" s="26">
        <f t="shared" si="6"/>
        <v>0</v>
      </c>
      <c r="F175" s="29">
        <f t="shared" si="7"/>
        <v>1.4000000000000012E-2</v>
      </c>
      <c r="G175" s="29">
        <f t="shared" si="8"/>
        <v>1.4000000000000012E-2</v>
      </c>
    </row>
    <row r="176" spans="1:7" x14ac:dyDescent="0.2">
      <c r="A176" s="24">
        <v>83.418750000000003</v>
      </c>
      <c r="B176" s="28" t="s">
        <v>222</v>
      </c>
      <c r="C176" s="25">
        <v>1.804333</v>
      </c>
      <c r="D176" s="25">
        <v>1.804333</v>
      </c>
      <c r="E176" s="26">
        <f t="shared" si="6"/>
        <v>0</v>
      </c>
      <c r="F176" s="29">
        <f t="shared" si="7"/>
        <v>9.6659999999999524E-3</v>
      </c>
      <c r="G176" s="29">
        <f t="shared" si="8"/>
        <v>9.6659999999999524E-3</v>
      </c>
    </row>
    <row r="177" spans="1:7" x14ac:dyDescent="0.2">
      <c r="A177" s="24">
        <v>83.419444444444437</v>
      </c>
      <c r="B177" s="28" t="s">
        <v>223</v>
      </c>
      <c r="C177" s="25">
        <v>1.8149999999999999</v>
      </c>
      <c r="D177" s="25">
        <v>1.8149999999999999</v>
      </c>
      <c r="E177" s="26">
        <f t="shared" si="6"/>
        <v>0</v>
      </c>
      <c r="F177" s="29">
        <f t="shared" si="7"/>
        <v>1.0666999999999982E-2</v>
      </c>
      <c r="G177" s="29">
        <f t="shared" si="8"/>
        <v>1.0666999999999982E-2</v>
      </c>
    </row>
    <row r="178" spans="1:7" x14ac:dyDescent="0.2">
      <c r="A178" s="24">
        <v>83.459027777777777</v>
      </c>
      <c r="B178" s="28" t="s">
        <v>224</v>
      </c>
      <c r="C178" s="25">
        <v>1.8336669999999999</v>
      </c>
      <c r="D178" s="25">
        <v>1.8336669999999999</v>
      </c>
      <c r="E178" s="26">
        <f t="shared" si="6"/>
        <v>0</v>
      </c>
      <c r="F178" s="29">
        <f t="shared" si="7"/>
        <v>1.8666999999999989E-2</v>
      </c>
      <c r="G178" s="29">
        <f t="shared" si="8"/>
        <v>1.8666999999999989E-2</v>
      </c>
    </row>
    <row r="179" spans="1:7" x14ac:dyDescent="0.2">
      <c r="A179" s="24">
        <v>83.459722222222226</v>
      </c>
      <c r="B179" s="28" t="s">
        <v>225</v>
      </c>
      <c r="C179" s="25">
        <v>1.830667</v>
      </c>
      <c r="D179" s="25">
        <v>1.830667</v>
      </c>
      <c r="E179" s="26">
        <f t="shared" si="6"/>
        <v>0</v>
      </c>
      <c r="F179" s="29">
        <f t="shared" si="7"/>
        <v>-2.9999999999998916E-3</v>
      </c>
      <c r="G179" s="29">
        <f t="shared" si="8"/>
        <v>-2.9999999999998916E-3</v>
      </c>
    </row>
    <row r="180" spans="1:7" x14ac:dyDescent="0.2">
      <c r="A180" s="24">
        <v>83.46041666666666</v>
      </c>
      <c r="B180" s="28" t="s">
        <v>226</v>
      </c>
      <c r="C180" s="25">
        <v>1.844333</v>
      </c>
      <c r="D180" s="25">
        <v>1.844333</v>
      </c>
      <c r="E180" s="26">
        <f t="shared" si="6"/>
        <v>0</v>
      </c>
      <c r="F180" s="29">
        <f t="shared" si="7"/>
        <v>1.3665999999999956E-2</v>
      </c>
      <c r="G180" s="29">
        <f t="shared" si="8"/>
        <v>1.3665999999999956E-2</v>
      </c>
    </row>
    <row r="181" spans="1:7" x14ac:dyDescent="0.2">
      <c r="A181" s="24">
        <v>83.461111111111109</v>
      </c>
      <c r="B181" s="28" t="s">
        <v>227</v>
      </c>
      <c r="C181" s="25">
        <v>1.8513329999999999</v>
      </c>
      <c r="D181" s="25">
        <v>1.8513329999999999</v>
      </c>
      <c r="E181" s="26">
        <f t="shared" si="6"/>
        <v>0</v>
      </c>
      <c r="F181" s="29">
        <f t="shared" si="7"/>
        <v>6.9999999999998952E-3</v>
      </c>
      <c r="G181" s="29">
        <f t="shared" si="8"/>
        <v>6.9999999999998952E-3</v>
      </c>
    </row>
    <row r="182" spans="1:7" x14ac:dyDescent="0.2">
      <c r="A182" s="24">
        <v>83.500694444444449</v>
      </c>
      <c r="B182" s="28" t="s">
        <v>228</v>
      </c>
      <c r="C182" s="25">
        <v>1.867</v>
      </c>
      <c r="D182" s="25">
        <v>1.867</v>
      </c>
      <c r="E182" s="26">
        <f t="shared" si="6"/>
        <v>0</v>
      </c>
      <c r="F182" s="29">
        <f t="shared" si="7"/>
        <v>1.5667000000000098E-2</v>
      </c>
      <c r="G182" s="29">
        <f t="shared" si="8"/>
        <v>1.5667000000000098E-2</v>
      </c>
    </row>
    <row r="183" spans="1:7" x14ac:dyDescent="0.2">
      <c r="A183" s="24">
        <v>83.501388888888883</v>
      </c>
      <c r="B183" s="28" t="s">
        <v>229</v>
      </c>
      <c r="C183" s="25">
        <v>1.881667</v>
      </c>
      <c r="D183" s="25">
        <v>1.881667</v>
      </c>
      <c r="E183" s="26">
        <f t="shared" si="6"/>
        <v>0</v>
      </c>
      <c r="F183" s="29">
        <f t="shared" si="7"/>
        <v>1.4666999999999986E-2</v>
      </c>
      <c r="G183" s="29">
        <f t="shared" si="8"/>
        <v>1.4666999999999986E-2</v>
      </c>
    </row>
    <row r="184" spans="1:7" x14ac:dyDescent="0.2">
      <c r="A184" s="24">
        <v>83.502083333333331</v>
      </c>
      <c r="B184" s="28" t="s">
        <v>230</v>
      </c>
      <c r="C184" s="25">
        <v>1.893667</v>
      </c>
      <c r="D184" s="25">
        <v>1.893667</v>
      </c>
      <c r="E184" s="26">
        <f t="shared" si="6"/>
        <v>0</v>
      </c>
      <c r="F184" s="29">
        <f t="shared" si="7"/>
        <v>1.2000000000000011E-2</v>
      </c>
      <c r="G184" s="29">
        <f t="shared" si="8"/>
        <v>1.2000000000000011E-2</v>
      </c>
    </row>
    <row r="185" spans="1:7" x14ac:dyDescent="0.2">
      <c r="A185" s="24">
        <v>83.50277777777778</v>
      </c>
      <c r="B185" s="28" t="s">
        <v>231</v>
      </c>
      <c r="C185" s="25">
        <v>1.9139999999999999</v>
      </c>
      <c r="D185" s="25">
        <v>1.9139999999999999</v>
      </c>
      <c r="E185" s="26">
        <f t="shared" si="6"/>
        <v>0</v>
      </c>
      <c r="F185" s="29">
        <f t="shared" si="7"/>
        <v>2.0332999999999934E-2</v>
      </c>
      <c r="G185" s="29">
        <f t="shared" si="8"/>
        <v>2.0332999999999934E-2</v>
      </c>
    </row>
    <row r="186" spans="1:7" x14ac:dyDescent="0.2">
      <c r="A186" s="24">
        <v>83.542361111111106</v>
      </c>
      <c r="B186" s="28" t="s">
        <v>232</v>
      </c>
      <c r="C186" s="25">
        <v>1.923667</v>
      </c>
      <c r="D186" s="25">
        <v>1.923667</v>
      </c>
      <c r="E186" s="26">
        <f t="shared" si="6"/>
        <v>0</v>
      </c>
      <c r="F186" s="29">
        <f t="shared" si="7"/>
        <v>9.6670000000000922E-3</v>
      </c>
      <c r="G186" s="29">
        <f t="shared" si="8"/>
        <v>9.6670000000000922E-3</v>
      </c>
    </row>
    <row r="187" spans="1:7" x14ac:dyDescent="0.2">
      <c r="A187" s="24">
        <v>83.543055555555554</v>
      </c>
      <c r="B187" s="28" t="s">
        <v>233</v>
      </c>
      <c r="C187" s="25">
        <v>1.9366669999999999</v>
      </c>
      <c r="D187" s="25">
        <v>1.9366669999999999</v>
      </c>
      <c r="E187" s="26">
        <f t="shared" si="6"/>
        <v>0</v>
      </c>
      <c r="F187" s="29">
        <f t="shared" si="7"/>
        <v>1.2999999999999901E-2</v>
      </c>
      <c r="G187" s="29">
        <f t="shared" si="8"/>
        <v>1.2999999999999901E-2</v>
      </c>
    </row>
    <row r="188" spans="1:7" x14ac:dyDescent="0.2">
      <c r="A188" s="24">
        <v>83.543750000000003</v>
      </c>
      <c r="B188" s="28" t="s">
        <v>234</v>
      </c>
      <c r="C188" s="25">
        <v>1.966</v>
      </c>
      <c r="D188" s="25">
        <v>1.966</v>
      </c>
      <c r="E188" s="26">
        <f t="shared" si="6"/>
        <v>0</v>
      </c>
      <c r="F188" s="29">
        <f t="shared" si="7"/>
        <v>2.9333000000000053E-2</v>
      </c>
      <c r="G188" s="29">
        <f t="shared" si="8"/>
        <v>2.9333000000000053E-2</v>
      </c>
    </row>
    <row r="189" spans="1:7" x14ac:dyDescent="0.2">
      <c r="A189" s="24">
        <v>83.544444444444437</v>
      </c>
      <c r="B189" s="28" t="s">
        <v>235</v>
      </c>
      <c r="C189" s="25">
        <v>1.9843329999999999</v>
      </c>
      <c r="D189" s="25">
        <v>1.9843329999999999</v>
      </c>
      <c r="E189" s="26">
        <f t="shared" si="6"/>
        <v>0</v>
      </c>
      <c r="F189" s="29">
        <f>C189-C188</f>
        <v>1.8332999999999933E-2</v>
      </c>
      <c r="G189" s="29">
        <f>D189-D188</f>
        <v>1.8332999999999933E-2</v>
      </c>
    </row>
    <row r="190" spans="1:7" x14ac:dyDescent="0.2">
      <c r="A190" s="24">
        <v>83.584027777777777</v>
      </c>
      <c r="B190" s="28" t="s">
        <v>236</v>
      </c>
      <c r="C190" s="25">
        <v>1.994667</v>
      </c>
      <c r="D190" s="25">
        <v>1.994667</v>
      </c>
      <c r="E190" s="26">
        <f t="shared" si="6"/>
        <v>0</v>
      </c>
      <c r="F190" s="29">
        <f t="shared" si="7"/>
        <v>1.0334000000000065E-2</v>
      </c>
      <c r="G190" s="29">
        <f t="shared" si="8"/>
        <v>1.0334000000000065E-2</v>
      </c>
    </row>
    <row r="191" spans="1:7" x14ac:dyDescent="0.2">
      <c r="A191" s="24">
        <v>83.584722222222226</v>
      </c>
      <c r="B191" s="28" t="s">
        <v>237</v>
      </c>
      <c r="C191" s="25">
        <v>2.012667</v>
      </c>
      <c r="D191" s="25">
        <v>2.012667</v>
      </c>
      <c r="E191" s="26">
        <f t="shared" si="6"/>
        <v>0</v>
      </c>
      <c r="F191" s="29">
        <f t="shared" si="7"/>
        <v>1.8000000000000016E-2</v>
      </c>
      <c r="G191" s="29">
        <f t="shared" si="8"/>
        <v>1.8000000000000016E-2</v>
      </c>
    </row>
    <row r="192" spans="1:7" x14ac:dyDescent="0.2">
      <c r="A192" s="24">
        <v>83.58541666666666</v>
      </c>
      <c r="B192" s="28" t="s">
        <v>238</v>
      </c>
      <c r="C192" s="25">
        <v>2.0316670000000001</v>
      </c>
      <c r="D192" s="25">
        <v>2.0316670000000001</v>
      </c>
      <c r="E192" s="26">
        <f t="shared" si="6"/>
        <v>0</v>
      </c>
      <c r="F192" s="29">
        <f t="shared" si="7"/>
        <v>1.9000000000000128E-2</v>
      </c>
      <c r="G192" s="29">
        <f t="shared" si="8"/>
        <v>1.9000000000000128E-2</v>
      </c>
    </row>
    <row r="193" spans="1:9" x14ac:dyDescent="0.2">
      <c r="A193" s="24">
        <v>83.586111111111109</v>
      </c>
      <c r="B193" s="28" t="s">
        <v>239</v>
      </c>
      <c r="C193" s="25">
        <v>2.023333</v>
      </c>
      <c r="D193" s="25">
        <v>2.023333</v>
      </c>
      <c r="E193" s="26">
        <f t="shared" si="6"/>
        <v>0</v>
      </c>
      <c r="F193" s="29">
        <f t="shared" si="7"/>
        <v>-8.3340000000000636E-3</v>
      </c>
      <c r="G193" s="29">
        <f t="shared" si="8"/>
        <v>-8.3340000000000636E-3</v>
      </c>
    </row>
    <row r="194" spans="1:9" x14ac:dyDescent="0.2">
      <c r="A194" s="24">
        <v>83.625694444444449</v>
      </c>
      <c r="B194" s="28" t="s">
        <v>240</v>
      </c>
      <c r="C194" s="25">
        <v>2.0431699999999999</v>
      </c>
      <c r="D194" s="25">
        <v>2.0428799999999998</v>
      </c>
      <c r="E194" s="26">
        <f t="shared" si="6"/>
        <v>2.9000000000012349E-4</v>
      </c>
      <c r="F194" s="29">
        <f t="shared" si="7"/>
        <v>1.9836999999999883E-2</v>
      </c>
      <c r="G194" s="29">
        <f t="shared" si="8"/>
        <v>1.9546999999999759E-2</v>
      </c>
    </row>
    <row r="195" spans="1:9" x14ac:dyDescent="0.2">
      <c r="A195" s="24">
        <v>83.626388888888883</v>
      </c>
      <c r="B195" s="28" t="s">
        <v>241</v>
      </c>
      <c r="C195" s="25">
        <v>2.0663100000000001</v>
      </c>
      <c r="D195" s="25">
        <v>2.0666169999999999</v>
      </c>
      <c r="E195" s="26">
        <f t="shared" ref="E195:E241" si="9">C195-D195</f>
        <v>-3.0699999999983518E-4</v>
      </c>
      <c r="F195" s="29">
        <f t="shared" si="7"/>
        <v>2.314000000000016E-2</v>
      </c>
      <c r="G195" s="29">
        <f t="shared" si="8"/>
        <v>2.3737000000000119E-2</v>
      </c>
    </row>
    <row r="196" spans="1:9" x14ac:dyDescent="0.2">
      <c r="A196" s="24">
        <v>83.627083333333331</v>
      </c>
      <c r="B196" s="28" t="s">
        <v>242</v>
      </c>
      <c r="C196" s="25">
        <v>2.0793900000000001</v>
      </c>
      <c r="D196" s="25">
        <v>2.0793699999999999</v>
      </c>
      <c r="E196" s="26">
        <f t="shared" si="9"/>
        <v>2.0000000000131024E-5</v>
      </c>
      <c r="F196" s="29">
        <f t="shared" ref="F196:F241" si="10">C196-C195</f>
        <v>1.3079999999999981E-2</v>
      </c>
      <c r="G196" s="29">
        <f t="shared" ref="G196:G241" si="11">D196-D195</f>
        <v>1.2753000000000014E-2</v>
      </c>
    </row>
    <row r="197" spans="1:9" x14ac:dyDescent="0.2">
      <c r="A197" s="24">
        <v>83.62777777777778</v>
      </c>
      <c r="B197" s="28" t="s">
        <v>243</v>
      </c>
      <c r="C197" s="25">
        <v>2.1048969999999998</v>
      </c>
      <c r="D197" s="25">
        <v>2.1046070000000001</v>
      </c>
      <c r="E197" s="26">
        <f t="shared" si="9"/>
        <v>2.899999999996794E-4</v>
      </c>
      <c r="F197" s="29">
        <f t="shared" si="10"/>
        <v>2.5506999999999724E-2</v>
      </c>
      <c r="G197" s="29">
        <f t="shared" si="11"/>
        <v>2.5237000000000176E-2</v>
      </c>
    </row>
    <row r="198" spans="1:9" x14ac:dyDescent="0.2">
      <c r="A198" s="24">
        <v>83.667361111111106</v>
      </c>
      <c r="B198" s="28" t="s">
        <v>244</v>
      </c>
      <c r="C198" s="25">
        <v>2.1275430000000002</v>
      </c>
      <c r="D198" s="25">
        <v>2.1277599999999999</v>
      </c>
      <c r="E198" s="26">
        <f t="shared" si="9"/>
        <v>-2.1699999999968966E-4</v>
      </c>
      <c r="F198" s="29">
        <f t="shared" si="10"/>
        <v>2.2646000000000388E-2</v>
      </c>
      <c r="G198" s="29">
        <f t="shared" si="11"/>
        <v>2.3152999999999757E-2</v>
      </c>
    </row>
    <row r="199" spans="1:9" x14ac:dyDescent="0.2">
      <c r="A199" s="24">
        <v>83.668055555555554</v>
      </c>
      <c r="B199" s="28" t="s">
        <v>245</v>
      </c>
      <c r="C199" s="25">
        <v>2.1554899999999999</v>
      </c>
      <c r="D199" s="25">
        <v>2.1555230000000001</v>
      </c>
      <c r="E199" s="26">
        <f t="shared" si="9"/>
        <v>-3.3000000000171781E-5</v>
      </c>
      <c r="F199" s="29">
        <f t="shared" si="10"/>
        <v>2.7946999999999722E-2</v>
      </c>
      <c r="G199" s="29">
        <f t="shared" si="11"/>
        <v>2.7763000000000204E-2</v>
      </c>
      <c r="H199" s="29">
        <f>(SUM(C196:C199))/4</f>
        <v>2.1168299999999998</v>
      </c>
      <c r="I199" s="29">
        <f>(SUM(D196:D199))/4</f>
        <v>2.1168150000000003</v>
      </c>
    </row>
    <row r="200" spans="1:9" x14ac:dyDescent="0.2">
      <c r="A200" s="24">
        <v>83.668750000000003</v>
      </c>
      <c r="B200" s="28" t="s">
        <v>246</v>
      </c>
      <c r="C200" s="25">
        <v>2.1890369999999999</v>
      </c>
      <c r="D200" s="25">
        <v>2.1892170000000002</v>
      </c>
      <c r="E200" s="26">
        <f t="shared" si="9"/>
        <v>-1.8000000000029104E-4</v>
      </c>
      <c r="F200" s="29">
        <f t="shared" si="10"/>
        <v>3.3546999999999993E-2</v>
      </c>
      <c r="G200" s="29">
        <f t="shared" si="11"/>
        <v>3.3694000000000113E-2</v>
      </c>
    </row>
    <row r="201" spans="1:9" x14ac:dyDescent="0.2">
      <c r="A201" s="24">
        <v>83.669444444444437</v>
      </c>
      <c r="B201" s="28" t="s">
        <v>247</v>
      </c>
      <c r="C201" s="25">
        <v>2.138137</v>
      </c>
      <c r="D201" s="25">
        <v>2.1375299999999999</v>
      </c>
      <c r="E201" s="26">
        <f t="shared" si="9"/>
        <v>6.0700000000002419E-4</v>
      </c>
      <c r="F201" s="29">
        <f t="shared" si="10"/>
        <v>-5.0899999999999945E-2</v>
      </c>
      <c r="G201" s="29">
        <f t="shared" si="11"/>
        <v>-5.1687000000000261E-2</v>
      </c>
    </row>
    <row r="202" spans="1:9" x14ac:dyDescent="0.2">
      <c r="A202" s="24">
        <v>83.709027777777777</v>
      </c>
      <c r="B202" s="28" t="s">
        <v>248</v>
      </c>
      <c r="C202" s="25">
        <v>2.1244869999999998</v>
      </c>
      <c r="D202" s="25">
        <v>2.1245129999999999</v>
      </c>
      <c r="E202" s="26">
        <f t="shared" si="9"/>
        <v>-2.6000000000081513E-5</v>
      </c>
      <c r="F202" s="29">
        <f t="shared" si="10"/>
        <v>-1.3650000000000162E-2</v>
      </c>
      <c r="G202" s="29">
        <f t="shared" si="11"/>
        <v>-1.3017000000000056E-2</v>
      </c>
    </row>
    <row r="203" spans="1:9" x14ac:dyDescent="0.2">
      <c r="A203" s="24">
        <v>83.709722222222226</v>
      </c>
      <c r="B203" s="28" t="s">
        <v>249</v>
      </c>
      <c r="C203" s="25">
        <v>2.1347529999999999</v>
      </c>
      <c r="D203" s="25">
        <v>2.1346799999999999</v>
      </c>
      <c r="E203" s="26">
        <f t="shared" si="9"/>
        <v>7.299999999998974E-5</v>
      </c>
      <c r="F203" s="29">
        <f>C203-C202</f>
        <v>1.0266000000000108E-2</v>
      </c>
      <c r="G203" s="29">
        <f>D203-D202</f>
        <v>1.0167000000000037E-2</v>
      </c>
      <c r="H203" s="29">
        <f>(SUM(C200:C203))/4</f>
        <v>2.1466034999999999</v>
      </c>
      <c r="I203" s="29">
        <f>(SUM(D200:D203))/4</f>
        <v>2.1464849999999998</v>
      </c>
    </row>
    <row r="204" spans="1:9" x14ac:dyDescent="0.2">
      <c r="A204" s="24">
        <v>83.71041666666666</v>
      </c>
      <c r="B204" s="28" t="s">
        <v>250</v>
      </c>
      <c r="C204" s="25">
        <v>2.1536270000000002</v>
      </c>
      <c r="D204" s="25">
        <v>2.1541899999999998</v>
      </c>
      <c r="E204" s="26">
        <f t="shared" si="9"/>
        <v>-5.6299999999964712E-4</v>
      </c>
      <c r="F204" s="29">
        <f t="shared" si="10"/>
        <v>1.8874000000000279E-2</v>
      </c>
      <c r="G204" s="29">
        <f t="shared" si="11"/>
        <v>1.9509999999999916E-2</v>
      </c>
    </row>
    <row r="205" spans="1:9" x14ac:dyDescent="0.2">
      <c r="A205" s="24">
        <v>83.711111111111109</v>
      </c>
      <c r="B205" s="28" t="s">
        <v>251</v>
      </c>
      <c r="C205" s="25">
        <v>2.1697299999999999</v>
      </c>
      <c r="D205" s="25">
        <v>2.1685300000000001</v>
      </c>
      <c r="E205" s="26">
        <f t="shared" si="9"/>
        <v>1.1999999999998678E-3</v>
      </c>
      <c r="F205" s="29">
        <f t="shared" si="10"/>
        <v>1.6102999999999756E-2</v>
      </c>
      <c r="G205" s="29">
        <f t="shared" si="11"/>
        <v>1.4340000000000241E-2</v>
      </c>
    </row>
    <row r="206" spans="1:9" x14ac:dyDescent="0.2">
      <c r="A206" s="24">
        <v>83.750694444444449</v>
      </c>
      <c r="B206" s="28" t="s">
        <v>252</v>
      </c>
      <c r="C206" s="25">
        <v>2.174353</v>
      </c>
      <c r="D206" s="25">
        <v>2.1754370000000001</v>
      </c>
      <c r="E206" s="26">
        <f t="shared" si="9"/>
        <v>-1.0840000000000849E-3</v>
      </c>
      <c r="F206" s="29">
        <f>C206-C205</f>
        <v>4.6230000000000437E-3</v>
      </c>
      <c r="G206" s="29">
        <f t="shared" si="11"/>
        <v>6.9069999999999965E-3</v>
      </c>
    </row>
    <row r="207" spans="1:9" x14ac:dyDescent="0.2">
      <c r="A207" s="24">
        <v>83.751388888888883</v>
      </c>
      <c r="B207" s="28" t="s">
        <v>253</v>
      </c>
      <c r="C207" s="25">
        <v>2.1725370000000002</v>
      </c>
      <c r="D207" s="25">
        <v>2.1726999999999999</v>
      </c>
      <c r="E207" s="26">
        <f t="shared" si="9"/>
        <v>-1.6299999999969117E-4</v>
      </c>
      <c r="F207" s="29">
        <f t="shared" si="10"/>
        <v>-1.8159999999998178E-3</v>
      </c>
      <c r="G207" s="29">
        <f t="shared" si="11"/>
        <v>-2.7370000000002115E-3</v>
      </c>
      <c r="H207" s="29">
        <f>(SUM(C204:C207))/4</f>
        <v>2.16756175</v>
      </c>
      <c r="I207" s="29">
        <f>(SUM(D204:D207))/4</f>
        <v>2.1677142500000004</v>
      </c>
    </row>
    <row r="208" spans="1:9" x14ac:dyDescent="0.2">
      <c r="A208" s="24">
        <v>83.752083333333331</v>
      </c>
      <c r="B208" s="28" t="s">
        <v>254</v>
      </c>
      <c r="C208" s="25">
        <v>2.18025</v>
      </c>
      <c r="D208" s="25">
        <v>2.1803870000000001</v>
      </c>
      <c r="E208" s="26">
        <f t="shared" si="9"/>
        <v>-1.3700000000005375E-4</v>
      </c>
      <c r="F208" s="29">
        <f t="shared" si="10"/>
        <v>7.7129999999998589E-3</v>
      </c>
      <c r="G208" s="29">
        <f t="shared" si="11"/>
        <v>7.6870000000002214E-3</v>
      </c>
    </row>
    <row r="209" spans="1:9" x14ac:dyDescent="0.2">
      <c r="A209" s="24">
        <v>83.75277777777778</v>
      </c>
      <c r="B209" s="28" t="s">
        <v>255</v>
      </c>
      <c r="C209" s="25">
        <v>2.19625</v>
      </c>
      <c r="D209" s="25">
        <v>2.1946530000000002</v>
      </c>
      <c r="E209" s="26">
        <f t="shared" si="9"/>
        <v>1.5969999999998485E-3</v>
      </c>
      <c r="F209" s="29">
        <f t="shared" si="10"/>
        <v>1.6000000000000014E-2</v>
      </c>
      <c r="G209" s="29">
        <f t="shared" si="11"/>
        <v>1.4266000000000112E-2</v>
      </c>
    </row>
    <row r="210" spans="1:9" x14ac:dyDescent="0.2">
      <c r="A210" s="24">
        <v>83.792361111111106</v>
      </c>
      <c r="B210" s="28" t="s">
        <v>256</v>
      </c>
      <c r="C210" s="25">
        <v>2.22079</v>
      </c>
      <c r="D210" s="25">
        <v>2.2227399999999999</v>
      </c>
      <c r="E210" s="26">
        <f t="shared" si="9"/>
        <v>-1.9499999999998963E-3</v>
      </c>
      <c r="F210" s="29">
        <f t="shared" si="10"/>
        <v>2.4540000000000006E-2</v>
      </c>
      <c r="G210" s="29">
        <f t="shared" si="11"/>
        <v>2.8086999999999751E-2</v>
      </c>
    </row>
    <row r="211" spans="1:9" x14ac:dyDescent="0.2">
      <c r="A211" s="24">
        <v>83.793055555555554</v>
      </c>
      <c r="B211" s="28" t="s">
        <v>257</v>
      </c>
      <c r="C211" s="25">
        <v>2.2450030000000001</v>
      </c>
      <c r="D211" s="25">
        <v>2.2451370000000002</v>
      </c>
      <c r="E211" s="26">
        <f t="shared" si="9"/>
        <v>-1.340000000000785E-4</v>
      </c>
      <c r="F211" s="29">
        <f t="shared" si="10"/>
        <v>2.421300000000004E-2</v>
      </c>
      <c r="G211" s="29">
        <f t="shared" si="11"/>
        <v>2.2397000000000222E-2</v>
      </c>
      <c r="H211" s="29">
        <f>(SUM(C208:C211))/4</f>
        <v>2.2105732499999999</v>
      </c>
      <c r="I211" s="29">
        <f>(SUM(D208:D211))/4</f>
        <v>2.21072925</v>
      </c>
    </row>
    <row r="212" spans="1:9" x14ac:dyDescent="0.2">
      <c r="A212" s="24">
        <v>83.793750000000003</v>
      </c>
      <c r="B212" s="28" t="s">
        <v>258</v>
      </c>
      <c r="C212" s="25">
        <v>2.2621699999999998</v>
      </c>
      <c r="D212" s="25">
        <v>2.2621600000000002</v>
      </c>
      <c r="E212" s="26">
        <f t="shared" si="9"/>
        <v>9.9999999996214228E-6</v>
      </c>
      <c r="F212" s="29">
        <f t="shared" si="10"/>
        <v>1.716699999999971E-2</v>
      </c>
      <c r="G212" s="29">
        <f t="shared" si="11"/>
        <v>1.702300000000001E-2</v>
      </c>
    </row>
    <row r="213" spans="1:9" x14ac:dyDescent="0.2">
      <c r="A213" s="24">
        <v>83.794444444444437</v>
      </c>
      <c r="B213" s="28" t="s">
        <v>259</v>
      </c>
      <c r="C213" s="25">
        <v>2.2695029999999998</v>
      </c>
      <c r="D213" s="25">
        <v>2.267652</v>
      </c>
      <c r="E213" s="26">
        <f t="shared" si="9"/>
        <v>1.850999999999825E-3</v>
      </c>
      <c r="F213" s="29">
        <f>C213-C212</f>
        <v>7.3330000000000339E-3</v>
      </c>
      <c r="G213" s="29">
        <f>D213-D212</f>
        <v>5.4919999999998304E-3</v>
      </c>
    </row>
    <row r="214" spans="1:9" x14ac:dyDescent="0.2">
      <c r="A214" s="24">
        <v>83.834027777777777</v>
      </c>
      <c r="B214" s="28" t="s">
        <v>260</v>
      </c>
      <c r="C214" s="25">
        <v>2.2834530000000002</v>
      </c>
      <c r="D214" s="25">
        <v>2.2728709999999999</v>
      </c>
      <c r="E214" s="26">
        <f t="shared" si="9"/>
        <v>1.0582000000000313E-2</v>
      </c>
      <c r="F214" s="29">
        <f t="shared" si="10"/>
        <v>1.3950000000000351E-2</v>
      </c>
      <c r="G214" s="29">
        <f t="shared" si="11"/>
        <v>5.2189999999998626E-3</v>
      </c>
    </row>
    <row r="215" spans="1:9" x14ac:dyDescent="0.2">
      <c r="A215" s="24">
        <v>83.834722222222226</v>
      </c>
      <c r="B215" s="28" t="s">
        <v>261</v>
      </c>
      <c r="C215" s="25">
        <v>2.2866970000000002</v>
      </c>
      <c r="D215" s="25">
        <v>2.2750180000000002</v>
      </c>
      <c r="E215" s="26">
        <f t="shared" si="9"/>
        <v>1.1678999999999995E-2</v>
      </c>
      <c r="F215" s="29">
        <f t="shared" si="10"/>
        <v>3.2440000000000246E-3</v>
      </c>
      <c r="G215" s="29">
        <f t="shared" si="11"/>
        <v>2.1470000000003431E-3</v>
      </c>
    </row>
    <row r="216" spans="1:9" x14ac:dyDescent="0.2">
      <c r="A216" s="24">
        <v>83.83541666666666</v>
      </c>
      <c r="B216" s="28" t="s">
        <v>262</v>
      </c>
      <c r="C216" s="25">
        <v>2.2854109999999999</v>
      </c>
      <c r="D216" s="25">
        <v>2.28782</v>
      </c>
      <c r="E216" s="26">
        <f t="shared" si="9"/>
        <v>-2.4090000000001055E-3</v>
      </c>
      <c r="F216" s="29">
        <f t="shared" si="10"/>
        <v>-1.2860000000003424E-3</v>
      </c>
      <c r="G216" s="29">
        <f t="shared" si="11"/>
        <v>1.2801999999999758E-2</v>
      </c>
    </row>
    <row r="217" spans="1:9" x14ac:dyDescent="0.2">
      <c r="A217" s="24">
        <v>83.836111111111109</v>
      </c>
      <c r="B217" s="28" t="s">
        <v>263</v>
      </c>
      <c r="C217" s="25">
        <v>2.2932160000000001</v>
      </c>
      <c r="D217" s="25">
        <v>2.2960790000000002</v>
      </c>
      <c r="E217" s="26">
        <f t="shared" si="9"/>
        <v>-2.8630000000000599E-3</v>
      </c>
      <c r="F217" s="29">
        <f t="shared" si="10"/>
        <v>7.8050000000002839E-3</v>
      </c>
      <c r="G217" s="29">
        <f t="shared" si="11"/>
        <v>8.2590000000002384E-3</v>
      </c>
    </row>
    <row r="218" spans="1:9" x14ac:dyDescent="0.2">
      <c r="A218" s="24">
        <v>83.875694444444449</v>
      </c>
      <c r="B218" s="28" t="s">
        <v>264</v>
      </c>
      <c r="C218" s="25">
        <v>2.301574</v>
      </c>
      <c r="D218" s="25">
        <v>2.3067129999999998</v>
      </c>
      <c r="E218" s="26">
        <f t="shared" si="9"/>
        <v>-5.1389999999997826E-3</v>
      </c>
      <c r="F218" s="29">
        <f t="shared" si="10"/>
        <v>8.3579999999998655E-3</v>
      </c>
      <c r="G218" s="29">
        <f t="shared" si="11"/>
        <v>1.0633999999999588E-2</v>
      </c>
    </row>
    <row r="219" spans="1:9" x14ac:dyDescent="0.2">
      <c r="A219" s="24">
        <v>83.876388888888883</v>
      </c>
      <c r="B219" s="28" t="s">
        <v>265</v>
      </c>
      <c r="C219" s="25">
        <v>2.3083320000000001</v>
      </c>
      <c r="D219" s="25">
        <v>2.3186529999999999</v>
      </c>
      <c r="E219" s="26">
        <f t="shared" si="9"/>
        <v>-1.0320999999999803E-2</v>
      </c>
      <c r="F219" s="29">
        <f t="shared" si="10"/>
        <v>6.7580000000000418E-3</v>
      </c>
      <c r="G219" s="29">
        <f t="shared" si="11"/>
        <v>1.1940000000000062E-2</v>
      </c>
    </row>
    <row r="220" spans="1:9" x14ac:dyDescent="0.2">
      <c r="A220" s="24">
        <v>83.877083333333331</v>
      </c>
      <c r="B220" s="28" t="s">
        <v>266</v>
      </c>
      <c r="C220" s="25">
        <v>2.3217530000000002</v>
      </c>
      <c r="D220" s="25">
        <v>2.3308010000000001</v>
      </c>
      <c r="E220" s="26">
        <f t="shared" si="9"/>
        <v>-9.047999999999945E-3</v>
      </c>
      <c r="F220" s="29">
        <f t="shared" si="10"/>
        <v>1.3421000000000127E-2</v>
      </c>
      <c r="G220" s="29">
        <f t="shared" si="11"/>
        <v>1.214800000000027E-2</v>
      </c>
    </row>
    <row r="221" spans="1:9" x14ac:dyDescent="0.2">
      <c r="A221" s="24">
        <v>83.87777777777778</v>
      </c>
      <c r="B221" s="28" t="s">
        <v>267</v>
      </c>
      <c r="C221" s="25">
        <v>2.3353280000000001</v>
      </c>
      <c r="D221" s="25">
        <v>2.3425389999999999</v>
      </c>
      <c r="E221" s="26">
        <f t="shared" si="9"/>
        <v>-7.2109999999998564E-3</v>
      </c>
      <c r="F221" s="29">
        <f t="shared" si="10"/>
        <v>1.3574999999999893E-2</v>
      </c>
      <c r="G221" s="29">
        <f t="shared" si="11"/>
        <v>1.1737999999999804E-2</v>
      </c>
    </row>
    <row r="222" spans="1:9" x14ac:dyDescent="0.2">
      <c r="A222" s="24">
        <v>83.917361111111106</v>
      </c>
      <c r="B222" s="28" t="s">
        <v>268</v>
      </c>
      <c r="C222" s="25">
        <v>2.3508659999999999</v>
      </c>
      <c r="D222" s="25">
        <v>2.3534549999999999</v>
      </c>
      <c r="E222" s="26">
        <f t="shared" si="9"/>
        <v>-2.5889999999999525E-3</v>
      </c>
      <c r="F222" s="29">
        <f t="shared" si="10"/>
        <v>1.553799999999983E-2</v>
      </c>
      <c r="G222" s="29">
        <f t="shared" si="11"/>
        <v>1.0915999999999926E-2</v>
      </c>
    </row>
    <row r="223" spans="1:9" x14ac:dyDescent="0.2">
      <c r="A223" s="24">
        <v>83.918055555555554</v>
      </c>
      <c r="B223" s="28" t="s">
        <v>269</v>
      </c>
      <c r="C223" s="25">
        <v>2.3665060000000002</v>
      </c>
      <c r="D223" s="25">
        <v>2.3654860000000002</v>
      </c>
      <c r="E223" s="26">
        <f t="shared" si="9"/>
        <v>1.0200000000000209E-3</v>
      </c>
      <c r="F223" s="29">
        <f t="shared" si="10"/>
        <v>1.564000000000032E-2</v>
      </c>
      <c r="G223" s="29">
        <f t="shared" si="11"/>
        <v>1.2031000000000347E-2</v>
      </c>
    </row>
    <row r="224" spans="1:9" x14ac:dyDescent="0.2">
      <c r="A224" s="24">
        <v>83.918750000000003</v>
      </c>
      <c r="B224" s="28" t="s">
        <v>270</v>
      </c>
      <c r="C224" s="25">
        <v>2.380039</v>
      </c>
      <c r="D224" s="25">
        <v>2.3773629999999999</v>
      </c>
      <c r="E224" s="26">
        <f t="shared" si="9"/>
        <v>2.6760000000001227E-3</v>
      </c>
      <c r="F224" s="29">
        <f t="shared" si="10"/>
        <v>1.3532999999999795E-2</v>
      </c>
      <c r="G224" s="29">
        <f t="shared" si="11"/>
        <v>1.1876999999999693E-2</v>
      </c>
    </row>
    <row r="225" spans="1:7" x14ac:dyDescent="0.2">
      <c r="A225" s="24">
        <v>83.919444444444437</v>
      </c>
      <c r="B225" s="28" t="s">
        <v>271</v>
      </c>
      <c r="C225" s="25">
        <v>2.3906000000000001</v>
      </c>
      <c r="D225" s="25">
        <v>2.3896999999999999</v>
      </c>
      <c r="E225" s="26">
        <f t="shared" si="9"/>
        <v>9.0000000000012292E-4</v>
      </c>
      <c r="F225" s="29">
        <f t="shared" si="10"/>
        <v>1.0561000000000043E-2</v>
      </c>
      <c r="G225" s="29">
        <f t="shared" si="11"/>
        <v>1.2337000000000042E-2</v>
      </c>
    </row>
    <row r="226" spans="1:7" x14ac:dyDescent="0.2">
      <c r="A226" s="24">
        <v>83.959027777777777</v>
      </c>
      <c r="B226" s="28" t="s">
        <v>272</v>
      </c>
      <c r="C226" s="25">
        <v>2.402466</v>
      </c>
      <c r="D226" s="25">
        <v>2.4022000000000001</v>
      </c>
      <c r="E226" s="26">
        <f t="shared" si="9"/>
        <v>2.6599999999987745E-4</v>
      </c>
      <c r="F226" s="29">
        <f t="shared" si="10"/>
        <v>1.1865999999999932E-2</v>
      </c>
      <c r="G226" s="29">
        <f t="shared" si="11"/>
        <v>1.2500000000000178E-2</v>
      </c>
    </row>
    <row r="227" spans="1:7" x14ac:dyDescent="0.2">
      <c r="A227" s="24">
        <v>83.959722222222226</v>
      </c>
      <c r="B227" s="28" t="s">
        <v>273</v>
      </c>
      <c r="C227" s="25">
        <v>2.414209</v>
      </c>
      <c r="D227" s="25">
        <v>2.4134280000000001</v>
      </c>
      <c r="E227" s="26">
        <f t="shared" si="9"/>
        <v>7.8099999999992065E-4</v>
      </c>
      <c r="F227" s="29">
        <f t="shared" si="10"/>
        <v>1.1743000000000059E-2</v>
      </c>
      <c r="G227" s="29">
        <f t="shared" si="11"/>
        <v>1.1228000000000016E-2</v>
      </c>
    </row>
    <row r="228" spans="1:7" x14ac:dyDescent="0.2">
      <c r="A228" s="24">
        <v>83.96041666666666</v>
      </c>
      <c r="B228" s="28" t="s">
        <v>274</v>
      </c>
      <c r="C228" s="25">
        <v>2.4258510000000002</v>
      </c>
      <c r="D228" s="25">
        <v>2.4248460000000001</v>
      </c>
      <c r="E228" s="26">
        <f t="shared" si="9"/>
        <v>1.0050000000001447E-3</v>
      </c>
      <c r="F228" s="29">
        <f t="shared" si="10"/>
        <v>1.1642000000000152E-2</v>
      </c>
      <c r="G228" s="29">
        <f t="shared" si="11"/>
        <v>1.1417999999999928E-2</v>
      </c>
    </row>
    <row r="229" spans="1:7" x14ac:dyDescent="0.2">
      <c r="A229" s="24">
        <v>83.961111111111109</v>
      </c>
      <c r="B229" s="28" t="s">
        <v>275</v>
      </c>
      <c r="C229" s="25">
        <v>2.4370729999999998</v>
      </c>
      <c r="D229" s="25">
        <v>2.4362750000000002</v>
      </c>
      <c r="E229" s="26">
        <f t="shared" si="9"/>
        <v>7.9799999999963234E-4</v>
      </c>
      <c r="F229" s="29">
        <f t="shared" si="10"/>
        <v>1.1221999999999621E-2</v>
      </c>
      <c r="G229" s="29">
        <f t="shared" si="11"/>
        <v>1.1429000000000133E-2</v>
      </c>
    </row>
    <row r="230" spans="1:7" x14ac:dyDescent="0.2">
      <c r="A230" s="24">
        <v>84.000694444444449</v>
      </c>
      <c r="B230" s="28" t="s">
        <v>276</v>
      </c>
      <c r="C230" s="25">
        <v>2.4477690000000001</v>
      </c>
      <c r="D230" s="25">
        <v>2.447864</v>
      </c>
      <c r="E230" s="26">
        <f t="shared" si="9"/>
        <v>-9.4999999999956231E-5</v>
      </c>
      <c r="F230" s="29">
        <f t="shared" si="10"/>
        <v>1.0696000000000261E-2</v>
      </c>
      <c r="G230" s="29">
        <f t="shared" si="11"/>
        <v>1.1588999999999849E-2</v>
      </c>
    </row>
    <row r="231" spans="1:7" x14ac:dyDescent="0.2">
      <c r="A231" s="24">
        <v>84.001388888888883</v>
      </c>
      <c r="B231" s="28" t="s">
        <v>277</v>
      </c>
      <c r="C231" s="25">
        <v>2.4581140000000001</v>
      </c>
      <c r="D231" s="25">
        <v>2.459387</v>
      </c>
      <c r="E231" s="26">
        <f t="shared" si="9"/>
        <v>-1.2729999999998576E-3</v>
      </c>
      <c r="F231" s="29">
        <f t="shared" si="10"/>
        <v>1.0345000000000049E-2</v>
      </c>
      <c r="G231" s="29">
        <f>D231-D230</f>
        <v>1.152299999999995E-2</v>
      </c>
    </row>
    <row r="232" spans="1:7" x14ac:dyDescent="0.2">
      <c r="A232" s="24">
        <v>84.002083333333331</v>
      </c>
      <c r="B232" s="28" t="s">
        <v>278</v>
      </c>
      <c r="C232" s="25">
        <v>2.4680580000000001</v>
      </c>
      <c r="D232" s="25">
        <v>2.471012</v>
      </c>
      <c r="E232" s="26">
        <f t="shared" si="9"/>
        <v>-2.9539999999999011E-3</v>
      </c>
      <c r="F232" s="29">
        <f>C232-C231</f>
        <v>9.9439999999999529E-3</v>
      </c>
      <c r="G232" s="29">
        <f t="shared" si="11"/>
        <v>1.1624999999999996E-2</v>
      </c>
    </row>
    <row r="233" spans="1:7" x14ac:dyDescent="0.2">
      <c r="A233" s="24">
        <v>84.00277777777778</v>
      </c>
      <c r="B233" s="28" t="s">
        <v>279</v>
      </c>
      <c r="C233" s="25">
        <v>2.4778820000000001</v>
      </c>
      <c r="D233" s="25">
        <v>2.4824280000000001</v>
      </c>
      <c r="E233" s="26">
        <f t="shared" si="9"/>
        <v>-4.545999999999939E-3</v>
      </c>
      <c r="F233" s="29">
        <f t="shared" si="10"/>
        <v>9.8240000000000549E-3</v>
      </c>
      <c r="G233" s="29">
        <f t="shared" si="11"/>
        <v>1.1416000000000093E-2</v>
      </c>
    </row>
    <row r="234" spans="1:7" x14ac:dyDescent="0.2">
      <c r="B234" s="27" t="s">
        <v>280</v>
      </c>
      <c r="C234" s="23">
        <v>2.488213</v>
      </c>
      <c r="D234" s="23">
        <v>2.493887</v>
      </c>
      <c r="E234" s="26">
        <f t="shared" si="9"/>
        <v>-5.6739999999999569E-3</v>
      </c>
      <c r="F234" s="29">
        <f t="shared" si="10"/>
        <v>1.0330999999999868E-2</v>
      </c>
      <c r="G234" s="29">
        <f t="shared" si="11"/>
        <v>1.1458999999999886E-2</v>
      </c>
    </row>
    <row r="235" spans="1:7" x14ac:dyDescent="0.2">
      <c r="B235" s="27" t="s">
        <v>281</v>
      </c>
      <c r="C235" s="23">
        <v>2.4980030000000002</v>
      </c>
      <c r="D235" s="23">
        <v>2.5041880000000001</v>
      </c>
      <c r="E235" s="26">
        <f t="shared" si="9"/>
        <v>-6.184999999999885E-3</v>
      </c>
      <c r="F235" s="29">
        <f t="shared" si="10"/>
        <v>9.7900000000001874E-3</v>
      </c>
      <c r="G235" s="29">
        <f t="shared" si="11"/>
        <v>1.0301000000000116E-2</v>
      </c>
    </row>
    <row r="236" spans="1:7" x14ac:dyDescent="0.2">
      <c r="B236" s="27" t="s">
        <v>282</v>
      </c>
      <c r="C236" s="23">
        <v>2.5079660000000001</v>
      </c>
      <c r="D236" s="23">
        <v>2.5144009999999999</v>
      </c>
      <c r="E236" s="26">
        <f t="shared" si="9"/>
        <v>-6.4349999999997465E-3</v>
      </c>
      <c r="F236" s="29">
        <f t="shared" si="10"/>
        <v>9.9629999999999441E-3</v>
      </c>
      <c r="G236" s="29">
        <f t="shared" si="11"/>
        <v>1.0212999999999806E-2</v>
      </c>
    </row>
    <row r="237" spans="1:7" x14ac:dyDescent="0.2">
      <c r="B237" s="27" t="s">
        <v>283</v>
      </c>
      <c r="C237" s="23">
        <v>2.5182639999999998</v>
      </c>
      <c r="D237" s="23">
        <v>2.5240170000000002</v>
      </c>
      <c r="E237" s="26">
        <f t="shared" si="9"/>
        <v>-5.7530000000003412E-3</v>
      </c>
      <c r="F237" s="29">
        <f t="shared" si="10"/>
        <v>1.0297999999999696E-2</v>
      </c>
      <c r="G237" s="29">
        <f t="shared" si="11"/>
        <v>9.616000000000291E-3</v>
      </c>
    </row>
    <row r="238" spans="1:7" x14ac:dyDescent="0.2">
      <c r="B238" s="27" t="s">
        <v>284</v>
      </c>
      <c r="C238" s="23">
        <v>2.530389</v>
      </c>
      <c r="D238" s="23">
        <v>2.536165</v>
      </c>
      <c r="E238" s="26">
        <f t="shared" si="9"/>
        <v>-5.7760000000000034E-3</v>
      </c>
      <c r="F238" s="29">
        <f t="shared" si="10"/>
        <v>1.2125000000000163E-2</v>
      </c>
      <c r="G238" s="29">
        <f t="shared" si="11"/>
        <v>1.2147999999999826E-2</v>
      </c>
    </row>
    <row r="239" spans="1:7" x14ac:dyDescent="0.2">
      <c r="B239" s="27" t="s">
        <v>285</v>
      </c>
      <c r="C239" s="23">
        <v>2.5411519999999999</v>
      </c>
      <c r="D239" s="23">
        <v>2.54793</v>
      </c>
      <c r="E239" s="26">
        <f t="shared" si="9"/>
        <v>-6.7780000000001728E-3</v>
      </c>
      <c r="F239" s="29">
        <f t="shared" si="10"/>
        <v>1.0762999999999856E-2</v>
      </c>
      <c r="G239" s="29">
        <f t="shared" si="11"/>
        <v>1.1765000000000025E-2</v>
      </c>
    </row>
    <row r="240" spans="1:7" x14ac:dyDescent="0.2">
      <c r="B240" s="27" t="s">
        <v>286</v>
      </c>
      <c r="C240" s="23">
        <v>2.5521850000000001</v>
      </c>
      <c r="D240" s="23">
        <v>2.5600559999999999</v>
      </c>
      <c r="E240" s="26">
        <f t="shared" si="9"/>
        <v>-7.8709999999997393E-3</v>
      </c>
      <c r="F240" s="29">
        <f t="shared" si="10"/>
        <v>1.1033000000000293E-2</v>
      </c>
      <c r="G240" s="29">
        <f t="shared" si="11"/>
        <v>1.2125999999999859E-2</v>
      </c>
    </row>
    <row r="241" spans="2:7" x14ac:dyDescent="0.2">
      <c r="B241" s="27" t="s">
        <v>287</v>
      </c>
      <c r="C241" s="23">
        <v>2.5626099999999998</v>
      </c>
      <c r="D241" s="23">
        <v>2.5710709999999999</v>
      </c>
      <c r="E241" s="26">
        <f t="shared" si="9"/>
        <v>-8.4610000000000518E-3</v>
      </c>
      <c r="F241" s="29">
        <f t="shared" si="10"/>
        <v>1.0424999999999685E-2</v>
      </c>
      <c r="G241" s="29">
        <f t="shared" si="11"/>
        <v>1.1014999999999997E-2</v>
      </c>
    </row>
    <row r="242" spans="2:7" x14ac:dyDescent="0.2">
      <c r="B242" s="27" t="s">
        <v>290</v>
      </c>
      <c r="C242" s="23">
        <v>2.5740400000000001</v>
      </c>
      <c r="D242" s="23">
        <v>2.5823800000000001</v>
      </c>
      <c r="E242" s="26">
        <f t="shared" ref="E242:E248" si="12">C242-D242</f>
        <v>-8.3400000000000141E-3</v>
      </c>
      <c r="F242" s="29">
        <f t="shared" ref="F242:G245" si="13">C242-C241</f>
        <v>1.1430000000000273E-2</v>
      </c>
      <c r="G242" s="29">
        <f t="shared" si="13"/>
        <v>1.1309000000000236E-2</v>
      </c>
    </row>
    <row r="243" spans="2:7" x14ac:dyDescent="0.2">
      <c r="B243" s="27" t="s">
        <v>291</v>
      </c>
      <c r="C243" s="23">
        <v>2.584514</v>
      </c>
      <c r="D243" s="23">
        <v>2.592352</v>
      </c>
      <c r="E243" s="26">
        <f t="shared" si="12"/>
        <v>-7.8380000000000116E-3</v>
      </c>
      <c r="F243" s="29">
        <f t="shared" si="13"/>
        <v>1.0473999999999872E-2</v>
      </c>
      <c r="G243" s="29">
        <f t="shared" si="13"/>
        <v>9.9719999999998699E-3</v>
      </c>
    </row>
    <row r="244" spans="2:7" x14ac:dyDescent="0.2">
      <c r="B244" s="27" t="s">
        <v>292</v>
      </c>
      <c r="C244" s="23">
        <v>2.5950310000000001</v>
      </c>
      <c r="D244" s="23">
        <v>2.602468</v>
      </c>
      <c r="E244" s="26">
        <f t="shared" si="12"/>
        <v>-7.4369999999999159E-3</v>
      </c>
      <c r="F244" s="29">
        <f t="shared" si="13"/>
        <v>1.051700000000011E-2</v>
      </c>
      <c r="G244" s="29">
        <f t="shared" si="13"/>
        <v>1.0116000000000014E-2</v>
      </c>
    </row>
    <row r="245" spans="2:7" x14ac:dyDescent="0.2">
      <c r="B245" s="27" t="s">
        <v>293</v>
      </c>
      <c r="C245" s="23">
        <v>2.605791</v>
      </c>
      <c r="D245" s="23">
        <v>2.612422</v>
      </c>
      <c r="E245" s="26">
        <f t="shared" si="12"/>
        <v>-6.6310000000000535E-3</v>
      </c>
      <c r="F245" s="29">
        <f t="shared" si="13"/>
        <v>1.0759999999999881E-2</v>
      </c>
      <c r="G245" s="29">
        <f t="shared" ref="G245:G253" si="14">D245-D244</f>
        <v>9.9540000000000184E-3</v>
      </c>
    </row>
    <row r="246" spans="2:7" x14ac:dyDescent="0.2">
      <c r="B246" s="27" t="s">
        <v>295</v>
      </c>
      <c r="C246" s="23">
        <v>2.617143</v>
      </c>
      <c r="D246" s="23">
        <v>2.6239050000000002</v>
      </c>
      <c r="E246" s="26">
        <f t="shared" si="12"/>
        <v>-6.7620000000001568E-3</v>
      </c>
      <c r="F246" s="29">
        <f t="shared" ref="F246:F253" si="15">C246-C245</f>
        <v>1.1352000000000029E-2</v>
      </c>
      <c r="G246" s="29">
        <f t="shared" si="14"/>
        <v>1.1483000000000132E-2</v>
      </c>
    </row>
    <row r="247" spans="2:7" x14ac:dyDescent="0.2">
      <c r="B247" s="27" t="s">
        <v>296</v>
      </c>
      <c r="C247" s="23">
        <v>2.627373</v>
      </c>
      <c r="D247" s="23">
        <v>2.6348319999999998</v>
      </c>
      <c r="E247" s="26">
        <f t="shared" si="12"/>
        <v>-7.4589999999998824E-3</v>
      </c>
      <c r="F247" s="29">
        <f t="shared" si="15"/>
        <v>1.0229999999999961E-2</v>
      </c>
      <c r="G247" s="29">
        <f t="shared" si="14"/>
        <v>1.0926999999999687E-2</v>
      </c>
    </row>
    <row r="248" spans="2:7" x14ac:dyDescent="0.2">
      <c r="B248" s="27" t="s">
        <v>297</v>
      </c>
      <c r="C248" s="23">
        <v>2.6392920000000002</v>
      </c>
      <c r="D248" s="23">
        <v>2.645912</v>
      </c>
      <c r="E248" s="26">
        <f t="shared" si="12"/>
        <v>-6.6199999999998482E-3</v>
      </c>
      <c r="F248" s="29">
        <f t="shared" si="15"/>
        <v>1.1919000000000235E-2</v>
      </c>
      <c r="G248" s="29">
        <f t="shared" si="14"/>
        <v>1.1080000000000201E-2</v>
      </c>
    </row>
    <row r="249" spans="2:7" x14ac:dyDescent="0.2">
      <c r="B249" s="27" t="s">
        <v>298</v>
      </c>
      <c r="C249" s="23">
        <v>2.6527159999999999</v>
      </c>
      <c r="D249" s="23">
        <v>2.6572399999999998</v>
      </c>
      <c r="E249" s="26">
        <f>C249-D249</f>
        <v>-4.5239999999999725E-3</v>
      </c>
      <c r="F249" s="29">
        <f t="shared" si="15"/>
        <v>1.3423999999999658E-2</v>
      </c>
      <c r="G249" s="29">
        <f t="shared" si="14"/>
        <v>1.1327999999999783E-2</v>
      </c>
    </row>
    <row r="250" spans="2:7" x14ac:dyDescent="0.2">
      <c r="B250" s="27" t="s">
        <v>305</v>
      </c>
      <c r="C250" s="23">
        <v>2.666496</v>
      </c>
      <c r="D250" s="23">
        <v>2.6710150000000001</v>
      </c>
      <c r="E250" s="26">
        <f>C250-D250</f>
        <v>-4.5190000000001618E-3</v>
      </c>
      <c r="F250" s="29">
        <f t="shared" si="15"/>
        <v>1.3780000000000125E-2</v>
      </c>
      <c r="G250" s="29">
        <f t="shared" si="14"/>
        <v>1.3775000000000315E-2</v>
      </c>
    </row>
    <row r="251" spans="2:7" x14ac:dyDescent="0.2">
      <c r="B251" s="27" t="s">
        <v>306</v>
      </c>
      <c r="C251" s="23">
        <v>2.6804030000000001</v>
      </c>
      <c r="D251" s="23">
        <v>2.6859470000000001</v>
      </c>
      <c r="E251" s="26">
        <f>C251-D251</f>
        <v>-5.5439999999999934E-3</v>
      </c>
      <c r="F251" s="29">
        <f t="shared" si="15"/>
        <v>1.3907000000000114E-2</v>
      </c>
      <c r="G251" s="29">
        <f t="shared" si="14"/>
        <v>1.4931999999999945E-2</v>
      </c>
    </row>
    <row r="252" spans="2:7" x14ac:dyDescent="0.2">
      <c r="B252" s="27" t="s">
        <v>307</v>
      </c>
      <c r="C252" s="23">
        <v>2.694528</v>
      </c>
      <c r="D252" s="23">
        <v>2.700996</v>
      </c>
      <c r="E252" s="26">
        <f>C252-D252</f>
        <v>-6.4679999999999183E-3</v>
      </c>
      <c r="F252" s="29">
        <f t="shared" si="15"/>
        <v>1.4124999999999943E-2</v>
      </c>
      <c r="G252" s="29">
        <f t="shared" si="14"/>
        <v>1.5048999999999868E-2</v>
      </c>
    </row>
    <row r="253" spans="2:7" x14ac:dyDescent="0.2">
      <c r="B253" s="27" t="s">
        <v>308</v>
      </c>
      <c r="C253" s="23">
        <v>2.7089180000000002</v>
      </c>
      <c r="D253" s="23">
        <v>2.715821</v>
      </c>
      <c r="E253" s="26">
        <f>C253-D253</f>
        <v>-6.9029999999998815E-3</v>
      </c>
      <c r="F253" s="29">
        <f t="shared" si="15"/>
        <v>1.4390000000000125E-2</v>
      </c>
      <c r="G253" s="29">
        <f t="shared" si="14"/>
        <v>1.4825000000000088E-2</v>
      </c>
    </row>
  </sheetData>
  <phoneticPr fontId="5" type="noConversion"/>
  <printOptions gridLines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CPI-based on June12</vt:lpstr>
      <vt:lpstr>CPI-June2012</vt:lpstr>
      <vt:lpstr>'CPI-based on June12'!Print_Area</vt:lpstr>
      <vt:lpstr>Print_Area_MI</vt:lpstr>
      <vt:lpstr>'CPI-June2012'!Print_Titles</vt:lpstr>
    </vt:vector>
  </TitlesOfParts>
  <Company>state of minnesota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dcfl</dc:creator>
  <cp:lastModifiedBy>Kostelecky, Teri</cp:lastModifiedBy>
  <cp:lastPrinted>2012-07-18T16:11:43Z</cp:lastPrinted>
  <dcterms:created xsi:type="dcterms:W3CDTF">2003-04-02T16:07:23Z</dcterms:created>
  <dcterms:modified xsi:type="dcterms:W3CDTF">2012-07-18T19:06:12Z</dcterms:modified>
</cp:coreProperties>
</file>