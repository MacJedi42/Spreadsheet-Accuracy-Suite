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9155" windowHeight="11055"/>
  </bookViews>
  <sheets>
    <sheet name="5 digit Codes" sheetId="1" r:id="rId1"/>
    <sheet name="SQL" sheetId="2" state="hidden" r:id="rId2"/>
  </sheets>
  <definedNames>
    <definedName name="_xlnm._FilterDatabase" localSheetId="0" hidden="1">'5 digit Codes'!$A$1:$G$1688</definedName>
    <definedName name="buru_dump_1" localSheetId="0">'5 digit Codes'!$E$1:$F$1</definedName>
  </definedNames>
  <calcPr calcId="125725"/>
</workbook>
</file>

<file path=xl/calcChain.xml><?xml version="1.0" encoding="utf-8"?>
<calcChain xmlns="http://schemas.openxmlformats.org/spreadsheetml/2006/main">
  <c r="B3" i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307"/>
  <c r="A1308"/>
  <c r="A1309"/>
  <c r="A1310"/>
  <c r="A1311"/>
  <c r="A1312"/>
  <c r="A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457"/>
  <c r="A1458"/>
  <c r="A1459"/>
  <c r="A1460"/>
  <c r="A1461"/>
  <c r="A1462"/>
  <c r="A1463"/>
  <c r="A1464"/>
  <c r="A1465"/>
  <c r="A1466"/>
  <c r="A1467"/>
  <c r="A1468"/>
  <c r="A1469"/>
  <c r="A1470"/>
  <c r="A1471"/>
  <c r="A1472"/>
  <c r="A1473"/>
  <c r="A1474"/>
  <c r="A1475"/>
  <c r="A1476"/>
  <c r="A1477"/>
  <c r="A1478"/>
  <c r="A1479"/>
  <c r="A1480"/>
  <c r="A1481"/>
  <c r="A1482"/>
  <c r="A1483"/>
  <c r="A1484"/>
  <c r="A1485"/>
  <c r="A1486"/>
  <c r="A1487"/>
  <c r="A1488"/>
  <c r="A1489"/>
  <c r="A1490"/>
  <c r="A1491"/>
  <c r="A1492"/>
  <c r="A1493"/>
  <c r="A1494"/>
  <c r="A1495"/>
  <c r="A1496"/>
  <c r="A1497"/>
  <c r="A1498"/>
  <c r="A1499"/>
  <c r="A1500"/>
  <c r="A1501"/>
  <c r="A1502"/>
  <c r="A1503"/>
  <c r="A1504"/>
  <c r="A1505"/>
  <c r="A1506"/>
  <c r="A1507"/>
  <c r="A1508"/>
  <c r="A1509"/>
  <c r="A1510"/>
  <c r="A1511"/>
  <c r="A1512"/>
  <c r="A1513"/>
  <c r="A1514"/>
  <c r="A1515"/>
  <c r="A1516"/>
  <c r="A1517"/>
  <c r="A1518"/>
  <c r="A1519"/>
  <c r="A1520"/>
  <c r="A1521"/>
  <c r="A1522"/>
  <c r="A1523"/>
  <c r="A1524"/>
  <c r="A1525"/>
  <c r="A1526"/>
  <c r="A1527"/>
  <c r="A1528"/>
  <c r="A1529"/>
  <c r="A1530"/>
  <c r="A1531"/>
  <c r="A1532"/>
  <c r="A1533"/>
  <c r="A1534"/>
  <c r="A1535"/>
  <c r="A1536"/>
  <c r="A1537"/>
  <c r="A1538"/>
  <c r="A1539"/>
  <c r="A1540"/>
  <c r="A1541"/>
  <c r="A1542"/>
  <c r="A1543"/>
  <c r="A1544"/>
  <c r="A1545"/>
  <c r="A1546"/>
  <c r="A1547"/>
  <c r="A1548"/>
  <c r="A1549"/>
  <c r="A1550"/>
  <c r="A1551"/>
  <c r="A1552"/>
  <c r="A1553"/>
  <c r="A1554"/>
  <c r="A1555"/>
  <c r="A1556"/>
  <c r="A1557"/>
  <c r="A1558"/>
  <c r="A1559"/>
  <c r="A1560"/>
  <c r="A1561"/>
  <c r="A1562"/>
  <c r="A1563"/>
  <c r="A1564"/>
  <c r="A1565"/>
  <c r="A1566"/>
  <c r="A1567"/>
  <c r="A1568"/>
  <c r="A1569"/>
  <c r="A1570"/>
  <c r="A1571"/>
  <c r="A1572"/>
  <c r="A1573"/>
  <c r="A1574"/>
  <c r="A1575"/>
  <c r="A1576"/>
  <c r="A1577"/>
  <c r="A1578"/>
  <c r="A1579"/>
  <c r="A1580"/>
  <c r="A1581"/>
  <c r="A1582"/>
  <c r="A1583"/>
  <c r="A1584"/>
  <c r="A1585"/>
  <c r="A1586"/>
  <c r="A1587"/>
  <c r="A1588"/>
  <c r="A1589"/>
  <c r="A1590"/>
  <c r="A1591"/>
  <c r="A1592"/>
  <c r="A1593"/>
  <c r="A1594"/>
  <c r="A1595"/>
  <c r="A1596"/>
  <c r="A1597"/>
  <c r="A1598"/>
  <c r="A1599"/>
  <c r="A1600"/>
  <c r="A1601"/>
  <c r="A1602"/>
  <c r="A1603"/>
  <c r="A1604"/>
  <c r="A1605"/>
  <c r="A1606"/>
  <c r="A1607"/>
  <c r="A1608"/>
  <c r="A1609"/>
  <c r="A1610"/>
  <c r="A1611"/>
  <c r="A1612"/>
  <c r="A1613"/>
  <c r="A1614"/>
  <c r="A1615"/>
  <c r="A1616"/>
  <c r="A1617"/>
  <c r="A1618"/>
  <c r="A1619"/>
  <c r="A1620"/>
  <c r="A1621"/>
  <c r="A1622"/>
  <c r="A1623"/>
  <c r="A1624"/>
  <c r="A1625"/>
  <c r="A1626"/>
  <c r="A1627"/>
  <c r="A1628"/>
  <c r="A1629"/>
  <c r="A1630"/>
  <c r="A1631"/>
  <c r="A1632"/>
  <c r="A1633"/>
  <c r="A1634"/>
  <c r="A1635"/>
  <c r="A1636"/>
  <c r="A1637"/>
  <c r="A1638"/>
  <c r="A1639"/>
  <c r="A1640"/>
  <c r="A1641"/>
  <c r="A1642"/>
  <c r="A1643"/>
  <c r="A1644"/>
  <c r="A1645"/>
  <c r="A1646"/>
  <c r="A1647"/>
  <c r="A1648"/>
  <c r="A1649"/>
  <c r="A1650"/>
  <c r="A1651"/>
  <c r="A1652"/>
  <c r="A1653"/>
  <c r="A1654"/>
  <c r="A1655"/>
  <c r="A1656"/>
  <c r="A1657"/>
  <c r="A1658"/>
  <c r="A1659"/>
  <c r="A1660"/>
  <c r="A1661"/>
  <c r="A1662"/>
  <c r="A1663"/>
  <c r="A1664"/>
  <c r="A1665"/>
  <c r="A1666"/>
  <c r="A1667"/>
  <c r="A1668"/>
  <c r="A1669"/>
  <c r="A1670"/>
  <c r="A1671"/>
  <c r="A1672"/>
  <c r="A1673"/>
  <c r="A1674"/>
  <c r="A1675"/>
  <c r="A1676"/>
  <c r="A1677"/>
  <c r="A1678"/>
  <c r="A1679"/>
  <c r="A1680"/>
  <c r="A1681"/>
  <c r="A1682"/>
  <c r="A1683"/>
  <c r="A1684"/>
  <c r="A1685"/>
  <c r="A1686"/>
  <c r="A1687"/>
  <c r="A1688"/>
  <c r="A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1549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2"/>
</calcChain>
</file>

<file path=xl/connections.xml><?xml version="1.0" encoding="utf-8"?>
<connections xmlns="http://schemas.openxmlformats.org/spreadsheetml/2006/main">
  <connection id="1" name="buru_dump111" type="6" refreshedVersion="3" background="1" saveData="1">
    <textPr codePage="437" sourceFile="C:\Users\RobertMShell\Desktop\buru_dump.txt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<sst xmlns="http://schemas.openxmlformats.org/spreadsheetml/2006/main" count="5132" uniqueCount="3168">
  <si>
    <t>Agency Identifier Code</t>
  </si>
  <si>
    <t>Bureau Code</t>
  </si>
  <si>
    <t>New Agency Bureau Code</t>
  </si>
  <si>
    <t>Agency Name</t>
  </si>
  <si>
    <t>BUREAU_NAME</t>
  </si>
  <si>
    <t>00000</t>
  </si>
  <si>
    <t>UNITED STATES CONGRESS</t>
  </si>
  <si>
    <t>00003</t>
  </si>
  <si>
    <t>CONGRESSIONAL COMMITTEES AND SUBCOMMITTEES</t>
  </si>
  <si>
    <t>00005</t>
  </si>
  <si>
    <t>HOUSE OF REPRESENTATIVES</t>
  </si>
  <si>
    <t>00009</t>
  </si>
  <si>
    <t>FINANCIAL OVERSIGHT</t>
  </si>
  <si>
    <t>00019</t>
  </si>
  <si>
    <t>SENATE</t>
  </si>
  <si>
    <t>00020</t>
  </si>
  <si>
    <t>PRESIDENTIAL TRANSITION</t>
  </si>
  <si>
    <t>00022</t>
  </si>
  <si>
    <t>TRIBAL ORGANIZATIONS</t>
  </si>
  <si>
    <t>00051</t>
  </si>
  <si>
    <t>INAUGURAL COMMITTEE</t>
  </si>
  <si>
    <t>00052</t>
  </si>
  <si>
    <t>FOOD AND AGRICULTURE ORGANIZATION OF THE UNITED STATES</t>
  </si>
  <si>
    <t>00053</t>
  </si>
  <si>
    <t>INTER-AMERICAN DEFENSE BOARD</t>
  </si>
  <si>
    <t>00054</t>
  </si>
  <si>
    <t>INTER-AMERICAN DEVELOPMENT BANK</t>
  </si>
  <si>
    <t>00055</t>
  </si>
  <si>
    <t>INTERGOVERNMENTAL COMMITTEE FOR EUROPEAN MIGRATION</t>
  </si>
  <si>
    <t>00056</t>
  </si>
  <si>
    <t>INTERNATIONAL ATOMIC ENERGY AGENCY</t>
  </si>
  <si>
    <t>00057</t>
  </si>
  <si>
    <t>INTERNATIONAL BANK FOR 57 RECONSTRUCTION AND DEVELOPMENT</t>
  </si>
  <si>
    <t>00058</t>
  </si>
  <si>
    <t>INTERNATIONAL CIVIL AVIATION ORGANIZATION</t>
  </si>
  <si>
    <t>00059</t>
  </si>
  <si>
    <t>INTERNATIONAL FINANCE CORPORATION</t>
  </si>
  <si>
    <t>00060</t>
  </si>
  <si>
    <t>INTERNATIONAL MONETARY FUND</t>
  </si>
  <si>
    <t>00061</t>
  </si>
  <si>
    <t>INTERNATIONAL TELECOMMUNICATIONS UNION</t>
  </si>
  <si>
    <t>00062</t>
  </si>
  <si>
    <t>NATIONAL ACADEMY OF SCIENCES</t>
  </si>
  <si>
    <t>00063</t>
  </si>
  <si>
    <t>ORGANIZATION OF AMERICAN STATES (PAN AMERICAN UNION)</t>
  </si>
  <si>
    <t>00064</t>
  </si>
  <si>
    <t>PAN AMERICAN HEALTH ORGANIZATION</t>
  </si>
  <si>
    <t>00065</t>
  </si>
  <si>
    <t>STATUE OF LIBERTY/ELLIS ISLAND FOUNDATION</t>
  </si>
  <si>
    <t>00066</t>
  </si>
  <si>
    <t>SOUTH PACIFIC COMMISSION</t>
  </si>
  <si>
    <t>00067</t>
  </si>
  <si>
    <t>UNITED NATIONS</t>
  </si>
  <si>
    <t>00068</t>
  </si>
  <si>
    <t>UN EDUCATIONAL SCIENTIFIC, AND CULTURAL ORGANIZATION</t>
  </si>
  <si>
    <t>00069</t>
  </si>
  <si>
    <t>UNIVERSAL POSTAL UNION</t>
  </si>
  <si>
    <t>00070</t>
  </si>
  <si>
    <t>WORLD HEALTH ORGANIZATION</t>
  </si>
  <si>
    <t>00071</t>
  </si>
  <si>
    <t>WORLD METEOROLOGICAL ORGANIZATION</t>
  </si>
  <si>
    <t>00072</t>
  </si>
  <si>
    <t>AMERICAN FREEDOM FROM HUNGER SOCIETY</t>
  </si>
  <si>
    <t>00073</t>
  </si>
  <si>
    <t>ARMY AND AIR FORCE EXCHANGE SERVICE</t>
  </si>
  <si>
    <t>00074</t>
  </si>
  <si>
    <t>INTERAGENCY COMM ON MARINE RESRCH, EDUCATION, AND FACILITIES</t>
  </si>
  <si>
    <t>00075</t>
  </si>
  <si>
    <t>NORTH ATLANTIC TREATY ORGANIZATION</t>
  </si>
  <si>
    <t>00076</t>
  </si>
  <si>
    <t>ARMY AND AIR FORCE MOTION PICTURE SERVICE</t>
  </si>
  <si>
    <t>00077</t>
  </si>
  <si>
    <t>NATIONAL TRUST FOR HISTORICAL PRESERVATION</t>
  </si>
  <si>
    <t>00078</t>
  </si>
  <si>
    <t>FEDERAL RESERVE SYSTEM</t>
  </si>
  <si>
    <t>00079</t>
  </si>
  <si>
    <t>AMERICAN NATIONAL RED CROSS</t>
  </si>
  <si>
    <t>00080</t>
  </si>
  <si>
    <t>CARIBBEAN ORGANIZATION</t>
  </si>
  <si>
    <t>00081</t>
  </si>
  <si>
    <t>MISCELLANEOUS GOVERNMENT NON-APPROPRIATED FUND ACTIVITIES</t>
  </si>
  <si>
    <t>00082</t>
  </si>
  <si>
    <t>UNITED NATIONS-INTERNATIONAL LABOR OFFICE</t>
  </si>
  <si>
    <t>00083</t>
  </si>
  <si>
    <t>NATIONAL ALLIANCE OF BUSINESSMEN</t>
  </si>
  <si>
    <t>00084</t>
  </si>
  <si>
    <t>NATIONAL BUILDING MUSEUM</t>
  </si>
  <si>
    <t>00085</t>
  </si>
  <si>
    <t>NATIONAL CONSUMER COOPERATIVE BANK</t>
  </si>
  <si>
    <t>00086</t>
  </si>
  <si>
    <t>UNITED NATIONS INFORMATION SERVICE</t>
  </si>
  <si>
    <t>00087</t>
  </si>
  <si>
    <t>MISCELLANEOUS NON-GOVERNMENT ACCOUNTS</t>
  </si>
  <si>
    <t>00088</t>
  </si>
  <si>
    <t>ORGANIZATION FOR ECONOMIC COOPERATION AND DEVELOPMENT</t>
  </si>
  <si>
    <t>00089</t>
  </si>
  <si>
    <t>NAVY RESALE AND SERVICES (NON-APPROPRIATED)</t>
  </si>
  <si>
    <t>00090</t>
  </si>
  <si>
    <t>WASHINGTON METROPOLITAN AREA TRANSIT COMMISSION</t>
  </si>
  <si>
    <t>00091</t>
  </si>
  <si>
    <t xml:space="preserve">UN WORLD FOOD PROGRAM </t>
  </si>
  <si>
    <t>00097</t>
  </si>
  <si>
    <t>GSA ADVANTAGE IMPAC</t>
  </si>
  <si>
    <t>00100</t>
  </si>
  <si>
    <t>ARCHITECT OF THE CAPITOL</t>
  </si>
  <si>
    <t>ARCHITECT CAPITOL</t>
  </si>
  <si>
    <t>00101</t>
  </si>
  <si>
    <t>CAPITOL BUILDINGS</t>
  </si>
  <si>
    <t>00103</t>
  </si>
  <si>
    <t>CAPITOL GROUNDS</t>
  </si>
  <si>
    <t>00105</t>
  </si>
  <si>
    <t>CAPITOL POWER PLANT</t>
  </si>
  <si>
    <t>00109</t>
  </si>
  <si>
    <t>HOUSE OFFICE BUILDINGS</t>
  </si>
  <si>
    <t>00111</t>
  </si>
  <si>
    <t>LIBRARY OF CONGRESS BUILDING</t>
  </si>
  <si>
    <t>00113</t>
  </si>
  <si>
    <t>SENATE OFFICE BUILDINGS</t>
  </si>
  <si>
    <t>00115</t>
  </si>
  <si>
    <t>SUPREME COURT</t>
  </si>
  <si>
    <t>00197</t>
  </si>
  <si>
    <t>00200</t>
  </si>
  <si>
    <t>CAPITOL POLICE</t>
  </si>
  <si>
    <t>UNITED STATES CAPITOL POLICE</t>
  </si>
  <si>
    <t>00204</t>
  </si>
  <si>
    <t>US CAPITOL POLICE/OFC FIN MGMT</t>
  </si>
  <si>
    <t>00300</t>
  </si>
  <si>
    <t>LIBRARY OF CONGRESS</t>
  </si>
  <si>
    <t>00313</t>
  </si>
  <si>
    <t>COMM, OFC OF COMPUTER SVCS</t>
  </si>
  <si>
    <t>00397</t>
  </si>
  <si>
    <t>00399</t>
  </si>
  <si>
    <t>SUBCONTRACTORS/PRIVATE SECTOR WITH FEDERAL AGENCIES</t>
  </si>
  <si>
    <t>00400</t>
  </si>
  <si>
    <t>GOVERNMENT PRINTING OFFICE</t>
  </si>
  <si>
    <t>00401</t>
  </si>
  <si>
    <t>GPO SD/LIB PROG SERV</t>
  </si>
  <si>
    <t>00410</t>
  </si>
  <si>
    <t>CENSUS MONITORING BOARD, PRESIDENTIAL MEMBERS</t>
  </si>
  <si>
    <t>00411</t>
  </si>
  <si>
    <t>CENSUS MONITORING BOARD, CONGRESSIONAL MEMBERS</t>
  </si>
  <si>
    <t>00497</t>
  </si>
  <si>
    <t>00499</t>
  </si>
  <si>
    <t>00500</t>
  </si>
  <si>
    <t>GOVERNMENT ACCOUNTABILITY OFFICE</t>
  </si>
  <si>
    <t>00597</t>
  </si>
  <si>
    <t>00599</t>
  </si>
  <si>
    <t>00700</t>
  </si>
  <si>
    <t>OFFICE OF TECHNOLOGY AND ASSESSMENT (EXP. CODE)</t>
  </si>
  <si>
    <t>EXPIRED AGENCY CODE - DO NOT ASSIGN</t>
  </si>
  <si>
    <t>00800</t>
  </si>
  <si>
    <t>CONGRESSIONAL BUDGET OFFICE</t>
  </si>
  <si>
    <t>INACTIVE STATE AND LOCAL GOVERNMENTS</t>
  </si>
  <si>
    <t>00814</t>
  </si>
  <si>
    <t>00897</t>
  </si>
  <si>
    <t>INACTIVE GSA ADVANTAGE IMPAC</t>
  </si>
  <si>
    <t>00900</t>
  </si>
  <si>
    <t>LEGISLATIVE, ALL OTHER</t>
  </si>
  <si>
    <t>00901</t>
  </si>
  <si>
    <t>UNITED STATES BOTANIC GARDEN</t>
  </si>
  <si>
    <t>00902</t>
  </si>
  <si>
    <t>OFFICE OF TECHNOLOGY ASSESSMENT</t>
  </si>
  <si>
    <t>00903</t>
  </si>
  <si>
    <t>NATIONAL COMMISSION ON CHILDREN</t>
  </si>
  <si>
    <t>00904</t>
  </si>
  <si>
    <t>BIOMEDICAL ETHICS BOARD</t>
  </si>
  <si>
    <t>00905</t>
  </si>
  <si>
    <t>COPYRIGHT ROYALTY TRIBUNAL</t>
  </si>
  <si>
    <t>00906</t>
  </si>
  <si>
    <t>OFFICE OF COMPLIANCE</t>
  </si>
  <si>
    <t>00907</t>
  </si>
  <si>
    <t>HELP ENCHANCE LIVELIHOOD PEOPLE AROUND GLOBE</t>
  </si>
  <si>
    <t>00910</t>
  </si>
  <si>
    <t>INACTIVE WEAPONS MASS DESTRUCTION PROLIFERATION &amp; TERRORISM</t>
  </si>
  <si>
    <t>00915</t>
  </si>
  <si>
    <t>MEDICAID &amp; CHIP PAYMENT &amp; ACCESS COMMISSION</t>
  </si>
  <si>
    <t>00916</t>
  </si>
  <si>
    <t>WEAPONS MASS DESTRUCTION PROLIFERATION &amp; TERRORISM</t>
  </si>
  <si>
    <t>00918</t>
  </si>
  <si>
    <t>NATL COMMISSION ON TERRORIST ATTCKS UPON THE US</t>
  </si>
  <si>
    <t>00919</t>
  </si>
  <si>
    <t>ANTI-TRUST MODERNIZATION COMMISSION</t>
  </si>
  <si>
    <t>00921</t>
  </si>
  <si>
    <t>FINANCIAL CRISIS INQUIRY COMMISSION</t>
  </si>
  <si>
    <t>00922</t>
  </si>
  <si>
    <t>JOHN STENNIS CENTER FOR PUBLIC SERVICE</t>
  </si>
  <si>
    <t>00935</t>
  </si>
  <si>
    <t>MEDICARE PAYMENT ADVISORY (MEDPAC)</t>
  </si>
  <si>
    <t>00953</t>
  </si>
  <si>
    <t>MEDICARE PAYMENT ADVISORY COMMISSION</t>
  </si>
  <si>
    <t>00957</t>
  </si>
  <si>
    <t>CONGRESSIONAL EXECUTIVE COMMISION ON CHINA</t>
  </si>
  <si>
    <t>00978</t>
  </si>
  <si>
    <t>COMM ON ON-LINE CHILD PROTECTION</t>
  </si>
  <si>
    <t>00983</t>
  </si>
  <si>
    <t>DWIGHT EISENHOWER MEMORIAL COMM</t>
  </si>
  <si>
    <t>00992</t>
  </si>
  <si>
    <t>US CHINA SEC REV COMM</t>
  </si>
  <si>
    <t>00995</t>
  </si>
  <si>
    <t>COMM FOR INTENATL RELIGIOUS FREEDOM</t>
  </si>
  <si>
    <t>00997</t>
  </si>
  <si>
    <t>01000</t>
  </si>
  <si>
    <t>JUDICIARY</t>
  </si>
  <si>
    <t>01001</t>
  </si>
  <si>
    <t>ADMINISTRATIVE OFFICE OF U.S. COURTS</t>
  </si>
  <si>
    <t>01002</t>
  </si>
  <si>
    <t>PUBLIC DEFENDER SERVICE</t>
  </si>
  <si>
    <t>01003</t>
  </si>
  <si>
    <t>JUDICIARY COURTS DC</t>
  </si>
  <si>
    <t>01004</t>
  </si>
  <si>
    <t>BICENTNNAL COMM OF THE JUDICIAL CONFERENCE OF THE U.S.</t>
  </si>
  <si>
    <t>01005</t>
  </si>
  <si>
    <t>DISTRICT COURTS OF THE UNITED STATES</t>
  </si>
  <si>
    <t>01006</t>
  </si>
  <si>
    <t>JUD COURTS IND CNSL</t>
  </si>
  <si>
    <t>01007</t>
  </si>
  <si>
    <t>UNITED STATES BANKRUPTCY COURT</t>
  </si>
  <si>
    <t>01008</t>
  </si>
  <si>
    <t>JUDICIARY,US SENTENCING COMM</t>
  </si>
  <si>
    <t>01009</t>
  </si>
  <si>
    <t>TERRITORIAL COURTS</t>
  </si>
  <si>
    <t>01011</t>
  </si>
  <si>
    <t>UNITED STATES COURTS OF APPEALS</t>
  </si>
  <si>
    <t>01012</t>
  </si>
  <si>
    <t>BNKRPTCY JUD CHMBRS</t>
  </si>
  <si>
    <t>01013</t>
  </si>
  <si>
    <t>UNITED STATES CLAIMS COURT</t>
  </si>
  <si>
    <t>01014</t>
  </si>
  <si>
    <t>BANKRUPTCY JUDGE COURTROOMS</t>
  </si>
  <si>
    <t>01015</t>
  </si>
  <si>
    <t>UNITED STATES CUSTOMS COURTS</t>
  </si>
  <si>
    <t>01016</t>
  </si>
  <si>
    <t>BANKRUPTCY CLERK</t>
  </si>
  <si>
    <t>01017</t>
  </si>
  <si>
    <t>UNITED STATES COURT OF APPEALS FOR THE FEDERAL CIRCUIT</t>
  </si>
  <si>
    <t>01018</t>
  </si>
  <si>
    <t>BNKRPTCY ADMIN</t>
  </si>
  <si>
    <t>01019</t>
  </si>
  <si>
    <t>UNITED STATES SUPREME COURT</t>
  </si>
  <si>
    <t>01020</t>
  </si>
  <si>
    <t>FEDERAL JUDICIAL CENTER</t>
  </si>
  <si>
    <t>01021</t>
  </si>
  <si>
    <t>JUDICIAL PANEL ON MULTI-DISTRICT LEGISLATION</t>
  </si>
  <si>
    <t>01022</t>
  </si>
  <si>
    <t>JUDICIARY RETURN ON INVESTMENT VACANT SPACE</t>
  </si>
  <si>
    <t>01024</t>
  </si>
  <si>
    <t>BNKRPTCY UNSTAFF LIB</t>
  </si>
  <si>
    <t>01030</t>
  </si>
  <si>
    <t>OFF OF INDEPNDNT COUNCIL</t>
  </si>
  <si>
    <t>01031</t>
  </si>
  <si>
    <t>COURT OF APPEALS COURTROOMS</t>
  </si>
  <si>
    <t>01032</t>
  </si>
  <si>
    <t>COURT OF APPEALS CLERK</t>
  </si>
  <si>
    <t>01033</t>
  </si>
  <si>
    <t>CIRCUIT EXECUTIVE</t>
  </si>
  <si>
    <t>01034</t>
  </si>
  <si>
    <t>BAP CLERK</t>
  </si>
  <si>
    <t>01035</t>
  </si>
  <si>
    <t>COURT OF APPEALS CNTL LEGL STAFF</t>
  </si>
  <si>
    <t>01037</t>
  </si>
  <si>
    <t>CIRCUIT LIBRARIES</t>
  </si>
  <si>
    <t>01039</t>
  </si>
  <si>
    <t>CIR MEDIATORS</t>
  </si>
  <si>
    <t>01040</t>
  </si>
  <si>
    <t>DISTRICT JUDGE CHAMBERS</t>
  </si>
  <si>
    <t>01041</t>
  </si>
  <si>
    <t>DISTRICT JUDGE COURTROOMS</t>
  </si>
  <si>
    <t>01042</t>
  </si>
  <si>
    <t>MAGISTRATE JUDGE CHAMBERS</t>
  </si>
  <si>
    <t>01043</t>
  </si>
  <si>
    <t>MAGISTRATE JUDGE COURTROOMS</t>
  </si>
  <si>
    <t>01044</t>
  </si>
  <si>
    <t>DISTRICT CLERK</t>
  </si>
  <si>
    <t>01045</t>
  </si>
  <si>
    <t>DST EXEC</t>
  </si>
  <si>
    <t>01046</t>
  </si>
  <si>
    <t>PROBATION</t>
  </si>
  <si>
    <t>01047</t>
  </si>
  <si>
    <t>PRETRIAL SERVICES</t>
  </si>
  <si>
    <t>01048</t>
  </si>
  <si>
    <t>DST UNSTAFF LIB</t>
  </si>
  <si>
    <t>01090</t>
  </si>
  <si>
    <t>STATE COURTS</t>
  </si>
  <si>
    <t>01091</t>
  </si>
  <si>
    <t>COURTS, JOINT USE FEDERAL AND STATE</t>
  </si>
  <si>
    <t>01097</t>
  </si>
  <si>
    <t>01099</t>
  </si>
  <si>
    <t>01100</t>
  </si>
  <si>
    <t>EXECUTIVE OFFICE OF THE PRESIDENT</t>
  </si>
  <si>
    <t>01101</t>
  </si>
  <si>
    <t>OFFICE OF MANAGEMENT AND BUDGET</t>
  </si>
  <si>
    <t>01102</t>
  </si>
  <si>
    <t>COUNCIL ON ENVIRONMENTAL QUALITY</t>
  </si>
  <si>
    <t>01103</t>
  </si>
  <si>
    <t>CIA OFFICE OF FINANCE</t>
  </si>
  <si>
    <t>01104</t>
  </si>
  <si>
    <t>PRESIDENT'S COMMISSION ON MEDICAL ETHICS</t>
  </si>
  <si>
    <t>01105</t>
  </si>
  <si>
    <t>COMMISSION ON CIA ACTIVITIES WITHIN U.S.</t>
  </si>
  <si>
    <t>01106</t>
  </si>
  <si>
    <t>INTER-AMERICAN FOUNDATION</t>
  </si>
  <si>
    <t>01107</t>
  </si>
  <si>
    <t>COUNCIL OF ECONOMIC ADVISERS</t>
  </si>
  <si>
    <t>01108</t>
  </si>
  <si>
    <t>U.S. JAPAN ECONOMIC RELATIONS GROUP</t>
  </si>
  <si>
    <t>01109</t>
  </si>
  <si>
    <t>COMMISSION ON WORLD HUNGER</t>
  </si>
  <si>
    <t>01110</t>
  </si>
  <si>
    <t>NATIVE HAWAIIAN COMMISSION</t>
  </si>
  <si>
    <t>01111</t>
  </si>
  <si>
    <t>NATIONAL SECURITY COUNCIL</t>
  </si>
  <si>
    <t>01112</t>
  </si>
  <si>
    <t>COMMISSION ON EXECUTIVE, LEGISLATIVE AND JUDICIAL SALARIES</t>
  </si>
  <si>
    <t>01113</t>
  </si>
  <si>
    <t>PEACE CORPS</t>
  </si>
  <si>
    <t>01114</t>
  </si>
  <si>
    <t>PROPERTY REVIEW BOARD</t>
  </si>
  <si>
    <t>01115</t>
  </si>
  <si>
    <t>OFFICE OF POLICY DEVELOPMENT</t>
  </si>
  <si>
    <t>01116</t>
  </si>
  <si>
    <t>SPECIAL ASSISTANCE TO THE PRESIDENT</t>
  </si>
  <si>
    <t>01117</t>
  </si>
  <si>
    <t>THE WHITE HOUSE OFFICE</t>
  </si>
  <si>
    <t>01118</t>
  </si>
  <si>
    <t>AFRICAN DEVELOPMENT FOUNDATION</t>
  </si>
  <si>
    <t>01119</t>
  </si>
  <si>
    <t>REFORM 88</t>
  </si>
  <si>
    <t>01120</t>
  </si>
  <si>
    <t>TASK FORCE ON COMBATTING TERRORISM</t>
  </si>
  <si>
    <t>01121</t>
  </si>
  <si>
    <t>OFFICE OF THE UNITED STATES TRADE REPRESENTATIVE</t>
  </si>
  <si>
    <t>01122</t>
  </si>
  <si>
    <t>POINTS OF LIGHT FOUNDATION</t>
  </si>
  <si>
    <t>01123</t>
  </si>
  <si>
    <t>OFFICE OF CONSUMER AFFAIRS</t>
  </si>
  <si>
    <t>01124</t>
  </si>
  <si>
    <t>EO OFF DRUG ABU PREV</t>
  </si>
  <si>
    <t>01125</t>
  </si>
  <si>
    <t>WHITE HOUSE CONFERENCE FOR A DRUG FREE AMERICA</t>
  </si>
  <si>
    <t>01126</t>
  </si>
  <si>
    <t>OFFICE OF ADMINISTRATION</t>
  </si>
  <si>
    <t>01127</t>
  </si>
  <si>
    <t>E0 REG INF SERV CTR</t>
  </si>
  <si>
    <t>01129</t>
  </si>
  <si>
    <t>EO OFF TELECOM POL</t>
  </si>
  <si>
    <t>01131</t>
  </si>
  <si>
    <t>COMMISSION ON PENSION POLICY</t>
  </si>
  <si>
    <t>01132</t>
  </si>
  <si>
    <t>NATIONAL ADVISORY COUNCIL ON ECONOMIC OPPORTUNITY</t>
  </si>
  <si>
    <t>01133</t>
  </si>
  <si>
    <t>NATIONAL SPACE COUNCIL</t>
  </si>
  <si>
    <t>01134</t>
  </si>
  <si>
    <t>OFFCE OF NATL AIDS PLCY</t>
  </si>
  <si>
    <t>01135</t>
  </si>
  <si>
    <t>EO MILLENNIUM GROUP</t>
  </si>
  <si>
    <t>01136</t>
  </si>
  <si>
    <t>EO WHTE HOUSE ATHL CNTR</t>
  </si>
  <si>
    <t>01137</t>
  </si>
  <si>
    <t>EO WH CLM CNTRL FRCE</t>
  </si>
  <si>
    <t>01141</t>
  </si>
  <si>
    <t>OFFICE OF SCIENCE AND TECHNOLOGY POLICY</t>
  </si>
  <si>
    <t>01145</t>
  </si>
  <si>
    <t>OFC OF DIR NATL INTELLIGENCE - ODNI</t>
  </si>
  <si>
    <t>01146</t>
  </si>
  <si>
    <t>COUNCIL ON WAGE &amp; PRICE STABILITY</t>
  </si>
  <si>
    <t>01147</t>
  </si>
  <si>
    <t>OFFICE OF NATIONAL DRUG CONTROL POLICY</t>
  </si>
  <si>
    <t>01148</t>
  </si>
  <si>
    <t>U.S. TRADE AND DEVELOPMENT AGENCY</t>
  </si>
  <si>
    <t>01150</t>
  </si>
  <si>
    <t>COM INTEL CAP OF US WMD</t>
  </si>
  <si>
    <t>01151</t>
  </si>
  <si>
    <t>INTERAGENCY TRADE ENFORCEMENT CENTER</t>
  </si>
  <si>
    <t>01197</t>
  </si>
  <si>
    <t>01199</t>
  </si>
  <si>
    <t>01200</t>
  </si>
  <si>
    <t>DEPARTMENT OF AGRICULTURE</t>
  </si>
  <si>
    <t>01201</t>
  </si>
  <si>
    <t>FARM SERVICE AGENCY</t>
  </si>
  <si>
    <t>01202</t>
  </si>
  <si>
    <t>NATIONAL AGRICULTURAL STATISTICS SERVICE</t>
  </si>
  <si>
    <t>01203</t>
  </si>
  <si>
    <t>AGRICULTURAL MARKETING SERVICE</t>
  </si>
  <si>
    <t>01204</t>
  </si>
  <si>
    <t>USDA OFF OF TRANS</t>
  </si>
  <si>
    <t>01205</t>
  </si>
  <si>
    <t>AGRICULTURAL RESEARCH SERVICE</t>
  </si>
  <si>
    <t>01206</t>
  </si>
  <si>
    <t>OFFICE OF SMALL AND DISADVANTAGED BUSINESS UTILIZATION</t>
  </si>
  <si>
    <t>01207</t>
  </si>
  <si>
    <t>RURAL DEVELOPMENT ADMINISTRATION</t>
  </si>
  <si>
    <t>01208</t>
  </si>
  <si>
    <t>AGRICULTURE, PROGRAM MANAGEMENT OFFICE</t>
  </si>
  <si>
    <t>01209</t>
  </si>
  <si>
    <t>AGRICULTURE, INTERNATIONAL TECHNOLOGY SERVICES</t>
  </si>
  <si>
    <t>01210</t>
  </si>
  <si>
    <t>NATIONAL INSTITUTE OF FOOD &amp; AGRICULTURE</t>
  </si>
  <si>
    <t>01211</t>
  </si>
  <si>
    <t>OFFICE OF ADMINISTRATIVE SYSTEMS (EXP. CODE)</t>
  </si>
  <si>
    <t>01212</t>
  </si>
  <si>
    <t>USDA OMR</t>
  </si>
  <si>
    <t>01213</t>
  </si>
  <si>
    <t>AGRICULTURE, INNOVATION&amp;EMERGING TECHNOLOGY</t>
  </si>
  <si>
    <t>01214</t>
  </si>
  <si>
    <t>OFFICE OF THE CIO - WASHINGTON SERVICE CENTER</t>
  </si>
  <si>
    <t>01215</t>
  </si>
  <si>
    <t>RURAL HOUSING SERVICE</t>
  </si>
  <si>
    <t>01216</t>
  </si>
  <si>
    <t>AGRICULTURE, CHIEF INFORMATION OFFICER FOR POLICY</t>
  </si>
  <si>
    <t>01217</t>
  </si>
  <si>
    <t>DEPT AGRICULTURE,RISK MGMT AGNCY</t>
  </si>
  <si>
    <t>01218</t>
  </si>
  <si>
    <t>AGRIC/AGRICULTURAL SECURITY OPERATIONS CENTER</t>
  </si>
  <si>
    <t>01219</t>
  </si>
  <si>
    <t>USDA ES</t>
  </si>
  <si>
    <t>01220</t>
  </si>
  <si>
    <t>USDA OE</t>
  </si>
  <si>
    <t>01221</t>
  </si>
  <si>
    <t>FOREIGN AGRICULTURAL SERVICE</t>
  </si>
  <si>
    <t>01222</t>
  </si>
  <si>
    <t>USDA OCIO-NITC</t>
  </si>
  <si>
    <t>01223</t>
  </si>
  <si>
    <t>FOREST SERVICE</t>
  </si>
  <si>
    <t>01224</t>
  </si>
  <si>
    <t>USDA WF&amp;AO&amp;SBD</t>
  </si>
  <si>
    <t>01225</t>
  </si>
  <si>
    <t>OFFICE OF THE GENERAL COUNSEL</t>
  </si>
  <si>
    <t>01226</t>
  </si>
  <si>
    <t>FEDERAL GRAIN INSPECTION, PACKERS, AND STOCKYARDS ADMIN.</t>
  </si>
  <si>
    <t>01227</t>
  </si>
  <si>
    <t>OFFICE OF COMMUNICATIONS</t>
  </si>
  <si>
    <t>01228</t>
  </si>
  <si>
    <t>USDA P&amp;SA</t>
  </si>
  <si>
    <t>01229</t>
  </si>
  <si>
    <t>AGRI. COOP. SVC.</t>
  </si>
  <si>
    <t>01230</t>
  </si>
  <si>
    <t>FOOD AND CONSUMER SERVICE</t>
  </si>
  <si>
    <t>01231</t>
  </si>
  <si>
    <t>RURAL UTILITIES SERVICES</t>
  </si>
  <si>
    <t>01232</t>
  </si>
  <si>
    <t>OFFICE OF THE CIO NITC - FT. COLLINS COMPUTER CENTER</t>
  </si>
  <si>
    <t>01233</t>
  </si>
  <si>
    <t>OFFICE OF THE SECRETARY</t>
  </si>
  <si>
    <t>01234</t>
  </si>
  <si>
    <t>ANIMAL AND PLANT HEALTH INSPECTION SERVICE</t>
  </si>
  <si>
    <t>01235</t>
  </si>
  <si>
    <t>NATURAL RESOURCES CONSERVATION SERVICE</t>
  </si>
  <si>
    <t>01236</t>
  </si>
  <si>
    <t>GRAIN INSP PACKRS/STKYD</t>
  </si>
  <si>
    <t>01237</t>
  </si>
  <si>
    <t>FOOD SAFETY AND INSPECTION SERVICE</t>
  </si>
  <si>
    <t>01238</t>
  </si>
  <si>
    <t>OFFICE OF THE CIO NITC - MAINFRAME OPERATIONS</t>
  </si>
  <si>
    <t>01239</t>
  </si>
  <si>
    <t>OFFICE OF ADMINISTRATIVE LAW JUDGES</t>
  </si>
  <si>
    <t>01240</t>
  </si>
  <si>
    <t>CIVIL RIGHTS ENFORCEMENT AND ADJUDICATION</t>
  </si>
  <si>
    <t>01241</t>
  </si>
  <si>
    <t>OFFICE OF BUDGET AND PROGRAM ANALYSIS</t>
  </si>
  <si>
    <t>01242</t>
  </si>
  <si>
    <t>HUMAN RESOURCES MANAGEMENT</t>
  </si>
  <si>
    <t>01243</t>
  </si>
  <si>
    <t>USDA EAS</t>
  </si>
  <si>
    <t>01244</t>
  </si>
  <si>
    <t>OFFICE OF OPERATIONS</t>
  </si>
  <si>
    <t>01245</t>
  </si>
  <si>
    <t>USDA OICD</t>
  </si>
  <si>
    <t>01246</t>
  </si>
  <si>
    <t>EXTERNAL SERVICES</t>
  </si>
  <si>
    <t>01247</t>
  </si>
  <si>
    <t>OFFICE OF THE CHIEF FINANCIAL OFFICER</t>
  </si>
  <si>
    <t>01248</t>
  </si>
  <si>
    <t>USDA HNIS</t>
  </si>
  <si>
    <t>01249</t>
  </si>
  <si>
    <t>ECONOMIC RESEARCH SERVICE</t>
  </si>
  <si>
    <t>01250</t>
  </si>
  <si>
    <t>AMS CONTRACTORS</t>
  </si>
  <si>
    <t>01251</t>
  </si>
  <si>
    <t>ORGANIZATION OF PROFESSIONAL EMPLOYEES</t>
  </si>
  <si>
    <t>01252</t>
  </si>
  <si>
    <t>USDA GRADUATE SCHOOL</t>
  </si>
  <si>
    <t>01253</t>
  </si>
  <si>
    <t>INTERNATIONAL COTTON ADVISORY COMMISSION</t>
  </si>
  <si>
    <t>01254</t>
  </si>
  <si>
    <t>USDA OGPS</t>
  </si>
  <si>
    <t>01255</t>
  </si>
  <si>
    <t>OFFICE OF THE INSPECTOR GENERAL</t>
  </si>
  <si>
    <t>01256</t>
  </si>
  <si>
    <t>NATIONAL APPEALS DIVISION</t>
  </si>
  <si>
    <t>01257</t>
  </si>
  <si>
    <t>OFFICE OF CHIEF ECONOMIST</t>
  </si>
  <si>
    <t>01258</t>
  </si>
  <si>
    <t>BOARD OF CONTRACT APPEALS</t>
  </si>
  <si>
    <t>01259</t>
  </si>
  <si>
    <t>USDA VACANT SPACE</t>
  </si>
  <si>
    <t>01260</t>
  </si>
  <si>
    <t>OFFICE OF PROCUREMENT AND PROPERTY MANAGEMENT</t>
  </si>
  <si>
    <t>01261</t>
  </si>
  <si>
    <t>OFFICE OF CIVIL RIGHTS</t>
  </si>
  <si>
    <t>01262</t>
  </si>
  <si>
    <t>USDA, NATIONAL CAPITAL REGION</t>
  </si>
  <si>
    <t>01263</t>
  </si>
  <si>
    <t>USDA OFFICE OF HOMELAND SECURITY</t>
  </si>
  <si>
    <t>01264</t>
  </si>
  <si>
    <t>USDA OFFICE OF ADVOCACY &amp; OUTREACH</t>
  </si>
  <si>
    <t>01289</t>
  </si>
  <si>
    <t>DEPT OF AGRICULTURE,DEPARTMNTL ADMIN</t>
  </si>
  <si>
    <t>01290</t>
  </si>
  <si>
    <t>STATE CONSERVATION SERVICE</t>
  </si>
  <si>
    <t>01291</t>
  </si>
  <si>
    <t>STATE FORESTRY COMMISSION</t>
  </si>
  <si>
    <t>01292</t>
  </si>
  <si>
    <t>STATE EXTENSION SERVICE</t>
  </si>
  <si>
    <t>01293</t>
  </si>
  <si>
    <t>FRAM SERVICE AGENCY - COUNTY</t>
  </si>
  <si>
    <t>01294</t>
  </si>
  <si>
    <t>DHHS,MILK MARKETING ASSOCIATION</t>
  </si>
  <si>
    <t>01297</t>
  </si>
  <si>
    <t>01299</t>
  </si>
  <si>
    <t>01300</t>
  </si>
  <si>
    <t>DEPARTMENT OF COMMERCE</t>
  </si>
  <si>
    <t>01301</t>
  </si>
  <si>
    <t>01302</t>
  </si>
  <si>
    <t>MINORITY BUSINESS DEVELOPMENT AGENCY</t>
  </si>
  <si>
    <t>01303</t>
  </si>
  <si>
    <t>COMMERCE, OFFICE OF COMPUTER SERVICES</t>
  </si>
  <si>
    <t>01304</t>
  </si>
  <si>
    <t>BUREAU OF THE CENSUS</t>
  </si>
  <si>
    <t>01305</t>
  </si>
  <si>
    <t>NATIONAL TELECOMMUNICATIONS INFORMATION ADMINISTRATION</t>
  </si>
  <si>
    <t>01306</t>
  </si>
  <si>
    <t>NATIONAL INSTITUTE OF STANDARDS AND TECHNOLOGY</t>
  </si>
  <si>
    <t>01307</t>
  </si>
  <si>
    <t>U.S. TRAVEL AND TOURISM ADMINISTRATION</t>
  </si>
  <si>
    <t>01308</t>
  </si>
  <si>
    <t>NATIONAL TECHNICAL INFORMATION SERVICES</t>
  </si>
  <si>
    <t>01309</t>
  </si>
  <si>
    <t>COMMERCE, NATL INST OF STNDS&amp;TECH</t>
  </si>
  <si>
    <t>01310</t>
  </si>
  <si>
    <t>PATENT AND TRADEMARK OFFICE</t>
  </si>
  <si>
    <t>01311</t>
  </si>
  <si>
    <t>CD ITA</t>
  </si>
  <si>
    <t>01312</t>
  </si>
  <si>
    <t>INTERNATIONAL TRADE ADMINISTRATION</t>
  </si>
  <si>
    <t>01313</t>
  </si>
  <si>
    <t>CD OIG</t>
  </si>
  <si>
    <t>01314</t>
  </si>
  <si>
    <t>NATIONAL OCEANIC ATMOSPHERIC ADMINISTRATION</t>
  </si>
  <si>
    <t>01315</t>
  </si>
  <si>
    <t>ECONOMIC AFFAIRS</t>
  </si>
  <si>
    <t>01316</t>
  </si>
  <si>
    <t>BUR OF INDUSTRY &amp; SECURITY</t>
  </si>
  <si>
    <t>01317</t>
  </si>
  <si>
    <t>TECHNOLOGY ADMINISTRATION</t>
  </si>
  <si>
    <t>01318</t>
  </si>
  <si>
    <t>EXPIRED CODE - DO NOT ASSIGN - REG DEV COOR</t>
  </si>
  <si>
    <t>01319</t>
  </si>
  <si>
    <t>CD BUR ECON ANALY EXPIRED CODE - USE ABC 1320</t>
  </si>
  <si>
    <t>01320</t>
  </si>
  <si>
    <t>ECONOMIC DEVELOPMENT ADMINISTRATION</t>
  </si>
  <si>
    <t>01321</t>
  </si>
  <si>
    <t>EXPIRED CODE - USE ABC 1301 - OFFICE OF THE SECRETARY</t>
  </si>
  <si>
    <t>01322</t>
  </si>
  <si>
    <t>EXPIRED CODE - DO NOT ASSIGN  CD USTS</t>
  </si>
  <si>
    <t>01325</t>
  </si>
  <si>
    <t>CD EDA   EXPIRED CODE - USE ABC 1320</t>
  </si>
  <si>
    <t>01327</t>
  </si>
  <si>
    <t>CD REG FISH MGT COUN</t>
  </si>
  <si>
    <t>01328</t>
  </si>
  <si>
    <t>CD OFF MIN BUS ENT  EXPIRED CODE - USE ABC 1302</t>
  </si>
  <si>
    <t>01330</t>
  </si>
  <si>
    <t>CD UP G LAK REG COMM</t>
  </si>
  <si>
    <t>01331</t>
  </si>
  <si>
    <t>CD NEW ENGL REG COMM (EXP. CODE)</t>
  </si>
  <si>
    <t>01333</t>
  </si>
  <si>
    <t>PACIFIC-NW REG COMM  EXPIRED CODE - DO NOT ASSIGN</t>
  </si>
  <si>
    <t>01334</t>
  </si>
  <si>
    <t>CD OP/ADP MGMTEXPIRED CODE - USE ABC 1317</t>
  </si>
  <si>
    <t>01335</t>
  </si>
  <si>
    <t>CD FOUR COR REG COMM  EXPIRED CODE - DO NOT ASSIGN</t>
  </si>
  <si>
    <t>01336</t>
  </si>
  <si>
    <t>CD COAST PL REG COMM EXPIRED CODE - DO NOT ASSIGN</t>
  </si>
  <si>
    <t>01337</t>
  </si>
  <si>
    <t>CD OZARK REG COMM  EXPIRED CODE - DO NOT ASSIGN</t>
  </si>
  <si>
    <t>01338</t>
  </si>
  <si>
    <t>CD OLD WEST REG COMM  EXPIRED CODE - DO NOT ASSIGN</t>
  </si>
  <si>
    <t>01339</t>
  </si>
  <si>
    <t>CD BRDR REG COMM EXPIRED CODE - DO NOT ASSIGN</t>
  </si>
  <si>
    <t>01340</t>
  </si>
  <si>
    <t>1980 DEC CEN</t>
  </si>
  <si>
    <t>01351</t>
  </si>
  <si>
    <t>GOVERNMENT CONTRACTORS EXPIRED CODE - USE ABC 1399</t>
  </si>
  <si>
    <t>01397</t>
  </si>
  <si>
    <t>01399</t>
  </si>
  <si>
    <t>01400</t>
  </si>
  <si>
    <t>DEPARTMENT OF THE INTERIOR</t>
  </si>
  <si>
    <t>01401</t>
  </si>
  <si>
    <t>ID BONNVLL POWER ADM</t>
  </si>
  <si>
    <t>01402</t>
  </si>
  <si>
    <t>ID MESA</t>
  </si>
  <si>
    <t>01403</t>
  </si>
  <si>
    <t>ID OCR</t>
  </si>
  <si>
    <t>01406</t>
  </si>
  <si>
    <t>OFFICE OF SURFACE MINING AND REGULATION ENFORCEMENT</t>
  </si>
  <si>
    <t>01407</t>
  </si>
  <si>
    <t>GEOLOGICAL SURVEY</t>
  </si>
  <si>
    <t>01408</t>
  </si>
  <si>
    <t>OFFICE OF HEARING AND APPEALS</t>
  </si>
  <si>
    <t>01409</t>
  </si>
  <si>
    <t>BUREAU OF INDIAN AFFAIRS</t>
  </si>
  <si>
    <t>01410</t>
  </si>
  <si>
    <t>BUREAU OF MINERALS MANAGEMENT SERVICE</t>
  </si>
  <si>
    <t>01411</t>
  </si>
  <si>
    <t>BUREAU OF LAND MANAGEMENT</t>
  </si>
  <si>
    <t>01412</t>
  </si>
  <si>
    <t>OFFICE OF THE SPECIAL TRUSTEE FOR AMERICAN INDIANS</t>
  </si>
  <si>
    <t>01415</t>
  </si>
  <si>
    <t>BUREAU OF MINES</t>
  </si>
  <si>
    <t>01417</t>
  </si>
  <si>
    <t>NATIONAL PARK SERVICE</t>
  </si>
  <si>
    <t>01418</t>
  </si>
  <si>
    <t>DOI/APPRAISAL SVCS, BILLINGS MT</t>
  </si>
  <si>
    <t>01419</t>
  </si>
  <si>
    <t>ID OFF OIL &amp; GAS</t>
  </si>
  <si>
    <t>01420</t>
  </si>
  <si>
    <t>BUREAU OF SAFETY AND ENVIRONMENTAL ENFORCEMENT</t>
  </si>
  <si>
    <t>01421</t>
  </si>
  <si>
    <t>OFFICE OF AIRCRAFT SERVICES</t>
  </si>
  <si>
    <t>01422</t>
  </si>
  <si>
    <t>ID HERI CON REC SERV</t>
  </si>
  <si>
    <t>01423</t>
  </si>
  <si>
    <t>BUREAU OF RECLAMATION</t>
  </si>
  <si>
    <t>01424</t>
  </si>
  <si>
    <t>NATIONAL BUSINESS CENTER</t>
  </si>
  <si>
    <t>01425</t>
  </si>
  <si>
    <t>01426</t>
  </si>
  <si>
    <t>ID OWRT   EXPIRED CODE - USE ABC - 1411</t>
  </si>
  <si>
    <t>01427</t>
  </si>
  <si>
    <t>OFFICE OF THE SOLICITOR</t>
  </si>
  <si>
    <t>01428</t>
  </si>
  <si>
    <t>DOI/OFC OF HISTORICAL TRUST ACCOUNTING</t>
  </si>
  <si>
    <t>01429</t>
  </si>
  <si>
    <t>ID SE POWER ADM</t>
  </si>
  <si>
    <t>01431</t>
  </si>
  <si>
    <t>ID SW POWER AMD</t>
  </si>
  <si>
    <t>01433</t>
  </si>
  <si>
    <t>DOI/OFFICE OF INSULAR AFFAIRS</t>
  </si>
  <si>
    <t>01436</t>
  </si>
  <si>
    <t>UNITED STATES FISH AND WILDLIFE SERVICE</t>
  </si>
  <si>
    <t>01438</t>
  </si>
  <si>
    <t>ID ALASKA POWER ADM</t>
  </si>
  <si>
    <t>01440</t>
  </si>
  <si>
    <t>ID OFF YOUTH PROG</t>
  </si>
  <si>
    <t>01441</t>
  </si>
  <si>
    <t>OFFICE OF INSPECTOR GENERAL</t>
  </si>
  <si>
    <t>01442</t>
  </si>
  <si>
    <t>CONSTRUCTION MANAGEMENT</t>
  </si>
  <si>
    <t>01443</t>
  </si>
  <si>
    <t>NATIONAL INDIAN GAMING COMMISSION</t>
  </si>
  <si>
    <t>01444</t>
  </si>
  <si>
    <t>NATIONAL BIOLOGICAL SURVEY-INACTIVE</t>
  </si>
  <si>
    <t>01445</t>
  </si>
  <si>
    <t>DEPARTMENT OF INTERIOR-ENTERPRISE SERV CNTR</t>
  </si>
  <si>
    <t>01446</t>
  </si>
  <si>
    <t>OFFICE OF TRUST RECORDS (OTR)</t>
  </si>
  <si>
    <t>01450</t>
  </si>
  <si>
    <t>DOI/BIA EDUCATION</t>
  </si>
  <si>
    <t>01455</t>
  </si>
  <si>
    <t>OFFICE OF VALUATION</t>
  </si>
  <si>
    <t>01460</t>
  </si>
  <si>
    <t>OFFICE OF NATURAL RESOURCES AND REVENUE</t>
  </si>
  <si>
    <t>01497</t>
  </si>
  <si>
    <t>01499</t>
  </si>
  <si>
    <t>01500</t>
  </si>
  <si>
    <t>DEPARTMENT OF JUSTICE</t>
  </si>
  <si>
    <t>01501</t>
  </si>
  <si>
    <t>UNITED STATES TRUSTEES</t>
  </si>
  <si>
    <t>01502</t>
  </si>
  <si>
    <t>JUSTICE MANAGEMENT DIVISION</t>
  </si>
  <si>
    <t>01503</t>
  </si>
  <si>
    <t>ANTITRUST DIVISION</t>
  </si>
  <si>
    <t>01504</t>
  </si>
  <si>
    <t>OFFICE OF PROFESSIONAL RESPONSIBILITY</t>
  </si>
  <si>
    <t>01505</t>
  </si>
  <si>
    <t>OFFICE OF THE ATTORNEY GENERAL</t>
  </si>
  <si>
    <t>01506</t>
  </si>
  <si>
    <t>OFFICE OF ASSOCIATE ATTORNEY GENERAL</t>
  </si>
  <si>
    <t>01507</t>
  </si>
  <si>
    <t>CIVIL DIVISION</t>
  </si>
  <si>
    <t>01508</t>
  </si>
  <si>
    <t>INTERPOL - UNITED STATES NATIONAL CENTRAL BUREAU</t>
  </si>
  <si>
    <t>01509</t>
  </si>
  <si>
    <t>CIVIL RIGHTS DIVISION</t>
  </si>
  <si>
    <t>01510</t>
  </si>
  <si>
    <t>OFFICE OF LEGISLATIVE AFFAIRS</t>
  </si>
  <si>
    <t>01511</t>
  </si>
  <si>
    <t>CRIMINAL DIVISION</t>
  </si>
  <si>
    <t>01512</t>
  </si>
  <si>
    <t>OFFICE OF THE DEPUTY ATTORNEY GENERAL</t>
  </si>
  <si>
    <t>01513</t>
  </si>
  <si>
    <t>FEDERAL BUREAU OF INVESTIGATION</t>
  </si>
  <si>
    <t>01514</t>
  </si>
  <si>
    <t>FEDERAL PRISON INDUSTRIES</t>
  </si>
  <si>
    <t>01515</t>
  </si>
  <si>
    <t>INACTIVE INACTIVEIMMIGRATION AND NATURALIZATION SERVICE</t>
  </si>
  <si>
    <t>01516</t>
  </si>
  <si>
    <t>NATIONAL INSTITUTE OF CORRECTIONS</t>
  </si>
  <si>
    <t>01517</t>
  </si>
  <si>
    <t>ENVIRONMENT AND NATURAL RESOURCES DIVISION</t>
  </si>
  <si>
    <t>01518</t>
  </si>
  <si>
    <t>OFFICE OF LEGAL COUNSEL</t>
  </si>
  <si>
    <t>01519</t>
  </si>
  <si>
    <t>BUREAU OF PRISONS</t>
  </si>
  <si>
    <t>01520</t>
  </si>
  <si>
    <t>OFFICE OF THE SOLICITOR GENERAL</t>
  </si>
  <si>
    <t>01521</t>
  </si>
  <si>
    <t>TAX DIVISION</t>
  </si>
  <si>
    <t>01522</t>
  </si>
  <si>
    <t>OFFICE OF PUBLIC AFFAIRS</t>
  </si>
  <si>
    <t>01523</t>
  </si>
  <si>
    <t>TELECOMMUNICATIONS SERVICES AND COMPUTER SERVICES STAFFS</t>
  </si>
  <si>
    <t>01524</t>
  </si>
  <si>
    <t>PARDON ATTORNEY</t>
  </si>
  <si>
    <t>01525</t>
  </si>
  <si>
    <t>UNITED STATES MARSHALS SERVICE</t>
  </si>
  <si>
    <t>01526</t>
  </si>
  <si>
    <t>EXECUTIVE OFFICE FOR IMMIGRATION REVIEW</t>
  </si>
  <si>
    <t>01527</t>
  </si>
  <si>
    <t>01528</t>
  </si>
  <si>
    <t>OFFICE OF JUSTICE PROGRAMS</t>
  </si>
  <si>
    <t>01529</t>
  </si>
  <si>
    <t>COMMUNITY RELATIONS SERVICE</t>
  </si>
  <si>
    <t>01530</t>
  </si>
  <si>
    <t>INFORMATION SYSTEMS STAFF</t>
  </si>
  <si>
    <t>01531</t>
  </si>
  <si>
    <t>UNITED STATES PAROLE COMMISSION</t>
  </si>
  <si>
    <t>01532</t>
  </si>
  <si>
    <t>DRUG ENFORCEMENT ADMINISTRATION</t>
  </si>
  <si>
    <t>01533</t>
  </si>
  <si>
    <t>OFFICE OF INTELLIGENCE POLICY AND REVIEW</t>
  </si>
  <si>
    <t>01534</t>
  </si>
  <si>
    <t>OFFICE OF THE SPECIAL PROSECUTOR</t>
  </si>
  <si>
    <t>01535</t>
  </si>
  <si>
    <t>OFFICE OF U.S. ATTORNEYS</t>
  </si>
  <si>
    <t>01536</t>
  </si>
  <si>
    <t>FOREIGN CLAIMS SETTLEMENT COMMISSION</t>
  </si>
  <si>
    <t>01537</t>
  </si>
  <si>
    <t>OFC OF SPECIAL COUNSEL FOR IMMIG. REL. UNFAIR EMPLOY. PRACT.</t>
  </si>
  <si>
    <t>01538</t>
  </si>
  <si>
    <t>OFFICE OF INTERGOVERNMENTAL AFFAIRS</t>
  </si>
  <si>
    <t>01539</t>
  </si>
  <si>
    <t>01540</t>
  </si>
  <si>
    <t>CIVIL LIBERTIES PUBLIC EDUCATION</t>
  </si>
  <si>
    <t>01541</t>
  </si>
  <si>
    <t>JD COUNSEL ON COMMUNICATION NETWORK</t>
  </si>
  <si>
    <t>01542</t>
  </si>
  <si>
    <t>DOJ,DRUG INTELLIGENCE CENTER</t>
  </si>
  <si>
    <t>01543</t>
  </si>
  <si>
    <t>DOJ,COURT SVC&amp;OFFENDR SUPVR AG</t>
  </si>
  <si>
    <t>01544</t>
  </si>
  <si>
    <t>DOJ,OFFICE ON VIOLENCE AGAINST WOMEN</t>
  </si>
  <si>
    <t>01545</t>
  </si>
  <si>
    <t>ORGANIZED CRIME DRUG ENFORCEMENT TASK FORCE</t>
  </si>
  <si>
    <t>01546</t>
  </si>
  <si>
    <t>D.O.J./NATIONAL PRISON RAPE ELIMINATION COMMISSION</t>
  </si>
  <si>
    <t>01547</t>
  </si>
  <si>
    <t>FED BUR OF PRISONS, FDC PHILADELPHIA</t>
  </si>
  <si>
    <t>01551</t>
  </si>
  <si>
    <t>GOVERNMENT CONTRATORS EXPIRED CODE - USE ABC 1599</t>
  </si>
  <si>
    <t>01593</t>
  </si>
  <si>
    <t>BUR OF ALCOHOL,TOBACCO,FIREARMS &amp; EXPLOSIVES</t>
  </si>
  <si>
    <t>01597</t>
  </si>
  <si>
    <t>01599</t>
  </si>
  <si>
    <t>01600</t>
  </si>
  <si>
    <t>DEPARTMENT OF LABOR</t>
  </si>
  <si>
    <t>01602</t>
  </si>
  <si>
    <t>ASSISTANT SECRETARY FOR ADMINISTRATION AND MANAGEMENT</t>
  </si>
  <si>
    <t>01603</t>
  </si>
  <si>
    <t>MINE SAFETY AND HEALTH ADMINISTRATION</t>
  </si>
  <si>
    <t>01604</t>
  </si>
  <si>
    <t>01605</t>
  </si>
  <si>
    <t>EMPLOYEE BENEFITS SECURITY ADMIN</t>
  </si>
  <si>
    <t>01606</t>
  </si>
  <si>
    <t>PENSION BENEFIT GUARANTY CORPORATION</t>
  </si>
  <si>
    <t>01607</t>
  </si>
  <si>
    <t>BUREAU OF LABOR MGMT RELATIONS AND COOPERATIVE PROGRAMS</t>
  </si>
  <si>
    <t>01608</t>
  </si>
  <si>
    <t>OFFICE OF THE AMERICAN WORKFORCE</t>
  </si>
  <si>
    <t>01609</t>
  </si>
  <si>
    <t>BUREAU OF INTERNATIONAL LABOR AFFAIRS</t>
  </si>
  <si>
    <t>01610</t>
  </si>
  <si>
    <t>01611</t>
  </si>
  <si>
    <t>DOL LAND MGMT EXPIRED CODE - DO NOT ASSIGN</t>
  </si>
  <si>
    <t>01612</t>
  </si>
  <si>
    <t>LAB DEPT, OFC ADUDCTRY SRVS</t>
  </si>
  <si>
    <t>01613</t>
  </si>
  <si>
    <t xml:space="preserve">DEPARTMENT OF LABOR-OFFICE OF PUBLIC AFFAIRS NATL CALL CNTR </t>
  </si>
  <si>
    <t>01614</t>
  </si>
  <si>
    <t>OCCUPATIONAL SAFETY AND HEALTH ADMINISTRATION</t>
  </si>
  <si>
    <t>01615</t>
  </si>
  <si>
    <t>BUREAU OF LABOR STATISTICS</t>
  </si>
  <si>
    <t>01616</t>
  </si>
  <si>
    <t>EMPLOYMENT AND TRAINING ADMINISTRATION</t>
  </si>
  <si>
    <t>01617</t>
  </si>
  <si>
    <t>OFFICE OF THE SECRETARY OF LABOR</t>
  </si>
  <si>
    <t>01618</t>
  </si>
  <si>
    <t>EMPLOYMENT STANDARDS ADMINISTRATION</t>
  </si>
  <si>
    <t>01619</t>
  </si>
  <si>
    <t>01620</t>
  </si>
  <si>
    <t>VETERANS EMPLOYMENT AND TRAINING ADMINISTRATION</t>
  </si>
  <si>
    <t>01621</t>
  </si>
  <si>
    <t>LD PUBLIC AFFAIRS</t>
  </si>
  <si>
    <t>01622</t>
  </si>
  <si>
    <t>LD CONGRESSNL &amp; INTERGOVT AFFAIRS</t>
  </si>
  <si>
    <t>01623</t>
  </si>
  <si>
    <t>LD ASSIST SECRETARY FOR POLICY</t>
  </si>
  <si>
    <t>01624</t>
  </si>
  <si>
    <t>LD WOMEN'S BUREAU</t>
  </si>
  <si>
    <t>01625</t>
  </si>
  <si>
    <t>LD BENEFITS REVIEW BOARD</t>
  </si>
  <si>
    <t>01626</t>
  </si>
  <si>
    <t>LD EMPLOY COMP APPEALS BOARD</t>
  </si>
  <si>
    <t>01627</t>
  </si>
  <si>
    <t>LD ADMINISTRATIVE REVIEW BOARD</t>
  </si>
  <si>
    <t>01628</t>
  </si>
  <si>
    <t>OASAM/ITC DATA NETWORK</t>
  </si>
  <si>
    <t>01629</t>
  </si>
  <si>
    <t>01630</t>
  </si>
  <si>
    <t>EMPLOY. STANDARDS ADMIN., OFC OF WORKERS' COMP. PRGMS</t>
  </si>
  <si>
    <t>01631</t>
  </si>
  <si>
    <t>EMPLOYMENT STANDARDS ADMINISTRATION, WAGE AND HOUR DIVISION</t>
  </si>
  <si>
    <t>01632</t>
  </si>
  <si>
    <t>EMPLOY. STANDARDS ADMIN., OFC OF CONTRACT COMPLIANCE PRGMS</t>
  </si>
  <si>
    <t>01633</t>
  </si>
  <si>
    <t>EMPLOY. AND TRAIN. ADMIN., BUR. OF APPRENTICESHIP AND TRAIN.</t>
  </si>
  <si>
    <t>01634</t>
  </si>
  <si>
    <t>EMPLOYMENT AND TRAINING ADMINISTRATION, OFFICE OF JOB CORPS</t>
  </si>
  <si>
    <t>01635</t>
  </si>
  <si>
    <t>MINE SFETY AND HEALTH ADMIN., OFC OF THE ASSIST. SEC.</t>
  </si>
  <si>
    <t>01636</t>
  </si>
  <si>
    <t>MINE SFETY AND HEALTH ADMIN., ADMINISTRATION AND MANAGEMENT</t>
  </si>
  <si>
    <t>01637</t>
  </si>
  <si>
    <t>MINE SAFETY AND HEALTH ADMINISTRATION, OFFICE OF ASSESSMENTS</t>
  </si>
  <si>
    <t>01638</t>
  </si>
  <si>
    <t>MINE SFTY AND HEALTH ADMIN., COAL MINE SAFETY AND HEALTH</t>
  </si>
  <si>
    <t>01639</t>
  </si>
  <si>
    <t>MINE SFTY AND HLTH ADMIN, MTL AND NONMTL MINE SFTY AND HLTH</t>
  </si>
  <si>
    <t>01640</t>
  </si>
  <si>
    <t>MINE SFTY AND HLTH ADMIN., EDUC. POLICY AND DEVELOPMENT</t>
  </si>
  <si>
    <t>01641</t>
  </si>
  <si>
    <t>MINE SFTY AND HLTH ADMIN., OFC OF STDRDS, REGS, AND VARIANC.</t>
  </si>
  <si>
    <t>01642</t>
  </si>
  <si>
    <t>MINE SAFETY AND HEALTH ADMINISTRATION, TECHNICAL SUPPORT</t>
  </si>
  <si>
    <t>01643</t>
  </si>
  <si>
    <t>LD OFFC OF SMALL BUSINESS PROG</t>
  </si>
  <si>
    <t>01644</t>
  </si>
  <si>
    <t>LD ENTERPRISE SERVICES OFFICE</t>
  </si>
  <si>
    <t>01645</t>
  </si>
  <si>
    <t>LD WORKING CAPITAL FUND COMPONENTS</t>
  </si>
  <si>
    <t>01646</t>
  </si>
  <si>
    <t>LD OASAM CONSOLIDATED SERVICES</t>
  </si>
  <si>
    <t>01649</t>
  </si>
  <si>
    <t>ANTI-POVERTY PROGRAMS</t>
  </si>
  <si>
    <t>01651</t>
  </si>
  <si>
    <t>GOVERNMENT CONTRACTORS  EXPIRED CODE - USE ABC 1699</t>
  </si>
  <si>
    <t>01652</t>
  </si>
  <si>
    <t>LD NATL SKILLS STANDARDS BOARD</t>
  </si>
  <si>
    <t>01653</t>
  </si>
  <si>
    <t>LD NATL OCCUPTNL INFO COORD COMM</t>
  </si>
  <si>
    <t>01654</t>
  </si>
  <si>
    <t>LD PRES COMM ON EMP OF PEO W/DISAB</t>
  </si>
  <si>
    <t>01655</t>
  </si>
  <si>
    <t>LD NATL TASK FOR EMP ADULTS W/DISAB</t>
  </si>
  <si>
    <t>01675</t>
  </si>
  <si>
    <t>DEPARTMENT OF LABOR/JOB CORPS PROGRAM</t>
  </si>
  <si>
    <t>01680</t>
  </si>
  <si>
    <t>EMPLOYMENT AND TRAINING ADMINISTRATION, JOB CORPS CENTERS</t>
  </si>
  <si>
    <t>01697</t>
  </si>
  <si>
    <t>01699</t>
  </si>
  <si>
    <t>01700</t>
  </si>
  <si>
    <t>DEPARTMENT OF THE NAVY</t>
  </si>
  <si>
    <t>01701</t>
  </si>
  <si>
    <t>SECRETARY OF THE NAVY</t>
  </si>
  <si>
    <t>01702</t>
  </si>
  <si>
    <t>CHIEF OF NAVAL RESEARCH</t>
  </si>
  <si>
    <t>01703</t>
  </si>
  <si>
    <t>COMMANDER IN CHIEF PACIFIC FLEET</t>
  </si>
  <si>
    <t>01704</t>
  </si>
  <si>
    <t>COMPTROLLER OF THE NAVY</t>
  </si>
  <si>
    <t>01705</t>
  </si>
  <si>
    <t>COMMANDER IN CHIEF ATLANTIC FLEET</t>
  </si>
  <si>
    <t>01706</t>
  </si>
  <si>
    <t>CHIEF OF NAVAL OPERATIONS</t>
  </si>
  <si>
    <t>01707</t>
  </si>
  <si>
    <t>NAVAL SEA SYSTEMS COMMAND</t>
  </si>
  <si>
    <t>01708</t>
  </si>
  <si>
    <t>CHIEF OF NAVAL EDUCATION AND TRAINING</t>
  </si>
  <si>
    <t>01709</t>
  </si>
  <si>
    <t>COMMANDER, NAVAL AIR ATLANTIC FLEET</t>
  </si>
  <si>
    <t>01710</t>
  </si>
  <si>
    <t>CHIEF OF NAVAL PERSONNEL</t>
  </si>
  <si>
    <t>01711</t>
  </si>
  <si>
    <t>COMMANDER, NAVAL FACILITIES ENGINEERING COMMAND</t>
  </si>
  <si>
    <t>01712</t>
  </si>
  <si>
    <t>BUREAU OF MEDICINE AND SURGERY</t>
  </si>
  <si>
    <t>01713</t>
  </si>
  <si>
    <t>COMMANDER, NAVAL AIR PACIFIC FLEET</t>
  </si>
  <si>
    <t>01714</t>
  </si>
  <si>
    <t>NAVAL MATERIAL COMMAND</t>
  </si>
  <si>
    <t>01715</t>
  </si>
  <si>
    <t>COMMANDER, NAVAL ELECTRONIC SYSTEMS COMMAND</t>
  </si>
  <si>
    <t>01716</t>
  </si>
  <si>
    <t>OCEANOGRAPHER OF THE NAVY</t>
  </si>
  <si>
    <t>01717</t>
  </si>
  <si>
    <t>COMMANDER, NAVAL SUPPLY SYSTEMS COMMAND</t>
  </si>
  <si>
    <t>01718</t>
  </si>
  <si>
    <t>NAVAL TELECOMMUNICATIONS COMMAND</t>
  </si>
  <si>
    <t>01719</t>
  </si>
  <si>
    <t>COMMANDER, NAVAL AIR SYSTEMS COMMAND</t>
  </si>
  <si>
    <t>01720</t>
  </si>
  <si>
    <t>NAVAL SECURITY GROUP ACTIVITY</t>
  </si>
  <si>
    <t>01721</t>
  </si>
  <si>
    <t>NAVAL RECRUITING AREA ONE</t>
  </si>
  <si>
    <t>01722</t>
  </si>
  <si>
    <t>NAVAL INTELLIGENCE COMMAND HEADQUARTERS</t>
  </si>
  <si>
    <t>01723</t>
  </si>
  <si>
    <t>COMMANDING GENERAL, 4TH MARINE DIVISION</t>
  </si>
  <si>
    <t>01724</t>
  </si>
  <si>
    <t>COMMANDER, NAVAL WEATHER SERVICE COMMAND</t>
  </si>
  <si>
    <t>01725</t>
  </si>
  <si>
    <t>NAVAL RESERVE REC CMMND AREA PAC</t>
  </si>
  <si>
    <t>01726</t>
  </si>
  <si>
    <t>CMNDR,MILTARY SEALINFT CMMD,WASHING HQ</t>
  </si>
  <si>
    <t>01727</t>
  </si>
  <si>
    <t>NAVY/MOBCOM</t>
  </si>
  <si>
    <t>01728</t>
  </si>
  <si>
    <t>CHIEF OF NAVAL RESERVE</t>
  </si>
  <si>
    <t>01729</t>
  </si>
  <si>
    <t>NAVY RESALE SYSTEMS OFFICE</t>
  </si>
  <si>
    <t>01730</t>
  </si>
  <si>
    <t>COMMANDANT OF THE MARINE CORPS</t>
  </si>
  <si>
    <t>01731</t>
  </si>
  <si>
    <t>NAVAL RECRUITING AREA THREE</t>
  </si>
  <si>
    <t>01732</t>
  </si>
  <si>
    <t>NAVAL RECRUITING AREA FOUR</t>
  </si>
  <si>
    <t>01733</t>
  </si>
  <si>
    <t>CHIEF OF NAVAL AIR TRAINING</t>
  </si>
  <si>
    <t>01734</t>
  </si>
  <si>
    <t>NAVAL RECRUITING AREA FIVE</t>
  </si>
  <si>
    <t>01735</t>
  </si>
  <si>
    <t>NAVAL RECRUITING AREA SEVEN</t>
  </si>
  <si>
    <t>01736</t>
  </si>
  <si>
    <t>COMMANDER, NAVAL RECRUITING COMMAND</t>
  </si>
  <si>
    <t>01737</t>
  </si>
  <si>
    <t>MARINE CORPS AIR BASES - EASTERN AREA</t>
  </si>
  <si>
    <t>01738</t>
  </si>
  <si>
    <t>MARINE CORPS AIR BASES - WESTERN AREA</t>
  </si>
  <si>
    <t>01739</t>
  </si>
  <si>
    <t>MARINE AIR RESERVE TRAINING COMMAND</t>
  </si>
  <si>
    <t>01740</t>
  </si>
  <si>
    <t>6TH MARINE CORPS DISTRICT</t>
  </si>
  <si>
    <t>01741</t>
  </si>
  <si>
    <t>1ST MARINE CORPS DISTRICT</t>
  </si>
  <si>
    <t>01742</t>
  </si>
  <si>
    <t>9TH MARINE CORPS DISTRICT</t>
  </si>
  <si>
    <t>01743</t>
  </si>
  <si>
    <t>8TH MARINE CORPS DISTRICT</t>
  </si>
  <si>
    <t>01744</t>
  </si>
  <si>
    <t>4TH MARINE CORPS DISTRICT</t>
  </si>
  <si>
    <t>01745</t>
  </si>
  <si>
    <t>12TH MARINE CORPS DISTRICT</t>
  </si>
  <si>
    <t>01746</t>
  </si>
  <si>
    <t>CHIEF OF NAVAL TECHNICAL TRAINING</t>
  </si>
  <si>
    <t>01747</t>
  </si>
  <si>
    <t>USN PETR OIL SHALE</t>
  </si>
  <si>
    <t>01748</t>
  </si>
  <si>
    <t>CHIEF OF INFORMATION</t>
  </si>
  <si>
    <t>01749</t>
  </si>
  <si>
    <t>NAVAL RECRUITING AREA EIGHT</t>
  </si>
  <si>
    <t>01750</t>
  </si>
  <si>
    <t>NAVAL SUPPLY CENTER</t>
  </si>
  <si>
    <t>01751</t>
  </si>
  <si>
    <t>GOVERNMENT CONTRACTORS  EXPIRED CODE - USE ABC 1799</t>
  </si>
  <si>
    <t>01752</t>
  </si>
  <si>
    <t>USMC,QUANTICO DEPENDENT SCHOOL SYS</t>
  </si>
  <si>
    <t>01753</t>
  </si>
  <si>
    <t>COMMANDER NAVAL INSTALLATIONS</t>
  </si>
  <si>
    <t>01754</t>
  </si>
  <si>
    <t>CMMDR,MILTRY SEALIFT COMMD-PACIFIC</t>
  </si>
  <si>
    <t>01755</t>
  </si>
  <si>
    <t>CMMDR,MILTRY SEALIFT COMM-ATLANTIC</t>
  </si>
  <si>
    <t>01756</t>
  </si>
  <si>
    <t>CMMDR,MILTRY SEALIFT COMM-EUROPE</t>
  </si>
  <si>
    <t>01757</t>
  </si>
  <si>
    <t>CMMDR,MILTRY SEALIFT COMM-CENTRAL</t>
  </si>
  <si>
    <t>01758</t>
  </si>
  <si>
    <t>CMMDR,MILTRY SEALIFT COMM-FAR EAST</t>
  </si>
  <si>
    <t>01759</t>
  </si>
  <si>
    <t>DEPT OF NAVY/TSO-KC</t>
  </si>
  <si>
    <t>01760</t>
  </si>
  <si>
    <t>DEPT OF NAVY/MCEITS</t>
  </si>
  <si>
    <t>01761</t>
  </si>
  <si>
    <t>US MARINE CORPS,TSO ATTN: KEN POWELL</t>
  </si>
  <si>
    <t>01762</t>
  </si>
  <si>
    <t>US MARINE CORPS,TSO ATTN: JULENE KIRKE</t>
  </si>
  <si>
    <t>01763</t>
  </si>
  <si>
    <t>US MARINE CORPS,TSO ATTN: MARY ECKART</t>
  </si>
  <si>
    <t>01764</t>
  </si>
  <si>
    <t>NAVAL MEDICAL INFO SYS SUPPT ACTIVITY</t>
  </si>
  <si>
    <t>01775</t>
  </si>
  <si>
    <t>U.S. MARINE CORPS, CHIEF INFORMATION OFFICER</t>
  </si>
  <si>
    <t>01797</t>
  </si>
  <si>
    <t>01799</t>
  </si>
  <si>
    <t>01800</t>
  </si>
  <si>
    <t>UNITED STATES POSTAL SERVICE</t>
  </si>
  <si>
    <t>01801</t>
  </si>
  <si>
    <t>CHIEF POSTAL INSPECTOR</t>
  </si>
  <si>
    <t>01803</t>
  </si>
  <si>
    <t>FACILITIES</t>
  </si>
  <si>
    <t>01804</t>
  </si>
  <si>
    <t>USPO, OFC OF INSPECTOR GENERAL</t>
  </si>
  <si>
    <t>01805</t>
  </si>
  <si>
    <t>FINANCE AND ADMINISTRATION</t>
  </si>
  <si>
    <t>01807</t>
  </si>
  <si>
    <t>OPERATIONS</t>
  </si>
  <si>
    <t>01809</t>
  </si>
  <si>
    <t>PERSONNEL</t>
  </si>
  <si>
    <t>01810</t>
  </si>
  <si>
    <t>POSTAL SUPPLY DEPOTS</t>
  </si>
  <si>
    <t>01811</t>
  </si>
  <si>
    <t>OFFICE OF POSTMASTER GENERAL</t>
  </si>
  <si>
    <t>01812</t>
  </si>
  <si>
    <t>POSTMASTERS</t>
  </si>
  <si>
    <t>01813</t>
  </si>
  <si>
    <t>REGIONAL COMPTROLLER</t>
  </si>
  <si>
    <t>01814</t>
  </si>
  <si>
    <t>BUREAU OF PLANNING AND MARKETING</t>
  </si>
  <si>
    <t>01815</t>
  </si>
  <si>
    <t>TRANSPORTATION AND INTERNATIONAL SERVICE</t>
  </si>
  <si>
    <t>01816</t>
  </si>
  <si>
    <t>DISTRICT MANAGERS</t>
  </si>
  <si>
    <t>01817</t>
  </si>
  <si>
    <t>COMMISSION ON POSTAL SERVICE</t>
  </si>
  <si>
    <t>01831</t>
  </si>
  <si>
    <t>POSTAL REGULATORY COMMISSION</t>
  </si>
  <si>
    <t>01851</t>
  </si>
  <si>
    <t>GOVERNMENT CONTRACTORS  EXPIRED CODE - USE ABC 1899</t>
  </si>
  <si>
    <t>01897</t>
  </si>
  <si>
    <t>01899</t>
  </si>
  <si>
    <t>01900</t>
  </si>
  <si>
    <t>DEPARTMENT OF STATE</t>
  </si>
  <si>
    <t>01901</t>
  </si>
  <si>
    <t>BUREAU OF ADMINISTRATION</t>
  </si>
  <si>
    <t>01902</t>
  </si>
  <si>
    <t>OFFICE OF THE UNDER SECRETARY FOR MANAGEMENT</t>
  </si>
  <si>
    <t>01903</t>
  </si>
  <si>
    <t>AFRICAN AFFAIRS</t>
  </si>
  <si>
    <t>01904</t>
  </si>
  <si>
    <t>POLITICO - MILITARY AFFAIRS</t>
  </si>
  <si>
    <t>01905</t>
  </si>
  <si>
    <t>ECONOMIC AFFAIRS AND BUSINESS AFFAIRS</t>
  </si>
  <si>
    <t>01906</t>
  </si>
  <si>
    <t>CUBAN HAITIAN TASK FORCE</t>
  </si>
  <si>
    <t>01907</t>
  </si>
  <si>
    <t>EUROPEAN AFFAIRS</t>
  </si>
  <si>
    <t>01908</t>
  </si>
  <si>
    <t>BUREAU OF INTERNATIONAL NARCOTICS MATTERS</t>
  </si>
  <si>
    <t>01909</t>
  </si>
  <si>
    <t>EAST ASIAN AND PACIFIC AFFAIRS</t>
  </si>
  <si>
    <t>01910</t>
  </si>
  <si>
    <t>MULTINATIONAL FORCE AND OBSERVERS</t>
  </si>
  <si>
    <t>01911</t>
  </si>
  <si>
    <t>INTELLIGENCE AND RESEARCH</t>
  </si>
  <si>
    <t>01912</t>
  </si>
  <si>
    <t>BUREAU OF REFUGEE PROGRAMS</t>
  </si>
  <si>
    <t>01913</t>
  </si>
  <si>
    <t>INTER-AMERICAN AFFAIRS</t>
  </si>
  <si>
    <t>01915</t>
  </si>
  <si>
    <t>INTERNATIONAL BOUNDARY AND WATER COMMISSION, U.S. AND MEXICO</t>
  </si>
  <si>
    <t>01917</t>
  </si>
  <si>
    <t>INTERNATIONAL BOUNDARY COMMISSION, U.S. AND CANADA</t>
  </si>
  <si>
    <t>01919</t>
  </si>
  <si>
    <t>INTERNATIONAL JOINT COMMISSION, U.S. AND CANADA</t>
  </si>
  <si>
    <t>01921</t>
  </si>
  <si>
    <t>INTERNATIONAL ORGANIZATION AFFAIRS</t>
  </si>
  <si>
    <t>01922</t>
  </si>
  <si>
    <t>OCEAN AND INTERNATIONAL ENVIRONMENTAL SCIENTIFIC AFFAIRS</t>
  </si>
  <si>
    <t>01923</t>
  </si>
  <si>
    <t>NEAR EASTERN AND SOUTH ASIAN AFFAIRS</t>
  </si>
  <si>
    <t>01924</t>
  </si>
  <si>
    <t>HUMAN RIGHTS AND HUMANITARIAN AFFAIRS</t>
  </si>
  <si>
    <t>01925</t>
  </si>
  <si>
    <t>PUBLIC AFFAIRS</t>
  </si>
  <si>
    <t>01927</t>
  </si>
  <si>
    <t>01928</t>
  </si>
  <si>
    <t>INFORMATION SYSTEMS OFFICE</t>
  </si>
  <si>
    <t>01929</t>
  </si>
  <si>
    <t>CONSULAR AFFAIRS</t>
  </si>
  <si>
    <t>01930</t>
  </si>
  <si>
    <t>OFFICE OF FOREIGN MISSIONS</t>
  </si>
  <si>
    <t>01931</t>
  </si>
  <si>
    <t>UNITED STATES MISSION TO THE UNITED NATIONS</t>
  </si>
  <si>
    <t>01934</t>
  </si>
  <si>
    <t>01935</t>
  </si>
  <si>
    <t>DEPUTY ASSISTANT SECRETARY FOR BUDGET AND FINANCE</t>
  </si>
  <si>
    <t>01936</t>
  </si>
  <si>
    <t>OFFICE OF FOREIGN BUILDINGS</t>
  </si>
  <si>
    <t>01937</t>
  </si>
  <si>
    <t>FOREIGN SERVICE INSTITUTE</t>
  </si>
  <si>
    <t>01938</t>
  </si>
  <si>
    <t>INSPECTOR GENERAL</t>
  </si>
  <si>
    <t>01939</t>
  </si>
  <si>
    <t>LEGAL ADVISER</t>
  </si>
  <si>
    <t>01940</t>
  </si>
  <si>
    <t>OFFICE OF MANAGEMENT</t>
  </si>
  <si>
    <t>01941</t>
  </si>
  <si>
    <t>DEPUTY ASSISTANT SECRETARY FOR OPERATIONS</t>
  </si>
  <si>
    <t>01942</t>
  </si>
  <si>
    <t>BUREAU OF PERSONNEL</t>
  </si>
  <si>
    <t>01943</t>
  </si>
  <si>
    <t>DEPUTY ASSISTANT SECRETARY FOR SECURITY</t>
  </si>
  <si>
    <t>01949</t>
  </si>
  <si>
    <t>NO BUREAU IDENTIFICATION</t>
  </si>
  <si>
    <t>01961</t>
  </si>
  <si>
    <t>SD DPLMTC TELECOMM SVC</t>
  </si>
  <si>
    <t>01997</t>
  </si>
  <si>
    <t>01999</t>
  </si>
  <si>
    <t>02000</t>
  </si>
  <si>
    <t>DEPARTMENT OF THE TREASURY</t>
  </si>
  <si>
    <t>02001</t>
  </si>
  <si>
    <t>FINANCIAL MANAGEMENT SERVICE</t>
  </si>
  <si>
    <t>02002</t>
  </si>
  <si>
    <t>BUREAU OF THE FISCAL SERVICE</t>
  </si>
  <si>
    <t>02003</t>
  </si>
  <si>
    <t>OFFICE OF THE COMPTROLLER OF THE CURRENCY</t>
  </si>
  <si>
    <t>02005</t>
  </si>
  <si>
    <t>U.S. CUSTOMS SERVICE</t>
  </si>
  <si>
    <t>02006</t>
  </si>
  <si>
    <t>TREAS,US CUST SVC,NATL LAW ENFOR</t>
  </si>
  <si>
    <t>02007</t>
  </si>
  <si>
    <t>ASSISTANT SECRETARY FOR INTERNATIONAL AFFAIRS</t>
  </si>
  <si>
    <t>02008</t>
  </si>
  <si>
    <t>TD</t>
  </si>
  <si>
    <t>02009</t>
  </si>
  <si>
    <t>BUREAU OF ENGRAVING AND PRINTING</t>
  </si>
  <si>
    <t>02011</t>
  </si>
  <si>
    <t>INTERNAL REVENUE SERVICE NATIONAL OFFICE</t>
  </si>
  <si>
    <t>02012</t>
  </si>
  <si>
    <t>UNITED STATES MINT - DENVER</t>
  </si>
  <si>
    <t>02013</t>
  </si>
  <si>
    <t>UNITED STATES MINT-WASHINGTON DC</t>
  </si>
  <si>
    <t>02014</t>
  </si>
  <si>
    <t>UNITED STATES MINT-SAN FRANCISCO</t>
  </si>
  <si>
    <t>02015</t>
  </si>
  <si>
    <t>ALCOHOL AND TOBACCO TAX AND TRADE BUREAU</t>
  </si>
  <si>
    <t>02017</t>
  </si>
  <si>
    <t>BUREAU OF PUBLIC DEBT</t>
  </si>
  <si>
    <t>02018</t>
  </si>
  <si>
    <t>INACTIVE BUREAU OF PUBLIC DEBT</t>
  </si>
  <si>
    <t>02019</t>
  </si>
  <si>
    <t>02020</t>
  </si>
  <si>
    <t>TREAS COMMUNICATIONS SYSTM</t>
  </si>
  <si>
    <t>02021</t>
  </si>
  <si>
    <t>FINANCIAL CRIMES ENFORCEMENT</t>
  </si>
  <si>
    <t>02023</t>
  </si>
  <si>
    <t>TD ORS</t>
  </si>
  <si>
    <t>02025</t>
  </si>
  <si>
    <t>UNITED STATES SAVINGS BOND DIVISION</t>
  </si>
  <si>
    <t>02027</t>
  </si>
  <si>
    <t>UNITED STATES SECRET SERVICE</t>
  </si>
  <si>
    <t>02028</t>
  </si>
  <si>
    <t>TD OFF DOM GLD SLVR</t>
  </si>
  <si>
    <t>02029</t>
  </si>
  <si>
    <t>CONSOLIDATED FEDERAL LAW ENFORCEMENT TRAINING CENTER</t>
  </si>
  <si>
    <t>02030</t>
  </si>
  <si>
    <t>02031</t>
  </si>
  <si>
    <t>OFFICE OF THRIFT SUPERVISION</t>
  </si>
  <si>
    <t>02032</t>
  </si>
  <si>
    <t>INACTIVE INTERNAL REVENUE SERVICE - SOUTHEAST REGION</t>
  </si>
  <si>
    <t>02033</t>
  </si>
  <si>
    <t>INACTIVE INTERNAL REVENUE SERVICE - WESTERN REGION</t>
  </si>
  <si>
    <t>02034</t>
  </si>
  <si>
    <t>INACTIVE INTERNAL REVENUE SERVICE - MIDSTATES REGION</t>
  </si>
  <si>
    <t>02035</t>
  </si>
  <si>
    <t>INACTIVE INTERNAL REVENUE SERVICE - NORTHEAST REGION</t>
  </si>
  <si>
    <t>02038</t>
  </si>
  <si>
    <t>IG FOR TAX ADMINISTRATION</t>
  </si>
  <si>
    <t>02039</t>
  </si>
  <si>
    <t>DEPT OF TREAS,WIRELESS ACTIVITIES</t>
  </si>
  <si>
    <t>02040</t>
  </si>
  <si>
    <t>DTS-METRO AREA NETWORK</t>
  </si>
  <si>
    <t>02041</t>
  </si>
  <si>
    <t>02050</t>
  </si>
  <si>
    <t>COMMUNITY DEVEL INST FND</t>
  </si>
  <si>
    <t>02051</t>
  </si>
  <si>
    <t>GOVERNMENT CONTRACTORS (EXP. CODE - USE CODE 2099)</t>
  </si>
  <si>
    <t>02055</t>
  </si>
  <si>
    <t>DHS,OFFIC INSPECTOR GENERAL-ALT CD</t>
  </si>
  <si>
    <t>02083</t>
  </si>
  <si>
    <t>SPECIAL INSPECTOR GENERAL TROUBLED ASSET RELIEF PROG</t>
  </si>
  <si>
    <t>02097</t>
  </si>
  <si>
    <t>02099</t>
  </si>
  <si>
    <t>02100</t>
  </si>
  <si>
    <t>DEPARTMENT OF THE ARMY</t>
  </si>
  <si>
    <t>02101</t>
  </si>
  <si>
    <t>COMMUNICATIONS COMMAND</t>
  </si>
  <si>
    <t>02102</t>
  </si>
  <si>
    <t>JOINT FORCES HEADQUARTERS NCR/MILITARY DC WASH</t>
  </si>
  <si>
    <t>02103</t>
  </si>
  <si>
    <t>U.S. ARMY INFORMATION SYSTEMS COMMAND</t>
  </si>
  <si>
    <t>02104</t>
  </si>
  <si>
    <t>US ARMY RESERVE COMMAND</t>
  </si>
  <si>
    <t>02105</t>
  </si>
  <si>
    <t>U.S. ARMY INTELLIGENCE AGENCY</t>
  </si>
  <si>
    <t>02106</t>
  </si>
  <si>
    <t>SURGEON GENERAL</t>
  </si>
  <si>
    <t>02107</t>
  </si>
  <si>
    <t>USARMY,RECREATION MACHINE PROGRAM</t>
  </si>
  <si>
    <t>02108</t>
  </si>
  <si>
    <t>ARMY CORPS OF ENGINEERS</t>
  </si>
  <si>
    <t>02109</t>
  </si>
  <si>
    <t>USA HQ DENTAL CMD</t>
  </si>
  <si>
    <t>02110</t>
  </si>
  <si>
    <t>US ARMY,DEF TELECOMM SYS-WASH</t>
  </si>
  <si>
    <t>02111</t>
  </si>
  <si>
    <t>ADJUTANT GENERAL</t>
  </si>
  <si>
    <t>02112</t>
  </si>
  <si>
    <t>US ARMY INTELLIGENCE AND SECURITY COMMAND</t>
  </si>
  <si>
    <t>02113</t>
  </si>
  <si>
    <t>US ARMY RECRUITNG COMMAND-ACTIVE</t>
  </si>
  <si>
    <t>02114</t>
  </si>
  <si>
    <t>US ARMY CRIMINAL INVESTIGATION COMMAND</t>
  </si>
  <si>
    <t>02115</t>
  </si>
  <si>
    <t>US ARMY RECRUITNG COMMAND-RESERVE</t>
  </si>
  <si>
    <t>02116</t>
  </si>
  <si>
    <t>US ARMY MEDICAL COMMAND (MEDCOM)</t>
  </si>
  <si>
    <t>02117</t>
  </si>
  <si>
    <t>ARMY RECRUITNG COMMAND-ADVERTISING</t>
  </si>
  <si>
    <t>02118</t>
  </si>
  <si>
    <t>ARMY NATIONAL GUARD RECRUITERS</t>
  </si>
  <si>
    <t>02119</t>
  </si>
  <si>
    <t>ARMY NATIONAL GUARD - STATES</t>
  </si>
  <si>
    <t>02120</t>
  </si>
  <si>
    <t>THE JUDGE ADVOCATE GENERAL</t>
  </si>
  <si>
    <t>02121</t>
  </si>
  <si>
    <t>US ARMY SPECIAL OPERATIONS COMMAND</t>
  </si>
  <si>
    <t>02122</t>
  </si>
  <si>
    <t>MILITARY POLICE CORPS</t>
  </si>
  <si>
    <t>02123</t>
  </si>
  <si>
    <t>US ARMY ACCESSIONS SUPPORT BRIGADE</t>
  </si>
  <si>
    <t>02124</t>
  </si>
  <si>
    <t>CIVILIAN APPELLATE REVIEW AGENCY</t>
  </si>
  <si>
    <t>02125</t>
  </si>
  <si>
    <t>US ARMY INSTALLATION MANAGEMENT COMMAND</t>
  </si>
  <si>
    <t>02126</t>
  </si>
  <si>
    <t>MILITARY REVIEW BOARDS</t>
  </si>
  <si>
    <t>02127</t>
  </si>
  <si>
    <t>USAR,ARMY RECRUITING COMMAND</t>
  </si>
  <si>
    <t>02128</t>
  </si>
  <si>
    <t>ARMY DIST LEARNING SYS, NEWPRT NEWS, VA</t>
  </si>
  <si>
    <t>02129</t>
  </si>
  <si>
    <t>MISCELLANEOUS DEPARTMENT OF THE ARMY ACTIVITIES</t>
  </si>
  <si>
    <t>02130</t>
  </si>
  <si>
    <t>ARMY FAMILY AND MWR PROGRAMS</t>
  </si>
  <si>
    <t>02131</t>
  </si>
  <si>
    <t>USARMY,HQ,RECRUIT COMM-FT KNOX</t>
  </si>
  <si>
    <t>02132</t>
  </si>
  <si>
    <t>USA ADCOM</t>
  </si>
  <si>
    <t>02133</t>
  </si>
  <si>
    <t>US ARMY AUDIT AGENCY</t>
  </si>
  <si>
    <t>02135</t>
  </si>
  <si>
    <t>MILITARY SURFACE DEPLOYMENT AND DISTRIBUTION COMMAND</t>
  </si>
  <si>
    <t>02136</t>
  </si>
  <si>
    <t>US ARMY SPACE AND MISSILE DEFENSE COMMAND</t>
  </si>
  <si>
    <t>02137</t>
  </si>
  <si>
    <t>TRAINING AND DOCTRINE COMMAND</t>
  </si>
  <si>
    <t>02138</t>
  </si>
  <si>
    <t>US ARMY MATERIAL COMMAND</t>
  </si>
  <si>
    <t>02139</t>
  </si>
  <si>
    <t>US ARMY PERSONNEL CENTER</t>
  </si>
  <si>
    <t>02140</t>
  </si>
  <si>
    <t>US ARMY FORCES COMMAND</t>
  </si>
  <si>
    <t>02141</t>
  </si>
  <si>
    <t>ARMY RECRUITING COMMAND</t>
  </si>
  <si>
    <t>02142</t>
  </si>
  <si>
    <t>MILITARY ENTRANCE PROCESSING COMMAND</t>
  </si>
  <si>
    <t>02143</t>
  </si>
  <si>
    <t>ALASKA COMMAND</t>
  </si>
  <si>
    <t>02145</t>
  </si>
  <si>
    <t>DFAS</t>
  </si>
  <si>
    <t>02146</t>
  </si>
  <si>
    <t>USA SIM TRNG &amp; INSTM</t>
  </si>
  <si>
    <t>02147</t>
  </si>
  <si>
    <t>USA RESEARCH LAB</t>
  </si>
  <si>
    <t>02148</t>
  </si>
  <si>
    <t>US ARMY NETCOM/9TH SIGNAL COMMAND</t>
  </si>
  <si>
    <t>02149</t>
  </si>
  <si>
    <t>US ARMY TEST AND EVAL COMMAND</t>
  </si>
  <si>
    <t>02151</t>
  </si>
  <si>
    <t>DEPT OF ARMY/PROJECT MNGR, LOGISTICS INFO SYSTEMS(PM LIS)</t>
  </si>
  <si>
    <t>02152</t>
  </si>
  <si>
    <t>ARMY LOGISTICS MODERNIZATION PROGRAM</t>
  </si>
  <si>
    <t>02153</t>
  </si>
  <si>
    <t>US ARMY NORTH</t>
  </si>
  <si>
    <t>02154</t>
  </si>
  <si>
    <t>US ARMY ASSIST COMMAND USASAC</t>
  </si>
  <si>
    <t>02155</t>
  </si>
  <si>
    <t>US PROPERTY&amp;FISCAL OFC FOR COLORADO</t>
  </si>
  <si>
    <t>02156</t>
  </si>
  <si>
    <t>ARMY,PROJ MGR/GLOBAL COMBAT SPPT SYS</t>
  </si>
  <si>
    <t>02157</t>
  </si>
  <si>
    <t>DEPT OF ARMY/NATIONAL GUARD BUREAU</t>
  </si>
  <si>
    <t>02158</t>
  </si>
  <si>
    <t>US ARMY CENTRAL COMMAND</t>
  </si>
  <si>
    <t>02159</t>
  </si>
  <si>
    <t>US ARMY PACIFIC</t>
  </si>
  <si>
    <t>02160</t>
  </si>
  <si>
    <t>US ARMY PROGRAM EXECUTIVE OFFICES</t>
  </si>
  <si>
    <t>02161</t>
  </si>
  <si>
    <t>US ARMY SUSTAINMENT COMMAND</t>
  </si>
  <si>
    <t>02163</t>
  </si>
  <si>
    <t>US ARMY AFRICA COMMAND</t>
  </si>
  <si>
    <t>02164</t>
  </si>
  <si>
    <t>US ARMY EUROPE</t>
  </si>
  <si>
    <t>02165</t>
  </si>
  <si>
    <t>US ARMY 650TH MI GROUP</t>
  </si>
  <si>
    <t>02166</t>
  </si>
  <si>
    <t>US ARMY MILITARY ATTACHES</t>
  </si>
  <si>
    <t>02174</t>
  </si>
  <si>
    <t>DEPT OF ARMY/CBHCO</t>
  </si>
  <si>
    <t>02175</t>
  </si>
  <si>
    <t>DEPARTMENT OF THE ARMY,SERMC CBHCO TF</t>
  </si>
  <si>
    <t>02180</t>
  </si>
  <si>
    <t>CECOM LCMC</t>
  </si>
  <si>
    <t>02190</t>
  </si>
  <si>
    <t>STATE/LOCAL DOD/DOJ LAW ENFORCEMENT SUPPORT PROGRAM</t>
  </si>
  <si>
    <t>02197</t>
  </si>
  <si>
    <t>02199</t>
  </si>
  <si>
    <t>02200</t>
  </si>
  <si>
    <t>AGENCY 22</t>
  </si>
  <si>
    <t>02201</t>
  </si>
  <si>
    <t>TDP OVSGHT BOARD</t>
  </si>
  <si>
    <t>02203</t>
  </si>
  <si>
    <t>NTL RR ADJ BD</t>
  </si>
  <si>
    <t>02300</t>
  </si>
  <si>
    <t>UNITED STATES TAX COURT</t>
  </si>
  <si>
    <t>02322</t>
  </si>
  <si>
    <t>INACTIVE</t>
  </si>
  <si>
    <t>02397</t>
  </si>
  <si>
    <t>02400</t>
  </si>
  <si>
    <t>OFFICE OF PERSONNEL MANAGEMENT</t>
  </si>
  <si>
    <t>02401</t>
  </si>
  <si>
    <t>OFFICE OF BUDGET AND MANAGEMENT</t>
  </si>
  <si>
    <t>02405</t>
  </si>
  <si>
    <t>EXPIRED CODE - DO NOT ASSIGN</t>
  </si>
  <si>
    <t>02407</t>
  </si>
  <si>
    <t>02408</t>
  </si>
  <si>
    <t>02409</t>
  </si>
  <si>
    <t>02411</t>
  </si>
  <si>
    <t>02413</t>
  </si>
  <si>
    <t>02415</t>
  </si>
  <si>
    <t>02416</t>
  </si>
  <si>
    <t>PRESIDENT'S COMMISSION ON WHITE HOUSE FELLOWS</t>
  </si>
  <si>
    <t>02417</t>
  </si>
  <si>
    <t>PRESIDENT'S COMMITTEE ON PERSONNEL OPM PER INC INTERCHANGE</t>
  </si>
  <si>
    <t>02497</t>
  </si>
  <si>
    <t>02499</t>
  </si>
  <si>
    <t>OPM PROVIDED SPACE FOR CONTRACT STAFF</t>
  </si>
  <si>
    <t>02500</t>
  </si>
  <si>
    <t>NATIONAL CREDIT UNION ADMINISTRATION</t>
  </si>
  <si>
    <t>02597</t>
  </si>
  <si>
    <t>02600</t>
  </si>
  <si>
    <t>FEDERAL RETIREMENT THRIFT INVESTMENT BOARD</t>
  </si>
  <si>
    <t>02697</t>
  </si>
  <si>
    <t>02700</t>
  </si>
  <si>
    <t>FEDERAL COMMUNICATIONS COMMISSION</t>
  </si>
  <si>
    <t>02797</t>
  </si>
  <si>
    <t>02799</t>
  </si>
  <si>
    <t>02800</t>
  </si>
  <si>
    <t>SOCIAL SECURITY ADMINISTRATION</t>
  </si>
  <si>
    <t>02804</t>
  </si>
  <si>
    <t>02805</t>
  </si>
  <si>
    <t>SOCIAL SECURITY ADMIN,OIG</t>
  </si>
  <si>
    <t>02897</t>
  </si>
  <si>
    <t>02900</t>
  </si>
  <si>
    <t>FEDERAL TRADE COMMISSION</t>
  </si>
  <si>
    <t>02901</t>
  </si>
  <si>
    <t>CALL CENTER FOR CONSUMER PROTECTION</t>
  </si>
  <si>
    <t>02997</t>
  </si>
  <si>
    <t>03100</t>
  </si>
  <si>
    <t>NUCLEAR REGULATORY COMMISSION</t>
  </si>
  <si>
    <t>03197</t>
  </si>
  <si>
    <t>03199</t>
  </si>
  <si>
    <t>03200</t>
  </si>
  <si>
    <t>SYNTHETIC FUELS CORPORATION</t>
  </si>
  <si>
    <t>03203</t>
  </si>
  <si>
    <t>COMMERCE,OFC OF COMPUTER SVCS</t>
  </si>
  <si>
    <t>03297</t>
  </si>
  <si>
    <t>03300</t>
  </si>
  <si>
    <t>SMITHSONIAN INSTITUTION</t>
  </si>
  <si>
    <t>03301</t>
  </si>
  <si>
    <t>ARCHIVES OF AMERICAN ART</t>
  </si>
  <si>
    <t>03303</t>
  </si>
  <si>
    <t>SMITHSONIAN ASTROPHYSICAL OBSERVATORY</t>
  </si>
  <si>
    <t>03305</t>
  </si>
  <si>
    <t>BOARD OF TRUSTEES</t>
  </si>
  <si>
    <t>03307</t>
  </si>
  <si>
    <t>SMITHSONIAN TROPICAL RESEARCH INSTITUTE</t>
  </si>
  <si>
    <t>03309</t>
  </si>
  <si>
    <t>FREER GALLERY OF ART</t>
  </si>
  <si>
    <t>03311</t>
  </si>
  <si>
    <t>INTERNATIONAL EXCHANGE SERVICE</t>
  </si>
  <si>
    <t>03312</t>
  </si>
  <si>
    <t>JOHN F. KENNEDY CENTER FOR THE PERFORMING ARTS</t>
  </si>
  <si>
    <t>03313</t>
  </si>
  <si>
    <t>NATIONAL MUSEUM OF HISTORY AND TECHNOLOGY</t>
  </si>
  <si>
    <t>03315</t>
  </si>
  <si>
    <t>NATIONAL MUSEUM OF NATURAL HISTORY</t>
  </si>
  <si>
    <t>03317</t>
  </si>
  <si>
    <t>NATIONAL AIR AND SPACE MUSEUM</t>
  </si>
  <si>
    <t>03319</t>
  </si>
  <si>
    <t>NATIONAL COLLECTION OF FINE ARTS</t>
  </si>
  <si>
    <t>03320</t>
  </si>
  <si>
    <t>NATIONAL PORTRAIT GALLERY</t>
  </si>
  <si>
    <t>03321</t>
  </si>
  <si>
    <t>NATIONAL GALLERY OF ART</t>
  </si>
  <si>
    <t>03322</t>
  </si>
  <si>
    <t>MARINE SCIENCE CENTER</t>
  </si>
  <si>
    <t>03323</t>
  </si>
  <si>
    <t>NATIONAL ZOOLOGICAL PARK</t>
  </si>
  <si>
    <t>03324</t>
  </si>
  <si>
    <t>RADIATION BIOLOGY LABORATORY</t>
  </si>
  <si>
    <t>03327</t>
  </si>
  <si>
    <t>UNITED STATES NATIONAL MUSEUM</t>
  </si>
  <si>
    <t>03328</t>
  </si>
  <si>
    <t>JOSEPH H. HIRSHHORN MUSEUM AND SCULPTURE GARDEN</t>
  </si>
  <si>
    <t>03329</t>
  </si>
  <si>
    <t>03330</t>
  </si>
  <si>
    <t>DIVISION ON PERFORMING ARTS</t>
  </si>
  <si>
    <t>03331</t>
  </si>
  <si>
    <t>SMITHSONIAN MUSEUM SHOPS</t>
  </si>
  <si>
    <t>03332</t>
  </si>
  <si>
    <t>OFFICE OF CONTRACTING</t>
  </si>
  <si>
    <t>03358</t>
  </si>
  <si>
    <t>SMITHSONIAN,W WILSON INTL CENTER</t>
  </si>
  <si>
    <t>03397</t>
  </si>
  <si>
    <t>03399</t>
  </si>
  <si>
    <t>03400</t>
  </si>
  <si>
    <t>INTERNATIONAL TRADE COMMISSION</t>
  </si>
  <si>
    <t>03497</t>
  </si>
  <si>
    <t>03600</t>
  </si>
  <si>
    <t>DEPARTMENT OF VETERANS AFFAIRS</t>
  </si>
  <si>
    <t>03601</t>
  </si>
  <si>
    <t>03603</t>
  </si>
  <si>
    <t>OFFICE OF TRIBAL</t>
  </si>
  <si>
    <t>03605</t>
  </si>
  <si>
    <t>OFFICE OF ACQUISITION, CONSTRUCTION &amp; LOGISTICS</t>
  </si>
  <si>
    <t>03607</t>
  </si>
  <si>
    <t>VA OIS&amp;T (EXPIRED CODE - DO NOT ASSIGN)</t>
  </si>
  <si>
    <t>03608</t>
  </si>
  <si>
    <t>VA/OFFICE OF INFORMATION TECHNOLOGY</t>
  </si>
  <si>
    <t>03609</t>
  </si>
  <si>
    <t>VETERAN'S HEALTH ADMINISTRATION</t>
  </si>
  <si>
    <t>03610</t>
  </si>
  <si>
    <t>NATIONAL CEMETERY ADMINISTRATION</t>
  </si>
  <si>
    <t>03611</t>
  </si>
  <si>
    <t>VETERANS BENEFITS ADMINISTRATION</t>
  </si>
  <si>
    <t>03613</t>
  </si>
  <si>
    <t>OFFICE OF CONTROLLER</t>
  </si>
  <si>
    <t>03614</t>
  </si>
  <si>
    <t>HUMAN RESOURCES &amp; ADMINISTRATION</t>
  </si>
  <si>
    <t>03615</t>
  </si>
  <si>
    <t>TRAINING ACADEMY  (EXPIRED CODE - DO NOT ASSIGN)</t>
  </si>
  <si>
    <t>03616</t>
  </si>
  <si>
    <t>VA EASAC  (EXPIRED CODE - DO NOT ASSIGN)</t>
  </si>
  <si>
    <t>03620</t>
  </si>
  <si>
    <t>NATIONAL EES PROGRAM</t>
  </si>
  <si>
    <t>03640</t>
  </si>
  <si>
    <t>DEPT OF VA/NATL CEMETARY ADMIN/VA/NCA</t>
  </si>
  <si>
    <t>03697</t>
  </si>
  <si>
    <t>03699</t>
  </si>
  <si>
    <t>03700</t>
  </si>
  <si>
    <t>INDEPENDENT U.S. GOVERNMENT OFFICES</t>
  </si>
  <si>
    <t>COMM ON FINE ARTS</t>
  </si>
  <si>
    <t>03900</t>
  </si>
  <si>
    <t>ADV COMM FED PAY</t>
  </si>
  <si>
    <t>04200</t>
  </si>
  <si>
    <t>PENNSYLVANIA AVENUE DEVELOPMENT CORPORATION</t>
  </si>
  <si>
    <t>04297</t>
  </si>
  <si>
    <t>04300</t>
  </si>
  <si>
    <t>DEFENSE CIVIL PREPAREDNESS AGENCY (EXP. CODE)</t>
  </si>
  <si>
    <t>OES   EXPIRED AGENCY CODE - DO NOT ASSIGN</t>
  </si>
  <si>
    <t>04400</t>
  </si>
  <si>
    <t>CORPORATION FOR NATIONAL SERVICE</t>
  </si>
  <si>
    <t>CORPORATION FOR NATIONAL &amp; COMMUNITY SERVICE</t>
  </si>
  <si>
    <t>04497</t>
  </si>
  <si>
    <t>04500</t>
  </si>
  <si>
    <t>EQUAL EMPLOYMENT OPPORTUNITY COMMISSION</t>
  </si>
  <si>
    <t>04597</t>
  </si>
  <si>
    <t>04599</t>
  </si>
  <si>
    <t>04700</t>
  </si>
  <si>
    <t>GENERAL SERVICES ADMINISTRATION</t>
  </si>
  <si>
    <t>GSA</t>
  </si>
  <si>
    <t>04701</t>
  </si>
  <si>
    <t>OFFICE OF ADMINISTRATOR</t>
  </si>
  <si>
    <t>04702</t>
  </si>
  <si>
    <t>OFFICE OF ACQUISITION POLICY</t>
  </si>
  <si>
    <t>04703</t>
  </si>
  <si>
    <t>04704</t>
  </si>
  <si>
    <t>04705</t>
  </si>
  <si>
    <t>OFFICE OF ETHICS AND CIVIL RIGHTS</t>
  </si>
  <si>
    <t>04706</t>
  </si>
  <si>
    <t>OFFICE OF POLICY, PLANNING, AND EVALUATION</t>
  </si>
  <si>
    <t>04707</t>
  </si>
  <si>
    <t>FEDERAL ACQUISITION SERVICE ALL OTHER</t>
  </si>
  <si>
    <t>04708</t>
  </si>
  <si>
    <t>GSA/OFFICE OF COMMUNICATIONS AND MARKETING</t>
  </si>
  <si>
    <t>04709</t>
  </si>
  <si>
    <t>FEDERAL ACQUISITION SERVICE, ALL OTHER</t>
  </si>
  <si>
    <t>04710</t>
  </si>
  <si>
    <t>OFC OF THE CIO, INDIAN TRIBAL CLAIMS</t>
  </si>
  <si>
    <t>04711</t>
  </si>
  <si>
    <t>OFFICE OF GENERAL COUNSEL</t>
  </si>
  <si>
    <t>04712</t>
  </si>
  <si>
    <t>04713</t>
  </si>
  <si>
    <t>OFFICE OF EMERGENCY RESPONSE &amp; RECOVERY</t>
  </si>
  <si>
    <t>04714</t>
  </si>
  <si>
    <t>PUBLIC BUILDINGS SERVICE, ALL OTHER</t>
  </si>
  <si>
    <t>04715</t>
  </si>
  <si>
    <t>PUBLIC BUILDINGS SERVICE - FBF</t>
  </si>
  <si>
    <t>04716</t>
  </si>
  <si>
    <t>COMMUNITY SERVICES ADMINISTRATION CLOSEOUT</t>
  </si>
  <si>
    <t>04717</t>
  </si>
  <si>
    <t>PENNSYLVANIA AVENUE ACTIVITIES</t>
  </si>
  <si>
    <t>04718</t>
  </si>
  <si>
    <t>FEDERAL PROPERTY RESOURCES SERVICE</t>
  </si>
  <si>
    <t>04719</t>
  </si>
  <si>
    <t>FAS CENTRAL OFFICE PBS SPACE RENT ONLY</t>
  </si>
  <si>
    <t>04720</t>
  </si>
  <si>
    <t>04721</t>
  </si>
  <si>
    <t>GSA TPUS</t>
  </si>
  <si>
    <t>04722</t>
  </si>
  <si>
    <t>SPECIAL PROJECTS (PRESIDENTIAL)</t>
  </si>
  <si>
    <t>04723</t>
  </si>
  <si>
    <t>FAS, IT SOLUTIONS FACILITIES</t>
  </si>
  <si>
    <t>04724</t>
  </si>
  <si>
    <t>FAS, NETWORK SERVICES FACILITIES</t>
  </si>
  <si>
    <t>04725</t>
  </si>
  <si>
    <t>CO COMBINED USE FACILITIES</t>
  </si>
  <si>
    <t>04726</t>
  </si>
  <si>
    <t>ALLOWANCE TO FORMER PRESIDENTS</t>
  </si>
  <si>
    <t>04727</t>
  </si>
  <si>
    <t>OFFICE OF ENTERPRISE DEVELOPMENT (E)</t>
  </si>
  <si>
    <t>04728</t>
  </si>
  <si>
    <t>TRANSITION - OUTGOING PRESIDENT</t>
  </si>
  <si>
    <t>04729</t>
  </si>
  <si>
    <t>TRANSITION - OUTGOING VICE PRESIDENT</t>
  </si>
  <si>
    <t>04730</t>
  </si>
  <si>
    <t>OFFICE OF MANAGEMENT SERVICES AND HUMAN RESOURCES</t>
  </si>
  <si>
    <t>04731</t>
  </si>
  <si>
    <t>OFFICE OF THE CHIEF INFORMATION OFFICER</t>
  </si>
  <si>
    <t>04732</t>
  </si>
  <si>
    <t>REGIONAL ADMINISTRATOR'S OFFICE</t>
  </si>
  <si>
    <t>04733</t>
  </si>
  <si>
    <t>OFFICE OF CITIZEN SERVICES &amp; INNOVATIVE TECHNOLOGIES</t>
  </si>
  <si>
    <t>04734</t>
  </si>
  <si>
    <t>GSA REG OPCO BSC</t>
  </si>
  <si>
    <t>04735</t>
  </si>
  <si>
    <t>GSA ITC (R6 ONLY)</t>
  </si>
  <si>
    <t>04736</t>
  </si>
  <si>
    <t>OFC OF ADMIN. FINANCIAL MANAGEMENT</t>
  </si>
  <si>
    <t>04737</t>
  </si>
  <si>
    <t>GMA, WORKING CAPITAL FUND</t>
  </si>
  <si>
    <t>04738</t>
  </si>
  <si>
    <t>04739</t>
  </si>
  <si>
    <t>04740</t>
  </si>
  <si>
    <t>GSA REG OFF CIV RTS</t>
  </si>
  <si>
    <t>04741</t>
  </si>
  <si>
    <t>INACTIVEGSA,FEDERAL ACQUISITION SERVICE</t>
  </si>
  <si>
    <t>04742</t>
  </si>
  <si>
    <t>GSA REGIONAL FEDERAL ACQUISITION SERVICE</t>
  </si>
  <si>
    <t>04743</t>
  </si>
  <si>
    <t>OFFICE OF PERFORMANCE IMPROVEMENT (R)</t>
  </si>
  <si>
    <t>04744</t>
  </si>
  <si>
    <t>EXTERNAL SERVICES CLIENTS</t>
  </si>
  <si>
    <t>04745</t>
  </si>
  <si>
    <t>GSA OFE OF MAGMT SER</t>
  </si>
  <si>
    <t>04746</t>
  </si>
  <si>
    <t>PUBLIC BUILDINGS SERVICE</t>
  </si>
  <si>
    <t>04747</t>
  </si>
  <si>
    <t>PBS, DELEGATED BUILDINGS ONLY</t>
  </si>
  <si>
    <t>04748</t>
  </si>
  <si>
    <t>FAS, IT SOLUTIONS, ISTS FACILITIES</t>
  </si>
  <si>
    <t>04749</t>
  </si>
  <si>
    <t>FTS IT SOLN, FAST FAC</t>
  </si>
  <si>
    <t>04750</t>
  </si>
  <si>
    <t>FAS, IT SOLUTIONS REG ADP FACILITIES</t>
  </si>
  <si>
    <t>04751</t>
  </si>
  <si>
    <t>FAS, FEDERAL INFORMATION CENTER</t>
  </si>
  <si>
    <t>04752</t>
  </si>
  <si>
    <t>GSA REG GM&amp; A PERSONAL</t>
  </si>
  <si>
    <t>04753</t>
  </si>
  <si>
    <t>FAS, CUSTOMER SUPPLY CENTERS PBS SPACE RENT</t>
  </si>
  <si>
    <t>04754</t>
  </si>
  <si>
    <t>PBS - &amp;CM WAREHOUSING OPERATIONS</t>
  </si>
  <si>
    <t>04755</t>
  </si>
  <si>
    <t>FEDERAL ACQUISITION SERVICE, LABORATORY</t>
  </si>
  <si>
    <t>04756</t>
  </si>
  <si>
    <t>FAS, REG 05 FLEET MGMT FACILITIES</t>
  </si>
  <si>
    <t>04757</t>
  </si>
  <si>
    <t>FAS, PERSONAL PROP. CENTERS/STATE AGENCIES FOR SURPLUS PROP.</t>
  </si>
  <si>
    <t>04758</t>
  </si>
  <si>
    <t>FAS, SELF-SERVICE STORES</t>
  </si>
  <si>
    <t>04759</t>
  </si>
  <si>
    <t>FAS, MATERIAL RETURNS PROGRAM</t>
  </si>
  <si>
    <t>04760</t>
  </si>
  <si>
    <t>GSA REG NARS RDO</t>
  </si>
  <si>
    <t>04761</t>
  </si>
  <si>
    <t>FAS REG 01 FLEET MGMT FACILITIES</t>
  </si>
  <si>
    <t>04762</t>
  </si>
  <si>
    <t>PBS, MAINT. AND CUSTODIAL OPERATIONS</t>
  </si>
  <si>
    <t>04763</t>
  </si>
  <si>
    <t>FAS REG 02 FLEET MGMT FACILITIES</t>
  </si>
  <si>
    <t>04764</t>
  </si>
  <si>
    <t>PBS, DISTRICT OFFICES</t>
  </si>
  <si>
    <t>04765</t>
  </si>
  <si>
    <t>FAS REG 03 FLEET MGMT FACILITIES</t>
  </si>
  <si>
    <t>04766</t>
  </si>
  <si>
    <t>PBS, FIELD OFFICES</t>
  </si>
  <si>
    <t>04767</t>
  </si>
  <si>
    <t>NATIONAL COMMISSION ON FISCAL RESPONSIBILITY&amp;REFORM-NCFRR</t>
  </si>
  <si>
    <t>04768</t>
  </si>
  <si>
    <t>FAS, REG 04 FLEET MGMT FACILITIES</t>
  </si>
  <si>
    <t>04769</t>
  </si>
  <si>
    <t>FAS, TRANSPORTATION, PBS SPACE RENT ONLY</t>
  </si>
  <si>
    <t>04770</t>
  </si>
  <si>
    <t>FAS, TELECOMMUNICATION FACILITIES</t>
  </si>
  <si>
    <t>04771</t>
  </si>
  <si>
    <t>AGENCY LIAISON DIVISION - RLL ONLY</t>
  </si>
  <si>
    <t>04772</t>
  </si>
  <si>
    <t>FAS, UTILIZATION OFFICES, PBS SPACE RENT ONLY</t>
  </si>
  <si>
    <t>04773</t>
  </si>
  <si>
    <t>GSA FAS EASTERN DISTRIBUTION CENTER</t>
  </si>
  <si>
    <t>04774</t>
  </si>
  <si>
    <t>REGIONAL COMMON USE FACILITIES</t>
  </si>
  <si>
    <t>04775</t>
  </si>
  <si>
    <t>FAS, INFO. SECURITY MGMT FACILITIES</t>
  </si>
  <si>
    <t>04776</t>
  </si>
  <si>
    <t>FTS, INFO.TECHLGY INTERGRATION - FEDSIM</t>
  </si>
  <si>
    <t>04778</t>
  </si>
  <si>
    <t>FAS IT SOLUTIONS FIN SRVC CNTR, PHILA PA</t>
  </si>
  <si>
    <t>04779</t>
  </si>
  <si>
    <t>FAS NETWORK SRVC CNTR, ATL, GA</t>
  </si>
  <si>
    <t>04780</t>
  </si>
  <si>
    <t>GSA FAS PROFESSIONAL SERVICES</t>
  </si>
  <si>
    <t>04781</t>
  </si>
  <si>
    <t>OFFICE OF THE CHIEF ACQUISITION OFFICER</t>
  </si>
  <si>
    <t>04782</t>
  </si>
  <si>
    <t>OFF.  OF ACQUIS. SYS</t>
  </si>
  <si>
    <t>04783</t>
  </si>
  <si>
    <t>FAS REG 09 FLEET MAINT CONTROL CTR</t>
  </si>
  <si>
    <t>04785</t>
  </si>
  <si>
    <t>GSA LEASE PURCHSD BD</t>
  </si>
  <si>
    <t>04786</t>
  </si>
  <si>
    <t>GSA OUTLEASED HIST</t>
  </si>
  <si>
    <t>04787</t>
  </si>
  <si>
    <t>OUTLEASED</t>
  </si>
  <si>
    <t>04788</t>
  </si>
  <si>
    <t>JOINT USE SPACE</t>
  </si>
  <si>
    <t>04789</t>
  </si>
  <si>
    <t>VACANT UNASSIGNED SPACE</t>
  </si>
  <si>
    <t>04790</t>
  </si>
  <si>
    <t>DC FINANCIAL RESPONSIBILITY AND MGMT ASSISTANCE AUTHORITY</t>
  </si>
  <si>
    <t>04791</t>
  </si>
  <si>
    <t>PUBLIC DEFENDER'S OFFICE</t>
  </si>
  <si>
    <t>04792</t>
  </si>
  <si>
    <t>WOMEN'S PROGRESS COMMEMORATIVE COMM</t>
  </si>
  <si>
    <t>04793</t>
  </si>
  <si>
    <t>FAS REG 06 FLEET MGMT FACILITIES</t>
  </si>
  <si>
    <t>04794</t>
  </si>
  <si>
    <t>FAS REG 07 FLEET MGMT FACILITIES</t>
  </si>
  <si>
    <t>04795</t>
  </si>
  <si>
    <t>FAS REG 08 FLEET MGMT FACILITIES</t>
  </si>
  <si>
    <t>04796</t>
  </si>
  <si>
    <t>FAS REG 09 FLEET MGMT FACILITIES</t>
  </si>
  <si>
    <t>04797</t>
  </si>
  <si>
    <t>04798</t>
  </si>
  <si>
    <t>FAS REG 10 FLEET MGMT FACILITIES</t>
  </si>
  <si>
    <t>04799</t>
  </si>
  <si>
    <t>FAS REG 11 FLEET MGMT FACILITIES</t>
  </si>
  <si>
    <t>04800</t>
  </si>
  <si>
    <t>MISCELLANEOUS COMMISSIONS</t>
  </si>
  <si>
    <t>04801</t>
  </si>
  <si>
    <t>NATIONAL COMMISSION TO PREVENT INFANT MORTALITY</t>
  </si>
  <si>
    <t>04802</t>
  </si>
  <si>
    <t>COMM FOR THE STDY OF INTRNL MIG AND COOP. ECON. DEVELOP.</t>
  </si>
  <si>
    <t>04803</t>
  </si>
  <si>
    <t>INTERNATIONAL CULTURAL AND TRADE CENTER COMMISSION</t>
  </si>
  <si>
    <t>04804</t>
  </si>
  <si>
    <t>NATIONAL ECONOMIC COMMISSION</t>
  </si>
  <si>
    <t>04805</t>
  </si>
  <si>
    <t>NATIONAL BANKRUPTCY REVIEW COMMISSION</t>
  </si>
  <si>
    <t>04806</t>
  </si>
  <si>
    <t>NAT. COMM ON RESTRUCTURING THE IRS</t>
  </si>
  <si>
    <t>04807</t>
  </si>
  <si>
    <t>NATIONAL ALCOHOL FUELS COMMISSION</t>
  </si>
  <si>
    <t>04808</t>
  </si>
  <si>
    <t>COMMISSION ON RAILROAD RETIREMENT REFORM</t>
  </si>
  <si>
    <t>04809</t>
  </si>
  <si>
    <t>COMMISSION ON AGRICULTURAL WORKERS</t>
  </si>
  <si>
    <t>04811</t>
  </si>
  <si>
    <t>PRESIDENTIAL COMMISSION ON CATASTROPHIC NUCLEAR ACCIDENTS</t>
  </si>
  <si>
    <t>04812</t>
  </si>
  <si>
    <t>OFFICE OF NUCLEAR WASTE NEGOTIATOR</t>
  </si>
  <si>
    <t>04814</t>
  </si>
  <si>
    <t>NATIONAL COMMISSION ON SEVERELY DISTRESSED PUBLIC HOUSING</t>
  </si>
  <si>
    <t>04816</t>
  </si>
  <si>
    <t>NATIONAL COMMISSION ON JUDICIAL DISCIPLINE AND REMOVAL</t>
  </si>
  <si>
    <t>04817</t>
  </si>
  <si>
    <t>JNT FED-STATE COMM ON PLCS AND PRGRMS AFFECT. ALASKA NTIVES</t>
  </si>
  <si>
    <t>04818</t>
  </si>
  <si>
    <t>US COMM ON IMPROVING THE EFFECTIVENESS OF THE UN</t>
  </si>
  <si>
    <t>04819</t>
  </si>
  <si>
    <t>NATIONAL COMMISSION ON MANUFACTURED HOUSING</t>
  </si>
  <si>
    <t>04820</t>
  </si>
  <si>
    <t>THOMAS JEFFERSON COMMEMORATION COMMISSION</t>
  </si>
  <si>
    <t>04821</t>
  </si>
  <si>
    <t>JOHN F. KENNEDY ASSASSINATION RECORDS REVIEW BOARD</t>
  </si>
  <si>
    <t>04822</t>
  </si>
  <si>
    <t>COMMISSION RAIL ROAD RETIREMENT</t>
  </si>
  <si>
    <t>04823</t>
  </si>
  <si>
    <t xml:space="preserve">EXPIRED CODE - DO NOT ASSIGN      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</si>
  <si>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</si>
  <si>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</si>
  <si>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</si>
  <si>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</si>
  <si>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</si>
  <si>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</si>
  <si>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</si>
  <si>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</si>
  <si>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</si>
  <si>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</si>
  <si>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</si>
  <si>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</si>
  <si>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COMMISSION ON EXECUTIVE, LEGISLATIVE, AND JUDICIAL SALARIES</t>
  </si>
  <si>
    <t>04837</t>
  </si>
  <si>
    <t>04839</t>
  </si>
  <si>
    <t>04840</t>
  </si>
  <si>
    <t>04841</t>
  </si>
  <si>
    <t>04842</t>
  </si>
  <si>
    <t>04843</t>
  </si>
  <si>
    <t>04844</t>
  </si>
  <si>
    <t>NATIONAL COMMISSION ON STUDENT FINANCIAL ASSISTANCE</t>
  </si>
  <si>
    <t>04845</t>
  </si>
  <si>
    <t>COMMISSION ON THE UKRAINE FAMINE</t>
  </si>
  <si>
    <t>04847</t>
  </si>
  <si>
    <t>COMMISSION ON EDUCATION OF THE DEAF</t>
  </si>
  <si>
    <t>04848</t>
  </si>
  <si>
    <t>AVIATION SAFETY COMMISSION</t>
  </si>
  <si>
    <t>04849</t>
  </si>
  <si>
    <t>NAT. COMM. ON FIN. INSTITUTION REFORM, RECOVERY AND ENFORCE.</t>
  </si>
  <si>
    <t>04850</t>
  </si>
  <si>
    <t>NATIONAL GRAMBLING IMPACT STUDY COMMISSION</t>
  </si>
  <si>
    <t>04851</t>
  </si>
  <si>
    <t>NATIONAL COMMISSION ON COST OF HIGHER EDUCATION</t>
  </si>
  <si>
    <t>04852</t>
  </si>
  <si>
    <t>NAT. COMM ON ADVANCEMENT OF FEDERAL LAW ENFORCEMENT</t>
  </si>
  <si>
    <t>04854</t>
  </si>
  <si>
    <t>COMM HLCST ASSETS IN US</t>
  </si>
  <si>
    <t>04882</t>
  </si>
  <si>
    <t>COMM ON AFFOR HSNG &amp; HLTH CARE</t>
  </si>
  <si>
    <t>04896</t>
  </si>
  <si>
    <t>US TRADE DEFICT COMMISSION</t>
  </si>
  <si>
    <t>04897</t>
  </si>
  <si>
    <t>04899</t>
  </si>
  <si>
    <t>MILLENNIAL HOUSING COMMISSION</t>
  </si>
  <si>
    <t>04900</t>
  </si>
  <si>
    <t>NATIONAL SCIENCE FOUNDATION</t>
  </si>
  <si>
    <t>04951</t>
  </si>
  <si>
    <t>NAT SCI FOUND,NATL RADIO ASTRMY OBSER</t>
  </si>
  <si>
    <t>04952</t>
  </si>
  <si>
    <t>NSF,NATL CTR ATMOSPRC RESRCH</t>
  </si>
  <si>
    <t>04953</t>
  </si>
  <si>
    <t>NSF,US ARCTIC RESRCH COMM</t>
  </si>
  <si>
    <t>04960</t>
  </si>
  <si>
    <t>NATIONAL SCIENCE FOUNDATION-OFFC POLAR PROGRAMS</t>
  </si>
  <si>
    <t>04997</t>
  </si>
  <si>
    <t>047A1</t>
  </si>
  <si>
    <t>OFFICE OF ADMINISTRATIVE SERVICES</t>
  </si>
  <si>
    <t>05000</t>
  </si>
  <si>
    <t>SECURITIES AND EXCHANGE COMMISSION</t>
  </si>
  <si>
    <t>05097</t>
  </si>
  <si>
    <t>05100</t>
  </si>
  <si>
    <t>FEDERAL DEPOSIT INSURANCE CORPORATION</t>
  </si>
  <si>
    <t>05197</t>
  </si>
  <si>
    <t>05199</t>
  </si>
  <si>
    <t>05200</t>
  </si>
  <si>
    <t>PERMIT AND ENFORCE FED INSPCTOR FOR THE ALSKA GAS PIPELINE</t>
  </si>
  <si>
    <t>PERM. AND ENFORCEMENT FED INSPCTR FOR THE AK GAS PIPELINE</t>
  </si>
  <si>
    <t>05297</t>
  </si>
  <si>
    <t>05400</t>
  </si>
  <si>
    <t>FEDERAL LABOR RELATIONS AUTHORITY</t>
  </si>
  <si>
    <t>05497</t>
  </si>
  <si>
    <t>05499</t>
  </si>
  <si>
    <t>05500</t>
  </si>
  <si>
    <t>ADVISORY COMMISSION ON INTER-GOVERNMENTAL RELATIONS</t>
  </si>
  <si>
    <t>05597</t>
  </si>
  <si>
    <t>05600</t>
  </si>
  <si>
    <t>CENTRAL INTELLIGENCE AGENCY</t>
  </si>
  <si>
    <t>05697</t>
  </si>
  <si>
    <t>05699</t>
  </si>
  <si>
    <t>05700</t>
  </si>
  <si>
    <t>DEPARTMENT OF THE AIR FORCE</t>
  </si>
  <si>
    <t>05702</t>
  </si>
  <si>
    <t>HEADQUARTERS</t>
  </si>
  <si>
    <t>05704</t>
  </si>
  <si>
    <t>AIR FORCE DISTRICT OF WASHINGTON</t>
  </si>
  <si>
    <t>05706</t>
  </si>
  <si>
    <t>SPACE COMMAND</t>
  </si>
  <si>
    <t>05708</t>
  </si>
  <si>
    <t>ACCOUNTING AND FINANCE CENTER</t>
  </si>
  <si>
    <t>05710</t>
  </si>
  <si>
    <t>AIR FORCE COMMUNICATIONS COMMAND</t>
  </si>
  <si>
    <t>05712</t>
  </si>
  <si>
    <t>AIR FORCE RESERVE SERVICE</t>
  </si>
  <si>
    <t>05714</t>
  </si>
  <si>
    <t>ELECTRONIC SECURITY COMMAND</t>
  </si>
  <si>
    <t>05715</t>
  </si>
  <si>
    <t>AIR TRAINING COMMAND</t>
  </si>
  <si>
    <t>05716</t>
  </si>
  <si>
    <t>AIR UNIVERSITY</t>
  </si>
  <si>
    <t>05717</t>
  </si>
  <si>
    <t>AIR FORCE LOGISTICS COMMAND</t>
  </si>
  <si>
    <t>05718</t>
  </si>
  <si>
    <t>MILITARY AIRLIFT COMMAND</t>
  </si>
  <si>
    <t>05719</t>
  </si>
  <si>
    <t>STRATEGIC AIR COMMAND</t>
  </si>
  <si>
    <t>05720</t>
  </si>
  <si>
    <t>AIR FORCE SYSTEMS COMMAND</t>
  </si>
  <si>
    <t>05721</t>
  </si>
  <si>
    <t>TACTICAL AIR COMMAND</t>
  </si>
  <si>
    <t>05722</t>
  </si>
  <si>
    <t>MANPOWER PERSONNEL CENTER</t>
  </si>
  <si>
    <t>05723</t>
  </si>
  <si>
    <t>APPELLATE REVIEW</t>
  </si>
  <si>
    <t>05724</t>
  </si>
  <si>
    <t>REGIONAL CIVIL ENGINEER</t>
  </si>
  <si>
    <t>05725</t>
  </si>
  <si>
    <t>AIR FORCE PUBLICATION DISTRIBUTION CENTER</t>
  </si>
  <si>
    <t>05726</t>
  </si>
  <si>
    <t>OFFICE OF SPECIAL INVESTIGATIONS</t>
  </si>
  <si>
    <t>05727</t>
  </si>
  <si>
    <t>ALASKAN AIR COMMAND</t>
  </si>
  <si>
    <t>05728</t>
  </si>
  <si>
    <t>PACIFIC AIR FORCES</t>
  </si>
  <si>
    <t>05729</t>
  </si>
  <si>
    <t>U.S. AIR FORCE ACADEMY</t>
  </si>
  <si>
    <t>05730</t>
  </si>
  <si>
    <t>U.S. AIR FORCE EUROPE</t>
  </si>
  <si>
    <t>05731</t>
  </si>
  <si>
    <t>STANDARD SYSTEMS CENTER</t>
  </si>
  <si>
    <t>05732</t>
  </si>
  <si>
    <t>AIR NATIONAL GUARD</t>
  </si>
  <si>
    <t>05733</t>
  </si>
  <si>
    <t>USAF,ROTC PROGRAMS</t>
  </si>
  <si>
    <t>05734</t>
  </si>
  <si>
    <t>USAF,AF CIVIL AIR PATROL</t>
  </si>
  <si>
    <t>05735</t>
  </si>
  <si>
    <t>DEPT OF THE AIRFORCE, RCS/RSSF</t>
  </si>
  <si>
    <t>05740</t>
  </si>
  <si>
    <t>INFORMATION SYSTEM SUPPORT OFFICE</t>
  </si>
  <si>
    <t>05761</t>
  </si>
  <si>
    <t>AIR COMB COMMAND (CENTCOM)</t>
  </si>
  <si>
    <t>05762</t>
  </si>
  <si>
    <t>AIR MOBILITY COMD, DEF COURIER SRV</t>
  </si>
  <si>
    <t>05763</t>
  </si>
  <si>
    <t>AIR EDUC &amp; TRAINING COMMAND</t>
  </si>
  <si>
    <t>05764</t>
  </si>
  <si>
    <t>AF RECRUITING SERVICE - AETC</t>
  </si>
  <si>
    <t>05765</t>
  </si>
  <si>
    <t>AIR FORCE RESERVE COMMAND</t>
  </si>
  <si>
    <t>05766</t>
  </si>
  <si>
    <t>AIR FORCE MATERIAL COMMAND</t>
  </si>
  <si>
    <t>05767</t>
  </si>
  <si>
    <t>AIR NATIONAL GUARD BUREAU</t>
  </si>
  <si>
    <t>05768</t>
  </si>
  <si>
    <t>US AIR FORCE ACAD,DIR RPTNG UNIT</t>
  </si>
  <si>
    <t>05769</t>
  </si>
  <si>
    <t>AIR FORCE SPACE COMMAND</t>
  </si>
  <si>
    <t>05770</t>
  </si>
  <si>
    <t>BOLLING AFB, DIR RPTNG UNIT</t>
  </si>
  <si>
    <t>05771</t>
  </si>
  <si>
    <t>AIR FORCE OFC SPEC INVESTIGATIONS</t>
  </si>
  <si>
    <t>05772</t>
  </si>
  <si>
    <t>05773</t>
  </si>
  <si>
    <t>US AIR FORCES EUROPE</t>
  </si>
  <si>
    <t>05774</t>
  </si>
  <si>
    <t>JOINT COMMUNCTNS SPPT ELEMENT</t>
  </si>
  <si>
    <t>05775</t>
  </si>
  <si>
    <t>AIR FORCE SPEC OPS COMMAND</t>
  </si>
  <si>
    <t>05797</t>
  </si>
  <si>
    <t>05799</t>
  </si>
  <si>
    <t>05800</t>
  </si>
  <si>
    <t>FEDERAL EMERGENCY MANAGEMENT AGENCY</t>
  </si>
  <si>
    <t>INACTIVE FEDERAL EMERGENCY MANAGEMENT AGENCY</t>
  </si>
  <si>
    <t>05801</t>
  </si>
  <si>
    <t>INACTIVE HAZARD MITIGATION AND DISASTER ASSISTANCE</t>
  </si>
  <si>
    <t>05802</t>
  </si>
  <si>
    <t>INACTIVE EMERGENCY PLANNING PREPAREDNESS AND MOBILIZATION</t>
  </si>
  <si>
    <t>05840</t>
  </si>
  <si>
    <t>INACTIVE DISASTER SPACE {PBS SPACE (RENT) ONLY}</t>
  </si>
  <si>
    <t>05897</t>
  </si>
  <si>
    <t>05899</t>
  </si>
  <si>
    <t>INACTIVE SUBCONTRACTORS/PRIVATE SECTOR WITH FEDERAL AGENCIES</t>
  </si>
  <si>
    <t>06000</t>
  </si>
  <si>
    <t>RAILROAD RETIREMENT BOARD</t>
  </si>
  <si>
    <t>06001</t>
  </si>
  <si>
    <t>WASHINGTON LIAISON OFFICE</t>
  </si>
  <si>
    <t>06002</t>
  </si>
  <si>
    <t>DISTRICT OFFICE</t>
  </si>
  <si>
    <t>06097</t>
  </si>
  <si>
    <t>06100</t>
  </si>
  <si>
    <t>CONSUMER PRODUCT SAFETY COMMISSION</t>
  </si>
  <si>
    <t>06197</t>
  </si>
  <si>
    <t>06200</t>
  </si>
  <si>
    <t>U.S. OFFICE OF SPECIAL COUNSEL</t>
  </si>
  <si>
    <t>06297</t>
  </si>
  <si>
    <t>06500</t>
  </si>
  <si>
    <t>FEDERAL MARITIME COMMISSION</t>
  </si>
  <si>
    <t>06597</t>
  </si>
  <si>
    <t>06700</t>
  </si>
  <si>
    <t>UNITED STATES INFORMATION AGENCY</t>
  </si>
  <si>
    <t>06724</t>
  </si>
  <si>
    <t>DOD,DEF CONT MGT AGNCY-LOCAL</t>
  </si>
  <si>
    <t>06797</t>
  </si>
  <si>
    <t>06800</t>
  </si>
  <si>
    <t>ENVIRONMENTAL PROTECTION AGENCY</t>
  </si>
  <si>
    <t>06801</t>
  </si>
  <si>
    <t>OFFICE OF WATER PROGRAMS</t>
  </si>
  <si>
    <t>06802</t>
  </si>
  <si>
    <t>OFFICE OF PESTICIDES PROGRAMS</t>
  </si>
  <si>
    <t>06803</t>
  </si>
  <si>
    <t>OFFICE OF AIR PROGRAMS</t>
  </si>
  <si>
    <t>06804</t>
  </si>
  <si>
    <t>REGIONAL OFFICES</t>
  </si>
  <si>
    <t>06805</t>
  </si>
  <si>
    <t>SOLID WASTE PROGRAMS</t>
  </si>
  <si>
    <t>06806</t>
  </si>
  <si>
    <t>RADIATION PROGRAMS</t>
  </si>
  <si>
    <t>06807</t>
  </si>
  <si>
    <t>06897</t>
  </si>
  <si>
    <t>06899</t>
  </si>
  <si>
    <t>06900</t>
  </si>
  <si>
    <t>DEPARTMENT OF TRANSPORTATION</t>
  </si>
  <si>
    <t>06901</t>
  </si>
  <si>
    <t>06902</t>
  </si>
  <si>
    <t>PHMSA-PIPELINE&amp;HZRDS MATERIAL SFTY ADMIN</t>
  </si>
  <si>
    <t>06903</t>
  </si>
  <si>
    <t>COAST GUARD</t>
  </si>
  <si>
    <t>06904</t>
  </si>
  <si>
    <t>06905</t>
  </si>
  <si>
    <t>FEDERAL AVIATION ADMINISTRATION</t>
  </si>
  <si>
    <t>06906</t>
  </si>
  <si>
    <t>WORKING CAPITAL FUND</t>
  </si>
  <si>
    <t>06907</t>
  </si>
  <si>
    <t>FEDERAL HIGHWAY ADMINISTRATION</t>
  </si>
  <si>
    <t>06908</t>
  </si>
  <si>
    <t>AMTRAK</t>
  </si>
  <si>
    <t>06909</t>
  </si>
  <si>
    <t>FEDERAL RAILROAD ADMINISTRATION</t>
  </si>
  <si>
    <t>06910</t>
  </si>
  <si>
    <t>MARITIME ADMINISTRATION</t>
  </si>
  <si>
    <t>06911</t>
  </si>
  <si>
    <t>ST. LAWRENCE SEAWAY DEVELOPMENT CORPORATION</t>
  </si>
  <si>
    <t>06912</t>
  </si>
  <si>
    <t>NATIONAL HIGHWAY TRAFFIC SAFETY ADMINISTRATION</t>
  </si>
  <si>
    <t>06913</t>
  </si>
  <si>
    <t>ALASKA RAILROAD</t>
  </si>
  <si>
    <t>06914</t>
  </si>
  <si>
    <t>SURFACE TRANSPORTATION BOARD</t>
  </si>
  <si>
    <t>06915</t>
  </si>
  <si>
    <t>FEDERAL TRANSIT ADMINISTRATION</t>
  </si>
  <si>
    <t>06916</t>
  </si>
  <si>
    <t>DOT DVLPMNT &amp; TCHNGY</t>
  </si>
  <si>
    <t>06917</t>
  </si>
  <si>
    <t>DOT/RES&amp;INNOV TECH ADMIN-RITA</t>
  </si>
  <si>
    <t>06918</t>
  </si>
  <si>
    <t>NATIONAL HWY INSTITUTE, FED MOTOR CARRIER SAFETY ADMIN</t>
  </si>
  <si>
    <t>06920</t>
  </si>
  <si>
    <t>TRANS ADMIN SRVC CENTER</t>
  </si>
  <si>
    <t>06928</t>
  </si>
  <si>
    <t>DOT, TRANSPORTN SECURITY AGENCY</t>
  </si>
  <si>
    <t>06935</t>
  </si>
  <si>
    <t>FEDERAL AVIATION ADM</t>
  </si>
  <si>
    <t>06949</t>
  </si>
  <si>
    <t>TRANSPORTATION SYSTEM CENTER</t>
  </si>
  <si>
    <t>06957</t>
  </si>
  <si>
    <t>06990</t>
  </si>
  <si>
    <t>STATE HIGHWAY DEPARTMENTS</t>
  </si>
  <si>
    <t>06997</t>
  </si>
  <si>
    <t>06999</t>
  </si>
  <si>
    <t>07000</t>
  </si>
  <si>
    <t>DEPARTMENT OF HOMELAND SECURITY</t>
  </si>
  <si>
    <t>07001</t>
  </si>
  <si>
    <t>07002</t>
  </si>
  <si>
    <t>UNITED STATES COAST GUARD</t>
  </si>
  <si>
    <t>07003</t>
  </si>
  <si>
    <t>DEPT OPERATIONS (IMM OFC OF SECRETARY)</t>
  </si>
  <si>
    <t>07004</t>
  </si>
  <si>
    <t>BUREAU CITIZENSHIP &amp; IMMIGRATION SVCS</t>
  </si>
  <si>
    <t>07006</t>
  </si>
  <si>
    <t>07008</t>
  </si>
  <si>
    <t>DHS, SCIENCE &amp; TECHNOLOGY</t>
  </si>
  <si>
    <t>07009</t>
  </si>
  <si>
    <t>DHS/INTELLIGENCE &amp; ANALYSIS</t>
  </si>
  <si>
    <t>07010</t>
  </si>
  <si>
    <t>OFC UNDERSECRETARY FOR MANAGEMENT</t>
  </si>
  <si>
    <t>07011</t>
  </si>
  <si>
    <t>DHS, FEDERAL AIR MARSHALL SERVICE</t>
  </si>
  <si>
    <t>07021</t>
  </si>
  <si>
    <t>NATL PROTECTION PROG DIRECTORATE</t>
  </si>
  <si>
    <t>07022</t>
  </si>
  <si>
    <t>CRITICAL INFRASTRUCT ASSURANCE OFF</t>
  </si>
  <si>
    <t>07023</t>
  </si>
  <si>
    <t>NATL INFRASTRUC SIMLTN &amp; ANALYSIS CTR</t>
  </si>
  <si>
    <t>07024</t>
  </si>
  <si>
    <t>ENRGY SEC &amp; ASSURANCE PROG (DOE)</t>
  </si>
  <si>
    <t>07025</t>
  </si>
  <si>
    <t>NATL COMMUNCTNS SYS (DFAS)</t>
  </si>
  <si>
    <t>07026</t>
  </si>
  <si>
    <t>NATL INFRASTRUC PROTECTION CTR (FBI)</t>
  </si>
  <si>
    <t>07027</t>
  </si>
  <si>
    <t>FED COMPUTR INCIDNT RESPON CT (GSA)</t>
  </si>
  <si>
    <t>07031</t>
  </si>
  <si>
    <t>OFC UNDERSEC FOR SCIENCE &amp; TECH</t>
  </si>
  <si>
    <t>07032</t>
  </si>
  <si>
    <t>ENVIRONMNTL MSRMNTS LAB (DOE)</t>
  </si>
  <si>
    <t>07033</t>
  </si>
  <si>
    <t>NAT BIO-WEAP DEFENSE ANALY CTR</t>
  </si>
  <si>
    <t>07034</t>
  </si>
  <si>
    <t>DHS/DOMESTIC NUCLEAR DETECTION OFC</t>
  </si>
  <si>
    <t>07041</t>
  </si>
  <si>
    <t>FEMA HEADQUARTERS</t>
  </si>
  <si>
    <t>07042</t>
  </si>
  <si>
    <t>DISASTER FINANCE CTR, BERRYVILLE VA</t>
  </si>
  <si>
    <t>07043</t>
  </si>
  <si>
    <t>07044</t>
  </si>
  <si>
    <t>NATL EMER TRAING CTR - EMMITSBURG MD</t>
  </si>
  <si>
    <t>07045</t>
  </si>
  <si>
    <t>FEDERAL INSURANCE ADMINISTRATION</t>
  </si>
  <si>
    <t>07046</t>
  </si>
  <si>
    <t>NATL DISASTER MED SYS,METRO RESPONSE</t>
  </si>
  <si>
    <t>07047</t>
  </si>
  <si>
    <t>STRATEGIC NATL STOCKPILE (HHS)</t>
  </si>
  <si>
    <t>07048</t>
  </si>
  <si>
    <t>FIRE SATELLITE SYS (FIRESAT NOAA)</t>
  </si>
  <si>
    <t>07049</t>
  </si>
  <si>
    <t>UNDERSEC, EMERGENCY PREP&amp;RESPONSE</t>
  </si>
  <si>
    <t>07050</t>
  </si>
  <si>
    <t>DHS,US-VISIT PROGRAM OFFICE</t>
  </si>
  <si>
    <t>07051</t>
  </si>
  <si>
    <t>DHS/CUSTOMS &amp; BORDER PROTECTION</t>
  </si>
  <si>
    <t>07052</t>
  </si>
  <si>
    <t>DHS,NATL LAW ENFOR COMM CTR,ORL,FL</t>
  </si>
  <si>
    <t>07053</t>
  </si>
  <si>
    <t>ANIMAL &amp; PLANT HEALTH&amp;INSPEC (APHIS)</t>
  </si>
  <si>
    <t>07054</t>
  </si>
  <si>
    <t>TRANSPORTATION SECURITY ADMIN</t>
  </si>
  <si>
    <t>07055</t>
  </si>
  <si>
    <t>IMMIGRATION &amp; CUSTOMS ENFORCEMENT</t>
  </si>
  <si>
    <t>07056</t>
  </si>
  <si>
    <t>FEDERAL PROTECTIVE SERVICE (GSA)</t>
  </si>
  <si>
    <t>07057</t>
  </si>
  <si>
    <t>FED LAW ENFORCEMENT TRAINING CTR</t>
  </si>
  <si>
    <t>07058</t>
  </si>
  <si>
    <t>OFFICE OF DOMESTIC PREPAREDNS(DOJ)</t>
  </si>
  <si>
    <t>07059</t>
  </si>
  <si>
    <t>DHS/OPERATIONS COORDINATION</t>
  </si>
  <si>
    <t>07060</t>
  </si>
  <si>
    <t>FEMA/DIASTER EMERGENCY STAFFORD ACT</t>
  </si>
  <si>
    <t>07071</t>
  </si>
  <si>
    <t>CBP FIELD OPERATIONS FACILITIES</t>
  </si>
  <si>
    <t>07072</t>
  </si>
  <si>
    <t>CBP BORDER PATROL OPS FACILITIES &amp; TACT INFRASTRUCTURE</t>
  </si>
  <si>
    <t>07073</t>
  </si>
  <si>
    <t>CBP MISSION SUPPORT FACILITIES</t>
  </si>
  <si>
    <t>07074</t>
  </si>
  <si>
    <t>CBP AIR AND MARINE FACILITIES</t>
  </si>
  <si>
    <t>07097</t>
  </si>
  <si>
    <t>07100</t>
  </si>
  <si>
    <t>OVERSEAS PRIVATE INVESTMENT CORPORATION</t>
  </si>
  <si>
    <t>07197</t>
  </si>
  <si>
    <t>07200</t>
  </si>
  <si>
    <t>AGENCY FOR INTERNATIONAL DEVELOPMENT</t>
  </si>
  <si>
    <t>07201</t>
  </si>
  <si>
    <t>AID OFF MGT OPERTNS</t>
  </si>
  <si>
    <t>07202</t>
  </si>
  <si>
    <t>07297</t>
  </si>
  <si>
    <t>07299</t>
  </si>
  <si>
    <t>07300</t>
  </si>
  <si>
    <t>SMALL BUSINESS ADMINISTRATION</t>
  </si>
  <si>
    <t>07301</t>
  </si>
  <si>
    <t>SBA</t>
  </si>
  <si>
    <t>07397</t>
  </si>
  <si>
    <t>07399</t>
  </si>
  <si>
    <t>07400</t>
  </si>
  <si>
    <t>AMERICAN BATTLE MONUMENTS COMMISSION</t>
  </si>
  <si>
    <t>07497</t>
  </si>
  <si>
    <t>07500</t>
  </si>
  <si>
    <t>DEPARTMENT OF HEALTH AND HUMAN SERVICES</t>
  </si>
  <si>
    <t>07501</t>
  </si>
  <si>
    <t>07502</t>
  </si>
  <si>
    <t>HEW OFF EDUCATION</t>
  </si>
  <si>
    <t>07503</t>
  </si>
  <si>
    <t>HEALTH RESOURCES AND SERVICES ADMINISTRATION</t>
  </si>
  <si>
    <t>07504</t>
  </si>
  <si>
    <t>07505</t>
  </si>
  <si>
    <t>CTR FOR MEDICARE&amp;MEDICAID SVCS</t>
  </si>
  <si>
    <t>07506</t>
  </si>
  <si>
    <t>FOOD AND DRUG ADMINISTRATION</t>
  </si>
  <si>
    <t>07507</t>
  </si>
  <si>
    <t>07508</t>
  </si>
  <si>
    <t>NATIONAL INSTITUTES OF HEALTH - HHS NIH</t>
  </si>
  <si>
    <t>07509</t>
  </si>
  <si>
    <t>CENTER FOR DISEASE CONTROL</t>
  </si>
  <si>
    <t>07510</t>
  </si>
  <si>
    <t>INDIAN HEALTH SERVICE</t>
  </si>
  <si>
    <t>07511</t>
  </si>
  <si>
    <t>OFFICE OF THE ASSISTANT SECRETARY FOR HEALTH</t>
  </si>
  <si>
    <t>07512</t>
  </si>
  <si>
    <t>HEW NIE</t>
  </si>
  <si>
    <t>07513</t>
  </si>
  <si>
    <t>ALCOHOL/DRUG ABUSE AND MENTAL HEALTH ADMINISTRATION</t>
  </si>
  <si>
    <t>07514</t>
  </si>
  <si>
    <t>HEW ASST SEC FOR EDU</t>
  </si>
  <si>
    <t>07515</t>
  </si>
  <si>
    <t>DHHS, PRES COUNCL ON BIOETHICS</t>
  </si>
  <si>
    <t>07516</t>
  </si>
  <si>
    <t>07517</t>
  </si>
  <si>
    <t>ADMINISTRATION FOR CHILDREN AND FAMILIES</t>
  </si>
  <si>
    <t>07518</t>
  </si>
  <si>
    <t>AGENCY FOR HEALTH RESEARCH AND QUALITY</t>
  </si>
  <si>
    <t>07519</t>
  </si>
  <si>
    <t>ADMINISTRATION ON AGING</t>
  </si>
  <si>
    <t>07520</t>
  </si>
  <si>
    <t>DEPARTMENTAL MANAGEMENT</t>
  </si>
  <si>
    <t>07525</t>
  </si>
  <si>
    <t>DEPT HEALTH,HUM,SVCS,INFO TEC SVC CTR</t>
  </si>
  <si>
    <t>07550</t>
  </si>
  <si>
    <t>STATE AGENCY FOR SURPLUS PROPERTY</t>
  </si>
  <si>
    <t>07551</t>
  </si>
  <si>
    <t>AMERICAN PRINTING HOUSE FOR THE BLIND</t>
  </si>
  <si>
    <t>07552</t>
  </si>
  <si>
    <t>GALLAUDET COLLEGE</t>
  </si>
  <si>
    <t>07553</t>
  </si>
  <si>
    <t>HOWARD UNIVERSITY (INCLUDING HOSPITAL)</t>
  </si>
  <si>
    <t>07560</t>
  </si>
  <si>
    <t>DEPT HEALTH&amp;HUMAN SVCS/NAT'L CANCER INSTITUTE</t>
  </si>
  <si>
    <t>07596</t>
  </si>
  <si>
    <t>07597</t>
  </si>
  <si>
    <t>07599</t>
  </si>
  <si>
    <t>07900</t>
  </si>
  <si>
    <t>FOREIGN CLAIMS SETTLEMENT COMM. OF THE U.S. (EXP. CODE)</t>
  </si>
  <si>
    <t>08000</t>
  </si>
  <si>
    <t>NATIONAL AERONAUTICS AND SPACE ADMINISTRATION</t>
  </si>
  <si>
    <t>08001</t>
  </si>
  <si>
    <t>08002</t>
  </si>
  <si>
    <t>AMES RESEARCH CENTER</t>
  </si>
  <si>
    <t>08003</t>
  </si>
  <si>
    <t>DRYDEN FLIGHT RESEARCH CENTER</t>
  </si>
  <si>
    <t>08004</t>
  </si>
  <si>
    <t>GODDARD SPACE FLIGHT CENTER</t>
  </si>
  <si>
    <t>08005</t>
  </si>
  <si>
    <t>JET PROPULSION LABORATORY</t>
  </si>
  <si>
    <t>08006</t>
  </si>
  <si>
    <t>JOHNSON SPACE CENTER</t>
  </si>
  <si>
    <t>08007</t>
  </si>
  <si>
    <t>KENNEDY SPACE CENTER</t>
  </si>
  <si>
    <t>08008</t>
  </si>
  <si>
    <t>LANGLEY RESEARCH CENTER</t>
  </si>
  <si>
    <t>08009</t>
  </si>
  <si>
    <t>LEWIS RESEARCH CENTER</t>
  </si>
  <si>
    <t>08010</t>
  </si>
  <si>
    <t>MARSHALL SPACE FLIGHT CENTER</t>
  </si>
  <si>
    <t>08011</t>
  </si>
  <si>
    <t>MICHOUD ASSEMBLY FACILITY</t>
  </si>
  <si>
    <t>08012</t>
  </si>
  <si>
    <t>NATIONAL SPACE TECHNOLOGY LABORATORIES</t>
  </si>
  <si>
    <t>08013</t>
  </si>
  <si>
    <t>PASADENA OFFICE</t>
  </si>
  <si>
    <t>08014</t>
  </si>
  <si>
    <t>WALLOPS FLIGHT CENTER</t>
  </si>
  <si>
    <t>08015</t>
  </si>
  <si>
    <t>WESTERN LAUNCH OPERATIONS</t>
  </si>
  <si>
    <t>08016</t>
  </si>
  <si>
    <t>WHITE SANDS TEST FACILITY</t>
  </si>
  <si>
    <t>08017</t>
  </si>
  <si>
    <t>GLADSTONE TRACKING STATION</t>
  </si>
  <si>
    <t>08018</t>
  </si>
  <si>
    <t>CANOGA PARK INDUSTRIAL PLANT</t>
  </si>
  <si>
    <t>08019</t>
  </si>
  <si>
    <t>DOWNEY INDUSTRIAL PLANT</t>
  </si>
  <si>
    <t>08020</t>
  </si>
  <si>
    <t>EDWARDS TEST STATION</t>
  </si>
  <si>
    <t>08021</t>
  </si>
  <si>
    <t>PLUM BROOK STATION</t>
  </si>
  <si>
    <t>08022</t>
  </si>
  <si>
    <t>SANTA SUSANA INDUSTRIAL PLANT</t>
  </si>
  <si>
    <t>08023</t>
  </si>
  <si>
    <t>SLIDELL COMPUTER COMPLEX</t>
  </si>
  <si>
    <t>08026</t>
  </si>
  <si>
    <t>08030</t>
  </si>
  <si>
    <t>NASA MISSION COMM SVCS</t>
  </si>
  <si>
    <t>08031</t>
  </si>
  <si>
    <t>NASA MISSION SUPPORT COMM SVCS</t>
  </si>
  <si>
    <t>08032</t>
  </si>
  <si>
    <t>NASA REIMBURSABLE COMM SVCS</t>
  </si>
  <si>
    <t>08033</t>
  </si>
  <si>
    <t>NASA INTERNATL COMM SVCS</t>
  </si>
  <si>
    <t>08034</t>
  </si>
  <si>
    <t>NASA INTEGRATED SERVICES NETWORK</t>
  </si>
  <si>
    <t>08035</t>
  </si>
  <si>
    <t>NASA/CLIN GROUP 1 SWITCH VOICE</t>
  </si>
  <si>
    <t>08036</t>
  </si>
  <si>
    <t>NASA/CLIN GROUP 2 OUT OF BAND ACCESS</t>
  </si>
  <si>
    <t>08037</t>
  </si>
  <si>
    <t>NASA/CLIN GROUP 3 TAIL CIRCUITS</t>
  </si>
  <si>
    <t>08038</t>
  </si>
  <si>
    <t>NASA/SERVICE GROUP 1 MISSION SERVICES</t>
  </si>
  <si>
    <t>08039</t>
  </si>
  <si>
    <t>NASA/SERVICE GROUP 2 CONFERENCING</t>
  </si>
  <si>
    <t>08040</t>
  </si>
  <si>
    <t>NASA/MISSION SUPPORT CORE BACKBONE CIRCUITS</t>
  </si>
  <si>
    <t>08041</t>
  </si>
  <si>
    <t>NASA/MISSION SUPPORT REGIONAL CIRCUITS</t>
  </si>
  <si>
    <t>08097</t>
  </si>
  <si>
    <t>08099</t>
  </si>
  <si>
    <t>08200</t>
  </si>
  <si>
    <t>FEDERAL HOME LOAN BANK BOARD</t>
  </si>
  <si>
    <t>08201</t>
  </si>
  <si>
    <t>FHL FED BANK SYS</t>
  </si>
  <si>
    <t>08203</t>
  </si>
  <si>
    <t>FHL FED S&amp;L INS CORP</t>
  </si>
  <si>
    <t>08300</t>
  </si>
  <si>
    <t>EXPORT-IMPORT BANK OF THE UNITED STATES</t>
  </si>
  <si>
    <t>08397</t>
  </si>
  <si>
    <t>08400</t>
  </si>
  <si>
    <t>ARMED FORCES RETIREMENT HOME</t>
  </si>
  <si>
    <t>08401</t>
  </si>
  <si>
    <t>UNITED STATES SOLDIERS' AND AIRMEN'S HOME</t>
  </si>
  <si>
    <t>08402</t>
  </si>
  <si>
    <t>UNITED STATES NAVAL HOME</t>
  </si>
  <si>
    <t>08497</t>
  </si>
  <si>
    <t>08600</t>
  </si>
  <si>
    <t>DEPARTMENT OF HOUSING AND URBAN DEVELOPMENT</t>
  </si>
  <si>
    <t>08601</t>
  </si>
  <si>
    <t>08602</t>
  </si>
  <si>
    <t>08603</t>
  </si>
  <si>
    <t>ASSISTANT SEC. FOR METROPOLITAN PLANNING AND DEVELOPMENT</t>
  </si>
  <si>
    <t>08604</t>
  </si>
  <si>
    <t>ASSISTANT SECRETARY FOR PD&amp;R</t>
  </si>
  <si>
    <t>08605</t>
  </si>
  <si>
    <t>ASST SEC FOR HSING PRD. AND MRT. CRDIT AND FED. HSING COMM.</t>
  </si>
  <si>
    <t>08606</t>
  </si>
  <si>
    <t>ASSISTANT SECRETARY FOR EO</t>
  </si>
  <si>
    <t>08607</t>
  </si>
  <si>
    <t>GOVERNMENT NATIONAL MORTGAGE ASSOCIATION</t>
  </si>
  <si>
    <t>08608</t>
  </si>
  <si>
    <t>OFFICE OF PERSONNEL-UNION CONFERENCE CALLS</t>
  </si>
  <si>
    <t>08611</t>
  </si>
  <si>
    <t>ASSISTANT SECRETARY FOR HOUSING MANAGEMENT</t>
  </si>
  <si>
    <t>08612</t>
  </si>
  <si>
    <t>FIELD OFFICES</t>
  </si>
  <si>
    <t>08613</t>
  </si>
  <si>
    <t>ASSISTANT SECRETARY FOR ADMINISTRATION</t>
  </si>
  <si>
    <t>08614</t>
  </si>
  <si>
    <t>NATIONAL COMMISSION ON NEIGHBORHOODS</t>
  </si>
  <si>
    <t>08656</t>
  </si>
  <si>
    <t>OFFICE FED HOUSING ENTERPRISE OVERSIGHT</t>
  </si>
  <si>
    <t>08697</t>
  </si>
  <si>
    <t>08699</t>
  </si>
  <si>
    <t>08800</t>
  </si>
  <si>
    <t>NATIONAL ARCHIVES AND RECORDS ADMINISTRATION</t>
  </si>
  <si>
    <t>NARA</t>
  </si>
  <si>
    <t>08801</t>
  </si>
  <si>
    <t>08802</t>
  </si>
  <si>
    <t>NARA - REGIONAL</t>
  </si>
  <si>
    <t>08803</t>
  </si>
  <si>
    <t>NARA - RECORDS DEPOSITING OPERATIONS</t>
  </si>
  <si>
    <t>08897</t>
  </si>
  <si>
    <t>08899</t>
  </si>
  <si>
    <t>08900</t>
  </si>
  <si>
    <t>DEPARTMENT OF ENERGY</t>
  </si>
  <si>
    <t>08901</t>
  </si>
  <si>
    <t>RICHLAND OPERATIONS OFFICE</t>
  </si>
  <si>
    <t>08902</t>
  </si>
  <si>
    <t>FEDERAL ENERGY REGULATORY COMMISSION</t>
  </si>
  <si>
    <t>08903</t>
  </si>
  <si>
    <t>STRAT. PETRO. RESERVE PROJ MGMT OFC</t>
  </si>
  <si>
    <t>08904</t>
  </si>
  <si>
    <t>NEVADA OPERATIONS OFFICE</t>
  </si>
  <si>
    <t>08905</t>
  </si>
  <si>
    <t>ALBUQUERQUE OPERATIONS OFFICE</t>
  </si>
  <si>
    <t>08906</t>
  </si>
  <si>
    <t>SAN FRANCISCO OPERATIONS OFFICE</t>
  </si>
  <si>
    <t>08907</t>
  </si>
  <si>
    <t>SCHENECTADY NAVAL REACTORS OFFICE</t>
  </si>
  <si>
    <t>08908</t>
  </si>
  <si>
    <t>IDAHO OPERATIONS OFFICE</t>
  </si>
  <si>
    <t>08909</t>
  </si>
  <si>
    <t>CHICAGO OPERATIONS OFFICE</t>
  </si>
  <si>
    <t>08910</t>
  </si>
  <si>
    <t>SAVANNAH RIVER OPERATIONS OFFICE</t>
  </si>
  <si>
    <t>08911</t>
  </si>
  <si>
    <t>PITTSBURGH NAVAL REACTORS OFFICE</t>
  </si>
  <si>
    <t>08912</t>
  </si>
  <si>
    <t>WESTERN AREA POWER ADMINISTRATION</t>
  </si>
  <si>
    <t>08913</t>
  </si>
  <si>
    <t>NAVAL PETROLEUM AND OIL SHALE RESERVES</t>
  </si>
  <si>
    <t>08914</t>
  </si>
  <si>
    <t>BONNEVILLE POWER ADMINISTRATION</t>
  </si>
  <si>
    <t>08915</t>
  </si>
  <si>
    <t>SOUTHEASTERN POWER ADMINISTRATION</t>
  </si>
  <si>
    <t>08916</t>
  </si>
  <si>
    <t>SOUTHWESTERN POWER ADMINISTRATION</t>
  </si>
  <si>
    <t>08917</t>
  </si>
  <si>
    <t>ALASKA POWER ADMINISTRATION</t>
  </si>
  <si>
    <t>08918</t>
  </si>
  <si>
    <t>OAK RIDGE OPERATIONS OFFICE</t>
  </si>
  <si>
    <t>08919</t>
  </si>
  <si>
    <t>RICHLAND OPS. OFFICE</t>
  </si>
  <si>
    <t>08920</t>
  </si>
  <si>
    <t>GOLDEN CO, FIELD OFFICE</t>
  </si>
  <si>
    <t>08921</t>
  </si>
  <si>
    <t>ENTERPRISE TRAINING SERVICES-MEO</t>
  </si>
  <si>
    <t>08922</t>
  </si>
  <si>
    <t>EMERGENCY OPERATIONS TRAINING ACADEMY</t>
  </si>
  <si>
    <t>08923</t>
  </si>
  <si>
    <t>NATIONAL TRAINING CENTER</t>
  </si>
  <si>
    <t>08924</t>
  </si>
  <si>
    <t>DOE/NNSA/SERVICE CTR</t>
  </si>
  <si>
    <t>08925</t>
  </si>
  <si>
    <t>DOE/NNSA/SECURE TRAN</t>
  </si>
  <si>
    <t>08938</t>
  </si>
  <si>
    <t>VARIOUS</t>
  </si>
  <si>
    <t>08940</t>
  </si>
  <si>
    <t>NNSA/DOE/NSMC</t>
  </si>
  <si>
    <t>08941</t>
  </si>
  <si>
    <t>OFFICE OF ENERGY RESEARCH</t>
  </si>
  <si>
    <t>08942</t>
  </si>
  <si>
    <t>ROCKY FLATS OFFICE</t>
  </si>
  <si>
    <t>08943</t>
  </si>
  <si>
    <t>DEPT ENERGY CHIQUITA CNTR</t>
  </si>
  <si>
    <t>08945</t>
  </si>
  <si>
    <t>08948</t>
  </si>
  <si>
    <t>08949</t>
  </si>
  <si>
    <t>08950</t>
  </si>
  <si>
    <t>COMM ON US NUCLR WEAPNS</t>
  </si>
  <si>
    <t>08951</t>
  </si>
  <si>
    <t>08997</t>
  </si>
  <si>
    <t>08999</t>
  </si>
  <si>
    <t>09000</t>
  </si>
  <si>
    <t>SELECTIVE SERVICE SYSTEM</t>
  </si>
  <si>
    <t>09097</t>
  </si>
  <si>
    <t>09100</t>
  </si>
  <si>
    <t>DEPARTMENT OF EDUCATION</t>
  </si>
  <si>
    <t>09197</t>
  </si>
  <si>
    <t>09199</t>
  </si>
  <si>
    <t>09300</t>
  </si>
  <si>
    <t>FEDERAL MEDIATION AND CONCILIATION SERVICE</t>
  </si>
  <si>
    <t>09397</t>
  </si>
  <si>
    <t>09400</t>
  </si>
  <si>
    <t>UNITED STATES ARMS CONTROL AND DISARMAMENT AGENCY</t>
  </si>
  <si>
    <t>09497</t>
  </si>
  <si>
    <t>09500</t>
  </si>
  <si>
    <t>09503</t>
  </si>
  <si>
    <t>PHYSICIAN PAYMENT REVIEW COMMISSION</t>
  </si>
  <si>
    <t>09516</t>
  </si>
  <si>
    <t>ADVISORY COMMITTEE ON FEDERAL PAY</t>
  </si>
  <si>
    <t>09521</t>
  </si>
  <si>
    <t>PANAMA CANAL COMMISSION</t>
  </si>
  <si>
    <t>09523</t>
  </si>
  <si>
    <t>PROSPECTIVE PAYMENT ASSESSMENT COMMISSION</t>
  </si>
  <si>
    <t>09525</t>
  </si>
  <si>
    <t>PRESIDENT'S CRIME PREVENTION COUNCIL</t>
  </si>
  <si>
    <t>09526</t>
  </si>
  <si>
    <t>WHITE HOUSE CONFERENCE ON LIBRARY AND INFORMATION SERVICES</t>
  </si>
  <si>
    <t>09531</t>
  </si>
  <si>
    <t>NATIONAL AFRO-AMERICAN HISTORY AND CULTURE COMMISSION</t>
  </si>
  <si>
    <t>09534</t>
  </si>
  <si>
    <t>NATIONAL COMMISSION ON MIGRANT EDUCATION</t>
  </si>
  <si>
    <t>09535</t>
  </si>
  <si>
    <t>PRESCRIPTION DRUG PAYMENT REVIEW COMMISSION</t>
  </si>
  <si>
    <t>09536</t>
  </si>
  <si>
    <t>NAT. COMM. ON ACQUIRED IMMUNE DEFICIENCY SYNDROME (AIDS)</t>
  </si>
  <si>
    <t>09543</t>
  </si>
  <si>
    <t>FEDERAL FINANCIAL INSTITUTIONS EXAMINATION COUNCIL</t>
  </si>
  <si>
    <t>09544</t>
  </si>
  <si>
    <t>COMPETITIVENESS POLICY COUNCIL</t>
  </si>
  <si>
    <t>09546</t>
  </si>
  <si>
    <t>NATIONAL ADVISORY COUNCIL ON THE PUBLIC SERVICE ACT OF 1990</t>
  </si>
  <si>
    <t>09547</t>
  </si>
  <si>
    <t>COMMISSION ON IMMIGRATION REFORM</t>
  </si>
  <si>
    <t>09597</t>
  </si>
  <si>
    <t>09600</t>
  </si>
  <si>
    <t>CORPS OF ENGINEERS, CIVIL</t>
  </si>
  <si>
    <t>09601</t>
  </si>
  <si>
    <t>US ARMY CORPS OF ENGINEERS-HEAD QUARTERS</t>
  </si>
  <si>
    <t>09602</t>
  </si>
  <si>
    <t>US ARMY CORPS OF ENGINEERS AUTOMATION PROGRAM</t>
  </si>
  <si>
    <t>09603</t>
  </si>
  <si>
    <t>US ARMY CORPS OF ENGINEERS VIDEO TELECONFERENCE SYSTEM</t>
  </si>
  <si>
    <t>09604</t>
  </si>
  <si>
    <t>HUMPHREYS ENGINEER CENTER SUPPORT ACTIVITY</t>
  </si>
  <si>
    <t>09605</t>
  </si>
  <si>
    <t>US ARMY CORPS OF ENG. PROGRAMMING INSTALLATION &amp; EXECUTION</t>
  </si>
  <si>
    <t>09606</t>
  </si>
  <si>
    <t>US ARMY TOPOGRAPHIC ENGINEERING CENTER</t>
  </si>
  <si>
    <t>09607</t>
  </si>
  <si>
    <t>US ARMY ENGINEERING AND SUPPORT CENTER</t>
  </si>
  <si>
    <t>09608</t>
  </si>
  <si>
    <t>US ARMY CORPS OF ENGINEERS DIVISION, MISSISSIPPI VALLEY</t>
  </si>
  <si>
    <t>09609</t>
  </si>
  <si>
    <t>US ARMY CORPS OF ENGINEERS DISTRICT, MEMPHIS</t>
  </si>
  <si>
    <t>09610</t>
  </si>
  <si>
    <t>US ARMY CORPS OF ENGINEERS DISTRICT, NEW ORLEANS</t>
  </si>
  <si>
    <t>09611</t>
  </si>
  <si>
    <t>US ARMY CORPS OF ENGINEERS DISTRICT, ST. LOUIS</t>
  </si>
  <si>
    <t>09612</t>
  </si>
  <si>
    <t>US ARMY CORPS OF ENGINEERS DISTRICT, VICKSBURG</t>
  </si>
  <si>
    <t>09613</t>
  </si>
  <si>
    <t>US ARMY CORPS OF ENGINEERS DISTRICT, ROCK ISLAND</t>
  </si>
  <si>
    <t>09614</t>
  </si>
  <si>
    <t>US ARMY CORPS OF ENGINEERS DISTRICT, ST. PAUL</t>
  </si>
  <si>
    <t>09615</t>
  </si>
  <si>
    <t>US ARMY CORPS OF ENGINEERS DIVISION, NORTH ATLANTIC</t>
  </si>
  <si>
    <t>09616</t>
  </si>
  <si>
    <t>US ARMY CORPS OF ENGINEERS DISTRICT, BALTIMORE</t>
  </si>
  <si>
    <t>09617</t>
  </si>
  <si>
    <t>US ARMY CORPS OF ENGINEERS DISTRICT, NEW YORK</t>
  </si>
  <si>
    <t>09618</t>
  </si>
  <si>
    <t>US ARMY CORPS OF ENGINEERS DISTRICT, NORFOLK</t>
  </si>
  <si>
    <t>09619</t>
  </si>
  <si>
    <t>US ARMY CORPS OF ENGINEERS DISTRICT, PHILADELPHIA</t>
  </si>
  <si>
    <t>09620</t>
  </si>
  <si>
    <t>US ARMY CORPS OF ENGINEERS DISTRICT, NEW ENGLAND</t>
  </si>
  <si>
    <t>09621</t>
  </si>
  <si>
    <t>US ARMY CORPS OF ENGINEERS DIVISION, NORTH WESTERN</t>
  </si>
  <si>
    <t>09622</t>
  </si>
  <si>
    <t>US ARMY CORPS OF ENGINEERS DISTRICT, PORTLAND</t>
  </si>
  <si>
    <t>09623</t>
  </si>
  <si>
    <t>US ARMY CORPS OF ENGINEERS DISTRICT, SEATTLE</t>
  </si>
  <si>
    <t>09624</t>
  </si>
  <si>
    <t>US ARMY CORPS OF ENGINEERS DISTRICT, WALLA WALLA</t>
  </si>
  <si>
    <t>09625</t>
  </si>
  <si>
    <t>US ARMY CORPS OF ENGINEERS DISTRICT, KANSAS CITY</t>
  </si>
  <si>
    <t>09626</t>
  </si>
  <si>
    <t>US ARMY CORPS OF ENGINEERS DISTRICT, OMAHA</t>
  </si>
  <si>
    <t>09627</t>
  </si>
  <si>
    <t>US ARMY CORPS OF ENGINEERS REGIONAL OFFICE, MISSOURI RIVER</t>
  </si>
  <si>
    <t>09628</t>
  </si>
  <si>
    <t>US ARMY CORPS OF ENG. DIVISION, GREAT LAKES AND OHIO RIVER</t>
  </si>
  <si>
    <t>09629</t>
  </si>
  <si>
    <t>09630</t>
  </si>
  <si>
    <t>US ARMY CORPS OF ENGINEERS DISTRICT, LOUISVILLE</t>
  </si>
  <si>
    <t>09631</t>
  </si>
  <si>
    <t>US ARMY CORPS OF ENGINEERS DISTRICT, NASHVILLE</t>
  </si>
  <si>
    <t>09632</t>
  </si>
  <si>
    <t>US ARMY CORPS OF ENGINEERS DISTRICT, PITTSBURGH</t>
  </si>
  <si>
    <t>09633</t>
  </si>
  <si>
    <t>US ARMY CORPS OF ENGINEERS DISTRICT, BUFFALO</t>
  </si>
  <si>
    <t>09634</t>
  </si>
  <si>
    <t>US ARMY CORPS OF ENGINEERS DISTRICT, CHICAGO</t>
  </si>
  <si>
    <t>09635</t>
  </si>
  <si>
    <t>US ARMY CORPS OF ENGINEERS DISTRICT, DETROIT</t>
  </si>
  <si>
    <t>09636</t>
  </si>
  <si>
    <t>US ARMY CORPS OF ENGINEERS REGIONAL OFFICE, GREAT LAKES</t>
  </si>
  <si>
    <t>09637</t>
  </si>
  <si>
    <t>US ARMY CORPS OF ENGINEERS DISTRICT, ALASKA</t>
  </si>
  <si>
    <t>09638</t>
  </si>
  <si>
    <t>US ARMY CORPS OF ENGINEERS DIVISION, SOUTH ATLANTIC</t>
  </si>
  <si>
    <t>09639</t>
  </si>
  <si>
    <t>US ARMY CORPS OF ENGINEERS DISTRICT, CHARLESTON</t>
  </si>
  <si>
    <t>09640</t>
  </si>
  <si>
    <t>US ARMY CORPS OF ENGINEERS DISTRICT, JACKSONVILLE</t>
  </si>
  <si>
    <t>09641</t>
  </si>
  <si>
    <t>US ARMY CORPS OF ENGINEERS DISTRICT, MOBILE</t>
  </si>
  <si>
    <t>09642</t>
  </si>
  <si>
    <t>US ARMY CORPS OF ENGINEERS DISTRICT, SAVANNAH</t>
  </si>
  <si>
    <t>09643</t>
  </si>
  <si>
    <t>US ARMY CORPS OF ENGINEERS DISTRICT, WILMINGTON</t>
  </si>
  <si>
    <t>09644</t>
  </si>
  <si>
    <t>US ARMY CORPS OF ENGINEERS TRANSATLANTIC PROGRAM CENTER</t>
  </si>
  <si>
    <t>09645</t>
  </si>
  <si>
    <t>US ARMY COE DIV STH PAC</t>
  </si>
  <si>
    <t>09646</t>
  </si>
  <si>
    <t>US ARMY COE DIST LA</t>
  </si>
  <si>
    <t>09647</t>
  </si>
  <si>
    <t>US ARMY COE DIST SCRMNTO</t>
  </si>
  <si>
    <t>09648</t>
  </si>
  <si>
    <t>US ARMY COE DIST SF</t>
  </si>
  <si>
    <t>09649</t>
  </si>
  <si>
    <t>US ARMY COE DIST ALBQRQE</t>
  </si>
  <si>
    <t>09650</t>
  </si>
  <si>
    <t>US ARMY COE DIV SW</t>
  </si>
  <si>
    <t>09651</t>
  </si>
  <si>
    <t>US ARMY COE DIST FT WORTH</t>
  </si>
  <si>
    <t>09652</t>
  </si>
  <si>
    <t>US ARMY COE DIST GALVSTN</t>
  </si>
  <si>
    <t>09653</t>
  </si>
  <si>
    <t>US ARMY COE DIST LR</t>
  </si>
  <si>
    <t>09654</t>
  </si>
  <si>
    <t>US ARMY COE DIST TULSA</t>
  </si>
  <si>
    <t>09655</t>
  </si>
  <si>
    <t>US ARMY CNST ENG RSCH LAB</t>
  </si>
  <si>
    <t>09656</t>
  </si>
  <si>
    <t>US ARMY COLD ENG RSCH LAB</t>
  </si>
  <si>
    <t>09657</t>
  </si>
  <si>
    <t>US ARMY ENG WW EXPR STN</t>
  </si>
  <si>
    <t>09658</t>
  </si>
  <si>
    <t>INACTIVEUS ARMY COE, PAC OCEAN DIV,FAR EAST DIST</t>
  </si>
  <si>
    <t>09659</t>
  </si>
  <si>
    <t>INACTIVEUS ARMY COE, PAC OCEAN DIV,HONOLULU DIST</t>
  </si>
  <si>
    <t>09660</t>
  </si>
  <si>
    <t>US ARMY COE, PAC OCEAN DIV,JAPAN DIST</t>
  </si>
  <si>
    <t>09661</t>
  </si>
  <si>
    <t>US ARMY CORPS OF ENGINEERS FAR EAST DISTRICT</t>
  </si>
  <si>
    <t>09662</t>
  </si>
  <si>
    <t>US ARMY CORPS OF ENGINEERS EUROPE DISTRICT</t>
  </si>
  <si>
    <t>09663</t>
  </si>
  <si>
    <t>US ARMY CORPS OF ENGINEERS HONOLULU DISTRICT</t>
  </si>
  <si>
    <t>09664</t>
  </si>
  <si>
    <t>USACE ENGINEER LOGISTICS AGENCY</t>
  </si>
  <si>
    <t>09665</t>
  </si>
  <si>
    <t>USACE WASHINGTON AQUEDUCT</t>
  </si>
  <si>
    <t>09666</t>
  </si>
  <si>
    <t>USACE INSTITUTE WATER RESOURCES</t>
  </si>
  <si>
    <t>09667</t>
  </si>
  <si>
    <t>USACE 249TH ENGINEER BATTALION</t>
  </si>
  <si>
    <t>09668</t>
  </si>
  <si>
    <t>USACE JOINT MILITARY POST ACTIVITY PACIFIC</t>
  </si>
  <si>
    <t>09669</t>
  </si>
  <si>
    <t>ARMY CORPS OF ENGINEERS ARMY GEOSPATIAL CENTER</t>
  </si>
  <si>
    <t>09670</t>
  </si>
  <si>
    <t>USACE JOINT TEST &amp; EVALUATION PROG RECOMPETITION</t>
  </si>
  <si>
    <t>09697</t>
  </si>
  <si>
    <t>09699</t>
  </si>
  <si>
    <t>09700</t>
  </si>
  <si>
    <t>DEPARTMENT OF DEFENSE (OFFICE OF THE SECRETARY OF DEFENSE)</t>
  </si>
  <si>
    <t>OFFICE OF THE SECRETARY OF DEFENSE</t>
  </si>
  <si>
    <t>09701</t>
  </si>
  <si>
    <t>JOINT-BRAZIL-UNITED STATES DEFENSE COMMISSION</t>
  </si>
  <si>
    <t>09703</t>
  </si>
  <si>
    <t>JOINT-MEXICAN-UNITED STATES DEFENSE COMMISSION</t>
  </si>
  <si>
    <t>09705</t>
  </si>
  <si>
    <t>NATIONAL SECURITY AGENCY</t>
  </si>
  <si>
    <t>09706</t>
  </si>
  <si>
    <t>THE JOINT STAFF</t>
  </si>
  <si>
    <t>09707</t>
  </si>
  <si>
    <t>PERMANENT JOINT BOARD ON DEFENSE UNITED STATES AND CANADA</t>
  </si>
  <si>
    <t>09708</t>
  </si>
  <si>
    <t>DEFENCE OFFICE OF HEARING &amp; APPEALS</t>
  </si>
  <si>
    <t>09709</t>
  </si>
  <si>
    <t>DOD OFF OF SEC TRICARE MGT ACT BAG 4</t>
  </si>
  <si>
    <t>09710</t>
  </si>
  <si>
    <t>09711</t>
  </si>
  <si>
    <t>UNITED STATES COURT OF MILITARY APPEALS</t>
  </si>
  <si>
    <t>09712</t>
  </si>
  <si>
    <t>09713</t>
  </si>
  <si>
    <t>DEPT OF DEFENSE EDUCATION ACTIVITY</t>
  </si>
  <si>
    <t>09714</t>
  </si>
  <si>
    <t>DEFENSE THREAT REDUCTION AGENCY</t>
  </si>
  <si>
    <t>09715</t>
  </si>
  <si>
    <t>DEFENSE LOGISTICS AGENCY</t>
  </si>
  <si>
    <t>09716</t>
  </si>
  <si>
    <t>NATIONAL GEOSPATIONAL - INTELLIGENCE AGENCY</t>
  </si>
  <si>
    <t>09717</t>
  </si>
  <si>
    <t>DEFENSE INTELLIGENCE AGENCY</t>
  </si>
  <si>
    <t>09718</t>
  </si>
  <si>
    <t>DEFENSE SECURITY SERVICE</t>
  </si>
  <si>
    <t>09719</t>
  </si>
  <si>
    <t>DEFENSE CIVILIAN PERSONNEL ADVISORY SERVICE</t>
  </si>
  <si>
    <t>09720</t>
  </si>
  <si>
    <t>DOD,JNT NTL INTEG CT,SHRIEVER AFB,CO</t>
  </si>
  <si>
    <t>09721</t>
  </si>
  <si>
    <t>DEFENSE INFORMATION SYSTEMS AGENCY</t>
  </si>
  <si>
    <t>09722</t>
  </si>
  <si>
    <t>DEFENSE CONTRACT AUDIT AGENCY</t>
  </si>
  <si>
    <t>09723</t>
  </si>
  <si>
    <t>DOD,DEF CONT MGMT AGENCY-NATL</t>
  </si>
  <si>
    <t>09724</t>
  </si>
  <si>
    <t>DOD,DEF CONT MGMT AGENCY-LOC</t>
  </si>
  <si>
    <t>09725</t>
  </si>
  <si>
    <t>CAMPAIGN MANAGEMENT CONTROL ACTIVITY</t>
  </si>
  <si>
    <t>09726</t>
  </si>
  <si>
    <t>DEFENSE RESEARCH AND ENGINEERING TEST AND EVALUATION</t>
  </si>
  <si>
    <t>09727</t>
  </si>
  <si>
    <t>DEFENSE FINANCE AND ACCOUNTING SERVICE</t>
  </si>
  <si>
    <t>09728</t>
  </si>
  <si>
    <t>JOINT INTERAGENCY TASK FORCE WEST</t>
  </si>
  <si>
    <t>09729</t>
  </si>
  <si>
    <t>DEFENSE COMMISSARY AGENCY-INFO TECH COMM</t>
  </si>
  <si>
    <t>09730</t>
  </si>
  <si>
    <t>DEPARTMENT OF DEFENSE-CONSOLIDATED SWITCHES</t>
  </si>
  <si>
    <t>09731</t>
  </si>
  <si>
    <t>DOD, BALLISTIC MISSILE DEF ORG</t>
  </si>
  <si>
    <t>09732</t>
  </si>
  <si>
    <t>DOD,JOINT TECHNOLOGY OFFICE</t>
  </si>
  <si>
    <t>09733</t>
  </si>
  <si>
    <t>DOD,TRI-SVC INFRASTR MGM PRG OFC</t>
  </si>
  <si>
    <t>09734</t>
  </si>
  <si>
    <t>DOD,ARMED FORCES INFO SERV</t>
  </si>
  <si>
    <t>09735</t>
  </si>
  <si>
    <t>DEFENSE ACQUISITION UNIVERSITY</t>
  </si>
  <si>
    <t>09736</t>
  </si>
  <si>
    <t>DOD DEF ADV RESRCH PROJ AGENCY</t>
  </si>
  <si>
    <t>09737</t>
  </si>
  <si>
    <t>DOD DEPEND SCHOOLS-EUROPE</t>
  </si>
  <si>
    <t>09738</t>
  </si>
  <si>
    <t>DOD OFF OF SEC TRICARE MGT ACT BAG 2</t>
  </si>
  <si>
    <t>09739</t>
  </si>
  <si>
    <t>US JOINT FORCES COMMAND J9</t>
  </si>
  <si>
    <t>09740</t>
  </si>
  <si>
    <t>US JOINT FORCES COMMAND J7</t>
  </si>
  <si>
    <t>09741</t>
  </si>
  <si>
    <t>US NORTHERN COMMAND (NORTHCOM)</t>
  </si>
  <si>
    <t>09742</t>
  </si>
  <si>
    <t>DEPT OF DEFENSE/ARMED FORCES RADIO TELEVISION SVCS</t>
  </si>
  <si>
    <t>09743</t>
  </si>
  <si>
    <t>DOD OFF OF SEC TRICARE MGT ACT BAG 7</t>
  </si>
  <si>
    <t>09744</t>
  </si>
  <si>
    <t>DOD, OFF OF SEC TRICARE MGT ACT RDT&amp;E</t>
  </si>
  <si>
    <t>09745</t>
  </si>
  <si>
    <t>OFC OF SECRETARY OF DEF/DEFENSE MANPOWR DATA CEMTER</t>
  </si>
  <si>
    <t>09746</t>
  </si>
  <si>
    <t>NGA INTEGRATED PROGRAM OFFICE (NGA IPO)</t>
  </si>
  <si>
    <t>09747</t>
  </si>
  <si>
    <t>TRICARE MANAGEMENT ACTIVITY - BAG 7 (807796)</t>
  </si>
  <si>
    <t>09752</t>
  </si>
  <si>
    <t>DOC/USSOCOM</t>
  </si>
  <si>
    <t>09753</t>
  </si>
  <si>
    <t>OIFC OF SECRE/US TRANSPORTATION COMMAND</t>
  </si>
  <si>
    <t>09761</t>
  </si>
  <si>
    <t>09771</t>
  </si>
  <si>
    <t>DOD,DEFENSE MICROELECTRONIC ACTIVITY</t>
  </si>
  <si>
    <t>09797</t>
  </si>
  <si>
    <t>09798</t>
  </si>
  <si>
    <t>DOD, WASHINGTON HEADQTRS SVC</t>
  </si>
  <si>
    <t>09799</t>
  </si>
  <si>
    <t>DOD-INSIDE WASHINGTON HEADQUARTER SERVICES</t>
  </si>
  <si>
    <t>09800</t>
  </si>
  <si>
    <t>UNITED STATES RAILWAY ASSOCIATION</t>
  </si>
  <si>
    <t>09897</t>
  </si>
  <si>
    <t>09900</t>
  </si>
  <si>
    <t>GENERAL FUND OF THE TREASURY</t>
  </si>
  <si>
    <t>18477</t>
  </si>
  <si>
    <t>MILLENIUM CHALLENGER CORPORATION</t>
  </si>
  <si>
    <t>23500</t>
  </si>
  <si>
    <t>27474</t>
  </si>
  <si>
    <t>RONALD REAGAN CENTENNIAL COMMISSION</t>
  </si>
  <si>
    <t>28300</t>
  </si>
  <si>
    <t>EARNINGS ON INVESTMENTS, DWIGHT D. EISENHOWER MEMORIAL FUND</t>
  </si>
  <si>
    <t>29200</t>
  </si>
  <si>
    <t>US CHINA ECONOMIC SECURITY REVIEW COMM</t>
  </si>
  <si>
    <t>29393</t>
  </si>
  <si>
    <t>CENSUS MONITRNG CONG</t>
  </si>
  <si>
    <t>29500</t>
  </si>
  <si>
    <t>US COMM ON INTERNATIONAL RELIGIOUS FREEDOM</t>
  </si>
  <si>
    <t>30215</t>
  </si>
  <si>
    <t>ADMINISTRATIVE CONFERENCE OF THE UNITED STATES</t>
  </si>
  <si>
    <t>30600</t>
  </si>
  <si>
    <t>ADVISORY COUNCIL ON HISTORIC PRESERVATION</t>
  </si>
  <si>
    <t>30653</t>
  </si>
  <si>
    <t>30900</t>
  </si>
  <si>
    <t>REGIONAL COMMISSIONS</t>
  </si>
  <si>
    <t>30901</t>
  </si>
  <si>
    <t>DELAWARE RIVER BASIN COMMISSION</t>
  </si>
  <si>
    <t>30902</t>
  </si>
  <si>
    <t>APPALACHIAN REGIONAL COMMISSION</t>
  </si>
  <si>
    <t>30904</t>
  </si>
  <si>
    <t>WASHINGTON METROPOLITAN AREA TRANSIT AUTHORITY</t>
  </si>
  <si>
    <t>30917</t>
  </si>
  <si>
    <t>MARTIN LUTHER KING JR. FEDERAL HOLIDAY COMMISSION</t>
  </si>
  <si>
    <t>30997</t>
  </si>
  <si>
    <t>31022</t>
  </si>
  <si>
    <t>ARCHITECTURAL AND TRANSPORTATION BARRIERS COMPLIANCE BOARD</t>
  </si>
  <si>
    <t>31052</t>
  </si>
  <si>
    <t>US ACCESS BOARD</t>
  </si>
  <si>
    <t>31333</t>
  </si>
  <si>
    <t>BARRY GOLDWATER SCHOLARSHIP AND EXCELLENCE IN ED. FOUNDATION</t>
  </si>
  <si>
    <t>32137</t>
  </si>
  <si>
    <t>COMMISSION FOR THE PRESERVATION OF AMERICA'S HERITAGE ABROAD</t>
  </si>
  <si>
    <t>32200</t>
  </si>
  <si>
    <t>COMM ON STDY INTNTL MGR&amp;COOP ECN DEV</t>
  </si>
  <si>
    <t>32320</t>
  </si>
  <si>
    <t>COMMISSION OF FINE ARTS</t>
  </si>
  <si>
    <t>32617</t>
  </si>
  <si>
    <t>COMMISSION ON CIVIL RIGHTS</t>
  </si>
  <si>
    <t>33818</t>
  </si>
  <si>
    <t>COMM FOR PURCHASE FROM PEOPLE WHO ARE BLIND OR SEVERLY DISAB</t>
  </si>
  <si>
    <t>33907</t>
  </si>
  <si>
    <t>COMMODITY FUTURES TRADING COMMISSION</t>
  </si>
  <si>
    <t>34539</t>
  </si>
  <si>
    <t>UNITED STATES COURT OF VETERANS APPEALS</t>
  </si>
  <si>
    <t>34738</t>
  </si>
  <si>
    <t>DEFENSE NUCLEAR FACILITIES SAFETY BOARD</t>
  </si>
  <si>
    <t>34995</t>
  </si>
  <si>
    <t>D.C.SUPERIOR COURT</t>
  </si>
  <si>
    <t>35200</t>
  </si>
  <si>
    <t>FARM CREDIT ADMINISTRATION</t>
  </si>
  <si>
    <t>35201</t>
  </si>
  <si>
    <t>BANKS FOR COOPERATIVES</t>
  </si>
  <si>
    <t>35203</t>
  </si>
  <si>
    <t>FEDERAL INTERMEDIATE CREDIT BANKS</t>
  </si>
  <si>
    <t>35205</t>
  </si>
  <si>
    <t>FEDERAL LAND BANKS</t>
  </si>
  <si>
    <t>35207</t>
  </si>
  <si>
    <t>FARM CREDIT ADMISTRATION</t>
  </si>
  <si>
    <t>35500</t>
  </si>
  <si>
    <t>35501</t>
  </si>
  <si>
    <t>35503</t>
  </si>
  <si>
    <t>35505</t>
  </si>
  <si>
    <t>35507</t>
  </si>
  <si>
    <t>35597</t>
  </si>
  <si>
    <t>36006</t>
  </si>
  <si>
    <t>FEDERAL ELECTION COMMISSION</t>
  </si>
  <si>
    <t>36209</t>
  </si>
  <si>
    <t>APPRAISAL SUBCOMM OF THE FED FIN. INSTITUTIONS EXAM. COUNCIL</t>
  </si>
  <si>
    <t>36411</t>
  </si>
  <si>
    <t>FEDERAL HOUSING FINANCE BOARD</t>
  </si>
  <si>
    <t>36800</t>
  </si>
  <si>
    <t>368</t>
  </si>
  <si>
    <t>36804</t>
  </si>
  <si>
    <t>FEDERAL MINE SAFETY AND HEALTH REVIEW COMMISSION</t>
  </si>
  <si>
    <t>36845</t>
  </si>
  <si>
    <t>COMMISSION ON NATIONAL AND COMMUNITY SERVICE</t>
  </si>
  <si>
    <t>37210</t>
  </si>
  <si>
    <t>HARRY S TRUMAN SCHOLARSHIP FOUNDATION</t>
  </si>
  <si>
    <t>37332</t>
  </si>
  <si>
    <t>INST. OF AMER. INDIAN AND AK NATIVE CULTURE AND ARTS DVLP.</t>
  </si>
  <si>
    <t>37613</t>
  </si>
  <si>
    <t>INTERAGENCY COUNCIL FOR THE HOMELESS</t>
  </si>
  <si>
    <t>38141</t>
  </si>
  <si>
    <t>JAMES MADISON MEMORIAL FELLOWSHIP FOUNDATION</t>
  </si>
  <si>
    <t>38212</t>
  </si>
  <si>
    <t>JAPAN-UNITED STATES FRIENDSHIP COMMISSION</t>
  </si>
  <si>
    <t>38713</t>
  </si>
  <si>
    <t>MARINE MAMMAL COMMISSION</t>
  </si>
  <si>
    <t>38900</t>
  </si>
  <si>
    <t>MERIT SYSTEMS PROTECTION BOARD</t>
  </si>
  <si>
    <t>38901</t>
  </si>
  <si>
    <t>38902</t>
  </si>
  <si>
    <t>MSPB OFF SPEC COUNSL</t>
  </si>
  <si>
    <t>38997</t>
  </si>
  <si>
    <t>39402</t>
  </si>
  <si>
    <t>NATIONAL CAPITAL PLANNING COMMISSION</t>
  </si>
  <si>
    <t>40028</t>
  </si>
  <si>
    <t>NATIONAL COMMISSION ON LIBRARIES AND INFORMATION SCIENCE</t>
  </si>
  <si>
    <t>41329</t>
  </si>
  <si>
    <t>NATIONAL COUNCIL ON DISABILITY</t>
  </si>
  <si>
    <t>41700</t>
  </si>
  <si>
    <t>NATIONAL FOUNDATION ON THE ARTS AND THE HUMANITIES</t>
  </si>
  <si>
    <t>41701</t>
  </si>
  <si>
    <t>NATIONAL ENDOWMENT FOR HUMANITIES</t>
  </si>
  <si>
    <t>41702</t>
  </si>
  <si>
    <t>NATIONAL FOUNDATION FOR THE ARTS</t>
  </si>
  <si>
    <t>41703</t>
  </si>
  <si>
    <t>NATIONAL FOUNDATION ON THE ARTS AND HUMANITIES</t>
  </si>
  <si>
    <t>41704</t>
  </si>
  <si>
    <t>INSTITUTE OF MUSEUM SERVICES</t>
  </si>
  <si>
    <t>41712</t>
  </si>
  <si>
    <t>NATIONAL ENDOWMENT FOR THE ARTS</t>
  </si>
  <si>
    <t>41797</t>
  </si>
  <si>
    <t>41799</t>
  </si>
  <si>
    <t>42000</t>
  </si>
  <si>
    <t>NATIONAL LABOR RELATIONS BOARD</t>
  </si>
  <si>
    <t>42097</t>
  </si>
  <si>
    <t>42124</t>
  </si>
  <si>
    <t>NATIONAL MEDIATION BOARD</t>
  </si>
  <si>
    <t>42408</t>
  </si>
  <si>
    <t>NATIONAL TRANSPORTATION SAFETY BOARD</t>
  </si>
  <si>
    <t>42840</t>
  </si>
  <si>
    <t>NEIGHBORHOOD REINVESTMENT CORPORATION</t>
  </si>
  <si>
    <t>43110</t>
  </si>
  <si>
    <t>NUCLEAR WASTE TECHNICAL REVIEW BOARD</t>
  </si>
  <si>
    <t>43214</t>
  </si>
  <si>
    <t>OCCUPATIONAL SAFETY AND HEALTH REVIEW COMMISSION</t>
  </si>
  <si>
    <t>43442</t>
  </si>
  <si>
    <t>OFFICE OF GOVERNMENT ETHICS</t>
  </si>
  <si>
    <t>43538</t>
  </si>
  <si>
    <t>NAVAJO AND HOPI INDIAN RELOCATION COMMISSION</t>
  </si>
  <si>
    <t>43800</t>
  </si>
  <si>
    <t>PANAMA CANAL COMM</t>
  </si>
  <si>
    <t>45346</t>
  </si>
  <si>
    <t>STATE JUSTICE INSTITUTE</t>
  </si>
  <si>
    <t>45500</t>
  </si>
  <si>
    <t>TENNESSEE VALLEY AUTHORITY</t>
  </si>
  <si>
    <t>45597</t>
  </si>
  <si>
    <t>45599</t>
  </si>
  <si>
    <t>45627</t>
  </si>
  <si>
    <t>UNITED STATES HOLOCAUST MEMORIAL COUNCIL</t>
  </si>
  <si>
    <t>45830</t>
  </si>
  <si>
    <t>UNITED STATES INSTITUTE OF PEACE</t>
  </si>
  <si>
    <t>46500</t>
  </si>
  <si>
    <t>COMMEMORATIVE COMMISSIONS</t>
  </si>
  <si>
    <t>46501</t>
  </si>
  <si>
    <t>AM REV BICENT COMM</t>
  </si>
  <si>
    <t>46507</t>
  </si>
  <si>
    <t>FRANKLIN DELANO ROOSEVELT MEMORIAL JUBILEE COMMISSION</t>
  </si>
  <si>
    <t>46508</t>
  </si>
  <si>
    <t>CHRISTOPHER COLUMBUS QUINCENTENARY JUBILEE COMMISSION</t>
  </si>
  <si>
    <t>46509</t>
  </si>
  <si>
    <t>BICENTENNIAL OF THE U. S. CONSTITUTION COMMISSION</t>
  </si>
  <si>
    <t>46510</t>
  </si>
  <si>
    <t>JAMES MADISON MEMORIAL COMMISSION</t>
  </si>
  <si>
    <t>46512</t>
  </si>
  <si>
    <t>LEWIS AND CLARK TRIAL COMMISSION</t>
  </si>
  <si>
    <t>46513</t>
  </si>
  <si>
    <t>DWIGHT DAVID EISENHOWER CENTENNIAL COMMISSION</t>
  </si>
  <si>
    <t>46515</t>
  </si>
  <si>
    <t>US TERRITORY EXPANSION MEMORIAL COMMISSION</t>
  </si>
  <si>
    <t>46516</t>
  </si>
  <si>
    <t>WOODROW WILSON MEMORIAL COMMISSION</t>
  </si>
  <si>
    <t>46517</t>
  </si>
  <si>
    <t>MARTIN LUTHER KING, JR., FEDERAL HOLIDAY COMMISSION</t>
  </si>
  <si>
    <t>46518</t>
  </si>
  <si>
    <t>CHRISTOPHER COLUMBUS FELLOWSHIP FOUNDATION</t>
  </si>
  <si>
    <t>46550</t>
  </si>
  <si>
    <t>RAT ADVISORY  BOARD</t>
  </si>
  <si>
    <t>46597</t>
  </si>
  <si>
    <t>46719</t>
  </si>
  <si>
    <t>INTELLIGENCE COMMUNITY OVERSIGHT</t>
  </si>
  <si>
    <t>46751</t>
  </si>
  <si>
    <t>OFFICE DIRECTOR OF NATIONAL INTELLIGENCE</t>
  </si>
  <si>
    <t>47188</t>
  </si>
  <si>
    <t>GULF COAST RESTORATION COUNCIL</t>
  </si>
  <si>
    <t>48026</t>
  </si>
  <si>
    <t>U.S. WORLD WAR I CENTENNIAL COMMISSION</t>
  </si>
  <si>
    <t>48100</t>
  </si>
  <si>
    <t>COMM TO ELIM CHLD ABUSE &amp; NGLT FATAL</t>
  </si>
  <si>
    <t>48115</t>
  </si>
  <si>
    <t>48500</t>
  </si>
  <si>
    <t>48502</t>
  </si>
  <si>
    <t>DOMESTIC PROGRAMS</t>
  </si>
  <si>
    <t>48504</t>
  </si>
  <si>
    <t>ACTION PEACE CORP</t>
  </si>
  <si>
    <t>48507</t>
  </si>
  <si>
    <t>ACTION INTRNTL PGMS</t>
  </si>
  <si>
    <t>48515</t>
  </si>
  <si>
    <t>VOLUNTEERS</t>
  </si>
  <si>
    <t>48545</t>
  </si>
  <si>
    <t>48599</t>
  </si>
  <si>
    <t>48648</t>
  </si>
  <si>
    <t>UNITED STATES ENRICHMENT</t>
  </si>
  <si>
    <t>48749</t>
  </si>
  <si>
    <t>M.K. UDALL SCHLRSHP AND EXCEL. IN NAT. ENVIRON. PLCY FDATION</t>
  </si>
  <si>
    <t>50537</t>
  </si>
  <si>
    <t>51050</t>
  </si>
  <si>
    <t>CHEMICAL SAFETY BOARD</t>
  </si>
  <si>
    <t>51163</t>
  </si>
  <si>
    <t>COURT SVCS&amp;OFFNDER SUPVSN AG (CSOSA)</t>
  </si>
  <si>
    <t>51164</t>
  </si>
  <si>
    <t xml:space="preserve">PDS/DC PUBLIC DEF SVC FOR DIST OF COLUM </t>
  </si>
  <si>
    <t>51170</t>
  </si>
  <si>
    <t>PRETRIAL SERVICES AGENCY FOR THE DISTRICT OF COLUMBIA</t>
  </si>
  <si>
    <t>51255</t>
  </si>
  <si>
    <t>PRESIDIO-SAN FRANCISCO</t>
  </si>
  <si>
    <t>51367</t>
  </si>
  <si>
    <t>DENALI COMMISSION</t>
  </si>
  <si>
    <t>51401</t>
  </si>
  <si>
    <t>BOARD FOR INTERNATIONAL BROAD CASTING</t>
  </si>
  <si>
    <t>51468</t>
  </si>
  <si>
    <t>BROADCASTING BOARD OF GOVERNORS</t>
  </si>
  <si>
    <t>51577</t>
  </si>
  <si>
    <t xml:space="preserve">COMMISSION ON OCEAN POLICY </t>
  </si>
  <si>
    <t>51720</t>
  </si>
  <si>
    <t>DELTA REGIONAL AUTHORITY - DRA</t>
  </si>
  <si>
    <t>51773</t>
  </si>
  <si>
    <t>51800</t>
  </si>
  <si>
    <t>51976</t>
  </si>
  <si>
    <t>VIETNAM EDUCATION FOUNDATION</t>
  </si>
  <si>
    <t>52400</t>
  </si>
  <si>
    <t>52477</t>
  </si>
  <si>
    <t>52562</t>
  </si>
  <si>
    <t>ELECTION ASSISTANCE COMMISSION</t>
  </si>
  <si>
    <t>53465</t>
  </si>
  <si>
    <t>FED. CORDNTR. AK NAT GAS TRANS. PROJ.</t>
  </si>
  <si>
    <t>53582</t>
  </si>
  <si>
    <t>PRIVACY AND CIVIL LIBERTIES OVERSIGHT BOARD</t>
  </si>
  <si>
    <t>53780</t>
  </si>
  <si>
    <t>FEDERAL HOUSING FINANCE AGENCY</t>
  </si>
  <si>
    <t>53961</t>
  </si>
  <si>
    <t>RECOVERY ACCOUNTABILITY AND TRANSPARENCY BOARD</t>
  </si>
  <si>
    <t>54283</t>
  </si>
  <si>
    <t>COUNCIL OF INSPECTOR GENERAL ON INTEGRITY &amp; EFFICIENCY</t>
  </si>
  <si>
    <t>57005</t>
  </si>
  <si>
    <t>EISENHOWER EXCHANGE FELLOWSHIP PROGRAM TRUST FUND</t>
  </si>
  <si>
    <t>57185</t>
  </si>
  <si>
    <t>NATIONAL RECONNAISSANCE OFFICE</t>
  </si>
  <si>
    <t>57274</t>
  </si>
  <si>
    <t>COM NATL MOM OF REMEMB</t>
  </si>
  <si>
    <t>57384</t>
  </si>
  <si>
    <t>NORTHERN BORDER REGIONAL COMMISSION</t>
  </si>
  <si>
    <t>58159</t>
  </si>
  <si>
    <t>CONSUMER FINANCIAL PROTECTION BUREAU</t>
  </si>
  <si>
    <t>58473</t>
  </si>
  <si>
    <t>INDIAN LAW AND ORDER COMMISSION</t>
  </si>
  <si>
    <t>99900</t>
  </si>
  <si>
    <t>FEDERAL SUMMARY ROLL-UP</t>
  </si>
  <si>
    <t>0FE99</t>
  </si>
  <si>
    <t>FEDERAL DUMMY FOR CONVERSION</t>
  </si>
  <si>
    <t>FEDERAL FOR CONVERSION</t>
  </si>
  <si>
    <t>N0A00</t>
  </si>
  <si>
    <t>STATE &amp; LOCAL GOVERNMENT SPONSORED</t>
  </si>
  <si>
    <t>STATE &amp; LOCAL GOVERNMENT - SPONSORED</t>
  </si>
  <si>
    <t>N0C00</t>
  </si>
  <si>
    <t>COMMERCIAL SPONSORED</t>
  </si>
  <si>
    <t>COMMERCIAL - SPONSORED</t>
  </si>
  <si>
    <t>N0D00</t>
  </si>
  <si>
    <t>DC GOVERNMENT SPONSORED</t>
  </si>
  <si>
    <t>DC GOVERNMENT - SPONSORED</t>
  </si>
  <si>
    <t>N0P00</t>
  </si>
  <si>
    <t>NON-PROFIT ORGANIZATION - SPONSORED</t>
  </si>
  <si>
    <t>N0T00</t>
  </si>
  <si>
    <t>TRIBAL ORGANIZATION - SPONSORED</t>
  </si>
  <si>
    <t>N9A00</t>
  </si>
  <si>
    <t>STATE &amp; LOCAL GOVERNMENTS</t>
  </si>
  <si>
    <t>STATE &amp; LOCAL GOVERNMENTS (NON-SPONSORED)</t>
  </si>
  <si>
    <t>N9A01</t>
  </si>
  <si>
    <t>COMMONWEALTH OF THE NORTHERN MARIANA ISLANDS(CNMI)</t>
  </si>
  <si>
    <t>N9A02</t>
  </si>
  <si>
    <t>GOVERNOR'S OFFICE, THE STATE OF ILLINOIS</t>
  </si>
  <si>
    <t>N9A03</t>
  </si>
  <si>
    <t>GOVERNMENT OF PUERTO RICO</t>
  </si>
  <si>
    <t>N9A04</t>
  </si>
  <si>
    <t>USDOL VETS</t>
  </si>
  <si>
    <t>N9A05</t>
  </si>
  <si>
    <t>LA FEDERAL PROPERTY ASSISTANCE</t>
  </si>
  <si>
    <t>N9A06</t>
  </si>
  <si>
    <t>GOVERNOR'S OFFICE, SALT LAKE CITY, UT</t>
  </si>
  <si>
    <t>N9A07</t>
  </si>
  <si>
    <t>AMERICAN SAMOA GOVERNMENT</t>
  </si>
  <si>
    <t>N9A08</t>
  </si>
  <si>
    <t>DC HOMELAND SECURITY &amp; EMERGENCY MANAGEMENT AGENCY</t>
  </si>
  <si>
    <t>N9A15</t>
  </si>
  <si>
    <t>NAT COMM ON AMER INDIAN, AK NATIVE, AND NATIVE HAW. HSNG</t>
  </si>
  <si>
    <t>N9C00</t>
  </si>
  <si>
    <t>COMMERCIAL</t>
  </si>
  <si>
    <t>COMMERCIAL (NON-SPONSORED)</t>
  </si>
  <si>
    <t>N9C01</t>
  </si>
  <si>
    <t>CENTURY COUNCIL</t>
  </si>
  <si>
    <t>N9C02</t>
  </si>
  <si>
    <t>JUMPSTART</t>
  </si>
  <si>
    <t>N9C03</t>
  </si>
  <si>
    <t>MORTGAGE INSURANCE CO. OF AMERICA</t>
  </si>
  <si>
    <t>N9C04</t>
  </si>
  <si>
    <t>FINANCIAL INDUSTRY REGULATORY AUTHORITY</t>
  </si>
  <si>
    <t>N9C05</t>
  </si>
  <si>
    <t>FINANCIAL INVESTORY EDUCTATION FOUNDATION</t>
  </si>
  <si>
    <t>N9C06</t>
  </si>
  <si>
    <t>SECURITIES INVESTORY PROTECTION CORP</t>
  </si>
  <si>
    <t>N9C07</t>
  </si>
  <si>
    <t>PRUDENTIAL</t>
  </si>
  <si>
    <t>N9C08</t>
  </si>
  <si>
    <t>AMERICAN HEALTH INS. PLANS</t>
  </si>
  <si>
    <t>N9C09</t>
  </si>
  <si>
    <t>NATIONAL PHARMACEUTICAL COUNCIL</t>
  </si>
  <si>
    <t>N9C10</t>
  </si>
  <si>
    <t>AMERICAN FINANCIAL SERVICES ASSOC</t>
  </si>
  <si>
    <t>N9C11</t>
  </si>
  <si>
    <t>WASTE MANAGEMENT OF FLORIDA</t>
  </si>
  <si>
    <t>N9C12</t>
  </si>
  <si>
    <t>MILLENNIUM ENGINEERING &amp; INTEGRATION</t>
  </si>
  <si>
    <t>N9C13</t>
  </si>
  <si>
    <t>M2 SERVICES CORPORATION</t>
  </si>
  <si>
    <t>N9C14</t>
  </si>
  <si>
    <t>CERTIFIED FINANCIAL PLANNER BOARD OF STANDARDS</t>
  </si>
  <si>
    <t>N9C15</t>
  </si>
  <si>
    <t>UNWIN COMPANY</t>
  </si>
  <si>
    <t>N9C16</t>
  </si>
  <si>
    <t>ALEUT MANAGEMENT SERVICES (AMS),LLC</t>
  </si>
  <si>
    <t>N9C17</t>
  </si>
  <si>
    <t>FAIRBANKS NATIVE ASSOCIATION</t>
  </si>
  <si>
    <t>N9C18</t>
  </si>
  <si>
    <t>CHENAGA SECURITY &amp; SUPPORT SOLUTIONS,LLC</t>
  </si>
  <si>
    <t>N9C19</t>
  </si>
  <si>
    <t>COMBINED FEDERAL CAMPAIGN OF THE NATIONAL CAPITAL AREA</t>
  </si>
  <si>
    <t>N9C58</t>
  </si>
  <si>
    <t xml:space="preserve">FEDERAL HOME LOAN BANKS </t>
  </si>
  <si>
    <t>N9D00</t>
  </si>
  <si>
    <t>DC GOVERNMENT</t>
  </si>
  <si>
    <t>DC GOVERNMENT - (NON-SPONSORED)</t>
  </si>
  <si>
    <t>N9D01</t>
  </si>
  <si>
    <t>DC HOMELAND SECURITY &amp; EMERGENCY MANAGEMNT AGNCY NON-SPONS</t>
  </si>
  <si>
    <t>N9D49</t>
  </si>
  <si>
    <t>DC GOVT, CHILD &amp; FAMILY SVCS AG</t>
  </si>
  <si>
    <t>N9D99</t>
  </si>
  <si>
    <t>N9E00</t>
  </si>
  <si>
    <t>EMPLOYEE OR INDIVIDUAL</t>
  </si>
  <si>
    <t>N9P00</t>
  </si>
  <si>
    <t>NON-PROFIT ORGANIZATIONS (NON-SPONSORED)</t>
  </si>
  <si>
    <t>N9T00</t>
  </si>
  <si>
    <t>TRIBAL ORG NON-SPON</t>
  </si>
  <si>
    <t>TRIBAL ORGANIZATIONS (NON-SPONSORED)</t>
  </si>
  <si>
    <t>N9X00</t>
  </si>
  <si>
    <t>FOREIGN ENTITY</t>
  </si>
  <si>
    <t>NNF00</t>
  </si>
  <si>
    <t>NON FEDERAL</t>
  </si>
  <si>
    <t>NON-FEDERAL</t>
  </si>
  <si>
    <t>NNF08</t>
  </si>
  <si>
    <t>NNF22</t>
  </si>
  <si>
    <t>NNF52</t>
  </si>
  <si>
    <t>NNF60</t>
  </si>
  <si>
    <t>NNF62</t>
  </si>
  <si>
    <t>NNF63</t>
  </si>
  <si>
    <t>NNF64</t>
  </si>
  <si>
    <t>NNF67</t>
  </si>
  <si>
    <t>NNF73</t>
  </si>
  <si>
    <t>NNF77</t>
  </si>
  <si>
    <t>NNF78</t>
  </si>
  <si>
    <t>NNF79</t>
  </si>
  <si>
    <t>NNF81</t>
  </si>
  <si>
    <t>NNF84</t>
  </si>
  <si>
    <t>NNF87</t>
  </si>
  <si>
    <t>NNF89</t>
  </si>
  <si>
    <t>NNF90</t>
  </si>
  <si>
    <t>T1A00</t>
  </si>
  <si>
    <t>JOHN C. STENNIS CENTER FOR PUBLIC SERVICE</t>
  </si>
  <si>
    <t>T1B00</t>
  </si>
  <si>
    <t>ANTITRUST MODERNIZATION COMMISSION</t>
  </si>
  <si>
    <t>T1C00</t>
  </si>
  <si>
    <t>NATIONAL COMMISSION ON TERRORIST ATTACKS UPON THE US</t>
  </si>
  <si>
    <t>T1D00</t>
  </si>
  <si>
    <t>HELP COMMISSION</t>
  </si>
  <si>
    <t>T1E00</t>
  </si>
  <si>
    <t>SOUTHWESTERN PENNSYLVANIA HERITAGE PRESERVATION COMMISSION</t>
  </si>
  <si>
    <t>T1F00</t>
  </si>
  <si>
    <t>D&amp;L NATIONAL HERITAGE COMMISSION</t>
  </si>
  <si>
    <t>T1G00</t>
  </si>
  <si>
    <t>T1H00</t>
  </si>
  <si>
    <t>RECOVERY AND ACCOUNTABILITY AND TRANSPARENCY BOARD</t>
  </si>
  <si>
    <t>T1I00</t>
  </si>
  <si>
    <t>US ARCTIC RESEARCH COMMISSION</t>
  </si>
  <si>
    <t>T1J00</t>
  </si>
  <si>
    <t>CITIZENS HEALTH CARE WORKING GROUP</t>
  </si>
  <si>
    <t>T1K00</t>
  </si>
  <si>
    <t>DEPT OF HEALTH &amp; HUMAN SERVICES, ASPR</t>
  </si>
  <si>
    <t>T1L00</t>
  </si>
  <si>
    <t>S&amp;E, US ARTIC COMMISSION</t>
  </si>
  <si>
    <t>US ARCTIC COMMISSION</t>
  </si>
  <si>
    <t>T1S00</t>
  </si>
  <si>
    <t>MILLENIAL HOUSING COMMISSION</t>
  </si>
  <si>
    <t>T1T00</t>
  </si>
  <si>
    <t>COMMISSION ON AFFORDABLE HOUSING</t>
  </si>
  <si>
    <t>T1U00</t>
  </si>
  <si>
    <t>T1U82</t>
  </si>
  <si>
    <t>T1X00</t>
  </si>
  <si>
    <t>T1Y00</t>
  </si>
  <si>
    <t>COMMISSION ON ONLINE CHILD PROTECTION</t>
  </si>
  <si>
    <t>T1Z00</t>
  </si>
  <si>
    <t>T2A00</t>
  </si>
  <si>
    <t>T2B00</t>
  </si>
  <si>
    <t>U.S. ELECTION ASSISTANCE COMMISSION</t>
  </si>
  <si>
    <t>T2C00</t>
  </si>
  <si>
    <t>DC COURTS</t>
  </si>
  <si>
    <t>T2D00</t>
  </si>
  <si>
    <t>U.S. INSTITUTE OF PEACE</t>
  </si>
  <si>
    <t>T2E00</t>
  </si>
  <si>
    <t>COMMITTEE FOR PURCHASE FROM THE BLIND OR SEVERELY DISABLED</t>
  </si>
  <si>
    <t>T2F00</t>
  </si>
  <si>
    <t>T2G00</t>
  </si>
  <si>
    <t>TRUMAN SCHOLARSHIP FNDTN</t>
  </si>
  <si>
    <t>T2H00</t>
  </si>
  <si>
    <t>T2I00</t>
  </si>
  <si>
    <t>PAHA</t>
  </si>
  <si>
    <t>T2J00</t>
  </si>
  <si>
    <t>T2K00</t>
  </si>
  <si>
    <t>NATIONAL VETERANS BUSINESS DEVELOPMENT CORP.</t>
  </si>
  <si>
    <t>T2L00</t>
  </si>
  <si>
    <t>OFC FOR ALASKA NATURAL GAS TRANSPORTATION PROJECTS</t>
  </si>
  <si>
    <t>T2M00</t>
  </si>
  <si>
    <t>U.S. COMMISSION ON CIVIL RIGHTS</t>
  </si>
  <si>
    <t>T2N00</t>
  </si>
  <si>
    <t>COUNCIL OF THE INSPECTOR GENERAL OF INTEGRITY &amp; EFFIFIENCY</t>
  </si>
  <si>
    <t>T2P00</t>
  </si>
  <si>
    <t>HARRY S. TRUMAN SCHOLARSHIP FOUNDATION</t>
  </si>
  <si>
    <t>T2Q00</t>
  </si>
  <si>
    <t>EISENHOWER EXCHANGE FELLOWSHIP, INC.</t>
  </si>
  <si>
    <t>T2R00</t>
  </si>
  <si>
    <t>NORTHERN BORDER REGIONAL COMM</t>
  </si>
  <si>
    <t>T2S00</t>
  </si>
  <si>
    <t>APPRAISAL SUBCOMMITTEE</t>
  </si>
  <si>
    <t>T2T00</t>
  </si>
  <si>
    <t>ENVIRONMENTAL DISPUTE RESOLUTION FUND</t>
  </si>
  <si>
    <t>T2U00</t>
  </si>
  <si>
    <t>GOLDWATER SCHOLARSHIP &amp; EXCELLENCE IN EDUCATION FOUNDATION</t>
  </si>
  <si>
    <t>T2V00</t>
  </si>
  <si>
    <t>UDALL SCHOLARSHIP &amp; IECR</t>
  </si>
  <si>
    <t>T2W00</t>
  </si>
  <si>
    <t>T2Y00</t>
  </si>
  <si>
    <t>T2Z00</t>
  </si>
  <si>
    <t>T3A00</t>
  </si>
  <si>
    <t>T3B00</t>
  </si>
  <si>
    <t>DELTA REGIONAL AUTHORITY</t>
  </si>
  <si>
    <t>T3C00</t>
  </si>
  <si>
    <t>T3D00</t>
  </si>
  <si>
    <t>T3E00</t>
  </si>
  <si>
    <t>T3F00</t>
  </si>
  <si>
    <t>T3G00</t>
  </si>
  <si>
    <t>T3H00</t>
  </si>
  <si>
    <t>T3I00</t>
  </si>
  <si>
    <t>U.S. CHINA ECONOMIC SECURITY REVIEW COMMISSION</t>
  </si>
  <si>
    <t>T3J00</t>
  </si>
  <si>
    <t>U.S. COMMISSION ON INTERNATIONAL RELIGIOUS FREEDOM</t>
  </si>
  <si>
    <t>T3K00</t>
  </si>
  <si>
    <t>U.S. INTERAGENCY COUNCIL ON HOMELESSNESS</t>
  </si>
  <si>
    <t>T3L00</t>
  </si>
  <si>
    <t>ADMINISTRATIVE CONFERENCE OF US</t>
  </si>
  <si>
    <t>MEDCAID&amp;CHIP PAYMNT ACCESS COMM(MACPAC)</t>
  </si>
  <si>
    <t>T3M00</t>
  </si>
  <si>
    <t>T3N00</t>
  </si>
  <si>
    <t>DWIGHT EISENHOWER MEMORIAL COMMISSION</t>
  </si>
  <si>
    <t>T3O00</t>
  </si>
  <si>
    <t>EISEHNOWER MEMORIAL COMMISSION</t>
  </si>
  <si>
    <t>T3P00</t>
  </si>
  <si>
    <t>US COMMISSION ON OCEAN POLICY</t>
  </si>
  <si>
    <t>T3Q00</t>
  </si>
  <si>
    <t>T3R00</t>
  </si>
  <si>
    <t>T3S00</t>
  </si>
  <si>
    <t>COMM. ON REVIEW OF OVERSEAS MILITARY FACILITY OF THE US</t>
  </si>
  <si>
    <t>T3T00</t>
  </si>
  <si>
    <t>MEDICAID &amp; CHIP PAYMENT ACCESS COMM (MACPAC)</t>
  </si>
  <si>
    <t>MEDICAID &amp; CHIP PAYMENT ACCESS COMM (MACPAC)709X</t>
  </si>
  <si>
    <t>T3U00</t>
  </si>
  <si>
    <t>MEDICAID &amp; CHIP PAYMENT ACCESS COMM (MACPAC)709</t>
  </si>
  <si>
    <t>T3Y00</t>
  </si>
  <si>
    <t>PUBLIC DEFENDERS SERVICE FOR THE DISTRICT OF COLUMBIA</t>
  </si>
  <si>
    <t>T3Z00</t>
  </si>
  <si>
    <t>JOHN F. KENNEDY CTR FOR THE PERFORMING ARTS</t>
  </si>
  <si>
    <t>T4A00</t>
  </si>
  <si>
    <t>APPLACHIAN REGIONAL COMMISSION</t>
  </si>
  <si>
    <t>T4B00</t>
  </si>
  <si>
    <t>ARC FEDERAL TRANSFERS</t>
  </si>
  <si>
    <t>APPALACHIAN REGIONAL COMMISSION FEDERAL TRANSFERS</t>
  </si>
  <si>
    <t>T4C00</t>
  </si>
  <si>
    <t>ARC STATE TRANSFERS</t>
  </si>
  <si>
    <t>APPALACHIAN REGIONAL COMMISSION STATE TRANSFERS</t>
  </si>
  <si>
    <t>T4D00</t>
  </si>
  <si>
    <t>WHITE HOUSE COMMISSION ON THE NATIONAL MOMENT OF REMEMBRANCE</t>
  </si>
  <si>
    <t>T4G00</t>
  </si>
  <si>
    <t>PANAMA CANAL COMMISSION, OFFICE OF TRANSITION ADMINISTRATION</t>
  </si>
  <si>
    <t>T4H00</t>
  </si>
  <si>
    <t>T4I00</t>
  </si>
  <si>
    <t>US COAST GUARD CHILDCARE SUBSIDY PROGRAM</t>
  </si>
  <si>
    <t>T4J00</t>
  </si>
  <si>
    <t>INDIAN LAW &amp; ORDER COMM - DOJ TRANSFER</t>
  </si>
  <si>
    <t>INDIAN LAW AND ORDER COMMISSION-DOJ TRANSFER</t>
  </si>
  <si>
    <t>T4K00</t>
  </si>
  <si>
    <t>INDIAN LAW &amp; ORDER COMM - DOI TRANSFER</t>
  </si>
  <si>
    <t>T5H00</t>
  </si>
  <si>
    <t>US CUSTOMS &amp; BORDER PROTECTION CHILD CARE</t>
  </si>
  <si>
    <t>US CUSTOMS&amp;BORDER PROTECTION-CHILD CARE</t>
  </si>
  <si>
    <t>FROM RETA.FMIS_PEG_AGENCY_BUREAU FMIS_PEG_AGENCY_BUREAU</t>
  </si>
  <si>
    <t>SELECT FMIS_PEG_AGENCY_BUREAU.AGCY_BUR_CD, FMIS_PEG_AGENCY_BUREAU.AGCY_NM, FMIS_PEG_AGENCY_BUREAU.BUREAU_NM</t>
  </si>
  <si>
    <t>Active?</t>
  </si>
  <si>
    <t>Inactive/Expired?</t>
  </si>
  <si>
    <t>Yes</t>
  </si>
  <si>
    <t>Also strikethrough items with "Expired" or "Inactive" in the Bureau Name column and Update Expired Column with "Yes"</t>
  </si>
</sst>
</file>

<file path=xl/styles.xml><?xml version="1.0" encoding="utf-8"?>
<styleSheet xmlns="http://schemas.openxmlformats.org/spreadsheetml/2006/main">
  <fonts count="6"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 wrapText="1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2" fillId="0" borderId="0" xfId="0" applyFont="1" applyFill="1"/>
    <xf numFmtId="49" fontId="2" fillId="0" borderId="0" xfId="0" applyNumberFormat="1" applyFont="1" applyFill="1" applyAlignment="1">
      <alignment wrapText="1"/>
    </xf>
    <xf numFmtId="49" fontId="2" fillId="0" borderId="0" xfId="0" applyNumberFormat="1" applyFont="1" applyFill="1"/>
    <xf numFmtId="49" fontId="1" fillId="0" borderId="0" xfId="0" applyNumberFormat="1" applyFont="1" applyFill="1" applyAlignment="1">
      <alignment horizontal="center"/>
    </xf>
    <xf numFmtId="0" fontId="3" fillId="0" borderId="0" xfId="1"/>
    <xf numFmtId="49" fontId="5" fillId="2" borderId="0" xfId="0" applyNumberFormat="1" applyFont="1" applyFill="1" applyAlignment="1">
      <alignment horizontal="center"/>
    </xf>
    <xf numFmtId="49" fontId="4" fillId="0" borderId="0" xfId="0" applyNumberFormat="1" applyFont="1"/>
    <xf numFmtId="0" fontId="4" fillId="0" borderId="0" xfId="0" applyFont="1"/>
    <xf numFmtId="0" fontId="4" fillId="0" borderId="0" xfId="0" applyFont="1" applyFill="1"/>
    <xf numFmtId="49" fontId="1" fillId="3" borderId="0" xfId="0" applyNumberFormat="1" applyFont="1" applyFill="1" applyAlignment="1">
      <alignment horizontal="center" wrapText="1"/>
    </xf>
    <xf numFmtId="49" fontId="1" fillId="3" borderId="0" xfId="0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buru_dump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8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5"/>
  <cols>
    <col min="1" max="1" width="15.5703125" style="9" customWidth="1"/>
    <col min="2" max="2" width="11" style="10" customWidth="1"/>
    <col min="3" max="3" width="14.85546875" style="11" customWidth="1"/>
    <col min="4" max="4" width="9" style="11" bestFit="1" customWidth="1"/>
    <col min="5" max="5" width="69.7109375" style="10" bestFit="1" customWidth="1"/>
    <col min="6" max="6" width="69.7109375" style="8" bestFit="1" customWidth="1"/>
    <col min="7" max="7" width="12.7109375" style="8" hidden="1" customWidth="1"/>
    <col min="8" max="16384" width="9.140625" style="8"/>
  </cols>
  <sheetData>
    <row r="1" spans="1:7" s="3" customFormat="1" ht="30">
      <c r="A1" s="1" t="s">
        <v>0</v>
      </c>
      <c r="B1" s="1" t="s">
        <v>1</v>
      </c>
      <c r="C1" s="2" t="s">
        <v>2</v>
      </c>
      <c r="D1" s="17" t="s">
        <v>3165</v>
      </c>
      <c r="E1" s="1" t="s">
        <v>3</v>
      </c>
      <c r="F1" s="1" t="s">
        <v>4</v>
      </c>
      <c r="G1" s="3" t="s">
        <v>3164</v>
      </c>
    </row>
    <row r="2" spans="1:7">
      <c r="A2" s="4" t="str">
        <f>LEFT(C2,3)</f>
        <v>000</v>
      </c>
      <c r="B2" s="4" t="str">
        <f>RIGHT(C2,2)</f>
        <v>00</v>
      </c>
      <c r="C2" s="5" t="s">
        <v>5</v>
      </c>
      <c r="E2" s="6" t="s">
        <v>6</v>
      </c>
      <c r="F2" s="7" t="s">
        <v>6</v>
      </c>
      <c r="G2" s="8" t="str">
        <f t="shared" ref="G2:G65" si="0">LEFT(F2,8)</f>
        <v>UNITED S</v>
      </c>
    </row>
    <row r="3" spans="1:7">
      <c r="A3" s="4" t="str">
        <f t="shared" ref="A3:A66" si="1">LEFT(C3,3)</f>
        <v>000</v>
      </c>
      <c r="B3" s="4" t="str">
        <f t="shared" ref="B3:B66" si="2">RIGHT(C3,2)</f>
        <v>03</v>
      </c>
      <c r="C3" s="5" t="s">
        <v>7</v>
      </c>
      <c r="E3" s="6" t="s">
        <v>6</v>
      </c>
      <c r="F3" s="7" t="s">
        <v>8</v>
      </c>
      <c r="G3" s="8" t="str">
        <f t="shared" si="0"/>
        <v>CONGRESS</v>
      </c>
    </row>
    <row r="4" spans="1:7">
      <c r="A4" s="4" t="str">
        <f t="shared" si="1"/>
        <v>000</v>
      </c>
      <c r="B4" s="4" t="str">
        <f t="shared" si="2"/>
        <v>05</v>
      </c>
      <c r="C4" s="5" t="s">
        <v>9</v>
      </c>
      <c r="E4" s="6" t="s">
        <v>6</v>
      </c>
      <c r="F4" s="7" t="s">
        <v>10</v>
      </c>
      <c r="G4" s="8" t="str">
        <f t="shared" si="0"/>
        <v>HOUSE OF</v>
      </c>
    </row>
    <row r="5" spans="1:7">
      <c r="A5" s="4" t="str">
        <f t="shared" si="1"/>
        <v>000</v>
      </c>
      <c r="B5" s="4" t="str">
        <f t="shared" si="2"/>
        <v>09</v>
      </c>
      <c r="C5" s="5" t="s">
        <v>11</v>
      </c>
      <c r="E5" s="6" t="s">
        <v>6</v>
      </c>
      <c r="F5" s="7" t="s">
        <v>12</v>
      </c>
      <c r="G5" s="8" t="str">
        <f t="shared" si="0"/>
        <v>FINANCIA</v>
      </c>
    </row>
    <row r="6" spans="1:7">
      <c r="A6" s="4" t="str">
        <f t="shared" si="1"/>
        <v>000</v>
      </c>
      <c r="B6" s="4" t="str">
        <f t="shared" si="2"/>
        <v>19</v>
      </c>
      <c r="C6" s="5" t="s">
        <v>13</v>
      </c>
      <c r="E6" s="6" t="s">
        <v>6</v>
      </c>
      <c r="F6" s="7" t="s">
        <v>14</v>
      </c>
      <c r="G6" s="8" t="str">
        <f t="shared" si="0"/>
        <v>SENATE</v>
      </c>
    </row>
    <row r="7" spans="1:7">
      <c r="A7" s="4" t="str">
        <f t="shared" si="1"/>
        <v>000</v>
      </c>
      <c r="B7" s="4" t="str">
        <f t="shared" si="2"/>
        <v>20</v>
      </c>
      <c r="C7" s="5" t="s">
        <v>15</v>
      </c>
      <c r="E7" s="6" t="s">
        <v>6</v>
      </c>
      <c r="F7" s="7" t="s">
        <v>16</v>
      </c>
      <c r="G7" s="8" t="str">
        <f t="shared" si="0"/>
        <v>PRESIDEN</v>
      </c>
    </row>
    <row r="8" spans="1:7">
      <c r="A8" s="4" t="str">
        <f t="shared" si="1"/>
        <v>000</v>
      </c>
      <c r="B8" s="4" t="str">
        <f t="shared" si="2"/>
        <v>22</v>
      </c>
      <c r="C8" s="5" t="s">
        <v>17</v>
      </c>
      <c r="E8" s="6" t="s">
        <v>6</v>
      </c>
      <c r="F8" s="7" t="s">
        <v>18</v>
      </c>
      <c r="G8" s="8" t="str">
        <f t="shared" si="0"/>
        <v>TRIBAL O</v>
      </c>
    </row>
    <row r="9" spans="1:7">
      <c r="A9" s="4" t="str">
        <f t="shared" si="1"/>
        <v>000</v>
      </c>
      <c r="B9" s="4" t="str">
        <f t="shared" si="2"/>
        <v>51</v>
      </c>
      <c r="C9" s="5" t="s">
        <v>19</v>
      </c>
      <c r="E9" s="6" t="s">
        <v>6</v>
      </c>
      <c r="F9" s="7" t="s">
        <v>20</v>
      </c>
      <c r="G9" s="8" t="str">
        <f t="shared" si="0"/>
        <v>INAUGURA</v>
      </c>
    </row>
    <row r="10" spans="1:7">
      <c r="A10" s="4" t="str">
        <f t="shared" si="1"/>
        <v>000</v>
      </c>
      <c r="B10" s="4" t="str">
        <f t="shared" si="2"/>
        <v>52</v>
      </c>
      <c r="C10" s="5" t="s">
        <v>21</v>
      </c>
      <c r="E10" s="6" t="s">
        <v>6</v>
      </c>
      <c r="F10" s="7" t="s">
        <v>22</v>
      </c>
      <c r="G10" s="8" t="str">
        <f t="shared" si="0"/>
        <v>FOOD AND</v>
      </c>
    </row>
    <row r="11" spans="1:7">
      <c r="A11" s="4" t="str">
        <f t="shared" si="1"/>
        <v>000</v>
      </c>
      <c r="B11" s="4" t="str">
        <f t="shared" si="2"/>
        <v>53</v>
      </c>
      <c r="C11" s="5" t="s">
        <v>23</v>
      </c>
      <c r="E11" s="6" t="s">
        <v>6</v>
      </c>
      <c r="F11" s="7" t="s">
        <v>24</v>
      </c>
      <c r="G11" s="8" t="str">
        <f t="shared" si="0"/>
        <v>INTER-AM</v>
      </c>
    </row>
    <row r="12" spans="1:7">
      <c r="A12" s="4" t="str">
        <f t="shared" si="1"/>
        <v>000</v>
      </c>
      <c r="B12" s="4" t="str">
        <f t="shared" si="2"/>
        <v>54</v>
      </c>
      <c r="C12" s="5" t="s">
        <v>25</v>
      </c>
      <c r="E12" s="6" t="s">
        <v>6</v>
      </c>
      <c r="F12" s="7" t="s">
        <v>26</v>
      </c>
      <c r="G12" s="8" t="str">
        <f t="shared" si="0"/>
        <v>INTER-AM</v>
      </c>
    </row>
    <row r="13" spans="1:7">
      <c r="A13" s="4" t="str">
        <f t="shared" si="1"/>
        <v>000</v>
      </c>
      <c r="B13" s="4" t="str">
        <f t="shared" si="2"/>
        <v>55</v>
      </c>
      <c r="C13" s="5" t="s">
        <v>27</v>
      </c>
      <c r="E13" s="6" t="s">
        <v>6</v>
      </c>
      <c r="F13" s="7" t="s">
        <v>28</v>
      </c>
      <c r="G13" s="8" t="str">
        <f t="shared" si="0"/>
        <v>INTERGOV</v>
      </c>
    </row>
    <row r="14" spans="1:7">
      <c r="A14" s="4" t="str">
        <f t="shared" si="1"/>
        <v>000</v>
      </c>
      <c r="B14" s="4" t="str">
        <f t="shared" si="2"/>
        <v>56</v>
      </c>
      <c r="C14" s="5" t="s">
        <v>29</v>
      </c>
      <c r="E14" s="6" t="s">
        <v>6</v>
      </c>
      <c r="F14" s="7" t="s">
        <v>30</v>
      </c>
      <c r="G14" s="8" t="str">
        <f t="shared" si="0"/>
        <v>INTERNAT</v>
      </c>
    </row>
    <row r="15" spans="1:7">
      <c r="A15" s="4" t="str">
        <f t="shared" si="1"/>
        <v>000</v>
      </c>
      <c r="B15" s="4" t="str">
        <f t="shared" si="2"/>
        <v>57</v>
      </c>
      <c r="C15" s="5" t="s">
        <v>31</v>
      </c>
      <c r="E15" s="6" t="s">
        <v>6</v>
      </c>
      <c r="F15" s="7" t="s">
        <v>32</v>
      </c>
      <c r="G15" s="8" t="str">
        <f t="shared" si="0"/>
        <v>INTERNAT</v>
      </c>
    </row>
    <row r="16" spans="1:7">
      <c r="A16" s="4" t="str">
        <f t="shared" si="1"/>
        <v>000</v>
      </c>
      <c r="B16" s="4" t="str">
        <f t="shared" si="2"/>
        <v>58</v>
      </c>
      <c r="C16" s="5" t="s">
        <v>33</v>
      </c>
      <c r="E16" s="6" t="s">
        <v>6</v>
      </c>
      <c r="F16" s="7" t="s">
        <v>34</v>
      </c>
      <c r="G16" s="8" t="str">
        <f t="shared" si="0"/>
        <v>INTERNAT</v>
      </c>
    </row>
    <row r="17" spans="1:7">
      <c r="A17" s="4" t="str">
        <f t="shared" si="1"/>
        <v>000</v>
      </c>
      <c r="B17" s="4" t="str">
        <f t="shared" si="2"/>
        <v>59</v>
      </c>
      <c r="C17" s="5" t="s">
        <v>35</v>
      </c>
      <c r="E17" s="6" t="s">
        <v>6</v>
      </c>
      <c r="F17" s="7" t="s">
        <v>36</v>
      </c>
      <c r="G17" s="8" t="str">
        <f t="shared" si="0"/>
        <v>INTERNAT</v>
      </c>
    </row>
    <row r="18" spans="1:7">
      <c r="A18" s="4" t="str">
        <f t="shared" si="1"/>
        <v>000</v>
      </c>
      <c r="B18" s="4" t="str">
        <f t="shared" si="2"/>
        <v>60</v>
      </c>
      <c r="C18" s="5" t="s">
        <v>37</v>
      </c>
      <c r="E18" s="6" t="s">
        <v>6</v>
      </c>
      <c r="F18" s="7" t="s">
        <v>38</v>
      </c>
      <c r="G18" s="8" t="str">
        <f t="shared" si="0"/>
        <v>INTERNAT</v>
      </c>
    </row>
    <row r="19" spans="1:7">
      <c r="A19" s="4" t="str">
        <f t="shared" si="1"/>
        <v>000</v>
      </c>
      <c r="B19" s="4" t="str">
        <f t="shared" si="2"/>
        <v>61</v>
      </c>
      <c r="C19" s="5" t="s">
        <v>39</v>
      </c>
      <c r="E19" s="6" t="s">
        <v>6</v>
      </c>
      <c r="F19" s="7" t="s">
        <v>40</v>
      </c>
      <c r="G19" s="8" t="str">
        <f t="shared" si="0"/>
        <v>INTERNAT</v>
      </c>
    </row>
    <row r="20" spans="1:7">
      <c r="A20" s="4" t="str">
        <f t="shared" si="1"/>
        <v>000</v>
      </c>
      <c r="B20" s="4" t="str">
        <f t="shared" si="2"/>
        <v>62</v>
      </c>
      <c r="C20" s="5" t="s">
        <v>41</v>
      </c>
      <c r="E20" s="6" t="s">
        <v>6</v>
      </c>
      <c r="F20" s="7" t="s">
        <v>42</v>
      </c>
      <c r="G20" s="8" t="str">
        <f t="shared" si="0"/>
        <v>NATIONAL</v>
      </c>
    </row>
    <row r="21" spans="1:7">
      <c r="A21" s="4" t="str">
        <f t="shared" si="1"/>
        <v>000</v>
      </c>
      <c r="B21" s="4" t="str">
        <f t="shared" si="2"/>
        <v>63</v>
      </c>
      <c r="C21" s="5" t="s">
        <v>43</v>
      </c>
      <c r="E21" s="6" t="s">
        <v>6</v>
      </c>
      <c r="F21" s="7" t="s">
        <v>44</v>
      </c>
      <c r="G21" s="8" t="str">
        <f t="shared" si="0"/>
        <v>ORGANIZA</v>
      </c>
    </row>
    <row r="22" spans="1:7">
      <c r="A22" s="4" t="str">
        <f t="shared" si="1"/>
        <v>000</v>
      </c>
      <c r="B22" s="4" t="str">
        <f t="shared" si="2"/>
        <v>64</v>
      </c>
      <c r="C22" s="5" t="s">
        <v>45</v>
      </c>
      <c r="E22" s="6" t="s">
        <v>6</v>
      </c>
      <c r="F22" s="7" t="s">
        <v>46</v>
      </c>
      <c r="G22" s="8" t="str">
        <f t="shared" si="0"/>
        <v>PAN AMER</v>
      </c>
    </row>
    <row r="23" spans="1:7">
      <c r="A23" s="4" t="str">
        <f t="shared" si="1"/>
        <v>000</v>
      </c>
      <c r="B23" s="4" t="str">
        <f t="shared" si="2"/>
        <v>65</v>
      </c>
      <c r="C23" s="5" t="s">
        <v>47</v>
      </c>
      <c r="E23" s="6" t="s">
        <v>6</v>
      </c>
      <c r="F23" s="7" t="s">
        <v>48</v>
      </c>
      <c r="G23" s="8" t="str">
        <f t="shared" si="0"/>
        <v>STATUE O</v>
      </c>
    </row>
    <row r="24" spans="1:7">
      <c r="A24" s="4" t="str">
        <f t="shared" si="1"/>
        <v>000</v>
      </c>
      <c r="B24" s="4" t="str">
        <f t="shared" si="2"/>
        <v>66</v>
      </c>
      <c r="C24" s="5" t="s">
        <v>49</v>
      </c>
      <c r="E24" s="6" t="s">
        <v>6</v>
      </c>
      <c r="F24" s="7" t="s">
        <v>50</v>
      </c>
      <c r="G24" s="8" t="str">
        <f t="shared" si="0"/>
        <v>SOUTH PA</v>
      </c>
    </row>
    <row r="25" spans="1:7">
      <c r="A25" s="4" t="str">
        <f t="shared" si="1"/>
        <v>000</v>
      </c>
      <c r="B25" s="4" t="str">
        <f t="shared" si="2"/>
        <v>67</v>
      </c>
      <c r="C25" s="5" t="s">
        <v>51</v>
      </c>
      <c r="E25" s="6" t="s">
        <v>6</v>
      </c>
      <c r="F25" s="7" t="s">
        <v>52</v>
      </c>
      <c r="G25" s="8" t="str">
        <f t="shared" si="0"/>
        <v>UNITED N</v>
      </c>
    </row>
    <row r="26" spans="1:7">
      <c r="A26" s="4" t="str">
        <f t="shared" si="1"/>
        <v>000</v>
      </c>
      <c r="B26" s="4" t="str">
        <f t="shared" si="2"/>
        <v>68</v>
      </c>
      <c r="C26" s="5" t="s">
        <v>53</v>
      </c>
      <c r="E26" s="6" t="s">
        <v>6</v>
      </c>
      <c r="F26" s="7" t="s">
        <v>54</v>
      </c>
      <c r="G26" s="8" t="str">
        <f t="shared" si="0"/>
        <v>UN EDUCA</v>
      </c>
    </row>
    <row r="27" spans="1:7">
      <c r="A27" s="4" t="str">
        <f t="shared" si="1"/>
        <v>000</v>
      </c>
      <c r="B27" s="4" t="str">
        <f t="shared" si="2"/>
        <v>69</v>
      </c>
      <c r="C27" s="5" t="s">
        <v>55</v>
      </c>
      <c r="E27" s="6" t="s">
        <v>6</v>
      </c>
      <c r="F27" s="7" t="s">
        <v>56</v>
      </c>
      <c r="G27" s="8" t="str">
        <f t="shared" si="0"/>
        <v>UNIVERSA</v>
      </c>
    </row>
    <row r="28" spans="1:7">
      <c r="A28" s="4" t="str">
        <f t="shared" si="1"/>
        <v>000</v>
      </c>
      <c r="B28" s="4" t="str">
        <f t="shared" si="2"/>
        <v>70</v>
      </c>
      <c r="C28" s="5" t="s">
        <v>57</v>
      </c>
      <c r="E28" s="6" t="s">
        <v>6</v>
      </c>
      <c r="F28" s="7" t="s">
        <v>58</v>
      </c>
      <c r="G28" s="8" t="str">
        <f t="shared" si="0"/>
        <v>WORLD HE</v>
      </c>
    </row>
    <row r="29" spans="1:7">
      <c r="A29" s="4" t="str">
        <f t="shared" si="1"/>
        <v>000</v>
      </c>
      <c r="B29" s="4" t="str">
        <f t="shared" si="2"/>
        <v>71</v>
      </c>
      <c r="C29" s="5" t="s">
        <v>59</v>
      </c>
      <c r="E29" s="6" t="s">
        <v>6</v>
      </c>
      <c r="F29" s="7" t="s">
        <v>60</v>
      </c>
      <c r="G29" s="8" t="str">
        <f t="shared" si="0"/>
        <v>WORLD ME</v>
      </c>
    </row>
    <row r="30" spans="1:7">
      <c r="A30" s="4" t="str">
        <f t="shared" si="1"/>
        <v>000</v>
      </c>
      <c r="B30" s="4" t="str">
        <f t="shared" si="2"/>
        <v>72</v>
      </c>
      <c r="C30" s="5" t="s">
        <v>61</v>
      </c>
      <c r="E30" s="6" t="s">
        <v>6</v>
      </c>
      <c r="F30" s="7" t="s">
        <v>62</v>
      </c>
      <c r="G30" s="8" t="str">
        <f t="shared" si="0"/>
        <v>AMERICAN</v>
      </c>
    </row>
    <row r="31" spans="1:7">
      <c r="A31" s="4" t="str">
        <f t="shared" si="1"/>
        <v>000</v>
      </c>
      <c r="B31" s="4" t="str">
        <f t="shared" si="2"/>
        <v>73</v>
      </c>
      <c r="C31" s="5" t="s">
        <v>63</v>
      </c>
      <c r="E31" s="6" t="s">
        <v>6</v>
      </c>
      <c r="F31" s="7" t="s">
        <v>64</v>
      </c>
      <c r="G31" s="8" t="str">
        <f t="shared" si="0"/>
        <v>ARMY AND</v>
      </c>
    </row>
    <row r="32" spans="1:7">
      <c r="A32" s="4" t="str">
        <f t="shared" si="1"/>
        <v>000</v>
      </c>
      <c r="B32" s="4" t="str">
        <f t="shared" si="2"/>
        <v>74</v>
      </c>
      <c r="C32" s="5" t="s">
        <v>65</v>
      </c>
      <c r="E32" s="6" t="s">
        <v>6</v>
      </c>
      <c r="F32" s="7" t="s">
        <v>66</v>
      </c>
      <c r="G32" s="8" t="str">
        <f t="shared" si="0"/>
        <v>INTERAGE</v>
      </c>
    </row>
    <row r="33" spans="1:7">
      <c r="A33" s="4" t="str">
        <f t="shared" si="1"/>
        <v>000</v>
      </c>
      <c r="B33" s="4" t="str">
        <f t="shared" si="2"/>
        <v>75</v>
      </c>
      <c r="C33" s="5" t="s">
        <v>67</v>
      </c>
      <c r="E33" s="6" t="s">
        <v>6</v>
      </c>
      <c r="F33" s="7" t="s">
        <v>68</v>
      </c>
      <c r="G33" s="8" t="str">
        <f t="shared" si="0"/>
        <v>NORTH AT</v>
      </c>
    </row>
    <row r="34" spans="1:7">
      <c r="A34" s="4" t="str">
        <f t="shared" si="1"/>
        <v>000</v>
      </c>
      <c r="B34" s="4" t="str">
        <f t="shared" si="2"/>
        <v>76</v>
      </c>
      <c r="C34" s="5" t="s">
        <v>69</v>
      </c>
      <c r="E34" s="6" t="s">
        <v>6</v>
      </c>
      <c r="F34" s="7" t="s">
        <v>70</v>
      </c>
      <c r="G34" s="8" t="str">
        <f t="shared" si="0"/>
        <v>ARMY AND</v>
      </c>
    </row>
    <row r="35" spans="1:7">
      <c r="A35" s="4" t="str">
        <f t="shared" si="1"/>
        <v>000</v>
      </c>
      <c r="B35" s="4" t="str">
        <f t="shared" si="2"/>
        <v>77</v>
      </c>
      <c r="C35" s="5" t="s">
        <v>71</v>
      </c>
      <c r="E35" s="6" t="s">
        <v>6</v>
      </c>
      <c r="F35" s="7" t="s">
        <v>72</v>
      </c>
      <c r="G35" s="8" t="str">
        <f t="shared" si="0"/>
        <v>NATIONAL</v>
      </c>
    </row>
    <row r="36" spans="1:7">
      <c r="A36" s="4" t="str">
        <f t="shared" si="1"/>
        <v>000</v>
      </c>
      <c r="B36" s="4" t="str">
        <f t="shared" si="2"/>
        <v>78</v>
      </c>
      <c r="C36" s="5" t="s">
        <v>73</v>
      </c>
      <c r="E36" s="6" t="s">
        <v>6</v>
      </c>
      <c r="F36" s="7" t="s">
        <v>74</v>
      </c>
      <c r="G36" s="8" t="str">
        <f t="shared" si="0"/>
        <v xml:space="preserve">FEDERAL </v>
      </c>
    </row>
    <row r="37" spans="1:7">
      <c r="A37" s="4" t="str">
        <f t="shared" si="1"/>
        <v>000</v>
      </c>
      <c r="B37" s="4" t="str">
        <f t="shared" si="2"/>
        <v>79</v>
      </c>
      <c r="C37" s="5" t="s">
        <v>75</v>
      </c>
      <c r="E37" s="6" t="s">
        <v>6</v>
      </c>
      <c r="F37" s="7" t="s">
        <v>76</v>
      </c>
      <c r="G37" s="8" t="str">
        <f t="shared" si="0"/>
        <v>AMERICAN</v>
      </c>
    </row>
    <row r="38" spans="1:7">
      <c r="A38" s="4" t="str">
        <f t="shared" si="1"/>
        <v>000</v>
      </c>
      <c r="B38" s="4" t="str">
        <f t="shared" si="2"/>
        <v>80</v>
      </c>
      <c r="C38" s="5" t="s">
        <v>77</v>
      </c>
      <c r="E38" s="6" t="s">
        <v>6</v>
      </c>
      <c r="F38" s="7" t="s">
        <v>78</v>
      </c>
      <c r="G38" s="8" t="str">
        <f t="shared" si="0"/>
        <v>CARIBBEA</v>
      </c>
    </row>
    <row r="39" spans="1:7">
      <c r="A39" s="4" t="str">
        <f t="shared" si="1"/>
        <v>000</v>
      </c>
      <c r="B39" s="4" t="str">
        <f t="shared" si="2"/>
        <v>81</v>
      </c>
      <c r="C39" s="5" t="s">
        <v>79</v>
      </c>
      <c r="E39" s="6" t="s">
        <v>6</v>
      </c>
      <c r="F39" s="7" t="s">
        <v>80</v>
      </c>
      <c r="G39" s="8" t="str">
        <f t="shared" si="0"/>
        <v>MISCELLA</v>
      </c>
    </row>
    <row r="40" spans="1:7">
      <c r="A40" s="4" t="str">
        <f t="shared" si="1"/>
        <v>000</v>
      </c>
      <c r="B40" s="4" t="str">
        <f t="shared" si="2"/>
        <v>82</v>
      </c>
      <c r="C40" s="5" t="s">
        <v>81</v>
      </c>
      <c r="E40" s="6" t="s">
        <v>6</v>
      </c>
      <c r="F40" s="7" t="s">
        <v>82</v>
      </c>
      <c r="G40" s="8" t="str">
        <f t="shared" si="0"/>
        <v>UNITED N</v>
      </c>
    </row>
    <row r="41" spans="1:7">
      <c r="A41" s="4" t="str">
        <f t="shared" si="1"/>
        <v>000</v>
      </c>
      <c r="B41" s="4" t="str">
        <f t="shared" si="2"/>
        <v>83</v>
      </c>
      <c r="C41" s="5" t="s">
        <v>83</v>
      </c>
      <c r="E41" s="6" t="s">
        <v>6</v>
      </c>
      <c r="F41" s="7" t="s">
        <v>84</v>
      </c>
      <c r="G41" s="8" t="str">
        <f t="shared" si="0"/>
        <v>NATIONAL</v>
      </c>
    </row>
    <row r="42" spans="1:7">
      <c r="A42" s="4" t="str">
        <f t="shared" si="1"/>
        <v>000</v>
      </c>
      <c r="B42" s="4" t="str">
        <f t="shared" si="2"/>
        <v>84</v>
      </c>
      <c r="C42" s="5" t="s">
        <v>85</v>
      </c>
      <c r="E42" s="6" t="s">
        <v>6</v>
      </c>
      <c r="F42" s="7" t="s">
        <v>86</v>
      </c>
      <c r="G42" s="8" t="str">
        <f t="shared" si="0"/>
        <v>NATIONAL</v>
      </c>
    </row>
    <row r="43" spans="1:7">
      <c r="A43" s="4" t="str">
        <f t="shared" si="1"/>
        <v>000</v>
      </c>
      <c r="B43" s="4" t="str">
        <f t="shared" si="2"/>
        <v>85</v>
      </c>
      <c r="C43" s="5" t="s">
        <v>87</v>
      </c>
      <c r="E43" s="6" t="s">
        <v>6</v>
      </c>
      <c r="F43" s="7" t="s">
        <v>88</v>
      </c>
      <c r="G43" s="8" t="str">
        <f t="shared" si="0"/>
        <v>NATIONAL</v>
      </c>
    </row>
    <row r="44" spans="1:7">
      <c r="A44" s="4" t="str">
        <f t="shared" si="1"/>
        <v>000</v>
      </c>
      <c r="B44" s="4" t="str">
        <f t="shared" si="2"/>
        <v>86</v>
      </c>
      <c r="C44" s="5" t="s">
        <v>89</v>
      </c>
      <c r="E44" s="6" t="s">
        <v>6</v>
      </c>
      <c r="F44" s="7" t="s">
        <v>90</v>
      </c>
      <c r="G44" s="8" t="str">
        <f t="shared" si="0"/>
        <v>UNITED N</v>
      </c>
    </row>
    <row r="45" spans="1:7">
      <c r="A45" s="4" t="str">
        <f t="shared" si="1"/>
        <v>000</v>
      </c>
      <c r="B45" s="4" t="str">
        <f t="shared" si="2"/>
        <v>87</v>
      </c>
      <c r="C45" s="5" t="s">
        <v>91</v>
      </c>
      <c r="E45" s="6" t="s">
        <v>6</v>
      </c>
      <c r="F45" s="7" t="s">
        <v>92</v>
      </c>
      <c r="G45" s="8" t="str">
        <f t="shared" si="0"/>
        <v>MISCELLA</v>
      </c>
    </row>
    <row r="46" spans="1:7">
      <c r="A46" s="4" t="str">
        <f t="shared" si="1"/>
        <v>000</v>
      </c>
      <c r="B46" s="4" t="str">
        <f t="shared" si="2"/>
        <v>88</v>
      </c>
      <c r="C46" s="5" t="s">
        <v>93</v>
      </c>
      <c r="E46" s="6" t="s">
        <v>6</v>
      </c>
      <c r="F46" s="7" t="s">
        <v>94</v>
      </c>
      <c r="G46" s="8" t="str">
        <f t="shared" si="0"/>
        <v>ORGANIZA</v>
      </c>
    </row>
    <row r="47" spans="1:7">
      <c r="A47" s="4" t="str">
        <f t="shared" si="1"/>
        <v>000</v>
      </c>
      <c r="B47" s="4" t="str">
        <f t="shared" si="2"/>
        <v>89</v>
      </c>
      <c r="C47" s="5" t="s">
        <v>95</v>
      </c>
      <c r="E47" s="6" t="s">
        <v>6</v>
      </c>
      <c r="F47" s="7" t="s">
        <v>96</v>
      </c>
      <c r="G47" s="8" t="str">
        <f t="shared" si="0"/>
        <v>NAVY RES</v>
      </c>
    </row>
    <row r="48" spans="1:7">
      <c r="A48" s="4" t="str">
        <f t="shared" si="1"/>
        <v>000</v>
      </c>
      <c r="B48" s="4" t="str">
        <f t="shared" si="2"/>
        <v>90</v>
      </c>
      <c r="C48" s="5" t="s">
        <v>97</v>
      </c>
      <c r="E48" s="6" t="s">
        <v>6</v>
      </c>
      <c r="F48" s="7" t="s">
        <v>98</v>
      </c>
      <c r="G48" s="8" t="str">
        <f t="shared" si="0"/>
        <v>WASHINGT</v>
      </c>
    </row>
    <row r="49" spans="1:7">
      <c r="A49" s="4" t="str">
        <f t="shared" si="1"/>
        <v>000</v>
      </c>
      <c r="B49" s="4" t="str">
        <f t="shared" si="2"/>
        <v>91</v>
      </c>
      <c r="C49" s="5" t="s">
        <v>99</v>
      </c>
      <c r="E49" s="6" t="s">
        <v>6</v>
      </c>
      <c r="F49" s="7" t="s">
        <v>100</v>
      </c>
      <c r="G49" s="8" t="str">
        <f t="shared" si="0"/>
        <v>UN WORLD</v>
      </c>
    </row>
    <row r="50" spans="1:7">
      <c r="A50" s="4" t="str">
        <f t="shared" si="1"/>
        <v>000</v>
      </c>
      <c r="B50" s="4" t="str">
        <f t="shared" si="2"/>
        <v>97</v>
      </c>
      <c r="C50" s="5" t="s">
        <v>101</v>
      </c>
      <c r="E50" s="6" t="s">
        <v>6</v>
      </c>
      <c r="F50" s="7" t="s">
        <v>102</v>
      </c>
      <c r="G50" s="8" t="str">
        <f t="shared" si="0"/>
        <v>GSA ADVA</v>
      </c>
    </row>
    <row r="51" spans="1:7">
      <c r="A51" s="4" t="str">
        <f t="shared" si="1"/>
        <v>001</v>
      </c>
      <c r="B51" s="4" t="str">
        <f t="shared" si="2"/>
        <v>00</v>
      </c>
      <c r="C51" s="5" t="s">
        <v>103</v>
      </c>
      <c r="E51" s="6" t="s">
        <v>104</v>
      </c>
      <c r="F51" s="7" t="s">
        <v>105</v>
      </c>
      <c r="G51" s="8" t="str">
        <f t="shared" si="0"/>
        <v>ARCHITEC</v>
      </c>
    </row>
    <row r="52" spans="1:7">
      <c r="A52" s="4" t="str">
        <f t="shared" si="1"/>
        <v>001</v>
      </c>
      <c r="B52" s="4" t="str">
        <f t="shared" si="2"/>
        <v>01</v>
      </c>
      <c r="C52" s="5" t="s">
        <v>106</v>
      </c>
      <c r="E52" s="6" t="s">
        <v>104</v>
      </c>
      <c r="F52" s="7" t="s">
        <v>107</v>
      </c>
      <c r="G52" s="8" t="str">
        <f t="shared" si="0"/>
        <v xml:space="preserve">CAPITOL </v>
      </c>
    </row>
    <row r="53" spans="1:7">
      <c r="A53" s="4" t="str">
        <f t="shared" si="1"/>
        <v>001</v>
      </c>
      <c r="B53" s="4" t="str">
        <f t="shared" si="2"/>
        <v>03</v>
      </c>
      <c r="C53" s="5" t="s">
        <v>108</v>
      </c>
      <c r="E53" s="6" t="s">
        <v>104</v>
      </c>
      <c r="F53" s="7" t="s">
        <v>109</v>
      </c>
      <c r="G53" s="8" t="str">
        <f t="shared" si="0"/>
        <v xml:space="preserve">CAPITOL </v>
      </c>
    </row>
    <row r="54" spans="1:7">
      <c r="A54" s="4" t="str">
        <f t="shared" si="1"/>
        <v>001</v>
      </c>
      <c r="B54" s="4" t="str">
        <f t="shared" si="2"/>
        <v>05</v>
      </c>
      <c r="C54" s="5" t="s">
        <v>110</v>
      </c>
      <c r="E54" s="6" t="s">
        <v>104</v>
      </c>
      <c r="F54" s="7" t="s">
        <v>111</v>
      </c>
      <c r="G54" s="8" t="str">
        <f t="shared" si="0"/>
        <v xml:space="preserve">CAPITOL </v>
      </c>
    </row>
    <row r="55" spans="1:7">
      <c r="A55" s="4" t="str">
        <f t="shared" si="1"/>
        <v>001</v>
      </c>
      <c r="B55" s="4" t="str">
        <f t="shared" si="2"/>
        <v>09</v>
      </c>
      <c r="C55" s="5" t="s">
        <v>112</v>
      </c>
      <c r="E55" s="6" t="s">
        <v>104</v>
      </c>
      <c r="F55" s="7" t="s">
        <v>113</v>
      </c>
      <c r="G55" s="8" t="str">
        <f t="shared" si="0"/>
        <v>HOUSE OF</v>
      </c>
    </row>
    <row r="56" spans="1:7">
      <c r="A56" s="4" t="str">
        <f t="shared" si="1"/>
        <v>001</v>
      </c>
      <c r="B56" s="4" t="str">
        <f t="shared" si="2"/>
        <v>11</v>
      </c>
      <c r="C56" s="5" t="s">
        <v>114</v>
      </c>
      <c r="E56" s="6" t="s">
        <v>104</v>
      </c>
      <c r="F56" s="7" t="s">
        <v>115</v>
      </c>
      <c r="G56" s="8" t="str">
        <f t="shared" si="0"/>
        <v xml:space="preserve">LIBRARY </v>
      </c>
    </row>
    <row r="57" spans="1:7">
      <c r="A57" s="4" t="str">
        <f t="shared" si="1"/>
        <v>001</v>
      </c>
      <c r="B57" s="4" t="str">
        <f t="shared" si="2"/>
        <v>13</v>
      </c>
      <c r="C57" s="5" t="s">
        <v>116</v>
      </c>
      <c r="E57" s="6" t="s">
        <v>104</v>
      </c>
      <c r="F57" s="7" t="s">
        <v>117</v>
      </c>
      <c r="G57" s="8" t="str">
        <f t="shared" si="0"/>
        <v>SENATE O</v>
      </c>
    </row>
    <row r="58" spans="1:7">
      <c r="A58" s="4" t="str">
        <f t="shared" si="1"/>
        <v>001</v>
      </c>
      <c r="B58" s="4" t="str">
        <f t="shared" si="2"/>
        <v>15</v>
      </c>
      <c r="C58" s="5" t="s">
        <v>118</v>
      </c>
      <c r="E58" s="6" t="s">
        <v>104</v>
      </c>
      <c r="F58" s="7" t="s">
        <v>119</v>
      </c>
      <c r="G58" s="8" t="str">
        <f t="shared" si="0"/>
        <v xml:space="preserve">SUPREME </v>
      </c>
    </row>
    <row r="59" spans="1:7">
      <c r="A59" s="4" t="str">
        <f t="shared" si="1"/>
        <v>001</v>
      </c>
      <c r="B59" s="4" t="str">
        <f t="shared" si="2"/>
        <v>97</v>
      </c>
      <c r="C59" s="5" t="s">
        <v>120</v>
      </c>
      <c r="E59" s="6" t="s">
        <v>104</v>
      </c>
      <c r="F59" s="7" t="s">
        <v>102</v>
      </c>
      <c r="G59" s="8" t="str">
        <f t="shared" si="0"/>
        <v>GSA ADVA</v>
      </c>
    </row>
    <row r="60" spans="1:7">
      <c r="A60" s="4" t="str">
        <f t="shared" si="1"/>
        <v>002</v>
      </c>
      <c r="B60" s="4" t="str">
        <f t="shared" si="2"/>
        <v>00</v>
      </c>
      <c r="C60" s="5" t="s">
        <v>121</v>
      </c>
      <c r="E60" s="6" t="s">
        <v>122</v>
      </c>
      <c r="F60" s="7" t="s">
        <v>123</v>
      </c>
      <c r="G60" s="8" t="str">
        <f t="shared" si="0"/>
        <v>UNITED S</v>
      </c>
    </row>
    <row r="61" spans="1:7">
      <c r="A61" s="4" t="str">
        <f t="shared" si="1"/>
        <v>002</v>
      </c>
      <c r="B61" s="4" t="str">
        <f t="shared" si="2"/>
        <v>04</v>
      </c>
      <c r="C61" s="5" t="s">
        <v>124</v>
      </c>
      <c r="E61" s="6" t="s">
        <v>122</v>
      </c>
      <c r="F61" s="7" t="s">
        <v>125</v>
      </c>
      <c r="G61" s="8" t="str">
        <f t="shared" si="0"/>
        <v>US CAPIT</v>
      </c>
    </row>
    <row r="62" spans="1:7">
      <c r="A62" s="4" t="str">
        <f t="shared" si="1"/>
        <v>003</v>
      </c>
      <c r="B62" s="4" t="str">
        <f t="shared" si="2"/>
        <v>00</v>
      </c>
      <c r="C62" s="5" t="s">
        <v>126</v>
      </c>
      <c r="E62" s="6" t="s">
        <v>127</v>
      </c>
      <c r="F62" s="7" t="s">
        <v>127</v>
      </c>
      <c r="G62" s="8" t="str">
        <f t="shared" si="0"/>
        <v xml:space="preserve">LIBRARY </v>
      </c>
    </row>
    <row r="63" spans="1:7">
      <c r="A63" s="4" t="str">
        <f t="shared" si="1"/>
        <v>003</v>
      </c>
      <c r="B63" s="4" t="str">
        <f t="shared" si="2"/>
        <v>13</v>
      </c>
      <c r="C63" s="5" t="s">
        <v>128</v>
      </c>
      <c r="E63" s="6" t="s">
        <v>127</v>
      </c>
      <c r="F63" s="7" t="s">
        <v>129</v>
      </c>
      <c r="G63" s="8" t="str">
        <f t="shared" si="0"/>
        <v>COMM, OF</v>
      </c>
    </row>
    <row r="64" spans="1:7">
      <c r="A64" s="4" t="str">
        <f t="shared" si="1"/>
        <v>003</v>
      </c>
      <c r="B64" s="4" t="str">
        <f t="shared" si="2"/>
        <v>97</v>
      </c>
      <c r="C64" s="5" t="s">
        <v>130</v>
      </c>
      <c r="E64" s="6" t="s">
        <v>127</v>
      </c>
      <c r="F64" s="7" t="s">
        <v>102</v>
      </c>
      <c r="G64" s="8" t="str">
        <f t="shared" si="0"/>
        <v>GSA ADVA</v>
      </c>
    </row>
    <row r="65" spans="1:7">
      <c r="A65" s="4" t="str">
        <f t="shared" si="1"/>
        <v>003</v>
      </c>
      <c r="B65" s="4" t="str">
        <f t="shared" si="2"/>
        <v>99</v>
      </c>
      <c r="C65" s="5" t="s">
        <v>131</v>
      </c>
      <c r="E65" s="6" t="s">
        <v>127</v>
      </c>
      <c r="F65" s="7" t="s">
        <v>132</v>
      </c>
      <c r="G65" s="8" t="str">
        <f t="shared" si="0"/>
        <v>SUBCONTR</v>
      </c>
    </row>
    <row r="66" spans="1:7">
      <c r="A66" s="4" t="str">
        <f t="shared" si="1"/>
        <v>004</v>
      </c>
      <c r="B66" s="4" t="str">
        <f t="shared" si="2"/>
        <v>00</v>
      </c>
      <c r="C66" s="5" t="s">
        <v>133</v>
      </c>
      <c r="E66" s="6" t="s">
        <v>134</v>
      </c>
      <c r="F66" s="7" t="s">
        <v>134</v>
      </c>
      <c r="G66" s="8" t="str">
        <f t="shared" ref="G66:G129" si="3">LEFT(F66,8)</f>
        <v>GOVERNME</v>
      </c>
    </row>
    <row r="67" spans="1:7">
      <c r="A67" s="4" t="str">
        <f t="shared" ref="A67:A130" si="4">LEFT(C67,3)</f>
        <v>004</v>
      </c>
      <c r="B67" s="4" t="str">
        <f t="shared" ref="B67:B130" si="5">RIGHT(C67,2)</f>
        <v>01</v>
      </c>
      <c r="C67" s="5" t="s">
        <v>135</v>
      </c>
      <c r="E67" s="6" t="s">
        <v>134</v>
      </c>
      <c r="F67" s="7" t="s">
        <v>136</v>
      </c>
      <c r="G67" s="8" t="str">
        <f t="shared" si="3"/>
        <v>GPO SD/L</v>
      </c>
    </row>
    <row r="68" spans="1:7">
      <c r="A68" s="4" t="str">
        <f t="shared" si="4"/>
        <v>004</v>
      </c>
      <c r="B68" s="4" t="str">
        <f t="shared" si="5"/>
        <v>10</v>
      </c>
      <c r="C68" s="5" t="s">
        <v>137</v>
      </c>
      <c r="E68" s="6" t="s">
        <v>134</v>
      </c>
      <c r="F68" s="7" t="s">
        <v>138</v>
      </c>
      <c r="G68" s="8" t="str">
        <f t="shared" si="3"/>
        <v>CENSUS M</v>
      </c>
    </row>
    <row r="69" spans="1:7">
      <c r="A69" s="4" t="str">
        <f t="shared" si="4"/>
        <v>004</v>
      </c>
      <c r="B69" s="4" t="str">
        <f t="shared" si="5"/>
        <v>11</v>
      </c>
      <c r="C69" s="5" t="s">
        <v>139</v>
      </c>
      <c r="E69" s="6" t="s">
        <v>134</v>
      </c>
      <c r="F69" s="7" t="s">
        <v>140</v>
      </c>
      <c r="G69" s="8" t="str">
        <f t="shared" si="3"/>
        <v>CENSUS M</v>
      </c>
    </row>
    <row r="70" spans="1:7">
      <c r="A70" s="4" t="str">
        <f t="shared" si="4"/>
        <v>004</v>
      </c>
      <c r="B70" s="4" t="str">
        <f t="shared" si="5"/>
        <v>97</v>
      </c>
      <c r="C70" s="5" t="s">
        <v>141</v>
      </c>
      <c r="E70" s="6" t="s">
        <v>134</v>
      </c>
      <c r="F70" s="7" t="s">
        <v>102</v>
      </c>
      <c r="G70" s="8" t="str">
        <f t="shared" si="3"/>
        <v>GSA ADVA</v>
      </c>
    </row>
    <row r="71" spans="1:7">
      <c r="A71" s="4" t="str">
        <f t="shared" si="4"/>
        <v>004</v>
      </c>
      <c r="B71" s="4" t="str">
        <f t="shared" si="5"/>
        <v>99</v>
      </c>
      <c r="C71" s="5" t="s">
        <v>142</v>
      </c>
      <c r="E71" s="6" t="s">
        <v>134</v>
      </c>
      <c r="F71" s="7" t="s">
        <v>132</v>
      </c>
      <c r="G71" s="8" t="str">
        <f t="shared" si="3"/>
        <v>SUBCONTR</v>
      </c>
    </row>
    <row r="72" spans="1:7">
      <c r="A72" s="4" t="str">
        <f t="shared" si="4"/>
        <v>005</v>
      </c>
      <c r="B72" s="4" t="str">
        <f t="shared" si="5"/>
        <v>00</v>
      </c>
      <c r="C72" s="5" t="s">
        <v>143</v>
      </c>
      <c r="E72" s="6" t="s">
        <v>144</v>
      </c>
      <c r="F72" s="7" t="s">
        <v>144</v>
      </c>
      <c r="G72" s="8" t="str">
        <f t="shared" si="3"/>
        <v>GOVERNME</v>
      </c>
    </row>
    <row r="73" spans="1:7">
      <c r="A73" s="4" t="str">
        <f t="shared" si="4"/>
        <v>005</v>
      </c>
      <c r="B73" s="4" t="str">
        <f t="shared" si="5"/>
        <v>97</v>
      </c>
      <c r="C73" s="5" t="s">
        <v>145</v>
      </c>
      <c r="E73" s="6" t="s">
        <v>144</v>
      </c>
      <c r="F73" s="7" t="s">
        <v>102</v>
      </c>
      <c r="G73" s="8" t="str">
        <f t="shared" si="3"/>
        <v>GSA ADVA</v>
      </c>
    </row>
    <row r="74" spans="1:7">
      <c r="A74" s="4" t="str">
        <f t="shared" si="4"/>
        <v>005</v>
      </c>
      <c r="B74" s="4" t="str">
        <f t="shared" si="5"/>
        <v>99</v>
      </c>
      <c r="C74" s="5" t="s">
        <v>146</v>
      </c>
      <c r="E74" s="6" t="s">
        <v>144</v>
      </c>
      <c r="F74" s="7" t="s">
        <v>132</v>
      </c>
      <c r="G74" s="8" t="str">
        <f t="shared" si="3"/>
        <v>SUBCONTR</v>
      </c>
    </row>
    <row r="75" spans="1:7">
      <c r="A75" s="4" t="str">
        <f t="shared" si="4"/>
        <v>007</v>
      </c>
      <c r="B75" s="4" t="str">
        <f t="shared" si="5"/>
        <v>00</v>
      </c>
      <c r="C75" s="13" t="s">
        <v>147</v>
      </c>
      <c r="D75" s="18" t="s">
        <v>3166</v>
      </c>
      <c r="E75" s="14" t="s">
        <v>148</v>
      </c>
      <c r="F75" s="15" t="s">
        <v>149</v>
      </c>
      <c r="G75" s="16" t="str">
        <f t="shared" si="3"/>
        <v xml:space="preserve">EXPIRED </v>
      </c>
    </row>
    <row r="76" spans="1:7">
      <c r="A76" s="4" t="str">
        <f t="shared" si="4"/>
        <v>008</v>
      </c>
      <c r="B76" s="4" t="str">
        <f t="shared" si="5"/>
        <v>00</v>
      </c>
      <c r="C76" s="13" t="s">
        <v>150</v>
      </c>
      <c r="D76" s="18" t="s">
        <v>3166</v>
      </c>
      <c r="E76" s="14" t="s">
        <v>151</v>
      </c>
      <c r="F76" s="15" t="s">
        <v>152</v>
      </c>
      <c r="G76" s="8" t="str">
        <f t="shared" si="3"/>
        <v>INACTIVE</v>
      </c>
    </row>
    <row r="77" spans="1:7">
      <c r="A77" s="4" t="str">
        <f t="shared" si="4"/>
        <v>008</v>
      </c>
      <c r="B77" s="4" t="str">
        <f t="shared" si="5"/>
        <v>14</v>
      </c>
      <c r="C77" s="5" t="s">
        <v>153</v>
      </c>
      <c r="E77" s="6" t="s">
        <v>151</v>
      </c>
      <c r="F77" s="7" t="s">
        <v>151</v>
      </c>
      <c r="G77" s="8" t="str">
        <f t="shared" si="3"/>
        <v>CONGRESS</v>
      </c>
    </row>
    <row r="78" spans="1:7">
      <c r="A78" s="4" t="str">
        <f t="shared" si="4"/>
        <v>008</v>
      </c>
      <c r="B78" s="4" t="str">
        <f t="shared" si="5"/>
        <v>97</v>
      </c>
      <c r="C78" s="13" t="s">
        <v>154</v>
      </c>
      <c r="D78" s="18" t="s">
        <v>3166</v>
      </c>
      <c r="E78" s="14" t="s">
        <v>151</v>
      </c>
      <c r="F78" s="15" t="s">
        <v>155</v>
      </c>
      <c r="G78" s="8" t="str">
        <f t="shared" si="3"/>
        <v>INACTIVE</v>
      </c>
    </row>
    <row r="79" spans="1:7">
      <c r="A79" s="4" t="str">
        <f t="shared" si="4"/>
        <v>009</v>
      </c>
      <c r="B79" s="4" t="str">
        <f t="shared" si="5"/>
        <v>00</v>
      </c>
      <c r="C79" s="5" t="s">
        <v>156</v>
      </c>
      <c r="E79" s="6" t="s">
        <v>157</v>
      </c>
      <c r="F79" s="7" t="s">
        <v>157</v>
      </c>
      <c r="G79" s="8" t="str">
        <f t="shared" si="3"/>
        <v>LEGISLAT</v>
      </c>
    </row>
    <row r="80" spans="1:7">
      <c r="A80" s="4" t="str">
        <f t="shared" si="4"/>
        <v>009</v>
      </c>
      <c r="B80" s="4" t="str">
        <f t="shared" si="5"/>
        <v>01</v>
      </c>
      <c r="C80" s="5" t="s">
        <v>158</v>
      </c>
      <c r="E80" s="6" t="s">
        <v>157</v>
      </c>
      <c r="F80" s="7" t="s">
        <v>159</v>
      </c>
      <c r="G80" s="8" t="str">
        <f t="shared" si="3"/>
        <v>UNITED S</v>
      </c>
    </row>
    <row r="81" spans="1:7">
      <c r="A81" s="4" t="str">
        <f t="shared" si="4"/>
        <v>009</v>
      </c>
      <c r="B81" s="4" t="str">
        <f t="shared" si="5"/>
        <v>02</v>
      </c>
      <c r="C81" s="5" t="s">
        <v>160</v>
      </c>
      <c r="E81" s="6" t="s">
        <v>157</v>
      </c>
      <c r="F81" s="7" t="s">
        <v>161</v>
      </c>
      <c r="G81" s="8" t="str">
        <f t="shared" si="3"/>
        <v>OFFICE O</v>
      </c>
    </row>
    <row r="82" spans="1:7">
      <c r="A82" s="4" t="str">
        <f t="shared" si="4"/>
        <v>009</v>
      </c>
      <c r="B82" s="4" t="str">
        <f t="shared" si="5"/>
        <v>03</v>
      </c>
      <c r="C82" s="5" t="s">
        <v>162</v>
      </c>
      <c r="E82" s="6" t="s">
        <v>157</v>
      </c>
      <c r="F82" s="7" t="s">
        <v>163</v>
      </c>
      <c r="G82" s="8" t="str">
        <f t="shared" si="3"/>
        <v>NATIONAL</v>
      </c>
    </row>
    <row r="83" spans="1:7">
      <c r="A83" s="4" t="str">
        <f t="shared" si="4"/>
        <v>009</v>
      </c>
      <c r="B83" s="4" t="str">
        <f t="shared" si="5"/>
        <v>04</v>
      </c>
      <c r="C83" s="5" t="s">
        <v>164</v>
      </c>
      <c r="E83" s="6" t="s">
        <v>157</v>
      </c>
      <c r="F83" s="7" t="s">
        <v>165</v>
      </c>
      <c r="G83" s="8" t="str">
        <f t="shared" si="3"/>
        <v>BIOMEDIC</v>
      </c>
    </row>
    <row r="84" spans="1:7">
      <c r="A84" s="4" t="str">
        <f t="shared" si="4"/>
        <v>009</v>
      </c>
      <c r="B84" s="4" t="str">
        <f t="shared" si="5"/>
        <v>05</v>
      </c>
      <c r="C84" s="5" t="s">
        <v>166</v>
      </c>
      <c r="E84" s="6" t="s">
        <v>157</v>
      </c>
      <c r="F84" s="7" t="s">
        <v>167</v>
      </c>
      <c r="G84" s="8" t="str">
        <f t="shared" si="3"/>
        <v>COPYRIGH</v>
      </c>
    </row>
    <row r="85" spans="1:7">
      <c r="A85" s="4" t="str">
        <f t="shared" si="4"/>
        <v>009</v>
      </c>
      <c r="B85" s="4" t="str">
        <f t="shared" si="5"/>
        <v>06</v>
      </c>
      <c r="C85" s="5" t="s">
        <v>168</v>
      </c>
      <c r="E85" s="6" t="s">
        <v>157</v>
      </c>
      <c r="F85" s="7" t="s">
        <v>169</v>
      </c>
      <c r="G85" s="8" t="str">
        <f t="shared" si="3"/>
        <v>OFFICE O</v>
      </c>
    </row>
    <row r="86" spans="1:7">
      <c r="A86" s="4" t="str">
        <f t="shared" si="4"/>
        <v>009</v>
      </c>
      <c r="B86" s="4" t="str">
        <f t="shared" si="5"/>
        <v>07</v>
      </c>
      <c r="C86" s="5" t="s">
        <v>170</v>
      </c>
      <c r="E86" s="6" t="s">
        <v>157</v>
      </c>
      <c r="F86" s="7" t="s">
        <v>171</v>
      </c>
      <c r="G86" s="8" t="str">
        <f t="shared" si="3"/>
        <v>HELP ENC</v>
      </c>
    </row>
    <row r="87" spans="1:7">
      <c r="A87" s="4" t="str">
        <f t="shared" si="4"/>
        <v>009</v>
      </c>
      <c r="B87" s="4" t="str">
        <f t="shared" si="5"/>
        <v>10</v>
      </c>
      <c r="C87" s="13" t="s">
        <v>172</v>
      </c>
      <c r="D87" s="18" t="s">
        <v>3166</v>
      </c>
      <c r="E87" s="14" t="s">
        <v>157</v>
      </c>
      <c r="F87" s="15" t="s">
        <v>173</v>
      </c>
      <c r="G87" s="8" t="str">
        <f t="shared" si="3"/>
        <v>INACTIVE</v>
      </c>
    </row>
    <row r="88" spans="1:7">
      <c r="A88" s="4" t="str">
        <f t="shared" si="4"/>
        <v>009</v>
      </c>
      <c r="B88" s="4" t="str">
        <f t="shared" si="5"/>
        <v>15</v>
      </c>
      <c r="C88" s="5" t="s">
        <v>174</v>
      </c>
      <c r="E88" s="6" t="s">
        <v>157</v>
      </c>
      <c r="F88" s="7" t="s">
        <v>175</v>
      </c>
      <c r="G88" s="8" t="str">
        <f t="shared" si="3"/>
        <v>MEDICAID</v>
      </c>
    </row>
    <row r="89" spans="1:7">
      <c r="A89" s="4" t="str">
        <f t="shared" si="4"/>
        <v>009</v>
      </c>
      <c r="B89" s="4" t="str">
        <f t="shared" si="5"/>
        <v>16</v>
      </c>
      <c r="C89" s="5" t="s">
        <v>176</v>
      </c>
      <c r="E89" s="6" t="s">
        <v>157</v>
      </c>
      <c r="F89" s="7" t="s">
        <v>177</v>
      </c>
      <c r="G89" s="8" t="str">
        <f t="shared" si="3"/>
        <v xml:space="preserve">WEAPONS </v>
      </c>
    </row>
    <row r="90" spans="1:7">
      <c r="A90" s="4" t="str">
        <f t="shared" si="4"/>
        <v>009</v>
      </c>
      <c r="B90" s="4" t="str">
        <f t="shared" si="5"/>
        <v>18</v>
      </c>
      <c r="C90" s="5" t="s">
        <v>178</v>
      </c>
      <c r="E90" s="6" t="s">
        <v>157</v>
      </c>
      <c r="F90" s="7" t="s">
        <v>179</v>
      </c>
      <c r="G90" s="8" t="str">
        <f t="shared" si="3"/>
        <v>NATL COM</v>
      </c>
    </row>
    <row r="91" spans="1:7">
      <c r="A91" s="4" t="str">
        <f t="shared" si="4"/>
        <v>009</v>
      </c>
      <c r="B91" s="4" t="str">
        <f t="shared" si="5"/>
        <v>19</v>
      </c>
      <c r="C91" s="5" t="s">
        <v>180</v>
      </c>
      <c r="E91" s="6" t="s">
        <v>157</v>
      </c>
      <c r="F91" s="7" t="s">
        <v>181</v>
      </c>
      <c r="G91" s="8" t="str">
        <f t="shared" si="3"/>
        <v>ANTI-TRU</v>
      </c>
    </row>
    <row r="92" spans="1:7">
      <c r="A92" s="4" t="str">
        <f t="shared" si="4"/>
        <v>009</v>
      </c>
      <c r="B92" s="4" t="str">
        <f t="shared" si="5"/>
        <v>21</v>
      </c>
      <c r="C92" s="5" t="s">
        <v>182</v>
      </c>
      <c r="E92" s="6" t="s">
        <v>157</v>
      </c>
      <c r="F92" s="7" t="s">
        <v>183</v>
      </c>
      <c r="G92" s="8" t="str">
        <f t="shared" si="3"/>
        <v>FINANCIA</v>
      </c>
    </row>
    <row r="93" spans="1:7">
      <c r="A93" s="4" t="str">
        <f t="shared" si="4"/>
        <v>009</v>
      </c>
      <c r="B93" s="4" t="str">
        <f t="shared" si="5"/>
        <v>22</v>
      </c>
      <c r="C93" s="5" t="s">
        <v>184</v>
      </c>
      <c r="E93" s="6" t="s">
        <v>157</v>
      </c>
      <c r="F93" s="7" t="s">
        <v>185</v>
      </c>
      <c r="G93" s="8" t="str">
        <f t="shared" si="3"/>
        <v>JOHN STE</v>
      </c>
    </row>
    <row r="94" spans="1:7">
      <c r="A94" s="4" t="str">
        <f t="shared" si="4"/>
        <v>009</v>
      </c>
      <c r="B94" s="4" t="str">
        <f t="shared" si="5"/>
        <v>35</v>
      </c>
      <c r="C94" s="5" t="s">
        <v>186</v>
      </c>
      <c r="E94" s="6" t="s">
        <v>157</v>
      </c>
      <c r="F94" s="7" t="s">
        <v>187</v>
      </c>
      <c r="G94" s="8" t="str">
        <f t="shared" si="3"/>
        <v>MEDICARE</v>
      </c>
    </row>
    <row r="95" spans="1:7">
      <c r="A95" s="4" t="str">
        <f t="shared" si="4"/>
        <v>009</v>
      </c>
      <c r="B95" s="4" t="str">
        <f t="shared" si="5"/>
        <v>53</v>
      </c>
      <c r="C95" s="5" t="s">
        <v>188</v>
      </c>
      <c r="E95" s="6" t="s">
        <v>157</v>
      </c>
      <c r="F95" s="7" t="s">
        <v>189</v>
      </c>
      <c r="G95" s="8" t="str">
        <f t="shared" si="3"/>
        <v>MEDICARE</v>
      </c>
    </row>
    <row r="96" spans="1:7">
      <c r="A96" s="4" t="str">
        <f t="shared" si="4"/>
        <v>009</v>
      </c>
      <c r="B96" s="4" t="str">
        <f t="shared" si="5"/>
        <v>57</v>
      </c>
      <c r="C96" s="5" t="s">
        <v>190</v>
      </c>
      <c r="E96" s="6" t="s">
        <v>157</v>
      </c>
      <c r="F96" s="7" t="s">
        <v>191</v>
      </c>
      <c r="G96" s="8" t="str">
        <f t="shared" si="3"/>
        <v>CONGRESS</v>
      </c>
    </row>
    <row r="97" spans="1:7">
      <c r="A97" s="4" t="str">
        <f t="shared" si="4"/>
        <v>009</v>
      </c>
      <c r="B97" s="4" t="str">
        <f t="shared" si="5"/>
        <v>78</v>
      </c>
      <c r="C97" s="5" t="s">
        <v>192</v>
      </c>
      <c r="E97" s="6" t="s">
        <v>157</v>
      </c>
      <c r="F97" s="7" t="s">
        <v>193</v>
      </c>
      <c r="G97" s="8" t="str">
        <f t="shared" si="3"/>
        <v xml:space="preserve">COMM ON </v>
      </c>
    </row>
    <row r="98" spans="1:7">
      <c r="A98" s="4" t="str">
        <f t="shared" si="4"/>
        <v>009</v>
      </c>
      <c r="B98" s="4" t="str">
        <f t="shared" si="5"/>
        <v>83</v>
      </c>
      <c r="C98" s="5" t="s">
        <v>194</v>
      </c>
      <c r="E98" s="6" t="s">
        <v>157</v>
      </c>
      <c r="F98" s="7" t="s">
        <v>195</v>
      </c>
      <c r="G98" s="8" t="str">
        <f t="shared" si="3"/>
        <v>DWIGHT E</v>
      </c>
    </row>
    <row r="99" spans="1:7">
      <c r="A99" s="4" t="str">
        <f t="shared" si="4"/>
        <v>009</v>
      </c>
      <c r="B99" s="4" t="str">
        <f t="shared" si="5"/>
        <v>92</v>
      </c>
      <c r="C99" s="5" t="s">
        <v>196</v>
      </c>
      <c r="E99" s="6" t="s">
        <v>157</v>
      </c>
      <c r="F99" s="7" t="s">
        <v>197</v>
      </c>
      <c r="G99" s="8" t="str">
        <f t="shared" si="3"/>
        <v>US CHINA</v>
      </c>
    </row>
    <row r="100" spans="1:7">
      <c r="A100" s="4" t="str">
        <f t="shared" si="4"/>
        <v>009</v>
      </c>
      <c r="B100" s="4" t="str">
        <f t="shared" si="5"/>
        <v>95</v>
      </c>
      <c r="C100" s="5" t="s">
        <v>198</v>
      </c>
      <c r="E100" s="6" t="s">
        <v>157</v>
      </c>
      <c r="F100" s="7" t="s">
        <v>199</v>
      </c>
      <c r="G100" s="8" t="str">
        <f t="shared" si="3"/>
        <v>COMM FOR</v>
      </c>
    </row>
    <row r="101" spans="1:7">
      <c r="A101" s="4" t="str">
        <f t="shared" si="4"/>
        <v>009</v>
      </c>
      <c r="B101" s="4" t="str">
        <f t="shared" si="5"/>
        <v>97</v>
      </c>
      <c r="C101" s="5" t="s">
        <v>200</v>
      </c>
      <c r="E101" s="6" t="s">
        <v>157</v>
      </c>
      <c r="F101" s="7" t="s">
        <v>102</v>
      </c>
      <c r="G101" s="8" t="str">
        <f t="shared" si="3"/>
        <v>GSA ADVA</v>
      </c>
    </row>
    <row r="102" spans="1:7">
      <c r="A102" s="4" t="str">
        <f t="shared" si="4"/>
        <v>010</v>
      </c>
      <c r="B102" s="4" t="str">
        <f t="shared" si="5"/>
        <v>00</v>
      </c>
      <c r="C102" s="5" t="s">
        <v>201</v>
      </c>
      <c r="E102" s="6" t="s">
        <v>202</v>
      </c>
      <c r="F102" s="7" t="s">
        <v>202</v>
      </c>
      <c r="G102" s="8" t="str">
        <f t="shared" si="3"/>
        <v>JUDICIAR</v>
      </c>
    </row>
    <row r="103" spans="1:7">
      <c r="A103" s="4" t="str">
        <f t="shared" si="4"/>
        <v>010</v>
      </c>
      <c r="B103" s="4" t="str">
        <f t="shared" si="5"/>
        <v>01</v>
      </c>
      <c r="C103" s="5" t="s">
        <v>203</v>
      </c>
      <c r="E103" s="6" t="s">
        <v>202</v>
      </c>
      <c r="F103" s="7" t="s">
        <v>204</v>
      </c>
      <c r="G103" s="8" t="str">
        <f t="shared" si="3"/>
        <v>ADMINIST</v>
      </c>
    </row>
    <row r="104" spans="1:7">
      <c r="A104" s="4" t="str">
        <f t="shared" si="4"/>
        <v>010</v>
      </c>
      <c r="B104" s="4" t="str">
        <f t="shared" si="5"/>
        <v>02</v>
      </c>
      <c r="C104" s="5" t="s">
        <v>205</v>
      </c>
      <c r="E104" s="6" t="s">
        <v>202</v>
      </c>
      <c r="F104" s="7" t="s">
        <v>206</v>
      </c>
      <c r="G104" s="8" t="str">
        <f t="shared" si="3"/>
        <v>PUBLIC D</v>
      </c>
    </row>
    <row r="105" spans="1:7">
      <c r="A105" s="4" t="str">
        <f t="shared" si="4"/>
        <v>010</v>
      </c>
      <c r="B105" s="4" t="str">
        <f t="shared" si="5"/>
        <v>03</v>
      </c>
      <c r="C105" s="5" t="s">
        <v>207</v>
      </c>
      <c r="E105" s="6" t="s">
        <v>202</v>
      </c>
      <c r="F105" s="7" t="s">
        <v>208</v>
      </c>
      <c r="G105" s="8" t="str">
        <f t="shared" si="3"/>
        <v>JUDICIAR</v>
      </c>
    </row>
    <row r="106" spans="1:7">
      <c r="A106" s="4" t="str">
        <f t="shared" si="4"/>
        <v>010</v>
      </c>
      <c r="B106" s="4" t="str">
        <f t="shared" si="5"/>
        <v>04</v>
      </c>
      <c r="C106" s="5" t="s">
        <v>209</v>
      </c>
      <c r="E106" s="6" t="s">
        <v>202</v>
      </c>
      <c r="F106" s="7" t="s">
        <v>210</v>
      </c>
      <c r="G106" s="8" t="str">
        <f t="shared" si="3"/>
        <v>BICENTNN</v>
      </c>
    </row>
    <row r="107" spans="1:7">
      <c r="A107" s="4" t="str">
        <f t="shared" si="4"/>
        <v>010</v>
      </c>
      <c r="B107" s="4" t="str">
        <f t="shared" si="5"/>
        <v>05</v>
      </c>
      <c r="C107" s="5" t="s">
        <v>211</v>
      </c>
      <c r="E107" s="6" t="s">
        <v>202</v>
      </c>
      <c r="F107" s="7" t="s">
        <v>212</v>
      </c>
      <c r="G107" s="8" t="str">
        <f t="shared" si="3"/>
        <v>DISTRICT</v>
      </c>
    </row>
    <row r="108" spans="1:7">
      <c r="A108" s="4" t="str">
        <f t="shared" si="4"/>
        <v>010</v>
      </c>
      <c r="B108" s="4" t="str">
        <f t="shared" si="5"/>
        <v>06</v>
      </c>
      <c r="C108" s="5" t="s">
        <v>213</v>
      </c>
      <c r="E108" s="6" t="s">
        <v>202</v>
      </c>
      <c r="F108" s="7" t="s">
        <v>214</v>
      </c>
      <c r="G108" s="8" t="str">
        <f t="shared" si="3"/>
        <v>JUD COUR</v>
      </c>
    </row>
    <row r="109" spans="1:7">
      <c r="A109" s="4" t="str">
        <f t="shared" si="4"/>
        <v>010</v>
      </c>
      <c r="B109" s="4" t="str">
        <f t="shared" si="5"/>
        <v>07</v>
      </c>
      <c r="C109" s="5" t="s">
        <v>215</v>
      </c>
      <c r="E109" s="6" t="s">
        <v>202</v>
      </c>
      <c r="F109" s="7" t="s">
        <v>216</v>
      </c>
      <c r="G109" s="8" t="str">
        <f t="shared" si="3"/>
        <v>UNITED S</v>
      </c>
    </row>
    <row r="110" spans="1:7">
      <c r="A110" s="4" t="str">
        <f t="shared" si="4"/>
        <v>010</v>
      </c>
      <c r="B110" s="4" t="str">
        <f t="shared" si="5"/>
        <v>08</v>
      </c>
      <c r="C110" s="5" t="s">
        <v>217</v>
      </c>
      <c r="E110" s="6" t="s">
        <v>202</v>
      </c>
      <c r="F110" s="7" t="s">
        <v>218</v>
      </c>
      <c r="G110" s="8" t="str">
        <f t="shared" si="3"/>
        <v>JUDICIAR</v>
      </c>
    </row>
    <row r="111" spans="1:7">
      <c r="A111" s="4" t="str">
        <f t="shared" si="4"/>
        <v>010</v>
      </c>
      <c r="B111" s="4" t="str">
        <f t="shared" si="5"/>
        <v>09</v>
      </c>
      <c r="C111" s="5" t="s">
        <v>219</v>
      </c>
      <c r="E111" s="6" t="s">
        <v>202</v>
      </c>
      <c r="F111" s="7" t="s">
        <v>220</v>
      </c>
      <c r="G111" s="8" t="str">
        <f t="shared" si="3"/>
        <v>TERRITOR</v>
      </c>
    </row>
    <row r="112" spans="1:7">
      <c r="A112" s="4" t="str">
        <f t="shared" si="4"/>
        <v>010</v>
      </c>
      <c r="B112" s="4" t="str">
        <f t="shared" si="5"/>
        <v>11</v>
      </c>
      <c r="C112" s="5" t="s">
        <v>221</v>
      </c>
      <c r="E112" s="6" t="s">
        <v>202</v>
      </c>
      <c r="F112" s="7" t="s">
        <v>222</v>
      </c>
      <c r="G112" s="8" t="str">
        <f t="shared" si="3"/>
        <v>UNITED S</v>
      </c>
    </row>
    <row r="113" spans="1:7">
      <c r="A113" s="4" t="str">
        <f t="shared" si="4"/>
        <v>010</v>
      </c>
      <c r="B113" s="4" t="str">
        <f t="shared" si="5"/>
        <v>12</v>
      </c>
      <c r="C113" s="5" t="s">
        <v>223</v>
      </c>
      <c r="E113" s="6" t="s">
        <v>202</v>
      </c>
      <c r="F113" s="7" t="s">
        <v>224</v>
      </c>
      <c r="G113" s="8" t="str">
        <f t="shared" si="3"/>
        <v>BNKRPTCY</v>
      </c>
    </row>
    <row r="114" spans="1:7">
      <c r="A114" s="4" t="str">
        <f t="shared" si="4"/>
        <v>010</v>
      </c>
      <c r="B114" s="4" t="str">
        <f t="shared" si="5"/>
        <v>13</v>
      </c>
      <c r="C114" s="5" t="s">
        <v>225</v>
      </c>
      <c r="E114" s="6" t="s">
        <v>202</v>
      </c>
      <c r="F114" s="7" t="s">
        <v>226</v>
      </c>
      <c r="G114" s="8" t="str">
        <f t="shared" si="3"/>
        <v>UNITED S</v>
      </c>
    </row>
    <row r="115" spans="1:7">
      <c r="A115" s="4" t="str">
        <f t="shared" si="4"/>
        <v>010</v>
      </c>
      <c r="B115" s="4" t="str">
        <f t="shared" si="5"/>
        <v>14</v>
      </c>
      <c r="C115" s="5" t="s">
        <v>227</v>
      </c>
      <c r="E115" s="6" t="s">
        <v>202</v>
      </c>
      <c r="F115" s="7" t="s">
        <v>228</v>
      </c>
      <c r="G115" s="8" t="str">
        <f t="shared" si="3"/>
        <v>BANKRUPT</v>
      </c>
    </row>
    <row r="116" spans="1:7">
      <c r="A116" s="4" t="str">
        <f t="shared" si="4"/>
        <v>010</v>
      </c>
      <c r="B116" s="4" t="str">
        <f t="shared" si="5"/>
        <v>15</v>
      </c>
      <c r="C116" s="5" t="s">
        <v>229</v>
      </c>
      <c r="E116" s="6" t="s">
        <v>202</v>
      </c>
      <c r="F116" s="7" t="s">
        <v>230</v>
      </c>
      <c r="G116" s="8" t="str">
        <f t="shared" si="3"/>
        <v>UNITED S</v>
      </c>
    </row>
    <row r="117" spans="1:7">
      <c r="A117" s="4" t="str">
        <f t="shared" si="4"/>
        <v>010</v>
      </c>
      <c r="B117" s="4" t="str">
        <f t="shared" si="5"/>
        <v>16</v>
      </c>
      <c r="C117" s="5" t="s">
        <v>231</v>
      </c>
      <c r="E117" s="6" t="s">
        <v>202</v>
      </c>
      <c r="F117" s="7" t="s">
        <v>232</v>
      </c>
      <c r="G117" s="8" t="str">
        <f t="shared" si="3"/>
        <v>BANKRUPT</v>
      </c>
    </row>
    <row r="118" spans="1:7">
      <c r="A118" s="4" t="str">
        <f t="shared" si="4"/>
        <v>010</v>
      </c>
      <c r="B118" s="4" t="str">
        <f t="shared" si="5"/>
        <v>17</v>
      </c>
      <c r="C118" s="5" t="s">
        <v>233</v>
      </c>
      <c r="E118" s="6" t="s">
        <v>202</v>
      </c>
      <c r="F118" s="7" t="s">
        <v>234</v>
      </c>
      <c r="G118" s="8" t="str">
        <f t="shared" si="3"/>
        <v>UNITED S</v>
      </c>
    </row>
    <row r="119" spans="1:7">
      <c r="A119" s="4" t="str">
        <f t="shared" si="4"/>
        <v>010</v>
      </c>
      <c r="B119" s="4" t="str">
        <f t="shared" si="5"/>
        <v>18</v>
      </c>
      <c r="C119" s="5" t="s">
        <v>235</v>
      </c>
      <c r="E119" s="6" t="s">
        <v>202</v>
      </c>
      <c r="F119" s="7" t="s">
        <v>236</v>
      </c>
      <c r="G119" s="8" t="str">
        <f t="shared" si="3"/>
        <v>BNKRPTCY</v>
      </c>
    </row>
    <row r="120" spans="1:7">
      <c r="A120" s="4" t="str">
        <f t="shared" si="4"/>
        <v>010</v>
      </c>
      <c r="B120" s="4" t="str">
        <f t="shared" si="5"/>
        <v>19</v>
      </c>
      <c r="C120" s="5" t="s">
        <v>237</v>
      </c>
      <c r="E120" s="6" t="s">
        <v>202</v>
      </c>
      <c r="F120" s="7" t="s">
        <v>238</v>
      </c>
      <c r="G120" s="8" t="str">
        <f t="shared" si="3"/>
        <v>UNITED S</v>
      </c>
    </row>
    <row r="121" spans="1:7">
      <c r="A121" s="4" t="str">
        <f t="shared" si="4"/>
        <v>010</v>
      </c>
      <c r="B121" s="4" t="str">
        <f t="shared" si="5"/>
        <v>20</v>
      </c>
      <c r="C121" s="5" t="s">
        <v>239</v>
      </c>
      <c r="E121" s="6" t="s">
        <v>202</v>
      </c>
      <c r="F121" s="7" t="s">
        <v>240</v>
      </c>
      <c r="G121" s="8" t="str">
        <f t="shared" si="3"/>
        <v xml:space="preserve">FEDERAL </v>
      </c>
    </row>
    <row r="122" spans="1:7">
      <c r="A122" s="4" t="str">
        <f t="shared" si="4"/>
        <v>010</v>
      </c>
      <c r="B122" s="4" t="str">
        <f t="shared" si="5"/>
        <v>21</v>
      </c>
      <c r="C122" s="5" t="s">
        <v>241</v>
      </c>
      <c r="E122" s="6" t="s">
        <v>202</v>
      </c>
      <c r="F122" s="7" t="s">
        <v>242</v>
      </c>
      <c r="G122" s="8" t="str">
        <f t="shared" si="3"/>
        <v>JUDICIAL</v>
      </c>
    </row>
    <row r="123" spans="1:7">
      <c r="A123" s="4" t="str">
        <f t="shared" si="4"/>
        <v>010</v>
      </c>
      <c r="B123" s="4" t="str">
        <f t="shared" si="5"/>
        <v>22</v>
      </c>
      <c r="C123" s="5" t="s">
        <v>243</v>
      </c>
      <c r="E123" s="6" t="s">
        <v>202</v>
      </c>
      <c r="F123" s="7" t="s">
        <v>244</v>
      </c>
      <c r="G123" s="8" t="str">
        <f t="shared" si="3"/>
        <v>JUDICIAR</v>
      </c>
    </row>
    <row r="124" spans="1:7">
      <c r="A124" s="4" t="str">
        <f t="shared" si="4"/>
        <v>010</v>
      </c>
      <c r="B124" s="4" t="str">
        <f t="shared" si="5"/>
        <v>24</v>
      </c>
      <c r="C124" s="5" t="s">
        <v>245</v>
      </c>
      <c r="E124" s="6" t="s">
        <v>202</v>
      </c>
      <c r="F124" s="7" t="s">
        <v>246</v>
      </c>
      <c r="G124" s="8" t="str">
        <f t="shared" si="3"/>
        <v>BNKRPTCY</v>
      </c>
    </row>
    <row r="125" spans="1:7">
      <c r="A125" s="4" t="str">
        <f t="shared" si="4"/>
        <v>010</v>
      </c>
      <c r="B125" s="4" t="str">
        <f t="shared" si="5"/>
        <v>30</v>
      </c>
      <c r="C125" s="5" t="s">
        <v>247</v>
      </c>
      <c r="E125" s="6" t="s">
        <v>202</v>
      </c>
      <c r="F125" s="7" t="s">
        <v>248</v>
      </c>
      <c r="G125" s="8" t="str">
        <f t="shared" si="3"/>
        <v>OFF OF I</v>
      </c>
    </row>
    <row r="126" spans="1:7">
      <c r="A126" s="4" t="str">
        <f t="shared" si="4"/>
        <v>010</v>
      </c>
      <c r="B126" s="4" t="str">
        <f t="shared" si="5"/>
        <v>31</v>
      </c>
      <c r="C126" s="5" t="s">
        <v>249</v>
      </c>
      <c r="E126" s="6" t="s">
        <v>202</v>
      </c>
      <c r="F126" s="7" t="s">
        <v>250</v>
      </c>
      <c r="G126" s="8" t="str">
        <f t="shared" si="3"/>
        <v>COURT OF</v>
      </c>
    </row>
    <row r="127" spans="1:7">
      <c r="A127" s="4" t="str">
        <f t="shared" si="4"/>
        <v>010</v>
      </c>
      <c r="B127" s="4" t="str">
        <f t="shared" si="5"/>
        <v>32</v>
      </c>
      <c r="C127" s="5" t="s">
        <v>251</v>
      </c>
      <c r="E127" s="6" t="s">
        <v>202</v>
      </c>
      <c r="F127" s="7" t="s">
        <v>252</v>
      </c>
      <c r="G127" s="8" t="str">
        <f t="shared" si="3"/>
        <v>COURT OF</v>
      </c>
    </row>
    <row r="128" spans="1:7">
      <c r="A128" s="4" t="str">
        <f t="shared" si="4"/>
        <v>010</v>
      </c>
      <c r="B128" s="4" t="str">
        <f t="shared" si="5"/>
        <v>33</v>
      </c>
      <c r="C128" s="5" t="s">
        <v>253</v>
      </c>
      <c r="E128" s="6" t="s">
        <v>202</v>
      </c>
      <c r="F128" s="7" t="s">
        <v>254</v>
      </c>
      <c r="G128" s="8" t="str">
        <f t="shared" si="3"/>
        <v xml:space="preserve">CIRCUIT </v>
      </c>
    </row>
    <row r="129" spans="1:7">
      <c r="A129" s="4" t="str">
        <f t="shared" si="4"/>
        <v>010</v>
      </c>
      <c r="B129" s="4" t="str">
        <f t="shared" si="5"/>
        <v>34</v>
      </c>
      <c r="C129" s="5" t="s">
        <v>255</v>
      </c>
      <c r="E129" s="6" t="s">
        <v>202</v>
      </c>
      <c r="F129" s="7" t="s">
        <v>256</v>
      </c>
      <c r="G129" s="8" t="str">
        <f t="shared" si="3"/>
        <v>BAP CLER</v>
      </c>
    </row>
    <row r="130" spans="1:7">
      <c r="A130" s="4" t="str">
        <f t="shared" si="4"/>
        <v>010</v>
      </c>
      <c r="B130" s="4" t="str">
        <f t="shared" si="5"/>
        <v>35</v>
      </c>
      <c r="C130" s="5" t="s">
        <v>257</v>
      </c>
      <c r="E130" s="6" t="s">
        <v>202</v>
      </c>
      <c r="F130" s="7" t="s">
        <v>258</v>
      </c>
      <c r="G130" s="8" t="str">
        <f t="shared" ref="G130:G193" si="6">LEFT(F130,8)</f>
        <v>COURT OF</v>
      </c>
    </row>
    <row r="131" spans="1:7">
      <c r="A131" s="4" t="str">
        <f t="shared" ref="A131:A194" si="7">LEFT(C131,3)</f>
        <v>010</v>
      </c>
      <c r="B131" s="4" t="str">
        <f t="shared" ref="B131:B194" si="8">RIGHT(C131,2)</f>
        <v>37</v>
      </c>
      <c r="C131" s="5" t="s">
        <v>259</v>
      </c>
      <c r="E131" s="6" t="s">
        <v>202</v>
      </c>
      <c r="F131" s="7" t="s">
        <v>260</v>
      </c>
      <c r="G131" s="8" t="str">
        <f t="shared" si="6"/>
        <v xml:space="preserve">CIRCUIT </v>
      </c>
    </row>
    <row r="132" spans="1:7">
      <c r="A132" s="4" t="str">
        <f t="shared" si="7"/>
        <v>010</v>
      </c>
      <c r="B132" s="4" t="str">
        <f t="shared" si="8"/>
        <v>39</v>
      </c>
      <c r="C132" s="5" t="s">
        <v>261</v>
      </c>
      <c r="E132" s="6" t="s">
        <v>202</v>
      </c>
      <c r="F132" s="7" t="s">
        <v>262</v>
      </c>
      <c r="G132" s="8" t="str">
        <f t="shared" si="6"/>
        <v>CIR MEDI</v>
      </c>
    </row>
    <row r="133" spans="1:7">
      <c r="A133" s="4" t="str">
        <f t="shared" si="7"/>
        <v>010</v>
      </c>
      <c r="B133" s="4" t="str">
        <f t="shared" si="8"/>
        <v>40</v>
      </c>
      <c r="C133" s="5" t="s">
        <v>263</v>
      </c>
      <c r="E133" s="6" t="s">
        <v>202</v>
      </c>
      <c r="F133" s="7" t="s">
        <v>264</v>
      </c>
      <c r="G133" s="8" t="str">
        <f t="shared" si="6"/>
        <v>DISTRICT</v>
      </c>
    </row>
    <row r="134" spans="1:7">
      <c r="A134" s="4" t="str">
        <f t="shared" si="7"/>
        <v>010</v>
      </c>
      <c r="B134" s="4" t="str">
        <f t="shared" si="8"/>
        <v>41</v>
      </c>
      <c r="C134" s="5" t="s">
        <v>265</v>
      </c>
      <c r="E134" s="6" t="s">
        <v>202</v>
      </c>
      <c r="F134" s="7" t="s">
        <v>266</v>
      </c>
      <c r="G134" s="8" t="str">
        <f t="shared" si="6"/>
        <v>DISTRICT</v>
      </c>
    </row>
    <row r="135" spans="1:7">
      <c r="A135" s="4" t="str">
        <f t="shared" si="7"/>
        <v>010</v>
      </c>
      <c r="B135" s="4" t="str">
        <f t="shared" si="8"/>
        <v>42</v>
      </c>
      <c r="C135" s="5" t="s">
        <v>267</v>
      </c>
      <c r="E135" s="6" t="s">
        <v>202</v>
      </c>
      <c r="F135" s="7" t="s">
        <v>268</v>
      </c>
      <c r="G135" s="8" t="str">
        <f t="shared" si="6"/>
        <v>MAGISTRA</v>
      </c>
    </row>
    <row r="136" spans="1:7">
      <c r="A136" s="4" t="str">
        <f t="shared" si="7"/>
        <v>010</v>
      </c>
      <c r="B136" s="4" t="str">
        <f t="shared" si="8"/>
        <v>43</v>
      </c>
      <c r="C136" s="5" t="s">
        <v>269</v>
      </c>
      <c r="E136" s="6" t="s">
        <v>202</v>
      </c>
      <c r="F136" s="7" t="s">
        <v>270</v>
      </c>
      <c r="G136" s="8" t="str">
        <f t="shared" si="6"/>
        <v>MAGISTRA</v>
      </c>
    </row>
    <row r="137" spans="1:7">
      <c r="A137" s="4" t="str">
        <f t="shared" si="7"/>
        <v>010</v>
      </c>
      <c r="B137" s="4" t="str">
        <f t="shared" si="8"/>
        <v>44</v>
      </c>
      <c r="C137" s="5" t="s">
        <v>271</v>
      </c>
      <c r="E137" s="6" t="s">
        <v>202</v>
      </c>
      <c r="F137" s="7" t="s">
        <v>272</v>
      </c>
      <c r="G137" s="8" t="str">
        <f t="shared" si="6"/>
        <v>DISTRICT</v>
      </c>
    </row>
    <row r="138" spans="1:7">
      <c r="A138" s="4" t="str">
        <f t="shared" si="7"/>
        <v>010</v>
      </c>
      <c r="B138" s="4" t="str">
        <f t="shared" si="8"/>
        <v>45</v>
      </c>
      <c r="C138" s="5" t="s">
        <v>273</v>
      </c>
      <c r="E138" s="6" t="s">
        <v>202</v>
      </c>
      <c r="F138" s="7" t="s">
        <v>274</v>
      </c>
      <c r="G138" s="8" t="str">
        <f t="shared" si="6"/>
        <v>DST EXEC</v>
      </c>
    </row>
    <row r="139" spans="1:7">
      <c r="A139" s="4" t="str">
        <f t="shared" si="7"/>
        <v>010</v>
      </c>
      <c r="B139" s="4" t="str">
        <f t="shared" si="8"/>
        <v>46</v>
      </c>
      <c r="C139" s="5" t="s">
        <v>275</v>
      </c>
      <c r="E139" s="6" t="s">
        <v>202</v>
      </c>
      <c r="F139" s="7" t="s">
        <v>276</v>
      </c>
      <c r="G139" s="8" t="str">
        <f t="shared" si="6"/>
        <v>PROBATIO</v>
      </c>
    </row>
    <row r="140" spans="1:7">
      <c r="A140" s="4" t="str">
        <f t="shared" si="7"/>
        <v>010</v>
      </c>
      <c r="B140" s="4" t="str">
        <f t="shared" si="8"/>
        <v>47</v>
      </c>
      <c r="C140" s="5" t="s">
        <v>277</v>
      </c>
      <c r="E140" s="6" t="s">
        <v>202</v>
      </c>
      <c r="F140" s="7" t="s">
        <v>278</v>
      </c>
      <c r="G140" s="8" t="str">
        <f t="shared" si="6"/>
        <v>PRETRIAL</v>
      </c>
    </row>
    <row r="141" spans="1:7">
      <c r="A141" s="4" t="str">
        <f t="shared" si="7"/>
        <v>010</v>
      </c>
      <c r="B141" s="4" t="str">
        <f t="shared" si="8"/>
        <v>48</v>
      </c>
      <c r="C141" s="5" t="s">
        <v>279</v>
      </c>
      <c r="E141" s="6" t="s">
        <v>202</v>
      </c>
      <c r="F141" s="7" t="s">
        <v>280</v>
      </c>
      <c r="G141" s="8" t="str">
        <f t="shared" si="6"/>
        <v>DST UNST</v>
      </c>
    </row>
    <row r="142" spans="1:7">
      <c r="A142" s="4" t="str">
        <f t="shared" si="7"/>
        <v>010</v>
      </c>
      <c r="B142" s="4" t="str">
        <f t="shared" si="8"/>
        <v>90</v>
      </c>
      <c r="C142" s="5" t="s">
        <v>281</v>
      </c>
      <c r="E142" s="6" t="s">
        <v>202</v>
      </c>
      <c r="F142" s="7" t="s">
        <v>282</v>
      </c>
      <c r="G142" s="8" t="str">
        <f t="shared" si="6"/>
        <v>STATE CO</v>
      </c>
    </row>
    <row r="143" spans="1:7">
      <c r="A143" s="4" t="str">
        <f t="shared" si="7"/>
        <v>010</v>
      </c>
      <c r="B143" s="4" t="str">
        <f t="shared" si="8"/>
        <v>91</v>
      </c>
      <c r="C143" s="5" t="s">
        <v>283</v>
      </c>
      <c r="E143" s="6" t="s">
        <v>202</v>
      </c>
      <c r="F143" s="7" t="s">
        <v>284</v>
      </c>
      <c r="G143" s="8" t="str">
        <f t="shared" si="6"/>
        <v xml:space="preserve">COURTS, </v>
      </c>
    </row>
    <row r="144" spans="1:7">
      <c r="A144" s="4" t="str">
        <f t="shared" si="7"/>
        <v>010</v>
      </c>
      <c r="B144" s="4" t="str">
        <f t="shared" si="8"/>
        <v>97</v>
      </c>
      <c r="C144" s="5" t="s">
        <v>285</v>
      </c>
      <c r="E144" s="6" t="s">
        <v>202</v>
      </c>
      <c r="F144" s="7" t="s">
        <v>102</v>
      </c>
      <c r="G144" s="8" t="str">
        <f t="shared" si="6"/>
        <v>GSA ADVA</v>
      </c>
    </row>
    <row r="145" spans="1:7">
      <c r="A145" s="4" t="str">
        <f t="shared" si="7"/>
        <v>010</v>
      </c>
      <c r="B145" s="4" t="str">
        <f t="shared" si="8"/>
        <v>99</v>
      </c>
      <c r="C145" s="5" t="s">
        <v>286</v>
      </c>
      <c r="E145" s="6" t="s">
        <v>202</v>
      </c>
      <c r="F145" s="7" t="s">
        <v>132</v>
      </c>
      <c r="G145" s="8" t="str">
        <f t="shared" si="6"/>
        <v>SUBCONTR</v>
      </c>
    </row>
    <row r="146" spans="1:7">
      <c r="A146" s="4" t="str">
        <f t="shared" si="7"/>
        <v>011</v>
      </c>
      <c r="B146" s="4" t="str">
        <f t="shared" si="8"/>
        <v>00</v>
      </c>
      <c r="C146" s="5" t="s">
        <v>287</v>
      </c>
      <c r="E146" s="6" t="s">
        <v>288</v>
      </c>
      <c r="F146" s="7" t="s">
        <v>288</v>
      </c>
      <c r="G146" s="8" t="str">
        <f t="shared" si="6"/>
        <v>EXECUTIV</v>
      </c>
    </row>
    <row r="147" spans="1:7">
      <c r="A147" s="4" t="str">
        <f t="shared" si="7"/>
        <v>011</v>
      </c>
      <c r="B147" s="4" t="str">
        <f t="shared" si="8"/>
        <v>01</v>
      </c>
      <c r="C147" s="5" t="s">
        <v>289</v>
      </c>
      <c r="E147" s="6" t="s">
        <v>288</v>
      </c>
      <c r="F147" s="7" t="s">
        <v>290</v>
      </c>
      <c r="G147" s="8" t="str">
        <f t="shared" si="6"/>
        <v>OFFICE O</v>
      </c>
    </row>
    <row r="148" spans="1:7">
      <c r="A148" s="4" t="str">
        <f t="shared" si="7"/>
        <v>011</v>
      </c>
      <c r="B148" s="4" t="str">
        <f t="shared" si="8"/>
        <v>02</v>
      </c>
      <c r="C148" s="5" t="s">
        <v>291</v>
      </c>
      <c r="E148" s="6" t="s">
        <v>288</v>
      </c>
      <c r="F148" s="7" t="s">
        <v>292</v>
      </c>
      <c r="G148" s="8" t="str">
        <f t="shared" si="6"/>
        <v xml:space="preserve">COUNCIL </v>
      </c>
    </row>
    <row r="149" spans="1:7">
      <c r="A149" s="4" t="str">
        <f t="shared" si="7"/>
        <v>011</v>
      </c>
      <c r="B149" s="4" t="str">
        <f t="shared" si="8"/>
        <v>03</v>
      </c>
      <c r="C149" s="5" t="s">
        <v>293</v>
      </c>
      <c r="E149" s="6" t="s">
        <v>288</v>
      </c>
      <c r="F149" s="7" t="s">
        <v>294</v>
      </c>
      <c r="G149" s="8" t="str">
        <f t="shared" si="6"/>
        <v>CIA OFFI</v>
      </c>
    </row>
    <row r="150" spans="1:7">
      <c r="A150" s="4" t="str">
        <f t="shared" si="7"/>
        <v>011</v>
      </c>
      <c r="B150" s="4" t="str">
        <f t="shared" si="8"/>
        <v>04</v>
      </c>
      <c r="C150" s="5" t="s">
        <v>295</v>
      </c>
      <c r="E150" s="6" t="s">
        <v>288</v>
      </c>
      <c r="F150" s="7" t="s">
        <v>296</v>
      </c>
      <c r="G150" s="8" t="str">
        <f t="shared" si="6"/>
        <v>PRESIDEN</v>
      </c>
    </row>
    <row r="151" spans="1:7">
      <c r="A151" s="4" t="str">
        <f t="shared" si="7"/>
        <v>011</v>
      </c>
      <c r="B151" s="4" t="str">
        <f t="shared" si="8"/>
        <v>05</v>
      </c>
      <c r="C151" s="5" t="s">
        <v>297</v>
      </c>
      <c r="E151" s="6" t="s">
        <v>288</v>
      </c>
      <c r="F151" s="7" t="s">
        <v>298</v>
      </c>
      <c r="G151" s="8" t="str">
        <f t="shared" si="6"/>
        <v>COMMISSI</v>
      </c>
    </row>
    <row r="152" spans="1:7">
      <c r="A152" s="4" t="str">
        <f t="shared" si="7"/>
        <v>011</v>
      </c>
      <c r="B152" s="4" t="str">
        <f t="shared" si="8"/>
        <v>06</v>
      </c>
      <c r="C152" s="5" t="s">
        <v>299</v>
      </c>
      <c r="E152" s="6" t="s">
        <v>288</v>
      </c>
      <c r="F152" s="7" t="s">
        <v>300</v>
      </c>
      <c r="G152" s="8" t="str">
        <f t="shared" si="6"/>
        <v>INTER-AM</v>
      </c>
    </row>
    <row r="153" spans="1:7">
      <c r="A153" s="4" t="str">
        <f t="shared" si="7"/>
        <v>011</v>
      </c>
      <c r="B153" s="4" t="str">
        <f t="shared" si="8"/>
        <v>07</v>
      </c>
      <c r="C153" s="5" t="s">
        <v>301</v>
      </c>
      <c r="E153" s="6" t="s">
        <v>288</v>
      </c>
      <c r="F153" s="7" t="s">
        <v>302</v>
      </c>
      <c r="G153" s="8" t="str">
        <f t="shared" si="6"/>
        <v xml:space="preserve">COUNCIL </v>
      </c>
    </row>
    <row r="154" spans="1:7">
      <c r="A154" s="4" t="str">
        <f t="shared" si="7"/>
        <v>011</v>
      </c>
      <c r="B154" s="4" t="str">
        <f t="shared" si="8"/>
        <v>08</v>
      </c>
      <c r="C154" s="5" t="s">
        <v>303</v>
      </c>
      <c r="E154" s="6" t="s">
        <v>288</v>
      </c>
      <c r="F154" s="7" t="s">
        <v>304</v>
      </c>
      <c r="G154" s="8" t="str">
        <f t="shared" si="6"/>
        <v>U.S. JAP</v>
      </c>
    </row>
    <row r="155" spans="1:7">
      <c r="A155" s="4" t="str">
        <f t="shared" si="7"/>
        <v>011</v>
      </c>
      <c r="B155" s="4" t="str">
        <f t="shared" si="8"/>
        <v>09</v>
      </c>
      <c r="C155" s="5" t="s">
        <v>305</v>
      </c>
      <c r="E155" s="6" t="s">
        <v>288</v>
      </c>
      <c r="F155" s="7" t="s">
        <v>306</v>
      </c>
      <c r="G155" s="8" t="str">
        <f t="shared" si="6"/>
        <v>COMMISSI</v>
      </c>
    </row>
    <row r="156" spans="1:7">
      <c r="A156" s="4" t="str">
        <f t="shared" si="7"/>
        <v>011</v>
      </c>
      <c r="B156" s="4" t="str">
        <f t="shared" si="8"/>
        <v>10</v>
      </c>
      <c r="C156" s="5" t="s">
        <v>307</v>
      </c>
      <c r="E156" s="6" t="s">
        <v>288</v>
      </c>
      <c r="F156" s="7" t="s">
        <v>308</v>
      </c>
      <c r="G156" s="8" t="str">
        <f t="shared" si="6"/>
        <v>NATIVE H</v>
      </c>
    </row>
    <row r="157" spans="1:7">
      <c r="A157" s="4" t="str">
        <f t="shared" si="7"/>
        <v>011</v>
      </c>
      <c r="B157" s="4" t="str">
        <f t="shared" si="8"/>
        <v>11</v>
      </c>
      <c r="C157" s="5" t="s">
        <v>309</v>
      </c>
      <c r="E157" s="6" t="s">
        <v>288</v>
      </c>
      <c r="F157" s="7" t="s">
        <v>310</v>
      </c>
      <c r="G157" s="8" t="str">
        <f t="shared" si="6"/>
        <v>NATIONAL</v>
      </c>
    </row>
    <row r="158" spans="1:7">
      <c r="A158" s="4" t="str">
        <f t="shared" si="7"/>
        <v>011</v>
      </c>
      <c r="B158" s="4" t="str">
        <f t="shared" si="8"/>
        <v>12</v>
      </c>
      <c r="C158" s="5" t="s">
        <v>311</v>
      </c>
      <c r="E158" s="6" t="s">
        <v>288</v>
      </c>
      <c r="F158" s="7" t="s">
        <v>312</v>
      </c>
      <c r="G158" s="8" t="str">
        <f t="shared" si="6"/>
        <v>COMMISSI</v>
      </c>
    </row>
    <row r="159" spans="1:7">
      <c r="A159" s="4" t="str">
        <f t="shared" si="7"/>
        <v>011</v>
      </c>
      <c r="B159" s="4" t="str">
        <f t="shared" si="8"/>
        <v>13</v>
      </c>
      <c r="C159" s="5" t="s">
        <v>313</v>
      </c>
      <c r="E159" s="6" t="s">
        <v>288</v>
      </c>
      <c r="F159" s="7" t="s">
        <v>314</v>
      </c>
      <c r="G159" s="8" t="str">
        <f t="shared" si="6"/>
        <v>PEACE CO</v>
      </c>
    </row>
    <row r="160" spans="1:7">
      <c r="A160" s="4" t="str">
        <f t="shared" si="7"/>
        <v>011</v>
      </c>
      <c r="B160" s="4" t="str">
        <f t="shared" si="8"/>
        <v>14</v>
      </c>
      <c r="C160" s="5" t="s">
        <v>315</v>
      </c>
      <c r="E160" s="6" t="s">
        <v>288</v>
      </c>
      <c r="F160" s="7" t="s">
        <v>316</v>
      </c>
      <c r="G160" s="8" t="str">
        <f t="shared" si="6"/>
        <v>PROPERTY</v>
      </c>
    </row>
    <row r="161" spans="1:7">
      <c r="A161" s="4" t="str">
        <f t="shared" si="7"/>
        <v>011</v>
      </c>
      <c r="B161" s="4" t="str">
        <f t="shared" si="8"/>
        <v>15</v>
      </c>
      <c r="C161" s="5" t="s">
        <v>317</v>
      </c>
      <c r="E161" s="6" t="s">
        <v>288</v>
      </c>
      <c r="F161" s="7" t="s">
        <v>318</v>
      </c>
      <c r="G161" s="8" t="str">
        <f t="shared" si="6"/>
        <v>OFFICE O</v>
      </c>
    </row>
    <row r="162" spans="1:7">
      <c r="A162" s="4" t="str">
        <f t="shared" si="7"/>
        <v>011</v>
      </c>
      <c r="B162" s="4" t="str">
        <f t="shared" si="8"/>
        <v>16</v>
      </c>
      <c r="C162" s="5" t="s">
        <v>319</v>
      </c>
      <c r="E162" s="6" t="s">
        <v>288</v>
      </c>
      <c r="F162" s="7" t="s">
        <v>320</v>
      </c>
      <c r="G162" s="8" t="str">
        <f t="shared" si="6"/>
        <v xml:space="preserve">SPECIAL </v>
      </c>
    </row>
    <row r="163" spans="1:7">
      <c r="A163" s="4" t="str">
        <f t="shared" si="7"/>
        <v>011</v>
      </c>
      <c r="B163" s="4" t="str">
        <f t="shared" si="8"/>
        <v>17</v>
      </c>
      <c r="C163" s="5" t="s">
        <v>321</v>
      </c>
      <c r="E163" s="6" t="s">
        <v>288</v>
      </c>
      <c r="F163" s="7" t="s">
        <v>322</v>
      </c>
      <c r="G163" s="8" t="str">
        <f t="shared" si="6"/>
        <v>THE WHIT</v>
      </c>
    </row>
    <row r="164" spans="1:7">
      <c r="A164" s="4" t="str">
        <f t="shared" si="7"/>
        <v>011</v>
      </c>
      <c r="B164" s="4" t="str">
        <f t="shared" si="8"/>
        <v>18</v>
      </c>
      <c r="C164" s="5" t="s">
        <v>323</v>
      </c>
      <c r="E164" s="6" t="s">
        <v>288</v>
      </c>
      <c r="F164" s="7" t="s">
        <v>324</v>
      </c>
      <c r="G164" s="8" t="str">
        <f t="shared" si="6"/>
        <v xml:space="preserve">AFRICAN </v>
      </c>
    </row>
    <row r="165" spans="1:7">
      <c r="A165" s="4" t="str">
        <f t="shared" si="7"/>
        <v>011</v>
      </c>
      <c r="B165" s="4" t="str">
        <f t="shared" si="8"/>
        <v>19</v>
      </c>
      <c r="C165" s="5" t="s">
        <v>325</v>
      </c>
      <c r="E165" s="6" t="s">
        <v>288</v>
      </c>
      <c r="F165" s="7" t="s">
        <v>326</v>
      </c>
      <c r="G165" s="8" t="str">
        <f t="shared" si="6"/>
        <v>REFORM 8</v>
      </c>
    </row>
    <row r="166" spans="1:7">
      <c r="A166" s="4" t="str">
        <f t="shared" si="7"/>
        <v>011</v>
      </c>
      <c r="B166" s="4" t="str">
        <f t="shared" si="8"/>
        <v>20</v>
      </c>
      <c r="C166" s="5" t="s">
        <v>327</v>
      </c>
      <c r="E166" s="6" t="s">
        <v>288</v>
      </c>
      <c r="F166" s="7" t="s">
        <v>328</v>
      </c>
      <c r="G166" s="8" t="str">
        <f t="shared" si="6"/>
        <v>TASK FOR</v>
      </c>
    </row>
    <row r="167" spans="1:7">
      <c r="A167" s="4" t="str">
        <f t="shared" si="7"/>
        <v>011</v>
      </c>
      <c r="B167" s="4" t="str">
        <f t="shared" si="8"/>
        <v>21</v>
      </c>
      <c r="C167" s="5" t="s">
        <v>329</v>
      </c>
      <c r="E167" s="6" t="s">
        <v>288</v>
      </c>
      <c r="F167" s="7" t="s">
        <v>330</v>
      </c>
      <c r="G167" s="8" t="str">
        <f t="shared" si="6"/>
        <v>OFFICE O</v>
      </c>
    </row>
    <row r="168" spans="1:7">
      <c r="A168" s="4" t="str">
        <f t="shared" si="7"/>
        <v>011</v>
      </c>
      <c r="B168" s="4" t="str">
        <f t="shared" si="8"/>
        <v>22</v>
      </c>
      <c r="C168" s="5" t="s">
        <v>331</v>
      </c>
      <c r="E168" s="6" t="s">
        <v>288</v>
      </c>
      <c r="F168" s="7" t="s">
        <v>332</v>
      </c>
      <c r="G168" s="8" t="str">
        <f t="shared" si="6"/>
        <v>POINTS O</v>
      </c>
    </row>
    <row r="169" spans="1:7">
      <c r="A169" s="4" t="str">
        <f t="shared" si="7"/>
        <v>011</v>
      </c>
      <c r="B169" s="4" t="str">
        <f t="shared" si="8"/>
        <v>23</v>
      </c>
      <c r="C169" s="5" t="s">
        <v>333</v>
      </c>
      <c r="E169" s="6" t="s">
        <v>288</v>
      </c>
      <c r="F169" s="7" t="s">
        <v>334</v>
      </c>
      <c r="G169" s="8" t="str">
        <f t="shared" si="6"/>
        <v>OFFICE O</v>
      </c>
    </row>
    <row r="170" spans="1:7">
      <c r="A170" s="4" t="str">
        <f t="shared" si="7"/>
        <v>011</v>
      </c>
      <c r="B170" s="4" t="str">
        <f t="shared" si="8"/>
        <v>24</v>
      </c>
      <c r="C170" s="5" t="s">
        <v>335</v>
      </c>
      <c r="E170" s="6" t="s">
        <v>288</v>
      </c>
      <c r="F170" s="7" t="s">
        <v>336</v>
      </c>
      <c r="G170" s="8" t="str">
        <f t="shared" si="6"/>
        <v>EO OFF D</v>
      </c>
    </row>
    <row r="171" spans="1:7">
      <c r="A171" s="4" t="str">
        <f t="shared" si="7"/>
        <v>011</v>
      </c>
      <c r="B171" s="4" t="str">
        <f t="shared" si="8"/>
        <v>25</v>
      </c>
      <c r="C171" s="5" t="s">
        <v>337</v>
      </c>
      <c r="E171" s="6" t="s">
        <v>288</v>
      </c>
      <c r="F171" s="7" t="s">
        <v>338</v>
      </c>
      <c r="G171" s="8" t="str">
        <f t="shared" si="6"/>
        <v>WHITE HO</v>
      </c>
    </row>
    <row r="172" spans="1:7">
      <c r="A172" s="4" t="str">
        <f t="shared" si="7"/>
        <v>011</v>
      </c>
      <c r="B172" s="4" t="str">
        <f t="shared" si="8"/>
        <v>26</v>
      </c>
      <c r="C172" s="5" t="s">
        <v>339</v>
      </c>
      <c r="E172" s="6" t="s">
        <v>288</v>
      </c>
      <c r="F172" s="7" t="s">
        <v>340</v>
      </c>
      <c r="G172" s="8" t="str">
        <f t="shared" si="6"/>
        <v>OFFICE O</v>
      </c>
    </row>
    <row r="173" spans="1:7">
      <c r="A173" s="4" t="str">
        <f t="shared" si="7"/>
        <v>011</v>
      </c>
      <c r="B173" s="4" t="str">
        <f t="shared" si="8"/>
        <v>27</v>
      </c>
      <c r="C173" s="5" t="s">
        <v>341</v>
      </c>
      <c r="E173" s="6" t="s">
        <v>288</v>
      </c>
      <c r="F173" s="7" t="s">
        <v>342</v>
      </c>
      <c r="G173" s="8" t="str">
        <f t="shared" si="6"/>
        <v>E0 REG I</v>
      </c>
    </row>
    <row r="174" spans="1:7">
      <c r="A174" s="4" t="str">
        <f t="shared" si="7"/>
        <v>011</v>
      </c>
      <c r="B174" s="4" t="str">
        <f t="shared" si="8"/>
        <v>29</v>
      </c>
      <c r="C174" s="5" t="s">
        <v>343</v>
      </c>
      <c r="E174" s="6" t="s">
        <v>288</v>
      </c>
      <c r="F174" s="7" t="s">
        <v>344</v>
      </c>
      <c r="G174" s="8" t="str">
        <f t="shared" si="6"/>
        <v>EO OFF T</v>
      </c>
    </row>
    <row r="175" spans="1:7">
      <c r="A175" s="4" t="str">
        <f t="shared" si="7"/>
        <v>011</v>
      </c>
      <c r="B175" s="4" t="str">
        <f t="shared" si="8"/>
        <v>31</v>
      </c>
      <c r="C175" s="5" t="s">
        <v>345</v>
      </c>
      <c r="E175" s="6" t="s">
        <v>288</v>
      </c>
      <c r="F175" s="7" t="s">
        <v>346</v>
      </c>
      <c r="G175" s="8" t="str">
        <f t="shared" si="6"/>
        <v>COMMISSI</v>
      </c>
    </row>
    <row r="176" spans="1:7">
      <c r="A176" s="4" t="str">
        <f t="shared" si="7"/>
        <v>011</v>
      </c>
      <c r="B176" s="4" t="str">
        <f t="shared" si="8"/>
        <v>32</v>
      </c>
      <c r="C176" s="5" t="s">
        <v>347</v>
      </c>
      <c r="E176" s="6" t="s">
        <v>288</v>
      </c>
      <c r="F176" s="7" t="s">
        <v>348</v>
      </c>
      <c r="G176" s="8" t="str">
        <f t="shared" si="6"/>
        <v>NATIONAL</v>
      </c>
    </row>
    <row r="177" spans="1:7">
      <c r="A177" s="4" t="str">
        <f t="shared" si="7"/>
        <v>011</v>
      </c>
      <c r="B177" s="4" t="str">
        <f t="shared" si="8"/>
        <v>33</v>
      </c>
      <c r="C177" s="5" t="s">
        <v>349</v>
      </c>
      <c r="E177" s="6" t="s">
        <v>288</v>
      </c>
      <c r="F177" s="7" t="s">
        <v>350</v>
      </c>
      <c r="G177" s="8" t="str">
        <f t="shared" si="6"/>
        <v>NATIONAL</v>
      </c>
    </row>
    <row r="178" spans="1:7">
      <c r="A178" s="4" t="str">
        <f t="shared" si="7"/>
        <v>011</v>
      </c>
      <c r="B178" s="4" t="str">
        <f t="shared" si="8"/>
        <v>34</v>
      </c>
      <c r="C178" s="5" t="s">
        <v>351</v>
      </c>
      <c r="E178" s="6" t="s">
        <v>288</v>
      </c>
      <c r="F178" s="7" t="s">
        <v>352</v>
      </c>
      <c r="G178" s="8" t="str">
        <f t="shared" si="6"/>
        <v>OFFCE OF</v>
      </c>
    </row>
    <row r="179" spans="1:7">
      <c r="A179" s="4" t="str">
        <f t="shared" si="7"/>
        <v>011</v>
      </c>
      <c r="B179" s="4" t="str">
        <f t="shared" si="8"/>
        <v>35</v>
      </c>
      <c r="C179" s="5" t="s">
        <v>353</v>
      </c>
      <c r="E179" s="6" t="s">
        <v>288</v>
      </c>
      <c r="F179" s="7" t="s">
        <v>354</v>
      </c>
      <c r="G179" s="8" t="str">
        <f t="shared" si="6"/>
        <v>EO MILLE</v>
      </c>
    </row>
    <row r="180" spans="1:7">
      <c r="A180" s="4" t="str">
        <f t="shared" si="7"/>
        <v>011</v>
      </c>
      <c r="B180" s="4" t="str">
        <f t="shared" si="8"/>
        <v>36</v>
      </c>
      <c r="C180" s="5" t="s">
        <v>355</v>
      </c>
      <c r="E180" s="6" t="s">
        <v>288</v>
      </c>
      <c r="F180" s="7" t="s">
        <v>356</v>
      </c>
      <c r="G180" s="8" t="str">
        <f t="shared" si="6"/>
        <v xml:space="preserve">EO WHTE </v>
      </c>
    </row>
    <row r="181" spans="1:7">
      <c r="A181" s="4" t="str">
        <f t="shared" si="7"/>
        <v>011</v>
      </c>
      <c r="B181" s="4" t="str">
        <f t="shared" si="8"/>
        <v>37</v>
      </c>
      <c r="C181" s="5" t="s">
        <v>357</v>
      </c>
      <c r="E181" s="6" t="s">
        <v>288</v>
      </c>
      <c r="F181" s="7" t="s">
        <v>358</v>
      </c>
      <c r="G181" s="8" t="str">
        <f t="shared" si="6"/>
        <v>EO WH CL</v>
      </c>
    </row>
    <row r="182" spans="1:7">
      <c r="A182" s="4" t="str">
        <f t="shared" si="7"/>
        <v>011</v>
      </c>
      <c r="B182" s="4" t="str">
        <f t="shared" si="8"/>
        <v>41</v>
      </c>
      <c r="C182" s="5" t="s">
        <v>359</v>
      </c>
      <c r="E182" s="6" t="s">
        <v>288</v>
      </c>
      <c r="F182" s="7" t="s">
        <v>360</v>
      </c>
      <c r="G182" s="8" t="str">
        <f t="shared" si="6"/>
        <v>OFFICE O</v>
      </c>
    </row>
    <row r="183" spans="1:7">
      <c r="A183" s="4" t="str">
        <f t="shared" si="7"/>
        <v>011</v>
      </c>
      <c r="B183" s="4" t="str">
        <f t="shared" si="8"/>
        <v>45</v>
      </c>
      <c r="C183" s="5" t="s">
        <v>361</v>
      </c>
      <c r="E183" s="6" t="s">
        <v>288</v>
      </c>
      <c r="F183" s="7" t="s">
        <v>362</v>
      </c>
      <c r="G183" s="8" t="str">
        <f t="shared" si="6"/>
        <v>OFC OF D</v>
      </c>
    </row>
    <row r="184" spans="1:7">
      <c r="A184" s="4" t="str">
        <f t="shared" si="7"/>
        <v>011</v>
      </c>
      <c r="B184" s="4" t="str">
        <f t="shared" si="8"/>
        <v>46</v>
      </c>
      <c r="C184" s="5" t="s">
        <v>363</v>
      </c>
      <c r="E184" s="6" t="s">
        <v>288</v>
      </c>
      <c r="F184" s="7" t="s">
        <v>364</v>
      </c>
      <c r="G184" s="8" t="str">
        <f t="shared" si="6"/>
        <v xml:space="preserve">COUNCIL </v>
      </c>
    </row>
    <row r="185" spans="1:7">
      <c r="A185" s="4" t="str">
        <f t="shared" si="7"/>
        <v>011</v>
      </c>
      <c r="B185" s="4" t="str">
        <f t="shared" si="8"/>
        <v>47</v>
      </c>
      <c r="C185" s="5" t="s">
        <v>365</v>
      </c>
      <c r="E185" s="6" t="s">
        <v>288</v>
      </c>
      <c r="F185" s="7" t="s">
        <v>366</v>
      </c>
      <c r="G185" s="8" t="str">
        <f t="shared" si="6"/>
        <v>OFFICE O</v>
      </c>
    </row>
    <row r="186" spans="1:7">
      <c r="A186" s="4" t="str">
        <f t="shared" si="7"/>
        <v>011</v>
      </c>
      <c r="B186" s="4" t="str">
        <f t="shared" si="8"/>
        <v>48</v>
      </c>
      <c r="C186" s="5" t="s">
        <v>367</v>
      </c>
      <c r="E186" s="6" t="s">
        <v>288</v>
      </c>
      <c r="F186" s="7" t="s">
        <v>368</v>
      </c>
      <c r="G186" s="8" t="str">
        <f t="shared" si="6"/>
        <v>U.S. TRA</v>
      </c>
    </row>
    <row r="187" spans="1:7">
      <c r="A187" s="4" t="str">
        <f t="shared" si="7"/>
        <v>011</v>
      </c>
      <c r="B187" s="4" t="str">
        <f t="shared" si="8"/>
        <v>50</v>
      </c>
      <c r="C187" s="5" t="s">
        <v>369</v>
      </c>
      <c r="E187" s="6" t="s">
        <v>288</v>
      </c>
      <c r="F187" s="7" t="s">
        <v>370</v>
      </c>
      <c r="G187" s="8" t="str">
        <f t="shared" si="6"/>
        <v>COM INTE</v>
      </c>
    </row>
    <row r="188" spans="1:7">
      <c r="A188" s="4" t="str">
        <f t="shared" si="7"/>
        <v>011</v>
      </c>
      <c r="B188" s="4" t="str">
        <f t="shared" si="8"/>
        <v>51</v>
      </c>
      <c r="C188" s="5" t="s">
        <v>371</v>
      </c>
      <c r="E188" s="6" t="s">
        <v>288</v>
      </c>
      <c r="F188" s="7" t="s">
        <v>372</v>
      </c>
      <c r="G188" s="8" t="str">
        <f t="shared" si="6"/>
        <v>INTERAGE</v>
      </c>
    </row>
    <row r="189" spans="1:7">
      <c r="A189" s="4" t="str">
        <f t="shared" si="7"/>
        <v>011</v>
      </c>
      <c r="B189" s="4" t="str">
        <f t="shared" si="8"/>
        <v>97</v>
      </c>
      <c r="C189" s="5" t="s">
        <v>373</v>
      </c>
      <c r="E189" s="6" t="s">
        <v>288</v>
      </c>
      <c r="F189" s="7" t="s">
        <v>102</v>
      </c>
      <c r="G189" s="8" t="str">
        <f t="shared" si="6"/>
        <v>GSA ADVA</v>
      </c>
    </row>
    <row r="190" spans="1:7">
      <c r="A190" s="4" t="str">
        <f t="shared" si="7"/>
        <v>011</v>
      </c>
      <c r="B190" s="4" t="str">
        <f t="shared" si="8"/>
        <v>99</v>
      </c>
      <c r="C190" s="5" t="s">
        <v>374</v>
      </c>
      <c r="E190" s="6" t="s">
        <v>288</v>
      </c>
      <c r="F190" s="7" t="s">
        <v>288</v>
      </c>
      <c r="G190" s="8" t="str">
        <f t="shared" si="6"/>
        <v>EXECUTIV</v>
      </c>
    </row>
    <row r="191" spans="1:7">
      <c r="A191" s="4" t="str">
        <f t="shared" si="7"/>
        <v>012</v>
      </c>
      <c r="B191" s="4" t="str">
        <f t="shared" si="8"/>
        <v>00</v>
      </c>
      <c r="C191" s="5" t="s">
        <v>375</v>
      </c>
      <c r="E191" s="6" t="s">
        <v>376</v>
      </c>
      <c r="F191" s="7" t="s">
        <v>376</v>
      </c>
      <c r="G191" s="8" t="str">
        <f t="shared" si="6"/>
        <v>DEPARTME</v>
      </c>
    </row>
    <row r="192" spans="1:7">
      <c r="A192" s="4" t="str">
        <f t="shared" si="7"/>
        <v>012</v>
      </c>
      <c r="B192" s="4" t="str">
        <f t="shared" si="8"/>
        <v>01</v>
      </c>
      <c r="C192" s="5" t="s">
        <v>377</v>
      </c>
      <c r="E192" s="6" t="s">
        <v>376</v>
      </c>
      <c r="F192" s="7" t="s">
        <v>378</v>
      </c>
      <c r="G192" s="8" t="str">
        <f t="shared" si="6"/>
        <v>FARM SER</v>
      </c>
    </row>
    <row r="193" spans="1:7">
      <c r="A193" s="4" t="str">
        <f t="shared" si="7"/>
        <v>012</v>
      </c>
      <c r="B193" s="4" t="str">
        <f t="shared" si="8"/>
        <v>02</v>
      </c>
      <c r="C193" s="5" t="s">
        <v>379</v>
      </c>
      <c r="E193" s="6" t="s">
        <v>376</v>
      </c>
      <c r="F193" s="7" t="s">
        <v>380</v>
      </c>
      <c r="G193" s="8" t="str">
        <f t="shared" si="6"/>
        <v>NATIONAL</v>
      </c>
    </row>
    <row r="194" spans="1:7">
      <c r="A194" s="4" t="str">
        <f t="shared" si="7"/>
        <v>012</v>
      </c>
      <c r="B194" s="4" t="str">
        <f t="shared" si="8"/>
        <v>03</v>
      </c>
      <c r="C194" s="5" t="s">
        <v>381</v>
      </c>
      <c r="E194" s="6" t="s">
        <v>376</v>
      </c>
      <c r="F194" s="7" t="s">
        <v>382</v>
      </c>
      <c r="G194" s="8" t="str">
        <f t="shared" ref="G194:G257" si="9">LEFT(F194,8)</f>
        <v>AGRICULT</v>
      </c>
    </row>
    <row r="195" spans="1:7">
      <c r="A195" s="4" t="str">
        <f t="shared" ref="A195:A258" si="10">LEFT(C195,3)</f>
        <v>012</v>
      </c>
      <c r="B195" s="4" t="str">
        <f t="shared" ref="B195:B258" si="11">RIGHT(C195,2)</f>
        <v>04</v>
      </c>
      <c r="C195" s="5" t="s">
        <v>383</v>
      </c>
      <c r="E195" s="6" t="s">
        <v>376</v>
      </c>
      <c r="F195" s="7" t="s">
        <v>384</v>
      </c>
      <c r="G195" s="8" t="str">
        <f t="shared" si="9"/>
        <v>USDA OFF</v>
      </c>
    </row>
    <row r="196" spans="1:7">
      <c r="A196" s="4" t="str">
        <f t="shared" si="10"/>
        <v>012</v>
      </c>
      <c r="B196" s="4" t="str">
        <f t="shared" si="11"/>
        <v>05</v>
      </c>
      <c r="C196" s="5" t="s">
        <v>385</v>
      </c>
      <c r="E196" s="6" t="s">
        <v>376</v>
      </c>
      <c r="F196" s="7" t="s">
        <v>386</v>
      </c>
      <c r="G196" s="8" t="str">
        <f t="shared" si="9"/>
        <v>AGRICULT</v>
      </c>
    </row>
    <row r="197" spans="1:7">
      <c r="A197" s="4" t="str">
        <f t="shared" si="10"/>
        <v>012</v>
      </c>
      <c r="B197" s="4" t="str">
        <f t="shared" si="11"/>
        <v>06</v>
      </c>
      <c r="C197" s="5" t="s">
        <v>387</v>
      </c>
      <c r="E197" s="6" t="s">
        <v>376</v>
      </c>
      <c r="F197" s="7" t="s">
        <v>388</v>
      </c>
      <c r="G197" s="8" t="str">
        <f t="shared" si="9"/>
        <v>OFFICE O</v>
      </c>
    </row>
    <row r="198" spans="1:7">
      <c r="A198" s="4" t="str">
        <f t="shared" si="10"/>
        <v>012</v>
      </c>
      <c r="B198" s="4" t="str">
        <f t="shared" si="11"/>
        <v>07</v>
      </c>
      <c r="C198" s="5" t="s">
        <v>389</v>
      </c>
      <c r="E198" s="6" t="s">
        <v>376</v>
      </c>
      <c r="F198" s="7" t="s">
        <v>390</v>
      </c>
      <c r="G198" s="8" t="str">
        <f t="shared" si="9"/>
        <v>RURAL DE</v>
      </c>
    </row>
    <row r="199" spans="1:7">
      <c r="A199" s="4" t="str">
        <f t="shared" si="10"/>
        <v>012</v>
      </c>
      <c r="B199" s="4" t="str">
        <f t="shared" si="11"/>
        <v>08</v>
      </c>
      <c r="C199" s="5" t="s">
        <v>391</v>
      </c>
      <c r="E199" s="6" t="s">
        <v>376</v>
      </c>
      <c r="F199" s="7" t="s">
        <v>392</v>
      </c>
      <c r="G199" s="8" t="str">
        <f t="shared" si="9"/>
        <v>AGRICULT</v>
      </c>
    </row>
    <row r="200" spans="1:7">
      <c r="A200" s="4" t="str">
        <f t="shared" si="10"/>
        <v>012</v>
      </c>
      <c r="B200" s="4" t="str">
        <f t="shared" si="11"/>
        <v>09</v>
      </c>
      <c r="C200" s="5" t="s">
        <v>393</v>
      </c>
      <c r="E200" s="6" t="s">
        <v>376</v>
      </c>
      <c r="F200" s="7" t="s">
        <v>394</v>
      </c>
      <c r="G200" s="8" t="str">
        <f t="shared" si="9"/>
        <v>AGRICULT</v>
      </c>
    </row>
    <row r="201" spans="1:7">
      <c r="A201" s="4" t="str">
        <f t="shared" si="10"/>
        <v>012</v>
      </c>
      <c r="B201" s="4" t="str">
        <f t="shared" si="11"/>
        <v>10</v>
      </c>
      <c r="C201" s="5" t="s">
        <v>395</v>
      </c>
      <c r="E201" s="6" t="s">
        <v>376</v>
      </c>
      <c r="F201" s="7" t="s">
        <v>396</v>
      </c>
      <c r="G201" s="8" t="str">
        <f t="shared" si="9"/>
        <v>NATIONAL</v>
      </c>
    </row>
    <row r="202" spans="1:7">
      <c r="A202" s="4" t="str">
        <f t="shared" si="10"/>
        <v>012</v>
      </c>
      <c r="B202" s="4" t="str">
        <f t="shared" si="11"/>
        <v>11</v>
      </c>
      <c r="C202" s="5" t="s">
        <v>397</v>
      </c>
      <c r="E202" s="6" t="s">
        <v>376</v>
      </c>
      <c r="F202" s="7" t="s">
        <v>398</v>
      </c>
      <c r="G202" s="8" t="str">
        <f t="shared" si="9"/>
        <v>OFFICE O</v>
      </c>
    </row>
    <row r="203" spans="1:7">
      <c r="A203" s="4" t="str">
        <f t="shared" si="10"/>
        <v>012</v>
      </c>
      <c r="B203" s="4" t="str">
        <f t="shared" si="11"/>
        <v>12</v>
      </c>
      <c r="C203" s="5" t="s">
        <v>399</v>
      </c>
      <c r="E203" s="6" t="s">
        <v>376</v>
      </c>
      <c r="F203" s="7" t="s">
        <v>400</v>
      </c>
      <c r="G203" s="8" t="str">
        <f t="shared" si="9"/>
        <v>USDA OMR</v>
      </c>
    </row>
    <row r="204" spans="1:7">
      <c r="A204" s="4" t="str">
        <f t="shared" si="10"/>
        <v>012</v>
      </c>
      <c r="B204" s="4" t="str">
        <f t="shared" si="11"/>
        <v>13</v>
      </c>
      <c r="C204" s="5" t="s">
        <v>401</v>
      </c>
      <c r="E204" s="6" t="s">
        <v>376</v>
      </c>
      <c r="F204" s="7" t="s">
        <v>402</v>
      </c>
      <c r="G204" s="8" t="str">
        <f t="shared" si="9"/>
        <v>AGRICULT</v>
      </c>
    </row>
    <row r="205" spans="1:7">
      <c r="A205" s="4" t="str">
        <f t="shared" si="10"/>
        <v>012</v>
      </c>
      <c r="B205" s="4" t="str">
        <f t="shared" si="11"/>
        <v>14</v>
      </c>
      <c r="C205" s="5" t="s">
        <v>403</v>
      </c>
      <c r="E205" s="6" t="s">
        <v>376</v>
      </c>
      <c r="F205" s="7" t="s">
        <v>404</v>
      </c>
      <c r="G205" s="8" t="str">
        <f t="shared" si="9"/>
        <v>OFFICE O</v>
      </c>
    </row>
    <row r="206" spans="1:7">
      <c r="A206" s="4" t="str">
        <f t="shared" si="10"/>
        <v>012</v>
      </c>
      <c r="B206" s="4" t="str">
        <f t="shared" si="11"/>
        <v>15</v>
      </c>
      <c r="C206" s="5" t="s">
        <v>405</v>
      </c>
      <c r="E206" s="6" t="s">
        <v>376</v>
      </c>
      <c r="F206" s="7" t="s">
        <v>406</v>
      </c>
      <c r="G206" s="8" t="str">
        <f t="shared" si="9"/>
        <v>RURAL HO</v>
      </c>
    </row>
    <row r="207" spans="1:7">
      <c r="A207" s="4" t="str">
        <f t="shared" si="10"/>
        <v>012</v>
      </c>
      <c r="B207" s="4" t="str">
        <f t="shared" si="11"/>
        <v>16</v>
      </c>
      <c r="C207" s="5" t="s">
        <v>407</v>
      </c>
      <c r="E207" s="6" t="s">
        <v>376</v>
      </c>
      <c r="F207" s="7" t="s">
        <v>408</v>
      </c>
      <c r="G207" s="8" t="str">
        <f t="shared" si="9"/>
        <v>AGRICULT</v>
      </c>
    </row>
    <row r="208" spans="1:7">
      <c r="A208" s="4" t="str">
        <f t="shared" si="10"/>
        <v>012</v>
      </c>
      <c r="B208" s="4" t="str">
        <f t="shared" si="11"/>
        <v>17</v>
      </c>
      <c r="C208" s="5" t="s">
        <v>409</v>
      </c>
      <c r="E208" s="6" t="s">
        <v>376</v>
      </c>
      <c r="F208" s="7" t="s">
        <v>410</v>
      </c>
      <c r="G208" s="8" t="str">
        <f t="shared" si="9"/>
        <v>DEPT AGR</v>
      </c>
    </row>
    <row r="209" spans="1:7">
      <c r="A209" s="4" t="str">
        <f t="shared" si="10"/>
        <v>012</v>
      </c>
      <c r="B209" s="4" t="str">
        <f t="shared" si="11"/>
        <v>18</v>
      </c>
      <c r="C209" s="5" t="s">
        <v>411</v>
      </c>
      <c r="E209" s="6" t="s">
        <v>376</v>
      </c>
      <c r="F209" s="7" t="s">
        <v>412</v>
      </c>
      <c r="G209" s="8" t="str">
        <f t="shared" si="9"/>
        <v>AGRIC/AG</v>
      </c>
    </row>
    <row r="210" spans="1:7">
      <c r="A210" s="4" t="str">
        <f t="shared" si="10"/>
        <v>012</v>
      </c>
      <c r="B210" s="4" t="str">
        <f t="shared" si="11"/>
        <v>19</v>
      </c>
      <c r="C210" s="5" t="s">
        <v>413</v>
      </c>
      <c r="E210" s="6" t="s">
        <v>376</v>
      </c>
      <c r="F210" s="7" t="s">
        <v>414</v>
      </c>
      <c r="G210" s="8" t="str">
        <f t="shared" si="9"/>
        <v>USDA ES</v>
      </c>
    </row>
    <row r="211" spans="1:7">
      <c r="A211" s="4" t="str">
        <f t="shared" si="10"/>
        <v>012</v>
      </c>
      <c r="B211" s="4" t="str">
        <f t="shared" si="11"/>
        <v>20</v>
      </c>
      <c r="C211" s="5" t="s">
        <v>415</v>
      </c>
      <c r="E211" s="6" t="s">
        <v>376</v>
      </c>
      <c r="F211" s="7" t="s">
        <v>416</v>
      </c>
      <c r="G211" s="8" t="str">
        <f t="shared" si="9"/>
        <v>USDA OE</v>
      </c>
    </row>
    <row r="212" spans="1:7">
      <c r="A212" s="4" t="str">
        <f t="shared" si="10"/>
        <v>012</v>
      </c>
      <c r="B212" s="4" t="str">
        <f t="shared" si="11"/>
        <v>21</v>
      </c>
      <c r="C212" s="5" t="s">
        <v>417</v>
      </c>
      <c r="E212" s="6" t="s">
        <v>376</v>
      </c>
      <c r="F212" s="7" t="s">
        <v>418</v>
      </c>
      <c r="G212" s="8" t="str">
        <f t="shared" si="9"/>
        <v xml:space="preserve">FOREIGN </v>
      </c>
    </row>
    <row r="213" spans="1:7">
      <c r="A213" s="4" t="str">
        <f t="shared" si="10"/>
        <v>012</v>
      </c>
      <c r="B213" s="4" t="str">
        <f t="shared" si="11"/>
        <v>22</v>
      </c>
      <c r="C213" s="5" t="s">
        <v>419</v>
      </c>
      <c r="E213" s="6" t="s">
        <v>376</v>
      </c>
      <c r="F213" s="7" t="s">
        <v>420</v>
      </c>
      <c r="G213" s="8" t="str">
        <f t="shared" si="9"/>
        <v>USDA OCI</v>
      </c>
    </row>
    <row r="214" spans="1:7">
      <c r="A214" s="4" t="str">
        <f t="shared" si="10"/>
        <v>012</v>
      </c>
      <c r="B214" s="4" t="str">
        <f t="shared" si="11"/>
        <v>23</v>
      </c>
      <c r="C214" s="5" t="s">
        <v>421</v>
      </c>
      <c r="E214" s="6" t="s">
        <v>376</v>
      </c>
      <c r="F214" s="7" t="s">
        <v>422</v>
      </c>
      <c r="G214" s="8" t="str">
        <f t="shared" si="9"/>
        <v>FOREST S</v>
      </c>
    </row>
    <row r="215" spans="1:7">
      <c r="A215" s="4" t="str">
        <f t="shared" si="10"/>
        <v>012</v>
      </c>
      <c r="B215" s="4" t="str">
        <f t="shared" si="11"/>
        <v>24</v>
      </c>
      <c r="C215" s="5" t="s">
        <v>423</v>
      </c>
      <c r="E215" s="6" t="s">
        <v>376</v>
      </c>
      <c r="F215" s="7" t="s">
        <v>424</v>
      </c>
      <c r="G215" s="8" t="str">
        <f t="shared" si="9"/>
        <v>USDA WF&amp;</v>
      </c>
    </row>
    <row r="216" spans="1:7">
      <c r="A216" s="4" t="str">
        <f t="shared" si="10"/>
        <v>012</v>
      </c>
      <c r="B216" s="4" t="str">
        <f t="shared" si="11"/>
        <v>25</v>
      </c>
      <c r="C216" s="5" t="s">
        <v>425</v>
      </c>
      <c r="E216" s="6" t="s">
        <v>376</v>
      </c>
      <c r="F216" s="7" t="s">
        <v>426</v>
      </c>
      <c r="G216" s="8" t="str">
        <f t="shared" si="9"/>
        <v>OFFICE O</v>
      </c>
    </row>
    <row r="217" spans="1:7">
      <c r="A217" s="4" t="str">
        <f t="shared" si="10"/>
        <v>012</v>
      </c>
      <c r="B217" s="4" t="str">
        <f t="shared" si="11"/>
        <v>26</v>
      </c>
      <c r="C217" s="5" t="s">
        <v>427</v>
      </c>
      <c r="E217" s="6" t="s">
        <v>376</v>
      </c>
      <c r="F217" s="7" t="s">
        <v>428</v>
      </c>
      <c r="G217" s="8" t="str">
        <f t="shared" si="9"/>
        <v xml:space="preserve">FEDERAL </v>
      </c>
    </row>
    <row r="218" spans="1:7">
      <c r="A218" s="4" t="str">
        <f t="shared" si="10"/>
        <v>012</v>
      </c>
      <c r="B218" s="4" t="str">
        <f t="shared" si="11"/>
        <v>27</v>
      </c>
      <c r="C218" s="5" t="s">
        <v>429</v>
      </c>
      <c r="E218" s="6" t="s">
        <v>376</v>
      </c>
      <c r="F218" s="7" t="s">
        <v>430</v>
      </c>
      <c r="G218" s="8" t="str">
        <f t="shared" si="9"/>
        <v>OFFICE O</v>
      </c>
    </row>
    <row r="219" spans="1:7">
      <c r="A219" s="4" t="str">
        <f t="shared" si="10"/>
        <v>012</v>
      </c>
      <c r="B219" s="4" t="str">
        <f t="shared" si="11"/>
        <v>28</v>
      </c>
      <c r="C219" s="5" t="s">
        <v>431</v>
      </c>
      <c r="E219" s="6" t="s">
        <v>376</v>
      </c>
      <c r="F219" s="7" t="s">
        <v>432</v>
      </c>
      <c r="G219" s="8" t="str">
        <f t="shared" si="9"/>
        <v>USDA P&amp;S</v>
      </c>
    </row>
    <row r="220" spans="1:7">
      <c r="A220" s="4" t="str">
        <f t="shared" si="10"/>
        <v>012</v>
      </c>
      <c r="B220" s="4" t="str">
        <f t="shared" si="11"/>
        <v>29</v>
      </c>
      <c r="C220" s="5" t="s">
        <v>433</v>
      </c>
      <c r="E220" s="6" t="s">
        <v>376</v>
      </c>
      <c r="F220" s="7" t="s">
        <v>434</v>
      </c>
      <c r="G220" s="8" t="str">
        <f t="shared" si="9"/>
        <v>AGRI. CO</v>
      </c>
    </row>
    <row r="221" spans="1:7">
      <c r="A221" s="4" t="str">
        <f t="shared" si="10"/>
        <v>012</v>
      </c>
      <c r="B221" s="4" t="str">
        <f t="shared" si="11"/>
        <v>30</v>
      </c>
      <c r="C221" s="5" t="s">
        <v>435</v>
      </c>
      <c r="E221" s="6" t="s">
        <v>376</v>
      </c>
      <c r="F221" s="7" t="s">
        <v>436</v>
      </c>
      <c r="G221" s="8" t="str">
        <f t="shared" si="9"/>
        <v>FOOD AND</v>
      </c>
    </row>
    <row r="222" spans="1:7">
      <c r="A222" s="4" t="str">
        <f t="shared" si="10"/>
        <v>012</v>
      </c>
      <c r="B222" s="4" t="str">
        <f t="shared" si="11"/>
        <v>31</v>
      </c>
      <c r="C222" s="5" t="s">
        <v>437</v>
      </c>
      <c r="E222" s="6" t="s">
        <v>376</v>
      </c>
      <c r="F222" s="7" t="s">
        <v>438</v>
      </c>
      <c r="G222" s="8" t="str">
        <f t="shared" si="9"/>
        <v>RURAL UT</v>
      </c>
    </row>
    <row r="223" spans="1:7">
      <c r="A223" s="4" t="str">
        <f t="shared" si="10"/>
        <v>012</v>
      </c>
      <c r="B223" s="4" t="str">
        <f t="shared" si="11"/>
        <v>32</v>
      </c>
      <c r="C223" s="5" t="s">
        <v>439</v>
      </c>
      <c r="E223" s="6" t="s">
        <v>376</v>
      </c>
      <c r="F223" s="7" t="s">
        <v>440</v>
      </c>
      <c r="G223" s="8" t="str">
        <f t="shared" si="9"/>
        <v>OFFICE O</v>
      </c>
    </row>
    <row r="224" spans="1:7">
      <c r="A224" s="4" t="str">
        <f t="shared" si="10"/>
        <v>012</v>
      </c>
      <c r="B224" s="4" t="str">
        <f t="shared" si="11"/>
        <v>33</v>
      </c>
      <c r="C224" s="5" t="s">
        <v>441</v>
      </c>
      <c r="E224" s="6" t="s">
        <v>376</v>
      </c>
      <c r="F224" s="7" t="s">
        <v>442</v>
      </c>
      <c r="G224" s="8" t="str">
        <f t="shared" si="9"/>
        <v>OFFICE O</v>
      </c>
    </row>
    <row r="225" spans="1:7">
      <c r="A225" s="4" t="str">
        <f t="shared" si="10"/>
        <v>012</v>
      </c>
      <c r="B225" s="4" t="str">
        <f t="shared" si="11"/>
        <v>34</v>
      </c>
      <c r="C225" s="5" t="s">
        <v>443</v>
      </c>
      <c r="E225" s="6" t="s">
        <v>376</v>
      </c>
      <c r="F225" s="7" t="s">
        <v>444</v>
      </c>
      <c r="G225" s="8" t="str">
        <f t="shared" si="9"/>
        <v>ANIMAL A</v>
      </c>
    </row>
    <row r="226" spans="1:7">
      <c r="A226" s="4" t="str">
        <f t="shared" si="10"/>
        <v>012</v>
      </c>
      <c r="B226" s="4" t="str">
        <f t="shared" si="11"/>
        <v>35</v>
      </c>
      <c r="C226" s="5" t="s">
        <v>445</v>
      </c>
      <c r="E226" s="6" t="s">
        <v>376</v>
      </c>
      <c r="F226" s="7" t="s">
        <v>446</v>
      </c>
      <c r="G226" s="8" t="str">
        <f t="shared" si="9"/>
        <v xml:space="preserve">NATURAL </v>
      </c>
    </row>
    <row r="227" spans="1:7">
      <c r="A227" s="4" t="str">
        <f t="shared" si="10"/>
        <v>012</v>
      </c>
      <c r="B227" s="4" t="str">
        <f t="shared" si="11"/>
        <v>36</v>
      </c>
      <c r="C227" s="5" t="s">
        <v>447</v>
      </c>
      <c r="E227" s="6" t="s">
        <v>376</v>
      </c>
      <c r="F227" s="7" t="s">
        <v>448</v>
      </c>
      <c r="G227" s="8" t="str">
        <f t="shared" si="9"/>
        <v>GRAIN IN</v>
      </c>
    </row>
    <row r="228" spans="1:7">
      <c r="A228" s="4" t="str">
        <f t="shared" si="10"/>
        <v>012</v>
      </c>
      <c r="B228" s="4" t="str">
        <f t="shared" si="11"/>
        <v>37</v>
      </c>
      <c r="C228" s="5" t="s">
        <v>449</v>
      </c>
      <c r="E228" s="6" t="s">
        <v>376</v>
      </c>
      <c r="F228" s="7" t="s">
        <v>450</v>
      </c>
      <c r="G228" s="8" t="str">
        <f t="shared" si="9"/>
        <v>FOOD SAF</v>
      </c>
    </row>
    <row r="229" spans="1:7">
      <c r="A229" s="4" t="str">
        <f t="shared" si="10"/>
        <v>012</v>
      </c>
      <c r="B229" s="4" t="str">
        <f t="shared" si="11"/>
        <v>38</v>
      </c>
      <c r="C229" s="5" t="s">
        <v>451</v>
      </c>
      <c r="E229" s="6" t="s">
        <v>376</v>
      </c>
      <c r="F229" s="7" t="s">
        <v>452</v>
      </c>
      <c r="G229" s="8" t="str">
        <f t="shared" si="9"/>
        <v>OFFICE O</v>
      </c>
    </row>
    <row r="230" spans="1:7">
      <c r="A230" s="4" t="str">
        <f t="shared" si="10"/>
        <v>012</v>
      </c>
      <c r="B230" s="4" t="str">
        <f t="shared" si="11"/>
        <v>39</v>
      </c>
      <c r="C230" s="5" t="s">
        <v>453</v>
      </c>
      <c r="E230" s="6" t="s">
        <v>376</v>
      </c>
      <c r="F230" s="7" t="s">
        <v>454</v>
      </c>
      <c r="G230" s="8" t="str">
        <f t="shared" si="9"/>
        <v>OFFICE O</v>
      </c>
    </row>
    <row r="231" spans="1:7">
      <c r="A231" s="4" t="str">
        <f t="shared" si="10"/>
        <v>012</v>
      </c>
      <c r="B231" s="4" t="str">
        <f t="shared" si="11"/>
        <v>40</v>
      </c>
      <c r="C231" s="5" t="s">
        <v>455</v>
      </c>
      <c r="E231" s="6" t="s">
        <v>376</v>
      </c>
      <c r="F231" s="7" t="s">
        <v>456</v>
      </c>
      <c r="G231" s="8" t="str">
        <f t="shared" si="9"/>
        <v>CIVIL RI</v>
      </c>
    </row>
    <row r="232" spans="1:7">
      <c r="A232" s="4" t="str">
        <f t="shared" si="10"/>
        <v>012</v>
      </c>
      <c r="B232" s="4" t="str">
        <f t="shared" si="11"/>
        <v>41</v>
      </c>
      <c r="C232" s="5" t="s">
        <v>457</v>
      </c>
      <c r="E232" s="6" t="s">
        <v>376</v>
      </c>
      <c r="F232" s="7" t="s">
        <v>458</v>
      </c>
      <c r="G232" s="8" t="str">
        <f t="shared" si="9"/>
        <v>OFFICE O</v>
      </c>
    </row>
    <row r="233" spans="1:7">
      <c r="A233" s="4" t="str">
        <f t="shared" si="10"/>
        <v>012</v>
      </c>
      <c r="B233" s="4" t="str">
        <f t="shared" si="11"/>
        <v>42</v>
      </c>
      <c r="C233" s="5" t="s">
        <v>459</v>
      </c>
      <c r="E233" s="6" t="s">
        <v>376</v>
      </c>
      <c r="F233" s="7" t="s">
        <v>460</v>
      </c>
      <c r="G233" s="8" t="str">
        <f t="shared" si="9"/>
        <v>HUMAN RE</v>
      </c>
    </row>
    <row r="234" spans="1:7">
      <c r="A234" s="4" t="str">
        <f t="shared" si="10"/>
        <v>012</v>
      </c>
      <c r="B234" s="4" t="str">
        <f t="shared" si="11"/>
        <v>43</v>
      </c>
      <c r="C234" s="5" t="s">
        <v>461</v>
      </c>
      <c r="E234" s="6" t="s">
        <v>376</v>
      </c>
      <c r="F234" s="7" t="s">
        <v>462</v>
      </c>
      <c r="G234" s="8" t="str">
        <f t="shared" si="9"/>
        <v>USDA EAS</v>
      </c>
    </row>
    <row r="235" spans="1:7">
      <c r="A235" s="4" t="str">
        <f t="shared" si="10"/>
        <v>012</v>
      </c>
      <c r="B235" s="4" t="str">
        <f t="shared" si="11"/>
        <v>44</v>
      </c>
      <c r="C235" s="5" t="s">
        <v>463</v>
      </c>
      <c r="E235" s="6" t="s">
        <v>376</v>
      </c>
      <c r="F235" s="7" t="s">
        <v>464</v>
      </c>
      <c r="G235" s="8" t="str">
        <f t="shared" si="9"/>
        <v>OFFICE O</v>
      </c>
    </row>
    <row r="236" spans="1:7">
      <c r="A236" s="4" t="str">
        <f t="shared" si="10"/>
        <v>012</v>
      </c>
      <c r="B236" s="4" t="str">
        <f t="shared" si="11"/>
        <v>45</v>
      </c>
      <c r="C236" s="5" t="s">
        <v>465</v>
      </c>
      <c r="E236" s="6" t="s">
        <v>376</v>
      </c>
      <c r="F236" s="7" t="s">
        <v>466</v>
      </c>
      <c r="G236" s="8" t="str">
        <f t="shared" si="9"/>
        <v>USDA OIC</v>
      </c>
    </row>
    <row r="237" spans="1:7">
      <c r="A237" s="4" t="str">
        <f t="shared" si="10"/>
        <v>012</v>
      </c>
      <c r="B237" s="4" t="str">
        <f t="shared" si="11"/>
        <v>46</v>
      </c>
      <c r="C237" s="5" t="s">
        <v>467</v>
      </c>
      <c r="E237" s="6" t="s">
        <v>376</v>
      </c>
      <c r="F237" s="7" t="s">
        <v>468</v>
      </c>
      <c r="G237" s="8" t="str">
        <f t="shared" si="9"/>
        <v>EXTERNAL</v>
      </c>
    </row>
    <row r="238" spans="1:7">
      <c r="A238" s="4" t="str">
        <f t="shared" si="10"/>
        <v>012</v>
      </c>
      <c r="B238" s="4" t="str">
        <f t="shared" si="11"/>
        <v>47</v>
      </c>
      <c r="C238" s="5" t="s">
        <v>469</v>
      </c>
      <c r="E238" s="6" t="s">
        <v>376</v>
      </c>
      <c r="F238" s="7" t="s">
        <v>470</v>
      </c>
      <c r="G238" s="8" t="str">
        <f t="shared" si="9"/>
        <v>OFFICE O</v>
      </c>
    </row>
    <row r="239" spans="1:7">
      <c r="A239" s="4" t="str">
        <f t="shared" si="10"/>
        <v>012</v>
      </c>
      <c r="B239" s="4" t="str">
        <f t="shared" si="11"/>
        <v>48</v>
      </c>
      <c r="C239" s="5" t="s">
        <v>471</v>
      </c>
      <c r="E239" s="6" t="s">
        <v>376</v>
      </c>
      <c r="F239" s="7" t="s">
        <v>472</v>
      </c>
      <c r="G239" s="8" t="str">
        <f t="shared" si="9"/>
        <v>USDA HNI</v>
      </c>
    </row>
    <row r="240" spans="1:7">
      <c r="A240" s="4" t="str">
        <f t="shared" si="10"/>
        <v>012</v>
      </c>
      <c r="B240" s="4" t="str">
        <f t="shared" si="11"/>
        <v>49</v>
      </c>
      <c r="C240" s="5" t="s">
        <v>473</v>
      </c>
      <c r="E240" s="6" t="s">
        <v>376</v>
      </c>
      <c r="F240" s="7" t="s">
        <v>474</v>
      </c>
      <c r="G240" s="8" t="str">
        <f t="shared" si="9"/>
        <v>ECONOMIC</v>
      </c>
    </row>
    <row r="241" spans="1:7">
      <c r="A241" s="4" t="str">
        <f t="shared" si="10"/>
        <v>012</v>
      </c>
      <c r="B241" s="4" t="str">
        <f t="shared" si="11"/>
        <v>50</v>
      </c>
      <c r="C241" s="5" t="s">
        <v>475</v>
      </c>
      <c r="E241" s="6" t="s">
        <v>376</v>
      </c>
      <c r="F241" s="7" t="s">
        <v>476</v>
      </c>
      <c r="G241" s="8" t="str">
        <f t="shared" si="9"/>
        <v>AMS CONT</v>
      </c>
    </row>
    <row r="242" spans="1:7">
      <c r="A242" s="4" t="str">
        <f t="shared" si="10"/>
        <v>012</v>
      </c>
      <c r="B242" s="4" t="str">
        <f t="shared" si="11"/>
        <v>51</v>
      </c>
      <c r="C242" s="5" t="s">
        <v>477</v>
      </c>
      <c r="E242" s="6" t="s">
        <v>376</v>
      </c>
      <c r="F242" s="7" t="s">
        <v>478</v>
      </c>
      <c r="G242" s="8" t="str">
        <f t="shared" si="9"/>
        <v>ORGANIZA</v>
      </c>
    </row>
    <row r="243" spans="1:7">
      <c r="A243" s="4" t="str">
        <f t="shared" si="10"/>
        <v>012</v>
      </c>
      <c r="B243" s="4" t="str">
        <f t="shared" si="11"/>
        <v>52</v>
      </c>
      <c r="C243" s="5" t="s">
        <v>479</v>
      </c>
      <c r="E243" s="6" t="s">
        <v>376</v>
      </c>
      <c r="F243" s="7" t="s">
        <v>480</v>
      </c>
      <c r="G243" s="8" t="str">
        <f t="shared" si="9"/>
        <v>USDA GRA</v>
      </c>
    </row>
    <row r="244" spans="1:7">
      <c r="A244" s="4" t="str">
        <f t="shared" si="10"/>
        <v>012</v>
      </c>
      <c r="B244" s="4" t="str">
        <f t="shared" si="11"/>
        <v>53</v>
      </c>
      <c r="C244" s="5" t="s">
        <v>481</v>
      </c>
      <c r="E244" s="6" t="s">
        <v>376</v>
      </c>
      <c r="F244" s="7" t="s">
        <v>482</v>
      </c>
      <c r="G244" s="8" t="str">
        <f t="shared" si="9"/>
        <v>INTERNAT</v>
      </c>
    </row>
    <row r="245" spans="1:7">
      <c r="A245" s="4" t="str">
        <f t="shared" si="10"/>
        <v>012</v>
      </c>
      <c r="B245" s="4" t="str">
        <f t="shared" si="11"/>
        <v>54</v>
      </c>
      <c r="C245" s="5" t="s">
        <v>483</v>
      </c>
      <c r="E245" s="6" t="s">
        <v>376</v>
      </c>
      <c r="F245" s="7" t="s">
        <v>484</v>
      </c>
      <c r="G245" s="8" t="str">
        <f t="shared" si="9"/>
        <v>USDA OGP</v>
      </c>
    </row>
    <row r="246" spans="1:7">
      <c r="A246" s="4" t="str">
        <f t="shared" si="10"/>
        <v>012</v>
      </c>
      <c r="B246" s="4" t="str">
        <f t="shared" si="11"/>
        <v>55</v>
      </c>
      <c r="C246" s="5" t="s">
        <v>485</v>
      </c>
      <c r="E246" s="6" t="s">
        <v>376</v>
      </c>
      <c r="F246" s="7" t="s">
        <v>486</v>
      </c>
      <c r="G246" s="8" t="str">
        <f t="shared" si="9"/>
        <v>OFFICE O</v>
      </c>
    </row>
    <row r="247" spans="1:7">
      <c r="A247" s="4" t="str">
        <f t="shared" si="10"/>
        <v>012</v>
      </c>
      <c r="B247" s="4" t="str">
        <f t="shared" si="11"/>
        <v>56</v>
      </c>
      <c r="C247" s="5" t="s">
        <v>487</v>
      </c>
      <c r="E247" s="6" t="s">
        <v>376</v>
      </c>
      <c r="F247" s="7" t="s">
        <v>488</v>
      </c>
      <c r="G247" s="8" t="str">
        <f t="shared" si="9"/>
        <v>NATIONAL</v>
      </c>
    </row>
    <row r="248" spans="1:7">
      <c r="A248" s="4" t="str">
        <f t="shared" si="10"/>
        <v>012</v>
      </c>
      <c r="B248" s="4" t="str">
        <f t="shared" si="11"/>
        <v>57</v>
      </c>
      <c r="C248" s="5" t="s">
        <v>489</v>
      </c>
      <c r="E248" s="6" t="s">
        <v>376</v>
      </c>
      <c r="F248" s="7" t="s">
        <v>490</v>
      </c>
      <c r="G248" s="8" t="str">
        <f t="shared" si="9"/>
        <v>OFFICE O</v>
      </c>
    </row>
    <row r="249" spans="1:7">
      <c r="A249" s="4" t="str">
        <f t="shared" si="10"/>
        <v>012</v>
      </c>
      <c r="B249" s="4" t="str">
        <f t="shared" si="11"/>
        <v>58</v>
      </c>
      <c r="C249" s="5" t="s">
        <v>491</v>
      </c>
      <c r="E249" s="6" t="s">
        <v>376</v>
      </c>
      <c r="F249" s="7" t="s">
        <v>492</v>
      </c>
      <c r="G249" s="8" t="str">
        <f t="shared" si="9"/>
        <v>BOARD OF</v>
      </c>
    </row>
    <row r="250" spans="1:7">
      <c r="A250" s="4" t="str">
        <f t="shared" si="10"/>
        <v>012</v>
      </c>
      <c r="B250" s="4" t="str">
        <f t="shared" si="11"/>
        <v>59</v>
      </c>
      <c r="C250" s="5" t="s">
        <v>493</v>
      </c>
      <c r="E250" s="6" t="s">
        <v>376</v>
      </c>
      <c r="F250" s="7" t="s">
        <v>494</v>
      </c>
      <c r="G250" s="8" t="str">
        <f t="shared" si="9"/>
        <v>USDA VAC</v>
      </c>
    </row>
    <row r="251" spans="1:7">
      <c r="A251" s="4" t="str">
        <f t="shared" si="10"/>
        <v>012</v>
      </c>
      <c r="B251" s="4" t="str">
        <f t="shared" si="11"/>
        <v>60</v>
      </c>
      <c r="C251" s="5" t="s">
        <v>495</v>
      </c>
      <c r="E251" s="6" t="s">
        <v>376</v>
      </c>
      <c r="F251" s="7" t="s">
        <v>496</v>
      </c>
      <c r="G251" s="8" t="str">
        <f t="shared" si="9"/>
        <v>OFFICE O</v>
      </c>
    </row>
    <row r="252" spans="1:7">
      <c r="A252" s="4" t="str">
        <f t="shared" si="10"/>
        <v>012</v>
      </c>
      <c r="B252" s="4" t="str">
        <f t="shared" si="11"/>
        <v>61</v>
      </c>
      <c r="C252" s="5" t="s">
        <v>497</v>
      </c>
      <c r="E252" s="6" t="s">
        <v>376</v>
      </c>
      <c r="F252" s="7" t="s">
        <v>498</v>
      </c>
      <c r="G252" s="8" t="str">
        <f t="shared" si="9"/>
        <v>OFFICE O</v>
      </c>
    </row>
    <row r="253" spans="1:7">
      <c r="A253" s="4" t="str">
        <f t="shared" si="10"/>
        <v>012</v>
      </c>
      <c r="B253" s="4" t="str">
        <f t="shared" si="11"/>
        <v>62</v>
      </c>
      <c r="C253" s="5" t="s">
        <v>499</v>
      </c>
      <c r="E253" s="6" t="s">
        <v>376</v>
      </c>
      <c r="F253" s="7" t="s">
        <v>500</v>
      </c>
      <c r="G253" s="8" t="str">
        <f t="shared" si="9"/>
        <v>USDA, NA</v>
      </c>
    </row>
    <row r="254" spans="1:7">
      <c r="A254" s="4" t="str">
        <f t="shared" si="10"/>
        <v>012</v>
      </c>
      <c r="B254" s="4" t="str">
        <f t="shared" si="11"/>
        <v>63</v>
      </c>
      <c r="C254" s="5" t="s">
        <v>501</v>
      </c>
      <c r="E254" s="6" t="s">
        <v>376</v>
      </c>
      <c r="F254" s="7" t="s">
        <v>502</v>
      </c>
      <c r="G254" s="8" t="str">
        <f t="shared" si="9"/>
        <v>USDA OFF</v>
      </c>
    </row>
    <row r="255" spans="1:7">
      <c r="A255" s="4" t="str">
        <f t="shared" si="10"/>
        <v>012</v>
      </c>
      <c r="B255" s="4" t="str">
        <f t="shared" si="11"/>
        <v>64</v>
      </c>
      <c r="C255" s="5" t="s">
        <v>503</v>
      </c>
      <c r="E255" s="6" t="s">
        <v>376</v>
      </c>
      <c r="F255" s="7" t="s">
        <v>504</v>
      </c>
      <c r="G255" s="8" t="str">
        <f t="shared" si="9"/>
        <v>USDA OFF</v>
      </c>
    </row>
    <row r="256" spans="1:7">
      <c r="A256" s="4" t="str">
        <f t="shared" si="10"/>
        <v>012</v>
      </c>
      <c r="B256" s="4" t="str">
        <f t="shared" si="11"/>
        <v>89</v>
      </c>
      <c r="C256" s="5" t="s">
        <v>505</v>
      </c>
      <c r="E256" s="6" t="s">
        <v>376</v>
      </c>
      <c r="F256" s="7" t="s">
        <v>506</v>
      </c>
      <c r="G256" s="8" t="str">
        <f t="shared" si="9"/>
        <v xml:space="preserve">DEPT OF </v>
      </c>
    </row>
    <row r="257" spans="1:7">
      <c r="A257" s="4" t="str">
        <f t="shared" si="10"/>
        <v>012</v>
      </c>
      <c r="B257" s="4" t="str">
        <f t="shared" si="11"/>
        <v>90</v>
      </c>
      <c r="C257" s="5" t="s">
        <v>507</v>
      </c>
      <c r="E257" s="6" t="s">
        <v>376</v>
      </c>
      <c r="F257" s="7" t="s">
        <v>508</v>
      </c>
      <c r="G257" s="8" t="str">
        <f t="shared" si="9"/>
        <v>STATE CO</v>
      </c>
    </row>
    <row r="258" spans="1:7">
      <c r="A258" s="4" t="str">
        <f t="shared" si="10"/>
        <v>012</v>
      </c>
      <c r="B258" s="4" t="str">
        <f t="shared" si="11"/>
        <v>91</v>
      </c>
      <c r="C258" s="5" t="s">
        <v>509</v>
      </c>
      <c r="E258" s="6" t="s">
        <v>376</v>
      </c>
      <c r="F258" s="7" t="s">
        <v>510</v>
      </c>
      <c r="G258" s="8" t="str">
        <f t="shared" ref="G258:G321" si="12">LEFT(F258,8)</f>
        <v>STATE FO</v>
      </c>
    </row>
    <row r="259" spans="1:7">
      <c r="A259" s="4" t="str">
        <f t="shared" ref="A259:A322" si="13">LEFT(C259,3)</f>
        <v>012</v>
      </c>
      <c r="B259" s="4" t="str">
        <f t="shared" ref="B259:B322" si="14">RIGHT(C259,2)</f>
        <v>92</v>
      </c>
      <c r="C259" s="5" t="s">
        <v>511</v>
      </c>
      <c r="E259" s="6" t="s">
        <v>376</v>
      </c>
      <c r="F259" s="7" t="s">
        <v>512</v>
      </c>
      <c r="G259" s="8" t="str">
        <f t="shared" si="12"/>
        <v>STATE EX</v>
      </c>
    </row>
    <row r="260" spans="1:7">
      <c r="A260" s="4" t="str">
        <f t="shared" si="13"/>
        <v>012</v>
      </c>
      <c r="B260" s="4" t="str">
        <f t="shared" si="14"/>
        <v>93</v>
      </c>
      <c r="C260" s="5" t="s">
        <v>513</v>
      </c>
      <c r="E260" s="6" t="s">
        <v>376</v>
      </c>
      <c r="F260" s="7" t="s">
        <v>514</v>
      </c>
      <c r="G260" s="8" t="str">
        <f t="shared" si="12"/>
        <v>FRAM SER</v>
      </c>
    </row>
    <row r="261" spans="1:7">
      <c r="A261" s="4" t="str">
        <f t="shared" si="13"/>
        <v>012</v>
      </c>
      <c r="B261" s="4" t="str">
        <f t="shared" si="14"/>
        <v>94</v>
      </c>
      <c r="C261" s="5" t="s">
        <v>515</v>
      </c>
      <c r="E261" s="6" t="s">
        <v>376</v>
      </c>
      <c r="F261" s="7" t="s">
        <v>516</v>
      </c>
      <c r="G261" s="8" t="str">
        <f t="shared" si="12"/>
        <v>DHHS,MIL</v>
      </c>
    </row>
    <row r="262" spans="1:7">
      <c r="A262" s="4" t="str">
        <f t="shared" si="13"/>
        <v>012</v>
      </c>
      <c r="B262" s="4" t="str">
        <f t="shared" si="14"/>
        <v>97</v>
      </c>
      <c r="C262" s="5" t="s">
        <v>517</v>
      </c>
      <c r="E262" s="6" t="s">
        <v>376</v>
      </c>
      <c r="F262" s="7" t="s">
        <v>102</v>
      </c>
      <c r="G262" s="8" t="str">
        <f t="shared" si="12"/>
        <v>GSA ADVA</v>
      </c>
    </row>
    <row r="263" spans="1:7">
      <c r="A263" s="4" t="str">
        <f t="shared" si="13"/>
        <v>012</v>
      </c>
      <c r="B263" s="4" t="str">
        <f t="shared" si="14"/>
        <v>99</v>
      </c>
      <c r="C263" s="5" t="s">
        <v>518</v>
      </c>
      <c r="E263" s="6" t="s">
        <v>376</v>
      </c>
      <c r="F263" s="7" t="s">
        <v>132</v>
      </c>
      <c r="G263" s="8" t="str">
        <f t="shared" si="12"/>
        <v>SUBCONTR</v>
      </c>
    </row>
    <row r="264" spans="1:7">
      <c r="A264" s="4" t="str">
        <f t="shared" si="13"/>
        <v>013</v>
      </c>
      <c r="B264" s="4" t="str">
        <f t="shared" si="14"/>
        <v>00</v>
      </c>
      <c r="C264" s="5" t="s">
        <v>519</v>
      </c>
      <c r="E264" s="6" t="s">
        <v>520</v>
      </c>
      <c r="F264" s="7" t="s">
        <v>520</v>
      </c>
      <c r="G264" s="8" t="str">
        <f t="shared" si="12"/>
        <v>DEPARTME</v>
      </c>
    </row>
    <row r="265" spans="1:7">
      <c r="A265" s="4" t="str">
        <f t="shared" si="13"/>
        <v>013</v>
      </c>
      <c r="B265" s="4" t="str">
        <f t="shared" si="14"/>
        <v>01</v>
      </c>
      <c r="C265" s="5" t="s">
        <v>521</v>
      </c>
      <c r="E265" s="6" t="s">
        <v>520</v>
      </c>
      <c r="F265" s="7" t="s">
        <v>442</v>
      </c>
      <c r="G265" s="8" t="str">
        <f t="shared" si="12"/>
        <v>OFFICE O</v>
      </c>
    </row>
    <row r="266" spans="1:7">
      <c r="A266" s="4" t="str">
        <f t="shared" si="13"/>
        <v>013</v>
      </c>
      <c r="B266" s="4" t="str">
        <f t="shared" si="14"/>
        <v>02</v>
      </c>
      <c r="C266" s="5" t="s">
        <v>522</v>
      </c>
      <c r="E266" s="6" t="s">
        <v>520</v>
      </c>
      <c r="F266" s="7" t="s">
        <v>523</v>
      </c>
      <c r="G266" s="8" t="str">
        <f t="shared" si="12"/>
        <v>MINORITY</v>
      </c>
    </row>
    <row r="267" spans="1:7">
      <c r="A267" s="4" t="str">
        <f t="shared" si="13"/>
        <v>013</v>
      </c>
      <c r="B267" s="4" t="str">
        <f t="shared" si="14"/>
        <v>03</v>
      </c>
      <c r="C267" s="5" t="s">
        <v>524</v>
      </c>
      <c r="E267" s="6" t="s">
        <v>520</v>
      </c>
      <c r="F267" s="7" t="s">
        <v>525</v>
      </c>
      <c r="G267" s="8" t="str">
        <f t="shared" si="12"/>
        <v>COMMERCE</v>
      </c>
    </row>
    <row r="268" spans="1:7">
      <c r="A268" s="4" t="str">
        <f t="shared" si="13"/>
        <v>013</v>
      </c>
      <c r="B268" s="4" t="str">
        <f t="shared" si="14"/>
        <v>04</v>
      </c>
      <c r="C268" s="5" t="s">
        <v>526</v>
      </c>
      <c r="E268" s="6" t="s">
        <v>520</v>
      </c>
      <c r="F268" s="7" t="s">
        <v>527</v>
      </c>
      <c r="G268" s="8" t="str">
        <f t="shared" si="12"/>
        <v>BUREAU O</v>
      </c>
    </row>
    <row r="269" spans="1:7">
      <c r="A269" s="4" t="str">
        <f t="shared" si="13"/>
        <v>013</v>
      </c>
      <c r="B269" s="4" t="str">
        <f t="shared" si="14"/>
        <v>05</v>
      </c>
      <c r="C269" s="5" t="s">
        <v>528</v>
      </c>
      <c r="E269" s="6" t="s">
        <v>520</v>
      </c>
      <c r="F269" s="7" t="s">
        <v>529</v>
      </c>
      <c r="G269" s="8" t="str">
        <f t="shared" si="12"/>
        <v>NATIONAL</v>
      </c>
    </row>
    <row r="270" spans="1:7">
      <c r="A270" s="4" t="str">
        <f t="shared" si="13"/>
        <v>013</v>
      </c>
      <c r="B270" s="4" t="str">
        <f t="shared" si="14"/>
        <v>06</v>
      </c>
      <c r="C270" s="5" t="s">
        <v>530</v>
      </c>
      <c r="E270" s="6" t="s">
        <v>520</v>
      </c>
      <c r="F270" s="7" t="s">
        <v>531</v>
      </c>
      <c r="G270" s="8" t="str">
        <f t="shared" si="12"/>
        <v>NATIONAL</v>
      </c>
    </row>
    <row r="271" spans="1:7">
      <c r="A271" s="4" t="str">
        <f t="shared" si="13"/>
        <v>013</v>
      </c>
      <c r="B271" s="4" t="str">
        <f t="shared" si="14"/>
        <v>07</v>
      </c>
      <c r="C271" s="5" t="s">
        <v>532</v>
      </c>
      <c r="E271" s="6" t="s">
        <v>520</v>
      </c>
      <c r="F271" s="7" t="s">
        <v>533</v>
      </c>
      <c r="G271" s="8" t="str">
        <f t="shared" si="12"/>
        <v>U.S. TRA</v>
      </c>
    </row>
    <row r="272" spans="1:7">
      <c r="A272" s="4" t="str">
        <f t="shared" si="13"/>
        <v>013</v>
      </c>
      <c r="B272" s="4" t="str">
        <f t="shared" si="14"/>
        <v>08</v>
      </c>
      <c r="C272" s="5" t="s">
        <v>534</v>
      </c>
      <c r="E272" s="6" t="s">
        <v>520</v>
      </c>
      <c r="F272" s="7" t="s">
        <v>535</v>
      </c>
      <c r="G272" s="8" t="str">
        <f t="shared" si="12"/>
        <v>NATIONAL</v>
      </c>
    </row>
    <row r="273" spans="1:7">
      <c r="A273" s="4" t="str">
        <f t="shared" si="13"/>
        <v>013</v>
      </c>
      <c r="B273" s="4" t="str">
        <f t="shared" si="14"/>
        <v>09</v>
      </c>
      <c r="C273" s="5" t="s">
        <v>536</v>
      </c>
      <c r="E273" s="6" t="s">
        <v>520</v>
      </c>
      <c r="F273" s="7" t="s">
        <v>537</v>
      </c>
      <c r="G273" s="8" t="str">
        <f t="shared" si="12"/>
        <v>COMMERCE</v>
      </c>
    </row>
    <row r="274" spans="1:7">
      <c r="A274" s="4" t="str">
        <f t="shared" si="13"/>
        <v>013</v>
      </c>
      <c r="B274" s="4" t="str">
        <f t="shared" si="14"/>
        <v>10</v>
      </c>
      <c r="C274" s="5" t="s">
        <v>538</v>
      </c>
      <c r="E274" s="6" t="s">
        <v>520</v>
      </c>
      <c r="F274" s="7" t="s">
        <v>539</v>
      </c>
      <c r="G274" s="8" t="str">
        <f t="shared" si="12"/>
        <v>PATENT A</v>
      </c>
    </row>
    <row r="275" spans="1:7">
      <c r="A275" s="4" t="str">
        <f t="shared" si="13"/>
        <v>013</v>
      </c>
      <c r="B275" s="4" t="str">
        <f t="shared" si="14"/>
        <v>11</v>
      </c>
      <c r="C275" s="5" t="s">
        <v>540</v>
      </c>
      <c r="E275" s="6" t="s">
        <v>520</v>
      </c>
      <c r="F275" s="7" t="s">
        <v>541</v>
      </c>
      <c r="G275" s="8" t="str">
        <f t="shared" si="12"/>
        <v>CD ITA</v>
      </c>
    </row>
    <row r="276" spans="1:7">
      <c r="A276" s="4" t="str">
        <f t="shared" si="13"/>
        <v>013</v>
      </c>
      <c r="B276" s="4" t="str">
        <f t="shared" si="14"/>
        <v>12</v>
      </c>
      <c r="C276" s="5" t="s">
        <v>542</v>
      </c>
      <c r="E276" s="6" t="s">
        <v>520</v>
      </c>
      <c r="F276" s="7" t="s">
        <v>543</v>
      </c>
      <c r="G276" s="8" t="str">
        <f t="shared" si="12"/>
        <v>INTERNAT</v>
      </c>
    </row>
    <row r="277" spans="1:7">
      <c r="A277" s="4" t="str">
        <f t="shared" si="13"/>
        <v>013</v>
      </c>
      <c r="B277" s="4" t="str">
        <f t="shared" si="14"/>
        <v>13</v>
      </c>
      <c r="C277" s="5" t="s">
        <v>544</v>
      </c>
      <c r="E277" s="6" t="s">
        <v>520</v>
      </c>
      <c r="F277" s="7" t="s">
        <v>545</v>
      </c>
      <c r="G277" s="8" t="str">
        <f t="shared" si="12"/>
        <v>CD OIG</v>
      </c>
    </row>
    <row r="278" spans="1:7">
      <c r="A278" s="4" t="str">
        <f t="shared" si="13"/>
        <v>013</v>
      </c>
      <c r="B278" s="4" t="str">
        <f t="shared" si="14"/>
        <v>14</v>
      </c>
      <c r="C278" s="5" t="s">
        <v>546</v>
      </c>
      <c r="E278" s="6" t="s">
        <v>520</v>
      </c>
      <c r="F278" s="7" t="s">
        <v>547</v>
      </c>
      <c r="G278" s="8" t="str">
        <f t="shared" si="12"/>
        <v>NATIONAL</v>
      </c>
    </row>
    <row r="279" spans="1:7">
      <c r="A279" s="4" t="str">
        <f t="shared" si="13"/>
        <v>013</v>
      </c>
      <c r="B279" s="4" t="str">
        <f t="shared" si="14"/>
        <v>15</v>
      </c>
      <c r="C279" s="5" t="s">
        <v>548</v>
      </c>
      <c r="E279" s="6" t="s">
        <v>520</v>
      </c>
      <c r="F279" s="7" t="s">
        <v>549</v>
      </c>
      <c r="G279" s="8" t="str">
        <f t="shared" si="12"/>
        <v>ECONOMIC</v>
      </c>
    </row>
    <row r="280" spans="1:7">
      <c r="A280" s="4" t="str">
        <f t="shared" si="13"/>
        <v>013</v>
      </c>
      <c r="B280" s="4" t="str">
        <f t="shared" si="14"/>
        <v>16</v>
      </c>
      <c r="C280" s="5" t="s">
        <v>550</v>
      </c>
      <c r="E280" s="6" t="s">
        <v>520</v>
      </c>
      <c r="F280" s="7" t="s">
        <v>551</v>
      </c>
      <c r="G280" s="8" t="str">
        <f t="shared" si="12"/>
        <v>BUR OF I</v>
      </c>
    </row>
    <row r="281" spans="1:7">
      <c r="A281" s="4" t="str">
        <f t="shared" si="13"/>
        <v>013</v>
      </c>
      <c r="B281" s="4" t="str">
        <f t="shared" si="14"/>
        <v>17</v>
      </c>
      <c r="C281" s="5" t="s">
        <v>552</v>
      </c>
      <c r="E281" s="6" t="s">
        <v>520</v>
      </c>
      <c r="F281" s="7" t="s">
        <v>553</v>
      </c>
      <c r="G281" s="8" t="str">
        <f t="shared" si="12"/>
        <v>TECHNOLO</v>
      </c>
    </row>
    <row r="282" spans="1:7">
      <c r="A282" s="4" t="str">
        <f t="shared" si="13"/>
        <v>013</v>
      </c>
      <c r="B282" s="4" t="str">
        <f t="shared" si="14"/>
        <v>18</v>
      </c>
      <c r="C282" s="13" t="s">
        <v>554</v>
      </c>
      <c r="D282" s="18" t="s">
        <v>3166</v>
      </c>
      <c r="E282" s="14" t="s">
        <v>520</v>
      </c>
      <c r="F282" s="15" t="s">
        <v>555</v>
      </c>
      <c r="G282" s="16" t="str">
        <f t="shared" si="12"/>
        <v xml:space="preserve">EXPIRED </v>
      </c>
    </row>
    <row r="283" spans="1:7">
      <c r="A283" s="4" t="str">
        <f t="shared" si="13"/>
        <v>013</v>
      </c>
      <c r="B283" s="4" t="str">
        <f t="shared" si="14"/>
        <v>19</v>
      </c>
      <c r="C283" s="5" t="s">
        <v>556</v>
      </c>
      <c r="E283" s="6" t="s">
        <v>520</v>
      </c>
      <c r="F283" s="7" t="s">
        <v>557</v>
      </c>
      <c r="G283" s="8" t="str">
        <f t="shared" si="12"/>
        <v>CD BUR E</v>
      </c>
    </row>
    <row r="284" spans="1:7">
      <c r="A284" s="4" t="str">
        <f t="shared" si="13"/>
        <v>013</v>
      </c>
      <c r="B284" s="4" t="str">
        <f t="shared" si="14"/>
        <v>20</v>
      </c>
      <c r="C284" s="5" t="s">
        <v>558</v>
      </c>
      <c r="E284" s="6" t="s">
        <v>520</v>
      </c>
      <c r="F284" s="7" t="s">
        <v>559</v>
      </c>
      <c r="G284" s="8" t="str">
        <f t="shared" si="12"/>
        <v>ECONOMIC</v>
      </c>
    </row>
    <row r="285" spans="1:7">
      <c r="A285" s="4" t="str">
        <f t="shared" si="13"/>
        <v>013</v>
      </c>
      <c r="B285" s="4" t="str">
        <f t="shared" si="14"/>
        <v>21</v>
      </c>
      <c r="C285" s="13" t="s">
        <v>560</v>
      </c>
      <c r="D285" s="18" t="s">
        <v>3166</v>
      </c>
      <c r="E285" s="14" t="s">
        <v>520</v>
      </c>
      <c r="F285" s="15" t="s">
        <v>561</v>
      </c>
      <c r="G285" s="16" t="str">
        <f t="shared" si="12"/>
        <v xml:space="preserve">EXPIRED </v>
      </c>
    </row>
    <row r="286" spans="1:7">
      <c r="A286" s="4" t="str">
        <f t="shared" si="13"/>
        <v>013</v>
      </c>
      <c r="B286" s="4" t="str">
        <f t="shared" si="14"/>
        <v>22</v>
      </c>
      <c r="C286" s="13" t="s">
        <v>562</v>
      </c>
      <c r="D286" s="18" t="s">
        <v>3166</v>
      </c>
      <c r="E286" s="14" t="s">
        <v>520</v>
      </c>
      <c r="F286" s="15" t="s">
        <v>563</v>
      </c>
      <c r="G286" s="16" t="str">
        <f t="shared" si="12"/>
        <v xml:space="preserve">EXPIRED </v>
      </c>
    </row>
    <row r="287" spans="1:7">
      <c r="A287" s="4" t="str">
        <f t="shared" si="13"/>
        <v>013</v>
      </c>
      <c r="B287" s="4" t="str">
        <f t="shared" si="14"/>
        <v>25</v>
      </c>
      <c r="C287" s="5" t="s">
        <v>564</v>
      </c>
      <c r="E287" s="6" t="s">
        <v>520</v>
      </c>
      <c r="F287" s="7" t="s">
        <v>565</v>
      </c>
      <c r="G287" s="8" t="str">
        <f t="shared" si="12"/>
        <v xml:space="preserve">CD EDA  </v>
      </c>
    </row>
    <row r="288" spans="1:7">
      <c r="A288" s="4" t="str">
        <f t="shared" si="13"/>
        <v>013</v>
      </c>
      <c r="B288" s="4" t="str">
        <f t="shared" si="14"/>
        <v>27</v>
      </c>
      <c r="C288" s="5" t="s">
        <v>566</v>
      </c>
      <c r="E288" s="6" t="s">
        <v>520</v>
      </c>
      <c r="F288" s="7" t="s">
        <v>567</v>
      </c>
      <c r="G288" s="8" t="str">
        <f t="shared" si="12"/>
        <v>CD REG F</v>
      </c>
    </row>
    <row r="289" spans="1:7">
      <c r="A289" s="4" t="str">
        <f t="shared" si="13"/>
        <v>013</v>
      </c>
      <c r="B289" s="4" t="str">
        <f t="shared" si="14"/>
        <v>28</v>
      </c>
      <c r="C289" s="5" t="s">
        <v>568</v>
      </c>
      <c r="E289" s="6" t="s">
        <v>520</v>
      </c>
      <c r="F289" s="7" t="s">
        <v>569</v>
      </c>
      <c r="G289" s="8" t="str">
        <f t="shared" si="12"/>
        <v>CD OFF M</v>
      </c>
    </row>
    <row r="290" spans="1:7">
      <c r="A290" s="4" t="str">
        <f t="shared" si="13"/>
        <v>013</v>
      </c>
      <c r="B290" s="4" t="str">
        <f t="shared" si="14"/>
        <v>30</v>
      </c>
      <c r="C290" s="5" t="s">
        <v>570</v>
      </c>
      <c r="E290" s="6" t="s">
        <v>520</v>
      </c>
      <c r="F290" s="7" t="s">
        <v>571</v>
      </c>
      <c r="G290" s="8" t="str">
        <f t="shared" si="12"/>
        <v xml:space="preserve">CD UP G </v>
      </c>
    </row>
    <row r="291" spans="1:7">
      <c r="A291" s="4" t="str">
        <f t="shared" si="13"/>
        <v>013</v>
      </c>
      <c r="B291" s="4" t="str">
        <f t="shared" si="14"/>
        <v>31</v>
      </c>
      <c r="C291" s="5" t="s">
        <v>572</v>
      </c>
      <c r="E291" s="6" t="s">
        <v>520</v>
      </c>
      <c r="F291" s="7" t="s">
        <v>573</v>
      </c>
      <c r="G291" s="8" t="str">
        <f t="shared" si="12"/>
        <v>CD NEW E</v>
      </c>
    </row>
    <row r="292" spans="1:7">
      <c r="A292" s="4" t="str">
        <f t="shared" si="13"/>
        <v>013</v>
      </c>
      <c r="B292" s="4" t="str">
        <f t="shared" si="14"/>
        <v>33</v>
      </c>
      <c r="C292" s="5" t="s">
        <v>574</v>
      </c>
      <c r="E292" s="6" t="s">
        <v>520</v>
      </c>
      <c r="F292" s="7" t="s">
        <v>575</v>
      </c>
      <c r="G292" s="8" t="str">
        <f t="shared" si="12"/>
        <v>PACIFIC-</v>
      </c>
    </row>
    <row r="293" spans="1:7">
      <c r="A293" s="4" t="str">
        <f t="shared" si="13"/>
        <v>013</v>
      </c>
      <c r="B293" s="4" t="str">
        <f t="shared" si="14"/>
        <v>34</v>
      </c>
      <c r="C293" s="5" t="s">
        <v>576</v>
      </c>
      <c r="E293" s="6" t="s">
        <v>520</v>
      </c>
      <c r="F293" s="7" t="s">
        <v>577</v>
      </c>
      <c r="G293" s="8" t="str">
        <f t="shared" si="12"/>
        <v>CD OP/AD</v>
      </c>
    </row>
    <row r="294" spans="1:7">
      <c r="A294" s="4" t="str">
        <f t="shared" si="13"/>
        <v>013</v>
      </c>
      <c r="B294" s="4" t="str">
        <f t="shared" si="14"/>
        <v>35</v>
      </c>
      <c r="C294" s="5" t="s">
        <v>578</v>
      </c>
      <c r="E294" s="6" t="s">
        <v>520</v>
      </c>
      <c r="F294" s="7" t="s">
        <v>579</v>
      </c>
      <c r="G294" s="8" t="str">
        <f t="shared" si="12"/>
        <v xml:space="preserve">CD FOUR </v>
      </c>
    </row>
    <row r="295" spans="1:7">
      <c r="A295" s="4" t="str">
        <f t="shared" si="13"/>
        <v>013</v>
      </c>
      <c r="B295" s="4" t="str">
        <f t="shared" si="14"/>
        <v>36</v>
      </c>
      <c r="C295" s="5" t="s">
        <v>580</v>
      </c>
      <c r="E295" s="6" t="s">
        <v>520</v>
      </c>
      <c r="F295" s="7" t="s">
        <v>581</v>
      </c>
      <c r="G295" s="8" t="str">
        <f t="shared" si="12"/>
        <v>CD COAST</v>
      </c>
    </row>
    <row r="296" spans="1:7">
      <c r="A296" s="4" t="str">
        <f t="shared" si="13"/>
        <v>013</v>
      </c>
      <c r="B296" s="4" t="str">
        <f t="shared" si="14"/>
        <v>37</v>
      </c>
      <c r="C296" s="5" t="s">
        <v>582</v>
      </c>
      <c r="E296" s="6" t="s">
        <v>520</v>
      </c>
      <c r="F296" s="7" t="s">
        <v>583</v>
      </c>
      <c r="G296" s="8" t="str">
        <f t="shared" si="12"/>
        <v>CD OZARK</v>
      </c>
    </row>
    <row r="297" spans="1:7">
      <c r="A297" s="4" t="str">
        <f t="shared" si="13"/>
        <v>013</v>
      </c>
      <c r="B297" s="4" t="str">
        <f t="shared" si="14"/>
        <v>38</v>
      </c>
      <c r="C297" s="5" t="s">
        <v>584</v>
      </c>
      <c r="E297" s="6" t="s">
        <v>520</v>
      </c>
      <c r="F297" s="7" t="s">
        <v>585</v>
      </c>
      <c r="G297" s="8" t="str">
        <f t="shared" si="12"/>
        <v>CD OLD W</v>
      </c>
    </row>
    <row r="298" spans="1:7">
      <c r="A298" s="4" t="str">
        <f t="shared" si="13"/>
        <v>013</v>
      </c>
      <c r="B298" s="4" t="str">
        <f t="shared" si="14"/>
        <v>39</v>
      </c>
      <c r="C298" s="5" t="s">
        <v>586</v>
      </c>
      <c r="E298" s="6" t="s">
        <v>520</v>
      </c>
      <c r="F298" s="7" t="s">
        <v>587</v>
      </c>
      <c r="G298" s="8" t="str">
        <f t="shared" si="12"/>
        <v xml:space="preserve">CD BRDR </v>
      </c>
    </row>
    <row r="299" spans="1:7">
      <c r="A299" s="4" t="str">
        <f t="shared" si="13"/>
        <v>013</v>
      </c>
      <c r="B299" s="4" t="str">
        <f t="shared" si="14"/>
        <v>40</v>
      </c>
      <c r="C299" s="5" t="s">
        <v>588</v>
      </c>
      <c r="E299" s="6" t="s">
        <v>520</v>
      </c>
      <c r="F299" s="7" t="s">
        <v>589</v>
      </c>
      <c r="G299" s="8" t="str">
        <f t="shared" si="12"/>
        <v>1980 DEC</v>
      </c>
    </row>
    <row r="300" spans="1:7">
      <c r="A300" s="4" t="str">
        <f t="shared" si="13"/>
        <v>013</v>
      </c>
      <c r="B300" s="4" t="str">
        <f t="shared" si="14"/>
        <v>51</v>
      </c>
      <c r="C300" s="13" t="s">
        <v>590</v>
      </c>
      <c r="D300" s="18" t="s">
        <v>3166</v>
      </c>
      <c r="E300" s="14" t="s">
        <v>520</v>
      </c>
      <c r="F300" s="15" t="s">
        <v>591</v>
      </c>
      <c r="G300" s="8" t="str">
        <f t="shared" si="12"/>
        <v>GOVERNME</v>
      </c>
    </row>
    <row r="301" spans="1:7">
      <c r="A301" s="4" t="str">
        <f t="shared" si="13"/>
        <v>013</v>
      </c>
      <c r="B301" s="4" t="str">
        <f t="shared" si="14"/>
        <v>97</v>
      </c>
      <c r="C301" s="5" t="s">
        <v>592</v>
      </c>
      <c r="E301" s="6" t="s">
        <v>520</v>
      </c>
      <c r="F301" s="7" t="s">
        <v>102</v>
      </c>
      <c r="G301" s="8" t="str">
        <f t="shared" si="12"/>
        <v>GSA ADVA</v>
      </c>
    </row>
    <row r="302" spans="1:7">
      <c r="A302" s="4" t="str">
        <f t="shared" si="13"/>
        <v>013</v>
      </c>
      <c r="B302" s="4" t="str">
        <f t="shared" si="14"/>
        <v>99</v>
      </c>
      <c r="C302" s="5" t="s">
        <v>593</v>
      </c>
      <c r="E302" s="6" t="s">
        <v>520</v>
      </c>
      <c r="F302" s="7" t="s">
        <v>132</v>
      </c>
      <c r="G302" s="8" t="str">
        <f t="shared" si="12"/>
        <v>SUBCONTR</v>
      </c>
    </row>
    <row r="303" spans="1:7">
      <c r="A303" s="4" t="str">
        <f t="shared" si="13"/>
        <v>014</v>
      </c>
      <c r="B303" s="4" t="str">
        <f t="shared" si="14"/>
        <v>00</v>
      </c>
      <c r="C303" s="5" t="s">
        <v>594</v>
      </c>
      <c r="E303" s="6" t="s">
        <v>595</v>
      </c>
      <c r="F303" s="7" t="s">
        <v>595</v>
      </c>
      <c r="G303" s="8" t="str">
        <f t="shared" si="12"/>
        <v>DEPARTME</v>
      </c>
    </row>
    <row r="304" spans="1:7">
      <c r="A304" s="4" t="str">
        <f t="shared" si="13"/>
        <v>014</v>
      </c>
      <c r="B304" s="4" t="str">
        <f t="shared" si="14"/>
        <v>01</v>
      </c>
      <c r="C304" s="5" t="s">
        <v>596</v>
      </c>
      <c r="E304" s="6" t="s">
        <v>595</v>
      </c>
      <c r="F304" s="7" t="s">
        <v>597</v>
      </c>
      <c r="G304" s="8" t="str">
        <f t="shared" si="12"/>
        <v>ID BONNV</v>
      </c>
    </row>
    <row r="305" spans="1:7">
      <c r="A305" s="4" t="str">
        <f t="shared" si="13"/>
        <v>014</v>
      </c>
      <c r="B305" s="4" t="str">
        <f t="shared" si="14"/>
        <v>02</v>
      </c>
      <c r="C305" s="5" t="s">
        <v>598</v>
      </c>
      <c r="E305" s="6" t="s">
        <v>595</v>
      </c>
      <c r="F305" s="7" t="s">
        <v>599</v>
      </c>
      <c r="G305" s="8" t="str">
        <f t="shared" si="12"/>
        <v>ID MESA</v>
      </c>
    </row>
    <row r="306" spans="1:7">
      <c r="A306" s="4" t="str">
        <f t="shared" si="13"/>
        <v>014</v>
      </c>
      <c r="B306" s="4" t="str">
        <f t="shared" si="14"/>
        <v>03</v>
      </c>
      <c r="C306" s="5" t="s">
        <v>600</v>
      </c>
      <c r="E306" s="6" t="s">
        <v>595</v>
      </c>
      <c r="F306" s="7" t="s">
        <v>601</v>
      </c>
      <c r="G306" s="8" t="str">
        <f t="shared" si="12"/>
        <v>ID OCR</v>
      </c>
    </row>
    <row r="307" spans="1:7">
      <c r="A307" s="4" t="str">
        <f t="shared" si="13"/>
        <v>014</v>
      </c>
      <c r="B307" s="4" t="str">
        <f t="shared" si="14"/>
        <v>06</v>
      </c>
      <c r="C307" s="5" t="s">
        <v>602</v>
      </c>
      <c r="E307" s="6" t="s">
        <v>595</v>
      </c>
      <c r="F307" s="7" t="s">
        <v>603</v>
      </c>
      <c r="G307" s="8" t="str">
        <f t="shared" si="12"/>
        <v>OFFICE O</v>
      </c>
    </row>
    <row r="308" spans="1:7">
      <c r="A308" s="4" t="str">
        <f t="shared" si="13"/>
        <v>014</v>
      </c>
      <c r="B308" s="4" t="str">
        <f t="shared" si="14"/>
        <v>07</v>
      </c>
      <c r="C308" s="5" t="s">
        <v>604</v>
      </c>
      <c r="E308" s="6" t="s">
        <v>595</v>
      </c>
      <c r="F308" s="7" t="s">
        <v>605</v>
      </c>
      <c r="G308" s="8" t="str">
        <f t="shared" si="12"/>
        <v>GEOLOGIC</v>
      </c>
    </row>
    <row r="309" spans="1:7">
      <c r="A309" s="4" t="str">
        <f t="shared" si="13"/>
        <v>014</v>
      </c>
      <c r="B309" s="4" t="str">
        <f t="shared" si="14"/>
        <v>08</v>
      </c>
      <c r="C309" s="5" t="s">
        <v>606</v>
      </c>
      <c r="E309" s="6" t="s">
        <v>595</v>
      </c>
      <c r="F309" s="7" t="s">
        <v>607</v>
      </c>
      <c r="G309" s="8" t="str">
        <f t="shared" si="12"/>
        <v>OFFICE O</v>
      </c>
    </row>
    <row r="310" spans="1:7">
      <c r="A310" s="4" t="str">
        <f t="shared" si="13"/>
        <v>014</v>
      </c>
      <c r="B310" s="4" t="str">
        <f t="shared" si="14"/>
        <v>09</v>
      </c>
      <c r="C310" s="5" t="s">
        <v>608</v>
      </c>
      <c r="E310" s="6" t="s">
        <v>595</v>
      </c>
      <c r="F310" s="7" t="s">
        <v>609</v>
      </c>
      <c r="G310" s="8" t="str">
        <f t="shared" si="12"/>
        <v>BUREAU O</v>
      </c>
    </row>
    <row r="311" spans="1:7">
      <c r="A311" s="4" t="str">
        <f t="shared" si="13"/>
        <v>014</v>
      </c>
      <c r="B311" s="4" t="str">
        <f t="shared" si="14"/>
        <v>10</v>
      </c>
      <c r="C311" s="5" t="s">
        <v>610</v>
      </c>
      <c r="E311" s="6" t="s">
        <v>595</v>
      </c>
      <c r="F311" s="7" t="s">
        <v>611</v>
      </c>
      <c r="G311" s="8" t="str">
        <f t="shared" si="12"/>
        <v>BUREAU O</v>
      </c>
    </row>
    <row r="312" spans="1:7">
      <c r="A312" s="4" t="str">
        <f t="shared" si="13"/>
        <v>014</v>
      </c>
      <c r="B312" s="4" t="str">
        <f t="shared" si="14"/>
        <v>11</v>
      </c>
      <c r="C312" s="5" t="s">
        <v>612</v>
      </c>
      <c r="E312" s="6" t="s">
        <v>595</v>
      </c>
      <c r="F312" s="7" t="s">
        <v>613</v>
      </c>
      <c r="G312" s="8" t="str">
        <f t="shared" si="12"/>
        <v>BUREAU O</v>
      </c>
    </row>
    <row r="313" spans="1:7">
      <c r="A313" s="4" t="str">
        <f t="shared" si="13"/>
        <v>014</v>
      </c>
      <c r="B313" s="4" t="str">
        <f t="shared" si="14"/>
        <v>12</v>
      </c>
      <c r="C313" s="5" t="s">
        <v>614</v>
      </c>
      <c r="E313" s="6" t="s">
        <v>595</v>
      </c>
      <c r="F313" s="7" t="s">
        <v>615</v>
      </c>
      <c r="G313" s="8" t="str">
        <f t="shared" si="12"/>
        <v>OFFICE O</v>
      </c>
    </row>
    <row r="314" spans="1:7">
      <c r="A314" s="4" t="str">
        <f t="shared" si="13"/>
        <v>014</v>
      </c>
      <c r="B314" s="4" t="str">
        <f t="shared" si="14"/>
        <v>15</v>
      </c>
      <c r="C314" s="5" t="s">
        <v>616</v>
      </c>
      <c r="E314" s="6" t="s">
        <v>595</v>
      </c>
      <c r="F314" s="7" t="s">
        <v>617</v>
      </c>
      <c r="G314" s="8" t="str">
        <f t="shared" si="12"/>
        <v>BUREAU O</v>
      </c>
    </row>
    <row r="315" spans="1:7">
      <c r="A315" s="4" t="str">
        <f t="shared" si="13"/>
        <v>014</v>
      </c>
      <c r="B315" s="4" t="str">
        <f t="shared" si="14"/>
        <v>17</v>
      </c>
      <c r="C315" s="5" t="s">
        <v>618</v>
      </c>
      <c r="E315" s="6" t="s">
        <v>595</v>
      </c>
      <c r="F315" s="7" t="s">
        <v>619</v>
      </c>
      <c r="G315" s="8" t="str">
        <f t="shared" si="12"/>
        <v>NATIONAL</v>
      </c>
    </row>
    <row r="316" spans="1:7">
      <c r="A316" s="4" t="str">
        <f t="shared" si="13"/>
        <v>014</v>
      </c>
      <c r="B316" s="4" t="str">
        <f t="shared" si="14"/>
        <v>18</v>
      </c>
      <c r="C316" s="5" t="s">
        <v>620</v>
      </c>
      <c r="E316" s="6" t="s">
        <v>595</v>
      </c>
      <c r="F316" s="7" t="s">
        <v>621</v>
      </c>
      <c r="G316" s="8" t="str">
        <f t="shared" si="12"/>
        <v>DOI/APPR</v>
      </c>
    </row>
    <row r="317" spans="1:7">
      <c r="A317" s="4" t="str">
        <f t="shared" si="13"/>
        <v>014</v>
      </c>
      <c r="B317" s="4" t="str">
        <f t="shared" si="14"/>
        <v>19</v>
      </c>
      <c r="C317" s="5" t="s">
        <v>622</v>
      </c>
      <c r="E317" s="6" t="s">
        <v>595</v>
      </c>
      <c r="F317" s="7" t="s">
        <v>623</v>
      </c>
      <c r="G317" s="8" t="str">
        <f t="shared" si="12"/>
        <v>ID OFF O</v>
      </c>
    </row>
    <row r="318" spans="1:7">
      <c r="A318" s="4" t="str">
        <f t="shared" si="13"/>
        <v>014</v>
      </c>
      <c r="B318" s="4" t="str">
        <f t="shared" si="14"/>
        <v>20</v>
      </c>
      <c r="C318" s="5" t="s">
        <v>624</v>
      </c>
      <c r="E318" s="6" t="s">
        <v>595</v>
      </c>
      <c r="F318" s="7" t="s">
        <v>625</v>
      </c>
      <c r="G318" s="8" t="str">
        <f t="shared" si="12"/>
        <v>BUREAU O</v>
      </c>
    </row>
    <row r="319" spans="1:7">
      <c r="A319" s="4" t="str">
        <f t="shared" si="13"/>
        <v>014</v>
      </c>
      <c r="B319" s="4" t="str">
        <f t="shared" si="14"/>
        <v>21</v>
      </c>
      <c r="C319" s="5" t="s">
        <v>626</v>
      </c>
      <c r="E319" s="6" t="s">
        <v>595</v>
      </c>
      <c r="F319" s="7" t="s">
        <v>627</v>
      </c>
      <c r="G319" s="8" t="str">
        <f t="shared" si="12"/>
        <v>OFFICE O</v>
      </c>
    </row>
    <row r="320" spans="1:7">
      <c r="A320" s="4" t="str">
        <f t="shared" si="13"/>
        <v>014</v>
      </c>
      <c r="B320" s="4" t="str">
        <f t="shared" si="14"/>
        <v>22</v>
      </c>
      <c r="C320" s="5" t="s">
        <v>628</v>
      </c>
      <c r="E320" s="6" t="s">
        <v>595</v>
      </c>
      <c r="F320" s="7" t="s">
        <v>629</v>
      </c>
      <c r="G320" s="8" t="str">
        <f t="shared" si="12"/>
        <v xml:space="preserve">ID HERI </v>
      </c>
    </row>
    <row r="321" spans="1:7">
      <c r="A321" s="4" t="str">
        <f t="shared" si="13"/>
        <v>014</v>
      </c>
      <c r="B321" s="4" t="str">
        <f t="shared" si="14"/>
        <v>23</v>
      </c>
      <c r="C321" s="5" t="s">
        <v>630</v>
      </c>
      <c r="E321" s="6" t="s">
        <v>595</v>
      </c>
      <c r="F321" s="7" t="s">
        <v>631</v>
      </c>
      <c r="G321" s="8" t="str">
        <f t="shared" si="12"/>
        <v>BUREAU O</v>
      </c>
    </row>
    <row r="322" spans="1:7">
      <c r="A322" s="4" t="str">
        <f t="shared" si="13"/>
        <v>014</v>
      </c>
      <c r="B322" s="4" t="str">
        <f t="shared" si="14"/>
        <v>24</v>
      </c>
      <c r="C322" s="5" t="s">
        <v>632</v>
      </c>
      <c r="E322" s="6" t="s">
        <v>595</v>
      </c>
      <c r="F322" s="7" t="s">
        <v>633</v>
      </c>
      <c r="G322" s="8" t="str">
        <f t="shared" ref="G322:G385" si="15">LEFT(F322,8)</f>
        <v>NATIONAL</v>
      </c>
    </row>
    <row r="323" spans="1:7">
      <c r="A323" s="4" t="str">
        <f t="shared" ref="A323:A386" si="16">LEFT(C323,3)</f>
        <v>014</v>
      </c>
      <c r="B323" s="4" t="str">
        <f t="shared" ref="B323:B386" si="17">RIGHT(C323,2)</f>
        <v>25</v>
      </c>
      <c r="C323" s="5" t="s">
        <v>634</v>
      </c>
      <c r="E323" s="6" t="s">
        <v>595</v>
      </c>
      <c r="F323" s="7" t="s">
        <v>442</v>
      </c>
      <c r="G323" s="8" t="str">
        <f t="shared" si="15"/>
        <v>OFFICE O</v>
      </c>
    </row>
    <row r="324" spans="1:7">
      <c r="A324" s="4" t="str">
        <f t="shared" si="16"/>
        <v>014</v>
      </c>
      <c r="B324" s="4" t="str">
        <f t="shared" si="17"/>
        <v>26</v>
      </c>
      <c r="C324" s="5" t="s">
        <v>635</v>
      </c>
      <c r="E324" s="6" t="s">
        <v>595</v>
      </c>
      <c r="F324" s="7" t="s">
        <v>636</v>
      </c>
      <c r="G324" s="8" t="str">
        <f t="shared" si="15"/>
        <v xml:space="preserve">ID OWRT </v>
      </c>
    </row>
    <row r="325" spans="1:7">
      <c r="A325" s="4" t="str">
        <f t="shared" si="16"/>
        <v>014</v>
      </c>
      <c r="B325" s="4" t="str">
        <f t="shared" si="17"/>
        <v>27</v>
      </c>
      <c r="C325" s="5" t="s">
        <v>637</v>
      </c>
      <c r="E325" s="6" t="s">
        <v>595</v>
      </c>
      <c r="F325" s="7" t="s">
        <v>638</v>
      </c>
      <c r="G325" s="8" t="str">
        <f t="shared" si="15"/>
        <v>OFFICE O</v>
      </c>
    </row>
    <row r="326" spans="1:7">
      <c r="A326" s="4" t="str">
        <f t="shared" si="16"/>
        <v>014</v>
      </c>
      <c r="B326" s="4" t="str">
        <f t="shared" si="17"/>
        <v>28</v>
      </c>
      <c r="C326" s="5" t="s">
        <v>639</v>
      </c>
      <c r="E326" s="6" t="s">
        <v>595</v>
      </c>
      <c r="F326" s="7" t="s">
        <v>640</v>
      </c>
      <c r="G326" s="8" t="str">
        <f t="shared" si="15"/>
        <v xml:space="preserve">DOI/OFC </v>
      </c>
    </row>
    <row r="327" spans="1:7">
      <c r="A327" s="4" t="str">
        <f t="shared" si="16"/>
        <v>014</v>
      </c>
      <c r="B327" s="4" t="str">
        <f t="shared" si="17"/>
        <v>29</v>
      </c>
      <c r="C327" s="5" t="s">
        <v>641</v>
      </c>
      <c r="E327" s="6" t="s">
        <v>595</v>
      </c>
      <c r="F327" s="7" t="s">
        <v>642</v>
      </c>
      <c r="G327" s="8" t="str">
        <f t="shared" si="15"/>
        <v>ID SE PO</v>
      </c>
    </row>
    <row r="328" spans="1:7">
      <c r="A328" s="4" t="str">
        <f t="shared" si="16"/>
        <v>014</v>
      </c>
      <c r="B328" s="4" t="str">
        <f t="shared" si="17"/>
        <v>31</v>
      </c>
      <c r="C328" s="5" t="s">
        <v>643</v>
      </c>
      <c r="E328" s="6" t="s">
        <v>595</v>
      </c>
      <c r="F328" s="7" t="s">
        <v>644</v>
      </c>
      <c r="G328" s="8" t="str">
        <f t="shared" si="15"/>
        <v>ID SW PO</v>
      </c>
    </row>
    <row r="329" spans="1:7">
      <c r="A329" s="4" t="str">
        <f t="shared" si="16"/>
        <v>014</v>
      </c>
      <c r="B329" s="4" t="str">
        <f t="shared" si="17"/>
        <v>33</v>
      </c>
      <c r="C329" s="5" t="s">
        <v>645</v>
      </c>
      <c r="E329" s="6" t="s">
        <v>595</v>
      </c>
      <c r="F329" s="7" t="s">
        <v>646</v>
      </c>
      <c r="G329" s="8" t="str">
        <f t="shared" si="15"/>
        <v>DOI/OFFI</v>
      </c>
    </row>
    <row r="330" spans="1:7">
      <c r="A330" s="4" t="str">
        <f t="shared" si="16"/>
        <v>014</v>
      </c>
      <c r="B330" s="4" t="str">
        <f t="shared" si="17"/>
        <v>36</v>
      </c>
      <c r="C330" s="5" t="s">
        <v>647</v>
      </c>
      <c r="E330" s="6" t="s">
        <v>595</v>
      </c>
      <c r="F330" s="7" t="s">
        <v>648</v>
      </c>
      <c r="G330" s="8" t="str">
        <f t="shared" si="15"/>
        <v>UNITED S</v>
      </c>
    </row>
    <row r="331" spans="1:7">
      <c r="A331" s="4" t="str">
        <f t="shared" si="16"/>
        <v>014</v>
      </c>
      <c r="B331" s="4" t="str">
        <f t="shared" si="17"/>
        <v>38</v>
      </c>
      <c r="C331" s="5" t="s">
        <v>649</v>
      </c>
      <c r="E331" s="6" t="s">
        <v>595</v>
      </c>
      <c r="F331" s="7" t="s">
        <v>650</v>
      </c>
      <c r="G331" s="8" t="str">
        <f t="shared" si="15"/>
        <v>ID ALASK</v>
      </c>
    </row>
    <row r="332" spans="1:7">
      <c r="A332" s="4" t="str">
        <f t="shared" si="16"/>
        <v>014</v>
      </c>
      <c r="B332" s="4" t="str">
        <f t="shared" si="17"/>
        <v>40</v>
      </c>
      <c r="C332" s="5" t="s">
        <v>651</v>
      </c>
      <c r="E332" s="6" t="s">
        <v>595</v>
      </c>
      <c r="F332" s="7" t="s">
        <v>652</v>
      </c>
      <c r="G332" s="8" t="str">
        <f t="shared" si="15"/>
        <v>ID OFF Y</v>
      </c>
    </row>
    <row r="333" spans="1:7">
      <c r="A333" s="4" t="str">
        <f t="shared" si="16"/>
        <v>014</v>
      </c>
      <c r="B333" s="4" t="str">
        <f t="shared" si="17"/>
        <v>41</v>
      </c>
      <c r="C333" s="5" t="s">
        <v>653</v>
      </c>
      <c r="E333" s="6" t="s">
        <v>595</v>
      </c>
      <c r="F333" s="7" t="s">
        <v>654</v>
      </c>
      <c r="G333" s="8" t="str">
        <f t="shared" si="15"/>
        <v>OFFICE O</v>
      </c>
    </row>
    <row r="334" spans="1:7">
      <c r="A334" s="4" t="str">
        <f t="shared" si="16"/>
        <v>014</v>
      </c>
      <c r="B334" s="4" t="str">
        <f t="shared" si="17"/>
        <v>42</v>
      </c>
      <c r="C334" s="5" t="s">
        <v>655</v>
      </c>
      <c r="E334" s="6" t="s">
        <v>595</v>
      </c>
      <c r="F334" s="7" t="s">
        <v>656</v>
      </c>
      <c r="G334" s="8" t="str">
        <f t="shared" si="15"/>
        <v>CONSTRUC</v>
      </c>
    </row>
    <row r="335" spans="1:7">
      <c r="A335" s="4" t="str">
        <f t="shared" si="16"/>
        <v>014</v>
      </c>
      <c r="B335" s="4" t="str">
        <f t="shared" si="17"/>
        <v>43</v>
      </c>
      <c r="C335" s="5" t="s">
        <v>657</v>
      </c>
      <c r="E335" s="6" t="s">
        <v>595</v>
      </c>
      <c r="F335" s="7" t="s">
        <v>658</v>
      </c>
      <c r="G335" s="8" t="str">
        <f t="shared" si="15"/>
        <v>NATIONAL</v>
      </c>
    </row>
    <row r="336" spans="1:7">
      <c r="A336" s="4" t="str">
        <f t="shared" si="16"/>
        <v>014</v>
      </c>
      <c r="B336" s="4" t="str">
        <f t="shared" si="17"/>
        <v>44</v>
      </c>
      <c r="C336" s="5" t="s">
        <v>659</v>
      </c>
      <c r="E336" s="6" t="s">
        <v>595</v>
      </c>
      <c r="F336" s="7" t="s">
        <v>660</v>
      </c>
      <c r="G336" s="8" t="str">
        <f t="shared" si="15"/>
        <v>NATIONAL</v>
      </c>
    </row>
    <row r="337" spans="1:7">
      <c r="A337" s="4" t="str">
        <f t="shared" si="16"/>
        <v>014</v>
      </c>
      <c r="B337" s="4" t="str">
        <f t="shared" si="17"/>
        <v>45</v>
      </c>
      <c r="C337" s="5" t="s">
        <v>661</v>
      </c>
      <c r="E337" s="6" t="s">
        <v>595</v>
      </c>
      <c r="F337" s="7" t="s">
        <v>662</v>
      </c>
      <c r="G337" s="8" t="str">
        <f t="shared" si="15"/>
        <v>DEPARTME</v>
      </c>
    </row>
    <row r="338" spans="1:7">
      <c r="A338" s="4" t="str">
        <f t="shared" si="16"/>
        <v>014</v>
      </c>
      <c r="B338" s="4" t="str">
        <f t="shared" si="17"/>
        <v>46</v>
      </c>
      <c r="C338" s="5" t="s">
        <v>663</v>
      </c>
      <c r="E338" s="6" t="s">
        <v>595</v>
      </c>
      <c r="F338" s="7" t="s">
        <v>664</v>
      </c>
      <c r="G338" s="8" t="str">
        <f t="shared" si="15"/>
        <v>OFFICE O</v>
      </c>
    </row>
    <row r="339" spans="1:7">
      <c r="A339" s="4" t="str">
        <f t="shared" si="16"/>
        <v>014</v>
      </c>
      <c r="B339" s="4" t="str">
        <f t="shared" si="17"/>
        <v>50</v>
      </c>
      <c r="C339" s="5" t="s">
        <v>665</v>
      </c>
      <c r="E339" s="6" t="s">
        <v>595</v>
      </c>
      <c r="F339" s="7" t="s">
        <v>666</v>
      </c>
      <c r="G339" s="8" t="str">
        <f t="shared" si="15"/>
        <v xml:space="preserve">DOI/BIA </v>
      </c>
    </row>
    <row r="340" spans="1:7">
      <c r="A340" s="4" t="str">
        <f t="shared" si="16"/>
        <v>014</v>
      </c>
      <c r="B340" s="4" t="str">
        <f t="shared" si="17"/>
        <v>55</v>
      </c>
      <c r="C340" s="5" t="s">
        <v>667</v>
      </c>
      <c r="E340" s="6" t="s">
        <v>595</v>
      </c>
      <c r="F340" s="7" t="s">
        <v>668</v>
      </c>
      <c r="G340" s="8" t="str">
        <f t="shared" si="15"/>
        <v>OFFICE O</v>
      </c>
    </row>
    <row r="341" spans="1:7">
      <c r="A341" s="4" t="str">
        <f t="shared" si="16"/>
        <v>014</v>
      </c>
      <c r="B341" s="4" t="str">
        <f t="shared" si="17"/>
        <v>60</v>
      </c>
      <c r="C341" s="5" t="s">
        <v>669</v>
      </c>
      <c r="E341" s="6" t="s">
        <v>595</v>
      </c>
      <c r="F341" s="7" t="s">
        <v>670</v>
      </c>
      <c r="G341" s="8" t="str">
        <f t="shared" si="15"/>
        <v>OFFICE O</v>
      </c>
    </row>
    <row r="342" spans="1:7">
      <c r="A342" s="4" t="str">
        <f t="shared" si="16"/>
        <v>014</v>
      </c>
      <c r="B342" s="4" t="str">
        <f t="shared" si="17"/>
        <v>97</v>
      </c>
      <c r="C342" s="5" t="s">
        <v>671</v>
      </c>
      <c r="E342" s="6" t="s">
        <v>595</v>
      </c>
      <c r="F342" s="7" t="s">
        <v>102</v>
      </c>
      <c r="G342" s="8" t="str">
        <f t="shared" si="15"/>
        <v>GSA ADVA</v>
      </c>
    </row>
    <row r="343" spans="1:7">
      <c r="A343" s="4" t="str">
        <f t="shared" si="16"/>
        <v>014</v>
      </c>
      <c r="B343" s="4" t="str">
        <f t="shared" si="17"/>
        <v>99</v>
      </c>
      <c r="C343" s="5" t="s">
        <v>672</v>
      </c>
      <c r="E343" s="6" t="s">
        <v>595</v>
      </c>
      <c r="F343" s="7" t="s">
        <v>132</v>
      </c>
      <c r="G343" s="8" t="str">
        <f t="shared" si="15"/>
        <v>SUBCONTR</v>
      </c>
    </row>
    <row r="344" spans="1:7">
      <c r="A344" s="4" t="str">
        <f t="shared" si="16"/>
        <v>015</v>
      </c>
      <c r="B344" s="4" t="str">
        <f t="shared" si="17"/>
        <v>00</v>
      </c>
      <c r="C344" s="5" t="s">
        <v>673</v>
      </c>
      <c r="E344" s="6" t="s">
        <v>674</v>
      </c>
      <c r="F344" s="7" t="s">
        <v>674</v>
      </c>
      <c r="G344" s="8" t="str">
        <f t="shared" si="15"/>
        <v>DEPARTME</v>
      </c>
    </row>
    <row r="345" spans="1:7">
      <c r="A345" s="4" t="str">
        <f t="shared" si="16"/>
        <v>015</v>
      </c>
      <c r="B345" s="4" t="str">
        <f t="shared" si="17"/>
        <v>01</v>
      </c>
      <c r="C345" s="5" t="s">
        <v>675</v>
      </c>
      <c r="E345" s="6" t="s">
        <v>674</v>
      </c>
      <c r="F345" s="7" t="s">
        <v>676</v>
      </c>
      <c r="G345" s="8" t="str">
        <f t="shared" si="15"/>
        <v>UNITED S</v>
      </c>
    </row>
    <row r="346" spans="1:7">
      <c r="A346" s="4" t="str">
        <f t="shared" si="16"/>
        <v>015</v>
      </c>
      <c r="B346" s="4" t="str">
        <f t="shared" si="17"/>
        <v>02</v>
      </c>
      <c r="C346" s="5" t="s">
        <v>677</v>
      </c>
      <c r="E346" s="6" t="s">
        <v>674</v>
      </c>
      <c r="F346" s="7" t="s">
        <v>678</v>
      </c>
      <c r="G346" s="8" t="str">
        <f t="shared" si="15"/>
        <v xml:space="preserve">JUSTICE </v>
      </c>
    </row>
    <row r="347" spans="1:7">
      <c r="A347" s="4" t="str">
        <f t="shared" si="16"/>
        <v>015</v>
      </c>
      <c r="B347" s="4" t="str">
        <f t="shared" si="17"/>
        <v>03</v>
      </c>
      <c r="C347" s="5" t="s">
        <v>679</v>
      </c>
      <c r="E347" s="6" t="s">
        <v>674</v>
      </c>
      <c r="F347" s="7" t="s">
        <v>680</v>
      </c>
      <c r="G347" s="8" t="str">
        <f t="shared" si="15"/>
        <v>ANTITRUS</v>
      </c>
    </row>
    <row r="348" spans="1:7">
      <c r="A348" s="4" t="str">
        <f t="shared" si="16"/>
        <v>015</v>
      </c>
      <c r="B348" s="4" t="str">
        <f t="shared" si="17"/>
        <v>04</v>
      </c>
      <c r="C348" s="5" t="s">
        <v>681</v>
      </c>
      <c r="E348" s="6" t="s">
        <v>674</v>
      </c>
      <c r="F348" s="7" t="s">
        <v>682</v>
      </c>
      <c r="G348" s="8" t="str">
        <f t="shared" si="15"/>
        <v>OFFICE O</v>
      </c>
    </row>
    <row r="349" spans="1:7">
      <c r="A349" s="4" t="str">
        <f t="shared" si="16"/>
        <v>015</v>
      </c>
      <c r="B349" s="4" t="str">
        <f t="shared" si="17"/>
        <v>05</v>
      </c>
      <c r="C349" s="5" t="s">
        <v>683</v>
      </c>
      <c r="E349" s="6" t="s">
        <v>674</v>
      </c>
      <c r="F349" s="7" t="s">
        <v>684</v>
      </c>
      <c r="G349" s="8" t="str">
        <f t="shared" si="15"/>
        <v>OFFICE O</v>
      </c>
    </row>
    <row r="350" spans="1:7">
      <c r="A350" s="4" t="str">
        <f t="shared" si="16"/>
        <v>015</v>
      </c>
      <c r="B350" s="4" t="str">
        <f t="shared" si="17"/>
        <v>06</v>
      </c>
      <c r="C350" s="5" t="s">
        <v>685</v>
      </c>
      <c r="E350" s="6" t="s">
        <v>674</v>
      </c>
      <c r="F350" s="7" t="s">
        <v>686</v>
      </c>
      <c r="G350" s="8" t="str">
        <f t="shared" si="15"/>
        <v>OFFICE O</v>
      </c>
    </row>
    <row r="351" spans="1:7">
      <c r="A351" s="4" t="str">
        <f t="shared" si="16"/>
        <v>015</v>
      </c>
      <c r="B351" s="4" t="str">
        <f t="shared" si="17"/>
        <v>07</v>
      </c>
      <c r="C351" s="5" t="s">
        <v>687</v>
      </c>
      <c r="E351" s="6" t="s">
        <v>674</v>
      </c>
      <c r="F351" s="7" t="s">
        <v>688</v>
      </c>
      <c r="G351" s="8" t="str">
        <f t="shared" si="15"/>
        <v>CIVIL DI</v>
      </c>
    </row>
    <row r="352" spans="1:7">
      <c r="A352" s="4" t="str">
        <f t="shared" si="16"/>
        <v>015</v>
      </c>
      <c r="B352" s="4" t="str">
        <f t="shared" si="17"/>
        <v>08</v>
      </c>
      <c r="C352" s="5" t="s">
        <v>689</v>
      </c>
      <c r="E352" s="6" t="s">
        <v>674</v>
      </c>
      <c r="F352" s="7" t="s">
        <v>690</v>
      </c>
      <c r="G352" s="8" t="str">
        <f t="shared" si="15"/>
        <v>INTERPOL</v>
      </c>
    </row>
    <row r="353" spans="1:7">
      <c r="A353" s="4" t="str">
        <f t="shared" si="16"/>
        <v>015</v>
      </c>
      <c r="B353" s="4" t="str">
        <f t="shared" si="17"/>
        <v>09</v>
      </c>
      <c r="C353" s="5" t="s">
        <v>691</v>
      </c>
      <c r="E353" s="6" t="s">
        <v>674</v>
      </c>
      <c r="F353" s="7" t="s">
        <v>692</v>
      </c>
      <c r="G353" s="8" t="str">
        <f t="shared" si="15"/>
        <v>CIVIL RI</v>
      </c>
    </row>
    <row r="354" spans="1:7">
      <c r="A354" s="4" t="str">
        <f t="shared" si="16"/>
        <v>015</v>
      </c>
      <c r="B354" s="4" t="str">
        <f t="shared" si="17"/>
        <v>10</v>
      </c>
      <c r="C354" s="5" t="s">
        <v>693</v>
      </c>
      <c r="E354" s="6" t="s">
        <v>674</v>
      </c>
      <c r="F354" s="7" t="s">
        <v>694</v>
      </c>
      <c r="G354" s="8" t="str">
        <f t="shared" si="15"/>
        <v>OFFICE O</v>
      </c>
    </row>
    <row r="355" spans="1:7">
      <c r="A355" s="4" t="str">
        <f t="shared" si="16"/>
        <v>015</v>
      </c>
      <c r="B355" s="4" t="str">
        <f t="shared" si="17"/>
        <v>11</v>
      </c>
      <c r="C355" s="5" t="s">
        <v>695</v>
      </c>
      <c r="E355" s="6" t="s">
        <v>674</v>
      </c>
      <c r="F355" s="7" t="s">
        <v>696</v>
      </c>
      <c r="G355" s="8" t="str">
        <f t="shared" si="15"/>
        <v>CRIMINAL</v>
      </c>
    </row>
    <row r="356" spans="1:7">
      <c r="A356" s="4" t="str">
        <f t="shared" si="16"/>
        <v>015</v>
      </c>
      <c r="B356" s="4" t="str">
        <f t="shared" si="17"/>
        <v>12</v>
      </c>
      <c r="C356" s="5" t="s">
        <v>697</v>
      </c>
      <c r="E356" s="6" t="s">
        <v>674</v>
      </c>
      <c r="F356" s="7" t="s">
        <v>698</v>
      </c>
      <c r="G356" s="8" t="str">
        <f t="shared" si="15"/>
        <v>OFFICE O</v>
      </c>
    </row>
    <row r="357" spans="1:7">
      <c r="A357" s="4" t="str">
        <f t="shared" si="16"/>
        <v>015</v>
      </c>
      <c r="B357" s="4" t="str">
        <f t="shared" si="17"/>
        <v>13</v>
      </c>
      <c r="C357" s="5" t="s">
        <v>699</v>
      </c>
      <c r="E357" s="6" t="s">
        <v>674</v>
      </c>
      <c r="F357" s="7" t="s">
        <v>700</v>
      </c>
      <c r="G357" s="8" t="str">
        <f t="shared" si="15"/>
        <v xml:space="preserve">FEDERAL </v>
      </c>
    </row>
    <row r="358" spans="1:7">
      <c r="A358" s="4" t="str">
        <f t="shared" si="16"/>
        <v>015</v>
      </c>
      <c r="B358" s="4" t="str">
        <f t="shared" si="17"/>
        <v>14</v>
      </c>
      <c r="C358" s="5" t="s">
        <v>701</v>
      </c>
      <c r="E358" s="6" t="s">
        <v>674</v>
      </c>
      <c r="F358" s="7" t="s">
        <v>702</v>
      </c>
      <c r="G358" s="8" t="str">
        <f t="shared" si="15"/>
        <v xml:space="preserve">FEDERAL </v>
      </c>
    </row>
    <row r="359" spans="1:7">
      <c r="A359" s="4" t="str">
        <f t="shared" si="16"/>
        <v>015</v>
      </c>
      <c r="B359" s="4" t="str">
        <f t="shared" si="17"/>
        <v>15</v>
      </c>
      <c r="C359" s="13" t="s">
        <v>703</v>
      </c>
      <c r="D359" s="18" t="s">
        <v>3166</v>
      </c>
      <c r="E359" s="14" t="s">
        <v>674</v>
      </c>
      <c r="F359" s="15" t="s">
        <v>704</v>
      </c>
      <c r="G359" s="8" t="str">
        <f t="shared" si="15"/>
        <v>INACTIVE</v>
      </c>
    </row>
    <row r="360" spans="1:7">
      <c r="A360" s="4" t="str">
        <f t="shared" si="16"/>
        <v>015</v>
      </c>
      <c r="B360" s="4" t="str">
        <f t="shared" si="17"/>
        <v>16</v>
      </c>
      <c r="C360" s="5" t="s">
        <v>705</v>
      </c>
      <c r="E360" s="6" t="s">
        <v>674</v>
      </c>
      <c r="F360" s="7" t="s">
        <v>706</v>
      </c>
      <c r="G360" s="8" t="str">
        <f t="shared" si="15"/>
        <v>NATIONAL</v>
      </c>
    </row>
    <row r="361" spans="1:7">
      <c r="A361" s="4" t="str">
        <f t="shared" si="16"/>
        <v>015</v>
      </c>
      <c r="B361" s="4" t="str">
        <f t="shared" si="17"/>
        <v>17</v>
      </c>
      <c r="C361" s="5" t="s">
        <v>707</v>
      </c>
      <c r="E361" s="6" t="s">
        <v>674</v>
      </c>
      <c r="F361" s="7" t="s">
        <v>708</v>
      </c>
      <c r="G361" s="8" t="str">
        <f t="shared" si="15"/>
        <v>ENVIRONM</v>
      </c>
    </row>
    <row r="362" spans="1:7">
      <c r="A362" s="4" t="str">
        <f t="shared" si="16"/>
        <v>015</v>
      </c>
      <c r="B362" s="4" t="str">
        <f t="shared" si="17"/>
        <v>18</v>
      </c>
      <c r="C362" s="5" t="s">
        <v>709</v>
      </c>
      <c r="E362" s="6" t="s">
        <v>674</v>
      </c>
      <c r="F362" s="7" t="s">
        <v>710</v>
      </c>
      <c r="G362" s="8" t="str">
        <f t="shared" si="15"/>
        <v>OFFICE O</v>
      </c>
    </row>
    <row r="363" spans="1:7">
      <c r="A363" s="4" t="str">
        <f t="shared" si="16"/>
        <v>015</v>
      </c>
      <c r="B363" s="4" t="str">
        <f t="shared" si="17"/>
        <v>19</v>
      </c>
      <c r="C363" s="5" t="s">
        <v>711</v>
      </c>
      <c r="E363" s="6" t="s">
        <v>674</v>
      </c>
      <c r="F363" s="7" t="s">
        <v>712</v>
      </c>
      <c r="G363" s="8" t="str">
        <f t="shared" si="15"/>
        <v>BUREAU O</v>
      </c>
    </row>
    <row r="364" spans="1:7">
      <c r="A364" s="4" t="str">
        <f t="shared" si="16"/>
        <v>015</v>
      </c>
      <c r="B364" s="4" t="str">
        <f t="shared" si="17"/>
        <v>20</v>
      </c>
      <c r="C364" s="5" t="s">
        <v>713</v>
      </c>
      <c r="E364" s="6" t="s">
        <v>674</v>
      </c>
      <c r="F364" s="7" t="s">
        <v>714</v>
      </c>
      <c r="G364" s="8" t="str">
        <f t="shared" si="15"/>
        <v>OFFICE O</v>
      </c>
    </row>
    <row r="365" spans="1:7">
      <c r="A365" s="4" t="str">
        <f t="shared" si="16"/>
        <v>015</v>
      </c>
      <c r="B365" s="4" t="str">
        <f t="shared" si="17"/>
        <v>21</v>
      </c>
      <c r="C365" s="5" t="s">
        <v>715</v>
      </c>
      <c r="E365" s="6" t="s">
        <v>674</v>
      </c>
      <c r="F365" s="7" t="s">
        <v>716</v>
      </c>
      <c r="G365" s="8" t="str">
        <f t="shared" si="15"/>
        <v>TAX DIVI</v>
      </c>
    </row>
    <row r="366" spans="1:7">
      <c r="A366" s="4" t="str">
        <f t="shared" si="16"/>
        <v>015</v>
      </c>
      <c r="B366" s="4" t="str">
        <f t="shared" si="17"/>
        <v>22</v>
      </c>
      <c r="C366" s="5" t="s">
        <v>717</v>
      </c>
      <c r="E366" s="6" t="s">
        <v>674</v>
      </c>
      <c r="F366" s="7" t="s">
        <v>718</v>
      </c>
      <c r="G366" s="8" t="str">
        <f t="shared" si="15"/>
        <v>OFFICE O</v>
      </c>
    </row>
    <row r="367" spans="1:7">
      <c r="A367" s="4" t="str">
        <f t="shared" si="16"/>
        <v>015</v>
      </c>
      <c r="B367" s="4" t="str">
        <f t="shared" si="17"/>
        <v>23</v>
      </c>
      <c r="C367" s="5" t="s">
        <v>719</v>
      </c>
      <c r="E367" s="6" t="s">
        <v>674</v>
      </c>
      <c r="F367" s="7" t="s">
        <v>720</v>
      </c>
      <c r="G367" s="8" t="str">
        <f t="shared" si="15"/>
        <v>TELECOMM</v>
      </c>
    </row>
    <row r="368" spans="1:7">
      <c r="A368" s="4" t="str">
        <f t="shared" si="16"/>
        <v>015</v>
      </c>
      <c r="B368" s="4" t="str">
        <f t="shared" si="17"/>
        <v>24</v>
      </c>
      <c r="C368" s="5" t="s">
        <v>721</v>
      </c>
      <c r="E368" s="6" t="s">
        <v>674</v>
      </c>
      <c r="F368" s="7" t="s">
        <v>722</v>
      </c>
      <c r="G368" s="8" t="str">
        <f t="shared" si="15"/>
        <v>PARDON A</v>
      </c>
    </row>
    <row r="369" spans="1:7">
      <c r="A369" s="4" t="str">
        <f t="shared" si="16"/>
        <v>015</v>
      </c>
      <c r="B369" s="4" t="str">
        <f t="shared" si="17"/>
        <v>25</v>
      </c>
      <c r="C369" s="5" t="s">
        <v>723</v>
      </c>
      <c r="E369" s="6" t="s">
        <v>674</v>
      </c>
      <c r="F369" s="7" t="s">
        <v>724</v>
      </c>
      <c r="G369" s="8" t="str">
        <f t="shared" si="15"/>
        <v>UNITED S</v>
      </c>
    </row>
    <row r="370" spans="1:7">
      <c r="A370" s="4" t="str">
        <f t="shared" si="16"/>
        <v>015</v>
      </c>
      <c r="B370" s="4" t="str">
        <f t="shared" si="17"/>
        <v>26</v>
      </c>
      <c r="C370" s="5" t="s">
        <v>725</v>
      </c>
      <c r="E370" s="6" t="s">
        <v>674</v>
      </c>
      <c r="F370" s="7" t="s">
        <v>726</v>
      </c>
      <c r="G370" s="8" t="str">
        <f t="shared" si="15"/>
        <v>EXECUTIV</v>
      </c>
    </row>
    <row r="371" spans="1:7">
      <c r="A371" s="4" t="str">
        <f t="shared" si="16"/>
        <v>015</v>
      </c>
      <c r="B371" s="4" t="str">
        <f t="shared" si="17"/>
        <v>27</v>
      </c>
      <c r="C371" s="5" t="s">
        <v>727</v>
      </c>
      <c r="E371" s="6" t="s">
        <v>674</v>
      </c>
      <c r="F371" s="7" t="s">
        <v>318</v>
      </c>
      <c r="G371" s="8" t="str">
        <f t="shared" si="15"/>
        <v>OFFICE O</v>
      </c>
    </row>
    <row r="372" spans="1:7">
      <c r="A372" s="4" t="str">
        <f t="shared" si="16"/>
        <v>015</v>
      </c>
      <c r="B372" s="4" t="str">
        <f t="shared" si="17"/>
        <v>28</v>
      </c>
      <c r="C372" s="5" t="s">
        <v>728</v>
      </c>
      <c r="E372" s="6" t="s">
        <v>674</v>
      </c>
      <c r="F372" s="7" t="s">
        <v>729</v>
      </c>
      <c r="G372" s="8" t="str">
        <f t="shared" si="15"/>
        <v>OFFICE O</v>
      </c>
    </row>
    <row r="373" spans="1:7">
      <c r="A373" s="4" t="str">
        <f t="shared" si="16"/>
        <v>015</v>
      </c>
      <c r="B373" s="4" t="str">
        <f t="shared" si="17"/>
        <v>29</v>
      </c>
      <c r="C373" s="5" t="s">
        <v>730</v>
      </c>
      <c r="E373" s="6" t="s">
        <v>674</v>
      </c>
      <c r="F373" s="7" t="s">
        <v>731</v>
      </c>
      <c r="G373" s="8" t="str">
        <f t="shared" si="15"/>
        <v>COMMUNIT</v>
      </c>
    </row>
    <row r="374" spans="1:7">
      <c r="A374" s="4" t="str">
        <f t="shared" si="16"/>
        <v>015</v>
      </c>
      <c r="B374" s="4" t="str">
        <f t="shared" si="17"/>
        <v>30</v>
      </c>
      <c r="C374" s="5" t="s">
        <v>732</v>
      </c>
      <c r="E374" s="6" t="s">
        <v>674</v>
      </c>
      <c r="F374" s="7" t="s">
        <v>733</v>
      </c>
      <c r="G374" s="8" t="str">
        <f t="shared" si="15"/>
        <v>INFORMAT</v>
      </c>
    </row>
    <row r="375" spans="1:7">
      <c r="A375" s="4" t="str">
        <f t="shared" si="16"/>
        <v>015</v>
      </c>
      <c r="B375" s="4" t="str">
        <f t="shared" si="17"/>
        <v>31</v>
      </c>
      <c r="C375" s="5" t="s">
        <v>734</v>
      </c>
      <c r="E375" s="6" t="s">
        <v>674</v>
      </c>
      <c r="F375" s="7" t="s">
        <v>735</v>
      </c>
      <c r="G375" s="8" t="str">
        <f t="shared" si="15"/>
        <v>UNITED S</v>
      </c>
    </row>
    <row r="376" spans="1:7">
      <c r="A376" s="4" t="str">
        <f t="shared" si="16"/>
        <v>015</v>
      </c>
      <c r="B376" s="4" t="str">
        <f t="shared" si="17"/>
        <v>32</v>
      </c>
      <c r="C376" s="5" t="s">
        <v>736</v>
      </c>
      <c r="E376" s="6" t="s">
        <v>674</v>
      </c>
      <c r="F376" s="7" t="s">
        <v>737</v>
      </c>
      <c r="G376" s="8" t="str">
        <f t="shared" si="15"/>
        <v>DRUG ENF</v>
      </c>
    </row>
    <row r="377" spans="1:7">
      <c r="A377" s="4" t="str">
        <f t="shared" si="16"/>
        <v>015</v>
      </c>
      <c r="B377" s="4" t="str">
        <f t="shared" si="17"/>
        <v>33</v>
      </c>
      <c r="C377" s="5" t="s">
        <v>738</v>
      </c>
      <c r="E377" s="6" t="s">
        <v>674</v>
      </c>
      <c r="F377" s="7" t="s">
        <v>739</v>
      </c>
      <c r="G377" s="8" t="str">
        <f t="shared" si="15"/>
        <v>OFFICE O</v>
      </c>
    </row>
    <row r="378" spans="1:7">
      <c r="A378" s="4" t="str">
        <f t="shared" si="16"/>
        <v>015</v>
      </c>
      <c r="B378" s="4" t="str">
        <f t="shared" si="17"/>
        <v>34</v>
      </c>
      <c r="C378" s="5" t="s">
        <v>740</v>
      </c>
      <c r="E378" s="6" t="s">
        <v>674</v>
      </c>
      <c r="F378" s="7" t="s">
        <v>741</v>
      </c>
      <c r="G378" s="8" t="str">
        <f t="shared" si="15"/>
        <v>OFFICE O</v>
      </c>
    </row>
    <row r="379" spans="1:7">
      <c r="A379" s="4" t="str">
        <f t="shared" si="16"/>
        <v>015</v>
      </c>
      <c r="B379" s="4" t="str">
        <f t="shared" si="17"/>
        <v>35</v>
      </c>
      <c r="C379" s="5" t="s">
        <v>742</v>
      </c>
      <c r="E379" s="6" t="s">
        <v>674</v>
      </c>
      <c r="F379" s="7" t="s">
        <v>743</v>
      </c>
      <c r="G379" s="8" t="str">
        <f t="shared" si="15"/>
        <v>OFFICE O</v>
      </c>
    </row>
    <row r="380" spans="1:7">
      <c r="A380" s="4" t="str">
        <f t="shared" si="16"/>
        <v>015</v>
      </c>
      <c r="B380" s="4" t="str">
        <f t="shared" si="17"/>
        <v>36</v>
      </c>
      <c r="C380" s="5" t="s">
        <v>744</v>
      </c>
      <c r="E380" s="6" t="s">
        <v>674</v>
      </c>
      <c r="F380" s="7" t="s">
        <v>745</v>
      </c>
      <c r="G380" s="8" t="str">
        <f t="shared" si="15"/>
        <v xml:space="preserve">FOREIGN </v>
      </c>
    </row>
    <row r="381" spans="1:7">
      <c r="A381" s="4" t="str">
        <f t="shared" si="16"/>
        <v>015</v>
      </c>
      <c r="B381" s="4" t="str">
        <f t="shared" si="17"/>
        <v>37</v>
      </c>
      <c r="C381" s="5" t="s">
        <v>746</v>
      </c>
      <c r="E381" s="6" t="s">
        <v>674</v>
      </c>
      <c r="F381" s="7" t="s">
        <v>747</v>
      </c>
      <c r="G381" s="8" t="str">
        <f t="shared" si="15"/>
        <v>OFC OF S</v>
      </c>
    </row>
    <row r="382" spans="1:7">
      <c r="A382" s="4" t="str">
        <f t="shared" si="16"/>
        <v>015</v>
      </c>
      <c r="B382" s="4" t="str">
        <f t="shared" si="17"/>
        <v>38</v>
      </c>
      <c r="C382" s="5" t="s">
        <v>748</v>
      </c>
      <c r="E382" s="6" t="s">
        <v>674</v>
      </c>
      <c r="F382" s="7" t="s">
        <v>749</v>
      </c>
      <c r="G382" s="8" t="str">
        <f t="shared" si="15"/>
        <v>OFFICE O</v>
      </c>
    </row>
    <row r="383" spans="1:7">
      <c r="A383" s="4" t="str">
        <f t="shared" si="16"/>
        <v>015</v>
      </c>
      <c r="B383" s="4" t="str">
        <f t="shared" si="17"/>
        <v>39</v>
      </c>
      <c r="C383" s="5" t="s">
        <v>750</v>
      </c>
      <c r="E383" s="6" t="s">
        <v>674</v>
      </c>
      <c r="F383" s="7" t="s">
        <v>654</v>
      </c>
      <c r="G383" s="8" t="str">
        <f t="shared" si="15"/>
        <v>OFFICE O</v>
      </c>
    </row>
    <row r="384" spans="1:7">
      <c r="A384" s="4" t="str">
        <f t="shared" si="16"/>
        <v>015</v>
      </c>
      <c r="B384" s="4" t="str">
        <f t="shared" si="17"/>
        <v>40</v>
      </c>
      <c r="C384" s="5" t="s">
        <v>751</v>
      </c>
      <c r="E384" s="6" t="s">
        <v>674</v>
      </c>
      <c r="F384" s="7" t="s">
        <v>752</v>
      </c>
      <c r="G384" s="8" t="str">
        <f t="shared" si="15"/>
        <v>CIVIL LI</v>
      </c>
    </row>
    <row r="385" spans="1:7">
      <c r="A385" s="4" t="str">
        <f t="shared" si="16"/>
        <v>015</v>
      </c>
      <c r="B385" s="4" t="str">
        <f t="shared" si="17"/>
        <v>41</v>
      </c>
      <c r="C385" s="5" t="s">
        <v>753</v>
      </c>
      <c r="E385" s="6" t="s">
        <v>674</v>
      </c>
      <c r="F385" s="7" t="s">
        <v>754</v>
      </c>
      <c r="G385" s="8" t="str">
        <f t="shared" si="15"/>
        <v>JD COUNS</v>
      </c>
    </row>
    <row r="386" spans="1:7">
      <c r="A386" s="4" t="str">
        <f t="shared" si="16"/>
        <v>015</v>
      </c>
      <c r="B386" s="4" t="str">
        <f t="shared" si="17"/>
        <v>42</v>
      </c>
      <c r="C386" s="5" t="s">
        <v>755</v>
      </c>
      <c r="E386" s="6" t="s">
        <v>674</v>
      </c>
      <c r="F386" s="7" t="s">
        <v>756</v>
      </c>
      <c r="G386" s="8" t="str">
        <f t="shared" ref="G386:G449" si="18">LEFT(F386,8)</f>
        <v>DOJ,DRUG</v>
      </c>
    </row>
    <row r="387" spans="1:7">
      <c r="A387" s="4" t="str">
        <f t="shared" ref="A387:A450" si="19">LEFT(C387,3)</f>
        <v>015</v>
      </c>
      <c r="B387" s="4" t="str">
        <f t="shared" ref="B387:B450" si="20">RIGHT(C387,2)</f>
        <v>43</v>
      </c>
      <c r="C387" s="5" t="s">
        <v>757</v>
      </c>
      <c r="E387" s="6" t="s">
        <v>674</v>
      </c>
      <c r="F387" s="7" t="s">
        <v>758</v>
      </c>
      <c r="G387" s="8" t="str">
        <f t="shared" si="18"/>
        <v>DOJ,COUR</v>
      </c>
    </row>
    <row r="388" spans="1:7">
      <c r="A388" s="4" t="str">
        <f t="shared" si="19"/>
        <v>015</v>
      </c>
      <c r="B388" s="4" t="str">
        <f t="shared" si="20"/>
        <v>44</v>
      </c>
      <c r="C388" s="5" t="s">
        <v>759</v>
      </c>
      <c r="E388" s="6" t="s">
        <v>674</v>
      </c>
      <c r="F388" s="7" t="s">
        <v>760</v>
      </c>
      <c r="G388" s="8" t="str">
        <f t="shared" si="18"/>
        <v>DOJ,OFFI</v>
      </c>
    </row>
    <row r="389" spans="1:7">
      <c r="A389" s="4" t="str">
        <f t="shared" si="19"/>
        <v>015</v>
      </c>
      <c r="B389" s="4" t="str">
        <f t="shared" si="20"/>
        <v>45</v>
      </c>
      <c r="C389" s="5" t="s">
        <v>761</v>
      </c>
      <c r="E389" s="6" t="s">
        <v>674</v>
      </c>
      <c r="F389" s="7" t="s">
        <v>762</v>
      </c>
      <c r="G389" s="8" t="str">
        <f t="shared" si="18"/>
        <v>ORGANIZE</v>
      </c>
    </row>
    <row r="390" spans="1:7">
      <c r="A390" s="4" t="str">
        <f t="shared" si="19"/>
        <v>015</v>
      </c>
      <c r="B390" s="4" t="str">
        <f t="shared" si="20"/>
        <v>46</v>
      </c>
      <c r="C390" s="5" t="s">
        <v>763</v>
      </c>
      <c r="E390" s="6" t="s">
        <v>674</v>
      </c>
      <c r="F390" s="7" t="s">
        <v>764</v>
      </c>
      <c r="G390" s="8" t="str">
        <f t="shared" si="18"/>
        <v>D.O.J./N</v>
      </c>
    </row>
    <row r="391" spans="1:7">
      <c r="A391" s="4" t="str">
        <f t="shared" si="19"/>
        <v>015</v>
      </c>
      <c r="B391" s="4" t="str">
        <f t="shared" si="20"/>
        <v>47</v>
      </c>
      <c r="C391" s="5" t="s">
        <v>765</v>
      </c>
      <c r="E391" s="6" t="s">
        <v>674</v>
      </c>
      <c r="F391" s="7" t="s">
        <v>766</v>
      </c>
      <c r="G391" s="8" t="str">
        <f t="shared" si="18"/>
        <v xml:space="preserve">FED BUR </v>
      </c>
    </row>
    <row r="392" spans="1:7">
      <c r="A392" s="4" t="str">
        <f t="shared" si="19"/>
        <v>015</v>
      </c>
      <c r="B392" s="4" t="str">
        <f t="shared" si="20"/>
        <v>51</v>
      </c>
      <c r="C392" s="13" t="s">
        <v>767</v>
      </c>
      <c r="D392" s="18" t="s">
        <v>3166</v>
      </c>
      <c r="E392" s="14" t="s">
        <v>674</v>
      </c>
      <c r="F392" s="15" t="s">
        <v>768</v>
      </c>
      <c r="G392" s="8" t="str">
        <f t="shared" si="18"/>
        <v>GOVERNME</v>
      </c>
    </row>
    <row r="393" spans="1:7">
      <c r="A393" s="4" t="str">
        <f t="shared" si="19"/>
        <v>015</v>
      </c>
      <c r="B393" s="4" t="str">
        <f t="shared" si="20"/>
        <v>93</v>
      </c>
      <c r="C393" s="5" t="s">
        <v>769</v>
      </c>
      <c r="E393" s="6" t="s">
        <v>674</v>
      </c>
      <c r="F393" s="7" t="s">
        <v>770</v>
      </c>
      <c r="G393" s="8" t="str">
        <f t="shared" si="18"/>
        <v>BUR OF A</v>
      </c>
    </row>
    <row r="394" spans="1:7">
      <c r="A394" s="4" t="str">
        <f t="shared" si="19"/>
        <v>015</v>
      </c>
      <c r="B394" s="4" t="str">
        <f t="shared" si="20"/>
        <v>97</v>
      </c>
      <c r="C394" s="5" t="s">
        <v>771</v>
      </c>
      <c r="E394" s="6" t="s">
        <v>674</v>
      </c>
      <c r="F394" s="7" t="s">
        <v>102</v>
      </c>
      <c r="G394" s="8" t="str">
        <f t="shared" si="18"/>
        <v>GSA ADVA</v>
      </c>
    </row>
    <row r="395" spans="1:7">
      <c r="A395" s="4" t="str">
        <f t="shared" si="19"/>
        <v>015</v>
      </c>
      <c r="B395" s="4" t="str">
        <f t="shared" si="20"/>
        <v>99</v>
      </c>
      <c r="C395" s="5" t="s">
        <v>772</v>
      </c>
      <c r="E395" s="6" t="s">
        <v>674</v>
      </c>
      <c r="F395" s="7" t="s">
        <v>132</v>
      </c>
      <c r="G395" s="8" t="str">
        <f t="shared" si="18"/>
        <v>SUBCONTR</v>
      </c>
    </row>
    <row r="396" spans="1:7">
      <c r="A396" s="4" t="str">
        <f t="shared" si="19"/>
        <v>016</v>
      </c>
      <c r="B396" s="4" t="str">
        <f t="shared" si="20"/>
        <v>00</v>
      </c>
      <c r="C396" s="5" t="s">
        <v>773</v>
      </c>
      <c r="E396" s="6" t="s">
        <v>774</v>
      </c>
      <c r="F396" s="7" t="s">
        <v>774</v>
      </c>
      <c r="G396" s="8" t="str">
        <f t="shared" si="18"/>
        <v>DEPARTME</v>
      </c>
    </row>
    <row r="397" spans="1:7">
      <c r="A397" s="4" t="str">
        <f t="shared" si="19"/>
        <v>016</v>
      </c>
      <c r="B397" s="4" t="str">
        <f t="shared" si="20"/>
        <v>02</v>
      </c>
      <c r="C397" s="5" t="s">
        <v>775</v>
      </c>
      <c r="E397" s="6" t="s">
        <v>774</v>
      </c>
      <c r="F397" s="7" t="s">
        <v>776</v>
      </c>
      <c r="G397" s="8" t="str">
        <f t="shared" si="18"/>
        <v>ASSISTAN</v>
      </c>
    </row>
    <row r="398" spans="1:7">
      <c r="A398" s="4" t="str">
        <f t="shared" si="19"/>
        <v>016</v>
      </c>
      <c r="B398" s="4" t="str">
        <f t="shared" si="20"/>
        <v>03</v>
      </c>
      <c r="C398" s="5" t="s">
        <v>777</v>
      </c>
      <c r="E398" s="6" t="s">
        <v>774</v>
      </c>
      <c r="F398" s="7" t="s">
        <v>778</v>
      </c>
      <c r="G398" s="8" t="str">
        <f t="shared" si="18"/>
        <v>MINE SAF</v>
      </c>
    </row>
    <row r="399" spans="1:7">
      <c r="A399" s="4" t="str">
        <f t="shared" si="19"/>
        <v>016</v>
      </c>
      <c r="B399" s="4" t="str">
        <f t="shared" si="20"/>
        <v>04</v>
      </c>
      <c r="C399" s="5" t="s">
        <v>779</v>
      </c>
      <c r="E399" s="6" t="s">
        <v>774</v>
      </c>
      <c r="F399" s="7" t="s">
        <v>654</v>
      </c>
      <c r="G399" s="8" t="str">
        <f t="shared" si="18"/>
        <v>OFFICE O</v>
      </c>
    </row>
    <row r="400" spans="1:7">
      <c r="A400" s="4" t="str">
        <f t="shared" si="19"/>
        <v>016</v>
      </c>
      <c r="B400" s="4" t="str">
        <f t="shared" si="20"/>
        <v>05</v>
      </c>
      <c r="C400" s="5" t="s">
        <v>780</v>
      </c>
      <c r="E400" s="6" t="s">
        <v>774</v>
      </c>
      <c r="F400" s="7" t="s">
        <v>781</v>
      </c>
      <c r="G400" s="8" t="str">
        <f t="shared" si="18"/>
        <v>EMPLOYEE</v>
      </c>
    </row>
    <row r="401" spans="1:7">
      <c r="A401" s="4" t="str">
        <f t="shared" si="19"/>
        <v>016</v>
      </c>
      <c r="B401" s="4" t="str">
        <f t="shared" si="20"/>
        <v>06</v>
      </c>
      <c r="C401" s="5" t="s">
        <v>782</v>
      </c>
      <c r="E401" s="6" t="s">
        <v>774</v>
      </c>
      <c r="F401" s="7" t="s">
        <v>783</v>
      </c>
      <c r="G401" s="8" t="str">
        <f t="shared" si="18"/>
        <v xml:space="preserve">PENSION </v>
      </c>
    </row>
    <row r="402" spans="1:7">
      <c r="A402" s="4" t="str">
        <f t="shared" si="19"/>
        <v>016</v>
      </c>
      <c r="B402" s="4" t="str">
        <f t="shared" si="20"/>
        <v>07</v>
      </c>
      <c r="C402" s="5" t="s">
        <v>784</v>
      </c>
      <c r="E402" s="6" t="s">
        <v>774</v>
      </c>
      <c r="F402" s="7" t="s">
        <v>785</v>
      </c>
      <c r="G402" s="8" t="str">
        <f t="shared" si="18"/>
        <v>BUREAU O</v>
      </c>
    </row>
    <row r="403" spans="1:7">
      <c r="A403" s="4" t="str">
        <f t="shared" si="19"/>
        <v>016</v>
      </c>
      <c r="B403" s="4" t="str">
        <f t="shared" si="20"/>
        <v>08</v>
      </c>
      <c r="C403" s="5" t="s">
        <v>786</v>
      </c>
      <c r="E403" s="6" t="s">
        <v>774</v>
      </c>
      <c r="F403" s="7" t="s">
        <v>787</v>
      </c>
      <c r="G403" s="8" t="str">
        <f t="shared" si="18"/>
        <v>OFFICE O</v>
      </c>
    </row>
    <row r="404" spans="1:7">
      <c r="A404" s="4" t="str">
        <f t="shared" si="19"/>
        <v>016</v>
      </c>
      <c r="B404" s="4" t="str">
        <f t="shared" si="20"/>
        <v>09</v>
      </c>
      <c r="C404" s="5" t="s">
        <v>788</v>
      </c>
      <c r="E404" s="6" t="s">
        <v>774</v>
      </c>
      <c r="F404" s="7" t="s">
        <v>789</v>
      </c>
      <c r="G404" s="8" t="str">
        <f t="shared" si="18"/>
        <v>BUREAU O</v>
      </c>
    </row>
    <row r="405" spans="1:7">
      <c r="A405" s="4" t="str">
        <f t="shared" si="19"/>
        <v>016</v>
      </c>
      <c r="B405" s="4" t="str">
        <f t="shared" si="20"/>
        <v>10</v>
      </c>
      <c r="C405" s="5" t="s">
        <v>790</v>
      </c>
      <c r="E405" s="6" t="s">
        <v>774</v>
      </c>
      <c r="F405" s="7" t="s">
        <v>470</v>
      </c>
      <c r="G405" s="8" t="str">
        <f t="shared" si="18"/>
        <v>OFFICE O</v>
      </c>
    </row>
    <row r="406" spans="1:7">
      <c r="A406" s="4" t="str">
        <f t="shared" si="19"/>
        <v>016</v>
      </c>
      <c r="B406" s="4" t="str">
        <f t="shared" si="20"/>
        <v>11</v>
      </c>
      <c r="C406" s="5" t="s">
        <v>791</v>
      </c>
      <c r="E406" s="6" t="s">
        <v>774</v>
      </c>
      <c r="F406" s="7" t="s">
        <v>792</v>
      </c>
      <c r="G406" s="8" t="str">
        <f t="shared" si="18"/>
        <v>DOL LAND</v>
      </c>
    </row>
    <row r="407" spans="1:7">
      <c r="A407" s="4" t="str">
        <f t="shared" si="19"/>
        <v>016</v>
      </c>
      <c r="B407" s="4" t="str">
        <f t="shared" si="20"/>
        <v>12</v>
      </c>
      <c r="C407" s="5" t="s">
        <v>793</v>
      </c>
      <c r="E407" s="6" t="s">
        <v>774</v>
      </c>
      <c r="F407" s="7" t="s">
        <v>794</v>
      </c>
      <c r="G407" s="8" t="str">
        <f t="shared" si="18"/>
        <v>LAB DEPT</v>
      </c>
    </row>
    <row r="408" spans="1:7">
      <c r="A408" s="4" t="str">
        <f t="shared" si="19"/>
        <v>016</v>
      </c>
      <c r="B408" s="4" t="str">
        <f t="shared" si="20"/>
        <v>13</v>
      </c>
      <c r="C408" s="5" t="s">
        <v>795</v>
      </c>
      <c r="E408" s="6" t="s">
        <v>774</v>
      </c>
      <c r="F408" s="7" t="s">
        <v>796</v>
      </c>
      <c r="G408" s="8" t="str">
        <f t="shared" si="18"/>
        <v>DEPARTME</v>
      </c>
    </row>
    <row r="409" spans="1:7">
      <c r="A409" s="4" t="str">
        <f t="shared" si="19"/>
        <v>016</v>
      </c>
      <c r="B409" s="4" t="str">
        <f t="shared" si="20"/>
        <v>14</v>
      </c>
      <c r="C409" s="5" t="s">
        <v>797</v>
      </c>
      <c r="E409" s="6" t="s">
        <v>774</v>
      </c>
      <c r="F409" s="7" t="s">
        <v>798</v>
      </c>
      <c r="G409" s="8" t="str">
        <f t="shared" si="18"/>
        <v>OCCUPATI</v>
      </c>
    </row>
    <row r="410" spans="1:7">
      <c r="A410" s="4" t="str">
        <f t="shared" si="19"/>
        <v>016</v>
      </c>
      <c r="B410" s="4" t="str">
        <f t="shared" si="20"/>
        <v>15</v>
      </c>
      <c r="C410" s="5" t="s">
        <v>799</v>
      </c>
      <c r="E410" s="6" t="s">
        <v>774</v>
      </c>
      <c r="F410" s="7" t="s">
        <v>800</v>
      </c>
      <c r="G410" s="8" t="str">
        <f t="shared" si="18"/>
        <v>BUREAU O</v>
      </c>
    </row>
    <row r="411" spans="1:7">
      <c r="A411" s="4" t="str">
        <f t="shared" si="19"/>
        <v>016</v>
      </c>
      <c r="B411" s="4" t="str">
        <f t="shared" si="20"/>
        <v>16</v>
      </c>
      <c r="C411" s="5" t="s">
        <v>801</v>
      </c>
      <c r="E411" s="6" t="s">
        <v>774</v>
      </c>
      <c r="F411" s="7" t="s">
        <v>802</v>
      </c>
      <c r="G411" s="8" t="str">
        <f t="shared" si="18"/>
        <v>EMPLOYME</v>
      </c>
    </row>
    <row r="412" spans="1:7">
      <c r="A412" s="4" t="str">
        <f t="shared" si="19"/>
        <v>016</v>
      </c>
      <c r="B412" s="4" t="str">
        <f t="shared" si="20"/>
        <v>17</v>
      </c>
      <c r="C412" s="5" t="s">
        <v>803</v>
      </c>
      <c r="E412" s="6" t="s">
        <v>774</v>
      </c>
      <c r="F412" s="7" t="s">
        <v>804</v>
      </c>
      <c r="G412" s="8" t="str">
        <f t="shared" si="18"/>
        <v>OFFICE O</v>
      </c>
    </row>
    <row r="413" spans="1:7">
      <c r="A413" s="4" t="str">
        <f t="shared" si="19"/>
        <v>016</v>
      </c>
      <c r="B413" s="4" t="str">
        <f t="shared" si="20"/>
        <v>18</v>
      </c>
      <c r="C413" s="5" t="s">
        <v>805</v>
      </c>
      <c r="E413" s="6" t="s">
        <v>774</v>
      </c>
      <c r="F413" s="7" t="s">
        <v>806</v>
      </c>
      <c r="G413" s="8" t="str">
        <f t="shared" si="18"/>
        <v>EMPLOYME</v>
      </c>
    </row>
    <row r="414" spans="1:7">
      <c r="A414" s="4" t="str">
        <f t="shared" si="19"/>
        <v>016</v>
      </c>
      <c r="B414" s="4" t="str">
        <f t="shared" si="20"/>
        <v>19</v>
      </c>
      <c r="C414" s="5" t="s">
        <v>807</v>
      </c>
      <c r="E414" s="6" t="s">
        <v>774</v>
      </c>
      <c r="F414" s="7" t="s">
        <v>638</v>
      </c>
      <c r="G414" s="8" t="str">
        <f t="shared" si="18"/>
        <v>OFFICE O</v>
      </c>
    </row>
    <row r="415" spans="1:7">
      <c r="A415" s="4" t="str">
        <f t="shared" si="19"/>
        <v>016</v>
      </c>
      <c r="B415" s="4" t="str">
        <f t="shared" si="20"/>
        <v>20</v>
      </c>
      <c r="C415" s="5" t="s">
        <v>808</v>
      </c>
      <c r="E415" s="6" t="s">
        <v>774</v>
      </c>
      <c r="F415" s="7" t="s">
        <v>809</v>
      </c>
      <c r="G415" s="8" t="str">
        <f t="shared" si="18"/>
        <v>VETERANS</v>
      </c>
    </row>
    <row r="416" spans="1:7">
      <c r="A416" s="4" t="str">
        <f t="shared" si="19"/>
        <v>016</v>
      </c>
      <c r="B416" s="4" t="str">
        <f t="shared" si="20"/>
        <v>21</v>
      </c>
      <c r="C416" s="5" t="s">
        <v>810</v>
      </c>
      <c r="E416" s="6" t="s">
        <v>774</v>
      </c>
      <c r="F416" s="7" t="s">
        <v>811</v>
      </c>
      <c r="G416" s="8" t="str">
        <f t="shared" si="18"/>
        <v>LD PUBLI</v>
      </c>
    </row>
    <row r="417" spans="1:7">
      <c r="A417" s="4" t="str">
        <f t="shared" si="19"/>
        <v>016</v>
      </c>
      <c r="B417" s="4" t="str">
        <f t="shared" si="20"/>
        <v>22</v>
      </c>
      <c r="C417" s="5" t="s">
        <v>812</v>
      </c>
      <c r="E417" s="6" t="s">
        <v>774</v>
      </c>
      <c r="F417" s="7" t="s">
        <v>813</v>
      </c>
      <c r="G417" s="8" t="str">
        <f t="shared" si="18"/>
        <v>LD CONGR</v>
      </c>
    </row>
    <row r="418" spans="1:7">
      <c r="A418" s="4" t="str">
        <f t="shared" si="19"/>
        <v>016</v>
      </c>
      <c r="B418" s="4" t="str">
        <f t="shared" si="20"/>
        <v>23</v>
      </c>
      <c r="C418" s="5" t="s">
        <v>814</v>
      </c>
      <c r="E418" s="6" t="s">
        <v>774</v>
      </c>
      <c r="F418" s="7" t="s">
        <v>815</v>
      </c>
      <c r="G418" s="8" t="str">
        <f t="shared" si="18"/>
        <v>LD ASSIS</v>
      </c>
    </row>
    <row r="419" spans="1:7">
      <c r="A419" s="4" t="str">
        <f t="shared" si="19"/>
        <v>016</v>
      </c>
      <c r="B419" s="4" t="str">
        <f t="shared" si="20"/>
        <v>24</v>
      </c>
      <c r="C419" s="5" t="s">
        <v>816</v>
      </c>
      <c r="E419" s="6" t="s">
        <v>774</v>
      </c>
      <c r="F419" s="7" t="s">
        <v>817</v>
      </c>
      <c r="G419" s="8" t="str">
        <f t="shared" si="18"/>
        <v>LD WOMEN</v>
      </c>
    </row>
    <row r="420" spans="1:7">
      <c r="A420" s="4" t="str">
        <f t="shared" si="19"/>
        <v>016</v>
      </c>
      <c r="B420" s="4" t="str">
        <f t="shared" si="20"/>
        <v>25</v>
      </c>
      <c r="C420" s="5" t="s">
        <v>818</v>
      </c>
      <c r="E420" s="6" t="s">
        <v>774</v>
      </c>
      <c r="F420" s="7" t="s">
        <v>819</v>
      </c>
      <c r="G420" s="8" t="str">
        <f t="shared" si="18"/>
        <v>LD BENEF</v>
      </c>
    </row>
    <row r="421" spans="1:7">
      <c r="A421" s="4" t="str">
        <f t="shared" si="19"/>
        <v>016</v>
      </c>
      <c r="B421" s="4" t="str">
        <f t="shared" si="20"/>
        <v>26</v>
      </c>
      <c r="C421" s="5" t="s">
        <v>820</v>
      </c>
      <c r="E421" s="6" t="s">
        <v>774</v>
      </c>
      <c r="F421" s="7" t="s">
        <v>821</v>
      </c>
      <c r="G421" s="8" t="str">
        <f t="shared" si="18"/>
        <v>LD EMPLO</v>
      </c>
    </row>
    <row r="422" spans="1:7">
      <c r="A422" s="4" t="str">
        <f t="shared" si="19"/>
        <v>016</v>
      </c>
      <c r="B422" s="4" t="str">
        <f t="shared" si="20"/>
        <v>27</v>
      </c>
      <c r="C422" s="5" t="s">
        <v>822</v>
      </c>
      <c r="E422" s="6" t="s">
        <v>774</v>
      </c>
      <c r="F422" s="7" t="s">
        <v>823</v>
      </c>
      <c r="G422" s="8" t="str">
        <f t="shared" si="18"/>
        <v>LD ADMIN</v>
      </c>
    </row>
    <row r="423" spans="1:7">
      <c r="A423" s="4" t="str">
        <f t="shared" si="19"/>
        <v>016</v>
      </c>
      <c r="B423" s="4" t="str">
        <f t="shared" si="20"/>
        <v>28</v>
      </c>
      <c r="C423" s="5" t="s">
        <v>824</v>
      </c>
      <c r="E423" s="6" t="s">
        <v>774</v>
      </c>
      <c r="F423" s="7" t="s">
        <v>825</v>
      </c>
      <c r="G423" s="8" t="str">
        <f t="shared" si="18"/>
        <v>OASAM/IT</v>
      </c>
    </row>
    <row r="424" spans="1:7">
      <c r="A424" s="4" t="str">
        <f t="shared" si="19"/>
        <v>016</v>
      </c>
      <c r="B424" s="4" t="str">
        <f t="shared" si="20"/>
        <v>29</v>
      </c>
      <c r="C424" s="5" t="s">
        <v>826</v>
      </c>
      <c r="E424" s="6" t="s">
        <v>774</v>
      </c>
      <c r="F424" s="7" t="s">
        <v>454</v>
      </c>
      <c r="G424" s="8" t="str">
        <f t="shared" si="18"/>
        <v>OFFICE O</v>
      </c>
    </row>
    <row r="425" spans="1:7">
      <c r="A425" s="4" t="str">
        <f t="shared" si="19"/>
        <v>016</v>
      </c>
      <c r="B425" s="4" t="str">
        <f t="shared" si="20"/>
        <v>30</v>
      </c>
      <c r="C425" s="5" t="s">
        <v>827</v>
      </c>
      <c r="E425" s="6" t="s">
        <v>774</v>
      </c>
      <c r="F425" s="7" t="s">
        <v>828</v>
      </c>
      <c r="G425" s="8" t="str">
        <f t="shared" si="18"/>
        <v xml:space="preserve">EMPLOY. </v>
      </c>
    </row>
    <row r="426" spans="1:7">
      <c r="A426" s="4" t="str">
        <f t="shared" si="19"/>
        <v>016</v>
      </c>
      <c r="B426" s="4" t="str">
        <f t="shared" si="20"/>
        <v>31</v>
      </c>
      <c r="C426" s="5" t="s">
        <v>829</v>
      </c>
      <c r="E426" s="6" t="s">
        <v>774</v>
      </c>
      <c r="F426" s="7" t="s">
        <v>830</v>
      </c>
      <c r="G426" s="8" t="str">
        <f t="shared" si="18"/>
        <v>EMPLOYME</v>
      </c>
    </row>
    <row r="427" spans="1:7">
      <c r="A427" s="4" t="str">
        <f t="shared" si="19"/>
        <v>016</v>
      </c>
      <c r="B427" s="4" t="str">
        <f t="shared" si="20"/>
        <v>32</v>
      </c>
      <c r="C427" s="5" t="s">
        <v>831</v>
      </c>
      <c r="E427" s="6" t="s">
        <v>774</v>
      </c>
      <c r="F427" s="7" t="s">
        <v>832</v>
      </c>
      <c r="G427" s="8" t="str">
        <f t="shared" si="18"/>
        <v xml:space="preserve">EMPLOY. </v>
      </c>
    </row>
    <row r="428" spans="1:7">
      <c r="A428" s="4" t="str">
        <f t="shared" si="19"/>
        <v>016</v>
      </c>
      <c r="B428" s="4" t="str">
        <f t="shared" si="20"/>
        <v>33</v>
      </c>
      <c r="C428" s="5" t="s">
        <v>833</v>
      </c>
      <c r="E428" s="6" t="s">
        <v>774</v>
      </c>
      <c r="F428" s="7" t="s">
        <v>834</v>
      </c>
      <c r="G428" s="8" t="str">
        <f t="shared" si="18"/>
        <v xml:space="preserve">EMPLOY. </v>
      </c>
    </row>
    <row r="429" spans="1:7">
      <c r="A429" s="4" t="str">
        <f t="shared" si="19"/>
        <v>016</v>
      </c>
      <c r="B429" s="4" t="str">
        <f t="shared" si="20"/>
        <v>34</v>
      </c>
      <c r="C429" s="5" t="s">
        <v>835</v>
      </c>
      <c r="E429" s="6" t="s">
        <v>774</v>
      </c>
      <c r="F429" s="7" t="s">
        <v>836</v>
      </c>
      <c r="G429" s="8" t="str">
        <f t="shared" si="18"/>
        <v>EMPLOYME</v>
      </c>
    </row>
    <row r="430" spans="1:7">
      <c r="A430" s="4" t="str">
        <f t="shared" si="19"/>
        <v>016</v>
      </c>
      <c r="B430" s="4" t="str">
        <f t="shared" si="20"/>
        <v>35</v>
      </c>
      <c r="C430" s="5" t="s">
        <v>837</v>
      </c>
      <c r="E430" s="6" t="s">
        <v>774</v>
      </c>
      <c r="F430" s="7" t="s">
        <v>838</v>
      </c>
      <c r="G430" s="8" t="str">
        <f t="shared" si="18"/>
        <v>MINE SFE</v>
      </c>
    </row>
    <row r="431" spans="1:7">
      <c r="A431" s="4" t="str">
        <f t="shared" si="19"/>
        <v>016</v>
      </c>
      <c r="B431" s="4" t="str">
        <f t="shared" si="20"/>
        <v>36</v>
      </c>
      <c r="C431" s="5" t="s">
        <v>839</v>
      </c>
      <c r="E431" s="6" t="s">
        <v>774</v>
      </c>
      <c r="F431" s="7" t="s">
        <v>840</v>
      </c>
      <c r="G431" s="8" t="str">
        <f t="shared" si="18"/>
        <v>MINE SFE</v>
      </c>
    </row>
    <row r="432" spans="1:7">
      <c r="A432" s="4" t="str">
        <f t="shared" si="19"/>
        <v>016</v>
      </c>
      <c r="B432" s="4" t="str">
        <f t="shared" si="20"/>
        <v>37</v>
      </c>
      <c r="C432" s="5" t="s">
        <v>841</v>
      </c>
      <c r="E432" s="6" t="s">
        <v>774</v>
      </c>
      <c r="F432" s="7" t="s">
        <v>842</v>
      </c>
      <c r="G432" s="8" t="str">
        <f t="shared" si="18"/>
        <v>MINE SAF</v>
      </c>
    </row>
    <row r="433" spans="1:7">
      <c r="A433" s="4" t="str">
        <f t="shared" si="19"/>
        <v>016</v>
      </c>
      <c r="B433" s="4" t="str">
        <f t="shared" si="20"/>
        <v>38</v>
      </c>
      <c r="C433" s="5" t="s">
        <v>843</v>
      </c>
      <c r="E433" s="6" t="s">
        <v>774</v>
      </c>
      <c r="F433" s="7" t="s">
        <v>844</v>
      </c>
      <c r="G433" s="8" t="str">
        <f t="shared" si="18"/>
        <v>MINE SFT</v>
      </c>
    </row>
    <row r="434" spans="1:7">
      <c r="A434" s="4" t="str">
        <f t="shared" si="19"/>
        <v>016</v>
      </c>
      <c r="B434" s="4" t="str">
        <f t="shared" si="20"/>
        <v>39</v>
      </c>
      <c r="C434" s="5" t="s">
        <v>845</v>
      </c>
      <c r="E434" s="6" t="s">
        <v>774</v>
      </c>
      <c r="F434" s="7" t="s">
        <v>846</v>
      </c>
      <c r="G434" s="8" t="str">
        <f t="shared" si="18"/>
        <v>MINE SFT</v>
      </c>
    </row>
    <row r="435" spans="1:7">
      <c r="A435" s="4" t="str">
        <f t="shared" si="19"/>
        <v>016</v>
      </c>
      <c r="B435" s="4" t="str">
        <f t="shared" si="20"/>
        <v>40</v>
      </c>
      <c r="C435" s="5" t="s">
        <v>847</v>
      </c>
      <c r="E435" s="6" t="s">
        <v>774</v>
      </c>
      <c r="F435" s="7" t="s">
        <v>848</v>
      </c>
      <c r="G435" s="8" t="str">
        <f t="shared" si="18"/>
        <v>MINE SFT</v>
      </c>
    </row>
    <row r="436" spans="1:7">
      <c r="A436" s="4" t="str">
        <f t="shared" si="19"/>
        <v>016</v>
      </c>
      <c r="B436" s="4" t="str">
        <f t="shared" si="20"/>
        <v>41</v>
      </c>
      <c r="C436" s="5" t="s">
        <v>849</v>
      </c>
      <c r="E436" s="6" t="s">
        <v>774</v>
      </c>
      <c r="F436" s="7" t="s">
        <v>850</v>
      </c>
      <c r="G436" s="8" t="str">
        <f t="shared" si="18"/>
        <v>MINE SFT</v>
      </c>
    </row>
    <row r="437" spans="1:7">
      <c r="A437" s="4" t="str">
        <f t="shared" si="19"/>
        <v>016</v>
      </c>
      <c r="B437" s="4" t="str">
        <f t="shared" si="20"/>
        <v>42</v>
      </c>
      <c r="C437" s="5" t="s">
        <v>851</v>
      </c>
      <c r="E437" s="6" t="s">
        <v>774</v>
      </c>
      <c r="F437" s="7" t="s">
        <v>852</v>
      </c>
      <c r="G437" s="8" t="str">
        <f t="shared" si="18"/>
        <v>MINE SAF</v>
      </c>
    </row>
    <row r="438" spans="1:7">
      <c r="A438" s="4" t="str">
        <f t="shared" si="19"/>
        <v>016</v>
      </c>
      <c r="B438" s="4" t="str">
        <f t="shared" si="20"/>
        <v>43</v>
      </c>
      <c r="C438" s="5" t="s">
        <v>853</v>
      </c>
      <c r="E438" s="6" t="s">
        <v>774</v>
      </c>
      <c r="F438" s="7" t="s">
        <v>854</v>
      </c>
      <c r="G438" s="8" t="str">
        <f t="shared" si="18"/>
        <v xml:space="preserve">LD OFFC </v>
      </c>
    </row>
    <row r="439" spans="1:7">
      <c r="A439" s="4" t="str">
        <f t="shared" si="19"/>
        <v>016</v>
      </c>
      <c r="B439" s="4" t="str">
        <f t="shared" si="20"/>
        <v>44</v>
      </c>
      <c r="C439" s="5" t="s">
        <v>855</v>
      </c>
      <c r="E439" s="6" t="s">
        <v>774</v>
      </c>
      <c r="F439" s="7" t="s">
        <v>856</v>
      </c>
      <c r="G439" s="8" t="str">
        <f t="shared" si="18"/>
        <v>LD ENTER</v>
      </c>
    </row>
    <row r="440" spans="1:7">
      <c r="A440" s="4" t="str">
        <f t="shared" si="19"/>
        <v>016</v>
      </c>
      <c r="B440" s="4" t="str">
        <f t="shared" si="20"/>
        <v>45</v>
      </c>
      <c r="C440" s="5" t="s">
        <v>857</v>
      </c>
      <c r="E440" s="6" t="s">
        <v>774</v>
      </c>
      <c r="F440" s="7" t="s">
        <v>858</v>
      </c>
      <c r="G440" s="8" t="str">
        <f t="shared" si="18"/>
        <v>LD WORKI</v>
      </c>
    </row>
    <row r="441" spans="1:7">
      <c r="A441" s="4" t="str">
        <f t="shared" si="19"/>
        <v>016</v>
      </c>
      <c r="B441" s="4" t="str">
        <f t="shared" si="20"/>
        <v>46</v>
      </c>
      <c r="C441" s="5" t="s">
        <v>859</v>
      </c>
      <c r="E441" s="6" t="s">
        <v>774</v>
      </c>
      <c r="F441" s="7" t="s">
        <v>860</v>
      </c>
      <c r="G441" s="8" t="str">
        <f t="shared" si="18"/>
        <v>LD OASAM</v>
      </c>
    </row>
    <row r="442" spans="1:7">
      <c r="A442" s="4" t="str">
        <f t="shared" si="19"/>
        <v>016</v>
      </c>
      <c r="B442" s="4" t="str">
        <f t="shared" si="20"/>
        <v>49</v>
      </c>
      <c r="C442" s="5" t="s">
        <v>861</v>
      </c>
      <c r="E442" s="6" t="s">
        <v>774</v>
      </c>
      <c r="F442" s="7" t="s">
        <v>862</v>
      </c>
      <c r="G442" s="8" t="str">
        <f t="shared" si="18"/>
        <v>ANTI-POV</v>
      </c>
    </row>
    <row r="443" spans="1:7">
      <c r="A443" s="4" t="str">
        <f t="shared" si="19"/>
        <v>016</v>
      </c>
      <c r="B443" s="4" t="str">
        <f t="shared" si="20"/>
        <v>51</v>
      </c>
      <c r="C443" s="13" t="s">
        <v>863</v>
      </c>
      <c r="D443" s="18" t="s">
        <v>3166</v>
      </c>
      <c r="E443" s="14" t="s">
        <v>774</v>
      </c>
      <c r="F443" s="15" t="s">
        <v>864</v>
      </c>
      <c r="G443" s="8" t="str">
        <f t="shared" si="18"/>
        <v>GOVERNME</v>
      </c>
    </row>
    <row r="444" spans="1:7">
      <c r="A444" s="4" t="str">
        <f t="shared" si="19"/>
        <v>016</v>
      </c>
      <c r="B444" s="4" t="str">
        <f t="shared" si="20"/>
        <v>52</v>
      </c>
      <c r="C444" s="5" t="s">
        <v>865</v>
      </c>
      <c r="E444" s="6" t="s">
        <v>774</v>
      </c>
      <c r="F444" s="7" t="s">
        <v>866</v>
      </c>
      <c r="G444" s="8" t="str">
        <f t="shared" si="18"/>
        <v xml:space="preserve">LD NATL </v>
      </c>
    </row>
    <row r="445" spans="1:7">
      <c r="A445" s="4" t="str">
        <f t="shared" si="19"/>
        <v>016</v>
      </c>
      <c r="B445" s="4" t="str">
        <f t="shared" si="20"/>
        <v>53</v>
      </c>
      <c r="C445" s="5" t="s">
        <v>867</v>
      </c>
      <c r="E445" s="6" t="s">
        <v>774</v>
      </c>
      <c r="F445" s="7" t="s">
        <v>868</v>
      </c>
      <c r="G445" s="8" t="str">
        <f t="shared" si="18"/>
        <v xml:space="preserve">LD NATL </v>
      </c>
    </row>
    <row r="446" spans="1:7">
      <c r="A446" s="4" t="str">
        <f t="shared" si="19"/>
        <v>016</v>
      </c>
      <c r="B446" s="4" t="str">
        <f t="shared" si="20"/>
        <v>54</v>
      </c>
      <c r="C446" s="5" t="s">
        <v>869</v>
      </c>
      <c r="E446" s="6" t="s">
        <v>774</v>
      </c>
      <c r="F446" s="7" t="s">
        <v>870</v>
      </c>
      <c r="G446" s="8" t="str">
        <f t="shared" si="18"/>
        <v xml:space="preserve">LD PRES </v>
      </c>
    </row>
    <row r="447" spans="1:7">
      <c r="A447" s="4" t="str">
        <f t="shared" si="19"/>
        <v>016</v>
      </c>
      <c r="B447" s="4" t="str">
        <f t="shared" si="20"/>
        <v>55</v>
      </c>
      <c r="C447" s="5" t="s">
        <v>871</v>
      </c>
      <c r="E447" s="6" t="s">
        <v>774</v>
      </c>
      <c r="F447" s="7" t="s">
        <v>872</v>
      </c>
      <c r="G447" s="8" t="str">
        <f t="shared" si="18"/>
        <v xml:space="preserve">LD NATL </v>
      </c>
    </row>
    <row r="448" spans="1:7">
      <c r="A448" s="4" t="str">
        <f t="shared" si="19"/>
        <v>016</v>
      </c>
      <c r="B448" s="4" t="str">
        <f t="shared" si="20"/>
        <v>75</v>
      </c>
      <c r="C448" s="5" t="s">
        <v>873</v>
      </c>
      <c r="E448" s="6" t="s">
        <v>774</v>
      </c>
      <c r="F448" s="7" t="s">
        <v>874</v>
      </c>
      <c r="G448" s="8" t="str">
        <f t="shared" si="18"/>
        <v>DEPARTME</v>
      </c>
    </row>
    <row r="449" spans="1:7">
      <c r="A449" s="4" t="str">
        <f t="shared" si="19"/>
        <v>016</v>
      </c>
      <c r="B449" s="4" t="str">
        <f t="shared" si="20"/>
        <v>80</v>
      </c>
      <c r="C449" s="5" t="s">
        <v>875</v>
      </c>
      <c r="E449" s="6" t="s">
        <v>774</v>
      </c>
      <c r="F449" s="7" t="s">
        <v>876</v>
      </c>
      <c r="G449" s="8" t="str">
        <f t="shared" si="18"/>
        <v>EMPLOYME</v>
      </c>
    </row>
    <row r="450" spans="1:7">
      <c r="A450" s="4" t="str">
        <f t="shared" si="19"/>
        <v>016</v>
      </c>
      <c r="B450" s="4" t="str">
        <f t="shared" si="20"/>
        <v>97</v>
      </c>
      <c r="C450" s="5" t="s">
        <v>877</v>
      </c>
      <c r="E450" s="6" t="s">
        <v>774</v>
      </c>
      <c r="F450" s="7" t="s">
        <v>102</v>
      </c>
      <c r="G450" s="8" t="str">
        <f t="shared" ref="G450:G513" si="21">LEFT(F450,8)</f>
        <v>GSA ADVA</v>
      </c>
    </row>
    <row r="451" spans="1:7">
      <c r="A451" s="4" t="str">
        <f t="shared" ref="A451:A514" si="22">LEFT(C451,3)</f>
        <v>016</v>
      </c>
      <c r="B451" s="4" t="str">
        <f t="shared" ref="B451:B514" si="23">RIGHT(C451,2)</f>
        <v>99</v>
      </c>
      <c r="C451" s="5" t="s">
        <v>878</v>
      </c>
      <c r="E451" s="6" t="s">
        <v>774</v>
      </c>
      <c r="F451" s="7" t="s">
        <v>132</v>
      </c>
      <c r="G451" s="8" t="str">
        <f t="shared" si="21"/>
        <v>SUBCONTR</v>
      </c>
    </row>
    <row r="452" spans="1:7">
      <c r="A452" s="4" t="str">
        <f t="shared" si="22"/>
        <v>017</v>
      </c>
      <c r="B452" s="4" t="str">
        <f t="shared" si="23"/>
        <v>00</v>
      </c>
      <c r="C452" s="5" t="s">
        <v>879</v>
      </c>
      <c r="E452" s="6" t="s">
        <v>880</v>
      </c>
      <c r="F452" s="7" t="s">
        <v>880</v>
      </c>
      <c r="G452" s="8" t="str">
        <f t="shared" si="21"/>
        <v>DEPARTME</v>
      </c>
    </row>
    <row r="453" spans="1:7">
      <c r="A453" s="4" t="str">
        <f t="shared" si="22"/>
        <v>017</v>
      </c>
      <c r="B453" s="4" t="str">
        <f t="shared" si="23"/>
        <v>01</v>
      </c>
      <c r="C453" s="5" t="s">
        <v>881</v>
      </c>
      <c r="E453" s="6" t="s">
        <v>880</v>
      </c>
      <c r="F453" s="7" t="s">
        <v>882</v>
      </c>
      <c r="G453" s="8" t="str">
        <f t="shared" si="21"/>
        <v>SECRETAR</v>
      </c>
    </row>
    <row r="454" spans="1:7">
      <c r="A454" s="4" t="str">
        <f t="shared" si="22"/>
        <v>017</v>
      </c>
      <c r="B454" s="4" t="str">
        <f t="shared" si="23"/>
        <v>02</v>
      </c>
      <c r="C454" s="5" t="s">
        <v>883</v>
      </c>
      <c r="E454" s="6" t="s">
        <v>880</v>
      </c>
      <c r="F454" s="7" t="s">
        <v>884</v>
      </c>
      <c r="G454" s="8" t="str">
        <f t="shared" si="21"/>
        <v>CHIEF OF</v>
      </c>
    </row>
    <row r="455" spans="1:7">
      <c r="A455" s="4" t="str">
        <f t="shared" si="22"/>
        <v>017</v>
      </c>
      <c r="B455" s="4" t="str">
        <f t="shared" si="23"/>
        <v>03</v>
      </c>
      <c r="C455" s="5" t="s">
        <v>885</v>
      </c>
      <c r="E455" s="6" t="s">
        <v>880</v>
      </c>
      <c r="F455" s="7" t="s">
        <v>886</v>
      </c>
      <c r="G455" s="8" t="str">
        <f t="shared" si="21"/>
        <v>COMMANDE</v>
      </c>
    </row>
    <row r="456" spans="1:7">
      <c r="A456" s="4" t="str">
        <f t="shared" si="22"/>
        <v>017</v>
      </c>
      <c r="B456" s="4" t="str">
        <f t="shared" si="23"/>
        <v>04</v>
      </c>
      <c r="C456" s="5" t="s">
        <v>887</v>
      </c>
      <c r="E456" s="6" t="s">
        <v>880</v>
      </c>
      <c r="F456" s="7" t="s">
        <v>888</v>
      </c>
      <c r="G456" s="8" t="str">
        <f t="shared" si="21"/>
        <v>COMPTROL</v>
      </c>
    </row>
    <row r="457" spans="1:7">
      <c r="A457" s="4" t="str">
        <f t="shared" si="22"/>
        <v>017</v>
      </c>
      <c r="B457" s="4" t="str">
        <f t="shared" si="23"/>
        <v>05</v>
      </c>
      <c r="C457" s="5" t="s">
        <v>889</v>
      </c>
      <c r="E457" s="6" t="s">
        <v>880</v>
      </c>
      <c r="F457" s="7" t="s">
        <v>890</v>
      </c>
      <c r="G457" s="8" t="str">
        <f t="shared" si="21"/>
        <v>COMMANDE</v>
      </c>
    </row>
    <row r="458" spans="1:7">
      <c r="A458" s="4" t="str">
        <f t="shared" si="22"/>
        <v>017</v>
      </c>
      <c r="B458" s="4" t="str">
        <f t="shared" si="23"/>
        <v>06</v>
      </c>
      <c r="C458" s="5" t="s">
        <v>891</v>
      </c>
      <c r="E458" s="6" t="s">
        <v>880</v>
      </c>
      <c r="F458" s="7" t="s">
        <v>892</v>
      </c>
      <c r="G458" s="8" t="str">
        <f t="shared" si="21"/>
        <v>CHIEF OF</v>
      </c>
    </row>
    <row r="459" spans="1:7">
      <c r="A459" s="4" t="str">
        <f t="shared" si="22"/>
        <v>017</v>
      </c>
      <c r="B459" s="4" t="str">
        <f t="shared" si="23"/>
        <v>07</v>
      </c>
      <c r="C459" s="5" t="s">
        <v>893</v>
      </c>
      <c r="E459" s="6" t="s">
        <v>880</v>
      </c>
      <c r="F459" s="7" t="s">
        <v>894</v>
      </c>
      <c r="G459" s="8" t="str">
        <f t="shared" si="21"/>
        <v>NAVAL SE</v>
      </c>
    </row>
    <row r="460" spans="1:7">
      <c r="A460" s="4" t="str">
        <f t="shared" si="22"/>
        <v>017</v>
      </c>
      <c r="B460" s="4" t="str">
        <f t="shared" si="23"/>
        <v>08</v>
      </c>
      <c r="C460" s="5" t="s">
        <v>895</v>
      </c>
      <c r="E460" s="6" t="s">
        <v>880</v>
      </c>
      <c r="F460" s="7" t="s">
        <v>896</v>
      </c>
      <c r="G460" s="8" t="str">
        <f t="shared" si="21"/>
        <v>CHIEF OF</v>
      </c>
    </row>
    <row r="461" spans="1:7">
      <c r="A461" s="4" t="str">
        <f t="shared" si="22"/>
        <v>017</v>
      </c>
      <c r="B461" s="4" t="str">
        <f t="shared" si="23"/>
        <v>09</v>
      </c>
      <c r="C461" s="5" t="s">
        <v>897</v>
      </c>
      <c r="E461" s="6" t="s">
        <v>880</v>
      </c>
      <c r="F461" s="7" t="s">
        <v>898</v>
      </c>
      <c r="G461" s="8" t="str">
        <f t="shared" si="21"/>
        <v>COMMANDE</v>
      </c>
    </row>
    <row r="462" spans="1:7">
      <c r="A462" s="4" t="str">
        <f t="shared" si="22"/>
        <v>017</v>
      </c>
      <c r="B462" s="4" t="str">
        <f t="shared" si="23"/>
        <v>10</v>
      </c>
      <c r="C462" s="5" t="s">
        <v>899</v>
      </c>
      <c r="E462" s="6" t="s">
        <v>880</v>
      </c>
      <c r="F462" s="7" t="s">
        <v>900</v>
      </c>
      <c r="G462" s="8" t="str">
        <f t="shared" si="21"/>
        <v>CHIEF OF</v>
      </c>
    </row>
    <row r="463" spans="1:7">
      <c r="A463" s="4" t="str">
        <f t="shared" si="22"/>
        <v>017</v>
      </c>
      <c r="B463" s="4" t="str">
        <f t="shared" si="23"/>
        <v>11</v>
      </c>
      <c r="C463" s="5" t="s">
        <v>901</v>
      </c>
      <c r="E463" s="6" t="s">
        <v>880</v>
      </c>
      <c r="F463" s="7" t="s">
        <v>902</v>
      </c>
      <c r="G463" s="8" t="str">
        <f t="shared" si="21"/>
        <v>COMMANDE</v>
      </c>
    </row>
    <row r="464" spans="1:7">
      <c r="A464" s="4" t="str">
        <f t="shared" si="22"/>
        <v>017</v>
      </c>
      <c r="B464" s="4" t="str">
        <f t="shared" si="23"/>
        <v>12</v>
      </c>
      <c r="C464" s="5" t="s">
        <v>903</v>
      </c>
      <c r="E464" s="6" t="s">
        <v>880</v>
      </c>
      <c r="F464" s="7" t="s">
        <v>904</v>
      </c>
      <c r="G464" s="8" t="str">
        <f t="shared" si="21"/>
        <v>BUREAU O</v>
      </c>
    </row>
    <row r="465" spans="1:7">
      <c r="A465" s="4" t="str">
        <f t="shared" si="22"/>
        <v>017</v>
      </c>
      <c r="B465" s="4" t="str">
        <f t="shared" si="23"/>
        <v>13</v>
      </c>
      <c r="C465" s="5" t="s">
        <v>905</v>
      </c>
      <c r="E465" s="6" t="s">
        <v>880</v>
      </c>
      <c r="F465" s="7" t="s">
        <v>906</v>
      </c>
      <c r="G465" s="8" t="str">
        <f t="shared" si="21"/>
        <v>COMMANDE</v>
      </c>
    </row>
    <row r="466" spans="1:7">
      <c r="A466" s="4" t="str">
        <f t="shared" si="22"/>
        <v>017</v>
      </c>
      <c r="B466" s="4" t="str">
        <f t="shared" si="23"/>
        <v>14</v>
      </c>
      <c r="C466" s="5" t="s">
        <v>907</v>
      </c>
      <c r="E466" s="6" t="s">
        <v>880</v>
      </c>
      <c r="F466" s="7" t="s">
        <v>908</v>
      </c>
      <c r="G466" s="8" t="str">
        <f t="shared" si="21"/>
        <v>NAVAL MA</v>
      </c>
    </row>
    <row r="467" spans="1:7">
      <c r="A467" s="4" t="str">
        <f t="shared" si="22"/>
        <v>017</v>
      </c>
      <c r="B467" s="4" t="str">
        <f t="shared" si="23"/>
        <v>15</v>
      </c>
      <c r="C467" s="5" t="s">
        <v>909</v>
      </c>
      <c r="E467" s="6" t="s">
        <v>880</v>
      </c>
      <c r="F467" s="7" t="s">
        <v>910</v>
      </c>
      <c r="G467" s="8" t="str">
        <f t="shared" si="21"/>
        <v>COMMANDE</v>
      </c>
    </row>
    <row r="468" spans="1:7">
      <c r="A468" s="4" t="str">
        <f t="shared" si="22"/>
        <v>017</v>
      </c>
      <c r="B468" s="4" t="str">
        <f t="shared" si="23"/>
        <v>16</v>
      </c>
      <c r="C468" s="5" t="s">
        <v>911</v>
      </c>
      <c r="E468" s="6" t="s">
        <v>880</v>
      </c>
      <c r="F468" s="7" t="s">
        <v>912</v>
      </c>
      <c r="G468" s="8" t="str">
        <f t="shared" si="21"/>
        <v>OCEANOGR</v>
      </c>
    </row>
    <row r="469" spans="1:7">
      <c r="A469" s="4" t="str">
        <f t="shared" si="22"/>
        <v>017</v>
      </c>
      <c r="B469" s="4" t="str">
        <f t="shared" si="23"/>
        <v>17</v>
      </c>
      <c r="C469" s="5" t="s">
        <v>913</v>
      </c>
      <c r="E469" s="6" t="s">
        <v>880</v>
      </c>
      <c r="F469" s="7" t="s">
        <v>914</v>
      </c>
      <c r="G469" s="8" t="str">
        <f t="shared" si="21"/>
        <v>COMMANDE</v>
      </c>
    </row>
    <row r="470" spans="1:7">
      <c r="A470" s="4" t="str">
        <f t="shared" si="22"/>
        <v>017</v>
      </c>
      <c r="B470" s="4" t="str">
        <f t="shared" si="23"/>
        <v>18</v>
      </c>
      <c r="C470" s="5" t="s">
        <v>915</v>
      </c>
      <c r="E470" s="6" t="s">
        <v>880</v>
      </c>
      <c r="F470" s="7" t="s">
        <v>916</v>
      </c>
      <c r="G470" s="8" t="str">
        <f t="shared" si="21"/>
        <v>NAVAL TE</v>
      </c>
    </row>
    <row r="471" spans="1:7">
      <c r="A471" s="4" t="str">
        <f t="shared" si="22"/>
        <v>017</v>
      </c>
      <c r="B471" s="4" t="str">
        <f t="shared" si="23"/>
        <v>19</v>
      </c>
      <c r="C471" s="5" t="s">
        <v>917</v>
      </c>
      <c r="E471" s="6" t="s">
        <v>880</v>
      </c>
      <c r="F471" s="7" t="s">
        <v>918</v>
      </c>
      <c r="G471" s="8" t="str">
        <f t="shared" si="21"/>
        <v>COMMANDE</v>
      </c>
    </row>
    <row r="472" spans="1:7">
      <c r="A472" s="4" t="str">
        <f t="shared" si="22"/>
        <v>017</v>
      </c>
      <c r="B472" s="4" t="str">
        <f t="shared" si="23"/>
        <v>20</v>
      </c>
      <c r="C472" s="5" t="s">
        <v>919</v>
      </c>
      <c r="E472" s="6" t="s">
        <v>880</v>
      </c>
      <c r="F472" s="7" t="s">
        <v>920</v>
      </c>
      <c r="G472" s="8" t="str">
        <f t="shared" si="21"/>
        <v>NAVAL SE</v>
      </c>
    </row>
    <row r="473" spans="1:7">
      <c r="A473" s="4" t="str">
        <f t="shared" si="22"/>
        <v>017</v>
      </c>
      <c r="B473" s="4" t="str">
        <f t="shared" si="23"/>
        <v>21</v>
      </c>
      <c r="C473" s="5" t="s">
        <v>921</v>
      </c>
      <c r="E473" s="6" t="s">
        <v>880</v>
      </c>
      <c r="F473" s="7" t="s">
        <v>922</v>
      </c>
      <c r="G473" s="8" t="str">
        <f t="shared" si="21"/>
        <v>NAVAL RE</v>
      </c>
    </row>
    <row r="474" spans="1:7">
      <c r="A474" s="4" t="str">
        <f t="shared" si="22"/>
        <v>017</v>
      </c>
      <c r="B474" s="4" t="str">
        <f t="shared" si="23"/>
        <v>22</v>
      </c>
      <c r="C474" s="5" t="s">
        <v>923</v>
      </c>
      <c r="E474" s="6" t="s">
        <v>880</v>
      </c>
      <c r="F474" s="7" t="s">
        <v>924</v>
      </c>
      <c r="G474" s="8" t="str">
        <f t="shared" si="21"/>
        <v>NAVAL IN</v>
      </c>
    </row>
    <row r="475" spans="1:7">
      <c r="A475" s="4" t="str">
        <f t="shared" si="22"/>
        <v>017</v>
      </c>
      <c r="B475" s="4" t="str">
        <f t="shared" si="23"/>
        <v>23</v>
      </c>
      <c r="C475" s="5" t="s">
        <v>925</v>
      </c>
      <c r="E475" s="6" t="s">
        <v>880</v>
      </c>
      <c r="F475" s="7" t="s">
        <v>926</v>
      </c>
      <c r="G475" s="8" t="str">
        <f t="shared" si="21"/>
        <v>COMMANDI</v>
      </c>
    </row>
    <row r="476" spans="1:7">
      <c r="A476" s="4" t="str">
        <f t="shared" si="22"/>
        <v>017</v>
      </c>
      <c r="B476" s="4" t="str">
        <f t="shared" si="23"/>
        <v>24</v>
      </c>
      <c r="C476" s="5" t="s">
        <v>927</v>
      </c>
      <c r="E476" s="6" t="s">
        <v>880</v>
      </c>
      <c r="F476" s="7" t="s">
        <v>928</v>
      </c>
      <c r="G476" s="8" t="str">
        <f t="shared" si="21"/>
        <v>COMMANDE</v>
      </c>
    </row>
    <row r="477" spans="1:7">
      <c r="A477" s="4" t="str">
        <f t="shared" si="22"/>
        <v>017</v>
      </c>
      <c r="B477" s="4" t="str">
        <f t="shared" si="23"/>
        <v>25</v>
      </c>
      <c r="C477" s="5" t="s">
        <v>929</v>
      </c>
      <c r="E477" s="6" t="s">
        <v>880</v>
      </c>
      <c r="F477" s="7" t="s">
        <v>930</v>
      </c>
      <c r="G477" s="8" t="str">
        <f t="shared" si="21"/>
        <v>NAVAL RE</v>
      </c>
    </row>
    <row r="478" spans="1:7">
      <c r="A478" s="4" t="str">
        <f t="shared" si="22"/>
        <v>017</v>
      </c>
      <c r="B478" s="4" t="str">
        <f t="shared" si="23"/>
        <v>26</v>
      </c>
      <c r="C478" s="5" t="s">
        <v>931</v>
      </c>
      <c r="E478" s="6" t="s">
        <v>880</v>
      </c>
      <c r="F478" s="7" t="s">
        <v>932</v>
      </c>
      <c r="G478" s="8" t="str">
        <f t="shared" si="21"/>
        <v>CMNDR,MI</v>
      </c>
    </row>
    <row r="479" spans="1:7">
      <c r="A479" s="4" t="str">
        <f t="shared" si="22"/>
        <v>017</v>
      </c>
      <c r="B479" s="4" t="str">
        <f t="shared" si="23"/>
        <v>27</v>
      </c>
      <c r="C479" s="5" t="s">
        <v>933</v>
      </c>
      <c r="E479" s="6" t="s">
        <v>880</v>
      </c>
      <c r="F479" s="7" t="s">
        <v>934</v>
      </c>
      <c r="G479" s="8" t="str">
        <f t="shared" si="21"/>
        <v>NAVY/MOB</v>
      </c>
    </row>
    <row r="480" spans="1:7">
      <c r="A480" s="4" t="str">
        <f t="shared" si="22"/>
        <v>017</v>
      </c>
      <c r="B480" s="4" t="str">
        <f t="shared" si="23"/>
        <v>28</v>
      </c>
      <c r="C480" s="5" t="s">
        <v>935</v>
      </c>
      <c r="E480" s="6" t="s">
        <v>880</v>
      </c>
      <c r="F480" s="7" t="s">
        <v>936</v>
      </c>
      <c r="G480" s="8" t="str">
        <f t="shared" si="21"/>
        <v>CHIEF OF</v>
      </c>
    </row>
    <row r="481" spans="1:7">
      <c r="A481" s="4" t="str">
        <f t="shared" si="22"/>
        <v>017</v>
      </c>
      <c r="B481" s="4" t="str">
        <f t="shared" si="23"/>
        <v>29</v>
      </c>
      <c r="C481" s="5" t="s">
        <v>937</v>
      </c>
      <c r="E481" s="6" t="s">
        <v>880</v>
      </c>
      <c r="F481" s="7" t="s">
        <v>938</v>
      </c>
      <c r="G481" s="8" t="str">
        <f t="shared" si="21"/>
        <v>NAVY RES</v>
      </c>
    </row>
    <row r="482" spans="1:7">
      <c r="A482" s="4" t="str">
        <f t="shared" si="22"/>
        <v>017</v>
      </c>
      <c r="B482" s="4" t="str">
        <f t="shared" si="23"/>
        <v>30</v>
      </c>
      <c r="C482" s="5" t="s">
        <v>939</v>
      </c>
      <c r="E482" s="6" t="s">
        <v>880</v>
      </c>
      <c r="F482" s="7" t="s">
        <v>940</v>
      </c>
      <c r="G482" s="8" t="str">
        <f t="shared" si="21"/>
        <v>COMMANDA</v>
      </c>
    </row>
    <row r="483" spans="1:7">
      <c r="A483" s="4" t="str">
        <f t="shared" si="22"/>
        <v>017</v>
      </c>
      <c r="B483" s="4" t="str">
        <f t="shared" si="23"/>
        <v>31</v>
      </c>
      <c r="C483" s="5" t="s">
        <v>941</v>
      </c>
      <c r="E483" s="6" t="s">
        <v>880</v>
      </c>
      <c r="F483" s="7" t="s">
        <v>942</v>
      </c>
      <c r="G483" s="8" t="str">
        <f t="shared" si="21"/>
        <v>NAVAL RE</v>
      </c>
    </row>
    <row r="484" spans="1:7">
      <c r="A484" s="4" t="str">
        <f t="shared" si="22"/>
        <v>017</v>
      </c>
      <c r="B484" s="4" t="str">
        <f t="shared" si="23"/>
        <v>32</v>
      </c>
      <c r="C484" s="5" t="s">
        <v>943</v>
      </c>
      <c r="E484" s="6" t="s">
        <v>880</v>
      </c>
      <c r="F484" s="7" t="s">
        <v>944</v>
      </c>
      <c r="G484" s="8" t="str">
        <f t="shared" si="21"/>
        <v>NAVAL RE</v>
      </c>
    </row>
    <row r="485" spans="1:7">
      <c r="A485" s="4" t="str">
        <f t="shared" si="22"/>
        <v>017</v>
      </c>
      <c r="B485" s="4" t="str">
        <f t="shared" si="23"/>
        <v>33</v>
      </c>
      <c r="C485" s="5" t="s">
        <v>945</v>
      </c>
      <c r="E485" s="6" t="s">
        <v>880</v>
      </c>
      <c r="F485" s="7" t="s">
        <v>946</v>
      </c>
      <c r="G485" s="8" t="str">
        <f t="shared" si="21"/>
        <v>CHIEF OF</v>
      </c>
    </row>
    <row r="486" spans="1:7">
      <c r="A486" s="4" t="str">
        <f t="shared" si="22"/>
        <v>017</v>
      </c>
      <c r="B486" s="4" t="str">
        <f t="shared" si="23"/>
        <v>34</v>
      </c>
      <c r="C486" s="5" t="s">
        <v>947</v>
      </c>
      <c r="E486" s="6" t="s">
        <v>880</v>
      </c>
      <c r="F486" s="7" t="s">
        <v>948</v>
      </c>
      <c r="G486" s="8" t="str">
        <f t="shared" si="21"/>
        <v>NAVAL RE</v>
      </c>
    </row>
    <row r="487" spans="1:7">
      <c r="A487" s="4" t="str">
        <f t="shared" si="22"/>
        <v>017</v>
      </c>
      <c r="B487" s="4" t="str">
        <f t="shared" si="23"/>
        <v>35</v>
      </c>
      <c r="C487" s="5" t="s">
        <v>949</v>
      </c>
      <c r="E487" s="6" t="s">
        <v>880</v>
      </c>
      <c r="F487" s="7" t="s">
        <v>950</v>
      </c>
      <c r="G487" s="8" t="str">
        <f t="shared" si="21"/>
        <v>NAVAL RE</v>
      </c>
    </row>
    <row r="488" spans="1:7">
      <c r="A488" s="4" t="str">
        <f t="shared" si="22"/>
        <v>017</v>
      </c>
      <c r="B488" s="4" t="str">
        <f t="shared" si="23"/>
        <v>36</v>
      </c>
      <c r="C488" s="5" t="s">
        <v>951</v>
      </c>
      <c r="E488" s="6" t="s">
        <v>880</v>
      </c>
      <c r="F488" s="7" t="s">
        <v>952</v>
      </c>
      <c r="G488" s="8" t="str">
        <f t="shared" si="21"/>
        <v>COMMANDE</v>
      </c>
    </row>
    <row r="489" spans="1:7">
      <c r="A489" s="4" t="str">
        <f t="shared" si="22"/>
        <v>017</v>
      </c>
      <c r="B489" s="4" t="str">
        <f t="shared" si="23"/>
        <v>37</v>
      </c>
      <c r="C489" s="5" t="s">
        <v>953</v>
      </c>
      <c r="E489" s="6" t="s">
        <v>880</v>
      </c>
      <c r="F489" s="7" t="s">
        <v>954</v>
      </c>
      <c r="G489" s="8" t="str">
        <f t="shared" si="21"/>
        <v>MARINE C</v>
      </c>
    </row>
    <row r="490" spans="1:7">
      <c r="A490" s="4" t="str">
        <f t="shared" si="22"/>
        <v>017</v>
      </c>
      <c r="B490" s="4" t="str">
        <f t="shared" si="23"/>
        <v>38</v>
      </c>
      <c r="C490" s="5" t="s">
        <v>955</v>
      </c>
      <c r="E490" s="6" t="s">
        <v>880</v>
      </c>
      <c r="F490" s="7" t="s">
        <v>956</v>
      </c>
      <c r="G490" s="8" t="str">
        <f t="shared" si="21"/>
        <v>MARINE C</v>
      </c>
    </row>
    <row r="491" spans="1:7">
      <c r="A491" s="4" t="str">
        <f t="shared" si="22"/>
        <v>017</v>
      </c>
      <c r="B491" s="4" t="str">
        <f t="shared" si="23"/>
        <v>39</v>
      </c>
      <c r="C491" s="5" t="s">
        <v>957</v>
      </c>
      <c r="E491" s="6" t="s">
        <v>880</v>
      </c>
      <c r="F491" s="7" t="s">
        <v>958</v>
      </c>
      <c r="G491" s="8" t="str">
        <f t="shared" si="21"/>
        <v>MARINE A</v>
      </c>
    </row>
    <row r="492" spans="1:7">
      <c r="A492" s="4" t="str">
        <f t="shared" si="22"/>
        <v>017</v>
      </c>
      <c r="B492" s="4" t="str">
        <f t="shared" si="23"/>
        <v>40</v>
      </c>
      <c r="C492" s="5" t="s">
        <v>959</v>
      </c>
      <c r="E492" s="6" t="s">
        <v>880</v>
      </c>
      <c r="F492" s="7" t="s">
        <v>960</v>
      </c>
      <c r="G492" s="8" t="str">
        <f t="shared" si="21"/>
        <v>6TH MARI</v>
      </c>
    </row>
    <row r="493" spans="1:7">
      <c r="A493" s="4" t="str">
        <f t="shared" si="22"/>
        <v>017</v>
      </c>
      <c r="B493" s="4" t="str">
        <f t="shared" si="23"/>
        <v>41</v>
      </c>
      <c r="C493" s="5" t="s">
        <v>961</v>
      </c>
      <c r="E493" s="6" t="s">
        <v>880</v>
      </c>
      <c r="F493" s="7" t="s">
        <v>962</v>
      </c>
      <c r="G493" s="8" t="str">
        <f t="shared" si="21"/>
        <v>1ST MARI</v>
      </c>
    </row>
    <row r="494" spans="1:7">
      <c r="A494" s="4" t="str">
        <f t="shared" si="22"/>
        <v>017</v>
      </c>
      <c r="B494" s="4" t="str">
        <f t="shared" si="23"/>
        <v>42</v>
      </c>
      <c r="C494" s="5" t="s">
        <v>963</v>
      </c>
      <c r="E494" s="6" t="s">
        <v>880</v>
      </c>
      <c r="F494" s="7" t="s">
        <v>964</v>
      </c>
      <c r="G494" s="8" t="str">
        <f t="shared" si="21"/>
        <v>9TH MARI</v>
      </c>
    </row>
    <row r="495" spans="1:7">
      <c r="A495" s="4" t="str">
        <f t="shared" si="22"/>
        <v>017</v>
      </c>
      <c r="B495" s="4" t="str">
        <f t="shared" si="23"/>
        <v>43</v>
      </c>
      <c r="C495" s="5" t="s">
        <v>965</v>
      </c>
      <c r="E495" s="6" t="s">
        <v>880</v>
      </c>
      <c r="F495" s="7" t="s">
        <v>966</v>
      </c>
      <c r="G495" s="8" t="str">
        <f t="shared" si="21"/>
        <v>8TH MARI</v>
      </c>
    </row>
    <row r="496" spans="1:7">
      <c r="A496" s="4" t="str">
        <f t="shared" si="22"/>
        <v>017</v>
      </c>
      <c r="B496" s="4" t="str">
        <f t="shared" si="23"/>
        <v>44</v>
      </c>
      <c r="C496" s="5" t="s">
        <v>967</v>
      </c>
      <c r="E496" s="6" t="s">
        <v>880</v>
      </c>
      <c r="F496" s="7" t="s">
        <v>968</v>
      </c>
      <c r="G496" s="8" t="str">
        <f t="shared" si="21"/>
        <v>4TH MARI</v>
      </c>
    </row>
    <row r="497" spans="1:7">
      <c r="A497" s="4" t="str">
        <f t="shared" si="22"/>
        <v>017</v>
      </c>
      <c r="B497" s="4" t="str">
        <f t="shared" si="23"/>
        <v>45</v>
      </c>
      <c r="C497" s="5" t="s">
        <v>969</v>
      </c>
      <c r="E497" s="6" t="s">
        <v>880</v>
      </c>
      <c r="F497" s="7" t="s">
        <v>970</v>
      </c>
      <c r="G497" s="8" t="str">
        <f t="shared" si="21"/>
        <v>12TH MAR</v>
      </c>
    </row>
    <row r="498" spans="1:7">
      <c r="A498" s="4" t="str">
        <f t="shared" si="22"/>
        <v>017</v>
      </c>
      <c r="B498" s="4" t="str">
        <f t="shared" si="23"/>
        <v>46</v>
      </c>
      <c r="C498" s="5" t="s">
        <v>971</v>
      </c>
      <c r="E498" s="6" t="s">
        <v>880</v>
      </c>
      <c r="F498" s="7" t="s">
        <v>972</v>
      </c>
      <c r="G498" s="8" t="str">
        <f t="shared" si="21"/>
        <v>CHIEF OF</v>
      </c>
    </row>
    <row r="499" spans="1:7">
      <c r="A499" s="4" t="str">
        <f t="shared" si="22"/>
        <v>017</v>
      </c>
      <c r="B499" s="4" t="str">
        <f t="shared" si="23"/>
        <v>47</v>
      </c>
      <c r="C499" s="5" t="s">
        <v>973</v>
      </c>
      <c r="E499" s="6" t="s">
        <v>880</v>
      </c>
      <c r="F499" s="7" t="s">
        <v>974</v>
      </c>
      <c r="G499" s="8" t="str">
        <f t="shared" si="21"/>
        <v>USN PETR</v>
      </c>
    </row>
    <row r="500" spans="1:7">
      <c r="A500" s="4" t="str">
        <f t="shared" si="22"/>
        <v>017</v>
      </c>
      <c r="B500" s="4" t="str">
        <f t="shared" si="23"/>
        <v>48</v>
      </c>
      <c r="C500" s="5" t="s">
        <v>975</v>
      </c>
      <c r="E500" s="6" t="s">
        <v>880</v>
      </c>
      <c r="F500" s="7" t="s">
        <v>976</v>
      </c>
      <c r="G500" s="8" t="str">
        <f t="shared" si="21"/>
        <v>CHIEF OF</v>
      </c>
    </row>
    <row r="501" spans="1:7">
      <c r="A501" s="4" t="str">
        <f t="shared" si="22"/>
        <v>017</v>
      </c>
      <c r="B501" s="4" t="str">
        <f t="shared" si="23"/>
        <v>49</v>
      </c>
      <c r="C501" s="5" t="s">
        <v>977</v>
      </c>
      <c r="E501" s="6" t="s">
        <v>880</v>
      </c>
      <c r="F501" s="7" t="s">
        <v>978</v>
      </c>
      <c r="G501" s="8" t="str">
        <f t="shared" si="21"/>
        <v>NAVAL RE</v>
      </c>
    </row>
    <row r="502" spans="1:7">
      <c r="A502" s="4" t="str">
        <f t="shared" si="22"/>
        <v>017</v>
      </c>
      <c r="B502" s="4" t="str">
        <f t="shared" si="23"/>
        <v>50</v>
      </c>
      <c r="C502" s="5" t="s">
        <v>979</v>
      </c>
      <c r="E502" s="6" t="s">
        <v>880</v>
      </c>
      <c r="F502" s="7" t="s">
        <v>980</v>
      </c>
      <c r="G502" s="8" t="str">
        <f t="shared" si="21"/>
        <v>NAVAL SU</v>
      </c>
    </row>
    <row r="503" spans="1:7">
      <c r="A503" s="4" t="str">
        <f t="shared" si="22"/>
        <v>017</v>
      </c>
      <c r="B503" s="4" t="str">
        <f t="shared" si="23"/>
        <v>51</v>
      </c>
      <c r="C503" s="13" t="s">
        <v>981</v>
      </c>
      <c r="D503" s="18" t="s">
        <v>3166</v>
      </c>
      <c r="E503" s="14" t="s">
        <v>880</v>
      </c>
      <c r="F503" s="15" t="s">
        <v>982</v>
      </c>
      <c r="G503" s="8" t="str">
        <f t="shared" si="21"/>
        <v>GOVERNME</v>
      </c>
    </row>
    <row r="504" spans="1:7">
      <c r="A504" s="4" t="str">
        <f t="shared" si="22"/>
        <v>017</v>
      </c>
      <c r="B504" s="4" t="str">
        <f t="shared" si="23"/>
        <v>52</v>
      </c>
      <c r="C504" s="5" t="s">
        <v>983</v>
      </c>
      <c r="E504" s="6" t="s">
        <v>880</v>
      </c>
      <c r="F504" s="7" t="s">
        <v>984</v>
      </c>
      <c r="G504" s="8" t="str">
        <f t="shared" si="21"/>
        <v>USMC,QUA</v>
      </c>
    </row>
    <row r="505" spans="1:7">
      <c r="A505" s="4" t="str">
        <f t="shared" si="22"/>
        <v>017</v>
      </c>
      <c r="B505" s="4" t="str">
        <f t="shared" si="23"/>
        <v>53</v>
      </c>
      <c r="C505" s="5" t="s">
        <v>985</v>
      </c>
      <c r="E505" s="6" t="s">
        <v>880</v>
      </c>
      <c r="F505" s="7" t="s">
        <v>986</v>
      </c>
      <c r="G505" s="8" t="str">
        <f t="shared" si="21"/>
        <v>COMMANDE</v>
      </c>
    </row>
    <row r="506" spans="1:7">
      <c r="A506" s="4" t="str">
        <f t="shared" si="22"/>
        <v>017</v>
      </c>
      <c r="B506" s="4" t="str">
        <f t="shared" si="23"/>
        <v>54</v>
      </c>
      <c r="C506" s="5" t="s">
        <v>987</v>
      </c>
      <c r="E506" s="6" t="s">
        <v>880</v>
      </c>
      <c r="F506" s="7" t="s">
        <v>988</v>
      </c>
      <c r="G506" s="8" t="str">
        <f t="shared" si="21"/>
        <v>CMMDR,MI</v>
      </c>
    </row>
    <row r="507" spans="1:7">
      <c r="A507" s="4" t="str">
        <f t="shared" si="22"/>
        <v>017</v>
      </c>
      <c r="B507" s="4" t="str">
        <f t="shared" si="23"/>
        <v>55</v>
      </c>
      <c r="C507" s="5" t="s">
        <v>989</v>
      </c>
      <c r="E507" s="6" t="s">
        <v>880</v>
      </c>
      <c r="F507" s="7" t="s">
        <v>990</v>
      </c>
      <c r="G507" s="8" t="str">
        <f t="shared" si="21"/>
        <v>CMMDR,MI</v>
      </c>
    </row>
    <row r="508" spans="1:7">
      <c r="A508" s="4" t="str">
        <f t="shared" si="22"/>
        <v>017</v>
      </c>
      <c r="B508" s="4" t="str">
        <f t="shared" si="23"/>
        <v>56</v>
      </c>
      <c r="C508" s="5" t="s">
        <v>991</v>
      </c>
      <c r="E508" s="6" t="s">
        <v>880</v>
      </c>
      <c r="F508" s="7" t="s">
        <v>992</v>
      </c>
      <c r="G508" s="8" t="str">
        <f t="shared" si="21"/>
        <v>CMMDR,MI</v>
      </c>
    </row>
    <row r="509" spans="1:7">
      <c r="A509" s="4" t="str">
        <f t="shared" si="22"/>
        <v>017</v>
      </c>
      <c r="B509" s="4" t="str">
        <f t="shared" si="23"/>
        <v>57</v>
      </c>
      <c r="C509" s="5" t="s">
        <v>993</v>
      </c>
      <c r="E509" s="6" t="s">
        <v>880</v>
      </c>
      <c r="F509" s="7" t="s">
        <v>994</v>
      </c>
      <c r="G509" s="8" t="str">
        <f t="shared" si="21"/>
        <v>CMMDR,MI</v>
      </c>
    </row>
    <row r="510" spans="1:7">
      <c r="A510" s="4" t="str">
        <f t="shared" si="22"/>
        <v>017</v>
      </c>
      <c r="B510" s="4" t="str">
        <f t="shared" si="23"/>
        <v>58</v>
      </c>
      <c r="C510" s="5" t="s">
        <v>995</v>
      </c>
      <c r="E510" s="6" t="s">
        <v>880</v>
      </c>
      <c r="F510" s="7" t="s">
        <v>996</v>
      </c>
      <c r="G510" s="8" t="str">
        <f t="shared" si="21"/>
        <v>CMMDR,MI</v>
      </c>
    </row>
    <row r="511" spans="1:7">
      <c r="A511" s="4" t="str">
        <f t="shared" si="22"/>
        <v>017</v>
      </c>
      <c r="B511" s="4" t="str">
        <f t="shared" si="23"/>
        <v>59</v>
      </c>
      <c r="C511" s="5" t="s">
        <v>997</v>
      </c>
      <c r="E511" s="6" t="s">
        <v>880</v>
      </c>
      <c r="F511" s="7" t="s">
        <v>998</v>
      </c>
      <c r="G511" s="8" t="str">
        <f t="shared" si="21"/>
        <v xml:space="preserve">DEPT OF </v>
      </c>
    </row>
    <row r="512" spans="1:7">
      <c r="A512" s="4" t="str">
        <f t="shared" si="22"/>
        <v>017</v>
      </c>
      <c r="B512" s="4" t="str">
        <f t="shared" si="23"/>
        <v>60</v>
      </c>
      <c r="C512" s="5" t="s">
        <v>999</v>
      </c>
      <c r="E512" s="6" t="s">
        <v>880</v>
      </c>
      <c r="F512" s="7" t="s">
        <v>1000</v>
      </c>
      <c r="G512" s="8" t="str">
        <f t="shared" si="21"/>
        <v xml:space="preserve">DEPT OF </v>
      </c>
    </row>
    <row r="513" spans="1:7">
      <c r="A513" s="4" t="str">
        <f t="shared" si="22"/>
        <v>017</v>
      </c>
      <c r="B513" s="4" t="str">
        <f t="shared" si="23"/>
        <v>61</v>
      </c>
      <c r="C513" s="5" t="s">
        <v>1001</v>
      </c>
      <c r="E513" s="6" t="s">
        <v>880</v>
      </c>
      <c r="F513" s="7" t="s">
        <v>1002</v>
      </c>
      <c r="G513" s="8" t="str">
        <f t="shared" si="21"/>
        <v>US MARIN</v>
      </c>
    </row>
    <row r="514" spans="1:7">
      <c r="A514" s="4" t="str">
        <f t="shared" si="22"/>
        <v>017</v>
      </c>
      <c r="B514" s="4" t="str">
        <f t="shared" si="23"/>
        <v>62</v>
      </c>
      <c r="C514" s="5" t="s">
        <v>1003</v>
      </c>
      <c r="E514" s="6" t="s">
        <v>880</v>
      </c>
      <c r="F514" s="7" t="s">
        <v>1004</v>
      </c>
      <c r="G514" s="8" t="str">
        <f t="shared" ref="G514:G577" si="24">LEFT(F514,8)</f>
        <v>US MARIN</v>
      </c>
    </row>
    <row r="515" spans="1:7">
      <c r="A515" s="4" t="str">
        <f t="shared" ref="A515:A578" si="25">LEFT(C515,3)</f>
        <v>017</v>
      </c>
      <c r="B515" s="4" t="str">
        <f t="shared" ref="B515:B578" si="26">RIGHT(C515,2)</f>
        <v>63</v>
      </c>
      <c r="C515" s="5" t="s">
        <v>1005</v>
      </c>
      <c r="E515" s="6" t="s">
        <v>880</v>
      </c>
      <c r="F515" s="7" t="s">
        <v>1006</v>
      </c>
      <c r="G515" s="8" t="str">
        <f t="shared" si="24"/>
        <v>US MARIN</v>
      </c>
    </row>
    <row r="516" spans="1:7">
      <c r="A516" s="4" t="str">
        <f t="shared" si="25"/>
        <v>017</v>
      </c>
      <c r="B516" s="4" t="str">
        <f t="shared" si="26"/>
        <v>64</v>
      </c>
      <c r="C516" s="5" t="s">
        <v>1007</v>
      </c>
      <c r="E516" s="6" t="s">
        <v>880</v>
      </c>
      <c r="F516" s="7" t="s">
        <v>1008</v>
      </c>
      <c r="G516" s="8" t="str">
        <f t="shared" si="24"/>
        <v>NAVAL ME</v>
      </c>
    </row>
    <row r="517" spans="1:7">
      <c r="A517" s="4" t="str">
        <f t="shared" si="25"/>
        <v>017</v>
      </c>
      <c r="B517" s="4" t="str">
        <f t="shared" si="26"/>
        <v>75</v>
      </c>
      <c r="C517" s="5" t="s">
        <v>1009</v>
      </c>
      <c r="E517" s="6" t="s">
        <v>880</v>
      </c>
      <c r="F517" s="7" t="s">
        <v>1010</v>
      </c>
      <c r="G517" s="8" t="str">
        <f t="shared" si="24"/>
        <v>U.S. MAR</v>
      </c>
    </row>
    <row r="518" spans="1:7">
      <c r="A518" s="4" t="str">
        <f t="shared" si="25"/>
        <v>017</v>
      </c>
      <c r="B518" s="4" t="str">
        <f t="shared" si="26"/>
        <v>97</v>
      </c>
      <c r="C518" s="5" t="s">
        <v>1011</v>
      </c>
      <c r="E518" s="6" t="s">
        <v>880</v>
      </c>
      <c r="F518" s="7" t="s">
        <v>102</v>
      </c>
      <c r="G518" s="8" t="str">
        <f t="shared" si="24"/>
        <v>GSA ADVA</v>
      </c>
    </row>
    <row r="519" spans="1:7">
      <c r="A519" s="4" t="str">
        <f t="shared" si="25"/>
        <v>017</v>
      </c>
      <c r="B519" s="4" t="str">
        <f t="shared" si="26"/>
        <v>99</v>
      </c>
      <c r="C519" s="5" t="s">
        <v>1012</v>
      </c>
      <c r="E519" s="6" t="s">
        <v>880</v>
      </c>
      <c r="F519" s="7" t="s">
        <v>132</v>
      </c>
      <c r="G519" s="8" t="str">
        <f t="shared" si="24"/>
        <v>SUBCONTR</v>
      </c>
    </row>
    <row r="520" spans="1:7">
      <c r="A520" s="4" t="str">
        <f t="shared" si="25"/>
        <v>018</v>
      </c>
      <c r="B520" s="4" t="str">
        <f t="shared" si="26"/>
        <v>00</v>
      </c>
      <c r="C520" s="5" t="s">
        <v>1013</v>
      </c>
      <c r="E520" s="6" t="s">
        <v>1014</v>
      </c>
      <c r="F520" s="7" t="s">
        <v>1014</v>
      </c>
      <c r="G520" s="8" t="str">
        <f t="shared" si="24"/>
        <v>UNITED S</v>
      </c>
    </row>
    <row r="521" spans="1:7">
      <c r="A521" s="4" t="str">
        <f t="shared" si="25"/>
        <v>018</v>
      </c>
      <c r="B521" s="4" t="str">
        <f t="shared" si="26"/>
        <v>01</v>
      </c>
      <c r="C521" s="5" t="s">
        <v>1015</v>
      </c>
      <c r="E521" s="6" t="s">
        <v>1014</v>
      </c>
      <c r="F521" s="7" t="s">
        <v>1016</v>
      </c>
      <c r="G521" s="8" t="str">
        <f t="shared" si="24"/>
        <v>CHIEF PO</v>
      </c>
    </row>
    <row r="522" spans="1:7">
      <c r="A522" s="4" t="str">
        <f t="shared" si="25"/>
        <v>018</v>
      </c>
      <c r="B522" s="4" t="str">
        <f t="shared" si="26"/>
        <v>03</v>
      </c>
      <c r="C522" s="5" t="s">
        <v>1017</v>
      </c>
      <c r="E522" s="6" t="s">
        <v>1014</v>
      </c>
      <c r="F522" s="7" t="s">
        <v>1018</v>
      </c>
      <c r="G522" s="8" t="str">
        <f t="shared" si="24"/>
        <v>FACILITI</v>
      </c>
    </row>
    <row r="523" spans="1:7">
      <c r="A523" s="4" t="str">
        <f t="shared" si="25"/>
        <v>018</v>
      </c>
      <c r="B523" s="4" t="str">
        <f t="shared" si="26"/>
        <v>04</v>
      </c>
      <c r="C523" s="5" t="s">
        <v>1019</v>
      </c>
      <c r="E523" s="6" t="s">
        <v>1014</v>
      </c>
      <c r="F523" s="7" t="s">
        <v>1020</v>
      </c>
      <c r="G523" s="8" t="str">
        <f t="shared" si="24"/>
        <v>USPO, OF</v>
      </c>
    </row>
    <row r="524" spans="1:7">
      <c r="A524" s="4" t="str">
        <f t="shared" si="25"/>
        <v>018</v>
      </c>
      <c r="B524" s="4" t="str">
        <f t="shared" si="26"/>
        <v>05</v>
      </c>
      <c r="C524" s="5" t="s">
        <v>1021</v>
      </c>
      <c r="E524" s="6" t="s">
        <v>1014</v>
      </c>
      <c r="F524" s="7" t="s">
        <v>1022</v>
      </c>
      <c r="G524" s="8" t="str">
        <f t="shared" si="24"/>
        <v xml:space="preserve">FINANCE </v>
      </c>
    </row>
    <row r="525" spans="1:7">
      <c r="A525" s="4" t="str">
        <f t="shared" si="25"/>
        <v>018</v>
      </c>
      <c r="B525" s="4" t="str">
        <f t="shared" si="26"/>
        <v>07</v>
      </c>
      <c r="C525" s="5" t="s">
        <v>1023</v>
      </c>
      <c r="E525" s="6" t="s">
        <v>1014</v>
      </c>
      <c r="F525" s="7" t="s">
        <v>1024</v>
      </c>
      <c r="G525" s="8" t="str">
        <f t="shared" si="24"/>
        <v>OPERATIO</v>
      </c>
    </row>
    <row r="526" spans="1:7">
      <c r="A526" s="4" t="str">
        <f t="shared" si="25"/>
        <v>018</v>
      </c>
      <c r="B526" s="4" t="str">
        <f t="shared" si="26"/>
        <v>09</v>
      </c>
      <c r="C526" s="5" t="s">
        <v>1025</v>
      </c>
      <c r="E526" s="6" t="s">
        <v>1014</v>
      </c>
      <c r="F526" s="7" t="s">
        <v>1026</v>
      </c>
      <c r="G526" s="8" t="str">
        <f t="shared" si="24"/>
        <v>PERSONNE</v>
      </c>
    </row>
    <row r="527" spans="1:7">
      <c r="A527" s="4" t="str">
        <f t="shared" si="25"/>
        <v>018</v>
      </c>
      <c r="B527" s="4" t="str">
        <f t="shared" si="26"/>
        <v>10</v>
      </c>
      <c r="C527" s="5" t="s">
        <v>1027</v>
      </c>
      <c r="E527" s="6" t="s">
        <v>1014</v>
      </c>
      <c r="F527" s="7" t="s">
        <v>1028</v>
      </c>
      <c r="G527" s="8" t="str">
        <f t="shared" si="24"/>
        <v>POSTAL S</v>
      </c>
    </row>
    <row r="528" spans="1:7">
      <c r="A528" s="4" t="str">
        <f t="shared" si="25"/>
        <v>018</v>
      </c>
      <c r="B528" s="4" t="str">
        <f t="shared" si="26"/>
        <v>11</v>
      </c>
      <c r="C528" s="5" t="s">
        <v>1029</v>
      </c>
      <c r="E528" s="6" t="s">
        <v>1014</v>
      </c>
      <c r="F528" s="7" t="s">
        <v>1030</v>
      </c>
      <c r="G528" s="8" t="str">
        <f t="shared" si="24"/>
        <v>OFFICE O</v>
      </c>
    </row>
    <row r="529" spans="1:7">
      <c r="A529" s="4" t="str">
        <f t="shared" si="25"/>
        <v>018</v>
      </c>
      <c r="B529" s="4" t="str">
        <f t="shared" si="26"/>
        <v>12</v>
      </c>
      <c r="C529" s="5" t="s">
        <v>1031</v>
      </c>
      <c r="E529" s="6" t="s">
        <v>1014</v>
      </c>
      <c r="F529" s="7" t="s">
        <v>1032</v>
      </c>
      <c r="G529" s="8" t="str">
        <f t="shared" si="24"/>
        <v>POSTMAST</v>
      </c>
    </row>
    <row r="530" spans="1:7">
      <c r="A530" s="4" t="str">
        <f t="shared" si="25"/>
        <v>018</v>
      </c>
      <c r="B530" s="4" t="str">
        <f t="shared" si="26"/>
        <v>13</v>
      </c>
      <c r="C530" s="5" t="s">
        <v>1033</v>
      </c>
      <c r="E530" s="6" t="s">
        <v>1014</v>
      </c>
      <c r="F530" s="7" t="s">
        <v>1034</v>
      </c>
      <c r="G530" s="8" t="str">
        <f t="shared" si="24"/>
        <v>REGIONAL</v>
      </c>
    </row>
    <row r="531" spans="1:7">
      <c r="A531" s="4" t="str">
        <f t="shared" si="25"/>
        <v>018</v>
      </c>
      <c r="B531" s="4" t="str">
        <f t="shared" si="26"/>
        <v>14</v>
      </c>
      <c r="C531" s="5" t="s">
        <v>1035</v>
      </c>
      <c r="E531" s="6" t="s">
        <v>1014</v>
      </c>
      <c r="F531" s="7" t="s">
        <v>1036</v>
      </c>
      <c r="G531" s="8" t="str">
        <f t="shared" si="24"/>
        <v>BUREAU O</v>
      </c>
    </row>
    <row r="532" spans="1:7">
      <c r="A532" s="4" t="str">
        <f t="shared" si="25"/>
        <v>018</v>
      </c>
      <c r="B532" s="4" t="str">
        <f t="shared" si="26"/>
        <v>15</v>
      </c>
      <c r="C532" s="5" t="s">
        <v>1037</v>
      </c>
      <c r="E532" s="6" t="s">
        <v>1014</v>
      </c>
      <c r="F532" s="7" t="s">
        <v>1038</v>
      </c>
      <c r="G532" s="8" t="str">
        <f t="shared" si="24"/>
        <v>TRANSPOR</v>
      </c>
    </row>
    <row r="533" spans="1:7">
      <c r="A533" s="4" t="str">
        <f t="shared" si="25"/>
        <v>018</v>
      </c>
      <c r="B533" s="4" t="str">
        <f t="shared" si="26"/>
        <v>16</v>
      </c>
      <c r="C533" s="5" t="s">
        <v>1039</v>
      </c>
      <c r="E533" s="6" t="s">
        <v>1014</v>
      </c>
      <c r="F533" s="7" t="s">
        <v>1040</v>
      </c>
      <c r="G533" s="8" t="str">
        <f t="shared" si="24"/>
        <v>DISTRICT</v>
      </c>
    </row>
    <row r="534" spans="1:7">
      <c r="A534" s="4" t="str">
        <f t="shared" si="25"/>
        <v>018</v>
      </c>
      <c r="B534" s="4" t="str">
        <f t="shared" si="26"/>
        <v>17</v>
      </c>
      <c r="C534" s="5" t="s">
        <v>1041</v>
      </c>
      <c r="E534" s="6" t="s">
        <v>1014</v>
      </c>
      <c r="F534" s="7" t="s">
        <v>1042</v>
      </c>
      <c r="G534" s="8" t="str">
        <f t="shared" si="24"/>
        <v>COMMISSI</v>
      </c>
    </row>
    <row r="535" spans="1:7">
      <c r="A535" s="4" t="str">
        <f t="shared" si="25"/>
        <v>018</v>
      </c>
      <c r="B535" s="4" t="str">
        <f t="shared" si="26"/>
        <v>31</v>
      </c>
      <c r="C535" s="5" t="s">
        <v>1043</v>
      </c>
      <c r="E535" s="6" t="s">
        <v>1014</v>
      </c>
      <c r="F535" s="7" t="s">
        <v>1044</v>
      </c>
      <c r="G535" s="8" t="str">
        <f t="shared" si="24"/>
        <v>POSTAL R</v>
      </c>
    </row>
    <row r="536" spans="1:7">
      <c r="A536" s="4" t="str">
        <f t="shared" si="25"/>
        <v>018</v>
      </c>
      <c r="B536" s="4" t="str">
        <f t="shared" si="26"/>
        <v>51</v>
      </c>
      <c r="C536" s="13" t="s">
        <v>1045</v>
      </c>
      <c r="D536" s="18" t="s">
        <v>3166</v>
      </c>
      <c r="E536" s="14" t="s">
        <v>1014</v>
      </c>
      <c r="F536" s="15" t="s">
        <v>1046</v>
      </c>
      <c r="G536" s="8" t="str">
        <f t="shared" si="24"/>
        <v>GOVERNME</v>
      </c>
    </row>
    <row r="537" spans="1:7">
      <c r="A537" s="4" t="str">
        <f t="shared" si="25"/>
        <v>018</v>
      </c>
      <c r="B537" s="4" t="str">
        <f t="shared" si="26"/>
        <v>97</v>
      </c>
      <c r="C537" s="5" t="s">
        <v>1047</v>
      </c>
      <c r="E537" s="6" t="s">
        <v>1014</v>
      </c>
      <c r="F537" s="7" t="s">
        <v>102</v>
      </c>
      <c r="G537" s="8" t="str">
        <f t="shared" si="24"/>
        <v>GSA ADVA</v>
      </c>
    </row>
    <row r="538" spans="1:7">
      <c r="A538" s="4" t="str">
        <f t="shared" si="25"/>
        <v>018</v>
      </c>
      <c r="B538" s="4" t="str">
        <f t="shared" si="26"/>
        <v>99</v>
      </c>
      <c r="C538" s="5" t="s">
        <v>1048</v>
      </c>
      <c r="E538" s="6" t="s">
        <v>1014</v>
      </c>
      <c r="F538" s="7" t="s">
        <v>132</v>
      </c>
      <c r="G538" s="8" t="str">
        <f t="shared" si="24"/>
        <v>SUBCONTR</v>
      </c>
    </row>
    <row r="539" spans="1:7">
      <c r="A539" s="4" t="str">
        <f t="shared" si="25"/>
        <v>019</v>
      </c>
      <c r="B539" s="4" t="str">
        <f t="shared" si="26"/>
        <v>00</v>
      </c>
      <c r="C539" s="5" t="s">
        <v>1049</v>
      </c>
      <c r="E539" s="6" t="s">
        <v>1050</v>
      </c>
      <c r="F539" s="7" t="s">
        <v>1050</v>
      </c>
      <c r="G539" s="8" t="str">
        <f t="shared" si="24"/>
        <v>DEPARTME</v>
      </c>
    </row>
    <row r="540" spans="1:7">
      <c r="A540" s="4" t="str">
        <f t="shared" si="25"/>
        <v>019</v>
      </c>
      <c r="B540" s="4" t="str">
        <f t="shared" si="26"/>
        <v>01</v>
      </c>
      <c r="C540" s="5" t="s">
        <v>1051</v>
      </c>
      <c r="E540" s="6" t="s">
        <v>1050</v>
      </c>
      <c r="F540" s="7" t="s">
        <v>1052</v>
      </c>
      <c r="G540" s="8" t="str">
        <f t="shared" si="24"/>
        <v>BUREAU O</v>
      </c>
    </row>
    <row r="541" spans="1:7">
      <c r="A541" s="4" t="str">
        <f t="shared" si="25"/>
        <v>019</v>
      </c>
      <c r="B541" s="4" t="str">
        <f t="shared" si="26"/>
        <v>02</v>
      </c>
      <c r="C541" s="5" t="s">
        <v>1053</v>
      </c>
      <c r="E541" s="6" t="s">
        <v>1050</v>
      </c>
      <c r="F541" s="7" t="s">
        <v>1054</v>
      </c>
      <c r="G541" s="8" t="str">
        <f t="shared" si="24"/>
        <v>OFFICE O</v>
      </c>
    </row>
    <row r="542" spans="1:7">
      <c r="A542" s="4" t="str">
        <f t="shared" si="25"/>
        <v>019</v>
      </c>
      <c r="B542" s="4" t="str">
        <f t="shared" si="26"/>
        <v>03</v>
      </c>
      <c r="C542" s="5" t="s">
        <v>1055</v>
      </c>
      <c r="E542" s="6" t="s">
        <v>1050</v>
      </c>
      <c r="F542" s="7" t="s">
        <v>1056</v>
      </c>
      <c r="G542" s="8" t="str">
        <f t="shared" si="24"/>
        <v xml:space="preserve">AFRICAN </v>
      </c>
    </row>
    <row r="543" spans="1:7">
      <c r="A543" s="4" t="str">
        <f t="shared" si="25"/>
        <v>019</v>
      </c>
      <c r="B543" s="4" t="str">
        <f t="shared" si="26"/>
        <v>04</v>
      </c>
      <c r="C543" s="5" t="s">
        <v>1057</v>
      </c>
      <c r="E543" s="6" t="s">
        <v>1050</v>
      </c>
      <c r="F543" s="7" t="s">
        <v>1058</v>
      </c>
      <c r="G543" s="8" t="str">
        <f t="shared" si="24"/>
        <v>POLITICO</v>
      </c>
    </row>
    <row r="544" spans="1:7">
      <c r="A544" s="4" t="str">
        <f t="shared" si="25"/>
        <v>019</v>
      </c>
      <c r="B544" s="4" t="str">
        <f t="shared" si="26"/>
        <v>05</v>
      </c>
      <c r="C544" s="5" t="s">
        <v>1059</v>
      </c>
      <c r="E544" s="6" t="s">
        <v>1050</v>
      </c>
      <c r="F544" s="7" t="s">
        <v>1060</v>
      </c>
      <c r="G544" s="8" t="str">
        <f t="shared" si="24"/>
        <v>ECONOMIC</v>
      </c>
    </row>
    <row r="545" spans="1:7">
      <c r="A545" s="4" t="str">
        <f t="shared" si="25"/>
        <v>019</v>
      </c>
      <c r="B545" s="4" t="str">
        <f t="shared" si="26"/>
        <v>06</v>
      </c>
      <c r="C545" s="5" t="s">
        <v>1061</v>
      </c>
      <c r="E545" s="6" t="s">
        <v>1050</v>
      </c>
      <c r="F545" s="7" t="s">
        <v>1062</v>
      </c>
      <c r="G545" s="8" t="str">
        <f t="shared" si="24"/>
        <v>CUBAN HA</v>
      </c>
    </row>
    <row r="546" spans="1:7">
      <c r="A546" s="4" t="str">
        <f t="shared" si="25"/>
        <v>019</v>
      </c>
      <c r="B546" s="4" t="str">
        <f t="shared" si="26"/>
        <v>07</v>
      </c>
      <c r="C546" s="5" t="s">
        <v>1063</v>
      </c>
      <c r="E546" s="6" t="s">
        <v>1050</v>
      </c>
      <c r="F546" s="7" t="s">
        <v>1064</v>
      </c>
      <c r="G546" s="8" t="str">
        <f t="shared" si="24"/>
        <v>EUROPEAN</v>
      </c>
    </row>
    <row r="547" spans="1:7">
      <c r="A547" s="4" t="str">
        <f t="shared" si="25"/>
        <v>019</v>
      </c>
      <c r="B547" s="4" t="str">
        <f t="shared" si="26"/>
        <v>08</v>
      </c>
      <c r="C547" s="5" t="s">
        <v>1065</v>
      </c>
      <c r="E547" s="6" t="s">
        <v>1050</v>
      </c>
      <c r="F547" s="7" t="s">
        <v>1066</v>
      </c>
      <c r="G547" s="8" t="str">
        <f t="shared" si="24"/>
        <v>BUREAU O</v>
      </c>
    </row>
    <row r="548" spans="1:7">
      <c r="A548" s="4" t="str">
        <f t="shared" si="25"/>
        <v>019</v>
      </c>
      <c r="B548" s="4" t="str">
        <f t="shared" si="26"/>
        <v>09</v>
      </c>
      <c r="C548" s="5" t="s">
        <v>1067</v>
      </c>
      <c r="E548" s="6" t="s">
        <v>1050</v>
      </c>
      <c r="F548" s="7" t="s">
        <v>1068</v>
      </c>
      <c r="G548" s="8" t="str">
        <f t="shared" si="24"/>
        <v>EAST ASI</v>
      </c>
    </row>
    <row r="549" spans="1:7">
      <c r="A549" s="4" t="str">
        <f t="shared" si="25"/>
        <v>019</v>
      </c>
      <c r="B549" s="4" t="str">
        <f t="shared" si="26"/>
        <v>10</v>
      </c>
      <c r="C549" s="5" t="s">
        <v>1069</v>
      </c>
      <c r="E549" s="6" t="s">
        <v>1050</v>
      </c>
      <c r="F549" s="7" t="s">
        <v>1070</v>
      </c>
      <c r="G549" s="8" t="str">
        <f t="shared" si="24"/>
        <v>MULTINAT</v>
      </c>
    </row>
    <row r="550" spans="1:7">
      <c r="A550" s="4" t="str">
        <f t="shared" si="25"/>
        <v>019</v>
      </c>
      <c r="B550" s="4" t="str">
        <f t="shared" si="26"/>
        <v>11</v>
      </c>
      <c r="C550" s="5" t="s">
        <v>1071</v>
      </c>
      <c r="E550" s="6" t="s">
        <v>1050</v>
      </c>
      <c r="F550" s="7" t="s">
        <v>1072</v>
      </c>
      <c r="G550" s="8" t="str">
        <f t="shared" si="24"/>
        <v>INTELLIG</v>
      </c>
    </row>
    <row r="551" spans="1:7">
      <c r="A551" s="4" t="str">
        <f t="shared" si="25"/>
        <v>019</v>
      </c>
      <c r="B551" s="4" t="str">
        <f t="shared" si="26"/>
        <v>12</v>
      </c>
      <c r="C551" s="5" t="s">
        <v>1073</v>
      </c>
      <c r="E551" s="6" t="s">
        <v>1050</v>
      </c>
      <c r="F551" s="7" t="s">
        <v>1074</v>
      </c>
      <c r="G551" s="8" t="str">
        <f t="shared" si="24"/>
        <v>BUREAU O</v>
      </c>
    </row>
    <row r="552" spans="1:7">
      <c r="A552" s="4" t="str">
        <f t="shared" si="25"/>
        <v>019</v>
      </c>
      <c r="B552" s="4" t="str">
        <f t="shared" si="26"/>
        <v>13</v>
      </c>
      <c r="C552" s="5" t="s">
        <v>1075</v>
      </c>
      <c r="E552" s="6" t="s">
        <v>1050</v>
      </c>
      <c r="F552" s="7" t="s">
        <v>1076</v>
      </c>
      <c r="G552" s="8" t="str">
        <f t="shared" si="24"/>
        <v>INTER-AM</v>
      </c>
    </row>
    <row r="553" spans="1:7">
      <c r="A553" s="4" t="str">
        <f t="shared" si="25"/>
        <v>019</v>
      </c>
      <c r="B553" s="4" t="str">
        <f t="shared" si="26"/>
        <v>15</v>
      </c>
      <c r="C553" s="5" t="s">
        <v>1077</v>
      </c>
      <c r="E553" s="6" t="s">
        <v>1050</v>
      </c>
      <c r="F553" s="7" t="s">
        <v>1078</v>
      </c>
      <c r="G553" s="8" t="str">
        <f t="shared" si="24"/>
        <v>INTERNAT</v>
      </c>
    </row>
    <row r="554" spans="1:7">
      <c r="A554" s="4" t="str">
        <f t="shared" si="25"/>
        <v>019</v>
      </c>
      <c r="B554" s="4" t="str">
        <f t="shared" si="26"/>
        <v>17</v>
      </c>
      <c r="C554" s="5" t="s">
        <v>1079</v>
      </c>
      <c r="E554" s="6" t="s">
        <v>1050</v>
      </c>
      <c r="F554" s="7" t="s">
        <v>1080</v>
      </c>
      <c r="G554" s="8" t="str">
        <f t="shared" si="24"/>
        <v>INTERNAT</v>
      </c>
    </row>
    <row r="555" spans="1:7">
      <c r="A555" s="4" t="str">
        <f t="shared" si="25"/>
        <v>019</v>
      </c>
      <c r="B555" s="4" t="str">
        <f t="shared" si="26"/>
        <v>19</v>
      </c>
      <c r="C555" s="5" t="s">
        <v>1081</v>
      </c>
      <c r="E555" s="6" t="s">
        <v>1050</v>
      </c>
      <c r="F555" s="7" t="s">
        <v>1082</v>
      </c>
      <c r="G555" s="8" t="str">
        <f t="shared" si="24"/>
        <v>INTERNAT</v>
      </c>
    </row>
    <row r="556" spans="1:7">
      <c r="A556" s="4" t="str">
        <f t="shared" si="25"/>
        <v>019</v>
      </c>
      <c r="B556" s="4" t="str">
        <f t="shared" si="26"/>
        <v>21</v>
      </c>
      <c r="C556" s="5" t="s">
        <v>1083</v>
      </c>
      <c r="E556" s="6" t="s">
        <v>1050</v>
      </c>
      <c r="F556" s="7" t="s">
        <v>1084</v>
      </c>
      <c r="G556" s="8" t="str">
        <f t="shared" si="24"/>
        <v>INTERNAT</v>
      </c>
    </row>
    <row r="557" spans="1:7">
      <c r="A557" s="4" t="str">
        <f t="shared" si="25"/>
        <v>019</v>
      </c>
      <c r="B557" s="4" t="str">
        <f t="shared" si="26"/>
        <v>22</v>
      </c>
      <c r="C557" s="5" t="s">
        <v>1085</v>
      </c>
      <c r="E557" s="6" t="s">
        <v>1050</v>
      </c>
      <c r="F557" s="7" t="s">
        <v>1086</v>
      </c>
      <c r="G557" s="8" t="str">
        <f t="shared" si="24"/>
        <v>OCEAN AN</v>
      </c>
    </row>
    <row r="558" spans="1:7">
      <c r="A558" s="4" t="str">
        <f t="shared" si="25"/>
        <v>019</v>
      </c>
      <c r="B558" s="4" t="str">
        <f t="shared" si="26"/>
        <v>23</v>
      </c>
      <c r="C558" s="5" t="s">
        <v>1087</v>
      </c>
      <c r="E558" s="6" t="s">
        <v>1050</v>
      </c>
      <c r="F558" s="7" t="s">
        <v>1088</v>
      </c>
      <c r="G558" s="8" t="str">
        <f t="shared" si="24"/>
        <v>NEAR EAS</v>
      </c>
    </row>
    <row r="559" spans="1:7">
      <c r="A559" s="4" t="str">
        <f t="shared" si="25"/>
        <v>019</v>
      </c>
      <c r="B559" s="4" t="str">
        <f t="shared" si="26"/>
        <v>24</v>
      </c>
      <c r="C559" s="5" t="s">
        <v>1089</v>
      </c>
      <c r="E559" s="6" t="s">
        <v>1050</v>
      </c>
      <c r="F559" s="7" t="s">
        <v>1090</v>
      </c>
      <c r="G559" s="8" t="str">
        <f t="shared" si="24"/>
        <v>HUMAN RI</v>
      </c>
    </row>
    <row r="560" spans="1:7">
      <c r="A560" s="4" t="str">
        <f t="shared" si="25"/>
        <v>019</v>
      </c>
      <c r="B560" s="4" t="str">
        <f t="shared" si="26"/>
        <v>25</v>
      </c>
      <c r="C560" s="5" t="s">
        <v>1091</v>
      </c>
      <c r="E560" s="6" t="s">
        <v>1050</v>
      </c>
      <c r="F560" s="7" t="s">
        <v>1092</v>
      </c>
      <c r="G560" s="8" t="str">
        <f t="shared" si="24"/>
        <v>PUBLIC A</v>
      </c>
    </row>
    <row r="561" spans="1:7">
      <c r="A561" s="4" t="str">
        <f t="shared" si="25"/>
        <v>019</v>
      </c>
      <c r="B561" s="4" t="str">
        <f t="shared" si="26"/>
        <v>27</v>
      </c>
      <c r="C561" s="5" t="s">
        <v>1093</v>
      </c>
      <c r="E561" s="6" t="s">
        <v>1050</v>
      </c>
      <c r="F561" s="7" t="s">
        <v>442</v>
      </c>
      <c r="G561" s="8" t="str">
        <f t="shared" si="24"/>
        <v>OFFICE O</v>
      </c>
    </row>
    <row r="562" spans="1:7">
      <c r="A562" s="4" t="str">
        <f t="shared" si="25"/>
        <v>019</v>
      </c>
      <c r="B562" s="4" t="str">
        <f t="shared" si="26"/>
        <v>28</v>
      </c>
      <c r="C562" s="5" t="s">
        <v>1094</v>
      </c>
      <c r="E562" s="6" t="s">
        <v>1050</v>
      </c>
      <c r="F562" s="7" t="s">
        <v>1095</v>
      </c>
      <c r="G562" s="8" t="str">
        <f t="shared" si="24"/>
        <v>INFORMAT</v>
      </c>
    </row>
    <row r="563" spans="1:7">
      <c r="A563" s="4" t="str">
        <f t="shared" si="25"/>
        <v>019</v>
      </c>
      <c r="B563" s="4" t="str">
        <f t="shared" si="26"/>
        <v>29</v>
      </c>
      <c r="C563" s="5" t="s">
        <v>1096</v>
      </c>
      <c r="E563" s="6" t="s">
        <v>1050</v>
      </c>
      <c r="F563" s="7" t="s">
        <v>1097</v>
      </c>
      <c r="G563" s="8" t="str">
        <f t="shared" si="24"/>
        <v>CONSULAR</v>
      </c>
    </row>
    <row r="564" spans="1:7">
      <c r="A564" s="4" t="str">
        <f t="shared" si="25"/>
        <v>019</v>
      </c>
      <c r="B564" s="4" t="str">
        <f t="shared" si="26"/>
        <v>30</v>
      </c>
      <c r="C564" s="5" t="s">
        <v>1098</v>
      </c>
      <c r="E564" s="6" t="s">
        <v>1050</v>
      </c>
      <c r="F564" s="7" t="s">
        <v>1099</v>
      </c>
      <c r="G564" s="8" t="str">
        <f t="shared" si="24"/>
        <v>OFFICE O</v>
      </c>
    </row>
    <row r="565" spans="1:7">
      <c r="A565" s="4" t="str">
        <f t="shared" si="25"/>
        <v>019</v>
      </c>
      <c r="B565" s="4" t="str">
        <f t="shared" si="26"/>
        <v>31</v>
      </c>
      <c r="C565" s="5" t="s">
        <v>1100</v>
      </c>
      <c r="E565" s="6" t="s">
        <v>1050</v>
      </c>
      <c r="F565" s="7" t="s">
        <v>1101</v>
      </c>
      <c r="G565" s="8" t="str">
        <f t="shared" si="24"/>
        <v>UNITED S</v>
      </c>
    </row>
    <row r="566" spans="1:7">
      <c r="A566" s="4" t="str">
        <f t="shared" si="25"/>
        <v>019</v>
      </c>
      <c r="B566" s="4" t="str">
        <f t="shared" si="26"/>
        <v>34</v>
      </c>
      <c r="C566" s="5" t="s">
        <v>1102</v>
      </c>
      <c r="E566" s="6" t="s">
        <v>1050</v>
      </c>
      <c r="F566" s="7" t="s">
        <v>430</v>
      </c>
      <c r="G566" s="8" t="str">
        <f t="shared" si="24"/>
        <v>OFFICE O</v>
      </c>
    </row>
    <row r="567" spans="1:7">
      <c r="A567" s="4" t="str">
        <f t="shared" si="25"/>
        <v>019</v>
      </c>
      <c r="B567" s="4" t="str">
        <f t="shared" si="26"/>
        <v>35</v>
      </c>
      <c r="C567" s="5" t="s">
        <v>1103</v>
      </c>
      <c r="E567" s="6" t="s">
        <v>1050</v>
      </c>
      <c r="F567" s="7" t="s">
        <v>1104</v>
      </c>
      <c r="G567" s="8" t="str">
        <f t="shared" si="24"/>
        <v>DEPUTY A</v>
      </c>
    </row>
    <row r="568" spans="1:7">
      <c r="A568" s="4" t="str">
        <f t="shared" si="25"/>
        <v>019</v>
      </c>
      <c r="B568" s="4" t="str">
        <f t="shared" si="26"/>
        <v>36</v>
      </c>
      <c r="C568" s="5" t="s">
        <v>1105</v>
      </c>
      <c r="E568" s="6" t="s">
        <v>1050</v>
      </c>
      <c r="F568" s="7" t="s">
        <v>1106</v>
      </c>
      <c r="G568" s="8" t="str">
        <f t="shared" si="24"/>
        <v>OFFICE O</v>
      </c>
    </row>
    <row r="569" spans="1:7">
      <c r="A569" s="4" t="str">
        <f t="shared" si="25"/>
        <v>019</v>
      </c>
      <c r="B569" s="4" t="str">
        <f t="shared" si="26"/>
        <v>37</v>
      </c>
      <c r="C569" s="5" t="s">
        <v>1107</v>
      </c>
      <c r="E569" s="6" t="s">
        <v>1050</v>
      </c>
      <c r="F569" s="7" t="s">
        <v>1108</v>
      </c>
      <c r="G569" s="8" t="str">
        <f t="shared" si="24"/>
        <v xml:space="preserve">FOREIGN </v>
      </c>
    </row>
    <row r="570" spans="1:7">
      <c r="A570" s="4" t="str">
        <f t="shared" si="25"/>
        <v>019</v>
      </c>
      <c r="B570" s="4" t="str">
        <f t="shared" si="26"/>
        <v>38</v>
      </c>
      <c r="C570" s="5" t="s">
        <v>1109</v>
      </c>
      <c r="E570" s="6" t="s">
        <v>1050</v>
      </c>
      <c r="F570" s="7" t="s">
        <v>1110</v>
      </c>
      <c r="G570" s="8" t="str">
        <f t="shared" si="24"/>
        <v>INSPECTO</v>
      </c>
    </row>
    <row r="571" spans="1:7">
      <c r="A571" s="4" t="str">
        <f t="shared" si="25"/>
        <v>019</v>
      </c>
      <c r="B571" s="4" t="str">
        <f t="shared" si="26"/>
        <v>39</v>
      </c>
      <c r="C571" s="5" t="s">
        <v>1111</v>
      </c>
      <c r="E571" s="6" t="s">
        <v>1050</v>
      </c>
      <c r="F571" s="7" t="s">
        <v>1112</v>
      </c>
      <c r="G571" s="8" t="str">
        <f t="shared" si="24"/>
        <v>LEGAL AD</v>
      </c>
    </row>
    <row r="572" spans="1:7">
      <c r="A572" s="4" t="str">
        <f t="shared" si="25"/>
        <v>019</v>
      </c>
      <c r="B572" s="4" t="str">
        <f t="shared" si="26"/>
        <v>40</v>
      </c>
      <c r="C572" s="5" t="s">
        <v>1113</v>
      </c>
      <c r="E572" s="6" t="s">
        <v>1050</v>
      </c>
      <c r="F572" s="7" t="s">
        <v>1114</v>
      </c>
      <c r="G572" s="8" t="str">
        <f t="shared" si="24"/>
        <v>OFFICE O</v>
      </c>
    </row>
    <row r="573" spans="1:7">
      <c r="A573" s="4" t="str">
        <f t="shared" si="25"/>
        <v>019</v>
      </c>
      <c r="B573" s="4" t="str">
        <f t="shared" si="26"/>
        <v>41</v>
      </c>
      <c r="C573" s="5" t="s">
        <v>1115</v>
      </c>
      <c r="E573" s="6" t="s">
        <v>1050</v>
      </c>
      <c r="F573" s="7" t="s">
        <v>1116</v>
      </c>
      <c r="G573" s="8" t="str">
        <f t="shared" si="24"/>
        <v>DEPUTY A</v>
      </c>
    </row>
    <row r="574" spans="1:7">
      <c r="A574" s="4" t="str">
        <f t="shared" si="25"/>
        <v>019</v>
      </c>
      <c r="B574" s="4" t="str">
        <f t="shared" si="26"/>
        <v>42</v>
      </c>
      <c r="C574" s="5" t="s">
        <v>1117</v>
      </c>
      <c r="E574" s="6" t="s">
        <v>1050</v>
      </c>
      <c r="F574" s="7" t="s">
        <v>1118</v>
      </c>
      <c r="G574" s="8" t="str">
        <f t="shared" si="24"/>
        <v>BUREAU O</v>
      </c>
    </row>
    <row r="575" spans="1:7">
      <c r="A575" s="4" t="str">
        <f t="shared" si="25"/>
        <v>019</v>
      </c>
      <c r="B575" s="4" t="str">
        <f t="shared" si="26"/>
        <v>43</v>
      </c>
      <c r="C575" s="5" t="s">
        <v>1119</v>
      </c>
      <c r="E575" s="6" t="s">
        <v>1050</v>
      </c>
      <c r="F575" s="7" t="s">
        <v>1120</v>
      </c>
      <c r="G575" s="8" t="str">
        <f t="shared" si="24"/>
        <v>DEPUTY A</v>
      </c>
    </row>
    <row r="576" spans="1:7">
      <c r="A576" s="4" t="str">
        <f t="shared" si="25"/>
        <v>019</v>
      </c>
      <c r="B576" s="4" t="str">
        <f t="shared" si="26"/>
        <v>49</v>
      </c>
      <c r="C576" s="5" t="s">
        <v>1121</v>
      </c>
      <c r="E576" s="6" t="s">
        <v>1050</v>
      </c>
      <c r="F576" s="7" t="s">
        <v>1122</v>
      </c>
      <c r="G576" s="8" t="str">
        <f t="shared" si="24"/>
        <v>NO BUREA</v>
      </c>
    </row>
    <row r="577" spans="1:7">
      <c r="A577" s="4" t="str">
        <f t="shared" si="25"/>
        <v>019</v>
      </c>
      <c r="B577" s="4" t="str">
        <f t="shared" si="26"/>
        <v>61</v>
      </c>
      <c r="C577" s="5" t="s">
        <v>1123</v>
      </c>
      <c r="E577" s="6" t="s">
        <v>1050</v>
      </c>
      <c r="F577" s="7" t="s">
        <v>1124</v>
      </c>
      <c r="G577" s="8" t="str">
        <f t="shared" si="24"/>
        <v>SD DPLMT</v>
      </c>
    </row>
    <row r="578" spans="1:7">
      <c r="A578" s="4" t="str">
        <f t="shared" si="25"/>
        <v>019</v>
      </c>
      <c r="B578" s="4" t="str">
        <f t="shared" si="26"/>
        <v>97</v>
      </c>
      <c r="C578" s="5" t="s">
        <v>1125</v>
      </c>
      <c r="E578" s="6" t="s">
        <v>1050</v>
      </c>
      <c r="F578" s="7" t="s">
        <v>102</v>
      </c>
      <c r="G578" s="8" t="str">
        <f t="shared" ref="G578:G641" si="27">LEFT(F578,8)</f>
        <v>GSA ADVA</v>
      </c>
    </row>
    <row r="579" spans="1:7">
      <c r="A579" s="4" t="str">
        <f t="shared" ref="A579:A642" si="28">LEFT(C579,3)</f>
        <v>019</v>
      </c>
      <c r="B579" s="4" t="str">
        <f t="shared" ref="B579:B642" si="29">RIGHT(C579,2)</f>
        <v>99</v>
      </c>
      <c r="C579" s="5" t="s">
        <v>1126</v>
      </c>
      <c r="E579" s="6" t="s">
        <v>1050</v>
      </c>
      <c r="F579" s="7" t="s">
        <v>132</v>
      </c>
      <c r="G579" s="8" t="str">
        <f t="shared" si="27"/>
        <v>SUBCONTR</v>
      </c>
    </row>
    <row r="580" spans="1:7">
      <c r="A580" s="4" t="str">
        <f t="shared" si="28"/>
        <v>020</v>
      </c>
      <c r="B580" s="4" t="str">
        <f t="shared" si="29"/>
        <v>00</v>
      </c>
      <c r="C580" s="5" t="s">
        <v>1127</v>
      </c>
      <c r="E580" s="6" t="s">
        <v>1128</v>
      </c>
      <c r="F580" s="7" t="s">
        <v>1128</v>
      </c>
      <c r="G580" s="8" t="str">
        <f t="shared" si="27"/>
        <v>DEPARTME</v>
      </c>
    </row>
    <row r="581" spans="1:7">
      <c r="A581" s="4" t="str">
        <f t="shared" si="28"/>
        <v>020</v>
      </c>
      <c r="B581" s="4" t="str">
        <f t="shared" si="29"/>
        <v>01</v>
      </c>
      <c r="C581" s="5" t="s">
        <v>1129</v>
      </c>
      <c r="E581" s="6" t="s">
        <v>1128</v>
      </c>
      <c r="F581" s="7" t="s">
        <v>1130</v>
      </c>
      <c r="G581" s="8" t="str">
        <f t="shared" si="27"/>
        <v>FINANCIA</v>
      </c>
    </row>
    <row r="582" spans="1:7">
      <c r="A582" s="4" t="str">
        <f t="shared" si="28"/>
        <v>020</v>
      </c>
      <c r="B582" s="4" t="str">
        <f t="shared" si="29"/>
        <v>02</v>
      </c>
      <c r="C582" s="5" t="s">
        <v>1131</v>
      </c>
      <c r="E582" s="6" t="s">
        <v>1128</v>
      </c>
      <c r="F582" s="7" t="s">
        <v>1132</v>
      </c>
      <c r="G582" s="8" t="str">
        <f t="shared" si="27"/>
        <v>BUREAU O</v>
      </c>
    </row>
    <row r="583" spans="1:7">
      <c r="A583" s="4" t="str">
        <f t="shared" si="28"/>
        <v>020</v>
      </c>
      <c r="B583" s="4" t="str">
        <f t="shared" si="29"/>
        <v>03</v>
      </c>
      <c r="C583" s="5" t="s">
        <v>1133</v>
      </c>
      <c r="E583" s="6" t="s">
        <v>1128</v>
      </c>
      <c r="F583" s="7" t="s">
        <v>1134</v>
      </c>
      <c r="G583" s="8" t="str">
        <f t="shared" si="27"/>
        <v>OFFICE O</v>
      </c>
    </row>
    <row r="584" spans="1:7">
      <c r="A584" s="4" t="str">
        <f t="shared" si="28"/>
        <v>020</v>
      </c>
      <c r="B584" s="4" t="str">
        <f t="shared" si="29"/>
        <v>05</v>
      </c>
      <c r="C584" s="5" t="s">
        <v>1135</v>
      </c>
      <c r="E584" s="6" t="s">
        <v>1128</v>
      </c>
      <c r="F584" s="7" t="s">
        <v>1136</v>
      </c>
      <c r="G584" s="8" t="str">
        <f t="shared" si="27"/>
        <v>U.S. CUS</v>
      </c>
    </row>
    <row r="585" spans="1:7">
      <c r="A585" s="4" t="str">
        <f t="shared" si="28"/>
        <v>020</v>
      </c>
      <c r="B585" s="4" t="str">
        <f t="shared" si="29"/>
        <v>06</v>
      </c>
      <c r="C585" s="5" t="s">
        <v>1137</v>
      </c>
      <c r="E585" s="6" t="s">
        <v>1128</v>
      </c>
      <c r="F585" s="7" t="s">
        <v>1138</v>
      </c>
      <c r="G585" s="8" t="str">
        <f t="shared" si="27"/>
        <v>TREAS,US</v>
      </c>
    </row>
    <row r="586" spans="1:7">
      <c r="A586" s="4" t="str">
        <f t="shared" si="28"/>
        <v>020</v>
      </c>
      <c r="B586" s="4" t="str">
        <f t="shared" si="29"/>
        <v>07</v>
      </c>
      <c r="C586" s="5" t="s">
        <v>1139</v>
      </c>
      <c r="E586" s="6" t="s">
        <v>1128</v>
      </c>
      <c r="F586" s="7" t="s">
        <v>1140</v>
      </c>
      <c r="G586" s="8" t="str">
        <f t="shared" si="27"/>
        <v>ASSISTAN</v>
      </c>
    </row>
    <row r="587" spans="1:7">
      <c r="A587" s="4" t="str">
        <f t="shared" si="28"/>
        <v>020</v>
      </c>
      <c r="B587" s="4" t="str">
        <f t="shared" si="29"/>
        <v>08</v>
      </c>
      <c r="C587" s="5" t="s">
        <v>1141</v>
      </c>
      <c r="E587" s="6" t="s">
        <v>1128</v>
      </c>
      <c r="F587" s="7" t="s">
        <v>1142</v>
      </c>
      <c r="G587" s="8" t="str">
        <f t="shared" si="27"/>
        <v>TD</v>
      </c>
    </row>
    <row r="588" spans="1:7">
      <c r="A588" s="4" t="str">
        <f t="shared" si="28"/>
        <v>020</v>
      </c>
      <c r="B588" s="4" t="str">
        <f t="shared" si="29"/>
        <v>09</v>
      </c>
      <c r="C588" s="5" t="s">
        <v>1143</v>
      </c>
      <c r="E588" s="6" t="s">
        <v>1128</v>
      </c>
      <c r="F588" s="7" t="s">
        <v>1144</v>
      </c>
      <c r="G588" s="8" t="str">
        <f t="shared" si="27"/>
        <v>BUREAU O</v>
      </c>
    </row>
    <row r="589" spans="1:7">
      <c r="A589" s="4" t="str">
        <f t="shared" si="28"/>
        <v>020</v>
      </c>
      <c r="B589" s="4" t="str">
        <f t="shared" si="29"/>
        <v>11</v>
      </c>
      <c r="C589" s="5" t="s">
        <v>1145</v>
      </c>
      <c r="E589" s="6" t="s">
        <v>1128</v>
      </c>
      <c r="F589" s="7" t="s">
        <v>1146</v>
      </c>
      <c r="G589" s="8" t="str">
        <f t="shared" si="27"/>
        <v>INTERNAL</v>
      </c>
    </row>
    <row r="590" spans="1:7">
      <c r="A590" s="4" t="str">
        <f t="shared" si="28"/>
        <v>020</v>
      </c>
      <c r="B590" s="4" t="str">
        <f t="shared" si="29"/>
        <v>12</v>
      </c>
      <c r="C590" s="5" t="s">
        <v>1147</v>
      </c>
      <c r="E590" s="6" t="s">
        <v>1128</v>
      </c>
      <c r="F590" s="7" t="s">
        <v>1148</v>
      </c>
      <c r="G590" s="8" t="str">
        <f t="shared" si="27"/>
        <v>UNITED S</v>
      </c>
    </row>
    <row r="591" spans="1:7">
      <c r="A591" s="4" t="str">
        <f t="shared" si="28"/>
        <v>020</v>
      </c>
      <c r="B591" s="4" t="str">
        <f t="shared" si="29"/>
        <v>13</v>
      </c>
      <c r="C591" s="5" t="s">
        <v>1149</v>
      </c>
      <c r="E591" s="6" t="s">
        <v>1128</v>
      </c>
      <c r="F591" s="7" t="s">
        <v>1150</v>
      </c>
      <c r="G591" s="8" t="str">
        <f t="shared" si="27"/>
        <v>UNITED S</v>
      </c>
    </row>
    <row r="592" spans="1:7">
      <c r="A592" s="4" t="str">
        <f t="shared" si="28"/>
        <v>020</v>
      </c>
      <c r="B592" s="4" t="str">
        <f t="shared" si="29"/>
        <v>14</v>
      </c>
      <c r="C592" s="5" t="s">
        <v>1151</v>
      </c>
      <c r="E592" s="6" t="s">
        <v>1128</v>
      </c>
      <c r="F592" s="7" t="s">
        <v>1152</v>
      </c>
      <c r="G592" s="8" t="str">
        <f t="shared" si="27"/>
        <v>UNITED S</v>
      </c>
    </row>
    <row r="593" spans="1:7">
      <c r="A593" s="4" t="str">
        <f t="shared" si="28"/>
        <v>020</v>
      </c>
      <c r="B593" s="4" t="str">
        <f t="shared" si="29"/>
        <v>15</v>
      </c>
      <c r="C593" s="5" t="s">
        <v>1153</v>
      </c>
      <c r="E593" s="6" t="s">
        <v>1128</v>
      </c>
      <c r="F593" s="7" t="s">
        <v>1154</v>
      </c>
      <c r="G593" s="8" t="str">
        <f t="shared" si="27"/>
        <v xml:space="preserve">ALCOHOL </v>
      </c>
    </row>
    <row r="594" spans="1:7">
      <c r="A594" s="4" t="str">
        <f t="shared" si="28"/>
        <v>020</v>
      </c>
      <c r="B594" s="4" t="str">
        <f t="shared" si="29"/>
        <v>17</v>
      </c>
      <c r="C594" s="5" t="s">
        <v>1155</v>
      </c>
      <c r="E594" s="6" t="s">
        <v>1128</v>
      </c>
      <c r="F594" s="7" t="s">
        <v>1156</v>
      </c>
      <c r="G594" s="8" t="str">
        <f t="shared" si="27"/>
        <v>BUREAU O</v>
      </c>
    </row>
    <row r="595" spans="1:7">
      <c r="A595" s="4" t="str">
        <f t="shared" si="28"/>
        <v>020</v>
      </c>
      <c r="B595" s="4" t="str">
        <f t="shared" si="29"/>
        <v>18</v>
      </c>
      <c r="C595" s="13" t="s">
        <v>1157</v>
      </c>
      <c r="D595" s="18" t="s">
        <v>3166</v>
      </c>
      <c r="E595" s="14" t="s">
        <v>1128</v>
      </c>
      <c r="F595" s="15" t="s">
        <v>1158</v>
      </c>
      <c r="G595" s="8" t="str">
        <f t="shared" si="27"/>
        <v>INACTIVE</v>
      </c>
    </row>
    <row r="596" spans="1:7">
      <c r="A596" s="4" t="str">
        <f t="shared" si="28"/>
        <v>020</v>
      </c>
      <c r="B596" s="4" t="str">
        <f t="shared" si="29"/>
        <v>19</v>
      </c>
      <c r="C596" s="5" t="s">
        <v>1159</v>
      </c>
      <c r="E596" s="6" t="s">
        <v>1128</v>
      </c>
      <c r="F596" s="7" t="s">
        <v>442</v>
      </c>
      <c r="G596" s="8" t="str">
        <f t="shared" si="27"/>
        <v>OFFICE O</v>
      </c>
    </row>
    <row r="597" spans="1:7">
      <c r="A597" s="4" t="str">
        <f t="shared" si="28"/>
        <v>020</v>
      </c>
      <c r="B597" s="4" t="str">
        <f t="shared" si="29"/>
        <v>20</v>
      </c>
      <c r="C597" s="5" t="s">
        <v>1160</v>
      </c>
      <c r="E597" s="6" t="s">
        <v>1128</v>
      </c>
      <c r="F597" s="7" t="s">
        <v>1161</v>
      </c>
      <c r="G597" s="8" t="str">
        <f t="shared" si="27"/>
        <v>TREAS CO</v>
      </c>
    </row>
    <row r="598" spans="1:7">
      <c r="A598" s="4" t="str">
        <f t="shared" si="28"/>
        <v>020</v>
      </c>
      <c r="B598" s="4" t="str">
        <f t="shared" si="29"/>
        <v>21</v>
      </c>
      <c r="C598" s="5" t="s">
        <v>1162</v>
      </c>
      <c r="E598" s="6" t="s">
        <v>1128</v>
      </c>
      <c r="F598" s="7" t="s">
        <v>1163</v>
      </c>
      <c r="G598" s="8" t="str">
        <f t="shared" si="27"/>
        <v>FINANCIA</v>
      </c>
    </row>
    <row r="599" spans="1:7">
      <c r="A599" s="4" t="str">
        <f t="shared" si="28"/>
        <v>020</v>
      </c>
      <c r="B599" s="4" t="str">
        <f t="shared" si="29"/>
        <v>23</v>
      </c>
      <c r="C599" s="5" t="s">
        <v>1164</v>
      </c>
      <c r="E599" s="6" t="s">
        <v>1128</v>
      </c>
      <c r="F599" s="7" t="s">
        <v>1165</v>
      </c>
      <c r="G599" s="8" t="str">
        <f t="shared" si="27"/>
        <v>TD ORS</v>
      </c>
    </row>
    <row r="600" spans="1:7">
      <c r="A600" s="4" t="str">
        <f t="shared" si="28"/>
        <v>020</v>
      </c>
      <c r="B600" s="4" t="str">
        <f t="shared" si="29"/>
        <v>25</v>
      </c>
      <c r="C600" s="5" t="s">
        <v>1166</v>
      </c>
      <c r="E600" s="6" t="s">
        <v>1128</v>
      </c>
      <c r="F600" s="7" t="s">
        <v>1167</v>
      </c>
      <c r="G600" s="8" t="str">
        <f t="shared" si="27"/>
        <v>UNITED S</v>
      </c>
    </row>
    <row r="601" spans="1:7">
      <c r="A601" s="4" t="str">
        <f t="shared" si="28"/>
        <v>020</v>
      </c>
      <c r="B601" s="4" t="str">
        <f t="shared" si="29"/>
        <v>27</v>
      </c>
      <c r="C601" s="5" t="s">
        <v>1168</v>
      </c>
      <c r="E601" s="6" t="s">
        <v>1128</v>
      </c>
      <c r="F601" s="7" t="s">
        <v>1169</v>
      </c>
      <c r="G601" s="8" t="str">
        <f t="shared" si="27"/>
        <v>UNITED S</v>
      </c>
    </row>
    <row r="602" spans="1:7">
      <c r="A602" s="4" t="str">
        <f t="shared" si="28"/>
        <v>020</v>
      </c>
      <c r="B602" s="4" t="str">
        <f t="shared" si="29"/>
        <v>28</v>
      </c>
      <c r="C602" s="5" t="s">
        <v>1170</v>
      </c>
      <c r="E602" s="6" t="s">
        <v>1128</v>
      </c>
      <c r="F602" s="7" t="s">
        <v>1171</v>
      </c>
      <c r="G602" s="8" t="str">
        <f t="shared" si="27"/>
        <v>TD OFF D</v>
      </c>
    </row>
    <row r="603" spans="1:7">
      <c r="A603" s="4" t="str">
        <f t="shared" si="28"/>
        <v>020</v>
      </c>
      <c r="B603" s="4" t="str">
        <f t="shared" si="29"/>
        <v>29</v>
      </c>
      <c r="C603" s="5" t="s">
        <v>1172</v>
      </c>
      <c r="E603" s="6" t="s">
        <v>1128</v>
      </c>
      <c r="F603" s="7" t="s">
        <v>1173</v>
      </c>
      <c r="G603" s="8" t="str">
        <f t="shared" si="27"/>
        <v>CONSOLID</v>
      </c>
    </row>
    <row r="604" spans="1:7">
      <c r="A604" s="4" t="str">
        <f t="shared" si="28"/>
        <v>020</v>
      </c>
      <c r="B604" s="4" t="str">
        <f t="shared" si="29"/>
        <v>30</v>
      </c>
      <c r="C604" s="5" t="s">
        <v>1174</v>
      </c>
      <c r="E604" s="6" t="s">
        <v>1128</v>
      </c>
      <c r="F604" s="7" t="s">
        <v>486</v>
      </c>
      <c r="G604" s="8" t="str">
        <f t="shared" si="27"/>
        <v>OFFICE O</v>
      </c>
    </row>
    <row r="605" spans="1:7">
      <c r="A605" s="4" t="str">
        <f t="shared" si="28"/>
        <v>020</v>
      </c>
      <c r="B605" s="4" t="str">
        <f t="shared" si="29"/>
        <v>31</v>
      </c>
      <c r="C605" s="5" t="s">
        <v>1175</v>
      </c>
      <c r="E605" s="6" t="s">
        <v>1128</v>
      </c>
      <c r="F605" s="7" t="s">
        <v>1176</v>
      </c>
      <c r="G605" s="8" t="str">
        <f t="shared" si="27"/>
        <v>OFFICE O</v>
      </c>
    </row>
    <row r="606" spans="1:7">
      <c r="A606" s="4" t="str">
        <f t="shared" si="28"/>
        <v>020</v>
      </c>
      <c r="B606" s="4" t="str">
        <f t="shared" si="29"/>
        <v>32</v>
      </c>
      <c r="C606" s="13" t="s">
        <v>1177</v>
      </c>
      <c r="D606" s="18" t="s">
        <v>3166</v>
      </c>
      <c r="E606" s="14" t="s">
        <v>1128</v>
      </c>
      <c r="F606" s="15" t="s">
        <v>1178</v>
      </c>
      <c r="G606" s="8" t="str">
        <f t="shared" si="27"/>
        <v>INACTIVE</v>
      </c>
    </row>
    <row r="607" spans="1:7">
      <c r="A607" s="4" t="str">
        <f t="shared" si="28"/>
        <v>020</v>
      </c>
      <c r="B607" s="4" t="str">
        <f t="shared" si="29"/>
        <v>33</v>
      </c>
      <c r="C607" s="13" t="s">
        <v>1179</v>
      </c>
      <c r="D607" s="18" t="s">
        <v>3166</v>
      </c>
      <c r="E607" s="14" t="s">
        <v>1128</v>
      </c>
      <c r="F607" s="15" t="s">
        <v>1180</v>
      </c>
      <c r="G607" s="8" t="str">
        <f t="shared" si="27"/>
        <v>INACTIVE</v>
      </c>
    </row>
    <row r="608" spans="1:7">
      <c r="A608" s="4" t="str">
        <f t="shared" si="28"/>
        <v>020</v>
      </c>
      <c r="B608" s="4" t="str">
        <f t="shared" si="29"/>
        <v>34</v>
      </c>
      <c r="C608" s="13" t="s">
        <v>1181</v>
      </c>
      <c r="D608" s="18" t="s">
        <v>3166</v>
      </c>
      <c r="E608" s="14" t="s">
        <v>1128</v>
      </c>
      <c r="F608" s="15" t="s">
        <v>1182</v>
      </c>
      <c r="G608" s="8" t="str">
        <f t="shared" si="27"/>
        <v>INACTIVE</v>
      </c>
    </row>
    <row r="609" spans="1:7">
      <c r="A609" s="4" t="str">
        <f t="shared" si="28"/>
        <v>020</v>
      </c>
      <c r="B609" s="4" t="str">
        <f t="shared" si="29"/>
        <v>35</v>
      </c>
      <c r="C609" s="13" t="s">
        <v>1183</v>
      </c>
      <c r="D609" s="18" t="s">
        <v>3166</v>
      </c>
      <c r="E609" s="14" t="s">
        <v>1128</v>
      </c>
      <c r="F609" s="15" t="s">
        <v>1184</v>
      </c>
      <c r="G609" s="8" t="str">
        <f t="shared" si="27"/>
        <v>INACTIVE</v>
      </c>
    </row>
    <row r="610" spans="1:7">
      <c r="A610" s="4" t="str">
        <f t="shared" si="28"/>
        <v>020</v>
      </c>
      <c r="B610" s="4" t="str">
        <f t="shared" si="29"/>
        <v>38</v>
      </c>
      <c r="C610" s="5" t="s">
        <v>1185</v>
      </c>
      <c r="E610" s="6" t="s">
        <v>1128</v>
      </c>
      <c r="F610" s="7" t="s">
        <v>1186</v>
      </c>
      <c r="G610" s="8" t="str">
        <f t="shared" si="27"/>
        <v>IG FOR T</v>
      </c>
    </row>
    <row r="611" spans="1:7">
      <c r="A611" s="4" t="str">
        <f t="shared" si="28"/>
        <v>020</v>
      </c>
      <c r="B611" s="4" t="str">
        <f t="shared" si="29"/>
        <v>39</v>
      </c>
      <c r="C611" s="5" t="s">
        <v>1187</v>
      </c>
      <c r="E611" s="6" t="s">
        <v>1128</v>
      </c>
      <c r="F611" s="7" t="s">
        <v>1188</v>
      </c>
      <c r="G611" s="8" t="str">
        <f t="shared" si="27"/>
        <v xml:space="preserve">DEPT OF </v>
      </c>
    </row>
    <row r="612" spans="1:7">
      <c r="A612" s="4" t="str">
        <f t="shared" si="28"/>
        <v>020</v>
      </c>
      <c r="B612" s="4" t="str">
        <f t="shared" si="29"/>
        <v>40</v>
      </c>
      <c r="C612" s="5" t="s">
        <v>1189</v>
      </c>
      <c r="E612" s="6" t="s">
        <v>1128</v>
      </c>
      <c r="F612" s="7" t="s">
        <v>1190</v>
      </c>
      <c r="G612" s="8" t="str">
        <f t="shared" si="27"/>
        <v>DTS-METR</v>
      </c>
    </row>
    <row r="613" spans="1:7">
      <c r="A613" s="4" t="str">
        <f t="shared" si="28"/>
        <v>020</v>
      </c>
      <c r="B613" s="4" t="str">
        <f t="shared" si="29"/>
        <v>41</v>
      </c>
      <c r="C613" s="5" t="s">
        <v>1191</v>
      </c>
      <c r="E613" s="6" t="s">
        <v>1128</v>
      </c>
      <c r="F613" s="7" t="s">
        <v>1154</v>
      </c>
      <c r="G613" s="8" t="str">
        <f t="shared" si="27"/>
        <v xml:space="preserve">ALCOHOL </v>
      </c>
    </row>
    <row r="614" spans="1:7">
      <c r="A614" s="4" t="str">
        <f t="shared" si="28"/>
        <v>020</v>
      </c>
      <c r="B614" s="4" t="str">
        <f t="shared" si="29"/>
        <v>50</v>
      </c>
      <c r="C614" s="5" t="s">
        <v>1192</v>
      </c>
      <c r="E614" s="6" t="s">
        <v>1128</v>
      </c>
      <c r="F614" s="7" t="s">
        <v>1193</v>
      </c>
      <c r="G614" s="8" t="str">
        <f t="shared" si="27"/>
        <v>COMMUNIT</v>
      </c>
    </row>
    <row r="615" spans="1:7">
      <c r="A615" s="4" t="str">
        <f t="shared" si="28"/>
        <v>020</v>
      </c>
      <c r="B615" s="4" t="str">
        <f t="shared" si="29"/>
        <v>51</v>
      </c>
      <c r="C615" s="13" t="s">
        <v>1194</v>
      </c>
      <c r="D615" s="18" t="s">
        <v>3166</v>
      </c>
      <c r="E615" s="14" t="s">
        <v>1128</v>
      </c>
      <c r="F615" s="15" t="s">
        <v>1195</v>
      </c>
      <c r="G615" s="8" t="str">
        <f t="shared" si="27"/>
        <v>GOVERNME</v>
      </c>
    </row>
    <row r="616" spans="1:7">
      <c r="A616" s="4" t="str">
        <f t="shared" si="28"/>
        <v>020</v>
      </c>
      <c r="B616" s="4" t="str">
        <f t="shared" si="29"/>
        <v>55</v>
      </c>
      <c r="C616" s="5" t="s">
        <v>1196</v>
      </c>
      <c r="E616" s="6" t="s">
        <v>1128</v>
      </c>
      <c r="F616" s="7" t="s">
        <v>1197</v>
      </c>
      <c r="G616" s="8" t="str">
        <f t="shared" si="27"/>
        <v>DHS,OFFI</v>
      </c>
    </row>
    <row r="617" spans="1:7">
      <c r="A617" s="4" t="str">
        <f t="shared" si="28"/>
        <v>020</v>
      </c>
      <c r="B617" s="4" t="str">
        <f t="shared" si="29"/>
        <v>83</v>
      </c>
      <c r="C617" s="5" t="s">
        <v>1198</v>
      </c>
      <c r="E617" s="6" t="s">
        <v>1128</v>
      </c>
      <c r="F617" s="7" t="s">
        <v>1199</v>
      </c>
      <c r="G617" s="8" t="str">
        <f t="shared" si="27"/>
        <v xml:space="preserve">SPECIAL </v>
      </c>
    </row>
    <row r="618" spans="1:7">
      <c r="A618" s="4" t="str">
        <f t="shared" si="28"/>
        <v>020</v>
      </c>
      <c r="B618" s="4" t="str">
        <f t="shared" si="29"/>
        <v>97</v>
      </c>
      <c r="C618" s="5" t="s">
        <v>1200</v>
      </c>
      <c r="E618" s="6" t="s">
        <v>1128</v>
      </c>
      <c r="F618" s="7" t="s">
        <v>102</v>
      </c>
      <c r="G618" s="8" t="str">
        <f t="shared" si="27"/>
        <v>GSA ADVA</v>
      </c>
    </row>
    <row r="619" spans="1:7">
      <c r="A619" s="4" t="str">
        <f t="shared" si="28"/>
        <v>020</v>
      </c>
      <c r="B619" s="4" t="str">
        <f t="shared" si="29"/>
        <v>99</v>
      </c>
      <c r="C619" s="5" t="s">
        <v>1201</v>
      </c>
      <c r="E619" s="6" t="s">
        <v>1128</v>
      </c>
      <c r="F619" s="7" t="s">
        <v>132</v>
      </c>
      <c r="G619" s="8" t="str">
        <f t="shared" si="27"/>
        <v>SUBCONTR</v>
      </c>
    </row>
    <row r="620" spans="1:7">
      <c r="A620" s="4" t="str">
        <f t="shared" si="28"/>
        <v>021</v>
      </c>
      <c r="B620" s="4" t="str">
        <f t="shared" si="29"/>
        <v>00</v>
      </c>
      <c r="C620" s="5" t="s">
        <v>1202</v>
      </c>
      <c r="E620" s="6" t="s">
        <v>1203</v>
      </c>
      <c r="F620" s="7" t="s">
        <v>1203</v>
      </c>
      <c r="G620" s="8" t="str">
        <f t="shared" si="27"/>
        <v>DEPARTME</v>
      </c>
    </row>
    <row r="621" spans="1:7">
      <c r="A621" s="4" t="str">
        <f t="shared" si="28"/>
        <v>021</v>
      </c>
      <c r="B621" s="4" t="str">
        <f t="shared" si="29"/>
        <v>01</v>
      </c>
      <c r="C621" s="5" t="s">
        <v>1204</v>
      </c>
      <c r="E621" s="6" t="s">
        <v>1203</v>
      </c>
      <c r="F621" s="7" t="s">
        <v>1205</v>
      </c>
      <c r="G621" s="8" t="str">
        <f t="shared" si="27"/>
        <v>COMMUNIC</v>
      </c>
    </row>
    <row r="622" spans="1:7">
      <c r="A622" s="4" t="str">
        <f t="shared" si="28"/>
        <v>021</v>
      </c>
      <c r="B622" s="4" t="str">
        <f t="shared" si="29"/>
        <v>02</v>
      </c>
      <c r="C622" s="5" t="s">
        <v>1206</v>
      </c>
      <c r="E622" s="6" t="s">
        <v>1203</v>
      </c>
      <c r="F622" s="7" t="s">
        <v>1207</v>
      </c>
      <c r="G622" s="8" t="str">
        <f t="shared" si="27"/>
        <v>JOINT FO</v>
      </c>
    </row>
    <row r="623" spans="1:7">
      <c r="A623" s="4" t="str">
        <f t="shared" si="28"/>
        <v>021</v>
      </c>
      <c r="B623" s="4" t="str">
        <f t="shared" si="29"/>
        <v>03</v>
      </c>
      <c r="C623" s="5" t="s">
        <v>1208</v>
      </c>
      <c r="E623" s="6" t="s">
        <v>1203</v>
      </c>
      <c r="F623" s="7" t="s">
        <v>1209</v>
      </c>
      <c r="G623" s="8" t="str">
        <f t="shared" si="27"/>
        <v>U.S. ARM</v>
      </c>
    </row>
    <row r="624" spans="1:7">
      <c r="A624" s="4" t="str">
        <f t="shared" si="28"/>
        <v>021</v>
      </c>
      <c r="B624" s="4" t="str">
        <f t="shared" si="29"/>
        <v>04</v>
      </c>
      <c r="C624" s="5" t="s">
        <v>1210</v>
      </c>
      <c r="E624" s="6" t="s">
        <v>1203</v>
      </c>
      <c r="F624" s="7" t="s">
        <v>1211</v>
      </c>
      <c r="G624" s="8" t="str">
        <f t="shared" si="27"/>
        <v xml:space="preserve">US ARMY </v>
      </c>
    </row>
    <row r="625" spans="1:7">
      <c r="A625" s="4" t="str">
        <f t="shared" si="28"/>
        <v>021</v>
      </c>
      <c r="B625" s="4" t="str">
        <f t="shared" si="29"/>
        <v>05</v>
      </c>
      <c r="C625" s="5" t="s">
        <v>1212</v>
      </c>
      <c r="E625" s="6" t="s">
        <v>1203</v>
      </c>
      <c r="F625" s="7" t="s">
        <v>1213</v>
      </c>
      <c r="G625" s="8" t="str">
        <f t="shared" si="27"/>
        <v>U.S. ARM</v>
      </c>
    </row>
    <row r="626" spans="1:7">
      <c r="A626" s="4" t="str">
        <f t="shared" si="28"/>
        <v>021</v>
      </c>
      <c r="B626" s="4" t="str">
        <f t="shared" si="29"/>
        <v>06</v>
      </c>
      <c r="C626" s="5" t="s">
        <v>1214</v>
      </c>
      <c r="E626" s="6" t="s">
        <v>1203</v>
      </c>
      <c r="F626" s="7" t="s">
        <v>1215</v>
      </c>
      <c r="G626" s="8" t="str">
        <f t="shared" si="27"/>
        <v xml:space="preserve">SURGEON </v>
      </c>
    </row>
    <row r="627" spans="1:7">
      <c r="A627" s="4" t="str">
        <f t="shared" si="28"/>
        <v>021</v>
      </c>
      <c r="B627" s="4" t="str">
        <f t="shared" si="29"/>
        <v>07</v>
      </c>
      <c r="C627" s="5" t="s">
        <v>1216</v>
      </c>
      <c r="E627" s="6" t="s">
        <v>1203</v>
      </c>
      <c r="F627" s="7" t="s">
        <v>1217</v>
      </c>
      <c r="G627" s="8" t="str">
        <f t="shared" si="27"/>
        <v>USARMY,R</v>
      </c>
    </row>
    <row r="628" spans="1:7">
      <c r="A628" s="4" t="str">
        <f t="shared" si="28"/>
        <v>021</v>
      </c>
      <c r="B628" s="4" t="str">
        <f t="shared" si="29"/>
        <v>08</v>
      </c>
      <c r="C628" s="5" t="s">
        <v>1218</v>
      </c>
      <c r="E628" s="6" t="s">
        <v>1203</v>
      </c>
      <c r="F628" s="7" t="s">
        <v>1219</v>
      </c>
      <c r="G628" s="8" t="str">
        <f t="shared" si="27"/>
        <v>ARMY COR</v>
      </c>
    </row>
    <row r="629" spans="1:7">
      <c r="A629" s="4" t="str">
        <f t="shared" si="28"/>
        <v>021</v>
      </c>
      <c r="B629" s="4" t="str">
        <f t="shared" si="29"/>
        <v>09</v>
      </c>
      <c r="C629" s="5" t="s">
        <v>1220</v>
      </c>
      <c r="E629" s="6" t="s">
        <v>1203</v>
      </c>
      <c r="F629" s="7" t="s">
        <v>1221</v>
      </c>
      <c r="G629" s="8" t="str">
        <f t="shared" si="27"/>
        <v>USA HQ D</v>
      </c>
    </row>
    <row r="630" spans="1:7">
      <c r="A630" s="4" t="str">
        <f t="shared" si="28"/>
        <v>021</v>
      </c>
      <c r="B630" s="4" t="str">
        <f t="shared" si="29"/>
        <v>10</v>
      </c>
      <c r="C630" s="5" t="s">
        <v>1222</v>
      </c>
      <c r="E630" s="6" t="s">
        <v>1203</v>
      </c>
      <c r="F630" s="7" t="s">
        <v>1223</v>
      </c>
      <c r="G630" s="8" t="str">
        <f t="shared" si="27"/>
        <v>US ARMY,</v>
      </c>
    </row>
    <row r="631" spans="1:7">
      <c r="A631" s="4" t="str">
        <f t="shared" si="28"/>
        <v>021</v>
      </c>
      <c r="B631" s="4" t="str">
        <f t="shared" si="29"/>
        <v>11</v>
      </c>
      <c r="C631" s="5" t="s">
        <v>1224</v>
      </c>
      <c r="E631" s="6" t="s">
        <v>1203</v>
      </c>
      <c r="F631" s="7" t="s">
        <v>1225</v>
      </c>
      <c r="G631" s="8" t="str">
        <f t="shared" si="27"/>
        <v>ADJUTANT</v>
      </c>
    </row>
    <row r="632" spans="1:7">
      <c r="A632" s="4" t="str">
        <f t="shared" si="28"/>
        <v>021</v>
      </c>
      <c r="B632" s="4" t="str">
        <f t="shared" si="29"/>
        <v>12</v>
      </c>
      <c r="C632" s="5" t="s">
        <v>1226</v>
      </c>
      <c r="E632" s="6" t="s">
        <v>1203</v>
      </c>
      <c r="F632" s="7" t="s">
        <v>1227</v>
      </c>
      <c r="G632" s="8" t="str">
        <f t="shared" si="27"/>
        <v xml:space="preserve">US ARMY </v>
      </c>
    </row>
    <row r="633" spans="1:7">
      <c r="A633" s="4" t="str">
        <f t="shared" si="28"/>
        <v>021</v>
      </c>
      <c r="B633" s="4" t="str">
        <f t="shared" si="29"/>
        <v>13</v>
      </c>
      <c r="C633" s="5" t="s">
        <v>1228</v>
      </c>
      <c r="E633" s="6" t="s">
        <v>1203</v>
      </c>
      <c r="F633" s="7" t="s">
        <v>1229</v>
      </c>
      <c r="G633" s="8" t="str">
        <f t="shared" si="27"/>
        <v xml:space="preserve">US ARMY </v>
      </c>
    </row>
    <row r="634" spans="1:7">
      <c r="A634" s="4" t="str">
        <f t="shared" si="28"/>
        <v>021</v>
      </c>
      <c r="B634" s="4" t="str">
        <f t="shared" si="29"/>
        <v>14</v>
      </c>
      <c r="C634" s="5" t="s">
        <v>1230</v>
      </c>
      <c r="E634" s="6" t="s">
        <v>1203</v>
      </c>
      <c r="F634" s="7" t="s">
        <v>1231</v>
      </c>
      <c r="G634" s="8" t="str">
        <f t="shared" si="27"/>
        <v xml:space="preserve">US ARMY </v>
      </c>
    </row>
    <row r="635" spans="1:7">
      <c r="A635" s="4" t="str">
        <f t="shared" si="28"/>
        <v>021</v>
      </c>
      <c r="B635" s="4" t="str">
        <f t="shared" si="29"/>
        <v>15</v>
      </c>
      <c r="C635" s="5" t="s">
        <v>1232</v>
      </c>
      <c r="E635" s="6" t="s">
        <v>1203</v>
      </c>
      <c r="F635" s="7" t="s">
        <v>1233</v>
      </c>
      <c r="G635" s="8" t="str">
        <f t="shared" si="27"/>
        <v xml:space="preserve">US ARMY </v>
      </c>
    </row>
    <row r="636" spans="1:7">
      <c r="A636" s="4" t="str">
        <f t="shared" si="28"/>
        <v>021</v>
      </c>
      <c r="B636" s="4" t="str">
        <f t="shared" si="29"/>
        <v>16</v>
      </c>
      <c r="C636" s="5" t="s">
        <v>1234</v>
      </c>
      <c r="E636" s="6" t="s">
        <v>1203</v>
      </c>
      <c r="F636" s="7" t="s">
        <v>1235</v>
      </c>
      <c r="G636" s="8" t="str">
        <f t="shared" si="27"/>
        <v xml:space="preserve">US ARMY </v>
      </c>
    </row>
    <row r="637" spans="1:7">
      <c r="A637" s="4" t="str">
        <f t="shared" si="28"/>
        <v>021</v>
      </c>
      <c r="B637" s="4" t="str">
        <f t="shared" si="29"/>
        <v>17</v>
      </c>
      <c r="C637" s="5" t="s">
        <v>1236</v>
      </c>
      <c r="E637" s="6" t="s">
        <v>1203</v>
      </c>
      <c r="F637" s="7" t="s">
        <v>1237</v>
      </c>
      <c r="G637" s="8" t="str">
        <f t="shared" si="27"/>
        <v>ARMY REC</v>
      </c>
    </row>
    <row r="638" spans="1:7">
      <c r="A638" s="4" t="str">
        <f t="shared" si="28"/>
        <v>021</v>
      </c>
      <c r="B638" s="4" t="str">
        <f t="shared" si="29"/>
        <v>18</v>
      </c>
      <c r="C638" s="5" t="s">
        <v>1238</v>
      </c>
      <c r="E638" s="6" t="s">
        <v>1203</v>
      </c>
      <c r="F638" s="7" t="s">
        <v>1239</v>
      </c>
      <c r="G638" s="8" t="str">
        <f t="shared" si="27"/>
        <v>ARMY NAT</v>
      </c>
    </row>
    <row r="639" spans="1:7">
      <c r="A639" s="4" t="str">
        <f t="shared" si="28"/>
        <v>021</v>
      </c>
      <c r="B639" s="4" t="str">
        <f t="shared" si="29"/>
        <v>19</v>
      </c>
      <c r="C639" s="5" t="s">
        <v>1240</v>
      </c>
      <c r="E639" s="6" t="s">
        <v>1203</v>
      </c>
      <c r="F639" s="7" t="s">
        <v>1241</v>
      </c>
      <c r="G639" s="8" t="str">
        <f t="shared" si="27"/>
        <v>ARMY NAT</v>
      </c>
    </row>
    <row r="640" spans="1:7">
      <c r="A640" s="4" t="str">
        <f t="shared" si="28"/>
        <v>021</v>
      </c>
      <c r="B640" s="4" t="str">
        <f t="shared" si="29"/>
        <v>20</v>
      </c>
      <c r="C640" s="5" t="s">
        <v>1242</v>
      </c>
      <c r="E640" s="6" t="s">
        <v>1203</v>
      </c>
      <c r="F640" s="7" t="s">
        <v>1243</v>
      </c>
      <c r="G640" s="8" t="str">
        <f t="shared" si="27"/>
        <v>THE JUDG</v>
      </c>
    </row>
    <row r="641" spans="1:7">
      <c r="A641" s="4" t="str">
        <f t="shared" si="28"/>
        <v>021</v>
      </c>
      <c r="B641" s="4" t="str">
        <f t="shared" si="29"/>
        <v>21</v>
      </c>
      <c r="C641" s="5" t="s">
        <v>1244</v>
      </c>
      <c r="E641" s="6" t="s">
        <v>1203</v>
      </c>
      <c r="F641" s="7" t="s">
        <v>1245</v>
      </c>
      <c r="G641" s="8" t="str">
        <f t="shared" si="27"/>
        <v xml:space="preserve">US ARMY </v>
      </c>
    </row>
    <row r="642" spans="1:7">
      <c r="A642" s="4" t="str">
        <f t="shared" si="28"/>
        <v>021</v>
      </c>
      <c r="B642" s="4" t="str">
        <f t="shared" si="29"/>
        <v>22</v>
      </c>
      <c r="C642" s="5" t="s">
        <v>1246</v>
      </c>
      <c r="E642" s="6" t="s">
        <v>1203</v>
      </c>
      <c r="F642" s="7" t="s">
        <v>1247</v>
      </c>
      <c r="G642" s="8" t="str">
        <f t="shared" ref="G642:G705" si="30">LEFT(F642,8)</f>
        <v>MILITARY</v>
      </c>
    </row>
    <row r="643" spans="1:7">
      <c r="A643" s="4" t="str">
        <f t="shared" ref="A643:A706" si="31">LEFT(C643,3)</f>
        <v>021</v>
      </c>
      <c r="B643" s="4" t="str">
        <f t="shared" ref="B643:B706" si="32">RIGHT(C643,2)</f>
        <v>23</v>
      </c>
      <c r="C643" s="5" t="s">
        <v>1248</v>
      </c>
      <c r="E643" s="6" t="s">
        <v>1203</v>
      </c>
      <c r="F643" s="7" t="s">
        <v>1249</v>
      </c>
      <c r="G643" s="8" t="str">
        <f t="shared" si="30"/>
        <v xml:space="preserve">US ARMY </v>
      </c>
    </row>
    <row r="644" spans="1:7">
      <c r="A644" s="4" t="str">
        <f t="shared" si="31"/>
        <v>021</v>
      </c>
      <c r="B644" s="4" t="str">
        <f t="shared" si="32"/>
        <v>24</v>
      </c>
      <c r="C644" s="5" t="s">
        <v>1250</v>
      </c>
      <c r="E644" s="6" t="s">
        <v>1203</v>
      </c>
      <c r="F644" s="7" t="s">
        <v>1251</v>
      </c>
      <c r="G644" s="8" t="str">
        <f t="shared" si="30"/>
        <v>CIVILIAN</v>
      </c>
    </row>
    <row r="645" spans="1:7">
      <c r="A645" s="4" t="str">
        <f t="shared" si="31"/>
        <v>021</v>
      </c>
      <c r="B645" s="4" t="str">
        <f t="shared" si="32"/>
        <v>25</v>
      </c>
      <c r="C645" s="5" t="s">
        <v>1252</v>
      </c>
      <c r="E645" s="6" t="s">
        <v>1203</v>
      </c>
      <c r="F645" s="7" t="s">
        <v>1253</v>
      </c>
      <c r="G645" s="8" t="str">
        <f t="shared" si="30"/>
        <v xml:space="preserve">US ARMY </v>
      </c>
    </row>
    <row r="646" spans="1:7">
      <c r="A646" s="4" t="str">
        <f t="shared" si="31"/>
        <v>021</v>
      </c>
      <c r="B646" s="4" t="str">
        <f t="shared" si="32"/>
        <v>26</v>
      </c>
      <c r="C646" s="5" t="s">
        <v>1254</v>
      </c>
      <c r="E646" s="6" t="s">
        <v>1203</v>
      </c>
      <c r="F646" s="7" t="s">
        <v>1255</v>
      </c>
      <c r="G646" s="8" t="str">
        <f t="shared" si="30"/>
        <v>MILITARY</v>
      </c>
    </row>
    <row r="647" spans="1:7">
      <c r="A647" s="4" t="str">
        <f t="shared" si="31"/>
        <v>021</v>
      </c>
      <c r="B647" s="4" t="str">
        <f t="shared" si="32"/>
        <v>27</v>
      </c>
      <c r="C647" s="5" t="s">
        <v>1256</v>
      </c>
      <c r="E647" s="6" t="s">
        <v>1203</v>
      </c>
      <c r="F647" s="7" t="s">
        <v>1257</v>
      </c>
      <c r="G647" s="8" t="str">
        <f t="shared" si="30"/>
        <v>USAR,ARM</v>
      </c>
    </row>
    <row r="648" spans="1:7">
      <c r="A648" s="4" t="str">
        <f t="shared" si="31"/>
        <v>021</v>
      </c>
      <c r="B648" s="4" t="str">
        <f t="shared" si="32"/>
        <v>28</v>
      </c>
      <c r="C648" s="5" t="s">
        <v>1258</v>
      </c>
      <c r="E648" s="6" t="s">
        <v>1203</v>
      </c>
      <c r="F648" s="7" t="s">
        <v>1259</v>
      </c>
      <c r="G648" s="8" t="str">
        <f t="shared" si="30"/>
        <v>ARMY DIS</v>
      </c>
    </row>
    <row r="649" spans="1:7">
      <c r="A649" s="4" t="str">
        <f t="shared" si="31"/>
        <v>021</v>
      </c>
      <c r="B649" s="4" t="str">
        <f t="shared" si="32"/>
        <v>29</v>
      </c>
      <c r="C649" s="5" t="s">
        <v>1260</v>
      </c>
      <c r="E649" s="6" t="s">
        <v>1203</v>
      </c>
      <c r="F649" s="7" t="s">
        <v>1261</v>
      </c>
      <c r="G649" s="8" t="str">
        <f t="shared" si="30"/>
        <v>MISCELLA</v>
      </c>
    </row>
    <row r="650" spans="1:7">
      <c r="A650" s="4" t="str">
        <f t="shared" si="31"/>
        <v>021</v>
      </c>
      <c r="B650" s="4" t="str">
        <f t="shared" si="32"/>
        <v>30</v>
      </c>
      <c r="C650" s="5" t="s">
        <v>1262</v>
      </c>
      <c r="E650" s="6" t="s">
        <v>1203</v>
      </c>
      <c r="F650" s="7" t="s">
        <v>1263</v>
      </c>
      <c r="G650" s="8" t="str">
        <f t="shared" si="30"/>
        <v>ARMY FAM</v>
      </c>
    </row>
    <row r="651" spans="1:7">
      <c r="A651" s="4" t="str">
        <f t="shared" si="31"/>
        <v>021</v>
      </c>
      <c r="B651" s="4" t="str">
        <f t="shared" si="32"/>
        <v>31</v>
      </c>
      <c r="C651" s="5" t="s">
        <v>1264</v>
      </c>
      <c r="E651" s="6" t="s">
        <v>1203</v>
      </c>
      <c r="F651" s="7" t="s">
        <v>1265</v>
      </c>
      <c r="G651" s="8" t="str">
        <f t="shared" si="30"/>
        <v>USARMY,H</v>
      </c>
    </row>
    <row r="652" spans="1:7">
      <c r="A652" s="4" t="str">
        <f t="shared" si="31"/>
        <v>021</v>
      </c>
      <c r="B652" s="4" t="str">
        <f t="shared" si="32"/>
        <v>32</v>
      </c>
      <c r="C652" s="5" t="s">
        <v>1266</v>
      </c>
      <c r="E652" s="6" t="s">
        <v>1203</v>
      </c>
      <c r="F652" s="7" t="s">
        <v>1267</v>
      </c>
      <c r="G652" s="8" t="str">
        <f t="shared" si="30"/>
        <v>USA ADCO</v>
      </c>
    </row>
    <row r="653" spans="1:7">
      <c r="A653" s="4" t="str">
        <f t="shared" si="31"/>
        <v>021</v>
      </c>
      <c r="B653" s="4" t="str">
        <f t="shared" si="32"/>
        <v>33</v>
      </c>
      <c r="C653" s="5" t="s">
        <v>1268</v>
      </c>
      <c r="E653" s="6" t="s">
        <v>1203</v>
      </c>
      <c r="F653" s="7" t="s">
        <v>1269</v>
      </c>
      <c r="G653" s="8" t="str">
        <f t="shared" si="30"/>
        <v xml:space="preserve">US ARMY </v>
      </c>
    </row>
    <row r="654" spans="1:7">
      <c r="A654" s="4" t="str">
        <f t="shared" si="31"/>
        <v>021</v>
      </c>
      <c r="B654" s="4" t="str">
        <f t="shared" si="32"/>
        <v>35</v>
      </c>
      <c r="C654" s="5" t="s">
        <v>1270</v>
      </c>
      <c r="E654" s="6" t="s">
        <v>1203</v>
      </c>
      <c r="F654" s="7" t="s">
        <v>1271</v>
      </c>
      <c r="G654" s="8" t="str">
        <f t="shared" si="30"/>
        <v>MILITARY</v>
      </c>
    </row>
    <row r="655" spans="1:7">
      <c r="A655" s="4" t="str">
        <f t="shared" si="31"/>
        <v>021</v>
      </c>
      <c r="B655" s="4" t="str">
        <f t="shared" si="32"/>
        <v>36</v>
      </c>
      <c r="C655" s="5" t="s">
        <v>1272</v>
      </c>
      <c r="E655" s="6" t="s">
        <v>1203</v>
      </c>
      <c r="F655" s="7" t="s">
        <v>1273</v>
      </c>
      <c r="G655" s="8" t="str">
        <f t="shared" si="30"/>
        <v xml:space="preserve">US ARMY </v>
      </c>
    </row>
    <row r="656" spans="1:7">
      <c r="A656" s="4" t="str">
        <f t="shared" si="31"/>
        <v>021</v>
      </c>
      <c r="B656" s="4" t="str">
        <f t="shared" si="32"/>
        <v>37</v>
      </c>
      <c r="C656" s="5" t="s">
        <v>1274</v>
      </c>
      <c r="E656" s="6" t="s">
        <v>1203</v>
      </c>
      <c r="F656" s="7" t="s">
        <v>1275</v>
      </c>
      <c r="G656" s="8" t="str">
        <f t="shared" si="30"/>
        <v>TRAINING</v>
      </c>
    </row>
    <row r="657" spans="1:7">
      <c r="A657" s="4" t="str">
        <f t="shared" si="31"/>
        <v>021</v>
      </c>
      <c r="B657" s="4" t="str">
        <f t="shared" si="32"/>
        <v>38</v>
      </c>
      <c r="C657" s="5" t="s">
        <v>1276</v>
      </c>
      <c r="E657" s="6" t="s">
        <v>1203</v>
      </c>
      <c r="F657" s="7" t="s">
        <v>1277</v>
      </c>
      <c r="G657" s="8" t="str">
        <f t="shared" si="30"/>
        <v xml:space="preserve">US ARMY </v>
      </c>
    </row>
    <row r="658" spans="1:7">
      <c r="A658" s="4" t="str">
        <f t="shared" si="31"/>
        <v>021</v>
      </c>
      <c r="B658" s="4" t="str">
        <f t="shared" si="32"/>
        <v>39</v>
      </c>
      <c r="C658" s="5" t="s">
        <v>1278</v>
      </c>
      <c r="E658" s="6" t="s">
        <v>1203</v>
      </c>
      <c r="F658" s="7" t="s">
        <v>1279</v>
      </c>
      <c r="G658" s="8" t="str">
        <f t="shared" si="30"/>
        <v xml:space="preserve">US ARMY </v>
      </c>
    </row>
    <row r="659" spans="1:7">
      <c r="A659" s="4" t="str">
        <f t="shared" si="31"/>
        <v>021</v>
      </c>
      <c r="B659" s="4" t="str">
        <f t="shared" si="32"/>
        <v>40</v>
      </c>
      <c r="C659" s="5" t="s">
        <v>1280</v>
      </c>
      <c r="E659" s="6" t="s">
        <v>1203</v>
      </c>
      <c r="F659" s="7" t="s">
        <v>1281</v>
      </c>
      <c r="G659" s="8" t="str">
        <f t="shared" si="30"/>
        <v xml:space="preserve">US ARMY </v>
      </c>
    </row>
    <row r="660" spans="1:7">
      <c r="A660" s="4" t="str">
        <f t="shared" si="31"/>
        <v>021</v>
      </c>
      <c r="B660" s="4" t="str">
        <f t="shared" si="32"/>
        <v>41</v>
      </c>
      <c r="C660" s="5" t="s">
        <v>1282</v>
      </c>
      <c r="E660" s="6" t="s">
        <v>1203</v>
      </c>
      <c r="F660" s="7" t="s">
        <v>1283</v>
      </c>
      <c r="G660" s="8" t="str">
        <f t="shared" si="30"/>
        <v>ARMY REC</v>
      </c>
    </row>
    <row r="661" spans="1:7">
      <c r="A661" s="4" t="str">
        <f t="shared" si="31"/>
        <v>021</v>
      </c>
      <c r="B661" s="4" t="str">
        <f t="shared" si="32"/>
        <v>42</v>
      </c>
      <c r="C661" s="5" t="s">
        <v>1284</v>
      </c>
      <c r="E661" s="6" t="s">
        <v>1203</v>
      </c>
      <c r="F661" s="7" t="s">
        <v>1285</v>
      </c>
      <c r="G661" s="8" t="str">
        <f t="shared" si="30"/>
        <v>MILITARY</v>
      </c>
    </row>
    <row r="662" spans="1:7">
      <c r="A662" s="4" t="str">
        <f t="shared" si="31"/>
        <v>021</v>
      </c>
      <c r="B662" s="4" t="str">
        <f t="shared" si="32"/>
        <v>43</v>
      </c>
      <c r="C662" s="5" t="s">
        <v>1286</v>
      </c>
      <c r="E662" s="6" t="s">
        <v>1203</v>
      </c>
      <c r="F662" s="7" t="s">
        <v>1287</v>
      </c>
      <c r="G662" s="8" t="str">
        <f t="shared" si="30"/>
        <v>ALASKA C</v>
      </c>
    </row>
    <row r="663" spans="1:7">
      <c r="A663" s="4" t="str">
        <f t="shared" si="31"/>
        <v>021</v>
      </c>
      <c r="B663" s="4" t="str">
        <f t="shared" si="32"/>
        <v>45</v>
      </c>
      <c r="C663" s="5" t="s">
        <v>1288</v>
      </c>
      <c r="E663" s="6" t="s">
        <v>1203</v>
      </c>
      <c r="F663" s="7" t="s">
        <v>1289</v>
      </c>
      <c r="G663" s="8" t="str">
        <f t="shared" si="30"/>
        <v>DFAS</v>
      </c>
    </row>
    <row r="664" spans="1:7">
      <c r="A664" s="4" t="str">
        <f t="shared" si="31"/>
        <v>021</v>
      </c>
      <c r="B664" s="4" t="str">
        <f t="shared" si="32"/>
        <v>46</v>
      </c>
      <c r="C664" s="5" t="s">
        <v>1290</v>
      </c>
      <c r="E664" s="6" t="s">
        <v>1203</v>
      </c>
      <c r="F664" s="7" t="s">
        <v>1291</v>
      </c>
      <c r="G664" s="8" t="str">
        <f t="shared" si="30"/>
        <v xml:space="preserve">USA SIM </v>
      </c>
    </row>
    <row r="665" spans="1:7">
      <c r="A665" s="4" t="str">
        <f t="shared" si="31"/>
        <v>021</v>
      </c>
      <c r="B665" s="4" t="str">
        <f t="shared" si="32"/>
        <v>47</v>
      </c>
      <c r="C665" s="5" t="s">
        <v>1292</v>
      </c>
      <c r="E665" s="6" t="s">
        <v>1203</v>
      </c>
      <c r="F665" s="7" t="s">
        <v>1293</v>
      </c>
      <c r="G665" s="8" t="str">
        <f t="shared" si="30"/>
        <v>USA RESE</v>
      </c>
    </row>
    <row r="666" spans="1:7">
      <c r="A666" s="4" t="str">
        <f t="shared" si="31"/>
        <v>021</v>
      </c>
      <c r="B666" s="4" t="str">
        <f t="shared" si="32"/>
        <v>48</v>
      </c>
      <c r="C666" s="5" t="s">
        <v>1294</v>
      </c>
      <c r="E666" s="6" t="s">
        <v>1203</v>
      </c>
      <c r="F666" s="7" t="s">
        <v>1295</v>
      </c>
      <c r="G666" s="8" t="str">
        <f t="shared" si="30"/>
        <v xml:space="preserve">US ARMY </v>
      </c>
    </row>
    <row r="667" spans="1:7">
      <c r="A667" s="4" t="str">
        <f t="shared" si="31"/>
        <v>021</v>
      </c>
      <c r="B667" s="4" t="str">
        <f t="shared" si="32"/>
        <v>49</v>
      </c>
      <c r="C667" s="5" t="s">
        <v>1296</v>
      </c>
      <c r="E667" s="6" t="s">
        <v>1203</v>
      </c>
      <c r="F667" s="7" t="s">
        <v>1297</v>
      </c>
      <c r="G667" s="8" t="str">
        <f t="shared" si="30"/>
        <v xml:space="preserve">US ARMY </v>
      </c>
    </row>
    <row r="668" spans="1:7">
      <c r="A668" s="4" t="str">
        <f t="shared" si="31"/>
        <v>021</v>
      </c>
      <c r="B668" s="4" t="str">
        <f t="shared" si="32"/>
        <v>51</v>
      </c>
      <c r="C668" s="5" t="s">
        <v>1298</v>
      </c>
      <c r="E668" s="6" t="s">
        <v>1203</v>
      </c>
      <c r="F668" s="7" t="s">
        <v>1299</v>
      </c>
      <c r="G668" s="8" t="str">
        <f t="shared" si="30"/>
        <v xml:space="preserve">DEPT OF </v>
      </c>
    </row>
    <row r="669" spans="1:7">
      <c r="A669" s="4" t="str">
        <f t="shared" si="31"/>
        <v>021</v>
      </c>
      <c r="B669" s="4" t="str">
        <f t="shared" si="32"/>
        <v>52</v>
      </c>
      <c r="C669" s="5" t="s">
        <v>1300</v>
      </c>
      <c r="E669" s="6" t="s">
        <v>1203</v>
      </c>
      <c r="F669" s="7" t="s">
        <v>1301</v>
      </c>
      <c r="G669" s="8" t="str">
        <f t="shared" si="30"/>
        <v>ARMY LOG</v>
      </c>
    </row>
    <row r="670" spans="1:7">
      <c r="A670" s="4" t="str">
        <f t="shared" si="31"/>
        <v>021</v>
      </c>
      <c r="B670" s="4" t="str">
        <f t="shared" si="32"/>
        <v>53</v>
      </c>
      <c r="C670" s="5" t="s">
        <v>1302</v>
      </c>
      <c r="E670" s="6" t="s">
        <v>1203</v>
      </c>
      <c r="F670" s="7" t="s">
        <v>1303</v>
      </c>
      <c r="G670" s="8" t="str">
        <f t="shared" si="30"/>
        <v xml:space="preserve">US ARMY </v>
      </c>
    </row>
    <row r="671" spans="1:7">
      <c r="A671" s="4" t="str">
        <f t="shared" si="31"/>
        <v>021</v>
      </c>
      <c r="B671" s="4" t="str">
        <f t="shared" si="32"/>
        <v>54</v>
      </c>
      <c r="C671" s="5" t="s">
        <v>1304</v>
      </c>
      <c r="E671" s="6" t="s">
        <v>1203</v>
      </c>
      <c r="F671" s="7" t="s">
        <v>1305</v>
      </c>
      <c r="G671" s="8" t="str">
        <f t="shared" si="30"/>
        <v xml:space="preserve">US ARMY </v>
      </c>
    </row>
    <row r="672" spans="1:7">
      <c r="A672" s="4" t="str">
        <f t="shared" si="31"/>
        <v>021</v>
      </c>
      <c r="B672" s="4" t="str">
        <f t="shared" si="32"/>
        <v>55</v>
      </c>
      <c r="C672" s="5" t="s">
        <v>1306</v>
      </c>
      <c r="E672" s="6" t="s">
        <v>1203</v>
      </c>
      <c r="F672" s="7" t="s">
        <v>1307</v>
      </c>
      <c r="G672" s="8" t="str">
        <f t="shared" si="30"/>
        <v>US PROPE</v>
      </c>
    </row>
    <row r="673" spans="1:7">
      <c r="A673" s="4" t="str">
        <f t="shared" si="31"/>
        <v>021</v>
      </c>
      <c r="B673" s="4" t="str">
        <f t="shared" si="32"/>
        <v>56</v>
      </c>
      <c r="C673" s="5" t="s">
        <v>1308</v>
      </c>
      <c r="E673" s="6" t="s">
        <v>1203</v>
      </c>
      <c r="F673" s="7" t="s">
        <v>1309</v>
      </c>
      <c r="G673" s="8" t="str">
        <f t="shared" si="30"/>
        <v>ARMY,PRO</v>
      </c>
    </row>
    <row r="674" spans="1:7">
      <c r="A674" s="4" t="str">
        <f t="shared" si="31"/>
        <v>021</v>
      </c>
      <c r="B674" s="4" t="str">
        <f t="shared" si="32"/>
        <v>57</v>
      </c>
      <c r="C674" s="5" t="s">
        <v>1310</v>
      </c>
      <c r="E674" s="6" t="s">
        <v>1203</v>
      </c>
      <c r="F674" s="7" t="s">
        <v>1311</v>
      </c>
      <c r="G674" s="8" t="str">
        <f t="shared" si="30"/>
        <v xml:space="preserve">DEPT OF </v>
      </c>
    </row>
    <row r="675" spans="1:7">
      <c r="A675" s="4" t="str">
        <f t="shared" si="31"/>
        <v>021</v>
      </c>
      <c r="B675" s="4" t="str">
        <f t="shared" si="32"/>
        <v>58</v>
      </c>
      <c r="C675" s="5" t="s">
        <v>1312</v>
      </c>
      <c r="E675" s="6" t="s">
        <v>1203</v>
      </c>
      <c r="F675" s="7" t="s">
        <v>1313</v>
      </c>
      <c r="G675" s="8" t="str">
        <f t="shared" si="30"/>
        <v xml:space="preserve">US ARMY </v>
      </c>
    </row>
    <row r="676" spans="1:7">
      <c r="A676" s="4" t="str">
        <f t="shared" si="31"/>
        <v>021</v>
      </c>
      <c r="B676" s="4" t="str">
        <f t="shared" si="32"/>
        <v>59</v>
      </c>
      <c r="C676" s="5" t="s">
        <v>1314</v>
      </c>
      <c r="E676" s="6" t="s">
        <v>1203</v>
      </c>
      <c r="F676" s="7" t="s">
        <v>1315</v>
      </c>
      <c r="G676" s="8" t="str">
        <f t="shared" si="30"/>
        <v xml:space="preserve">US ARMY </v>
      </c>
    </row>
    <row r="677" spans="1:7">
      <c r="A677" s="4" t="str">
        <f t="shared" si="31"/>
        <v>021</v>
      </c>
      <c r="B677" s="4" t="str">
        <f t="shared" si="32"/>
        <v>60</v>
      </c>
      <c r="C677" s="5" t="s">
        <v>1316</v>
      </c>
      <c r="E677" s="6" t="s">
        <v>1203</v>
      </c>
      <c r="F677" s="7" t="s">
        <v>1317</v>
      </c>
      <c r="G677" s="8" t="str">
        <f t="shared" si="30"/>
        <v xml:space="preserve">US ARMY </v>
      </c>
    </row>
    <row r="678" spans="1:7">
      <c r="A678" s="4" t="str">
        <f t="shared" si="31"/>
        <v>021</v>
      </c>
      <c r="B678" s="4" t="str">
        <f t="shared" si="32"/>
        <v>61</v>
      </c>
      <c r="C678" s="5" t="s">
        <v>1318</v>
      </c>
      <c r="E678" s="6" t="s">
        <v>1203</v>
      </c>
      <c r="F678" s="7" t="s">
        <v>1319</v>
      </c>
      <c r="G678" s="8" t="str">
        <f t="shared" si="30"/>
        <v xml:space="preserve">US ARMY </v>
      </c>
    </row>
    <row r="679" spans="1:7">
      <c r="A679" s="4" t="str">
        <f t="shared" si="31"/>
        <v>021</v>
      </c>
      <c r="B679" s="4" t="str">
        <f t="shared" si="32"/>
        <v>63</v>
      </c>
      <c r="C679" s="5" t="s">
        <v>1320</v>
      </c>
      <c r="E679" s="6" t="s">
        <v>1203</v>
      </c>
      <c r="F679" s="7" t="s">
        <v>1321</v>
      </c>
      <c r="G679" s="8" t="str">
        <f t="shared" si="30"/>
        <v xml:space="preserve">US ARMY </v>
      </c>
    </row>
    <row r="680" spans="1:7">
      <c r="A680" s="4" t="str">
        <f t="shared" si="31"/>
        <v>021</v>
      </c>
      <c r="B680" s="4" t="str">
        <f t="shared" si="32"/>
        <v>64</v>
      </c>
      <c r="C680" s="5" t="s">
        <v>1322</v>
      </c>
      <c r="E680" s="6" t="s">
        <v>1203</v>
      </c>
      <c r="F680" s="7" t="s">
        <v>1323</v>
      </c>
      <c r="G680" s="8" t="str">
        <f t="shared" si="30"/>
        <v xml:space="preserve">US ARMY </v>
      </c>
    </row>
    <row r="681" spans="1:7">
      <c r="A681" s="4" t="str">
        <f t="shared" si="31"/>
        <v>021</v>
      </c>
      <c r="B681" s="4" t="str">
        <f t="shared" si="32"/>
        <v>65</v>
      </c>
      <c r="C681" s="5" t="s">
        <v>1324</v>
      </c>
      <c r="E681" s="6" t="s">
        <v>1203</v>
      </c>
      <c r="F681" s="7" t="s">
        <v>1325</v>
      </c>
      <c r="G681" s="8" t="str">
        <f t="shared" si="30"/>
        <v xml:space="preserve">US ARMY </v>
      </c>
    </row>
    <row r="682" spans="1:7">
      <c r="A682" s="4" t="str">
        <f t="shared" si="31"/>
        <v>021</v>
      </c>
      <c r="B682" s="4" t="str">
        <f t="shared" si="32"/>
        <v>66</v>
      </c>
      <c r="C682" s="5" t="s">
        <v>1326</v>
      </c>
      <c r="E682" s="6" t="s">
        <v>1203</v>
      </c>
      <c r="F682" s="7" t="s">
        <v>1327</v>
      </c>
      <c r="G682" s="8" t="str">
        <f t="shared" si="30"/>
        <v xml:space="preserve">US ARMY </v>
      </c>
    </row>
    <row r="683" spans="1:7">
      <c r="A683" s="4" t="str">
        <f t="shared" si="31"/>
        <v>021</v>
      </c>
      <c r="B683" s="4" t="str">
        <f t="shared" si="32"/>
        <v>74</v>
      </c>
      <c r="C683" s="5" t="s">
        <v>1328</v>
      </c>
      <c r="E683" s="6" t="s">
        <v>1203</v>
      </c>
      <c r="F683" s="7" t="s">
        <v>1329</v>
      </c>
      <c r="G683" s="8" t="str">
        <f t="shared" si="30"/>
        <v xml:space="preserve">DEPT OF </v>
      </c>
    </row>
    <row r="684" spans="1:7">
      <c r="A684" s="4" t="str">
        <f t="shared" si="31"/>
        <v>021</v>
      </c>
      <c r="B684" s="4" t="str">
        <f t="shared" si="32"/>
        <v>75</v>
      </c>
      <c r="C684" s="5" t="s">
        <v>1330</v>
      </c>
      <c r="E684" s="6" t="s">
        <v>1203</v>
      </c>
      <c r="F684" s="7" t="s">
        <v>1331</v>
      </c>
      <c r="G684" s="8" t="str">
        <f t="shared" si="30"/>
        <v>DEPARTME</v>
      </c>
    </row>
    <row r="685" spans="1:7">
      <c r="A685" s="4" t="str">
        <f t="shared" si="31"/>
        <v>021</v>
      </c>
      <c r="B685" s="4" t="str">
        <f t="shared" si="32"/>
        <v>80</v>
      </c>
      <c r="C685" s="5" t="s">
        <v>1332</v>
      </c>
      <c r="E685" s="6" t="s">
        <v>1203</v>
      </c>
      <c r="F685" s="7" t="s">
        <v>1333</v>
      </c>
      <c r="G685" s="8" t="str">
        <f t="shared" si="30"/>
        <v>CECOM LC</v>
      </c>
    </row>
    <row r="686" spans="1:7">
      <c r="A686" s="4" t="str">
        <f t="shared" si="31"/>
        <v>021</v>
      </c>
      <c r="B686" s="4" t="str">
        <f t="shared" si="32"/>
        <v>90</v>
      </c>
      <c r="C686" s="5" t="s">
        <v>1334</v>
      </c>
      <c r="E686" s="6" t="s">
        <v>1203</v>
      </c>
      <c r="F686" s="7" t="s">
        <v>1335</v>
      </c>
      <c r="G686" s="8" t="str">
        <f t="shared" si="30"/>
        <v>STATE/LO</v>
      </c>
    </row>
    <row r="687" spans="1:7">
      <c r="A687" s="4" t="str">
        <f t="shared" si="31"/>
        <v>021</v>
      </c>
      <c r="B687" s="4" t="str">
        <f t="shared" si="32"/>
        <v>97</v>
      </c>
      <c r="C687" s="5" t="s">
        <v>1336</v>
      </c>
      <c r="E687" s="6" t="s">
        <v>1203</v>
      </c>
      <c r="F687" s="7" t="s">
        <v>102</v>
      </c>
      <c r="G687" s="8" t="str">
        <f t="shared" si="30"/>
        <v>GSA ADVA</v>
      </c>
    </row>
    <row r="688" spans="1:7">
      <c r="A688" s="4" t="str">
        <f t="shared" si="31"/>
        <v>021</v>
      </c>
      <c r="B688" s="4" t="str">
        <f t="shared" si="32"/>
        <v>99</v>
      </c>
      <c r="C688" s="5" t="s">
        <v>1337</v>
      </c>
      <c r="E688" s="6" t="s">
        <v>1203</v>
      </c>
      <c r="F688" s="7" t="s">
        <v>132</v>
      </c>
      <c r="G688" s="8" t="str">
        <f t="shared" si="30"/>
        <v>SUBCONTR</v>
      </c>
    </row>
    <row r="689" spans="1:7">
      <c r="A689" s="4" t="str">
        <f t="shared" si="31"/>
        <v>022</v>
      </c>
      <c r="B689" s="4" t="str">
        <f t="shared" si="32"/>
        <v>00</v>
      </c>
      <c r="C689" s="5" t="s">
        <v>1338</v>
      </c>
      <c r="E689" s="6" t="s">
        <v>1339</v>
      </c>
      <c r="F689" s="7" t="s">
        <v>1339</v>
      </c>
      <c r="G689" s="8" t="str">
        <f t="shared" si="30"/>
        <v>AGENCY 2</v>
      </c>
    </row>
    <row r="690" spans="1:7">
      <c r="A690" s="4" t="str">
        <f t="shared" si="31"/>
        <v>022</v>
      </c>
      <c r="B690" s="4" t="str">
        <f t="shared" si="32"/>
        <v>01</v>
      </c>
      <c r="C690" s="5" t="s">
        <v>1340</v>
      </c>
      <c r="E690" s="6" t="s">
        <v>1339</v>
      </c>
      <c r="F690" s="7" t="s">
        <v>1341</v>
      </c>
      <c r="G690" s="8" t="str">
        <f t="shared" si="30"/>
        <v>TDP OVSG</v>
      </c>
    </row>
    <row r="691" spans="1:7">
      <c r="A691" s="4" t="str">
        <f t="shared" si="31"/>
        <v>022</v>
      </c>
      <c r="B691" s="4" t="str">
        <f t="shared" si="32"/>
        <v>03</v>
      </c>
      <c r="C691" s="5" t="s">
        <v>1342</v>
      </c>
      <c r="E691" s="6" t="s">
        <v>1339</v>
      </c>
      <c r="F691" s="7" t="s">
        <v>1343</v>
      </c>
      <c r="G691" s="8" t="str">
        <f t="shared" si="30"/>
        <v>NTL RR A</v>
      </c>
    </row>
    <row r="692" spans="1:7">
      <c r="A692" s="4" t="str">
        <f t="shared" si="31"/>
        <v>023</v>
      </c>
      <c r="B692" s="4" t="str">
        <f t="shared" si="32"/>
        <v>00</v>
      </c>
      <c r="C692" s="5" t="s">
        <v>1344</v>
      </c>
      <c r="E692" s="6" t="s">
        <v>1345</v>
      </c>
      <c r="F692" s="7" t="s">
        <v>1345</v>
      </c>
      <c r="G692" s="8" t="str">
        <f t="shared" si="30"/>
        <v>UNITED S</v>
      </c>
    </row>
    <row r="693" spans="1:7">
      <c r="A693" s="4" t="str">
        <f t="shared" si="31"/>
        <v>023</v>
      </c>
      <c r="B693" s="4" t="str">
        <f t="shared" si="32"/>
        <v>22</v>
      </c>
      <c r="C693" s="13" t="s">
        <v>1346</v>
      </c>
      <c r="D693" s="18" t="s">
        <v>3166</v>
      </c>
      <c r="E693" s="14" t="s">
        <v>1345</v>
      </c>
      <c r="F693" s="15" t="s">
        <v>1347</v>
      </c>
      <c r="G693" s="8" t="str">
        <f t="shared" si="30"/>
        <v>INACTIVE</v>
      </c>
    </row>
    <row r="694" spans="1:7">
      <c r="A694" s="4" t="str">
        <f t="shared" si="31"/>
        <v>023</v>
      </c>
      <c r="B694" s="4" t="str">
        <f t="shared" si="32"/>
        <v>97</v>
      </c>
      <c r="C694" s="5" t="s">
        <v>1348</v>
      </c>
      <c r="E694" s="6" t="s">
        <v>1345</v>
      </c>
      <c r="F694" s="7" t="s">
        <v>102</v>
      </c>
      <c r="G694" s="8" t="str">
        <f t="shared" si="30"/>
        <v>GSA ADVA</v>
      </c>
    </row>
    <row r="695" spans="1:7">
      <c r="A695" s="4" t="str">
        <f t="shared" si="31"/>
        <v>024</v>
      </c>
      <c r="B695" s="4" t="str">
        <f t="shared" si="32"/>
        <v>00</v>
      </c>
      <c r="C695" s="5" t="s">
        <v>1349</v>
      </c>
      <c r="E695" s="6" t="s">
        <v>1350</v>
      </c>
      <c r="F695" s="7" t="s">
        <v>1350</v>
      </c>
      <c r="G695" s="8" t="str">
        <f t="shared" si="30"/>
        <v>OFFICE O</v>
      </c>
    </row>
    <row r="696" spans="1:7">
      <c r="A696" s="4" t="str">
        <f t="shared" si="31"/>
        <v>024</v>
      </c>
      <c r="B696" s="4" t="str">
        <f t="shared" si="32"/>
        <v>01</v>
      </c>
      <c r="C696" s="5" t="s">
        <v>1351</v>
      </c>
      <c r="E696" s="6" t="s">
        <v>1350</v>
      </c>
      <c r="F696" s="7" t="s">
        <v>1352</v>
      </c>
      <c r="G696" s="8" t="str">
        <f t="shared" si="30"/>
        <v>OFFICE O</v>
      </c>
    </row>
    <row r="697" spans="1:7">
      <c r="A697" s="4" t="str">
        <f t="shared" si="31"/>
        <v>024</v>
      </c>
      <c r="B697" s="4" t="str">
        <f t="shared" si="32"/>
        <v>05</v>
      </c>
      <c r="C697" s="13" t="s">
        <v>1353</v>
      </c>
      <c r="D697" s="18" t="s">
        <v>3166</v>
      </c>
      <c r="E697" s="14" t="s">
        <v>1350</v>
      </c>
      <c r="F697" s="15" t="s">
        <v>1354</v>
      </c>
      <c r="G697" s="16" t="str">
        <f t="shared" si="30"/>
        <v xml:space="preserve">EXPIRED </v>
      </c>
    </row>
    <row r="698" spans="1:7">
      <c r="A698" s="4" t="str">
        <f t="shared" si="31"/>
        <v>024</v>
      </c>
      <c r="B698" s="4" t="str">
        <f t="shared" si="32"/>
        <v>07</v>
      </c>
      <c r="C698" s="13" t="s">
        <v>1355</v>
      </c>
      <c r="D698" s="18" t="s">
        <v>3166</v>
      </c>
      <c r="E698" s="14" t="s">
        <v>1350</v>
      </c>
      <c r="F698" s="15" t="s">
        <v>1354</v>
      </c>
      <c r="G698" s="16" t="str">
        <f t="shared" si="30"/>
        <v xml:space="preserve">EXPIRED </v>
      </c>
    </row>
    <row r="699" spans="1:7">
      <c r="A699" s="4" t="str">
        <f t="shared" si="31"/>
        <v>024</v>
      </c>
      <c r="B699" s="4" t="str">
        <f t="shared" si="32"/>
        <v>08</v>
      </c>
      <c r="C699" s="13" t="s">
        <v>1356</v>
      </c>
      <c r="D699" s="18" t="s">
        <v>3166</v>
      </c>
      <c r="E699" s="14" t="s">
        <v>1350</v>
      </c>
      <c r="F699" s="15" t="s">
        <v>1354</v>
      </c>
      <c r="G699" s="16" t="str">
        <f t="shared" si="30"/>
        <v xml:space="preserve">EXPIRED </v>
      </c>
    </row>
    <row r="700" spans="1:7">
      <c r="A700" s="4" t="str">
        <f t="shared" si="31"/>
        <v>024</v>
      </c>
      <c r="B700" s="4" t="str">
        <f t="shared" si="32"/>
        <v>09</v>
      </c>
      <c r="C700" s="13" t="s">
        <v>1357</v>
      </c>
      <c r="D700" s="18" t="s">
        <v>3166</v>
      </c>
      <c r="E700" s="14" t="s">
        <v>1350</v>
      </c>
      <c r="F700" s="15" t="s">
        <v>1354</v>
      </c>
      <c r="G700" s="16" t="str">
        <f t="shared" si="30"/>
        <v xml:space="preserve">EXPIRED </v>
      </c>
    </row>
    <row r="701" spans="1:7">
      <c r="A701" s="4" t="str">
        <f t="shared" si="31"/>
        <v>024</v>
      </c>
      <c r="B701" s="4" t="str">
        <f t="shared" si="32"/>
        <v>11</v>
      </c>
      <c r="C701" s="13" t="s">
        <v>1358</v>
      </c>
      <c r="D701" s="18" t="s">
        <v>3166</v>
      </c>
      <c r="E701" s="14" t="s">
        <v>1350</v>
      </c>
      <c r="F701" s="15" t="s">
        <v>1354</v>
      </c>
      <c r="G701" s="16" t="str">
        <f t="shared" si="30"/>
        <v xml:space="preserve">EXPIRED </v>
      </c>
    </row>
    <row r="702" spans="1:7">
      <c r="A702" s="4" t="str">
        <f t="shared" si="31"/>
        <v>024</v>
      </c>
      <c r="B702" s="4" t="str">
        <f t="shared" si="32"/>
        <v>13</v>
      </c>
      <c r="C702" s="13" t="s">
        <v>1359</v>
      </c>
      <c r="D702" s="18" t="s">
        <v>3166</v>
      </c>
      <c r="E702" s="14" t="s">
        <v>1350</v>
      </c>
      <c r="F702" s="15" t="s">
        <v>1354</v>
      </c>
      <c r="G702" s="16" t="str">
        <f t="shared" si="30"/>
        <v xml:space="preserve">EXPIRED </v>
      </c>
    </row>
    <row r="703" spans="1:7">
      <c r="A703" s="4" t="str">
        <f t="shared" si="31"/>
        <v>024</v>
      </c>
      <c r="B703" s="4" t="str">
        <f t="shared" si="32"/>
        <v>15</v>
      </c>
      <c r="C703" s="13" t="s">
        <v>1360</v>
      </c>
      <c r="D703" s="18" t="s">
        <v>3166</v>
      </c>
      <c r="E703" s="14" t="s">
        <v>1350</v>
      </c>
      <c r="F703" s="15" t="s">
        <v>1354</v>
      </c>
      <c r="G703" s="16" t="str">
        <f t="shared" si="30"/>
        <v xml:space="preserve">EXPIRED </v>
      </c>
    </row>
    <row r="704" spans="1:7">
      <c r="A704" s="4" t="str">
        <f t="shared" si="31"/>
        <v>024</v>
      </c>
      <c r="B704" s="4" t="str">
        <f t="shared" si="32"/>
        <v>16</v>
      </c>
      <c r="C704" s="5" t="s">
        <v>1361</v>
      </c>
      <c r="E704" s="6" t="s">
        <v>1350</v>
      </c>
      <c r="F704" s="7" t="s">
        <v>1362</v>
      </c>
      <c r="G704" s="8" t="str">
        <f t="shared" si="30"/>
        <v>PRESIDEN</v>
      </c>
    </row>
    <row r="705" spans="1:7">
      <c r="A705" s="4" t="str">
        <f t="shared" si="31"/>
        <v>024</v>
      </c>
      <c r="B705" s="4" t="str">
        <f t="shared" si="32"/>
        <v>17</v>
      </c>
      <c r="C705" s="5" t="s">
        <v>1363</v>
      </c>
      <c r="E705" s="6" t="s">
        <v>1350</v>
      </c>
      <c r="F705" s="7" t="s">
        <v>1364</v>
      </c>
      <c r="G705" s="8" t="str">
        <f t="shared" si="30"/>
        <v>PRESIDEN</v>
      </c>
    </row>
    <row r="706" spans="1:7">
      <c r="A706" s="4" t="str">
        <f t="shared" si="31"/>
        <v>024</v>
      </c>
      <c r="B706" s="4" t="str">
        <f t="shared" si="32"/>
        <v>97</v>
      </c>
      <c r="C706" s="5" t="s">
        <v>1365</v>
      </c>
      <c r="E706" s="6" t="s">
        <v>1350</v>
      </c>
      <c r="F706" s="7" t="s">
        <v>102</v>
      </c>
      <c r="G706" s="8" t="str">
        <f t="shared" ref="G706:G769" si="33">LEFT(F706,8)</f>
        <v>GSA ADVA</v>
      </c>
    </row>
    <row r="707" spans="1:7">
      <c r="A707" s="4" t="str">
        <f t="shared" ref="A707:A770" si="34">LEFT(C707,3)</f>
        <v>024</v>
      </c>
      <c r="B707" s="4" t="str">
        <f t="shared" ref="B707:B770" si="35">RIGHT(C707,2)</f>
        <v>99</v>
      </c>
      <c r="C707" s="5" t="s">
        <v>1366</v>
      </c>
      <c r="E707" s="6" t="s">
        <v>1350</v>
      </c>
      <c r="F707" s="7" t="s">
        <v>1367</v>
      </c>
      <c r="G707" s="8" t="str">
        <f t="shared" si="33"/>
        <v>OPM PROV</v>
      </c>
    </row>
    <row r="708" spans="1:7">
      <c r="A708" s="4" t="str">
        <f t="shared" si="34"/>
        <v>025</v>
      </c>
      <c r="B708" s="4" t="str">
        <f t="shared" si="35"/>
        <v>00</v>
      </c>
      <c r="C708" s="5" t="s">
        <v>1368</v>
      </c>
      <c r="E708" s="6" t="s">
        <v>1369</v>
      </c>
      <c r="F708" s="7" t="s">
        <v>1369</v>
      </c>
      <c r="G708" s="8" t="str">
        <f t="shared" si="33"/>
        <v>NATIONAL</v>
      </c>
    </row>
    <row r="709" spans="1:7">
      <c r="A709" s="4" t="str">
        <f t="shared" si="34"/>
        <v>025</v>
      </c>
      <c r="B709" s="4" t="str">
        <f t="shared" si="35"/>
        <v>97</v>
      </c>
      <c r="C709" s="5" t="s">
        <v>1370</v>
      </c>
      <c r="E709" s="6" t="s">
        <v>1369</v>
      </c>
      <c r="F709" s="7" t="s">
        <v>102</v>
      </c>
      <c r="G709" s="8" t="str">
        <f t="shared" si="33"/>
        <v>GSA ADVA</v>
      </c>
    </row>
    <row r="710" spans="1:7">
      <c r="A710" s="4" t="str">
        <f t="shared" si="34"/>
        <v>026</v>
      </c>
      <c r="B710" s="4" t="str">
        <f t="shared" si="35"/>
        <v>00</v>
      </c>
      <c r="C710" s="5" t="s">
        <v>1371</v>
      </c>
      <c r="E710" s="6" t="s">
        <v>1372</v>
      </c>
      <c r="F710" s="7" t="s">
        <v>1372</v>
      </c>
      <c r="G710" s="8" t="str">
        <f t="shared" si="33"/>
        <v xml:space="preserve">FEDERAL </v>
      </c>
    </row>
    <row r="711" spans="1:7">
      <c r="A711" s="4" t="str">
        <f t="shared" si="34"/>
        <v>026</v>
      </c>
      <c r="B711" s="4" t="str">
        <f t="shared" si="35"/>
        <v>97</v>
      </c>
      <c r="C711" s="5" t="s">
        <v>1373</v>
      </c>
      <c r="E711" s="6" t="s">
        <v>1372</v>
      </c>
      <c r="F711" s="7" t="s">
        <v>102</v>
      </c>
      <c r="G711" s="8" t="str">
        <f t="shared" si="33"/>
        <v>GSA ADVA</v>
      </c>
    </row>
    <row r="712" spans="1:7">
      <c r="A712" s="4" t="str">
        <f t="shared" si="34"/>
        <v>027</v>
      </c>
      <c r="B712" s="4" t="str">
        <f t="shared" si="35"/>
        <v>00</v>
      </c>
      <c r="C712" s="5" t="s">
        <v>1374</v>
      </c>
      <c r="E712" s="6" t="s">
        <v>1375</v>
      </c>
      <c r="F712" s="7" t="s">
        <v>1375</v>
      </c>
      <c r="G712" s="8" t="str">
        <f t="shared" si="33"/>
        <v xml:space="preserve">FEDERAL </v>
      </c>
    </row>
    <row r="713" spans="1:7">
      <c r="A713" s="4" t="str">
        <f t="shared" si="34"/>
        <v>027</v>
      </c>
      <c r="B713" s="4" t="str">
        <f t="shared" si="35"/>
        <v>97</v>
      </c>
      <c r="C713" s="5" t="s">
        <v>1376</v>
      </c>
      <c r="E713" s="6" t="s">
        <v>1375</v>
      </c>
      <c r="F713" s="7" t="s">
        <v>102</v>
      </c>
      <c r="G713" s="8" t="str">
        <f t="shared" si="33"/>
        <v>GSA ADVA</v>
      </c>
    </row>
    <row r="714" spans="1:7">
      <c r="A714" s="4" t="str">
        <f t="shared" si="34"/>
        <v>027</v>
      </c>
      <c r="B714" s="4" t="str">
        <f t="shared" si="35"/>
        <v>99</v>
      </c>
      <c r="C714" s="5" t="s">
        <v>1377</v>
      </c>
      <c r="E714" s="6" t="s">
        <v>1375</v>
      </c>
      <c r="F714" s="7" t="s">
        <v>132</v>
      </c>
      <c r="G714" s="8" t="str">
        <f t="shared" si="33"/>
        <v>SUBCONTR</v>
      </c>
    </row>
    <row r="715" spans="1:7">
      <c r="A715" s="4" t="str">
        <f t="shared" si="34"/>
        <v>028</v>
      </c>
      <c r="B715" s="4" t="str">
        <f t="shared" si="35"/>
        <v>00</v>
      </c>
      <c r="C715" s="5" t="s">
        <v>1378</v>
      </c>
      <c r="E715" s="6" t="s">
        <v>1379</v>
      </c>
      <c r="F715" s="7" t="s">
        <v>1379</v>
      </c>
      <c r="G715" s="8" t="str">
        <f t="shared" si="33"/>
        <v>SOCIAL S</v>
      </c>
    </row>
    <row r="716" spans="1:7">
      <c r="A716" s="4" t="str">
        <f t="shared" si="34"/>
        <v>028</v>
      </c>
      <c r="B716" s="4" t="str">
        <f t="shared" si="35"/>
        <v>04</v>
      </c>
      <c r="C716" s="5" t="s">
        <v>1380</v>
      </c>
      <c r="E716" s="6" t="s">
        <v>1379</v>
      </c>
      <c r="F716" s="7" t="s">
        <v>1379</v>
      </c>
      <c r="G716" s="8" t="str">
        <f t="shared" si="33"/>
        <v>SOCIAL S</v>
      </c>
    </row>
    <row r="717" spans="1:7">
      <c r="A717" s="4" t="str">
        <f t="shared" si="34"/>
        <v>028</v>
      </c>
      <c r="B717" s="4" t="str">
        <f t="shared" si="35"/>
        <v>05</v>
      </c>
      <c r="C717" s="5" t="s">
        <v>1381</v>
      </c>
      <c r="E717" s="6" t="s">
        <v>1379</v>
      </c>
      <c r="F717" s="7" t="s">
        <v>1382</v>
      </c>
      <c r="G717" s="8" t="str">
        <f t="shared" si="33"/>
        <v>SOCIAL S</v>
      </c>
    </row>
    <row r="718" spans="1:7">
      <c r="A718" s="4" t="str">
        <f t="shared" si="34"/>
        <v>028</v>
      </c>
      <c r="B718" s="4" t="str">
        <f t="shared" si="35"/>
        <v>97</v>
      </c>
      <c r="C718" s="5" t="s">
        <v>1383</v>
      </c>
      <c r="E718" s="6" t="s">
        <v>1379</v>
      </c>
      <c r="F718" s="7" t="s">
        <v>102</v>
      </c>
      <c r="G718" s="8" t="str">
        <f t="shared" si="33"/>
        <v>GSA ADVA</v>
      </c>
    </row>
    <row r="719" spans="1:7">
      <c r="A719" s="4" t="str">
        <f t="shared" si="34"/>
        <v>029</v>
      </c>
      <c r="B719" s="4" t="str">
        <f t="shared" si="35"/>
        <v>00</v>
      </c>
      <c r="C719" s="5" t="s">
        <v>1384</v>
      </c>
      <c r="E719" s="6" t="s">
        <v>1385</v>
      </c>
      <c r="F719" s="7" t="s">
        <v>1385</v>
      </c>
      <c r="G719" s="8" t="str">
        <f t="shared" si="33"/>
        <v xml:space="preserve">FEDERAL </v>
      </c>
    </row>
    <row r="720" spans="1:7">
      <c r="A720" s="4" t="str">
        <f t="shared" si="34"/>
        <v>029</v>
      </c>
      <c r="B720" s="4" t="str">
        <f t="shared" si="35"/>
        <v>01</v>
      </c>
      <c r="C720" s="5" t="s">
        <v>1386</v>
      </c>
      <c r="E720" s="6" t="s">
        <v>1385</v>
      </c>
      <c r="F720" s="7" t="s">
        <v>1387</v>
      </c>
      <c r="G720" s="8" t="str">
        <f t="shared" si="33"/>
        <v>CALL CEN</v>
      </c>
    </row>
    <row r="721" spans="1:7">
      <c r="A721" s="4" t="str">
        <f t="shared" si="34"/>
        <v>029</v>
      </c>
      <c r="B721" s="4" t="str">
        <f t="shared" si="35"/>
        <v>97</v>
      </c>
      <c r="C721" s="5" t="s">
        <v>1388</v>
      </c>
      <c r="E721" s="6" t="s">
        <v>1385</v>
      </c>
      <c r="F721" s="7" t="s">
        <v>102</v>
      </c>
      <c r="G721" s="8" t="str">
        <f t="shared" si="33"/>
        <v>GSA ADVA</v>
      </c>
    </row>
    <row r="722" spans="1:7">
      <c r="A722" s="4" t="str">
        <f t="shared" si="34"/>
        <v>031</v>
      </c>
      <c r="B722" s="4" t="str">
        <f t="shared" si="35"/>
        <v>00</v>
      </c>
      <c r="C722" s="5" t="s">
        <v>1389</v>
      </c>
      <c r="E722" s="6" t="s">
        <v>1390</v>
      </c>
      <c r="F722" s="7" t="s">
        <v>1390</v>
      </c>
      <c r="G722" s="8" t="str">
        <f t="shared" si="33"/>
        <v xml:space="preserve">NUCLEAR </v>
      </c>
    </row>
    <row r="723" spans="1:7">
      <c r="A723" s="4" t="str">
        <f t="shared" si="34"/>
        <v>031</v>
      </c>
      <c r="B723" s="4" t="str">
        <f t="shared" si="35"/>
        <v>97</v>
      </c>
      <c r="C723" s="5" t="s">
        <v>1391</v>
      </c>
      <c r="E723" s="6" t="s">
        <v>1390</v>
      </c>
      <c r="F723" s="7" t="s">
        <v>102</v>
      </c>
      <c r="G723" s="8" t="str">
        <f t="shared" si="33"/>
        <v>GSA ADVA</v>
      </c>
    </row>
    <row r="724" spans="1:7">
      <c r="A724" s="4" t="str">
        <f t="shared" si="34"/>
        <v>031</v>
      </c>
      <c r="B724" s="4" t="str">
        <f t="shared" si="35"/>
        <v>99</v>
      </c>
      <c r="C724" s="5" t="s">
        <v>1392</v>
      </c>
      <c r="E724" s="6" t="s">
        <v>1390</v>
      </c>
      <c r="F724" s="7" t="s">
        <v>132</v>
      </c>
      <c r="G724" s="8" t="str">
        <f t="shared" si="33"/>
        <v>SUBCONTR</v>
      </c>
    </row>
    <row r="725" spans="1:7">
      <c r="A725" s="4" t="str">
        <f t="shared" si="34"/>
        <v>032</v>
      </c>
      <c r="B725" s="4" t="str">
        <f t="shared" si="35"/>
        <v>00</v>
      </c>
      <c r="C725" s="5" t="s">
        <v>1393</v>
      </c>
      <c r="E725" s="6" t="s">
        <v>1394</v>
      </c>
      <c r="F725" s="7" t="s">
        <v>1394</v>
      </c>
      <c r="G725" s="8" t="str">
        <f t="shared" si="33"/>
        <v>SYNTHETI</v>
      </c>
    </row>
    <row r="726" spans="1:7">
      <c r="A726" s="4" t="str">
        <f t="shared" si="34"/>
        <v>032</v>
      </c>
      <c r="B726" s="4" t="str">
        <f t="shared" si="35"/>
        <v>03</v>
      </c>
      <c r="C726" s="5" t="s">
        <v>1395</v>
      </c>
      <c r="E726" s="6" t="s">
        <v>1394</v>
      </c>
      <c r="F726" s="7" t="s">
        <v>1396</v>
      </c>
      <c r="G726" s="8" t="str">
        <f t="shared" si="33"/>
        <v>COMMERCE</v>
      </c>
    </row>
    <row r="727" spans="1:7">
      <c r="A727" s="4" t="str">
        <f t="shared" si="34"/>
        <v>032</v>
      </c>
      <c r="B727" s="4" t="str">
        <f t="shared" si="35"/>
        <v>97</v>
      </c>
      <c r="C727" s="5" t="s">
        <v>1397</v>
      </c>
      <c r="E727" s="6" t="s">
        <v>1394</v>
      </c>
      <c r="F727" s="7" t="s">
        <v>102</v>
      </c>
      <c r="G727" s="8" t="str">
        <f t="shared" si="33"/>
        <v>GSA ADVA</v>
      </c>
    </row>
    <row r="728" spans="1:7">
      <c r="A728" s="4" t="str">
        <f t="shared" si="34"/>
        <v>033</v>
      </c>
      <c r="B728" s="4" t="str">
        <f t="shared" si="35"/>
        <v>00</v>
      </c>
      <c r="C728" s="5" t="s">
        <v>1398</v>
      </c>
      <c r="E728" s="6" t="s">
        <v>1399</v>
      </c>
      <c r="F728" s="7" t="s">
        <v>1399</v>
      </c>
      <c r="G728" s="8" t="str">
        <f t="shared" si="33"/>
        <v>SMITHSON</v>
      </c>
    </row>
    <row r="729" spans="1:7">
      <c r="A729" s="4" t="str">
        <f t="shared" si="34"/>
        <v>033</v>
      </c>
      <c r="B729" s="4" t="str">
        <f t="shared" si="35"/>
        <v>01</v>
      </c>
      <c r="C729" s="5" t="s">
        <v>1400</v>
      </c>
      <c r="E729" s="6" t="s">
        <v>1399</v>
      </c>
      <c r="F729" s="7" t="s">
        <v>1401</v>
      </c>
      <c r="G729" s="8" t="str">
        <f t="shared" si="33"/>
        <v>ARCHIVES</v>
      </c>
    </row>
    <row r="730" spans="1:7">
      <c r="A730" s="4" t="str">
        <f t="shared" si="34"/>
        <v>033</v>
      </c>
      <c r="B730" s="4" t="str">
        <f t="shared" si="35"/>
        <v>03</v>
      </c>
      <c r="C730" s="5" t="s">
        <v>1402</v>
      </c>
      <c r="E730" s="6" t="s">
        <v>1399</v>
      </c>
      <c r="F730" s="7" t="s">
        <v>1403</v>
      </c>
      <c r="G730" s="8" t="str">
        <f t="shared" si="33"/>
        <v>SMITHSON</v>
      </c>
    </row>
    <row r="731" spans="1:7">
      <c r="A731" s="4" t="str">
        <f t="shared" si="34"/>
        <v>033</v>
      </c>
      <c r="B731" s="4" t="str">
        <f t="shared" si="35"/>
        <v>05</v>
      </c>
      <c r="C731" s="5" t="s">
        <v>1404</v>
      </c>
      <c r="E731" s="6" t="s">
        <v>1399</v>
      </c>
      <c r="F731" s="7" t="s">
        <v>1405</v>
      </c>
      <c r="G731" s="8" t="str">
        <f t="shared" si="33"/>
        <v>BOARD OF</v>
      </c>
    </row>
    <row r="732" spans="1:7">
      <c r="A732" s="4" t="str">
        <f t="shared" si="34"/>
        <v>033</v>
      </c>
      <c r="B732" s="4" t="str">
        <f t="shared" si="35"/>
        <v>07</v>
      </c>
      <c r="C732" s="5" t="s">
        <v>1406</v>
      </c>
      <c r="E732" s="6" t="s">
        <v>1399</v>
      </c>
      <c r="F732" s="7" t="s">
        <v>1407</v>
      </c>
      <c r="G732" s="8" t="str">
        <f t="shared" si="33"/>
        <v>SMITHSON</v>
      </c>
    </row>
    <row r="733" spans="1:7">
      <c r="A733" s="4" t="str">
        <f t="shared" si="34"/>
        <v>033</v>
      </c>
      <c r="B733" s="4" t="str">
        <f t="shared" si="35"/>
        <v>09</v>
      </c>
      <c r="C733" s="5" t="s">
        <v>1408</v>
      </c>
      <c r="E733" s="6" t="s">
        <v>1399</v>
      </c>
      <c r="F733" s="7" t="s">
        <v>1409</v>
      </c>
      <c r="G733" s="8" t="str">
        <f t="shared" si="33"/>
        <v>FREER GA</v>
      </c>
    </row>
    <row r="734" spans="1:7">
      <c r="A734" s="4" t="str">
        <f t="shared" si="34"/>
        <v>033</v>
      </c>
      <c r="B734" s="4" t="str">
        <f t="shared" si="35"/>
        <v>11</v>
      </c>
      <c r="C734" s="5" t="s">
        <v>1410</v>
      </c>
      <c r="E734" s="6" t="s">
        <v>1399</v>
      </c>
      <c r="F734" s="7" t="s">
        <v>1411</v>
      </c>
      <c r="G734" s="8" t="str">
        <f t="shared" si="33"/>
        <v>INTERNAT</v>
      </c>
    </row>
    <row r="735" spans="1:7">
      <c r="A735" s="4" t="str">
        <f t="shared" si="34"/>
        <v>033</v>
      </c>
      <c r="B735" s="4" t="str">
        <f t="shared" si="35"/>
        <v>12</v>
      </c>
      <c r="C735" s="5" t="s">
        <v>1412</v>
      </c>
      <c r="E735" s="6" t="s">
        <v>1399</v>
      </c>
      <c r="F735" s="7" t="s">
        <v>1413</v>
      </c>
      <c r="G735" s="8" t="str">
        <f t="shared" si="33"/>
        <v xml:space="preserve">JOHN F. </v>
      </c>
    </row>
    <row r="736" spans="1:7">
      <c r="A736" s="4" t="str">
        <f t="shared" si="34"/>
        <v>033</v>
      </c>
      <c r="B736" s="4" t="str">
        <f t="shared" si="35"/>
        <v>13</v>
      </c>
      <c r="C736" s="5" t="s">
        <v>1414</v>
      </c>
      <c r="E736" s="6" t="s">
        <v>1399</v>
      </c>
      <c r="F736" s="7" t="s">
        <v>1415</v>
      </c>
      <c r="G736" s="8" t="str">
        <f t="shared" si="33"/>
        <v>NATIONAL</v>
      </c>
    </row>
    <row r="737" spans="1:7">
      <c r="A737" s="4" t="str">
        <f t="shared" si="34"/>
        <v>033</v>
      </c>
      <c r="B737" s="4" t="str">
        <f t="shared" si="35"/>
        <v>15</v>
      </c>
      <c r="C737" s="5" t="s">
        <v>1416</v>
      </c>
      <c r="E737" s="6" t="s">
        <v>1399</v>
      </c>
      <c r="F737" s="7" t="s">
        <v>1417</v>
      </c>
      <c r="G737" s="8" t="str">
        <f t="shared" si="33"/>
        <v>NATIONAL</v>
      </c>
    </row>
    <row r="738" spans="1:7">
      <c r="A738" s="4" t="str">
        <f t="shared" si="34"/>
        <v>033</v>
      </c>
      <c r="B738" s="4" t="str">
        <f t="shared" si="35"/>
        <v>17</v>
      </c>
      <c r="C738" s="5" t="s">
        <v>1418</v>
      </c>
      <c r="E738" s="6" t="s">
        <v>1399</v>
      </c>
      <c r="F738" s="7" t="s">
        <v>1419</v>
      </c>
      <c r="G738" s="8" t="str">
        <f t="shared" si="33"/>
        <v>NATIONAL</v>
      </c>
    </row>
    <row r="739" spans="1:7">
      <c r="A739" s="4" t="str">
        <f t="shared" si="34"/>
        <v>033</v>
      </c>
      <c r="B739" s="4" t="str">
        <f t="shared" si="35"/>
        <v>19</v>
      </c>
      <c r="C739" s="5" t="s">
        <v>1420</v>
      </c>
      <c r="E739" s="6" t="s">
        <v>1399</v>
      </c>
      <c r="F739" s="7" t="s">
        <v>1421</v>
      </c>
      <c r="G739" s="8" t="str">
        <f t="shared" si="33"/>
        <v>NATIONAL</v>
      </c>
    </row>
    <row r="740" spans="1:7">
      <c r="A740" s="4" t="str">
        <f t="shared" si="34"/>
        <v>033</v>
      </c>
      <c r="B740" s="4" t="str">
        <f t="shared" si="35"/>
        <v>20</v>
      </c>
      <c r="C740" s="5" t="s">
        <v>1422</v>
      </c>
      <c r="E740" s="6" t="s">
        <v>1399</v>
      </c>
      <c r="F740" s="7" t="s">
        <v>1423</v>
      </c>
      <c r="G740" s="8" t="str">
        <f t="shared" si="33"/>
        <v>NATIONAL</v>
      </c>
    </row>
    <row r="741" spans="1:7">
      <c r="A741" s="4" t="str">
        <f t="shared" si="34"/>
        <v>033</v>
      </c>
      <c r="B741" s="4" t="str">
        <f t="shared" si="35"/>
        <v>21</v>
      </c>
      <c r="C741" s="5" t="s">
        <v>1424</v>
      </c>
      <c r="E741" s="6" t="s">
        <v>1399</v>
      </c>
      <c r="F741" s="7" t="s">
        <v>1425</v>
      </c>
      <c r="G741" s="8" t="str">
        <f t="shared" si="33"/>
        <v>NATIONAL</v>
      </c>
    </row>
    <row r="742" spans="1:7">
      <c r="A742" s="4" t="str">
        <f t="shared" si="34"/>
        <v>033</v>
      </c>
      <c r="B742" s="4" t="str">
        <f t="shared" si="35"/>
        <v>22</v>
      </c>
      <c r="C742" s="5" t="s">
        <v>1426</v>
      </c>
      <c r="E742" s="6" t="s">
        <v>1399</v>
      </c>
      <c r="F742" s="7" t="s">
        <v>1427</v>
      </c>
      <c r="G742" s="8" t="str">
        <f t="shared" si="33"/>
        <v>MARINE S</v>
      </c>
    </row>
    <row r="743" spans="1:7">
      <c r="A743" s="4" t="str">
        <f t="shared" si="34"/>
        <v>033</v>
      </c>
      <c r="B743" s="4" t="str">
        <f t="shared" si="35"/>
        <v>23</v>
      </c>
      <c r="C743" s="5" t="s">
        <v>1428</v>
      </c>
      <c r="E743" s="6" t="s">
        <v>1399</v>
      </c>
      <c r="F743" s="7" t="s">
        <v>1429</v>
      </c>
      <c r="G743" s="8" t="str">
        <f t="shared" si="33"/>
        <v>NATIONAL</v>
      </c>
    </row>
    <row r="744" spans="1:7">
      <c r="A744" s="4" t="str">
        <f t="shared" si="34"/>
        <v>033</v>
      </c>
      <c r="B744" s="4" t="str">
        <f t="shared" si="35"/>
        <v>24</v>
      </c>
      <c r="C744" s="5" t="s">
        <v>1430</v>
      </c>
      <c r="E744" s="6" t="s">
        <v>1399</v>
      </c>
      <c r="F744" s="7" t="s">
        <v>1431</v>
      </c>
      <c r="G744" s="8" t="str">
        <f t="shared" si="33"/>
        <v>RADIATIO</v>
      </c>
    </row>
    <row r="745" spans="1:7">
      <c r="A745" s="4" t="str">
        <f t="shared" si="34"/>
        <v>033</v>
      </c>
      <c r="B745" s="4" t="str">
        <f t="shared" si="35"/>
        <v>27</v>
      </c>
      <c r="C745" s="5" t="s">
        <v>1432</v>
      </c>
      <c r="E745" s="6" t="s">
        <v>1399</v>
      </c>
      <c r="F745" s="7" t="s">
        <v>1433</v>
      </c>
      <c r="G745" s="8" t="str">
        <f t="shared" si="33"/>
        <v>UNITED S</v>
      </c>
    </row>
    <row r="746" spans="1:7">
      <c r="A746" s="4" t="str">
        <f t="shared" si="34"/>
        <v>033</v>
      </c>
      <c r="B746" s="4" t="str">
        <f t="shared" si="35"/>
        <v>28</v>
      </c>
      <c r="C746" s="5" t="s">
        <v>1434</v>
      </c>
      <c r="E746" s="6" t="s">
        <v>1399</v>
      </c>
      <c r="F746" s="7" t="s">
        <v>1435</v>
      </c>
      <c r="G746" s="8" t="str">
        <f t="shared" si="33"/>
        <v>JOSEPH H</v>
      </c>
    </row>
    <row r="747" spans="1:7">
      <c r="A747" s="4" t="str">
        <f t="shared" si="34"/>
        <v>033</v>
      </c>
      <c r="B747" s="4" t="str">
        <f t="shared" si="35"/>
        <v>29</v>
      </c>
      <c r="C747" s="5" t="s">
        <v>1436</v>
      </c>
      <c r="E747" s="6" t="s">
        <v>1399</v>
      </c>
      <c r="F747" s="7" t="s">
        <v>718</v>
      </c>
      <c r="G747" s="8" t="str">
        <f t="shared" si="33"/>
        <v>OFFICE O</v>
      </c>
    </row>
    <row r="748" spans="1:7">
      <c r="A748" s="4" t="str">
        <f t="shared" si="34"/>
        <v>033</v>
      </c>
      <c r="B748" s="4" t="str">
        <f t="shared" si="35"/>
        <v>30</v>
      </c>
      <c r="C748" s="5" t="s">
        <v>1437</v>
      </c>
      <c r="E748" s="6" t="s">
        <v>1399</v>
      </c>
      <c r="F748" s="7" t="s">
        <v>1438</v>
      </c>
      <c r="G748" s="8" t="str">
        <f t="shared" si="33"/>
        <v>DIVISION</v>
      </c>
    </row>
    <row r="749" spans="1:7">
      <c r="A749" s="4" t="str">
        <f t="shared" si="34"/>
        <v>033</v>
      </c>
      <c r="B749" s="4" t="str">
        <f t="shared" si="35"/>
        <v>31</v>
      </c>
      <c r="C749" s="5" t="s">
        <v>1439</v>
      </c>
      <c r="E749" s="6" t="s">
        <v>1399</v>
      </c>
      <c r="F749" s="7" t="s">
        <v>1440</v>
      </c>
      <c r="G749" s="8" t="str">
        <f t="shared" si="33"/>
        <v>SMITHSON</v>
      </c>
    </row>
    <row r="750" spans="1:7">
      <c r="A750" s="4" t="str">
        <f t="shared" si="34"/>
        <v>033</v>
      </c>
      <c r="B750" s="4" t="str">
        <f t="shared" si="35"/>
        <v>32</v>
      </c>
      <c r="C750" s="5" t="s">
        <v>1441</v>
      </c>
      <c r="E750" s="6" t="s">
        <v>1399</v>
      </c>
      <c r="F750" s="7" t="s">
        <v>1442</v>
      </c>
      <c r="G750" s="8" t="str">
        <f t="shared" si="33"/>
        <v>OFFICE O</v>
      </c>
    </row>
    <row r="751" spans="1:7">
      <c r="A751" s="4" t="str">
        <f t="shared" si="34"/>
        <v>033</v>
      </c>
      <c r="B751" s="4" t="str">
        <f t="shared" si="35"/>
        <v>58</v>
      </c>
      <c r="C751" s="5" t="s">
        <v>1443</v>
      </c>
      <c r="E751" s="6" t="s">
        <v>1399</v>
      </c>
      <c r="F751" s="7" t="s">
        <v>1444</v>
      </c>
      <c r="G751" s="8" t="str">
        <f t="shared" si="33"/>
        <v>SMITHSON</v>
      </c>
    </row>
    <row r="752" spans="1:7">
      <c r="A752" s="4" t="str">
        <f t="shared" si="34"/>
        <v>033</v>
      </c>
      <c r="B752" s="4" t="str">
        <f t="shared" si="35"/>
        <v>97</v>
      </c>
      <c r="C752" s="5" t="s">
        <v>1445</v>
      </c>
      <c r="E752" s="6" t="s">
        <v>1399</v>
      </c>
      <c r="F752" s="7" t="s">
        <v>102</v>
      </c>
      <c r="G752" s="8" t="str">
        <f t="shared" si="33"/>
        <v>GSA ADVA</v>
      </c>
    </row>
    <row r="753" spans="1:7">
      <c r="A753" s="4" t="str">
        <f t="shared" si="34"/>
        <v>033</v>
      </c>
      <c r="B753" s="4" t="str">
        <f t="shared" si="35"/>
        <v>99</v>
      </c>
      <c r="C753" s="5" t="s">
        <v>1446</v>
      </c>
      <c r="E753" s="6" t="s">
        <v>1399</v>
      </c>
      <c r="F753" s="7" t="s">
        <v>132</v>
      </c>
      <c r="G753" s="8" t="str">
        <f t="shared" si="33"/>
        <v>SUBCONTR</v>
      </c>
    </row>
    <row r="754" spans="1:7">
      <c r="A754" s="4" t="str">
        <f t="shared" si="34"/>
        <v>034</v>
      </c>
      <c r="B754" s="4" t="str">
        <f t="shared" si="35"/>
        <v>00</v>
      </c>
      <c r="C754" s="5" t="s">
        <v>1447</v>
      </c>
      <c r="E754" s="6" t="s">
        <v>1448</v>
      </c>
      <c r="F754" s="7" t="s">
        <v>1448</v>
      </c>
      <c r="G754" s="8" t="str">
        <f t="shared" si="33"/>
        <v>INTERNAT</v>
      </c>
    </row>
    <row r="755" spans="1:7">
      <c r="A755" s="4" t="str">
        <f t="shared" si="34"/>
        <v>034</v>
      </c>
      <c r="B755" s="4" t="str">
        <f t="shared" si="35"/>
        <v>97</v>
      </c>
      <c r="C755" s="5" t="s">
        <v>1449</v>
      </c>
      <c r="E755" s="6" t="s">
        <v>1448</v>
      </c>
      <c r="F755" s="7" t="s">
        <v>102</v>
      </c>
      <c r="G755" s="8" t="str">
        <f t="shared" si="33"/>
        <v>GSA ADVA</v>
      </c>
    </row>
    <row r="756" spans="1:7">
      <c r="A756" s="4" t="str">
        <f t="shared" si="34"/>
        <v>036</v>
      </c>
      <c r="B756" s="4" t="str">
        <f t="shared" si="35"/>
        <v>00</v>
      </c>
      <c r="C756" s="5" t="s">
        <v>1450</v>
      </c>
      <c r="E756" s="6" t="s">
        <v>1451</v>
      </c>
      <c r="F756" s="7" t="s">
        <v>1451</v>
      </c>
      <c r="G756" s="8" t="str">
        <f t="shared" si="33"/>
        <v>DEPARTME</v>
      </c>
    </row>
    <row r="757" spans="1:7">
      <c r="A757" s="4" t="str">
        <f t="shared" si="34"/>
        <v>036</v>
      </c>
      <c r="B757" s="4" t="str">
        <f t="shared" si="35"/>
        <v>01</v>
      </c>
      <c r="C757" s="5" t="s">
        <v>1452</v>
      </c>
      <c r="E757" s="6" t="s">
        <v>1451</v>
      </c>
      <c r="F757" s="7" t="s">
        <v>1110</v>
      </c>
      <c r="G757" s="8" t="str">
        <f t="shared" si="33"/>
        <v>INSPECTO</v>
      </c>
    </row>
    <row r="758" spans="1:7">
      <c r="A758" s="4" t="str">
        <f t="shared" si="34"/>
        <v>036</v>
      </c>
      <c r="B758" s="4" t="str">
        <f t="shared" si="35"/>
        <v>03</v>
      </c>
      <c r="C758" s="5" t="s">
        <v>1453</v>
      </c>
      <c r="E758" s="6" t="s">
        <v>1451</v>
      </c>
      <c r="F758" s="7" t="s">
        <v>1454</v>
      </c>
      <c r="G758" s="8" t="str">
        <f t="shared" si="33"/>
        <v>OFFICE O</v>
      </c>
    </row>
    <row r="759" spans="1:7">
      <c r="A759" s="4" t="str">
        <f t="shared" si="34"/>
        <v>036</v>
      </c>
      <c r="B759" s="4" t="str">
        <f t="shared" si="35"/>
        <v>05</v>
      </c>
      <c r="C759" s="5" t="s">
        <v>1455</v>
      </c>
      <c r="E759" s="6" t="s">
        <v>1451</v>
      </c>
      <c r="F759" s="7" t="s">
        <v>1456</v>
      </c>
      <c r="G759" s="8" t="str">
        <f t="shared" si="33"/>
        <v>OFFICE O</v>
      </c>
    </row>
    <row r="760" spans="1:7">
      <c r="A760" s="4" t="str">
        <f t="shared" si="34"/>
        <v>036</v>
      </c>
      <c r="B760" s="4" t="str">
        <f t="shared" si="35"/>
        <v>07</v>
      </c>
      <c r="C760" s="5" t="s">
        <v>1457</v>
      </c>
      <c r="E760" s="6" t="s">
        <v>1451</v>
      </c>
      <c r="F760" s="7" t="s">
        <v>1458</v>
      </c>
      <c r="G760" s="8" t="str">
        <f t="shared" si="33"/>
        <v>VA OIS&amp;T</v>
      </c>
    </row>
    <row r="761" spans="1:7">
      <c r="A761" s="4" t="str">
        <f t="shared" si="34"/>
        <v>036</v>
      </c>
      <c r="B761" s="4" t="str">
        <f t="shared" si="35"/>
        <v>08</v>
      </c>
      <c r="C761" s="5" t="s">
        <v>1459</v>
      </c>
      <c r="E761" s="6" t="s">
        <v>1451</v>
      </c>
      <c r="F761" s="7" t="s">
        <v>1460</v>
      </c>
      <c r="G761" s="8" t="str">
        <f t="shared" si="33"/>
        <v>VA/OFFIC</v>
      </c>
    </row>
    <row r="762" spans="1:7">
      <c r="A762" s="4" t="str">
        <f t="shared" si="34"/>
        <v>036</v>
      </c>
      <c r="B762" s="4" t="str">
        <f t="shared" si="35"/>
        <v>09</v>
      </c>
      <c r="C762" s="5" t="s">
        <v>1461</v>
      </c>
      <c r="E762" s="6" t="s">
        <v>1451</v>
      </c>
      <c r="F762" s="7" t="s">
        <v>1462</v>
      </c>
      <c r="G762" s="8" t="str">
        <f t="shared" si="33"/>
        <v>VETERAN'</v>
      </c>
    </row>
    <row r="763" spans="1:7">
      <c r="A763" s="4" t="str">
        <f t="shared" si="34"/>
        <v>036</v>
      </c>
      <c r="B763" s="4" t="str">
        <f t="shared" si="35"/>
        <v>10</v>
      </c>
      <c r="C763" s="5" t="s">
        <v>1463</v>
      </c>
      <c r="E763" s="6" t="s">
        <v>1451</v>
      </c>
      <c r="F763" s="7" t="s">
        <v>1464</v>
      </c>
      <c r="G763" s="8" t="str">
        <f t="shared" si="33"/>
        <v>NATIONAL</v>
      </c>
    </row>
    <row r="764" spans="1:7">
      <c r="A764" s="4" t="str">
        <f t="shared" si="34"/>
        <v>036</v>
      </c>
      <c r="B764" s="4" t="str">
        <f t="shared" si="35"/>
        <v>11</v>
      </c>
      <c r="C764" s="5" t="s">
        <v>1465</v>
      </c>
      <c r="E764" s="6" t="s">
        <v>1451</v>
      </c>
      <c r="F764" s="7" t="s">
        <v>1466</v>
      </c>
      <c r="G764" s="8" t="str">
        <f t="shared" si="33"/>
        <v>VETERANS</v>
      </c>
    </row>
    <row r="765" spans="1:7">
      <c r="A765" s="4" t="str">
        <f t="shared" si="34"/>
        <v>036</v>
      </c>
      <c r="B765" s="4" t="str">
        <f t="shared" si="35"/>
        <v>13</v>
      </c>
      <c r="C765" s="5" t="s">
        <v>1467</v>
      </c>
      <c r="E765" s="6" t="s">
        <v>1451</v>
      </c>
      <c r="F765" s="7" t="s">
        <v>1468</v>
      </c>
      <c r="G765" s="8" t="str">
        <f t="shared" si="33"/>
        <v>OFFICE O</v>
      </c>
    </row>
    <row r="766" spans="1:7">
      <c r="A766" s="4" t="str">
        <f t="shared" si="34"/>
        <v>036</v>
      </c>
      <c r="B766" s="4" t="str">
        <f t="shared" si="35"/>
        <v>14</v>
      </c>
      <c r="C766" s="5" t="s">
        <v>1469</v>
      </c>
      <c r="E766" s="6" t="s">
        <v>1451</v>
      </c>
      <c r="F766" s="7" t="s">
        <v>1470</v>
      </c>
      <c r="G766" s="8" t="str">
        <f t="shared" si="33"/>
        <v>HUMAN RE</v>
      </c>
    </row>
    <row r="767" spans="1:7">
      <c r="A767" s="4" t="str">
        <f t="shared" si="34"/>
        <v>036</v>
      </c>
      <c r="B767" s="4" t="str">
        <f t="shared" si="35"/>
        <v>15</v>
      </c>
      <c r="C767" s="5" t="s">
        <v>1471</v>
      </c>
      <c r="E767" s="6" t="s">
        <v>1451</v>
      </c>
      <c r="F767" s="7" t="s">
        <v>1472</v>
      </c>
      <c r="G767" s="8" t="str">
        <f t="shared" si="33"/>
        <v>TRAINING</v>
      </c>
    </row>
    <row r="768" spans="1:7">
      <c r="A768" s="4" t="str">
        <f t="shared" si="34"/>
        <v>036</v>
      </c>
      <c r="B768" s="4" t="str">
        <f t="shared" si="35"/>
        <v>16</v>
      </c>
      <c r="C768" s="5" t="s">
        <v>1473</v>
      </c>
      <c r="E768" s="6" t="s">
        <v>1451</v>
      </c>
      <c r="F768" s="7" t="s">
        <v>1474</v>
      </c>
      <c r="G768" s="8" t="str">
        <f t="shared" si="33"/>
        <v>VA EASAC</v>
      </c>
    </row>
    <row r="769" spans="1:7">
      <c r="A769" s="4" t="str">
        <f t="shared" si="34"/>
        <v>036</v>
      </c>
      <c r="B769" s="4" t="str">
        <f t="shared" si="35"/>
        <v>20</v>
      </c>
      <c r="C769" s="5" t="s">
        <v>1475</v>
      </c>
      <c r="E769" s="6" t="s">
        <v>1451</v>
      </c>
      <c r="F769" s="7" t="s">
        <v>1476</v>
      </c>
      <c r="G769" s="8" t="str">
        <f t="shared" si="33"/>
        <v>NATIONAL</v>
      </c>
    </row>
    <row r="770" spans="1:7">
      <c r="A770" s="4" t="str">
        <f t="shared" si="34"/>
        <v>036</v>
      </c>
      <c r="B770" s="4" t="str">
        <f t="shared" si="35"/>
        <v>40</v>
      </c>
      <c r="C770" s="5" t="s">
        <v>1477</v>
      </c>
      <c r="E770" s="6" t="s">
        <v>1451</v>
      </c>
      <c r="F770" s="7" t="s">
        <v>1478</v>
      </c>
      <c r="G770" s="8" t="str">
        <f t="shared" ref="G770:G833" si="36">LEFT(F770,8)</f>
        <v xml:space="preserve">DEPT OF </v>
      </c>
    </row>
    <row r="771" spans="1:7">
      <c r="A771" s="4" t="str">
        <f t="shared" ref="A771:A834" si="37">LEFT(C771,3)</f>
        <v>036</v>
      </c>
      <c r="B771" s="4" t="str">
        <f t="shared" ref="B771:B834" si="38">RIGHT(C771,2)</f>
        <v>97</v>
      </c>
      <c r="C771" s="5" t="s">
        <v>1479</v>
      </c>
      <c r="E771" s="6" t="s">
        <v>1451</v>
      </c>
      <c r="F771" s="7" t="s">
        <v>102</v>
      </c>
      <c r="G771" s="8" t="str">
        <f t="shared" si="36"/>
        <v>GSA ADVA</v>
      </c>
    </row>
    <row r="772" spans="1:7">
      <c r="A772" s="4" t="str">
        <f t="shared" si="37"/>
        <v>036</v>
      </c>
      <c r="B772" s="4" t="str">
        <f t="shared" si="38"/>
        <v>99</v>
      </c>
      <c r="C772" s="5" t="s">
        <v>1480</v>
      </c>
      <c r="E772" s="6" t="s">
        <v>1451</v>
      </c>
      <c r="F772" s="7" t="s">
        <v>132</v>
      </c>
      <c r="G772" s="8" t="str">
        <f t="shared" si="36"/>
        <v>SUBCONTR</v>
      </c>
    </row>
    <row r="773" spans="1:7">
      <c r="A773" s="4" t="str">
        <f t="shared" si="37"/>
        <v>037</v>
      </c>
      <c r="B773" s="4" t="str">
        <f t="shared" si="38"/>
        <v>00</v>
      </c>
      <c r="C773" s="5" t="s">
        <v>1481</v>
      </c>
      <c r="E773" s="6" t="s">
        <v>1482</v>
      </c>
      <c r="F773" s="7" t="s">
        <v>1483</v>
      </c>
      <c r="G773" s="8" t="str">
        <f t="shared" si="36"/>
        <v xml:space="preserve">COMM ON </v>
      </c>
    </row>
    <row r="774" spans="1:7">
      <c r="A774" s="4" t="str">
        <f t="shared" si="37"/>
        <v>039</v>
      </c>
      <c r="B774" s="4" t="str">
        <f t="shared" si="38"/>
        <v>00</v>
      </c>
      <c r="C774" s="5" t="s">
        <v>1484</v>
      </c>
      <c r="E774" s="6" t="s">
        <v>1482</v>
      </c>
      <c r="F774" s="7" t="s">
        <v>1485</v>
      </c>
      <c r="G774" s="8" t="str">
        <f t="shared" si="36"/>
        <v>ADV COMM</v>
      </c>
    </row>
    <row r="775" spans="1:7">
      <c r="A775" s="4" t="str">
        <f t="shared" si="37"/>
        <v>042</v>
      </c>
      <c r="B775" s="4" t="str">
        <f t="shared" si="38"/>
        <v>00</v>
      </c>
      <c r="C775" s="5" t="s">
        <v>1486</v>
      </c>
      <c r="E775" s="6" t="s">
        <v>1487</v>
      </c>
      <c r="F775" s="7" t="s">
        <v>1487</v>
      </c>
      <c r="G775" s="8" t="str">
        <f t="shared" si="36"/>
        <v>PENNSYLV</v>
      </c>
    </row>
    <row r="776" spans="1:7">
      <c r="A776" s="4" t="str">
        <f t="shared" si="37"/>
        <v>042</v>
      </c>
      <c r="B776" s="4" t="str">
        <f t="shared" si="38"/>
        <v>97</v>
      </c>
      <c r="C776" s="5" t="s">
        <v>1488</v>
      </c>
      <c r="E776" s="6" t="s">
        <v>1487</v>
      </c>
      <c r="F776" s="7" t="s">
        <v>102</v>
      </c>
      <c r="G776" s="8" t="str">
        <f t="shared" si="36"/>
        <v>GSA ADVA</v>
      </c>
    </row>
    <row r="777" spans="1:7">
      <c r="A777" s="4" t="str">
        <f t="shared" si="37"/>
        <v>043</v>
      </c>
      <c r="B777" s="4" t="str">
        <f t="shared" si="38"/>
        <v>00</v>
      </c>
      <c r="C777" s="5" t="s">
        <v>1489</v>
      </c>
      <c r="E777" s="6" t="s">
        <v>1490</v>
      </c>
      <c r="F777" s="7" t="s">
        <v>1491</v>
      </c>
      <c r="G777" s="8" t="str">
        <f t="shared" si="36"/>
        <v>OES   EX</v>
      </c>
    </row>
    <row r="778" spans="1:7">
      <c r="A778" s="4" t="str">
        <f t="shared" si="37"/>
        <v>044</v>
      </c>
      <c r="B778" s="4" t="str">
        <f t="shared" si="38"/>
        <v>00</v>
      </c>
      <c r="C778" s="5" t="s">
        <v>1492</v>
      </c>
      <c r="E778" s="6" t="s">
        <v>1493</v>
      </c>
      <c r="F778" s="7" t="s">
        <v>1494</v>
      </c>
      <c r="G778" s="8" t="str">
        <f t="shared" si="36"/>
        <v>CORPORAT</v>
      </c>
    </row>
    <row r="779" spans="1:7">
      <c r="A779" s="4" t="str">
        <f t="shared" si="37"/>
        <v>044</v>
      </c>
      <c r="B779" s="4" t="str">
        <f t="shared" si="38"/>
        <v>97</v>
      </c>
      <c r="C779" s="5" t="s">
        <v>1495</v>
      </c>
      <c r="E779" s="6" t="s">
        <v>1493</v>
      </c>
      <c r="F779" s="7" t="s">
        <v>102</v>
      </c>
      <c r="G779" s="8" t="str">
        <f t="shared" si="36"/>
        <v>GSA ADVA</v>
      </c>
    </row>
    <row r="780" spans="1:7">
      <c r="A780" s="4" t="str">
        <f t="shared" si="37"/>
        <v>045</v>
      </c>
      <c r="B780" s="4" t="str">
        <f t="shared" si="38"/>
        <v>00</v>
      </c>
      <c r="C780" s="5" t="s">
        <v>1496</v>
      </c>
      <c r="E780" s="6" t="s">
        <v>1497</v>
      </c>
      <c r="F780" s="7" t="s">
        <v>1497</v>
      </c>
      <c r="G780" s="8" t="str">
        <f t="shared" si="36"/>
        <v>EQUAL EM</v>
      </c>
    </row>
    <row r="781" spans="1:7">
      <c r="A781" s="4" t="str">
        <f t="shared" si="37"/>
        <v>045</v>
      </c>
      <c r="B781" s="4" t="str">
        <f t="shared" si="38"/>
        <v>97</v>
      </c>
      <c r="C781" s="5" t="s">
        <v>1498</v>
      </c>
      <c r="E781" s="6" t="s">
        <v>1497</v>
      </c>
      <c r="F781" s="7" t="s">
        <v>102</v>
      </c>
      <c r="G781" s="8" t="str">
        <f t="shared" si="36"/>
        <v>GSA ADVA</v>
      </c>
    </row>
    <row r="782" spans="1:7">
      <c r="A782" s="4" t="str">
        <f t="shared" si="37"/>
        <v>045</v>
      </c>
      <c r="B782" s="4" t="str">
        <f t="shared" si="38"/>
        <v>99</v>
      </c>
      <c r="C782" s="5" t="s">
        <v>1499</v>
      </c>
      <c r="E782" s="6" t="s">
        <v>1497</v>
      </c>
      <c r="F782" s="7" t="s">
        <v>132</v>
      </c>
      <c r="G782" s="8" t="str">
        <f t="shared" si="36"/>
        <v>SUBCONTR</v>
      </c>
    </row>
    <row r="783" spans="1:7">
      <c r="A783" s="4" t="str">
        <f t="shared" si="37"/>
        <v>047</v>
      </c>
      <c r="B783" s="4" t="str">
        <f t="shared" si="38"/>
        <v>00</v>
      </c>
      <c r="C783" s="5" t="s">
        <v>1500</v>
      </c>
      <c r="E783" s="6" t="s">
        <v>1501</v>
      </c>
      <c r="F783" s="7" t="s">
        <v>1502</v>
      </c>
      <c r="G783" s="8" t="str">
        <f t="shared" si="36"/>
        <v>GSA</v>
      </c>
    </row>
    <row r="784" spans="1:7">
      <c r="A784" s="4" t="str">
        <f t="shared" si="37"/>
        <v>047</v>
      </c>
      <c r="B784" s="4" t="str">
        <f t="shared" si="38"/>
        <v>01</v>
      </c>
      <c r="C784" s="5" t="s">
        <v>1503</v>
      </c>
      <c r="E784" s="6" t="s">
        <v>1501</v>
      </c>
      <c r="F784" s="7" t="s">
        <v>1504</v>
      </c>
      <c r="G784" s="8" t="str">
        <f t="shared" si="36"/>
        <v>OFFICE O</v>
      </c>
    </row>
    <row r="785" spans="1:7">
      <c r="A785" s="4" t="str">
        <f t="shared" si="37"/>
        <v>047</v>
      </c>
      <c r="B785" s="4" t="str">
        <f t="shared" si="38"/>
        <v>02</v>
      </c>
      <c r="C785" s="5" t="s">
        <v>1505</v>
      </c>
      <c r="E785" s="6" t="s">
        <v>1501</v>
      </c>
      <c r="F785" s="7" t="s">
        <v>1506</v>
      </c>
      <c r="G785" s="8" t="str">
        <f t="shared" si="36"/>
        <v>OFFICE O</v>
      </c>
    </row>
    <row r="786" spans="1:7">
      <c r="A786" s="4" t="str">
        <f t="shared" si="37"/>
        <v>047</v>
      </c>
      <c r="B786" s="4" t="str">
        <f t="shared" si="38"/>
        <v>03</v>
      </c>
      <c r="C786" s="5" t="s">
        <v>1507</v>
      </c>
      <c r="E786" s="6" t="s">
        <v>1501</v>
      </c>
      <c r="F786" s="7" t="s">
        <v>470</v>
      </c>
      <c r="G786" s="8" t="str">
        <f t="shared" si="36"/>
        <v>OFFICE O</v>
      </c>
    </row>
    <row r="787" spans="1:7">
      <c r="A787" s="4" t="str">
        <f t="shared" si="37"/>
        <v>047</v>
      </c>
      <c r="B787" s="4" t="str">
        <f t="shared" si="38"/>
        <v>04</v>
      </c>
      <c r="C787" s="5" t="s">
        <v>1508</v>
      </c>
      <c r="E787" s="6" t="s">
        <v>1501</v>
      </c>
      <c r="F787" s="7" t="s">
        <v>654</v>
      </c>
      <c r="G787" s="8" t="str">
        <f t="shared" si="36"/>
        <v>OFFICE O</v>
      </c>
    </row>
    <row r="788" spans="1:7">
      <c r="A788" s="4" t="str">
        <f t="shared" si="37"/>
        <v>047</v>
      </c>
      <c r="B788" s="4" t="str">
        <f t="shared" si="38"/>
        <v>05</v>
      </c>
      <c r="C788" s="5" t="s">
        <v>1509</v>
      </c>
      <c r="E788" s="6" t="s">
        <v>1501</v>
      </c>
      <c r="F788" s="7" t="s">
        <v>1510</v>
      </c>
      <c r="G788" s="8" t="str">
        <f t="shared" si="36"/>
        <v>OFFICE O</v>
      </c>
    </row>
    <row r="789" spans="1:7">
      <c r="A789" s="4" t="str">
        <f t="shared" si="37"/>
        <v>047</v>
      </c>
      <c r="B789" s="4" t="str">
        <f t="shared" si="38"/>
        <v>06</v>
      </c>
      <c r="C789" s="5" t="s">
        <v>1511</v>
      </c>
      <c r="E789" s="6" t="s">
        <v>1501</v>
      </c>
      <c r="F789" s="7" t="s">
        <v>1512</v>
      </c>
      <c r="G789" s="8" t="str">
        <f t="shared" si="36"/>
        <v>OFFICE O</v>
      </c>
    </row>
    <row r="790" spans="1:7">
      <c r="A790" s="4" t="str">
        <f t="shared" si="37"/>
        <v>047</v>
      </c>
      <c r="B790" s="4" t="str">
        <f t="shared" si="38"/>
        <v>07</v>
      </c>
      <c r="C790" s="5" t="s">
        <v>1513</v>
      </c>
      <c r="E790" s="6" t="s">
        <v>1501</v>
      </c>
      <c r="F790" s="7" t="s">
        <v>1514</v>
      </c>
      <c r="G790" s="8" t="str">
        <f t="shared" si="36"/>
        <v xml:space="preserve">FEDERAL </v>
      </c>
    </row>
    <row r="791" spans="1:7">
      <c r="A791" s="4" t="str">
        <f t="shared" si="37"/>
        <v>047</v>
      </c>
      <c r="B791" s="4" t="str">
        <f t="shared" si="38"/>
        <v>08</v>
      </c>
      <c r="C791" s="5" t="s">
        <v>1515</v>
      </c>
      <c r="E791" s="6" t="s">
        <v>1501</v>
      </c>
      <c r="F791" s="7" t="s">
        <v>1516</v>
      </c>
      <c r="G791" s="8" t="str">
        <f t="shared" si="36"/>
        <v>GSA/OFFI</v>
      </c>
    </row>
    <row r="792" spans="1:7">
      <c r="A792" s="4" t="str">
        <f t="shared" si="37"/>
        <v>047</v>
      </c>
      <c r="B792" s="4" t="str">
        <f t="shared" si="38"/>
        <v>09</v>
      </c>
      <c r="C792" s="5" t="s">
        <v>1517</v>
      </c>
      <c r="E792" s="6" t="s">
        <v>1501</v>
      </c>
      <c r="F792" s="7" t="s">
        <v>1518</v>
      </c>
      <c r="G792" s="8" t="str">
        <f t="shared" si="36"/>
        <v xml:space="preserve">FEDERAL </v>
      </c>
    </row>
    <row r="793" spans="1:7">
      <c r="A793" s="4" t="str">
        <f t="shared" si="37"/>
        <v>047</v>
      </c>
      <c r="B793" s="4" t="str">
        <f t="shared" si="38"/>
        <v>10</v>
      </c>
      <c r="C793" s="5" t="s">
        <v>1519</v>
      </c>
      <c r="E793" s="6" t="s">
        <v>1501</v>
      </c>
      <c r="F793" s="7" t="s">
        <v>1520</v>
      </c>
      <c r="G793" s="8" t="str">
        <f t="shared" si="36"/>
        <v>OFC OF T</v>
      </c>
    </row>
    <row r="794" spans="1:7">
      <c r="A794" s="4" t="str">
        <f t="shared" si="37"/>
        <v>047</v>
      </c>
      <c r="B794" s="4" t="str">
        <f t="shared" si="38"/>
        <v>11</v>
      </c>
      <c r="C794" s="5" t="s">
        <v>1521</v>
      </c>
      <c r="E794" s="6" t="s">
        <v>1501</v>
      </c>
      <c r="F794" s="7" t="s">
        <v>1522</v>
      </c>
      <c r="G794" s="8" t="str">
        <f t="shared" si="36"/>
        <v>OFFICE O</v>
      </c>
    </row>
    <row r="795" spans="1:7">
      <c r="A795" s="4" t="str">
        <f t="shared" si="37"/>
        <v>047</v>
      </c>
      <c r="B795" s="4" t="str">
        <f t="shared" si="38"/>
        <v>12</v>
      </c>
      <c r="C795" s="5" t="s">
        <v>1523</v>
      </c>
      <c r="E795" s="6" t="s">
        <v>1501</v>
      </c>
      <c r="F795" s="7" t="s">
        <v>492</v>
      </c>
      <c r="G795" s="8" t="str">
        <f t="shared" si="36"/>
        <v>BOARD OF</v>
      </c>
    </row>
    <row r="796" spans="1:7">
      <c r="A796" s="4" t="str">
        <f t="shared" si="37"/>
        <v>047</v>
      </c>
      <c r="B796" s="4" t="str">
        <f t="shared" si="38"/>
        <v>13</v>
      </c>
      <c r="C796" s="5" t="s">
        <v>1524</v>
      </c>
      <c r="E796" s="6" t="s">
        <v>1501</v>
      </c>
      <c r="F796" s="7" t="s">
        <v>1525</v>
      </c>
      <c r="G796" s="8" t="str">
        <f t="shared" si="36"/>
        <v>OFFICE O</v>
      </c>
    </row>
    <row r="797" spans="1:7">
      <c r="A797" s="4" t="str">
        <f t="shared" si="37"/>
        <v>047</v>
      </c>
      <c r="B797" s="4" t="str">
        <f t="shared" si="38"/>
        <v>14</v>
      </c>
      <c r="C797" s="5" t="s">
        <v>1526</v>
      </c>
      <c r="E797" s="6" t="s">
        <v>1501</v>
      </c>
      <c r="F797" s="7" t="s">
        <v>1527</v>
      </c>
      <c r="G797" s="8" t="str">
        <f t="shared" si="36"/>
        <v>PUBLIC B</v>
      </c>
    </row>
    <row r="798" spans="1:7">
      <c r="A798" s="4" t="str">
        <f t="shared" si="37"/>
        <v>047</v>
      </c>
      <c r="B798" s="4" t="str">
        <f t="shared" si="38"/>
        <v>15</v>
      </c>
      <c r="C798" s="5" t="s">
        <v>1528</v>
      </c>
      <c r="E798" s="6" t="s">
        <v>1501</v>
      </c>
      <c r="F798" s="7" t="s">
        <v>1529</v>
      </c>
      <c r="G798" s="8" t="str">
        <f t="shared" si="36"/>
        <v>PUBLIC B</v>
      </c>
    </row>
    <row r="799" spans="1:7">
      <c r="A799" s="4" t="str">
        <f t="shared" si="37"/>
        <v>047</v>
      </c>
      <c r="B799" s="4" t="str">
        <f t="shared" si="38"/>
        <v>16</v>
      </c>
      <c r="C799" s="5" t="s">
        <v>1530</v>
      </c>
      <c r="E799" s="6" t="s">
        <v>1501</v>
      </c>
      <c r="F799" s="7" t="s">
        <v>1531</v>
      </c>
      <c r="G799" s="8" t="str">
        <f t="shared" si="36"/>
        <v>COMMUNIT</v>
      </c>
    </row>
    <row r="800" spans="1:7">
      <c r="A800" s="4" t="str">
        <f t="shared" si="37"/>
        <v>047</v>
      </c>
      <c r="B800" s="4" t="str">
        <f t="shared" si="38"/>
        <v>17</v>
      </c>
      <c r="C800" s="5" t="s">
        <v>1532</v>
      </c>
      <c r="E800" s="6" t="s">
        <v>1501</v>
      </c>
      <c r="F800" s="7" t="s">
        <v>1533</v>
      </c>
      <c r="G800" s="8" t="str">
        <f t="shared" si="36"/>
        <v>PENNSYLV</v>
      </c>
    </row>
    <row r="801" spans="1:7">
      <c r="A801" s="4" t="str">
        <f t="shared" si="37"/>
        <v>047</v>
      </c>
      <c r="B801" s="4" t="str">
        <f t="shared" si="38"/>
        <v>18</v>
      </c>
      <c r="C801" s="5" t="s">
        <v>1534</v>
      </c>
      <c r="E801" s="6" t="s">
        <v>1501</v>
      </c>
      <c r="F801" s="7" t="s">
        <v>1535</v>
      </c>
      <c r="G801" s="8" t="str">
        <f t="shared" si="36"/>
        <v xml:space="preserve">FEDERAL </v>
      </c>
    </row>
    <row r="802" spans="1:7">
      <c r="A802" s="4" t="str">
        <f t="shared" si="37"/>
        <v>047</v>
      </c>
      <c r="B802" s="4" t="str">
        <f t="shared" si="38"/>
        <v>19</v>
      </c>
      <c r="C802" s="5" t="s">
        <v>1536</v>
      </c>
      <c r="E802" s="6" t="s">
        <v>1501</v>
      </c>
      <c r="F802" s="7" t="s">
        <v>1537</v>
      </c>
      <c r="G802" s="8" t="str">
        <f t="shared" si="36"/>
        <v>FAS CENT</v>
      </c>
    </row>
    <row r="803" spans="1:7">
      <c r="A803" s="4" t="str">
        <f t="shared" si="37"/>
        <v>047</v>
      </c>
      <c r="B803" s="4" t="str">
        <f t="shared" si="38"/>
        <v>20</v>
      </c>
      <c r="C803" s="5" t="s">
        <v>1538</v>
      </c>
      <c r="E803" s="6" t="s">
        <v>1501</v>
      </c>
      <c r="F803" s="7" t="s">
        <v>16</v>
      </c>
      <c r="G803" s="8" t="str">
        <f t="shared" si="36"/>
        <v>PRESIDEN</v>
      </c>
    </row>
    <row r="804" spans="1:7">
      <c r="A804" s="4" t="str">
        <f t="shared" si="37"/>
        <v>047</v>
      </c>
      <c r="B804" s="4" t="str">
        <f t="shared" si="38"/>
        <v>21</v>
      </c>
      <c r="C804" s="5" t="s">
        <v>1539</v>
      </c>
      <c r="E804" s="6" t="s">
        <v>1501</v>
      </c>
      <c r="F804" s="7" t="s">
        <v>1540</v>
      </c>
      <c r="G804" s="8" t="str">
        <f t="shared" si="36"/>
        <v>GSA TPUS</v>
      </c>
    </row>
    <row r="805" spans="1:7">
      <c r="A805" s="4" t="str">
        <f t="shared" si="37"/>
        <v>047</v>
      </c>
      <c r="B805" s="4" t="str">
        <f t="shared" si="38"/>
        <v>22</v>
      </c>
      <c r="C805" s="5" t="s">
        <v>1541</v>
      </c>
      <c r="E805" s="6" t="s">
        <v>1501</v>
      </c>
      <c r="F805" s="7" t="s">
        <v>1542</v>
      </c>
      <c r="G805" s="8" t="str">
        <f t="shared" si="36"/>
        <v xml:space="preserve">SPECIAL </v>
      </c>
    </row>
    <row r="806" spans="1:7">
      <c r="A806" s="4" t="str">
        <f t="shared" si="37"/>
        <v>047</v>
      </c>
      <c r="B806" s="4" t="str">
        <f t="shared" si="38"/>
        <v>23</v>
      </c>
      <c r="C806" s="5" t="s">
        <v>1543</v>
      </c>
      <c r="E806" s="6" t="s">
        <v>1501</v>
      </c>
      <c r="F806" s="7" t="s">
        <v>1544</v>
      </c>
      <c r="G806" s="8" t="str">
        <f t="shared" si="36"/>
        <v xml:space="preserve">FAS, IT </v>
      </c>
    </row>
    <row r="807" spans="1:7">
      <c r="A807" s="4" t="str">
        <f t="shared" si="37"/>
        <v>047</v>
      </c>
      <c r="B807" s="4" t="str">
        <f t="shared" si="38"/>
        <v>24</v>
      </c>
      <c r="C807" s="5" t="s">
        <v>1545</v>
      </c>
      <c r="E807" s="6" t="s">
        <v>1501</v>
      </c>
      <c r="F807" s="7" t="s">
        <v>1546</v>
      </c>
      <c r="G807" s="8" t="str">
        <f t="shared" si="36"/>
        <v>FAS, NET</v>
      </c>
    </row>
    <row r="808" spans="1:7">
      <c r="A808" s="4" t="str">
        <f t="shared" si="37"/>
        <v>047</v>
      </c>
      <c r="B808" s="4" t="str">
        <f t="shared" si="38"/>
        <v>25</v>
      </c>
      <c r="C808" s="5" t="s">
        <v>1547</v>
      </c>
      <c r="E808" s="6" t="s">
        <v>1501</v>
      </c>
      <c r="F808" s="7" t="s">
        <v>1548</v>
      </c>
      <c r="G808" s="8" t="str">
        <f t="shared" si="36"/>
        <v>CO COMBI</v>
      </c>
    </row>
    <row r="809" spans="1:7">
      <c r="A809" s="4" t="str">
        <f t="shared" si="37"/>
        <v>047</v>
      </c>
      <c r="B809" s="4" t="str">
        <f t="shared" si="38"/>
        <v>26</v>
      </c>
      <c r="C809" s="5" t="s">
        <v>1549</v>
      </c>
      <c r="E809" s="6" t="s">
        <v>1501</v>
      </c>
      <c r="F809" s="7" t="s">
        <v>1550</v>
      </c>
      <c r="G809" s="8" t="str">
        <f t="shared" si="36"/>
        <v>ALLOWANC</v>
      </c>
    </row>
    <row r="810" spans="1:7">
      <c r="A810" s="4" t="str">
        <f t="shared" si="37"/>
        <v>047</v>
      </c>
      <c r="B810" s="4" t="str">
        <f t="shared" si="38"/>
        <v>27</v>
      </c>
      <c r="C810" s="5" t="s">
        <v>1551</v>
      </c>
      <c r="E810" s="6" t="s">
        <v>1501</v>
      </c>
      <c r="F810" s="7" t="s">
        <v>1552</v>
      </c>
      <c r="G810" s="8" t="str">
        <f t="shared" si="36"/>
        <v>OFFICE O</v>
      </c>
    </row>
    <row r="811" spans="1:7">
      <c r="A811" s="4" t="str">
        <f t="shared" si="37"/>
        <v>047</v>
      </c>
      <c r="B811" s="4" t="str">
        <f t="shared" si="38"/>
        <v>28</v>
      </c>
      <c r="C811" s="5" t="s">
        <v>1553</v>
      </c>
      <c r="E811" s="6" t="s">
        <v>1501</v>
      </c>
      <c r="F811" s="7" t="s">
        <v>1554</v>
      </c>
      <c r="G811" s="8" t="str">
        <f t="shared" si="36"/>
        <v>TRANSITI</v>
      </c>
    </row>
    <row r="812" spans="1:7">
      <c r="A812" s="4" t="str">
        <f t="shared" si="37"/>
        <v>047</v>
      </c>
      <c r="B812" s="4" t="str">
        <f t="shared" si="38"/>
        <v>29</v>
      </c>
      <c r="C812" s="5" t="s">
        <v>1555</v>
      </c>
      <c r="E812" s="6" t="s">
        <v>1501</v>
      </c>
      <c r="F812" s="7" t="s">
        <v>1556</v>
      </c>
      <c r="G812" s="8" t="str">
        <f t="shared" si="36"/>
        <v>TRANSITI</v>
      </c>
    </row>
    <row r="813" spans="1:7">
      <c r="A813" s="4" t="str">
        <f t="shared" si="37"/>
        <v>047</v>
      </c>
      <c r="B813" s="4" t="str">
        <f t="shared" si="38"/>
        <v>30</v>
      </c>
      <c r="C813" s="5" t="s">
        <v>1557</v>
      </c>
      <c r="E813" s="6" t="s">
        <v>1501</v>
      </c>
      <c r="F813" s="7" t="s">
        <v>1558</v>
      </c>
      <c r="G813" s="8" t="str">
        <f t="shared" si="36"/>
        <v>OFFICE O</v>
      </c>
    </row>
    <row r="814" spans="1:7">
      <c r="A814" s="4" t="str">
        <f t="shared" si="37"/>
        <v>047</v>
      </c>
      <c r="B814" s="4" t="str">
        <f t="shared" si="38"/>
        <v>31</v>
      </c>
      <c r="C814" s="5" t="s">
        <v>1559</v>
      </c>
      <c r="E814" s="6" t="s">
        <v>1501</v>
      </c>
      <c r="F814" s="7" t="s">
        <v>1560</v>
      </c>
      <c r="G814" s="8" t="str">
        <f t="shared" si="36"/>
        <v>OFFICE O</v>
      </c>
    </row>
    <row r="815" spans="1:7">
      <c r="A815" s="4" t="str">
        <f t="shared" si="37"/>
        <v>047</v>
      </c>
      <c r="B815" s="4" t="str">
        <f t="shared" si="38"/>
        <v>32</v>
      </c>
      <c r="C815" s="5" t="s">
        <v>1561</v>
      </c>
      <c r="E815" s="6" t="s">
        <v>1501</v>
      </c>
      <c r="F815" s="7" t="s">
        <v>1562</v>
      </c>
      <c r="G815" s="8" t="str">
        <f t="shared" si="36"/>
        <v>REGIONAL</v>
      </c>
    </row>
    <row r="816" spans="1:7">
      <c r="A816" s="4" t="str">
        <f t="shared" si="37"/>
        <v>047</v>
      </c>
      <c r="B816" s="4" t="str">
        <f t="shared" si="38"/>
        <v>33</v>
      </c>
      <c r="C816" s="5" t="s">
        <v>1563</v>
      </c>
      <c r="E816" s="6" t="s">
        <v>1501</v>
      </c>
      <c r="F816" s="7" t="s">
        <v>1564</v>
      </c>
      <c r="G816" s="8" t="str">
        <f t="shared" si="36"/>
        <v>OFFICE O</v>
      </c>
    </row>
    <row r="817" spans="1:7">
      <c r="A817" s="4" t="str">
        <f t="shared" si="37"/>
        <v>047</v>
      </c>
      <c r="B817" s="4" t="str">
        <f t="shared" si="38"/>
        <v>34</v>
      </c>
      <c r="C817" s="5" t="s">
        <v>1565</v>
      </c>
      <c r="E817" s="6" t="s">
        <v>1501</v>
      </c>
      <c r="F817" s="7" t="s">
        <v>1566</v>
      </c>
      <c r="G817" s="8" t="str">
        <f t="shared" si="36"/>
        <v xml:space="preserve">GSA REG </v>
      </c>
    </row>
    <row r="818" spans="1:7">
      <c r="A818" s="4" t="str">
        <f t="shared" si="37"/>
        <v>047</v>
      </c>
      <c r="B818" s="4" t="str">
        <f t="shared" si="38"/>
        <v>35</v>
      </c>
      <c r="C818" s="5" t="s">
        <v>1567</v>
      </c>
      <c r="E818" s="6" t="s">
        <v>1501</v>
      </c>
      <c r="F818" s="7" t="s">
        <v>1568</v>
      </c>
      <c r="G818" s="8" t="str">
        <f t="shared" si="36"/>
        <v xml:space="preserve">GSA ITC </v>
      </c>
    </row>
    <row r="819" spans="1:7">
      <c r="A819" s="4" t="str">
        <f t="shared" si="37"/>
        <v>047</v>
      </c>
      <c r="B819" s="4" t="str">
        <f t="shared" si="38"/>
        <v>36</v>
      </c>
      <c r="C819" s="5" t="s">
        <v>1569</v>
      </c>
      <c r="E819" s="6" t="s">
        <v>1501</v>
      </c>
      <c r="F819" s="7" t="s">
        <v>1570</v>
      </c>
      <c r="G819" s="8" t="str">
        <f t="shared" si="36"/>
        <v>OFC OF A</v>
      </c>
    </row>
    <row r="820" spans="1:7">
      <c r="A820" s="4" t="str">
        <f t="shared" si="37"/>
        <v>047</v>
      </c>
      <c r="B820" s="4" t="str">
        <f t="shared" si="38"/>
        <v>37</v>
      </c>
      <c r="C820" s="5" t="s">
        <v>1571</v>
      </c>
      <c r="E820" s="6" t="s">
        <v>1501</v>
      </c>
      <c r="F820" s="7" t="s">
        <v>1572</v>
      </c>
      <c r="G820" s="8" t="str">
        <f t="shared" si="36"/>
        <v>GMA, WOR</v>
      </c>
    </row>
    <row r="821" spans="1:7">
      <c r="A821" s="4" t="str">
        <f t="shared" si="37"/>
        <v>047</v>
      </c>
      <c r="B821" s="4" t="str">
        <f t="shared" si="38"/>
        <v>38</v>
      </c>
      <c r="C821" s="5" t="s">
        <v>1573</v>
      </c>
      <c r="E821" s="6" t="s">
        <v>1501</v>
      </c>
      <c r="F821" s="7" t="s">
        <v>1522</v>
      </c>
      <c r="G821" s="8" t="str">
        <f t="shared" si="36"/>
        <v>OFFICE O</v>
      </c>
    </row>
    <row r="822" spans="1:7">
      <c r="A822" s="4" t="str">
        <f t="shared" si="37"/>
        <v>047</v>
      </c>
      <c r="B822" s="4" t="str">
        <f t="shared" si="38"/>
        <v>39</v>
      </c>
      <c r="C822" s="5" t="s">
        <v>1574</v>
      </c>
      <c r="E822" s="6" t="s">
        <v>1501</v>
      </c>
      <c r="F822" s="7" t="s">
        <v>464</v>
      </c>
      <c r="G822" s="8" t="str">
        <f t="shared" si="36"/>
        <v>OFFICE O</v>
      </c>
    </row>
    <row r="823" spans="1:7">
      <c r="A823" s="4" t="str">
        <f t="shared" si="37"/>
        <v>047</v>
      </c>
      <c r="B823" s="4" t="str">
        <f t="shared" si="38"/>
        <v>40</v>
      </c>
      <c r="C823" s="5" t="s">
        <v>1575</v>
      </c>
      <c r="E823" s="6" t="s">
        <v>1501</v>
      </c>
      <c r="F823" s="7" t="s">
        <v>1576</v>
      </c>
      <c r="G823" s="8" t="str">
        <f t="shared" si="36"/>
        <v xml:space="preserve">GSA REG </v>
      </c>
    </row>
    <row r="824" spans="1:7">
      <c r="A824" s="4" t="str">
        <f t="shared" si="37"/>
        <v>047</v>
      </c>
      <c r="B824" s="4" t="str">
        <f t="shared" si="38"/>
        <v>41</v>
      </c>
      <c r="C824" s="13" t="s">
        <v>1577</v>
      </c>
      <c r="D824" s="18" t="s">
        <v>3166</v>
      </c>
      <c r="E824" s="14" t="s">
        <v>1501</v>
      </c>
      <c r="F824" s="15" t="s">
        <v>1578</v>
      </c>
      <c r="G824" s="8" t="str">
        <f t="shared" si="36"/>
        <v>INACTIVE</v>
      </c>
    </row>
    <row r="825" spans="1:7">
      <c r="A825" s="4" t="str">
        <f t="shared" si="37"/>
        <v>047</v>
      </c>
      <c r="B825" s="4" t="str">
        <f t="shared" si="38"/>
        <v>42</v>
      </c>
      <c r="C825" s="5" t="s">
        <v>1579</v>
      </c>
      <c r="E825" s="6" t="s">
        <v>1501</v>
      </c>
      <c r="F825" s="7" t="s">
        <v>1580</v>
      </c>
      <c r="G825" s="8" t="str">
        <f t="shared" si="36"/>
        <v>GSA REGI</v>
      </c>
    </row>
    <row r="826" spans="1:7">
      <c r="A826" s="4" t="str">
        <f t="shared" si="37"/>
        <v>047</v>
      </c>
      <c r="B826" s="4" t="str">
        <f t="shared" si="38"/>
        <v>43</v>
      </c>
      <c r="C826" s="5" t="s">
        <v>1581</v>
      </c>
      <c r="E826" s="6" t="s">
        <v>1501</v>
      </c>
      <c r="F826" s="7" t="s">
        <v>1582</v>
      </c>
      <c r="G826" s="8" t="str">
        <f t="shared" si="36"/>
        <v>OFFICE O</v>
      </c>
    </row>
    <row r="827" spans="1:7">
      <c r="A827" s="4" t="str">
        <f t="shared" si="37"/>
        <v>047</v>
      </c>
      <c r="B827" s="4" t="str">
        <f t="shared" si="38"/>
        <v>44</v>
      </c>
      <c r="C827" s="5" t="s">
        <v>1583</v>
      </c>
      <c r="E827" s="6" t="s">
        <v>1501</v>
      </c>
      <c r="F827" s="7" t="s">
        <v>1584</v>
      </c>
      <c r="G827" s="8" t="str">
        <f t="shared" si="36"/>
        <v>EXTERNAL</v>
      </c>
    </row>
    <row r="828" spans="1:7">
      <c r="A828" s="4" t="str">
        <f t="shared" si="37"/>
        <v>047</v>
      </c>
      <c r="B828" s="4" t="str">
        <f t="shared" si="38"/>
        <v>45</v>
      </c>
      <c r="C828" s="5" t="s">
        <v>1585</v>
      </c>
      <c r="E828" s="6" t="s">
        <v>1501</v>
      </c>
      <c r="F828" s="7" t="s">
        <v>1586</v>
      </c>
      <c r="G828" s="8" t="str">
        <f t="shared" si="36"/>
        <v xml:space="preserve">GSA OFE </v>
      </c>
    </row>
    <row r="829" spans="1:7">
      <c r="A829" s="4" t="str">
        <f t="shared" si="37"/>
        <v>047</v>
      </c>
      <c r="B829" s="4" t="str">
        <f t="shared" si="38"/>
        <v>46</v>
      </c>
      <c r="C829" s="5" t="s">
        <v>1587</v>
      </c>
      <c r="E829" s="6" t="s">
        <v>1501</v>
      </c>
      <c r="F829" s="7" t="s">
        <v>1588</v>
      </c>
      <c r="G829" s="8" t="str">
        <f t="shared" si="36"/>
        <v>PUBLIC B</v>
      </c>
    </row>
    <row r="830" spans="1:7">
      <c r="A830" s="4" t="str">
        <f t="shared" si="37"/>
        <v>047</v>
      </c>
      <c r="B830" s="4" t="str">
        <f t="shared" si="38"/>
        <v>47</v>
      </c>
      <c r="C830" s="5" t="s">
        <v>1589</v>
      </c>
      <c r="E830" s="6" t="s">
        <v>1501</v>
      </c>
      <c r="F830" s="7" t="s">
        <v>1590</v>
      </c>
      <c r="G830" s="8" t="str">
        <f t="shared" si="36"/>
        <v>PBS, DEL</v>
      </c>
    </row>
    <row r="831" spans="1:7">
      <c r="A831" s="4" t="str">
        <f t="shared" si="37"/>
        <v>047</v>
      </c>
      <c r="B831" s="4" t="str">
        <f t="shared" si="38"/>
        <v>48</v>
      </c>
      <c r="C831" s="5" t="s">
        <v>1591</v>
      </c>
      <c r="E831" s="6" t="s">
        <v>1501</v>
      </c>
      <c r="F831" s="7" t="s">
        <v>1592</v>
      </c>
      <c r="G831" s="8" t="str">
        <f t="shared" si="36"/>
        <v xml:space="preserve">FAS, IT </v>
      </c>
    </row>
    <row r="832" spans="1:7">
      <c r="A832" s="4" t="str">
        <f t="shared" si="37"/>
        <v>047</v>
      </c>
      <c r="B832" s="4" t="str">
        <f t="shared" si="38"/>
        <v>49</v>
      </c>
      <c r="C832" s="5" t="s">
        <v>1593</v>
      </c>
      <c r="E832" s="6" t="s">
        <v>1501</v>
      </c>
      <c r="F832" s="7" t="s">
        <v>1594</v>
      </c>
      <c r="G832" s="8" t="str">
        <f t="shared" si="36"/>
        <v>FTS IT S</v>
      </c>
    </row>
    <row r="833" spans="1:7">
      <c r="A833" s="4" t="str">
        <f t="shared" si="37"/>
        <v>047</v>
      </c>
      <c r="B833" s="4" t="str">
        <f t="shared" si="38"/>
        <v>50</v>
      </c>
      <c r="C833" s="5" t="s">
        <v>1595</v>
      </c>
      <c r="E833" s="6" t="s">
        <v>1501</v>
      </c>
      <c r="F833" s="7" t="s">
        <v>1596</v>
      </c>
      <c r="G833" s="8" t="str">
        <f t="shared" si="36"/>
        <v xml:space="preserve">FAS, IT </v>
      </c>
    </row>
    <row r="834" spans="1:7">
      <c r="A834" s="4" t="str">
        <f t="shared" si="37"/>
        <v>047</v>
      </c>
      <c r="B834" s="4" t="str">
        <f t="shared" si="38"/>
        <v>51</v>
      </c>
      <c r="C834" s="5" t="s">
        <v>1597</v>
      </c>
      <c r="E834" s="6" t="s">
        <v>1501</v>
      </c>
      <c r="F834" s="7" t="s">
        <v>1598</v>
      </c>
      <c r="G834" s="8" t="str">
        <f t="shared" ref="G834:G897" si="39">LEFT(F834,8)</f>
        <v>FAS, FED</v>
      </c>
    </row>
    <row r="835" spans="1:7">
      <c r="A835" s="4" t="str">
        <f t="shared" ref="A835:A898" si="40">LEFT(C835,3)</f>
        <v>047</v>
      </c>
      <c r="B835" s="4" t="str">
        <f t="shared" ref="B835:B898" si="41">RIGHT(C835,2)</f>
        <v>52</v>
      </c>
      <c r="C835" s="5" t="s">
        <v>1599</v>
      </c>
      <c r="E835" s="6" t="s">
        <v>1501</v>
      </c>
      <c r="F835" s="7" t="s">
        <v>1600</v>
      </c>
      <c r="G835" s="8" t="str">
        <f t="shared" si="39"/>
        <v xml:space="preserve">GSA REG </v>
      </c>
    </row>
    <row r="836" spans="1:7">
      <c r="A836" s="4" t="str">
        <f t="shared" si="40"/>
        <v>047</v>
      </c>
      <c r="B836" s="4" t="str">
        <f t="shared" si="41"/>
        <v>53</v>
      </c>
      <c r="C836" s="5" t="s">
        <v>1601</v>
      </c>
      <c r="E836" s="6" t="s">
        <v>1501</v>
      </c>
      <c r="F836" s="7" t="s">
        <v>1602</v>
      </c>
      <c r="G836" s="8" t="str">
        <f t="shared" si="39"/>
        <v>FAS, CUS</v>
      </c>
    </row>
    <row r="837" spans="1:7">
      <c r="A837" s="4" t="str">
        <f t="shared" si="40"/>
        <v>047</v>
      </c>
      <c r="B837" s="4" t="str">
        <f t="shared" si="41"/>
        <v>54</v>
      </c>
      <c r="C837" s="5" t="s">
        <v>1603</v>
      </c>
      <c r="E837" s="6" t="s">
        <v>1501</v>
      </c>
      <c r="F837" s="7" t="s">
        <v>1604</v>
      </c>
      <c r="G837" s="8" t="str">
        <f t="shared" si="39"/>
        <v>PBS - &amp;C</v>
      </c>
    </row>
    <row r="838" spans="1:7">
      <c r="A838" s="4" t="str">
        <f t="shared" si="40"/>
        <v>047</v>
      </c>
      <c r="B838" s="4" t="str">
        <f t="shared" si="41"/>
        <v>55</v>
      </c>
      <c r="C838" s="5" t="s">
        <v>1605</v>
      </c>
      <c r="E838" s="6" t="s">
        <v>1501</v>
      </c>
      <c r="F838" s="7" t="s">
        <v>1606</v>
      </c>
      <c r="G838" s="8" t="str">
        <f t="shared" si="39"/>
        <v xml:space="preserve">FEDERAL </v>
      </c>
    </row>
    <row r="839" spans="1:7">
      <c r="A839" s="4" t="str">
        <f t="shared" si="40"/>
        <v>047</v>
      </c>
      <c r="B839" s="4" t="str">
        <f t="shared" si="41"/>
        <v>56</v>
      </c>
      <c r="C839" s="5" t="s">
        <v>1607</v>
      </c>
      <c r="E839" s="6" t="s">
        <v>1501</v>
      </c>
      <c r="F839" s="7" t="s">
        <v>1608</v>
      </c>
      <c r="G839" s="8" t="str">
        <f t="shared" si="39"/>
        <v>FAS, REG</v>
      </c>
    </row>
    <row r="840" spans="1:7">
      <c r="A840" s="4" t="str">
        <f t="shared" si="40"/>
        <v>047</v>
      </c>
      <c r="B840" s="4" t="str">
        <f t="shared" si="41"/>
        <v>57</v>
      </c>
      <c r="C840" s="5" t="s">
        <v>1609</v>
      </c>
      <c r="E840" s="6" t="s">
        <v>1501</v>
      </c>
      <c r="F840" s="7" t="s">
        <v>1610</v>
      </c>
      <c r="G840" s="8" t="str">
        <f t="shared" si="39"/>
        <v>FAS, PER</v>
      </c>
    </row>
    <row r="841" spans="1:7">
      <c r="A841" s="4" t="str">
        <f t="shared" si="40"/>
        <v>047</v>
      </c>
      <c r="B841" s="4" t="str">
        <f t="shared" si="41"/>
        <v>58</v>
      </c>
      <c r="C841" s="5" t="s">
        <v>1611</v>
      </c>
      <c r="E841" s="6" t="s">
        <v>1501</v>
      </c>
      <c r="F841" s="7" t="s">
        <v>1612</v>
      </c>
      <c r="G841" s="8" t="str">
        <f t="shared" si="39"/>
        <v>FAS, SEL</v>
      </c>
    </row>
    <row r="842" spans="1:7">
      <c r="A842" s="4" t="str">
        <f t="shared" si="40"/>
        <v>047</v>
      </c>
      <c r="B842" s="4" t="str">
        <f t="shared" si="41"/>
        <v>59</v>
      </c>
      <c r="C842" s="5" t="s">
        <v>1613</v>
      </c>
      <c r="E842" s="6" t="s">
        <v>1501</v>
      </c>
      <c r="F842" s="7" t="s">
        <v>1614</v>
      </c>
      <c r="G842" s="8" t="str">
        <f t="shared" si="39"/>
        <v>FAS, MAT</v>
      </c>
    </row>
    <row r="843" spans="1:7">
      <c r="A843" s="4" t="str">
        <f t="shared" si="40"/>
        <v>047</v>
      </c>
      <c r="B843" s="4" t="str">
        <f t="shared" si="41"/>
        <v>60</v>
      </c>
      <c r="C843" s="5" t="s">
        <v>1615</v>
      </c>
      <c r="E843" s="6" t="s">
        <v>1501</v>
      </c>
      <c r="F843" s="7" t="s">
        <v>1616</v>
      </c>
      <c r="G843" s="8" t="str">
        <f t="shared" si="39"/>
        <v xml:space="preserve">GSA REG </v>
      </c>
    </row>
    <row r="844" spans="1:7">
      <c r="A844" s="4" t="str">
        <f t="shared" si="40"/>
        <v>047</v>
      </c>
      <c r="B844" s="4" t="str">
        <f t="shared" si="41"/>
        <v>61</v>
      </c>
      <c r="C844" s="5" t="s">
        <v>1617</v>
      </c>
      <c r="E844" s="6" t="s">
        <v>1501</v>
      </c>
      <c r="F844" s="7" t="s">
        <v>1618</v>
      </c>
      <c r="G844" s="8" t="str">
        <f t="shared" si="39"/>
        <v xml:space="preserve">FAS REG </v>
      </c>
    </row>
    <row r="845" spans="1:7">
      <c r="A845" s="4" t="str">
        <f t="shared" si="40"/>
        <v>047</v>
      </c>
      <c r="B845" s="4" t="str">
        <f t="shared" si="41"/>
        <v>62</v>
      </c>
      <c r="C845" s="5" t="s">
        <v>1619</v>
      </c>
      <c r="E845" s="6" t="s">
        <v>1501</v>
      </c>
      <c r="F845" s="7" t="s">
        <v>1620</v>
      </c>
      <c r="G845" s="8" t="str">
        <f t="shared" si="39"/>
        <v>PBS, MAI</v>
      </c>
    </row>
    <row r="846" spans="1:7">
      <c r="A846" s="4" t="str">
        <f t="shared" si="40"/>
        <v>047</v>
      </c>
      <c r="B846" s="4" t="str">
        <f t="shared" si="41"/>
        <v>63</v>
      </c>
      <c r="C846" s="5" t="s">
        <v>1621</v>
      </c>
      <c r="E846" s="6" t="s">
        <v>1501</v>
      </c>
      <c r="F846" s="7" t="s">
        <v>1622</v>
      </c>
      <c r="G846" s="8" t="str">
        <f t="shared" si="39"/>
        <v xml:space="preserve">FAS REG </v>
      </c>
    </row>
    <row r="847" spans="1:7">
      <c r="A847" s="4" t="str">
        <f t="shared" si="40"/>
        <v>047</v>
      </c>
      <c r="B847" s="4" t="str">
        <f t="shared" si="41"/>
        <v>64</v>
      </c>
      <c r="C847" s="5" t="s">
        <v>1623</v>
      </c>
      <c r="E847" s="6" t="s">
        <v>1501</v>
      </c>
      <c r="F847" s="7" t="s">
        <v>1624</v>
      </c>
      <c r="G847" s="8" t="str">
        <f t="shared" si="39"/>
        <v>PBS, DIS</v>
      </c>
    </row>
    <row r="848" spans="1:7">
      <c r="A848" s="4" t="str">
        <f t="shared" si="40"/>
        <v>047</v>
      </c>
      <c r="B848" s="4" t="str">
        <f t="shared" si="41"/>
        <v>65</v>
      </c>
      <c r="C848" s="5" t="s">
        <v>1625</v>
      </c>
      <c r="E848" s="6" t="s">
        <v>1501</v>
      </c>
      <c r="F848" s="7" t="s">
        <v>1626</v>
      </c>
      <c r="G848" s="8" t="str">
        <f t="shared" si="39"/>
        <v xml:space="preserve">FAS REG </v>
      </c>
    </row>
    <row r="849" spans="1:7">
      <c r="A849" s="4" t="str">
        <f t="shared" si="40"/>
        <v>047</v>
      </c>
      <c r="B849" s="4" t="str">
        <f t="shared" si="41"/>
        <v>66</v>
      </c>
      <c r="C849" s="5" t="s">
        <v>1627</v>
      </c>
      <c r="E849" s="6" t="s">
        <v>1501</v>
      </c>
      <c r="F849" s="7" t="s">
        <v>1628</v>
      </c>
      <c r="G849" s="8" t="str">
        <f t="shared" si="39"/>
        <v>PBS, FIE</v>
      </c>
    </row>
    <row r="850" spans="1:7">
      <c r="A850" s="4" t="str">
        <f t="shared" si="40"/>
        <v>047</v>
      </c>
      <c r="B850" s="4" t="str">
        <f t="shared" si="41"/>
        <v>67</v>
      </c>
      <c r="C850" s="5" t="s">
        <v>1629</v>
      </c>
      <c r="E850" s="6" t="s">
        <v>1501</v>
      </c>
      <c r="F850" s="7" t="s">
        <v>1630</v>
      </c>
      <c r="G850" s="8" t="str">
        <f t="shared" si="39"/>
        <v>NATIONAL</v>
      </c>
    </row>
    <row r="851" spans="1:7">
      <c r="A851" s="4" t="str">
        <f t="shared" si="40"/>
        <v>047</v>
      </c>
      <c r="B851" s="4" t="str">
        <f t="shared" si="41"/>
        <v>68</v>
      </c>
      <c r="C851" s="5" t="s">
        <v>1631</v>
      </c>
      <c r="E851" s="6" t="s">
        <v>1501</v>
      </c>
      <c r="F851" s="7" t="s">
        <v>1632</v>
      </c>
      <c r="G851" s="8" t="str">
        <f t="shared" si="39"/>
        <v>FAS, REG</v>
      </c>
    </row>
    <row r="852" spans="1:7">
      <c r="A852" s="4" t="str">
        <f t="shared" si="40"/>
        <v>047</v>
      </c>
      <c r="B852" s="4" t="str">
        <f t="shared" si="41"/>
        <v>69</v>
      </c>
      <c r="C852" s="5" t="s">
        <v>1633</v>
      </c>
      <c r="E852" s="6" t="s">
        <v>1501</v>
      </c>
      <c r="F852" s="7" t="s">
        <v>1634</v>
      </c>
      <c r="G852" s="8" t="str">
        <f t="shared" si="39"/>
        <v>FAS, TRA</v>
      </c>
    </row>
    <row r="853" spans="1:7">
      <c r="A853" s="4" t="str">
        <f t="shared" si="40"/>
        <v>047</v>
      </c>
      <c r="B853" s="4" t="str">
        <f t="shared" si="41"/>
        <v>70</v>
      </c>
      <c r="C853" s="5" t="s">
        <v>1635</v>
      </c>
      <c r="E853" s="6" t="s">
        <v>1501</v>
      </c>
      <c r="F853" s="7" t="s">
        <v>1636</v>
      </c>
      <c r="G853" s="8" t="str">
        <f t="shared" si="39"/>
        <v>FAS, TEL</v>
      </c>
    </row>
    <row r="854" spans="1:7">
      <c r="A854" s="4" t="str">
        <f t="shared" si="40"/>
        <v>047</v>
      </c>
      <c r="B854" s="4" t="str">
        <f t="shared" si="41"/>
        <v>71</v>
      </c>
      <c r="C854" s="5" t="s">
        <v>1637</v>
      </c>
      <c r="E854" s="6" t="s">
        <v>1501</v>
      </c>
      <c r="F854" s="7" t="s">
        <v>1638</v>
      </c>
      <c r="G854" s="8" t="str">
        <f t="shared" si="39"/>
        <v>AGENCY L</v>
      </c>
    </row>
    <row r="855" spans="1:7">
      <c r="A855" s="4" t="str">
        <f t="shared" si="40"/>
        <v>047</v>
      </c>
      <c r="B855" s="4" t="str">
        <f t="shared" si="41"/>
        <v>72</v>
      </c>
      <c r="C855" s="5" t="s">
        <v>1639</v>
      </c>
      <c r="E855" s="6" t="s">
        <v>1501</v>
      </c>
      <c r="F855" s="7" t="s">
        <v>1640</v>
      </c>
      <c r="G855" s="8" t="str">
        <f t="shared" si="39"/>
        <v>FAS, UTI</v>
      </c>
    </row>
    <row r="856" spans="1:7">
      <c r="A856" s="4" t="str">
        <f t="shared" si="40"/>
        <v>047</v>
      </c>
      <c r="B856" s="4" t="str">
        <f t="shared" si="41"/>
        <v>73</v>
      </c>
      <c r="C856" s="5" t="s">
        <v>1641</v>
      </c>
      <c r="E856" s="6" t="s">
        <v>1501</v>
      </c>
      <c r="F856" s="7" t="s">
        <v>1642</v>
      </c>
      <c r="G856" s="8" t="str">
        <f t="shared" si="39"/>
        <v xml:space="preserve">GSA FAS </v>
      </c>
    </row>
    <row r="857" spans="1:7">
      <c r="A857" s="4" t="str">
        <f t="shared" si="40"/>
        <v>047</v>
      </c>
      <c r="B857" s="4" t="str">
        <f t="shared" si="41"/>
        <v>74</v>
      </c>
      <c r="C857" s="5" t="s">
        <v>1643</v>
      </c>
      <c r="E857" s="6" t="s">
        <v>1501</v>
      </c>
      <c r="F857" s="7" t="s">
        <v>1644</v>
      </c>
      <c r="G857" s="8" t="str">
        <f t="shared" si="39"/>
        <v>REGIONAL</v>
      </c>
    </row>
    <row r="858" spans="1:7">
      <c r="A858" s="4" t="str">
        <f t="shared" si="40"/>
        <v>047</v>
      </c>
      <c r="B858" s="4" t="str">
        <f t="shared" si="41"/>
        <v>75</v>
      </c>
      <c r="C858" s="5" t="s">
        <v>1645</v>
      </c>
      <c r="E858" s="6" t="s">
        <v>1501</v>
      </c>
      <c r="F858" s="7" t="s">
        <v>1646</v>
      </c>
      <c r="G858" s="8" t="str">
        <f t="shared" si="39"/>
        <v>FAS, INF</v>
      </c>
    </row>
    <row r="859" spans="1:7">
      <c r="A859" s="4" t="str">
        <f t="shared" si="40"/>
        <v>047</v>
      </c>
      <c r="B859" s="4" t="str">
        <f t="shared" si="41"/>
        <v>76</v>
      </c>
      <c r="C859" s="5" t="s">
        <v>1647</v>
      </c>
      <c r="E859" s="6" t="s">
        <v>1501</v>
      </c>
      <c r="F859" s="7" t="s">
        <v>1648</v>
      </c>
      <c r="G859" s="8" t="str">
        <f t="shared" si="39"/>
        <v>FTS, INF</v>
      </c>
    </row>
    <row r="860" spans="1:7">
      <c r="A860" s="4" t="str">
        <f t="shared" si="40"/>
        <v>047</v>
      </c>
      <c r="B860" s="4" t="str">
        <f t="shared" si="41"/>
        <v>78</v>
      </c>
      <c r="C860" s="5" t="s">
        <v>1649</v>
      </c>
      <c r="E860" s="6" t="s">
        <v>1501</v>
      </c>
      <c r="F860" s="7" t="s">
        <v>1650</v>
      </c>
      <c r="G860" s="8" t="str">
        <f t="shared" si="39"/>
        <v>FAS IT S</v>
      </c>
    </row>
    <row r="861" spans="1:7">
      <c r="A861" s="4" t="str">
        <f t="shared" si="40"/>
        <v>047</v>
      </c>
      <c r="B861" s="4" t="str">
        <f t="shared" si="41"/>
        <v>79</v>
      </c>
      <c r="C861" s="5" t="s">
        <v>1651</v>
      </c>
      <c r="E861" s="6" t="s">
        <v>1501</v>
      </c>
      <c r="F861" s="7" t="s">
        <v>1652</v>
      </c>
      <c r="G861" s="8" t="str">
        <f t="shared" si="39"/>
        <v>FAS NETW</v>
      </c>
    </row>
    <row r="862" spans="1:7">
      <c r="A862" s="4" t="str">
        <f t="shared" si="40"/>
        <v>047</v>
      </c>
      <c r="B862" s="4" t="str">
        <f t="shared" si="41"/>
        <v>80</v>
      </c>
      <c r="C862" s="5" t="s">
        <v>1653</v>
      </c>
      <c r="E862" s="6" t="s">
        <v>1501</v>
      </c>
      <c r="F862" s="7" t="s">
        <v>1654</v>
      </c>
      <c r="G862" s="8" t="str">
        <f t="shared" si="39"/>
        <v xml:space="preserve">GSA FAS </v>
      </c>
    </row>
    <row r="863" spans="1:7">
      <c r="A863" s="4" t="str">
        <f t="shared" si="40"/>
        <v>047</v>
      </c>
      <c r="B863" s="4" t="str">
        <f t="shared" si="41"/>
        <v>81</v>
      </c>
      <c r="C863" s="5" t="s">
        <v>1655</v>
      </c>
      <c r="E863" s="6" t="s">
        <v>1501</v>
      </c>
      <c r="F863" s="7" t="s">
        <v>1656</v>
      </c>
      <c r="G863" s="8" t="str">
        <f t="shared" si="39"/>
        <v>OFFICE O</v>
      </c>
    </row>
    <row r="864" spans="1:7">
      <c r="A864" s="4" t="str">
        <f t="shared" si="40"/>
        <v>047</v>
      </c>
      <c r="B864" s="4" t="str">
        <f t="shared" si="41"/>
        <v>82</v>
      </c>
      <c r="C864" s="5" t="s">
        <v>1657</v>
      </c>
      <c r="E864" s="6" t="s">
        <v>1501</v>
      </c>
      <c r="F864" s="7" t="s">
        <v>1658</v>
      </c>
      <c r="G864" s="8" t="str">
        <f t="shared" si="39"/>
        <v>OFF.  OF</v>
      </c>
    </row>
    <row r="865" spans="1:7">
      <c r="A865" s="4" t="str">
        <f t="shared" si="40"/>
        <v>047</v>
      </c>
      <c r="B865" s="4" t="str">
        <f t="shared" si="41"/>
        <v>83</v>
      </c>
      <c r="C865" s="5" t="s">
        <v>1659</v>
      </c>
      <c r="E865" s="6" t="s">
        <v>1501</v>
      </c>
      <c r="F865" s="7" t="s">
        <v>1660</v>
      </c>
      <c r="G865" s="8" t="str">
        <f t="shared" si="39"/>
        <v xml:space="preserve">FAS REG </v>
      </c>
    </row>
    <row r="866" spans="1:7">
      <c r="A866" s="4" t="str">
        <f t="shared" si="40"/>
        <v>047</v>
      </c>
      <c r="B866" s="4" t="str">
        <f t="shared" si="41"/>
        <v>85</v>
      </c>
      <c r="C866" s="5" t="s">
        <v>1661</v>
      </c>
      <c r="E866" s="6" t="s">
        <v>1501</v>
      </c>
      <c r="F866" s="7" t="s">
        <v>1662</v>
      </c>
      <c r="G866" s="8" t="str">
        <f t="shared" si="39"/>
        <v>GSA LEAS</v>
      </c>
    </row>
    <row r="867" spans="1:7">
      <c r="A867" s="4" t="str">
        <f t="shared" si="40"/>
        <v>047</v>
      </c>
      <c r="B867" s="4" t="str">
        <f t="shared" si="41"/>
        <v>86</v>
      </c>
      <c r="C867" s="5" t="s">
        <v>1663</v>
      </c>
      <c r="E867" s="6" t="s">
        <v>1501</v>
      </c>
      <c r="F867" s="7" t="s">
        <v>1664</v>
      </c>
      <c r="G867" s="8" t="str">
        <f t="shared" si="39"/>
        <v>GSA OUTL</v>
      </c>
    </row>
    <row r="868" spans="1:7">
      <c r="A868" s="4" t="str">
        <f t="shared" si="40"/>
        <v>047</v>
      </c>
      <c r="B868" s="4" t="str">
        <f t="shared" si="41"/>
        <v>87</v>
      </c>
      <c r="C868" s="5" t="s">
        <v>1665</v>
      </c>
      <c r="E868" s="6" t="s">
        <v>1501</v>
      </c>
      <c r="F868" s="7" t="s">
        <v>1666</v>
      </c>
      <c r="G868" s="8" t="str">
        <f t="shared" si="39"/>
        <v>OUTLEASE</v>
      </c>
    </row>
    <row r="869" spans="1:7">
      <c r="A869" s="4" t="str">
        <f t="shared" si="40"/>
        <v>047</v>
      </c>
      <c r="B869" s="4" t="str">
        <f t="shared" si="41"/>
        <v>88</v>
      </c>
      <c r="C869" s="5" t="s">
        <v>1667</v>
      </c>
      <c r="E869" s="6" t="s">
        <v>1501</v>
      </c>
      <c r="F869" s="7" t="s">
        <v>1668</v>
      </c>
      <c r="G869" s="8" t="str">
        <f t="shared" si="39"/>
        <v>JOINT US</v>
      </c>
    </row>
    <row r="870" spans="1:7">
      <c r="A870" s="4" t="str">
        <f t="shared" si="40"/>
        <v>047</v>
      </c>
      <c r="B870" s="4" t="str">
        <f t="shared" si="41"/>
        <v>89</v>
      </c>
      <c r="C870" s="5" t="s">
        <v>1669</v>
      </c>
      <c r="E870" s="6" t="s">
        <v>1501</v>
      </c>
      <c r="F870" s="7" t="s">
        <v>1670</v>
      </c>
      <c r="G870" s="8" t="str">
        <f t="shared" si="39"/>
        <v>VACANT U</v>
      </c>
    </row>
    <row r="871" spans="1:7">
      <c r="A871" s="4" t="str">
        <f t="shared" si="40"/>
        <v>047</v>
      </c>
      <c r="B871" s="4" t="str">
        <f t="shared" si="41"/>
        <v>90</v>
      </c>
      <c r="C871" s="5" t="s">
        <v>1671</v>
      </c>
      <c r="E871" s="6" t="s">
        <v>1501</v>
      </c>
      <c r="F871" s="7" t="s">
        <v>1672</v>
      </c>
      <c r="G871" s="8" t="str">
        <f t="shared" si="39"/>
        <v>DC FINAN</v>
      </c>
    </row>
    <row r="872" spans="1:7">
      <c r="A872" s="4" t="str">
        <f t="shared" si="40"/>
        <v>047</v>
      </c>
      <c r="B872" s="4" t="str">
        <f t="shared" si="41"/>
        <v>91</v>
      </c>
      <c r="C872" s="5" t="s">
        <v>1673</v>
      </c>
      <c r="E872" s="6" t="s">
        <v>1501</v>
      </c>
      <c r="F872" s="7" t="s">
        <v>1674</v>
      </c>
      <c r="G872" s="8" t="str">
        <f t="shared" si="39"/>
        <v>PUBLIC D</v>
      </c>
    </row>
    <row r="873" spans="1:7">
      <c r="A873" s="4" t="str">
        <f t="shared" si="40"/>
        <v>047</v>
      </c>
      <c r="B873" s="4" t="str">
        <f t="shared" si="41"/>
        <v>92</v>
      </c>
      <c r="C873" s="5" t="s">
        <v>1675</v>
      </c>
      <c r="E873" s="6" t="s">
        <v>1501</v>
      </c>
      <c r="F873" s="7" t="s">
        <v>1676</v>
      </c>
      <c r="G873" s="8" t="str">
        <f t="shared" si="39"/>
        <v xml:space="preserve">WOMEN'S </v>
      </c>
    </row>
    <row r="874" spans="1:7">
      <c r="A874" s="4" t="str">
        <f t="shared" si="40"/>
        <v>047</v>
      </c>
      <c r="B874" s="4" t="str">
        <f t="shared" si="41"/>
        <v>93</v>
      </c>
      <c r="C874" s="5" t="s">
        <v>1677</v>
      </c>
      <c r="E874" s="6" t="s">
        <v>1501</v>
      </c>
      <c r="F874" s="7" t="s">
        <v>1678</v>
      </c>
      <c r="G874" s="8" t="str">
        <f t="shared" si="39"/>
        <v xml:space="preserve">FAS REG </v>
      </c>
    </row>
    <row r="875" spans="1:7">
      <c r="A875" s="4" t="str">
        <f t="shared" si="40"/>
        <v>047</v>
      </c>
      <c r="B875" s="4" t="str">
        <f t="shared" si="41"/>
        <v>94</v>
      </c>
      <c r="C875" s="5" t="s">
        <v>1679</v>
      </c>
      <c r="E875" s="6" t="s">
        <v>1501</v>
      </c>
      <c r="F875" s="7" t="s">
        <v>1680</v>
      </c>
      <c r="G875" s="8" t="str">
        <f t="shared" si="39"/>
        <v xml:space="preserve">FAS REG </v>
      </c>
    </row>
    <row r="876" spans="1:7">
      <c r="A876" s="4" t="str">
        <f t="shared" si="40"/>
        <v>047</v>
      </c>
      <c r="B876" s="4" t="str">
        <f t="shared" si="41"/>
        <v>95</v>
      </c>
      <c r="C876" s="5" t="s">
        <v>1681</v>
      </c>
      <c r="E876" s="6" t="s">
        <v>1501</v>
      </c>
      <c r="F876" s="7" t="s">
        <v>1682</v>
      </c>
      <c r="G876" s="8" t="str">
        <f t="shared" si="39"/>
        <v xml:space="preserve">FAS REG </v>
      </c>
    </row>
    <row r="877" spans="1:7">
      <c r="A877" s="4" t="str">
        <f t="shared" si="40"/>
        <v>047</v>
      </c>
      <c r="B877" s="4" t="str">
        <f t="shared" si="41"/>
        <v>96</v>
      </c>
      <c r="C877" s="5" t="s">
        <v>1683</v>
      </c>
      <c r="E877" s="6" t="s">
        <v>1501</v>
      </c>
      <c r="F877" s="7" t="s">
        <v>1684</v>
      </c>
      <c r="G877" s="8" t="str">
        <f t="shared" si="39"/>
        <v xml:space="preserve">FAS REG </v>
      </c>
    </row>
    <row r="878" spans="1:7">
      <c r="A878" s="4" t="str">
        <f t="shared" si="40"/>
        <v>047</v>
      </c>
      <c r="B878" s="4" t="str">
        <f t="shared" si="41"/>
        <v>97</v>
      </c>
      <c r="C878" s="5" t="s">
        <v>1685</v>
      </c>
      <c r="E878" s="6" t="s">
        <v>1501</v>
      </c>
      <c r="F878" s="7" t="s">
        <v>102</v>
      </c>
      <c r="G878" s="8" t="str">
        <f t="shared" si="39"/>
        <v>GSA ADVA</v>
      </c>
    </row>
    <row r="879" spans="1:7">
      <c r="A879" s="4" t="str">
        <f t="shared" si="40"/>
        <v>047</v>
      </c>
      <c r="B879" s="4" t="str">
        <f t="shared" si="41"/>
        <v>98</v>
      </c>
      <c r="C879" s="5" t="s">
        <v>1686</v>
      </c>
      <c r="E879" s="6" t="s">
        <v>1501</v>
      </c>
      <c r="F879" s="7" t="s">
        <v>1687</v>
      </c>
      <c r="G879" s="8" t="str">
        <f t="shared" si="39"/>
        <v xml:space="preserve">FAS REG </v>
      </c>
    </row>
    <row r="880" spans="1:7">
      <c r="A880" s="4" t="str">
        <f t="shared" si="40"/>
        <v>047</v>
      </c>
      <c r="B880" s="4" t="str">
        <f t="shared" si="41"/>
        <v>99</v>
      </c>
      <c r="C880" s="5" t="s">
        <v>1688</v>
      </c>
      <c r="E880" s="6" t="s">
        <v>1501</v>
      </c>
      <c r="F880" s="7" t="s">
        <v>1689</v>
      </c>
      <c r="G880" s="8" t="str">
        <f t="shared" si="39"/>
        <v xml:space="preserve">FAS REG </v>
      </c>
    </row>
    <row r="881" spans="1:7">
      <c r="A881" s="4" t="str">
        <f t="shared" si="40"/>
        <v>048</v>
      </c>
      <c r="B881" s="4" t="str">
        <f t="shared" si="41"/>
        <v>00</v>
      </c>
      <c r="C881" s="5" t="s">
        <v>1690</v>
      </c>
      <c r="E881" s="6" t="s">
        <v>1691</v>
      </c>
      <c r="F881" s="7" t="s">
        <v>1691</v>
      </c>
      <c r="G881" s="8" t="str">
        <f t="shared" si="39"/>
        <v>MISCELLA</v>
      </c>
    </row>
    <row r="882" spans="1:7">
      <c r="A882" s="4" t="str">
        <f t="shared" si="40"/>
        <v>048</v>
      </c>
      <c r="B882" s="4" t="str">
        <f t="shared" si="41"/>
        <v>01</v>
      </c>
      <c r="C882" s="5" t="s">
        <v>1692</v>
      </c>
      <c r="E882" s="6" t="s">
        <v>1691</v>
      </c>
      <c r="F882" s="7" t="s">
        <v>1693</v>
      </c>
      <c r="G882" s="8" t="str">
        <f t="shared" si="39"/>
        <v>NATIONAL</v>
      </c>
    </row>
    <row r="883" spans="1:7">
      <c r="A883" s="4" t="str">
        <f t="shared" si="40"/>
        <v>048</v>
      </c>
      <c r="B883" s="4" t="str">
        <f t="shared" si="41"/>
        <v>02</v>
      </c>
      <c r="C883" s="5" t="s">
        <v>1694</v>
      </c>
      <c r="E883" s="6" t="s">
        <v>1691</v>
      </c>
      <c r="F883" s="7" t="s">
        <v>1695</v>
      </c>
      <c r="G883" s="8" t="str">
        <f t="shared" si="39"/>
        <v>COMM FOR</v>
      </c>
    </row>
    <row r="884" spans="1:7">
      <c r="A884" s="4" t="str">
        <f t="shared" si="40"/>
        <v>048</v>
      </c>
      <c r="B884" s="4" t="str">
        <f t="shared" si="41"/>
        <v>03</v>
      </c>
      <c r="C884" s="5" t="s">
        <v>1696</v>
      </c>
      <c r="E884" s="6" t="s">
        <v>1691</v>
      </c>
      <c r="F884" s="7" t="s">
        <v>1697</v>
      </c>
      <c r="G884" s="8" t="str">
        <f t="shared" si="39"/>
        <v>INTERNAT</v>
      </c>
    </row>
    <row r="885" spans="1:7">
      <c r="A885" s="4" t="str">
        <f t="shared" si="40"/>
        <v>048</v>
      </c>
      <c r="B885" s="4" t="str">
        <f t="shared" si="41"/>
        <v>04</v>
      </c>
      <c r="C885" s="5" t="s">
        <v>1698</v>
      </c>
      <c r="E885" s="6" t="s">
        <v>1691</v>
      </c>
      <c r="F885" s="7" t="s">
        <v>1699</v>
      </c>
      <c r="G885" s="8" t="str">
        <f t="shared" si="39"/>
        <v>NATIONAL</v>
      </c>
    </row>
    <row r="886" spans="1:7">
      <c r="A886" s="4" t="str">
        <f t="shared" si="40"/>
        <v>048</v>
      </c>
      <c r="B886" s="4" t="str">
        <f t="shared" si="41"/>
        <v>05</v>
      </c>
      <c r="C886" s="5" t="s">
        <v>1700</v>
      </c>
      <c r="E886" s="6" t="s">
        <v>1691</v>
      </c>
      <c r="F886" s="7" t="s">
        <v>1701</v>
      </c>
      <c r="G886" s="8" t="str">
        <f t="shared" si="39"/>
        <v>NATIONAL</v>
      </c>
    </row>
    <row r="887" spans="1:7">
      <c r="A887" s="4" t="str">
        <f t="shared" si="40"/>
        <v>048</v>
      </c>
      <c r="B887" s="4" t="str">
        <f t="shared" si="41"/>
        <v>06</v>
      </c>
      <c r="C887" s="5" t="s">
        <v>1702</v>
      </c>
      <c r="E887" s="6" t="s">
        <v>1691</v>
      </c>
      <c r="F887" s="7" t="s">
        <v>1703</v>
      </c>
      <c r="G887" s="8" t="str">
        <f t="shared" si="39"/>
        <v>NAT. COM</v>
      </c>
    </row>
    <row r="888" spans="1:7">
      <c r="A888" s="4" t="str">
        <f t="shared" si="40"/>
        <v>048</v>
      </c>
      <c r="B888" s="4" t="str">
        <f t="shared" si="41"/>
        <v>07</v>
      </c>
      <c r="C888" s="5" t="s">
        <v>1704</v>
      </c>
      <c r="E888" s="6" t="s">
        <v>1691</v>
      </c>
      <c r="F888" s="7" t="s">
        <v>1705</v>
      </c>
      <c r="G888" s="8" t="str">
        <f t="shared" si="39"/>
        <v>NATIONAL</v>
      </c>
    </row>
    <row r="889" spans="1:7">
      <c r="A889" s="4" t="str">
        <f t="shared" si="40"/>
        <v>048</v>
      </c>
      <c r="B889" s="4" t="str">
        <f t="shared" si="41"/>
        <v>08</v>
      </c>
      <c r="C889" s="5" t="s">
        <v>1706</v>
      </c>
      <c r="E889" s="6" t="s">
        <v>1691</v>
      </c>
      <c r="F889" s="7" t="s">
        <v>1707</v>
      </c>
      <c r="G889" s="8" t="str">
        <f t="shared" si="39"/>
        <v>COMMISSI</v>
      </c>
    </row>
    <row r="890" spans="1:7">
      <c r="A890" s="4" t="str">
        <f t="shared" si="40"/>
        <v>048</v>
      </c>
      <c r="B890" s="4" t="str">
        <f t="shared" si="41"/>
        <v>09</v>
      </c>
      <c r="C890" s="5" t="s">
        <v>1708</v>
      </c>
      <c r="E890" s="6" t="s">
        <v>1691</v>
      </c>
      <c r="F890" s="7" t="s">
        <v>1709</v>
      </c>
      <c r="G890" s="8" t="str">
        <f t="shared" si="39"/>
        <v>COMMISSI</v>
      </c>
    </row>
    <row r="891" spans="1:7">
      <c r="A891" s="4" t="str">
        <f t="shared" si="40"/>
        <v>048</v>
      </c>
      <c r="B891" s="4" t="str">
        <f t="shared" si="41"/>
        <v>11</v>
      </c>
      <c r="C891" s="5" t="s">
        <v>1710</v>
      </c>
      <c r="E891" s="6" t="s">
        <v>1691</v>
      </c>
      <c r="F891" s="7" t="s">
        <v>1711</v>
      </c>
      <c r="G891" s="8" t="str">
        <f t="shared" si="39"/>
        <v>PRESIDEN</v>
      </c>
    </row>
    <row r="892" spans="1:7">
      <c r="A892" s="4" t="str">
        <f t="shared" si="40"/>
        <v>048</v>
      </c>
      <c r="B892" s="4" t="str">
        <f t="shared" si="41"/>
        <v>12</v>
      </c>
      <c r="C892" s="5" t="s">
        <v>1712</v>
      </c>
      <c r="E892" s="6" t="s">
        <v>1691</v>
      </c>
      <c r="F892" s="7" t="s">
        <v>1713</v>
      </c>
      <c r="G892" s="8" t="str">
        <f t="shared" si="39"/>
        <v>OFFICE O</v>
      </c>
    </row>
    <row r="893" spans="1:7">
      <c r="A893" s="4" t="str">
        <f t="shared" si="40"/>
        <v>048</v>
      </c>
      <c r="B893" s="4" t="str">
        <f t="shared" si="41"/>
        <v>14</v>
      </c>
      <c r="C893" s="5" t="s">
        <v>1714</v>
      </c>
      <c r="E893" s="6" t="s">
        <v>1691</v>
      </c>
      <c r="F893" s="7" t="s">
        <v>1715</v>
      </c>
      <c r="G893" s="8" t="str">
        <f t="shared" si="39"/>
        <v>NATIONAL</v>
      </c>
    </row>
    <row r="894" spans="1:7">
      <c r="A894" s="4" t="str">
        <f t="shared" si="40"/>
        <v>048</v>
      </c>
      <c r="B894" s="4" t="str">
        <f t="shared" si="41"/>
        <v>16</v>
      </c>
      <c r="C894" s="5" t="s">
        <v>1716</v>
      </c>
      <c r="E894" s="6" t="s">
        <v>1691</v>
      </c>
      <c r="F894" s="7" t="s">
        <v>1717</v>
      </c>
      <c r="G894" s="8" t="str">
        <f t="shared" si="39"/>
        <v>NATIONAL</v>
      </c>
    </row>
    <row r="895" spans="1:7">
      <c r="A895" s="4" t="str">
        <f t="shared" si="40"/>
        <v>048</v>
      </c>
      <c r="B895" s="4" t="str">
        <f t="shared" si="41"/>
        <v>17</v>
      </c>
      <c r="C895" s="5" t="s">
        <v>1718</v>
      </c>
      <c r="E895" s="6" t="s">
        <v>1691</v>
      </c>
      <c r="F895" s="7" t="s">
        <v>1719</v>
      </c>
      <c r="G895" s="8" t="str">
        <f t="shared" si="39"/>
        <v>JNT FED-</v>
      </c>
    </row>
    <row r="896" spans="1:7">
      <c r="A896" s="4" t="str">
        <f t="shared" si="40"/>
        <v>048</v>
      </c>
      <c r="B896" s="4" t="str">
        <f t="shared" si="41"/>
        <v>18</v>
      </c>
      <c r="C896" s="5" t="s">
        <v>1720</v>
      </c>
      <c r="E896" s="6" t="s">
        <v>1691</v>
      </c>
      <c r="F896" s="7" t="s">
        <v>1721</v>
      </c>
      <c r="G896" s="8" t="str">
        <f t="shared" si="39"/>
        <v xml:space="preserve">US COMM </v>
      </c>
    </row>
    <row r="897" spans="1:7">
      <c r="A897" s="4" t="str">
        <f t="shared" si="40"/>
        <v>048</v>
      </c>
      <c r="B897" s="4" t="str">
        <f t="shared" si="41"/>
        <v>19</v>
      </c>
      <c r="C897" s="5" t="s">
        <v>1722</v>
      </c>
      <c r="E897" s="6" t="s">
        <v>1691</v>
      </c>
      <c r="F897" s="7" t="s">
        <v>1723</v>
      </c>
      <c r="G897" s="8" t="str">
        <f t="shared" si="39"/>
        <v>NATIONAL</v>
      </c>
    </row>
    <row r="898" spans="1:7">
      <c r="A898" s="4" t="str">
        <f t="shared" si="40"/>
        <v>048</v>
      </c>
      <c r="B898" s="4" t="str">
        <f t="shared" si="41"/>
        <v>20</v>
      </c>
      <c r="C898" s="5" t="s">
        <v>1724</v>
      </c>
      <c r="E898" s="6" t="s">
        <v>1691</v>
      </c>
      <c r="F898" s="7" t="s">
        <v>1725</v>
      </c>
      <c r="G898" s="8" t="str">
        <f t="shared" ref="G898:G961" si="42">LEFT(F898,8)</f>
        <v>THOMAS J</v>
      </c>
    </row>
    <row r="899" spans="1:7">
      <c r="A899" s="4" t="str">
        <f t="shared" ref="A899:A962" si="43">LEFT(C899,3)</f>
        <v>048</v>
      </c>
      <c r="B899" s="4" t="str">
        <f t="shared" ref="B899:B962" si="44">RIGHT(C899,2)</f>
        <v>21</v>
      </c>
      <c r="C899" s="5" t="s">
        <v>1726</v>
      </c>
      <c r="E899" s="6" t="s">
        <v>1691</v>
      </c>
      <c r="F899" s="7" t="s">
        <v>1727</v>
      </c>
      <c r="G899" s="8" t="str">
        <f t="shared" si="42"/>
        <v xml:space="preserve">JOHN F. </v>
      </c>
    </row>
    <row r="900" spans="1:7">
      <c r="A900" s="4" t="str">
        <f t="shared" si="43"/>
        <v>048</v>
      </c>
      <c r="B900" s="4" t="str">
        <f t="shared" si="44"/>
        <v>22</v>
      </c>
      <c r="C900" s="5" t="s">
        <v>1728</v>
      </c>
      <c r="E900" s="6" t="s">
        <v>1691</v>
      </c>
      <c r="F900" s="7" t="s">
        <v>1729</v>
      </c>
      <c r="G900" s="8" t="str">
        <f t="shared" si="42"/>
        <v>COMMISSI</v>
      </c>
    </row>
    <row r="901" spans="1:7">
      <c r="A901" s="4" t="str">
        <f t="shared" si="43"/>
        <v>048</v>
      </c>
      <c r="B901" s="4" t="str">
        <f t="shared" si="44"/>
        <v>23</v>
      </c>
      <c r="C901" s="13" t="s">
        <v>1730</v>
      </c>
      <c r="D901" s="18" t="s">
        <v>3166</v>
      </c>
      <c r="E901" s="14" t="s">
        <v>1691</v>
      </c>
      <c r="F901" s="15" t="s">
        <v>1731</v>
      </c>
      <c r="G901" s="16" t="str">
        <f t="shared" si="42"/>
        <v xml:space="preserve">EXPIRED </v>
      </c>
    </row>
    <row r="902" spans="1:7">
      <c r="A902" s="4" t="str">
        <f t="shared" si="43"/>
        <v>048</v>
      </c>
      <c r="B902" s="4" t="str">
        <f t="shared" si="44"/>
        <v>24</v>
      </c>
      <c r="C902" s="13" t="s">
        <v>1732</v>
      </c>
      <c r="D902" s="18" t="s">
        <v>3166</v>
      </c>
      <c r="E902" s="14" t="s">
        <v>1691</v>
      </c>
      <c r="F902" s="15" t="s">
        <v>1354</v>
      </c>
      <c r="G902" s="16" t="str">
        <f t="shared" si="42"/>
        <v xml:space="preserve">EXPIRED </v>
      </c>
    </row>
    <row r="903" spans="1:7">
      <c r="A903" s="4" t="str">
        <f t="shared" si="43"/>
        <v>048</v>
      </c>
      <c r="B903" s="4" t="str">
        <f t="shared" si="44"/>
        <v>25</v>
      </c>
      <c r="C903" s="13" t="s">
        <v>1733</v>
      </c>
      <c r="D903" s="18" t="s">
        <v>3166</v>
      </c>
      <c r="E903" s="14" t="s">
        <v>1691</v>
      </c>
      <c r="F903" s="15" t="s">
        <v>1354</v>
      </c>
      <c r="G903" s="16" t="str">
        <f t="shared" si="42"/>
        <v xml:space="preserve">EXPIRED </v>
      </c>
    </row>
    <row r="904" spans="1:7">
      <c r="A904" s="4" t="str">
        <f t="shared" si="43"/>
        <v>048</v>
      </c>
      <c r="B904" s="4" t="str">
        <f t="shared" si="44"/>
        <v>26</v>
      </c>
      <c r="C904" s="13" t="s">
        <v>1734</v>
      </c>
      <c r="D904" s="18" t="s">
        <v>3166</v>
      </c>
      <c r="E904" s="14" t="s">
        <v>1691</v>
      </c>
      <c r="F904" s="15" t="s">
        <v>1354</v>
      </c>
      <c r="G904" s="16" t="str">
        <f t="shared" si="42"/>
        <v xml:space="preserve">EXPIRED </v>
      </c>
    </row>
    <row r="905" spans="1:7">
      <c r="A905" s="4" t="str">
        <f t="shared" si="43"/>
        <v>048</v>
      </c>
      <c r="B905" s="4" t="str">
        <f t="shared" si="44"/>
        <v>27</v>
      </c>
      <c r="C905" s="13" t="s">
        <v>1735</v>
      </c>
      <c r="D905" s="18" t="s">
        <v>3166</v>
      </c>
      <c r="E905" s="14" t="s">
        <v>1691</v>
      </c>
      <c r="F905" s="15" t="s">
        <v>1354</v>
      </c>
      <c r="G905" s="16" t="str">
        <f t="shared" si="42"/>
        <v xml:space="preserve">EXPIRED </v>
      </c>
    </row>
    <row r="906" spans="1:7">
      <c r="A906" s="4" t="str">
        <f t="shared" si="43"/>
        <v>048</v>
      </c>
      <c r="B906" s="4" t="str">
        <f t="shared" si="44"/>
        <v>28</v>
      </c>
      <c r="C906" s="13" t="s">
        <v>1736</v>
      </c>
      <c r="D906" s="18" t="s">
        <v>3166</v>
      </c>
      <c r="E906" s="14" t="s">
        <v>1691</v>
      </c>
      <c r="F906" s="15" t="s">
        <v>1354</v>
      </c>
      <c r="G906" s="16" t="str">
        <f t="shared" si="42"/>
        <v xml:space="preserve">EXPIRED </v>
      </c>
    </row>
    <row r="907" spans="1:7">
      <c r="A907" s="4" t="str">
        <f t="shared" si="43"/>
        <v>048</v>
      </c>
      <c r="B907" s="4" t="str">
        <f t="shared" si="44"/>
        <v>29</v>
      </c>
      <c r="C907" s="13" t="s">
        <v>1737</v>
      </c>
      <c r="D907" s="18" t="s">
        <v>3166</v>
      </c>
      <c r="E907" s="14" t="s">
        <v>1691</v>
      </c>
      <c r="F907" s="15" t="s">
        <v>1354</v>
      </c>
      <c r="G907" s="16" t="str">
        <f t="shared" si="42"/>
        <v xml:space="preserve">EXPIRED </v>
      </c>
    </row>
    <row r="908" spans="1:7">
      <c r="A908" s="4" t="str">
        <f t="shared" si="43"/>
        <v>048</v>
      </c>
      <c r="B908" s="4" t="str">
        <f t="shared" si="44"/>
        <v>30</v>
      </c>
      <c r="C908" s="13" t="s">
        <v>1738</v>
      </c>
      <c r="D908" s="18" t="s">
        <v>3166</v>
      </c>
      <c r="E908" s="14" t="s">
        <v>1691</v>
      </c>
      <c r="F908" s="15" t="s">
        <v>1354</v>
      </c>
      <c r="G908" s="16" t="str">
        <f t="shared" si="42"/>
        <v xml:space="preserve">EXPIRED </v>
      </c>
    </row>
    <row r="909" spans="1:7">
      <c r="A909" s="4" t="str">
        <f t="shared" si="43"/>
        <v>048</v>
      </c>
      <c r="B909" s="4" t="str">
        <f t="shared" si="44"/>
        <v>31</v>
      </c>
      <c r="C909" s="13" t="s">
        <v>1739</v>
      </c>
      <c r="D909" s="18" t="s">
        <v>3166</v>
      </c>
      <c r="E909" s="14" t="s">
        <v>1691</v>
      </c>
      <c r="F909" s="15" t="s">
        <v>1354</v>
      </c>
      <c r="G909" s="16" t="str">
        <f t="shared" si="42"/>
        <v xml:space="preserve">EXPIRED </v>
      </c>
    </row>
    <row r="910" spans="1:7">
      <c r="A910" s="4" t="str">
        <f t="shared" si="43"/>
        <v>048</v>
      </c>
      <c r="B910" s="4" t="str">
        <f t="shared" si="44"/>
        <v>32</v>
      </c>
      <c r="C910" s="13" t="s">
        <v>1740</v>
      </c>
      <c r="D910" s="18" t="s">
        <v>3166</v>
      </c>
      <c r="E910" s="14" t="s">
        <v>1691</v>
      </c>
      <c r="F910" s="15" t="s">
        <v>1354</v>
      </c>
      <c r="G910" s="16" t="str">
        <f t="shared" si="42"/>
        <v xml:space="preserve">EXPIRED </v>
      </c>
    </row>
    <row r="911" spans="1:7">
      <c r="A911" s="4" t="str">
        <f t="shared" si="43"/>
        <v>048</v>
      </c>
      <c r="B911" s="4" t="str">
        <f t="shared" si="44"/>
        <v>33</v>
      </c>
      <c r="C911" s="13" t="s">
        <v>1741</v>
      </c>
      <c r="D911" s="18" t="s">
        <v>3166</v>
      </c>
      <c r="E911" s="14" t="s">
        <v>1691</v>
      </c>
      <c r="F911" s="15" t="s">
        <v>1354</v>
      </c>
      <c r="G911" s="16" t="str">
        <f t="shared" si="42"/>
        <v xml:space="preserve">EXPIRED </v>
      </c>
    </row>
    <row r="912" spans="1:7">
      <c r="A912" s="4" t="str">
        <f t="shared" si="43"/>
        <v>048</v>
      </c>
      <c r="B912" s="4" t="str">
        <f t="shared" si="44"/>
        <v>34</v>
      </c>
      <c r="C912" s="13" t="s">
        <v>1742</v>
      </c>
      <c r="D912" s="18" t="s">
        <v>3166</v>
      </c>
      <c r="E912" s="14" t="s">
        <v>1691</v>
      </c>
      <c r="F912" s="15" t="s">
        <v>1354</v>
      </c>
      <c r="G912" s="16" t="str">
        <f t="shared" si="42"/>
        <v xml:space="preserve">EXPIRED </v>
      </c>
    </row>
    <row r="913" spans="1:7">
      <c r="A913" s="4" t="str">
        <f t="shared" si="43"/>
        <v>048</v>
      </c>
      <c r="B913" s="4" t="str">
        <f t="shared" si="44"/>
        <v>36</v>
      </c>
      <c r="C913" s="5" t="s">
        <v>1743</v>
      </c>
      <c r="E913" s="6" t="s">
        <v>1691</v>
      </c>
      <c r="F913" s="7" t="s">
        <v>1744</v>
      </c>
      <c r="G913" s="8" t="str">
        <f t="shared" si="42"/>
        <v>COMMISSI</v>
      </c>
    </row>
    <row r="914" spans="1:7">
      <c r="A914" s="4" t="str">
        <f t="shared" si="43"/>
        <v>048</v>
      </c>
      <c r="B914" s="4" t="str">
        <f t="shared" si="44"/>
        <v>37</v>
      </c>
      <c r="C914" s="13" t="s">
        <v>1745</v>
      </c>
      <c r="D914" s="18" t="s">
        <v>3166</v>
      </c>
      <c r="E914" s="14" t="s">
        <v>1691</v>
      </c>
      <c r="F914" s="15" t="s">
        <v>1354</v>
      </c>
      <c r="G914" s="16" t="str">
        <f t="shared" si="42"/>
        <v xml:space="preserve">EXPIRED </v>
      </c>
    </row>
    <row r="915" spans="1:7">
      <c r="A915" s="4" t="str">
        <f t="shared" si="43"/>
        <v>048</v>
      </c>
      <c r="B915" s="4" t="str">
        <f t="shared" si="44"/>
        <v>39</v>
      </c>
      <c r="C915" s="13" t="s">
        <v>1746</v>
      </c>
      <c r="D915" s="18" t="s">
        <v>3166</v>
      </c>
      <c r="E915" s="14" t="s">
        <v>1691</v>
      </c>
      <c r="F915" s="15" t="s">
        <v>1354</v>
      </c>
      <c r="G915" s="16" t="str">
        <f t="shared" si="42"/>
        <v xml:space="preserve">EXPIRED </v>
      </c>
    </row>
    <row r="916" spans="1:7">
      <c r="A916" s="4" t="str">
        <f t="shared" si="43"/>
        <v>048</v>
      </c>
      <c r="B916" s="4" t="str">
        <f t="shared" si="44"/>
        <v>40</v>
      </c>
      <c r="C916" s="13" t="s">
        <v>1747</v>
      </c>
      <c r="D916" s="18" t="s">
        <v>3166</v>
      </c>
      <c r="E916" s="14" t="s">
        <v>1691</v>
      </c>
      <c r="F916" s="15" t="s">
        <v>1354</v>
      </c>
      <c r="G916" s="16" t="str">
        <f t="shared" si="42"/>
        <v xml:space="preserve">EXPIRED </v>
      </c>
    </row>
    <row r="917" spans="1:7">
      <c r="A917" s="4" t="str">
        <f t="shared" si="43"/>
        <v>048</v>
      </c>
      <c r="B917" s="4" t="str">
        <f t="shared" si="44"/>
        <v>41</v>
      </c>
      <c r="C917" s="13" t="s">
        <v>1748</v>
      </c>
      <c r="D917" s="18" t="s">
        <v>3166</v>
      </c>
      <c r="E917" s="14" t="s">
        <v>1691</v>
      </c>
      <c r="F917" s="15" t="s">
        <v>1354</v>
      </c>
      <c r="G917" s="16" t="str">
        <f t="shared" si="42"/>
        <v xml:space="preserve">EXPIRED </v>
      </c>
    </row>
    <row r="918" spans="1:7">
      <c r="A918" s="4" t="str">
        <f t="shared" si="43"/>
        <v>048</v>
      </c>
      <c r="B918" s="4" t="str">
        <f t="shared" si="44"/>
        <v>42</v>
      </c>
      <c r="C918" s="13" t="s">
        <v>1749</v>
      </c>
      <c r="D918" s="18" t="s">
        <v>3166</v>
      </c>
      <c r="E918" s="14" t="s">
        <v>1691</v>
      </c>
      <c r="F918" s="15" t="s">
        <v>1354</v>
      </c>
      <c r="G918" s="16" t="str">
        <f t="shared" si="42"/>
        <v xml:space="preserve">EXPIRED </v>
      </c>
    </row>
    <row r="919" spans="1:7">
      <c r="A919" s="4" t="str">
        <f t="shared" si="43"/>
        <v>048</v>
      </c>
      <c r="B919" s="4" t="str">
        <f t="shared" si="44"/>
        <v>43</v>
      </c>
      <c r="C919" s="13" t="s">
        <v>1750</v>
      </c>
      <c r="D919" s="18" t="s">
        <v>3166</v>
      </c>
      <c r="E919" s="14" t="s">
        <v>1691</v>
      </c>
      <c r="F919" s="15" t="s">
        <v>1354</v>
      </c>
      <c r="G919" s="16" t="str">
        <f t="shared" si="42"/>
        <v xml:space="preserve">EXPIRED </v>
      </c>
    </row>
    <row r="920" spans="1:7">
      <c r="A920" s="4" t="str">
        <f t="shared" si="43"/>
        <v>048</v>
      </c>
      <c r="B920" s="4" t="str">
        <f t="shared" si="44"/>
        <v>44</v>
      </c>
      <c r="C920" s="5" t="s">
        <v>1751</v>
      </c>
      <c r="E920" s="6" t="s">
        <v>1691</v>
      </c>
      <c r="F920" s="7" t="s">
        <v>1752</v>
      </c>
      <c r="G920" s="8" t="str">
        <f t="shared" si="42"/>
        <v>NATIONAL</v>
      </c>
    </row>
    <row r="921" spans="1:7">
      <c r="A921" s="4" t="str">
        <f t="shared" si="43"/>
        <v>048</v>
      </c>
      <c r="B921" s="4" t="str">
        <f t="shared" si="44"/>
        <v>45</v>
      </c>
      <c r="C921" s="5" t="s">
        <v>1753</v>
      </c>
      <c r="E921" s="6" t="s">
        <v>1691</v>
      </c>
      <c r="F921" s="7" t="s">
        <v>1754</v>
      </c>
      <c r="G921" s="8" t="str">
        <f t="shared" si="42"/>
        <v>COMMISSI</v>
      </c>
    </row>
    <row r="922" spans="1:7">
      <c r="A922" s="4" t="str">
        <f t="shared" si="43"/>
        <v>048</v>
      </c>
      <c r="B922" s="4" t="str">
        <f t="shared" si="44"/>
        <v>47</v>
      </c>
      <c r="C922" s="5" t="s">
        <v>1755</v>
      </c>
      <c r="E922" s="6" t="s">
        <v>1691</v>
      </c>
      <c r="F922" s="7" t="s">
        <v>1756</v>
      </c>
      <c r="G922" s="8" t="str">
        <f t="shared" si="42"/>
        <v>COMMISSI</v>
      </c>
    </row>
    <row r="923" spans="1:7">
      <c r="A923" s="4" t="str">
        <f t="shared" si="43"/>
        <v>048</v>
      </c>
      <c r="B923" s="4" t="str">
        <f t="shared" si="44"/>
        <v>48</v>
      </c>
      <c r="C923" s="5" t="s">
        <v>1757</v>
      </c>
      <c r="E923" s="6" t="s">
        <v>1691</v>
      </c>
      <c r="F923" s="7" t="s">
        <v>1758</v>
      </c>
      <c r="G923" s="8" t="str">
        <f t="shared" si="42"/>
        <v>AVIATION</v>
      </c>
    </row>
    <row r="924" spans="1:7">
      <c r="A924" s="4" t="str">
        <f t="shared" si="43"/>
        <v>048</v>
      </c>
      <c r="B924" s="4" t="str">
        <f t="shared" si="44"/>
        <v>49</v>
      </c>
      <c r="C924" s="5" t="s">
        <v>1759</v>
      </c>
      <c r="E924" s="6" t="s">
        <v>1691</v>
      </c>
      <c r="F924" s="7" t="s">
        <v>1760</v>
      </c>
      <c r="G924" s="8" t="str">
        <f t="shared" si="42"/>
        <v>NAT. COM</v>
      </c>
    </row>
    <row r="925" spans="1:7">
      <c r="A925" s="4" t="str">
        <f t="shared" si="43"/>
        <v>048</v>
      </c>
      <c r="B925" s="4" t="str">
        <f t="shared" si="44"/>
        <v>50</v>
      </c>
      <c r="C925" s="5" t="s">
        <v>1761</v>
      </c>
      <c r="E925" s="6" t="s">
        <v>1691</v>
      </c>
      <c r="F925" s="7" t="s">
        <v>1762</v>
      </c>
      <c r="G925" s="8" t="str">
        <f t="shared" si="42"/>
        <v>NATIONAL</v>
      </c>
    </row>
    <row r="926" spans="1:7">
      <c r="A926" s="4" t="str">
        <f t="shared" si="43"/>
        <v>048</v>
      </c>
      <c r="B926" s="4" t="str">
        <f t="shared" si="44"/>
        <v>51</v>
      </c>
      <c r="C926" s="5" t="s">
        <v>1763</v>
      </c>
      <c r="E926" s="6" t="s">
        <v>1691</v>
      </c>
      <c r="F926" s="7" t="s">
        <v>1764</v>
      </c>
      <c r="G926" s="8" t="str">
        <f t="shared" si="42"/>
        <v>NATIONAL</v>
      </c>
    </row>
    <row r="927" spans="1:7">
      <c r="A927" s="4" t="str">
        <f t="shared" si="43"/>
        <v>048</v>
      </c>
      <c r="B927" s="4" t="str">
        <f t="shared" si="44"/>
        <v>52</v>
      </c>
      <c r="C927" s="5" t="s">
        <v>1765</v>
      </c>
      <c r="E927" s="6" t="s">
        <v>1691</v>
      </c>
      <c r="F927" s="7" t="s">
        <v>1766</v>
      </c>
      <c r="G927" s="8" t="str">
        <f t="shared" si="42"/>
        <v>NAT. COM</v>
      </c>
    </row>
    <row r="928" spans="1:7">
      <c r="A928" s="4" t="str">
        <f t="shared" si="43"/>
        <v>048</v>
      </c>
      <c r="B928" s="4" t="str">
        <f t="shared" si="44"/>
        <v>54</v>
      </c>
      <c r="C928" s="5" t="s">
        <v>1767</v>
      </c>
      <c r="E928" s="6" t="s">
        <v>1691</v>
      </c>
      <c r="F928" s="7" t="s">
        <v>1768</v>
      </c>
      <c r="G928" s="8" t="str">
        <f t="shared" si="42"/>
        <v>COMM HLC</v>
      </c>
    </row>
    <row r="929" spans="1:7">
      <c r="A929" s="4" t="str">
        <f t="shared" si="43"/>
        <v>048</v>
      </c>
      <c r="B929" s="4" t="str">
        <f t="shared" si="44"/>
        <v>82</v>
      </c>
      <c r="C929" s="5" t="s">
        <v>1769</v>
      </c>
      <c r="E929" s="6" t="s">
        <v>1691</v>
      </c>
      <c r="F929" s="7" t="s">
        <v>1770</v>
      </c>
      <c r="G929" s="8" t="str">
        <f t="shared" si="42"/>
        <v xml:space="preserve">COMM ON </v>
      </c>
    </row>
    <row r="930" spans="1:7">
      <c r="A930" s="4" t="str">
        <f t="shared" si="43"/>
        <v>048</v>
      </c>
      <c r="B930" s="4" t="str">
        <f t="shared" si="44"/>
        <v>96</v>
      </c>
      <c r="C930" s="5" t="s">
        <v>1771</v>
      </c>
      <c r="E930" s="6" t="s">
        <v>1691</v>
      </c>
      <c r="F930" s="7" t="s">
        <v>1772</v>
      </c>
      <c r="G930" s="8" t="str">
        <f t="shared" si="42"/>
        <v>US TRADE</v>
      </c>
    </row>
    <row r="931" spans="1:7">
      <c r="A931" s="4" t="str">
        <f t="shared" si="43"/>
        <v>048</v>
      </c>
      <c r="B931" s="4" t="str">
        <f t="shared" si="44"/>
        <v>97</v>
      </c>
      <c r="C931" s="5" t="s">
        <v>1773</v>
      </c>
      <c r="E931" s="6" t="s">
        <v>1691</v>
      </c>
      <c r="F931" s="7" t="s">
        <v>102</v>
      </c>
      <c r="G931" s="8" t="str">
        <f t="shared" si="42"/>
        <v>GSA ADVA</v>
      </c>
    </row>
    <row r="932" spans="1:7">
      <c r="A932" s="4" t="str">
        <f t="shared" si="43"/>
        <v>048</v>
      </c>
      <c r="B932" s="4" t="str">
        <f t="shared" si="44"/>
        <v>99</v>
      </c>
      <c r="C932" s="5" t="s">
        <v>1774</v>
      </c>
      <c r="E932" s="6" t="s">
        <v>1691</v>
      </c>
      <c r="F932" s="7" t="s">
        <v>1775</v>
      </c>
      <c r="G932" s="8" t="str">
        <f t="shared" si="42"/>
        <v>MILLENNI</v>
      </c>
    </row>
    <row r="933" spans="1:7">
      <c r="A933" s="4" t="str">
        <f t="shared" si="43"/>
        <v>049</v>
      </c>
      <c r="B933" s="4" t="str">
        <f t="shared" si="44"/>
        <v>00</v>
      </c>
      <c r="C933" s="5" t="s">
        <v>1776</v>
      </c>
      <c r="E933" s="6" t="s">
        <v>1777</v>
      </c>
      <c r="F933" s="7" t="s">
        <v>1777</v>
      </c>
      <c r="G933" s="8" t="str">
        <f t="shared" si="42"/>
        <v>NATIONAL</v>
      </c>
    </row>
    <row r="934" spans="1:7">
      <c r="A934" s="4" t="str">
        <f t="shared" si="43"/>
        <v>049</v>
      </c>
      <c r="B934" s="4" t="str">
        <f t="shared" si="44"/>
        <v>51</v>
      </c>
      <c r="C934" s="5" t="s">
        <v>1778</v>
      </c>
      <c r="E934" s="6" t="s">
        <v>1777</v>
      </c>
      <c r="F934" s="7" t="s">
        <v>1779</v>
      </c>
      <c r="G934" s="8" t="str">
        <f t="shared" si="42"/>
        <v xml:space="preserve">NAT SCI </v>
      </c>
    </row>
    <row r="935" spans="1:7">
      <c r="A935" s="4" t="str">
        <f t="shared" si="43"/>
        <v>049</v>
      </c>
      <c r="B935" s="4" t="str">
        <f t="shared" si="44"/>
        <v>52</v>
      </c>
      <c r="C935" s="5" t="s">
        <v>1780</v>
      </c>
      <c r="E935" s="6" t="s">
        <v>1777</v>
      </c>
      <c r="F935" s="7" t="s">
        <v>1781</v>
      </c>
      <c r="G935" s="8" t="str">
        <f t="shared" si="42"/>
        <v>NSF,NATL</v>
      </c>
    </row>
    <row r="936" spans="1:7">
      <c r="A936" s="4" t="str">
        <f t="shared" si="43"/>
        <v>049</v>
      </c>
      <c r="B936" s="4" t="str">
        <f t="shared" si="44"/>
        <v>53</v>
      </c>
      <c r="C936" s="5" t="s">
        <v>1782</v>
      </c>
      <c r="E936" s="6" t="s">
        <v>1777</v>
      </c>
      <c r="F936" s="7" t="s">
        <v>1783</v>
      </c>
      <c r="G936" s="8" t="str">
        <f t="shared" si="42"/>
        <v>NSF,US A</v>
      </c>
    </row>
    <row r="937" spans="1:7">
      <c r="A937" s="4" t="str">
        <f t="shared" si="43"/>
        <v>049</v>
      </c>
      <c r="B937" s="4" t="str">
        <f t="shared" si="44"/>
        <v>60</v>
      </c>
      <c r="C937" s="5" t="s">
        <v>1784</v>
      </c>
      <c r="E937" s="6" t="s">
        <v>1777</v>
      </c>
      <c r="F937" s="7" t="s">
        <v>1785</v>
      </c>
      <c r="G937" s="8" t="str">
        <f t="shared" si="42"/>
        <v>NATIONAL</v>
      </c>
    </row>
    <row r="938" spans="1:7">
      <c r="A938" s="4" t="str">
        <f t="shared" si="43"/>
        <v>049</v>
      </c>
      <c r="B938" s="4" t="str">
        <f t="shared" si="44"/>
        <v>97</v>
      </c>
      <c r="C938" s="5" t="s">
        <v>1786</v>
      </c>
      <c r="E938" s="6" t="s">
        <v>1777</v>
      </c>
      <c r="F938" s="7" t="s">
        <v>102</v>
      </c>
      <c r="G938" s="8" t="str">
        <f t="shared" si="42"/>
        <v>GSA ADVA</v>
      </c>
    </row>
    <row r="939" spans="1:7">
      <c r="A939" s="4" t="str">
        <f t="shared" si="43"/>
        <v>050</v>
      </c>
      <c r="B939" s="4" t="str">
        <f t="shared" si="44"/>
        <v>00</v>
      </c>
      <c r="C939" s="5" t="s">
        <v>1789</v>
      </c>
      <c r="E939" s="6" t="s">
        <v>1790</v>
      </c>
      <c r="F939" s="7" t="s">
        <v>1790</v>
      </c>
      <c r="G939" s="8" t="str">
        <f t="shared" si="42"/>
        <v>SECURITI</v>
      </c>
    </row>
    <row r="940" spans="1:7">
      <c r="A940" s="4" t="str">
        <f t="shared" si="43"/>
        <v>050</v>
      </c>
      <c r="B940" s="4" t="str">
        <f t="shared" si="44"/>
        <v>97</v>
      </c>
      <c r="C940" s="5" t="s">
        <v>1791</v>
      </c>
      <c r="E940" s="6" t="s">
        <v>1790</v>
      </c>
      <c r="F940" s="7" t="s">
        <v>102</v>
      </c>
      <c r="G940" s="8" t="str">
        <f t="shared" si="42"/>
        <v>GSA ADVA</v>
      </c>
    </row>
    <row r="941" spans="1:7">
      <c r="A941" s="4" t="str">
        <f t="shared" si="43"/>
        <v>051</v>
      </c>
      <c r="B941" s="4" t="str">
        <f t="shared" si="44"/>
        <v>00</v>
      </c>
      <c r="C941" s="5" t="s">
        <v>1792</v>
      </c>
      <c r="E941" s="6" t="s">
        <v>1793</v>
      </c>
      <c r="F941" s="7" t="s">
        <v>1793</v>
      </c>
      <c r="G941" s="8" t="str">
        <f t="shared" si="42"/>
        <v xml:space="preserve">FEDERAL </v>
      </c>
    </row>
    <row r="942" spans="1:7">
      <c r="A942" s="4" t="str">
        <f t="shared" si="43"/>
        <v>051</v>
      </c>
      <c r="B942" s="4" t="str">
        <f t="shared" si="44"/>
        <v>97</v>
      </c>
      <c r="C942" s="5" t="s">
        <v>1794</v>
      </c>
      <c r="E942" s="6" t="s">
        <v>1793</v>
      </c>
      <c r="F942" s="7" t="s">
        <v>102</v>
      </c>
      <c r="G942" s="8" t="str">
        <f t="shared" si="42"/>
        <v>GSA ADVA</v>
      </c>
    </row>
    <row r="943" spans="1:7">
      <c r="A943" s="4" t="str">
        <f t="shared" si="43"/>
        <v>051</v>
      </c>
      <c r="B943" s="4" t="str">
        <f t="shared" si="44"/>
        <v>99</v>
      </c>
      <c r="C943" s="5" t="s">
        <v>1795</v>
      </c>
      <c r="E943" s="6" t="s">
        <v>1793</v>
      </c>
      <c r="F943" s="7" t="s">
        <v>132</v>
      </c>
      <c r="G943" s="8" t="str">
        <f t="shared" si="42"/>
        <v>SUBCONTR</v>
      </c>
    </row>
    <row r="944" spans="1:7">
      <c r="A944" s="4" t="str">
        <f t="shared" si="43"/>
        <v>052</v>
      </c>
      <c r="B944" s="4" t="str">
        <f t="shared" si="44"/>
        <v>00</v>
      </c>
      <c r="C944" s="5" t="s">
        <v>1796</v>
      </c>
      <c r="E944" s="6" t="s">
        <v>1797</v>
      </c>
      <c r="F944" s="7" t="s">
        <v>1798</v>
      </c>
      <c r="G944" s="8" t="str">
        <f t="shared" si="42"/>
        <v>PERM. AN</v>
      </c>
    </row>
    <row r="945" spans="1:7">
      <c r="A945" s="4" t="str">
        <f t="shared" si="43"/>
        <v>052</v>
      </c>
      <c r="B945" s="4" t="str">
        <f t="shared" si="44"/>
        <v>97</v>
      </c>
      <c r="C945" s="5" t="s">
        <v>1799</v>
      </c>
      <c r="E945" s="6" t="s">
        <v>1797</v>
      </c>
      <c r="F945" s="7" t="s">
        <v>102</v>
      </c>
      <c r="G945" s="8" t="str">
        <f t="shared" si="42"/>
        <v>GSA ADVA</v>
      </c>
    </row>
    <row r="946" spans="1:7">
      <c r="A946" s="4" t="str">
        <f t="shared" si="43"/>
        <v>054</v>
      </c>
      <c r="B946" s="4" t="str">
        <f t="shared" si="44"/>
        <v>00</v>
      </c>
      <c r="C946" s="5" t="s">
        <v>1800</v>
      </c>
      <c r="E946" s="6" t="s">
        <v>1801</v>
      </c>
      <c r="F946" s="7" t="s">
        <v>1801</v>
      </c>
      <c r="G946" s="8" t="str">
        <f t="shared" si="42"/>
        <v xml:space="preserve">FEDERAL </v>
      </c>
    </row>
    <row r="947" spans="1:7">
      <c r="A947" s="4" t="str">
        <f t="shared" si="43"/>
        <v>054</v>
      </c>
      <c r="B947" s="4" t="str">
        <f t="shared" si="44"/>
        <v>97</v>
      </c>
      <c r="C947" s="5" t="s">
        <v>1802</v>
      </c>
      <c r="E947" s="6" t="s">
        <v>1801</v>
      </c>
      <c r="F947" s="7" t="s">
        <v>102</v>
      </c>
      <c r="G947" s="8" t="str">
        <f t="shared" si="42"/>
        <v>GSA ADVA</v>
      </c>
    </row>
    <row r="948" spans="1:7">
      <c r="A948" s="4" t="str">
        <f t="shared" si="43"/>
        <v>054</v>
      </c>
      <c r="B948" s="4" t="str">
        <f t="shared" si="44"/>
        <v>99</v>
      </c>
      <c r="C948" s="5" t="s">
        <v>1803</v>
      </c>
      <c r="E948" s="6" t="s">
        <v>1801</v>
      </c>
      <c r="F948" s="7" t="s">
        <v>132</v>
      </c>
      <c r="G948" s="8" t="str">
        <f t="shared" si="42"/>
        <v>SUBCONTR</v>
      </c>
    </row>
    <row r="949" spans="1:7">
      <c r="A949" s="4" t="str">
        <f t="shared" si="43"/>
        <v>055</v>
      </c>
      <c r="B949" s="4" t="str">
        <f t="shared" si="44"/>
        <v>00</v>
      </c>
      <c r="C949" s="5" t="s">
        <v>1804</v>
      </c>
      <c r="E949" s="6" t="s">
        <v>1805</v>
      </c>
      <c r="F949" s="7" t="s">
        <v>1805</v>
      </c>
      <c r="G949" s="8" t="str">
        <f t="shared" si="42"/>
        <v>ADVISORY</v>
      </c>
    </row>
    <row r="950" spans="1:7">
      <c r="A950" s="4" t="str">
        <f t="shared" si="43"/>
        <v>055</v>
      </c>
      <c r="B950" s="4" t="str">
        <f t="shared" si="44"/>
        <v>97</v>
      </c>
      <c r="C950" s="5" t="s">
        <v>1806</v>
      </c>
      <c r="E950" s="6" t="s">
        <v>1805</v>
      </c>
      <c r="F950" s="7" t="s">
        <v>102</v>
      </c>
      <c r="G950" s="8" t="str">
        <f t="shared" si="42"/>
        <v>GSA ADVA</v>
      </c>
    </row>
    <row r="951" spans="1:7">
      <c r="A951" s="4" t="str">
        <f t="shared" si="43"/>
        <v>056</v>
      </c>
      <c r="B951" s="4" t="str">
        <f t="shared" si="44"/>
        <v>00</v>
      </c>
      <c r="C951" s="5" t="s">
        <v>1807</v>
      </c>
      <c r="E951" s="6" t="s">
        <v>1808</v>
      </c>
      <c r="F951" s="7" t="s">
        <v>1808</v>
      </c>
      <c r="G951" s="8" t="str">
        <f t="shared" si="42"/>
        <v xml:space="preserve">CENTRAL </v>
      </c>
    </row>
    <row r="952" spans="1:7">
      <c r="A952" s="4" t="str">
        <f t="shared" si="43"/>
        <v>056</v>
      </c>
      <c r="B952" s="4" t="str">
        <f t="shared" si="44"/>
        <v>97</v>
      </c>
      <c r="C952" s="5" t="s">
        <v>1809</v>
      </c>
      <c r="E952" s="6" t="s">
        <v>1808</v>
      </c>
      <c r="F952" s="7" t="s">
        <v>102</v>
      </c>
      <c r="G952" s="8" t="str">
        <f t="shared" si="42"/>
        <v>GSA ADVA</v>
      </c>
    </row>
    <row r="953" spans="1:7">
      <c r="A953" s="4" t="str">
        <f t="shared" si="43"/>
        <v>056</v>
      </c>
      <c r="B953" s="4" t="str">
        <f t="shared" si="44"/>
        <v>99</v>
      </c>
      <c r="C953" s="5" t="s">
        <v>1810</v>
      </c>
      <c r="E953" s="6" t="s">
        <v>1808</v>
      </c>
      <c r="F953" s="7" t="s">
        <v>132</v>
      </c>
      <c r="G953" s="8" t="str">
        <f t="shared" si="42"/>
        <v>SUBCONTR</v>
      </c>
    </row>
    <row r="954" spans="1:7">
      <c r="A954" s="4" t="str">
        <f t="shared" si="43"/>
        <v>057</v>
      </c>
      <c r="B954" s="4" t="str">
        <f t="shared" si="44"/>
        <v>00</v>
      </c>
      <c r="C954" s="5" t="s">
        <v>1811</v>
      </c>
      <c r="E954" s="6" t="s">
        <v>1812</v>
      </c>
      <c r="F954" s="7" t="s">
        <v>1812</v>
      </c>
      <c r="G954" s="8" t="str">
        <f t="shared" si="42"/>
        <v>DEPARTME</v>
      </c>
    </row>
    <row r="955" spans="1:7">
      <c r="A955" s="4" t="str">
        <f t="shared" si="43"/>
        <v>057</v>
      </c>
      <c r="B955" s="4" t="str">
        <f t="shared" si="44"/>
        <v>02</v>
      </c>
      <c r="C955" s="5" t="s">
        <v>1813</v>
      </c>
      <c r="E955" s="6" t="s">
        <v>1812</v>
      </c>
      <c r="F955" s="7" t="s">
        <v>1814</v>
      </c>
      <c r="G955" s="8" t="str">
        <f t="shared" si="42"/>
        <v>HEADQUAR</v>
      </c>
    </row>
    <row r="956" spans="1:7">
      <c r="A956" s="4" t="str">
        <f t="shared" si="43"/>
        <v>057</v>
      </c>
      <c r="B956" s="4" t="str">
        <f t="shared" si="44"/>
        <v>04</v>
      </c>
      <c r="C956" s="5" t="s">
        <v>1815</v>
      </c>
      <c r="E956" s="6" t="s">
        <v>1812</v>
      </c>
      <c r="F956" s="7" t="s">
        <v>1816</v>
      </c>
      <c r="G956" s="8" t="str">
        <f t="shared" si="42"/>
        <v>AIR FORC</v>
      </c>
    </row>
    <row r="957" spans="1:7">
      <c r="A957" s="4" t="str">
        <f t="shared" si="43"/>
        <v>057</v>
      </c>
      <c r="B957" s="4" t="str">
        <f t="shared" si="44"/>
        <v>06</v>
      </c>
      <c r="C957" s="5" t="s">
        <v>1817</v>
      </c>
      <c r="E957" s="6" t="s">
        <v>1812</v>
      </c>
      <c r="F957" s="7" t="s">
        <v>1818</v>
      </c>
      <c r="G957" s="8" t="str">
        <f t="shared" si="42"/>
        <v>SPACE CO</v>
      </c>
    </row>
    <row r="958" spans="1:7">
      <c r="A958" s="4" t="str">
        <f t="shared" si="43"/>
        <v>057</v>
      </c>
      <c r="B958" s="4" t="str">
        <f t="shared" si="44"/>
        <v>08</v>
      </c>
      <c r="C958" s="5" t="s">
        <v>1819</v>
      </c>
      <c r="E958" s="6" t="s">
        <v>1812</v>
      </c>
      <c r="F958" s="7" t="s">
        <v>1820</v>
      </c>
      <c r="G958" s="8" t="str">
        <f t="shared" si="42"/>
        <v>ACCOUNTI</v>
      </c>
    </row>
    <row r="959" spans="1:7">
      <c r="A959" s="4" t="str">
        <f t="shared" si="43"/>
        <v>057</v>
      </c>
      <c r="B959" s="4" t="str">
        <f t="shared" si="44"/>
        <v>10</v>
      </c>
      <c r="C959" s="5" t="s">
        <v>1821</v>
      </c>
      <c r="E959" s="6" t="s">
        <v>1812</v>
      </c>
      <c r="F959" s="7" t="s">
        <v>1822</v>
      </c>
      <c r="G959" s="8" t="str">
        <f t="shared" si="42"/>
        <v>AIR FORC</v>
      </c>
    </row>
    <row r="960" spans="1:7">
      <c r="A960" s="4" t="str">
        <f t="shared" si="43"/>
        <v>057</v>
      </c>
      <c r="B960" s="4" t="str">
        <f t="shared" si="44"/>
        <v>12</v>
      </c>
      <c r="C960" s="5" t="s">
        <v>1823</v>
      </c>
      <c r="E960" s="6" t="s">
        <v>1812</v>
      </c>
      <c r="F960" s="7" t="s">
        <v>1824</v>
      </c>
      <c r="G960" s="8" t="str">
        <f t="shared" si="42"/>
        <v>AIR FORC</v>
      </c>
    </row>
    <row r="961" spans="1:7">
      <c r="A961" s="4" t="str">
        <f t="shared" si="43"/>
        <v>057</v>
      </c>
      <c r="B961" s="4" t="str">
        <f t="shared" si="44"/>
        <v>14</v>
      </c>
      <c r="C961" s="5" t="s">
        <v>1825</v>
      </c>
      <c r="E961" s="6" t="s">
        <v>1812</v>
      </c>
      <c r="F961" s="7" t="s">
        <v>1826</v>
      </c>
      <c r="G961" s="8" t="str">
        <f t="shared" si="42"/>
        <v>ELECTRON</v>
      </c>
    </row>
    <row r="962" spans="1:7">
      <c r="A962" s="4" t="str">
        <f t="shared" si="43"/>
        <v>057</v>
      </c>
      <c r="B962" s="4" t="str">
        <f t="shared" si="44"/>
        <v>15</v>
      </c>
      <c r="C962" s="5" t="s">
        <v>1827</v>
      </c>
      <c r="E962" s="6" t="s">
        <v>1812</v>
      </c>
      <c r="F962" s="7" t="s">
        <v>1828</v>
      </c>
      <c r="G962" s="8" t="str">
        <f t="shared" ref="G962:G1025" si="45">LEFT(F962,8)</f>
        <v>AIR TRAI</v>
      </c>
    </row>
    <row r="963" spans="1:7">
      <c r="A963" s="4" t="str">
        <f t="shared" ref="A963:A1026" si="46">LEFT(C963,3)</f>
        <v>057</v>
      </c>
      <c r="B963" s="4" t="str">
        <f t="shared" ref="B963:B1026" si="47">RIGHT(C963,2)</f>
        <v>16</v>
      </c>
      <c r="C963" s="5" t="s">
        <v>1829</v>
      </c>
      <c r="E963" s="6" t="s">
        <v>1812</v>
      </c>
      <c r="F963" s="7" t="s">
        <v>1830</v>
      </c>
      <c r="G963" s="8" t="str">
        <f t="shared" si="45"/>
        <v>AIR UNIV</v>
      </c>
    </row>
    <row r="964" spans="1:7">
      <c r="A964" s="4" t="str">
        <f t="shared" si="46"/>
        <v>057</v>
      </c>
      <c r="B964" s="4" t="str">
        <f t="shared" si="47"/>
        <v>17</v>
      </c>
      <c r="C964" s="5" t="s">
        <v>1831</v>
      </c>
      <c r="E964" s="6" t="s">
        <v>1812</v>
      </c>
      <c r="F964" s="7" t="s">
        <v>1832</v>
      </c>
      <c r="G964" s="8" t="str">
        <f t="shared" si="45"/>
        <v>AIR FORC</v>
      </c>
    </row>
    <row r="965" spans="1:7">
      <c r="A965" s="4" t="str">
        <f t="shared" si="46"/>
        <v>057</v>
      </c>
      <c r="B965" s="4" t="str">
        <f t="shared" si="47"/>
        <v>18</v>
      </c>
      <c r="C965" s="5" t="s">
        <v>1833</v>
      </c>
      <c r="E965" s="6" t="s">
        <v>1812</v>
      </c>
      <c r="F965" s="7" t="s">
        <v>1834</v>
      </c>
      <c r="G965" s="8" t="str">
        <f t="shared" si="45"/>
        <v>MILITARY</v>
      </c>
    </row>
    <row r="966" spans="1:7">
      <c r="A966" s="4" t="str">
        <f t="shared" si="46"/>
        <v>057</v>
      </c>
      <c r="B966" s="4" t="str">
        <f t="shared" si="47"/>
        <v>19</v>
      </c>
      <c r="C966" s="5" t="s">
        <v>1835</v>
      </c>
      <c r="E966" s="6" t="s">
        <v>1812</v>
      </c>
      <c r="F966" s="7" t="s">
        <v>1836</v>
      </c>
      <c r="G966" s="8" t="str">
        <f t="shared" si="45"/>
        <v>STRATEGI</v>
      </c>
    </row>
    <row r="967" spans="1:7">
      <c r="A967" s="4" t="str">
        <f t="shared" si="46"/>
        <v>057</v>
      </c>
      <c r="B967" s="4" t="str">
        <f t="shared" si="47"/>
        <v>20</v>
      </c>
      <c r="C967" s="5" t="s">
        <v>1837</v>
      </c>
      <c r="E967" s="6" t="s">
        <v>1812</v>
      </c>
      <c r="F967" s="7" t="s">
        <v>1838</v>
      </c>
      <c r="G967" s="8" t="str">
        <f t="shared" si="45"/>
        <v>AIR FORC</v>
      </c>
    </row>
    <row r="968" spans="1:7">
      <c r="A968" s="4" t="str">
        <f t="shared" si="46"/>
        <v>057</v>
      </c>
      <c r="B968" s="4" t="str">
        <f t="shared" si="47"/>
        <v>21</v>
      </c>
      <c r="C968" s="5" t="s">
        <v>1839</v>
      </c>
      <c r="E968" s="6" t="s">
        <v>1812</v>
      </c>
      <c r="F968" s="7" t="s">
        <v>1840</v>
      </c>
      <c r="G968" s="8" t="str">
        <f t="shared" si="45"/>
        <v>TACTICAL</v>
      </c>
    </row>
    <row r="969" spans="1:7">
      <c r="A969" s="4" t="str">
        <f t="shared" si="46"/>
        <v>057</v>
      </c>
      <c r="B969" s="4" t="str">
        <f t="shared" si="47"/>
        <v>22</v>
      </c>
      <c r="C969" s="5" t="s">
        <v>1841</v>
      </c>
      <c r="E969" s="6" t="s">
        <v>1812</v>
      </c>
      <c r="F969" s="7" t="s">
        <v>1842</v>
      </c>
      <c r="G969" s="8" t="str">
        <f t="shared" si="45"/>
        <v>MANPOWER</v>
      </c>
    </row>
    <row r="970" spans="1:7">
      <c r="A970" s="4" t="str">
        <f t="shared" si="46"/>
        <v>057</v>
      </c>
      <c r="B970" s="4" t="str">
        <f t="shared" si="47"/>
        <v>23</v>
      </c>
      <c r="C970" s="5" t="s">
        <v>1843</v>
      </c>
      <c r="E970" s="6" t="s">
        <v>1812</v>
      </c>
      <c r="F970" s="7" t="s">
        <v>1844</v>
      </c>
      <c r="G970" s="8" t="str">
        <f t="shared" si="45"/>
        <v>APPELLAT</v>
      </c>
    </row>
    <row r="971" spans="1:7">
      <c r="A971" s="4" t="str">
        <f t="shared" si="46"/>
        <v>057</v>
      </c>
      <c r="B971" s="4" t="str">
        <f t="shared" si="47"/>
        <v>24</v>
      </c>
      <c r="C971" s="5" t="s">
        <v>1845</v>
      </c>
      <c r="E971" s="6" t="s">
        <v>1812</v>
      </c>
      <c r="F971" s="7" t="s">
        <v>1846</v>
      </c>
      <c r="G971" s="8" t="str">
        <f t="shared" si="45"/>
        <v>REGIONAL</v>
      </c>
    </row>
    <row r="972" spans="1:7">
      <c r="A972" s="4" t="str">
        <f t="shared" si="46"/>
        <v>057</v>
      </c>
      <c r="B972" s="4" t="str">
        <f t="shared" si="47"/>
        <v>25</v>
      </c>
      <c r="C972" s="5" t="s">
        <v>1847</v>
      </c>
      <c r="E972" s="6" t="s">
        <v>1812</v>
      </c>
      <c r="F972" s="7" t="s">
        <v>1848</v>
      </c>
      <c r="G972" s="8" t="str">
        <f t="shared" si="45"/>
        <v>AIR FORC</v>
      </c>
    </row>
    <row r="973" spans="1:7">
      <c r="A973" s="4" t="str">
        <f t="shared" si="46"/>
        <v>057</v>
      </c>
      <c r="B973" s="4" t="str">
        <f t="shared" si="47"/>
        <v>26</v>
      </c>
      <c r="C973" s="5" t="s">
        <v>1849</v>
      </c>
      <c r="E973" s="6" t="s">
        <v>1812</v>
      </c>
      <c r="F973" s="7" t="s">
        <v>1850</v>
      </c>
      <c r="G973" s="8" t="str">
        <f t="shared" si="45"/>
        <v>OFFICE O</v>
      </c>
    </row>
    <row r="974" spans="1:7">
      <c r="A974" s="4" t="str">
        <f t="shared" si="46"/>
        <v>057</v>
      </c>
      <c r="B974" s="4" t="str">
        <f t="shared" si="47"/>
        <v>27</v>
      </c>
      <c r="C974" s="5" t="s">
        <v>1851</v>
      </c>
      <c r="E974" s="6" t="s">
        <v>1812</v>
      </c>
      <c r="F974" s="7" t="s">
        <v>1852</v>
      </c>
      <c r="G974" s="8" t="str">
        <f t="shared" si="45"/>
        <v xml:space="preserve">ALASKAN </v>
      </c>
    </row>
    <row r="975" spans="1:7">
      <c r="A975" s="4" t="str">
        <f t="shared" si="46"/>
        <v>057</v>
      </c>
      <c r="B975" s="4" t="str">
        <f t="shared" si="47"/>
        <v>28</v>
      </c>
      <c r="C975" s="5" t="s">
        <v>1853</v>
      </c>
      <c r="E975" s="6" t="s">
        <v>1812</v>
      </c>
      <c r="F975" s="7" t="s">
        <v>1854</v>
      </c>
      <c r="G975" s="8" t="str">
        <f t="shared" si="45"/>
        <v xml:space="preserve">PACIFIC </v>
      </c>
    </row>
    <row r="976" spans="1:7">
      <c r="A976" s="4" t="str">
        <f t="shared" si="46"/>
        <v>057</v>
      </c>
      <c r="B976" s="4" t="str">
        <f t="shared" si="47"/>
        <v>29</v>
      </c>
      <c r="C976" s="5" t="s">
        <v>1855</v>
      </c>
      <c r="E976" s="6" t="s">
        <v>1812</v>
      </c>
      <c r="F976" s="7" t="s">
        <v>1856</v>
      </c>
      <c r="G976" s="8" t="str">
        <f t="shared" si="45"/>
        <v>U.S. AIR</v>
      </c>
    </row>
    <row r="977" spans="1:7">
      <c r="A977" s="4" t="str">
        <f t="shared" si="46"/>
        <v>057</v>
      </c>
      <c r="B977" s="4" t="str">
        <f t="shared" si="47"/>
        <v>30</v>
      </c>
      <c r="C977" s="5" t="s">
        <v>1857</v>
      </c>
      <c r="E977" s="6" t="s">
        <v>1812</v>
      </c>
      <c r="F977" s="7" t="s">
        <v>1858</v>
      </c>
      <c r="G977" s="8" t="str">
        <f t="shared" si="45"/>
        <v>U.S. AIR</v>
      </c>
    </row>
    <row r="978" spans="1:7">
      <c r="A978" s="4" t="str">
        <f t="shared" si="46"/>
        <v>057</v>
      </c>
      <c r="B978" s="4" t="str">
        <f t="shared" si="47"/>
        <v>31</v>
      </c>
      <c r="C978" s="5" t="s">
        <v>1859</v>
      </c>
      <c r="E978" s="6" t="s">
        <v>1812</v>
      </c>
      <c r="F978" s="7" t="s">
        <v>1860</v>
      </c>
      <c r="G978" s="8" t="str">
        <f t="shared" si="45"/>
        <v>STANDARD</v>
      </c>
    </row>
    <row r="979" spans="1:7">
      <c r="A979" s="4" t="str">
        <f t="shared" si="46"/>
        <v>057</v>
      </c>
      <c r="B979" s="4" t="str">
        <f t="shared" si="47"/>
        <v>32</v>
      </c>
      <c r="C979" s="5" t="s">
        <v>1861</v>
      </c>
      <c r="E979" s="6" t="s">
        <v>1812</v>
      </c>
      <c r="F979" s="7" t="s">
        <v>1862</v>
      </c>
      <c r="G979" s="8" t="str">
        <f t="shared" si="45"/>
        <v>AIR NATI</v>
      </c>
    </row>
    <row r="980" spans="1:7">
      <c r="A980" s="4" t="str">
        <f t="shared" si="46"/>
        <v>057</v>
      </c>
      <c r="B980" s="4" t="str">
        <f t="shared" si="47"/>
        <v>33</v>
      </c>
      <c r="C980" s="5" t="s">
        <v>1863</v>
      </c>
      <c r="E980" s="6" t="s">
        <v>1812</v>
      </c>
      <c r="F980" s="7" t="s">
        <v>1864</v>
      </c>
      <c r="G980" s="8" t="str">
        <f t="shared" si="45"/>
        <v>USAF,ROT</v>
      </c>
    </row>
    <row r="981" spans="1:7">
      <c r="A981" s="4" t="str">
        <f t="shared" si="46"/>
        <v>057</v>
      </c>
      <c r="B981" s="4" t="str">
        <f t="shared" si="47"/>
        <v>34</v>
      </c>
      <c r="C981" s="5" t="s">
        <v>1865</v>
      </c>
      <c r="E981" s="6" t="s">
        <v>1812</v>
      </c>
      <c r="F981" s="7" t="s">
        <v>1866</v>
      </c>
      <c r="G981" s="8" t="str">
        <f t="shared" si="45"/>
        <v xml:space="preserve">USAF,AF </v>
      </c>
    </row>
    <row r="982" spans="1:7">
      <c r="A982" s="4" t="str">
        <f t="shared" si="46"/>
        <v>057</v>
      </c>
      <c r="B982" s="4" t="str">
        <f t="shared" si="47"/>
        <v>35</v>
      </c>
      <c r="C982" s="5" t="s">
        <v>1867</v>
      </c>
      <c r="E982" s="6" t="s">
        <v>1812</v>
      </c>
      <c r="F982" s="7" t="s">
        <v>1868</v>
      </c>
      <c r="G982" s="8" t="str">
        <f t="shared" si="45"/>
        <v xml:space="preserve">DEPT OF </v>
      </c>
    </row>
    <row r="983" spans="1:7">
      <c r="A983" s="4" t="str">
        <f t="shared" si="46"/>
        <v>057</v>
      </c>
      <c r="B983" s="4" t="str">
        <f t="shared" si="47"/>
        <v>40</v>
      </c>
      <c r="C983" s="5" t="s">
        <v>1869</v>
      </c>
      <c r="E983" s="6" t="s">
        <v>1812</v>
      </c>
      <c r="F983" s="7" t="s">
        <v>1870</v>
      </c>
      <c r="G983" s="8" t="str">
        <f t="shared" si="45"/>
        <v>INFORMAT</v>
      </c>
    </row>
    <row r="984" spans="1:7">
      <c r="A984" s="4" t="str">
        <f t="shared" si="46"/>
        <v>057</v>
      </c>
      <c r="B984" s="4" t="str">
        <f t="shared" si="47"/>
        <v>61</v>
      </c>
      <c r="C984" s="5" t="s">
        <v>1871</v>
      </c>
      <c r="E984" s="6" t="s">
        <v>1812</v>
      </c>
      <c r="F984" s="7" t="s">
        <v>1872</v>
      </c>
      <c r="G984" s="8" t="str">
        <f t="shared" si="45"/>
        <v>AIR COMB</v>
      </c>
    </row>
    <row r="985" spans="1:7">
      <c r="A985" s="4" t="str">
        <f t="shared" si="46"/>
        <v>057</v>
      </c>
      <c r="B985" s="4" t="str">
        <f t="shared" si="47"/>
        <v>62</v>
      </c>
      <c r="C985" s="5" t="s">
        <v>1873</v>
      </c>
      <c r="E985" s="6" t="s">
        <v>1812</v>
      </c>
      <c r="F985" s="7" t="s">
        <v>1874</v>
      </c>
      <c r="G985" s="8" t="str">
        <f t="shared" si="45"/>
        <v>AIR MOBI</v>
      </c>
    </row>
    <row r="986" spans="1:7">
      <c r="A986" s="4" t="str">
        <f t="shared" si="46"/>
        <v>057</v>
      </c>
      <c r="B986" s="4" t="str">
        <f t="shared" si="47"/>
        <v>63</v>
      </c>
      <c r="C986" s="5" t="s">
        <v>1875</v>
      </c>
      <c r="E986" s="6" t="s">
        <v>1812</v>
      </c>
      <c r="F986" s="7" t="s">
        <v>1876</v>
      </c>
      <c r="G986" s="8" t="str">
        <f t="shared" si="45"/>
        <v>AIR EDUC</v>
      </c>
    </row>
    <row r="987" spans="1:7">
      <c r="A987" s="4" t="str">
        <f t="shared" si="46"/>
        <v>057</v>
      </c>
      <c r="B987" s="4" t="str">
        <f t="shared" si="47"/>
        <v>64</v>
      </c>
      <c r="C987" s="5" t="s">
        <v>1877</v>
      </c>
      <c r="E987" s="6" t="s">
        <v>1812</v>
      </c>
      <c r="F987" s="7" t="s">
        <v>1878</v>
      </c>
      <c r="G987" s="8" t="str">
        <f t="shared" si="45"/>
        <v>AF RECRU</v>
      </c>
    </row>
    <row r="988" spans="1:7">
      <c r="A988" s="4" t="str">
        <f t="shared" si="46"/>
        <v>057</v>
      </c>
      <c r="B988" s="4" t="str">
        <f t="shared" si="47"/>
        <v>65</v>
      </c>
      <c r="C988" s="5" t="s">
        <v>1879</v>
      </c>
      <c r="E988" s="6" t="s">
        <v>1812</v>
      </c>
      <c r="F988" s="7" t="s">
        <v>1880</v>
      </c>
      <c r="G988" s="8" t="str">
        <f t="shared" si="45"/>
        <v>AIR FORC</v>
      </c>
    </row>
    <row r="989" spans="1:7">
      <c r="A989" s="4" t="str">
        <f t="shared" si="46"/>
        <v>057</v>
      </c>
      <c r="B989" s="4" t="str">
        <f t="shared" si="47"/>
        <v>66</v>
      </c>
      <c r="C989" s="5" t="s">
        <v>1881</v>
      </c>
      <c r="E989" s="6" t="s">
        <v>1812</v>
      </c>
      <c r="F989" s="7" t="s">
        <v>1882</v>
      </c>
      <c r="G989" s="8" t="str">
        <f t="shared" si="45"/>
        <v>AIR FORC</v>
      </c>
    </row>
    <row r="990" spans="1:7">
      <c r="A990" s="4" t="str">
        <f t="shared" si="46"/>
        <v>057</v>
      </c>
      <c r="B990" s="4" t="str">
        <f t="shared" si="47"/>
        <v>67</v>
      </c>
      <c r="C990" s="5" t="s">
        <v>1883</v>
      </c>
      <c r="E990" s="6" t="s">
        <v>1812</v>
      </c>
      <c r="F990" s="7" t="s">
        <v>1884</v>
      </c>
      <c r="G990" s="8" t="str">
        <f t="shared" si="45"/>
        <v>AIR NATI</v>
      </c>
    </row>
    <row r="991" spans="1:7">
      <c r="A991" s="4" t="str">
        <f t="shared" si="46"/>
        <v>057</v>
      </c>
      <c r="B991" s="4" t="str">
        <f t="shared" si="47"/>
        <v>68</v>
      </c>
      <c r="C991" s="5" t="s">
        <v>1885</v>
      </c>
      <c r="E991" s="6" t="s">
        <v>1812</v>
      </c>
      <c r="F991" s="7" t="s">
        <v>1886</v>
      </c>
      <c r="G991" s="8" t="str">
        <f t="shared" si="45"/>
        <v>US AIR F</v>
      </c>
    </row>
    <row r="992" spans="1:7">
      <c r="A992" s="4" t="str">
        <f t="shared" si="46"/>
        <v>057</v>
      </c>
      <c r="B992" s="4" t="str">
        <f t="shared" si="47"/>
        <v>69</v>
      </c>
      <c r="C992" s="5" t="s">
        <v>1887</v>
      </c>
      <c r="E992" s="6" t="s">
        <v>1812</v>
      </c>
      <c r="F992" s="7" t="s">
        <v>1888</v>
      </c>
      <c r="G992" s="8" t="str">
        <f t="shared" si="45"/>
        <v>AIR FORC</v>
      </c>
    </row>
    <row r="993" spans="1:7">
      <c r="A993" s="4" t="str">
        <f t="shared" si="46"/>
        <v>057</v>
      </c>
      <c r="B993" s="4" t="str">
        <f t="shared" si="47"/>
        <v>70</v>
      </c>
      <c r="C993" s="5" t="s">
        <v>1889</v>
      </c>
      <c r="E993" s="6" t="s">
        <v>1812</v>
      </c>
      <c r="F993" s="7" t="s">
        <v>1890</v>
      </c>
      <c r="G993" s="8" t="str">
        <f t="shared" si="45"/>
        <v xml:space="preserve">BOLLING </v>
      </c>
    </row>
    <row r="994" spans="1:7">
      <c r="A994" s="4" t="str">
        <f t="shared" si="46"/>
        <v>057</v>
      </c>
      <c r="B994" s="4" t="str">
        <f t="shared" si="47"/>
        <v>71</v>
      </c>
      <c r="C994" s="5" t="s">
        <v>1891</v>
      </c>
      <c r="E994" s="6" t="s">
        <v>1812</v>
      </c>
      <c r="F994" s="7" t="s">
        <v>1892</v>
      </c>
      <c r="G994" s="8" t="str">
        <f t="shared" si="45"/>
        <v>AIR FORC</v>
      </c>
    </row>
    <row r="995" spans="1:7">
      <c r="A995" s="4" t="str">
        <f t="shared" si="46"/>
        <v>057</v>
      </c>
      <c r="B995" s="4" t="str">
        <f t="shared" si="47"/>
        <v>72</v>
      </c>
      <c r="C995" s="5" t="s">
        <v>1893</v>
      </c>
      <c r="E995" s="6" t="s">
        <v>1812</v>
      </c>
      <c r="F995" s="7" t="s">
        <v>1854</v>
      </c>
      <c r="G995" s="8" t="str">
        <f t="shared" si="45"/>
        <v xml:space="preserve">PACIFIC </v>
      </c>
    </row>
    <row r="996" spans="1:7">
      <c r="A996" s="4" t="str">
        <f t="shared" si="46"/>
        <v>057</v>
      </c>
      <c r="B996" s="4" t="str">
        <f t="shared" si="47"/>
        <v>73</v>
      </c>
      <c r="C996" s="5" t="s">
        <v>1894</v>
      </c>
      <c r="E996" s="6" t="s">
        <v>1812</v>
      </c>
      <c r="F996" s="7" t="s">
        <v>1895</v>
      </c>
      <c r="G996" s="8" t="str">
        <f t="shared" si="45"/>
        <v>US AIR F</v>
      </c>
    </row>
    <row r="997" spans="1:7">
      <c r="A997" s="4" t="str">
        <f t="shared" si="46"/>
        <v>057</v>
      </c>
      <c r="B997" s="4" t="str">
        <f t="shared" si="47"/>
        <v>74</v>
      </c>
      <c r="C997" s="5" t="s">
        <v>1896</v>
      </c>
      <c r="E997" s="6" t="s">
        <v>1812</v>
      </c>
      <c r="F997" s="7" t="s">
        <v>1897</v>
      </c>
      <c r="G997" s="8" t="str">
        <f t="shared" si="45"/>
        <v>JOINT CO</v>
      </c>
    </row>
    <row r="998" spans="1:7">
      <c r="A998" s="4" t="str">
        <f t="shared" si="46"/>
        <v>057</v>
      </c>
      <c r="B998" s="4" t="str">
        <f t="shared" si="47"/>
        <v>75</v>
      </c>
      <c r="C998" s="5" t="s">
        <v>1898</v>
      </c>
      <c r="E998" s="6" t="s">
        <v>1812</v>
      </c>
      <c r="F998" s="7" t="s">
        <v>1899</v>
      </c>
      <c r="G998" s="8" t="str">
        <f t="shared" si="45"/>
        <v>AIR FORC</v>
      </c>
    </row>
    <row r="999" spans="1:7">
      <c r="A999" s="4" t="str">
        <f t="shared" si="46"/>
        <v>057</v>
      </c>
      <c r="B999" s="4" t="str">
        <f t="shared" si="47"/>
        <v>97</v>
      </c>
      <c r="C999" s="5" t="s">
        <v>1900</v>
      </c>
      <c r="E999" s="6" t="s">
        <v>1812</v>
      </c>
      <c r="F999" s="7" t="s">
        <v>102</v>
      </c>
      <c r="G999" s="8" t="str">
        <f t="shared" si="45"/>
        <v>GSA ADVA</v>
      </c>
    </row>
    <row r="1000" spans="1:7">
      <c r="A1000" s="4" t="str">
        <f t="shared" si="46"/>
        <v>057</v>
      </c>
      <c r="B1000" s="4" t="str">
        <f t="shared" si="47"/>
        <v>99</v>
      </c>
      <c r="C1000" s="5" t="s">
        <v>1901</v>
      </c>
      <c r="E1000" s="6" t="s">
        <v>1812</v>
      </c>
      <c r="F1000" s="7" t="s">
        <v>132</v>
      </c>
      <c r="G1000" s="8" t="str">
        <f t="shared" si="45"/>
        <v>SUBCONTR</v>
      </c>
    </row>
    <row r="1001" spans="1:7">
      <c r="A1001" s="4" t="str">
        <f t="shared" si="46"/>
        <v>058</v>
      </c>
      <c r="B1001" s="4" t="str">
        <f t="shared" si="47"/>
        <v>00</v>
      </c>
      <c r="C1001" s="13" t="s">
        <v>1902</v>
      </c>
      <c r="D1001" s="18" t="s">
        <v>3166</v>
      </c>
      <c r="E1001" s="14" t="s">
        <v>1903</v>
      </c>
      <c r="F1001" s="15" t="s">
        <v>1904</v>
      </c>
      <c r="G1001" s="8" t="str">
        <f t="shared" si="45"/>
        <v>INACTIVE</v>
      </c>
    </row>
    <row r="1002" spans="1:7">
      <c r="A1002" s="4" t="str">
        <f t="shared" si="46"/>
        <v>058</v>
      </c>
      <c r="B1002" s="4" t="str">
        <f t="shared" si="47"/>
        <v>01</v>
      </c>
      <c r="C1002" s="13" t="s">
        <v>1905</v>
      </c>
      <c r="D1002" s="18" t="s">
        <v>3166</v>
      </c>
      <c r="E1002" s="14" t="s">
        <v>1903</v>
      </c>
      <c r="F1002" s="15" t="s">
        <v>1906</v>
      </c>
      <c r="G1002" s="8" t="str">
        <f t="shared" si="45"/>
        <v>INACTIVE</v>
      </c>
    </row>
    <row r="1003" spans="1:7">
      <c r="A1003" s="4" t="str">
        <f t="shared" si="46"/>
        <v>058</v>
      </c>
      <c r="B1003" s="4" t="str">
        <f t="shared" si="47"/>
        <v>02</v>
      </c>
      <c r="C1003" s="13" t="s">
        <v>1907</v>
      </c>
      <c r="D1003" s="18" t="s">
        <v>3166</v>
      </c>
      <c r="E1003" s="14" t="s">
        <v>1903</v>
      </c>
      <c r="F1003" s="15" t="s">
        <v>1908</v>
      </c>
      <c r="G1003" s="8" t="str">
        <f t="shared" si="45"/>
        <v>INACTIVE</v>
      </c>
    </row>
    <row r="1004" spans="1:7">
      <c r="A1004" s="4" t="str">
        <f t="shared" si="46"/>
        <v>058</v>
      </c>
      <c r="B1004" s="4" t="str">
        <f t="shared" si="47"/>
        <v>40</v>
      </c>
      <c r="C1004" s="13" t="s">
        <v>1909</v>
      </c>
      <c r="D1004" s="18" t="s">
        <v>3166</v>
      </c>
      <c r="E1004" s="14" t="s">
        <v>1903</v>
      </c>
      <c r="F1004" s="15" t="s">
        <v>1910</v>
      </c>
      <c r="G1004" s="8" t="str">
        <f t="shared" si="45"/>
        <v>INACTIVE</v>
      </c>
    </row>
    <row r="1005" spans="1:7">
      <c r="A1005" s="4" t="str">
        <f t="shared" si="46"/>
        <v>058</v>
      </c>
      <c r="B1005" s="4" t="str">
        <f t="shared" si="47"/>
        <v>97</v>
      </c>
      <c r="C1005" s="13" t="s">
        <v>1911</v>
      </c>
      <c r="D1005" s="18" t="s">
        <v>3166</v>
      </c>
      <c r="E1005" s="14" t="s">
        <v>1903</v>
      </c>
      <c r="F1005" s="15" t="s">
        <v>155</v>
      </c>
      <c r="G1005" s="8" t="str">
        <f t="shared" si="45"/>
        <v>INACTIVE</v>
      </c>
    </row>
    <row r="1006" spans="1:7">
      <c r="A1006" s="4" t="str">
        <f t="shared" si="46"/>
        <v>058</v>
      </c>
      <c r="B1006" s="4" t="str">
        <f t="shared" si="47"/>
        <v>99</v>
      </c>
      <c r="C1006" s="13" t="s">
        <v>1912</v>
      </c>
      <c r="D1006" s="18" t="s">
        <v>3166</v>
      </c>
      <c r="E1006" s="14" t="s">
        <v>1903</v>
      </c>
      <c r="F1006" s="15" t="s">
        <v>1913</v>
      </c>
      <c r="G1006" s="8" t="str">
        <f t="shared" si="45"/>
        <v>INACTIVE</v>
      </c>
    </row>
    <row r="1007" spans="1:7">
      <c r="A1007" s="4" t="str">
        <f t="shared" si="46"/>
        <v>060</v>
      </c>
      <c r="B1007" s="4" t="str">
        <f t="shared" si="47"/>
        <v>00</v>
      </c>
      <c r="C1007" s="5" t="s">
        <v>1914</v>
      </c>
      <c r="E1007" s="6" t="s">
        <v>1915</v>
      </c>
      <c r="F1007" s="7" t="s">
        <v>1915</v>
      </c>
      <c r="G1007" s="8" t="str">
        <f t="shared" si="45"/>
        <v>RAILROAD</v>
      </c>
    </row>
    <row r="1008" spans="1:7">
      <c r="A1008" s="4" t="str">
        <f t="shared" si="46"/>
        <v>060</v>
      </c>
      <c r="B1008" s="4" t="str">
        <f t="shared" si="47"/>
        <v>01</v>
      </c>
      <c r="C1008" s="5" t="s">
        <v>1916</v>
      </c>
      <c r="E1008" s="6" t="s">
        <v>1915</v>
      </c>
      <c r="F1008" s="7" t="s">
        <v>1917</v>
      </c>
      <c r="G1008" s="8" t="str">
        <f t="shared" si="45"/>
        <v>WASHINGT</v>
      </c>
    </row>
    <row r="1009" spans="1:7">
      <c r="A1009" s="4" t="str">
        <f t="shared" si="46"/>
        <v>060</v>
      </c>
      <c r="B1009" s="4" t="str">
        <f t="shared" si="47"/>
        <v>02</v>
      </c>
      <c r="C1009" s="5" t="s">
        <v>1918</v>
      </c>
      <c r="E1009" s="6" t="s">
        <v>1915</v>
      </c>
      <c r="F1009" s="7" t="s">
        <v>1919</v>
      </c>
      <c r="G1009" s="8" t="str">
        <f t="shared" si="45"/>
        <v>DISTRICT</v>
      </c>
    </row>
    <row r="1010" spans="1:7">
      <c r="A1010" s="4" t="str">
        <f t="shared" si="46"/>
        <v>060</v>
      </c>
      <c r="B1010" s="4" t="str">
        <f t="shared" si="47"/>
        <v>97</v>
      </c>
      <c r="C1010" s="5" t="s">
        <v>1920</v>
      </c>
      <c r="E1010" s="6" t="s">
        <v>1915</v>
      </c>
      <c r="F1010" s="7" t="s">
        <v>102</v>
      </c>
      <c r="G1010" s="8" t="str">
        <f t="shared" si="45"/>
        <v>GSA ADVA</v>
      </c>
    </row>
    <row r="1011" spans="1:7">
      <c r="A1011" s="4" t="str">
        <f t="shared" si="46"/>
        <v>061</v>
      </c>
      <c r="B1011" s="4" t="str">
        <f t="shared" si="47"/>
        <v>00</v>
      </c>
      <c r="C1011" s="5" t="s">
        <v>1921</v>
      </c>
      <c r="E1011" s="6" t="s">
        <v>1922</v>
      </c>
      <c r="F1011" s="7" t="s">
        <v>1922</v>
      </c>
      <c r="G1011" s="8" t="str">
        <f t="shared" si="45"/>
        <v>CONSUMER</v>
      </c>
    </row>
    <row r="1012" spans="1:7">
      <c r="A1012" s="4" t="str">
        <f t="shared" si="46"/>
        <v>061</v>
      </c>
      <c r="B1012" s="4" t="str">
        <f t="shared" si="47"/>
        <v>97</v>
      </c>
      <c r="C1012" s="5" t="s">
        <v>1923</v>
      </c>
      <c r="E1012" s="6" t="s">
        <v>1922</v>
      </c>
      <c r="F1012" s="7" t="s">
        <v>102</v>
      </c>
      <c r="G1012" s="8" t="str">
        <f t="shared" si="45"/>
        <v>GSA ADVA</v>
      </c>
    </row>
    <row r="1013" spans="1:7">
      <c r="A1013" s="4" t="str">
        <f t="shared" si="46"/>
        <v>062</v>
      </c>
      <c r="B1013" s="4" t="str">
        <f t="shared" si="47"/>
        <v>00</v>
      </c>
      <c r="C1013" s="5" t="s">
        <v>1924</v>
      </c>
      <c r="E1013" s="6" t="s">
        <v>1925</v>
      </c>
      <c r="F1013" s="7" t="s">
        <v>1925</v>
      </c>
      <c r="G1013" s="8" t="str">
        <f t="shared" si="45"/>
        <v>U.S. OFF</v>
      </c>
    </row>
    <row r="1014" spans="1:7">
      <c r="A1014" s="4" t="str">
        <f t="shared" si="46"/>
        <v>062</v>
      </c>
      <c r="B1014" s="4" t="str">
        <f t="shared" si="47"/>
        <v>97</v>
      </c>
      <c r="C1014" s="5" t="s">
        <v>1926</v>
      </c>
      <c r="E1014" s="6" t="s">
        <v>1925</v>
      </c>
      <c r="F1014" s="7" t="s">
        <v>102</v>
      </c>
      <c r="G1014" s="8" t="str">
        <f t="shared" si="45"/>
        <v>GSA ADVA</v>
      </c>
    </row>
    <row r="1015" spans="1:7">
      <c r="A1015" s="4" t="str">
        <f t="shared" si="46"/>
        <v>065</v>
      </c>
      <c r="B1015" s="4" t="str">
        <f t="shared" si="47"/>
        <v>00</v>
      </c>
      <c r="C1015" s="5" t="s">
        <v>1927</v>
      </c>
      <c r="E1015" s="6" t="s">
        <v>1928</v>
      </c>
      <c r="F1015" s="7" t="s">
        <v>1928</v>
      </c>
      <c r="G1015" s="8" t="str">
        <f t="shared" si="45"/>
        <v xml:space="preserve">FEDERAL </v>
      </c>
    </row>
    <row r="1016" spans="1:7">
      <c r="A1016" s="4" t="str">
        <f t="shared" si="46"/>
        <v>065</v>
      </c>
      <c r="B1016" s="4" t="str">
        <f t="shared" si="47"/>
        <v>97</v>
      </c>
      <c r="C1016" s="5" t="s">
        <v>1929</v>
      </c>
      <c r="E1016" s="6" t="s">
        <v>1928</v>
      </c>
      <c r="F1016" s="7" t="s">
        <v>102</v>
      </c>
      <c r="G1016" s="8" t="str">
        <f t="shared" si="45"/>
        <v>GSA ADVA</v>
      </c>
    </row>
    <row r="1017" spans="1:7">
      <c r="A1017" s="4" t="str">
        <f t="shared" si="46"/>
        <v>067</v>
      </c>
      <c r="B1017" s="4" t="str">
        <f t="shared" si="47"/>
        <v>00</v>
      </c>
      <c r="C1017" s="5" t="s">
        <v>1930</v>
      </c>
      <c r="E1017" s="6" t="s">
        <v>1931</v>
      </c>
      <c r="F1017" s="7" t="s">
        <v>1931</v>
      </c>
      <c r="G1017" s="8" t="str">
        <f t="shared" si="45"/>
        <v>UNITED S</v>
      </c>
    </row>
    <row r="1018" spans="1:7">
      <c r="A1018" s="4" t="str">
        <f t="shared" si="46"/>
        <v>067</v>
      </c>
      <c r="B1018" s="4" t="str">
        <f t="shared" si="47"/>
        <v>24</v>
      </c>
      <c r="C1018" s="5" t="s">
        <v>1932</v>
      </c>
      <c r="E1018" s="6" t="s">
        <v>1931</v>
      </c>
      <c r="F1018" s="7" t="s">
        <v>1933</v>
      </c>
      <c r="G1018" s="8" t="str">
        <f t="shared" si="45"/>
        <v xml:space="preserve">DOD,DEF </v>
      </c>
    </row>
    <row r="1019" spans="1:7">
      <c r="A1019" s="4" t="str">
        <f t="shared" si="46"/>
        <v>067</v>
      </c>
      <c r="B1019" s="4" t="str">
        <f t="shared" si="47"/>
        <v>97</v>
      </c>
      <c r="C1019" s="5" t="s">
        <v>1934</v>
      </c>
      <c r="E1019" s="6" t="s">
        <v>1931</v>
      </c>
      <c r="F1019" s="7" t="s">
        <v>102</v>
      </c>
      <c r="G1019" s="8" t="str">
        <f t="shared" si="45"/>
        <v>GSA ADVA</v>
      </c>
    </row>
    <row r="1020" spans="1:7">
      <c r="A1020" s="4" t="str">
        <f t="shared" si="46"/>
        <v>068</v>
      </c>
      <c r="B1020" s="4" t="str">
        <f t="shared" si="47"/>
        <v>00</v>
      </c>
      <c r="C1020" s="5" t="s">
        <v>1935</v>
      </c>
      <c r="E1020" s="6" t="s">
        <v>1936</v>
      </c>
      <c r="F1020" s="7" t="s">
        <v>1936</v>
      </c>
      <c r="G1020" s="8" t="str">
        <f t="shared" si="45"/>
        <v>ENVIRONM</v>
      </c>
    </row>
    <row r="1021" spans="1:7">
      <c r="A1021" s="4" t="str">
        <f t="shared" si="46"/>
        <v>068</v>
      </c>
      <c r="B1021" s="4" t="str">
        <f t="shared" si="47"/>
        <v>01</v>
      </c>
      <c r="C1021" s="5" t="s">
        <v>1937</v>
      </c>
      <c r="E1021" s="6" t="s">
        <v>1936</v>
      </c>
      <c r="F1021" s="7" t="s">
        <v>1938</v>
      </c>
      <c r="G1021" s="8" t="str">
        <f t="shared" si="45"/>
        <v>OFFICE O</v>
      </c>
    </row>
    <row r="1022" spans="1:7">
      <c r="A1022" s="4" t="str">
        <f t="shared" si="46"/>
        <v>068</v>
      </c>
      <c r="B1022" s="4" t="str">
        <f t="shared" si="47"/>
        <v>02</v>
      </c>
      <c r="C1022" s="5" t="s">
        <v>1939</v>
      </c>
      <c r="E1022" s="6" t="s">
        <v>1936</v>
      </c>
      <c r="F1022" s="7" t="s">
        <v>1940</v>
      </c>
      <c r="G1022" s="8" t="str">
        <f t="shared" si="45"/>
        <v>OFFICE O</v>
      </c>
    </row>
    <row r="1023" spans="1:7">
      <c r="A1023" s="4" t="str">
        <f t="shared" si="46"/>
        <v>068</v>
      </c>
      <c r="B1023" s="4" t="str">
        <f t="shared" si="47"/>
        <v>03</v>
      </c>
      <c r="C1023" s="5" t="s">
        <v>1941</v>
      </c>
      <c r="E1023" s="6" t="s">
        <v>1936</v>
      </c>
      <c r="F1023" s="7" t="s">
        <v>1942</v>
      </c>
      <c r="G1023" s="8" t="str">
        <f t="shared" si="45"/>
        <v>OFFICE O</v>
      </c>
    </row>
    <row r="1024" spans="1:7">
      <c r="A1024" s="4" t="str">
        <f t="shared" si="46"/>
        <v>068</v>
      </c>
      <c r="B1024" s="4" t="str">
        <f t="shared" si="47"/>
        <v>04</v>
      </c>
      <c r="C1024" s="5" t="s">
        <v>1943</v>
      </c>
      <c r="E1024" s="6" t="s">
        <v>1936</v>
      </c>
      <c r="F1024" s="7" t="s">
        <v>1944</v>
      </c>
      <c r="G1024" s="8" t="str">
        <f t="shared" si="45"/>
        <v>REGIONAL</v>
      </c>
    </row>
    <row r="1025" spans="1:7">
      <c r="A1025" s="4" t="str">
        <f t="shared" si="46"/>
        <v>068</v>
      </c>
      <c r="B1025" s="4" t="str">
        <f t="shared" si="47"/>
        <v>05</v>
      </c>
      <c r="C1025" s="5" t="s">
        <v>1945</v>
      </c>
      <c r="E1025" s="6" t="s">
        <v>1936</v>
      </c>
      <c r="F1025" s="7" t="s">
        <v>1946</v>
      </c>
      <c r="G1025" s="8" t="str">
        <f t="shared" si="45"/>
        <v>SOLID WA</v>
      </c>
    </row>
    <row r="1026" spans="1:7">
      <c r="A1026" s="4" t="str">
        <f t="shared" si="46"/>
        <v>068</v>
      </c>
      <c r="B1026" s="4" t="str">
        <f t="shared" si="47"/>
        <v>06</v>
      </c>
      <c r="C1026" s="5" t="s">
        <v>1947</v>
      </c>
      <c r="E1026" s="6" t="s">
        <v>1936</v>
      </c>
      <c r="F1026" s="7" t="s">
        <v>1948</v>
      </c>
      <c r="G1026" s="8" t="str">
        <f t="shared" ref="G1026:G1089" si="48">LEFT(F1026,8)</f>
        <v>RADIATIO</v>
      </c>
    </row>
    <row r="1027" spans="1:7">
      <c r="A1027" s="4" t="str">
        <f t="shared" ref="A1027:A1090" si="49">LEFT(C1027,3)</f>
        <v>068</v>
      </c>
      <c r="B1027" s="4" t="str">
        <f t="shared" ref="B1027:B1090" si="50">RIGHT(C1027,2)</f>
        <v>07</v>
      </c>
      <c r="C1027" s="5" t="s">
        <v>1949</v>
      </c>
      <c r="E1027" s="6" t="s">
        <v>1936</v>
      </c>
      <c r="F1027" s="7" t="s">
        <v>1504</v>
      </c>
      <c r="G1027" s="8" t="str">
        <f t="shared" si="48"/>
        <v>OFFICE O</v>
      </c>
    </row>
    <row r="1028" spans="1:7">
      <c r="A1028" s="4" t="str">
        <f t="shared" si="49"/>
        <v>068</v>
      </c>
      <c r="B1028" s="4" t="str">
        <f t="shared" si="50"/>
        <v>97</v>
      </c>
      <c r="C1028" s="5" t="s">
        <v>1950</v>
      </c>
      <c r="E1028" s="6" t="s">
        <v>1936</v>
      </c>
      <c r="F1028" s="7" t="s">
        <v>102</v>
      </c>
      <c r="G1028" s="8" t="str">
        <f t="shared" si="48"/>
        <v>GSA ADVA</v>
      </c>
    </row>
    <row r="1029" spans="1:7">
      <c r="A1029" s="4" t="str">
        <f t="shared" si="49"/>
        <v>068</v>
      </c>
      <c r="B1029" s="4" t="str">
        <f t="shared" si="50"/>
        <v>99</v>
      </c>
      <c r="C1029" s="5" t="s">
        <v>1951</v>
      </c>
      <c r="E1029" s="6" t="s">
        <v>1936</v>
      </c>
      <c r="F1029" s="7" t="s">
        <v>132</v>
      </c>
      <c r="G1029" s="8" t="str">
        <f t="shared" si="48"/>
        <v>SUBCONTR</v>
      </c>
    </row>
    <row r="1030" spans="1:7">
      <c r="A1030" s="4" t="str">
        <f t="shared" si="49"/>
        <v>069</v>
      </c>
      <c r="B1030" s="4" t="str">
        <f t="shared" si="50"/>
        <v>00</v>
      </c>
      <c r="C1030" s="5" t="s">
        <v>1952</v>
      </c>
      <c r="E1030" s="6" t="s">
        <v>1953</v>
      </c>
      <c r="F1030" s="7" t="s">
        <v>1953</v>
      </c>
      <c r="G1030" s="8" t="str">
        <f t="shared" si="48"/>
        <v>DEPARTME</v>
      </c>
    </row>
    <row r="1031" spans="1:7">
      <c r="A1031" s="4" t="str">
        <f t="shared" si="49"/>
        <v>069</v>
      </c>
      <c r="B1031" s="4" t="str">
        <f t="shared" si="50"/>
        <v>01</v>
      </c>
      <c r="C1031" s="5" t="s">
        <v>1954</v>
      </c>
      <c r="E1031" s="6" t="s">
        <v>1953</v>
      </c>
      <c r="F1031" s="7" t="s">
        <v>442</v>
      </c>
      <c r="G1031" s="8" t="str">
        <f t="shared" si="48"/>
        <v>OFFICE O</v>
      </c>
    </row>
    <row r="1032" spans="1:7">
      <c r="A1032" s="4" t="str">
        <f t="shared" si="49"/>
        <v>069</v>
      </c>
      <c r="B1032" s="4" t="str">
        <f t="shared" si="50"/>
        <v>02</v>
      </c>
      <c r="C1032" s="5" t="s">
        <v>1955</v>
      </c>
      <c r="E1032" s="6" t="s">
        <v>1953</v>
      </c>
      <c r="F1032" s="7" t="s">
        <v>1956</v>
      </c>
      <c r="G1032" s="8" t="str">
        <f t="shared" si="48"/>
        <v>PHMSA-PI</v>
      </c>
    </row>
    <row r="1033" spans="1:7">
      <c r="A1033" s="4" t="str">
        <f t="shared" si="49"/>
        <v>069</v>
      </c>
      <c r="B1033" s="4" t="str">
        <f t="shared" si="50"/>
        <v>03</v>
      </c>
      <c r="C1033" s="5" t="s">
        <v>1957</v>
      </c>
      <c r="E1033" s="6" t="s">
        <v>1953</v>
      </c>
      <c r="F1033" s="7" t="s">
        <v>1958</v>
      </c>
      <c r="G1033" s="8" t="str">
        <f t="shared" si="48"/>
        <v>COAST GU</v>
      </c>
    </row>
    <row r="1034" spans="1:7">
      <c r="A1034" s="4" t="str">
        <f t="shared" si="49"/>
        <v>069</v>
      </c>
      <c r="B1034" s="4" t="str">
        <f t="shared" si="50"/>
        <v>04</v>
      </c>
      <c r="C1034" s="5" t="s">
        <v>1959</v>
      </c>
      <c r="E1034" s="6" t="s">
        <v>1953</v>
      </c>
      <c r="F1034" s="7" t="s">
        <v>654</v>
      </c>
      <c r="G1034" s="8" t="str">
        <f t="shared" si="48"/>
        <v>OFFICE O</v>
      </c>
    </row>
    <row r="1035" spans="1:7">
      <c r="A1035" s="4" t="str">
        <f t="shared" si="49"/>
        <v>069</v>
      </c>
      <c r="B1035" s="4" t="str">
        <f t="shared" si="50"/>
        <v>05</v>
      </c>
      <c r="C1035" s="5" t="s">
        <v>1960</v>
      </c>
      <c r="E1035" s="6" t="s">
        <v>1953</v>
      </c>
      <c r="F1035" s="7" t="s">
        <v>1961</v>
      </c>
      <c r="G1035" s="8" t="str">
        <f t="shared" si="48"/>
        <v xml:space="preserve">FEDERAL </v>
      </c>
    </row>
    <row r="1036" spans="1:7">
      <c r="A1036" s="4" t="str">
        <f t="shared" si="49"/>
        <v>069</v>
      </c>
      <c r="B1036" s="4" t="str">
        <f t="shared" si="50"/>
        <v>06</v>
      </c>
      <c r="C1036" s="5" t="s">
        <v>1962</v>
      </c>
      <c r="E1036" s="6" t="s">
        <v>1953</v>
      </c>
      <c r="F1036" s="7" t="s">
        <v>1963</v>
      </c>
      <c r="G1036" s="8" t="str">
        <f t="shared" si="48"/>
        <v xml:space="preserve">WORKING </v>
      </c>
    </row>
    <row r="1037" spans="1:7">
      <c r="A1037" s="4" t="str">
        <f t="shared" si="49"/>
        <v>069</v>
      </c>
      <c r="B1037" s="4" t="str">
        <f t="shared" si="50"/>
        <v>07</v>
      </c>
      <c r="C1037" s="5" t="s">
        <v>1964</v>
      </c>
      <c r="E1037" s="6" t="s">
        <v>1953</v>
      </c>
      <c r="F1037" s="7" t="s">
        <v>1965</v>
      </c>
      <c r="G1037" s="8" t="str">
        <f t="shared" si="48"/>
        <v xml:space="preserve">FEDERAL </v>
      </c>
    </row>
    <row r="1038" spans="1:7">
      <c r="A1038" s="4" t="str">
        <f t="shared" si="49"/>
        <v>069</v>
      </c>
      <c r="B1038" s="4" t="str">
        <f t="shared" si="50"/>
        <v>08</v>
      </c>
      <c r="C1038" s="5" t="s">
        <v>1966</v>
      </c>
      <c r="E1038" s="6" t="s">
        <v>1953</v>
      </c>
      <c r="F1038" s="7" t="s">
        <v>1967</v>
      </c>
      <c r="G1038" s="8" t="str">
        <f t="shared" si="48"/>
        <v>AMTRAK</v>
      </c>
    </row>
    <row r="1039" spans="1:7">
      <c r="A1039" s="4" t="str">
        <f t="shared" si="49"/>
        <v>069</v>
      </c>
      <c r="B1039" s="4" t="str">
        <f t="shared" si="50"/>
        <v>09</v>
      </c>
      <c r="C1039" s="5" t="s">
        <v>1968</v>
      </c>
      <c r="E1039" s="6" t="s">
        <v>1953</v>
      </c>
      <c r="F1039" s="7" t="s">
        <v>1969</v>
      </c>
      <c r="G1039" s="8" t="str">
        <f t="shared" si="48"/>
        <v xml:space="preserve">FEDERAL </v>
      </c>
    </row>
    <row r="1040" spans="1:7">
      <c r="A1040" s="4" t="str">
        <f t="shared" si="49"/>
        <v>069</v>
      </c>
      <c r="B1040" s="4" t="str">
        <f t="shared" si="50"/>
        <v>10</v>
      </c>
      <c r="C1040" s="5" t="s">
        <v>1970</v>
      </c>
      <c r="E1040" s="6" t="s">
        <v>1953</v>
      </c>
      <c r="F1040" s="7" t="s">
        <v>1971</v>
      </c>
      <c r="G1040" s="8" t="str">
        <f t="shared" si="48"/>
        <v>MARITIME</v>
      </c>
    </row>
    <row r="1041" spans="1:7">
      <c r="A1041" s="4" t="str">
        <f t="shared" si="49"/>
        <v>069</v>
      </c>
      <c r="B1041" s="4" t="str">
        <f t="shared" si="50"/>
        <v>11</v>
      </c>
      <c r="C1041" s="5" t="s">
        <v>1972</v>
      </c>
      <c r="E1041" s="6" t="s">
        <v>1953</v>
      </c>
      <c r="F1041" s="7" t="s">
        <v>1973</v>
      </c>
      <c r="G1041" s="8" t="str">
        <f t="shared" si="48"/>
        <v>ST. LAWR</v>
      </c>
    </row>
    <row r="1042" spans="1:7">
      <c r="A1042" s="4" t="str">
        <f t="shared" si="49"/>
        <v>069</v>
      </c>
      <c r="B1042" s="4" t="str">
        <f t="shared" si="50"/>
        <v>12</v>
      </c>
      <c r="C1042" s="5" t="s">
        <v>1974</v>
      </c>
      <c r="E1042" s="6" t="s">
        <v>1953</v>
      </c>
      <c r="F1042" s="7" t="s">
        <v>1975</v>
      </c>
      <c r="G1042" s="8" t="str">
        <f t="shared" si="48"/>
        <v>NATIONAL</v>
      </c>
    </row>
    <row r="1043" spans="1:7">
      <c r="A1043" s="4" t="str">
        <f t="shared" si="49"/>
        <v>069</v>
      </c>
      <c r="B1043" s="4" t="str">
        <f t="shared" si="50"/>
        <v>13</v>
      </c>
      <c r="C1043" s="5" t="s">
        <v>1976</v>
      </c>
      <c r="E1043" s="6" t="s">
        <v>1953</v>
      </c>
      <c r="F1043" s="7" t="s">
        <v>1977</v>
      </c>
      <c r="G1043" s="8" t="str">
        <f t="shared" si="48"/>
        <v>ALASKA R</v>
      </c>
    </row>
    <row r="1044" spans="1:7">
      <c r="A1044" s="4" t="str">
        <f t="shared" si="49"/>
        <v>069</v>
      </c>
      <c r="B1044" s="4" t="str">
        <f t="shared" si="50"/>
        <v>14</v>
      </c>
      <c r="C1044" s="5" t="s">
        <v>1978</v>
      </c>
      <c r="E1044" s="6" t="s">
        <v>1953</v>
      </c>
      <c r="F1044" s="7" t="s">
        <v>1979</v>
      </c>
      <c r="G1044" s="8" t="str">
        <f t="shared" si="48"/>
        <v xml:space="preserve">SURFACE </v>
      </c>
    </row>
    <row r="1045" spans="1:7">
      <c r="A1045" s="4" t="str">
        <f t="shared" si="49"/>
        <v>069</v>
      </c>
      <c r="B1045" s="4" t="str">
        <f t="shared" si="50"/>
        <v>15</v>
      </c>
      <c r="C1045" s="5" t="s">
        <v>1980</v>
      </c>
      <c r="E1045" s="6" t="s">
        <v>1953</v>
      </c>
      <c r="F1045" s="7" t="s">
        <v>1981</v>
      </c>
      <c r="G1045" s="8" t="str">
        <f t="shared" si="48"/>
        <v xml:space="preserve">FEDERAL </v>
      </c>
    </row>
    <row r="1046" spans="1:7">
      <c r="A1046" s="4" t="str">
        <f t="shared" si="49"/>
        <v>069</v>
      </c>
      <c r="B1046" s="4" t="str">
        <f t="shared" si="50"/>
        <v>16</v>
      </c>
      <c r="C1046" s="5" t="s">
        <v>1982</v>
      </c>
      <c r="E1046" s="6" t="s">
        <v>1953</v>
      </c>
      <c r="F1046" s="7" t="s">
        <v>1983</v>
      </c>
      <c r="G1046" s="8" t="str">
        <f t="shared" si="48"/>
        <v>DOT DVLP</v>
      </c>
    </row>
    <row r="1047" spans="1:7">
      <c r="A1047" s="4" t="str">
        <f t="shared" si="49"/>
        <v>069</v>
      </c>
      <c r="B1047" s="4" t="str">
        <f t="shared" si="50"/>
        <v>17</v>
      </c>
      <c r="C1047" s="5" t="s">
        <v>1984</v>
      </c>
      <c r="E1047" s="6" t="s">
        <v>1953</v>
      </c>
      <c r="F1047" s="7" t="s">
        <v>1985</v>
      </c>
      <c r="G1047" s="8" t="str">
        <f t="shared" si="48"/>
        <v>DOT/RES&amp;</v>
      </c>
    </row>
    <row r="1048" spans="1:7">
      <c r="A1048" s="4" t="str">
        <f t="shared" si="49"/>
        <v>069</v>
      </c>
      <c r="B1048" s="4" t="str">
        <f t="shared" si="50"/>
        <v>18</v>
      </c>
      <c r="C1048" s="5" t="s">
        <v>1986</v>
      </c>
      <c r="E1048" s="6" t="s">
        <v>1953</v>
      </c>
      <c r="F1048" s="7" t="s">
        <v>1987</v>
      </c>
      <c r="G1048" s="8" t="str">
        <f t="shared" si="48"/>
        <v>NATIONAL</v>
      </c>
    </row>
    <row r="1049" spans="1:7">
      <c r="A1049" s="4" t="str">
        <f t="shared" si="49"/>
        <v>069</v>
      </c>
      <c r="B1049" s="4" t="str">
        <f t="shared" si="50"/>
        <v>20</v>
      </c>
      <c r="C1049" s="5" t="s">
        <v>1988</v>
      </c>
      <c r="E1049" s="6" t="s">
        <v>1953</v>
      </c>
      <c r="F1049" s="7" t="s">
        <v>1989</v>
      </c>
      <c r="G1049" s="8" t="str">
        <f t="shared" si="48"/>
        <v>TRANS AD</v>
      </c>
    </row>
    <row r="1050" spans="1:7">
      <c r="A1050" s="4" t="str">
        <f t="shared" si="49"/>
        <v>069</v>
      </c>
      <c r="B1050" s="4" t="str">
        <f t="shared" si="50"/>
        <v>28</v>
      </c>
      <c r="C1050" s="5" t="s">
        <v>1990</v>
      </c>
      <c r="E1050" s="6" t="s">
        <v>1953</v>
      </c>
      <c r="F1050" s="7" t="s">
        <v>1991</v>
      </c>
      <c r="G1050" s="8" t="str">
        <f t="shared" si="48"/>
        <v>DOT, TRA</v>
      </c>
    </row>
    <row r="1051" spans="1:7">
      <c r="A1051" s="4" t="str">
        <f t="shared" si="49"/>
        <v>069</v>
      </c>
      <c r="B1051" s="4" t="str">
        <f t="shared" si="50"/>
        <v>35</v>
      </c>
      <c r="C1051" s="5" t="s">
        <v>1992</v>
      </c>
      <c r="E1051" s="6" t="s">
        <v>1953</v>
      </c>
      <c r="F1051" s="7" t="s">
        <v>1993</v>
      </c>
      <c r="G1051" s="8" t="str">
        <f t="shared" si="48"/>
        <v xml:space="preserve">FEDERAL </v>
      </c>
    </row>
    <row r="1052" spans="1:7">
      <c r="A1052" s="4" t="str">
        <f t="shared" si="49"/>
        <v>069</v>
      </c>
      <c r="B1052" s="4" t="str">
        <f t="shared" si="50"/>
        <v>49</v>
      </c>
      <c r="C1052" s="5" t="s">
        <v>1994</v>
      </c>
      <c r="E1052" s="6" t="s">
        <v>1953</v>
      </c>
      <c r="F1052" s="7" t="s">
        <v>1995</v>
      </c>
      <c r="G1052" s="8" t="str">
        <f t="shared" si="48"/>
        <v>TRANSPOR</v>
      </c>
    </row>
    <row r="1053" spans="1:7">
      <c r="A1053" s="4" t="str">
        <f t="shared" si="49"/>
        <v>069</v>
      </c>
      <c r="B1053" s="4" t="str">
        <f t="shared" si="50"/>
        <v>57</v>
      </c>
      <c r="C1053" s="5" t="s">
        <v>1996</v>
      </c>
      <c r="E1053" s="6" t="s">
        <v>1953</v>
      </c>
      <c r="F1053" s="7" t="s">
        <v>1956</v>
      </c>
      <c r="G1053" s="8" t="str">
        <f t="shared" si="48"/>
        <v>PHMSA-PI</v>
      </c>
    </row>
    <row r="1054" spans="1:7">
      <c r="A1054" s="4" t="str">
        <f t="shared" si="49"/>
        <v>069</v>
      </c>
      <c r="B1054" s="4" t="str">
        <f t="shared" si="50"/>
        <v>90</v>
      </c>
      <c r="C1054" s="5" t="s">
        <v>1997</v>
      </c>
      <c r="E1054" s="6" t="s">
        <v>1953</v>
      </c>
      <c r="F1054" s="7" t="s">
        <v>1998</v>
      </c>
      <c r="G1054" s="8" t="str">
        <f t="shared" si="48"/>
        <v>STATE HI</v>
      </c>
    </row>
    <row r="1055" spans="1:7">
      <c r="A1055" s="4" t="str">
        <f t="shared" si="49"/>
        <v>069</v>
      </c>
      <c r="B1055" s="4" t="str">
        <f t="shared" si="50"/>
        <v>97</v>
      </c>
      <c r="C1055" s="5" t="s">
        <v>1999</v>
      </c>
      <c r="E1055" s="6" t="s">
        <v>1953</v>
      </c>
      <c r="F1055" s="7" t="s">
        <v>102</v>
      </c>
      <c r="G1055" s="8" t="str">
        <f t="shared" si="48"/>
        <v>GSA ADVA</v>
      </c>
    </row>
    <row r="1056" spans="1:7">
      <c r="A1056" s="4" t="str">
        <f t="shared" si="49"/>
        <v>069</v>
      </c>
      <c r="B1056" s="4" t="str">
        <f t="shared" si="50"/>
        <v>99</v>
      </c>
      <c r="C1056" s="5" t="s">
        <v>2000</v>
      </c>
      <c r="E1056" s="6" t="s">
        <v>1953</v>
      </c>
      <c r="F1056" s="7" t="s">
        <v>132</v>
      </c>
      <c r="G1056" s="8" t="str">
        <f t="shared" si="48"/>
        <v>SUBCONTR</v>
      </c>
    </row>
    <row r="1057" spans="1:7">
      <c r="A1057" s="4" t="str">
        <f t="shared" si="49"/>
        <v>070</v>
      </c>
      <c r="B1057" s="4" t="str">
        <f t="shared" si="50"/>
        <v>00</v>
      </c>
      <c r="C1057" s="5" t="s">
        <v>2001</v>
      </c>
      <c r="E1057" s="6" t="s">
        <v>2002</v>
      </c>
      <c r="F1057" s="7" t="s">
        <v>2002</v>
      </c>
      <c r="G1057" s="8" t="str">
        <f t="shared" si="48"/>
        <v>DEPARTME</v>
      </c>
    </row>
    <row r="1058" spans="1:7">
      <c r="A1058" s="4" t="str">
        <f t="shared" si="49"/>
        <v>070</v>
      </c>
      <c r="B1058" s="4" t="str">
        <f t="shared" si="50"/>
        <v>01</v>
      </c>
      <c r="C1058" s="5" t="s">
        <v>2003</v>
      </c>
      <c r="E1058" s="6" t="s">
        <v>2002</v>
      </c>
      <c r="F1058" s="7" t="s">
        <v>1169</v>
      </c>
      <c r="G1058" s="8" t="str">
        <f t="shared" si="48"/>
        <v>UNITED S</v>
      </c>
    </row>
    <row r="1059" spans="1:7">
      <c r="A1059" s="4" t="str">
        <f t="shared" si="49"/>
        <v>070</v>
      </c>
      <c r="B1059" s="4" t="str">
        <f t="shared" si="50"/>
        <v>02</v>
      </c>
      <c r="C1059" s="5" t="s">
        <v>2004</v>
      </c>
      <c r="E1059" s="6" t="s">
        <v>2002</v>
      </c>
      <c r="F1059" s="7" t="s">
        <v>2005</v>
      </c>
      <c r="G1059" s="8" t="str">
        <f t="shared" si="48"/>
        <v>UNITED S</v>
      </c>
    </row>
    <row r="1060" spans="1:7">
      <c r="A1060" s="4" t="str">
        <f t="shared" si="49"/>
        <v>070</v>
      </c>
      <c r="B1060" s="4" t="str">
        <f t="shared" si="50"/>
        <v>03</v>
      </c>
      <c r="C1060" s="5" t="s">
        <v>2006</v>
      </c>
      <c r="E1060" s="6" t="s">
        <v>2002</v>
      </c>
      <c r="F1060" s="7" t="s">
        <v>2007</v>
      </c>
      <c r="G1060" s="8" t="str">
        <f t="shared" si="48"/>
        <v>DEPT OPE</v>
      </c>
    </row>
    <row r="1061" spans="1:7">
      <c r="A1061" s="4" t="str">
        <f t="shared" si="49"/>
        <v>070</v>
      </c>
      <c r="B1061" s="4" t="str">
        <f t="shared" si="50"/>
        <v>04</v>
      </c>
      <c r="C1061" s="5" t="s">
        <v>2008</v>
      </c>
      <c r="E1061" s="6" t="s">
        <v>2002</v>
      </c>
      <c r="F1061" s="7" t="s">
        <v>2009</v>
      </c>
      <c r="G1061" s="8" t="str">
        <f t="shared" si="48"/>
        <v>BUREAU C</v>
      </c>
    </row>
    <row r="1062" spans="1:7">
      <c r="A1062" s="4" t="str">
        <f t="shared" si="49"/>
        <v>070</v>
      </c>
      <c r="B1062" s="4" t="str">
        <f t="shared" si="50"/>
        <v>06</v>
      </c>
      <c r="C1062" s="5" t="s">
        <v>2010</v>
      </c>
      <c r="E1062" s="6" t="s">
        <v>2002</v>
      </c>
      <c r="F1062" s="7" t="s">
        <v>654</v>
      </c>
      <c r="G1062" s="8" t="str">
        <f t="shared" si="48"/>
        <v>OFFICE O</v>
      </c>
    </row>
    <row r="1063" spans="1:7">
      <c r="A1063" s="4" t="str">
        <f t="shared" si="49"/>
        <v>070</v>
      </c>
      <c r="B1063" s="4" t="str">
        <f t="shared" si="50"/>
        <v>08</v>
      </c>
      <c r="C1063" s="5" t="s">
        <v>2011</v>
      </c>
      <c r="E1063" s="6" t="s">
        <v>2002</v>
      </c>
      <c r="F1063" s="7" t="s">
        <v>2012</v>
      </c>
      <c r="G1063" s="8" t="str">
        <f t="shared" si="48"/>
        <v>DHS, SCI</v>
      </c>
    </row>
    <row r="1064" spans="1:7">
      <c r="A1064" s="4" t="str">
        <f t="shared" si="49"/>
        <v>070</v>
      </c>
      <c r="B1064" s="4" t="str">
        <f t="shared" si="50"/>
        <v>09</v>
      </c>
      <c r="C1064" s="5" t="s">
        <v>2013</v>
      </c>
      <c r="E1064" s="6" t="s">
        <v>2002</v>
      </c>
      <c r="F1064" s="7" t="s">
        <v>2014</v>
      </c>
      <c r="G1064" s="8" t="str">
        <f t="shared" si="48"/>
        <v>DHS/INTE</v>
      </c>
    </row>
    <row r="1065" spans="1:7">
      <c r="A1065" s="4" t="str">
        <f t="shared" si="49"/>
        <v>070</v>
      </c>
      <c r="B1065" s="4" t="str">
        <f t="shared" si="50"/>
        <v>10</v>
      </c>
      <c r="C1065" s="5" t="s">
        <v>2015</v>
      </c>
      <c r="E1065" s="6" t="s">
        <v>2002</v>
      </c>
      <c r="F1065" s="7" t="s">
        <v>2016</v>
      </c>
      <c r="G1065" s="8" t="str">
        <f t="shared" si="48"/>
        <v>OFC UNDE</v>
      </c>
    </row>
    <row r="1066" spans="1:7">
      <c r="A1066" s="4" t="str">
        <f t="shared" si="49"/>
        <v>070</v>
      </c>
      <c r="B1066" s="4" t="str">
        <f t="shared" si="50"/>
        <v>11</v>
      </c>
      <c r="C1066" s="5" t="s">
        <v>2017</v>
      </c>
      <c r="E1066" s="6" t="s">
        <v>2002</v>
      </c>
      <c r="F1066" s="7" t="s">
        <v>2018</v>
      </c>
      <c r="G1066" s="8" t="str">
        <f t="shared" si="48"/>
        <v>DHS, FED</v>
      </c>
    </row>
    <row r="1067" spans="1:7">
      <c r="A1067" s="4" t="str">
        <f t="shared" si="49"/>
        <v>070</v>
      </c>
      <c r="B1067" s="4" t="str">
        <f t="shared" si="50"/>
        <v>21</v>
      </c>
      <c r="C1067" s="5" t="s">
        <v>2019</v>
      </c>
      <c r="E1067" s="6" t="s">
        <v>2002</v>
      </c>
      <c r="F1067" s="7" t="s">
        <v>2020</v>
      </c>
      <c r="G1067" s="8" t="str">
        <f t="shared" si="48"/>
        <v>NATL PRO</v>
      </c>
    </row>
    <row r="1068" spans="1:7">
      <c r="A1068" s="4" t="str">
        <f t="shared" si="49"/>
        <v>070</v>
      </c>
      <c r="B1068" s="4" t="str">
        <f t="shared" si="50"/>
        <v>22</v>
      </c>
      <c r="C1068" s="5" t="s">
        <v>2021</v>
      </c>
      <c r="E1068" s="6" t="s">
        <v>2002</v>
      </c>
      <c r="F1068" s="7" t="s">
        <v>2022</v>
      </c>
      <c r="G1068" s="8" t="str">
        <f t="shared" si="48"/>
        <v>CRITICAL</v>
      </c>
    </row>
    <row r="1069" spans="1:7">
      <c r="A1069" s="4" t="str">
        <f t="shared" si="49"/>
        <v>070</v>
      </c>
      <c r="B1069" s="4" t="str">
        <f t="shared" si="50"/>
        <v>23</v>
      </c>
      <c r="C1069" s="5" t="s">
        <v>2023</v>
      </c>
      <c r="E1069" s="6" t="s">
        <v>2002</v>
      </c>
      <c r="F1069" s="7" t="s">
        <v>2024</v>
      </c>
      <c r="G1069" s="8" t="str">
        <f t="shared" si="48"/>
        <v>NATL INF</v>
      </c>
    </row>
    <row r="1070" spans="1:7">
      <c r="A1070" s="4" t="str">
        <f t="shared" si="49"/>
        <v>070</v>
      </c>
      <c r="B1070" s="4" t="str">
        <f t="shared" si="50"/>
        <v>24</v>
      </c>
      <c r="C1070" s="5" t="s">
        <v>2025</v>
      </c>
      <c r="E1070" s="6" t="s">
        <v>2002</v>
      </c>
      <c r="F1070" s="7" t="s">
        <v>2026</v>
      </c>
      <c r="G1070" s="8" t="str">
        <f t="shared" si="48"/>
        <v>ENRGY SE</v>
      </c>
    </row>
    <row r="1071" spans="1:7">
      <c r="A1071" s="4" t="str">
        <f t="shared" si="49"/>
        <v>070</v>
      </c>
      <c r="B1071" s="4" t="str">
        <f t="shared" si="50"/>
        <v>25</v>
      </c>
      <c r="C1071" s="5" t="s">
        <v>2027</v>
      </c>
      <c r="E1071" s="6" t="s">
        <v>2002</v>
      </c>
      <c r="F1071" s="7" t="s">
        <v>2028</v>
      </c>
      <c r="G1071" s="8" t="str">
        <f t="shared" si="48"/>
        <v>NATL COM</v>
      </c>
    </row>
    <row r="1072" spans="1:7">
      <c r="A1072" s="4" t="str">
        <f t="shared" si="49"/>
        <v>070</v>
      </c>
      <c r="B1072" s="4" t="str">
        <f t="shared" si="50"/>
        <v>26</v>
      </c>
      <c r="C1072" s="5" t="s">
        <v>2029</v>
      </c>
      <c r="E1072" s="6" t="s">
        <v>2002</v>
      </c>
      <c r="F1072" s="7" t="s">
        <v>2030</v>
      </c>
      <c r="G1072" s="8" t="str">
        <f t="shared" si="48"/>
        <v>NATL INF</v>
      </c>
    </row>
    <row r="1073" spans="1:7">
      <c r="A1073" s="4" t="str">
        <f t="shared" si="49"/>
        <v>070</v>
      </c>
      <c r="B1073" s="4" t="str">
        <f t="shared" si="50"/>
        <v>27</v>
      </c>
      <c r="C1073" s="5" t="s">
        <v>2031</v>
      </c>
      <c r="E1073" s="6" t="s">
        <v>2002</v>
      </c>
      <c r="F1073" s="7" t="s">
        <v>2032</v>
      </c>
      <c r="G1073" s="8" t="str">
        <f t="shared" si="48"/>
        <v>FED COMP</v>
      </c>
    </row>
    <row r="1074" spans="1:7">
      <c r="A1074" s="4" t="str">
        <f t="shared" si="49"/>
        <v>070</v>
      </c>
      <c r="B1074" s="4" t="str">
        <f t="shared" si="50"/>
        <v>31</v>
      </c>
      <c r="C1074" s="5" t="s">
        <v>2033</v>
      </c>
      <c r="E1074" s="6" t="s">
        <v>2002</v>
      </c>
      <c r="F1074" s="7" t="s">
        <v>2034</v>
      </c>
      <c r="G1074" s="8" t="str">
        <f t="shared" si="48"/>
        <v>OFC UNDE</v>
      </c>
    </row>
    <row r="1075" spans="1:7">
      <c r="A1075" s="4" t="str">
        <f t="shared" si="49"/>
        <v>070</v>
      </c>
      <c r="B1075" s="4" t="str">
        <f t="shared" si="50"/>
        <v>32</v>
      </c>
      <c r="C1075" s="5" t="s">
        <v>2035</v>
      </c>
      <c r="E1075" s="6" t="s">
        <v>2002</v>
      </c>
      <c r="F1075" s="7" t="s">
        <v>2036</v>
      </c>
      <c r="G1075" s="8" t="str">
        <f t="shared" si="48"/>
        <v>ENVIRONM</v>
      </c>
    </row>
    <row r="1076" spans="1:7">
      <c r="A1076" s="4" t="str">
        <f t="shared" si="49"/>
        <v>070</v>
      </c>
      <c r="B1076" s="4" t="str">
        <f t="shared" si="50"/>
        <v>33</v>
      </c>
      <c r="C1076" s="5" t="s">
        <v>2037</v>
      </c>
      <c r="E1076" s="6" t="s">
        <v>2002</v>
      </c>
      <c r="F1076" s="7" t="s">
        <v>2038</v>
      </c>
      <c r="G1076" s="8" t="str">
        <f t="shared" si="48"/>
        <v>NAT BIO-</v>
      </c>
    </row>
    <row r="1077" spans="1:7">
      <c r="A1077" s="4" t="str">
        <f t="shared" si="49"/>
        <v>070</v>
      </c>
      <c r="B1077" s="4" t="str">
        <f t="shared" si="50"/>
        <v>34</v>
      </c>
      <c r="C1077" s="5" t="s">
        <v>2039</v>
      </c>
      <c r="E1077" s="6" t="s">
        <v>2002</v>
      </c>
      <c r="F1077" s="7" t="s">
        <v>2040</v>
      </c>
      <c r="G1077" s="8" t="str">
        <f t="shared" si="48"/>
        <v>DHS/DOME</v>
      </c>
    </row>
    <row r="1078" spans="1:7">
      <c r="A1078" s="4" t="str">
        <f t="shared" si="49"/>
        <v>070</v>
      </c>
      <c r="B1078" s="4" t="str">
        <f t="shared" si="50"/>
        <v>41</v>
      </c>
      <c r="C1078" s="5" t="s">
        <v>2041</v>
      </c>
      <c r="E1078" s="6" t="s">
        <v>2002</v>
      </c>
      <c r="F1078" s="7" t="s">
        <v>2042</v>
      </c>
      <c r="G1078" s="8" t="str">
        <f t="shared" si="48"/>
        <v>FEMA HEA</v>
      </c>
    </row>
    <row r="1079" spans="1:7">
      <c r="A1079" s="4" t="str">
        <f t="shared" si="49"/>
        <v>070</v>
      </c>
      <c r="B1079" s="4" t="str">
        <f t="shared" si="50"/>
        <v>42</v>
      </c>
      <c r="C1079" s="5" t="s">
        <v>2043</v>
      </c>
      <c r="E1079" s="6" t="s">
        <v>2002</v>
      </c>
      <c r="F1079" s="7" t="s">
        <v>2044</v>
      </c>
      <c r="G1079" s="8" t="str">
        <f t="shared" si="48"/>
        <v>DISASTER</v>
      </c>
    </row>
    <row r="1080" spans="1:7">
      <c r="A1080" s="4" t="str">
        <f t="shared" si="49"/>
        <v>070</v>
      </c>
      <c r="B1080" s="4" t="str">
        <f t="shared" si="50"/>
        <v>43</v>
      </c>
      <c r="C1080" s="5" t="s">
        <v>2045</v>
      </c>
      <c r="E1080" s="6" t="s">
        <v>2002</v>
      </c>
      <c r="F1080" s="7" t="s">
        <v>1963</v>
      </c>
      <c r="G1080" s="8" t="str">
        <f t="shared" si="48"/>
        <v xml:space="preserve">WORKING </v>
      </c>
    </row>
    <row r="1081" spans="1:7">
      <c r="A1081" s="4" t="str">
        <f t="shared" si="49"/>
        <v>070</v>
      </c>
      <c r="B1081" s="4" t="str">
        <f t="shared" si="50"/>
        <v>44</v>
      </c>
      <c r="C1081" s="5" t="s">
        <v>2046</v>
      </c>
      <c r="E1081" s="6" t="s">
        <v>2002</v>
      </c>
      <c r="F1081" s="7" t="s">
        <v>2047</v>
      </c>
      <c r="G1081" s="8" t="str">
        <f t="shared" si="48"/>
        <v>NATL EME</v>
      </c>
    </row>
    <row r="1082" spans="1:7">
      <c r="A1082" s="4" t="str">
        <f t="shared" si="49"/>
        <v>070</v>
      </c>
      <c r="B1082" s="4" t="str">
        <f t="shared" si="50"/>
        <v>45</v>
      </c>
      <c r="C1082" s="5" t="s">
        <v>2048</v>
      </c>
      <c r="E1082" s="6" t="s">
        <v>2002</v>
      </c>
      <c r="F1082" s="7" t="s">
        <v>2049</v>
      </c>
      <c r="G1082" s="8" t="str">
        <f t="shared" si="48"/>
        <v xml:space="preserve">FEDERAL </v>
      </c>
    </row>
    <row r="1083" spans="1:7">
      <c r="A1083" s="4" t="str">
        <f t="shared" si="49"/>
        <v>070</v>
      </c>
      <c r="B1083" s="4" t="str">
        <f t="shared" si="50"/>
        <v>46</v>
      </c>
      <c r="C1083" s="5" t="s">
        <v>2050</v>
      </c>
      <c r="E1083" s="6" t="s">
        <v>2002</v>
      </c>
      <c r="F1083" s="7" t="s">
        <v>2051</v>
      </c>
      <c r="G1083" s="8" t="str">
        <f t="shared" si="48"/>
        <v>NATL DIS</v>
      </c>
    </row>
    <row r="1084" spans="1:7">
      <c r="A1084" s="4" t="str">
        <f t="shared" si="49"/>
        <v>070</v>
      </c>
      <c r="B1084" s="4" t="str">
        <f t="shared" si="50"/>
        <v>47</v>
      </c>
      <c r="C1084" s="5" t="s">
        <v>2052</v>
      </c>
      <c r="E1084" s="6" t="s">
        <v>2002</v>
      </c>
      <c r="F1084" s="7" t="s">
        <v>2053</v>
      </c>
      <c r="G1084" s="8" t="str">
        <f t="shared" si="48"/>
        <v>STRATEGI</v>
      </c>
    </row>
    <row r="1085" spans="1:7">
      <c r="A1085" s="4" t="str">
        <f t="shared" si="49"/>
        <v>070</v>
      </c>
      <c r="B1085" s="4" t="str">
        <f t="shared" si="50"/>
        <v>48</v>
      </c>
      <c r="C1085" s="5" t="s">
        <v>2054</v>
      </c>
      <c r="E1085" s="6" t="s">
        <v>2002</v>
      </c>
      <c r="F1085" s="7" t="s">
        <v>2055</v>
      </c>
      <c r="G1085" s="8" t="str">
        <f t="shared" si="48"/>
        <v>FIRE SAT</v>
      </c>
    </row>
    <row r="1086" spans="1:7">
      <c r="A1086" s="4" t="str">
        <f t="shared" si="49"/>
        <v>070</v>
      </c>
      <c r="B1086" s="4" t="str">
        <f t="shared" si="50"/>
        <v>49</v>
      </c>
      <c r="C1086" s="5" t="s">
        <v>2056</v>
      </c>
      <c r="E1086" s="6" t="s">
        <v>2002</v>
      </c>
      <c r="F1086" s="7" t="s">
        <v>2057</v>
      </c>
      <c r="G1086" s="8" t="str">
        <f t="shared" si="48"/>
        <v>UNDERSEC</v>
      </c>
    </row>
    <row r="1087" spans="1:7">
      <c r="A1087" s="4" t="str">
        <f t="shared" si="49"/>
        <v>070</v>
      </c>
      <c r="B1087" s="4" t="str">
        <f t="shared" si="50"/>
        <v>50</v>
      </c>
      <c r="C1087" s="5" t="s">
        <v>2058</v>
      </c>
      <c r="E1087" s="6" t="s">
        <v>2002</v>
      </c>
      <c r="F1087" s="7" t="s">
        <v>2059</v>
      </c>
      <c r="G1087" s="8" t="str">
        <f t="shared" si="48"/>
        <v>DHS,US-V</v>
      </c>
    </row>
    <row r="1088" spans="1:7">
      <c r="A1088" s="4" t="str">
        <f t="shared" si="49"/>
        <v>070</v>
      </c>
      <c r="B1088" s="4" t="str">
        <f t="shared" si="50"/>
        <v>51</v>
      </c>
      <c r="C1088" s="5" t="s">
        <v>2060</v>
      </c>
      <c r="E1088" s="6" t="s">
        <v>2002</v>
      </c>
      <c r="F1088" s="7" t="s">
        <v>2061</v>
      </c>
      <c r="G1088" s="8" t="str">
        <f t="shared" si="48"/>
        <v>DHS/CUST</v>
      </c>
    </row>
    <row r="1089" spans="1:7">
      <c r="A1089" s="4" t="str">
        <f t="shared" si="49"/>
        <v>070</v>
      </c>
      <c r="B1089" s="4" t="str">
        <f t="shared" si="50"/>
        <v>52</v>
      </c>
      <c r="C1089" s="5" t="s">
        <v>2062</v>
      </c>
      <c r="E1089" s="6" t="s">
        <v>2002</v>
      </c>
      <c r="F1089" s="7" t="s">
        <v>2063</v>
      </c>
      <c r="G1089" s="8" t="str">
        <f t="shared" si="48"/>
        <v>DHS,NATL</v>
      </c>
    </row>
    <row r="1090" spans="1:7">
      <c r="A1090" s="4" t="str">
        <f t="shared" si="49"/>
        <v>070</v>
      </c>
      <c r="B1090" s="4" t="str">
        <f t="shared" si="50"/>
        <v>53</v>
      </c>
      <c r="C1090" s="5" t="s">
        <v>2064</v>
      </c>
      <c r="E1090" s="6" t="s">
        <v>2002</v>
      </c>
      <c r="F1090" s="7" t="s">
        <v>2065</v>
      </c>
      <c r="G1090" s="8" t="str">
        <f t="shared" ref="G1090:G1153" si="51">LEFT(F1090,8)</f>
        <v>ANIMAL &amp;</v>
      </c>
    </row>
    <row r="1091" spans="1:7">
      <c r="A1091" s="4" t="str">
        <f t="shared" ref="A1091:A1154" si="52">LEFT(C1091,3)</f>
        <v>070</v>
      </c>
      <c r="B1091" s="4" t="str">
        <f t="shared" ref="B1091:B1154" si="53">RIGHT(C1091,2)</f>
        <v>54</v>
      </c>
      <c r="C1091" s="5" t="s">
        <v>2066</v>
      </c>
      <c r="E1091" s="6" t="s">
        <v>2002</v>
      </c>
      <c r="F1091" s="7" t="s">
        <v>2067</v>
      </c>
      <c r="G1091" s="8" t="str">
        <f t="shared" si="51"/>
        <v>TRANSPOR</v>
      </c>
    </row>
    <row r="1092" spans="1:7">
      <c r="A1092" s="4" t="str">
        <f t="shared" si="52"/>
        <v>070</v>
      </c>
      <c r="B1092" s="4" t="str">
        <f t="shared" si="53"/>
        <v>55</v>
      </c>
      <c r="C1092" s="5" t="s">
        <v>2068</v>
      </c>
      <c r="E1092" s="6" t="s">
        <v>2002</v>
      </c>
      <c r="F1092" s="7" t="s">
        <v>2069</v>
      </c>
      <c r="G1092" s="8" t="str">
        <f t="shared" si="51"/>
        <v>IMMIGRAT</v>
      </c>
    </row>
    <row r="1093" spans="1:7">
      <c r="A1093" s="4" t="str">
        <f t="shared" si="52"/>
        <v>070</v>
      </c>
      <c r="B1093" s="4" t="str">
        <f t="shared" si="53"/>
        <v>56</v>
      </c>
      <c r="C1093" s="5" t="s">
        <v>2070</v>
      </c>
      <c r="E1093" s="6" t="s">
        <v>2002</v>
      </c>
      <c r="F1093" s="7" t="s">
        <v>2071</v>
      </c>
      <c r="G1093" s="8" t="str">
        <f t="shared" si="51"/>
        <v xml:space="preserve">FEDERAL </v>
      </c>
    </row>
    <row r="1094" spans="1:7">
      <c r="A1094" s="4" t="str">
        <f t="shared" si="52"/>
        <v>070</v>
      </c>
      <c r="B1094" s="4" t="str">
        <f t="shared" si="53"/>
        <v>57</v>
      </c>
      <c r="C1094" s="5" t="s">
        <v>2072</v>
      </c>
      <c r="E1094" s="6" t="s">
        <v>2002</v>
      </c>
      <c r="F1094" s="7" t="s">
        <v>2073</v>
      </c>
      <c r="G1094" s="8" t="str">
        <f t="shared" si="51"/>
        <v xml:space="preserve">FED LAW </v>
      </c>
    </row>
    <row r="1095" spans="1:7">
      <c r="A1095" s="4" t="str">
        <f t="shared" si="52"/>
        <v>070</v>
      </c>
      <c r="B1095" s="4" t="str">
        <f t="shared" si="53"/>
        <v>58</v>
      </c>
      <c r="C1095" s="5" t="s">
        <v>2074</v>
      </c>
      <c r="E1095" s="6" t="s">
        <v>2002</v>
      </c>
      <c r="F1095" s="7" t="s">
        <v>2075</v>
      </c>
      <c r="G1095" s="8" t="str">
        <f t="shared" si="51"/>
        <v>OFFICE O</v>
      </c>
    </row>
    <row r="1096" spans="1:7">
      <c r="A1096" s="4" t="str">
        <f t="shared" si="52"/>
        <v>070</v>
      </c>
      <c r="B1096" s="4" t="str">
        <f t="shared" si="53"/>
        <v>59</v>
      </c>
      <c r="C1096" s="5" t="s">
        <v>2076</v>
      </c>
      <c r="E1096" s="6" t="s">
        <v>2002</v>
      </c>
      <c r="F1096" s="7" t="s">
        <v>2077</v>
      </c>
      <c r="G1096" s="8" t="str">
        <f t="shared" si="51"/>
        <v>DHS/OPER</v>
      </c>
    </row>
    <row r="1097" spans="1:7">
      <c r="A1097" s="4" t="str">
        <f t="shared" si="52"/>
        <v>070</v>
      </c>
      <c r="B1097" s="4" t="str">
        <f t="shared" si="53"/>
        <v>60</v>
      </c>
      <c r="C1097" s="5" t="s">
        <v>2078</v>
      </c>
      <c r="E1097" s="6" t="s">
        <v>2002</v>
      </c>
      <c r="F1097" s="7" t="s">
        <v>2079</v>
      </c>
      <c r="G1097" s="8" t="str">
        <f t="shared" si="51"/>
        <v>FEMA/DIA</v>
      </c>
    </row>
    <row r="1098" spans="1:7">
      <c r="A1098" s="4" t="str">
        <f t="shared" si="52"/>
        <v>070</v>
      </c>
      <c r="B1098" s="4" t="str">
        <f t="shared" si="53"/>
        <v>71</v>
      </c>
      <c r="C1098" s="5" t="s">
        <v>2080</v>
      </c>
      <c r="E1098" s="6" t="s">
        <v>2002</v>
      </c>
      <c r="F1098" s="7" t="s">
        <v>2081</v>
      </c>
      <c r="G1098" s="8" t="str">
        <f t="shared" si="51"/>
        <v>CBP FIEL</v>
      </c>
    </row>
    <row r="1099" spans="1:7">
      <c r="A1099" s="4" t="str">
        <f t="shared" si="52"/>
        <v>070</v>
      </c>
      <c r="B1099" s="4" t="str">
        <f t="shared" si="53"/>
        <v>72</v>
      </c>
      <c r="C1099" s="5" t="s">
        <v>2082</v>
      </c>
      <c r="E1099" s="6" t="s">
        <v>2002</v>
      </c>
      <c r="F1099" s="7" t="s">
        <v>2083</v>
      </c>
      <c r="G1099" s="8" t="str">
        <f t="shared" si="51"/>
        <v>CBP BORD</v>
      </c>
    </row>
    <row r="1100" spans="1:7">
      <c r="A1100" s="4" t="str">
        <f t="shared" si="52"/>
        <v>070</v>
      </c>
      <c r="B1100" s="4" t="str">
        <f t="shared" si="53"/>
        <v>73</v>
      </c>
      <c r="C1100" s="5" t="s">
        <v>2084</v>
      </c>
      <c r="E1100" s="6" t="s">
        <v>2002</v>
      </c>
      <c r="F1100" s="7" t="s">
        <v>2085</v>
      </c>
      <c r="G1100" s="8" t="str">
        <f t="shared" si="51"/>
        <v>CBP MISS</v>
      </c>
    </row>
    <row r="1101" spans="1:7">
      <c r="A1101" s="4" t="str">
        <f t="shared" si="52"/>
        <v>070</v>
      </c>
      <c r="B1101" s="4" t="str">
        <f t="shared" si="53"/>
        <v>74</v>
      </c>
      <c r="C1101" s="5" t="s">
        <v>2086</v>
      </c>
      <c r="E1101" s="6" t="s">
        <v>2002</v>
      </c>
      <c r="F1101" s="7" t="s">
        <v>2087</v>
      </c>
      <c r="G1101" s="8" t="str">
        <f t="shared" si="51"/>
        <v xml:space="preserve">CBP AIR </v>
      </c>
    </row>
    <row r="1102" spans="1:7">
      <c r="A1102" s="4" t="str">
        <f t="shared" si="52"/>
        <v>070</v>
      </c>
      <c r="B1102" s="4" t="str">
        <f t="shared" si="53"/>
        <v>97</v>
      </c>
      <c r="C1102" s="5" t="s">
        <v>2088</v>
      </c>
      <c r="E1102" s="6" t="s">
        <v>2002</v>
      </c>
      <c r="F1102" s="7" t="s">
        <v>102</v>
      </c>
      <c r="G1102" s="8" t="str">
        <f t="shared" si="51"/>
        <v>GSA ADVA</v>
      </c>
    </row>
    <row r="1103" spans="1:7">
      <c r="A1103" s="4" t="str">
        <f t="shared" si="52"/>
        <v>071</v>
      </c>
      <c r="B1103" s="4" t="str">
        <f t="shared" si="53"/>
        <v>00</v>
      </c>
      <c r="C1103" s="5" t="s">
        <v>2089</v>
      </c>
      <c r="E1103" s="6" t="s">
        <v>2090</v>
      </c>
      <c r="F1103" s="7" t="s">
        <v>2090</v>
      </c>
      <c r="G1103" s="8" t="str">
        <f t="shared" si="51"/>
        <v>OVERSEAS</v>
      </c>
    </row>
    <row r="1104" spans="1:7">
      <c r="A1104" s="4" t="str">
        <f t="shared" si="52"/>
        <v>071</v>
      </c>
      <c r="B1104" s="4" t="str">
        <f t="shared" si="53"/>
        <v>97</v>
      </c>
      <c r="C1104" s="5" t="s">
        <v>2091</v>
      </c>
      <c r="E1104" s="6" t="s">
        <v>2090</v>
      </c>
      <c r="F1104" s="7" t="s">
        <v>102</v>
      </c>
      <c r="G1104" s="8" t="str">
        <f t="shared" si="51"/>
        <v>GSA ADVA</v>
      </c>
    </row>
    <row r="1105" spans="1:7">
      <c r="A1105" s="4" t="str">
        <f t="shared" si="52"/>
        <v>072</v>
      </c>
      <c r="B1105" s="4" t="str">
        <f t="shared" si="53"/>
        <v>00</v>
      </c>
      <c r="C1105" s="5" t="s">
        <v>2092</v>
      </c>
      <c r="E1105" s="6" t="s">
        <v>2093</v>
      </c>
      <c r="F1105" s="7" t="s">
        <v>2093</v>
      </c>
      <c r="G1105" s="8" t="str">
        <f t="shared" si="51"/>
        <v>AGENCY F</v>
      </c>
    </row>
    <row r="1106" spans="1:7">
      <c r="A1106" s="4" t="str">
        <f t="shared" si="52"/>
        <v>072</v>
      </c>
      <c r="B1106" s="4" t="str">
        <f t="shared" si="53"/>
        <v>01</v>
      </c>
      <c r="C1106" s="5" t="s">
        <v>2094</v>
      </c>
      <c r="E1106" s="6" t="s">
        <v>2093</v>
      </c>
      <c r="F1106" s="7" t="s">
        <v>2095</v>
      </c>
      <c r="G1106" s="8" t="str">
        <f t="shared" si="51"/>
        <v xml:space="preserve">AID OFF </v>
      </c>
    </row>
    <row r="1107" spans="1:7">
      <c r="A1107" s="4" t="str">
        <f t="shared" si="52"/>
        <v>072</v>
      </c>
      <c r="B1107" s="4" t="str">
        <f t="shared" si="53"/>
        <v>02</v>
      </c>
      <c r="C1107" s="5" t="s">
        <v>2096</v>
      </c>
      <c r="E1107" s="6" t="s">
        <v>2093</v>
      </c>
      <c r="F1107" s="7" t="s">
        <v>654</v>
      </c>
      <c r="G1107" s="8" t="str">
        <f t="shared" si="51"/>
        <v>OFFICE O</v>
      </c>
    </row>
    <row r="1108" spans="1:7">
      <c r="A1108" s="4" t="str">
        <f t="shared" si="52"/>
        <v>072</v>
      </c>
      <c r="B1108" s="4" t="str">
        <f t="shared" si="53"/>
        <v>97</v>
      </c>
      <c r="C1108" s="5" t="s">
        <v>2097</v>
      </c>
      <c r="E1108" s="6" t="s">
        <v>2093</v>
      </c>
      <c r="F1108" s="7" t="s">
        <v>102</v>
      </c>
      <c r="G1108" s="8" t="str">
        <f t="shared" si="51"/>
        <v>GSA ADVA</v>
      </c>
    </row>
    <row r="1109" spans="1:7">
      <c r="A1109" s="4" t="str">
        <f t="shared" si="52"/>
        <v>072</v>
      </c>
      <c r="B1109" s="4" t="str">
        <f t="shared" si="53"/>
        <v>99</v>
      </c>
      <c r="C1109" s="5" t="s">
        <v>2098</v>
      </c>
      <c r="E1109" s="6" t="s">
        <v>2093</v>
      </c>
      <c r="F1109" s="7" t="s">
        <v>132</v>
      </c>
      <c r="G1109" s="8" t="str">
        <f t="shared" si="51"/>
        <v>SUBCONTR</v>
      </c>
    </row>
    <row r="1110" spans="1:7">
      <c r="A1110" s="4" t="str">
        <f t="shared" si="52"/>
        <v>073</v>
      </c>
      <c r="B1110" s="4" t="str">
        <f t="shared" si="53"/>
        <v>00</v>
      </c>
      <c r="C1110" s="5" t="s">
        <v>2099</v>
      </c>
      <c r="E1110" s="6" t="s">
        <v>2100</v>
      </c>
      <c r="F1110" s="7" t="s">
        <v>2100</v>
      </c>
      <c r="G1110" s="8" t="str">
        <f t="shared" si="51"/>
        <v>SMALL BU</v>
      </c>
    </row>
    <row r="1111" spans="1:7">
      <c r="A1111" s="4" t="str">
        <f t="shared" si="52"/>
        <v>073</v>
      </c>
      <c r="B1111" s="4" t="str">
        <f t="shared" si="53"/>
        <v>01</v>
      </c>
      <c r="C1111" s="5" t="s">
        <v>2101</v>
      </c>
      <c r="E1111" s="6" t="s">
        <v>2100</v>
      </c>
      <c r="F1111" s="7" t="s">
        <v>2102</v>
      </c>
      <c r="G1111" s="8" t="str">
        <f t="shared" si="51"/>
        <v>SBA</v>
      </c>
    </row>
    <row r="1112" spans="1:7">
      <c r="A1112" s="4" t="str">
        <f t="shared" si="52"/>
        <v>073</v>
      </c>
      <c r="B1112" s="4" t="str">
        <f t="shared" si="53"/>
        <v>97</v>
      </c>
      <c r="C1112" s="5" t="s">
        <v>2103</v>
      </c>
      <c r="E1112" s="6" t="s">
        <v>2100</v>
      </c>
      <c r="F1112" s="7" t="s">
        <v>102</v>
      </c>
      <c r="G1112" s="8" t="str">
        <f t="shared" si="51"/>
        <v>GSA ADVA</v>
      </c>
    </row>
    <row r="1113" spans="1:7">
      <c r="A1113" s="4" t="str">
        <f t="shared" si="52"/>
        <v>073</v>
      </c>
      <c r="B1113" s="4" t="str">
        <f t="shared" si="53"/>
        <v>99</v>
      </c>
      <c r="C1113" s="5" t="s">
        <v>2104</v>
      </c>
      <c r="E1113" s="6" t="s">
        <v>2100</v>
      </c>
      <c r="F1113" s="7" t="s">
        <v>132</v>
      </c>
      <c r="G1113" s="8" t="str">
        <f t="shared" si="51"/>
        <v>SUBCONTR</v>
      </c>
    </row>
    <row r="1114" spans="1:7">
      <c r="A1114" s="4" t="str">
        <f t="shared" si="52"/>
        <v>074</v>
      </c>
      <c r="B1114" s="4" t="str">
        <f t="shared" si="53"/>
        <v>00</v>
      </c>
      <c r="C1114" s="5" t="s">
        <v>2105</v>
      </c>
      <c r="E1114" s="6" t="s">
        <v>2106</v>
      </c>
      <c r="F1114" s="7" t="s">
        <v>2106</v>
      </c>
      <c r="G1114" s="8" t="str">
        <f t="shared" si="51"/>
        <v>AMERICAN</v>
      </c>
    </row>
    <row r="1115" spans="1:7">
      <c r="A1115" s="4" t="str">
        <f t="shared" si="52"/>
        <v>074</v>
      </c>
      <c r="B1115" s="4" t="str">
        <f t="shared" si="53"/>
        <v>97</v>
      </c>
      <c r="C1115" s="5" t="s">
        <v>2107</v>
      </c>
      <c r="E1115" s="6" t="s">
        <v>2106</v>
      </c>
      <c r="F1115" s="7" t="s">
        <v>102</v>
      </c>
      <c r="G1115" s="8" t="str">
        <f t="shared" si="51"/>
        <v>GSA ADVA</v>
      </c>
    </row>
    <row r="1116" spans="1:7">
      <c r="A1116" s="4" t="str">
        <f t="shared" si="52"/>
        <v>075</v>
      </c>
      <c r="B1116" s="4" t="str">
        <f t="shared" si="53"/>
        <v>00</v>
      </c>
      <c r="C1116" s="5" t="s">
        <v>2108</v>
      </c>
      <c r="E1116" s="6" t="s">
        <v>2109</v>
      </c>
      <c r="F1116" s="7" t="s">
        <v>2109</v>
      </c>
      <c r="G1116" s="8" t="str">
        <f t="shared" si="51"/>
        <v>DEPARTME</v>
      </c>
    </row>
    <row r="1117" spans="1:7">
      <c r="A1117" s="4" t="str">
        <f t="shared" si="52"/>
        <v>075</v>
      </c>
      <c r="B1117" s="4" t="str">
        <f t="shared" si="53"/>
        <v>01</v>
      </c>
      <c r="C1117" s="5" t="s">
        <v>2110</v>
      </c>
      <c r="E1117" s="6" t="s">
        <v>2109</v>
      </c>
      <c r="F1117" s="7" t="s">
        <v>442</v>
      </c>
      <c r="G1117" s="8" t="str">
        <f t="shared" si="51"/>
        <v>OFFICE O</v>
      </c>
    </row>
    <row r="1118" spans="1:7">
      <c r="A1118" s="4" t="str">
        <f t="shared" si="52"/>
        <v>075</v>
      </c>
      <c r="B1118" s="4" t="str">
        <f t="shared" si="53"/>
        <v>02</v>
      </c>
      <c r="C1118" s="5" t="s">
        <v>2111</v>
      </c>
      <c r="E1118" s="6" t="s">
        <v>2109</v>
      </c>
      <c r="F1118" s="7" t="s">
        <v>2112</v>
      </c>
      <c r="G1118" s="8" t="str">
        <f t="shared" si="51"/>
        <v xml:space="preserve">HEW OFF </v>
      </c>
    </row>
    <row r="1119" spans="1:7">
      <c r="A1119" s="4" t="str">
        <f t="shared" si="52"/>
        <v>075</v>
      </c>
      <c r="B1119" s="4" t="str">
        <f t="shared" si="53"/>
        <v>03</v>
      </c>
      <c r="C1119" s="5" t="s">
        <v>2113</v>
      </c>
      <c r="E1119" s="6" t="s">
        <v>2109</v>
      </c>
      <c r="F1119" s="7" t="s">
        <v>2114</v>
      </c>
      <c r="G1119" s="8" t="str">
        <f t="shared" si="51"/>
        <v>HEALTH R</v>
      </c>
    </row>
    <row r="1120" spans="1:7">
      <c r="A1120" s="4" t="str">
        <f t="shared" si="52"/>
        <v>075</v>
      </c>
      <c r="B1120" s="4" t="str">
        <f t="shared" si="53"/>
        <v>04</v>
      </c>
      <c r="C1120" s="13" t="s">
        <v>2115</v>
      </c>
      <c r="D1120" s="18" t="s">
        <v>3166</v>
      </c>
      <c r="E1120" s="14" t="s">
        <v>2109</v>
      </c>
      <c r="F1120" s="15" t="s">
        <v>1354</v>
      </c>
      <c r="G1120" s="16" t="str">
        <f t="shared" si="51"/>
        <v xml:space="preserve">EXPIRED </v>
      </c>
    </row>
    <row r="1121" spans="1:7">
      <c r="A1121" s="4" t="str">
        <f t="shared" si="52"/>
        <v>075</v>
      </c>
      <c r="B1121" s="4" t="str">
        <f t="shared" si="53"/>
        <v>05</v>
      </c>
      <c r="C1121" s="5" t="s">
        <v>2116</v>
      </c>
      <c r="E1121" s="6" t="s">
        <v>2109</v>
      </c>
      <c r="F1121" s="7" t="s">
        <v>2117</v>
      </c>
      <c r="G1121" s="8" t="str">
        <f t="shared" si="51"/>
        <v xml:space="preserve">CTR FOR </v>
      </c>
    </row>
    <row r="1122" spans="1:7">
      <c r="A1122" s="4" t="str">
        <f t="shared" si="52"/>
        <v>075</v>
      </c>
      <c r="B1122" s="4" t="str">
        <f t="shared" si="53"/>
        <v>06</v>
      </c>
      <c r="C1122" s="5" t="s">
        <v>2118</v>
      </c>
      <c r="E1122" s="6" t="s">
        <v>2109</v>
      </c>
      <c r="F1122" s="7" t="s">
        <v>2119</v>
      </c>
      <c r="G1122" s="8" t="str">
        <f t="shared" si="51"/>
        <v>FOOD AND</v>
      </c>
    </row>
    <row r="1123" spans="1:7">
      <c r="A1123" s="4" t="str">
        <f t="shared" si="52"/>
        <v>075</v>
      </c>
      <c r="B1123" s="4" t="str">
        <f t="shared" si="53"/>
        <v>07</v>
      </c>
      <c r="C1123" s="13" t="s">
        <v>2120</v>
      </c>
      <c r="D1123" s="18" t="s">
        <v>3166</v>
      </c>
      <c r="E1123" s="14" t="s">
        <v>2109</v>
      </c>
      <c r="F1123" s="15" t="s">
        <v>1354</v>
      </c>
      <c r="G1123" s="16" t="str">
        <f t="shared" si="51"/>
        <v xml:space="preserve">EXPIRED </v>
      </c>
    </row>
    <row r="1124" spans="1:7">
      <c r="A1124" s="4" t="str">
        <f t="shared" si="52"/>
        <v>075</v>
      </c>
      <c r="B1124" s="4" t="str">
        <f t="shared" si="53"/>
        <v>08</v>
      </c>
      <c r="C1124" s="5" t="s">
        <v>2121</v>
      </c>
      <c r="E1124" s="6" t="s">
        <v>2109</v>
      </c>
      <c r="F1124" s="7" t="s">
        <v>2122</v>
      </c>
      <c r="G1124" s="8" t="str">
        <f t="shared" si="51"/>
        <v>NATIONAL</v>
      </c>
    </row>
    <row r="1125" spans="1:7">
      <c r="A1125" s="4" t="str">
        <f t="shared" si="52"/>
        <v>075</v>
      </c>
      <c r="B1125" s="4" t="str">
        <f t="shared" si="53"/>
        <v>09</v>
      </c>
      <c r="C1125" s="5" t="s">
        <v>2123</v>
      </c>
      <c r="E1125" s="6" t="s">
        <v>2109</v>
      </c>
      <c r="F1125" s="7" t="s">
        <v>2124</v>
      </c>
      <c r="G1125" s="8" t="str">
        <f t="shared" si="51"/>
        <v>CENTER F</v>
      </c>
    </row>
    <row r="1126" spans="1:7">
      <c r="A1126" s="4" t="str">
        <f t="shared" si="52"/>
        <v>075</v>
      </c>
      <c r="B1126" s="4" t="str">
        <f t="shared" si="53"/>
        <v>10</v>
      </c>
      <c r="C1126" s="5" t="s">
        <v>2125</v>
      </c>
      <c r="E1126" s="6" t="s">
        <v>2109</v>
      </c>
      <c r="F1126" s="7" t="s">
        <v>2126</v>
      </c>
      <c r="G1126" s="8" t="str">
        <f t="shared" si="51"/>
        <v>INDIAN H</v>
      </c>
    </row>
    <row r="1127" spans="1:7">
      <c r="A1127" s="4" t="str">
        <f t="shared" si="52"/>
        <v>075</v>
      </c>
      <c r="B1127" s="4" t="str">
        <f t="shared" si="53"/>
        <v>11</v>
      </c>
      <c r="C1127" s="5" t="s">
        <v>2127</v>
      </c>
      <c r="E1127" s="6" t="s">
        <v>2109</v>
      </c>
      <c r="F1127" s="7" t="s">
        <v>2128</v>
      </c>
      <c r="G1127" s="8" t="str">
        <f t="shared" si="51"/>
        <v>OFFICE O</v>
      </c>
    </row>
    <row r="1128" spans="1:7">
      <c r="A1128" s="4" t="str">
        <f t="shared" si="52"/>
        <v>075</v>
      </c>
      <c r="B1128" s="4" t="str">
        <f t="shared" si="53"/>
        <v>12</v>
      </c>
      <c r="C1128" s="5" t="s">
        <v>2129</v>
      </c>
      <c r="E1128" s="6" t="s">
        <v>2109</v>
      </c>
      <c r="F1128" s="7" t="s">
        <v>2130</v>
      </c>
      <c r="G1128" s="8" t="str">
        <f t="shared" si="51"/>
        <v>HEW NIE</v>
      </c>
    </row>
    <row r="1129" spans="1:7">
      <c r="A1129" s="4" t="str">
        <f t="shared" si="52"/>
        <v>075</v>
      </c>
      <c r="B1129" s="4" t="str">
        <f t="shared" si="53"/>
        <v>13</v>
      </c>
      <c r="C1129" s="5" t="s">
        <v>2131</v>
      </c>
      <c r="E1129" s="6" t="s">
        <v>2109</v>
      </c>
      <c r="F1129" s="7" t="s">
        <v>2132</v>
      </c>
      <c r="G1129" s="8" t="str">
        <f t="shared" si="51"/>
        <v>ALCOHOL/</v>
      </c>
    </row>
    <row r="1130" spans="1:7">
      <c r="A1130" s="4" t="str">
        <f t="shared" si="52"/>
        <v>075</v>
      </c>
      <c r="B1130" s="4" t="str">
        <f t="shared" si="53"/>
        <v>14</v>
      </c>
      <c r="C1130" s="5" t="s">
        <v>2133</v>
      </c>
      <c r="E1130" s="6" t="s">
        <v>2109</v>
      </c>
      <c r="F1130" s="7" t="s">
        <v>2134</v>
      </c>
      <c r="G1130" s="8" t="str">
        <f t="shared" si="51"/>
        <v>HEW ASST</v>
      </c>
    </row>
    <row r="1131" spans="1:7">
      <c r="A1131" s="4" t="str">
        <f t="shared" si="52"/>
        <v>075</v>
      </c>
      <c r="B1131" s="4" t="str">
        <f t="shared" si="53"/>
        <v>15</v>
      </c>
      <c r="C1131" s="5" t="s">
        <v>2135</v>
      </c>
      <c r="E1131" s="6" t="s">
        <v>2109</v>
      </c>
      <c r="F1131" s="7" t="s">
        <v>2136</v>
      </c>
      <c r="G1131" s="8" t="str">
        <f t="shared" si="51"/>
        <v>DHHS, PR</v>
      </c>
    </row>
    <row r="1132" spans="1:7">
      <c r="A1132" s="4" t="str">
        <f t="shared" si="52"/>
        <v>075</v>
      </c>
      <c r="B1132" s="4" t="str">
        <f t="shared" si="53"/>
        <v>16</v>
      </c>
      <c r="C1132" s="13" t="s">
        <v>2137</v>
      </c>
      <c r="D1132" s="18" t="s">
        <v>3166</v>
      </c>
      <c r="E1132" s="14" t="s">
        <v>2109</v>
      </c>
      <c r="F1132" s="15" t="s">
        <v>1354</v>
      </c>
      <c r="G1132" s="16" t="str">
        <f t="shared" si="51"/>
        <v xml:space="preserve">EXPIRED </v>
      </c>
    </row>
    <row r="1133" spans="1:7">
      <c r="A1133" s="4" t="str">
        <f t="shared" si="52"/>
        <v>075</v>
      </c>
      <c r="B1133" s="4" t="str">
        <f t="shared" si="53"/>
        <v>17</v>
      </c>
      <c r="C1133" s="5" t="s">
        <v>2138</v>
      </c>
      <c r="E1133" s="6" t="s">
        <v>2109</v>
      </c>
      <c r="F1133" s="7" t="s">
        <v>2139</v>
      </c>
      <c r="G1133" s="8" t="str">
        <f t="shared" si="51"/>
        <v>ADMINIST</v>
      </c>
    </row>
    <row r="1134" spans="1:7">
      <c r="A1134" s="4" t="str">
        <f t="shared" si="52"/>
        <v>075</v>
      </c>
      <c r="B1134" s="4" t="str">
        <f t="shared" si="53"/>
        <v>18</v>
      </c>
      <c r="C1134" s="5" t="s">
        <v>2140</v>
      </c>
      <c r="E1134" s="6" t="s">
        <v>2109</v>
      </c>
      <c r="F1134" s="7" t="s">
        <v>2141</v>
      </c>
      <c r="G1134" s="8" t="str">
        <f t="shared" si="51"/>
        <v>AGENCY F</v>
      </c>
    </row>
    <row r="1135" spans="1:7">
      <c r="A1135" s="4" t="str">
        <f t="shared" si="52"/>
        <v>075</v>
      </c>
      <c r="B1135" s="4" t="str">
        <f t="shared" si="53"/>
        <v>19</v>
      </c>
      <c r="C1135" s="5" t="s">
        <v>2142</v>
      </c>
      <c r="E1135" s="6" t="s">
        <v>2109</v>
      </c>
      <c r="F1135" s="7" t="s">
        <v>2143</v>
      </c>
      <c r="G1135" s="8" t="str">
        <f t="shared" si="51"/>
        <v>ADMINIST</v>
      </c>
    </row>
    <row r="1136" spans="1:7">
      <c r="A1136" s="4" t="str">
        <f t="shared" si="52"/>
        <v>075</v>
      </c>
      <c r="B1136" s="4" t="str">
        <f t="shared" si="53"/>
        <v>20</v>
      </c>
      <c r="C1136" s="5" t="s">
        <v>2144</v>
      </c>
      <c r="E1136" s="6" t="s">
        <v>2109</v>
      </c>
      <c r="F1136" s="7" t="s">
        <v>2145</v>
      </c>
      <c r="G1136" s="8" t="str">
        <f t="shared" si="51"/>
        <v>DEPARTME</v>
      </c>
    </row>
    <row r="1137" spans="1:7">
      <c r="A1137" s="4" t="str">
        <f t="shared" si="52"/>
        <v>075</v>
      </c>
      <c r="B1137" s="4" t="str">
        <f t="shared" si="53"/>
        <v>25</v>
      </c>
      <c r="C1137" s="5" t="s">
        <v>2146</v>
      </c>
      <c r="E1137" s="6" t="s">
        <v>2109</v>
      </c>
      <c r="F1137" s="7" t="s">
        <v>2147</v>
      </c>
      <c r="G1137" s="8" t="str">
        <f t="shared" si="51"/>
        <v>DEPT HEA</v>
      </c>
    </row>
    <row r="1138" spans="1:7">
      <c r="A1138" s="4" t="str">
        <f t="shared" si="52"/>
        <v>075</v>
      </c>
      <c r="B1138" s="4" t="str">
        <f t="shared" si="53"/>
        <v>50</v>
      </c>
      <c r="C1138" s="5" t="s">
        <v>2148</v>
      </c>
      <c r="E1138" s="6" t="s">
        <v>2109</v>
      </c>
      <c r="F1138" s="7" t="s">
        <v>2149</v>
      </c>
      <c r="G1138" s="8" t="str">
        <f t="shared" si="51"/>
        <v>STATE AG</v>
      </c>
    </row>
    <row r="1139" spans="1:7">
      <c r="A1139" s="4" t="str">
        <f t="shared" si="52"/>
        <v>075</v>
      </c>
      <c r="B1139" s="4" t="str">
        <f t="shared" si="53"/>
        <v>51</v>
      </c>
      <c r="C1139" s="5" t="s">
        <v>2150</v>
      </c>
      <c r="E1139" s="6" t="s">
        <v>2109</v>
      </c>
      <c r="F1139" s="7" t="s">
        <v>2151</v>
      </c>
      <c r="G1139" s="8" t="str">
        <f t="shared" si="51"/>
        <v>AMERICAN</v>
      </c>
    </row>
    <row r="1140" spans="1:7">
      <c r="A1140" s="4" t="str">
        <f t="shared" si="52"/>
        <v>075</v>
      </c>
      <c r="B1140" s="4" t="str">
        <f t="shared" si="53"/>
        <v>52</v>
      </c>
      <c r="C1140" s="5" t="s">
        <v>2152</v>
      </c>
      <c r="E1140" s="6" t="s">
        <v>2109</v>
      </c>
      <c r="F1140" s="7" t="s">
        <v>2153</v>
      </c>
      <c r="G1140" s="8" t="str">
        <f t="shared" si="51"/>
        <v>GALLAUDE</v>
      </c>
    </row>
    <row r="1141" spans="1:7">
      <c r="A1141" s="4" t="str">
        <f t="shared" si="52"/>
        <v>075</v>
      </c>
      <c r="B1141" s="4" t="str">
        <f t="shared" si="53"/>
        <v>53</v>
      </c>
      <c r="C1141" s="5" t="s">
        <v>2154</v>
      </c>
      <c r="E1141" s="6" t="s">
        <v>2109</v>
      </c>
      <c r="F1141" s="7" t="s">
        <v>2155</v>
      </c>
      <c r="G1141" s="8" t="str">
        <f t="shared" si="51"/>
        <v>HOWARD U</v>
      </c>
    </row>
    <row r="1142" spans="1:7">
      <c r="A1142" s="4" t="str">
        <f t="shared" si="52"/>
        <v>075</v>
      </c>
      <c r="B1142" s="4" t="str">
        <f t="shared" si="53"/>
        <v>60</v>
      </c>
      <c r="C1142" s="5" t="s">
        <v>2156</v>
      </c>
      <c r="E1142" s="6" t="s">
        <v>2109</v>
      </c>
      <c r="F1142" s="7" t="s">
        <v>2157</v>
      </c>
      <c r="G1142" s="8" t="str">
        <f t="shared" si="51"/>
        <v>DEPT HEA</v>
      </c>
    </row>
    <row r="1143" spans="1:7">
      <c r="A1143" s="4" t="str">
        <f t="shared" si="52"/>
        <v>075</v>
      </c>
      <c r="B1143" s="4" t="str">
        <f t="shared" si="53"/>
        <v>96</v>
      </c>
      <c r="C1143" s="13" t="s">
        <v>2158</v>
      </c>
      <c r="D1143" s="18" t="s">
        <v>3166</v>
      </c>
      <c r="E1143" s="14" t="s">
        <v>2109</v>
      </c>
      <c r="F1143" s="15" t="s">
        <v>1354</v>
      </c>
      <c r="G1143" s="16" t="str">
        <f t="shared" si="51"/>
        <v xml:space="preserve">EXPIRED </v>
      </c>
    </row>
    <row r="1144" spans="1:7">
      <c r="A1144" s="4" t="str">
        <f t="shared" si="52"/>
        <v>075</v>
      </c>
      <c r="B1144" s="4" t="str">
        <f t="shared" si="53"/>
        <v>97</v>
      </c>
      <c r="C1144" s="5" t="s">
        <v>2159</v>
      </c>
      <c r="E1144" s="6" t="s">
        <v>2109</v>
      </c>
      <c r="F1144" s="7" t="s">
        <v>102</v>
      </c>
      <c r="G1144" s="8" t="str">
        <f t="shared" si="51"/>
        <v>GSA ADVA</v>
      </c>
    </row>
    <row r="1145" spans="1:7">
      <c r="A1145" s="4" t="str">
        <f t="shared" si="52"/>
        <v>075</v>
      </c>
      <c r="B1145" s="4" t="str">
        <f t="shared" si="53"/>
        <v>99</v>
      </c>
      <c r="C1145" s="5" t="s">
        <v>2160</v>
      </c>
      <c r="E1145" s="6" t="s">
        <v>2109</v>
      </c>
      <c r="F1145" s="7" t="s">
        <v>132</v>
      </c>
      <c r="G1145" s="8" t="str">
        <f t="shared" si="51"/>
        <v>SUBCONTR</v>
      </c>
    </row>
    <row r="1146" spans="1:7">
      <c r="A1146" s="4" t="str">
        <f t="shared" si="52"/>
        <v>079</v>
      </c>
      <c r="B1146" s="4" t="str">
        <f t="shared" si="53"/>
        <v>00</v>
      </c>
      <c r="C1146" s="13" t="s">
        <v>2161</v>
      </c>
      <c r="D1146" s="18" t="s">
        <v>3166</v>
      </c>
      <c r="E1146" s="14" t="s">
        <v>2162</v>
      </c>
      <c r="F1146" s="15" t="s">
        <v>149</v>
      </c>
      <c r="G1146" s="16" t="str">
        <f t="shared" si="51"/>
        <v xml:space="preserve">EXPIRED </v>
      </c>
    </row>
    <row r="1147" spans="1:7">
      <c r="A1147" s="4" t="str">
        <f t="shared" si="52"/>
        <v>080</v>
      </c>
      <c r="B1147" s="4" t="str">
        <f t="shared" si="53"/>
        <v>00</v>
      </c>
      <c r="C1147" s="5" t="s">
        <v>2163</v>
      </c>
      <c r="E1147" s="6" t="s">
        <v>2164</v>
      </c>
      <c r="F1147" s="7" t="s">
        <v>2164</v>
      </c>
      <c r="G1147" s="8" t="str">
        <f t="shared" si="51"/>
        <v>NATIONAL</v>
      </c>
    </row>
    <row r="1148" spans="1:7">
      <c r="A1148" s="4" t="str">
        <f t="shared" si="52"/>
        <v>080</v>
      </c>
      <c r="B1148" s="4" t="str">
        <f t="shared" si="53"/>
        <v>01</v>
      </c>
      <c r="C1148" s="5" t="s">
        <v>2165</v>
      </c>
      <c r="E1148" s="6" t="s">
        <v>2164</v>
      </c>
      <c r="F1148" s="7" t="s">
        <v>1814</v>
      </c>
      <c r="G1148" s="8" t="str">
        <f t="shared" si="51"/>
        <v>HEADQUAR</v>
      </c>
    </row>
    <row r="1149" spans="1:7">
      <c r="A1149" s="4" t="str">
        <f t="shared" si="52"/>
        <v>080</v>
      </c>
      <c r="B1149" s="4" t="str">
        <f t="shared" si="53"/>
        <v>02</v>
      </c>
      <c r="C1149" s="5" t="s">
        <v>2166</v>
      </c>
      <c r="E1149" s="6" t="s">
        <v>2164</v>
      </c>
      <c r="F1149" s="7" t="s">
        <v>2167</v>
      </c>
      <c r="G1149" s="8" t="str">
        <f t="shared" si="51"/>
        <v>AMES RES</v>
      </c>
    </row>
    <row r="1150" spans="1:7">
      <c r="A1150" s="4" t="str">
        <f t="shared" si="52"/>
        <v>080</v>
      </c>
      <c r="B1150" s="4" t="str">
        <f t="shared" si="53"/>
        <v>03</v>
      </c>
      <c r="C1150" s="5" t="s">
        <v>2168</v>
      </c>
      <c r="E1150" s="6" t="s">
        <v>2164</v>
      </c>
      <c r="F1150" s="7" t="s">
        <v>2169</v>
      </c>
      <c r="G1150" s="8" t="str">
        <f t="shared" si="51"/>
        <v>DRYDEN F</v>
      </c>
    </row>
    <row r="1151" spans="1:7">
      <c r="A1151" s="4" t="str">
        <f t="shared" si="52"/>
        <v>080</v>
      </c>
      <c r="B1151" s="4" t="str">
        <f t="shared" si="53"/>
        <v>04</v>
      </c>
      <c r="C1151" s="5" t="s">
        <v>2170</v>
      </c>
      <c r="E1151" s="6" t="s">
        <v>2164</v>
      </c>
      <c r="F1151" s="7" t="s">
        <v>2171</v>
      </c>
      <c r="G1151" s="8" t="str">
        <f t="shared" si="51"/>
        <v xml:space="preserve">GODDARD </v>
      </c>
    </row>
    <row r="1152" spans="1:7">
      <c r="A1152" s="4" t="str">
        <f t="shared" si="52"/>
        <v>080</v>
      </c>
      <c r="B1152" s="4" t="str">
        <f t="shared" si="53"/>
        <v>05</v>
      </c>
      <c r="C1152" s="5" t="s">
        <v>2172</v>
      </c>
      <c r="E1152" s="6" t="s">
        <v>2164</v>
      </c>
      <c r="F1152" s="7" t="s">
        <v>2173</v>
      </c>
      <c r="G1152" s="8" t="str">
        <f t="shared" si="51"/>
        <v>JET PROP</v>
      </c>
    </row>
    <row r="1153" spans="1:7">
      <c r="A1153" s="4" t="str">
        <f t="shared" si="52"/>
        <v>080</v>
      </c>
      <c r="B1153" s="4" t="str">
        <f t="shared" si="53"/>
        <v>06</v>
      </c>
      <c r="C1153" s="5" t="s">
        <v>2174</v>
      </c>
      <c r="E1153" s="6" t="s">
        <v>2164</v>
      </c>
      <c r="F1153" s="7" t="s">
        <v>2175</v>
      </c>
      <c r="G1153" s="8" t="str">
        <f t="shared" si="51"/>
        <v xml:space="preserve">JOHNSON </v>
      </c>
    </row>
    <row r="1154" spans="1:7">
      <c r="A1154" s="4" t="str">
        <f t="shared" si="52"/>
        <v>080</v>
      </c>
      <c r="B1154" s="4" t="str">
        <f t="shared" si="53"/>
        <v>07</v>
      </c>
      <c r="C1154" s="5" t="s">
        <v>2176</v>
      </c>
      <c r="E1154" s="6" t="s">
        <v>2164</v>
      </c>
      <c r="F1154" s="7" t="s">
        <v>2177</v>
      </c>
      <c r="G1154" s="8" t="str">
        <f t="shared" ref="G1154:G1217" si="54">LEFT(F1154,8)</f>
        <v xml:space="preserve">KENNEDY </v>
      </c>
    </row>
    <row r="1155" spans="1:7">
      <c r="A1155" s="4" t="str">
        <f t="shared" ref="A1155:A1218" si="55">LEFT(C1155,3)</f>
        <v>080</v>
      </c>
      <c r="B1155" s="4" t="str">
        <f t="shared" ref="B1155:B1218" si="56">RIGHT(C1155,2)</f>
        <v>08</v>
      </c>
      <c r="C1155" s="5" t="s">
        <v>2178</v>
      </c>
      <c r="E1155" s="6" t="s">
        <v>2164</v>
      </c>
      <c r="F1155" s="7" t="s">
        <v>2179</v>
      </c>
      <c r="G1155" s="8" t="str">
        <f t="shared" si="54"/>
        <v xml:space="preserve">LANGLEY </v>
      </c>
    </row>
    <row r="1156" spans="1:7">
      <c r="A1156" s="4" t="str">
        <f t="shared" si="55"/>
        <v>080</v>
      </c>
      <c r="B1156" s="4" t="str">
        <f t="shared" si="56"/>
        <v>09</v>
      </c>
      <c r="C1156" s="5" t="s">
        <v>2180</v>
      </c>
      <c r="E1156" s="6" t="s">
        <v>2164</v>
      </c>
      <c r="F1156" s="7" t="s">
        <v>2181</v>
      </c>
      <c r="G1156" s="8" t="str">
        <f t="shared" si="54"/>
        <v>LEWIS RE</v>
      </c>
    </row>
    <row r="1157" spans="1:7">
      <c r="A1157" s="4" t="str">
        <f t="shared" si="55"/>
        <v>080</v>
      </c>
      <c r="B1157" s="4" t="str">
        <f t="shared" si="56"/>
        <v>10</v>
      </c>
      <c r="C1157" s="5" t="s">
        <v>2182</v>
      </c>
      <c r="E1157" s="6" t="s">
        <v>2164</v>
      </c>
      <c r="F1157" s="7" t="s">
        <v>2183</v>
      </c>
      <c r="G1157" s="8" t="str">
        <f t="shared" si="54"/>
        <v>MARSHALL</v>
      </c>
    </row>
    <row r="1158" spans="1:7">
      <c r="A1158" s="4" t="str">
        <f t="shared" si="55"/>
        <v>080</v>
      </c>
      <c r="B1158" s="4" t="str">
        <f t="shared" si="56"/>
        <v>11</v>
      </c>
      <c r="C1158" s="5" t="s">
        <v>2184</v>
      </c>
      <c r="E1158" s="6" t="s">
        <v>2164</v>
      </c>
      <c r="F1158" s="7" t="s">
        <v>2185</v>
      </c>
      <c r="G1158" s="8" t="str">
        <f t="shared" si="54"/>
        <v xml:space="preserve">MICHOUD </v>
      </c>
    </row>
    <row r="1159" spans="1:7">
      <c r="A1159" s="4" t="str">
        <f t="shared" si="55"/>
        <v>080</v>
      </c>
      <c r="B1159" s="4" t="str">
        <f t="shared" si="56"/>
        <v>12</v>
      </c>
      <c r="C1159" s="5" t="s">
        <v>2186</v>
      </c>
      <c r="E1159" s="6" t="s">
        <v>2164</v>
      </c>
      <c r="F1159" s="7" t="s">
        <v>2187</v>
      </c>
      <c r="G1159" s="8" t="str">
        <f t="shared" si="54"/>
        <v>NATIONAL</v>
      </c>
    </row>
    <row r="1160" spans="1:7">
      <c r="A1160" s="4" t="str">
        <f t="shared" si="55"/>
        <v>080</v>
      </c>
      <c r="B1160" s="4" t="str">
        <f t="shared" si="56"/>
        <v>13</v>
      </c>
      <c r="C1160" s="5" t="s">
        <v>2188</v>
      </c>
      <c r="E1160" s="6" t="s">
        <v>2164</v>
      </c>
      <c r="F1160" s="7" t="s">
        <v>2189</v>
      </c>
      <c r="G1160" s="8" t="str">
        <f t="shared" si="54"/>
        <v>PASADENA</v>
      </c>
    </row>
    <row r="1161" spans="1:7">
      <c r="A1161" s="4" t="str">
        <f t="shared" si="55"/>
        <v>080</v>
      </c>
      <c r="B1161" s="4" t="str">
        <f t="shared" si="56"/>
        <v>14</v>
      </c>
      <c r="C1161" s="5" t="s">
        <v>2190</v>
      </c>
      <c r="E1161" s="6" t="s">
        <v>2164</v>
      </c>
      <c r="F1161" s="7" t="s">
        <v>2191</v>
      </c>
      <c r="G1161" s="8" t="str">
        <f t="shared" si="54"/>
        <v xml:space="preserve">WALLOPS </v>
      </c>
    </row>
    <row r="1162" spans="1:7">
      <c r="A1162" s="4" t="str">
        <f t="shared" si="55"/>
        <v>080</v>
      </c>
      <c r="B1162" s="4" t="str">
        <f t="shared" si="56"/>
        <v>15</v>
      </c>
      <c r="C1162" s="5" t="s">
        <v>2192</v>
      </c>
      <c r="E1162" s="6" t="s">
        <v>2164</v>
      </c>
      <c r="F1162" s="7" t="s">
        <v>2193</v>
      </c>
      <c r="G1162" s="8" t="str">
        <f t="shared" si="54"/>
        <v xml:space="preserve">WESTERN </v>
      </c>
    </row>
    <row r="1163" spans="1:7">
      <c r="A1163" s="4" t="str">
        <f t="shared" si="55"/>
        <v>080</v>
      </c>
      <c r="B1163" s="4" t="str">
        <f t="shared" si="56"/>
        <v>16</v>
      </c>
      <c r="C1163" s="5" t="s">
        <v>2194</v>
      </c>
      <c r="E1163" s="6" t="s">
        <v>2164</v>
      </c>
      <c r="F1163" s="7" t="s">
        <v>2195</v>
      </c>
      <c r="G1163" s="8" t="str">
        <f t="shared" si="54"/>
        <v>WHITE SA</v>
      </c>
    </row>
    <row r="1164" spans="1:7">
      <c r="A1164" s="4" t="str">
        <f t="shared" si="55"/>
        <v>080</v>
      </c>
      <c r="B1164" s="4" t="str">
        <f t="shared" si="56"/>
        <v>17</v>
      </c>
      <c r="C1164" s="5" t="s">
        <v>2196</v>
      </c>
      <c r="E1164" s="6" t="s">
        <v>2164</v>
      </c>
      <c r="F1164" s="7" t="s">
        <v>2197</v>
      </c>
      <c r="G1164" s="8" t="str">
        <f t="shared" si="54"/>
        <v>GLADSTON</v>
      </c>
    </row>
    <row r="1165" spans="1:7">
      <c r="A1165" s="4" t="str">
        <f t="shared" si="55"/>
        <v>080</v>
      </c>
      <c r="B1165" s="4" t="str">
        <f t="shared" si="56"/>
        <v>18</v>
      </c>
      <c r="C1165" s="5" t="s">
        <v>2198</v>
      </c>
      <c r="E1165" s="6" t="s">
        <v>2164</v>
      </c>
      <c r="F1165" s="7" t="s">
        <v>2199</v>
      </c>
      <c r="G1165" s="8" t="str">
        <f t="shared" si="54"/>
        <v>CANOGA P</v>
      </c>
    </row>
    <row r="1166" spans="1:7">
      <c r="A1166" s="4" t="str">
        <f t="shared" si="55"/>
        <v>080</v>
      </c>
      <c r="B1166" s="4" t="str">
        <f t="shared" si="56"/>
        <v>19</v>
      </c>
      <c r="C1166" s="5" t="s">
        <v>2200</v>
      </c>
      <c r="E1166" s="6" t="s">
        <v>2164</v>
      </c>
      <c r="F1166" s="7" t="s">
        <v>2201</v>
      </c>
      <c r="G1166" s="8" t="str">
        <f t="shared" si="54"/>
        <v>DOWNEY I</v>
      </c>
    </row>
    <row r="1167" spans="1:7">
      <c r="A1167" s="4" t="str">
        <f t="shared" si="55"/>
        <v>080</v>
      </c>
      <c r="B1167" s="4" t="str">
        <f t="shared" si="56"/>
        <v>20</v>
      </c>
      <c r="C1167" s="5" t="s">
        <v>2202</v>
      </c>
      <c r="E1167" s="6" t="s">
        <v>2164</v>
      </c>
      <c r="F1167" s="7" t="s">
        <v>2203</v>
      </c>
      <c r="G1167" s="8" t="str">
        <f t="shared" si="54"/>
        <v xml:space="preserve">EDWARDS </v>
      </c>
    </row>
    <row r="1168" spans="1:7">
      <c r="A1168" s="4" t="str">
        <f t="shared" si="55"/>
        <v>080</v>
      </c>
      <c r="B1168" s="4" t="str">
        <f t="shared" si="56"/>
        <v>21</v>
      </c>
      <c r="C1168" s="5" t="s">
        <v>2204</v>
      </c>
      <c r="E1168" s="6" t="s">
        <v>2164</v>
      </c>
      <c r="F1168" s="7" t="s">
        <v>2205</v>
      </c>
      <c r="G1168" s="8" t="str">
        <f t="shared" si="54"/>
        <v>PLUM BRO</v>
      </c>
    </row>
    <row r="1169" spans="1:7">
      <c r="A1169" s="4" t="str">
        <f t="shared" si="55"/>
        <v>080</v>
      </c>
      <c r="B1169" s="4" t="str">
        <f t="shared" si="56"/>
        <v>22</v>
      </c>
      <c r="C1169" s="5" t="s">
        <v>2206</v>
      </c>
      <c r="E1169" s="6" t="s">
        <v>2164</v>
      </c>
      <c r="F1169" s="7" t="s">
        <v>2207</v>
      </c>
      <c r="G1169" s="8" t="str">
        <f t="shared" si="54"/>
        <v>SANTA SU</v>
      </c>
    </row>
    <row r="1170" spans="1:7">
      <c r="A1170" s="4" t="str">
        <f t="shared" si="55"/>
        <v>080</v>
      </c>
      <c r="B1170" s="4" t="str">
        <f t="shared" si="56"/>
        <v>23</v>
      </c>
      <c r="C1170" s="5" t="s">
        <v>2208</v>
      </c>
      <c r="E1170" s="6" t="s">
        <v>2164</v>
      </c>
      <c r="F1170" s="7" t="s">
        <v>2209</v>
      </c>
      <c r="G1170" s="8" t="str">
        <f t="shared" si="54"/>
        <v xml:space="preserve">SLIDELL </v>
      </c>
    </row>
    <row r="1171" spans="1:7">
      <c r="A1171" s="4" t="str">
        <f t="shared" si="55"/>
        <v>080</v>
      </c>
      <c r="B1171" s="4" t="str">
        <f t="shared" si="56"/>
        <v>26</v>
      </c>
      <c r="C1171" s="13" t="s">
        <v>2210</v>
      </c>
      <c r="D1171" s="18" t="s">
        <v>3166</v>
      </c>
      <c r="E1171" s="14" t="s">
        <v>2164</v>
      </c>
      <c r="F1171" s="15" t="s">
        <v>1354</v>
      </c>
      <c r="G1171" s="16" t="str">
        <f t="shared" si="54"/>
        <v xml:space="preserve">EXPIRED </v>
      </c>
    </row>
    <row r="1172" spans="1:7">
      <c r="A1172" s="4" t="str">
        <f t="shared" si="55"/>
        <v>080</v>
      </c>
      <c r="B1172" s="4" t="str">
        <f t="shared" si="56"/>
        <v>30</v>
      </c>
      <c r="C1172" s="5" t="s">
        <v>2211</v>
      </c>
      <c r="E1172" s="6" t="s">
        <v>2164</v>
      </c>
      <c r="F1172" s="7" t="s">
        <v>2212</v>
      </c>
      <c r="G1172" s="8" t="str">
        <f t="shared" si="54"/>
        <v>NASA MIS</v>
      </c>
    </row>
    <row r="1173" spans="1:7">
      <c r="A1173" s="4" t="str">
        <f t="shared" si="55"/>
        <v>080</v>
      </c>
      <c r="B1173" s="4" t="str">
        <f t="shared" si="56"/>
        <v>31</v>
      </c>
      <c r="C1173" s="5" t="s">
        <v>2213</v>
      </c>
      <c r="E1173" s="6" t="s">
        <v>2164</v>
      </c>
      <c r="F1173" s="7" t="s">
        <v>2214</v>
      </c>
      <c r="G1173" s="8" t="str">
        <f t="shared" si="54"/>
        <v>NASA MIS</v>
      </c>
    </row>
    <row r="1174" spans="1:7">
      <c r="A1174" s="4" t="str">
        <f t="shared" si="55"/>
        <v>080</v>
      </c>
      <c r="B1174" s="4" t="str">
        <f t="shared" si="56"/>
        <v>32</v>
      </c>
      <c r="C1174" s="5" t="s">
        <v>2215</v>
      </c>
      <c r="E1174" s="6" t="s">
        <v>2164</v>
      </c>
      <c r="F1174" s="7" t="s">
        <v>2216</v>
      </c>
      <c r="G1174" s="8" t="str">
        <f t="shared" si="54"/>
        <v>NASA REI</v>
      </c>
    </row>
    <row r="1175" spans="1:7">
      <c r="A1175" s="4" t="str">
        <f t="shared" si="55"/>
        <v>080</v>
      </c>
      <c r="B1175" s="4" t="str">
        <f t="shared" si="56"/>
        <v>33</v>
      </c>
      <c r="C1175" s="5" t="s">
        <v>2217</v>
      </c>
      <c r="E1175" s="6" t="s">
        <v>2164</v>
      </c>
      <c r="F1175" s="7" t="s">
        <v>2218</v>
      </c>
      <c r="G1175" s="8" t="str">
        <f t="shared" si="54"/>
        <v>NASA INT</v>
      </c>
    </row>
    <row r="1176" spans="1:7">
      <c r="A1176" s="4" t="str">
        <f t="shared" si="55"/>
        <v>080</v>
      </c>
      <c r="B1176" s="4" t="str">
        <f t="shared" si="56"/>
        <v>34</v>
      </c>
      <c r="C1176" s="5" t="s">
        <v>2219</v>
      </c>
      <c r="E1176" s="6" t="s">
        <v>2164</v>
      </c>
      <c r="F1176" s="7" t="s">
        <v>2220</v>
      </c>
      <c r="G1176" s="8" t="str">
        <f t="shared" si="54"/>
        <v>NASA INT</v>
      </c>
    </row>
    <row r="1177" spans="1:7">
      <c r="A1177" s="4" t="str">
        <f t="shared" si="55"/>
        <v>080</v>
      </c>
      <c r="B1177" s="4" t="str">
        <f t="shared" si="56"/>
        <v>35</v>
      </c>
      <c r="C1177" s="5" t="s">
        <v>2221</v>
      </c>
      <c r="E1177" s="6" t="s">
        <v>2164</v>
      </c>
      <c r="F1177" s="7" t="s">
        <v>2222</v>
      </c>
      <c r="G1177" s="8" t="str">
        <f t="shared" si="54"/>
        <v>NASA/CLI</v>
      </c>
    </row>
    <row r="1178" spans="1:7">
      <c r="A1178" s="4" t="str">
        <f t="shared" si="55"/>
        <v>080</v>
      </c>
      <c r="B1178" s="4" t="str">
        <f t="shared" si="56"/>
        <v>36</v>
      </c>
      <c r="C1178" s="5" t="s">
        <v>2223</v>
      </c>
      <c r="E1178" s="6" t="s">
        <v>2164</v>
      </c>
      <c r="F1178" s="7" t="s">
        <v>2224</v>
      </c>
      <c r="G1178" s="8" t="str">
        <f t="shared" si="54"/>
        <v>NASA/CLI</v>
      </c>
    </row>
    <row r="1179" spans="1:7">
      <c r="A1179" s="4" t="str">
        <f t="shared" si="55"/>
        <v>080</v>
      </c>
      <c r="B1179" s="4" t="str">
        <f t="shared" si="56"/>
        <v>37</v>
      </c>
      <c r="C1179" s="5" t="s">
        <v>2225</v>
      </c>
      <c r="E1179" s="6" t="s">
        <v>2164</v>
      </c>
      <c r="F1179" s="7" t="s">
        <v>2226</v>
      </c>
      <c r="G1179" s="8" t="str">
        <f t="shared" si="54"/>
        <v>NASA/CLI</v>
      </c>
    </row>
    <row r="1180" spans="1:7">
      <c r="A1180" s="4" t="str">
        <f t="shared" si="55"/>
        <v>080</v>
      </c>
      <c r="B1180" s="4" t="str">
        <f t="shared" si="56"/>
        <v>38</v>
      </c>
      <c r="C1180" s="5" t="s">
        <v>2227</v>
      </c>
      <c r="E1180" s="6" t="s">
        <v>2164</v>
      </c>
      <c r="F1180" s="7" t="s">
        <v>2228</v>
      </c>
      <c r="G1180" s="8" t="str">
        <f t="shared" si="54"/>
        <v>NASA/SER</v>
      </c>
    </row>
    <row r="1181" spans="1:7">
      <c r="A1181" s="4" t="str">
        <f t="shared" si="55"/>
        <v>080</v>
      </c>
      <c r="B1181" s="4" t="str">
        <f t="shared" si="56"/>
        <v>39</v>
      </c>
      <c r="C1181" s="5" t="s">
        <v>2229</v>
      </c>
      <c r="E1181" s="6" t="s">
        <v>2164</v>
      </c>
      <c r="F1181" s="7" t="s">
        <v>2230</v>
      </c>
      <c r="G1181" s="8" t="str">
        <f t="shared" si="54"/>
        <v>NASA/SER</v>
      </c>
    </row>
    <row r="1182" spans="1:7">
      <c r="A1182" s="4" t="str">
        <f t="shared" si="55"/>
        <v>080</v>
      </c>
      <c r="B1182" s="4" t="str">
        <f t="shared" si="56"/>
        <v>40</v>
      </c>
      <c r="C1182" s="5" t="s">
        <v>2231</v>
      </c>
      <c r="E1182" s="6" t="s">
        <v>2164</v>
      </c>
      <c r="F1182" s="7" t="s">
        <v>2232</v>
      </c>
      <c r="G1182" s="8" t="str">
        <f t="shared" si="54"/>
        <v>NASA/MIS</v>
      </c>
    </row>
    <row r="1183" spans="1:7">
      <c r="A1183" s="4" t="str">
        <f t="shared" si="55"/>
        <v>080</v>
      </c>
      <c r="B1183" s="4" t="str">
        <f t="shared" si="56"/>
        <v>41</v>
      </c>
      <c r="C1183" s="5" t="s">
        <v>2233</v>
      </c>
      <c r="E1183" s="6" t="s">
        <v>2164</v>
      </c>
      <c r="F1183" s="7" t="s">
        <v>2234</v>
      </c>
      <c r="G1183" s="8" t="str">
        <f t="shared" si="54"/>
        <v>NASA/MIS</v>
      </c>
    </row>
    <row r="1184" spans="1:7">
      <c r="A1184" s="4" t="str">
        <f t="shared" si="55"/>
        <v>080</v>
      </c>
      <c r="B1184" s="4" t="str">
        <f t="shared" si="56"/>
        <v>97</v>
      </c>
      <c r="C1184" s="5" t="s">
        <v>2235</v>
      </c>
      <c r="E1184" s="6" t="s">
        <v>2164</v>
      </c>
      <c r="F1184" s="7" t="s">
        <v>102</v>
      </c>
      <c r="G1184" s="8" t="str">
        <f t="shared" si="54"/>
        <v>GSA ADVA</v>
      </c>
    </row>
    <row r="1185" spans="1:7">
      <c r="A1185" s="4" t="str">
        <f t="shared" si="55"/>
        <v>080</v>
      </c>
      <c r="B1185" s="4" t="str">
        <f t="shared" si="56"/>
        <v>99</v>
      </c>
      <c r="C1185" s="5" t="s">
        <v>2236</v>
      </c>
      <c r="E1185" s="6" t="s">
        <v>2164</v>
      </c>
      <c r="F1185" s="7" t="s">
        <v>132</v>
      </c>
      <c r="G1185" s="8" t="str">
        <f t="shared" si="54"/>
        <v>SUBCONTR</v>
      </c>
    </row>
    <row r="1186" spans="1:7">
      <c r="A1186" s="4" t="str">
        <f t="shared" si="55"/>
        <v>082</v>
      </c>
      <c r="B1186" s="4" t="str">
        <f t="shared" si="56"/>
        <v>00</v>
      </c>
      <c r="C1186" s="5" t="s">
        <v>2237</v>
      </c>
      <c r="E1186" s="6" t="s">
        <v>2238</v>
      </c>
      <c r="F1186" s="7" t="s">
        <v>2238</v>
      </c>
      <c r="G1186" s="8" t="str">
        <f t="shared" si="54"/>
        <v xml:space="preserve">FEDERAL </v>
      </c>
    </row>
    <row r="1187" spans="1:7">
      <c r="A1187" s="4" t="str">
        <f t="shared" si="55"/>
        <v>082</v>
      </c>
      <c r="B1187" s="4" t="str">
        <f t="shared" si="56"/>
        <v>01</v>
      </c>
      <c r="C1187" s="5" t="s">
        <v>2239</v>
      </c>
      <c r="E1187" s="6" t="s">
        <v>2238</v>
      </c>
      <c r="F1187" s="7" t="s">
        <v>2240</v>
      </c>
      <c r="G1187" s="8" t="str">
        <f t="shared" si="54"/>
        <v xml:space="preserve">FHL FED </v>
      </c>
    </row>
    <row r="1188" spans="1:7">
      <c r="A1188" s="4" t="str">
        <f t="shared" si="55"/>
        <v>082</v>
      </c>
      <c r="B1188" s="4" t="str">
        <f t="shared" si="56"/>
        <v>03</v>
      </c>
      <c r="C1188" s="5" t="s">
        <v>2241</v>
      </c>
      <c r="E1188" s="6" t="s">
        <v>2238</v>
      </c>
      <c r="F1188" s="7" t="s">
        <v>2242</v>
      </c>
      <c r="G1188" s="8" t="str">
        <f t="shared" si="54"/>
        <v xml:space="preserve">FHL FED </v>
      </c>
    </row>
    <row r="1189" spans="1:7">
      <c r="A1189" s="4" t="str">
        <f t="shared" si="55"/>
        <v>083</v>
      </c>
      <c r="B1189" s="4" t="str">
        <f t="shared" si="56"/>
        <v>00</v>
      </c>
      <c r="C1189" s="5" t="s">
        <v>2243</v>
      </c>
      <c r="E1189" s="6" t="s">
        <v>2244</v>
      </c>
      <c r="F1189" s="7" t="s">
        <v>2244</v>
      </c>
      <c r="G1189" s="8" t="str">
        <f t="shared" si="54"/>
        <v>EXPORT-I</v>
      </c>
    </row>
    <row r="1190" spans="1:7">
      <c r="A1190" s="4" t="str">
        <f t="shared" si="55"/>
        <v>083</v>
      </c>
      <c r="B1190" s="4" t="str">
        <f t="shared" si="56"/>
        <v>97</v>
      </c>
      <c r="C1190" s="5" t="s">
        <v>2245</v>
      </c>
      <c r="E1190" s="6" t="s">
        <v>2244</v>
      </c>
      <c r="F1190" s="7" t="s">
        <v>102</v>
      </c>
      <c r="G1190" s="8" t="str">
        <f t="shared" si="54"/>
        <v>GSA ADVA</v>
      </c>
    </row>
    <row r="1191" spans="1:7">
      <c r="A1191" s="4" t="str">
        <f t="shared" si="55"/>
        <v>084</v>
      </c>
      <c r="B1191" s="4" t="str">
        <f t="shared" si="56"/>
        <v>00</v>
      </c>
      <c r="C1191" s="5" t="s">
        <v>2246</v>
      </c>
      <c r="E1191" s="6" t="s">
        <v>2247</v>
      </c>
      <c r="F1191" s="7" t="s">
        <v>2247</v>
      </c>
      <c r="G1191" s="8" t="str">
        <f t="shared" si="54"/>
        <v>ARMED FO</v>
      </c>
    </row>
    <row r="1192" spans="1:7">
      <c r="A1192" s="4" t="str">
        <f t="shared" si="55"/>
        <v>084</v>
      </c>
      <c r="B1192" s="4" t="str">
        <f t="shared" si="56"/>
        <v>01</v>
      </c>
      <c r="C1192" s="5" t="s">
        <v>2248</v>
      </c>
      <c r="E1192" s="6" t="s">
        <v>2247</v>
      </c>
      <c r="F1192" s="7" t="s">
        <v>2249</v>
      </c>
      <c r="G1192" s="8" t="str">
        <f t="shared" si="54"/>
        <v>UNITED S</v>
      </c>
    </row>
    <row r="1193" spans="1:7">
      <c r="A1193" s="4" t="str">
        <f t="shared" si="55"/>
        <v>084</v>
      </c>
      <c r="B1193" s="4" t="str">
        <f t="shared" si="56"/>
        <v>02</v>
      </c>
      <c r="C1193" s="5" t="s">
        <v>2250</v>
      </c>
      <c r="E1193" s="6" t="s">
        <v>2247</v>
      </c>
      <c r="F1193" s="7" t="s">
        <v>2251</v>
      </c>
      <c r="G1193" s="8" t="str">
        <f t="shared" si="54"/>
        <v>UNITED S</v>
      </c>
    </row>
    <row r="1194" spans="1:7">
      <c r="A1194" s="4" t="str">
        <f t="shared" si="55"/>
        <v>084</v>
      </c>
      <c r="B1194" s="4" t="str">
        <f t="shared" si="56"/>
        <v>97</v>
      </c>
      <c r="C1194" s="5" t="s">
        <v>2252</v>
      </c>
      <c r="E1194" s="6" t="s">
        <v>2247</v>
      </c>
      <c r="F1194" s="7" t="s">
        <v>102</v>
      </c>
      <c r="G1194" s="8" t="str">
        <f t="shared" si="54"/>
        <v>GSA ADVA</v>
      </c>
    </row>
    <row r="1195" spans="1:7">
      <c r="A1195" s="4" t="str">
        <f t="shared" si="55"/>
        <v>086</v>
      </c>
      <c r="B1195" s="4" t="str">
        <f t="shared" si="56"/>
        <v>00</v>
      </c>
      <c r="C1195" s="5" t="s">
        <v>2253</v>
      </c>
      <c r="E1195" s="6" t="s">
        <v>2254</v>
      </c>
      <c r="F1195" s="7" t="s">
        <v>2254</v>
      </c>
      <c r="G1195" s="8" t="str">
        <f t="shared" si="54"/>
        <v>DEPARTME</v>
      </c>
    </row>
    <row r="1196" spans="1:7">
      <c r="A1196" s="4" t="str">
        <f t="shared" si="55"/>
        <v>086</v>
      </c>
      <c r="B1196" s="4" t="str">
        <f t="shared" si="56"/>
        <v>01</v>
      </c>
      <c r="C1196" s="5" t="s">
        <v>2255</v>
      </c>
      <c r="E1196" s="6" t="s">
        <v>2254</v>
      </c>
      <c r="F1196" s="7" t="s">
        <v>442</v>
      </c>
      <c r="G1196" s="8" t="str">
        <f t="shared" si="54"/>
        <v>OFFICE O</v>
      </c>
    </row>
    <row r="1197" spans="1:7">
      <c r="A1197" s="4" t="str">
        <f t="shared" si="55"/>
        <v>086</v>
      </c>
      <c r="B1197" s="4" t="str">
        <f t="shared" si="56"/>
        <v>02</v>
      </c>
      <c r="C1197" s="5" t="s">
        <v>2256</v>
      </c>
      <c r="E1197" s="6" t="s">
        <v>2254</v>
      </c>
      <c r="F1197" s="7" t="s">
        <v>1522</v>
      </c>
      <c r="G1197" s="8" t="str">
        <f t="shared" si="54"/>
        <v>OFFICE O</v>
      </c>
    </row>
    <row r="1198" spans="1:7">
      <c r="A1198" s="4" t="str">
        <f t="shared" si="55"/>
        <v>086</v>
      </c>
      <c r="B1198" s="4" t="str">
        <f t="shared" si="56"/>
        <v>03</v>
      </c>
      <c r="C1198" s="5" t="s">
        <v>2257</v>
      </c>
      <c r="E1198" s="6" t="s">
        <v>2254</v>
      </c>
      <c r="F1198" s="7" t="s">
        <v>2258</v>
      </c>
      <c r="G1198" s="8" t="str">
        <f t="shared" si="54"/>
        <v>ASSISTAN</v>
      </c>
    </row>
    <row r="1199" spans="1:7">
      <c r="A1199" s="4" t="str">
        <f t="shared" si="55"/>
        <v>086</v>
      </c>
      <c r="B1199" s="4" t="str">
        <f t="shared" si="56"/>
        <v>04</v>
      </c>
      <c r="C1199" s="5" t="s">
        <v>2259</v>
      </c>
      <c r="E1199" s="6" t="s">
        <v>2254</v>
      </c>
      <c r="F1199" s="7" t="s">
        <v>2260</v>
      </c>
      <c r="G1199" s="8" t="str">
        <f t="shared" si="54"/>
        <v>ASSISTAN</v>
      </c>
    </row>
    <row r="1200" spans="1:7">
      <c r="A1200" s="4" t="str">
        <f t="shared" si="55"/>
        <v>086</v>
      </c>
      <c r="B1200" s="4" t="str">
        <f t="shared" si="56"/>
        <v>05</v>
      </c>
      <c r="C1200" s="5" t="s">
        <v>2261</v>
      </c>
      <c r="E1200" s="6" t="s">
        <v>2254</v>
      </c>
      <c r="F1200" s="7" t="s">
        <v>2262</v>
      </c>
      <c r="G1200" s="8" t="str">
        <f t="shared" si="54"/>
        <v>ASST SEC</v>
      </c>
    </row>
    <row r="1201" spans="1:7">
      <c r="A1201" s="4" t="str">
        <f t="shared" si="55"/>
        <v>086</v>
      </c>
      <c r="B1201" s="4" t="str">
        <f t="shared" si="56"/>
        <v>06</v>
      </c>
      <c r="C1201" s="5" t="s">
        <v>2263</v>
      </c>
      <c r="E1201" s="6" t="s">
        <v>2254</v>
      </c>
      <c r="F1201" s="7" t="s">
        <v>2264</v>
      </c>
      <c r="G1201" s="8" t="str">
        <f t="shared" si="54"/>
        <v>ASSISTAN</v>
      </c>
    </row>
    <row r="1202" spans="1:7">
      <c r="A1202" s="4" t="str">
        <f t="shared" si="55"/>
        <v>086</v>
      </c>
      <c r="B1202" s="4" t="str">
        <f t="shared" si="56"/>
        <v>07</v>
      </c>
      <c r="C1202" s="5" t="s">
        <v>2265</v>
      </c>
      <c r="E1202" s="6" t="s">
        <v>2254</v>
      </c>
      <c r="F1202" s="7" t="s">
        <v>2266</v>
      </c>
      <c r="G1202" s="8" t="str">
        <f t="shared" si="54"/>
        <v>GOVERNME</v>
      </c>
    </row>
    <row r="1203" spans="1:7">
      <c r="A1203" s="4" t="str">
        <f t="shared" si="55"/>
        <v>086</v>
      </c>
      <c r="B1203" s="4" t="str">
        <f t="shared" si="56"/>
        <v>08</v>
      </c>
      <c r="C1203" s="5" t="s">
        <v>2267</v>
      </c>
      <c r="E1203" s="6" t="s">
        <v>2254</v>
      </c>
      <c r="F1203" s="7" t="s">
        <v>2268</v>
      </c>
      <c r="G1203" s="8" t="str">
        <f t="shared" si="54"/>
        <v>OFFICE O</v>
      </c>
    </row>
    <row r="1204" spans="1:7">
      <c r="A1204" s="4" t="str">
        <f t="shared" si="55"/>
        <v>086</v>
      </c>
      <c r="B1204" s="4" t="str">
        <f t="shared" si="56"/>
        <v>11</v>
      </c>
      <c r="C1204" s="5" t="s">
        <v>2269</v>
      </c>
      <c r="E1204" s="6" t="s">
        <v>2254</v>
      </c>
      <c r="F1204" s="7" t="s">
        <v>2270</v>
      </c>
      <c r="G1204" s="8" t="str">
        <f t="shared" si="54"/>
        <v>ASSISTAN</v>
      </c>
    </row>
    <row r="1205" spans="1:7">
      <c r="A1205" s="4" t="str">
        <f t="shared" si="55"/>
        <v>086</v>
      </c>
      <c r="B1205" s="4" t="str">
        <f t="shared" si="56"/>
        <v>12</v>
      </c>
      <c r="C1205" s="5" t="s">
        <v>2271</v>
      </c>
      <c r="E1205" s="6" t="s">
        <v>2254</v>
      </c>
      <c r="F1205" s="7" t="s">
        <v>2272</v>
      </c>
      <c r="G1205" s="8" t="str">
        <f t="shared" si="54"/>
        <v>FIELD OF</v>
      </c>
    </row>
    <row r="1206" spans="1:7">
      <c r="A1206" s="4" t="str">
        <f t="shared" si="55"/>
        <v>086</v>
      </c>
      <c r="B1206" s="4" t="str">
        <f t="shared" si="56"/>
        <v>13</v>
      </c>
      <c r="C1206" s="5" t="s">
        <v>2273</v>
      </c>
      <c r="E1206" s="6" t="s">
        <v>2254</v>
      </c>
      <c r="F1206" s="7" t="s">
        <v>2274</v>
      </c>
      <c r="G1206" s="8" t="str">
        <f t="shared" si="54"/>
        <v>ASSISTAN</v>
      </c>
    </row>
    <row r="1207" spans="1:7">
      <c r="A1207" s="4" t="str">
        <f t="shared" si="55"/>
        <v>086</v>
      </c>
      <c r="B1207" s="4" t="str">
        <f t="shared" si="56"/>
        <v>14</v>
      </c>
      <c r="C1207" s="5" t="s">
        <v>2275</v>
      </c>
      <c r="E1207" s="6" t="s">
        <v>2254</v>
      </c>
      <c r="F1207" s="7" t="s">
        <v>2276</v>
      </c>
      <c r="G1207" s="8" t="str">
        <f t="shared" si="54"/>
        <v>NATIONAL</v>
      </c>
    </row>
    <row r="1208" spans="1:7">
      <c r="A1208" s="4" t="str">
        <f t="shared" si="55"/>
        <v>086</v>
      </c>
      <c r="B1208" s="4" t="str">
        <f t="shared" si="56"/>
        <v>56</v>
      </c>
      <c r="C1208" s="5" t="s">
        <v>2277</v>
      </c>
      <c r="E1208" s="6" t="s">
        <v>2254</v>
      </c>
      <c r="F1208" s="7" t="s">
        <v>2278</v>
      </c>
      <c r="G1208" s="8" t="str">
        <f t="shared" si="54"/>
        <v>OFFICE F</v>
      </c>
    </row>
    <row r="1209" spans="1:7">
      <c r="A1209" s="4" t="str">
        <f t="shared" si="55"/>
        <v>086</v>
      </c>
      <c r="B1209" s="4" t="str">
        <f t="shared" si="56"/>
        <v>97</v>
      </c>
      <c r="C1209" s="5" t="s">
        <v>2279</v>
      </c>
      <c r="E1209" s="6" t="s">
        <v>2254</v>
      </c>
      <c r="F1209" s="7" t="s">
        <v>102</v>
      </c>
      <c r="G1209" s="8" t="str">
        <f t="shared" si="54"/>
        <v>GSA ADVA</v>
      </c>
    </row>
    <row r="1210" spans="1:7">
      <c r="A1210" s="4" t="str">
        <f t="shared" si="55"/>
        <v>086</v>
      </c>
      <c r="B1210" s="4" t="str">
        <f t="shared" si="56"/>
        <v>99</v>
      </c>
      <c r="C1210" s="5" t="s">
        <v>2280</v>
      </c>
      <c r="E1210" s="6" t="s">
        <v>2254</v>
      </c>
      <c r="F1210" s="7" t="s">
        <v>132</v>
      </c>
      <c r="G1210" s="8" t="str">
        <f t="shared" si="54"/>
        <v>SUBCONTR</v>
      </c>
    </row>
    <row r="1211" spans="1:7">
      <c r="A1211" s="4" t="str">
        <f t="shared" si="55"/>
        <v>088</v>
      </c>
      <c r="B1211" s="4" t="str">
        <f t="shared" si="56"/>
        <v>00</v>
      </c>
      <c r="C1211" s="5" t="s">
        <v>2281</v>
      </c>
      <c r="E1211" s="6" t="s">
        <v>2282</v>
      </c>
      <c r="F1211" s="7" t="s">
        <v>2283</v>
      </c>
      <c r="G1211" s="8" t="str">
        <f t="shared" si="54"/>
        <v>NARA</v>
      </c>
    </row>
    <row r="1212" spans="1:7">
      <c r="A1212" s="4" t="str">
        <f t="shared" si="55"/>
        <v>088</v>
      </c>
      <c r="B1212" s="4" t="str">
        <f t="shared" si="56"/>
        <v>01</v>
      </c>
      <c r="C1212" s="5" t="s">
        <v>2284</v>
      </c>
      <c r="E1212" s="6" t="s">
        <v>2282</v>
      </c>
      <c r="F1212" s="7" t="s">
        <v>2283</v>
      </c>
      <c r="G1212" s="8" t="str">
        <f t="shared" si="54"/>
        <v>NARA</v>
      </c>
    </row>
    <row r="1213" spans="1:7">
      <c r="A1213" s="4" t="str">
        <f t="shared" si="55"/>
        <v>088</v>
      </c>
      <c r="B1213" s="4" t="str">
        <f t="shared" si="56"/>
        <v>02</v>
      </c>
      <c r="C1213" s="5" t="s">
        <v>2285</v>
      </c>
      <c r="E1213" s="6" t="s">
        <v>2282</v>
      </c>
      <c r="F1213" s="7" t="s">
        <v>2286</v>
      </c>
      <c r="G1213" s="8" t="str">
        <f t="shared" si="54"/>
        <v>NARA - R</v>
      </c>
    </row>
    <row r="1214" spans="1:7">
      <c r="A1214" s="4" t="str">
        <f t="shared" si="55"/>
        <v>088</v>
      </c>
      <c r="B1214" s="4" t="str">
        <f t="shared" si="56"/>
        <v>03</v>
      </c>
      <c r="C1214" s="5" t="s">
        <v>2287</v>
      </c>
      <c r="E1214" s="6" t="s">
        <v>2282</v>
      </c>
      <c r="F1214" s="7" t="s">
        <v>2288</v>
      </c>
      <c r="G1214" s="8" t="str">
        <f t="shared" si="54"/>
        <v>NARA - R</v>
      </c>
    </row>
    <row r="1215" spans="1:7">
      <c r="A1215" s="4" t="str">
        <f t="shared" si="55"/>
        <v>088</v>
      </c>
      <c r="B1215" s="4" t="str">
        <f t="shared" si="56"/>
        <v>97</v>
      </c>
      <c r="C1215" s="5" t="s">
        <v>2289</v>
      </c>
      <c r="E1215" s="6" t="s">
        <v>2282</v>
      </c>
      <c r="F1215" s="7" t="s">
        <v>102</v>
      </c>
      <c r="G1215" s="8" t="str">
        <f t="shared" si="54"/>
        <v>GSA ADVA</v>
      </c>
    </row>
    <row r="1216" spans="1:7">
      <c r="A1216" s="4" t="str">
        <f t="shared" si="55"/>
        <v>088</v>
      </c>
      <c r="B1216" s="4" t="str">
        <f t="shared" si="56"/>
        <v>99</v>
      </c>
      <c r="C1216" s="5" t="s">
        <v>2290</v>
      </c>
      <c r="E1216" s="6" t="s">
        <v>2282</v>
      </c>
      <c r="F1216" s="7" t="s">
        <v>132</v>
      </c>
      <c r="G1216" s="8" t="str">
        <f t="shared" si="54"/>
        <v>SUBCONTR</v>
      </c>
    </row>
    <row r="1217" spans="1:7">
      <c r="A1217" s="4" t="str">
        <f t="shared" si="55"/>
        <v>089</v>
      </c>
      <c r="B1217" s="4" t="str">
        <f t="shared" si="56"/>
        <v>00</v>
      </c>
      <c r="C1217" s="5" t="s">
        <v>2291</v>
      </c>
      <c r="E1217" s="6" t="s">
        <v>2292</v>
      </c>
      <c r="F1217" s="7" t="s">
        <v>2292</v>
      </c>
      <c r="G1217" s="8" t="str">
        <f t="shared" si="54"/>
        <v>DEPARTME</v>
      </c>
    </row>
    <row r="1218" spans="1:7">
      <c r="A1218" s="4" t="str">
        <f t="shared" si="55"/>
        <v>089</v>
      </c>
      <c r="B1218" s="4" t="str">
        <f t="shared" si="56"/>
        <v>01</v>
      </c>
      <c r="C1218" s="5" t="s">
        <v>2293</v>
      </c>
      <c r="E1218" s="6" t="s">
        <v>2292</v>
      </c>
      <c r="F1218" s="7" t="s">
        <v>2294</v>
      </c>
      <c r="G1218" s="8" t="str">
        <f t="shared" ref="G1218:G1281" si="57">LEFT(F1218,8)</f>
        <v>RICHLAND</v>
      </c>
    </row>
    <row r="1219" spans="1:7">
      <c r="A1219" s="4" t="str">
        <f t="shared" ref="A1219:A1282" si="58">LEFT(C1219,3)</f>
        <v>089</v>
      </c>
      <c r="B1219" s="4" t="str">
        <f t="shared" ref="B1219:B1282" si="59">RIGHT(C1219,2)</f>
        <v>02</v>
      </c>
      <c r="C1219" s="5" t="s">
        <v>2295</v>
      </c>
      <c r="E1219" s="6" t="s">
        <v>2292</v>
      </c>
      <c r="F1219" s="7" t="s">
        <v>2296</v>
      </c>
      <c r="G1219" s="8" t="str">
        <f t="shared" si="57"/>
        <v xml:space="preserve">FEDERAL </v>
      </c>
    </row>
    <row r="1220" spans="1:7">
      <c r="A1220" s="4" t="str">
        <f t="shared" si="58"/>
        <v>089</v>
      </c>
      <c r="B1220" s="4" t="str">
        <f t="shared" si="59"/>
        <v>03</v>
      </c>
      <c r="C1220" s="5" t="s">
        <v>2297</v>
      </c>
      <c r="E1220" s="6" t="s">
        <v>2292</v>
      </c>
      <c r="F1220" s="7" t="s">
        <v>2298</v>
      </c>
      <c r="G1220" s="8" t="str">
        <f t="shared" si="57"/>
        <v>STRAT. P</v>
      </c>
    </row>
    <row r="1221" spans="1:7">
      <c r="A1221" s="4" t="str">
        <f t="shared" si="58"/>
        <v>089</v>
      </c>
      <c r="B1221" s="4" t="str">
        <f t="shared" si="59"/>
        <v>04</v>
      </c>
      <c r="C1221" s="5" t="s">
        <v>2299</v>
      </c>
      <c r="E1221" s="6" t="s">
        <v>2292</v>
      </c>
      <c r="F1221" s="7" t="s">
        <v>2300</v>
      </c>
      <c r="G1221" s="8" t="str">
        <f t="shared" si="57"/>
        <v>NEVADA O</v>
      </c>
    </row>
    <row r="1222" spans="1:7">
      <c r="A1222" s="4" t="str">
        <f t="shared" si="58"/>
        <v>089</v>
      </c>
      <c r="B1222" s="4" t="str">
        <f t="shared" si="59"/>
        <v>05</v>
      </c>
      <c r="C1222" s="5" t="s">
        <v>2301</v>
      </c>
      <c r="E1222" s="6" t="s">
        <v>2292</v>
      </c>
      <c r="F1222" s="7" t="s">
        <v>2302</v>
      </c>
      <c r="G1222" s="8" t="str">
        <f t="shared" si="57"/>
        <v>ALBUQUER</v>
      </c>
    </row>
    <row r="1223" spans="1:7">
      <c r="A1223" s="4" t="str">
        <f t="shared" si="58"/>
        <v>089</v>
      </c>
      <c r="B1223" s="4" t="str">
        <f t="shared" si="59"/>
        <v>06</v>
      </c>
      <c r="C1223" s="5" t="s">
        <v>2303</v>
      </c>
      <c r="E1223" s="6" t="s">
        <v>2292</v>
      </c>
      <c r="F1223" s="7" t="s">
        <v>2304</v>
      </c>
      <c r="G1223" s="8" t="str">
        <f t="shared" si="57"/>
        <v>SAN FRAN</v>
      </c>
    </row>
    <row r="1224" spans="1:7">
      <c r="A1224" s="4" t="str">
        <f t="shared" si="58"/>
        <v>089</v>
      </c>
      <c r="B1224" s="4" t="str">
        <f t="shared" si="59"/>
        <v>07</v>
      </c>
      <c r="C1224" s="5" t="s">
        <v>2305</v>
      </c>
      <c r="E1224" s="6" t="s">
        <v>2292</v>
      </c>
      <c r="F1224" s="7" t="s">
        <v>2306</v>
      </c>
      <c r="G1224" s="8" t="str">
        <f t="shared" si="57"/>
        <v>SCHENECT</v>
      </c>
    </row>
    <row r="1225" spans="1:7">
      <c r="A1225" s="4" t="str">
        <f t="shared" si="58"/>
        <v>089</v>
      </c>
      <c r="B1225" s="4" t="str">
        <f t="shared" si="59"/>
        <v>08</v>
      </c>
      <c r="C1225" s="5" t="s">
        <v>2307</v>
      </c>
      <c r="E1225" s="6" t="s">
        <v>2292</v>
      </c>
      <c r="F1225" s="7" t="s">
        <v>2308</v>
      </c>
      <c r="G1225" s="8" t="str">
        <f t="shared" si="57"/>
        <v>IDAHO OP</v>
      </c>
    </row>
    <row r="1226" spans="1:7">
      <c r="A1226" s="4" t="str">
        <f t="shared" si="58"/>
        <v>089</v>
      </c>
      <c r="B1226" s="4" t="str">
        <f t="shared" si="59"/>
        <v>09</v>
      </c>
      <c r="C1226" s="5" t="s">
        <v>2309</v>
      </c>
      <c r="E1226" s="6" t="s">
        <v>2292</v>
      </c>
      <c r="F1226" s="7" t="s">
        <v>2310</v>
      </c>
      <c r="G1226" s="8" t="str">
        <f t="shared" si="57"/>
        <v xml:space="preserve">CHICAGO </v>
      </c>
    </row>
    <row r="1227" spans="1:7">
      <c r="A1227" s="4" t="str">
        <f t="shared" si="58"/>
        <v>089</v>
      </c>
      <c r="B1227" s="4" t="str">
        <f t="shared" si="59"/>
        <v>10</v>
      </c>
      <c r="C1227" s="5" t="s">
        <v>2311</v>
      </c>
      <c r="E1227" s="6" t="s">
        <v>2292</v>
      </c>
      <c r="F1227" s="7" t="s">
        <v>2312</v>
      </c>
      <c r="G1227" s="8" t="str">
        <f t="shared" si="57"/>
        <v>SAVANNAH</v>
      </c>
    </row>
    <row r="1228" spans="1:7">
      <c r="A1228" s="4" t="str">
        <f t="shared" si="58"/>
        <v>089</v>
      </c>
      <c r="B1228" s="4" t="str">
        <f t="shared" si="59"/>
        <v>11</v>
      </c>
      <c r="C1228" s="5" t="s">
        <v>2313</v>
      </c>
      <c r="E1228" s="6" t="s">
        <v>2292</v>
      </c>
      <c r="F1228" s="7" t="s">
        <v>2314</v>
      </c>
      <c r="G1228" s="8" t="str">
        <f t="shared" si="57"/>
        <v>PITTSBUR</v>
      </c>
    </row>
    <row r="1229" spans="1:7">
      <c r="A1229" s="4" t="str">
        <f t="shared" si="58"/>
        <v>089</v>
      </c>
      <c r="B1229" s="4" t="str">
        <f t="shared" si="59"/>
        <v>12</v>
      </c>
      <c r="C1229" s="5" t="s">
        <v>2315</v>
      </c>
      <c r="E1229" s="6" t="s">
        <v>2292</v>
      </c>
      <c r="F1229" s="7" t="s">
        <v>2316</v>
      </c>
      <c r="G1229" s="8" t="str">
        <f t="shared" si="57"/>
        <v xml:space="preserve">WESTERN </v>
      </c>
    </row>
    <row r="1230" spans="1:7">
      <c r="A1230" s="4" t="str">
        <f t="shared" si="58"/>
        <v>089</v>
      </c>
      <c r="B1230" s="4" t="str">
        <f t="shared" si="59"/>
        <v>13</v>
      </c>
      <c r="C1230" s="5" t="s">
        <v>2317</v>
      </c>
      <c r="E1230" s="6" t="s">
        <v>2292</v>
      </c>
      <c r="F1230" s="7" t="s">
        <v>2318</v>
      </c>
      <c r="G1230" s="8" t="str">
        <f t="shared" si="57"/>
        <v>NAVAL PE</v>
      </c>
    </row>
    <row r="1231" spans="1:7">
      <c r="A1231" s="4" t="str">
        <f t="shared" si="58"/>
        <v>089</v>
      </c>
      <c r="B1231" s="4" t="str">
        <f t="shared" si="59"/>
        <v>14</v>
      </c>
      <c r="C1231" s="5" t="s">
        <v>2319</v>
      </c>
      <c r="E1231" s="6" t="s">
        <v>2292</v>
      </c>
      <c r="F1231" s="7" t="s">
        <v>2320</v>
      </c>
      <c r="G1231" s="8" t="str">
        <f t="shared" si="57"/>
        <v>BONNEVIL</v>
      </c>
    </row>
    <row r="1232" spans="1:7">
      <c r="A1232" s="4" t="str">
        <f t="shared" si="58"/>
        <v>089</v>
      </c>
      <c r="B1232" s="4" t="str">
        <f t="shared" si="59"/>
        <v>15</v>
      </c>
      <c r="C1232" s="5" t="s">
        <v>2321</v>
      </c>
      <c r="E1232" s="6" t="s">
        <v>2292</v>
      </c>
      <c r="F1232" s="7" t="s">
        <v>2322</v>
      </c>
      <c r="G1232" s="8" t="str">
        <f t="shared" si="57"/>
        <v>SOUTHEAS</v>
      </c>
    </row>
    <row r="1233" spans="1:7">
      <c r="A1233" s="4" t="str">
        <f t="shared" si="58"/>
        <v>089</v>
      </c>
      <c r="B1233" s="4" t="str">
        <f t="shared" si="59"/>
        <v>16</v>
      </c>
      <c r="C1233" s="5" t="s">
        <v>2323</v>
      </c>
      <c r="E1233" s="6" t="s">
        <v>2292</v>
      </c>
      <c r="F1233" s="7" t="s">
        <v>2324</v>
      </c>
      <c r="G1233" s="8" t="str">
        <f t="shared" si="57"/>
        <v>SOUTHWES</v>
      </c>
    </row>
    <row r="1234" spans="1:7">
      <c r="A1234" s="4" t="str">
        <f t="shared" si="58"/>
        <v>089</v>
      </c>
      <c r="B1234" s="4" t="str">
        <f t="shared" si="59"/>
        <v>17</v>
      </c>
      <c r="C1234" s="5" t="s">
        <v>2325</v>
      </c>
      <c r="E1234" s="6" t="s">
        <v>2292</v>
      </c>
      <c r="F1234" s="7" t="s">
        <v>2326</v>
      </c>
      <c r="G1234" s="8" t="str">
        <f t="shared" si="57"/>
        <v>ALASKA P</v>
      </c>
    </row>
    <row r="1235" spans="1:7">
      <c r="A1235" s="4" t="str">
        <f t="shared" si="58"/>
        <v>089</v>
      </c>
      <c r="B1235" s="4" t="str">
        <f t="shared" si="59"/>
        <v>18</v>
      </c>
      <c r="C1235" s="5" t="s">
        <v>2327</v>
      </c>
      <c r="E1235" s="6" t="s">
        <v>2292</v>
      </c>
      <c r="F1235" s="7" t="s">
        <v>2328</v>
      </c>
      <c r="G1235" s="8" t="str">
        <f t="shared" si="57"/>
        <v>OAK RIDG</v>
      </c>
    </row>
    <row r="1236" spans="1:7">
      <c r="A1236" s="4" t="str">
        <f t="shared" si="58"/>
        <v>089</v>
      </c>
      <c r="B1236" s="4" t="str">
        <f t="shared" si="59"/>
        <v>19</v>
      </c>
      <c r="C1236" s="5" t="s">
        <v>2329</v>
      </c>
      <c r="E1236" s="6" t="s">
        <v>2292</v>
      </c>
      <c r="F1236" s="7" t="s">
        <v>2330</v>
      </c>
      <c r="G1236" s="8" t="str">
        <f t="shared" si="57"/>
        <v>RICHLAND</v>
      </c>
    </row>
    <row r="1237" spans="1:7">
      <c r="A1237" s="4" t="str">
        <f t="shared" si="58"/>
        <v>089</v>
      </c>
      <c r="B1237" s="4" t="str">
        <f t="shared" si="59"/>
        <v>20</v>
      </c>
      <c r="C1237" s="5" t="s">
        <v>2331</v>
      </c>
      <c r="E1237" s="6" t="s">
        <v>2292</v>
      </c>
      <c r="F1237" s="7" t="s">
        <v>2332</v>
      </c>
      <c r="G1237" s="8" t="str">
        <f t="shared" si="57"/>
        <v>GOLDEN C</v>
      </c>
    </row>
    <row r="1238" spans="1:7">
      <c r="A1238" s="4" t="str">
        <f t="shared" si="58"/>
        <v>089</v>
      </c>
      <c r="B1238" s="4" t="str">
        <f t="shared" si="59"/>
        <v>21</v>
      </c>
      <c r="C1238" s="5" t="s">
        <v>2333</v>
      </c>
      <c r="E1238" s="6" t="s">
        <v>2292</v>
      </c>
      <c r="F1238" s="7" t="s">
        <v>2334</v>
      </c>
      <c r="G1238" s="8" t="str">
        <f t="shared" si="57"/>
        <v>ENTERPRI</v>
      </c>
    </row>
    <row r="1239" spans="1:7">
      <c r="A1239" s="4" t="str">
        <f t="shared" si="58"/>
        <v>089</v>
      </c>
      <c r="B1239" s="4" t="str">
        <f t="shared" si="59"/>
        <v>22</v>
      </c>
      <c r="C1239" s="5" t="s">
        <v>2335</v>
      </c>
      <c r="E1239" s="6" t="s">
        <v>2292</v>
      </c>
      <c r="F1239" s="7" t="s">
        <v>2336</v>
      </c>
      <c r="G1239" s="8" t="str">
        <f t="shared" si="57"/>
        <v>EMERGENC</v>
      </c>
    </row>
    <row r="1240" spans="1:7">
      <c r="A1240" s="4" t="str">
        <f t="shared" si="58"/>
        <v>089</v>
      </c>
      <c r="B1240" s="4" t="str">
        <f t="shared" si="59"/>
        <v>23</v>
      </c>
      <c r="C1240" s="5" t="s">
        <v>2337</v>
      </c>
      <c r="E1240" s="6" t="s">
        <v>2292</v>
      </c>
      <c r="F1240" s="7" t="s">
        <v>2338</v>
      </c>
      <c r="G1240" s="8" t="str">
        <f t="shared" si="57"/>
        <v>NATIONAL</v>
      </c>
    </row>
    <row r="1241" spans="1:7">
      <c r="A1241" s="4" t="str">
        <f t="shared" si="58"/>
        <v>089</v>
      </c>
      <c r="B1241" s="4" t="str">
        <f t="shared" si="59"/>
        <v>24</v>
      </c>
      <c r="C1241" s="5" t="s">
        <v>2339</v>
      </c>
      <c r="E1241" s="6" t="s">
        <v>2292</v>
      </c>
      <c r="F1241" s="7" t="s">
        <v>2340</v>
      </c>
      <c r="G1241" s="8" t="str">
        <f t="shared" si="57"/>
        <v>DOE/NNSA</v>
      </c>
    </row>
    <row r="1242" spans="1:7">
      <c r="A1242" s="4" t="str">
        <f t="shared" si="58"/>
        <v>089</v>
      </c>
      <c r="B1242" s="4" t="str">
        <f t="shared" si="59"/>
        <v>25</v>
      </c>
      <c r="C1242" s="5" t="s">
        <v>2341</v>
      </c>
      <c r="E1242" s="6" t="s">
        <v>2292</v>
      </c>
      <c r="F1242" s="7" t="s">
        <v>2342</v>
      </c>
      <c r="G1242" s="8" t="str">
        <f t="shared" si="57"/>
        <v>DOE/NNSA</v>
      </c>
    </row>
    <row r="1243" spans="1:7">
      <c r="A1243" s="4" t="str">
        <f t="shared" si="58"/>
        <v>089</v>
      </c>
      <c r="B1243" s="4" t="str">
        <f t="shared" si="59"/>
        <v>38</v>
      </c>
      <c r="C1243" s="5" t="s">
        <v>2343</v>
      </c>
      <c r="E1243" s="6" t="s">
        <v>2292</v>
      </c>
      <c r="F1243" s="7" t="s">
        <v>2344</v>
      </c>
      <c r="G1243" s="8" t="str">
        <f t="shared" si="57"/>
        <v>VARIOUS</v>
      </c>
    </row>
    <row r="1244" spans="1:7">
      <c r="A1244" s="4" t="str">
        <f t="shared" si="58"/>
        <v>089</v>
      </c>
      <c r="B1244" s="4" t="str">
        <f t="shared" si="59"/>
        <v>40</v>
      </c>
      <c r="C1244" s="5" t="s">
        <v>2345</v>
      </c>
      <c r="E1244" s="6" t="s">
        <v>2292</v>
      </c>
      <c r="F1244" s="7" t="s">
        <v>2346</v>
      </c>
      <c r="G1244" s="8" t="str">
        <f t="shared" si="57"/>
        <v>NNSA/DOE</v>
      </c>
    </row>
    <row r="1245" spans="1:7">
      <c r="A1245" s="4" t="str">
        <f t="shared" si="58"/>
        <v>089</v>
      </c>
      <c r="B1245" s="4" t="str">
        <f t="shared" si="59"/>
        <v>41</v>
      </c>
      <c r="C1245" s="5" t="s">
        <v>2347</v>
      </c>
      <c r="E1245" s="6" t="s">
        <v>2292</v>
      </c>
      <c r="F1245" s="7" t="s">
        <v>2348</v>
      </c>
      <c r="G1245" s="8" t="str">
        <f t="shared" si="57"/>
        <v>OFFICE O</v>
      </c>
    </row>
    <row r="1246" spans="1:7">
      <c r="A1246" s="4" t="str">
        <f t="shared" si="58"/>
        <v>089</v>
      </c>
      <c r="B1246" s="4" t="str">
        <f t="shared" si="59"/>
        <v>42</v>
      </c>
      <c r="C1246" s="5" t="s">
        <v>2349</v>
      </c>
      <c r="E1246" s="6" t="s">
        <v>2292</v>
      </c>
      <c r="F1246" s="7" t="s">
        <v>2350</v>
      </c>
      <c r="G1246" s="8" t="str">
        <f t="shared" si="57"/>
        <v>ROCKY FL</v>
      </c>
    </row>
    <row r="1247" spans="1:7">
      <c r="A1247" s="4" t="str">
        <f t="shared" si="58"/>
        <v>089</v>
      </c>
      <c r="B1247" s="4" t="str">
        <f t="shared" si="59"/>
        <v>43</v>
      </c>
      <c r="C1247" s="5" t="s">
        <v>2351</v>
      </c>
      <c r="E1247" s="6" t="s">
        <v>2292</v>
      </c>
      <c r="F1247" s="7" t="s">
        <v>2352</v>
      </c>
      <c r="G1247" s="8" t="str">
        <f t="shared" si="57"/>
        <v>DEPT ENE</v>
      </c>
    </row>
    <row r="1248" spans="1:7">
      <c r="A1248" s="4" t="str">
        <f t="shared" si="58"/>
        <v>089</v>
      </c>
      <c r="B1248" s="4" t="str">
        <f t="shared" si="59"/>
        <v>45</v>
      </c>
      <c r="C1248" s="5" t="s">
        <v>2353</v>
      </c>
      <c r="E1248" s="6" t="s">
        <v>2292</v>
      </c>
      <c r="F1248" s="7" t="s">
        <v>2344</v>
      </c>
      <c r="G1248" s="8" t="str">
        <f t="shared" si="57"/>
        <v>VARIOUS</v>
      </c>
    </row>
    <row r="1249" spans="1:7">
      <c r="A1249" s="4" t="str">
        <f t="shared" si="58"/>
        <v>089</v>
      </c>
      <c r="B1249" s="4" t="str">
        <f t="shared" si="59"/>
        <v>48</v>
      </c>
      <c r="C1249" s="5" t="s">
        <v>2354</v>
      </c>
      <c r="E1249" s="6" t="s">
        <v>2292</v>
      </c>
      <c r="F1249" s="7" t="s">
        <v>2344</v>
      </c>
      <c r="G1249" s="8" t="str">
        <f t="shared" si="57"/>
        <v>VARIOUS</v>
      </c>
    </row>
    <row r="1250" spans="1:7">
      <c r="A1250" s="4" t="str">
        <f t="shared" si="58"/>
        <v>089</v>
      </c>
      <c r="B1250" s="4" t="str">
        <f t="shared" si="59"/>
        <v>49</v>
      </c>
      <c r="C1250" s="5" t="s">
        <v>2355</v>
      </c>
      <c r="E1250" s="6" t="s">
        <v>2292</v>
      </c>
      <c r="F1250" s="7" t="s">
        <v>2344</v>
      </c>
      <c r="G1250" s="8" t="str">
        <f t="shared" si="57"/>
        <v>VARIOUS</v>
      </c>
    </row>
    <row r="1251" spans="1:7">
      <c r="A1251" s="4" t="str">
        <f t="shared" si="58"/>
        <v>089</v>
      </c>
      <c r="B1251" s="4" t="str">
        <f t="shared" si="59"/>
        <v>50</v>
      </c>
      <c r="C1251" s="5" t="s">
        <v>2356</v>
      </c>
      <c r="E1251" s="6" t="s">
        <v>2292</v>
      </c>
      <c r="F1251" s="7" t="s">
        <v>2357</v>
      </c>
      <c r="G1251" s="8" t="str">
        <f t="shared" si="57"/>
        <v xml:space="preserve">COMM ON </v>
      </c>
    </row>
    <row r="1252" spans="1:7">
      <c r="A1252" s="4" t="str">
        <f t="shared" si="58"/>
        <v>089</v>
      </c>
      <c r="B1252" s="4" t="str">
        <f t="shared" si="59"/>
        <v>51</v>
      </c>
      <c r="C1252" s="13" t="s">
        <v>2358</v>
      </c>
      <c r="D1252" s="18" t="s">
        <v>3166</v>
      </c>
      <c r="E1252" s="14" t="s">
        <v>2292</v>
      </c>
      <c r="F1252" s="15" t="s">
        <v>1354</v>
      </c>
      <c r="G1252" s="16" t="str">
        <f t="shared" si="57"/>
        <v xml:space="preserve">EXPIRED </v>
      </c>
    </row>
    <row r="1253" spans="1:7">
      <c r="A1253" s="4" t="str">
        <f t="shared" si="58"/>
        <v>089</v>
      </c>
      <c r="B1253" s="4" t="str">
        <f t="shared" si="59"/>
        <v>97</v>
      </c>
      <c r="C1253" s="5" t="s">
        <v>2359</v>
      </c>
      <c r="E1253" s="6" t="s">
        <v>2292</v>
      </c>
      <c r="F1253" s="7" t="s">
        <v>102</v>
      </c>
      <c r="G1253" s="8" t="str">
        <f t="shared" si="57"/>
        <v>GSA ADVA</v>
      </c>
    </row>
    <row r="1254" spans="1:7">
      <c r="A1254" s="4" t="str">
        <f t="shared" si="58"/>
        <v>089</v>
      </c>
      <c r="B1254" s="4" t="str">
        <f t="shared" si="59"/>
        <v>99</v>
      </c>
      <c r="C1254" s="5" t="s">
        <v>2360</v>
      </c>
      <c r="E1254" s="6" t="s">
        <v>2292</v>
      </c>
      <c r="F1254" s="7" t="s">
        <v>132</v>
      </c>
      <c r="G1254" s="8" t="str">
        <f t="shared" si="57"/>
        <v>SUBCONTR</v>
      </c>
    </row>
    <row r="1255" spans="1:7">
      <c r="A1255" s="4" t="str">
        <f t="shared" si="58"/>
        <v>090</v>
      </c>
      <c r="B1255" s="4" t="str">
        <f t="shared" si="59"/>
        <v>00</v>
      </c>
      <c r="C1255" s="5" t="s">
        <v>2361</v>
      </c>
      <c r="E1255" s="6" t="s">
        <v>2362</v>
      </c>
      <c r="F1255" s="7" t="s">
        <v>2362</v>
      </c>
      <c r="G1255" s="8" t="str">
        <f t="shared" si="57"/>
        <v>SELECTIV</v>
      </c>
    </row>
    <row r="1256" spans="1:7">
      <c r="A1256" s="4" t="str">
        <f t="shared" si="58"/>
        <v>090</v>
      </c>
      <c r="B1256" s="4" t="str">
        <f t="shared" si="59"/>
        <v>97</v>
      </c>
      <c r="C1256" s="5" t="s">
        <v>2363</v>
      </c>
      <c r="E1256" s="6" t="s">
        <v>2362</v>
      </c>
      <c r="F1256" s="7" t="s">
        <v>102</v>
      </c>
      <c r="G1256" s="8" t="str">
        <f t="shared" si="57"/>
        <v>GSA ADVA</v>
      </c>
    </row>
    <row r="1257" spans="1:7">
      <c r="A1257" s="4" t="str">
        <f t="shared" si="58"/>
        <v>091</v>
      </c>
      <c r="B1257" s="4" t="str">
        <f t="shared" si="59"/>
        <v>00</v>
      </c>
      <c r="C1257" s="5" t="s">
        <v>2364</v>
      </c>
      <c r="E1257" s="6" t="s">
        <v>2365</v>
      </c>
      <c r="F1257" s="7" t="s">
        <v>2365</v>
      </c>
      <c r="G1257" s="8" t="str">
        <f t="shared" si="57"/>
        <v>DEPARTME</v>
      </c>
    </row>
    <row r="1258" spans="1:7">
      <c r="A1258" s="4" t="str">
        <f t="shared" si="58"/>
        <v>091</v>
      </c>
      <c r="B1258" s="4" t="str">
        <f t="shared" si="59"/>
        <v>97</v>
      </c>
      <c r="C1258" s="5" t="s">
        <v>2366</v>
      </c>
      <c r="E1258" s="6" t="s">
        <v>2365</v>
      </c>
      <c r="F1258" s="7" t="s">
        <v>102</v>
      </c>
      <c r="G1258" s="8" t="str">
        <f t="shared" si="57"/>
        <v>GSA ADVA</v>
      </c>
    </row>
    <row r="1259" spans="1:7">
      <c r="A1259" s="4" t="str">
        <f t="shared" si="58"/>
        <v>091</v>
      </c>
      <c r="B1259" s="4" t="str">
        <f t="shared" si="59"/>
        <v>99</v>
      </c>
      <c r="C1259" s="5" t="s">
        <v>2367</v>
      </c>
      <c r="E1259" s="6" t="s">
        <v>2365</v>
      </c>
      <c r="F1259" s="7" t="s">
        <v>132</v>
      </c>
      <c r="G1259" s="8" t="str">
        <f t="shared" si="57"/>
        <v>SUBCONTR</v>
      </c>
    </row>
    <row r="1260" spans="1:7">
      <c r="A1260" s="4" t="str">
        <f t="shared" si="58"/>
        <v>093</v>
      </c>
      <c r="B1260" s="4" t="str">
        <f t="shared" si="59"/>
        <v>00</v>
      </c>
      <c r="C1260" s="5" t="s">
        <v>2368</v>
      </c>
      <c r="E1260" s="6" t="s">
        <v>2369</v>
      </c>
      <c r="F1260" s="7" t="s">
        <v>2369</v>
      </c>
      <c r="G1260" s="8" t="str">
        <f t="shared" si="57"/>
        <v xml:space="preserve">FEDERAL </v>
      </c>
    </row>
    <row r="1261" spans="1:7">
      <c r="A1261" s="4" t="str">
        <f t="shared" si="58"/>
        <v>093</v>
      </c>
      <c r="B1261" s="4" t="str">
        <f t="shared" si="59"/>
        <v>97</v>
      </c>
      <c r="C1261" s="5" t="s">
        <v>2370</v>
      </c>
      <c r="E1261" s="6" t="s">
        <v>2369</v>
      </c>
      <c r="F1261" s="7" t="s">
        <v>102</v>
      </c>
      <c r="G1261" s="8" t="str">
        <f t="shared" si="57"/>
        <v>GSA ADVA</v>
      </c>
    </row>
    <row r="1262" spans="1:7">
      <c r="A1262" s="4" t="str">
        <f t="shared" si="58"/>
        <v>094</v>
      </c>
      <c r="B1262" s="4" t="str">
        <f t="shared" si="59"/>
        <v>00</v>
      </c>
      <c r="C1262" s="5" t="s">
        <v>2371</v>
      </c>
      <c r="E1262" s="6" t="s">
        <v>2372</v>
      </c>
      <c r="F1262" s="7" t="s">
        <v>2372</v>
      </c>
      <c r="G1262" s="8" t="str">
        <f t="shared" si="57"/>
        <v>UNITED S</v>
      </c>
    </row>
    <row r="1263" spans="1:7">
      <c r="A1263" s="4" t="str">
        <f t="shared" si="58"/>
        <v>094</v>
      </c>
      <c r="B1263" s="4" t="str">
        <f t="shared" si="59"/>
        <v>97</v>
      </c>
      <c r="C1263" s="5" t="s">
        <v>2373</v>
      </c>
      <c r="E1263" s="6" t="s">
        <v>2372</v>
      </c>
      <c r="F1263" s="7" t="s">
        <v>102</v>
      </c>
      <c r="G1263" s="8" t="str">
        <f t="shared" si="57"/>
        <v>GSA ADVA</v>
      </c>
    </row>
    <row r="1264" spans="1:7">
      <c r="A1264" s="4" t="str">
        <f t="shared" si="58"/>
        <v>095</v>
      </c>
      <c r="B1264" s="4" t="str">
        <f t="shared" si="59"/>
        <v>00</v>
      </c>
      <c r="C1264" s="5" t="s">
        <v>2374</v>
      </c>
      <c r="E1264" s="6" t="s">
        <v>1482</v>
      </c>
      <c r="F1264" s="7" t="s">
        <v>1482</v>
      </c>
      <c r="G1264" s="8" t="str">
        <f t="shared" si="57"/>
        <v>INDEPEND</v>
      </c>
    </row>
    <row r="1265" spans="1:7">
      <c r="A1265" s="4" t="str">
        <f t="shared" si="58"/>
        <v>095</v>
      </c>
      <c r="B1265" s="4" t="str">
        <f t="shared" si="59"/>
        <v>03</v>
      </c>
      <c r="C1265" s="5" t="s">
        <v>2375</v>
      </c>
      <c r="E1265" s="6" t="s">
        <v>1482</v>
      </c>
      <c r="F1265" s="7" t="s">
        <v>2376</v>
      </c>
      <c r="G1265" s="8" t="str">
        <f t="shared" si="57"/>
        <v>PHYSICIA</v>
      </c>
    </row>
    <row r="1266" spans="1:7">
      <c r="A1266" s="4" t="str">
        <f t="shared" si="58"/>
        <v>095</v>
      </c>
      <c r="B1266" s="4" t="str">
        <f t="shared" si="59"/>
        <v>16</v>
      </c>
      <c r="C1266" s="5" t="s">
        <v>2377</v>
      </c>
      <c r="E1266" s="6" t="s">
        <v>1482</v>
      </c>
      <c r="F1266" s="7" t="s">
        <v>2378</v>
      </c>
      <c r="G1266" s="8" t="str">
        <f t="shared" si="57"/>
        <v>ADVISORY</v>
      </c>
    </row>
    <row r="1267" spans="1:7">
      <c r="A1267" s="4" t="str">
        <f t="shared" si="58"/>
        <v>095</v>
      </c>
      <c r="B1267" s="4" t="str">
        <f t="shared" si="59"/>
        <v>21</v>
      </c>
      <c r="C1267" s="5" t="s">
        <v>2379</v>
      </c>
      <c r="E1267" s="6" t="s">
        <v>1482</v>
      </c>
      <c r="F1267" s="7" t="s">
        <v>2380</v>
      </c>
      <c r="G1267" s="8" t="str">
        <f t="shared" si="57"/>
        <v>PANAMA C</v>
      </c>
    </row>
    <row r="1268" spans="1:7">
      <c r="A1268" s="4" t="str">
        <f t="shared" si="58"/>
        <v>095</v>
      </c>
      <c r="B1268" s="4" t="str">
        <f t="shared" si="59"/>
        <v>23</v>
      </c>
      <c r="C1268" s="5" t="s">
        <v>2381</v>
      </c>
      <c r="E1268" s="6" t="s">
        <v>1482</v>
      </c>
      <c r="F1268" s="7" t="s">
        <v>2382</v>
      </c>
      <c r="G1268" s="8" t="str">
        <f t="shared" si="57"/>
        <v>PROSPECT</v>
      </c>
    </row>
    <row r="1269" spans="1:7">
      <c r="A1269" s="4" t="str">
        <f t="shared" si="58"/>
        <v>095</v>
      </c>
      <c r="B1269" s="4" t="str">
        <f t="shared" si="59"/>
        <v>25</v>
      </c>
      <c r="C1269" s="5" t="s">
        <v>2383</v>
      </c>
      <c r="E1269" s="6" t="s">
        <v>1482</v>
      </c>
      <c r="F1269" s="7" t="s">
        <v>2384</v>
      </c>
      <c r="G1269" s="8" t="str">
        <f t="shared" si="57"/>
        <v>PRESIDEN</v>
      </c>
    </row>
    <row r="1270" spans="1:7">
      <c r="A1270" s="4" t="str">
        <f t="shared" si="58"/>
        <v>095</v>
      </c>
      <c r="B1270" s="4" t="str">
        <f t="shared" si="59"/>
        <v>26</v>
      </c>
      <c r="C1270" s="5" t="s">
        <v>2385</v>
      </c>
      <c r="E1270" s="6" t="s">
        <v>1482</v>
      </c>
      <c r="F1270" s="7" t="s">
        <v>2386</v>
      </c>
      <c r="G1270" s="8" t="str">
        <f t="shared" si="57"/>
        <v>WHITE HO</v>
      </c>
    </row>
    <row r="1271" spans="1:7">
      <c r="A1271" s="4" t="str">
        <f t="shared" si="58"/>
        <v>095</v>
      </c>
      <c r="B1271" s="4" t="str">
        <f t="shared" si="59"/>
        <v>31</v>
      </c>
      <c r="C1271" s="5" t="s">
        <v>2387</v>
      </c>
      <c r="E1271" s="6" t="s">
        <v>1482</v>
      </c>
      <c r="F1271" s="7" t="s">
        <v>2388</v>
      </c>
      <c r="G1271" s="8" t="str">
        <f t="shared" si="57"/>
        <v>NATIONAL</v>
      </c>
    </row>
    <row r="1272" spans="1:7">
      <c r="A1272" s="4" t="str">
        <f t="shared" si="58"/>
        <v>095</v>
      </c>
      <c r="B1272" s="4" t="str">
        <f t="shared" si="59"/>
        <v>34</v>
      </c>
      <c r="C1272" s="5" t="s">
        <v>2389</v>
      </c>
      <c r="E1272" s="6" t="s">
        <v>1482</v>
      </c>
      <c r="F1272" s="7" t="s">
        <v>2390</v>
      </c>
      <c r="G1272" s="8" t="str">
        <f t="shared" si="57"/>
        <v>NATIONAL</v>
      </c>
    </row>
    <row r="1273" spans="1:7">
      <c r="A1273" s="4" t="str">
        <f t="shared" si="58"/>
        <v>095</v>
      </c>
      <c r="B1273" s="4" t="str">
        <f t="shared" si="59"/>
        <v>35</v>
      </c>
      <c r="C1273" s="5" t="s">
        <v>2391</v>
      </c>
      <c r="E1273" s="6" t="s">
        <v>1482</v>
      </c>
      <c r="F1273" s="7" t="s">
        <v>2392</v>
      </c>
      <c r="G1273" s="8" t="str">
        <f t="shared" si="57"/>
        <v>PRESCRIP</v>
      </c>
    </row>
    <row r="1274" spans="1:7">
      <c r="A1274" s="4" t="str">
        <f t="shared" si="58"/>
        <v>095</v>
      </c>
      <c r="B1274" s="4" t="str">
        <f t="shared" si="59"/>
        <v>36</v>
      </c>
      <c r="C1274" s="5" t="s">
        <v>2393</v>
      </c>
      <c r="E1274" s="6" t="s">
        <v>1482</v>
      </c>
      <c r="F1274" s="7" t="s">
        <v>2394</v>
      </c>
      <c r="G1274" s="8" t="str">
        <f t="shared" si="57"/>
        <v>NAT. COM</v>
      </c>
    </row>
    <row r="1275" spans="1:7">
      <c r="A1275" s="4" t="str">
        <f t="shared" si="58"/>
        <v>095</v>
      </c>
      <c r="B1275" s="4" t="str">
        <f t="shared" si="59"/>
        <v>43</v>
      </c>
      <c r="C1275" s="5" t="s">
        <v>2395</v>
      </c>
      <c r="E1275" s="6" t="s">
        <v>1482</v>
      </c>
      <c r="F1275" s="7" t="s">
        <v>2396</v>
      </c>
      <c r="G1275" s="8" t="str">
        <f t="shared" si="57"/>
        <v xml:space="preserve">FEDERAL </v>
      </c>
    </row>
    <row r="1276" spans="1:7">
      <c r="A1276" s="4" t="str">
        <f t="shared" si="58"/>
        <v>095</v>
      </c>
      <c r="B1276" s="4" t="str">
        <f t="shared" si="59"/>
        <v>44</v>
      </c>
      <c r="C1276" s="5" t="s">
        <v>2397</v>
      </c>
      <c r="E1276" s="6" t="s">
        <v>1482</v>
      </c>
      <c r="F1276" s="7" t="s">
        <v>2398</v>
      </c>
      <c r="G1276" s="8" t="str">
        <f t="shared" si="57"/>
        <v>COMPETIT</v>
      </c>
    </row>
    <row r="1277" spans="1:7">
      <c r="A1277" s="4" t="str">
        <f t="shared" si="58"/>
        <v>095</v>
      </c>
      <c r="B1277" s="4" t="str">
        <f t="shared" si="59"/>
        <v>46</v>
      </c>
      <c r="C1277" s="5" t="s">
        <v>2399</v>
      </c>
      <c r="E1277" s="6" t="s">
        <v>1482</v>
      </c>
      <c r="F1277" s="7" t="s">
        <v>2400</v>
      </c>
      <c r="G1277" s="8" t="str">
        <f t="shared" si="57"/>
        <v>NATIONAL</v>
      </c>
    </row>
    <row r="1278" spans="1:7">
      <c r="A1278" s="4" t="str">
        <f t="shared" si="58"/>
        <v>095</v>
      </c>
      <c r="B1278" s="4" t="str">
        <f t="shared" si="59"/>
        <v>47</v>
      </c>
      <c r="C1278" s="5" t="s">
        <v>2401</v>
      </c>
      <c r="E1278" s="6" t="s">
        <v>1482</v>
      </c>
      <c r="F1278" s="7" t="s">
        <v>2402</v>
      </c>
      <c r="G1278" s="8" t="str">
        <f t="shared" si="57"/>
        <v>COMMISSI</v>
      </c>
    </row>
    <row r="1279" spans="1:7">
      <c r="A1279" s="4" t="str">
        <f t="shared" si="58"/>
        <v>095</v>
      </c>
      <c r="B1279" s="4" t="str">
        <f t="shared" si="59"/>
        <v>97</v>
      </c>
      <c r="C1279" s="5" t="s">
        <v>2403</v>
      </c>
      <c r="E1279" s="6" t="s">
        <v>1482</v>
      </c>
      <c r="F1279" s="7" t="s">
        <v>102</v>
      </c>
      <c r="G1279" s="8" t="str">
        <f t="shared" si="57"/>
        <v>GSA ADVA</v>
      </c>
    </row>
    <row r="1280" spans="1:7">
      <c r="A1280" s="4" t="str">
        <f t="shared" si="58"/>
        <v>096</v>
      </c>
      <c r="B1280" s="4" t="str">
        <f t="shared" si="59"/>
        <v>00</v>
      </c>
      <c r="C1280" s="5" t="s">
        <v>2404</v>
      </c>
      <c r="E1280" s="6" t="s">
        <v>2405</v>
      </c>
      <c r="F1280" s="7" t="s">
        <v>2405</v>
      </c>
      <c r="G1280" s="8" t="str">
        <f t="shared" si="57"/>
        <v>CORPS OF</v>
      </c>
    </row>
    <row r="1281" spans="1:7">
      <c r="A1281" s="4" t="str">
        <f t="shared" si="58"/>
        <v>096</v>
      </c>
      <c r="B1281" s="4" t="str">
        <f t="shared" si="59"/>
        <v>01</v>
      </c>
      <c r="C1281" s="5" t="s">
        <v>2406</v>
      </c>
      <c r="E1281" s="6" t="s">
        <v>2405</v>
      </c>
      <c r="F1281" s="7" t="s">
        <v>2407</v>
      </c>
      <c r="G1281" s="8" t="str">
        <f t="shared" si="57"/>
        <v xml:space="preserve">US ARMY </v>
      </c>
    </row>
    <row r="1282" spans="1:7">
      <c r="A1282" s="4" t="str">
        <f t="shared" si="58"/>
        <v>096</v>
      </c>
      <c r="B1282" s="4" t="str">
        <f t="shared" si="59"/>
        <v>02</v>
      </c>
      <c r="C1282" s="5" t="s">
        <v>2408</v>
      </c>
      <c r="E1282" s="6" t="s">
        <v>2405</v>
      </c>
      <c r="F1282" s="7" t="s">
        <v>2409</v>
      </c>
      <c r="G1282" s="8" t="str">
        <f t="shared" ref="G1282:G1345" si="60">LEFT(F1282,8)</f>
        <v xml:space="preserve">US ARMY </v>
      </c>
    </row>
    <row r="1283" spans="1:7">
      <c r="A1283" s="4" t="str">
        <f t="shared" ref="A1283:A1346" si="61">LEFT(C1283,3)</f>
        <v>096</v>
      </c>
      <c r="B1283" s="4" t="str">
        <f t="shared" ref="B1283:B1346" si="62">RIGHT(C1283,2)</f>
        <v>03</v>
      </c>
      <c r="C1283" s="5" t="s">
        <v>2410</v>
      </c>
      <c r="E1283" s="6" t="s">
        <v>2405</v>
      </c>
      <c r="F1283" s="7" t="s">
        <v>2411</v>
      </c>
      <c r="G1283" s="8" t="str">
        <f t="shared" si="60"/>
        <v xml:space="preserve">US ARMY </v>
      </c>
    </row>
    <row r="1284" spans="1:7">
      <c r="A1284" s="4" t="str">
        <f t="shared" si="61"/>
        <v>096</v>
      </c>
      <c r="B1284" s="4" t="str">
        <f t="shared" si="62"/>
        <v>04</v>
      </c>
      <c r="C1284" s="5" t="s">
        <v>2412</v>
      </c>
      <c r="E1284" s="6" t="s">
        <v>2405</v>
      </c>
      <c r="F1284" s="7" t="s">
        <v>2413</v>
      </c>
      <c r="G1284" s="8" t="str">
        <f t="shared" si="60"/>
        <v>HUMPHREY</v>
      </c>
    </row>
    <row r="1285" spans="1:7">
      <c r="A1285" s="4" t="str">
        <f t="shared" si="61"/>
        <v>096</v>
      </c>
      <c r="B1285" s="4" t="str">
        <f t="shared" si="62"/>
        <v>05</v>
      </c>
      <c r="C1285" s="5" t="s">
        <v>2414</v>
      </c>
      <c r="E1285" s="6" t="s">
        <v>2405</v>
      </c>
      <c r="F1285" s="7" t="s">
        <v>2415</v>
      </c>
      <c r="G1285" s="8" t="str">
        <f t="shared" si="60"/>
        <v xml:space="preserve">US ARMY </v>
      </c>
    </row>
    <row r="1286" spans="1:7">
      <c r="A1286" s="4" t="str">
        <f t="shared" si="61"/>
        <v>096</v>
      </c>
      <c r="B1286" s="4" t="str">
        <f t="shared" si="62"/>
        <v>06</v>
      </c>
      <c r="C1286" s="5" t="s">
        <v>2416</v>
      </c>
      <c r="E1286" s="6" t="s">
        <v>2405</v>
      </c>
      <c r="F1286" s="7" t="s">
        <v>2417</v>
      </c>
      <c r="G1286" s="8" t="str">
        <f t="shared" si="60"/>
        <v xml:space="preserve">US ARMY </v>
      </c>
    </row>
    <row r="1287" spans="1:7">
      <c r="A1287" s="4" t="str">
        <f t="shared" si="61"/>
        <v>096</v>
      </c>
      <c r="B1287" s="4" t="str">
        <f t="shared" si="62"/>
        <v>07</v>
      </c>
      <c r="C1287" s="5" t="s">
        <v>2418</v>
      </c>
      <c r="E1287" s="6" t="s">
        <v>2405</v>
      </c>
      <c r="F1287" s="7" t="s">
        <v>2419</v>
      </c>
      <c r="G1287" s="8" t="str">
        <f t="shared" si="60"/>
        <v xml:space="preserve">US ARMY </v>
      </c>
    </row>
    <row r="1288" spans="1:7">
      <c r="A1288" s="4" t="str">
        <f t="shared" si="61"/>
        <v>096</v>
      </c>
      <c r="B1288" s="4" t="str">
        <f t="shared" si="62"/>
        <v>08</v>
      </c>
      <c r="C1288" s="5" t="s">
        <v>2420</v>
      </c>
      <c r="E1288" s="6" t="s">
        <v>2405</v>
      </c>
      <c r="F1288" s="7" t="s">
        <v>2421</v>
      </c>
      <c r="G1288" s="8" t="str">
        <f t="shared" si="60"/>
        <v xml:space="preserve">US ARMY </v>
      </c>
    </row>
    <row r="1289" spans="1:7">
      <c r="A1289" s="4" t="str">
        <f t="shared" si="61"/>
        <v>096</v>
      </c>
      <c r="B1289" s="4" t="str">
        <f t="shared" si="62"/>
        <v>09</v>
      </c>
      <c r="C1289" s="5" t="s">
        <v>2422</v>
      </c>
      <c r="E1289" s="6" t="s">
        <v>2405</v>
      </c>
      <c r="F1289" s="7" t="s">
        <v>2423</v>
      </c>
      <c r="G1289" s="8" t="str">
        <f t="shared" si="60"/>
        <v xml:space="preserve">US ARMY </v>
      </c>
    </row>
    <row r="1290" spans="1:7">
      <c r="A1290" s="4" t="str">
        <f t="shared" si="61"/>
        <v>096</v>
      </c>
      <c r="B1290" s="4" t="str">
        <f t="shared" si="62"/>
        <v>10</v>
      </c>
      <c r="C1290" s="5" t="s">
        <v>2424</v>
      </c>
      <c r="E1290" s="6" t="s">
        <v>2405</v>
      </c>
      <c r="F1290" s="7" t="s">
        <v>2425</v>
      </c>
      <c r="G1290" s="8" t="str">
        <f t="shared" si="60"/>
        <v xml:space="preserve">US ARMY </v>
      </c>
    </row>
    <row r="1291" spans="1:7">
      <c r="A1291" s="4" t="str">
        <f t="shared" si="61"/>
        <v>096</v>
      </c>
      <c r="B1291" s="4" t="str">
        <f t="shared" si="62"/>
        <v>11</v>
      </c>
      <c r="C1291" s="5" t="s">
        <v>2426</v>
      </c>
      <c r="E1291" s="6" t="s">
        <v>2405</v>
      </c>
      <c r="F1291" s="7" t="s">
        <v>2427</v>
      </c>
      <c r="G1291" s="8" t="str">
        <f t="shared" si="60"/>
        <v xml:space="preserve">US ARMY </v>
      </c>
    </row>
    <row r="1292" spans="1:7">
      <c r="A1292" s="4" t="str">
        <f t="shared" si="61"/>
        <v>096</v>
      </c>
      <c r="B1292" s="4" t="str">
        <f t="shared" si="62"/>
        <v>12</v>
      </c>
      <c r="C1292" s="5" t="s">
        <v>2428</v>
      </c>
      <c r="E1292" s="6" t="s">
        <v>2405</v>
      </c>
      <c r="F1292" s="7" t="s">
        <v>2429</v>
      </c>
      <c r="G1292" s="8" t="str">
        <f t="shared" si="60"/>
        <v xml:space="preserve">US ARMY </v>
      </c>
    </row>
    <row r="1293" spans="1:7">
      <c r="A1293" s="4" t="str">
        <f t="shared" si="61"/>
        <v>096</v>
      </c>
      <c r="B1293" s="4" t="str">
        <f t="shared" si="62"/>
        <v>13</v>
      </c>
      <c r="C1293" s="5" t="s">
        <v>2430</v>
      </c>
      <c r="E1293" s="6" t="s">
        <v>2405</v>
      </c>
      <c r="F1293" s="7" t="s">
        <v>2431</v>
      </c>
      <c r="G1293" s="8" t="str">
        <f t="shared" si="60"/>
        <v xml:space="preserve">US ARMY </v>
      </c>
    </row>
    <row r="1294" spans="1:7">
      <c r="A1294" s="4" t="str">
        <f t="shared" si="61"/>
        <v>096</v>
      </c>
      <c r="B1294" s="4" t="str">
        <f t="shared" si="62"/>
        <v>14</v>
      </c>
      <c r="C1294" s="5" t="s">
        <v>2432</v>
      </c>
      <c r="E1294" s="6" t="s">
        <v>2405</v>
      </c>
      <c r="F1294" s="7" t="s">
        <v>2433</v>
      </c>
      <c r="G1294" s="8" t="str">
        <f t="shared" si="60"/>
        <v xml:space="preserve">US ARMY </v>
      </c>
    </row>
    <row r="1295" spans="1:7">
      <c r="A1295" s="4" t="str">
        <f t="shared" si="61"/>
        <v>096</v>
      </c>
      <c r="B1295" s="4" t="str">
        <f t="shared" si="62"/>
        <v>15</v>
      </c>
      <c r="C1295" s="5" t="s">
        <v>2434</v>
      </c>
      <c r="E1295" s="6" t="s">
        <v>2405</v>
      </c>
      <c r="F1295" s="7" t="s">
        <v>2435</v>
      </c>
      <c r="G1295" s="8" t="str">
        <f t="shared" si="60"/>
        <v xml:space="preserve">US ARMY </v>
      </c>
    </row>
    <row r="1296" spans="1:7">
      <c r="A1296" s="4" t="str">
        <f t="shared" si="61"/>
        <v>096</v>
      </c>
      <c r="B1296" s="4" t="str">
        <f t="shared" si="62"/>
        <v>16</v>
      </c>
      <c r="C1296" s="5" t="s">
        <v>2436</v>
      </c>
      <c r="E1296" s="6" t="s">
        <v>2405</v>
      </c>
      <c r="F1296" s="7" t="s">
        <v>2437</v>
      </c>
      <c r="G1296" s="8" t="str">
        <f t="shared" si="60"/>
        <v xml:space="preserve">US ARMY </v>
      </c>
    </row>
    <row r="1297" spans="1:7">
      <c r="A1297" s="4" t="str">
        <f t="shared" si="61"/>
        <v>096</v>
      </c>
      <c r="B1297" s="4" t="str">
        <f t="shared" si="62"/>
        <v>17</v>
      </c>
      <c r="C1297" s="5" t="s">
        <v>2438</v>
      </c>
      <c r="E1297" s="6" t="s">
        <v>2405</v>
      </c>
      <c r="F1297" s="7" t="s">
        <v>2439</v>
      </c>
      <c r="G1297" s="8" t="str">
        <f t="shared" si="60"/>
        <v xml:space="preserve">US ARMY </v>
      </c>
    </row>
    <row r="1298" spans="1:7">
      <c r="A1298" s="4" t="str">
        <f t="shared" si="61"/>
        <v>096</v>
      </c>
      <c r="B1298" s="4" t="str">
        <f t="shared" si="62"/>
        <v>18</v>
      </c>
      <c r="C1298" s="5" t="s">
        <v>2440</v>
      </c>
      <c r="E1298" s="6" t="s">
        <v>2405</v>
      </c>
      <c r="F1298" s="7" t="s">
        <v>2441</v>
      </c>
      <c r="G1298" s="8" t="str">
        <f t="shared" si="60"/>
        <v xml:space="preserve">US ARMY </v>
      </c>
    </row>
    <row r="1299" spans="1:7">
      <c r="A1299" s="4" t="str">
        <f t="shared" si="61"/>
        <v>096</v>
      </c>
      <c r="B1299" s="4" t="str">
        <f t="shared" si="62"/>
        <v>19</v>
      </c>
      <c r="C1299" s="5" t="s">
        <v>2442</v>
      </c>
      <c r="E1299" s="6" t="s">
        <v>2405</v>
      </c>
      <c r="F1299" s="7" t="s">
        <v>2443</v>
      </c>
      <c r="G1299" s="8" t="str">
        <f t="shared" si="60"/>
        <v xml:space="preserve">US ARMY </v>
      </c>
    </row>
    <row r="1300" spans="1:7">
      <c r="A1300" s="4" t="str">
        <f t="shared" si="61"/>
        <v>096</v>
      </c>
      <c r="B1300" s="4" t="str">
        <f t="shared" si="62"/>
        <v>20</v>
      </c>
      <c r="C1300" s="5" t="s">
        <v>2444</v>
      </c>
      <c r="E1300" s="6" t="s">
        <v>2405</v>
      </c>
      <c r="F1300" s="7" t="s">
        <v>2445</v>
      </c>
      <c r="G1300" s="8" t="str">
        <f t="shared" si="60"/>
        <v xml:space="preserve">US ARMY </v>
      </c>
    </row>
    <row r="1301" spans="1:7">
      <c r="A1301" s="4" t="str">
        <f t="shared" si="61"/>
        <v>096</v>
      </c>
      <c r="B1301" s="4" t="str">
        <f t="shared" si="62"/>
        <v>21</v>
      </c>
      <c r="C1301" s="5" t="s">
        <v>2446</v>
      </c>
      <c r="E1301" s="6" t="s">
        <v>2405</v>
      </c>
      <c r="F1301" s="7" t="s">
        <v>2447</v>
      </c>
      <c r="G1301" s="8" t="str">
        <f t="shared" si="60"/>
        <v xml:space="preserve">US ARMY </v>
      </c>
    </row>
    <row r="1302" spans="1:7">
      <c r="A1302" s="4" t="str">
        <f t="shared" si="61"/>
        <v>096</v>
      </c>
      <c r="B1302" s="4" t="str">
        <f t="shared" si="62"/>
        <v>22</v>
      </c>
      <c r="C1302" s="5" t="s">
        <v>2448</v>
      </c>
      <c r="E1302" s="6" t="s">
        <v>2405</v>
      </c>
      <c r="F1302" s="7" t="s">
        <v>2449</v>
      </c>
      <c r="G1302" s="8" t="str">
        <f t="shared" si="60"/>
        <v xml:space="preserve">US ARMY </v>
      </c>
    </row>
    <row r="1303" spans="1:7">
      <c r="A1303" s="4" t="str">
        <f t="shared" si="61"/>
        <v>096</v>
      </c>
      <c r="B1303" s="4" t="str">
        <f t="shared" si="62"/>
        <v>23</v>
      </c>
      <c r="C1303" s="5" t="s">
        <v>2450</v>
      </c>
      <c r="E1303" s="6" t="s">
        <v>2405</v>
      </c>
      <c r="F1303" s="7" t="s">
        <v>2451</v>
      </c>
      <c r="G1303" s="8" t="str">
        <f t="shared" si="60"/>
        <v xml:space="preserve">US ARMY </v>
      </c>
    </row>
    <row r="1304" spans="1:7">
      <c r="A1304" s="4" t="str">
        <f t="shared" si="61"/>
        <v>096</v>
      </c>
      <c r="B1304" s="4" t="str">
        <f t="shared" si="62"/>
        <v>24</v>
      </c>
      <c r="C1304" s="5" t="s">
        <v>2452</v>
      </c>
      <c r="E1304" s="6" t="s">
        <v>2405</v>
      </c>
      <c r="F1304" s="7" t="s">
        <v>2453</v>
      </c>
      <c r="G1304" s="8" t="str">
        <f t="shared" si="60"/>
        <v xml:space="preserve">US ARMY </v>
      </c>
    </row>
    <row r="1305" spans="1:7">
      <c r="A1305" s="4" t="str">
        <f t="shared" si="61"/>
        <v>096</v>
      </c>
      <c r="B1305" s="4" t="str">
        <f t="shared" si="62"/>
        <v>25</v>
      </c>
      <c r="C1305" s="5" t="s">
        <v>2454</v>
      </c>
      <c r="E1305" s="6" t="s">
        <v>2405</v>
      </c>
      <c r="F1305" s="7" t="s">
        <v>2455</v>
      </c>
      <c r="G1305" s="8" t="str">
        <f t="shared" si="60"/>
        <v xml:space="preserve">US ARMY </v>
      </c>
    </row>
    <row r="1306" spans="1:7">
      <c r="A1306" s="4" t="str">
        <f t="shared" si="61"/>
        <v>096</v>
      </c>
      <c r="B1306" s="4" t="str">
        <f t="shared" si="62"/>
        <v>26</v>
      </c>
      <c r="C1306" s="5" t="s">
        <v>2456</v>
      </c>
      <c r="E1306" s="6" t="s">
        <v>2405</v>
      </c>
      <c r="F1306" s="7" t="s">
        <v>2457</v>
      </c>
      <c r="G1306" s="8" t="str">
        <f t="shared" si="60"/>
        <v xml:space="preserve">US ARMY </v>
      </c>
    </row>
    <row r="1307" spans="1:7">
      <c r="A1307" s="4" t="str">
        <f t="shared" si="61"/>
        <v>096</v>
      </c>
      <c r="B1307" s="4" t="str">
        <f t="shared" si="62"/>
        <v>27</v>
      </c>
      <c r="C1307" s="5" t="s">
        <v>2458</v>
      </c>
      <c r="E1307" s="6" t="s">
        <v>2405</v>
      </c>
      <c r="F1307" s="7" t="s">
        <v>2459</v>
      </c>
      <c r="G1307" s="8" t="str">
        <f t="shared" si="60"/>
        <v xml:space="preserve">US ARMY </v>
      </c>
    </row>
    <row r="1308" spans="1:7">
      <c r="A1308" s="4" t="str">
        <f t="shared" si="61"/>
        <v>096</v>
      </c>
      <c r="B1308" s="4" t="str">
        <f t="shared" si="62"/>
        <v>28</v>
      </c>
      <c r="C1308" s="5" t="s">
        <v>2460</v>
      </c>
      <c r="E1308" s="6" t="s">
        <v>2405</v>
      </c>
      <c r="F1308" s="7" t="s">
        <v>2461</v>
      </c>
      <c r="G1308" s="8" t="str">
        <f t="shared" si="60"/>
        <v xml:space="preserve">US ARMY </v>
      </c>
    </row>
    <row r="1309" spans="1:7">
      <c r="A1309" s="4" t="str">
        <f t="shared" si="61"/>
        <v>096</v>
      </c>
      <c r="B1309" s="4" t="str">
        <f t="shared" si="62"/>
        <v>29</v>
      </c>
      <c r="C1309" s="5" t="s">
        <v>2462</v>
      </c>
      <c r="E1309" s="6" t="s">
        <v>2405</v>
      </c>
      <c r="F1309" s="7" t="s">
        <v>2405</v>
      </c>
      <c r="G1309" s="8" t="str">
        <f t="shared" si="60"/>
        <v>CORPS OF</v>
      </c>
    </row>
    <row r="1310" spans="1:7">
      <c r="A1310" s="4" t="str">
        <f t="shared" si="61"/>
        <v>096</v>
      </c>
      <c r="B1310" s="4" t="str">
        <f t="shared" si="62"/>
        <v>30</v>
      </c>
      <c r="C1310" s="5" t="s">
        <v>2463</v>
      </c>
      <c r="E1310" s="6" t="s">
        <v>2405</v>
      </c>
      <c r="F1310" s="7" t="s">
        <v>2464</v>
      </c>
      <c r="G1310" s="8" t="str">
        <f t="shared" si="60"/>
        <v xml:space="preserve">US ARMY </v>
      </c>
    </row>
    <row r="1311" spans="1:7">
      <c r="A1311" s="4" t="str">
        <f t="shared" si="61"/>
        <v>096</v>
      </c>
      <c r="B1311" s="4" t="str">
        <f t="shared" si="62"/>
        <v>31</v>
      </c>
      <c r="C1311" s="5" t="s">
        <v>2465</v>
      </c>
      <c r="E1311" s="6" t="s">
        <v>2405</v>
      </c>
      <c r="F1311" s="7" t="s">
        <v>2466</v>
      </c>
      <c r="G1311" s="8" t="str">
        <f t="shared" si="60"/>
        <v xml:space="preserve">US ARMY </v>
      </c>
    </row>
    <row r="1312" spans="1:7">
      <c r="A1312" s="4" t="str">
        <f t="shared" si="61"/>
        <v>096</v>
      </c>
      <c r="B1312" s="4" t="str">
        <f t="shared" si="62"/>
        <v>32</v>
      </c>
      <c r="C1312" s="5" t="s">
        <v>2467</v>
      </c>
      <c r="E1312" s="6" t="s">
        <v>2405</v>
      </c>
      <c r="F1312" s="7" t="s">
        <v>2468</v>
      </c>
      <c r="G1312" s="8" t="str">
        <f t="shared" si="60"/>
        <v xml:space="preserve">US ARMY </v>
      </c>
    </row>
    <row r="1313" spans="1:7">
      <c r="A1313" s="4" t="str">
        <f t="shared" si="61"/>
        <v>096</v>
      </c>
      <c r="B1313" s="4" t="str">
        <f t="shared" si="62"/>
        <v>33</v>
      </c>
      <c r="C1313" s="5" t="s">
        <v>2469</v>
      </c>
      <c r="E1313" s="6" t="s">
        <v>2405</v>
      </c>
      <c r="F1313" s="7" t="s">
        <v>2470</v>
      </c>
      <c r="G1313" s="8" t="str">
        <f t="shared" si="60"/>
        <v xml:space="preserve">US ARMY </v>
      </c>
    </row>
    <row r="1314" spans="1:7">
      <c r="A1314" s="4" t="str">
        <f t="shared" si="61"/>
        <v>096</v>
      </c>
      <c r="B1314" s="4" t="str">
        <f t="shared" si="62"/>
        <v>34</v>
      </c>
      <c r="C1314" s="5" t="s">
        <v>2471</v>
      </c>
      <c r="E1314" s="6" t="s">
        <v>2405</v>
      </c>
      <c r="F1314" s="7" t="s">
        <v>2472</v>
      </c>
      <c r="G1314" s="8" t="str">
        <f t="shared" si="60"/>
        <v xml:space="preserve">US ARMY </v>
      </c>
    </row>
    <row r="1315" spans="1:7">
      <c r="A1315" s="4" t="str">
        <f t="shared" si="61"/>
        <v>096</v>
      </c>
      <c r="B1315" s="4" t="str">
        <f t="shared" si="62"/>
        <v>35</v>
      </c>
      <c r="C1315" s="5" t="s">
        <v>2473</v>
      </c>
      <c r="E1315" s="6" t="s">
        <v>2405</v>
      </c>
      <c r="F1315" s="7" t="s">
        <v>2474</v>
      </c>
      <c r="G1315" s="8" t="str">
        <f t="shared" si="60"/>
        <v xml:space="preserve">US ARMY </v>
      </c>
    </row>
    <row r="1316" spans="1:7">
      <c r="A1316" s="4" t="str">
        <f t="shared" si="61"/>
        <v>096</v>
      </c>
      <c r="B1316" s="4" t="str">
        <f t="shared" si="62"/>
        <v>36</v>
      </c>
      <c r="C1316" s="5" t="s">
        <v>2475</v>
      </c>
      <c r="E1316" s="6" t="s">
        <v>2405</v>
      </c>
      <c r="F1316" s="7" t="s">
        <v>2476</v>
      </c>
      <c r="G1316" s="8" t="str">
        <f t="shared" si="60"/>
        <v xml:space="preserve">US ARMY </v>
      </c>
    </row>
    <row r="1317" spans="1:7">
      <c r="A1317" s="4" t="str">
        <f t="shared" si="61"/>
        <v>096</v>
      </c>
      <c r="B1317" s="4" t="str">
        <f t="shared" si="62"/>
        <v>37</v>
      </c>
      <c r="C1317" s="5" t="s">
        <v>2477</v>
      </c>
      <c r="E1317" s="6" t="s">
        <v>2405</v>
      </c>
      <c r="F1317" s="7" t="s">
        <v>2478</v>
      </c>
      <c r="G1317" s="8" t="str">
        <f t="shared" si="60"/>
        <v xml:space="preserve">US ARMY </v>
      </c>
    </row>
    <row r="1318" spans="1:7">
      <c r="A1318" s="4" t="str">
        <f t="shared" si="61"/>
        <v>096</v>
      </c>
      <c r="B1318" s="4" t="str">
        <f t="shared" si="62"/>
        <v>38</v>
      </c>
      <c r="C1318" s="5" t="s">
        <v>2479</v>
      </c>
      <c r="E1318" s="6" t="s">
        <v>2405</v>
      </c>
      <c r="F1318" s="7" t="s">
        <v>2480</v>
      </c>
      <c r="G1318" s="8" t="str">
        <f t="shared" si="60"/>
        <v xml:space="preserve">US ARMY </v>
      </c>
    </row>
    <row r="1319" spans="1:7">
      <c r="A1319" s="4" t="str">
        <f t="shared" si="61"/>
        <v>096</v>
      </c>
      <c r="B1319" s="4" t="str">
        <f t="shared" si="62"/>
        <v>39</v>
      </c>
      <c r="C1319" s="5" t="s">
        <v>2481</v>
      </c>
      <c r="E1319" s="6" t="s">
        <v>2405</v>
      </c>
      <c r="F1319" s="7" t="s">
        <v>2482</v>
      </c>
      <c r="G1319" s="8" t="str">
        <f t="shared" si="60"/>
        <v xml:space="preserve">US ARMY </v>
      </c>
    </row>
    <row r="1320" spans="1:7">
      <c r="A1320" s="4" t="str">
        <f t="shared" si="61"/>
        <v>096</v>
      </c>
      <c r="B1320" s="4" t="str">
        <f t="shared" si="62"/>
        <v>40</v>
      </c>
      <c r="C1320" s="5" t="s">
        <v>2483</v>
      </c>
      <c r="E1320" s="6" t="s">
        <v>2405</v>
      </c>
      <c r="F1320" s="7" t="s">
        <v>2484</v>
      </c>
      <c r="G1320" s="8" t="str">
        <f t="shared" si="60"/>
        <v xml:space="preserve">US ARMY </v>
      </c>
    </row>
    <row r="1321" spans="1:7">
      <c r="A1321" s="4" t="str">
        <f t="shared" si="61"/>
        <v>096</v>
      </c>
      <c r="B1321" s="4" t="str">
        <f t="shared" si="62"/>
        <v>41</v>
      </c>
      <c r="C1321" s="5" t="s">
        <v>2485</v>
      </c>
      <c r="E1321" s="6" t="s">
        <v>2405</v>
      </c>
      <c r="F1321" s="7" t="s">
        <v>2486</v>
      </c>
      <c r="G1321" s="8" t="str">
        <f t="shared" si="60"/>
        <v xml:space="preserve">US ARMY </v>
      </c>
    </row>
    <row r="1322" spans="1:7">
      <c r="A1322" s="4" t="str">
        <f t="shared" si="61"/>
        <v>096</v>
      </c>
      <c r="B1322" s="4" t="str">
        <f t="shared" si="62"/>
        <v>42</v>
      </c>
      <c r="C1322" s="5" t="s">
        <v>2487</v>
      </c>
      <c r="E1322" s="6" t="s">
        <v>2405</v>
      </c>
      <c r="F1322" s="7" t="s">
        <v>2488</v>
      </c>
      <c r="G1322" s="8" t="str">
        <f t="shared" si="60"/>
        <v xml:space="preserve">US ARMY </v>
      </c>
    </row>
    <row r="1323" spans="1:7">
      <c r="A1323" s="4" t="str">
        <f t="shared" si="61"/>
        <v>096</v>
      </c>
      <c r="B1323" s="4" t="str">
        <f t="shared" si="62"/>
        <v>43</v>
      </c>
      <c r="C1323" s="5" t="s">
        <v>2489</v>
      </c>
      <c r="E1323" s="6" t="s">
        <v>2405</v>
      </c>
      <c r="F1323" s="7" t="s">
        <v>2490</v>
      </c>
      <c r="G1323" s="8" t="str">
        <f t="shared" si="60"/>
        <v xml:space="preserve">US ARMY </v>
      </c>
    </row>
    <row r="1324" spans="1:7">
      <c r="A1324" s="4" t="str">
        <f t="shared" si="61"/>
        <v>096</v>
      </c>
      <c r="B1324" s="4" t="str">
        <f t="shared" si="62"/>
        <v>44</v>
      </c>
      <c r="C1324" s="5" t="s">
        <v>2491</v>
      </c>
      <c r="E1324" s="6" t="s">
        <v>2405</v>
      </c>
      <c r="F1324" s="7" t="s">
        <v>2492</v>
      </c>
      <c r="G1324" s="8" t="str">
        <f t="shared" si="60"/>
        <v xml:space="preserve">US ARMY </v>
      </c>
    </row>
    <row r="1325" spans="1:7">
      <c r="A1325" s="4" t="str">
        <f t="shared" si="61"/>
        <v>096</v>
      </c>
      <c r="B1325" s="4" t="str">
        <f t="shared" si="62"/>
        <v>45</v>
      </c>
      <c r="C1325" s="5" t="s">
        <v>2493</v>
      </c>
      <c r="E1325" s="6" t="s">
        <v>2405</v>
      </c>
      <c r="F1325" s="7" t="s">
        <v>2494</v>
      </c>
      <c r="G1325" s="8" t="str">
        <f t="shared" si="60"/>
        <v xml:space="preserve">US ARMY </v>
      </c>
    </row>
    <row r="1326" spans="1:7">
      <c r="A1326" s="4" t="str">
        <f t="shared" si="61"/>
        <v>096</v>
      </c>
      <c r="B1326" s="4" t="str">
        <f t="shared" si="62"/>
        <v>46</v>
      </c>
      <c r="C1326" s="5" t="s">
        <v>2495</v>
      </c>
      <c r="E1326" s="6" t="s">
        <v>2405</v>
      </c>
      <c r="F1326" s="7" t="s">
        <v>2496</v>
      </c>
      <c r="G1326" s="8" t="str">
        <f t="shared" si="60"/>
        <v xml:space="preserve">US ARMY </v>
      </c>
    </row>
    <row r="1327" spans="1:7">
      <c r="A1327" s="4" t="str">
        <f t="shared" si="61"/>
        <v>096</v>
      </c>
      <c r="B1327" s="4" t="str">
        <f t="shared" si="62"/>
        <v>47</v>
      </c>
      <c r="C1327" s="5" t="s">
        <v>2497</v>
      </c>
      <c r="E1327" s="6" t="s">
        <v>2405</v>
      </c>
      <c r="F1327" s="7" t="s">
        <v>2498</v>
      </c>
      <c r="G1327" s="8" t="str">
        <f t="shared" si="60"/>
        <v xml:space="preserve">US ARMY </v>
      </c>
    </row>
    <row r="1328" spans="1:7">
      <c r="A1328" s="4" t="str">
        <f t="shared" si="61"/>
        <v>096</v>
      </c>
      <c r="B1328" s="4" t="str">
        <f t="shared" si="62"/>
        <v>48</v>
      </c>
      <c r="C1328" s="5" t="s">
        <v>2499</v>
      </c>
      <c r="E1328" s="6" t="s">
        <v>2405</v>
      </c>
      <c r="F1328" s="7" t="s">
        <v>2500</v>
      </c>
      <c r="G1328" s="8" t="str">
        <f t="shared" si="60"/>
        <v xml:space="preserve">US ARMY </v>
      </c>
    </row>
    <row r="1329" spans="1:7">
      <c r="A1329" s="4" t="str">
        <f t="shared" si="61"/>
        <v>096</v>
      </c>
      <c r="B1329" s="4" t="str">
        <f t="shared" si="62"/>
        <v>49</v>
      </c>
      <c r="C1329" s="5" t="s">
        <v>2501</v>
      </c>
      <c r="E1329" s="6" t="s">
        <v>2405</v>
      </c>
      <c r="F1329" s="7" t="s">
        <v>2502</v>
      </c>
      <c r="G1329" s="8" t="str">
        <f t="shared" si="60"/>
        <v xml:space="preserve">US ARMY </v>
      </c>
    </row>
    <row r="1330" spans="1:7">
      <c r="A1330" s="4" t="str">
        <f t="shared" si="61"/>
        <v>096</v>
      </c>
      <c r="B1330" s="4" t="str">
        <f t="shared" si="62"/>
        <v>50</v>
      </c>
      <c r="C1330" s="5" t="s">
        <v>2503</v>
      </c>
      <c r="E1330" s="6" t="s">
        <v>2405</v>
      </c>
      <c r="F1330" s="7" t="s">
        <v>2504</v>
      </c>
      <c r="G1330" s="8" t="str">
        <f t="shared" si="60"/>
        <v xml:space="preserve">US ARMY </v>
      </c>
    </row>
    <row r="1331" spans="1:7">
      <c r="A1331" s="4" t="str">
        <f t="shared" si="61"/>
        <v>096</v>
      </c>
      <c r="B1331" s="4" t="str">
        <f t="shared" si="62"/>
        <v>51</v>
      </c>
      <c r="C1331" s="5" t="s">
        <v>2505</v>
      </c>
      <c r="E1331" s="6" t="s">
        <v>2405</v>
      </c>
      <c r="F1331" s="7" t="s">
        <v>2506</v>
      </c>
      <c r="G1331" s="8" t="str">
        <f t="shared" si="60"/>
        <v xml:space="preserve">US ARMY </v>
      </c>
    </row>
    <row r="1332" spans="1:7">
      <c r="A1332" s="4" t="str">
        <f t="shared" si="61"/>
        <v>096</v>
      </c>
      <c r="B1332" s="4" t="str">
        <f t="shared" si="62"/>
        <v>52</v>
      </c>
      <c r="C1332" s="5" t="s">
        <v>2507</v>
      </c>
      <c r="E1332" s="6" t="s">
        <v>2405</v>
      </c>
      <c r="F1332" s="7" t="s">
        <v>2508</v>
      </c>
      <c r="G1332" s="8" t="str">
        <f t="shared" si="60"/>
        <v xml:space="preserve">US ARMY </v>
      </c>
    </row>
    <row r="1333" spans="1:7">
      <c r="A1333" s="4" t="str">
        <f t="shared" si="61"/>
        <v>096</v>
      </c>
      <c r="B1333" s="4" t="str">
        <f t="shared" si="62"/>
        <v>53</v>
      </c>
      <c r="C1333" s="5" t="s">
        <v>2509</v>
      </c>
      <c r="E1333" s="6" t="s">
        <v>2405</v>
      </c>
      <c r="F1333" s="7" t="s">
        <v>2510</v>
      </c>
      <c r="G1333" s="8" t="str">
        <f t="shared" si="60"/>
        <v xml:space="preserve">US ARMY </v>
      </c>
    </row>
    <row r="1334" spans="1:7">
      <c r="A1334" s="4" t="str">
        <f t="shared" si="61"/>
        <v>096</v>
      </c>
      <c r="B1334" s="4" t="str">
        <f t="shared" si="62"/>
        <v>54</v>
      </c>
      <c r="C1334" s="5" t="s">
        <v>2511</v>
      </c>
      <c r="E1334" s="6" t="s">
        <v>2405</v>
      </c>
      <c r="F1334" s="7" t="s">
        <v>2512</v>
      </c>
      <c r="G1334" s="8" t="str">
        <f t="shared" si="60"/>
        <v xml:space="preserve">US ARMY </v>
      </c>
    </row>
    <row r="1335" spans="1:7">
      <c r="A1335" s="4" t="str">
        <f t="shared" si="61"/>
        <v>096</v>
      </c>
      <c r="B1335" s="4" t="str">
        <f t="shared" si="62"/>
        <v>55</v>
      </c>
      <c r="C1335" s="5" t="s">
        <v>2513</v>
      </c>
      <c r="E1335" s="6" t="s">
        <v>2405</v>
      </c>
      <c r="F1335" s="7" t="s">
        <v>2514</v>
      </c>
      <c r="G1335" s="8" t="str">
        <f t="shared" si="60"/>
        <v xml:space="preserve">US ARMY </v>
      </c>
    </row>
    <row r="1336" spans="1:7">
      <c r="A1336" s="4" t="str">
        <f t="shared" si="61"/>
        <v>096</v>
      </c>
      <c r="B1336" s="4" t="str">
        <f t="shared" si="62"/>
        <v>56</v>
      </c>
      <c r="C1336" s="5" t="s">
        <v>2515</v>
      </c>
      <c r="E1336" s="6" t="s">
        <v>2405</v>
      </c>
      <c r="F1336" s="7" t="s">
        <v>2516</v>
      </c>
      <c r="G1336" s="8" t="str">
        <f t="shared" si="60"/>
        <v xml:space="preserve">US ARMY </v>
      </c>
    </row>
    <row r="1337" spans="1:7">
      <c r="A1337" s="4" t="str">
        <f t="shared" si="61"/>
        <v>096</v>
      </c>
      <c r="B1337" s="4" t="str">
        <f t="shared" si="62"/>
        <v>57</v>
      </c>
      <c r="C1337" s="5" t="s">
        <v>2517</v>
      </c>
      <c r="E1337" s="6" t="s">
        <v>2405</v>
      </c>
      <c r="F1337" s="7" t="s">
        <v>2518</v>
      </c>
      <c r="G1337" s="8" t="str">
        <f t="shared" si="60"/>
        <v xml:space="preserve">US ARMY </v>
      </c>
    </row>
    <row r="1338" spans="1:7">
      <c r="A1338" s="4" t="str">
        <f t="shared" si="61"/>
        <v>096</v>
      </c>
      <c r="B1338" s="4" t="str">
        <f t="shared" si="62"/>
        <v>58</v>
      </c>
      <c r="C1338" s="13" t="s">
        <v>2519</v>
      </c>
      <c r="D1338" s="18" t="s">
        <v>3166</v>
      </c>
      <c r="E1338" s="14" t="s">
        <v>2405</v>
      </c>
      <c r="F1338" s="15" t="s">
        <v>2520</v>
      </c>
      <c r="G1338" s="8" t="str">
        <f t="shared" si="60"/>
        <v>INACTIVE</v>
      </c>
    </row>
    <row r="1339" spans="1:7">
      <c r="A1339" s="4" t="str">
        <f t="shared" si="61"/>
        <v>096</v>
      </c>
      <c r="B1339" s="4" t="str">
        <f t="shared" si="62"/>
        <v>59</v>
      </c>
      <c r="C1339" s="13" t="s">
        <v>2521</v>
      </c>
      <c r="D1339" s="18" t="s">
        <v>3166</v>
      </c>
      <c r="E1339" s="14" t="s">
        <v>2405</v>
      </c>
      <c r="F1339" s="15" t="s">
        <v>2522</v>
      </c>
      <c r="G1339" s="8" t="str">
        <f t="shared" si="60"/>
        <v>INACTIVE</v>
      </c>
    </row>
    <row r="1340" spans="1:7">
      <c r="A1340" s="4" t="str">
        <f t="shared" si="61"/>
        <v>096</v>
      </c>
      <c r="B1340" s="4" t="str">
        <f t="shared" si="62"/>
        <v>60</v>
      </c>
      <c r="C1340" s="5" t="s">
        <v>2523</v>
      </c>
      <c r="E1340" s="6" t="s">
        <v>2405</v>
      </c>
      <c r="F1340" s="7" t="s">
        <v>2524</v>
      </c>
      <c r="G1340" s="8" t="str">
        <f t="shared" si="60"/>
        <v xml:space="preserve">US ARMY </v>
      </c>
    </row>
    <row r="1341" spans="1:7">
      <c r="A1341" s="4" t="str">
        <f t="shared" si="61"/>
        <v>096</v>
      </c>
      <c r="B1341" s="4" t="str">
        <f t="shared" si="62"/>
        <v>61</v>
      </c>
      <c r="C1341" s="5" t="s">
        <v>2525</v>
      </c>
      <c r="E1341" s="6" t="s">
        <v>2405</v>
      </c>
      <c r="F1341" s="7" t="s">
        <v>2526</v>
      </c>
      <c r="G1341" s="8" t="str">
        <f t="shared" si="60"/>
        <v xml:space="preserve">US ARMY </v>
      </c>
    </row>
    <row r="1342" spans="1:7">
      <c r="A1342" s="4" t="str">
        <f t="shared" si="61"/>
        <v>096</v>
      </c>
      <c r="B1342" s="4" t="str">
        <f t="shared" si="62"/>
        <v>62</v>
      </c>
      <c r="C1342" s="5" t="s">
        <v>2527</v>
      </c>
      <c r="E1342" s="6" t="s">
        <v>2405</v>
      </c>
      <c r="F1342" s="7" t="s">
        <v>2528</v>
      </c>
      <c r="G1342" s="8" t="str">
        <f t="shared" si="60"/>
        <v xml:space="preserve">US ARMY </v>
      </c>
    </row>
    <row r="1343" spans="1:7">
      <c r="A1343" s="4" t="str">
        <f t="shared" si="61"/>
        <v>096</v>
      </c>
      <c r="B1343" s="4" t="str">
        <f t="shared" si="62"/>
        <v>63</v>
      </c>
      <c r="C1343" s="5" t="s">
        <v>2529</v>
      </c>
      <c r="E1343" s="6" t="s">
        <v>2405</v>
      </c>
      <c r="F1343" s="7" t="s">
        <v>2530</v>
      </c>
      <c r="G1343" s="8" t="str">
        <f t="shared" si="60"/>
        <v xml:space="preserve">US ARMY </v>
      </c>
    </row>
    <row r="1344" spans="1:7">
      <c r="A1344" s="4" t="str">
        <f t="shared" si="61"/>
        <v>096</v>
      </c>
      <c r="B1344" s="4" t="str">
        <f t="shared" si="62"/>
        <v>64</v>
      </c>
      <c r="C1344" s="5" t="s">
        <v>2531</v>
      </c>
      <c r="E1344" s="6" t="s">
        <v>2405</v>
      </c>
      <c r="F1344" s="7" t="s">
        <v>2532</v>
      </c>
      <c r="G1344" s="8" t="str">
        <f t="shared" si="60"/>
        <v>USACE EN</v>
      </c>
    </row>
    <row r="1345" spans="1:7">
      <c r="A1345" s="4" t="str">
        <f t="shared" si="61"/>
        <v>096</v>
      </c>
      <c r="B1345" s="4" t="str">
        <f t="shared" si="62"/>
        <v>65</v>
      </c>
      <c r="C1345" s="5" t="s">
        <v>2533</v>
      </c>
      <c r="E1345" s="6" t="s">
        <v>2405</v>
      </c>
      <c r="F1345" s="7" t="s">
        <v>2534</v>
      </c>
      <c r="G1345" s="8" t="str">
        <f t="shared" si="60"/>
        <v>USACE WA</v>
      </c>
    </row>
    <row r="1346" spans="1:7">
      <c r="A1346" s="4" t="str">
        <f t="shared" si="61"/>
        <v>096</v>
      </c>
      <c r="B1346" s="4" t="str">
        <f t="shared" si="62"/>
        <v>66</v>
      </c>
      <c r="C1346" s="5" t="s">
        <v>2535</v>
      </c>
      <c r="E1346" s="6" t="s">
        <v>2405</v>
      </c>
      <c r="F1346" s="7" t="s">
        <v>2536</v>
      </c>
      <c r="G1346" s="8" t="str">
        <f t="shared" ref="G1346:G1409" si="63">LEFT(F1346,8)</f>
        <v>USACE IN</v>
      </c>
    </row>
    <row r="1347" spans="1:7">
      <c r="A1347" s="4" t="str">
        <f t="shared" ref="A1347:A1410" si="64">LEFT(C1347,3)</f>
        <v>096</v>
      </c>
      <c r="B1347" s="4" t="str">
        <f t="shared" ref="B1347:B1410" si="65">RIGHT(C1347,2)</f>
        <v>67</v>
      </c>
      <c r="C1347" s="5" t="s">
        <v>2537</v>
      </c>
      <c r="E1347" s="6" t="s">
        <v>2405</v>
      </c>
      <c r="F1347" s="7" t="s">
        <v>2538</v>
      </c>
      <c r="G1347" s="8" t="str">
        <f t="shared" si="63"/>
        <v>USACE 24</v>
      </c>
    </row>
    <row r="1348" spans="1:7">
      <c r="A1348" s="4" t="str">
        <f t="shared" si="64"/>
        <v>096</v>
      </c>
      <c r="B1348" s="4" t="str">
        <f t="shared" si="65"/>
        <v>68</v>
      </c>
      <c r="C1348" s="5" t="s">
        <v>2539</v>
      </c>
      <c r="E1348" s="6" t="s">
        <v>2405</v>
      </c>
      <c r="F1348" s="7" t="s">
        <v>2540</v>
      </c>
      <c r="G1348" s="8" t="str">
        <f t="shared" si="63"/>
        <v>USACE JO</v>
      </c>
    </row>
    <row r="1349" spans="1:7">
      <c r="A1349" s="4" t="str">
        <f t="shared" si="64"/>
        <v>096</v>
      </c>
      <c r="B1349" s="4" t="str">
        <f t="shared" si="65"/>
        <v>69</v>
      </c>
      <c r="C1349" s="5" t="s">
        <v>2541</v>
      </c>
      <c r="E1349" s="6" t="s">
        <v>2405</v>
      </c>
      <c r="F1349" s="7" t="s">
        <v>2542</v>
      </c>
      <c r="G1349" s="8" t="str">
        <f t="shared" si="63"/>
        <v>ARMY COR</v>
      </c>
    </row>
    <row r="1350" spans="1:7">
      <c r="A1350" s="4" t="str">
        <f t="shared" si="64"/>
        <v>096</v>
      </c>
      <c r="B1350" s="4" t="str">
        <f t="shared" si="65"/>
        <v>70</v>
      </c>
      <c r="C1350" s="5" t="s">
        <v>2543</v>
      </c>
      <c r="E1350" s="6" t="s">
        <v>2405</v>
      </c>
      <c r="F1350" s="7" t="s">
        <v>2544</v>
      </c>
      <c r="G1350" s="8" t="str">
        <f t="shared" si="63"/>
        <v>USACE JO</v>
      </c>
    </row>
    <row r="1351" spans="1:7">
      <c r="A1351" s="4" t="str">
        <f t="shared" si="64"/>
        <v>096</v>
      </c>
      <c r="B1351" s="4" t="str">
        <f t="shared" si="65"/>
        <v>97</v>
      </c>
      <c r="C1351" s="5" t="s">
        <v>2545</v>
      </c>
      <c r="E1351" s="6" t="s">
        <v>2405</v>
      </c>
      <c r="F1351" s="7" t="s">
        <v>102</v>
      </c>
      <c r="G1351" s="8" t="str">
        <f t="shared" si="63"/>
        <v>GSA ADVA</v>
      </c>
    </row>
    <row r="1352" spans="1:7">
      <c r="A1352" s="4" t="str">
        <f t="shared" si="64"/>
        <v>096</v>
      </c>
      <c r="B1352" s="4" t="str">
        <f t="shared" si="65"/>
        <v>99</v>
      </c>
      <c r="C1352" s="5" t="s">
        <v>2546</v>
      </c>
      <c r="E1352" s="6" t="s">
        <v>2405</v>
      </c>
      <c r="F1352" s="7" t="s">
        <v>132</v>
      </c>
      <c r="G1352" s="8" t="str">
        <f t="shared" si="63"/>
        <v>SUBCONTR</v>
      </c>
    </row>
    <row r="1353" spans="1:7">
      <c r="A1353" s="4" t="str">
        <f t="shared" si="64"/>
        <v>097</v>
      </c>
      <c r="B1353" s="4" t="str">
        <f t="shared" si="65"/>
        <v>00</v>
      </c>
      <c r="C1353" s="5" t="s">
        <v>2547</v>
      </c>
      <c r="E1353" s="6" t="s">
        <v>2548</v>
      </c>
      <c r="F1353" s="7" t="s">
        <v>2549</v>
      </c>
      <c r="G1353" s="8" t="str">
        <f t="shared" si="63"/>
        <v>OFFICE O</v>
      </c>
    </row>
    <row r="1354" spans="1:7">
      <c r="A1354" s="4" t="str">
        <f t="shared" si="64"/>
        <v>097</v>
      </c>
      <c r="B1354" s="4" t="str">
        <f t="shared" si="65"/>
        <v>01</v>
      </c>
      <c r="C1354" s="5" t="s">
        <v>2550</v>
      </c>
      <c r="E1354" s="6" t="s">
        <v>2548</v>
      </c>
      <c r="F1354" s="7" t="s">
        <v>2551</v>
      </c>
      <c r="G1354" s="8" t="str">
        <f t="shared" si="63"/>
        <v>JOINT-BR</v>
      </c>
    </row>
    <row r="1355" spans="1:7">
      <c r="A1355" s="4" t="str">
        <f t="shared" si="64"/>
        <v>097</v>
      </c>
      <c r="B1355" s="4" t="str">
        <f t="shared" si="65"/>
        <v>03</v>
      </c>
      <c r="C1355" s="5" t="s">
        <v>2552</v>
      </c>
      <c r="E1355" s="6" t="s">
        <v>2548</v>
      </c>
      <c r="F1355" s="7" t="s">
        <v>2553</v>
      </c>
      <c r="G1355" s="8" t="str">
        <f t="shared" si="63"/>
        <v>JOINT-ME</v>
      </c>
    </row>
    <row r="1356" spans="1:7">
      <c r="A1356" s="4" t="str">
        <f t="shared" si="64"/>
        <v>097</v>
      </c>
      <c r="B1356" s="4" t="str">
        <f t="shared" si="65"/>
        <v>05</v>
      </c>
      <c r="C1356" s="5" t="s">
        <v>2554</v>
      </c>
      <c r="E1356" s="6" t="s">
        <v>2548</v>
      </c>
      <c r="F1356" s="7" t="s">
        <v>2555</v>
      </c>
      <c r="G1356" s="8" t="str">
        <f t="shared" si="63"/>
        <v>NATIONAL</v>
      </c>
    </row>
    <row r="1357" spans="1:7">
      <c r="A1357" s="4" t="str">
        <f t="shared" si="64"/>
        <v>097</v>
      </c>
      <c r="B1357" s="4" t="str">
        <f t="shared" si="65"/>
        <v>06</v>
      </c>
      <c r="C1357" s="5" t="s">
        <v>2556</v>
      </c>
      <c r="E1357" s="6" t="s">
        <v>2548</v>
      </c>
      <c r="F1357" s="7" t="s">
        <v>2557</v>
      </c>
      <c r="G1357" s="8" t="str">
        <f t="shared" si="63"/>
        <v>THE JOIN</v>
      </c>
    </row>
    <row r="1358" spans="1:7">
      <c r="A1358" s="4" t="str">
        <f t="shared" si="64"/>
        <v>097</v>
      </c>
      <c r="B1358" s="4" t="str">
        <f t="shared" si="65"/>
        <v>07</v>
      </c>
      <c r="C1358" s="5" t="s">
        <v>2558</v>
      </c>
      <c r="E1358" s="6" t="s">
        <v>2548</v>
      </c>
      <c r="F1358" s="7" t="s">
        <v>2559</v>
      </c>
      <c r="G1358" s="8" t="str">
        <f t="shared" si="63"/>
        <v>PERMANEN</v>
      </c>
    </row>
    <row r="1359" spans="1:7">
      <c r="A1359" s="4" t="str">
        <f t="shared" si="64"/>
        <v>097</v>
      </c>
      <c r="B1359" s="4" t="str">
        <f t="shared" si="65"/>
        <v>08</v>
      </c>
      <c r="C1359" s="5" t="s">
        <v>2560</v>
      </c>
      <c r="E1359" s="6" t="s">
        <v>2548</v>
      </c>
      <c r="F1359" s="7" t="s">
        <v>2561</v>
      </c>
      <c r="G1359" s="8" t="str">
        <f t="shared" si="63"/>
        <v xml:space="preserve">DEFENCE </v>
      </c>
    </row>
    <row r="1360" spans="1:7">
      <c r="A1360" s="4" t="str">
        <f t="shared" si="64"/>
        <v>097</v>
      </c>
      <c r="B1360" s="4" t="str">
        <f t="shared" si="65"/>
        <v>09</v>
      </c>
      <c r="C1360" s="5" t="s">
        <v>2562</v>
      </c>
      <c r="E1360" s="6" t="s">
        <v>2548</v>
      </c>
      <c r="F1360" s="7" t="s">
        <v>2563</v>
      </c>
      <c r="G1360" s="8" t="str">
        <f t="shared" si="63"/>
        <v xml:space="preserve">DOD OFF </v>
      </c>
    </row>
    <row r="1361" spans="1:7">
      <c r="A1361" s="4" t="str">
        <f t="shared" si="64"/>
        <v>097</v>
      </c>
      <c r="B1361" s="4" t="str">
        <f t="shared" si="65"/>
        <v>10</v>
      </c>
      <c r="C1361" s="5" t="s">
        <v>2564</v>
      </c>
      <c r="E1361" s="6" t="s">
        <v>2548</v>
      </c>
      <c r="F1361" s="7" t="s">
        <v>492</v>
      </c>
      <c r="G1361" s="8" t="str">
        <f t="shared" si="63"/>
        <v>BOARD OF</v>
      </c>
    </row>
    <row r="1362" spans="1:7">
      <c r="A1362" s="4" t="str">
        <f t="shared" si="64"/>
        <v>097</v>
      </c>
      <c r="B1362" s="4" t="str">
        <f t="shared" si="65"/>
        <v>11</v>
      </c>
      <c r="C1362" s="5" t="s">
        <v>2565</v>
      </c>
      <c r="E1362" s="6" t="s">
        <v>2548</v>
      </c>
      <c r="F1362" s="7" t="s">
        <v>2566</v>
      </c>
      <c r="G1362" s="8" t="str">
        <f t="shared" si="63"/>
        <v>UNITED S</v>
      </c>
    </row>
    <row r="1363" spans="1:7">
      <c r="A1363" s="4" t="str">
        <f t="shared" si="64"/>
        <v>097</v>
      </c>
      <c r="B1363" s="4" t="str">
        <f t="shared" si="65"/>
        <v>12</v>
      </c>
      <c r="C1363" s="5" t="s">
        <v>2567</v>
      </c>
      <c r="E1363" s="6" t="s">
        <v>2548</v>
      </c>
      <c r="F1363" s="7" t="s">
        <v>1110</v>
      </c>
      <c r="G1363" s="8" t="str">
        <f t="shared" si="63"/>
        <v>INSPECTO</v>
      </c>
    </row>
    <row r="1364" spans="1:7">
      <c r="A1364" s="4" t="str">
        <f t="shared" si="64"/>
        <v>097</v>
      </c>
      <c r="B1364" s="4" t="str">
        <f t="shared" si="65"/>
        <v>13</v>
      </c>
      <c r="C1364" s="5" t="s">
        <v>2568</v>
      </c>
      <c r="E1364" s="6" t="s">
        <v>2548</v>
      </c>
      <c r="F1364" s="7" t="s">
        <v>2569</v>
      </c>
      <c r="G1364" s="8" t="str">
        <f t="shared" si="63"/>
        <v xml:space="preserve">DEPT OF </v>
      </c>
    </row>
    <row r="1365" spans="1:7">
      <c r="A1365" s="4" t="str">
        <f t="shared" si="64"/>
        <v>097</v>
      </c>
      <c r="B1365" s="4" t="str">
        <f t="shared" si="65"/>
        <v>14</v>
      </c>
      <c r="C1365" s="5" t="s">
        <v>2570</v>
      </c>
      <c r="E1365" s="6" t="s">
        <v>2548</v>
      </c>
      <c r="F1365" s="7" t="s">
        <v>2571</v>
      </c>
      <c r="G1365" s="8" t="str">
        <f t="shared" si="63"/>
        <v xml:space="preserve">DEFENSE </v>
      </c>
    </row>
    <row r="1366" spans="1:7">
      <c r="A1366" s="4" t="str">
        <f t="shared" si="64"/>
        <v>097</v>
      </c>
      <c r="B1366" s="4" t="str">
        <f t="shared" si="65"/>
        <v>15</v>
      </c>
      <c r="C1366" s="5" t="s">
        <v>2572</v>
      </c>
      <c r="E1366" s="6" t="s">
        <v>2548</v>
      </c>
      <c r="F1366" s="7" t="s">
        <v>2573</v>
      </c>
      <c r="G1366" s="8" t="str">
        <f t="shared" si="63"/>
        <v xml:space="preserve">DEFENSE </v>
      </c>
    </row>
    <row r="1367" spans="1:7">
      <c r="A1367" s="4" t="str">
        <f t="shared" si="64"/>
        <v>097</v>
      </c>
      <c r="B1367" s="4" t="str">
        <f t="shared" si="65"/>
        <v>16</v>
      </c>
      <c r="C1367" s="5" t="s">
        <v>2574</v>
      </c>
      <c r="E1367" s="6" t="s">
        <v>2548</v>
      </c>
      <c r="F1367" s="7" t="s">
        <v>2575</v>
      </c>
      <c r="G1367" s="8" t="str">
        <f t="shared" si="63"/>
        <v>NATIONAL</v>
      </c>
    </row>
    <row r="1368" spans="1:7">
      <c r="A1368" s="4" t="str">
        <f t="shared" si="64"/>
        <v>097</v>
      </c>
      <c r="B1368" s="4" t="str">
        <f t="shared" si="65"/>
        <v>17</v>
      </c>
      <c r="C1368" s="5" t="s">
        <v>2576</v>
      </c>
      <c r="E1368" s="6" t="s">
        <v>2548</v>
      </c>
      <c r="F1368" s="7" t="s">
        <v>2577</v>
      </c>
      <c r="G1368" s="8" t="str">
        <f t="shared" si="63"/>
        <v xml:space="preserve">DEFENSE </v>
      </c>
    </row>
    <row r="1369" spans="1:7">
      <c r="A1369" s="4" t="str">
        <f t="shared" si="64"/>
        <v>097</v>
      </c>
      <c r="B1369" s="4" t="str">
        <f t="shared" si="65"/>
        <v>18</v>
      </c>
      <c r="C1369" s="5" t="s">
        <v>2578</v>
      </c>
      <c r="E1369" s="6" t="s">
        <v>2548</v>
      </c>
      <c r="F1369" s="7" t="s">
        <v>2579</v>
      </c>
      <c r="G1369" s="8" t="str">
        <f t="shared" si="63"/>
        <v xml:space="preserve">DEFENSE </v>
      </c>
    </row>
    <row r="1370" spans="1:7">
      <c r="A1370" s="4" t="str">
        <f t="shared" si="64"/>
        <v>097</v>
      </c>
      <c r="B1370" s="4" t="str">
        <f t="shared" si="65"/>
        <v>19</v>
      </c>
      <c r="C1370" s="5" t="s">
        <v>2580</v>
      </c>
      <c r="E1370" s="6" t="s">
        <v>2548</v>
      </c>
      <c r="F1370" s="7" t="s">
        <v>2581</v>
      </c>
      <c r="G1370" s="8" t="str">
        <f t="shared" si="63"/>
        <v xml:space="preserve">DEFENSE </v>
      </c>
    </row>
    <row r="1371" spans="1:7">
      <c r="A1371" s="4" t="str">
        <f t="shared" si="64"/>
        <v>097</v>
      </c>
      <c r="B1371" s="4" t="str">
        <f t="shared" si="65"/>
        <v>20</v>
      </c>
      <c r="C1371" s="5" t="s">
        <v>2582</v>
      </c>
      <c r="E1371" s="6" t="s">
        <v>2548</v>
      </c>
      <c r="F1371" s="7" t="s">
        <v>2583</v>
      </c>
      <c r="G1371" s="8" t="str">
        <f t="shared" si="63"/>
        <v xml:space="preserve">DOD,JNT </v>
      </c>
    </row>
    <row r="1372" spans="1:7">
      <c r="A1372" s="4" t="str">
        <f t="shared" si="64"/>
        <v>097</v>
      </c>
      <c r="B1372" s="4" t="str">
        <f t="shared" si="65"/>
        <v>21</v>
      </c>
      <c r="C1372" s="5" t="s">
        <v>2584</v>
      </c>
      <c r="E1372" s="6" t="s">
        <v>2548</v>
      </c>
      <c r="F1372" s="7" t="s">
        <v>2585</v>
      </c>
      <c r="G1372" s="8" t="str">
        <f t="shared" si="63"/>
        <v xml:space="preserve">DEFENSE </v>
      </c>
    </row>
    <row r="1373" spans="1:7">
      <c r="A1373" s="4" t="str">
        <f t="shared" si="64"/>
        <v>097</v>
      </c>
      <c r="B1373" s="4" t="str">
        <f t="shared" si="65"/>
        <v>22</v>
      </c>
      <c r="C1373" s="5" t="s">
        <v>2586</v>
      </c>
      <c r="E1373" s="6" t="s">
        <v>2548</v>
      </c>
      <c r="F1373" s="7" t="s">
        <v>2587</v>
      </c>
      <c r="G1373" s="8" t="str">
        <f t="shared" si="63"/>
        <v xml:space="preserve">DEFENSE </v>
      </c>
    </row>
    <row r="1374" spans="1:7">
      <c r="A1374" s="4" t="str">
        <f t="shared" si="64"/>
        <v>097</v>
      </c>
      <c r="B1374" s="4" t="str">
        <f t="shared" si="65"/>
        <v>23</v>
      </c>
      <c r="C1374" s="5" t="s">
        <v>2588</v>
      </c>
      <c r="E1374" s="6" t="s">
        <v>2548</v>
      </c>
      <c r="F1374" s="7" t="s">
        <v>2589</v>
      </c>
      <c r="G1374" s="8" t="str">
        <f t="shared" si="63"/>
        <v xml:space="preserve">DOD,DEF </v>
      </c>
    </row>
    <row r="1375" spans="1:7">
      <c r="A1375" s="4" t="str">
        <f t="shared" si="64"/>
        <v>097</v>
      </c>
      <c r="B1375" s="4" t="str">
        <f t="shared" si="65"/>
        <v>24</v>
      </c>
      <c r="C1375" s="5" t="s">
        <v>2590</v>
      </c>
      <c r="E1375" s="6" t="s">
        <v>2548</v>
      </c>
      <c r="F1375" s="7" t="s">
        <v>2591</v>
      </c>
      <c r="G1375" s="8" t="str">
        <f t="shared" si="63"/>
        <v xml:space="preserve">DOD,DEF </v>
      </c>
    </row>
    <row r="1376" spans="1:7">
      <c r="A1376" s="4" t="str">
        <f t="shared" si="64"/>
        <v>097</v>
      </c>
      <c r="B1376" s="4" t="str">
        <f t="shared" si="65"/>
        <v>25</v>
      </c>
      <c r="C1376" s="5" t="s">
        <v>2592</v>
      </c>
      <c r="E1376" s="6" t="s">
        <v>2548</v>
      </c>
      <c r="F1376" s="7" t="s">
        <v>2593</v>
      </c>
      <c r="G1376" s="8" t="str">
        <f t="shared" si="63"/>
        <v>CAMPAIGN</v>
      </c>
    </row>
    <row r="1377" spans="1:7">
      <c r="A1377" s="4" t="str">
        <f t="shared" si="64"/>
        <v>097</v>
      </c>
      <c r="B1377" s="4" t="str">
        <f t="shared" si="65"/>
        <v>26</v>
      </c>
      <c r="C1377" s="5" t="s">
        <v>2594</v>
      </c>
      <c r="E1377" s="6" t="s">
        <v>2548</v>
      </c>
      <c r="F1377" s="7" t="s">
        <v>2595</v>
      </c>
      <c r="G1377" s="8" t="str">
        <f t="shared" si="63"/>
        <v xml:space="preserve">DEFENSE </v>
      </c>
    </row>
    <row r="1378" spans="1:7">
      <c r="A1378" s="4" t="str">
        <f t="shared" si="64"/>
        <v>097</v>
      </c>
      <c r="B1378" s="4" t="str">
        <f t="shared" si="65"/>
        <v>27</v>
      </c>
      <c r="C1378" s="5" t="s">
        <v>2596</v>
      </c>
      <c r="E1378" s="6" t="s">
        <v>2548</v>
      </c>
      <c r="F1378" s="7" t="s">
        <v>2597</v>
      </c>
      <c r="G1378" s="8" t="str">
        <f t="shared" si="63"/>
        <v xml:space="preserve">DEFENSE </v>
      </c>
    </row>
    <row r="1379" spans="1:7">
      <c r="A1379" s="4" t="str">
        <f t="shared" si="64"/>
        <v>097</v>
      </c>
      <c r="B1379" s="4" t="str">
        <f t="shared" si="65"/>
        <v>28</v>
      </c>
      <c r="C1379" s="5" t="s">
        <v>2598</v>
      </c>
      <c r="E1379" s="6" t="s">
        <v>2548</v>
      </c>
      <c r="F1379" s="7" t="s">
        <v>2599</v>
      </c>
      <c r="G1379" s="8" t="str">
        <f t="shared" si="63"/>
        <v>JOINT IN</v>
      </c>
    </row>
    <row r="1380" spans="1:7">
      <c r="A1380" s="4" t="str">
        <f t="shared" si="64"/>
        <v>097</v>
      </c>
      <c r="B1380" s="4" t="str">
        <f t="shared" si="65"/>
        <v>29</v>
      </c>
      <c r="C1380" s="5" t="s">
        <v>2600</v>
      </c>
      <c r="E1380" s="6" t="s">
        <v>2548</v>
      </c>
      <c r="F1380" s="7" t="s">
        <v>2601</v>
      </c>
      <c r="G1380" s="8" t="str">
        <f t="shared" si="63"/>
        <v xml:space="preserve">DEFENSE </v>
      </c>
    </row>
    <row r="1381" spans="1:7">
      <c r="A1381" s="4" t="str">
        <f t="shared" si="64"/>
        <v>097</v>
      </c>
      <c r="B1381" s="4" t="str">
        <f t="shared" si="65"/>
        <v>30</v>
      </c>
      <c r="C1381" s="5" t="s">
        <v>2602</v>
      </c>
      <c r="E1381" s="6" t="s">
        <v>2548</v>
      </c>
      <c r="F1381" s="7" t="s">
        <v>2603</v>
      </c>
      <c r="G1381" s="8" t="str">
        <f t="shared" si="63"/>
        <v>DEPARTME</v>
      </c>
    </row>
    <row r="1382" spans="1:7">
      <c r="A1382" s="4" t="str">
        <f t="shared" si="64"/>
        <v>097</v>
      </c>
      <c r="B1382" s="4" t="str">
        <f t="shared" si="65"/>
        <v>31</v>
      </c>
      <c r="C1382" s="5" t="s">
        <v>2604</v>
      </c>
      <c r="E1382" s="6" t="s">
        <v>2548</v>
      </c>
      <c r="F1382" s="7" t="s">
        <v>2605</v>
      </c>
      <c r="G1382" s="8" t="str">
        <f t="shared" si="63"/>
        <v>DOD, BAL</v>
      </c>
    </row>
    <row r="1383" spans="1:7">
      <c r="A1383" s="4" t="str">
        <f t="shared" si="64"/>
        <v>097</v>
      </c>
      <c r="B1383" s="4" t="str">
        <f t="shared" si="65"/>
        <v>32</v>
      </c>
      <c r="C1383" s="5" t="s">
        <v>2606</v>
      </c>
      <c r="E1383" s="6" t="s">
        <v>2548</v>
      </c>
      <c r="F1383" s="7" t="s">
        <v>2607</v>
      </c>
      <c r="G1383" s="8" t="str">
        <f t="shared" si="63"/>
        <v>DOD,JOIN</v>
      </c>
    </row>
    <row r="1384" spans="1:7">
      <c r="A1384" s="4" t="str">
        <f t="shared" si="64"/>
        <v>097</v>
      </c>
      <c r="B1384" s="4" t="str">
        <f t="shared" si="65"/>
        <v>33</v>
      </c>
      <c r="C1384" s="5" t="s">
        <v>2608</v>
      </c>
      <c r="E1384" s="6" t="s">
        <v>2548</v>
      </c>
      <c r="F1384" s="7" t="s">
        <v>2609</v>
      </c>
      <c r="G1384" s="8" t="str">
        <f t="shared" si="63"/>
        <v>DOD,TRI-</v>
      </c>
    </row>
    <row r="1385" spans="1:7">
      <c r="A1385" s="4" t="str">
        <f t="shared" si="64"/>
        <v>097</v>
      </c>
      <c r="B1385" s="4" t="str">
        <f t="shared" si="65"/>
        <v>34</v>
      </c>
      <c r="C1385" s="5" t="s">
        <v>2610</v>
      </c>
      <c r="E1385" s="6" t="s">
        <v>2548</v>
      </c>
      <c r="F1385" s="7" t="s">
        <v>2611</v>
      </c>
      <c r="G1385" s="8" t="str">
        <f t="shared" si="63"/>
        <v>DOD,ARME</v>
      </c>
    </row>
    <row r="1386" spans="1:7">
      <c r="A1386" s="4" t="str">
        <f t="shared" si="64"/>
        <v>097</v>
      </c>
      <c r="B1386" s="4" t="str">
        <f t="shared" si="65"/>
        <v>35</v>
      </c>
      <c r="C1386" s="5" t="s">
        <v>2612</v>
      </c>
      <c r="E1386" s="6" t="s">
        <v>2548</v>
      </c>
      <c r="F1386" s="7" t="s">
        <v>2613</v>
      </c>
      <c r="G1386" s="8" t="str">
        <f t="shared" si="63"/>
        <v xml:space="preserve">DEFENSE </v>
      </c>
    </row>
    <row r="1387" spans="1:7">
      <c r="A1387" s="4" t="str">
        <f t="shared" si="64"/>
        <v>097</v>
      </c>
      <c r="B1387" s="4" t="str">
        <f t="shared" si="65"/>
        <v>36</v>
      </c>
      <c r="C1387" s="5" t="s">
        <v>2614</v>
      </c>
      <c r="E1387" s="6" t="s">
        <v>2548</v>
      </c>
      <c r="F1387" s="7" t="s">
        <v>2615</v>
      </c>
      <c r="G1387" s="8" t="str">
        <f t="shared" si="63"/>
        <v xml:space="preserve">DOD DEF </v>
      </c>
    </row>
    <row r="1388" spans="1:7">
      <c r="A1388" s="4" t="str">
        <f t="shared" si="64"/>
        <v>097</v>
      </c>
      <c r="B1388" s="4" t="str">
        <f t="shared" si="65"/>
        <v>37</v>
      </c>
      <c r="C1388" s="5" t="s">
        <v>2616</v>
      </c>
      <c r="E1388" s="6" t="s">
        <v>2548</v>
      </c>
      <c r="F1388" s="7" t="s">
        <v>2617</v>
      </c>
      <c r="G1388" s="8" t="str">
        <f t="shared" si="63"/>
        <v>DOD DEPE</v>
      </c>
    </row>
    <row r="1389" spans="1:7">
      <c r="A1389" s="4" t="str">
        <f t="shared" si="64"/>
        <v>097</v>
      </c>
      <c r="B1389" s="4" t="str">
        <f t="shared" si="65"/>
        <v>38</v>
      </c>
      <c r="C1389" s="5" t="s">
        <v>2618</v>
      </c>
      <c r="E1389" s="6" t="s">
        <v>2548</v>
      </c>
      <c r="F1389" s="7" t="s">
        <v>2619</v>
      </c>
      <c r="G1389" s="8" t="str">
        <f t="shared" si="63"/>
        <v xml:space="preserve">DOD OFF </v>
      </c>
    </row>
    <row r="1390" spans="1:7">
      <c r="A1390" s="4" t="str">
        <f t="shared" si="64"/>
        <v>097</v>
      </c>
      <c r="B1390" s="4" t="str">
        <f t="shared" si="65"/>
        <v>39</v>
      </c>
      <c r="C1390" s="5" t="s">
        <v>2620</v>
      </c>
      <c r="E1390" s="6" t="s">
        <v>2548</v>
      </c>
      <c r="F1390" s="7" t="s">
        <v>2621</v>
      </c>
      <c r="G1390" s="8" t="str">
        <f t="shared" si="63"/>
        <v>US JOINT</v>
      </c>
    </row>
    <row r="1391" spans="1:7">
      <c r="A1391" s="4" t="str">
        <f t="shared" si="64"/>
        <v>097</v>
      </c>
      <c r="B1391" s="4" t="str">
        <f t="shared" si="65"/>
        <v>40</v>
      </c>
      <c r="C1391" s="5" t="s">
        <v>2622</v>
      </c>
      <c r="E1391" s="6" t="s">
        <v>2548</v>
      </c>
      <c r="F1391" s="7" t="s">
        <v>2623</v>
      </c>
      <c r="G1391" s="8" t="str">
        <f t="shared" si="63"/>
        <v>US JOINT</v>
      </c>
    </row>
    <row r="1392" spans="1:7">
      <c r="A1392" s="4" t="str">
        <f t="shared" si="64"/>
        <v>097</v>
      </c>
      <c r="B1392" s="4" t="str">
        <f t="shared" si="65"/>
        <v>41</v>
      </c>
      <c r="C1392" s="5" t="s">
        <v>2624</v>
      </c>
      <c r="E1392" s="6" t="s">
        <v>2548</v>
      </c>
      <c r="F1392" s="7" t="s">
        <v>2625</v>
      </c>
      <c r="G1392" s="8" t="str">
        <f t="shared" si="63"/>
        <v>US NORTH</v>
      </c>
    </row>
    <row r="1393" spans="1:7">
      <c r="A1393" s="4" t="str">
        <f t="shared" si="64"/>
        <v>097</v>
      </c>
      <c r="B1393" s="4" t="str">
        <f t="shared" si="65"/>
        <v>42</v>
      </c>
      <c r="C1393" s="5" t="s">
        <v>2626</v>
      </c>
      <c r="E1393" s="6" t="s">
        <v>2548</v>
      </c>
      <c r="F1393" s="7" t="s">
        <v>2627</v>
      </c>
      <c r="G1393" s="8" t="str">
        <f t="shared" si="63"/>
        <v xml:space="preserve">DEPT OF </v>
      </c>
    </row>
    <row r="1394" spans="1:7">
      <c r="A1394" s="4" t="str">
        <f t="shared" si="64"/>
        <v>097</v>
      </c>
      <c r="B1394" s="4" t="str">
        <f t="shared" si="65"/>
        <v>43</v>
      </c>
      <c r="C1394" s="5" t="s">
        <v>2628</v>
      </c>
      <c r="E1394" s="6" t="s">
        <v>2548</v>
      </c>
      <c r="F1394" s="7" t="s">
        <v>2629</v>
      </c>
      <c r="G1394" s="8" t="str">
        <f t="shared" si="63"/>
        <v xml:space="preserve">DOD OFF </v>
      </c>
    </row>
    <row r="1395" spans="1:7">
      <c r="A1395" s="4" t="str">
        <f t="shared" si="64"/>
        <v>097</v>
      </c>
      <c r="B1395" s="4" t="str">
        <f t="shared" si="65"/>
        <v>44</v>
      </c>
      <c r="C1395" s="5" t="s">
        <v>2630</v>
      </c>
      <c r="E1395" s="6" t="s">
        <v>2548</v>
      </c>
      <c r="F1395" s="7" t="s">
        <v>2631</v>
      </c>
      <c r="G1395" s="8" t="str">
        <f t="shared" si="63"/>
        <v>DOD, OFF</v>
      </c>
    </row>
    <row r="1396" spans="1:7">
      <c r="A1396" s="4" t="str">
        <f t="shared" si="64"/>
        <v>097</v>
      </c>
      <c r="B1396" s="4" t="str">
        <f t="shared" si="65"/>
        <v>45</v>
      </c>
      <c r="C1396" s="5" t="s">
        <v>2632</v>
      </c>
      <c r="E1396" s="6" t="s">
        <v>2548</v>
      </c>
      <c r="F1396" s="7" t="s">
        <v>2633</v>
      </c>
      <c r="G1396" s="8" t="str">
        <f t="shared" si="63"/>
        <v>OFC OF S</v>
      </c>
    </row>
    <row r="1397" spans="1:7">
      <c r="A1397" s="4" t="str">
        <f t="shared" si="64"/>
        <v>097</v>
      </c>
      <c r="B1397" s="4" t="str">
        <f t="shared" si="65"/>
        <v>46</v>
      </c>
      <c r="C1397" s="5" t="s">
        <v>2634</v>
      </c>
      <c r="E1397" s="6" t="s">
        <v>2548</v>
      </c>
      <c r="F1397" s="7" t="s">
        <v>2635</v>
      </c>
      <c r="G1397" s="8" t="str">
        <f t="shared" si="63"/>
        <v>NGA INTE</v>
      </c>
    </row>
    <row r="1398" spans="1:7">
      <c r="A1398" s="4" t="str">
        <f t="shared" si="64"/>
        <v>097</v>
      </c>
      <c r="B1398" s="4" t="str">
        <f t="shared" si="65"/>
        <v>47</v>
      </c>
      <c r="C1398" s="5" t="s">
        <v>2636</v>
      </c>
      <c r="E1398" s="6" t="s">
        <v>2548</v>
      </c>
      <c r="F1398" s="7" t="s">
        <v>2637</v>
      </c>
      <c r="G1398" s="8" t="str">
        <f t="shared" si="63"/>
        <v xml:space="preserve">TRICARE </v>
      </c>
    </row>
    <row r="1399" spans="1:7">
      <c r="A1399" s="4" t="str">
        <f t="shared" si="64"/>
        <v>097</v>
      </c>
      <c r="B1399" s="4" t="str">
        <f t="shared" si="65"/>
        <v>52</v>
      </c>
      <c r="C1399" s="5" t="s">
        <v>2638</v>
      </c>
      <c r="E1399" s="6" t="s">
        <v>2548</v>
      </c>
      <c r="F1399" s="7" t="s">
        <v>2639</v>
      </c>
      <c r="G1399" s="8" t="str">
        <f t="shared" si="63"/>
        <v>DOC/USSO</v>
      </c>
    </row>
    <row r="1400" spans="1:7">
      <c r="A1400" s="4" t="str">
        <f t="shared" si="64"/>
        <v>097</v>
      </c>
      <c r="B1400" s="4" t="str">
        <f t="shared" si="65"/>
        <v>53</v>
      </c>
      <c r="C1400" s="5" t="s">
        <v>2640</v>
      </c>
      <c r="E1400" s="6" t="s">
        <v>2548</v>
      </c>
      <c r="F1400" s="7" t="s">
        <v>2641</v>
      </c>
      <c r="G1400" s="8" t="str">
        <f t="shared" si="63"/>
        <v xml:space="preserve">OIFC OF </v>
      </c>
    </row>
    <row r="1401" spans="1:7">
      <c r="A1401" s="4" t="str">
        <f t="shared" si="64"/>
        <v>097</v>
      </c>
      <c r="B1401" s="4" t="str">
        <f t="shared" si="65"/>
        <v>61</v>
      </c>
      <c r="C1401" s="5" t="s">
        <v>2642</v>
      </c>
      <c r="E1401" s="6" t="s">
        <v>2548</v>
      </c>
      <c r="F1401" s="7" t="s">
        <v>2613</v>
      </c>
      <c r="G1401" s="8" t="str">
        <f t="shared" si="63"/>
        <v xml:space="preserve">DEFENSE </v>
      </c>
    </row>
    <row r="1402" spans="1:7">
      <c r="A1402" s="4" t="str">
        <f t="shared" si="64"/>
        <v>097</v>
      </c>
      <c r="B1402" s="4" t="str">
        <f t="shared" si="65"/>
        <v>71</v>
      </c>
      <c r="C1402" s="5" t="s">
        <v>2643</v>
      </c>
      <c r="E1402" s="6" t="s">
        <v>2548</v>
      </c>
      <c r="F1402" s="7" t="s">
        <v>2644</v>
      </c>
      <c r="G1402" s="8" t="str">
        <f t="shared" si="63"/>
        <v>DOD,DEFE</v>
      </c>
    </row>
    <row r="1403" spans="1:7">
      <c r="A1403" s="4" t="str">
        <f t="shared" si="64"/>
        <v>097</v>
      </c>
      <c r="B1403" s="4" t="str">
        <f t="shared" si="65"/>
        <v>97</v>
      </c>
      <c r="C1403" s="5" t="s">
        <v>2645</v>
      </c>
      <c r="E1403" s="6" t="s">
        <v>2548</v>
      </c>
      <c r="F1403" s="7" t="s">
        <v>102</v>
      </c>
      <c r="G1403" s="8" t="str">
        <f t="shared" si="63"/>
        <v>GSA ADVA</v>
      </c>
    </row>
    <row r="1404" spans="1:7">
      <c r="A1404" s="4" t="str">
        <f t="shared" si="64"/>
        <v>097</v>
      </c>
      <c r="B1404" s="4" t="str">
        <f t="shared" si="65"/>
        <v>98</v>
      </c>
      <c r="C1404" s="5" t="s">
        <v>2646</v>
      </c>
      <c r="E1404" s="6" t="s">
        <v>2548</v>
      </c>
      <c r="F1404" s="7" t="s">
        <v>2647</v>
      </c>
      <c r="G1404" s="8" t="str">
        <f t="shared" si="63"/>
        <v>DOD, WAS</v>
      </c>
    </row>
    <row r="1405" spans="1:7">
      <c r="A1405" s="4" t="str">
        <f t="shared" si="64"/>
        <v>097</v>
      </c>
      <c r="B1405" s="4" t="str">
        <f t="shared" si="65"/>
        <v>99</v>
      </c>
      <c r="C1405" s="5" t="s">
        <v>2648</v>
      </c>
      <c r="E1405" s="6" t="s">
        <v>2548</v>
      </c>
      <c r="F1405" s="7" t="s">
        <v>2649</v>
      </c>
      <c r="G1405" s="8" t="str">
        <f t="shared" si="63"/>
        <v>DOD-INSI</v>
      </c>
    </row>
    <row r="1406" spans="1:7">
      <c r="A1406" s="4" t="str">
        <f t="shared" si="64"/>
        <v>098</v>
      </c>
      <c r="B1406" s="4" t="str">
        <f t="shared" si="65"/>
        <v>00</v>
      </c>
      <c r="C1406" s="5" t="s">
        <v>2650</v>
      </c>
      <c r="E1406" s="6" t="s">
        <v>2651</v>
      </c>
      <c r="F1406" s="7" t="s">
        <v>2651</v>
      </c>
      <c r="G1406" s="8" t="str">
        <f t="shared" si="63"/>
        <v>UNITED S</v>
      </c>
    </row>
    <row r="1407" spans="1:7">
      <c r="A1407" s="4" t="str">
        <f t="shared" si="64"/>
        <v>098</v>
      </c>
      <c r="B1407" s="4" t="str">
        <f t="shared" si="65"/>
        <v>97</v>
      </c>
      <c r="C1407" s="5" t="s">
        <v>2652</v>
      </c>
      <c r="E1407" s="6" t="s">
        <v>2651</v>
      </c>
      <c r="F1407" s="7" t="s">
        <v>102</v>
      </c>
      <c r="G1407" s="8" t="str">
        <f t="shared" si="63"/>
        <v>GSA ADVA</v>
      </c>
    </row>
    <row r="1408" spans="1:7">
      <c r="A1408" s="4" t="str">
        <f t="shared" si="64"/>
        <v>099</v>
      </c>
      <c r="B1408" s="4" t="str">
        <f t="shared" si="65"/>
        <v>00</v>
      </c>
      <c r="C1408" s="5" t="s">
        <v>2653</v>
      </c>
      <c r="E1408" s="6" t="s">
        <v>2654</v>
      </c>
      <c r="F1408" s="7" t="s">
        <v>2654</v>
      </c>
      <c r="G1408" s="8" t="str">
        <f t="shared" si="63"/>
        <v xml:space="preserve">GENERAL </v>
      </c>
    </row>
    <row r="1409" spans="1:7">
      <c r="A1409" s="4" t="str">
        <f t="shared" si="64"/>
        <v>184</v>
      </c>
      <c r="B1409" s="4" t="str">
        <f t="shared" si="65"/>
        <v>77</v>
      </c>
      <c r="C1409" s="5" t="s">
        <v>2655</v>
      </c>
      <c r="E1409" s="6" t="s">
        <v>1482</v>
      </c>
      <c r="F1409" s="7" t="s">
        <v>2656</v>
      </c>
      <c r="G1409" s="8" t="str">
        <f t="shared" si="63"/>
        <v>MILLENIU</v>
      </c>
    </row>
    <row r="1410" spans="1:7">
      <c r="A1410" s="4" t="str">
        <f t="shared" si="64"/>
        <v>235</v>
      </c>
      <c r="B1410" s="4" t="str">
        <f t="shared" si="65"/>
        <v>00</v>
      </c>
      <c r="C1410" s="5" t="s">
        <v>2657</v>
      </c>
      <c r="E1410" s="6" t="s">
        <v>189</v>
      </c>
      <c r="F1410" s="7" t="s">
        <v>189</v>
      </c>
      <c r="G1410" s="8" t="str">
        <f t="shared" ref="G1410:G1473" si="66">LEFT(F1410,8)</f>
        <v>MEDICARE</v>
      </c>
    </row>
    <row r="1411" spans="1:7">
      <c r="A1411" s="4" t="str">
        <f t="shared" ref="A1411:A1474" si="67">LEFT(C1411,3)</f>
        <v>274</v>
      </c>
      <c r="B1411" s="4" t="str">
        <f t="shared" ref="B1411:B1474" si="68">RIGHT(C1411,2)</f>
        <v>74</v>
      </c>
      <c r="C1411" s="5" t="s">
        <v>2658</v>
      </c>
      <c r="E1411" s="6" t="s">
        <v>1691</v>
      </c>
      <c r="F1411" s="7" t="s">
        <v>2659</v>
      </c>
      <c r="G1411" s="8" t="str">
        <f t="shared" si="66"/>
        <v>RONALD R</v>
      </c>
    </row>
    <row r="1412" spans="1:7">
      <c r="A1412" s="4" t="str">
        <f t="shared" si="67"/>
        <v>283</v>
      </c>
      <c r="B1412" s="4" t="str">
        <f t="shared" si="68"/>
        <v>00</v>
      </c>
      <c r="C1412" s="5" t="s">
        <v>2660</v>
      </c>
      <c r="E1412" s="6" t="s">
        <v>2661</v>
      </c>
      <c r="F1412" s="7" t="s">
        <v>2661</v>
      </c>
      <c r="G1412" s="8" t="str">
        <f t="shared" si="66"/>
        <v>EARNINGS</v>
      </c>
    </row>
    <row r="1413" spans="1:7">
      <c r="A1413" s="4" t="str">
        <f t="shared" si="67"/>
        <v>292</v>
      </c>
      <c r="B1413" s="4" t="str">
        <f t="shared" si="68"/>
        <v>00</v>
      </c>
      <c r="C1413" s="5" t="s">
        <v>2662</v>
      </c>
      <c r="E1413" s="6" t="s">
        <v>2663</v>
      </c>
      <c r="F1413" s="7" t="s">
        <v>2663</v>
      </c>
      <c r="G1413" s="8" t="str">
        <f t="shared" si="66"/>
        <v>US CHINA</v>
      </c>
    </row>
    <row r="1414" spans="1:7">
      <c r="A1414" s="4" t="str">
        <f t="shared" si="67"/>
        <v>293</v>
      </c>
      <c r="B1414" s="4" t="str">
        <f t="shared" si="68"/>
        <v>93</v>
      </c>
      <c r="C1414" s="5" t="s">
        <v>2664</v>
      </c>
      <c r="E1414" s="6" t="s">
        <v>1691</v>
      </c>
      <c r="F1414" s="7" t="s">
        <v>2665</v>
      </c>
      <c r="G1414" s="8" t="str">
        <f t="shared" si="66"/>
        <v>CENSUS M</v>
      </c>
    </row>
    <row r="1415" spans="1:7">
      <c r="A1415" s="4" t="str">
        <f t="shared" si="67"/>
        <v>295</v>
      </c>
      <c r="B1415" s="4" t="str">
        <f t="shared" si="68"/>
        <v>00</v>
      </c>
      <c r="C1415" s="5" t="s">
        <v>2666</v>
      </c>
      <c r="E1415" s="6" t="s">
        <v>2667</v>
      </c>
      <c r="F1415" s="7" t="s">
        <v>2667</v>
      </c>
      <c r="G1415" s="8" t="str">
        <f t="shared" si="66"/>
        <v xml:space="preserve">US COMM </v>
      </c>
    </row>
    <row r="1416" spans="1:7">
      <c r="A1416" s="4" t="str">
        <f t="shared" si="67"/>
        <v>302</v>
      </c>
      <c r="B1416" s="4" t="str">
        <f t="shared" si="68"/>
        <v>15</v>
      </c>
      <c r="C1416" s="5" t="s">
        <v>2668</v>
      </c>
      <c r="E1416" s="6" t="s">
        <v>1482</v>
      </c>
      <c r="F1416" s="7" t="s">
        <v>2669</v>
      </c>
      <c r="G1416" s="8" t="str">
        <f t="shared" si="66"/>
        <v>ADMINIST</v>
      </c>
    </row>
    <row r="1417" spans="1:7">
      <c r="A1417" s="4" t="str">
        <f t="shared" si="67"/>
        <v>306</v>
      </c>
      <c r="B1417" s="4" t="str">
        <f t="shared" si="68"/>
        <v>00</v>
      </c>
      <c r="C1417" s="5" t="s">
        <v>2670</v>
      </c>
      <c r="E1417" s="6" t="s">
        <v>2671</v>
      </c>
      <c r="F1417" s="7" t="s">
        <v>2671</v>
      </c>
      <c r="G1417" s="8" t="str">
        <f t="shared" si="66"/>
        <v>ADVISORY</v>
      </c>
    </row>
    <row r="1418" spans="1:7">
      <c r="A1418" s="4" t="str">
        <f t="shared" si="67"/>
        <v>306</v>
      </c>
      <c r="B1418" s="4" t="str">
        <f t="shared" si="68"/>
        <v>53</v>
      </c>
      <c r="C1418" s="5" t="s">
        <v>2672</v>
      </c>
      <c r="E1418" s="6" t="s">
        <v>2671</v>
      </c>
      <c r="F1418" s="7" t="s">
        <v>2671</v>
      </c>
      <c r="G1418" s="8" t="str">
        <f t="shared" si="66"/>
        <v>ADVISORY</v>
      </c>
    </row>
    <row r="1419" spans="1:7">
      <c r="A1419" s="4" t="str">
        <f t="shared" si="67"/>
        <v>309</v>
      </c>
      <c r="B1419" s="4" t="str">
        <f t="shared" si="68"/>
        <v>00</v>
      </c>
      <c r="C1419" s="5" t="s">
        <v>2673</v>
      </c>
      <c r="E1419" s="6" t="s">
        <v>2674</v>
      </c>
      <c r="F1419" s="7" t="s">
        <v>2674</v>
      </c>
      <c r="G1419" s="8" t="str">
        <f t="shared" si="66"/>
        <v>REGIONAL</v>
      </c>
    </row>
    <row r="1420" spans="1:7">
      <c r="A1420" s="4" t="str">
        <f t="shared" si="67"/>
        <v>309</v>
      </c>
      <c r="B1420" s="4" t="str">
        <f t="shared" si="68"/>
        <v>01</v>
      </c>
      <c r="C1420" s="5" t="s">
        <v>2675</v>
      </c>
      <c r="E1420" s="6" t="s">
        <v>2674</v>
      </c>
      <c r="F1420" s="7" t="s">
        <v>2676</v>
      </c>
      <c r="G1420" s="8" t="str">
        <f t="shared" si="66"/>
        <v>DELAWARE</v>
      </c>
    </row>
    <row r="1421" spans="1:7">
      <c r="A1421" s="4" t="str">
        <f t="shared" si="67"/>
        <v>309</v>
      </c>
      <c r="B1421" s="4" t="str">
        <f t="shared" si="68"/>
        <v>02</v>
      </c>
      <c r="C1421" s="5" t="s">
        <v>2677</v>
      </c>
      <c r="E1421" s="6" t="s">
        <v>2674</v>
      </c>
      <c r="F1421" s="7" t="s">
        <v>2678</v>
      </c>
      <c r="G1421" s="8" t="str">
        <f t="shared" si="66"/>
        <v>APPALACH</v>
      </c>
    </row>
    <row r="1422" spans="1:7">
      <c r="A1422" s="4" t="str">
        <f t="shared" si="67"/>
        <v>309</v>
      </c>
      <c r="B1422" s="4" t="str">
        <f t="shared" si="68"/>
        <v>04</v>
      </c>
      <c r="C1422" s="5" t="s">
        <v>2679</v>
      </c>
      <c r="E1422" s="6" t="s">
        <v>2674</v>
      </c>
      <c r="F1422" s="7" t="s">
        <v>2680</v>
      </c>
      <c r="G1422" s="8" t="str">
        <f t="shared" si="66"/>
        <v>WASHINGT</v>
      </c>
    </row>
    <row r="1423" spans="1:7">
      <c r="A1423" s="4" t="str">
        <f t="shared" si="67"/>
        <v>309</v>
      </c>
      <c r="B1423" s="4" t="str">
        <f t="shared" si="68"/>
        <v>17</v>
      </c>
      <c r="C1423" s="5" t="s">
        <v>2681</v>
      </c>
      <c r="E1423" s="6" t="s">
        <v>2674</v>
      </c>
      <c r="F1423" s="7" t="s">
        <v>2682</v>
      </c>
      <c r="G1423" s="8" t="str">
        <f t="shared" si="66"/>
        <v>MARTIN L</v>
      </c>
    </row>
    <row r="1424" spans="1:7">
      <c r="A1424" s="4" t="str">
        <f t="shared" si="67"/>
        <v>309</v>
      </c>
      <c r="B1424" s="4" t="str">
        <f t="shared" si="68"/>
        <v>97</v>
      </c>
      <c r="C1424" s="5" t="s">
        <v>2683</v>
      </c>
      <c r="E1424" s="6" t="s">
        <v>2674</v>
      </c>
      <c r="F1424" s="7" t="s">
        <v>102</v>
      </c>
      <c r="G1424" s="8" t="str">
        <f t="shared" si="66"/>
        <v>GSA ADVA</v>
      </c>
    </row>
    <row r="1425" spans="1:7">
      <c r="A1425" s="4" t="str">
        <f t="shared" si="67"/>
        <v>310</v>
      </c>
      <c r="B1425" s="4" t="str">
        <f t="shared" si="68"/>
        <v>22</v>
      </c>
      <c r="C1425" s="5" t="s">
        <v>2684</v>
      </c>
      <c r="E1425" s="6" t="s">
        <v>1482</v>
      </c>
      <c r="F1425" s="7" t="s">
        <v>2685</v>
      </c>
      <c r="G1425" s="8" t="str">
        <f t="shared" si="66"/>
        <v>ARCHITEC</v>
      </c>
    </row>
    <row r="1426" spans="1:7">
      <c r="A1426" s="4" t="str">
        <f t="shared" si="67"/>
        <v>310</v>
      </c>
      <c r="B1426" s="4" t="str">
        <f t="shared" si="68"/>
        <v>52</v>
      </c>
      <c r="C1426" s="5" t="s">
        <v>2686</v>
      </c>
      <c r="E1426" s="6" t="s">
        <v>1482</v>
      </c>
      <c r="F1426" s="7" t="s">
        <v>2687</v>
      </c>
      <c r="G1426" s="8" t="str">
        <f t="shared" si="66"/>
        <v>US ACCES</v>
      </c>
    </row>
    <row r="1427" spans="1:7">
      <c r="A1427" s="4" t="str">
        <f t="shared" si="67"/>
        <v>313</v>
      </c>
      <c r="B1427" s="4" t="str">
        <f t="shared" si="68"/>
        <v>33</v>
      </c>
      <c r="C1427" s="5" t="s">
        <v>2688</v>
      </c>
      <c r="E1427" s="6" t="s">
        <v>1482</v>
      </c>
      <c r="F1427" s="7" t="s">
        <v>2689</v>
      </c>
      <c r="G1427" s="8" t="str">
        <f t="shared" si="66"/>
        <v>BARRY GO</v>
      </c>
    </row>
    <row r="1428" spans="1:7">
      <c r="A1428" s="4" t="str">
        <f t="shared" si="67"/>
        <v>321</v>
      </c>
      <c r="B1428" s="4" t="str">
        <f t="shared" si="68"/>
        <v>37</v>
      </c>
      <c r="C1428" s="5" t="s">
        <v>2690</v>
      </c>
      <c r="E1428" s="6" t="s">
        <v>1482</v>
      </c>
      <c r="F1428" s="7" t="s">
        <v>2691</v>
      </c>
      <c r="G1428" s="8" t="str">
        <f t="shared" si="66"/>
        <v>COMMISSI</v>
      </c>
    </row>
    <row r="1429" spans="1:7">
      <c r="A1429" s="4" t="str">
        <f t="shared" si="67"/>
        <v>322</v>
      </c>
      <c r="B1429" s="4" t="str">
        <f t="shared" si="68"/>
        <v>00</v>
      </c>
      <c r="C1429" s="5" t="s">
        <v>2692</v>
      </c>
      <c r="E1429" s="6" t="s">
        <v>1691</v>
      </c>
      <c r="F1429" s="7" t="s">
        <v>2693</v>
      </c>
      <c r="G1429" s="8" t="str">
        <f t="shared" si="66"/>
        <v xml:space="preserve">COMM ON </v>
      </c>
    </row>
    <row r="1430" spans="1:7">
      <c r="A1430" s="4" t="str">
        <f t="shared" si="67"/>
        <v>323</v>
      </c>
      <c r="B1430" s="4" t="str">
        <f t="shared" si="68"/>
        <v>20</v>
      </c>
      <c r="C1430" s="5" t="s">
        <v>2694</v>
      </c>
      <c r="E1430" s="6" t="s">
        <v>1482</v>
      </c>
      <c r="F1430" s="7" t="s">
        <v>2695</v>
      </c>
      <c r="G1430" s="8" t="str">
        <f t="shared" si="66"/>
        <v>COMMISSI</v>
      </c>
    </row>
    <row r="1431" spans="1:7">
      <c r="A1431" s="4" t="str">
        <f t="shared" si="67"/>
        <v>326</v>
      </c>
      <c r="B1431" s="4" t="str">
        <f t="shared" si="68"/>
        <v>17</v>
      </c>
      <c r="C1431" s="5" t="s">
        <v>2696</v>
      </c>
      <c r="E1431" s="6" t="s">
        <v>1482</v>
      </c>
      <c r="F1431" s="7" t="s">
        <v>2697</v>
      </c>
      <c r="G1431" s="8" t="str">
        <f t="shared" si="66"/>
        <v>COMMISSI</v>
      </c>
    </row>
    <row r="1432" spans="1:7">
      <c r="A1432" s="4" t="str">
        <f t="shared" si="67"/>
        <v>338</v>
      </c>
      <c r="B1432" s="4" t="str">
        <f t="shared" si="68"/>
        <v>18</v>
      </c>
      <c r="C1432" s="5" t="s">
        <v>2698</v>
      </c>
      <c r="E1432" s="6" t="s">
        <v>1482</v>
      </c>
      <c r="F1432" s="7" t="s">
        <v>2699</v>
      </c>
      <c r="G1432" s="8" t="str">
        <f t="shared" si="66"/>
        <v>COMM FOR</v>
      </c>
    </row>
    <row r="1433" spans="1:7">
      <c r="A1433" s="4" t="str">
        <f t="shared" si="67"/>
        <v>339</v>
      </c>
      <c r="B1433" s="4" t="str">
        <f t="shared" si="68"/>
        <v>07</v>
      </c>
      <c r="C1433" s="5" t="s">
        <v>2700</v>
      </c>
      <c r="E1433" s="6" t="s">
        <v>1482</v>
      </c>
      <c r="F1433" s="7" t="s">
        <v>2701</v>
      </c>
      <c r="G1433" s="8" t="str">
        <f t="shared" si="66"/>
        <v>COMMODIT</v>
      </c>
    </row>
    <row r="1434" spans="1:7">
      <c r="A1434" s="4" t="str">
        <f t="shared" si="67"/>
        <v>345</v>
      </c>
      <c r="B1434" s="4" t="str">
        <f t="shared" si="68"/>
        <v>39</v>
      </c>
      <c r="C1434" s="5" t="s">
        <v>2702</v>
      </c>
      <c r="E1434" s="6" t="s">
        <v>1482</v>
      </c>
      <c r="F1434" s="7" t="s">
        <v>2703</v>
      </c>
      <c r="G1434" s="8" t="str">
        <f t="shared" si="66"/>
        <v>UNITED S</v>
      </c>
    </row>
    <row r="1435" spans="1:7">
      <c r="A1435" s="4" t="str">
        <f t="shared" si="67"/>
        <v>347</v>
      </c>
      <c r="B1435" s="4" t="str">
        <f t="shared" si="68"/>
        <v>38</v>
      </c>
      <c r="C1435" s="5" t="s">
        <v>2704</v>
      </c>
      <c r="E1435" s="6" t="s">
        <v>1482</v>
      </c>
      <c r="F1435" s="7" t="s">
        <v>2705</v>
      </c>
      <c r="G1435" s="8" t="str">
        <f t="shared" si="66"/>
        <v xml:space="preserve">DEFENSE </v>
      </c>
    </row>
    <row r="1436" spans="1:7">
      <c r="A1436" s="4" t="str">
        <f t="shared" si="67"/>
        <v>349</v>
      </c>
      <c r="B1436" s="4" t="str">
        <f t="shared" si="68"/>
        <v>95</v>
      </c>
      <c r="C1436" s="5" t="s">
        <v>2706</v>
      </c>
      <c r="E1436" s="6" t="s">
        <v>1482</v>
      </c>
      <c r="F1436" s="7" t="s">
        <v>2707</v>
      </c>
      <c r="G1436" s="8" t="str">
        <f t="shared" si="66"/>
        <v>D.C.SUPE</v>
      </c>
    </row>
    <row r="1437" spans="1:7">
      <c r="A1437" s="4" t="str">
        <f t="shared" si="67"/>
        <v>352</v>
      </c>
      <c r="B1437" s="4" t="str">
        <f t="shared" si="68"/>
        <v>00</v>
      </c>
      <c r="C1437" s="5" t="s">
        <v>2708</v>
      </c>
      <c r="E1437" s="6" t="s">
        <v>2709</v>
      </c>
      <c r="F1437" s="7" t="s">
        <v>2709</v>
      </c>
      <c r="G1437" s="8" t="str">
        <f t="shared" si="66"/>
        <v>FARM CRE</v>
      </c>
    </row>
    <row r="1438" spans="1:7">
      <c r="A1438" s="4" t="str">
        <f t="shared" si="67"/>
        <v>352</v>
      </c>
      <c r="B1438" s="4" t="str">
        <f t="shared" si="68"/>
        <v>01</v>
      </c>
      <c r="C1438" s="5" t="s">
        <v>2710</v>
      </c>
      <c r="E1438" s="6" t="s">
        <v>2709</v>
      </c>
      <c r="F1438" s="7" t="s">
        <v>2711</v>
      </c>
      <c r="G1438" s="8" t="str">
        <f t="shared" si="66"/>
        <v>BANKS FO</v>
      </c>
    </row>
    <row r="1439" spans="1:7">
      <c r="A1439" s="4" t="str">
        <f t="shared" si="67"/>
        <v>352</v>
      </c>
      <c r="B1439" s="4" t="str">
        <f t="shared" si="68"/>
        <v>03</v>
      </c>
      <c r="C1439" s="5" t="s">
        <v>2712</v>
      </c>
      <c r="E1439" s="6" t="s">
        <v>2709</v>
      </c>
      <c r="F1439" s="7" t="s">
        <v>2713</v>
      </c>
      <c r="G1439" s="8" t="str">
        <f t="shared" si="66"/>
        <v xml:space="preserve">FEDERAL </v>
      </c>
    </row>
    <row r="1440" spans="1:7">
      <c r="A1440" s="4" t="str">
        <f t="shared" si="67"/>
        <v>352</v>
      </c>
      <c r="B1440" s="4" t="str">
        <f t="shared" si="68"/>
        <v>05</v>
      </c>
      <c r="C1440" s="5" t="s">
        <v>2714</v>
      </c>
      <c r="E1440" s="6" t="s">
        <v>2709</v>
      </c>
      <c r="F1440" s="7" t="s">
        <v>2715</v>
      </c>
      <c r="G1440" s="8" t="str">
        <f t="shared" si="66"/>
        <v xml:space="preserve">FEDERAL </v>
      </c>
    </row>
    <row r="1441" spans="1:7">
      <c r="A1441" s="4" t="str">
        <f t="shared" si="67"/>
        <v>352</v>
      </c>
      <c r="B1441" s="4" t="str">
        <f t="shared" si="68"/>
        <v>07</v>
      </c>
      <c r="C1441" s="5" t="s">
        <v>2716</v>
      </c>
      <c r="E1441" s="6" t="s">
        <v>2709</v>
      </c>
      <c r="F1441" s="7" t="s">
        <v>2717</v>
      </c>
      <c r="G1441" s="8" t="str">
        <f t="shared" si="66"/>
        <v>FARM CRE</v>
      </c>
    </row>
    <row r="1442" spans="1:7">
      <c r="A1442" s="4" t="str">
        <f t="shared" si="67"/>
        <v>355</v>
      </c>
      <c r="B1442" s="4" t="str">
        <f t="shared" si="68"/>
        <v>00</v>
      </c>
      <c r="C1442" s="5" t="s">
        <v>2718</v>
      </c>
      <c r="E1442" s="6" t="s">
        <v>2709</v>
      </c>
      <c r="F1442" s="7" t="s">
        <v>2709</v>
      </c>
      <c r="G1442" s="8" t="str">
        <f t="shared" si="66"/>
        <v>FARM CRE</v>
      </c>
    </row>
    <row r="1443" spans="1:7">
      <c r="A1443" s="4" t="str">
        <f t="shared" si="67"/>
        <v>355</v>
      </c>
      <c r="B1443" s="4" t="str">
        <f t="shared" si="68"/>
        <v>01</v>
      </c>
      <c r="C1443" s="5" t="s">
        <v>2719</v>
      </c>
      <c r="E1443" s="6" t="s">
        <v>2709</v>
      </c>
      <c r="F1443" s="7" t="s">
        <v>2711</v>
      </c>
      <c r="G1443" s="8" t="str">
        <f t="shared" si="66"/>
        <v>BANKS FO</v>
      </c>
    </row>
    <row r="1444" spans="1:7">
      <c r="A1444" s="4" t="str">
        <f t="shared" si="67"/>
        <v>355</v>
      </c>
      <c r="B1444" s="4" t="str">
        <f t="shared" si="68"/>
        <v>03</v>
      </c>
      <c r="C1444" s="5" t="s">
        <v>2720</v>
      </c>
      <c r="E1444" s="6" t="s">
        <v>2709</v>
      </c>
      <c r="F1444" s="7" t="s">
        <v>2713</v>
      </c>
      <c r="G1444" s="8" t="str">
        <f t="shared" si="66"/>
        <v xml:space="preserve">FEDERAL </v>
      </c>
    </row>
    <row r="1445" spans="1:7">
      <c r="A1445" s="4" t="str">
        <f t="shared" si="67"/>
        <v>355</v>
      </c>
      <c r="B1445" s="4" t="str">
        <f t="shared" si="68"/>
        <v>05</v>
      </c>
      <c r="C1445" s="5" t="s">
        <v>2721</v>
      </c>
      <c r="E1445" s="6" t="s">
        <v>2709</v>
      </c>
      <c r="F1445" s="7" t="s">
        <v>2715</v>
      </c>
      <c r="G1445" s="8" t="str">
        <f t="shared" si="66"/>
        <v xml:space="preserve">FEDERAL </v>
      </c>
    </row>
    <row r="1446" spans="1:7">
      <c r="A1446" s="4" t="str">
        <f t="shared" si="67"/>
        <v>355</v>
      </c>
      <c r="B1446" s="4" t="str">
        <f t="shared" si="68"/>
        <v>07</v>
      </c>
      <c r="C1446" s="5" t="s">
        <v>2722</v>
      </c>
      <c r="E1446" s="6" t="s">
        <v>2709</v>
      </c>
      <c r="F1446" s="7" t="s">
        <v>2709</v>
      </c>
      <c r="G1446" s="8" t="str">
        <f t="shared" si="66"/>
        <v>FARM CRE</v>
      </c>
    </row>
    <row r="1447" spans="1:7">
      <c r="A1447" s="4" t="str">
        <f t="shared" si="67"/>
        <v>355</v>
      </c>
      <c r="B1447" s="4" t="str">
        <f t="shared" si="68"/>
        <v>97</v>
      </c>
      <c r="C1447" s="5" t="s">
        <v>2723</v>
      </c>
      <c r="E1447" s="6" t="s">
        <v>2709</v>
      </c>
      <c r="F1447" s="7" t="s">
        <v>102</v>
      </c>
      <c r="G1447" s="8" t="str">
        <f t="shared" si="66"/>
        <v>GSA ADVA</v>
      </c>
    </row>
    <row r="1448" spans="1:7">
      <c r="A1448" s="4" t="str">
        <f t="shared" si="67"/>
        <v>360</v>
      </c>
      <c r="B1448" s="4" t="str">
        <f t="shared" si="68"/>
        <v>06</v>
      </c>
      <c r="C1448" s="5" t="s">
        <v>2724</v>
      </c>
      <c r="E1448" s="6" t="s">
        <v>1482</v>
      </c>
      <c r="F1448" s="7" t="s">
        <v>2725</v>
      </c>
      <c r="G1448" s="8" t="str">
        <f t="shared" si="66"/>
        <v xml:space="preserve">FEDERAL </v>
      </c>
    </row>
    <row r="1449" spans="1:7">
      <c r="A1449" s="4" t="str">
        <f t="shared" si="67"/>
        <v>362</v>
      </c>
      <c r="B1449" s="4" t="str">
        <f t="shared" si="68"/>
        <v>09</v>
      </c>
      <c r="C1449" s="5" t="s">
        <v>2726</v>
      </c>
      <c r="E1449" s="6" t="s">
        <v>1482</v>
      </c>
      <c r="F1449" s="7" t="s">
        <v>2727</v>
      </c>
      <c r="G1449" s="8" t="str">
        <f t="shared" si="66"/>
        <v>APPRAISA</v>
      </c>
    </row>
    <row r="1450" spans="1:7">
      <c r="A1450" s="4" t="str">
        <f t="shared" si="67"/>
        <v>364</v>
      </c>
      <c r="B1450" s="4" t="str">
        <f t="shared" si="68"/>
        <v>11</v>
      </c>
      <c r="C1450" s="5" t="s">
        <v>2728</v>
      </c>
      <c r="E1450" s="6" t="s">
        <v>1482</v>
      </c>
      <c r="F1450" s="7" t="s">
        <v>2729</v>
      </c>
      <c r="G1450" s="8" t="str">
        <f t="shared" si="66"/>
        <v xml:space="preserve">FEDERAL </v>
      </c>
    </row>
    <row r="1451" spans="1:7">
      <c r="A1451" s="4" t="str">
        <f t="shared" si="67"/>
        <v>368</v>
      </c>
      <c r="B1451" s="4" t="str">
        <f t="shared" si="68"/>
        <v>00</v>
      </c>
      <c r="C1451" s="5" t="s">
        <v>2730</v>
      </c>
      <c r="E1451" s="6" t="s">
        <v>1482</v>
      </c>
      <c r="F1451" s="7" t="s">
        <v>2731</v>
      </c>
      <c r="G1451" s="8" t="str">
        <f t="shared" si="66"/>
        <v>368</v>
      </c>
    </row>
    <row r="1452" spans="1:7">
      <c r="A1452" s="4" t="str">
        <f t="shared" si="67"/>
        <v>368</v>
      </c>
      <c r="B1452" s="4" t="str">
        <f t="shared" si="68"/>
        <v>04</v>
      </c>
      <c r="C1452" s="5" t="s">
        <v>2732</v>
      </c>
      <c r="E1452" s="6" t="s">
        <v>1482</v>
      </c>
      <c r="F1452" s="7" t="s">
        <v>2733</v>
      </c>
      <c r="G1452" s="8" t="str">
        <f t="shared" si="66"/>
        <v xml:space="preserve">FEDERAL </v>
      </c>
    </row>
    <row r="1453" spans="1:7">
      <c r="A1453" s="4" t="str">
        <f t="shared" si="67"/>
        <v>368</v>
      </c>
      <c r="B1453" s="4" t="str">
        <f t="shared" si="68"/>
        <v>45</v>
      </c>
      <c r="C1453" s="5" t="s">
        <v>2734</v>
      </c>
      <c r="E1453" s="6" t="s">
        <v>1482</v>
      </c>
      <c r="F1453" s="7" t="s">
        <v>2735</v>
      </c>
      <c r="G1453" s="8" t="str">
        <f t="shared" si="66"/>
        <v>COMMISSI</v>
      </c>
    </row>
    <row r="1454" spans="1:7">
      <c r="A1454" s="4" t="str">
        <f t="shared" si="67"/>
        <v>372</v>
      </c>
      <c r="B1454" s="4" t="str">
        <f t="shared" si="68"/>
        <v>10</v>
      </c>
      <c r="C1454" s="5" t="s">
        <v>2736</v>
      </c>
      <c r="E1454" s="6" t="s">
        <v>1482</v>
      </c>
      <c r="F1454" s="7" t="s">
        <v>2737</v>
      </c>
      <c r="G1454" s="8" t="str">
        <f t="shared" si="66"/>
        <v xml:space="preserve">HARRY S </v>
      </c>
    </row>
    <row r="1455" spans="1:7">
      <c r="A1455" s="4" t="str">
        <f t="shared" si="67"/>
        <v>373</v>
      </c>
      <c r="B1455" s="4" t="str">
        <f t="shared" si="68"/>
        <v>32</v>
      </c>
      <c r="C1455" s="5" t="s">
        <v>2738</v>
      </c>
      <c r="E1455" s="6" t="s">
        <v>1482</v>
      </c>
      <c r="F1455" s="7" t="s">
        <v>2739</v>
      </c>
      <c r="G1455" s="8" t="str">
        <f t="shared" si="66"/>
        <v>INST. OF</v>
      </c>
    </row>
    <row r="1456" spans="1:7">
      <c r="A1456" s="4" t="str">
        <f t="shared" si="67"/>
        <v>376</v>
      </c>
      <c r="B1456" s="4" t="str">
        <f t="shared" si="68"/>
        <v>13</v>
      </c>
      <c r="C1456" s="5" t="s">
        <v>2740</v>
      </c>
      <c r="E1456" s="6" t="s">
        <v>1691</v>
      </c>
      <c r="F1456" s="7" t="s">
        <v>2741</v>
      </c>
      <c r="G1456" s="8" t="str">
        <f t="shared" si="66"/>
        <v>INTERAGE</v>
      </c>
    </row>
    <row r="1457" spans="1:7">
      <c r="A1457" s="4" t="str">
        <f t="shared" si="67"/>
        <v>381</v>
      </c>
      <c r="B1457" s="4" t="str">
        <f t="shared" si="68"/>
        <v>41</v>
      </c>
      <c r="C1457" s="5" t="s">
        <v>2742</v>
      </c>
      <c r="E1457" s="6" t="s">
        <v>1482</v>
      </c>
      <c r="F1457" s="7" t="s">
        <v>2743</v>
      </c>
      <c r="G1457" s="8" t="str">
        <f t="shared" si="66"/>
        <v>JAMES MA</v>
      </c>
    </row>
    <row r="1458" spans="1:7">
      <c r="A1458" s="4" t="str">
        <f t="shared" si="67"/>
        <v>382</v>
      </c>
      <c r="B1458" s="4" t="str">
        <f t="shared" si="68"/>
        <v>12</v>
      </c>
      <c r="C1458" s="5" t="s">
        <v>2744</v>
      </c>
      <c r="E1458" s="6" t="s">
        <v>1482</v>
      </c>
      <c r="F1458" s="7" t="s">
        <v>2745</v>
      </c>
      <c r="G1458" s="8" t="str">
        <f t="shared" si="66"/>
        <v>JAPAN-UN</v>
      </c>
    </row>
    <row r="1459" spans="1:7">
      <c r="A1459" s="4" t="str">
        <f t="shared" si="67"/>
        <v>387</v>
      </c>
      <c r="B1459" s="4" t="str">
        <f t="shared" si="68"/>
        <v>13</v>
      </c>
      <c r="C1459" s="5" t="s">
        <v>2746</v>
      </c>
      <c r="E1459" s="6" t="s">
        <v>1482</v>
      </c>
      <c r="F1459" s="7" t="s">
        <v>2747</v>
      </c>
      <c r="G1459" s="8" t="str">
        <f t="shared" si="66"/>
        <v>MARINE M</v>
      </c>
    </row>
    <row r="1460" spans="1:7">
      <c r="A1460" s="4" t="str">
        <f t="shared" si="67"/>
        <v>389</v>
      </c>
      <c r="B1460" s="4" t="str">
        <f t="shared" si="68"/>
        <v>00</v>
      </c>
      <c r="C1460" s="5" t="s">
        <v>2748</v>
      </c>
      <c r="E1460" s="6" t="s">
        <v>2749</v>
      </c>
      <c r="F1460" s="7" t="s">
        <v>2749</v>
      </c>
      <c r="G1460" s="8" t="str">
        <f t="shared" si="66"/>
        <v>MERIT SY</v>
      </c>
    </row>
    <row r="1461" spans="1:7">
      <c r="A1461" s="4" t="str">
        <f t="shared" si="67"/>
        <v>389</v>
      </c>
      <c r="B1461" s="4" t="str">
        <f t="shared" si="68"/>
        <v>01</v>
      </c>
      <c r="C1461" s="5" t="s">
        <v>2750</v>
      </c>
      <c r="E1461" s="6" t="s">
        <v>2749</v>
      </c>
      <c r="F1461" s="7" t="s">
        <v>340</v>
      </c>
      <c r="G1461" s="8" t="str">
        <f t="shared" si="66"/>
        <v>OFFICE O</v>
      </c>
    </row>
    <row r="1462" spans="1:7">
      <c r="A1462" s="4" t="str">
        <f t="shared" si="67"/>
        <v>389</v>
      </c>
      <c r="B1462" s="4" t="str">
        <f t="shared" si="68"/>
        <v>02</v>
      </c>
      <c r="C1462" s="5" t="s">
        <v>2751</v>
      </c>
      <c r="E1462" s="6" t="s">
        <v>2749</v>
      </c>
      <c r="F1462" s="7" t="s">
        <v>2752</v>
      </c>
      <c r="G1462" s="8" t="str">
        <f t="shared" si="66"/>
        <v>MSPB OFF</v>
      </c>
    </row>
    <row r="1463" spans="1:7">
      <c r="A1463" s="4" t="str">
        <f t="shared" si="67"/>
        <v>389</v>
      </c>
      <c r="B1463" s="4" t="str">
        <f t="shared" si="68"/>
        <v>97</v>
      </c>
      <c r="C1463" s="5" t="s">
        <v>2753</v>
      </c>
      <c r="E1463" s="6" t="s">
        <v>2749</v>
      </c>
      <c r="F1463" s="7" t="s">
        <v>102</v>
      </c>
      <c r="G1463" s="8" t="str">
        <f t="shared" si="66"/>
        <v>GSA ADVA</v>
      </c>
    </row>
    <row r="1464" spans="1:7">
      <c r="A1464" s="4" t="str">
        <f t="shared" si="67"/>
        <v>394</v>
      </c>
      <c r="B1464" s="4" t="str">
        <f t="shared" si="68"/>
        <v>02</v>
      </c>
      <c r="C1464" s="5" t="s">
        <v>2754</v>
      </c>
      <c r="E1464" s="6" t="s">
        <v>1482</v>
      </c>
      <c r="F1464" s="7" t="s">
        <v>2755</v>
      </c>
      <c r="G1464" s="8" t="str">
        <f t="shared" si="66"/>
        <v>NATIONAL</v>
      </c>
    </row>
    <row r="1465" spans="1:7">
      <c r="A1465" s="4" t="str">
        <f t="shared" si="67"/>
        <v>400</v>
      </c>
      <c r="B1465" s="4" t="str">
        <f t="shared" si="68"/>
        <v>28</v>
      </c>
      <c r="C1465" s="5" t="s">
        <v>2756</v>
      </c>
      <c r="E1465" s="6" t="s">
        <v>1482</v>
      </c>
      <c r="F1465" s="7" t="s">
        <v>2757</v>
      </c>
      <c r="G1465" s="8" t="str">
        <f t="shared" si="66"/>
        <v>NATIONAL</v>
      </c>
    </row>
    <row r="1466" spans="1:7">
      <c r="A1466" s="4" t="str">
        <f t="shared" si="67"/>
        <v>413</v>
      </c>
      <c r="B1466" s="4" t="str">
        <f t="shared" si="68"/>
        <v>29</v>
      </c>
      <c r="C1466" s="5" t="s">
        <v>2758</v>
      </c>
      <c r="E1466" s="6" t="s">
        <v>1482</v>
      </c>
      <c r="F1466" s="7" t="s">
        <v>2759</v>
      </c>
      <c r="G1466" s="8" t="str">
        <f t="shared" si="66"/>
        <v>NATIONAL</v>
      </c>
    </row>
    <row r="1467" spans="1:7">
      <c r="A1467" s="4" t="str">
        <f t="shared" si="67"/>
        <v>417</v>
      </c>
      <c r="B1467" s="4" t="str">
        <f t="shared" si="68"/>
        <v>00</v>
      </c>
      <c r="C1467" s="5" t="s">
        <v>2760</v>
      </c>
      <c r="E1467" s="6" t="s">
        <v>2761</v>
      </c>
      <c r="F1467" s="7" t="s">
        <v>2761</v>
      </c>
      <c r="G1467" s="8" t="str">
        <f t="shared" si="66"/>
        <v>NATIONAL</v>
      </c>
    </row>
    <row r="1468" spans="1:7">
      <c r="A1468" s="4" t="str">
        <f t="shared" si="67"/>
        <v>417</v>
      </c>
      <c r="B1468" s="4" t="str">
        <f t="shared" si="68"/>
        <v>01</v>
      </c>
      <c r="C1468" s="5" t="s">
        <v>2762</v>
      </c>
      <c r="E1468" s="6" t="s">
        <v>2761</v>
      </c>
      <c r="F1468" s="7" t="s">
        <v>2763</v>
      </c>
      <c r="G1468" s="8" t="str">
        <f t="shared" si="66"/>
        <v>NATIONAL</v>
      </c>
    </row>
    <row r="1469" spans="1:7">
      <c r="A1469" s="4" t="str">
        <f t="shared" si="67"/>
        <v>417</v>
      </c>
      <c r="B1469" s="4" t="str">
        <f t="shared" si="68"/>
        <v>02</v>
      </c>
      <c r="C1469" s="5" t="s">
        <v>2764</v>
      </c>
      <c r="E1469" s="6" t="s">
        <v>2761</v>
      </c>
      <c r="F1469" s="7" t="s">
        <v>2765</v>
      </c>
      <c r="G1469" s="8" t="str">
        <f t="shared" si="66"/>
        <v>NATIONAL</v>
      </c>
    </row>
    <row r="1470" spans="1:7">
      <c r="A1470" s="4" t="str">
        <f t="shared" si="67"/>
        <v>417</v>
      </c>
      <c r="B1470" s="4" t="str">
        <f t="shared" si="68"/>
        <v>03</v>
      </c>
      <c r="C1470" s="5" t="s">
        <v>2766</v>
      </c>
      <c r="E1470" s="6" t="s">
        <v>2761</v>
      </c>
      <c r="F1470" s="7" t="s">
        <v>2767</v>
      </c>
      <c r="G1470" s="8" t="str">
        <f t="shared" si="66"/>
        <v>NATIONAL</v>
      </c>
    </row>
    <row r="1471" spans="1:7">
      <c r="A1471" s="4" t="str">
        <f t="shared" si="67"/>
        <v>417</v>
      </c>
      <c r="B1471" s="4" t="str">
        <f t="shared" si="68"/>
        <v>04</v>
      </c>
      <c r="C1471" s="5" t="s">
        <v>2768</v>
      </c>
      <c r="E1471" s="6" t="s">
        <v>2761</v>
      </c>
      <c r="F1471" s="7" t="s">
        <v>2769</v>
      </c>
      <c r="G1471" s="8" t="str">
        <f t="shared" si="66"/>
        <v>INSTITUT</v>
      </c>
    </row>
    <row r="1472" spans="1:7">
      <c r="A1472" s="4" t="str">
        <f t="shared" si="67"/>
        <v>417</v>
      </c>
      <c r="B1472" s="4" t="str">
        <f t="shared" si="68"/>
        <v>12</v>
      </c>
      <c r="C1472" s="5" t="s">
        <v>2770</v>
      </c>
      <c r="E1472" s="6" t="s">
        <v>2761</v>
      </c>
      <c r="F1472" s="7" t="s">
        <v>2771</v>
      </c>
      <c r="G1472" s="8" t="str">
        <f t="shared" si="66"/>
        <v>NATIONAL</v>
      </c>
    </row>
    <row r="1473" spans="1:7">
      <c r="A1473" s="4" t="str">
        <f t="shared" si="67"/>
        <v>417</v>
      </c>
      <c r="B1473" s="4" t="str">
        <f t="shared" si="68"/>
        <v>97</v>
      </c>
      <c r="C1473" s="5" t="s">
        <v>2772</v>
      </c>
      <c r="E1473" s="6" t="s">
        <v>2761</v>
      </c>
      <c r="F1473" s="7" t="s">
        <v>102</v>
      </c>
      <c r="G1473" s="8" t="str">
        <f t="shared" si="66"/>
        <v>GSA ADVA</v>
      </c>
    </row>
    <row r="1474" spans="1:7">
      <c r="A1474" s="4" t="str">
        <f t="shared" si="67"/>
        <v>417</v>
      </c>
      <c r="B1474" s="4" t="str">
        <f t="shared" si="68"/>
        <v>99</v>
      </c>
      <c r="C1474" s="5" t="s">
        <v>2773</v>
      </c>
      <c r="E1474" s="6" t="s">
        <v>2761</v>
      </c>
      <c r="F1474" s="7" t="s">
        <v>2761</v>
      </c>
      <c r="G1474" s="8" t="str">
        <f t="shared" ref="G1474:G1537" si="69">LEFT(F1474,8)</f>
        <v>NATIONAL</v>
      </c>
    </row>
    <row r="1475" spans="1:7">
      <c r="A1475" s="4" t="str">
        <f t="shared" ref="A1475:A1538" si="70">LEFT(C1475,3)</f>
        <v>420</v>
      </c>
      <c r="B1475" s="4" t="str">
        <f t="shared" ref="B1475:B1538" si="71">RIGHT(C1475,2)</f>
        <v>00</v>
      </c>
      <c r="C1475" s="5" t="s">
        <v>2774</v>
      </c>
      <c r="E1475" s="6" t="s">
        <v>2775</v>
      </c>
      <c r="F1475" s="7" t="s">
        <v>2775</v>
      </c>
      <c r="G1475" s="8" t="str">
        <f t="shared" si="69"/>
        <v>NATIONAL</v>
      </c>
    </row>
    <row r="1476" spans="1:7">
      <c r="A1476" s="4" t="str">
        <f t="shared" si="70"/>
        <v>420</v>
      </c>
      <c r="B1476" s="4" t="str">
        <f t="shared" si="71"/>
        <v>97</v>
      </c>
      <c r="C1476" s="5" t="s">
        <v>2776</v>
      </c>
      <c r="E1476" s="6" t="s">
        <v>2775</v>
      </c>
      <c r="F1476" s="7" t="s">
        <v>102</v>
      </c>
      <c r="G1476" s="8" t="str">
        <f t="shared" si="69"/>
        <v>GSA ADVA</v>
      </c>
    </row>
    <row r="1477" spans="1:7">
      <c r="A1477" s="4" t="str">
        <f t="shared" si="70"/>
        <v>421</v>
      </c>
      <c r="B1477" s="4" t="str">
        <f t="shared" si="71"/>
        <v>24</v>
      </c>
      <c r="C1477" s="5" t="s">
        <v>2777</v>
      </c>
      <c r="E1477" s="6" t="s">
        <v>1482</v>
      </c>
      <c r="F1477" s="7" t="s">
        <v>2778</v>
      </c>
      <c r="G1477" s="8" t="str">
        <f t="shared" si="69"/>
        <v>NATIONAL</v>
      </c>
    </row>
    <row r="1478" spans="1:7">
      <c r="A1478" s="4" t="str">
        <f t="shared" si="70"/>
        <v>424</v>
      </c>
      <c r="B1478" s="4" t="str">
        <f t="shared" si="71"/>
        <v>08</v>
      </c>
      <c r="C1478" s="5" t="s">
        <v>2779</v>
      </c>
      <c r="E1478" s="6" t="s">
        <v>1482</v>
      </c>
      <c r="F1478" s="7" t="s">
        <v>2780</v>
      </c>
      <c r="G1478" s="8" t="str">
        <f t="shared" si="69"/>
        <v>NATIONAL</v>
      </c>
    </row>
    <row r="1479" spans="1:7">
      <c r="A1479" s="4" t="str">
        <f t="shared" si="70"/>
        <v>428</v>
      </c>
      <c r="B1479" s="4" t="str">
        <f t="shared" si="71"/>
        <v>40</v>
      </c>
      <c r="C1479" s="5" t="s">
        <v>2781</v>
      </c>
      <c r="E1479" s="6" t="s">
        <v>1482</v>
      </c>
      <c r="F1479" s="7" t="s">
        <v>2782</v>
      </c>
      <c r="G1479" s="8" t="str">
        <f t="shared" si="69"/>
        <v>NEIGHBOR</v>
      </c>
    </row>
    <row r="1480" spans="1:7">
      <c r="A1480" s="4" t="str">
        <f t="shared" si="70"/>
        <v>431</v>
      </c>
      <c r="B1480" s="4" t="str">
        <f t="shared" si="71"/>
        <v>10</v>
      </c>
      <c r="C1480" s="5" t="s">
        <v>2783</v>
      </c>
      <c r="E1480" s="6" t="s">
        <v>1691</v>
      </c>
      <c r="F1480" s="7" t="s">
        <v>2784</v>
      </c>
      <c r="G1480" s="8" t="str">
        <f t="shared" si="69"/>
        <v xml:space="preserve">NUCLEAR </v>
      </c>
    </row>
    <row r="1481" spans="1:7">
      <c r="A1481" s="4" t="str">
        <f t="shared" si="70"/>
        <v>432</v>
      </c>
      <c r="B1481" s="4" t="str">
        <f t="shared" si="71"/>
        <v>14</v>
      </c>
      <c r="C1481" s="5" t="s">
        <v>2785</v>
      </c>
      <c r="E1481" s="6" t="s">
        <v>1482</v>
      </c>
      <c r="F1481" s="7" t="s">
        <v>2786</v>
      </c>
      <c r="G1481" s="8" t="str">
        <f t="shared" si="69"/>
        <v>OCCUPATI</v>
      </c>
    </row>
    <row r="1482" spans="1:7">
      <c r="A1482" s="4" t="str">
        <f t="shared" si="70"/>
        <v>434</v>
      </c>
      <c r="B1482" s="4" t="str">
        <f t="shared" si="71"/>
        <v>42</v>
      </c>
      <c r="C1482" s="5" t="s">
        <v>2787</v>
      </c>
      <c r="E1482" s="6" t="s">
        <v>1482</v>
      </c>
      <c r="F1482" s="7" t="s">
        <v>2788</v>
      </c>
      <c r="G1482" s="8" t="str">
        <f t="shared" si="69"/>
        <v>OFFICE O</v>
      </c>
    </row>
    <row r="1483" spans="1:7">
      <c r="A1483" s="4" t="str">
        <f t="shared" si="70"/>
        <v>435</v>
      </c>
      <c r="B1483" s="4" t="str">
        <f t="shared" si="71"/>
        <v>38</v>
      </c>
      <c r="C1483" s="5" t="s">
        <v>2789</v>
      </c>
      <c r="E1483" s="6" t="s">
        <v>1691</v>
      </c>
      <c r="F1483" s="7" t="s">
        <v>2790</v>
      </c>
      <c r="G1483" s="8" t="str">
        <f t="shared" si="69"/>
        <v>NAVAJO A</v>
      </c>
    </row>
    <row r="1484" spans="1:7">
      <c r="A1484" s="4" t="str">
        <f t="shared" si="70"/>
        <v>438</v>
      </c>
      <c r="B1484" s="4" t="str">
        <f t="shared" si="71"/>
        <v>00</v>
      </c>
      <c r="C1484" s="5" t="s">
        <v>2791</v>
      </c>
      <c r="E1484" s="6" t="s">
        <v>1482</v>
      </c>
      <c r="F1484" s="7" t="s">
        <v>2792</v>
      </c>
      <c r="G1484" s="8" t="str">
        <f t="shared" si="69"/>
        <v>PANAMA C</v>
      </c>
    </row>
    <row r="1485" spans="1:7">
      <c r="A1485" s="4" t="str">
        <f t="shared" si="70"/>
        <v>453</v>
      </c>
      <c r="B1485" s="4" t="str">
        <f t="shared" si="71"/>
        <v>46</v>
      </c>
      <c r="C1485" s="5" t="s">
        <v>2793</v>
      </c>
      <c r="E1485" s="6" t="s">
        <v>1691</v>
      </c>
      <c r="F1485" s="7" t="s">
        <v>2794</v>
      </c>
      <c r="G1485" s="8" t="str">
        <f t="shared" si="69"/>
        <v>STATE JU</v>
      </c>
    </row>
    <row r="1486" spans="1:7">
      <c r="A1486" s="4" t="str">
        <f t="shared" si="70"/>
        <v>455</v>
      </c>
      <c r="B1486" s="4" t="str">
        <f t="shared" si="71"/>
        <v>00</v>
      </c>
      <c r="C1486" s="5" t="s">
        <v>2795</v>
      </c>
      <c r="E1486" s="6" t="s">
        <v>2796</v>
      </c>
      <c r="F1486" s="7" t="s">
        <v>2796</v>
      </c>
      <c r="G1486" s="8" t="str">
        <f t="shared" si="69"/>
        <v>TENNESSE</v>
      </c>
    </row>
    <row r="1487" spans="1:7">
      <c r="A1487" s="4" t="str">
        <f t="shared" si="70"/>
        <v>455</v>
      </c>
      <c r="B1487" s="4" t="str">
        <f t="shared" si="71"/>
        <v>97</v>
      </c>
      <c r="C1487" s="5" t="s">
        <v>2797</v>
      </c>
      <c r="E1487" s="6" t="s">
        <v>2796</v>
      </c>
      <c r="F1487" s="7" t="s">
        <v>102</v>
      </c>
      <c r="G1487" s="8" t="str">
        <f t="shared" si="69"/>
        <v>GSA ADVA</v>
      </c>
    </row>
    <row r="1488" spans="1:7">
      <c r="A1488" s="4" t="str">
        <f t="shared" si="70"/>
        <v>455</v>
      </c>
      <c r="B1488" s="4" t="str">
        <f t="shared" si="71"/>
        <v>99</v>
      </c>
      <c r="C1488" s="5" t="s">
        <v>2798</v>
      </c>
      <c r="E1488" s="6" t="s">
        <v>2796</v>
      </c>
      <c r="F1488" s="7" t="s">
        <v>132</v>
      </c>
      <c r="G1488" s="8" t="str">
        <f t="shared" si="69"/>
        <v>SUBCONTR</v>
      </c>
    </row>
    <row r="1489" spans="1:7">
      <c r="A1489" s="4" t="str">
        <f t="shared" si="70"/>
        <v>456</v>
      </c>
      <c r="B1489" s="4" t="str">
        <f t="shared" si="71"/>
        <v>27</v>
      </c>
      <c r="C1489" s="5" t="s">
        <v>2799</v>
      </c>
      <c r="E1489" s="6" t="s">
        <v>1482</v>
      </c>
      <c r="F1489" s="7" t="s">
        <v>2800</v>
      </c>
      <c r="G1489" s="8" t="str">
        <f t="shared" si="69"/>
        <v>UNITED S</v>
      </c>
    </row>
    <row r="1490" spans="1:7">
      <c r="A1490" s="4" t="str">
        <f t="shared" si="70"/>
        <v>458</v>
      </c>
      <c r="B1490" s="4" t="str">
        <f t="shared" si="71"/>
        <v>30</v>
      </c>
      <c r="C1490" s="5" t="s">
        <v>2801</v>
      </c>
      <c r="E1490" s="6" t="s">
        <v>1482</v>
      </c>
      <c r="F1490" s="7" t="s">
        <v>2802</v>
      </c>
      <c r="G1490" s="8" t="str">
        <f t="shared" si="69"/>
        <v>UNITED S</v>
      </c>
    </row>
    <row r="1491" spans="1:7">
      <c r="A1491" s="4" t="str">
        <f t="shared" si="70"/>
        <v>465</v>
      </c>
      <c r="B1491" s="4" t="str">
        <f t="shared" si="71"/>
        <v>00</v>
      </c>
      <c r="C1491" s="5" t="s">
        <v>2803</v>
      </c>
      <c r="E1491" s="6" t="s">
        <v>2804</v>
      </c>
      <c r="F1491" s="7" t="s">
        <v>2804</v>
      </c>
      <c r="G1491" s="8" t="str">
        <f t="shared" si="69"/>
        <v>COMMEMOR</v>
      </c>
    </row>
    <row r="1492" spans="1:7">
      <c r="A1492" s="4" t="str">
        <f t="shared" si="70"/>
        <v>465</v>
      </c>
      <c r="B1492" s="4" t="str">
        <f t="shared" si="71"/>
        <v>01</v>
      </c>
      <c r="C1492" s="5" t="s">
        <v>2805</v>
      </c>
      <c r="E1492" s="6" t="s">
        <v>2804</v>
      </c>
      <c r="F1492" s="7" t="s">
        <v>2806</v>
      </c>
      <c r="G1492" s="8" t="str">
        <f t="shared" si="69"/>
        <v>AM REV B</v>
      </c>
    </row>
    <row r="1493" spans="1:7">
      <c r="A1493" s="4" t="str">
        <f t="shared" si="70"/>
        <v>465</v>
      </c>
      <c r="B1493" s="4" t="str">
        <f t="shared" si="71"/>
        <v>07</v>
      </c>
      <c r="C1493" s="5" t="s">
        <v>2807</v>
      </c>
      <c r="E1493" s="6" t="s">
        <v>2804</v>
      </c>
      <c r="F1493" s="7" t="s">
        <v>2808</v>
      </c>
      <c r="G1493" s="8" t="str">
        <f t="shared" si="69"/>
        <v>FRANKLIN</v>
      </c>
    </row>
    <row r="1494" spans="1:7">
      <c r="A1494" s="4" t="str">
        <f t="shared" si="70"/>
        <v>465</v>
      </c>
      <c r="B1494" s="4" t="str">
        <f t="shared" si="71"/>
        <v>08</v>
      </c>
      <c r="C1494" s="5" t="s">
        <v>2809</v>
      </c>
      <c r="E1494" s="6" t="s">
        <v>2804</v>
      </c>
      <c r="F1494" s="7" t="s">
        <v>2810</v>
      </c>
      <c r="G1494" s="8" t="str">
        <f t="shared" si="69"/>
        <v>CHRISTOP</v>
      </c>
    </row>
    <row r="1495" spans="1:7">
      <c r="A1495" s="4" t="str">
        <f t="shared" si="70"/>
        <v>465</v>
      </c>
      <c r="B1495" s="4" t="str">
        <f t="shared" si="71"/>
        <v>09</v>
      </c>
      <c r="C1495" s="5" t="s">
        <v>2811</v>
      </c>
      <c r="E1495" s="6" t="s">
        <v>2804</v>
      </c>
      <c r="F1495" s="7" t="s">
        <v>2812</v>
      </c>
      <c r="G1495" s="8" t="str">
        <f t="shared" si="69"/>
        <v>BICENTEN</v>
      </c>
    </row>
    <row r="1496" spans="1:7">
      <c r="A1496" s="4" t="str">
        <f t="shared" si="70"/>
        <v>465</v>
      </c>
      <c r="B1496" s="4" t="str">
        <f t="shared" si="71"/>
        <v>10</v>
      </c>
      <c r="C1496" s="5" t="s">
        <v>2813</v>
      </c>
      <c r="E1496" s="6" t="s">
        <v>2804</v>
      </c>
      <c r="F1496" s="7" t="s">
        <v>2814</v>
      </c>
      <c r="G1496" s="8" t="str">
        <f t="shared" si="69"/>
        <v>JAMES MA</v>
      </c>
    </row>
    <row r="1497" spans="1:7">
      <c r="A1497" s="4" t="str">
        <f t="shared" si="70"/>
        <v>465</v>
      </c>
      <c r="B1497" s="4" t="str">
        <f t="shared" si="71"/>
        <v>12</v>
      </c>
      <c r="C1497" s="5" t="s">
        <v>2815</v>
      </c>
      <c r="E1497" s="6" t="s">
        <v>2804</v>
      </c>
      <c r="F1497" s="7" t="s">
        <v>2816</v>
      </c>
      <c r="G1497" s="8" t="str">
        <f t="shared" si="69"/>
        <v>LEWIS AN</v>
      </c>
    </row>
    <row r="1498" spans="1:7">
      <c r="A1498" s="4" t="str">
        <f t="shared" si="70"/>
        <v>465</v>
      </c>
      <c r="B1498" s="4" t="str">
        <f t="shared" si="71"/>
        <v>13</v>
      </c>
      <c r="C1498" s="5" t="s">
        <v>2817</v>
      </c>
      <c r="E1498" s="6" t="s">
        <v>2804</v>
      </c>
      <c r="F1498" s="7" t="s">
        <v>2818</v>
      </c>
      <c r="G1498" s="8" t="str">
        <f t="shared" si="69"/>
        <v>DWIGHT D</v>
      </c>
    </row>
    <row r="1499" spans="1:7">
      <c r="A1499" s="4" t="str">
        <f t="shared" si="70"/>
        <v>465</v>
      </c>
      <c r="B1499" s="4" t="str">
        <f t="shared" si="71"/>
        <v>15</v>
      </c>
      <c r="C1499" s="5" t="s">
        <v>2819</v>
      </c>
      <c r="E1499" s="6" t="s">
        <v>2804</v>
      </c>
      <c r="F1499" s="7" t="s">
        <v>2820</v>
      </c>
      <c r="G1499" s="8" t="str">
        <f t="shared" si="69"/>
        <v>US TERRI</v>
      </c>
    </row>
    <row r="1500" spans="1:7">
      <c r="A1500" s="4" t="str">
        <f t="shared" si="70"/>
        <v>465</v>
      </c>
      <c r="B1500" s="4" t="str">
        <f t="shared" si="71"/>
        <v>16</v>
      </c>
      <c r="C1500" s="5" t="s">
        <v>2821</v>
      </c>
      <c r="E1500" s="6" t="s">
        <v>2804</v>
      </c>
      <c r="F1500" s="7" t="s">
        <v>2822</v>
      </c>
      <c r="G1500" s="8" t="str">
        <f t="shared" si="69"/>
        <v xml:space="preserve">WOODROW </v>
      </c>
    </row>
    <row r="1501" spans="1:7">
      <c r="A1501" s="4" t="str">
        <f t="shared" si="70"/>
        <v>465</v>
      </c>
      <c r="B1501" s="4" t="str">
        <f t="shared" si="71"/>
        <v>17</v>
      </c>
      <c r="C1501" s="5" t="s">
        <v>2823</v>
      </c>
      <c r="E1501" s="6" t="s">
        <v>2804</v>
      </c>
      <c r="F1501" s="7" t="s">
        <v>2824</v>
      </c>
      <c r="G1501" s="8" t="str">
        <f t="shared" si="69"/>
        <v>MARTIN L</v>
      </c>
    </row>
    <row r="1502" spans="1:7">
      <c r="A1502" s="4" t="str">
        <f t="shared" si="70"/>
        <v>465</v>
      </c>
      <c r="B1502" s="4" t="str">
        <f t="shared" si="71"/>
        <v>18</v>
      </c>
      <c r="C1502" s="5" t="s">
        <v>2825</v>
      </c>
      <c r="E1502" s="6" t="s">
        <v>2804</v>
      </c>
      <c r="F1502" s="7" t="s">
        <v>2826</v>
      </c>
      <c r="G1502" s="8" t="str">
        <f t="shared" si="69"/>
        <v>CHRISTOP</v>
      </c>
    </row>
    <row r="1503" spans="1:7">
      <c r="A1503" s="4" t="str">
        <f t="shared" si="70"/>
        <v>465</v>
      </c>
      <c r="B1503" s="4" t="str">
        <f t="shared" si="71"/>
        <v>50</v>
      </c>
      <c r="C1503" s="5" t="s">
        <v>2827</v>
      </c>
      <c r="E1503" s="6" t="s">
        <v>2804</v>
      </c>
      <c r="F1503" s="7" t="s">
        <v>2828</v>
      </c>
      <c r="G1503" s="8" t="str">
        <f t="shared" si="69"/>
        <v>RAT ADVI</v>
      </c>
    </row>
    <row r="1504" spans="1:7">
      <c r="A1504" s="4" t="str">
        <f t="shared" si="70"/>
        <v>465</v>
      </c>
      <c r="B1504" s="4" t="str">
        <f t="shared" si="71"/>
        <v>97</v>
      </c>
      <c r="C1504" s="5" t="s">
        <v>2829</v>
      </c>
      <c r="E1504" s="6" t="s">
        <v>2804</v>
      </c>
      <c r="F1504" s="7" t="s">
        <v>102</v>
      </c>
      <c r="G1504" s="8" t="str">
        <f t="shared" si="69"/>
        <v>GSA ADVA</v>
      </c>
    </row>
    <row r="1505" spans="1:7">
      <c r="A1505" s="4" t="str">
        <f t="shared" si="70"/>
        <v>467</v>
      </c>
      <c r="B1505" s="4" t="str">
        <f t="shared" si="71"/>
        <v>19</v>
      </c>
      <c r="C1505" s="5" t="s">
        <v>2830</v>
      </c>
      <c r="E1505" s="6" t="s">
        <v>1482</v>
      </c>
      <c r="F1505" s="7" t="s">
        <v>2831</v>
      </c>
      <c r="G1505" s="8" t="str">
        <f t="shared" si="69"/>
        <v>INTELLIG</v>
      </c>
    </row>
    <row r="1506" spans="1:7">
      <c r="A1506" s="4" t="str">
        <f t="shared" si="70"/>
        <v>467</v>
      </c>
      <c r="B1506" s="4" t="str">
        <f t="shared" si="71"/>
        <v>51</v>
      </c>
      <c r="C1506" s="5" t="s">
        <v>2832</v>
      </c>
      <c r="E1506" s="6" t="s">
        <v>1482</v>
      </c>
      <c r="F1506" s="7" t="s">
        <v>2833</v>
      </c>
      <c r="G1506" s="8" t="str">
        <f t="shared" si="69"/>
        <v>OFFICE D</v>
      </c>
    </row>
    <row r="1507" spans="1:7">
      <c r="A1507" s="4" t="str">
        <f t="shared" si="70"/>
        <v>471</v>
      </c>
      <c r="B1507" s="4" t="str">
        <f t="shared" si="71"/>
        <v>88</v>
      </c>
      <c r="C1507" s="5" t="s">
        <v>2834</v>
      </c>
      <c r="E1507" s="6" t="s">
        <v>2835</v>
      </c>
      <c r="F1507" s="7" t="s">
        <v>2835</v>
      </c>
      <c r="G1507" s="8" t="str">
        <f t="shared" si="69"/>
        <v>GULF COA</v>
      </c>
    </row>
    <row r="1508" spans="1:7">
      <c r="A1508" s="4" t="str">
        <f t="shared" si="70"/>
        <v>480</v>
      </c>
      <c r="B1508" s="4" t="str">
        <f t="shared" si="71"/>
        <v>26</v>
      </c>
      <c r="C1508" s="5" t="s">
        <v>2836</v>
      </c>
      <c r="E1508" s="6" t="s">
        <v>2837</v>
      </c>
      <c r="F1508" s="7" t="s">
        <v>2837</v>
      </c>
      <c r="G1508" s="8" t="str">
        <f t="shared" si="69"/>
        <v>U.S. WOR</v>
      </c>
    </row>
    <row r="1509" spans="1:7">
      <c r="A1509" s="4" t="str">
        <f t="shared" si="70"/>
        <v>481</v>
      </c>
      <c r="B1509" s="4" t="str">
        <f t="shared" si="71"/>
        <v>00</v>
      </c>
      <c r="C1509" s="5" t="s">
        <v>2838</v>
      </c>
      <c r="E1509" s="6" t="s">
        <v>2839</v>
      </c>
      <c r="F1509" s="7" t="s">
        <v>2839</v>
      </c>
      <c r="G1509" s="8" t="str">
        <f t="shared" si="69"/>
        <v xml:space="preserve">COMM TO </v>
      </c>
    </row>
    <row r="1510" spans="1:7">
      <c r="A1510" s="4" t="str">
        <f t="shared" si="70"/>
        <v>481</v>
      </c>
      <c r="B1510" s="4" t="str">
        <f t="shared" si="71"/>
        <v>15</v>
      </c>
      <c r="C1510" s="5" t="s">
        <v>2840</v>
      </c>
      <c r="E1510" s="6" t="s">
        <v>2839</v>
      </c>
      <c r="F1510" s="7" t="s">
        <v>2839</v>
      </c>
      <c r="G1510" s="8" t="str">
        <f t="shared" si="69"/>
        <v xml:space="preserve">COMM TO </v>
      </c>
    </row>
    <row r="1511" spans="1:7">
      <c r="A1511" s="4" t="str">
        <f t="shared" si="70"/>
        <v>485</v>
      </c>
      <c r="B1511" s="4" t="str">
        <f t="shared" si="71"/>
        <v>00</v>
      </c>
      <c r="C1511" s="5" t="s">
        <v>2841</v>
      </c>
      <c r="E1511" s="6" t="s">
        <v>1494</v>
      </c>
      <c r="F1511" s="7" t="s">
        <v>1493</v>
      </c>
      <c r="G1511" s="8" t="str">
        <f t="shared" si="69"/>
        <v>CORPORAT</v>
      </c>
    </row>
    <row r="1512" spans="1:7">
      <c r="A1512" s="4" t="str">
        <f t="shared" si="70"/>
        <v>485</v>
      </c>
      <c r="B1512" s="4" t="str">
        <f t="shared" si="71"/>
        <v>02</v>
      </c>
      <c r="C1512" s="5" t="s">
        <v>2842</v>
      </c>
      <c r="E1512" s="6" t="s">
        <v>1494</v>
      </c>
      <c r="F1512" s="7" t="s">
        <v>2843</v>
      </c>
      <c r="G1512" s="8" t="str">
        <f t="shared" si="69"/>
        <v>DOMESTIC</v>
      </c>
    </row>
    <row r="1513" spans="1:7">
      <c r="A1513" s="4" t="str">
        <f t="shared" si="70"/>
        <v>485</v>
      </c>
      <c r="B1513" s="4" t="str">
        <f t="shared" si="71"/>
        <v>04</v>
      </c>
      <c r="C1513" s="5" t="s">
        <v>2844</v>
      </c>
      <c r="E1513" s="6" t="s">
        <v>1494</v>
      </c>
      <c r="F1513" s="7" t="s">
        <v>2845</v>
      </c>
      <c r="G1513" s="8" t="str">
        <f t="shared" si="69"/>
        <v>ACTION P</v>
      </c>
    </row>
    <row r="1514" spans="1:7">
      <c r="A1514" s="4" t="str">
        <f t="shared" si="70"/>
        <v>485</v>
      </c>
      <c r="B1514" s="4" t="str">
        <f t="shared" si="71"/>
        <v>07</v>
      </c>
      <c r="C1514" s="5" t="s">
        <v>2846</v>
      </c>
      <c r="E1514" s="6" t="s">
        <v>1494</v>
      </c>
      <c r="F1514" s="7" t="s">
        <v>2847</v>
      </c>
      <c r="G1514" s="8" t="str">
        <f t="shared" si="69"/>
        <v>ACTION I</v>
      </c>
    </row>
    <row r="1515" spans="1:7">
      <c r="A1515" s="4" t="str">
        <f t="shared" si="70"/>
        <v>485</v>
      </c>
      <c r="B1515" s="4" t="str">
        <f t="shared" si="71"/>
        <v>15</v>
      </c>
      <c r="C1515" s="5" t="s">
        <v>2848</v>
      </c>
      <c r="E1515" s="6" t="s">
        <v>1494</v>
      </c>
      <c r="F1515" s="7" t="s">
        <v>2849</v>
      </c>
      <c r="G1515" s="8" t="str">
        <f t="shared" si="69"/>
        <v>VOLUNTEE</v>
      </c>
    </row>
    <row r="1516" spans="1:7">
      <c r="A1516" s="4" t="str">
        <f t="shared" si="70"/>
        <v>485</v>
      </c>
      <c r="B1516" s="4" t="str">
        <f t="shared" si="71"/>
        <v>45</v>
      </c>
      <c r="C1516" s="5" t="s">
        <v>2850</v>
      </c>
      <c r="E1516" s="6" t="s">
        <v>1494</v>
      </c>
      <c r="F1516" s="7" t="s">
        <v>2735</v>
      </c>
      <c r="G1516" s="8" t="str">
        <f t="shared" si="69"/>
        <v>COMMISSI</v>
      </c>
    </row>
    <row r="1517" spans="1:7">
      <c r="A1517" s="4" t="str">
        <f t="shared" si="70"/>
        <v>485</v>
      </c>
      <c r="B1517" s="4" t="str">
        <f t="shared" si="71"/>
        <v>99</v>
      </c>
      <c r="C1517" s="5" t="s">
        <v>2851</v>
      </c>
      <c r="E1517" s="6" t="s">
        <v>1494</v>
      </c>
      <c r="F1517" s="7" t="s">
        <v>132</v>
      </c>
      <c r="G1517" s="8" t="str">
        <f t="shared" si="69"/>
        <v>SUBCONTR</v>
      </c>
    </row>
    <row r="1518" spans="1:7">
      <c r="A1518" s="4" t="str">
        <f t="shared" si="70"/>
        <v>486</v>
      </c>
      <c r="B1518" s="4" t="str">
        <f t="shared" si="71"/>
        <v>48</v>
      </c>
      <c r="C1518" s="5" t="s">
        <v>2852</v>
      </c>
      <c r="E1518" s="6" t="s">
        <v>1482</v>
      </c>
      <c r="F1518" s="7" t="s">
        <v>2853</v>
      </c>
      <c r="G1518" s="8" t="str">
        <f t="shared" si="69"/>
        <v>UNITED S</v>
      </c>
    </row>
    <row r="1519" spans="1:7">
      <c r="A1519" s="4" t="str">
        <f t="shared" si="70"/>
        <v>487</v>
      </c>
      <c r="B1519" s="4" t="str">
        <f t="shared" si="71"/>
        <v>49</v>
      </c>
      <c r="C1519" s="5" t="s">
        <v>2854</v>
      </c>
      <c r="E1519" s="6" t="s">
        <v>1482</v>
      </c>
      <c r="F1519" s="7" t="s">
        <v>2855</v>
      </c>
      <c r="G1519" s="8" t="str">
        <f t="shared" si="69"/>
        <v>M.K. UDA</v>
      </c>
    </row>
    <row r="1520" spans="1:7">
      <c r="A1520" s="4" t="str">
        <f t="shared" si="70"/>
        <v>505</v>
      </c>
      <c r="B1520" s="4" t="str">
        <f t="shared" si="71"/>
        <v>37</v>
      </c>
      <c r="C1520" s="5" t="s">
        <v>2856</v>
      </c>
      <c r="E1520" s="6" t="s">
        <v>1482</v>
      </c>
      <c r="F1520" s="7" t="s">
        <v>2691</v>
      </c>
      <c r="G1520" s="8" t="str">
        <f t="shared" si="69"/>
        <v>COMMISSI</v>
      </c>
    </row>
    <row r="1521" spans="1:7">
      <c r="A1521" s="4" t="str">
        <f t="shared" si="70"/>
        <v>510</v>
      </c>
      <c r="B1521" s="4" t="str">
        <f t="shared" si="71"/>
        <v>50</v>
      </c>
      <c r="C1521" s="5" t="s">
        <v>2857</v>
      </c>
      <c r="E1521" s="6" t="s">
        <v>1482</v>
      </c>
      <c r="F1521" s="7" t="s">
        <v>2858</v>
      </c>
      <c r="G1521" s="8" t="str">
        <f t="shared" si="69"/>
        <v>CHEMICAL</v>
      </c>
    </row>
    <row r="1522" spans="1:7">
      <c r="A1522" s="4" t="str">
        <f t="shared" si="70"/>
        <v>511</v>
      </c>
      <c r="B1522" s="4" t="str">
        <f t="shared" si="71"/>
        <v>63</v>
      </c>
      <c r="C1522" s="5" t="s">
        <v>2859</v>
      </c>
      <c r="E1522" s="6" t="s">
        <v>1482</v>
      </c>
      <c r="F1522" s="7" t="s">
        <v>2860</v>
      </c>
      <c r="G1522" s="8" t="str">
        <f t="shared" si="69"/>
        <v>COURT SV</v>
      </c>
    </row>
    <row r="1523" spans="1:7">
      <c r="A1523" s="4" t="str">
        <f t="shared" si="70"/>
        <v>511</v>
      </c>
      <c r="B1523" s="4" t="str">
        <f t="shared" si="71"/>
        <v>64</v>
      </c>
      <c r="C1523" s="5" t="s">
        <v>2861</v>
      </c>
      <c r="E1523" s="6" t="s">
        <v>1482</v>
      </c>
      <c r="F1523" s="7" t="s">
        <v>2862</v>
      </c>
      <c r="G1523" s="8" t="str">
        <f t="shared" si="69"/>
        <v>PDS/DC P</v>
      </c>
    </row>
    <row r="1524" spans="1:7">
      <c r="A1524" s="4" t="str">
        <f t="shared" si="70"/>
        <v>511</v>
      </c>
      <c r="B1524" s="4" t="str">
        <f t="shared" si="71"/>
        <v>70</v>
      </c>
      <c r="C1524" s="5" t="s">
        <v>2863</v>
      </c>
      <c r="E1524" s="6" t="s">
        <v>1482</v>
      </c>
      <c r="F1524" s="7" t="s">
        <v>2864</v>
      </c>
      <c r="G1524" s="8" t="str">
        <f t="shared" si="69"/>
        <v>PRETRIAL</v>
      </c>
    </row>
    <row r="1525" spans="1:7">
      <c r="A1525" s="4" t="str">
        <f t="shared" si="70"/>
        <v>512</v>
      </c>
      <c r="B1525" s="4" t="str">
        <f t="shared" si="71"/>
        <v>55</v>
      </c>
      <c r="C1525" s="5" t="s">
        <v>2865</v>
      </c>
      <c r="E1525" s="6" t="s">
        <v>1482</v>
      </c>
      <c r="F1525" s="7" t="s">
        <v>2866</v>
      </c>
      <c r="G1525" s="8" t="str">
        <f t="shared" si="69"/>
        <v>PRESIDIO</v>
      </c>
    </row>
    <row r="1526" spans="1:7">
      <c r="A1526" s="4" t="str">
        <f t="shared" si="70"/>
        <v>513</v>
      </c>
      <c r="B1526" s="4" t="str">
        <f t="shared" si="71"/>
        <v>67</v>
      </c>
      <c r="C1526" s="5" t="s">
        <v>2867</v>
      </c>
      <c r="E1526" s="6" t="s">
        <v>1482</v>
      </c>
      <c r="F1526" s="7" t="s">
        <v>2868</v>
      </c>
      <c r="G1526" s="8" t="str">
        <f t="shared" si="69"/>
        <v>DENALI C</v>
      </c>
    </row>
    <row r="1527" spans="1:7">
      <c r="A1527" s="4" t="str">
        <f t="shared" si="70"/>
        <v>514</v>
      </c>
      <c r="B1527" s="4" t="str">
        <f t="shared" si="71"/>
        <v>01</v>
      </c>
      <c r="C1527" s="5" t="s">
        <v>2869</v>
      </c>
      <c r="E1527" s="6" t="s">
        <v>1482</v>
      </c>
      <c r="F1527" s="7" t="s">
        <v>2870</v>
      </c>
      <c r="G1527" s="8" t="str">
        <f t="shared" si="69"/>
        <v>BOARD FO</v>
      </c>
    </row>
    <row r="1528" spans="1:7">
      <c r="A1528" s="4" t="str">
        <f t="shared" si="70"/>
        <v>514</v>
      </c>
      <c r="B1528" s="4" t="str">
        <f t="shared" si="71"/>
        <v>68</v>
      </c>
      <c r="C1528" s="5" t="s">
        <v>2871</v>
      </c>
      <c r="E1528" s="6" t="s">
        <v>1482</v>
      </c>
      <c r="F1528" s="7" t="s">
        <v>2872</v>
      </c>
      <c r="G1528" s="8" t="str">
        <f t="shared" si="69"/>
        <v>BROADCAS</v>
      </c>
    </row>
    <row r="1529" spans="1:7">
      <c r="A1529" s="4" t="str">
        <f t="shared" si="70"/>
        <v>515</v>
      </c>
      <c r="B1529" s="4" t="str">
        <f t="shared" si="71"/>
        <v>77</v>
      </c>
      <c r="C1529" s="5" t="s">
        <v>2873</v>
      </c>
      <c r="E1529" s="6" t="s">
        <v>1691</v>
      </c>
      <c r="F1529" s="7" t="s">
        <v>2874</v>
      </c>
      <c r="G1529" s="8" t="str">
        <f t="shared" si="69"/>
        <v>COMMISSI</v>
      </c>
    </row>
    <row r="1530" spans="1:7">
      <c r="A1530" s="4" t="str">
        <f t="shared" si="70"/>
        <v>517</v>
      </c>
      <c r="B1530" s="4" t="str">
        <f t="shared" si="71"/>
        <v>20</v>
      </c>
      <c r="C1530" s="5" t="s">
        <v>2875</v>
      </c>
      <c r="E1530" s="6" t="s">
        <v>1482</v>
      </c>
      <c r="F1530" s="7" t="s">
        <v>2876</v>
      </c>
      <c r="G1530" s="8" t="str">
        <f t="shared" si="69"/>
        <v>DELTA RE</v>
      </c>
    </row>
    <row r="1531" spans="1:7">
      <c r="A1531" s="4" t="str">
        <f t="shared" si="70"/>
        <v>517</v>
      </c>
      <c r="B1531" s="4" t="str">
        <f t="shared" si="71"/>
        <v>73</v>
      </c>
      <c r="C1531" s="5" t="s">
        <v>2877</v>
      </c>
      <c r="E1531" s="6" t="s">
        <v>1482</v>
      </c>
      <c r="F1531" s="7" t="s">
        <v>2876</v>
      </c>
      <c r="G1531" s="8" t="str">
        <f t="shared" si="69"/>
        <v>DELTA RE</v>
      </c>
    </row>
    <row r="1532" spans="1:7">
      <c r="A1532" s="4" t="str">
        <f t="shared" si="70"/>
        <v>518</v>
      </c>
      <c r="B1532" s="4" t="str">
        <f t="shared" si="71"/>
        <v>00</v>
      </c>
      <c r="C1532" s="5" t="s">
        <v>2878</v>
      </c>
      <c r="E1532" s="6" t="s">
        <v>1482</v>
      </c>
      <c r="F1532" s="7" t="s">
        <v>1482</v>
      </c>
      <c r="G1532" s="8" t="str">
        <f t="shared" si="69"/>
        <v>INDEPEND</v>
      </c>
    </row>
    <row r="1533" spans="1:7">
      <c r="A1533" s="4" t="str">
        <f t="shared" si="70"/>
        <v>519</v>
      </c>
      <c r="B1533" s="4" t="str">
        <f t="shared" si="71"/>
        <v>76</v>
      </c>
      <c r="C1533" s="5" t="s">
        <v>2879</v>
      </c>
      <c r="E1533" s="6" t="s">
        <v>1482</v>
      </c>
      <c r="F1533" s="7" t="s">
        <v>2880</v>
      </c>
      <c r="G1533" s="8" t="str">
        <f t="shared" si="69"/>
        <v xml:space="preserve">VIETNAM </v>
      </c>
    </row>
    <row r="1534" spans="1:7">
      <c r="A1534" s="4" t="str">
        <f t="shared" si="70"/>
        <v>524</v>
      </c>
      <c r="B1534" s="4" t="str">
        <f t="shared" si="71"/>
        <v>00</v>
      </c>
      <c r="C1534" s="5" t="s">
        <v>2881</v>
      </c>
      <c r="E1534" s="6" t="s">
        <v>1482</v>
      </c>
      <c r="F1534" s="7" t="s">
        <v>2656</v>
      </c>
      <c r="G1534" s="8" t="str">
        <f t="shared" si="69"/>
        <v>MILLENIU</v>
      </c>
    </row>
    <row r="1535" spans="1:7">
      <c r="A1535" s="4" t="str">
        <f t="shared" si="70"/>
        <v>524</v>
      </c>
      <c r="B1535" s="4" t="str">
        <f t="shared" si="71"/>
        <v>77</v>
      </c>
      <c r="C1535" s="5" t="s">
        <v>2882</v>
      </c>
      <c r="E1535" s="6" t="s">
        <v>1482</v>
      </c>
      <c r="F1535" s="7" t="s">
        <v>2656</v>
      </c>
      <c r="G1535" s="8" t="str">
        <f t="shared" si="69"/>
        <v>MILLENIU</v>
      </c>
    </row>
    <row r="1536" spans="1:7">
      <c r="A1536" s="4" t="str">
        <f t="shared" si="70"/>
        <v>525</v>
      </c>
      <c r="B1536" s="4" t="str">
        <f t="shared" si="71"/>
        <v>62</v>
      </c>
      <c r="C1536" s="5" t="s">
        <v>2883</v>
      </c>
      <c r="E1536" s="6" t="s">
        <v>1482</v>
      </c>
      <c r="F1536" s="7" t="s">
        <v>2884</v>
      </c>
      <c r="G1536" s="8" t="str">
        <f t="shared" si="69"/>
        <v>ELECTION</v>
      </c>
    </row>
    <row r="1537" spans="1:7">
      <c r="A1537" s="4" t="str">
        <f t="shared" si="70"/>
        <v>534</v>
      </c>
      <c r="B1537" s="4" t="str">
        <f t="shared" si="71"/>
        <v>65</v>
      </c>
      <c r="C1537" s="5" t="s">
        <v>2885</v>
      </c>
      <c r="E1537" s="6" t="s">
        <v>1482</v>
      </c>
      <c r="F1537" s="7" t="s">
        <v>2886</v>
      </c>
      <c r="G1537" s="8" t="str">
        <f t="shared" si="69"/>
        <v>FED. COR</v>
      </c>
    </row>
    <row r="1538" spans="1:7">
      <c r="A1538" s="4" t="str">
        <f t="shared" si="70"/>
        <v>535</v>
      </c>
      <c r="B1538" s="4" t="str">
        <f t="shared" si="71"/>
        <v>82</v>
      </c>
      <c r="C1538" s="5" t="s">
        <v>2887</v>
      </c>
      <c r="E1538" s="6" t="s">
        <v>1482</v>
      </c>
      <c r="F1538" s="7" t="s">
        <v>2888</v>
      </c>
      <c r="G1538" s="8" t="str">
        <f t="shared" ref="G1538:G1601" si="72">LEFT(F1538,8)</f>
        <v xml:space="preserve">PRIVACY </v>
      </c>
    </row>
    <row r="1539" spans="1:7">
      <c r="A1539" s="4" t="str">
        <f t="shared" ref="A1539:A1602" si="73">LEFT(C1539,3)</f>
        <v>537</v>
      </c>
      <c r="B1539" s="4" t="str">
        <f t="shared" ref="B1539:B1602" si="74">RIGHT(C1539,2)</f>
        <v>80</v>
      </c>
      <c r="C1539" s="5" t="s">
        <v>2889</v>
      </c>
      <c r="E1539" s="6" t="s">
        <v>1482</v>
      </c>
      <c r="F1539" s="7" t="s">
        <v>2890</v>
      </c>
      <c r="G1539" s="8" t="str">
        <f t="shared" si="72"/>
        <v xml:space="preserve">FEDERAL </v>
      </c>
    </row>
    <row r="1540" spans="1:7">
      <c r="A1540" s="4" t="str">
        <f t="shared" si="73"/>
        <v>539</v>
      </c>
      <c r="B1540" s="4" t="str">
        <f t="shared" si="74"/>
        <v>61</v>
      </c>
      <c r="C1540" s="5" t="s">
        <v>2891</v>
      </c>
      <c r="E1540" s="6" t="s">
        <v>1482</v>
      </c>
      <c r="F1540" s="7" t="s">
        <v>2892</v>
      </c>
      <c r="G1540" s="8" t="str">
        <f t="shared" si="72"/>
        <v>RECOVERY</v>
      </c>
    </row>
    <row r="1541" spans="1:7">
      <c r="A1541" s="4" t="str">
        <f t="shared" si="73"/>
        <v>542</v>
      </c>
      <c r="B1541" s="4" t="str">
        <f t="shared" si="74"/>
        <v>83</v>
      </c>
      <c r="C1541" s="5" t="s">
        <v>2893</v>
      </c>
      <c r="E1541" s="6" t="s">
        <v>1482</v>
      </c>
      <c r="F1541" s="7" t="s">
        <v>2894</v>
      </c>
      <c r="G1541" s="8" t="str">
        <f t="shared" si="72"/>
        <v xml:space="preserve">COUNCIL </v>
      </c>
    </row>
    <row r="1542" spans="1:7">
      <c r="A1542" s="4" t="str">
        <f t="shared" si="73"/>
        <v>570</v>
      </c>
      <c r="B1542" s="4" t="str">
        <f t="shared" si="74"/>
        <v>05</v>
      </c>
      <c r="C1542" s="5" t="s">
        <v>2895</v>
      </c>
      <c r="E1542" s="6" t="s">
        <v>1482</v>
      </c>
      <c r="F1542" s="7" t="s">
        <v>2896</v>
      </c>
      <c r="G1542" s="8" t="str">
        <f t="shared" si="72"/>
        <v>EISENHOW</v>
      </c>
    </row>
    <row r="1543" spans="1:7">
      <c r="A1543" s="4" t="str">
        <f t="shared" si="73"/>
        <v>571</v>
      </c>
      <c r="B1543" s="4" t="str">
        <f t="shared" si="74"/>
        <v>85</v>
      </c>
      <c r="C1543" s="5" t="s">
        <v>2897</v>
      </c>
      <c r="E1543" s="6" t="s">
        <v>1482</v>
      </c>
      <c r="F1543" s="7" t="s">
        <v>2898</v>
      </c>
      <c r="G1543" s="8" t="str">
        <f t="shared" si="72"/>
        <v>NATIONAL</v>
      </c>
    </row>
    <row r="1544" spans="1:7">
      <c r="A1544" s="4" t="str">
        <f t="shared" si="73"/>
        <v>572</v>
      </c>
      <c r="B1544" s="4" t="str">
        <f t="shared" si="74"/>
        <v>74</v>
      </c>
      <c r="C1544" s="5" t="s">
        <v>2899</v>
      </c>
      <c r="E1544" s="6" t="s">
        <v>1482</v>
      </c>
      <c r="F1544" s="7" t="s">
        <v>2900</v>
      </c>
      <c r="G1544" s="8" t="str">
        <f t="shared" si="72"/>
        <v>COM NATL</v>
      </c>
    </row>
    <row r="1545" spans="1:7">
      <c r="A1545" s="4" t="str">
        <f t="shared" si="73"/>
        <v>573</v>
      </c>
      <c r="B1545" s="4" t="str">
        <f t="shared" si="74"/>
        <v>84</v>
      </c>
      <c r="C1545" s="5" t="s">
        <v>2901</v>
      </c>
      <c r="E1545" s="6" t="s">
        <v>1482</v>
      </c>
      <c r="F1545" s="7" t="s">
        <v>2902</v>
      </c>
      <c r="G1545" s="8" t="str">
        <f t="shared" si="72"/>
        <v>NORTHERN</v>
      </c>
    </row>
    <row r="1546" spans="1:7">
      <c r="A1546" s="4" t="str">
        <f t="shared" si="73"/>
        <v>581</v>
      </c>
      <c r="B1546" s="4" t="str">
        <f t="shared" si="74"/>
        <v>59</v>
      </c>
      <c r="C1546" s="5" t="s">
        <v>2903</v>
      </c>
      <c r="E1546" s="6" t="s">
        <v>1482</v>
      </c>
      <c r="F1546" s="7" t="s">
        <v>2904</v>
      </c>
      <c r="G1546" s="8" t="str">
        <f t="shared" si="72"/>
        <v>CONSUMER</v>
      </c>
    </row>
    <row r="1547" spans="1:7">
      <c r="A1547" s="4" t="str">
        <f t="shared" si="73"/>
        <v>584</v>
      </c>
      <c r="B1547" s="4" t="str">
        <f t="shared" si="74"/>
        <v>73</v>
      </c>
      <c r="C1547" s="5" t="s">
        <v>2905</v>
      </c>
      <c r="E1547" s="6" t="s">
        <v>1691</v>
      </c>
      <c r="F1547" s="7" t="s">
        <v>2906</v>
      </c>
      <c r="G1547" s="8" t="str">
        <f t="shared" si="72"/>
        <v>INDIAN L</v>
      </c>
    </row>
    <row r="1548" spans="1:7">
      <c r="A1548" s="4" t="str">
        <f t="shared" si="73"/>
        <v>999</v>
      </c>
      <c r="B1548" s="4" t="str">
        <f t="shared" si="74"/>
        <v>00</v>
      </c>
      <c r="C1548" s="5" t="s">
        <v>2907</v>
      </c>
      <c r="E1548" s="6" t="s">
        <v>2908</v>
      </c>
      <c r="F1548" s="7" t="s">
        <v>2908</v>
      </c>
      <c r="G1548" s="8" t="str">
        <f t="shared" si="72"/>
        <v xml:space="preserve">FEDERAL </v>
      </c>
    </row>
    <row r="1549" spans="1:7">
      <c r="A1549" s="4" t="str">
        <f t="shared" si="73"/>
        <v>047</v>
      </c>
      <c r="B1549" s="4" t="str">
        <f t="shared" si="74"/>
        <v>A1</v>
      </c>
      <c r="C1549" s="5" t="s">
        <v>1787</v>
      </c>
      <c r="E1549" s="6" t="s">
        <v>1501</v>
      </c>
      <c r="F1549" s="7" t="s">
        <v>1788</v>
      </c>
      <c r="G1549" s="8" t="str">
        <f t="shared" si="72"/>
        <v>OFFICE O</v>
      </c>
    </row>
    <row r="1550" spans="1:7">
      <c r="A1550" s="4" t="str">
        <f t="shared" si="73"/>
        <v>0FE</v>
      </c>
      <c r="B1550" s="4" t="str">
        <f t="shared" si="74"/>
        <v>99</v>
      </c>
      <c r="C1550" s="5" t="s">
        <v>2909</v>
      </c>
      <c r="E1550" s="6" t="s">
        <v>2910</v>
      </c>
      <c r="F1550" s="7" t="s">
        <v>2911</v>
      </c>
      <c r="G1550" s="8" t="str">
        <f t="shared" si="72"/>
        <v xml:space="preserve">FEDERAL </v>
      </c>
    </row>
    <row r="1551" spans="1:7">
      <c r="A1551" s="4" t="str">
        <f t="shared" si="73"/>
        <v>N0A</v>
      </c>
      <c r="B1551" s="4" t="str">
        <f t="shared" si="74"/>
        <v>00</v>
      </c>
      <c r="C1551" s="5" t="s">
        <v>2912</v>
      </c>
      <c r="E1551" s="6" t="s">
        <v>2913</v>
      </c>
      <c r="F1551" s="7" t="s">
        <v>2914</v>
      </c>
      <c r="G1551" s="8" t="str">
        <f t="shared" si="72"/>
        <v xml:space="preserve">STATE &amp; </v>
      </c>
    </row>
    <row r="1552" spans="1:7">
      <c r="A1552" s="4" t="str">
        <f t="shared" si="73"/>
        <v>N0C</v>
      </c>
      <c r="B1552" s="4" t="str">
        <f t="shared" si="74"/>
        <v>00</v>
      </c>
      <c r="C1552" s="5" t="s">
        <v>2915</v>
      </c>
      <c r="E1552" s="6" t="s">
        <v>2916</v>
      </c>
      <c r="F1552" s="7" t="s">
        <v>2917</v>
      </c>
      <c r="G1552" s="8" t="str">
        <f t="shared" si="72"/>
        <v>COMMERCI</v>
      </c>
    </row>
    <row r="1553" spans="1:7">
      <c r="A1553" s="4" t="str">
        <f t="shared" si="73"/>
        <v>N0D</v>
      </c>
      <c r="B1553" s="4" t="str">
        <f t="shared" si="74"/>
        <v>00</v>
      </c>
      <c r="C1553" s="5" t="s">
        <v>2918</v>
      </c>
      <c r="E1553" s="6" t="s">
        <v>2919</v>
      </c>
      <c r="F1553" s="7" t="s">
        <v>2920</v>
      </c>
      <c r="G1553" s="8" t="str">
        <f t="shared" si="72"/>
        <v>DC GOVER</v>
      </c>
    </row>
    <row r="1554" spans="1:7">
      <c r="A1554" s="4" t="str">
        <f t="shared" si="73"/>
        <v>N0P</v>
      </c>
      <c r="B1554" s="4" t="str">
        <f t="shared" si="74"/>
        <v>00</v>
      </c>
      <c r="C1554" s="5" t="s">
        <v>2921</v>
      </c>
      <c r="E1554" s="6" t="s">
        <v>2922</v>
      </c>
      <c r="F1554" s="7" t="s">
        <v>2922</v>
      </c>
      <c r="G1554" s="8" t="str">
        <f t="shared" si="72"/>
        <v>NON-PROF</v>
      </c>
    </row>
    <row r="1555" spans="1:7">
      <c r="A1555" s="4" t="str">
        <f t="shared" si="73"/>
        <v>N0T</v>
      </c>
      <c r="B1555" s="4" t="str">
        <f t="shared" si="74"/>
        <v>00</v>
      </c>
      <c r="C1555" s="5" t="s">
        <v>2923</v>
      </c>
      <c r="E1555" s="6" t="s">
        <v>2924</v>
      </c>
      <c r="F1555" s="7" t="s">
        <v>2924</v>
      </c>
      <c r="G1555" s="8" t="str">
        <f t="shared" si="72"/>
        <v>TRIBAL O</v>
      </c>
    </row>
    <row r="1556" spans="1:7">
      <c r="A1556" s="4" t="str">
        <f t="shared" si="73"/>
        <v>N9A</v>
      </c>
      <c r="B1556" s="4" t="str">
        <f t="shared" si="74"/>
        <v>00</v>
      </c>
      <c r="C1556" s="5" t="s">
        <v>2925</v>
      </c>
      <c r="E1556" s="6" t="s">
        <v>2926</v>
      </c>
      <c r="F1556" s="7" t="s">
        <v>2927</v>
      </c>
      <c r="G1556" s="8" t="str">
        <f t="shared" si="72"/>
        <v xml:space="preserve">STATE &amp; </v>
      </c>
    </row>
    <row r="1557" spans="1:7">
      <c r="A1557" s="4" t="str">
        <f t="shared" si="73"/>
        <v>N9A</v>
      </c>
      <c r="B1557" s="4" t="str">
        <f t="shared" si="74"/>
        <v>01</v>
      </c>
      <c r="C1557" s="5" t="s">
        <v>2928</v>
      </c>
      <c r="E1557" s="6" t="s">
        <v>2926</v>
      </c>
      <c r="F1557" s="7" t="s">
        <v>2929</v>
      </c>
      <c r="G1557" s="8" t="str">
        <f t="shared" si="72"/>
        <v>COMMONWE</v>
      </c>
    </row>
    <row r="1558" spans="1:7">
      <c r="A1558" s="4" t="str">
        <f t="shared" si="73"/>
        <v>N9A</v>
      </c>
      <c r="B1558" s="4" t="str">
        <f t="shared" si="74"/>
        <v>02</v>
      </c>
      <c r="C1558" s="5" t="s">
        <v>2930</v>
      </c>
      <c r="E1558" s="6" t="s">
        <v>2926</v>
      </c>
      <c r="F1558" s="7" t="s">
        <v>2931</v>
      </c>
      <c r="G1558" s="8" t="str">
        <f t="shared" si="72"/>
        <v>GOVERNOR</v>
      </c>
    </row>
    <row r="1559" spans="1:7">
      <c r="A1559" s="4" t="str">
        <f t="shared" si="73"/>
        <v>N9A</v>
      </c>
      <c r="B1559" s="4" t="str">
        <f t="shared" si="74"/>
        <v>03</v>
      </c>
      <c r="C1559" s="5" t="s">
        <v>2932</v>
      </c>
      <c r="E1559" s="6" t="s">
        <v>2926</v>
      </c>
      <c r="F1559" s="7" t="s">
        <v>2933</v>
      </c>
      <c r="G1559" s="8" t="str">
        <f t="shared" si="72"/>
        <v>GOVERNME</v>
      </c>
    </row>
    <row r="1560" spans="1:7">
      <c r="A1560" s="4" t="str">
        <f t="shared" si="73"/>
        <v>N9A</v>
      </c>
      <c r="B1560" s="4" t="str">
        <f t="shared" si="74"/>
        <v>04</v>
      </c>
      <c r="C1560" s="5" t="s">
        <v>2934</v>
      </c>
      <c r="E1560" s="6" t="s">
        <v>2926</v>
      </c>
      <c r="F1560" s="7" t="s">
        <v>2935</v>
      </c>
      <c r="G1560" s="8" t="str">
        <f t="shared" si="72"/>
        <v>USDOL VE</v>
      </c>
    </row>
    <row r="1561" spans="1:7">
      <c r="A1561" s="4" t="str">
        <f t="shared" si="73"/>
        <v>N9A</v>
      </c>
      <c r="B1561" s="4" t="str">
        <f t="shared" si="74"/>
        <v>05</v>
      </c>
      <c r="C1561" s="5" t="s">
        <v>2936</v>
      </c>
      <c r="E1561" s="6" t="s">
        <v>2926</v>
      </c>
      <c r="F1561" s="7" t="s">
        <v>2937</v>
      </c>
      <c r="G1561" s="8" t="str">
        <f t="shared" si="72"/>
        <v>LA FEDER</v>
      </c>
    </row>
    <row r="1562" spans="1:7">
      <c r="A1562" s="4" t="str">
        <f t="shared" si="73"/>
        <v>N9A</v>
      </c>
      <c r="B1562" s="4" t="str">
        <f t="shared" si="74"/>
        <v>06</v>
      </c>
      <c r="C1562" s="5" t="s">
        <v>2938</v>
      </c>
      <c r="E1562" s="6" t="s">
        <v>2926</v>
      </c>
      <c r="F1562" s="7" t="s">
        <v>2939</v>
      </c>
      <c r="G1562" s="8" t="str">
        <f t="shared" si="72"/>
        <v>GOVERNOR</v>
      </c>
    </row>
    <row r="1563" spans="1:7">
      <c r="A1563" s="4" t="str">
        <f t="shared" si="73"/>
        <v>N9A</v>
      </c>
      <c r="B1563" s="4" t="str">
        <f t="shared" si="74"/>
        <v>07</v>
      </c>
      <c r="C1563" s="5" t="s">
        <v>2940</v>
      </c>
      <c r="E1563" s="6" t="s">
        <v>2926</v>
      </c>
      <c r="F1563" s="7" t="s">
        <v>2941</v>
      </c>
      <c r="G1563" s="8" t="str">
        <f t="shared" si="72"/>
        <v>AMERICAN</v>
      </c>
    </row>
    <row r="1564" spans="1:7">
      <c r="A1564" s="4" t="str">
        <f t="shared" si="73"/>
        <v>N9A</v>
      </c>
      <c r="B1564" s="4" t="str">
        <f t="shared" si="74"/>
        <v>08</v>
      </c>
      <c r="C1564" s="5" t="s">
        <v>2942</v>
      </c>
      <c r="E1564" s="6" t="s">
        <v>2926</v>
      </c>
      <c r="F1564" s="7" t="s">
        <v>2943</v>
      </c>
      <c r="G1564" s="8" t="str">
        <f t="shared" si="72"/>
        <v>DC HOMEL</v>
      </c>
    </row>
    <row r="1565" spans="1:7">
      <c r="A1565" s="4" t="str">
        <f t="shared" si="73"/>
        <v>N9A</v>
      </c>
      <c r="B1565" s="4" t="str">
        <f t="shared" si="74"/>
        <v>15</v>
      </c>
      <c r="C1565" s="5" t="s">
        <v>2944</v>
      </c>
      <c r="E1565" s="6" t="s">
        <v>2926</v>
      </c>
      <c r="F1565" s="7" t="s">
        <v>2945</v>
      </c>
      <c r="G1565" s="8" t="str">
        <f t="shared" si="72"/>
        <v>NAT COMM</v>
      </c>
    </row>
    <row r="1566" spans="1:7">
      <c r="A1566" s="4" t="str">
        <f t="shared" si="73"/>
        <v>N9C</v>
      </c>
      <c r="B1566" s="4" t="str">
        <f t="shared" si="74"/>
        <v>00</v>
      </c>
      <c r="C1566" s="5" t="s">
        <v>2946</v>
      </c>
      <c r="E1566" s="6" t="s">
        <v>2947</v>
      </c>
      <c r="F1566" s="7" t="s">
        <v>2948</v>
      </c>
      <c r="G1566" s="8" t="str">
        <f t="shared" si="72"/>
        <v>COMMERCI</v>
      </c>
    </row>
    <row r="1567" spans="1:7">
      <c r="A1567" s="4" t="str">
        <f t="shared" si="73"/>
        <v>N9C</v>
      </c>
      <c r="B1567" s="4" t="str">
        <f t="shared" si="74"/>
        <v>01</v>
      </c>
      <c r="C1567" s="5" t="s">
        <v>2949</v>
      </c>
      <c r="E1567" s="6" t="s">
        <v>2947</v>
      </c>
      <c r="F1567" s="7" t="s">
        <v>2950</v>
      </c>
      <c r="G1567" s="8" t="str">
        <f t="shared" si="72"/>
        <v xml:space="preserve">CENTURY </v>
      </c>
    </row>
    <row r="1568" spans="1:7">
      <c r="A1568" s="4" t="str">
        <f t="shared" si="73"/>
        <v>N9C</v>
      </c>
      <c r="B1568" s="4" t="str">
        <f t="shared" si="74"/>
        <v>02</v>
      </c>
      <c r="C1568" s="5" t="s">
        <v>2951</v>
      </c>
      <c r="E1568" s="6" t="s">
        <v>2947</v>
      </c>
      <c r="F1568" s="7" t="s">
        <v>2952</v>
      </c>
      <c r="G1568" s="8" t="str">
        <f t="shared" si="72"/>
        <v>JUMPSTAR</v>
      </c>
    </row>
    <row r="1569" spans="1:7">
      <c r="A1569" s="4" t="str">
        <f t="shared" si="73"/>
        <v>N9C</v>
      </c>
      <c r="B1569" s="4" t="str">
        <f t="shared" si="74"/>
        <v>03</v>
      </c>
      <c r="C1569" s="5" t="s">
        <v>2953</v>
      </c>
      <c r="E1569" s="6" t="s">
        <v>2947</v>
      </c>
      <c r="F1569" s="7" t="s">
        <v>2954</v>
      </c>
      <c r="G1569" s="8" t="str">
        <f t="shared" si="72"/>
        <v>MORTGAGE</v>
      </c>
    </row>
    <row r="1570" spans="1:7">
      <c r="A1570" s="4" t="str">
        <f t="shared" si="73"/>
        <v>N9C</v>
      </c>
      <c r="B1570" s="4" t="str">
        <f t="shared" si="74"/>
        <v>04</v>
      </c>
      <c r="C1570" s="5" t="s">
        <v>2955</v>
      </c>
      <c r="E1570" s="6" t="s">
        <v>2947</v>
      </c>
      <c r="F1570" s="7" t="s">
        <v>2956</v>
      </c>
      <c r="G1570" s="8" t="str">
        <f t="shared" si="72"/>
        <v>FINANCIA</v>
      </c>
    </row>
    <row r="1571" spans="1:7">
      <c r="A1571" s="4" t="str">
        <f t="shared" si="73"/>
        <v>N9C</v>
      </c>
      <c r="B1571" s="4" t="str">
        <f t="shared" si="74"/>
        <v>05</v>
      </c>
      <c r="C1571" s="5" t="s">
        <v>2957</v>
      </c>
      <c r="E1571" s="6" t="s">
        <v>2947</v>
      </c>
      <c r="F1571" s="7" t="s">
        <v>2958</v>
      </c>
      <c r="G1571" s="8" t="str">
        <f t="shared" si="72"/>
        <v>FINANCIA</v>
      </c>
    </row>
    <row r="1572" spans="1:7">
      <c r="A1572" s="4" t="str">
        <f t="shared" si="73"/>
        <v>N9C</v>
      </c>
      <c r="B1572" s="4" t="str">
        <f t="shared" si="74"/>
        <v>06</v>
      </c>
      <c r="C1572" s="5" t="s">
        <v>2959</v>
      </c>
      <c r="E1572" s="6" t="s">
        <v>2947</v>
      </c>
      <c r="F1572" s="7" t="s">
        <v>2960</v>
      </c>
      <c r="G1572" s="8" t="str">
        <f t="shared" si="72"/>
        <v>SECURITI</v>
      </c>
    </row>
    <row r="1573" spans="1:7">
      <c r="A1573" s="4" t="str">
        <f t="shared" si="73"/>
        <v>N9C</v>
      </c>
      <c r="B1573" s="4" t="str">
        <f t="shared" si="74"/>
        <v>07</v>
      </c>
      <c r="C1573" s="5" t="s">
        <v>2961</v>
      </c>
      <c r="E1573" s="6" t="s">
        <v>2947</v>
      </c>
      <c r="F1573" s="7" t="s">
        <v>2962</v>
      </c>
      <c r="G1573" s="8" t="str">
        <f t="shared" si="72"/>
        <v>PRUDENTI</v>
      </c>
    </row>
    <row r="1574" spans="1:7">
      <c r="A1574" s="4" t="str">
        <f t="shared" si="73"/>
        <v>N9C</v>
      </c>
      <c r="B1574" s="4" t="str">
        <f t="shared" si="74"/>
        <v>08</v>
      </c>
      <c r="C1574" s="5" t="s">
        <v>2963</v>
      </c>
      <c r="E1574" s="6" t="s">
        <v>2947</v>
      </c>
      <c r="F1574" s="7" t="s">
        <v>2964</v>
      </c>
      <c r="G1574" s="8" t="str">
        <f t="shared" si="72"/>
        <v>AMERICAN</v>
      </c>
    </row>
    <row r="1575" spans="1:7">
      <c r="A1575" s="4" t="str">
        <f t="shared" si="73"/>
        <v>N9C</v>
      </c>
      <c r="B1575" s="4" t="str">
        <f t="shared" si="74"/>
        <v>09</v>
      </c>
      <c r="C1575" s="5" t="s">
        <v>2965</v>
      </c>
      <c r="E1575" s="6" t="s">
        <v>2947</v>
      </c>
      <c r="F1575" s="7" t="s">
        <v>2966</v>
      </c>
      <c r="G1575" s="8" t="str">
        <f t="shared" si="72"/>
        <v>NATIONAL</v>
      </c>
    </row>
    <row r="1576" spans="1:7">
      <c r="A1576" s="4" t="str">
        <f t="shared" si="73"/>
        <v>N9C</v>
      </c>
      <c r="B1576" s="4" t="str">
        <f t="shared" si="74"/>
        <v>10</v>
      </c>
      <c r="C1576" s="5" t="s">
        <v>2967</v>
      </c>
      <c r="E1576" s="6" t="s">
        <v>2947</v>
      </c>
      <c r="F1576" s="7" t="s">
        <v>2968</v>
      </c>
      <c r="G1576" s="8" t="str">
        <f t="shared" si="72"/>
        <v>AMERICAN</v>
      </c>
    </row>
    <row r="1577" spans="1:7">
      <c r="A1577" s="4" t="str">
        <f t="shared" si="73"/>
        <v>N9C</v>
      </c>
      <c r="B1577" s="4" t="str">
        <f t="shared" si="74"/>
        <v>11</v>
      </c>
      <c r="C1577" s="5" t="s">
        <v>2969</v>
      </c>
      <c r="E1577" s="6" t="s">
        <v>2947</v>
      </c>
      <c r="F1577" s="7" t="s">
        <v>2970</v>
      </c>
      <c r="G1577" s="8" t="str">
        <f t="shared" si="72"/>
        <v>WASTE MA</v>
      </c>
    </row>
    <row r="1578" spans="1:7">
      <c r="A1578" s="4" t="str">
        <f t="shared" si="73"/>
        <v>N9C</v>
      </c>
      <c r="B1578" s="4" t="str">
        <f t="shared" si="74"/>
        <v>12</v>
      </c>
      <c r="C1578" s="5" t="s">
        <v>2971</v>
      </c>
      <c r="E1578" s="6" t="s">
        <v>2947</v>
      </c>
      <c r="F1578" s="7" t="s">
        <v>2972</v>
      </c>
      <c r="G1578" s="8" t="str">
        <f t="shared" si="72"/>
        <v>MILLENNI</v>
      </c>
    </row>
    <row r="1579" spans="1:7">
      <c r="A1579" s="4" t="str">
        <f t="shared" si="73"/>
        <v>N9C</v>
      </c>
      <c r="B1579" s="4" t="str">
        <f t="shared" si="74"/>
        <v>13</v>
      </c>
      <c r="C1579" s="5" t="s">
        <v>2973</v>
      </c>
      <c r="E1579" s="6" t="s">
        <v>2947</v>
      </c>
      <c r="F1579" s="7" t="s">
        <v>2974</v>
      </c>
      <c r="G1579" s="8" t="str">
        <f t="shared" si="72"/>
        <v>M2 SERVI</v>
      </c>
    </row>
    <row r="1580" spans="1:7">
      <c r="A1580" s="4" t="str">
        <f t="shared" si="73"/>
        <v>N9C</v>
      </c>
      <c r="B1580" s="4" t="str">
        <f t="shared" si="74"/>
        <v>14</v>
      </c>
      <c r="C1580" s="5" t="s">
        <v>2975</v>
      </c>
      <c r="E1580" s="6" t="s">
        <v>2947</v>
      </c>
      <c r="F1580" s="7" t="s">
        <v>2976</v>
      </c>
      <c r="G1580" s="8" t="str">
        <f t="shared" si="72"/>
        <v>CERTIFIE</v>
      </c>
    </row>
    <row r="1581" spans="1:7">
      <c r="A1581" s="4" t="str">
        <f t="shared" si="73"/>
        <v>N9C</v>
      </c>
      <c r="B1581" s="4" t="str">
        <f t="shared" si="74"/>
        <v>15</v>
      </c>
      <c r="C1581" s="5" t="s">
        <v>2977</v>
      </c>
      <c r="E1581" s="6" t="s">
        <v>2947</v>
      </c>
      <c r="F1581" s="7" t="s">
        <v>2978</v>
      </c>
      <c r="G1581" s="8" t="str">
        <f t="shared" si="72"/>
        <v>UNWIN CO</v>
      </c>
    </row>
    <row r="1582" spans="1:7">
      <c r="A1582" s="4" t="str">
        <f t="shared" si="73"/>
        <v>N9C</v>
      </c>
      <c r="B1582" s="4" t="str">
        <f t="shared" si="74"/>
        <v>16</v>
      </c>
      <c r="C1582" s="5" t="s">
        <v>2979</v>
      </c>
      <c r="E1582" s="6" t="s">
        <v>2947</v>
      </c>
      <c r="F1582" s="7" t="s">
        <v>2980</v>
      </c>
      <c r="G1582" s="8" t="str">
        <f t="shared" si="72"/>
        <v>ALEUT MA</v>
      </c>
    </row>
    <row r="1583" spans="1:7">
      <c r="A1583" s="4" t="str">
        <f t="shared" si="73"/>
        <v>N9C</v>
      </c>
      <c r="B1583" s="4" t="str">
        <f t="shared" si="74"/>
        <v>17</v>
      </c>
      <c r="C1583" s="5" t="s">
        <v>2981</v>
      </c>
      <c r="E1583" s="6" t="s">
        <v>2947</v>
      </c>
      <c r="F1583" s="7" t="s">
        <v>2982</v>
      </c>
      <c r="G1583" s="8" t="str">
        <f t="shared" si="72"/>
        <v>FAIRBANK</v>
      </c>
    </row>
    <row r="1584" spans="1:7">
      <c r="A1584" s="4" t="str">
        <f t="shared" si="73"/>
        <v>N9C</v>
      </c>
      <c r="B1584" s="4" t="str">
        <f t="shared" si="74"/>
        <v>18</v>
      </c>
      <c r="C1584" s="5" t="s">
        <v>2983</v>
      </c>
      <c r="E1584" s="6" t="s">
        <v>2947</v>
      </c>
      <c r="F1584" s="7" t="s">
        <v>2984</v>
      </c>
      <c r="G1584" s="8" t="str">
        <f t="shared" si="72"/>
        <v xml:space="preserve">CHENAGA </v>
      </c>
    </row>
    <row r="1585" spans="1:7">
      <c r="A1585" s="4" t="str">
        <f t="shared" si="73"/>
        <v>N9C</v>
      </c>
      <c r="B1585" s="4" t="str">
        <f t="shared" si="74"/>
        <v>19</v>
      </c>
      <c r="C1585" s="5" t="s">
        <v>2985</v>
      </c>
      <c r="E1585" s="6" t="s">
        <v>2947</v>
      </c>
      <c r="F1585" s="7" t="s">
        <v>2986</v>
      </c>
      <c r="G1585" s="8" t="str">
        <f t="shared" si="72"/>
        <v>COMBINED</v>
      </c>
    </row>
    <row r="1586" spans="1:7">
      <c r="A1586" s="4" t="str">
        <f t="shared" si="73"/>
        <v>N9C</v>
      </c>
      <c r="B1586" s="4" t="str">
        <f t="shared" si="74"/>
        <v>58</v>
      </c>
      <c r="C1586" s="5" t="s">
        <v>2987</v>
      </c>
      <c r="E1586" s="6" t="s">
        <v>2947</v>
      </c>
      <c r="F1586" s="7" t="s">
        <v>2988</v>
      </c>
      <c r="G1586" s="8" t="str">
        <f t="shared" si="72"/>
        <v xml:space="preserve">FEDERAL </v>
      </c>
    </row>
    <row r="1587" spans="1:7">
      <c r="A1587" s="4" t="str">
        <f t="shared" si="73"/>
        <v>N9D</v>
      </c>
      <c r="B1587" s="4" t="str">
        <f t="shared" si="74"/>
        <v>00</v>
      </c>
      <c r="C1587" s="5" t="s">
        <v>2989</v>
      </c>
      <c r="E1587" s="6" t="s">
        <v>2990</v>
      </c>
      <c r="F1587" s="7" t="s">
        <v>2991</v>
      </c>
      <c r="G1587" s="8" t="str">
        <f t="shared" si="72"/>
        <v>DC GOVER</v>
      </c>
    </row>
    <row r="1588" spans="1:7">
      <c r="A1588" s="4" t="str">
        <f t="shared" si="73"/>
        <v>N9D</v>
      </c>
      <c r="B1588" s="4" t="str">
        <f t="shared" si="74"/>
        <v>01</v>
      </c>
      <c r="C1588" s="5" t="s">
        <v>2992</v>
      </c>
      <c r="E1588" s="6" t="s">
        <v>2990</v>
      </c>
      <c r="F1588" s="7" t="s">
        <v>2993</v>
      </c>
      <c r="G1588" s="8" t="str">
        <f t="shared" si="72"/>
        <v>DC HOMEL</v>
      </c>
    </row>
    <row r="1589" spans="1:7">
      <c r="A1589" s="4" t="str">
        <f t="shared" si="73"/>
        <v>N9D</v>
      </c>
      <c r="B1589" s="4" t="str">
        <f t="shared" si="74"/>
        <v>49</v>
      </c>
      <c r="C1589" s="5" t="s">
        <v>2994</v>
      </c>
      <c r="E1589" s="6" t="s">
        <v>2990</v>
      </c>
      <c r="F1589" s="7" t="s">
        <v>2995</v>
      </c>
      <c r="G1589" s="8" t="str">
        <f t="shared" si="72"/>
        <v>DC GOVT,</v>
      </c>
    </row>
    <row r="1590" spans="1:7">
      <c r="A1590" s="4" t="str">
        <f t="shared" si="73"/>
        <v>N9D</v>
      </c>
      <c r="B1590" s="4" t="str">
        <f t="shared" si="74"/>
        <v>99</v>
      </c>
      <c r="C1590" s="5" t="s">
        <v>2996</v>
      </c>
      <c r="E1590" s="6" t="s">
        <v>2990</v>
      </c>
      <c r="F1590" s="7" t="s">
        <v>132</v>
      </c>
      <c r="G1590" s="8" t="str">
        <f t="shared" si="72"/>
        <v>SUBCONTR</v>
      </c>
    </row>
    <row r="1591" spans="1:7">
      <c r="A1591" s="4" t="str">
        <f t="shared" si="73"/>
        <v>N9E</v>
      </c>
      <c r="B1591" s="4" t="str">
        <f t="shared" si="74"/>
        <v>00</v>
      </c>
      <c r="C1591" s="5" t="s">
        <v>2997</v>
      </c>
      <c r="E1591" s="6" t="s">
        <v>2998</v>
      </c>
      <c r="F1591" s="7" t="s">
        <v>2998</v>
      </c>
      <c r="G1591" s="8" t="str">
        <f t="shared" si="72"/>
        <v>EMPLOYEE</v>
      </c>
    </row>
    <row r="1592" spans="1:7">
      <c r="A1592" s="4" t="str">
        <f t="shared" si="73"/>
        <v>N9P</v>
      </c>
      <c r="B1592" s="4" t="str">
        <f t="shared" si="74"/>
        <v>00</v>
      </c>
      <c r="C1592" s="5" t="s">
        <v>2999</v>
      </c>
      <c r="E1592" s="6" t="s">
        <v>3000</v>
      </c>
      <c r="F1592" s="7" t="s">
        <v>3000</v>
      </c>
      <c r="G1592" s="8" t="str">
        <f t="shared" si="72"/>
        <v>NON-PROF</v>
      </c>
    </row>
    <row r="1593" spans="1:7">
      <c r="A1593" s="4" t="str">
        <f t="shared" si="73"/>
        <v>N9T</v>
      </c>
      <c r="B1593" s="4" t="str">
        <f t="shared" si="74"/>
        <v>00</v>
      </c>
      <c r="C1593" s="5" t="s">
        <v>3001</v>
      </c>
      <c r="E1593" s="6" t="s">
        <v>3002</v>
      </c>
      <c r="F1593" s="7" t="s">
        <v>3003</v>
      </c>
      <c r="G1593" s="8" t="str">
        <f t="shared" si="72"/>
        <v>TRIBAL O</v>
      </c>
    </row>
    <row r="1594" spans="1:7">
      <c r="A1594" s="4" t="str">
        <f t="shared" si="73"/>
        <v>N9X</v>
      </c>
      <c r="B1594" s="4" t="str">
        <f t="shared" si="74"/>
        <v>00</v>
      </c>
      <c r="C1594" s="5" t="s">
        <v>3004</v>
      </c>
      <c r="E1594" s="6" t="s">
        <v>3005</v>
      </c>
      <c r="F1594" s="7" t="s">
        <v>3005</v>
      </c>
      <c r="G1594" s="8" t="str">
        <f t="shared" si="72"/>
        <v xml:space="preserve">FOREIGN </v>
      </c>
    </row>
    <row r="1595" spans="1:7">
      <c r="A1595" s="4" t="str">
        <f t="shared" si="73"/>
        <v>NNF</v>
      </c>
      <c r="B1595" s="4" t="str">
        <f t="shared" si="74"/>
        <v>00</v>
      </c>
      <c r="C1595" s="5" t="s">
        <v>3006</v>
      </c>
      <c r="E1595" s="6" t="s">
        <v>3007</v>
      </c>
      <c r="F1595" s="7" t="s">
        <v>3008</v>
      </c>
      <c r="G1595" s="8" t="str">
        <f t="shared" si="72"/>
        <v>NON-FEDE</v>
      </c>
    </row>
    <row r="1596" spans="1:7">
      <c r="A1596" s="4" t="str">
        <f t="shared" si="73"/>
        <v>NNF</v>
      </c>
      <c r="B1596" s="4" t="str">
        <f t="shared" si="74"/>
        <v>08</v>
      </c>
      <c r="C1596" s="5" t="s">
        <v>3009</v>
      </c>
      <c r="E1596" s="6" t="s">
        <v>3007</v>
      </c>
      <c r="F1596" s="7" t="s">
        <v>3008</v>
      </c>
      <c r="G1596" s="8" t="str">
        <f t="shared" si="72"/>
        <v>NON-FEDE</v>
      </c>
    </row>
    <row r="1597" spans="1:7">
      <c r="A1597" s="4" t="str">
        <f t="shared" si="73"/>
        <v>NNF</v>
      </c>
      <c r="B1597" s="4" t="str">
        <f t="shared" si="74"/>
        <v>22</v>
      </c>
      <c r="C1597" s="5" t="s">
        <v>3010</v>
      </c>
      <c r="E1597" s="6" t="s">
        <v>3007</v>
      </c>
      <c r="F1597" s="7" t="s">
        <v>3008</v>
      </c>
      <c r="G1597" s="8" t="str">
        <f t="shared" si="72"/>
        <v>NON-FEDE</v>
      </c>
    </row>
    <row r="1598" spans="1:7">
      <c r="A1598" s="4" t="str">
        <f t="shared" si="73"/>
        <v>NNF</v>
      </c>
      <c r="B1598" s="4" t="str">
        <f t="shared" si="74"/>
        <v>52</v>
      </c>
      <c r="C1598" s="5" t="s">
        <v>3011</v>
      </c>
      <c r="E1598" s="6" t="s">
        <v>3007</v>
      </c>
      <c r="F1598" s="7" t="s">
        <v>3008</v>
      </c>
      <c r="G1598" s="8" t="str">
        <f t="shared" si="72"/>
        <v>NON-FEDE</v>
      </c>
    </row>
    <row r="1599" spans="1:7">
      <c r="A1599" s="4" t="str">
        <f t="shared" si="73"/>
        <v>NNF</v>
      </c>
      <c r="B1599" s="4" t="str">
        <f t="shared" si="74"/>
        <v>60</v>
      </c>
      <c r="C1599" s="5" t="s">
        <v>3012</v>
      </c>
      <c r="E1599" s="6" t="s">
        <v>3007</v>
      </c>
      <c r="F1599" s="7" t="s">
        <v>3008</v>
      </c>
      <c r="G1599" s="8" t="str">
        <f t="shared" si="72"/>
        <v>NON-FEDE</v>
      </c>
    </row>
    <row r="1600" spans="1:7">
      <c r="A1600" s="4" t="str">
        <f t="shared" si="73"/>
        <v>NNF</v>
      </c>
      <c r="B1600" s="4" t="str">
        <f t="shared" si="74"/>
        <v>62</v>
      </c>
      <c r="C1600" s="5" t="s">
        <v>3013</v>
      </c>
      <c r="E1600" s="6" t="s">
        <v>3007</v>
      </c>
      <c r="F1600" s="7" t="s">
        <v>3008</v>
      </c>
      <c r="G1600" s="8" t="str">
        <f t="shared" si="72"/>
        <v>NON-FEDE</v>
      </c>
    </row>
    <row r="1601" spans="1:7">
      <c r="A1601" s="4" t="str">
        <f t="shared" si="73"/>
        <v>NNF</v>
      </c>
      <c r="B1601" s="4" t="str">
        <f t="shared" si="74"/>
        <v>63</v>
      </c>
      <c r="C1601" s="5" t="s">
        <v>3014</v>
      </c>
      <c r="E1601" s="6" t="s">
        <v>3007</v>
      </c>
      <c r="F1601" s="7" t="s">
        <v>3008</v>
      </c>
      <c r="G1601" s="8" t="str">
        <f t="shared" si="72"/>
        <v>NON-FEDE</v>
      </c>
    </row>
    <row r="1602" spans="1:7">
      <c r="A1602" s="4" t="str">
        <f t="shared" si="73"/>
        <v>NNF</v>
      </c>
      <c r="B1602" s="4" t="str">
        <f t="shared" si="74"/>
        <v>64</v>
      </c>
      <c r="C1602" s="5" t="s">
        <v>3015</v>
      </c>
      <c r="E1602" s="6" t="s">
        <v>3007</v>
      </c>
      <c r="F1602" s="7" t="s">
        <v>3008</v>
      </c>
      <c r="G1602" s="8" t="str">
        <f t="shared" ref="G1602:G1665" si="75">LEFT(F1602,8)</f>
        <v>NON-FEDE</v>
      </c>
    </row>
    <row r="1603" spans="1:7">
      <c r="A1603" s="4" t="str">
        <f t="shared" ref="A1603:A1666" si="76">LEFT(C1603,3)</f>
        <v>NNF</v>
      </c>
      <c r="B1603" s="4" t="str">
        <f t="shared" ref="B1603:B1666" si="77">RIGHT(C1603,2)</f>
        <v>67</v>
      </c>
      <c r="C1603" s="5" t="s">
        <v>3016</v>
      </c>
      <c r="E1603" s="6" t="s">
        <v>3007</v>
      </c>
      <c r="F1603" s="7" t="s">
        <v>3008</v>
      </c>
      <c r="G1603" s="8" t="str">
        <f t="shared" si="75"/>
        <v>NON-FEDE</v>
      </c>
    </row>
    <row r="1604" spans="1:7">
      <c r="A1604" s="4" t="str">
        <f t="shared" si="76"/>
        <v>NNF</v>
      </c>
      <c r="B1604" s="4" t="str">
        <f t="shared" si="77"/>
        <v>73</v>
      </c>
      <c r="C1604" s="5" t="s">
        <v>3017</v>
      </c>
      <c r="E1604" s="6" t="s">
        <v>3007</v>
      </c>
      <c r="F1604" s="7" t="s">
        <v>3008</v>
      </c>
      <c r="G1604" s="8" t="str">
        <f t="shared" si="75"/>
        <v>NON-FEDE</v>
      </c>
    </row>
    <row r="1605" spans="1:7">
      <c r="A1605" s="4" t="str">
        <f t="shared" si="76"/>
        <v>NNF</v>
      </c>
      <c r="B1605" s="4" t="str">
        <f t="shared" si="77"/>
        <v>77</v>
      </c>
      <c r="C1605" s="5" t="s">
        <v>3018</v>
      </c>
      <c r="E1605" s="6" t="s">
        <v>3007</v>
      </c>
      <c r="F1605" s="7" t="s">
        <v>3008</v>
      </c>
      <c r="G1605" s="8" t="str">
        <f t="shared" si="75"/>
        <v>NON-FEDE</v>
      </c>
    </row>
    <row r="1606" spans="1:7">
      <c r="A1606" s="4" t="str">
        <f t="shared" si="76"/>
        <v>NNF</v>
      </c>
      <c r="B1606" s="4" t="str">
        <f t="shared" si="77"/>
        <v>78</v>
      </c>
      <c r="C1606" s="5" t="s">
        <v>3019</v>
      </c>
      <c r="E1606" s="6" t="s">
        <v>3007</v>
      </c>
      <c r="F1606" s="7" t="s">
        <v>3008</v>
      </c>
      <c r="G1606" s="8" t="str">
        <f t="shared" si="75"/>
        <v>NON-FEDE</v>
      </c>
    </row>
    <row r="1607" spans="1:7">
      <c r="A1607" s="4" t="str">
        <f t="shared" si="76"/>
        <v>NNF</v>
      </c>
      <c r="B1607" s="4" t="str">
        <f t="shared" si="77"/>
        <v>79</v>
      </c>
      <c r="C1607" s="5" t="s">
        <v>3020</v>
      </c>
      <c r="E1607" s="6" t="s">
        <v>3007</v>
      </c>
      <c r="F1607" s="7" t="s">
        <v>3008</v>
      </c>
      <c r="G1607" s="8" t="str">
        <f t="shared" si="75"/>
        <v>NON-FEDE</v>
      </c>
    </row>
    <row r="1608" spans="1:7">
      <c r="A1608" s="4" t="str">
        <f t="shared" si="76"/>
        <v>NNF</v>
      </c>
      <c r="B1608" s="4" t="str">
        <f t="shared" si="77"/>
        <v>81</v>
      </c>
      <c r="C1608" s="5" t="s">
        <v>3021</v>
      </c>
      <c r="E1608" s="6" t="s">
        <v>3007</v>
      </c>
      <c r="F1608" s="7" t="s">
        <v>3008</v>
      </c>
      <c r="G1608" s="8" t="str">
        <f t="shared" si="75"/>
        <v>NON-FEDE</v>
      </c>
    </row>
    <row r="1609" spans="1:7">
      <c r="A1609" s="4" t="str">
        <f t="shared" si="76"/>
        <v>NNF</v>
      </c>
      <c r="B1609" s="4" t="str">
        <f t="shared" si="77"/>
        <v>84</v>
      </c>
      <c r="C1609" s="5" t="s">
        <v>3022</v>
      </c>
      <c r="E1609" s="6" t="s">
        <v>3007</v>
      </c>
      <c r="F1609" s="7" t="s">
        <v>3008</v>
      </c>
      <c r="G1609" s="8" t="str">
        <f t="shared" si="75"/>
        <v>NON-FEDE</v>
      </c>
    </row>
    <row r="1610" spans="1:7">
      <c r="A1610" s="4" t="str">
        <f t="shared" si="76"/>
        <v>NNF</v>
      </c>
      <c r="B1610" s="4" t="str">
        <f t="shared" si="77"/>
        <v>87</v>
      </c>
      <c r="C1610" s="5" t="s">
        <v>3023</v>
      </c>
      <c r="E1610" s="6" t="s">
        <v>3007</v>
      </c>
      <c r="F1610" s="7" t="s">
        <v>3008</v>
      </c>
      <c r="G1610" s="8" t="str">
        <f t="shared" si="75"/>
        <v>NON-FEDE</v>
      </c>
    </row>
    <row r="1611" spans="1:7">
      <c r="A1611" s="4" t="str">
        <f t="shared" si="76"/>
        <v>NNF</v>
      </c>
      <c r="B1611" s="4" t="str">
        <f t="shared" si="77"/>
        <v>89</v>
      </c>
      <c r="C1611" s="5" t="s">
        <v>3024</v>
      </c>
      <c r="E1611" s="6" t="s">
        <v>3007</v>
      </c>
      <c r="F1611" s="7" t="s">
        <v>3008</v>
      </c>
      <c r="G1611" s="8" t="str">
        <f t="shared" si="75"/>
        <v>NON-FEDE</v>
      </c>
    </row>
    <row r="1612" spans="1:7">
      <c r="A1612" s="4" t="str">
        <f t="shared" si="76"/>
        <v>NNF</v>
      </c>
      <c r="B1612" s="4" t="str">
        <f t="shared" si="77"/>
        <v>90</v>
      </c>
      <c r="C1612" s="5" t="s">
        <v>3025</v>
      </c>
      <c r="E1612" s="6" t="s">
        <v>3007</v>
      </c>
      <c r="F1612" s="7" t="s">
        <v>3008</v>
      </c>
      <c r="G1612" s="8" t="str">
        <f t="shared" si="75"/>
        <v>NON-FEDE</v>
      </c>
    </row>
    <row r="1613" spans="1:7">
      <c r="A1613" s="4" t="str">
        <f t="shared" si="76"/>
        <v>T1A</v>
      </c>
      <c r="B1613" s="4" t="str">
        <f t="shared" si="77"/>
        <v>00</v>
      </c>
      <c r="C1613" s="5" t="s">
        <v>3026</v>
      </c>
      <c r="E1613" s="6" t="s">
        <v>3027</v>
      </c>
      <c r="F1613" s="7" t="s">
        <v>3027</v>
      </c>
      <c r="G1613" s="8" t="str">
        <f t="shared" si="75"/>
        <v xml:space="preserve">JOHN C. </v>
      </c>
    </row>
    <row r="1614" spans="1:7">
      <c r="A1614" s="4" t="str">
        <f t="shared" si="76"/>
        <v>T1B</v>
      </c>
      <c r="B1614" s="4" t="str">
        <f t="shared" si="77"/>
        <v>00</v>
      </c>
      <c r="C1614" s="5" t="s">
        <v>3028</v>
      </c>
      <c r="E1614" s="6" t="s">
        <v>3029</v>
      </c>
      <c r="F1614" s="7" t="s">
        <v>3029</v>
      </c>
      <c r="G1614" s="8" t="str">
        <f t="shared" si="75"/>
        <v>ANTITRUS</v>
      </c>
    </row>
    <row r="1615" spans="1:7">
      <c r="A1615" s="4" t="str">
        <f t="shared" si="76"/>
        <v>T1C</v>
      </c>
      <c r="B1615" s="4" t="str">
        <f t="shared" si="77"/>
        <v>00</v>
      </c>
      <c r="C1615" s="5" t="s">
        <v>3030</v>
      </c>
      <c r="E1615" s="6" t="s">
        <v>3031</v>
      </c>
      <c r="F1615" s="7" t="s">
        <v>3031</v>
      </c>
      <c r="G1615" s="8" t="str">
        <f t="shared" si="75"/>
        <v>NATIONAL</v>
      </c>
    </row>
    <row r="1616" spans="1:7">
      <c r="A1616" s="4" t="str">
        <f t="shared" si="76"/>
        <v>T1D</v>
      </c>
      <c r="B1616" s="4" t="str">
        <f t="shared" si="77"/>
        <v>00</v>
      </c>
      <c r="C1616" s="5" t="s">
        <v>3032</v>
      </c>
      <c r="E1616" s="6" t="s">
        <v>3033</v>
      </c>
      <c r="F1616" s="7" t="s">
        <v>3033</v>
      </c>
      <c r="G1616" s="8" t="str">
        <f t="shared" si="75"/>
        <v>HELP COM</v>
      </c>
    </row>
    <row r="1617" spans="1:7">
      <c r="A1617" s="4" t="str">
        <f t="shared" si="76"/>
        <v>T1E</v>
      </c>
      <c r="B1617" s="4" t="str">
        <f t="shared" si="77"/>
        <v>00</v>
      </c>
      <c r="C1617" s="5" t="s">
        <v>3034</v>
      </c>
      <c r="E1617" s="6" t="s">
        <v>3035</v>
      </c>
      <c r="F1617" s="7" t="s">
        <v>3035</v>
      </c>
      <c r="G1617" s="8" t="str">
        <f t="shared" si="75"/>
        <v>SOUTHWES</v>
      </c>
    </row>
    <row r="1618" spans="1:7">
      <c r="A1618" s="4" t="str">
        <f t="shared" si="76"/>
        <v>T1F</v>
      </c>
      <c r="B1618" s="4" t="str">
        <f t="shared" si="77"/>
        <v>00</v>
      </c>
      <c r="C1618" s="5" t="s">
        <v>3036</v>
      </c>
      <c r="E1618" s="6" t="s">
        <v>3037</v>
      </c>
      <c r="F1618" s="7" t="s">
        <v>3037</v>
      </c>
      <c r="G1618" s="8" t="str">
        <f t="shared" si="75"/>
        <v>D&amp;L NATI</v>
      </c>
    </row>
    <row r="1619" spans="1:7">
      <c r="A1619" s="4" t="str">
        <f t="shared" si="76"/>
        <v>T1G</v>
      </c>
      <c r="B1619" s="4" t="str">
        <f t="shared" si="77"/>
        <v>00</v>
      </c>
      <c r="C1619" s="5" t="s">
        <v>3038</v>
      </c>
      <c r="E1619" s="6" t="s">
        <v>1413</v>
      </c>
      <c r="F1619" s="7" t="s">
        <v>1413</v>
      </c>
      <c r="G1619" s="8" t="str">
        <f t="shared" si="75"/>
        <v xml:space="preserve">JOHN F. </v>
      </c>
    </row>
    <row r="1620" spans="1:7">
      <c r="A1620" s="4" t="str">
        <f t="shared" si="76"/>
        <v>T1H</v>
      </c>
      <c r="B1620" s="4" t="str">
        <f t="shared" si="77"/>
        <v>00</v>
      </c>
      <c r="C1620" s="5" t="s">
        <v>3039</v>
      </c>
      <c r="E1620" s="6" t="s">
        <v>3040</v>
      </c>
      <c r="F1620" s="7" t="s">
        <v>3040</v>
      </c>
      <c r="G1620" s="8" t="str">
        <f t="shared" si="75"/>
        <v>RECOVERY</v>
      </c>
    </row>
    <row r="1621" spans="1:7">
      <c r="A1621" s="4" t="str">
        <f t="shared" si="76"/>
        <v>T1I</v>
      </c>
      <c r="B1621" s="4" t="str">
        <f t="shared" si="77"/>
        <v>00</v>
      </c>
      <c r="C1621" s="5" t="s">
        <v>3041</v>
      </c>
      <c r="E1621" s="6" t="s">
        <v>3042</v>
      </c>
      <c r="F1621" s="7" t="s">
        <v>3042</v>
      </c>
      <c r="G1621" s="8" t="str">
        <f t="shared" si="75"/>
        <v>US ARCTI</v>
      </c>
    </row>
    <row r="1622" spans="1:7">
      <c r="A1622" s="4" t="str">
        <f t="shared" si="76"/>
        <v>T1J</v>
      </c>
      <c r="B1622" s="4" t="str">
        <f t="shared" si="77"/>
        <v>00</v>
      </c>
      <c r="C1622" s="5" t="s">
        <v>3043</v>
      </c>
      <c r="E1622" s="6" t="s">
        <v>3044</v>
      </c>
      <c r="F1622" s="7" t="s">
        <v>3044</v>
      </c>
      <c r="G1622" s="8" t="str">
        <f t="shared" si="75"/>
        <v>CITIZENS</v>
      </c>
    </row>
    <row r="1623" spans="1:7">
      <c r="A1623" s="4" t="str">
        <f t="shared" si="76"/>
        <v>T1K</v>
      </c>
      <c r="B1623" s="4" t="str">
        <f t="shared" si="77"/>
        <v>00</v>
      </c>
      <c r="C1623" s="5" t="s">
        <v>3045</v>
      </c>
      <c r="E1623" s="6" t="s">
        <v>3046</v>
      </c>
      <c r="F1623" s="7" t="s">
        <v>3046</v>
      </c>
      <c r="G1623" s="8" t="str">
        <f t="shared" si="75"/>
        <v xml:space="preserve">DEPT OF </v>
      </c>
    </row>
    <row r="1624" spans="1:7">
      <c r="A1624" s="4" t="str">
        <f t="shared" si="76"/>
        <v>T1L</v>
      </c>
      <c r="B1624" s="4" t="str">
        <f t="shared" si="77"/>
        <v>00</v>
      </c>
      <c r="C1624" s="5" t="s">
        <v>3047</v>
      </c>
      <c r="E1624" s="6" t="s">
        <v>3048</v>
      </c>
      <c r="F1624" s="7" t="s">
        <v>3049</v>
      </c>
      <c r="G1624" s="8" t="str">
        <f t="shared" si="75"/>
        <v>US ARCTI</v>
      </c>
    </row>
    <row r="1625" spans="1:7">
      <c r="A1625" s="4" t="str">
        <f t="shared" si="76"/>
        <v>T1S</v>
      </c>
      <c r="B1625" s="4" t="str">
        <f t="shared" si="77"/>
        <v>00</v>
      </c>
      <c r="C1625" s="5" t="s">
        <v>3050</v>
      </c>
      <c r="E1625" s="6" t="s">
        <v>3051</v>
      </c>
      <c r="F1625" s="7" t="s">
        <v>3051</v>
      </c>
      <c r="G1625" s="8" t="str">
        <f t="shared" si="75"/>
        <v>MILLENIA</v>
      </c>
    </row>
    <row r="1626" spans="1:7">
      <c r="A1626" s="4" t="str">
        <f t="shared" si="76"/>
        <v>T1T</v>
      </c>
      <c r="B1626" s="4" t="str">
        <f t="shared" si="77"/>
        <v>00</v>
      </c>
      <c r="C1626" s="5" t="s">
        <v>3052</v>
      </c>
      <c r="E1626" s="6" t="s">
        <v>3053</v>
      </c>
      <c r="F1626" s="7" t="s">
        <v>3053</v>
      </c>
      <c r="G1626" s="8" t="str">
        <f t="shared" si="75"/>
        <v>COMMISSI</v>
      </c>
    </row>
    <row r="1627" spans="1:7">
      <c r="A1627" s="4" t="str">
        <f t="shared" si="76"/>
        <v>T1U</v>
      </c>
      <c r="B1627" s="4" t="str">
        <f t="shared" si="77"/>
        <v>00</v>
      </c>
      <c r="C1627" s="5" t="s">
        <v>3054</v>
      </c>
      <c r="E1627" s="6" t="s">
        <v>3053</v>
      </c>
      <c r="F1627" s="7" t="s">
        <v>3053</v>
      </c>
      <c r="G1627" s="8" t="str">
        <f t="shared" si="75"/>
        <v>COMMISSI</v>
      </c>
    </row>
    <row r="1628" spans="1:7">
      <c r="A1628" s="4" t="str">
        <f t="shared" si="76"/>
        <v>T1U</v>
      </c>
      <c r="B1628" s="4" t="str">
        <f t="shared" si="77"/>
        <v>82</v>
      </c>
      <c r="C1628" s="5" t="s">
        <v>3055</v>
      </c>
      <c r="E1628" s="6" t="s">
        <v>3053</v>
      </c>
      <c r="F1628" s="7" t="s">
        <v>3053</v>
      </c>
      <c r="G1628" s="8" t="str">
        <f t="shared" si="75"/>
        <v>COMMISSI</v>
      </c>
    </row>
    <row r="1629" spans="1:7">
      <c r="A1629" s="4" t="str">
        <f t="shared" si="76"/>
        <v>T1X</v>
      </c>
      <c r="B1629" s="4" t="str">
        <f t="shared" si="77"/>
        <v>00</v>
      </c>
      <c r="C1629" s="5" t="s">
        <v>3056</v>
      </c>
      <c r="E1629" s="6" t="s">
        <v>3053</v>
      </c>
      <c r="F1629" s="7" t="s">
        <v>3053</v>
      </c>
      <c r="G1629" s="8" t="str">
        <f t="shared" si="75"/>
        <v>COMMISSI</v>
      </c>
    </row>
    <row r="1630" spans="1:7">
      <c r="A1630" s="4" t="str">
        <f t="shared" si="76"/>
        <v>T1Y</v>
      </c>
      <c r="B1630" s="4" t="str">
        <f t="shared" si="77"/>
        <v>00</v>
      </c>
      <c r="C1630" s="5" t="s">
        <v>3057</v>
      </c>
      <c r="E1630" s="6" t="s">
        <v>3058</v>
      </c>
      <c r="F1630" s="7" t="s">
        <v>3058</v>
      </c>
      <c r="G1630" s="8" t="str">
        <f t="shared" si="75"/>
        <v>COMMISSI</v>
      </c>
    </row>
    <row r="1631" spans="1:7">
      <c r="A1631" s="4" t="str">
        <f t="shared" si="76"/>
        <v>T1Z</v>
      </c>
      <c r="B1631" s="4" t="str">
        <f t="shared" si="77"/>
        <v>00</v>
      </c>
      <c r="C1631" s="5" t="s">
        <v>3059</v>
      </c>
      <c r="E1631" s="6" t="s">
        <v>3053</v>
      </c>
      <c r="F1631" s="7" t="s">
        <v>3053</v>
      </c>
      <c r="G1631" s="8" t="str">
        <f t="shared" si="75"/>
        <v>COMMISSI</v>
      </c>
    </row>
    <row r="1632" spans="1:7">
      <c r="A1632" s="4" t="str">
        <f t="shared" si="76"/>
        <v>T2A</v>
      </c>
      <c r="B1632" s="4" t="str">
        <f t="shared" si="77"/>
        <v>00</v>
      </c>
      <c r="C1632" s="5" t="s">
        <v>3060</v>
      </c>
      <c r="E1632" s="6" t="s">
        <v>2725</v>
      </c>
      <c r="F1632" s="7" t="s">
        <v>2725</v>
      </c>
      <c r="G1632" s="8" t="str">
        <f t="shared" si="75"/>
        <v xml:space="preserve">FEDERAL </v>
      </c>
    </row>
    <row r="1633" spans="1:7">
      <c r="A1633" s="4" t="str">
        <f t="shared" si="76"/>
        <v>T2B</v>
      </c>
      <c r="B1633" s="4" t="str">
        <f t="shared" si="77"/>
        <v>00</v>
      </c>
      <c r="C1633" s="5" t="s">
        <v>3061</v>
      </c>
      <c r="E1633" s="6" t="s">
        <v>3062</v>
      </c>
      <c r="F1633" s="7" t="s">
        <v>3062</v>
      </c>
      <c r="G1633" s="8" t="str">
        <f t="shared" si="75"/>
        <v>U.S. ELE</v>
      </c>
    </row>
    <row r="1634" spans="1:7">
      <c r="A1634" s="4" t="str">
        <f t="shared" si="76"/>
        <v>T2C</v>
      </c>
      <c r="B1634" s="4" t="str">
        <f t="shared" si="77"/>
        <v>00</v>
      </c>
      <c r="C1634" s="5" t="s">
        <v>3063</v>
      </c>
      <c r="E1634" s="6" t="s">
        <v>3064</v>
      </c>
      <c r="F1634" s="7" t="s">
        <v>3064</v>
      </c>
      <c r="G1634" s="8" t="str">
        <f t="shared" si="75"/>
        <v>DC COURT</v>
      </c>
    </row>
    <row r="1635" spans="1:7">
      <c r="A1635" s="4" t="str">
        <f t="shared" si="76"/>
        <v>T2D</v>
      </c>
      <c r="B1635" s="4" t="str">
        <f t="shared" si="77"/>
        <v>00</v>
      </c>
      <c r="C1635" s="5" t="s">
        <v>3065</v>
      </c>
      <c r="E1635" s="6" t="s">
        <v>3066</v>
      </c>
      <c r="F1635" s="7" t="s">
        <v>3066</v>
      </c>
      <c r="G1635" s="8" t="str">
        <f t="shared" si="75"/>
        <v>U.S. INS</v>
      </c>
    </row>
    <row r="1636" spans="1:7">
      <c r="A1636" s="4" t="str">
        <f t="shared" si="76"/>
        <v>T2E</v>
      </c>
      <c r="B1636" s="4" t="str">
        <f t="shared" si="77"/>
        <v>00</v>
      </c>
      <c r="C1636" s="5" t="s">
        <v>3067</v>
      </c>
      <c r="E1636" s="6" t="s">
        <v>3068</v>
      </c>
      <c r="F1636" s="7" t="s">
        <v>3068</v>
      </c>
      <c r="G1636" s="8" t="str">
        <f t="shared" si="75"/>
        <v>COMMITTE</v>
      </c>
    </row>
    <row r="1637" spans="1:7">
      <c r="A1637" s="4" t="str">
        <f t="shared" si="76"/>
        <v>T2F</v>
      </c>
      <c r="B1637" s="4" t="str">
        <f t="shared" si="77"/>
        <v>00</v>
      </c>
      <c r="C1637" s="5" t="s">
        <v>3069</v>
      </c>
      <c r="E1637" s="6" t="s">
        <v>2759</v>
      </c>
      <c r="F1637" s="7" t="s">
        <v>2759</v>
      </c>
      <c r="G1637" s="8" t="str">
        <f t="shared" si="75"/>
        <v>NATIONAL</v>
      </c>
    </row>
    <row r="1638" spans="1:7">
      <c r="A1638" s="4" t="str">
        <f t="shared" si="76"/>
        <v>T2G</v>
      </c>
      <c r="B1638" s="4" t="str">
        <f t="shared" si="77"/>
        <v>00</v>
      </c>
      <c r="C1638" s="5" t="s">
        <v>3070</v>
      </c>
      <c r="E1638" s="6" t="s">
        <v>3071</v>
      </c>
      <c r="F1638" s="7" t="s">
        <v>3071</v>
      </c>
      <c r="G1638" s="8" t="str">
        <f t="shared" si="75"/>
        <v>TRUMAN S</v>
      </c>
    </row>
    <row r="1639" spans="1:7">
      <c r="A1639" s="4" t="str">
        <f t="shared" si="76"/>
        <v>T2H</v>
      </c>
      <c r="B1639" s="4" t="str">
        <f t="shared" si="77"/>
        <v>00</v>
      </c>
      <c r="C1639" s="5" t="s">
        <v>3072</v>
      </c>
      <c r="E1639" s="6" t="s">
        <v>2747</v>
      </c>
      <c r="F1639" s="7" t="s">
        <v>2747</v>
      </c>
      <c r="G1639" s="8" t="str">
        <f t="shared" si="75"/>
        <v>MARINE M</v>
      </c>
    </row>
    <row r="1640" spans="1:7">
      <c r="A1640" s="4" t="str">
        <f t="shared" si="76"/>
        <v>T2I</v>
      </c>
      <c r="B1640" s="4" t="str">
        <f t="shared" si="77"/>
        <v>00</v>
      </c>
      <c r="C1640" s="5" t="s">
        <v>3073</v>
      </c>
      <c r="E1640" s="6" t="s">
        <v>3074</v>
      </c>
      <c r="F1640" s="7" t="s">
        <v>3074</v>
      </c>
      <c r="G1640" s="8" t="str">
        <f t="shared" si="75"/>
        <v>PAHA</v>
      </c>
    </row>
    <row r="1641" spans="1:7">
      <c r="A1641" s="4" t="str">
        <f t="shared" si="76"/>
        <v>T2J</v>
      </c>
      <c r="B1641" s="4" t="str">
        <f t="shared" si="77"/>
        <v>00</v>
      </c>
      <c r="C1641" s="5" t="s">
        <v>3075</v>
      </c>
      <c r="E1641" s="6" t="s">
        <v>2782</v>
      </c>
      <c r="F1641" s="7" t="s">
        <v>2782</v>
      </c>
      <c r="G1641" s="8" t="str">
        <f t="shared" si="75"/>
        <v>NEIGHBOR</v>
      </c>
    </row>
    <row r="1642" spans="1:7">
      <c r="A1642" s="4" t="str">
        <f t="shared" si="76"/>
        <v>T2K</v>
      </c>
      <c r="B1642" s="4" t="str">
        <f t="shared" si="77"/>
        <v>00</v>
      </c>
      <c r="C1642" s="5" t="s">
        <v>3076</v>
      </c>
      <c r="E1642" s="6" t="s">
        <v>3077</v>
      </c>
      <c r="F1642" s="7" t="s">
        <v>3077</v>
      </c>
      <c r="G1642" s="8" t="str">
        <f t="shared" si="75"/>
        <v>NATIONAL</v>
      </c>
    </row>
    <row r="1643" spans="1:7">
      <c r="A1643" s="4" t="str">
        <f t="shared" si="76"/>
        <v>T2L</v>
      </c>
      <c r="B1643" s="4" t="str">
        <f t="shared" si="77"/>
        <v>00</v>
      </c>
      <c r="C1643" s="5" t="s">
        <v>3078</v>
      </c>
      <c r="E1643" s="6" t="s">
        <v>3079</v>
      </c>
      <c r="F1643" s="7" t="s">
        <v>3079</v>
      </c>
      <c r="G1643" s="8" t="str">
        <f t="shared" si="75"/>
        <v xml:space="preserve">OFC FOR </v>
      </c>
    </row>
    <row r="1644" spans="1:7">
      <c r="A1644" s="4" t="str">
        <f t="shared" si="76"/>
        <v>T2M</v>
      </c>
      <c r="B1644" s="4" t="str">
        <f t="shared" si="77"/>
        <v>00</v>
      </c>
      <c r="C1644" s="5" t="s">
        <v>3080</v>
      </c>
      <c r="E1644" s="6" t="s">
        <v>3081</v>
      </c>
      <c r="F1644" s="7" t="s">
        <v>3081</v>
      </c>
      <c r="G1644" s="8" t="str">
        <f t="shared" si="75"/>
        <v>U.S. COM</v>
      </c>
    </row>
    <row r="1645" spans="1:7">
      <c r="A1645" s="4" t="str">
        <f t="shared" si="76"/>
        <v>T2N</v>
      </c>
      <c r="B1645" s="4" t="str">
        <f t="shared" si="77"/>
        <v>00</v>
      </c>
      <c r="C1645" s="5" t="s">
        <v>3082</v>
      </c>
      <c r="E1645" s="6" t="s">
        <v>3083</v>
      </c>
      <c r="F1645" s="7" t="s">
        <v>3083</v>
      </c>
      <c r="G1645" s="8" t="str">
        <f t="shared" si="75"/>
        <v xml:space="preserve">COUNCIL </v>
      </c>
    </row>
    <row r="1646" spans="1:7">
      <c r="A1646" s="4" t="str">
        <f t="shared" si="76"/>
        <v>T2P</v>
      </c>
      <c r="B1646" s="4" t="str">
        <f t="shared" si="77"/>
        <v>00</v>
      </c>
      <c r="C1646" s="5" t="s">
        <v>3084</v>
      </c>
      <c r="E1646" s="6" t="s">
        <v>3085</v>
      </c>
      <c r="F1646" s="7" t="s">
        <v>3085</v>
      </c>
      <c r="G1646" s="8" t="str">
        <f t="shared" si="75"/>
        <v>HARRY S.</v>
      </c>
    </row>
    <row r="1647" spans="1:7">
      <c r="A1647" s="4" t="str">
        <f t="shared" si="76"/>
        <v>T2Q</v>
      </c>
      <c r="B1647" s="4" t="str">
        <f t="shared" si="77"/>
        <v>00</v>
      </c>
      <c r="C1647" s="5" t="s">
        <v>3086</v>
      </c>
      <c r="E1647" s="6" t="s">
        <v>3087</v>
      </c>
      <c r="F1647" s="7" t="s">
        <v>3087</v>
      </c>
      <c r="G1647" s="8" t="str">
        <f t="shared" si="75"/>
        <v>EISENHOW</v>
      </c>
    </row>
    <row r="1648" spans="1:7">
      <c r="A1648" s="4" t="str">
        <f t="shared" si="76"/>
        <v>T2R</v>
      </c>
      <c r="B1648" s="4" t="str">
        <f t="shared" si="77"/>
        <v>00</v>
      </c>
      <c r="C1648" s="5" t="s">
        <v>3088</v>
      </c>
      <c r="E1648" s="6" t="s">
        <v>2902</v>
      </c>
      <c r="F1648" s="7" t="s">
        <v>3089</v>
      </c>
      <c r="G1648" s="8" t="str">
        <f t="shared" si="75"/>
        <v>NORTHERN</v>
      </c>
    </row>
    <row r="1649" spans="1:7">
      <c r="A1649" s="4" t="str">
        <f t="shared" si="76"/>
        <v>T2S</v>
      </c>
      <c r="B1649" s="4" t="str">
        <f t="shared" si="77"/>
        <v>00</v>
      </c>
      <c r="C1649" s="5" t="s">
        <v>3090</v>
      </c>
      <c r="E1649" s="6" t="s">
        <v>3091</v>
      </c>
      <c r="F1649" s="7" t="s">
        <v>3091</v>
      </c>
      <c r="G1649" s="8" t="str">
        <f t="shared" si="75"/>
        <v>APPRAISA</v>
      </c>
    </row>
    <row r="1650" spans="1:7">
      <c r="A1650" s="4" t="str">
        <f t="shared" si="76"/>
        <v>T2T</v>
      </c>
      <c r="B1650" s="4" t="str">
        <f t="shared" si="77"/>
        <v>00</v>
      </c>
      <c r="C1650" s="5" t="s">
        <v>3092</v>
      </c>
      <c r="E1650" s="6" t="s">
        <v>3093</v>
      </c>
      <c r="F1650" s="7" t="s">
        <v>3093</v>
      </c>
      <c r="G1650" s="8" t="str">
        <f t="shared" si="75"/>
        <v>ENVIRONM</v>
      </c>
    </row>
    <row r="1651" spans="1:7">
      <c r="A1651" s="4" t="str">
        <f t="shared" si="76"/>
        <v>T2U</v>
      </c>
      <c r="B1651" s="4" t="str">
        <f t="shared" si="77"/>
        <v>00</v>
      </c>
      <c r="C1651" s="5" t="s">
        <v>3094</v>
      </c>
      <c r="E1651" s="6" t="s">
        <v>3095</v>
      </c>
      <c r="F1651" s="7" t="s">
        <v>3095</v>
      </c>
      <c r="G1651" s="8" t="str">
        <f t="shared" si="75"/>
        <v>GOLDWATE</v>
      </c>
    </row>
    <row r="1652" spans="1:7">
      <c r="A1652" s="4" t="str">
        <f t="shared" si="76"/>
        <v>T2V</v>
      </c>
      <c r="B1652" s="4" t="str">
        <f t="shared" si="77"/>
        <v>00</v>
      </c>
      <c r="C1652" s="5" t="s">
        <v>3096</v>
      </c>
      <c r="E1652" s="6" t="s">
        <v>3097</v>
      </c>
      <c r="F1652" s="7" t="s">
        <v>3097</v>
      </c>
      <c r="G1652" s="8" t="str">
        <f t="shared" si="75"/>
        <v>UDALL SC</v>
      </c>
    </row>
    <row r="1653" spans="1:7">
      <c r="A1653" s="4" t="str">
        <f t="shared" si="76"/>
        <v>T2W</v>
      </c>
      <c r="B1653" s="4" t="str">
        <f t="shared" si="77"/>
        <v>00</v>
      </c>
      <c r="C1653" s="5" t="s">
        <v>3098</v>
      </c>
      <c r="E1653" s="6" t="s">
        <v>2745</v>
      </c>
      <c r="F1653" s="7" t="s">
        <v>2745</v>
      </c>
      <c r="G1653" s="8" t="str">
        <f t="shared" si="75"/>
        <v>JAPAN-UN</v>
      </c>
    </row>
    <row r="1654" spans="1:7">
      <c r="A1654" s="4" t="str">
        <f t="shared" si="76"/>
        <v>T2Y</v>
      </c>
      <c r="B1654" s="4" t="str">
        <f t="shared" si="77"/>
        <v>00</v>
      </c>
      <c r="C1654" s="5" t="s">
        <v>3099</v>
      </c>
      <c r="E1654" s="6" t="s">
        <v>2705</v>
      </c>
      <c r="F1654" s="7" t="s">
        <v>2705</v>
      </c>
      <c r="G1654" s="8" t="str">
        <f t="shared" si="75"/>
        <v xml:space="preserve">DEFENSE </v>
      </c>
    </row>
    <row r="1655" spans="1:7">
      <c r="A1655" s="4" t="str">
        <f t="shared" si="76"/>
        <v>T2Z</v>
      </c>
      <c r="B1655" s="4" t="str">
        <f t="shared" si="77"/>
        <v>00</v>
      </c>
      <c r="C1655" s="5" t="s">
        <v>3100</v>
      </c>
      <c r="E1655" s="6" t="s">
        <v>2880</v>
      </c>
      <c r="F1655" s="7" t="s">
        <v>2880</v>
      </c>
      <c r="G1655" s="8" t="str">
        <f t="shared" si="75"/>
        <v xml:space="preserve">VIETNAM </v>
      </c>
    </row>
    <row r="1656" spans="1:7">
      <c r="A1656" s="4" t="str">
        <f t="shared" si="76"/>
        <v>T3A</v>
      </c>
      <c r="B1656" s="4" t="str">
        <f t="shared" si="77"/>
        <v>00</v>
      </c>
      <c r="C1656" s="5" t="s">
        <v>3101</v>
      </c>
      <c r="E1656" s="6" t="s">
        <v>2743</v>
      </c>
      <c r="F1656" s="7" t="s">
        <v>2743</v>
      </c>
      <c r="G1656" s="8" t="str">
        <f t="shared" si="75"/>
        <v>JAMES MA</v>
      </c>
    </row>
    <row r="1657" spans="1:7">
      <c r="A1657" s="4" t="str">
        <f t="shared" si="76"/>
        <v>T3B</v>
      </c>
      <c r="B1657" s="4" t="str">
        <f t="shared" si="77"/>
        <v>00</v>
      </c>
      <c r="C1657" s="5" t="s">
        <v>3102</v>
      </c>
      <c r="E1657" s="6" t="s">
        <v>3103</v>
      </c>
      <c r="F1657" s="7" t="s">
        <v>3103</v>
      </c>
      <c r="G1657" s="8" t="str">
        <f t="shared" si="75"/>
        <v>DELTA RE</v>
      </c>
    </row>
    <row r="1658" spans="1:7">
      <c r="A1658" s="4" t="str">
        <f t="shared" si="76"/>
        <v>T3C</v>
      </c>
      <c r="B1658" s="4" t="str">
        <f t="shared" si="77"/>
        <v>00</v>
      </c>
      <c r="C1658" s="5" t="s">
        <v>3104</v>
      </c>
      <c r="E1658" s="6" t="s">
        <v>2782</v>
      </c>
      <c r="F1658" s="7" t="s">
        <v>2782</v>
      </c>
      <c r="G1658" s="8" t="str">
        <f t="shared" si="75"/>
        <v>NEIGHBOR</v>
      </c>
    </row>
    <row r="1659" spans="1:7">
      <c r="A1659" s="4" t="str">
        <f t="shared" si="76"/>
        <v>T3D</v>
      </c>
      <c r="B1659" s="4" t="str">
        <f t="shared" si="77"/>
        <v>00</v>
      </c>
      <c r="C1659" s="5" t="s">
        <v>3105</v>
      </c>
      <c r="E1659" s="6" t="s">
        <v>2794</v>
      </c>
      <c r="F1659" s="7" t="s">
        <v>2794</v>
      </c>
      <c r="G1659" s="8" t="str">
        <f t="shared" si="75"/>
        <v>STATE JU</v>
      </c>
    </row>
    <row r="1660" spans="1:7">
      <c r="A1660" s="4" t="str">
        <f t="shared" si="76"/>
        <v>T3E</v>
      </c>
      <c r="B1660" s="4" t="str">
        <f t="shared" si="77"/>
        <v>00</v>
      </c>
      <c r="C1660" s="5" t="s">
        <v>3106</v>
      </c>
      <c r="E1660" s="6" t="s">
        <v>3077</v>
      </c>
      <c r="F1660" s="7" t="s">
        <v>3077</v>
      </c>
      <c r="G1660" s="8" t="str">
        <f t="shared" si="75"/>
        <v>NATIONAL</v>
      </c>
    </row>
    <row r="1661" spans="1:7">
      <c r="A1661" s="4" t="str">
        <f t="shared" si="76"/>
        <v>T3F</v>
      </c>
      <c r="B1661" s="4" t="str">
        <f t="shared" si="77"/>
        <v>00</v>
      </c>
      <c r="C1661" s="5" t="s">
        <v>3107</v>
      </c>
      <c r="E1661" s="6" t="s">
        <v>2794</v>
      </c>
      <c r="F1661" s="7" t="s">
        <v>2794</v>
      </c>
      <c r="G1661" s="8" t="str">
        <f t="shared" si="75"/>
        <v>STATE JU</v>
      </c>
    </row>
    <row r="1662" spans="1:7">
      <c r="A1662" s="4" t="str">
        <f t="shared" si="76"/>
        <v>T3G</v>
      </c>
      <c r="B1662" s="4" t="str">
        <f t="shared" si="77"/>
        <v>00</v>
      </c>
      <c r="C1662" s="5" t="s">
        <v>3108</v>
      </c>
      <c r="E1662" s="6" t="s">
        <v>189</v>
      </c>
      <c r="F1662" s="7" t="s">
        <v>189</v>
      </c>
      <c r="G1662" s="8" t="str">
        <f t="shared" si="75"/>
        <v>MEDICARE</v>
      </c>
    </row>
    <row r="1663" spans="1:7">
      <c r="A1663" s="4" t="str">
        <f t="shared" si="76"/>
        <v>T3H</v>
      </c>
      <c r="B1663" s="4" t="str">
        <f t="shared" si="77"/>
        <v>00</v>
      </c>
      <c r="C1663" s="5" t="s">
        <v>3109</v>
      </c>
      <c r="E1663" s="6" t="s">
        <v>183</v>
      </c>
      <c r="F1663" s="7" t="s">
        <v>183</v>
      </c>
      <c r="G1663" s="8" t="str">
        <f t="shared" si="75"/>
        <v>FINANCIA</v>
      </c>
    </row>
    <row r="1664" spans="1:7">
      <c r="A1664" s="4" t="str">
        <f t="shared" si="76"/>
        <v>T3I</v>
      </c>
      <c r="B1664" s="4" t="str">
        <f t="shared" si="77"/>
        <v>00</v>
      </c>
      <c r="C1664" s="5" t="s">
        <v>3110</v>
      </c>
      <c r="E1664" s="6" t="s">
        <v>3111</v>
      </c>
      <c r="F1664" s="7" t="s">
        <v>3111</v>
      </c>
      <c r="G1664" s="8" t="str">
        <f t="shared" si="75"/>
        <v>U.S. CHI</v>
      </c>
    </row>
    <row r="1665" spans="1:7">
      <c r="A1665" s="4" t="str">
        <f t="shared" si="76"/>
        <v>T3J</v>
      </c>
      <c r="B1665" s="4" t="str">
        <f t="shared" si="77"/>
        <v>00</v>
      </c>
      <c r="C1665" s="5" t="s">
        <v>3112</v>
      </c>
      <c r="E1665" s="6" t="s">
        <v>3113</v>
      </c>
      <c r="F1665" s="7" t="s">
        <v>3113</v>
      </c>
      <c r="G1665" s="8" t="str">
        <f t="shared" si="75"/>
        <v>U.S. COM</v>
      </c>
    </row>
    <row r="1666" spans="1:7">
      <c r="A1666" s="4" t="str">
        <f t="shared" si="76"/>
        <v>T3K</v>
      </c>
      <c r="B1666" s="4" t="str">
        <f t="shared" si="77"/>
        <v>00</v>
      </c>
      <c r="C1666" s="5" t="s">
        <v>3114</v>
      </c>
      <c r="E1666" s="6" t="s">
        <v>3115</v>
      </c>
      <c r="F1666" s="7" t="s">
        <v>3115</v>
      </c>
      <c r="G1666" s="8" t="str">
        <f t="shared" ref="G1666:G1688" si="78">LEFT(F1666,8)</f>
        <v>U.S. INT</v>
      </c>
    </row>
    <row r="1667" spans="1:7">
      <c r="A1667" s="4" t="str">
        <f t="shared" ref="A1667:A1688" si="79">LEFT(C1667,3)</f>
        <v>T3L</v>
      </c>
      <c r="B1667" s="4" t="str">
        <f t="shared" ref="B1667:B1688" si="80">RIGHT(C1667,2)</f>
        <v>00</v>
      </c>
      <c r="C1667" s="5" t="s">
        <v>3116</v>
      </c>
      <c r="E1667" s="6" t="s">
        <v>3117</v>
      </c>
      <c r="F1667" s="7" t="s">
        <v>3118</v>
      </c>
      <c r="G1667" s="8" t="str">
        <f t="shared" si="78"/>
        <v>MEDCAID&amp;</v>
      </c>
    </row>
    <row r="1668" spans="1:7">
      <c r="A1668" s="4" t="str">
        <f t="shared" si="79"/>
        <v>T3M</v>
      </c>
      <c r="B1668" s="4" t="str">
        <f t="shared" si="80"/>
        <v>00</v>
      </c>
      <c r="C1668" s="5" t="s">
        <v>3119</v>
      </c>
      <c r="E1668" s="6" t="s">
        <v>1691</v>
      </c>
      <c r="F1668" s="7" t="s">
        <v>2659</v>
      </c>
      <c r="G1668" s="8" t="str">
        <f t="shared" si="78"/>
        <v>RONALD R</v>
      </c>
    </row>
    <row r="1669" spans="1:7">
      <c r="A1669" s="4" t="str">
        <f t="shared" si="79"/>
        <v>T3N</v>
      </c>
      <c r="B1669" s="4" t="str">
        <f t="shared" si="80"/>
        <v>00</v>
      </c>
      <c r="C1669" s="5" t="s">
        <v>3120</v>
      </c>
      <c r="E1669" s="6" t="s">
        <v>3121</v>
      </c>
      <c r="F1669" s="7" t="s">
        <v>3121</v>
      </c>
      <c r="G1669" s="8" t="str">
        <f t="shared" si="78"/>
        <v>DWIGHT E</v>
      </c>
    </row>
    <row r="1670" spans="1:7">
      <c r="A1670" s="4" t="str">
        <f t="shared" si="79"/>
        <v>T3O</v>
      </c>
      <c r="B1670" s="4" t="str">
        <f t="shared" si="80"/>
        <v>00</v>
      </c>
      <c r="C1670" s="5" t="s">
        <v>3122</v>
      </c>
      <c r="E1670" s="6" t="s">
        <v>3123</v>
      </c>
      <c r="F1670" s="7" t="s">
        <v>3123</v>
      </c>
      <c r="G1670" s="8" t="str">
        <f t="shared" si="78"/>
        <v>EISEHNOW</v>
      </c>
    </row>
    <row r="1671" spans="1:7">
      <c r="A1671" s="4" t="str">
        <f t="shared" si="79"/>
        <v>T3P</v>
      </c>
      <c r="B1671" s="4" t="str">
        <f t="shared" si="80"/>
        <v>00</v>
      </c>
      <c r="C1671" s="5" t="s">
        <v>3124</v>
      </c>
      <c r="E1671" s="6" t="s">
        <v>3125</v>
      </c>
      <c r="F1671" s="7" t="s">
        <v>3125</v>
      </c>
      <c r="G1671" s="8" t="str">
        <f t="shared" si="78"/>
        <v>US COMMI</v>
      </c>
    </row>
    <row r="1672" spans="1:7">
      <c r="A1672" s="4" t="str">
        <f t="shared" si="79"/>
        <v>T3Q</v>
      </c>
      <c r="B1672" s="4" t="str">
        <f t="shared" si="80"/>
        <v>00</v>
      </c>
      <c r="C1672" s="5" t="s">
        <v>3126</v>
      </c>
      <c r="E1672" s="6" t="s">
        <v>2826</v>
      </c>
      <c r="F1672" s="7" t="s">
        <v>2826</v>
      </c>
      <c r="G1672" s="8" t="str">
        <f t="shared" si="78"/>
        <v>CHRISTOP</v>
      </c>
    </row>
    <row r="1673" spans="1:7">
      <c r="A1673" s="4" t="str">
        <f t="shared" si="79"/>
        <v>T3R</v>
      </c>
      <c r="B1673" s="4" t="str">
        <f t="shared" si="80"/>
        <v>00</v>
      </c>
      <c r="C1673" s="5" t="s">
        <v>3127</v>
      </c>
      <c r="E1673" s="6" t="s">
        <v>2784</v>
      </c>
      <c r="F1673" s="7" t="s">
        <v>2784</v>
      </c>
      <c r="G1673" s="8" t="str">
        <f t="shared" si="78"/>
        <v xml:space="preserve">NUCLEAR </v>
      </c>
    </row>
    <row r="1674" spans="1:7">
      <c r="A1674" s="4" t="str">
        <f t="shared" si="79"/>
        <v>T3S</v>
      </c>
      <c r="B1674" s="4" t="str">
        <f t="shared" si="80"/>
        <v>00</v>
      </c>
      <c r="C1674" s="5" t="s">
        <v>3128</v>
      </c>
      <c r="E1674" s="6" t="s">
        <v>3129</v>
      </c>
      <c r="F1674" s="7" t="s">
        <v>3129</v>
      </c>
      <c r="G1674" s="8" t="str">
        <f t="shared" si="78"/>
        <v>COMM. ON</v>
      </c>
    </row>
    <row r="1675" spans="1:7">
      <c r="A1675" s="4" t="str">
        <f t="shared" si="79"/>
        <v>T3T</v>
      </c>
      <c r="B1675" s="4" t="str">
        <f t="shared" si="80"/>
        <v>00</v>
      </c>
      <c r="C1675" s="5" t="s">
        <v>3130</v>
      </c>
      <c r="E1675" s="6" t="s">
        <v>3131</v>
      </c>
      <c r="F1675" s="7" t="s">
        <v>3132</v>
      </c>
      <c r="G1675" s="8" t="str">
        <f t="shared" si="78"/>
        <v>MEDICAID</v>
      </c>
    </row>
    <row r="1676" spans="1:7">
      <c r="A1676" s="4" t="str">
        <f t="shared" si="79"/>
        <v>T3U</v>
      </c>
      <c r="B1676" s="4" t="str">
        <f t="shared" si="80"/>
        <v>00</v>
      </c>
      <c r="C1676" s="5" t="s">
        <v>3133</v>
      </c>
      <c r="E1676" s="6" t="s">
        <v>3134</v>
      </c>
      <c r="F1676" s="7" t="s">
        <v>3134</v>
      </c>
      <c r="G1676" s="8" t="str">
        <f t="shared" si="78"/>
        <v>MEDICAID</v>
      </c>
    </row>
    <row r="1677" spans="1:7">
      <c r="A1677" s="4" t="str">
        <f t="shared" si="79"/>
        <v>T3Y</v>
      </c>
      <c r="B1677" s="4" t="str">
        <f t="shared" si="80"/>
        <v>00</v>
      </c>
      <c r="C1677" s="5" t="s">
        <v>3135</v>
      </c>
      <c r="E1677" s="6" t="s">
        <v>3136</v>
      </c>
      <c r="F1677" s="7" t="s">
        <v>3136</v>
      </c>
      <c r="G1677" s="8" t="str">
        <f t="shared" si="78"/>
        <v>PUBLIC D</v>
      </c>
    </row>
    <row r="1678" spans="1:7">
      <c r="A1678" s="4" t="str">
        <f t="shared" si="79"/>
        <v>T3Z</v>
      </c>
      <c r="B1678" s="4" t="str">
        <f t="shared" si="80"/>
        <v>00</v>
      </c>
      <c r="C1678" s="5" t="s">
        <v>3137</v>
      </c>
      <c r="E1678" s="6" t="s">
        <v>3138</v>
      </c>
      <c r="F1678" s="7" t="s">
        <v>3138</v>
      </c>
      <c r="G1678" s="8" t="str">
        <f t="shared" si="78"/>
        <v xml:space="preserve">JOHN F. </v>
      </c>
    </row>
    <row r="1679" spans="1:7">
      <c r="A1679" s="4" t="str">
        <f t="shared" si="79"/>
        <v>T4A</v>
      </c>
      <c r="B1679" s="4" t="str">
        <f t="shared" si="80"/>
        <v>00</v>
      </c>
      <c r="C1679" s="5" t="s">
        <v>3139</v>
      </c>
      <c r="E1679" s="6" t="s">
        <v>2678</v>
      </c>
      <c r="F1679" s="7" t="s">
        <v>3140</v>
      </c>
      <c r="G1679" s="8" t="str">
        <f t="shared" si="78"/>
        <v>APPLACHI</v>
      </c>
    </row>
    <row r="1680" spans="1:7">
      <c r="A1680" s="4" t="str">
        <f t="shared" si="79"/>
        <v>T4B</v>
      </c>
      <c r="B1680" s="4" t="str">
        <f t="shared" si="80"/>
        <v>00</v>
      </c>
      <c r="C1680" s="5" t="s">
        <v>3141</v>
      </c>
      <c r="E1680" s="6" t="s">
        <v>3142</v>
      </c>
      <c r="F1680" s="7" t="s">
        <v>3143</v>
      </c>
      <c r="G1680" s="8" t="str">
        <f t="shared" si="78"/>
        <v>APPALACH</v>
      </c>
    </row>
    <row r="1681" spans="1:7">
      <c r="A1681" s="4" t="str">
        <f t="shared" si="79"/>
        <v>T4C</v>
      </c>
      <c r="B1681" s="4" t="str">
        <f t="shared" si="80"/>
        <v>00</v>
      </c>
      <c r="C1681" s="5" t="s">
        <v>3144</v>
      </c>
      <c r="E1681" s="6" t="s">
        <v>3145</v>
      </c>
      <c r="F1681" s="7" t="s">
        <v>3146</v>
      </c>
      <c r="G1681" s="8" t="str">
        <f t="shared" si="78"/>
        <v>APPALACH</v>
      </c>
    </row>
    <row r="1682" spans="1:7">
      <c r="A1682" s="4" t="str">
        <f t="shared" si="79"/>
        <v>T4D</v>
      </c>
      <c r="B1682" s="4" t="str">
        <f t="shared" si="80"/>
        <v>00</v>
      </c>
      <c r="C1682" s="5" t="s">
        <v>3147</v>
      </c>
      <c r="E1682" s="6" t="s">
        <v>3148</v>
      </c>
      <c r="F1682" s="7" t="s">
        <v>3148</v>
      </c>
      <c r="G1682" s="8" t="str">
        <f t="shared" si="78"/>
        <v>WHITE HO</v>
      </c>
    </row>
    <row r="1683" spans="1:7">
      <c r="A1683" s="4" t="str">
        <f t="shared" si="79"/>
        <v>T4G</v>
      </c>
      <c r="B1683" s="4" t="str">
        <f t="shared" si="80"/>
        <v>00</v>
      </c>
      <c r="C1683" s="5" t="s">
        <v>3149</v>
      </c>
      <c r="E1683" s="6" t="s">
        <v>3150</v>
      </c>
      <c r="F1683" s="7" t="s">
        <v>3150</v>
      </c>
      <c r="G1683" s="8" t="str">
        <f t="shared" si="78"/>
        <v>PANAMA C</v>
      </c>
    </row>
    <row r="1684" spans="1:7">
      <c r="A1684" s="4" t="str">
        <f t="shared" si="79"/>
        <v>T4H</v>
      </c>
      <c r="B1684" s="4" t="str">
        <f t="shared" si="80"/>
        <v>00</v>
      </c>
      <c r="C1684" s="5" t="s">
        <v>3151</v>
      </c>
      <c r="E1684" s="6" t="s">
        <v>619</v>
      </c>
      <c r="F1684" s="7" t="s">
        <v>619</v>
      </c>
      <c r="G1684" s="8" t="str">
        <f t="shared" si="78"/>
        <v>NATIONAL</v>
      </c>
    </row>
    <row r="1685" spans="1:7">
      <c r="A1685" s="4" t="str">
        <f t="shared" si="79"/>
        <v>T4I</v>
      </c>
      <c r="B1685" s="4" t="str">
        <f t="shared" si="80"/>
        <v>00</v>
      </c>
      <c r="C1685" s="5" t="s">
        <v>3152</v>
      </c>
      <c r="E1685" s="6" t="s">
        <v>3153</v>
      </c>
      <c r="F1685" s="7" t="s">
        <v>3153</v>
      </c>
      <c r="G1685" s="8" t="str">
        <f t="shared" si="78"/>
        <v>US COAST</v>
      </c>
    </row>
    <row r="1686" spans="1:7">
      <c r="A1686" s="4" t="str">
        <f t="shared" si="79"/>
        <v>T4J</v>
      </c>
      <c r="B1686" s="4" t="str">
        <f t="shared" si="80"/>
        <v>00</v>
      </c>
      <c r="C1686" s="5" t="s">
        <v>3154</v>
      </c>
      <c r="E1686" s="6" t="s">
        <v>3155</v>
      </c>
      <c r="F1686" s="7" t="s">
        <v>3156</v>
      </c>
      <c r="G1686" s="8" t="str">
        <f t="shared" si="78"/>
        <v>INDIAN L</v>
      </c>
    </row>
    <row r="1687" spans="1:7">
      <c r="A1687" s="4" t="str">
        <f t="shared" si="79"/>
        <v>T4K</v>
      </c>
      <c r="B1687" s="4" t="str">
        <f t="shared" si="80"/>
        <v>00</v>
      </c>
      <c r="C1687" s="5" t="s">
        <v>3157</v>
      </c>
      <c r="E1687" s="6" t="s">
        <v>3158</v>
      </c>
      <c r="F1687" s="7" t="s">
        <v>3156</v>
      </c>
      <c r="G1687" s="8" t="str">
        <f t="shared" si="78"/>
        <v>INDIAN L</v>
      </c>
    </row>
    <row r="1688" spans="1:7">
      <c r="A1688" s="4" t="str">
        <f t="shared" si="79"/>
        <v>T5H</v>
      </c>
      <c r="B1688" s="4" t="str">
        <f t="shared" si="80"/>
        <v>00</v>
      </c>
      <c r="C1688" s="5" t="s">
        <v>3159</v>
      </c>
      <c r="E1688" s="6" t="s">
        <v>3160</v>
      </c>
      <c r="F1688" s="7" t="s">
        <v>3161</v>
      </c>
      <c r="G1688" s="8" t="str">
        <f t="shared" si="78"/>
        <v>US CUSTO</v>
      </c>
    </row>
  </sheetData>
  <sortState ref="A2:G1688">
    <sortCondition ref="C2:C16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B6"/>
  <sheetViews>
    <sheetView workbookViewId="0">
      <selection activeCell="B7" sqref="B7"/>
    </sheetView>
  </sheetViews>
  <sheetFormatPr defaultRowHeight="14.25"/>
  <cols>
    <col min="1" max="16384" width="9.140625" style="12"/>
  </cols>
  <sheetData>
    <row r="2" spans="2:2">
      <c r="B2" s="12" t="s">
        <v>3163</v>
      </c>
    </row>
    <row r="3" spans="2:2">
      <c r="B3" s="12" t="s">
        <v>3162</v>
      </c>
    </row>
    <row r="6" spans="2:2">
      <c r="B6" s="12" t="s">
        <v>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5 digit Codes</vt:lpstr>
      <vt:lpstr>SQL</vt:lpstr>
      <vt:lpstr>'5 digit Codes'!buru_dump_1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stevennsacco</dc:creator>
  <cp:lastModifiedBy>stevennsacco</cp:lastModifiedBy>
  <dcterms:created xsi:type="dcterms:W3CDTF">2014-10-07T17:38:28Z</dcterms:created>
  <dcterms:modified xsi:type="dcterms:W3CDTF">2014-11-06T19:10:21Z</dcterms:modified>
</cp:coreProperties>
</file>