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3955" windowHeight="11055" tabRatio="0"/>
  </bookViews>
  <sheets>
    <sheet name="Totals" sheetId="1" r:id="rId1"/>
  </sheets>
  <externalReferences>
    <externalReference r:id="rId2"/>
    <externalReference r:id="rId3"/>
    <externalReference r:id="rId4"/>
  </externalReferences>
  <calcPr calcId="145621"/>
</workbook>
</file>

<file path=xl/calcChain.xml><?xml version="1.0" encoding="utf-8"?>
<calcChain xmlns="http://schemas.openxmlformats.org/spreadsheetml/2006/main">
  <c r="N15" i="1" l="1"/>
  <c r="K15" i="1"/>
  <c r="H15" i="1"/>
  <c r="E15" i="1"/>
  <c r="B15" i="1"/>
  <c r="P44" i="1" l="1"/>
  <c r="P37" i="1"/>
  <c r="P38" i="1"/>
  <c r="P39" i="1"/>
  <c r="P40" i="1"/>
  <c r="P41" i="1"/>
  <c r="P42" i="1"/>
  <c r="P43" i="1"/>
  <c r="P36" i="1"/>
  <c r="P35" i="1"/>
  <c r="P14" i="1"/>
  <c r="P7" i="1"/>
  <c r="P8" i="1"/>
  <c r="P24" i="1" s="1"/>
  <c r="P9" i="1"/>
  <c r="P10" i="1"/>
  <c r="P26" i="1" s="1"/>
  <c r="P11" i="1"/>
  <c r="P12" i="1"/>
  <c r="P28" i="1" s="1"/>
  <c r="P13" i="1"/>
  <c r="P29" i="1" s="1"/>
  <c r="P6" i="1"/>
  <c r="P22" i="1" s="1"/>
  <c r="P5" i="1"/>
  <c r="P21" i="1" s="1"/>
  <c r="P27" i="1" l="1"/>
  <c r="P25" i="1"/>
  <c r="P23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C44" i="1" l="1"/>
  <c r="D44" i="1"/>
  <c r="E44" i="1"/>
  <c r="F44" i="1"/>
  <c r="G44" i="1"/>
  <c r="H44" i="1"/>
  <c r="I44" i="1"/>
  <c r="J44" i="1"/>
  <c r="K44" i="1"/>
  <c r="L44" i="1"/>
  <c r="M44" i="1"/>
  <c r="N44" i="1"/>
  <c r="O44" i="1"/>
  <c r="B44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B35" i="1"/>
  <c r="B21" i="1" l="1"/>
  <c r="O21" i="1" l="1"/>
  <c r="M21" i="1"/>
  <c r="K21" i="1"/>
  <c r="I21" i="1"/>
  <c r="G21" i="1"/>
  <c r="E21" i="1"/>
  <c r="C21" i="1"/>
  <c r="N21" i="1"/>
  <c r="L21" i="1"/>
  <c r="J21" i="1"/>
  <c r="H21" i="1"/>
  <c r="F21" i="1"/>
  <c r="D21" i="1"/>
  <c r="O29" i="1"/>
  <c r="M29" i="1"/>
  <c r="K29" i="1"/>
  <c r="I29" i="1"/>
  <c r="G29" i="1"/>
  <c r="E29" i="1"/>
  <c r="C29" i="1"/>
  <c r="O28" i="1"/>
  <c r="M28" i="1"/>
  <c r="K28" i="1"/>
  <c r="I28" i="1"/>
  <c r="G28" i="1"/>
  <c r="E28" i="1"/>
  <c r="C28" i="1"/>
  <c r="O27" i="1"/>
  <c r="M27" i="1"/>
  <c r="K27" i="1"/>
  <c r="I27" i="1"/>
  <c r="G27" i="1"/>
  <c r="E27" i="1"/>
  <c r="C27" i="1"/>
  <c r="O26" i="1"/>
  <c r="M26" i="1"/>
  <c r="K26" i="1"/>
  <c r="I26" i="1"/>
  <c r="G26" i="1"/>
  <c r="E26" i="1"/>
  <c r="C26" i="1"/>
  <c r="O25" i="1"/>
  <c r="M25" i="1"/>
  <c r="K25" i="1"/>
  <c r="I25" i="1"/>
  <c r="G25" i="1"/>
  <c r="E25" i="1"/>
  <c r="C25" i="1"/>
  <c r="O24" i="1"/>
  <c r="M24" i="1"/>
  <c r="K24" i="1"/>
  <c r="I24" i="1"/>
  <c r="G24" i="1"/>
  <c r="E24" i="1"/>
  <c r="C24" i="1"/>
  <c r="O23" i="1"/>
  <c r="M23" i="1"/>
  <c r="K23" i="1"/>
  <c r="I23" i="1"/>
  <c r="G23" i="1"/>
  <c r="E23" i="1"/>
  <c r="C23" i="1"/>
  <c r="O22" i="1"/>
  <c r="M22" i="1"/>
  <c r="K22" i="1"/>
  <c r="I22" i="1"/>
  <c r="G22" i="1"/>
  <c r="E22" i="1"/>
  <c r="C22" i="1"/>
  <c r="N29" i="1"/>
  <c r="L29" i="1"/>
  <c r="J29" i="1"/>
  <c r="H29" i="1"/>
  <c r="F29" i="1"/>
  <c r="D29" i="1"/>
  <c r="B29" i="1"/>
  <c r="N28" i="1"/>
  <c r="L28" i="1"/>
  <c r="J28" i="1"/>
  <c r="H28" i="1"/>
  <c r="F28" i="1"/>
  <c r="D28" i="1"/>
  <c r="B28" i="1"/>
  <c r="N27" i="1"/>
  <c r="L27" i="1"/>
  <c r="J27" i="1"/>
  <c r="H27" i="1"/>
  <c r="F27" i="1"/>
  <c r="D27" i="1"/>
  <c r="B27" i="1"/>
  <c r="N26" i="1"/>
  <c r="L26" i="1"/>
  <c r="J26" i="1"/>
  <c r="H26" i="1"/>
  <c r="F26" i="1"/>
  <c r="D26" i="1"/>
  <c r="B26" i="1"/>
  <c r="N25" i="1"/>
  <c r="L25" i="1"/>
  <c r="J25" i="1"/>
  <c r="H25" i="1"/>
  <c r="F25" i="1"/>
  <c r="D25" i="1"/>
  <c r="B25" i="1"/>
  <c r="N24" i="1"/>
  <c r="L24" i="1"/>
  <c r="J24" i="1"/>
  <c r="H24" i="1"/>
  <c r="F24" i="1"/>
  <c r="D24" i="1"/>
  <c r="B24" i="1"/>
  <c r="N23" i="1"/>
  <c r="L23" i="1"/>
  <c r="J23" i="1"/>
  <c r="H23" i="1"/>
  <c r="F23" i="1"/>
  <c r="D23" i="1"/>
  <c r="B23" i="1"/>
  <c r="N22" i="1"/>
  <c r="L22" i="1"/>
  <c r="J22" i="1"/>
  <c r="H22" i="1"/>
  <c r="F22" i="1"/>
  <c r="D22" i="1"/>
  <c r="B22" i="1"/>
</calcChain>
</file>

<file path=xl/sharedStrings.xml><?xml version="1.0" encoding="utf-8"?>
<sst xmlns="http://schemas.openxmlformats.org/spreadsheetml/2006/main" count="103" uniqueCount="41">
  <si>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Ethnic Groups</t>
    </r>
  </si>
  <si>
    <t>AY07-08</t>
  </si>
  <si>
    <t>AY08-09</t>
  </si>
  <si>
    <t>AY09-10</t>
  </si>
  <si>
    <t>AY10-11</t>
  </si>
  <si>
    <t>AY11-12</t>
  </si>
  <si>
    <t>Academic Year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</si>
  <si>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</si>
  <si>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</si>
  <si>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</si>
  <si>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</si>
  <si>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</si>
  <si>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</si>
  <si>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</si>
  <si>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</si>
  <si>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</si>
  <si>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</si>
  <si>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</si>
  <si>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</si>
  <si>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</si>
  <si>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</si>
  <si>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</si>
  <si>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</si>
  <si>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</si>
  <si>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</si>
  <si>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</si>
  <si>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</si>
  <si>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</si>
  <si>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</si>
  <si>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</si>
  <si>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>Unknown</t>
  </si>
  <si>
    <t>Term Total</t>
  </si>
  <si>
    <t>% of Total</t>
  </si>
  <si>
    <t>Credit Headcount % of Total</t>
  </si>
  <si>
    <t>Success Rate</t>
  </si>
  <si>
    <t>Term Average</t>
  </si>
  <si>
    <t>Headcount Of Credit Graded Students</t>
  </si>
  <si>
    <r>
      <t xml:space="preserve">Success rate </t>
    </r>
    <r>
      <rPr>
        <sz val="9"/>
        <color rgb="FF000000"/>
        <rFont val="Calibri"/>
        <family val="2"/>
      </rPr>
      <t xml:space="preserve">= # of “A, B, C, CR &amp; P” grades divided by (the # of all grades) “A, B, C, CR, P, D, F, NC, NP, I and W” </t>
    </r>
  </si>
  <si>
    <r>
      <rPr>
        <b/>
        <sz val="11"/>
        <color rgb="FFC00000"/>
        <rFont val="Calibri"/>
        <family val="2"/>
        <scheme val="minor"/>
      </rPr>
      <t xml:space="preserve">Ethnic </t>
    </r>
    <r>
      <rPr>
        <b/>
        <sz val="11"/>
        <color theme="1"/>
        <rFont val="Calibri"/>
        <family val="2"/>
        <scheme val="minor"/>
      </rPr>
      <t>Groups</t>
    </r>
  </si>
  <si>
    <r>
      <rPr>
        <b/>
        <sz val="11"/>
        <color rgb="FFC00000"/>
        <rFont val="Calibri"/>
        <family val="2"/>
        <scheme val="minor"/>
      </rPr>
      <t>Ethnic</t>
    </r>
    <r>
      <rPr>
        <b/>
        <sz val="11"/>
        <color theme="1"/>
        <rFont val="Calibri"/>
        <family val="2"/>
        <scheme val="minor"/>
      </rPr>
      <t xml:space="preserve"> Groups</t>
    </r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</si>
  <si>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district totals exclude dual enrollment 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</si>
</sst>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C0000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/>
    <xf numFmtId="0" fontId="17" fillId="0" borderId="26" xfId="45" applyFont="1" applyBorder="1" applyAlignment="1">
      <alignment horizontal="center" vertical="center"/>
    </xf>
    <xf numFmtId="164" fontId="25" fillId="0" borderId="18" xfId="1" applyNumberFormat="1" applyFont="1" applyBorder="1" applyAlignment="1" applyProtection="1">
      <alignment horizontal="center" vertical="center"/>
    </xf>
    <xf numFmtId="164" fontId="25" fillId="0" borderId="23" xfId="1" applyNumberFormat="1" applyFont="1" applyBorder="1" applyAlignment="1" applyProtection="1">
      <alignment horizontal="center" vertical="center"/>
    </xf>
    <xf numFmtId="165" fontId="25" fillId="0" borderId="18" xfId="1" applyNumberFormat="1" applyFont="1" applyBorder="1" applyAlignment="1" applyProtection="1">
      <alignment horizontal="center" vertical="center"/>
    </xf>
    <xf numFmtId="165" fontId="25" fillId="0" borderId="17" xfId="1" applyNumberFormat="1" applyFont="1" applyBorder="1" applyAlignment="1" applyProtection="1">
      <alignment horizontal="center" vertical="center"/>
    </xf>
    <xf numFmtId="165" fontId="25" fillId="0" borderId="23" xfId="1" applyNumberFormat="1" applyFont="1" applyBorder="1" applyAlignment="1" applyProtection="1">
      <alignment horizontal="center" vertical="center"/>
    </xf>
    <xf numFmtId="0" fontId="17" fillId="0" borderId="37" xfId="45" applyFont="1" applyBorder="1" applyAlignment="1">
      <alignment horizontal="center" vertical="center"/>
    </xf>
    <xf numFmtId="3" fontId="0" fillId="0" borderId="0" xfId="0" applyNumberFormat="1"/>
    <xf numFmtId="10" fontId="0" fillId="0" borderId="0" xfId="2" applyNumberFormat="1" applyFont="1"/>
    <xf numFmtId="164" fontId="0" fillId="0" borderId="0" xfId="0" applyNumberFormat="1"/>
    <xf numFmtId="0" fontId="27" fillId="0" borderId="27" xfId="47" applyFont="1" applyBorder="1" applyAlignment="1" applyProtection="1"/>
    <xf numFmtId="0" fontId="27" fillId="0" borderId="28" xfId="47" applyFont="1" applyBorder="1" applyAlignment="1" applyProtection="1"/>
    <xf numFmtId="0" fontId="27" fillId="0" borderId="39" xfId="47" applyFont="1" applyBorder="1" applyAlignment="1" applyProtection="1"/>
    <xf numFmtId="0" fontId="27" fillId="0" borderId="12" xfId="47" applyFont="1" applyFill="1" applyBorder="1" applyAlignment="1" applyProtection="1"/>
    <xf numFmtId="9" fontId="25" fillId="0" borderId="22" xfId="1" applyNumberFormat="1" applyFont="1" applyBorder="1" applyAlignment="1" applyProtection="1">
      <alignment horizontal="center" vertical="center"/>
    </xf>
    <xf numFmtId="0" fontId="29" fillId="0" borderId="0" xfId="0" applyFont="1" applyAlignment="1">
      <alignment vertical="center"/>
    </xf>
    <xf numFmtId="0" fontId="27" fillId="0" borderId="43" xfId="47" applyFont="1" applyBorder="1" applyAlignment="1" applyProtection="1"/>
    <xf numFmtId="0" fontId="27" fillId="0" borderId="26" xfId="47" applyFont="1" applyBorder="1" applyAlignment="1" applyProtection="1"/>
    <xf numFmtId="0" fontId="31" fillId="0" borderId="26" xfId="47" applyFont="1" applyBorder="1" applyAlignment="1" applyProtection="1">
      <alignment horizontal="center" vertical="center"/>
    </xf>
    <xf numFmtId="164" fontId="25" fillId="0" borderId="42" xfId="1" applyNumberFormat="1" applyFont="1" applyBorder="1" applyAlignment="1" applyProtection="1">
      <alignment horizontal="center" vertical="center"/>
    </xf>
    <xf numFmtId="164" fontId="25" fillId="0" borderId="16" xfId="1" applyNumberFormat="1" applyFont="1" applyBorder="1" applyAlignment="1" applyProtection="1">
      <alignment horizontal="center" vertical="center"/>
    </xf>
    <xf numFmtId="164" fontId="25" fillId="0" borderId="17" xfId="1" applyNumberFormat="1" applyFont="1" applyBorder="1" applyAlignment="1" applyProtection="1">
      <alignment horizontal="center" vertical="center"/>
    </xf>
    <xf numFmtId="164" fontId="25" fillId="0" borderId="22" xfId="1" applyNumberFormat="1" applyFont="1" applyBorder="1" applyAlignment="1" applyProtection="1">
      <alignment horizontal="center" vertical="center"/>
    </xf>
    <xf numFmtId="164" fontId="25" fillId="0" borderId="21" xfId="1" applyNumberFormat="1" applyFont="1" applyBorder="1" applyAlignment="1" applyProtection="1">
      <alignment horizontal="center" vertical="center"/>
    </xf>
    <xf numFmtId="164" fontId="25" fillId="0" borderId="45" xfId="1" applyNumberFormat="1" applyFont="1" applyBorder="1" applyAlignment="1" applyProtection="1">
      <alignment horizontal="center" vertical="center"/>
    </xf>
    <xf numFmtId="164" fontId="25" fillId="0" borderId="15" xfId="1" applyNumberFormat="1" applyFont="1" applyBorder="1" applyAlignment="1" applyProtection="1">
      <alignment horizontal="center" vertical="center"/>
    </xf>
    <xf numFmtId="164" fontId="25" fillId="0" borderId="47" xfId="1" applyNumberFormat="1" applyFont="1" applyBorder="1" applyAlignment="1" applyProtection="1">
      <alignment horizontal="center" vertical="center"/>
    </xf>
    <xf numFmtId="164" fontId="25" fillId="0" borderId="32" xfId="1" applyNumberFormat="1" applyFont="1" applyBorder="1" applyAlignment="1" applyProtection="1">
      <alignment horizontal="center" vertical="center"/>
    </xf>
    <xf numFmtId="164" fontId="25" fillId="0" borderId="33" xfId="1" applyNumberFormat="1" applyFont="1" applyBorder="1" applyAlignment="1" applyProtection="1">
      <alignment horizontal="center" vertical="center"/>
    </xf>
    <xf numFmtId="164" fontId="25" fillId="0" borderId="36" xfId="1" applyNumberFormat="1" applyFont="1" applyBorder="1" applyAlignment="1" applyProtection="1">
      <alignment horizontal="center" vertical="center"/>
    </xf>
    <xf numFmtId="164" fontId="25" fillId="0" borderId="34" xfId="1" applyNumberFormat="1" applyFont="1" applyBorder="1" applyAlignment="1" applyProtection="1">
      <alignment horizontal="center" vertical="center"/>
    </xf>
    <xf numFmtId="164" fontId="25" fillId="0" borderId="35" xfId="1" applyNumberFormat="1" applyFont="1" applyBorder="1" applyAlignment="1" applyProtection="1">
      <alignment horizontal="center" vertical="center"/>
    </xf>
    <xf numFmtId="164" fontId="27" fillId="0" borderId="58" xfId="1" applyNumberFormat="1" applyFont="1" applyBorder="1" applyAlignment="1" applyProtection="1">
      <alignment horizontal="center" vertical="center"/>
    </xf>
    <xf numFmtId="164" fontId="27" fillId="0" borderId="55" xfId="1" applyNumberFormat="1" applyFont="1" applyBorder="1" applyAlignment="1" applyProtection="1">
      <alignment horizontal="center" vertical="center"/>
    </xf>
    <xf numFmtId="164" fontId="27" fillId="0" borderId="56" xfId="1" applyNumberFormat="1" applyFont="1" applyBorder="1" applyAlignment="1" applyProtection="1">
      <alignment horizontal="center" vertical="center"/>
    </xf>
    <xf numFmtId="164" fontId="27" fillId="0" borderId="57" xfId="1" applyNumberFormat="1" applyFont="1" applyBorder="1" applyAlignment="1" applyProtection="1">
      <alignment horizontal="center" vertical="center"/>
    </xf>
    <xf numFmtId="164" fontId="27" fillId="0" borderId="59" xfId="1" applyNumberFormat="1" applyFont="1" applyBorder="1" applyAlignment="1" applyProtection="1">
      <alignment horizontal="center" vertical="center"/>
    </xf>
    <xf numFmtId="165" fontId="25" fillId="0" borderId="16" xfId="1" applyNumberFormat="1" applyFont="1" applyBorder="1" applyAlignment="1" applyProtection="1">
      <alignment horizontal="center" vertical="center"/>
    </xf>
    <xf numFmtId="165" fontId="25" fillId="0" borderId="42" xfId="1" applyNumberFormat="1" applyFont="1" applyBorder="1" applyAlignment="1" applyProtection="1">
      <alignment horizontal="center" vertical="center"/>
    </xf>
    <xf numFmtId="165" fontId="25" fillId="0" borderId="20" xfId="1" applyNumberFormat="1" applyFont="1" applyBorder="1" applyAlignment="1" applyProtection="1">
      <alignment horizontal="center" vertical="center"/>
    </xf>
    <xf numFmtId="165" fontId="25" fillId="0" borderId="19" xfId="1" applyNumberFormat="1" applyFont="1" applyBorder="1" applyAlignment="1" applyProtection="1">
      <alignment horizontal="center" vertical="center"/>
    </xf>
    <xf numFmtId="0" fontId="32" fillId="0" borderId="0" xfId="58" applyFont="1"/>
    <xf numFmtId="165" fontId="25" fillId="0" borderId="44" xfId="1" applyNumberFormat="1" applyFont="1" applyBorder="1" applyAlignment="1" applyProtection="1">
      <alignment horizontal="center" vertical="center"/>
    </xf>
    <xf numFmtId="165" fontId="25" fillId="0" borderId="22" xfId="1" applyNumberFormat="1" applyFont="1" applyBorder="1" applyAlignment="1" applyProtection="1">
      <alignment horizontal="center" vertical="center"/>
    </xf>
    <xf numFmtId="165" fontId="25" fillId="0" borderId="21" xfId="1" applyNumberFormat="1" applyFont="1" applyBorder="1" applyAlignment="1" applyProtection="1">
      <alignment horizontal="center" vertical="center"/>
    </xf>
    <xf numFmtId="165" fontId="25" fillId="0" borderId="45" xfId="1" applyNumberFormat="1" applyFont="1" applyBorder="1" applyAlignment="1" applyProtection="1">
      <alignment horizontal="center" vertical="center"/>
    </xf>
    <xf numFmtId="165" fontId="25" fillId="0" borderId="46" xfId="1" applyNumberFormat="1" applyFont="1" applyBorder="1" applyAlignment="1" applyProtection="1">
      <alignment horizontal="center" vertical="center"/>
    </xf>
    <xf numFmtId="165" fontId="25" fillId="0" borderId="15" xfId="1" applyNumberFormat="1" applyFont="1" applyBorder="1" applyAlignment="1" applyProtection="1">
      <alignment horizontal="center" vertical="center"/>
    </xf>
    <xf numFmtId="165" fontId="25" fillId="0" borderId="47" xfId="1" applyNumberFormat="1" applyFont="1" applyBorder="1" applyAlignment="1" applyProtection="1">
      <alignment horizontal="center" vertical="center"/>
    </xf>
    <xf numFmtId="165" fontId="25" fillId="0" borderId="48" xfId="1" applyNumberFormat="1" applyFont="1" applyBorder="1" applyAlignment="1" applyProtection="1">
      <alignment horizontal="center" vertical="center"/>
    </xf>
    <xf numFmtId="0" fontId="24" fillId="33" borderId="60" xfId="45" applyFont="1" applyFill="1" applyBorder="1" applyAlignment="1">
      <alignment horizontal="center" vertical="center"/>
    </xf>
    <xf numFmtId="0" fontId="24" fillId="33" borderId="61" xfId="45" applyFont="1" applyFill="1" applyBorder="1" applyAlignment="1">
      <alignment horizontal="center" vertical="center"/>
    </xf>
    <xf numFmtId="0" fontId="24" fillId="33" borderId="62" xfId="45" applyFont="1" applyFill="1" applyBorder="1" applyAlignment="1">
      <alignment horizontal="center" vertical="center"/>
    </xf>
    <xf numFmtId="0" fontId="23" fillId="34" borderId="63" xfId="45" applyFont="1" applyFill="1" applyBorder="1" applyAlignment="1">
      <alignment horizontal="center" vertical="center"/>
    </xf>
    <xf numFmtId="0" fontId="23" fillId="34" borderId="61" xfId="45" applyFont="1" applyFill="1" applyBorder="1" applyAlignment="1">
      <alignment horizontal="center" vertical="center"/>
    </xf>
    <xf numFmtId="0" fontId="23" fillId="34" borderId="62" xfId="45" applyFont="1" applyFill="1" applyBorder="1" applyAlignment="1">
      <alignment horizontal="center" vertical="center"/>
    </xf>
    <xf numFmtId="0" fontId="24" fillId="33" borderId="63" xfId="45" applyFont="1" applyFill="1" applyBorder="1" applyAlignment="1">
      <alignment horizontal="center" vertical="center"/>
    </xf>
    <xf numFmtId="0" fontId="24" fillId="33" borderId="64" xfId="45" applyFont="1" applyFill="1" applyBorder="1" applyAlignment="1">
      <alignment horizontal="center" vertical="center"/>
    </xf>
    <xf numFmtId="0" fontId="23" fillId="34" borderId="60" xfId="45" applyFont="1" applyFill="1" applyBorder="1" applyAlignment="1">
      <alignment horizontal="center" vertical="center"/>
    </xf>
    <xf numFmtId="9" fontId="27" fillId="0" borderId="49" xfId="1" applyNumberFormat="1" applyFont="1" applyBorder="1" applyAlignment="1" applyProtection="1">
      <alignment horizontal="center" vertical="center"/>
    </xf>
    <xf numFmtId="9" fontId="25" fillId="0" borderId="65" xfId="1" applyNumberFormat="1" applyFont="1" applyBorder="1" applyAlignment="1" applyProtection="1">
      <alignment horizontal="center" vertical="center"/>
    </xf>
    <xf numFmtId="164" fontId="25" fillId="0" borderId="66" xfId="1" applyNumberFormat="1" applyFont="1" applyBorder="1" applyAlignment="1" applyProtection="1">
      <alignment horizontal="center" vertical="center"/>
    </xf>
    <xf numFmtId="165" fontId="25" fillId="0" borderId="66" xfId="1" applyNumberFormat="1" applyFont="1" applyBorder="1" applyAlignment="1" applyProtection="1">
      <alignment horizontal="center" vertical="center"/>
    </xf>
    <xf numFmtId="3" fontId="31" fillId="0" borderId="49" xfId="1" applyNumberFormat="1" applyFont="1" applyFill="1" applyBorder="1" applyAlignment="1" applyProtection="1">
      <alignment horizontal="center" vertical="center"/>
    </xf>
    <xf numFmtId="3" fontId="31" fillId="0" borderId="50" xfId="1" applyNumberFormat="1" applyFont="1" applyFill="1" applyBorder="1" applyAlignment="1" applyProtection="1">
      <alignment horizontal="center" vertical="center"/>
    </xf>
    <xf numFmtId="3" fontId="31" fillId="0" borderId="38" xfId="1" applyNumberFormat="1" applyFont="1" applyFill="1" applyBorder="1" applyAlignment="1" applyProtection="1">
      <alignment horizontal="center" vertical="center"/>
    </xf>
    <xf numFmtId="3" fontId="31" fillId="0" borderId="67" xfId="1" applyNumberFormat="1" applyFont="1" applyFill="1" applyBorder="1" applyAlignment="1" applyProtection="1">
      <alignment horizontal="center" vertical="center"/>
    </xf>
    <xf numFmtId="3" fontId="31" fillId="0" borderId="51" xfId="1" applyNumberFormat="1" applyFont="1" applyFill="1" applyBorder="1" applyAlignment="1" applyProtection="1">
      <alignment horizontal="center" vertical="center"/>
    </xf>
    <xf numFmtId="0" fontId="28" fillId="35" borderId="10" xfId="10" applyFont="1" applyFill="1" applyBorder="1" applyAlignment="1">
      <alignment horizontal="center" vertical="center" wrapText="1"/>
    </xf>
    <xf numFmtId="0" fontId="28" fillId="35" borderId="11" xfId="10" applyFont="1" applyFill="1" applyBorder="1" applyAlignment="1">
      <alignment horizontal="center" vertical="center" wrapText="1"/>
    </xf>
    <xf numFmtId="0" fontId="28" fillId="35" borderId="12" xfId="10" applyFont="1" applyFill="1" applyBorder="1" applyAlignment="1">
      <alignment horizontal="center" vertical="center" wrapText="1"/>
    </xf>
    <xf numFmtId="0" fontId="20" fillId="35" borderId="29" xfId="45" applyFont="1" applyFill="1" applyBorder="1" applyAlignment="1">
      <alignment horizontal="center"/>
    </xf>
    <xf numFmtId="0" fontId="20" fillId="35" borderId="30" xfId="45" applyFont="1" applyFill="1" applyBorder="1" applyAlignment="1">
      <alignment horizontal="center"/>
    </xf>
    <xf numFmtId="0" fontId="20" fillId="35" borderId="31" xfId="45" applyFont="1" applyFill="1" applyBorder="1" applyAlignment="1">
      <alignment horizontal="center"/>
    </xf>
    <xf numFmtId="0" fontId="20" fillId="35" borderId="25" xfId="45" applyFont="1" applyFill="1" applyBorder="1" applyAlignment="1">
      <alignment horizontal="center"/>
    </xf>
    <xf numFmtId="0" fontId="20" fillId="35" borderId="0" xfId="45" applyFont="1" applyFill="1" applyBorder="1" applyAlignment="1">
      <alignment horizontal="center"/>
    </xf>
    <xf numFmtId="0" fontId="20" fillId="35" borderId="13" xfId="45" applyFont="1" applyFill="1" applyBorder="1" applyAlignment="1">
      <alignment horizontal="center"/>
    </xf>
    <xf numFmtId="0" fontId="20" fillId="35" borderId="14" xfId="45" applyFont="1" applyFill="1" applyBorder="1" applyAlignment="1">
      <alignment horizontal="center"/>
    </xf>
    <xf numFmtId="0" fontId="24" fillId="33" borderId="41" xfId="45" applyFont="1" applyFill="1" applyBorder="1" applyAlignment="1">
      <alignment horizontal="center" vertical="center"/>
    </xf>
    <xf numFmtId="0" fontId="24" fillId="33" borderId="52" xfId="45" applyFont="1" applyFill="1" applyBorder="1" applyAlignment="1">
      <alignment horizontal="center" vertical="center"/>
    </xf>
    <xf numFmtId="0" fontId="24" fillId="33" borderId="40" xfId="45" applyFont="1" applyFill="1" applyBorder="1" applyAlignment="1">
      <alignment horizontal="center" vertical="center"/>
    </xf>
    <xf numFmtId="0" fontId="23" fillId="34" borderId="54" xfId="45" applyFont="1" applyFill="1" applyBorder="1" applyAlignment="1">
      <alignment horizontal="center" vertical="center"/>
    </xf>
    <xf numFmtId="0" fontId="23" fillId="34" borderId="52" xfId="45" applyFont="1" applyFill="1" applyBorder="1" applyAlignment="1">
      <alignment horizontal="center" vertical="center"/>
    </xf>
    <xf numFmtId="0" fontId="23" fillId="34" borderId="40" xfId="45" applyFont="1" applyFill="1" applyBorder="1" applyAlignment="1">
      <alignment horizontal="center" vertical="center"/>
    </xf>
    <xf numFmtId="0" fontId="24" fillId="33" borderId="54" xfId="45" applyFont="1" applyFill="1" applyBorder="1" applyAlignment="1">
      <alignment horizontal="center" vertical="center"/>
    </xf>
    <xf numFmtId="0" fontId="24" fillId="33" borderId="53" xfId="45" applyFont="1" applyFill="1" applyBorder="1" applyAlignment="1">
      <alignment horizontal="center" vertical="center"/>
    </xf>
    <xf numFmtId="0" fontId="23" fillId="34" borderId="41" xfId="45" applyFont="1" applyFill="1" applyBorder="1" applyAlignment="1">
      <alignment horizontal="center" vertical="center"/>
    </xf>
    <xf numFmtId="0" fontId="23" fillId="35" borderId="10" xfId="10" applyFont="1" applyFill="1" applyBorder="1" applyAlignment="1">
      <alignment horizontal="center" vertical="center" wrapText="1"/>
    </xf>
    <xf numFmtId="0" fontId="23" fillId="35" borderId="11" xfId="10" applyFont="1" applyFill="1" applyBorder="1" applyAlignment="1">
      <alignment horizontal="center" vertical="center" wrapText="1"/>
    </xf>
    <xf numFmtId="0" fontId="23" fillId="35" borderId="12" xfId="10" applyFont="1" applyFill="1" applyBorder="1" applyAlignment="1">
      <alignment horizontal="center" vertical="center" wrapText="1"/>
    </xf>
    <xf numFmtId="0" fontId="20" fillId="35" borderId="24" xfId="45" applyFont="1" applyFill="1" applyBorder="1" applyAlignment="1">
      <alignment horizontal="center"/>
    </xf>
  </cellXfs>
  <cellStyles count="115">
    <cellStyle name="20% - Accent1" xfId="21" builtinId="30" customBuiltin="1"/>
    <cellStyle name="20% - Accent1 2" xfId="76"/>
    <cellStyle name="20% - Accent2" xfId="25" builtinId="34" customBuiltin="1"/>
    <cellStyle name="20% - Accent2 2" xfId="80"/>
    <cellStyle name="20% - Accent3" xfId="29" builtinId="38" customBuiltin="1"/>
    <cellStyle name="20% - Accent3 2" xfId="84"/>
    <cellStyle name="20% - Accent4" xfId="33" builtinId="42" customBuiltin="1"/>
    <cellStyle name="20% - Accent4 2" xfId="88"/>
    <cellStyle name="20% - Accent5" xfId="37" builtinId="46" customBuiltin="1"/>
    <cellStyle name="20% - Accent5 2" xfId="92"/>
    <cellStyle name="20% - Accent6" xfId="41" builtinId="50" customBuiltin="1"/>
    <cellStyle name="20% - Accent6 2" xfId="96"/>
    <cellStyle name="40% - Accent1" xfId="22" builtinId="31" customBuiltin="1"/>
    <cellStyle name="40% - Accent1 2" xfId="77"/>
    <cellStyle name="40% - Accent2" xfId="26" builtinId="35" customBuiltin="1"/>
    <cellStyle name="40% - Accent2 2" xfId="81"/>
    <cellStyle name="40% - Accent3" xfId="30" builtinId="39" customBuiltin="1"/>
    <cellStyle name="40% - Accent3 2" xfId="85"/>
    <cellStyle name="40% - Accent4" xfId="34" builtinId="43" customBuiltin="1"/>
    <cellStyle name="40% - Accent4 2" xfId="89"/>
    <cellStyle name="40% - Accent5" xfId="38" builtinId="47" customBuiltin="1"/>
    <cellStyle name="40% - Accent5 2" xfId="93"/>
    <cellStyle name="40% - Accent6" xfId="42" builtinId="51" customBuiltin="1"/>
    <cellStyle name="40% - Accent6 2" xfId="97"/>
    <cellStyle name="60% - Accent1" xfId="23" builtinId="32" customBuiltin="1"/>
    <cellStyle name="60% - Accent1 2" xfId="78"/>
    <cellStyle name="60% - Accent2" xfId="27" builtinId="36" customBuiltin="1"/>
    <cellStyle name="60% - Accent2 2" xfId="82"/>
    <cellStyle name="60% - Accent3" xfId="31" builtinId="40" customBuiltin="1"/>
    <cellStyle name="60% - Accent3 2" xfId="86"/>
    <cellStyle name="60% - Accent4" xfId="35" builtinId="44" customBuiltin="1"/>
    <cellStyle name="60% - Accent4 2" xfId="90"/>
    <cellStyle name="60% - Accent5" xfId="39" builtinId="48" customBuiltin="1"/>
    <cellStyle name="60% - Accent5 2" xfId="94"/>
    <cellStyle name="60% - Accent6" xfId="43" builtinId="52" customBuiltin="1"/>
    <cellStyle name="60% - Accent6 2" xfId="98"/>
    <cellStyle name="Accent1" xfId="20" builtinId="29" customBuiltin="1"/>
    <cellStyle name="Accent1 2" xfId="75"/>
    <cellStyle name="Accent2" xfId="24" builtinId="33" customBuiltin="1"/>
    <cellStyle name="Accent2 2" xfId="79"/>
    <cellStyle name="Accent3" xfId="28" builtinId="37" customBuiltin="1"/>
    <cellStyle name="Accent3 2" xfId="83"/>
    <cellStyle name="Accent4" xfId="32" builtinId="41" customBuiltin="1"/>
    <cellStyle name="Accent4 2" xfId="87"/>
    <cellStyle name="Accent5" xfId="36" builtinId="45" customBuiltin="1"/>
    <cellStyle name="Accent5 2" xfId="91"/>
    <cellStyle name="Accent6" xfId="40" builtinId="49" customBuiltin="1"/>
    <cellStyle name="Accent6 2" xfId="95"/>
    <cellStyle name="Bad" xfId="9" builtinId="27" customBuiltin="1"/>
    <cellStyle name="Bad 2" xfId="64"/>
    <cellStyle name="Calculation" xfId="13" builtinId="22" customBuiltin="1"/>
    <cellStyle name="Calculation 2" xfId="68"/>
    <cellStyle name="Check Cell" xfId="15" builtinId="23" customBuiltin="1"/>
    <cellStyle name="Check Cell 2" xfId="70"/>
    <cellStyle name="Comma" xfId="1" builtinId="3"/>
    <cellStyle name="Comma 2" xfId="50"/>
    <cellStyle name="Comma 2 2" xfId="53"/>
    <cellStyle name="Comma 3" xfId="99"/>
    <cellStyle name="Explanatory Text" xfId="18" builtinId="53" customBuiltin="1"/>
    <cellStyle name="Explanatory Text 2" xfId="73"/>
    <cellStyle name="Good" xfId="8" builtinId="26" customBuiltin="1"/>
    <cellStyle name="Good 2" xfId="63"/>
    <cellStyle name="Heading 1" xfId="4" builtinId="16" customBuiltin="1"/>
    <cellStyle name="Heading 1 2" xfId="59"/>
    <cellStyle name="Heading 2" xfId="5" builtinId="17" customBuiltin="1"/>
    <cellStyle name="Heading 2 2" xfId="60"/>
    <cellStyle name="Heading 3" xfId="6" builtinId="18" customBuiltin="1"/>
    <cellStyle name="Heading 3 2" xfId="61"/>
    <cellStyle name="Heading 4" xfId="7" builtinId="19" customBuiltin="1"/>
    <cellStyle name="Heading 4 2" xfId="62"/>
    <cellStyle name="Hyperlink" xfId="47" builtinId="8"/>
    <cellStyle name="Hyperlink 2" xfId="51"/>
    <cellStyle name="Input" xfId="11" builtinId="20" customBuiltin="1"/>
    <cellStyle name="Input 2" xfId="66"/>
    <cellStyle name="Linked Cell" xfId="14" builtinId="24" customBuiltin="1"/>
    <cellStyle name="Linked Cell 2" xfId="69"/>
    <cellStyle name="Neutral" xfId="10" builtinId="28" customBuiltin="1"/>
    <cellStyle name="Neutral 2" xfId="54"/>
    <cellStyle name="Neutral 3" xfId="65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3 2 2" xfId="105"/>
    <cellStyle name="Normal 3 3" xfId="107"/>
    <cellStyle name="Normal 3 4" xfId="113"/>
    <cellStyle name="Normal 3 5" xfId="109"/>
    <cellStyle name="Normal 3 6" xfId="100"/>
    <cellStyle name="Normal 4" xfId="58"/>
    <cellStyle name="Normal 5" xfId="103"/>
    <cellStyle name="Normal 6" xfId="104"/>
    <cellStyle name="Normal 7" xfId="110"/>
    <cellStyle name="Normal 8" xfId="112"/>
    <cellStyle name="Normal 9" xfId="57"/>
    <cellStyle name="Note" xfId="17" builtinId="10" customBuiltin="1"/>
    <cellStyle name="Note 2" xfId="46"/>
    <cellStyle name="Note 3" xfId="72"/>
    <cellStyle name="Output" xfId="12" builtinId="21" customBuiltin="1"/>
    <cellStyle name="Output 2" xfId="67"/>
    <cellStyle name="Percent" xfId="2" builtinId="5"/>
    <cellStyle name="Percent 2" xfId="48"/>
    <cellStyle name="Percent 2 2" xfId="56"/>
    <cellStyle name="Percent 2 2 2" xfId="106"/>
    <cellStyle name="Percent 2 3" xfId="108"/>
    <cellStyle name="Percent 2 4" xfId="114"/>
    <cellStyle name="Percent 2 5" xfId="111"/>
    <cellStyle name="Percent 2 6" xfId="101"/>
    <cellStyle name="Percent 3" xfId="102"/>
    <cellStyle name="Title" xfId="3" builtinId="15" customBuiltin="1"/>
    <cellStyle name="Total" xfId="19" builtinId="25" customBuiltin="1"/>
    <cellStyle name="Total 2" xfId="74"/>
    <cellStyle name="Warning Text" xfId="16" builtinId="11" customBuiltin="1"/>
    <cellStyle name="Warning Text 2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Master%20Data%20Program/District%20Totals/Demographics/All%20Students/Unduplicated%20Headcount/edit/sort.ethnic.headcount.demographi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Equity/1.District/1.%20Access/Equity%20Acces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uccess.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non-credit graded seats"/>
      <sheetName val="Sheet3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Ethnic Groups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White</v>
          </cell>
          <cell r="B4">
            <v>2600</v>
          </cell>
          <cell r="C4">
            <v>6797</v>
          </cell>
          <cell r="D4">
            <v>6709</v>
          </cell>
          <cell r="E4">
            <v>2910</v>
          </cell>
          <cell r="F4">
            <v>7251</v>
          </cell>
          <cell r="G4">
            <v>7613</v>
          </cell>
          <cell r="H4">
            <v>1611</v>
          </cell>
          <cell r="I4">
            <v>7741</v>
          </cell>
          <cell r="J4">
            <v>7535</v>
          </cell>
          <cell r="K4">
            <v>824</v>
          </cell>
          <cell r="L4">
            <v>6838</v>
          </cell>
          <cell r="M4">
            <v>6699</v>
          </cell>
          <cell r="N4">
            <v>56</v>
          </cell>
          <cell r="O4">
            <v>6107</v>
          </cell>
          <cell r="P4">
            <v>6112</v>
          </cell>
        </row>
        <row r="5">
          <cell r="A5" t="str">
            <v>Hispanic</v>
          </cell>
          <cell r="B5">
            <v>1573</v>
          </cell>
          <cell r="C5">
            <v>4100</v>
          </cell>
          <cell r="D5">
            <v>4139</v>
          </cell>
          <cell r="E5">
            <v>1937</v>
          </cell>
          <cell r="F5">
            <v>4761</v>
          </cell>
          <cell r="G5">
            <v>5035</v>
          </cell>
          <cell r="H5">
            <v>1239</v>
          </cell>
          <cell r="I5">
            <v>5456</v>
          </cell>
          <cell r="J5">
            <v>5478</v>
          </cell>
          <cell r="K5">
            <v>706</v>
          </cell>
          <cell r="L5">
            <v>5271</v>
          </cell>
          <cell r="M5">
            <v>5389</v>
          </cell>
          <cell r="N5">
            <v>60</v>
          </cell>
          <cell r="O5">
            <v>5504</v>
          </cell>
          <cell r="P5">
            <v>5884</v>
          </cell>
        </row>
        <row r="6">
          <cell r="A6" t="str">
            <v>African American</v>
          </cell>
          <cell r="B6">
            <v>418</v>
          </cell>
          <cell r="C6">
            <v>1047</v>
          </cell>
          <cell r="D6">
            <v>1038</v>
          </cell>
          <cell r="E6">
            <v>562</v>
          </cell>
          <cell r="F6">
            <v>1202</v>
          </cell>
          <cell r="G6">
            <v>1334</v>
          </cell>
          <cell r="H6">
            <v>369</v>
          </cell>
          <cell r="I6">
            <v>1367</v>
          </cell>
          <cell r="J6">
            <v>1411</v>
          </cell>
          <cell r="K6">
            <v>248</v>
          </cell>
          <cell r="L6">
            <v>1136</v>
          </cell>
          <cell r="M6">
            <v>1240</v>
          </cell>
          <cell r="N6">
            <v>75</v>
          </cell>
          <cell r="O6">
            <v>1085</v>
          </cell>
          <cell r="P6">
            <v>1165</v>
          </cell>
        </row>
        <row r="7">
          <cell r="A7" t="str">
            <v>Asian</v>
          </cell>
          <cell r="B7">
            <v>208</v>
          </cell>
          <cell r="C7">
            <v>398</v>
          </cell>
          <cell r="D7">
            <v>398</v>
          </cell>
          <cell r="E7">
            <v>273</v>
          </cell>
          <cell r="F7">
            <v>452</v>
          </cell>
          <cell r="G7">
            <v>468</v>
          </cell>
          <cell r="H7">
            <v>152</v>
          </cell>
          <cell r="I7">
            <v>465</v>
          </cell>
          <cell r="J7">
            <v>477</v>
          </cell>
          <cell r="K7">
            <v>85</v>
          </cell>
          <cell r="L7">
            <v>449</v>
          </cell>
          <cell r="M7">
            <v>444</v>
          </cell>
          <cell r="N7">
            <v>3</v>
          </cell>
          <cell r="O7">
            <v>396</v>
          </cell>
          <cell r="P7">
            <v>379</v>
          </cell>
        </row>
        <row r="8">
          <cell r="A8" t="str">
            <v>Native American</v>
          </cell>
          <cell r="B8">
            <v>64</v>
          </cell>
          <cell r="C8">
            <v>165</v>
          </cell>
          <cell r="D8">
            <v>182</v>
          </cell>
          <cell r="E8">
            <v>59</v>
          </cell>
          <cell r="F8">
            <v>204</v>
          </cell>
          <cell r="G8">
            <v>209</v>
          </cell>
          <cell r="H8">
            <v>58</v>
          </cell>
          <cell r="I8">
            <v>195</v>
          </cell>
          <cell r="J8">
            <v>179</v>
          </cell>
          <cell r="K8">
            <v>28</v>
          </cell>
          <cell r="L8">
            <v>145</v>
          </cell>
          <cell r="M8">
            <v>151</v>
          </cell>
          <cell r="N8">
            <v>3</v>
          </cell>
          <cell r="O8">
            <v>104</v>
          </cell>
          <cell r="P8">
            <v>102</v>
          </cell>
        </row>
        <row r="9">
          <cell r="A9" t="str">
            <v>Filipino</v>
          </cell>
          <cell r="B9">
            <v>237</v>
          </cell>
          <cell r="C9">
            <v>577</v>
          </cell>
          <cell r="D9">
            <v>570</v>
          </cell>
          <cell r="E9">
            <v>291</v>
          </cell>
          <cell r="F9">
            <v>611</v>
          </cell>
          <cell r="G9">
            <v>578</v>
          </cell>
          <cell r="H9">
            <v>166</v>
          </cell>
          <cell r="I9">
            <v>618</v>
          </cell>
          <cell r="J9">
            <v>606</v>
          </cell>
          <cell r="K9">
            <v>75</v>
          </cell>
          <cell r="L9">
            <v>536</v>
          </cell>
          <cell r="M9">
            <v>534</v>
          </cell>
          <cell r="N9">
            <v>1</v>
          </cell>
          <cell r="O9">
            <v>476</v>
          </cell>
          <cell r="P9">
            <v>486</v>
          </cell>
        </row>
        <row r="10">
          <cell r="A10" t="str">
            <v>Pacific Islander</v>
          </cell>
          <cell r="B10">
            <v>44</v>
          </cell>
          <cell r="C10">
            <v>93</v>
          </cell>
          <cell r="D10">
            <v>102</v>
          </cell>
          <cell r="E10">
            <v>58</v>
          </cell>
          <cell r="F10">
            <v>128</v>
          </cell>
          <cell r="G10">
            <v>135</v>
          </cell>
          <cell r="H10">
            <v>20</v>
          </cell>
          <cell r="I10">
            <v>126</v>
          </cell>
          <cell r="J10">
            <v>120</v>
          </cell>
          <cell r="K10">
            <v>20</v>
          </cell>
          <cell r="L10">
            <v>101</v>
          </cell>
          <cell r="M10">
            <v>92</v>
          </cell>
          <cell r="N10">
            <v>5</v>
          </cell>
          <cell r="O10">
            <v>70</v>
          </cell>
          <cell r="P10">
            <v>67</v>
          </cell>
        </row>
        <row r="11">
          <cell r="A11" t="str">
            <v>Multi-Race</v>
          </cell>
          <cell r="B11">
            <v>81</v>
          </cell>
          <cell r="C11">
            <v>209</v>
          </cell>
          <cell r="D11">
            <v>192</v>
          </cell>
          <cell r="E11">
            <v>113</v>
          </cell>
          <cell r="F11">
            <v>239</v>
          </cell>
          <cell r="G11">
            <v>239</v>
          </cell>
          <cell r="H11">
            <v>68</v>
          </cell>
          <cell r="I11">
            <v>372</v>
          </cell>
          <cell r="J11">
            <v>461</v>
          </cell>
          <cell r="K11">
            <v>73</v>
          </cell>
          <cell r="L11">
            <v>532</v>
          </cell>
          <cell r="M11">
            <v>613</v>
          </cell>
          <cell r="N11">
            <v>13</v>
          </cell>
          <cell r="O11">
            <v>664</v>
          </cell>
          <cell r="P11">
            <v>731</v>
          </cell>
        </row>
        <row r="12">
          <cell r="A12" t="str">
            <v>Unknown</v>
          </cell>
          <cell r="B12">
            <v>427</v>
          </cell>
          <cell r="C12">
            <v>1069</v>
          </cell>
          <cell r="D12">
            <v>1115</v>
          </cell>
          <cell r="E12">
            <v>573</v>
          </cell>
          <cell r="F12">
            <v>1322</v>
          </cell>
          <cell r="G12">
            <v>1419</v>
          </cell>
          <cell r="H12">
            <v>347</v>
          </cell>
          <cell r="I12">
            <v>1485</v>
          </cell>
          <cell r="J12">
            <v>1274</v>
          </cell>
          <cell r="K12">
            <v>165</v>
          </cell>
          <cell r="L12">
            <v>939</v>
          </cell>
          <cell r="M12">
            <v>857</v>
          </cell>
          <cell r="N12">
            <v>6</v>
          </cell>
          <cell r="O12">
            <v>615</v>
          </cell>
          <cell r="P12">
            <v>556</v>
          </cell>
        </row>
        <row r="13">
          <cell r="A13" t="str">
            <v>Term Total</v>
          </cell>
          <cell r="B13">
            <v>5652</v>
          </cell>
          <cell r="C13">
            <v>14455</v>
          </cell>
          <cell r="D13">
            <v>14445</v>
          </cell>
          <cell r="E13">
            <v>6776</v>
          </cell>
          <cell r="F13">
            <v>16170</v>
          </cell>
          <cell r="G13">
            <v>17030</v>
          </cell>
          <cell r="H13">
            <v>4030</v>
          </cell>
          <cell r="I13">
            <v>17825</v>
          </cell>
          <cell r="J13">
            <v>17541</v>
          </cell>
          <cell r="K13">
            <v>2224</v>
          </cell>
          <cell r="L13">
            <v>15947</v>
          </cell>
          <cell r="M13">
            <v>16019</v>
          </cell>
          <cell r="N13">
            <v>222</v>
          </cell>
          <cell r="O13">
            <v>15021</v>
          </cell>
          <cell r="P13">
            <v>15482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ender"/>
      <sheetName val="ethnic"/>
      <sheetName val="Sheet2"/>
    </sheetNames>
    <sheetDataSet>
      <sheetData sheetId="0">
        <row r="7">
          <cell r="B7">
            <v>21297</v>
          </cell>
          <cell r="D7">
            <v>24409</v>
          </cell>
          <cell r="F7">
            <v>24067</v>
          </cell>
          <cell r="H7">
            <v>21012</v>
          </cell>
          <cell r="J7">
            <v>19534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ccess rates"/>
      <sheetName val="graded seats"/>
      <sheetName val="success seats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Ethnic Groups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White</v>
          </cell>
          <cell r="B4">
            <v>0.79635258358662619</v>
          </cell>
          <cell r="C4">
            <v>0.66451977401129947</v>
          </cell>
          <cell r="D4">
            <v>0.68676300578034677</v>
          </cell>
          <cell r="E4">
            <v>0.8290268051195363</v>
          </cell>
          <cell r="F4">
            <v>0.69296661334434184</v>
          </cell>
          <cell r="G4">
            <v>0.70260259765914368</v>
          </cell>
          <cell r="H4">
            <v>0.82904761904761903</v>
          </cell>
          <cell r="I4">
            <v>0.70394215068812693</v>
          </cell>
          <cell r="J4">
            <v>0.69928574899178852</v>
          </cell>
          <cell r="K4">
            <v>0.85126286248830685</v>
          </cell>
          <cell r="L4">
            <v>0.73313230305314736</v>
          </cell>
          <cell r="M4">
            <v>0.71542271943006619</v>
          </cell>
          <cell r="N4">
            <v>0.97468354430379744</v>
          </cell>
          <cell r="O4">
            <v>0.74094081942336876</v>
          </cell>
          <cell r="P4">
            <v>0.7133497625773878</v>
          </cell>
        </row>
        <row r="5">
          <cell r="A5" t="str">
            <v>Hispanic</v>
          </cell>
          <cell r="B5">
            <v>0.76996805111821087</v>
          </cell>
          <cell r="C5">
            <v>0.61170666919647088</v>
          </cell>
          <cell r="D5">
            <v>0.62372593431483581</v>
          </cell>
          <cell r="E5">
            <v>0.77491844871330195</v>
          </cell>
          <cell r="F5">
            <v>0.62261763542902337</v>
          </cell>
          <cell r="G5">
            <v>0.63615390340105682</v>
          </cell>
          <cell r="H5">
            <v>0.77743526510480887</v>
          </cell>
          <cell r="I5">
            <v>0.65340033500837524</v>
          </cell>
          <cell r="J5">
            <v>0.63859367689325575</v>
          </cell>
          <cell r="K5">
            <v>0.81284606866002218</v>
          </cell>
          <cell r="L5">
            <v>0.68429809358752169</v>
          </cell>
          <cell r="M5">
            <v>0.66582999796485987</v>
          </cell>
          <cell r="N5">
            <v>0.95918367346938771</v>
          </cell>
          <cell r="O5">
            <v>0.69332527531560573</v>
          </cell>
          <cell r="P5">
            <v>0.6620642684663488</v>
          </cell>
        </row>
        <row r="6">
          <cell r="A6" t="str">
            <v>African American</v>
          </cell>
          <cell r="B6">
            <v>0.69387755102040816</v>
          </cell>
          <cell r="C6">
            <v>0.49529885829415715</v>
          </cell>
          <cell r="D6">
            <v>0.53080724876441521</v>
          </cell>
          <cell r="E6">
            <v>0.70138150903294372</v>
          </cell>
          <cell r="F6">
            <v>0.50451722190852621</v>
          </cell>
          <cell r="G6">
            <v>0.51260716086737268</v>
          </cell>
          <cell r="H6">
            <v>0.75947281713344317</v>
          </cell>
          <cell r="I6">
            <v>0.56447204968944098</v>
          </cell>
          <cell r="J6">
            <v>0.52838740458015265</v>
          </cell>
          <cell r="K6">
            <v>0.77936962750716332</v>
          </cell>
          <cell r="L6">
            <v>0.61811505507955933</v>
          </cell>
          <cell r="M6">
            <v>0.56989247311827962</v>
          </cell>
          <cell r="N6">
            <v>0.96491228070175439</v>
          </cell>
          <cell r="O6">
            <v>0.58984375</v>
          </cell>
          <cell r="P6">
            <v>0.54891956782713081</v>
          </cell>
        </row>
        <row r="7">
          <cell r="A7" t="str">
            <v>Asian</v>
          </cell>
          <cell r="B7">
            <v>0.81756756756756754</v>
          </cell>
          <cell r="C7">
            <v>0.72248803827751196</v>
          </cell>
          <cell r="D7">
            <v>0.72456813819577737</v>
          </cell>
          <cell r="E7">
            <v>0.84293193717277481</v>
          </cell>
          <cell r="F7">
            <v>0.7404902789518174</v>
          </cell>
          <cell r="G7">
            <v>0.73892773892773889</v>
          </cell>
          <cell r="H7">
            <v>0.88383838383838387</v>
          </cell>
          <cell r="I7">
            <v>0.72454617205998417</v>
          </cell>
          <cell r="J7">
            <v>0.71898928024502295</v>
          </cell>
          <cell r="K7">
            <v>0.88461538461538458</v>
          </cell>
          <cell r="L7">
            <v>0.77948303715670442</v>
          </cell>
          <cell r="M7">
            <v>0.78064012490241996</v>
          </cell>
          <cell r="N7">
            <v>1</v>
          </cell>
          <cell r="O7">
            <v>0.78195488721804507</v>
          </cell>
          <cell r="P7">
            <v>0.7783882783882784</v>
          </cell>
        </row>
        <row r="8">
          <cell r="A8" t="str">
            <v>Native American</v>
          </cell>
          <cell r="B8">
            <v>0.6292134831460674</v>
          </cell>
          <cell r="C8">
            <v>0.53953488372093028</v>
          </cell>
          <cell r="D8">
            <v>0.58620689655172409</v>
          </cell>
          <cell r="E8">
            <v>0.84090909090909094</v>
          </cell>
          <cell r="F8">
            <v>0.60568383658969804</v>
          </cell>
          <cell r="G8">
            <v>0.61921708185053381</v>
          </cell>
          <cell r="H8">
            <v>0.70833333333333337</v>
          </cell>
          <cell r="I8">
            <v>0.64638783269961975</v>
          </cell>
          <cell r="J8">
            <v>0.64741035856573703</v>
          </cell>
          <cell r="K8">
            <v>0.91176470588235292</v>
          </cell>
          <cell r="L8">
            <v>0.64393939393939392</v>
          </cell>
          <cell r="M8">
            <v>0.67205542725173206</v>
          </cell>
          <cell r="N8">
            <v>1</v>
          </cell>
          <cell r="O8">
            <v>0.67224080267558528</v>
          </cell>
          <cell r="P8">
            <v>0.61694915254237293</v>
          </cell>
        </row>
        <row r="9">
          <cell r="A9" t="str">
            <v>Filipino</v>
          </cell>
          <cell r="B9">
            <v>0.81268882175226587</v>
          </cell>
          <cell r="C9">
            <v>0.68027210884353739</v>
          </cell>
          <cell r="D9">
            <v>0.69294342021614752</v>
          </cell>
          <cell r="E9">
            <v>0.84</v>
          </cell>
          <cell r="F9">
            <v>0.70384829894032352</v>
          </cell>
          <cell r="G9">
            <v>0.72904009720534635</v>
          </cell>
          <cell r="H9">
            <v>0.85135135135135132</v>
          </cell>
          <cell r="I9">
            <v>0.71660145332588043</v>
          </cell>
          <cell r="J9">
            <v>0.69068541300527242</v>
          </cell>
          <cell r="K9">
            <v>0.91208791208791207</v>
          </cell>
          <cell r="L9">
            <v>0.76405946994182283</v>
          </cell>
          <cell r="M9">
            <v>0.74347258485639689</v>
          </cell>
          <cell r="N9">
            <v>1</v>
          </cell>
          <cell r="O9">
            <v>0.76386913229018494</v>
          </cell>
          <cell r="P9">
            <v>0.76628609805238412</v>
          </cell>
        </row>
        <row r="10">
          <cell r="A10" t="str">
            <v>Pacific Islander</v>
          </cell>
          <cell r="B10">
            <v>0.78260869565217395</v>
          </cell>
          <cell r="C10">
            <v>0.61290322580645162</v>
          </cell>
          <cell r="D10">
            <v>0.64052287581699341</v>
          </cell>
          <cell r="E10">
            <v>0.8035714285714286</v>
          </cell>
          <cell r="F10">
            <v>0.60185185185185186</v>
          </cell>
          <cell r="G10">
            <v>0.56744186046511624</v>
          </cell>
          <cell r="H10">
            <v>0.96551724137931039</v>
          </cell>
          <cell r="I10">
            <v>0.59102244389027436</v>
          </cell>
          <cell r="J10">
            <v>0.65691489361702127</v>
          </cell>
          <cell r="K10">
            <v>0.77419354838709675</v>
          </cell>
          <cell r="L10">
            <v>0.65986394557823125</v>
          </cell>
          <cell r="M10">
            <v>0.6145038167938931</v>
          </cell>
          <cell r="N10">
            <v>1</v>
          </cell>
          <cell r="O10">
            <v>0.66028708133971292</v>
          </cell>
          <cell r="P10">
            <v>0.66666666666666663</v>
          </cell>
        </row>
        <row r="11">
          <cell r="A11" t="str">
            <v>Multi-Race</v>
          </cell>
          <cell r="B11">
            <v>0.68032786885245899</v>
          </cell>
          <cell r="C11">
            <v>0.52430555555555558</v>
          </cell>
          <cell r="D11">
            <v>0.61380597014925375</v>
          </cell>
          <cell r="E11">
            <v>0.73684210526315785</v>
          </cell>
          <cell r="F11">
            <v>0.48148148148148145</v>
          </cell>
          <cell r="G11">
            <v>0.53559870550161814</v>
          </cell>
          <cell r="H11">
            <v>0.83673469387755106</v>
          </cell>
          <cell r="I11">
            <v>0.63314711359404097</v>
          </cell>
          <cell r="J11">
            <v>0.61642803315749817</v>
          </cell>
          <cell r="K11">
            <v>0.81818181818181823</v>
          </cell>
          <cell r="L11">
            <v>0.6566383257030739</v>
          </cell>
          <cell r="M11">
            <v>0.65666474321985002</v>
          </cell>
          <cell r="N11">
            <v>1</v>
          </cell>
          <cell r="O11">
            <v>0.68359573387506345</v>
          </cell>
          <cell r="P11">
            <v>0.63148061653432974</v>
          </cell>
        </row>
        <row r="12">
          <cell r="A12" t="str">
            <v>Unknown</v>
          </cell>
          <cell r="B12">
            <v>0.7830508474576271</v>
          </cell>
          <cell r="C12">
            <v>0.67752442996742668</v>
          </cell>
          <cell r="D12">
            <v>0.69624573378839594</v>
          </cell>
          <cell r="E12">
            <v>0.81472392638036806</v>
          </cell>
          <cell r="F12">
            <v>0.69622377622377618</v>
          </cell>
          <cell r="G12">
            <v>0.70116429495472188</v>
          </cell>
          <cell r="H12">
            <v>0.82900432900432897</v>
          </cell>
          <cell r="I12">
            <v>0.70483831752978365</v>
          </cell>
          <cell r="J12">
            <v>0.70485919381557149</v>
          </cell>
          <cell r="K12">
            <v>0.79342723004694837</v>
          </cell>
          <cell r="L12">
            <v>0.72700186219739293</v>
          </cell>
          <cell r="M12">
            <v>0.73181818181818181</v>
          </cell>
          <cell r="N12">
            <v>1</v>
          </cell>
          <cell r="O12">
            <v>0.73936170212765961</v>
          </cell>
          <cell r="P12">
            <v>0.73550488599348529</v>
          </cell>
        </row>
        <row r="13">
          <cell r="A13" t="str">
            <v>Term Total</v>
          </cell>
          <cell r="B13">
            <v>0.77705492305767543</v>
          </cell>
          <cell r="C13">
            <v>0.63584592264494189</v>
          </cell>
          <cell r="D13">
            <v>0.65594727648086393</v>
          </cell>
          <cell r="E13">
            <v>0.79967459833231647</v>
          </cell>
          <cell r="F13">
            <v>0.6543342555964603</v>
          </cell>
          <cell r="G13">
            <v>0.66417716022579243</v>
          </cell>
          <cell r="H13">
            <v>0.80794824399260623</v>
          </cell>
          <cell r="I13">
            <v>0.67539097971950357</v>
          </cell>
          <cell r="J13">
            <v>0.66335899864124837</v>
          </cell>
          <cell r="K13">
            <v>0.82820601451780163</v>
          </cell>
          <cell r="L13">
            <v>0.70661843332650787</v>
          </cell>
          <cell r="M13">
            <v>0.68749288203539627</v>
          </cell>
          <cell r="N13">
            <v>0.97067448680351909</v>
          </cell>
          <cell r="O13">
            <v>0.71050197185841568</v>
          </cell>
          <cell r="P13">
            <v>0.68056818976978517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tabSelected="1" zoomScaleNormal="100" workbookViewId="0">
      <selection activeCell="S21" sqref="S21"/>
    </sheetView>
  </sheetViews>
  <sheetFormatPr defaultRowHeight="15" x14ac:dyDescent="0.25"/>
  <cols>
    <col min="1" max="1" width="16.425781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7109375" bestFit="1" customWidth="1"/>
    <col min="15" max="16" width="7.5703125" bestFit="1" customWidth="1"/>
  </cols>
  <sheetData>
    <row r="1" spans="1:16" ht="15.75" x14ac:dyDescent="0.25">
      <c r="A1" s="89"/>
      <c r="B1" s="76" t="s">
        <v>36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92"/>
    </row>
    <row r="2" spans="1:16" ht="16.5" thickBot="1" x14ac:dyDescent="0.3">
      <c r="A2" s="90"/>
      <c r="B2" s="76" t="s">
        <v>0</v>
      </c>
      <c r="C2" s="77"/>
      <c r="D2" s="77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9"/>
    </row>
    <row r="3" spans="1:16" ht="15.75" thickBot="1" x14ac:dyDescent="0.3">
      <c r="A3" s="91"/>
      <c r="B3" s="80" t="s">
        <v>1</v>
      </c>
      <c r="C3" s="81"/>
      <c r="D3" s="82"/>
      <c r="E3" s="83" t="s">
        <v>2</v>
      </c>
      <c r="F3" s="84"/>
      <c r="G3" s="85"/>
      <c r="H3" s="86" t="s">
        <v>3</v>
      </c>
      <c r="I3" s="81"/>
      <c r="J3" s="87"/>
      <c r="K3" s="88" t="s">
        <v>4</v>
      </c>
      <c r="L3" s="84"/>
      <c r="M3" s="85"/>
      <c r="N3" s="86" t="s">
        <v>5</v>
      </c>
      <c r="O3" s="81"/>
      <c r="P3" s="82"/>
    </row>
    <row r="4" spans="1:16" ht="15.75" thickBot="1" x14ac:dyDescent="0.3">
      <c r="A4" s="8" t="s">
        <v>38</v>
      </c>
      <c r="B4" s="52" t="s">
        <v>7</v>
      </c>
      <c r="C4" s="53" t="s">
        <v>8</v>
      </c>
      <c r="D4" s="54" t="s">
        <v>9</v>
      </c>
      <c r="E4" s="55" t="s">
        <v>10</v>
      </c>
      <c r="F4" s="56" t="s">
        <v>11</v>
      </c>
      <c r="G4" s="57" t="s">
        <v>12</v>
      </c>
      <c r="H4" s="58" t="s">
        <v>13</v>
      </c>
      <c r="I4" s="53" t="s">
        <v>14</v>
      </c>
      <c r="J4" s="59" t="s">
        <v>15</v>
      </c>
      <c r="K4" s="60" t="s">
        <v>16</v>
      </c>
      <c r="L4" s="56" t="s">
        <v>17</v>
      </c>
      <c r="M4" s="57" t="s">
        <v>18</v>
      </c>
      <c r="N4" s="58" t="s">
        <v>19</v>
      </c>
      <c r="O4" s="53" t="s">
        <v>20</v>
      </c>
      <c r="P4" s="54" t="s">
        <v>21</v>
      </c>
    </row>
    <row r="5" spans="1:16" x14ac:dyDescent="0.25">
      <c r="A5" s="18" t="s">
        <v>22</v>
      </c>
      <c r="B5" s="3">
        <f>VLOOKUP($A5,'[1]credit ethnic graded seats'!$A:$P,HLOOKUP(B$4,'[1]credit ethnic graded seats'!$1:$2,2,FALSE),FALSE)</f>
        <v>2600</v>
      </c>
      <c r="C5" s="22">
        <f>VLOOKUP($A5,'[1]credit ethnic graded seats'!$A:$P,HLOOKUP(C$4,'[1]credit ethnic graded seats'!$1:$2,2,FALSE),FALSE)</f>
        <v>6797</v>
      </c>
      <c r="D5" s="25">
        <f>VLOOKUP($A5,'[1]credit ethnic graded seats'!$A:$P,HLOOKUP(D$4,'[1]credit ethnic graded seats'!$1:$2,2,FALSE),FALSE)</f>
        <v>6709</v>
      </c>
      <c r="E5" s="3">
        <f>VLOOKUP($A5,'[1]credit ethnic graded seats'!$A:$P,HLOOKUP(E$4,'[1]credit ethnic graded seats'!$1:$2,2,FALSE),FALSE)</f>
        <v>2910</v>
      </c>
      <c r="F5" s="22">
        <f>VLOOKUP($A5,'[1]credit ethnic graded seats'!$A:$P,HLOOKUP(F$4,'[1]credit ethnic graded seats'!$1:$2,2,FALSE),FALSE)</f>
        <v>7251</v>
      </c>
      <c r="G5" s="22">
        <f>VLOOKUP($A5,'[1]credit ethnic graded seats'!$A:$P,HLOOKUP(G$4,'[1]credit ethnic graded seats'!$1:$2,2,FALSE),FALSE)</f>
        <v>7613</v>
      </c>
      <c r="H5" s="22">
        <f>VLOOKUP($A5,'[1]credit ethnic graded seats'!$A:$P,HLOOKUP(H$4,'[1]credit ethnic graded seats'!$1:$2,2,FALSE),FALSE)</f>
        <v>1611</v>
      </c>
      <c r="I5" s="22">
        <f>VLOOKUP($A5,'[1]credit ethnic graded seats'!$A:$P,HLOOKUP(I$4,'[1]credit ethnic graded seats'!$1:$2,2,FALSE),FALSE)</f>
        <v>7741</v>
      </c>
      <c r="J5" s="23">
        <f>VLOOKUP($A5,'[1]credit ethnic graded seats'!$A:$P,HLOOKUP(J$4,'[1]credit ethnic graded seats'!$1:$2,2,FALSE),FALSE)</f>
        <v>7535</v>
      </c>
      <c r="K5" s="3">
        <f>VLOOKUP($A5,'[1]credit ethnic graded seats'!$A:$P,HLOOKUP(K$4,'[1]credit ethnic graded seats'!$1:$2,2,FALSE),FALSE)</f>
        <v>824</v>
      </c>
      <c r="L5" s="22">
        <f>VLOOKUP($A5,'[1]credit ethnic graded seats'!$A:$P,HLOOKUP(L$4,'[1]credit ethnic graded seats'!$1:$2,2,FALSE),FALSE)</f>
        <v>6838</v>
      </c>
      <c r="M5" s="23">
        <f>VLOOKUP($A5,'[1]credit ethnic graded seats'!$A:$P,HLOOKUP(M$4,'[1]credit ethnic graded seats'!$1:$2,2,FALSE),FALSE)</f>
        <v>6699</v>
      </c>
      <c r="N5" s="27">
        <f>VLOOKUP($A5,'[1]credit ethnic graded seats'!$A:$P,HLOOKUP(N$4,'[1]credit ethnic graded seats'!$1:$2,2,FALSE),FALSE)</f>
        <v>56</v>
      </c>
      <c r="O5" s="22">
        <f>VLOOKUP($A5,'[1]credit ethnic graded seats'!$A:$P,HLOOKUP(O$4,'[1]credit ethnic graded seats'!$1:$2,2,FALSE),FALSE)</f>
        <v>6107</v>
      </c>
      <c r="P5" s="63">
        <f>VLOOKUP($A5,'[1]credit ethnic graded seats'!$A:$P,HLOOKUP(P$4,'[1]credit ethnic graded seats'!$1:$2,2,FALSE),FALSE)</f>
        <v>6112</v>
      </c>
    </row>
    <row r="6" spans="1:16" x14ac:dyDescent="0.25">
      <c r="A6" s="13" t="s">
        <v>23</v>
      </c>
      <c r="B6" s="24">
        <f>VLOOKUP($A6,'[1]credit ethnic graded seats'!$A:$P,HLOOKUP(B$4,'[1]credit ethnic graded seats'!$1:$2,2,FALSE),FALSE)</f>
        <v>1573</v>
      </c>
      <c r="C6" s="21">
        <f>VLOOKUP($A6,'[1]credit ethnic graded seats'!$A:$P,HLOOKUP(C$4,'[1]credit ethnic graded seats'!$1:$2,2,FALSE),FALSE)</f>
        <v>4100</v>
      </c>
      <c r="D6" s="26">
        <f>VLOOKUP($A6,'[1]credit ethnic graded seats'!$A:$P,HLOOKUP(D$4,'[1]credit ethnic graded seats'!$1:$2,2,FALSE),FALSE)</f>
        <v>4139</v>
      </c>
      <c r="E6" s="24">
        <f>VLOOKUP($A6,'[1]credit ethnic graded seats'!$A:$P,HLOOKUP(E$4,'[1]credit ethnic graded seats'!$1:$2,2,FALSE),FALSE)</f>
        <v>1937</v>
      </c>
      <c r="F6" s="21">
        <f>VLOOKUP($A6,'[1]credit ethnic graded seats'!$A:$P,HLOOKUP(F$4,'[1]credit ethnic graded seats'!$1:$2,2,FALSE),FALSE)</f>
        <v>4761</v>
      </c>
      <c r="G6" s="21">
        <f>VLOOKUP($A6,'[1]credit ethnic graded seats'!$A:$P,HLOOKUP(G$4,'[1]credit ethnic graded seats'!$1:$2,2,FALSE),FALSE)</f>
        <v>5035</v>
      </c>
      <c r="H6" s="21">
        <f>VLOOKUP($A6,'[1]credit ethnic graded seats'!$A:$P,HLOOKUP(H$4,'[1]credit ethnic graded seats'!$1:$2,2,FALSE),FALSE)</f>
        <v>1239</v>
      </c>
      <c r="I6" s="21">
        <f>VLOOKUP($A6,'[1]credit ethnic graded seats'!$A:$P,HLOOKUP(I$4,'[1]credit ethnic graded seats'!$1:$2,2,FALSE),FALSE)</f>
        <v>5456</v>
      </c>
      <c r="J6" s="4">
        <f>VLOOKUP($A6,'[1]credit ethnic graded seats'!$A:$P,HLOOKUP(J$4,'[1]credit ethnic graded seats'!$1:$2,2,FALSE),FALSE)</f>
        <v>5478</v>
      </c>
      <c r="K6" s="24">
        <f>VLOOKUP($A6,'[1]credit ethnic graded seats'!$A:$P,HLOOKUP(K$4,'[1]credit ethnic graded seats'!$1:$2,2,FALSE),FALSE)</f>
        <v>706</v>
      </c>
      <c r="L6" s="21">
        <f>VLOOKUP($A6,'[1]credit ethnic graded seats'!$A:$P,HLOOKUP(L$4,'[1]credit ethnic graded seats'!$1:$2,2,FALSE),FALSE)</f>
        <v>5271</v>
      </c>
      <c r="M6" s="4">
        <f>VLOOKUP($A6,'[1]credit ethnic graded seats'!$A:$P,HLOOKUP(M$4,'[1]credit ethnic graded seats'!$1:$2,2,FALSE),FALSE)</f>
        <v>5389</v>
      </c>
      <c r="N6" s="28">
        <f>VLOOKUP($A6,'[1]credit ethnic graded seats'!$A:$P,HLOOKUP(N$4,'[1]credit ethnic graded seats'!$1:$2,2,FALSE),FALSE)</f>
        <v>60</v>
      </c>
      <c r="O6" s="21">
        <f>VLOOKUP($A6,'[1]credit ethnic graded seats'!$A:$P,HLOOKUP(O$4,'[1]credit ethnic graded seats'!$1:$2,2,FALSE),FALSE)</f>
        <v>5504</v>
      </c>
      <c r="P6" s="21">
        <f>VLOOKUP($A6,'[1]credit ethnic graded seats'!$A:$P,HLOOKUP(P$4,'[1]credit ethnic graded seats'!$1:$2,2,FALSE),FALSE)</f>
        <v>5884</v>
      </c>
    </row>
    <row r="7" spans="1:16" x14ac:dyDescent="0.25">
      <c r="A7" s="13" t="s">
        <v>24</v>
      </c>
      <c r="B7" s="24">
        <f>VLOOKUP($A7,'[1]credit ethnic graded seats'!$A:$P,HLOOKUP(B$4,'[1]credit ethnic graded seats'!$1:$2,2,FALSE),FALSE)</f>
        <v>418</v>
      </c>
      <c r="C7" s="21">
        <f>VLOOKUP($A7,'[1]credit ethnic graded seats'!$A:$P,HLOOKUP(C$4,'[1]credit ethnic graded seats'!$1:$2,2,FALSE),FALSE)</f>
        <v>1047</v>
      </c>
      <c r="D7" s="26">
        <f>VLOOKUP($A7,'[1]credit ethnic graded seats'!$A:$P,HLOOKUP(D$4,'[1]credit ethnic graded seats'!$1:$2,2,FALSE),FALSE)</f>
        <v>1038</v>
      </c>
      <c r="E7" s="24">
        <f>VLOOKUP($A7,'[1]credit ethnic graded seats'!$A:$P,HLOOKUP(E$4,'[1]credit ethnic graded seats'!$1:$2,2,FALSE),FALSE)</f>
        <v>562</v>
      </c>
      <c r="F7" s="21">
        <f>VLOOKUP($A7,'[1]credit ethnic graded seats'!$A:$P,HLOOKUP(F$4,'[1]credit ethnic graded seats'!$1:$2,2,FALSE),FALSE)</f>
        <v>1202</v>
      </c>
      <c r="G7" s="21">
        <f>VLOOKUP($A7,'[1]credit ethnic graded seats'!$A:$P,HLOOKUP(G$4,'[1]credit ethnic graded seats'!$1:$2,2,FALSE),FALSE)</f>
        <v>1334</v>
      </c>
      <c r="H7" s="21">
        <f>VLOOKUP($A7,'[1]credit ethnic graded seats'!$A:$P,HLOOKUP(H$4,'[1]credit ethnic graded seats'!$1:$2,2,FALSE),FALSE)</f>
        <v>369</v>
      </c>
      <c r="I7" s="21">
        <f>VLOOKUP($A7,'[1]credit ethnic graded seats'!$A:$P,HLOOKUP(I$4,'[1]credit ethnic graded seats'!$1:$2,2,FALSE),FALSE)</f>
        <v>1367</v>
      </c>
      <c r="J7" s="4">
        <f>VLOOKUP($A7,'[1]credit ethnic graded seats'!$A:$P,HLOOKUP(J$4,'[1]credit ethnic graded seats'!$1:$2,2,FALSE),FALSE)</f>
        <v>1411</v>
      </c>
      <c r="K7" s="24">
        <f>VLOOKUP($A7,'[1]credit ethnic graded seats'!$A:$P,HLOOKUP(K$4,'[1]credit ethnic graded seats'!$1:$2,2,FALSE),FALSE)</f>
        <v>248</v>
      </c>
      <c r="L7" s="21">
        <f>VLOOKUP($A7,'[1]credit ethnic graded seats'!$A:$P,HLOOKUP(L$4,'[1]credit ethnic graded seats'!$1:$2,2,FALSE),FALSE)</f>
        <v>1136</v>
      </c>
      <c r="M7" s="4">
        <f>VLOOKUP($A7,'[1]credit ethnic graded seats'!$A:$P,HLOOKUP(M$4,'[1]credit ethnic graded seats'!$1:$2,2,FALSE),FALSE)</f>
        <v>1240</v>
      </c>
      <c r="N7" s="28">
        <f>VLOOKUP($A7,'[1]credit ethnic graded seats'!$A:$P,HLOOKUP(N$4,'[1]credit ethnic graded seats'!$1:$2,2,FALSE),FALSE)</f>
        <v>75</v>
      </c>
      <c r="O7" s="21">
        <f>VLOOKUP($A7,'[1]credit ethnic graded seats'!$A:$P,HLOOKUP(O$4,'[1]credit ethnic graded seats'!$1:$2,2,FALSE),FALSE)</f>
        <v>1085</v>
      </c>
      <c r="P7" s="21">
        <f>VLOOKUP($A7,'[1]credit ethnic graded seats'!$A:$P,HLOOKUP(P$4,'[1]credit ethnic graded seats'!$1:$2,2,FALSE),FALSE)</f>
        <v>1165</v>
      </c>
    </row>
    <row r="8" spans="1:16" x14ac:dyDescent="0.25">
      <c r="A8" s="13" t="s">
        <v>25</v>
      </c>
      <c r="B8" s="24">
        <f>VLOOKUP($A8,'[1]credit ethnic graded seats'!$A:$P,HLOOKUP(B$4,'[1]credit ethnic graded seats'!$1:$2,2,FALSE),FALSE)</f>
        <v>208</v>
      </c>
      <c r="C8" s="21">
        <f>VLOOKUP($A8,'[1]credit ethnic graded seats'!$A:$P,HLOOKUP(C$4,'[1]credit ethnic graded seats'!$1:$2,2,FALSE),FALSE)</f>
        <v>398</v>
      </c>
      <c r="D8" s="26">
        <f>VLOOKUP($A8,'[1]credit ethnic graded seats'!$A:$P,HLOOKUP(D$4,'[1]credit ethnic graded seats'!$1:$2,2,FALSE),FALSE)</f>
        <v>398</v>
      </c>
      <c r="E8" s="24">
        <f>VLOOKUP($A8,'[1]credit ethnic graded seats'!$A:$P,HLOOKUP(E$4,'[1]credit ethnic graded seats'!$1:$2,2,FALSE),FALSE)</f>
        <v>273</v>
      </c>
      <c r="F8" s="21">
        <f>VLOOKUP($A8,'[1]credit ethnic graded seats'!$A:$P,HLOOKUP(F$4,'[1]credit ethnic graded seats'!$1:$2,2,FALSE),FALSE)</f>
        <v>452</v>
      </c>
      <c r="G8" s="21">
        <f>VLOOKUP($A8,'[1]credit ethnic graded seats'!$A:$P,HLOOKUP(G$4,'[1]credit ethnic graded seats'!$1:$2,2,FALSE),FALSE)</f>
        <v>468</v>
      </c>
      <c r="H8" s="21">
        <f>VLOOKUP($A8,'[1]credit ethnic graded seats'!$A:$P,HLOOKUP(H$4,'[1]credit ethnic graded seats'!$1:$2,2,FALSE),FALSE)</f>
        <v>152</v>
      </c>
      <c r="I8" s="21">
        <f>VLOOKUP($A8,'[1]credit ethnic graded seats'!$A:$P,HLOOKUP(I$4,'[1]credit ethnic graded seats'!$1:$2,2,FALSE),FALSE)</f>
        <v>465</v>
      </c>
      <c r="J8" s="4">
        <f>VLOOKUP($A8,'[1]credit ethnic graded seats'!$A:$P,HLOOKUP(J$4,'[1]credit ethnic graded seats'!$1:$2,2,FALSE),FALSE)</f>
        <v>477</v>
      </c>
      <c r="K8" s="24">
        <f>VLOOKUP($A8,'[1]credit ethnic graded seats'!$A:$P,HLOOKUP(K$4,'[1]credit ethnic graded seats'!$1:$2,2,FALSE),FALSE)</f>
        <v>85</v>
      </c>
      <c r="L8" s="21">
        <f>VLOOKUP($A8,'[1]credit ethnic graded seats'!$A:$P,HLOOKUP(L$4,'[1]credit ethnic graded seats'!$1:$2,2,FALSE),FALSE)</f>
        <v>449</v>
      </c>
      <c r="M8" s="4">
        <f>VLOOKUP($A8,'[1]credit ethnic graded seats'!$A:$P,HLOOKUP(M$4,'[1]credit ethnic graded seats'!$1:$2,2,FALSE),FALSE)</f>
        <v>444</v>
      </c>
      <c r="N8" s="28">
        <f>VLOOKUP($A8,'[1]credit ethnic graded seats'!$A:$P,HLOOKUP(N$4,'[1]credit ethnic graded seats'!$1:$2,2,FALSE),FALSE)</f>
        <v>3</v>
      </c>
      <c r="O8" s="21">
        <f>VLOOKUP($A8,'[1]credit ethnic graded seats'!$A:$P,HLOOKUP(O$4,'[1]credit ethnic graded seats'!$1:$2,2,FALSE),FALSE)</f>
        <v>396</v>
      </c>
      <c r="P8" s="21">
        <f>VLOOKUP($A8,'[1]credit ethnic graded seats'!$A:$P,HLOOKUP(P$4,'[1]credit ethnic graded seats'!$1:$2,2,FALSE),FALSE)</f>
        <v>379</v>
      </c>
    </row>
    <row r="9" spans="1:16" x14ac:dyDescent="0.25">
      <c r="A9" s="13" t="s">
        <v>26</v>
      </c>
      <c r="B9" s="24">
        <f>VLOOKUP($A9,'[1]credit ethnic graded seats'!$A:$P,HLOOKUP(B$4,'[1]credit ethnic graded seats'!$1:$2,2,FALSE),FALSE)</f>
        <v>64</v>
      </c>
      <c r="C9" s="21">
        <f>VLOOKUP($A9,'[1]credit ethnic graded seats'!$A:$P,HLOOKUP(C$4,'[1]credit ethnic graded seats'!$1:$2,2,FALSE),FALSE)</f>
        <v>165</v>
      </c>
      <c r="D9" s="26">
        <f>VLOOKUP($A9,'[1]credit ethnic graded seats'!$A:$P,HLOOKUP(D$4,'[1]credit ethnic graded seats'!$1:$2,2,FALSE),FALSE)</f>
        <v>182</v>
      </c>
      <c r="E9" s="24">
        <f>VLOOKUP($A9,'[1]credit ethnic graded seats'!$A:$P,HLOOKUP(E$4,'[1]credit ethnic graded seats'!$1:$2,2,FALSE),FALSE)</f>
        <v>59</v>
      </c>
      <c r="F9" s="21">
        <f>VLOOKUP($A9,'[1]credit ethnic graded seats'!$A:$P,HLOOKUP(F$4,'[1]credit ethnic graded seats'!$1:$2,2,FALSE),FALSE)</f>
        <v>204</v>
      </c>
      <c r="G9" s="21">
        <f>VLOOKUP($A9,'[1]credit ethnic graded seats'!$A:$P,HLOOKUP(G$4,'[1]credit ethnic graded seats'!$1:$2,2,FALSE),FALSE)</f>
        <v>209</v>
      </c>
      <c r="H9" s="21">
        <f>VLOOKUP($A9,'[1]credit ethnic graded seats'!$A:$P,HLOOKUP(H$4,'[1]credit ethnic graded seats'!$1:$2,2,FALSE),FALSE)</f>
        <v>58</v>
      </c>
      <c r="I9" s="21">
        <f>VLOOKUP($A9,'[1]credit ethnic graded seats'!$A:$P,HLOOKUP(I$4,'[1]credit ethnic graded seats'!$1:$2,2,FALSE),FALSE)</f>
        <v>195</v>
      </c>
      <c r="J9" s="4">
        <f>VLOOKUP($A9,'[1]credit ethnic graded seats'!$A:$P,HLOOKUP(J$4,'[1]credit ethnic graded seats'!$1:$2,2,FALSE),FALSE)</f>
        <v>179</v>
      </c>
      <c r="K9" s="24">
        <f>VLOOKUP($A9,'[1]credit ethnic graded seats'!$A:$P,HLOOKUP(K$4,'[1]credit ethnic graded seats'!$1:$2,2,FALSE),FALSE)</f>
        <v>28</v>
      </c>
      <c r="L9" s="21">
        <f>VLOOKUP($A9,'[1]credit ethnic graded seats'!$A:$P,HLOOKUP(L$4,'[1]credit ethnic graded seats'!$1:$2,2,FALSE),FALSE)</f>
        <v>145</v>
      </c>
      <c r="M9" s="4">
        <f>VLOOKUP($A9,'[1]credit ethnic graded seats'!$A:$P,HLOOKUP(M$4,'[1]credit ethnic graded seats'!$1:$2,2,FALSE),FALSE)</f>
        <v>151</v>
      </c>
      <c r="N9" s="28">
        <f>VLOOKUP($A9,'[1]credit ethnic graded seats'!$A:$P,HLOOKUP(N$4,'[1]credit ethnic graded seats'!$1:$2,2,FALSE),FALSE)</f>
        <v>3</v>
      </c>
      <c r="O9" s="21">
        <f>VLOOKUP($A9,'[1]credit ethnic graded seats'!$A:$P,HLOOKUP(O$4,'[1]credit ethnic graded seats'!$1:$2,2,FALSE),FALSE)</f>
        <v>104</v>
      </c>
      <c r="P9" s="21">
        <f>VLOOKUP($A9,'[1]credit ethnic graded seats'!$A:$P,HLOOKUP(P$4,'[1]credit ethnic graded seats'!$1:$2,2,FALSE),FALSE)</f>
        <v>102</v>
      </c>
    </row>
    <row r="10" spans="1:16" x14ac:dyDescent="0.25">
      <c r="A10" s="13" t="s">
        <v>27</v>
      </c>
      <c r="B10" s="24">
        <f>VLOOKUP($A10,'[1]credit ethnic graded seats'!$A:$P,HLOOKUP(B$4,'[1]credit ethnic graded seats'!$1:$2,2,FALSE),FALSE)</f>
        <v>237</v>
      </c>
      <c r="C10" s="21">
        <f>VLOOKUP($A10,'[1]credit ethnic graded seats'!$A:$P,HLOOKUP(C$4,'[1]credit ethnic graded seats'!$1:$2,2,FALSE),FALSE)</f>
        <v>577</v>
      </c>
      <c r="D10" s="26">
        <f>VLOOKUP($A10,'[1]credit ethnic graded seats'!$A:$P,HLOOKUP(D$4,'[1]credit ethnic graded seats'!$1:$2,2,FALSE),FALSE)</f>
        <v>570</v>
      </c>
      <c r="E10" s="24">
        <f>VLOOKUP($A10,'[1]credit ethnic graded seats'!$A:$P,HLOOKUP(E$4,'[1]credit ethnic graded seats'!$1:$2,2,FALSE),FALSE)</f>
        <v>291</v>
      </c>
      <c r="F10" s="21">
        <f>VLOOKUP($A10,'[1]credit ethnic graded seats'!$A:$P,HLOOKUP(F$4,'[1]credit ethnic graded seats'!$1:$2,2,FALSE),FALSE)</f>
        <v>611</v>
      </c>
      <c r="G10" s="21">
        <f>VLOOKUP($A10,'[1]credit ethnic graded seats'!$A:$P,HLOOKUP(G$4,'[1]credit ethnic graded seats'!$1:$2,2,FALSE),FALSE)</f>
        <v>578</v>
      </c>
      <c r="H10" s="21">
        <f>VLOOKUP($A10,'[1]credit ethnic graded seats'!$A:$P,HLOOKUP(H$4,'[1]credit ethnic graded seats'!$1:$2,2,FALSE),FALSE)</f>
        <v>166</v>
      </c>
      <c r="I10" s="21">
        <f>VLOOKUP($A10,'[1]credit ethnic graded seats'!$A:$P,HLOOKUP(I$4,'[1]credit ethnic graded seats'!$1:$2,2,FALSE),FALSE)</f>
        <v>618</v>
      </c>
      <c r="J10" s="4">
        <f>VLOOKUP($A10,'[1]credit ethnic graded seats'!$A:$P,HLOOKUP(J$4,'[1]credit ethnic graded seats'!$1:$2,2,FALSE),FALSE)</f>
        <v>606</v>
      </c>
      <c r="K10" s="24">
        <f>VLOOKUP($A10,'[1]credit ethnic graded seats'!$A:$P,HLOOKUP(K$4,'[1]credit ethnic graded seats'!$1:$2,2,FALSE),FALSE)</f>
        <v>75</v>
      </c>
      <c r="L10" s="21">
        <f>VLOOKUP($A10,'[1]credit ethnic graded seats'!$A:$P,HLOOKUP(L$4,'[1]credit ethnic graded seats'!$1:$2,2,FALSE),FALSE)</f>
        <v>536</v>
      </c>
      <c r="M10" s="4">
        <f>VLOOKUP($A10,'[1]credit ethnic graded seats'!$A:$P,HLOOKUP(M$4,'[1]credit ethnic graded seats'!$1:$2,2,FALSE),FALSE)</f>
        <v>534</v>
      </c>
      <c r="N10" s="28">
        <f>VLOOKUP($A10,'[1]credit ethnic graded seats'!$A:$P,HLOOKUP(N$4,'[1]credit ethnic graded seats'!$1:$2,2,FALSE),FALSE)</f>
        <v>1</v>
      </c>
      <c r="O10" s="21">
        <f>VLOOKUP($A10,'[1]credit ethnic graded seats'!$A:$P,HLOOKUP(O$4,'[1]credit ethnic graded seats'!$1:$2,2,FALSE),FALSE)</f>
        <v>476</v>
      </c>
      <c r="P10" s="21">
        <f>VLOOKUP($A10,'[1]credit ethnic graded seats'!$A:$P,HLOOKUP(P$4,'[1]credit ethnic graded seats'!$1:$2,2,FALSE),FALSE)</f>
        <v>486</v>
      </c>
    </row>
    <row r="11" spans="1:16" x14ac:dyDescent="0.25">
      <c r="A11" s="13" t="s">
        <v>28</v>
      </c>
      <c r="B11" s="24">
        <f>VLOOKUP($A11,'[1]credit ethnic graded seats'!$A:$P,HLOOKUP(B$4,'[1]credit ethnic graded seats'!$1:$2,2,FALSE),FALSE)</f>
        <v>44</v>
      </c>
      <c r="C11" s="21">
        <f>VLOOKUP($A11,'[1]credit ethnic graded seats'!$A:$P,HLOOKUP(C$4,'[1]credit ethnic graded seats'!$1:$2,2,FALSE),FALSE)</f>
        <v>93</v>
      </c>
      <c r="D11" s="26">
        <f>VLOOKUP($A11,'[1]credit ethnic graded seats'!$A:$P,HLOOKUP(D$4,'[1]credit ethnic graded seats'!$1:$2,2,FALSE),FALSE)</f>
        <v>102</v>
      </c>
      <c r="E11" s="24">
        <f>VLOOKUP($A11,'[1]credit ethnic graded seats'!$A:$P,HLOOKUP(E$4,'[1]credit ethnic graded seats'!$1:$2,2,FALSE),FALSE)</f>
        <v>58</v>
      </c>
      <c r="F11" s="21">
        <f>VLOOKUP($A11,'[1]credit ethnic graded seats'!$A:$P,HLOOKUP(F$4,'[1]credit ethnic graded seats'!$1:$2,2,FALSE),FALSE)</f>
        <v>128</v>
      </c>
      <c r="G11" s="21">
        <f>VLOOKUP($A11,'[1]credit ethnic graded seats'!$A:$P,HLOOKUP(G$4,'[1]credit ethnic graded seats'!$1:$2,2,FALSE),FALSE)</f>
        <v>135</v>
      </c>
      <c r="H11" s="21">
        <f>VLOOKUP($A11,'[1]credit ethnic graded seats'!$A:$P,HLOOKUP(H$4,'[1]credit ethnic graded seats'!$1:$2,2,FALSE),FALSE)</f>
        <v>20</v>
      </c>
      <c r="I11" s="21">
        <f>VLOOKUP($A11,'[1]credit ethnic graded seats'!$A:$P,HLOOKUP(I$4,'[1]credit ethnic graded seats'!$1:$2,2,FALSE),FALSE)</f>
        <v>126</v>
      </c>
      <c r="J11" s="4">
        <f>VLOOKUP($A11,'[1]credit ethnic graded seats'!$A:$P,HLOOKUP(J$4,'[1]credit ethnic graded seats'!$1:$2,2,FALSE),FALSE)</f>
        <v>120</v>
      </c>
      <c r="K11" s="24">
        <f>VLOOKUP($A11,'[1]credit ethnic graded seats'!$A:$P,HLOOKUP(K$4,'[1]credit ethnic graded seats'!$1:$2,2,FALSE),FALSE)</f>
        <v>20</v>
      </c>
      <c r="L11" s="21">
        <f>VLOOKUP($A11,'[1]credit ethnic graded seats'!$A:$P,HLOOKUP(L$4,'[1]credit ethnic graded seats'!$1:$2,2,FALSE),FALSE)</f>
        <v>101</v>
      </c>
      <c r="M11" s="4">
        <f>VLOOKUP($A11,'[1]credit ethnic graded seats'!$A:$P,HLOOKUP(M$4,'[1]credit ethnic graded seats'!$1:$2,2,FALSE),FALSE)</f>
        <v>92</v>
      </c>
      <c r="N11" s="28">
        <f>VLOOKUP($A11,'[1]credit ethnic graded seats'!$A:$P,HLOOKUP(N$4,'[1]credit ethnic graded seats'!$1:$2,2,FALSE),FALSE)</f>
        <v>5</v>
      </c>
      <c r="O11" s="21">
        <f>VLOOKUP($A11,'[1]credit ethnic graded seats'!$A:$P,HLOOKUP(O$4,'[1]credit ethnic graded seats'!$1:$2,2,FALSE),FALSE)</f>
        <v>70</v>
      </c>
      <c r="P11" s="21">
        <f>VLOOKUP($A11,'[1]credit ethnic graded seats'!$A:$P,HLOOKUP(P$4,'[1]credit ethnic graded seats'!$1:$2,2,FALSE),FALSE)</f>
        <v>67</v>
      </c>
    </row>
    <row r="12" spans="1:16" x14ac:dyDescent="0.25">
      <c r="A12" s="13" t="s">
        <v>29</v>
      </c>
      <c r="B12" s="24">
        <f>VLOOKUP($A12,'[1]credit ethnic graded seats'!$A:$P,HLOOKUP(B$4,'[1]credit ethnic graded seats'!$1:$2,2,FALSE),FALSE)</f>
        <v>81</v>
      </c>
      <c r="C12" s="21">
        <f>VLOOKUP($A12,'[1]credit ethnic graded seats'!$A:$P,HLOOKUP(C$4,'[1]credit ethnic graded seats'!$1:$2,2,FALSE),FALSE)</f>
        <v>209</v>
      </c>
      <c r="D12" s="26">
        <f>VLOOKUP($A12,'[1]credit ethnic graded seats'!$A:$P,HLOOKUP(D$4,'[1]credit ethnic graded seats'!$1:$2,2,FALSE),FALSE)</f>
        <v>192</v>
      </c>
      <c r="E12" s="24">
        <f>VLOOKUP($A12,'[1]credit ethnic graded seats'!$A:$P,HLOOKUP(E$4,'[1]credit ethnic graded seats'!$1:$2,2,FALSE),FALSE)</f>
        <v>113</v>
      </c>
      <c r="F12" s="21">
        <f>VLOOKUP($A12,'[1]credit ethnic graded seats'!$A:$P,HLOOKUP(F$4,'[1]credit ethnic graded seats'!$1:$2,2,FALSE),FALSE)</f>
        <v>239</v>
      </c>
      <c r="G12" s="21">
        <f>VLOOKUP($A12,'[1]credit ethnic graded seats'!$A:$P,HLOOKUP(G$4,'[1]credit ethnic graded seats'!$1:$2,2,FALSE),FALSE)</f>
        <v>239</v>
      </c>
      <c r="H12" s="21">
        <f>VLOOKUP($A12,'[1]credit ethnic graded seats'!$A:$P,HLOOKUP(H$4,'[1]credit ethnic graded seats'!$1:$2,2,FALSE),FALSE)</f>
        <v>68</v>
      </c>
      <c r="I12" s="21">
        <f>VLOOKUP($A12,'[1]credit ethnic graded seats'!$A:$P,HLOOKUP(I$4,'[1]credit ethnic graded seats'!$1:$2,2,FALSE),FALSE)</f>
        <v>372</v>
      </c>
      <c r="J12" s="4">
        <f>VLOOKUP($A12,'[1]credit ethnic graded seats'!$A:$P,HLOOKUP(J$4,'[1]credit ethnic graded seats'!$1:$2,2,FALSE),FALSE)</f>
        <v>461</v>
      </c>
      <c r="K12" s="24">
        <f>VLOOKUP($A12,'[1]credit ethnic graded seats'!$A:$P,HLOOKUP(K$4,'[1]credit ethnic graded seats'!$1:$2,2,FALSE),FALSE)</f>
        <v>73</v>
      </c>
      <c r="L12" s="21">
        <f>VLOOKUP($A12,'[1]credit ethnic graded seats'!$A:$P,HLOOKUP(L$4,'[1]credit ethnic graded seats'!$1:$2,2,FALSE),FALSE)</f>
        <v>532</v>
      </c>
      <c r="M12" s="4">
        <f>VLOOKUP($A12,'[1]credit ethnic graded seats'!$A:$P,HLOOKUP(M$4,'[1]credit ethnic graded seats'!$1:$2,2,FALSE),FALSE)</f>
        <v>613</v>
      </c>
      <c r="N12" s="28">
        <f>VLOOKUP($A12,'[1]credit ethnic graded seats'!$A:$P,HLOOKUP(N$4,'[1]credit ethnic graded seats'!$1:$2,2,FALSE),FALSE)</f>
        <v>13</v>
      </c>
      <c r="O12" s="21">
        <f>VLOOKUP($A12,'[1]credit ethnic graded seats'!$A:$P,HLOOKUP(O$4,'[1]credit ethnic graded seats'!$1:$2,2,FALSE),FALSE)</f>
        <v>664</v>
      </c>
      <c r="P12" s="21">
        <f>VLOOKUP($A12,'[1]credit ethnic graded seats'!$A:$P,HLOOKUP(P$4,'[1]credit ethnic graded seats'!$1:$2,2,FALSE),FALSE)</f>
        <v>731</v>
      </c>
    </row>
    <row r="13" spans="1:16" ht="15.75" thickBot="1" x14ac:dyDescent="0.3">
      <c r="A13" s="14" t="s">
        <v>30</v>
      </c>
      <c r="B13" s="29">
        <f>VLOOKUP($A13,'[1]credit ethnic graded seats'!$A:$P,HLOOKUP(B$4,'[1]credit ethnic graded seats'!$1:$2,2,FALSE),FALSE)</f>
        <v>427</v>
      </c>
      <c r="C13" s="30">
        <f>VLOOKUP($A13,'[1]credit ethnic graded seats'!$A:$P,HLOOKUP(C$4,'[1]credit ethnic graded seats'!$1:$2,2,FALSE),FALSE)</f>
        <v>1069</v>
      </c>
      <c r="D13" s="31">
        <f>VLOOKUP($A13,'[1]credit ethnic graded seats'!$A:$P,HLOOKUP(D$4,'[1]credit ethnic graded seats'!$1:$2,2,FALSE),FALSE)</f>
        <v>1115</v>
      </c>
      <c r="E13" s="29">
        <f>VLOOKUP($A13,'[1]credit ethnic graded seats'!$A:$P,HLOOKUP(E$4,'[1]credit ethnic graded seats'!$1:$2,2,FALSE),FALSE)</f>
        <v>573</v>
      </c>
      <c r="F13" s="30">
        <f>VLOOKUP($A13,'[1]credit ethnic graded seats'!$A:$P,HLOOKUP(F$4,'[1]credit ethnic graded seats'!$1:$2,2,FALSE),FALSE)</f>
        <v>1322</v>
      </c>
      <c r="G13" s="30">
        <f>VLOOKUP($A13,'[1]credit ethnic graded seats'!$A:$P,HLOOKUP(G$4,'[1]credit ethnic graded seats'!$1:$2,2,FALSE),FALSE)</f>
        <v>1419</v>
      </c>
      <c r="H13" s="30">
        <f>VLOOKUP($A13,'[1]credit ethnic graded seats'!$A:$P,HLOOKUP(H$4,'[1]credit ethnic graded seats'!$1:$2,2,FALSE),FALSE)</f>
        <v>347</v>
      </c>
      <c r="I13" s="30">
        <f>VLOOKUP($A13,'[1]credit ethnic graded seats'!$A:$P,HLOOKUP(I$4,'[1]credit ethnic graded seats'!$1:$2,2,FALSE),FALSE)</f>
        <v>1485</v>
      </c>
      <c r="J13" s="32">
        <f>VLOOKUP($A13,'[1]credit ethnic graded seats'!$A:$P,HLOOKUP(J$4,'[1]credit ethnic graded seats'!$1:$2,2,FALSE),FALSE)</f>
        <v>1274</v>
      </c>
      <c r="K13" s="29">
        <f>VLOOKUP($A13,'[1]credit ethnic graded seats'!$A:$P,HLOOKUP(K$4,'[1]credit ethnic graded seats'!$1:$2,2,FALSE),FALSE)</f>
        <v>165</v>
      </c>
      <c r="L13" s="30">
        <f>VLOOKUP($A13,'[1]credit ethnic graded seats'!$A:$P,HLOOKUP(L$4,'[1]credit ethnic graded seats'!$1:$2,2,FALSE),FALSE)</f>
        <v>939</v>
      </c>
      <c r="M13" s="32">
        <f>VLOOKUP($A13,'[1]credit ethnic graded seats'!$A:$P,HLOOKUP(M$4,'[1]credit ethnic graded seats'!$1:$2,2,FALSE),FALSE)</f>
        <v>857</v>
      </c>
      <c r="N13" s="33">
        <f>VLOOKUP($A13,'[1]credit ethnic graded seats'!$A:$P,HLOOKUP(N$4,'[1]credit ethnic graded seats'!$1:$2,2,FALSE),FALSE)</f>
        <v>6</v>
      </c>
      <c r="O13" s="30">
        <f>VLOOKUP($A13,'[1]credit ethnic graded seats'!$A:$P,HLOOKUP(O$4,'[1]credit ethnic graded seats'!$1:$2,2,FALSE),FALSE)</f>
        <v>615</v>
      </c>
      <c r="P13" s="21">
        <f>VLOOKUP($A13,'[1]credit ethnic graded seats'!$A:$P,HLOOKUP(P$4,'[1]credit ethnic graded seats'!$1:$2,2,FALSE),FALSE)</f>
        <v>556</v>
      </c>
    </row>
    <row r="14" spans="1:16" ht="15.75" thickBot="1" x14ac:dyDescent="0.3">
      <c r="A14" s="19" t="s">
        <v>31</v>
      </c>
      <c r="B14" s="35">
        <f>VLOOKUP($A14,'[1]credit ethnic graded seats'!$A:$P,HLOOKUP(B$4,'[1]credit ethnic graded seats'!$1:$2,2,FALSE),FALSE)</f>
        <v>5652</v>
      </c>
      <c r="C14" s="36">
        <f>VLOOKUP($A14,'[1]credit ethnic graded seats'!$A:$P,HLOOKUP(C$4,'[1]credit ethnic graded seats'!$1:$2,2,FALSE),FALSE)</f>
        <v>14455</v>
      </c>
      <c r="D14" s="37">
        <f>VLOOKUP($A14,'[1]credit ethnic graded seats'!$A:$P,HLOOKUP(D$4,'[1]credit ethnic graded seats'!$1:$2,2,FALSE),FALSE)</f>
        <v>14445</v>
      </c>
      <c r="E14" s="35">
        <f>VLOOKUP($A14,'[1]credit ethnic graded seats'!$A:$P,HLOOKUP(E$4,'[1]credit ethnic graded seats'!$1:$2,2,FALSE),FALSE)</f>
        <v>6776</v>
      </c>
      <c r="F14" s="36">
        <f>VLOOKUP($A14,'[1]credit ethnic graded seats'!$A:$P,HLOOKUP(F$4,'[1]credit ethnic graded seats'!$1:$2,2,FALSE),FALSE)</f>
        <v>16170</v>
      </c>
      <c r="G14" s="36">
        <f>VLOOKUP($A14,'[1]credit ethnic graded seats'!$A:$P,HLOOKUP(G$4,'[1]credit ethnic graded seats'!$1:$2,2,FALSE),FALSE)</f>
        <v>17030</v>
      </c>
      <c r="H14" s="36">
        <f>VLOOKUP($A14,'[1]credit ethnic graded seats'!$A:$P,HLOOKUP(H$4,'[1]credit ethnic graded seats'!$1:$2,2,FALSE),FALSE)</f>
        <v>4030</v>
      </c>
      <c r="I14" s="36">
        <f>VLOOKUP($A14,'[1]credit ethnic graded seats'!$A:$P,HLOOKUP(I$4,'[1]credit ethnic graded seats'!$1:$2,2,FALSE),FALSE)</f>
        <v>17825</v>
      </c>
      <c r="J14" s="34">
        <f>VLOOKUP($A14,'[1]credit ethnic graded seats'!$A:$P,HLOOKUP(J$4,'[1]credit ethnic graded seats'!$1:$2,2,FALSE),FALSE)</f>
        <v>17541</v>
      </c>
      <c r="K14" s="35">
        <f>VLOOKUP($A14,'[1]credit ethnic graded seats'!$A:$P,HLOOKUP(K$4,'[1]credit ethnic graded seats'!$1:$2,2,FALSE),FALSE)</f>
        <v>2224</v>
      </c>
      <c r="L14" s="36">
        <f>VLOOKUP($A14,'[1]credit ethnic graded seats'!$A:$P,HLOOKUP(L$4,'[1]credit ethnic graded seats'!$1:$2,2,FALSE),FALSE)</f>
        <v>15947</v>
      </c>
      <c r="M14" s="34">
        <f>VLOOKUP($A14,'[1]credit ethnic graded seats'!$A:$P,HLOOKUP(M$4,'[1]credit ethnic graded seats'!$1:$2,2,FALSE),FALSE)</f>
        <v>16019</v>
      </c>
      <c r="N14" s="38">
        <f>VLOOKUP($A14,'[1]credit ethnic graded seats'!$A:$P,HLOOKUP(N$4,'[1]credit ethnic graded seats'!$1:$2,2,FALSE),FALSE)</f>
        <v>222</v>
      </c>
      <c r="O14" s="36">
        <f>VLOOKUP($A14,'[1]credit ethnic graded seats'!$A:$P,HLOOKUP(O$4,'[1]credit ethnic graded seats'!$1:$2,2,FALSE),FALSE)</f>
        <v>15021</v>
      </c>
      <c r="P14" s="36">
        <f>VLOOKUP($A14,'[1]credit ethnic graded seats'!$A:$P,HLOOKUP(P$4,'[1]credit ethnic graded seats'!$1:$2,2,FALSE),FALSE)</f>
        <v>15482</v>
      </c>
    </row>
    <row r="15" spans="1:16" ht="15.75" thickBot="1" x14ac:dyDescent="0.3">
      <c r="A15" s="20" t="s">
        <v>6</v>
      </c>
      <c r="B15" s="65">
        <f>[2]Sheet1!$B$7</f>
        <v>21297</v>
      </c>
      <c r="C15" s="66"/>
      <c r="D15" s="67"/>
      <c r="E15" s="68">
        <f>[2]Sheet1!$D$7</f>
        <v>24409</v>
      </c>
      <c r="F15" s="66"/>
      <c r="G15" s="69"/>
      <c r="H15" s="65">
        <f>[2]Sheet1!$F$7</f>
        <v>24067</v>
      </c>
      <c r="I15" s="66"/>
      <c r="J15" s="67"/>
      <c r="K15" s="68">
        <f>[2]Sheet1!$H$7</f>
        <v>21012</v>
      </c>
      <c r="L15" s="66"/>
      <c r="M15" s="69"/>
      <c r="N15" s="65">
        <f>[2]Sheet1!$J$7</f>
        <v>19534</v>
      </c>
      <c r="O15" s="66"/>
      <c r="P15" s="67"/>
    </row>
    <row r="16" spans="1:16" ht="15.75" thickBot="1" x14ac:dyDescent="0.3">
      <c r="A16" s="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ht="15.75" x14ac:dyDescent="0.25">
      <c r="A17" s="70" t="s">
        <v>32</v>
      </c>
      <c r="B17" s="73" t="s">
        <v>33</v>
      </c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5"/>
    </row>
    <row r="18" spans="1:16" ht="16.5" thickBot="1" x14ac:dyDescent="0.3">
      <c r="A18" s="71"/>
      <c r="B18" s="76" t="s">
        <v>0</v>
      </c>
      <c r="C18" s="77"/>
      <c r="D18" s="77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9"/>
    </row>
    <row r="19" spans="1:16" ht="15.75" thickBot="1" x14ac:dyDescent="0.3">
      <c r="A19" s="72"/>
      <c r="B19" s="80" t="s">
        <v>1</v>
      </c>
      <c r="C19" s="81"/>
      <c r="D19" s="82"/>
      <c r="E19" s="83" t="s">
        <v>2</v>
      </c>
      <c r="F19" s="84"/>
      <c r="G19" s="85"/>
      <c r="H19" s="86" t="s">
        <v>3</v>
      </c>
      <c r="I19" s="81"/>
      <c r="J19" s="87"/>
      <c r="K19" s="88" t="s">
        <v>4</v>
      </c>
      <c r="L19" s="84"/>
      <c r="M19" s="85"/>
      <c r="N19" s="86" t="s">
        <v>5</v>
      </c>
      <c r="O19" s="81"/>
      <c r="P19" s="82"/>
    </row>
    <row r="20" spans="1:16" ht="15.75" thickBot="1" x14ac:dyDescent="0.3">
      <c r="A20" s="8" t="s">
        <v>39</v>
      </c>
      <c r="B20" s="52" t="s">
        <v>7</v>
      </c>
      <c r="C20" s="53" t="s">
        <v>8</v>
      </c>
      <c r="D20" s="54" t="s">
        <v>9</v>
      </c>
      <c r="E20" s="55" t="s">
        <v>10</v>
      </c>
      <c r="F20" s="56" t="s">
        <v>11</v>
      </c>
      <c r="G20" s="57" t="s">
        <v>12</v>
      </c>
      <c r="H20" s="58" t="s">
        <v>13</v>
      </c>
      <c r="I20" s="53" t="s">
        <v>14</v>
      </c>
      <c r="J20" s="59" t="s">
        <v>15</v>
      </c>
      <c r="K20" s="60" t="s">
        <v>16</v>
      </c>
      <c r="L20" s="56" t="s">
        <v>17</v>
      </c>
      <c r="M20" s="57" t="s">
        <v>18</v>
      </c>
      <c r="N20" s="58" t="s">
        <v>19</v>
      </c>
      <c r="O20" s="53" t="s">
        <v>20</v>
      </c>
      <c r="P20" s="54" t="s">
        <v>21</v>
      </c>
    </row>
    <row r="21" spans="1:16" x14ac:dyDescent="0.25">
      <c r="A21" s="12" t="s">
        <v>22</v>
      </c>
      <c r="B21" s="5">
        <f>B5/B$14</f>
        <v>0.4600141542816702</v>
      </c>
      <c r="C21" s="39">
        <f t="shared" ref="C21:P22" si="0">C5/C$14</f>
        <v>0.47021791767554477</v>
      </c>
      <c r="D21" s="46">
        <f t="shared" si="0"/>
        <v>0.46445136725510555</v>
      </c>
      <c r="E21" s="5">
        <f t="shared" si="0"/>
        <v>0.42945690672963399</v>
      </c>
      <c r="F21" s="39">
        <f t="shared" si="0"/>
        <v>0.44842300556586273</v>
      </c>
      <c r="G21" s="6">
        <f t="shared" si="0"/>
        <v>0.44703464474456839</v>
      </c>
      <c r="H21" s="49">
        <f t="shared" si="0"/>
        <v>0.39975186104218363</v>
      </c>
      <c r="I21" s="39">
        <f t="shared" si="0"/>
        <v>0.43427769985974757</v>
      </c>
      <c r="J21" s="46">
        <f t="shared" si="0"/>
        <v>0.42956501909811301</v>
      </c>
      <c r="K21" s="5">
        <f t="shared" si="0"/>
        <v>0.37050359712230213</v>
      </c>
      <c r="L21" s="39">
        <f t="shared" si="0"/>
        <v>0.42879538471185802</v>
      </c>
      <c r="M21" s="6">
        <f t="shared" si="0"/>
        <v>0.41819089830825895</v>
      </c>
      <c r="N21" s="49">
        <f t="shared" si="0"/>
        <v>0.25225225225225223</v>
      </c>
      <c r="O21" s="39">
        <f t="shared" si="0"/>
        <v>0.40656414353238801</v>
      </c>
      <c r="P21" s="64">
        <f t="shared" si="0"/>
        <v>0.39478103604185505</v>
      </c>
    </row>
    <row r="22" spans="1:16" x14ac:dyDescent="0.25">
      <c r="A22" s="13" t="s">
        <v>23</v>
      </c>
      <c r="B22" s="45">
        <f t="shared" ref="B22:O22" si="1">B6/B$14</f>
        <v>0.27830856334041049</v>
      </c>
      <c r="C22" s="40">
        <f t="shared" si="1"/>
        <v>0.28363887928052578</v>
      </c>
      <c r="D22" s="47">
        <f t="shared" si="1"/>
        <v>0.28653513326410524</v>
      </c>
      <c r="E22" s="45">
        <f t="shared" si="1"/>
        <v>0.28586186540731995</v>
      </c>
      <c r="F22" s="40">
        <f t="shared" si="1"/>
        <v>0.29443413729128015</v>
      </c>
      <c r="G22" s="7">
        <f t="shared" si="1"/>
        <v>0.29565472695243689</v>
      </c>
      <c r="H22" s="50">
        <f t="shared" si="1"/>
        <v>0.30744416873449132</v>
      </c>
      <c r="I22" s="40">
        <f t="shared" si="1"/>
        <v>0.30608695652173912</v>
      </c>
      <c r="J22" s="47">
        <f t="shared" si="1"/>
        <v>0.31229690439541646</v>
      </c>
      <c r="K22" s="45">
        <f t="shared" si="1"/>
        <v>0.31744604316546765</v>
      </c>
      <c r="L22" s="40">
        <f t="shared" si="1"/>
        <v>0.33053238853702893</v>
      </c>
      <c r="M22" s="7">
        <f t="shared" si="1"/>
        <v>0.33641300955115799</v>
      </c>
      <c r="N22" s="50">
        <f t="shared" si="1"/>
        <v>0.27027027027027029</v>
      </c>
      <c r="O22" s="40">
        <f t="shared" si="1"/>
        <v>0.36642034485054259</v>
      </c>
      <c r="P22" s="40">
        <f t="shared" si="0"/>
        <v>0.3800542565560005</v>
      </c>
    </row>
    <row r="23" spans="1:16" x14ac:dyDescent="0.25">
      <c r="A23" s="13" t="s">
        <v>24</v>
      </c>
      <c r="B23" s="45">
        <f t="shared" ref="B23:P23" si="2">B7/B$14</f>
        <v>7.3956121726822366E-2</v>
      </c>
      <c r="C23" s="40">
        <f t="shared" si="2"/>
        <v>7.2431684538222074E-2</v>
      </c>
      <c r="D23" s="47">
        <f t="shared" si="2"/>
        <v>7.1858774662512975E-2</v>
      </c>
      <c r="E23" s="45">
        <f t="shared" si="2"/>
        <v>8.2939787485242028E-2</v>
      </c>
      <c r="F23" s="40">
        <f t="shared" si="2"/>
        <v>7.4335188620902909E-2</v>
      </c>
      <c r="G23" s="7">
        <f t="shared" si="2"/>
        <v>7.8332354668232532E-2</v>
      </c>
      <c r="H23" s="50">
        <f t="shared" si="2"/>
        <v>9.1563275434243183E-2</v>
      </c>
      <c r="I23" s="40">
        <f t="shared" si="2"/>
        <v>7.669004207573632E-2</v>
      </c>
      <c r="J23" s="47">
        <f t="shared" si="2"/>
        <v>8.0440111738213332E-2</v>
      </c>
      <c r="K23" s="45">
        <f t="shared" si="2"/>
        <v>0.11151079136690648</v>
      </c>
      <c r="L23" s="40">
        <f t="shared" si="2"/>
        <v>7.12359691478021E-2</v>
      </c>
      <c r="M23" s="7">
        <f t="shared" si="2"/>
        <v>7.7408077907484857E-2</v>
      </c>
      <c r="N23" s="50">
        <f t="shared" si="2"/>
        <v>0.33783783783783783</v>
      </c>
      <c r="O23" s="40">
        <f t="shared" si="2"/>
        <v>7.2232208241794826E-2</v>
      </c>
      <c r="P23" s="40">
        <f t="shared" si="2"/>
        <v>7.524867588166903E-2</v>
      </c>
    </row>
    <row r="24" spans="1:16" x14ac:dyDescent="0.25">
      <c r="A24" s="13" t="s">
        <v>25</v>
      </c>
      <c r="B24" s="45">
        <f t="shared" ref="B24:P24" si="3">B8/B$14</f>
        <v>3.680113234253362E-2</v>
      </c>
      <c r="C24" s="40">
        <f t="shared" si="3"/>
        <v>2.7533725354548601E-2</v>
      </c>
      <c r="D24" s="47">
        <f t="shared" si="3"/>
        <v>2.7552786431291103E-2</v>
      </c>
      <c r="E24" s="45">
        <f t="shared" si="3"/>
        <v>4.0289256198347105E-2</v>
      </c>
      <c r="F24" s="40">
        <f t="shared" si="3"/>
        <v>2.7952999381570809E-2</v>
      </c>
      <c r="G24" s="7">
        <f t="shared" si="3"/>
        <v>2.748091603053435E-2</v>
      </c>
      <c r="H24" s="50">
        <f t="shared" si="3"/>
        <v>3.7717121588089333E-2</v>
      </c>
      <c r="I24" s="40">
        <f t="shared" si="3"/>
        <v>2.6086956521739129E-2</v>
      </c>
      <c r="J24" s="47">
        <f t="shared" si="3"/>
        <v>2.719343252950231E-2</v>
      </c>
      <c r="K24" s="45">
        <f t="shared" si="3"/>
        <v>3.8219424460431653E-2</v>
      </c>
      <c r="L24" s="40">
        <f t="shared" si="3"/>
        <v>2.8155765974791497E-2</v>
      </c>
      <c r="M24" s="7">
        <f t="shared" si="3"/>
        <v>2.7717085960421998E-2</v>
      </c>
      <c r="N24" s="50">
        <f t="shared" si="3"/>
        <v>1.3513513513513514E-2</v>
      </c>
      <c r="O24" s="40">
        <f t="shared" si="3"/>
        <v>2.6363091671659677E-2</v>
      </c>
      <c r="P24" s="40">
        <f t="shared" si="3"/>
        <v>2.448004133832838E-2</v>
      </c>
    </row>
    <row r="25" spans="1:16" x14ac:dyDescent="0.25">
      <c r="A25" s="13" t="s">
        <v>26</v>
      </c>
      <c r="B25" s="45">
        <f t="shared" ref="B25:P25" si="4">B9/B$14</f>
        <v>1.132342533616419E-2</v>
      </c>
      <c r="C25" s="40">
        <f t="shared" si="4"/>
        <v>1.1414735385679695E-2</v>
      </c>
      <c r="D25" s="47">
        <f t="shared" si="4"/>
        <v>1.2599515403253721E-2</v>
      </c>
      <c r="E25" s="45">
        <f t="shared" si="4"/>
        <v>8.7072018890200706E-3</v>
      </c>
      <c r="F25" s="40">
        <f t="shared" si="4"/>
        <v>1.2615955473098329E-2</v>
      </c>
      <c r="G25" s="7">
        <f t="shared" si="4"/>
        <v>1.2272460364063417E-2</v>
      </c>
      <c r="H25" s="50">
        <f t="shared" si="4"/>
        <v>1.4392059553349877E-2</v>
      </c>
      <c r="I25" s="40">
        <f t="shared" si="4"/>
        <v>1.093969144460028E-2</v>
      </c>
      <c r="J25" s="47">
        <f t="shared" si="4"/>
        <v>1.0204663360127701E-2</v>
      </c>
      <c r="K25" s="45">
        <f t="shared" si="4"/>
        <v>1.2589928057553957E-2</v>
      </c>
      <c r="L25" s="40">
        <f t="shared" si="4"/>
        <v>9.0926193014360061E-3</v>
      </c>
      <c r="M25" s="7">
        <f t="shared" si="4"/>
        <v>9.4263062613146893E-3</v>
      </c>
      <c r="N25" s="50">
        <f t="shared" si="4"/>
        <v>1.3513513513513514E-2</v>
      </c>
      <c r="O25" s="40">
        <f t="shared" si="4"/>
        <v>6.9236402370015313E-3</v>
      </c>
      <c r="P25" s="40">
        <f t="shared" si="4"/>
        <v>6.5882960857770317E-3</v>
      </c>
    </row>
    <row r="26" spans="1:16" x14ac:dyDescent="0.25">
      <c r="A26" s="13" t="s">
        <v>27</v>
      </c>
      <c r="B26" s="45">
        <f t="shared" ref="B26:P26" si="5">B10/B$14</f>
        <v>4.1932059447983012E-2</v>
      </c>
      <c r="C26" s="40">
        <f t="shared" si="5"/>
        <v>3.9916983742649605E-2</v>
      </c>
      <c r="D26" s="47">
        <f t="shared" si="5"/>
        <v>3.9460020768431983E-2</v>
      </c>
      <c r="E26" s="45">
        <f t="shared" si="5"/>
        <v>4.2945690672963402E-2</v>
      </c>
      <c r="F26" s="40">
        <f t="shared" si="5"/>
        <v>3.7786023500309213E-2</v>
      </c>
      <c r="G26" s="7">
        <f t="shared" si="5"/>
        <v>3.3940105695830884E-2</v>
      </c>
      <c r="H26" s="50">
        <f t="shared" si="5"/>
        <v>4.1191066997518608E-2</v>
      </c>
      <c r="I26" s="40">
        <f t="shared" si="5"/>
        <v>3.4670406732117812E-2</v>
      </c>
      <c r="J26" s="47">
        <f t="shared" si="5"/>
        <v>3.4547631263896018E-2</v>
      </c>
      <c r="K26" s="45">
        <f t="shared" si="5"/>
        <v>3.3723021582733811E-2</v>
      </c>
      <c r="L26" s="40">
        <f t="shared" si="5"/>
        <v>3.3611337555653098E-2</v>
      </c>
      <c r="M26" s="7">
        <f t="shared" si="5"/>
        <v>3.3335414195642676E-2</v>
      </c>
      <c r="N26" s="50">
        <f t="shared" si="5"/>
        <v>4.5045045045045045E-3</v>
      </c>
      <c r="O26" s="40">
        <f t="shared" si="5"/>
        <v>3.1688968777045468E-2</v>
      </c>
      <c r="P26" s="40">
        <f t="shared" si="5"/>
        <v>3.1391293114584676E-2</v>
      </c>
    </row>
    <row r="27" spans="1:16" x14ac:dyDescent="0.25">
      <c r="A27" s="13" t="s">
        <v>28</v>
      </c>
      <c r="B27" s="45">
        <f t="shared" ref="B27:P27" si="6">B11/B$14</f>
        <v>7.7848549186128801E-3</v>
      </c>
      <c r="C27" s="40">
        <f t="shared" si="6"/>
        <v>6.4337599446558282E-3</v>
      </c>
      <c r="D27" s="47">
        <f t="shared" si="6"/>
        <v>7.0612668743509866E-3</v>
      </c>
      <c r="E27" s="45">
        <f t="shared" si="6"/>
        <v>8.5596221959858328E-3</v>
      </c>
      <c r="F27" s="40">
        <f t="shared" si="6"/>
        <v>7.9158936301793447E-3</v>
      </c>
      <c r="G27" s="7">
        <f t="shared" si="6"/>
        <v>7.9271873165002935E-3</v>
      </c>
      <c r="H27" s="50">
        <f t="shared" si="6"/>
        <v>4.9627791563275434E-3</v>
      </c>
      <c r="I27" s="40">
        <f t="shared" si="6"/>
        <v>7.0687237026647969E-3</v>
      </c>
      <c r="J27" s="47">
        <f t="shared" si="6"/>
        <v>6.841115101761587E-3</v>
      </c>
      <c r="K27" s="45">
        <f t="shared" si="6"/>
        <v>8.9928057553956831E-3</v>
      </c>
      <c r="L27" s="40">
        <f t="shared" si="6"/>
        <v>6.3334796513450807E-3</v>
      </c>
      <c r="M27" s="7">
        <f t="shared" si="6"/>
        <v>5.7431799737811349E-3</v>
      </c>
      <c r="N27" s="50">
        <f t="shared" si="6"/>
        <v>2.2522522522522521E-2</v>
      </c>
      <c r="O27" s="40">
        <f t="shared" si="6"/>
        <v>4.6601424672125689E-3</v>
      </c>
      <c r="P27" s="40">
        <f t="shared" si="6"/>
        <v>4.3276062524221677E-3</v>
      </c>
    </row>
    <row r="28" spans="1:16" x14ac:dyDescent="0.25">
      <c r="A28" s="13" t="s">
        <v>29</v>
      </c>
      <c r="B28" s="45">
        <f t="shared" ref="B28:P28" si="7">B12/B$14</f>
        <v>1.4331210191082803E-2</v>
      </c>
      <c r="C28" s="40">
        <f t="shared" si="7"/>
        <v>1.4458664821860949E-2</v>
      </c>
      <c r="D28" s="47">
        <f t="shared" si="7"/>
        <v>1.3291796469366563E-2</v>
      </c>
      <c r="E28" s="45">
        <f t="shared" si="7"/>
        <v>1.6676505312868951E-2</v>
      </c>
      <c r="F28" s="40">
        <f t="shared" si="7"/>
        <v>1.4780457637600495E-2</v>
      </c>
      <c r="G28" s="7">
        <f t="shared" si="7"/>
        <v>1.4034057545507928E-2</v>
      </c>
      <c r="H28" s="50">
        <f t="shared" si="7"/>
        <v>1.6873449131513649E-2</v>
      </c>
      <c r="I28" s="40">
        <f t="shared" si="7"/>
        <v>2.0869565217391306E-2</v>
      </c>
      <c r="J28" s="47">
        <f t="shared" si="7"/>
        <v>2.628128384926743E-2</v>
      </c>
      <c r="K28" s="45">
        <f t="shared" si="7"/>
        <v>3.2823741007194242E-2</v>
      </c>
      <c r="L28" s="40">
        <f t="shared" si="7"/>
        <v>3.3360506678372107E-2</v>
      </c>
      <c r="M28" s="7">
        <f t="shared" si="7"/>
        <v>3.8267057868780825E-2</v>
      </c>
      <c r="N28" s="50">
        <f t="shared" si="7"/>
        <v>5.8558558558558557E-2</v>
      </c>
      <c r="O28" s="40">
        <f t="shared" si="7"/>
        <v>4.4204779974702083E-2</v>
      </c>
      <c r="P28" s="40">
        <f t="shared" si="7"/>
        <v>4.7216121948068727E-2</v>
      </c>
    </row>
    <row r="29" spans="1:16" ht="15.75" thickBot="1" x14ac:dyDescent="0.3">
      <c r="A29" s="14" t="s">
        <v>30</v>
      </c>
      <c r="B29" s="42">
        <f t="shared" ref="B29:P29" si="8">B13/B$14</f>
        <v>7.5548478414720455E-2</v>
      </c>
      <c r="C29" s="44">
        <f t="shared" si="8"/>
        <v>7.395364925631269E-2</v>
      </c>
      <c r="D29" s="48">
        <f t="shared" si="8"/>
        <v>7.7189338871581858E-2</v>
      </c>
      <c r="E29" s="42">
        <f t="shared" si="8"/>
        <v>8.4563164108618652E-2</v>
      </c>
      <c r="F29" s="44">
        <f t="shared" si="8"/>
        <v>8.1756338899196049E-2</v>
      </c>
      <c r="G29" s="41">
        <f t="shared" si="8"/>
        <v>8.3323546682325306E-2</v>
      </c>
      <c r="H29" s="51">
        <f t="shared" si="8"/>
        <v>8.6104218362282881E-2</v>
      </c>
      <c r="I29" s="44">
        <f t="shared" si="8"/>
        <v>8.330995792426367E-2</v>
      </c>
      <c r="J29" s="48">
        <f t="shared" si="8"/>
        <v>7.2629838663702179E-2</v>
      </c>
      <c r="K29" s="42">
        <f t="shared" si="8"/>
        <v>7.4190647482014385E-2</v>
      </c>
      <c r="L29" s="44">
        <f t="shared" si="8"/>
        <v>5.8882548441713173E-2</v>
      </c>
      <c r="M29" s="41">
        <f t="shared" si="8"/>
        <v>5.3498969973156875E-2</v>
      </c>
      <c r="N29" s="51">
        <f t="shared" si="8"/>
        <v>2.7027027027027029E-2</v>
      </c>
      <c r="O29" s="44">
        <f t="shared" si="8"/>
        <v>4.0942680247653282E-2</v>
      </c>
      <c r="P29" s="44">
        <f t="shared" si="8"/>
        <v>3.5912672781294404E-2</v>
      </c>
    </row>
    <row r="30" spans="1:16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.75" x14ac:dyDescent="0.25">
      <c r="A31" s="70" t="s">
        <v>34</v>
      </c>
      <c r="B31" s="73" t="s">
        <v>34</v>
      </c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5"/>
    </row>
    <row r="32" spans="1:16" ht="16.5" thickBot="1" x14ac:dyDescent="0.3">
      <c r="A32" s="71"/>
      <c r="B32" s="76" t="s">
        <v>0</v>
      </c>
      <c r="C32" s="77"/>
      <c r="D32" s="77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9"/>
    </row>
    <row r="33" spans="1:16" ht="15.75" thickBot="1" x14ac:dyDescent="0.3">
      <c r="A33" s="72"/>
      <c r="B33" s="80" t="s">
        <v>1</v>
      </c>
      <c r="C33" s="81"/>
      <c r="D33" s="82"/>
      <c r="E33" s="83" t="s">
        <v>2</v>
      </c>
      <c r="F33" s="84"/>
      <c r="G33" s="85"/>
      <c r="H33" s="86" t="s">
        <v>3</v>
      </c>
      <c r="I33" s="81"/>
      <c r="J33" s="87"/>
      <c r="K33" s="88" t="s">
        <v>4</v>
      </c>
      <c r="L33" s="84"/>
      <c r="M33" s="85"/>
      <c r="N33" s="86" t="s">
        <v>5</v>
      </c>
      <c r="O33" s="81"/>
      <c r="P33" s="82"/>
    </row>
    <row r="34" spans="1:16" ht="15.75" thickBot="1" x14ac:dyDescent="0.3">
      <c r="A34" s="2" t="s">
        <v>38</v>
      </c>
      <c r="B34" s="52" t="s">
        <v>7</v>
      </c>
      <c r="C34" s="53" t="s">
        <v>8</v>
      </c>
      <c r="D34" s="54" t="s">
        <v>9</v>
      </c>
      <c r="E34" s="55" t="s">
        <v>10</v>
      </c>
      <c r="F34" s="56" t="s">
        <v>11</v>
      </c>
      <c r="G34" s="57" t="s">
        <v>12</v>
      </c>
      <c r="H34" s="52" t="s">
        <v>13</v>
      </c>
      <c r="I34" s="53" t="s">
        <v>14</v>
      </c>
      <c r="J34" s="54" t="s">
        <v>15</v>
      </c>
      <c r="K34" s="60" t="s">
        <v>16</v>
      </c>
      <c r="L34" s="56" t="s">
        <v>17</v>
      </c>
      <c r="M34" s="57" t="s">
        <v>18</v>
      </c>
      <c r="N34" s="52" t="s">
        <v>19</v>
      </c>
      <c r="O34" s="53" t="s">
        <v>20</v>
      </c>
      <c r="P34" s="54" t="s">
        <v>21</v>
      </c>
    </row>
    <row r="35" spans="1:16" x14ac:dyDescent="0.25">
      <c r="A35" s="12" t="s">
        <v>22</v>
      </c>
      <c r="B35" s="16">
        <f>VLOOKUP($A35,'[3]success rates'!$A:$P,HLOOKUP(B$34,'[3]success rates'!$1:$2,2,FALSE),FALSE)</f>
        <v>0.79635258358662619</v>
      </c>
      <c r="C35" s="16">
        <f>VLOOKUP($A35,'[3]success rates'!$A:$P,HLOOKUP(C$34,'[3]success rates'!$1:$2,2,FALSE),FALSE)</f>
        <v>0.66451977401129947</v>
      </c>
      <c r="D35" s="16">
        <f>VLOOKUP($A35,'[3]success rates'!$A:$P,HLOOKUP(D$34,'[3]success rates'!$1:$2,2,FALSE),FALSE)</f>
        <v>0.68676300578034677</v>
      </c>
      <c r="E35" s="16">
        <f>VLOOKUP($A35,'[3]success rates'!$A:$P,HLOOKUP(E$34,'[3]success rates'!$1:$2,2,FALSE),FALSE)</f>
        <v>0.8290268051195363</v>
      </c>
      <c r="F35" s="16">
        <f>VLOOKUP($A35,'[3]success rates'!$A:$P,HLOOKUP(F$34,'[3]success rates'!$1:$2,2,FALSE),FALSE)</f>
        <v>0.69296661334434184</v>
      </c>
      <c r="G35" s="16">
        <f>VLOOKUP($A35,'[3]success rates'!$A:$P,HLOOKUP(G$34,'[3]success rates'!$1:$2,2,FALSE),FALSE)</f>
        <v>0.70260259765914368</v>
      </c>
      <c r="H35" s="16">
        <f>VLOOKUP($A35,'[3]success rates'!$A:$P,HLOOKUP(H$34,'[3]success rates'!$1:$2,2,FALSE),FALSE)</f>
        <v>0.82904761904761903</v>
      </c>
      <c r="I35" s="16">
        <f>VLOOKUP($A35,'[3]success rates'!$A:$P,HLOOKUP(I$34,'[3]success rates'!$1:$2,2,FALSE),FALSE)</f>
        <v>0.70394215068812693</v>
      </c>
      <c r="J35" s="16">
        <f>VLOOKUP($A35,'[3]success rates'!$A:$P,HLOOKUP(J$34,'[3]success rates'!$1:$2,2,FALSE),FALSE)</f>
        <v>0.69928574899178852</v>
      </c>
      <c r="K35" s="16">
        <f>VLOOKUP($A35,'[3]success rates'!$A:$P,HLOOKUP(K$34,'[3]success rates'!$1:$2,2,FALSE),FALSE)</f>
        <v>0.85126286248830685</v>
      </c>
      <c r="L35" s="16">
        <f>VLOOKUP($A35,'[3]success rates'!$A:$P,HLOOKUP(L$34,'[3]success rates'!$1:$2,2,FALSE),FALSE)</f>
        <v>0.73313230305314736</v>
      </c>
      <c r="M35" s="16">
        <f>VLOOKUP($A35,'[3]success rates'!$A:$P,HLOOKUP(M$34,'[3]success rates'!$1:$2,2,FALSE),FALSE)</f>
        <v>0.71542271943006619</v>
      </c>
      <c r="N35" s="16">
        <f>VLOOKUP($A35,'[3]success rates'!$A:$P,HLOOKUP(N$34,'[3]success rates'!$1:$2,2,FALSE),FALSE)</f>
        <v>0.97468354430379744</v>
      </c>
      <c r="O35" s="16">
        <f>VLOOKUP($A35,'[3]success rates'!$A:$P,HLOOKUP(O$34,'[3]success rates'!$1:$2,2,FALSE),FALSE)</f>
        <v>0.74094081942336876</v>
      </c>
      <c r="P35" s="16">
        <f>VLOOKUP($A35,'[3]success rates'!$A:$P,HLOOKUP(P$34,'[3]success rates'!$1:$2,2,FALSE),FALSE)</f>
        <v>0.7133497625773878</v>
      </c>
    </row>
    <row r="36" spans="1:16" x14ac:dyDescent="0.25">
      <c r="A36" s="13" t="s">
        <v>23</v>
      </c>
      <c r="B36" s="16">
        <f>VLOOKUP($A36,'[3]success rates'!$A:$P,HLOOKUP(B$34,'[3]success rates'!$1:$2,2,FALSE),FALSE)</f>
        <v>0.76996805111821087</v>
      </c>
      <c r="C36" s="16">
        <f>VLOOKUP($A36,'[3]success rates'!$A:$P,HLOOKUP(C$34,'[3]success rates'!$1:$2,2,FALSE),FALSE)</f>
        <v>0.61170666919647088</v>
      </c>
      <c r="D36" s="16">
        <f>VLOOKUP($A36,'[3]success rates'!$A:$P,HLOOKUP(D$34,'[3]success rates'!$1:$2,2,FALSE),FALSE)</f>
        <v>0.62372593431483581</v>
      </c>
      <c r="E36" s="16">
        <f>VLOOKUP($A36,'[3]success rates'!$A:$P,HLOOKUP(E$34,'[3]success rates'!$1:$2,2,FALSE),FALSE)</f>
        <v>0.77491844871330195</v>
      </c>
      <c r="F36" s="16">
        <f>VLOOKUP($A36,'[3]success rates'!$A:$P,HLOOKUP(F$34,'[3]success rates'!$1:$2,2,FALSE),FALSE)</f>
        <v>0.62261763542902337</v>
      </c>
      <c r="G36" s="16">
        <f>VLOOKUP($A36,'[3]success rates'!$A:$P,HLOOKUP(G$34,'[3]success rates'!$1:$2,2,FALSE),FALSE)</f>
        <v>0.63615390340105682</v>
      </c>
      <c r="H36" s="16">
        <f>VLOOKUP($A36,'[3]success rates'!$A:$P,HLOOKUP(H$34,'[3]success rates'!$1:$2,2,FALSE),FALSE)</f>
        <v>0.77743526510480887</v>
      </c>
      <c r="I36" s="16">
        <f>VLOOKUP($A36,'[3]success rates'!$A:$P,HLOOKUP(I$34,'[3]success rates'!$1:$2,2,FALSE),FALSE)</f>
        <v>0.65340033500837524</v>
      </c>
      <c r="J36" s="16">
        <f>VLOOKUP($A36,'[3]success rates'!$A:$P,HLOOKUP(J$34,'[3]success rates'!$1:$2,2,FALSE),FALSE)</f>
        <v>0.63859367689325575</v>
      </c>
      <c r="K36" s="16">
        <f>VLOOKUP($A36,'[3]success rates'!$A:$P,HLOOKUP(K$34,'[3]success rates'!$1:$2,2,FALSE),FALSE)</f>
        <v>0.81284606866002218</v>
      </c>
      <c r="L36" s="16">
        <f>VLOOKUP($A36,'[3]success rates'!$A:$P,HLOOKUP(L$34,'[3]success rates'!$1:$2,2,FALSE),FALSE)</f>
        <v>0.68429809358752169</v>
      </c>
      <c r="M36" s="16">
        <f>VLOOKUP($A36,'[3]success rates'!$A:$P,HLOOKUP(M$34,'[3]success rates'!$1:$2,2,FALSE),FALSE)</f>
        <v>0.66582999796485987</v>
      </c>
      <c r="N36" s="16">
        <f>VLOOKUP($A36,'[3]success rates'!$A:$P,HLOOKUP(N$34,'[3]success rates'!$1:$2,2,FALSE),FALSE)</f>
        <v>0.95918367346938771</v>
      </c>
      <c r="O36" s="16">
        <f>VLOOKUP($A36,'[3]success rates'!$A:$P,HLOOKUP(O$34,'[3]success rates'!$1:$2,2,FALSE),FALSE)</f>
        <v>0.69332527531560573</v>
      </c>
      <c r="P36" s="16">
        <f>VLOOKUP($A36,'[3]success rates'!$A:$P,HLOOKUP(P$34,'[3]success rates'!$1:$2,2,FALSE),FALSE)</f>
        <v>0.6620642684663488</v>
      </c>
    </row>
    <row r="37" spans="1:16" x14ac:dyDescent="0.25">
      <c r="A37" s="13" t="s">
        <v>24</v>
      </c>
      <c r="B37" s="16">
        <f>VLOOKUP($A37,'[3]success rates'!$A:$P,HLOOKUP(B$34,'[3]success rates'!$1:$2,2,FALSE),FALSE)</f>
        <v>0.69387755102040816</v>
      </c>
      <c r="C37" s="16">
        <f>VLOOKUP($A37,'[3]success rates'!$A:$P,HLOOKUP(C$34,'[3]success rates'!$1:$2,2,FALSE),FALSE)</f>
        <v>0.49529885829415715</v>
      </c>
      <c r="D37" s="16">
        <f>VLOOKUP($A37,'[3]success rates'!$A:$P,HLOOKUP(D$34,'[3]success rates'!$1:$2,2,FALSE),FALSE)</f>
        <v>0.53080724876441521</v>
      </c>
      <c r="E37" s="16">
        <f>VLOOKUP($A37,'[3]success rates'!$A:$P,HLOOKUP(E$34,'[3]success rates'!$1:$2,2,FALSE),FALSE)</f>
        <v>0.70138150903294372</v>
      </c>
      <c r="F37" s="16">
        <f>VLOOKUP($A37,'[3]success rates'!$A:$P,HLOOKUP(F$34,'[3]success rates'!$1:$2,2,FALSE),FALSE)</f>
        <v>0.50451722190852621</v>
      </c>
      <c r="G37" s="16">
        <f>VLOOKUP($A37,'[3]success rates'!$A:$P,HLOOKUP(G$34,'[3]success rates'!$1:$2,2,FALSE),FALSE)</f>
        <v>0.51260716086737268</v>
      </c>
      <c r="H37" s="16">
        <f>VLOOKUP($A37,'[3]success rates'!$A:$P,HLOOKUP(H$34,'[3]success rates'!$1:$2,2,FALSE),FALSE)</f>
        <v>0.75947281713344317</v>
      </c>
      <c r="I37" s="16">
        <f>VLOOKUP($A37,'[3]success rates'!$A:$P,HLOOKUP(I$34,'[3]success rates'!$1:$2,2,FALSE),FALSE)</f>
        <v>0.56447204968944098</v>
      </c>
      <c r="J37" s="16">
        <f>VLOOKUP($A37,'[3]success rates'!$A:$P,HLOOKUP(J$34,'[3]success rates'!$1:$2,2,FALSE),FALSE)</f>
        <v>0.52838740458015265</v>
      </c>
      <c r="K37" s="16">
        <f>VLOOKUP($A37,'[3]success rates'!$A:$P,HLOOKUP(K$34,'[3]success rates'!$1:$2,2,FALSE),FALSE)</f>
        <v>0.77936962750716332</v>
      </c>
      <c r="L37" s="16">
        <f>VLOOKUP($A37,'[3]success rates'!$A:$P,HLOOKUP(L$34,'[3]success rates'!$1:$2,2,FALSE),FALSE)</f>
        <v>0.61811505507955933</v>
      </c>
      <c r="M37" s="16">
        <f>VLOOKUP($A37,'[3]success rates'!$A:$P,HLOOKUP(M$34,'[3]success rates'!$1:$2,2,FALSE),FALSE)</f>
        <v>0.56989247311827962</v>
      </c>
      <c r="N37" s="16">
        <f>VLOOKUP($A37,'[3]success rates'!$A:$P,HLOOKUP(N$34,'[3]success rates'!$1:$2,2,FALSE),FALSE)</f>
        <v>0.96491228070175439</v>
      </c>
      <c r="O37" s="16">
        <f>VLOOKUP($A37,'[3]success rates'!$A:$P,HLOOKUP(O$34,'[3]success rates'!$1:$2,2,FALSE),FALSE)</f>
        <v>0.58984375</v>
      </c>
      <c r="P37" s="16">
        <f>VLOOKUP($A37,'[3]success rates'!$A:$P,HLOOKUP(P$34,'[3]success rates'!$1:$2,2,FALSE),FALSE)</f>
        <v>0.54891956782713081</v>
      </c>
    </row>
    <row r="38" spans="1:16" x14ac:dyDescent="0.25">
      <c r="A38" s="13" t="s">
        <v>25</v>
      </c>
      <c r="B38" s="16">
        <f>VLOOKUP($A38,'[3]success rates'!$A:$P,HLOOKUP(B$34,'[3]success rates'!$1:$2,2,FALSE),FALSE)</f>
        <v>0.81756756756756754</v>
      </c>
      <c r="C38" s="16">
        <f>VLOOKUP($A38,'[3]success rates'!$A:$P,HLOOKUP(C$34,'[3]success rates'!$1:$2,2,FALSE),FALSE)</f>
        <v>0.72248803827751196</v>
      </c>
      <c r="D38" s="16">
        <f>VLOOKUP($A38,'[3]success rates'!$A:$P,HLOOKUP(D$34,'[3]success rates'!$1:$2,2,FALSE),FALSE)</f>
        <v>0.72456813819577737</v>
      </c>
      <c r="E38" s="16">
        <f>VLOOKUP($A38,'[3]success rates'!$A:$P,HLOOKUP(E$34,'[3]success rates'!$1:$2,2,FALSE),FALSE)</f>
        <v>0.84293193717277481</v>
      </c>
      <c r="F38" s="16">
        <f>VLOOKUP($A38,'[3]success rates'!$A:$P,HLOOKUP(F$34,'[3]success rates'!$1:$2,2,FALSE),FALSE)</f>
        <v>0.7404902789518174</v>
      </c>
      <c r="G38" s="16">
        <f>VLOOKUP($A38,'[3]success rates'!$A:$P,HLOOKUP(G$34,'[3]success rates'!$1:$2,2,FALSE),FALSE)</f>
        <v>0.73892773892773889</v>
      </c>
      <c r="H38" s="16">
        <f>VLOOKUP($A38,'[3]success rates'!$A:$P,HLOOKUP(H$34,'[3]success rates'!$1:$2,2,FALSE),FALSE)</f>
        <v>0.88383838383838387</v>
      </c>
      <c r="I38" s="16">
        <f>VLOOKUP($A38,'[3]success rates'!$A:$P,HLOOKUP(I$34,'[3]success rates'!$1:$2,2,FALSE),FALSE)</f>
        <v>0.72454617205998417</v>
      </c>
      <c r="J38" s="16">
        <f>VLOOKUP($A38,'[3]success rates'!$A:$P,HLOOKUP(J$34,'[3]success rates'!$1:$2,2,FALSE),FALSE)</f>
        <v>0.71898928024502295</v>
      </c>
      <c r="K38" s="16">
        <f>VLOOKUP($A38,'[3]success rates'!$A:$P,HLOOKUP(K$34,'[3]success rates'!$1:$2,2,FALSE),FALSE)</f>
        <v>0.88461538461538458</v>
      </c>
      <c r="L38" s="16">
        <f>VLOOKUP($A38,'[3]success rates'!$A:$P,HLOOKUP(L$34,'[3]success rates'!$1:$2,2,FALSE),FALSE)</f>
        <v>0.77948303715670442</v>
      </c>
      <c r="M38" s="16">
        <f>VLOOKUP($A38,'[3]success rates'!$A:$P,HLOOKUP(M$34,'[3]success rates'!$1:$2,2,FALSE),FALSE)</f>
        <v>0.78064012490241996</v>
      </c>
      <c r="N38" s="16">
        <f>VLOOKUP($A38,'[3]success rates'!$A:$P,HLOOKUP(N$34,'[3]success rates'!$1:$2,2,FALSE),FALSE)</f>
        <v>1</v>
      </c>
      <c r="O38" s="16">
        <f>VLOOKUP($A38,'[3]success rates'!$A:$P,HLOOKUP(O$34,'[3]success rates'!$1:$2,2,FALSE),FALSE)</f>
        <v>0.78195488721804507</v>
      </c>
      <c r="P38" s="16">
        <f>VLOOKUP($A38,'[3]success rates'!$A:$P,HLOOKUP(P$34,'[3]success rates'!$1:$2,2,FALSE),FALSE)</f>
        <v>0.7783882783882784</v>
      </c>
    </row>
    <row r="39" spans="1:16" x14ac:dyDescent="0.25">
      <c r="A39" s="13" t="s">
        <v>26</v>
      </c>
      <c r="B39" s="16">
        <f>VLOOKUP($A39,'[3]success rates'!$A:$P,HLOOKUP(B$34,'[3]success rates'!$1:$2,2,FALSE),FALSE)</f>
        <v>0.6292134831460674</v>
      </c>
      <c r="C39" s="16">
        <f>VLOOKUP($A39,'[3]success rates'!$A:$P,HLOOKUP(C$34,'[3]success rates'!$1:$2,2,FALSE),FALSE)</f>
        <v>0.53953488372093028</v>
      </c>
      <c r="D39" s="16">
        <f>VLOOKUP($A39,'[3]success rates'!$A:$P,HLOOKUP(D$34,'[3]success rates'!$1:$2,2,FALSE),FALSE)</f>
        <v>0.58620689655172409</v>
      </c>
      <c r="E39" s="16">
        <f>VLOOKUP($A39,'[3]success rates'!$A:$P,HLOOKUP(E$34,'[3]success rates'!$1:$2,2,FALSE),FALSE)</f>
        <v>0.84090909090909094</v>
      </c>
      <c r="F39" s="16">
        <f>VLOOKUP($A39,'[3]success rates'!$A:$P,HLOOKUP(F$34,'[3]success rates'!$1:$2,2,FALSE),FALSE)</f>
        <v>0.60568383658969804</v>
      </c>
      <c r="G39" s="16">
        <f>VLOOKUP($A39,'[3]success rates'!$A:$P,HLOOKUP(G$34,'[3]success rates'!$1:$2,2,FALSE),FALSE)</f>
        <v>0.61921708185053381</v>
      </c>
      <c r="H39" s="16">
        <f>VLOOKUP($A39,'[3]success rates'!$A:$P,HLOOKUP(H$34,'[3]success rates'!$1:$2,2,FALSE),FALSE)</f>
        <v>0.70833333333333337</v>
      </c>
      <c r="I39" s="16">
        <f>VLOOKUP($A39,'[3]success rates'!$A:$P,HLOOKUP(I$34,'[3]success rates'!$1:$2,2,FALSE),FALSE)</f>
        <v>0.64638783269961975</v>
      </c>
      <c r="J39" s="16">
        <f>VLOOKUP($A39,'[3]success rates'!$A:$P,HLOOKUP(J$34,'[3]success rates'!$1:$2,2,FALSE),FALSE)</f>
        <v>0.64741035856573703</v>
      </c>
      <c r="K39" s="16">
        <f>VLOOKUP($A39,'[3]success rates'!$A:$P,HLOOKUP(K$34,'[3]success rates'!$1:$2,2,FALSE),FALSE)</f>
        <v>0.91176470588235292</v>
      </c>
      <c r="L39" s="16">
        <f>VLOOKUP($A39,'[3]success rates'!$A:$P,HLOOKUP(L$34,'[3]success rates'!$1:$2,2,FALSE),FALSE)</f>
        <v>0.64393939393939392</v>
      </c>
      <c r="M39" s="16">
        <f>VLOOKUP($A39,'[3]success rates'!$A:$P,HLOOKUP(M$34,'[3]success rates'!$1:$2,2,FALSE),FALSE)</f>
        <v>0.67205542725173206</v>
      </c>
      <c r="N39" s="16">
        <f>VLOOKUP($A39,'[3]success rates'!$A:$P,HLOOKUP(N$34,'[3]success rates'!$1:$2,2,FALSE),FALSE)</f>
        <v>1</v>
      </c>
      <c r="O39" s="16">
        <f>VLOOKUP($A39,'[3]success rates'!$A:$P,HLOOKUP(O$34,'[3]success rates'!$1:$2,2,FALSE),FALSE)</f>
        <v>0.67224080267558528</v>
      </c>
      <c r="P39" s="16">
        <f>VLOOKUP($A39,'[3]success rates'!$A:$P,HLOOKUP(P$34,'[3]success rates'!$1:$2,2,FALSE),FALSE)</f>
        <v>0.61694915254237293</v>
      </c>
    </row>
    <row r="40" spans="1:16" x14ac:dyDescent="0.25">
      <c r="A40" s="13" t="s">
        <v>27</v>
      </c>
      <c r="B40" s="16">
        <f>VLOOKUP($A40,'[3]success rates'!$A:$P,HLOOKUP(B$34,'[3]success rates'!$1:$2,2,FALSE),FALSE)</f>
        <v>0.81268882175226587</v>
      </c>
      <c r="C40" s="16">
        <f>VLOOKUP($A40,'[3]success rates'!$A:$P,HLOOKUP(C$34,'[3]success rates'!$1:$2,2,FALSE),FALSE)</f>
        <v>0.68027210884353739</v>
      </c>
      <c r="D40" s="16">
        <f>VLOOKUP($A40,'[3]success rates'!$A:$P,HLOOKUP(D$34,'[3]success rates'!$1:$2,2,FALSE),FALSE)</f>
        <v>0.69294342021614752</v>
      </c>
      <c r="E40" s="16">
        <f>VLOOKUP($A40,'[3]success rates'!$A:$P,HLOOKUP(E$34,'[3]success rates'!$1:$2,2,FALSE),FALSE)</f>
        <v>0.84</v>
      </c>
      <c r="F40" s="16">
        <f>VLOOKUP($A40,'[3]success rates'!$A:$P,HLOOKUP(F$34,'[3]success rates'!$1:$2,2,FALSE),FALSE)</f>
        <v>0.70384829894032352</v>
      </c>
      <c r="G40" s="16">
        <f>VLOOKUP($A40,'[3]success rates'!$A:$P,HLOOKUP(G$34,'[3]success rates'!$1:$2,2,FALSE),FALSE)</f>
        <v>0.72904009720534635</v>
      </c>
      <c r="H40" s="16">
        <f>VLOOKUP($A40,'[3]success rates'!$A:$P,HLOOKUP(H$34,'[3]success rates'!$1:$2,2,FALSE),FALSE)</f>
        <v>0.85135135135135132</v>
      </c>
      <c r="I40" s="16">
        <f>VLOOKUP($A40,'[3]success rates'!$A:$P,HLOOKUP(I$34,'[3]success rates'!$1:$2,2,FALSE),FALSE)</f>
        <v>0.71660145332588043</v>
      </c>
      <c r="J40" s="16">
        <f>VLOOKUP($A40,'[3]success rates'!$A:$P,HLOOKUP(J$34,'[3]success rates'!$1:$2,2,FALSE),FALSE)</f>
        <v>0.69068541300527242</v>
      </c>
      <c r="K40" s="16">
        <f>VLOOKUP($A40,'[3]success rates'!$A:$P,HLOOKUP(K$34,'[3]success rates'!$1:$2,2,FALSE),FALSE)</f>
        <v>0.91208791208791207</v>
      </c>
      <c r="L40" s="16">
        <f>VLOOKUP($A40,'[3]success rates'!$A:$P,HLOOKUP(L$34,'[3]success rates'!$1:$2,2,FALSE),FALSE)</f>
        <v>0.76405946994182283</v>
      </c>
      <c r="M40" s="16">
        <f>VLOOKUP($A40,'[3]success rates'!$A:$P,HLOOKUP(M$34,'[3]success rates'!$1:$2,2,FALSE),FALSE)</f>
        <v>0.74347258485639689</v>
      </c>
      <c r="N40" s="16">
        <f>VLOOKUP($A40,'[3]success rates'!$A:$P,HLOOKUP(N$34,'[3]success rates'!$1:$2,2,FALSE),FALSE)</f>
        <v>1</v>
      </c>
      <c r="O40" s="16">
        <f>VLOOKUP($A40,'[3]success rates'!$A:$P,HLOOKUP(O$34,'[3]success rates'!$1:$2,2,FALSE),FALSE)</f>
        <v>0.76386913229018494</v>
      </c>
      <c r="P40" s="16">
        <f>VLOOKUP($A40,'[3]success rates'!$A:$P,HLOOKUP(P$34,'[3]success rates'!$1:$2,2,FALSE),FALSE)</f>
        <v>0.76628609805238412</v>
      </c>
    </row>
    <row r="41" spans="1:16" x14ac:dyDescent="0.25">
      <c r="A41" s="13" t="s">
        <v>28</v>
      </c>
      <c r="B41" s="16">
        <f>VLOOKUP($A41,'[3]success rates'!$A:$P,HLOOKUP(B$34,'[3]success rates'!$1:$2,2,FALSE),FALSE)</f>
        <v>0.78260869565217395</v>
      </c>
      <c r="C41" s="16">
        <f>VLOOKUP($A41,'[3]success rates'!$A:$P,HLOOKUP(C$34,'[3]success rates'!$1:$2,2,FALSE),FALSE)</f>
        <v>0.61290322580645162</v>
      </c>
      <c r="D41" s="16">
        <f>VLOOKUP($A41,'[3]success rates'!$A:$P,HLOOKUP(D$34,'[3]success rates'!$1:$2,2,FALSE),FALSE)</f>
        <v>0.64052287581699341</v>
      </c>
      <c r="E41" s="16">
        <f>VLOOKUP($A41,'[3]success rates'!$A:$P,HLOOKUP(E$34,'[3]success rates'!$1:$2,2,FALSE),FALSE)</f>
        <v>0.8035714285714286</v>
      </c>
      <c r="F41" s="16">
        <f>VLOOKUP($A41,'[3]success rates'!$A:$P,HLOOKUP(F$34,'[3]success rates'!$1:$2,2,FALSE),FALSE)</f>
        <v>0.60185185185185186</v>
      </c>
      <c r="G41" s="16">
        <f>VLOOKUP($A41,'[3]success rates'!$A:$P,HLOOKUP(G$34,'[3]success rates'!$1:$2,2,FALSE),FALSE)</f>
        <v>0.56744186046511624</v>
      </c>
      <c r="H41" s="16">
        <f>VLOOKUP($A41,'[3]success rates'!$A:$P,HLOOKUP(H$34,'[3]success rates'!$1:$2,2,FALSE),FALSE)</f>
        <v>0.96551724137931039</v>
      </c>
      <c r="I41" s="16">
        <f>VLOOKUP($A41,'[3]success rates'!$A:$P,HLOOKUP(I$34,'[3]success rates'!$1:$2,2,FALSE),FALSE)</f>
        <v>0.59102244389027436</v>
      </c>
      <c r="J41" s="16">
        <f>VLOOKUP($A41,'[3]success rates'!$A:$P,HLOOKUP(J$34,'[3]success rates'!$1:$2,2,FALSE),FALSE)</f>
        <v>0.65691489361702127</v>
      </c>
      <c r="K41" s="16">
        <f>VLOOKUP($A41,'[3]success rates'!$A:$P,HLOOKUP(K$34,'[3]success rates'!$1:$2,2,FALSE),FALSE)</f>
        <v>0.77419354838709675</v>
      </c>
      <c r="L41" s="16">
        <f>VLOOKUP($A41,'[3]success rates'!$A:$P,HLOOKUP(L$34,'[3]success rates'!$1:$2,2,FALSE),FALSE)</f>
        <v>0.65986394557823125</v>
      </c>
      <c r="M41" s="16">
        <f>VLOOKUP($A41,'[3]success rates'!$A:$P,HLOOKUP(M$34,'[3]success rates'!$1:$2,2,FALSE),FALSE)</f>
        <v>0.6145038167938931</v>
      </c>
      <c r="N41" s="16">
        <f>VLOOKUP($A41,'[3]success rates'!$A:$P,HLOOKUP(N$34,'[3]success rates'!$1:$2,2,FALSE),FALSE)</f>
        <v>1</v>
      </c>
      <c r="O41" s="16">
        <f>VLOOKUP($A41,'[3]success rates'!$A:$P,HLOOKUP(O$34,'[3]success rates'!$1:$2,2,FALSE),FALSE)</f>
        <v>0.66028708133971292</v>
      </c>
      <c r="P41" s="16">
        <f>VLOOKUP($A41,'[3]success rates'!$A:$P,HLOOKUP(P$34,'[3]success rates'!$1:$2,2,FALSE),FALSE)</f>
        <v>0.66666666666666663</v>
      </c>
    </row>
    <row r="42" spans="1:16" x14ac:dyDescent="0.25">
      <c r="A42" s="13" t="s">
        <v>29</v>
      </c>
      <c r="B42" s="16">
        <f>VLOOKUP($A42,'[3]success rates'!$A:$P,HLOOKUP(B$34,'[3]success rates'!$1:$2,2,FALSE),FALSE)</f>
        <v>0.68032786885245899</v>
      </c>
      <c r="C42" s="16">
        <f>VLOOKUP($A42,'[3]success rates'!$A:$P,HLOOKUP(C$34,'[3]success rates'!$1:$2,2,FALSE),FALSE)</f>
        <v>0.52430555555555558</v>
      </c>
      <c r="D42" s="16">
        <f>VLOOKUP($A42,'[3]success rates'!$A:$P,HLOOKUP(D$34,'[3]success rates'!$1:$2,2,FALSE),FALSE)</f>
        <v>0.61380597014925375</v>
      </c>
      <c r="E42" s="16">
        <f>VLOOKUP($A42,'[3]success rates'!$A:$P,HLOOKUP(E$34,'[3]success rates'!$1:$2,2,FALSE),FALSE)</f>
        <v>0.73684210526315785</v>
      </c>
      <c r="F42" s="16">
        <f>VLOOKUP($A42,'[3]success rates'!$A:$P,HLOOKUP(F$34,'[3]success rates'!$1:$2,2,FALSE),FALSE)</f>
        <v>0.48148148148148145</v>
      </c>
      <c r="G42" s="16">
        <f>VLOOKUP($A42,'[3]success rates'!$A:$P,HLOOKUP(G$34,'[3]success rates'!$1:$2,2,FALSE),FALSE)</f>
        <v>0.53559870550161814</v>
      </c>
      <c r="H42" s="16">
        <f>VLOOKUP($A42,'[3]success rates'!$A:$P,HLOOKUP(H$34,'[3]success rates'!$1:$2,2,FALSE),FALSE)</f>
        <v>0.83673469387755106</v>
      </c>
      <c r="I42" s="16">
        <f>VLOOKUP($A42,'[3]success rates'!$A:$P,HLOOKUP(I$34,'[3]success rates'!$1:$2,2,FALSE),FALSE)</f>
        <v>0.63314711359404097</v>
      </c>
      <c r="J42" s="16">
        <f>VLOOKUP($A42,'[3]success rates'!$A:$P,HLOOKUP(J$34,'[3]success rates'!$1:$2,2,FALSE),FALSE)</f>
        <v>0.61642803315749817</v>
      </c>
      <c r="K42" s="16">
        <f>VLOOKUP($A42,'[3]success rates'!$A:$P,HLOOKUP(K$34,'[3]success rates'!$1:$2,2,FALSE),FALSE)</f>
        <v>0.81818181818181823</v>
      </c>
      <c r="L42" s="16">
        <f>VLOOKUP($A42,'[3]success rates'!$A:$P,HLOOKUP(L$34,'[3]success rates'!$1:$2,2,FALSE),FALSE)</f>
        <v>0.6566383257030739</v>
      </c>
      <c r="M42" s="16">
        <f>VLOOKUP($A42,'[3]success rates'!$A:$P,HLOOKUP(M$34,'[3]success rates'!$1:$2,2,FALSE),FALSE)</f>
        <v>0.65666474321985002</v>
      </c>
      <c r="N42" s="16">
        <f>VLOOKUP($A42,'[3]success rates'!$A:$P,HLOOKUP(N$34,'[3]success rates'!$1:$2,2,FALSE),FALSE)</f>
        <v>1</v>
      </c>
      <c r="O42" s="16">
        <f>VLOOKUP($A42,'[3]success rates'!$A:$P,HLOOKUP(O$34,'[3]success rates'!$1:$2,2,FALSE),FALSE)</f>
        <v>0.68359573387506345</v>
      </c>
      <c r="P42" s="16">
        <f>VLOOKUP($A42,'[3]success rates'!$A:$P,HLOOKUP(P$34,'[3]success rates'!$1:$2,2,FALSE),FALSE)</f>
        <v>0.63148061653432974</v>
      </c>
    </row>
    <row r="43" spans="1:16" ht="15.75" thickBot="1" x14ac:dyDescent="0.3">
      <c r="A43" s="14" t="s">
        <v>30</v>
      </c>
      <c r="B43" s="62">
        <f>VLOOKUP($A43,'[3]success rates'!$A:$P,HLOOKUP(B$34,'[3]success rates'!$1:$2,2,FALSE),FALSE)</f>
        <v>0.7830508474576271</v>
      </c>
      <c r="C43" s="62">
        <f>VLOOKUP($A43,'[3]success rates'!$A:$P,HLOOKUP(C$34,'[3]success rates'!$1:$2,2,FALSE),FALSE)</f>
        <v>0.67752442996742668</v>
      </c>
      <c r="D43" s="62">
        <f>VLOOKUP($A43,'[3]success rates'!$A:$P,HLOOKUP(D$34,'[3]success rates'!$1:$2,2,FALSE),FALSE)</f>
        <v>0.69624573378839594</v>
      </c>
      <c r="E43" s="62">
        <f>VLOOKUP($A43,'[3]success rates'!$A:$P,HLOOKUP(E$34,'[3]success rates'!$1:$2,2,FALSE),FALSE)</f>
        <v>0.81472392638036806</v>
      </c>
      <c r="F43" s="62">
        <f>VLOOKUP($A43,'[3]success rates'!$A:$P,HLOOKUP(F$34,'[3]success rates'!$1:$2,2,FALSE),FALSE)</f>
        <v>0.69622377622377618</v>
      </c>
      <c r="G43" s="62">
        <f>VLOOKUP($A43,'[3]success rates'!$A:$P,HLOOKUP(G$34,'[3]success rates'!$1:$2,2,FALSE),FALSE)</f>
        <v>0.70116429495472188</v>
      </c>
      <c r="H43" s="62">
        <f>VLOOKUP($A43,'[3]success rates'!$A:$P,HLOOKUP(H$34,'[3]success rates'!$1:$2,2,FALSE),FALSE)</f>
        <v>0.82900432900432897</v>
      </c>
      <c r="I43" s="62">
        <f>VLOOKUP($A43,'[3]success rates'!$A:$P,HLOOKUP(I$34,'[3]success rates'!$1:$2,2,FALSE),FALSE)</f>
        <v>0.70483831752978365</v>
      </c>
      <c r="J43" s="62">
        <f>VLOOKUP($A43,'[3]success rates'!$A:$P,HLOOKUP(J$34,'[3]success rates'!$1:$2,2,FALSE),FALSE)</f>
        <v>0.70485919381557149</v>
      </c>
      <c r="K43" s="62">
        <f>VLOOKUP($A43,'[3]success rates'!$A:$P,HLOOKUP(K$34,'[3]success rates'!$1:$2,2,FALSE),FALSE)</f>
        <v>0.79342723004694837</v>
      </c>
      <c r="L43" s="62">
        <f>VLOOKUP($A43,'[3]success rates'!$A:$P,HLOOKUP(L$34,'[3]success rates'!$1:$2,2,FALSE),FALSE)</f>
        <v>0.72700186219739293</v>
      </c>
      <c r="M43" s="62">
        <f>VLOOKUP($A43,'[3]success rates'!$A:$P,HLOOKUP(M$34,'[3]success rates'!$1:$2,2,FALSE),FALSE)</f>
        <v>0.73181818181818181</v>
      </c>
      <c r="N43" s="62">
        <f>VLOOKUP($A43,'[3]success rates'!$A:$P,HLOOKUP(N$34,'[3]success rates'!$1:$2,2,FALSE),FALSE)</f>
        <v>1</v>
      </c>
      <c r="O43" s="62">
        <f>VLOOKUP($A43,'[3]success rates'!$A:$P,HLOOKUP(O$34,'[3]success rates'!$1:$2,2,FALSE),FALSE)</f>
        <v>0.73936170212765961</v>
      </c>
      <c r="P43" s="62">
        <f>VLOOKUP($A43,'[3]success rates'!$A:$P,HLOOKUP(P$34,'[3]success rates'!$1:$2,2,FALSE),FALSE)</f>
        <v>0.73550488599348529</v>
      </c>
    </row>
    <row r="44" spans="1:16" ht="15.75" thickBot="1" x14ac:dyDescent="0.3">
      <c r="A44" s="15" t="s">
        <v>35</v>
      </c>
      <c r="B44" s="61">
        <f>VLOOKUP('[3]success rates'!$A$13,'[3]success rates'!$A:$P,HLOOKUP(B$34,'[3]success rates'!$1:$2,2,FALSE),FALSE)</f>
        <v>0.77705492305767543</v>
      </c>
      <c r="C44" s="61">
        <f>VLOOKUP('[3]success rates'!$A$13,'[3]success rates'!$A:$P,HLOOKUP(C$34,'[3]success rates'!$1:$2,2,FALSE),FALSE)</f>
        <v>0.63584592264494189</v>
      </c>
      <c r="D44" s="61">
        <f>VLOOKUP('[3]success rates'!$A$13,'[3]success rates'!$A:$P,HLOOKUP(D$34,'[3]success rates'!$1:$2,2,FALSE),FALSE)</f>
        <v>0.65594727648086393</v>
      </c>
      <c r="E44" s="61">
        <f>VLOOKUP('[3]success rates'!$A$13,'[3]success rates'!$A:$P,HLOOKUP(E$34,'[3]success rates'!$1:$2,2,FALSE),FALSE)</f>
        <v>0.79967459833231647</v>
      </c>
      <c r="F44" s="61">
        <f>VLOOKUP('[3]success rates'!$A$13,'[3]success rates'!$A:$P,HLOOKUP(F$34,'[3]success rates'!$1:$2,2,FALSE),FALSE)</f>
        <v>0.6543342555964603</v>
      </c>
      <c r="G44" s="61">
        <f>VLOOKUP('[3]success rates'!$A$13,'[3]success rates'!$A:$P,HLOOKUP(G$34,'[3]success rates'!$1:$2,2,FALSE),FALSE)</f>
        <v>0.66417716022579243</v>
      </c>
      <c r="H44" s="61">
        <f>VLOOKUP('[3]success rates'!$A$13,'[3]success rates'!$A:$P,HLOOKUP(H$34,'[3]success rates'!$1:$2,2,FALSE),FALSE)</f>
        <v>0.80794824399260623</v>
      </c>
      <c r="I44" s="61">
        <f>VLOOKUP('[3]success rates'!$A$13,'[3]success rates'!$A:$P,HLOOKUP(I$34,'[3]success rates'!$1:$2,2,FALSE),FALSE)</f>
        <v>0.67539097971950357</v>
      </c>
      <c r="J44" s="61">
        <f>VLOOKUP('[3]success rates'!$A$13,'[3]success rates'!$A:$P,HLOOKUP(J$34,'[3]success rates'!$1:$2,2,FALSE),FALSE)</f>
        <v>0.66335899864124837</v>
      </c>
      <c r="K44" s="61">
        <f>VLOOKUP('[3]success rates'!$A$13,'[3]success rates'!$A:$P,HLOOKUP(K$34,'[3]success rates'!$1:$2,2,FALSE),FALSE)</f>
        <v>0.82820601451780163</v>
      </c>
      <c r="L44" s="61">
        <f>VLOOKUP('[3]success rates'!$A$13,'[3]success rates'!$A:$P,HLOOKUP(L$34,'[3]success rates'!$1:$2,2,FALSE),FALSE)</f>
        <v>0.70661843332650787</v>
      </c>
      <c r="M44" s="61">
        <f>VLOOKUP('[3]success rates'!$A$13,'[3]success rates'!$A:$P,HLOOKUP(M$34,'[3]success rates'!$1:$2,2,FALSE),FALSE)</f>
        <v>0.68749288203539627</v>
      </c>
      <c r="N44" s="61">
        <f>VLOOKUP('[3]success rates'!$A$13,'[3]success rates'!$A:$P,HLOOKUP(N$34,'[3]success rates'!$1:$2,2,FALSE),FALSE)</f>
        <v>0.97067448680351909</v>
      </c>
      <c r="O44" s="61">
        <f>VLOOKUP('[3]success rates'!$A$13,'[3]success rates'!$A:$P,HLOOKUP(O$34,'[3]success rates'!$1:$2,2,FALSE),FALSE)</f>
        <v>0.71050197185841568</v>
      </c>
      <c r="P44" s="61">
        <f>VLOOKUP('[3]success rates'!$A$13,'[3]success rates'!$A:$P,HLOOKUP(P$34,'[3]success rates'!$1:$2,2,FALSE),FALSE)</f>
        <v>0.68056818976978517</v>
      </c>
    </row>
    <row r="45" spans="1:16" x14ac:dyDescent="0.25">
      <c r="A45" s="17" t="s">
        <v>37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43" t="s">
        <v>40</v>
      </c>
    </row>
    <row r="52" spans="1:16" x14ac:dyDescent="0.25">
      <c r="A52" s="1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"/>
      <c r="O52" s="9"/>
      <c r="P52" s="1"/>
    </row>
    <row r="53" spans="1:16" x14ac:dyDescent="0.25">
      <c r="A53" s="1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x14ac:dyDescent="0.25">
      <c r="A54" s="1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"/>
    </row>
    <row r="56" spans="1:16" x14ac:dyDescent="0.25">
      <c r="A56" s="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"/>
    </row>
    <row r="57" spans="1:16" x14ac:dyDescent="0.25">
      <c r="A57" s="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1"/>
    </row>
  </sheetData>
  <sheetProtection password="83EF" sheet="1" objects="1" scenarios="1"/>
  <mergeCells count="29">
    <mergeCell ref="B3:D3"/>
    <mergeCell ref="N3:P3"/>
    <mergeCell ref="A1:A3"/>
    <mergeCell ref="K3:M3"/>
    <mergeCell ref="E3:G3"/>
    <mergeCell ref="H3:J3"/>
    <mergeCell ref="B1:P1"/>
    <mergeCell ref="B2:P2"/>
    <mergeCell ref="A17:A19"/>
    <mergeCell ref="B17:P17"/>
    <mergeCell ref="B18:P18"/>
    <mergeCell ref="B19:D19"/>
    <mergeCell ref="E19:G19"/>
    <mergeCell ref="H19:J19"/>
    <mergeCell ref="K19:M19"/>
    <mergeCell ref="N19:P19"/>
    <mergeCell ref="A31:A33"/>
    <mergeCell ref="B31:P31"/>
    <mergeCell ref="B32:P32"/>
    <mergeCell ref="B33:D33"/>
    <mergeCell ref="E33:G33"/>
    <mergeCell ref="H33:J33"/>
    <mergeCell ref="K33:M33"/>
    <mergeCell ref="N33:P33"/>
    <mergeCell ref="B15:D15"/>
    <mergeCell ref="E15:G15"/>
    <mergeCell ref="H15:J15"/>
    <mergeCell ref="K15:M15"/>
    <mergeCell ref="N15:P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AA00706-2676-4C1D-BF3C-F6F2A5DC41D1}"/>
</file>

<file path=customXml/itemProps2.xml><?xml version="1.0" encoding="utf-8"?>
<ds:datastoreItem xmlns:ds="http://schemas.openxmlformats.org/officeDocument/2006/customXml" ds:itemID="{E485E056-17E4-42CA-9B14-A07A1167EF68}"/>
</file>

<file path=customXml/itemProps3.xml><?xml version="1.0" encoding="utf-8"?>
<ds:datastoreItem xmlns:ds="http://schemas.openxmlformats.org/officeDocument/2006/customXml" ds:itemID="{443F9B7E-397D-4182-8507-74E6D4EF10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2012-03-22T20:23:25Z</dcterms:created>
  <dcterms:modified xsi:type="dcterms:W3CDTF">2012-08-13T22:54:21Z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