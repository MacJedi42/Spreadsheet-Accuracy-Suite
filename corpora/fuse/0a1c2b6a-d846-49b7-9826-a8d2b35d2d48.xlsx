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 yWindow="4932" windowWidth="15576" windowHeight="4968" firstSheet="2" activeTab="4"/>
  </bookViews>
  <sheets>
    <sheet name="Descriptions" sheetId="2" state="hidden" r:id="rId1"/>
    <sheet name="EI" sheetId="3" state="hidden" r:id="rId2"/>
    <sheet name="A - Baseline Request" sheetId="27" r:id="rId3"/>
    <sheet name="B - Reductions " sheetId="30" r:id="rId4"/>
    <sheet name="C - EI Format" sheetId="17" r:id="rId5"/>
    <sheet name="D - SUMMARY FOR BOARD" sheetId="29" r:id="rId6"/>
    <sheet name="Goal Names" sheetId="5" state="hidden" r:id="rId7"/>
    <sheet name="TOC" sheetId="18" state="hidden" r:id="rId8"/>
    <sheet name="EI Format (2)" sheetId="21" state="hidden" r:id="rId9"/>
  </sheets>
  <externalReferences>
    <externalReference r:id="rId10"/>
    <externalReference r:id="rId11"/>
    <externalReference r:id="rId12"/>
    <externalReference r:id="rId13"/>
    <externalReference r:id="rId14"/>
    <externalReference r:id="rId15"/>
  </externalReferences>
  <definedNames>
    <definedName name="_xlnm._FilterDatabase" localSheetId="4" hidden="1">'C - EI Format'!$B$2:$J$14</definedName>
    <definedName name="_xlnm._FilterDatabase" localSheetId="8" hidden="1">'EI Format (2)'!$A$2:$I$15</definedName>
    <definedName name="_xlnm.Print_Area" localSheetId="2">'A - Baseline Request'!$A$2:$P$81</definedName>
    <definedName name="_xlnm.Print_Area" localSheetId="3">'B - Reductions '!$A$3:$AD$44</definedName>
    <definedName name="_xlnm.Print_Area" localSheetId="4">'C - EI Format'!$A$2:$J$16</definedName>
    <definedName name="_xlnm.Print_Area" localSheetId="5">'D - SUMMARY FOR BOARD'!$A$1:$I$912</definedName>
    <definedName name="_xlnm.Print_Area" localSheetId="0">Descriptions!$A$1:$C$70</definedName>
    <definedName name="_xlnm.Print_Area" localSheetId="7">TOC!$A$1:$D$74</definedName>
    <definedName name="_xlnm.Print_Titles" localSheetId="2">'A - Baseline Request'!$2:$3</definedName>
    <definedName name="_xlnm.Print_Titles" localSheetId="4">'C - EI Format'!$2:$2</definedName>
  </definedNames>
  <calcPr calcId="145621"/>
</workbook>
</file>

<file path=xl/calcChain.xml><?xml version="1.0" encoding="utf-8"?>
<calcChain xmlns="http://schemas.openxmlformats.org/spreadsheetml/2006/main">
  <c r="G15" i="17" l="1"/>
  <c r="F15" i="17"/>
  <c r="I15" i="17"/>
  <c r="H5" i="17"/>
  <c r="H130" i="29" l="1"/>
  <c r="G130" i="29"/>
  <c r="K5" i="29" s="1"/>
  <c r="D88" i="27" l="1"/>
  <c r="D89" i="27" s="1"/>
  <c r="C20" i="29" l="1"/>
  <c r="C48" i="29"/>
  <c r="C68" i="29"/>
  <c r="C106" i="29"/>
  <c r="C301" i="29"/>
  <c r="C425" i="29"/>
  <c r="C494" i="29"/>
  <c r="C555" i="29"/>
  <c r="C859" i="29"/>
  <c r="C883" i="29"/>
  <c r="A883" i="29"/>
  <c r="C907" i="29"/>
  <c r="AC19" i="30"/>
  <c r="C183" i="29" s="1"/>
  <c r="AC20" i="30"/>
  <c r="C203" i="29" s="1"/>
  <c r="AC21" i="30"/>
  <c r="C140" i="29" s="1"/>
  <c r="K28" i="30"/>
  <c r="N18" i="30"/>
  <c r="N21" i="30"/>
  <c r="Q21" i="30"/>
  <c r="N24" i="30"/>
  <c r="Q24" i="30"/>
  <c r="N32" i="30"/>
  <c r="Q32" i="30"/>
  <c r="N33" i="30"/>
  <c r="Q33" i="30"/>
  <c r="N35" i="30"/>
  <c r="Q35" i="30"/>
  <c r="I29" i="27"/>
  <c r="D29" i="27"/>
  <c r="I14" i="27"/>
  <c r="D14" i="27"/>
  <c r="I13" i="27"/>
  <c r="D13" i="27"/>
  <c r="D53" i="27"/>
  <c r="D52" i="27"/>
  <c r="A163" i="29" l="1"/>
  <c r="A165" i="29" s="1"/>
  <c r="A120" i="27"/>
  <c r="A119" i="27"/>
  <c r="A118" i="27"/>
  <c r="D117" i="27"/>
  <c r="D10" i="27" l="1"/>
  <c r="D8" i="27"/>
  <c r="D47" i="27"/>
  <c r="D78" i="27"/>
  <c r="I47" i="27"/>
  <c r="D42" i="27"/>
  <c r="I41" i="27"/>
  <c r="D41" i="27"/>
  <c r="D37" i="27"/>
  <c r="D28" i="27"/>
  <c r="D23" i="27"/>
  <c r="D16" i="27"/>
  <c r="D17" i="27"/>
  <c r="D18" i="27"/>
  <c r="I65" i="27"/>
  <c r="D65" i="27"/>
  <c r="I58" i="27"/>
  <c r="D58" i="27"/>
  <c r="D15" i="27"/>
  <c r="I7" i="27"/>
  <c r="D7" i="27"/>
  <c r="I5" i="27"/>
  <c r="D5" i="27"/>
  <c r="A693" i="29" l="1"/>
  <c r="G37" i="30"/>
  <c r="H37" i="30"/>
  <c r="N37" i="30"/>
  <c r="Q37" i="30"/>
  <c r="N58" i="27"/>
  <c r="S58" i="27" s="1"/>
  <c r="N65" i="27"/>
  <c r="K37" i="30" l="1"/>
  <c r="S65" i="27"/>
  <c r="K35" i="30"/>
  <c r="AB35" i="30"/>
  <c r="AD35" i="30" s="1"/>
  <c r="J13" i="27"/>
  <c r="E13" i="27"/>
  <c r="AK29" i="30" l="1"/>
  <c r="E54" i="27" l="1"/>
  <c r="H12" i="17" l="1"/>
  <c r="I80" i="27" l="1"/>
  <c r="I79" i="27"/>
  <c r="I78" i="27"/>
  <c r="D80" i="27"/>
  <c r="D79" i="27"/>
  <c r="I63" i="27"/>
  <c r="D63" i="27"/>
  <c r="D57" i="27"/>
  <c r="I53" i="27"/>
  <c r="I52" i="27"/>
  <c r="I46" i="27"/>
  <c r="D46" i="27"/>
  <c r="I42" i="27"/>
  <c r="I37" i="27"/>
  <c r="I35" i="27"/>
  <c r="D35" i="27"/>
  <c r="D34" i="27"/>
  <c r="I28" i="27"/>
  <c r="I25" i="27"/>
  <c r="I24" i="27"/>
  <c r="I23" i="27"/>
  <c r="D25" i="27"/>
  <c r="D24" i="27"/>
  <c r="I18" i="27"/>
  <c r="I17" i="27"/>
  <c r="I16" i="27"/>
  <c r="I15" i="27"/>
  <c r="I10" i="27"/>
  <c r="I8" i="27"/>
  <c r="N80" i="27" l="1"/>
  <c r="S80" i="27" s="1"/>
  <c r="N78" i="27"/>
  <c r="S78" i="27" s="1"/>
  <c r="H7" i="17"/>
  <c r="H8" i="17"/>
  <c r="H9" i="17"/>
  <c r="H10" i="17"/>
  <c r="H11" i="17"/>
  <c r="H3" i="17"/>
  <c r="H13" i="17"/>
  <c r="H6" i="17"/>
  <c r="A574" i="29"/>
  <c r="G483" i="29"/>
  <c r="AD11" i="30"/>
  <c r="AD12" i="30"/>
  <c r="AD13" i="30"/>
  <c r="AD16" i="30"/>
  <c r="AD17" i="30"/>
  <c r="AD18" i="30"/>
  <c r="AD36" i="30"/>
  <c r="H9" i="29"/>
  <c r="G9" i="29"/>
  <c r="N41" i="27"/>
  <c r="S41" i="27" s="1"/>
  <c r="N47" i="27"/>
  <c r="S47" i="27" s="1"/>
  <c r="N8" i="27"/>
  <c r="S8" i="27" s="1"/>
  <c r="N53" i="27"/>
  <c r="N46" i="27"/>
  <c r="S46" i="27" s="1"/>
  <c r="N42" i="27"/>
  <c r="S42" i="27" s="1"/>
  <c r="AB9" i="30" l="1"/>
  <c r="AD9" i="30" s="1"/>
  <c r="K9" i="30"/>
  <c r="AB14" i="30"/>
  <c r="K12" i="30"/>
  <c r="D495" i="29"/>
  <c r="N34" i="27" l="1"/>
  <c r="S34" i="27" s="1"/>
  <c r="K29" i="30" l="1"/>
  <c r="AB29" i="30"/>
  <c r="N25" i="27"/>
  <c r="S25" i="27" s="1"/>
  <c r="N24" i="27"/>
  <c r="S24" i="27" s="1"/>
  <c r="N23" i="27"/>
  <c r="S23" i="27" s="1"/>
  <c r="N18" i="27"/>
  <c r="O17" i="27"/>
  <c r="N17" i="27"/>
  <c r="S17" i="27" s="1"/>
  <c r="O16" i="27"/>
  <c r="N16" i="27"/>
  <c r="S16" i="27" s="1"/>
  <c r="O14" i="27"/>
  <c r="N14" i="27"/>
  <c r="S14" i="27" s="1"/>
  <c r="O13" i="27"/>
  <c r="N13" i="27"/>
  <c r="S13" i="27" s="1"/>
  <c r="N10" i="27"/>
  <c r="S10" i="27" s="1"/>
  <c r="O7" i="27"/>
  <c r="N7" i="27"/>
  <c r="P7" i="27" l="1"/>
  <c r="S7" i="27"/>
  <c r="AB24" i="30"/>
  <c r="S18" i="27"/>
  <c r="P14" i="27"/>
  <c r="K18" i="30"/>
  <c r="T18" i="30" s="1"/>
  <c r="AB22" i="30"/>
  <c r="AD22" i="30" s="1"/>
  <c r="AB21" i="30"/>
  <c r="AD21" i="30" s="1"/>
  <c r="K19" i="30"/>
  <c r="AB23" i="30"/>
  <c r="K22" i="30"/>
  <c r="AB25" i="30"/>
  <c r="AD25" i="30" s="1"/>
  <c r="K24" i="30"/>
  <c r="P16" i="27"/>
  <c r="AB20" i="30"/>
  <c r="AD20" i="30" s="1"/>
  <c r="K21" i="30"/>
  <c r="AB10" i="30"/>
  <c r="AD10" i="30" s="1"/>
  <c r="K10" i="30"/>
  <c r="P13" i="27"/>
  <c r="N35" i="27"/>
  <c r="S35" i="27" s="1"/>
  <c r="K16" i="30" l="1"/>
  <c r="G81" i="27" l="1"/>
  <c r="H81" i="27"/>
  <c r="I12" i="30"/>
  <c r="O9" i="30"/>
  <c r="L9" i="30"/>
  <c r="O10" i="30"/>
  <c r="L10" i="30"/>
  <c r="O16" i="30"/>
  <c r="L16" i="30"/>
  <c r="O8" i="30"/>
  <c r="Q8" i="30" s="1"/>
  <c r="L8" i="30"/>
  <c r="I8" i="30"/>
  <c r="H14" i="17" l="1"/>
  <c r="H4" i="17"/>
  <c r="H15" i="17" s="1"/>
  <c r="L5" i="29" s="1"/>
  <c r="L13" i="30" l="1"/>
  <c r="O20" i="30"/>
  <c r="H213" i="29" l="1"/>
  <c r="G213" i="29"/>
  <c r="H193" i="29"/>
  <c r="G193" i="29"/>
  <c r="H192" i="29"/>
  <c r="G192" i="29"/>
  <c r="G173" i="29"/>
  <c r="H173" i="29"/>
  <c r="H153" i="29"/>
  <c r="G153" i="29"/>
  <c r="H152" i="29"/>
  <c r="H129" i="29"/>
  <c r="G129" i="29"/>
  <c r="G194" i="29" l="1"/>
  <c r="H154" i="29"/>
  <c r="H194" i="29"/>
  <c r="G195" i="29" l="1"/>
  <c r="D204" i="29" s="1"/>
  <c r="O15" i="27"/>
  <c r="K14" i="27"/>
  <c r="K16" i="27"/>
  <c r="F16" i="27"/>
  <c r="H601" i="29" l="1"/>
  <c r="P49" i="30" l="1"/>
  <c r="J8" i="27" l="1"/>
  <c r="E8" i="27"/>
  <c r="J11" i="27" l="1"/>
  <c r="H117" i="29" s="1"/>
  <c r="E11" i="27"/>
  <c r="G117" i="29" s="1"/>
  <c r="J80" i="27"/>
  <c r="E80" i="27"/>
  <c r="J79" i="27"/>
  <c r="E79" i="27"/>
  <c r="J78" i="27"/>
  <c r="E78" i="27"/>
  <c r="J55" i="27"/>
  <c r="E55" i="27"/>
  <c r="J54" i="27"/>
  <c r="J76" i="27"/>
  <c r="E76" i="27"/>
  <c r="J75" i="27"/>
  <c r="E75" i="27"/>
  <c r="J72" i="27"/>
  <c r="E72" i="27"/>
  <c r="J71" i="27"/>
  <c r="E71" i="27"/>
  <c r="J70" i="27"/>
  <c r="E70" i="27"/>
  <c r="J69" i="27"/>
  <c r="E69" i="27"/>
  <c r="J65" i="27"/>
  <c r="E65" i="27"/>
  <c r="J64" i="27"/>
  <c r="E64" i="27"/>
  <c r="J63" i="27"/>
  <c r="E63" i="27"/>
  <c r="J62" i="27"/>
  <c r="E62" i="27"/>
  <c r="J61" i="27"/>
  <c r="E61" i="27"/>
  <c r="J60" i="27"/>
  <c r="E60" i="27"/>
  <c r="J59" i="27"/>
  <c r="E59" i="27"/>
  <c r="J58" i="27"/>
  <c r="E58" i="27"/>
  <c r="J57" i="27"/>
  <c r="E57" i="27"/>
  <c r="H602" i="29"/>
  <c r="H604" i="29" s="1"/>
  <c r="G602" i="29"/>
  <c r="J49" i="27"/>
  <c r="E49" i="27"/>
  <c r="J48" i="27"/>
  <c r="E48" i="27"/>
  <c r="J47" i="27"/>
  <c r="K47" i="27" s="1"/>
  <c r="E47" i="27"/>
  <c r="J46" i="27"/>
  <c r="E46" i="27"/>
  <c r="J45" i="27"/>
  <c r="E45" i="27"/>
  <c r="J44" i="27"/>
  <c r="E44" i="27"/>
  <c r="J43" i="27"/>
  <c r="E43" i="27"/>
  <c r="J42" i="27"/>
  <c r="E42" i="27"/>
  <c r="J41" i="27"/>
  <c r="K41" i="27" s="1"/>
  <c r="E41" i="27"/>
  <c r="J40" i="27"/>
  <c r="E40" i="27"/>
  <c r="J39" i="27"/>
  <c r="E39" i="27"/>
  <c r="J38" i="27"/>
  <c r="E38" i="27"/>
  <c r="J37" i="27"/>
  <c r="E37" i="27"/>
  <c r="J53" i="27"/>
  <c r="J52" i="27"/>
  <c r="E53" i="27"/>
  <c r="E52" i="27"/>
  <c r="J34" i="27"/>
  <c r="K34" i="27" s="1"/>
  <c r="E34" i="27"/>
  <c r="J32" i="27"/>
  <c r="E32" i="27"/>
  <c r="J35" i="27"/>
  <c r="E35" i="27"/>
  <c r="J31" i="27"/>
  <c r="E31" i="27"/>
  <c r="J30" i="27"/>
  <c r="E30" i="27"/>
  <c r="J29" i="27"/>
  <c r="E29" i="27"/>
  <c r="J28" i="27"/>
  <c r="E28" i="27"/>
  <c r="J66" i="27"/>
  <c r="E66" i="27"/>
  <c r="J27" i="27"/>
  <c r="E27" i="27"/>
  <c r="J26" i="27"/>
  <c r="E26" i="27"/>
  <c r="J25" i="27"/>
  <c r="E25" i="27"/>
  <c r="J24" i="27"/>
  <c r="K24" i="27" s="1"/>
  <c r="E24" i="27"/>
  <c r="J23" i="27"/>
  <c r="E23" i="27"/>
  <c r="J22" i="27"/>
  <c r="E22" i="27"/>
  <c r="J21" i="27"/>
  <c r="E21" i="27"/>
  <c r="J20" i="27"/>
  <c r="E20" i="27"/>
  <c r="J18" i="27"/>
  <c r="E18" i="27"/>
  <c r="J10" i="27"/>
  <c r="E10" i="27"/>
  <c r="J6" i="27"/>
  <c r="E6" i="27"/>
  <c r="J5" i="27"/>
  <c r="E5" i="27"/>
  <c r="F5" i="27" s="1"/>
  <c r="D87" i="27" l="1"/>
  <c r="E87" i="27"/>
  <c r="O55" i="27"/>
  <c r="O53" i="27"/>
  <c r="O42" i="27"/>
  <c r="P42" i="27" s="1"/>
  <c r="O46" i="27"/>
  <c r="O6" i="27"/>
  <c r="O18" i="27"/>
  <c r="P18" i="27" s="1"/>
  <c r="O23" i="27"/>
  <c r="O34" i="27"/>
  <c r="P34" i="27" s="1"/>
  <c r="O5" i="27"/>
  <c r="K5" i="27"/>
  <c r="N5" i="27" s="1"/>
  <c r="S5" i="27" s="1"/>
  <c r="O10" i="27"/>
  <c r="E81" i="27"/>
  <c r="E83" i="27" s="1"/>
  <c r="J81" i="27"/>
  <c r="O32" i="27"/>
  <c r="O35" i="27"/>
  <c r="P35" i="27" s="1"/>
  <c r="F87" i="27" l="1"/>
  <c r="F88" i="27" s="1"/>
  <c r="K8" i="30"/>
  <c r="AB8" i="30"/>
  <c r="P5" i="27"/>
  <c r="O69" i="27"/>
  <c r="AD8" i="30" l="1"/>
  <c r="H8" i="30"/>
  <c r="E8" i="30"/>
  <c r="C8" i="30"/>
  <c r="O80" i="27"/>
  <c r="O8" i="27"/>
  <c r="H896" i="29"/>
  <c r="G896" i="29"/>
  <c r="H871" i="29"/>
  <c r="G871" i="29"/>
  <c r="G8" i="30" l="1"/>
  <c r="H847" i="29"/>
  <c r="H656" i="29"/>
  <c r="G656" i="29"/>
  <c r="H836" i="29"/>
  <c r="G836" i="29"/>
  <c r="H829" i="29"/>
  <c r="G829" i="29"/>
  <c r="H820" i="29"/>
  <c r="G820" i="29"/>
  <c r="H811" i="29"/>
  <c r="H804" i="29"/>
  <c r="G804" i="29"/>
  <c r="H797" i="29"/>
  <c r="G797" i="29"/>
  <c r="H768" i="29"/>
  <c r="G768" i="29"/>
  <c r="H750" i="29"/>
  <c r="G750" i="29"/>
  <c r="H749" i="29"/>
  <c r="G740" i="29"/>
  <c r="H740" i="29"/>
  <c r="G730" i="29"/>
  <c r="H730" i="29"/>
  <c r="G721" i="29"/>
  <c r="H721" i="29"/>
  <c r="H720" i="29"/>
  <c r="H702" i="29"/>
  <c r="G702" i="29"/>
  <c r="H701" i="29"/>
  <c r="H683" i="29"/>
  <c r="G683" i="29"/>
  <c r="H674" i="29"/>
  <c r="G674" i="29"/>
  <c r="G593" i="29"/>
  <c r="H593" i="29"/>
  <c r="H583" i="29"/>
  <c r="G583" i="29"/>
  <c r="H582" i="29"/>
  <c r="H564" i="29"/>
  <c r="G564" i="29"/>
  <c r="H545" i="29"/>
  <c r="G545" i="29"/>
  <c r="H536" i="29"/>
  <c r="G536" i="29"/>
  <c r="H527" i="29"/>
  <c r="G527" i="29"/>
  <c r="H518" i="29"/>
  <c r="G518" i="29"/>
  <c r="I43" i="27" l="1"/>
  <c r="H517" i="29" s="1"/>
  <c r="H519" i="29" s="1"/>
  <c r="H503" i="29"/>
  <c r="G503" i="29"/>
  <c r="H502" i="29"/>
  <c r="G502" i="29"/>
  <c r="G484" i="29"/>
  <c r="G485" i="29" s="1"/>
  <c r="H484" i="29"/>
  <c r="H470" i="29"/>
  <c r="G470" i="29"/>
  <c r="H469" i="29"/>
  <c r="H461" i="29"/>
  <c r="G461" i="29"/>
  <c r="H460" i="29"/>
  <c r="G451" i="29"/>
  <c r="H451" i="29"/>
  <c r="H450" i="29"/>
  <c r="H437" i="29"/>
  <c r="G437" i="29"/>
  <c r="H436" i="29"/>
  <c r="H638" i="29"/>
  <c r="G638" i="29"/>
  <c r="H384" i="29"/>
  <c r="G384" i="29"/>
  <c r="H618" i="29"/>
  <c r="G618" i="29"/>
  <c r="H415" i="29"/>
  <c r="G415" i="29"/>
  <c r="H374" i="29"/>
  <c r="G374" i="29"/>
  <c r="H365" i="29"/>
  <c r="G365" i="29"/>
  <c r="H355" i="29"/>
  <c r="G355" i="29"/>
  <c r="H345" i="29"/>
  <c r="G345" i="29"/>
  <c r="H778" i="29"/>
  <c r="G778" i="29"/>
  <c r="H331" i="29"/>
  <c r="G331" i="29"/>
  <c r="H321" i="29"/>
  <c r="G321" i="29"/>
  <c r="H439" i="29" l="1"/>
  <c r="H472" i="29"/>
  <c r="H310" i="29"/>
  <c r="G310" i="29"/>
  <c r="H291" i="29"/>
  <c r="G291" i="29"/>
  <c r="H268" i="29"/>
  <c r="G268" i="29"/>
  <c r="H259" i="29"/>
  <c r="G259" i="29"/>
  <c r="H250" i="29"/>
  <c r="G250" i="29"/>
  <c r="H222" i="29"/>
  <c r="G222" i="29"/>
  <c r="H38" i="29"/>
  <c r="G38" i="29"/>
  <c r="H10" i="29"/>
  <c r="G10" i="29"/>
  <c r="S39" i="30" l="1"/>
  <c r="R39" i="30"/>
  <c r="P11" i="30"/>
  <c r="O11" i="30"/>
  <c r="M11" i="30"/>
  <c r="L11" i="30"/>
  <c r="I11" i="30"/>
  <c r="H11" i="30"/>
  <c r="G11" i="30"/>
  <c r="P15" i="30"/>
  <c r="O15" i="30"/>
  <c r="M15" i="30"/>
  <c r="L15" i="30"/>
  <c r="I15" i="30"/>
  <c r="H15" i="30"/>
  <c r="E15" i="30"/>
  <c r="C15" i="30"/>
  <c r="P12" i="30"/>
  <c r="O12" i="30"/>
  <c r="M12" i="30"/>
  <c r="L12" i="30"/>
  <c r="H12" i="30"/>
  <c r="E12" i="30"/>
  <c r="C12" i="30"/>
  <c r="P36" i="30"/>
  <c r="O36" i="30"/>
  <c r="M36" i="30"/>
  <c r="L36" i="30"/>
  <c r="I36" i="30"/>
  <c r="H36" i="30"/>
  <c r="G36" i="30"/>
  <c r="I35" i="30"/>
  <c r="H35" i="30"/>
  <c r="G35" i="30"/>
  <c r="P34" i="30"/>
  <c r="O34" i="30"/>
  <c r="M34" i="30"/>
  <c r="L34" i="30"/>
  <c r="I34" i="30"/>
  <c r="H34" i="30"/>
  <c r="G34" i="30"/>
  <c r="P7" i="30"/>
  <c r="O7" i="30"/>
  <c r="M7" i="30"/>
  <c r="L7" i="30"/>
  <c r="I7" i="30"/>
  <c r="H7" i="30"/>
  <c r="G7" i="30"/>
  <c r="P17" i="30"/>
  <c r="O17" i="30"/>
  <c r="M17" i="30"/>
  <c r="L17" i="30"/>
  <c r="I17" i="30"/>
  <c r="H17" i="30"/>
  <c r="G17" i="30"/>
  <c r="P31" i="30"/>
  <c r="O31" i="30"/>
  <c r="M31" i="30"/>
  <c r="L31" i="30"/>
  <c r="J31" i="30"/>
  <c r="H31" i="30"/>
  <c r="G31" i="30"/>
  <c r="P14" i="30"/>
  <c r="O14" i="30"/>
  <c r="M14" i="30"/>
  <c r="L14" i="30"/>
  <c r="I14" i="30"/>
  <c r="B15" i="27" s="1"/>
  <c r="H14" i="30"/>
  <c r="G14" i="30"/>
  <c r="P30" i="30"/>
  <c r="O30" i="30"/>
  <c r="M30" i="30"/>
  <c r="L30" i="30"/>
  <c r="I30" i="30"/>
  <c r="H30" i="30"/>
  <c r="G30" i="30"/>
  <c r="I33" i="30"/>
  <c r="H33" i="30"/>
  <c r="G33" i="30"/>
  <c r="I32" i="30"/>
  <c r="H32" i="30"/>
  <c r="G32" i="30"/>
  <c r="P29" i="30"/>
  <c r="O29" i="30"/>
  <c r="M29" i="30"/>
  <c r="L29" i="30"/>
  <c r="I29" i="30"/>
  <c r="H29" i="30"/>
  <c r="G29" i="30"/>
  <c r="P13" i="30"/>
  <c r="O13" i="30"/>
  <c r="M13" i="30"/>
  <c r="I13" i="30"/>
  <c r="H13" i="30"/>
  <c r="G13" i="30"/>
  <c r="P28" i="30"/>
  <c r="O28" i="30"/>
  <c r="M28" i="30"/>
  <c r="L28" i="30"/>
  <c r="I28" i="30"/>
  <c r="H28" i="30"/>
  <c r="G28" i="30"/>
  <c r="P27" i="30"/>
  <c r="O27" i="30"/>
  <c r="M27" i="30"/>
  <c r="L27" i="30"/>
  <c r="I27" i="30"/>
  <c r="H27" i="30"/>
  <c r="G27" i="30"/>
  <c r="P22" i="30"/>
  <c r="O22" i="30"/>
  <c r="M22" i="30"/>
  <c r="L22" i="30"/>
  <c r="H22" i="30"/>
  <c r="G22" i="30"/>
  <c r="P18" i="30"/>
  <c r="O18" i="30"/>
  <c r="M18" i="30"/>
  <c r="L18" i="30"/>
  <c r="J18" i="30"/>
  <c r="C14" i="27" s="1"/>
  <c r="I18" i="30"/>
  <c r="H18" i="30"/>
  <c r="G18" i="30"/>
  <c r="H21" i="30"/>
  <c r="G21" i="30"/>
  <c r="P20" i="30"/>
  <c r="M20" i="30"/>
  <c r="H20" i="30"/>
  <c r="G20" i="30"/>
  <c r="P19" i="30"/>
  <c r="O19" i="30"/>
  <c r="M19" i="30"/>
  <c r="L19" i="30"/>
  <c r="I19" i="30"/>
  <c r="H19" i="30"/>
  <c r="G19" i="30"/>
  <c r="F38" i="30"/>
  <c r="D38" i="30"/>
  <c r="P26" i="30"/>
  <c r="O26" i="30"/>
  <c r="M26" i="30"/>
  <c r="L26" i="30"/>
  <c r="I26" i="30"/>
  <c r="H26" i="30"/>
  <c r="G26" i="30"/>
  <c r="P25" i="30"/>
  <c r="O25" i="30"/>
  <c r="M25" i="30"/>
  <c r="L25" i="30"/>
  <c r="I25" i="30"/>
  <c r="H25" i="30"/>
  <c r="G25" i="30"/>
  <c r="I24" i="30"/>
  <c r="H24" i="30"/>
  <c r="G24" i="30"/>
  <c r="P23" i="30"/>
  <c r="O23" i="30"/>
  <c r="M23" i="30"/>
  <c r="L23" i="30"/>
  <c r="J23" i="30"/>
  <c r="AD23" i="30" s="1"/>
  <c r="H23" i="30"/>
  <c r="G23" i="30"/>
  <c r="P10" i="30"/>
  <c r="M10" i="30"/>
  <c r="H10" i="30"/>
  <c r="E10" i="30"/>
  <c r="C10" i="30"/>
  <c r="P9" i="30"/>
  <c r="M9" i="30"/>
  <c r="H9" i="30"/>
  <c r="E9" i="30"/>
  <c r="C9" i="30"/>
  <c r="P16" i="30"/>
  <c r="M16" i="30"/>
  <c r="H16" i="30"/>
  <c r="E16" i="30"/>
  <c r="C16" i="30"/>
  <c r="AD14" i="30" l="1"/>
  <c r="B16" i="27"/>
  <c r="B17" i="27"/>
  <c r="K31" i="30"/>
  <c r="AB31" i="30"/>
  <c r="AD31" i="30" s="1"/>
  <c r="AB26" i="30"/>
  <c r="AD26" i="30" s="1"/>
  <c r="K26" i="30"/>
  <c r="K25" i="30"/>
  <c r="B13" i="27"/>
  <c r="K7" i="30"/>
  <c r="K23" i="30"/>
  <c r="AD24" i="30"/>
  <c r="AD29" i="30"/>
  <c r="K14" i="30"/>
  <c r="K36" i="30"/>
  <c r="B14" i="27"/>
  <c r="G152" i="29" s="1"/>
  <c r="G154" i="29" s="1"/>
  <c r="G155" i="29" s="1"/>
  <c r="K27" i="30"/>
  <c r="AB27" i="30"/>
  <c r="AD27" i="30" s="1"/>
  <c r="K13" i="30"/>
  <c r="K17" i="30"/>
  <c r="AB34" i="30"/>
  <c r="AD34" i="30" s="1"/>
  <c r="K34" i="30"/>
  <c r="K11" i="30"/>
  <c r="G212" i="29"/>
  <c r="G214" i="29" s="1"/>
  <c r="Q13" i="30"/>
  <c r="Q11" i="30"/>
  <c r="N13" i="30"/>
  <c r="A425" i="29" s="1"/>
  <c r="I38" i="30"/>
  <c r="N11" i="30"/>
  <c r="A907" i="29" s="1"/>
  <c r="G9" i="30"/>
  <c r="G10" i="30"/>
  <c r="G15" i="30"/>
  <c r="G16" i="30"/>
  <c r="N31" i="30"/>
  <c r="Q25" i="30"/>
  <c r="Q26" i="30"/>
  <c r="Q22" i="30"/>
  <c r="Q36" i="30"/>
  <c r="N9" i="30"/>
  <c r="A68" i="29" s="1"/>
  <c r="Q10" i="30"/>
  <c r="Q28" i="30"/>
  <c r="Q30" i="30"/>
  <c r="Q34" i="30"/>
  <c r="Q23" i="30"/>
  <c r="U23" i="30" s="1"/>
  <c r="Q18" i="30"/>
  <c r="N17" i="30"/>
  <c r="A555" i="29" s="1"/>
  <c r="N34" i="30"/>
  <c r="Q7" i="30"/>
  <c r="N26" i="30"/>
  <c r="N28" i="30"/>
  <c r="N14" i="30"/>
  <c r="A494" i="29" s="1"/>
  <c r="Q17" i="30"/>
  <c r="Q12" i="30"/>
  <c r="N16" i="30"/>
  <c r="A48" i="29" s="1"/>
  <c r="Q9" i="30"/>
  <c r="Q31" i="30"/>
  <c r="N23" i="30"/>
  <c r="A281" i="29"/>
  <c r="N25" i="30"/>
  <c r="N30" i="30"/>
  <c r="N36" i="30"/>
  <c r="Q16" i="30"/>
  <c r="N10" i="30"/>
  <c r="A106" i="29" s="1"/>
  <c r="Q19" i="30"/>
  <c r="N29" i="30"/>
  <c r="Q14" i="30"/>
  <c r="Q15" i="30"/>
  <c r="Q27" i="30"/>
  <c r="Q29" i="30"/>
  <c r="C38" i="30"/>
  <c r="G12" i="30"/>
  <c r="M48" i="30"/>
  <c r="Q20" i="30"/>
  <c r="N22" i="30"/>
  <c r="E38" i="30"/>
  <c r="H38" i="30"/>
  <c r="N27" i="30"/>
  <c r="D165" i="29" l="1"/>
  <c r="B164" i="29"/>
  <c r="C166" i="29" s="1"/>
  <c r="A909" i="29"/>
  <c r="AB37" i="30"/>
  <c r="AD37" i="30" s="1"/>
  <c r="A496" i="29"/>
  <c r="B204" i="29"/>
  <c r="A301" i="29"/>
  <c r="A427" i="29"/>
  <c r="K17" i="27"/>
  <c r="H212" i="29"/>
  <c r="H214" i="29" s="1"/>
  <c r="G215" i="29" s="1"/>
  <c r="T11" i="30"/>
  <c r="F17" i="27"/>
  <c r="P17" i="27"/>
  <c r="F14" i="27"/>
  <c r="J38" i="30"/>
  <c r="M47" i="30"/>
  <c r="M49" i="30" s="1"/>
  <c r="M51" i="30" s="1"/>
  <c r="V23" i="30"/>
  <c r="G38" i="30"/>
  <c r="F42" i="30" s="1"/>
  <c r="T31" i="30"/>
  <c r="U26" i="30"/>
  <c r="N8" i="30"/>
  <c r="A20" i="29" s="1"/>
  <c r="U17" i="30"/>
  <c r="U22" i="30"/>
  <c r="U9" i="30"/>
  <c r="U34" i="30"/>
  <c r="T29" i="30"/>
  <c r="U13" i="30"/>
  <c r="T16" i="30"/>
  <c r="V16" i="30"/>
  <c r="U30" i="30"/>
  <c r="T9" i="30"/>
  <c r="U36" i="30"/>
  <c r="U25" i="30"/>
  <c r="U29" i="30"/>
  <c r="T7" i="30"/>
  <c r="AK34" i="30" s="1"/>
  <c r="U16" i="30"/>
  <c r="T15" i="30"/>
  <c r="T25" i="30"/>
  <c r="U31" i="30"/>
  <c r="T19" i="30"/>
  <c r="U10" i="30"/>
  <c r="U14" i="30"/>
  <c r="T36" i="30"/>
  <c r="U7" i="30"/>
  <c r="U18" i="30"/>
  <c r="T17" i="30"/>
  <c r="T10" i="30"/>
  <c r="T14" i="30"/>
  <c r="U20" i="30"/>
  <c r="T30" i="30"/>
  <c r="U15" i="30"/>
  <c r="U19" i="30"/>
  <c r="U11" i="30"/>
  <c r="V26" i="30"/>
  <c r="T20" i="30"/>
  <c r="T34" i="30"/>
  <c r="U28" i="30"/>
  <c r="V31" i="30"/>
  <c r="U12" i="30"/>
  <c r="V9" i="30"/>
  <c r="V28" i="30"/>
  <c r="V30" i="30"/>
  <c r="V18" i="30"/>
  <c r="T23" i="30"/>
  <c r="T26" i="30"/>
  <c r="V19" i="30"/>
  <c r="V7" i="30"/>
  <c r="V34" i="30"/>
  <c r="V17" i="30"/>
  <c r="V14" i="30"/>
  <c r="T28" i="30"/>
  <c r="W7" i="30"/>
  <c r="V15" i="30"/>
  <c r="V25" i="30"/>
  <c r="V10" i="30"/>
  <c r="L47" i="30"/>
  <c r="V36" i="30"/>
  <c r="V11" i="30"/>
  <c r="V22" i="30"/>
  <c r="T22" i="30"/>
  <c r="U27" i="30"/>
  <c r="T27" i="30"/>
  <c r="V27" i="30"/>
  <c r="T13" i="30"/>
  <c r="V13" i="30"/>
  <c r="L48" i="30"/>
  <c r="E42" i="30"/>
  <c r="V20" i="30"/>
  <c r="V29" i="30"/>
  <c r="AK27" i="30" l="1"/>
  <c r="AK18" i="30"/>
  <c r="AK10" i="30"/>
  <c r="B495" i="29"/>
  <c r="AK22" i="30"/>
  <c r="AK23" i="30"/>
  <c r="AK8" i="30"/>
  <c r="A650" i="29"/>
  <c r="AK14" i="30"/>
  <c r="AK20" i="30"/>
  <c r="AK13" i="30"/>
  <c r="A22" i="29"/>
  <c r="A21" i="29"/>
  <c r="D22" i="29"/>
  <c r="A695" i="29"/>
  <c r="D909" i="29"/>
  <c r="A557" i="29"/>
  <c r="V8" i="30"/>
  <c r="U8" i="30"/>
  <c r="T8" i="30"/>
  <c r="AK9" i="30" s="1"/>
  <c r="H55" i="30"/>
  <c r="A630" i="29"/>
  <c r="W6" i="30"/>
  <c r="X6" i="30" s="1"/>
  <c r="A70" i="29"/>
  <c r="A142" i="29"/>
  <c r="A303" i="29"/>
  <c r="A205" i="29"/>
  <c r="D205" i="29" s="1"/>
  <c r="A885" i="29"/>
  <c r="A185" i="29"/>
  <c r="A50" i="29"/>
  <c r="X7" i="30"/>
  <c r="L49" i="30"/>
  <c r="L51" i="30" s="1"/>
  <c r="G42" i="30"/>
  <c r="O47" i="30" l="1"/>
  <c r="O48" i="30"/>
  <c r="O49" i="30"/>
  <c r="W8" i="30"/>
  <c r="X8" i="30" l="1"/>
  <c r="W9" i="30"/>
  <c r="W10" i="30" l="1"/>
  <c r="X10" i="30" s="1"/>
  <c r="X9" i="30"/>
  <c r="W16" i="30" l="1"/>
  <c r="X16" i="30" l="1"/>
  <c r="W17" i="30" l="1"/>
  <c r="X17" i="30" l="1"/>
  <c r="W18" i="30"/>
  <c r="W19" i="30" l="1"/>
  <c r="X18" i="30"/>
  <c r="X19" i="30" l="1"/>
  <c r="W11" i="30"/>
  <c r="W20" i="30" l="1"/>
  <c r="W21" i="30" l="1"/>
  <c r="X20" i="30"/>
  <c r="X21" i="30" l="1"/>
  <c r="W22" i="30" l="1"/>
  <c r="X22" i="30" l="1"/>
  <c r="W23" i="30" l="1"/>
  <c r="W29" i="30" l="1"/>
  <c r="X23" i="30"/>
  <c r="W30" i="30" l="1"/>
  <c r="X29" i="30"/>
  <c r="W24" i="30" l="1"/>
  <c r="X30" i="30"/>
  <c r="X24" i="30" l="1"/>
  <c r="W25" i="30" l="1"/>
  <c r="X25" i="30" l="1"/>
  <c r="W26" i="30"/>
  <c r="X26" i="30" l="1"/>
  <c r="W27" i="30" l="1"/>
  <c r="X27" i="30" l="1"/>
  <c r="W28" i="30"/>
  <c r="X28" i="30" l="1"/>
  <c r="W31" i="30" l="1"/>
  <c r="W32" i="30" l="1"/>
  <c r="X31" i="30"/>
  <c r="X32" i="30" l="1"/>
  <c r="W33" i="30" l="1"/>
  <c r="X33" i="30" l="1"/>
  <c r="W34" i="30" l="1"/>
  <c r="X34" i="30" l="1"/>
  <c r="W35" i="30"/>
  <c r="X35" i="30" s="1"/>
  <c r="O50" i="27" l="1"/>
  <c r="D32" i="27"/>
  <c r="F32" i="27" s="1"/>
  <c r="I32" i="27"/>
  <c r="H383" i="29" s="1"/>
  <c r="H386" i="29" s="1"/>
  <c r="N32" i="27" l="1"/>
  <c r="P32" i="27" s="1"/>
  <c r="G383" i="29"/>
  <c r="K32" i="27"/>
  <c r="G811" i="29"/>
  <c r="H617" i="29"/>
  <c r="H637" i="29"/>
  <c r="H639" i="29" s="1"/>
  <c r="H544" i="29"/>
  <c r="I57" i="27"/>
  <c r="H673" i="29" s="1"/>
  <c r="H682" i="29"/>
  <c r="H729" i="29"/>
  <c r="H739" i="29"/>
  <c r="H870" i="29"/>
  <c r="H874" i="29" s="1"/>
  <c r="H414" i="29"/>
  <c r="H416" i="29" s="1"/>
  <c r="L25" i="27"/>
  <c r="L24" i="27"/>
  <c r="L23" i="27"/>
  <c r="M18" i="27"/>
  <c r="O11" i="27"/>
  <c r="L5" i="27"/>
  <c r="I9" i="27"/>
  <c r="K9" i="27" s="1"/>
  <c r="D9" i="27"/>
  <c r="I6" i="27"/>
  <c r="K6" i="27" s="1"/>
  <c r="D6" i="27"/>
  <c r="N6" i="27" l="1"/>
  <c r="P6" i="27" s="1"/>
  <c r="F9" i="27"/>
  <c r="N9" i="27"/>
  <c r="G386" i="29"/>
  <c r="G387" i="29" s="1"/>
  <c r="N29" i="27"/>
  <c r="G870" i="29"/>
  <c r="G874" i="29" s="1"/>
  <c r="N79" i="27"/>
  <c r="S79" i="27" s="1"/>
  <c r="N62" i="27"/>
  <c r="G729" i="29"/>
  <c r="N57" i="27"/>
  <c r="S57" i="27" s="1"/>
  <c r="G673" i="29"/>
  <c r="G637" i="29"/>
  <c r="N28" i="27"/>
  <c r="S28" i="27" s="1"/>
  <c r="G414" i="29"/>
  <c r="D427" i="29" s="1"/>
  <c r="N63" i="27"/>
  <c r="S63" i="27" s="1"/>
  <c r="G739" i="29"/>
  <c r="G682" i="29"/>
  <c r="G544" i="29"/>
  <c r="N52" i="27"/>
  <c r="G617" i="29"/>
  <c r="G293" i="29"/>
  <c r="H330" i="29"/>
  <c r="H333" i="29" s="1"/>
  <c r="H267" i="29"/>
  <c r="H270" i="29" s="1"/>
  <c r="H241" i="29"/>
  <c r="G241" i="29"/>
  <c r="H96" i="29"/>
  <c r="G96" i="29"/>
  <c r="H58" i="29"/>
  <c r="G58" i="29"/>
  <c r="H29" i="29"/>
  <c r="H30" i="29" s="1"/>
  <c r="G29" i="29"/>
  <c r="G30" i="29" s="1"/>
  <c r="J83" i="27"/>
  <c r="H76" i="29"/>
  <c r="I11" i="27"/>
  <c r="K18" i="27"/>
  <c r="I19" i="27"/>
  <c r="K19" i="27" s="1"/>
  <c r="I20" i="27"/>
  <c r="K20" i="27" s="1"/>
  <c r="I21" i="27"/>
  <c r="I22" i="27"/>
  <c r="H290" i="29"/>
  <c r="K25" i="27"/>
  <c r="H320" i="29"/>
  <c r="H322" i="29" s="1"/>
  <c r="K28" i="27"/>
  <c r="H354" i="29"/>
  <c r="H364" i="29"/>
  <c r="K35" i="27"/>
  <c r="K52" i="27"/>
  <c r="K53" i="27"/>
  <c r="K39" i="27"/>
  <c r="K40" i="27"/>
  <c r="K43" i="27"/>
  <c r="I44" i="27"/>
  <c r="I45" i="27"/>
  <c r="H535" i="29" s="1"/>
  <c r="K48" i="27"/>
  <c r="I49" i="27"/>
  <c r="H592" i="29" s="1"/>
  <c r="I50" i="27"/>
  <c r="K50" i="27" s="1"/>
  <c r="K57" i="27"/>
  <c r="K58" i="27"/>
  <c r="I60" i="27"/>
  <c r="K60" i="27" s="1"/>
  <c r="K61" i="27"/>
  <c r="K62" i="27"/>
  <c r="K64" i="27"/>
  <c r="K65" i="27"/>
  <c r="I68" i="27"/>
  <c r="K68" i="27" s="1"/>
  <c r="I69" i="27"/>
  <c r="K69" i="27" s="1"/>
  <c r="I70" i="27"/>
  <c r="K70" i="27" s="1"/>
  <c r="I71" i="27"/>
  <c r="K71" i="27" s="1"/>
  <c r="I72" i="27"/>
  <c r="K72" i="27" s="1"/>
  <c r="I73" i="27"/>
  <c r="K73" i="27" s="1"/>
  <c r="I75" i="27"/>
  <c r="K75" i="27" s="1"/>
  <c r="I76" i="27"/>
  <c r="K76" i="27" s="1"/>
  <c r="I54" i="27"/>
  <c r="K54" i="27" s="1"/>
  <c r="I55" i="27"/>
  <c r="K55" i="27" s="1"/>
  <c r="K80" i="27"/>
  <c r="K23" i="27"/>
  <c r="K26" i="27"/>
  <c r="K27" i="27"/>
  <c r="K29" i="27"/>
  <c r="K30" i="27"/>
  <c r="K37" i="27"/>
  <c r="K38" i="27"/>
  <c r="K42" i="27"/>
  <c r="K46" i="27"/>
  <c r="K59" i="27"/>
  <c r="K63" i="27"/>
  <c r="K78" i="27"/>
  <c r="K79" i="27"/>
  <c r="F25" i="27"/>
  <c r="F6" i="27"/>
  <c r="G76" i="29"/>
  <c r="D11" i="27"/>
  <c r="N11" i="27" s="1"/>
  <c r="F18" i="27"/>
  <c r="D19" i="27"/>
  <c r="D20" i="27"/>
  <c r="D21" i="27"/>
  <c r="N21" i="27" s="1"/>
  <c r="D22" i="27"/>
  <c r="G290" i="29"/>
  <c r="G309" i="29"/>
  <c r="D26" i="27"/>
  <c r="N26" i="27" s="1"/>
  <c r="D27" i="27"/>
  <c r="D66" i="27"/>
  <c r="G344" i="29"/>
  <c r="D30" i="27"/>
  <c r="D31" i="27"/>
  <c r="F35" i="27"/>
  <c r="F52" i="27"/>
  <c r="F53" i="27"/>
  <c r="D38" i="27"/>
  <c r="D39" i="27"/>
  <c r="D40" i="27"/>
  <c r="F42" i="27"/>
  <c r="D43" i="27"/>
  <c r="D44" i="27"/>
  <c r="D45" i="27"/>
  <c r="F46" i="27"/>
  <c r="D48" i="27"/>
  <c r="D49" i="27"/>
  <c r="D50" i="27"/>
  <c r="F57" i="27"/>
  <c r="F58" i="27"/>
  <c r="D59" i="27"/>
  <c r="D60" i="27"/>
  <c r="D61" i="27"/>
  <c r="F62" i="27"/>
  <c r="F63" i="27"/>
  <c r="D64" i="27"/>
  <c r="G601" i="29" s="1"/>
  <c r="D68" i="27"/>
  <c r="D69" i="27"/>
  <c r="D70" i="27"/>
  <c r="D71" i="27"/>
  <c r="D72" i="27"/>
  <c r="D73" i="27"/>
  <c r="D75" i="27"/>
  <c r="D76" i="27"/>
  <c r="D54" i="27"/>
  <c r="D55" i="27"/>
  <c r="F79" i="27"/>
  <c r="F80" i="27"/>
  <c r="L79" i="27"/>
  <c r="M79" i="27"/>
  <c r="O79" i="27"/>
  <c r="L80" i="27"/>
  <c r="M80" i="27"/>
  <c r="O78" i="27"/>
  <c r="M78" i="27"/>
  <c r="L78" i="27"/>
  <c r="L76" i="27"/>
  <c r="M76" i="27"/>
  <c r="O76" i="27"/>
  <c r="L54" i="27"/>
  <c r="M54" i="27"/>
  <c r="O54" i="27"/>
  <c r="L55" i="27"/>
  <c r="M55" i="27"/>
  <c r="O75" i="27"/>
  <c r="M75" i="27"/>
  <c r="L75" i="27"/>
  <c r="L69" i="27"/>
  <c r="M69" i="27"/>
  <c r="L70" i="27"/>
  <c r="M70" i="27"/>
  <c r="O70" i="27"/>
  <c r="L71" i="27"/>
  <c r="M71" i="27"/>
  <c r="O71" i="27"/>
  <c r="L72" i="27"/>
  <c r="M72" i="27"/>
  <c r="O72" i="27"/>
  <c r="O68" i="27"/>
  <c r="M68" i="27"/>
  <c r="L68" i="27"/>
  <c r="L58" i="27"/>
  <c r="M58" i="27"/>
  <c r="O58" i="27"/>
  <c r="L59" i="27"/>
  <c r="M59" i="27"/>
  <c r="O59" i="27"/>
  <c r="L60" i="27"/>
  <c r="M60" i="27"/>
  <c r="O60" i="27"/>
  <c r="L61" i="27"/>
  <c r="M61" i="27"/>
  <c r="O61" i="27"/>
  <c r="L62" i="27"/>
  <c r="M62" i="27"/>
  <c r="O62" i="27"/>
  <c r="L63" i="27"/>
  <c r="M63" i="27"/>
  <c r="O63" i="27"/>
  <c r="L64" i="27"/>
  <c r="M64" i="27"/>
  <c r="O64" i="27"/>
  <c r="L65" i="27"/>
  <c r="M65" i="27"/>
  <c r="O65" i="27"/>
  <c r="O57" i="27"/>
  <c r="M57" i="27"/>
  <c r="L57" i="27"/>
  <c r="L53" i="27"/>
  <c r="M53" i="27"/>
  <c r="L37" i="27"/>
  <c r="M37" i="27"/>
  <c r="O37" i="27"/>
  <c r="L38" i="27"/>
  <c r="M38" i="27"/>
  <c r="O38" i="27"/>
  <c r="L39" i="27"/>
  <c r="M39" i="27"/>
  <c r="O39" i="27"/>
  <c r="L40" i="27"/>
  <c r="M40" i="27"/>
  <c r="O40" i="27"/>
  <c r="L41" i="27"/>
  <c r="M41" i="27"/>
  <c r="O41" i="27"/>
  <c r="P41" i="27" s="1"/>
  <c r="L42" i="27"/>
  <c r="M42" i="27"/>
  <c r="L43" i="27"/>
  <c r="M43" i="27"/>
  <c r="O43" i="27"/>
  <c r="L44" i="27"/>
  <c r="M44" i="27"/>
  <c r="O44" i="27"/>
  <c r="L45" i="27"/>
  <c r="M45" i="27"/>
  <c r="O45" i="27"/>
  <c r="L46" i="27"/>
  <c r="M46" i="27"/>
  <c r="L47" i="27"/>
  <c r="M47" i="27"/>
  <c r="O47" i="27"/>
  <c r="L48" i="27"/>
  <c r="M48" i="27"/>
  <c r="O48" i="27"/>
  <c r="L49" i="27"/>
  <c r="M49" i="27"/>
  <c r="O49" i="27"/>
  <c r="O52" i="27"/>
  <c r="M52" i="27"/>
  <c r="L52" i="27"/>
  <c r="M34" i="27"/>
  <c r="L34" i="27"/>
  <c r="L28" i="27"/>
  <c r="M28" i="27"/>
  <c r="O28" i="27"/>
  <c r="L29" i="27"/>
  <c r="M29" i="27"/>
  <c r="O29" i="27"/>
  <c r="L30" i="27"/>
  <c r="M30" i="27"/>
  <c r="O30" i="27"/>
  <c r="L31" i="27"/>
  <c r="M31" i="27"/>
  <c r="O31" i="27"/>
  <c r="M24" i="27"/>
  <c r="O24" i="27"/>
  <c r="M25" i="27"/>
  <c r="O25" i="27"/>
  <c r="L26" i="27"/>
  <c r="M26" i="27"/>
  <c r="O26" i="27"/>
  <c r="L27" i="27"/>
  <c r="M27" i="27"/>
  <c r="O27" i="27"/>
  <c r="L66" i="27"/>
  <c r="M66" i="27"/>
  <c r="O66" i="27"/>
  <c r="L19" i="27"/>
  <c r="M19" i="27"/>
  <c r="O19" i="27"/>
  <c r="L20" i="27"/>
  <c r="M20" i="27"/>
  <c r="O20" i="27"/>
  <c r="L21" i="27"/>
  <c r="M21" i="27"/>
  <c r="O21" i="27"/>
  <c r="L22" i="27"/>
  <c r="M22" i="27"/>
  <c r="O22" i="27"/>
  <c r="M23" i="27"/>
  <c r="P23" i="27"/>
  <c r="L18" i="27"/>
  <c r="L6" i="27"/>
  <c r="M6" i="27"/>
  <c r="L7" i="27"/>
  <c r="M7" i="27"/>
  <c r="L8" i="27"/>
  <c r="M8" i="27"/>
  <c r="L9" i="27"/>
  <c r="M9" i="27"/>
  <c r="O9" i="27"/>
  <c r="L10" i="27"/>
  <c r="M10" i="27"/>
  <c r="M5" i="27"/>
  <c r="B81" i="27"/>
  <c r="H897" i="29"/>
  <c r="G897" i="29"/>
  <c r="H848" i="29"/>
  <c r="H850" i="29" s="1"/>
  <c r="G848" i="29"/>
  <c r="H663" i="29"/>
  <c r="G663" i="29"/>
  <c r="H790" i="29"/>
  <c r="G790" i="29"/>
  <c r="H400" i="29"/>
  <c r="G400" i="29"/>
  <c r="L81" i="27" l="1"/>
  <c r="N19" i="27"/>
  <c r="P19" i="27" s="1"/>
  <c r="M81" i="27"/>
  <c r="N20" i="27"/>
  <c r="AB28" i="30"/>
  <c r="AD28" i="30" s="1"/>
  <c r="S29" i="27"/>
  <c r="N22" i="27"/>
  <c r="K15" i="30"/>
  <c r="AB15" i="30"/>
  <c r="AK16" i="30"/>
  <c r="B556" i="29"/>
  <c r="D557" i="29"/>
  <c r="O81" i="27"/>
  <c r="O83" i="27" s="1"/>
  <c r="G604" i="29"/>
  <c r="G605" i="29" s="1"/>
  <c r="G116" i="29"/>
  <c r="G118" i="29" s="1"/>
  <c r="F11" i="27"/>
  <c r="K11" i="27"/>
  <c r="H116" i="29"/>
  <c r="H118" i="29" s="1"/>
  <c r="N69" i="27"/>
  <c r="P69" i="27" s="1"/>
  <c r="F69" i="27"/>
  <c r="P28" i="27"/>
  <c r="P53" i="27"/>
  <c r="K45" i="27"/>
  <c r="N70" i="27"/>
  <c r="P70" i="27" s="1"/>
  <c r="F71" i="27"/>
  <c r="N71" i="27"/>
  <c r="P71" i="27" s="1"/>
  <c r="F59" i="27"/>
  <c r="N59" i="27"/>
  <c r="P59" i="27" s="1"/>
  <c r="G701" i="29"/>
  <c r="G703" i="29" s="1"/>
  <c r="F45" i="27"/>
  <c r="N45" i="27"/>
  <c r="P45" i="27" s="1"/>
  <c r="G535" i="29"/>
  <c r="G537" i="29" s="1"/>
  <c r="F41" i="27"/>
  <c r="F37" i="27"/>
  <c r="N37" i="27"/>
  <c r="S37" i="27" s="1"/>
  <c r="G436" i="29"/>
  <c r="F34" i="27"/>
  <c r="G399" i="29"/>
  <c r="G402" i="29" s="1"/>
  <c r="F21" i="27"/>
  <c r="P21" i="27"/>
  <c r="G249" i="29"/>
  <c r="G251" i="29" s="1"/>
  <c r="G240" i="29"/>
  <c r="F44" i="27"/>
  <c r="N44" i="27"/>
  <c r="P44" i="27" s="1"/>
  <c r="G526" i="29"/>
  <c r="G528" i="29" s="1"/>
  <c r="G311" i="29"/>
  <c r="K49" i="27"/>
  <c r="K21" i="27"/>
  <c r="H240" i="29"/>
  <c r="H242" i="29" s="1"/>
  <c r="H249" i="29"/>
  <c r="H251" i="29" s="1"/>
  <c r="D884" i="29"/>
  <c r="D885" i="29"/>
  <c r="P25" i="27"/>
  <c r="P58" i="27"/>
  <c r="F55" i="27"/>
  <c r="N55" i="27"/>
  <c r="P55" i="27" s="1"/>
  <c r="F73" i="27"/>
  <c r="N73" i="27"/>
  <c r="P73" i="27" s="1"/>
  <c r="F61" i="27"/>
  <c r="N61" i="27"/>
  <c r="P61" i="27" s="1"/>
  <c r="G720" i="29"/>
  <c r="G722" i="29" s="1"/>
  <c r="F47" i="27"/>
  <c r="P47" i="27"/>
  <c r="G563" i="29"/>
  <c r="B575" i="29" s="1"/>
  <c r="F43" i="27"/>
  <c r="N43" i="27"/>
  <c r="P43" i="27" s="1"/>
  <c r="G517" i="29"/>
  <c r="G519" i="29" s="1"/>
  <c r="G520" i="29" s="1"/>
  <c r="F39" i="27"/>
  <c r="N39" i="27"/>
  <c r="P39" i="27" s="1"/>
  <c r="G460" i="29"/>
  <c r="G462" i="29" s="1"/>
  <c r="G373" i="29"/>
  <c r="N31" i="27"/>
  <c r="P31" i="27" s="1"/>
  <c r="G330" i="29"/>
  <c r="G333" i="29" s="1"/>
  <c r="G334" i="29" s="1"/>
  <c r="N27" i="27"/>
  <c r="P27" i="27" s="1"/>
  <c r="D303" i="29"/>
  <c r="F19" i="27"/>
  <c r="F70" i="27"/>
  <c r="H563" i="29"/>
  <c r="H565" i="29" s="1"/>
  <c r="H483" i="29"/>
  <c r="G639" i="29"/>
  <c r="G640" i="29" s="1"/>
  <c r="F76" i="27"/>
  <c r="N76" i="27"/>
  <c r="P76" i="27" s="1"/>
  <c r="F49" i="27"/>
  <c r="N49" i="27"/>
  <c r="P49" i="27" s="1"/>
  <c r="G592" i="29"/>
  <c r="G594" i="29" s="1"/>
  <c r="P11" i="27"/>
  <c r="K44" i="27"/>
  <c r="H526" i="29"/>
  <c r="H528" i="29" s="1"/>
  <c r="H399" i="29"/>
  <c r="H402" i="29" s="1"/>
  <c r="K22" i="27"/>
  <c r="H258" i="29"/>
  <c r="H260" i="29" s="1"/>
  <c r="F75" i="27"/>
  <c r="N75" i="27"/>
  <c r="P75" i="27" s="1"/>
  <c r="G767" i="29"/>
  <c r="G769" i="29" s="1"/>
  <c r="P65" i="27"/>
  <c r="F48" i="27"/>
  <c r="N48" i="27"/>
  <c r="P48" i="27" s="1"/>
  <c r="G582" i="29"/>
  <c r="F40" i="27"/>
  <c r="N40" i="27"/>
  <c r="P40" i="27" s="1"/>
  <c r="G469" i="29"/>
  <c r="G472" i="29" s="1"/>
  <c r="G473" i="29" s="1"/>
  <c r="G777" i="29"/>
  <c r="G779" i="29" s="1"/>
  <c r="N66" i="27"/>
  <c r="P66" i="27" s="1"/>
  <c r="F20" i="27"/>
  <c r="D556" i="29"/>
  <c r="F54" i="27"/>
  <c r="N54" i="27"/>
  <c r="P54" i="27" s="1"/>
  <c r="F72" i="27"/>
  <c r="N72" i="27"/>
  <c r="P72" i="27" s="1"/>
  <c r="F68" i="27"/>
  <c r="N68" i="27"/>
  <c r="P68" i="27" s="1"/>
  <c r="F64" i="27"/>
  <c r="N64" i="27"/>
  <c r="P64" i="27" s="1"/>
  <c r="G749" i="29"/>
  <c r="F60" i="27"/>
  <c r="N60" i="27"/>
  <c r="P60" i="27" s="1"/>
  <c r="F50" i="27"/>
  <c r="N50" i="27"/>
  <c r="P50" i="27" s="1"/>
  <c r="F38" i="27"/>
  <c r="N38" i="27"/>
  <c r="P38" i="27" s="1"/>
  <c r="G450" i="29"/>
  <c r="G452" i="29" s="1"/>
  <c r="G364" i="29"/>
  <c r="N30" i="27"/>
  <c r="P30" i="27" s="1"/>
  <c r="F22" i="27"/>
  <c r="P22" i="27"/>
  <c r="G258" i="29"/>
  <c r="G260" i="29" s="1"/>
  <c r="B694" i="29"/>
  <c r="D695" i="29"/>
  <c r="J695" i="29" s="1"/>
  <c r="D426" i="29"/>
  <c r="B426" i="29"/>
  <c r="G416" i="29"/>
  <c r="G417" i="29" s="1"/>
  <c r="D88" i="29"/>
  <c r="H812" i="29"/>
  <c r="P29" i="27"/>
  <c r="P79" i="27"/>
  <c r="P80" i="27"/>
  <c r="P63" i="27"/>
  <c r="F31" i="27"/>
  <c r="F66" i="27"/>
  <c r="P26" i="27"/>
  <c r="G11" i="29"/>
  <c r="P24" i="27"/>
  <c r="P52" i="27"/>
  <c r="F65" i="27"/>
  <c r="F28" i="27"/>
  <c r="F24" i="27"/>
  <c r="P57" i="27"/>
  <c r="H373" i="29"/>
  <c r="K31" i="27"/>
  <c r="H221" i="29"/>
  <c r="H309" i="29"/>
  <c r="H311" i="29" s="1"/>
  <c r="F29" i="27"/>
  <c r="G354" i="29"/>
  <c r="F26" i="27"/>
  <c r="G320" i="29"/>
  <c r="G322" i="29" s="1"/>
  <c r="F23" i="27"/>
  <c r="G267" i="29"/>
  <c r="G270" i="29" s="1"/>
  <c r="G271" i="29" s="1"/>
  <c r="F30" i="27"/>
  <c r="H767" i="29"/>
  <c r="H769" i="29" s="1"/>
  <c r="F27" i="27"/>
  <c r="H777" i="29"/>
  <c r="K66" i="27"/>
  <c r="P46" i="27"/>
  <c r="P62" i="27"/>
  <c r="P9" i="27"/>
  <c r="H11" i="29"/>
  <c r="H344" i="29"/>
  <c r="B908" i="29"/>
  <c r="G221" i="29"/>
  <c r="H505" i="29"/>
  <c r="G798" i="29"/>
  <c r="G805" i="29"/>
  <c r="G812" i="29"/>
  <c r="G821" i="29"/>
  <c r="G830" i="29"/>
  <c r="G837" i="29"/>
  <c r="G657" i="29"/>
  <c r="G664" i="29"/>
  <c r="H898" i="29"/>
  <c r="G505" i="29"/>
  <c r="G898" i="29"/>
  <c r="G619" i="29"/>
  <c r="H452" i="29"/>
  <c r="H462" i="29"/>
  <c r="H537" i="29"/>
  <c r="G546" i="29"/>
  <c r="H546" i="29"/>
  <c r="G791" i="29"/>
  <c r="H594" i="29"/>
  <c r="G675" i="29"/>
  <c r="H675" i="29"/>
  <c r="G684" i="29"/>
  <c r="H684" i="29"/>
  <c r="H703" i="29"/>
  <c r="H722" i="29"/>
  <c r="G731" i="29"/>
  <c r="H731" i="29"/>
  <c r="G741" i="29"/>
  <c r="H741" i="29"/>
  <c r="H751" i="29"/>
  <c r="D908" i="29"/>
  <c r="B884" i="29"/>
  <c r="D694" i="29"/>
  <c r="H619" i="29"/>
  <c r="AD15" i="30" l="1"/>
  <c r="P37" i="27"/>
  <c r="K30" i="30"/>
  <c r="AB30" i="30"/>
  <c r="H485" i="29"/>
  <c r="G486" i="29" s="1"/>
  <c r="D496" i="29"/>
  <c r="D281" i="29"/>
  <c r="G439" i="29"/>
  <c r="G440" i="29" s="1"/>
  <c r="G119" i="29"/>
  <c r="P20" i="27"/>
  <c r="G261" i="29"/>
  <c r="G770" i="29"/>
  <c r="G252" i="29"/>
  <c r="G565" i="29"/>
  <c r="G566" i="29" s="1"/>
  <c r="G751" i="29"/>
  <c r="G752" i="29" s="1"/>
  <c r="G403" i="29"/>
  <c r="G312" i="29"/>
  <c r="G899" i="29"/>
  <c r="G813" i="29"/>
  <c r="G742" i="29"/>
  <c r="G685" i="29"/>
  <c r="G595" i="29"/>
  <c r="G506" i="29"/>
  <c r="C651" i="29"/>
  <c r="G704" i="29"/>
  <c r="G676" i="29"/>
  <c r="C910" i="29"/>
  <c r="G732" i="29"/>
  <c r="G875" i="29"/>
  <c r="G529" i="29"/>
  <c r="G463" i="29"/>
  <c r="G453" i="29"/>
  <c r="G620" i="29"/>
  <c r="G538" i="29"/>
  <c r="G723" i="29"/>
  <c r="G547" i="29"/>
  <c r="C886" i="29"/>
  <c r="C696" i="29"/>
  <c r="C558" i="29"/>
  <c r="C631" i="29"/>
  <c r="G242" i="29"/>
  <c r="G243" i="29" s="1"/>
  <c r="G31" i="29"/>
  <c r="G12" i="29"/>
  <c r="AK17" i="30" l="1"/>
  <c r="AK15" i="30"/>
  <c r="AD30" i="30"/>
  <c r="C282" i="29"/>
  <c r="C497" i="29"/>
  <c r="H78" i="29"/>
  <c r="G223" i="29"/>
  <c r="H223" i="29"/>
  <c r="H779" i="29"/>
  <c r="G780" i="29" s="1"/>
  <c r="H356" i="29"/>
  <c r="G356" i="29"/>
  <c r="G323" i="29"/>
  <c r="D302" i="29"/>
  <c r="B302" i="29"/>
  <c r="G78" i="29"/>
  <c r="B88" i="29"/>
  <c r="C21" i="29"/>
  <c r="G375" i="29"/>
  <c r="H375" i="29"/>
  <c r="H366" i="29"/>
  <c r="G366" i="29"/>
  <c r="G224" i="29" l="1"/>
  <c r="G357" i="29"/>
  <c r="G376" i="29"/>
  <c r="G367" i="29"/>
  <c r="G79" i="29"/>
  <c r="C304" i="29"/>
  <c r="C90" i="29"/>
  <c r="C81" i="27"/>
  <c r="H584" i="29"/>
  <c r="G584" i="29"/>
  <c r="G585" i="29" l="1"/>
  <c r="H346" i="29"/>
  <c r="G346" i="29"/>
  <c r="G347" i="29" l="1"/>
  <c r="A23" i="29"/>
  <c r="C206" i="29"/>
  <c r="C51" i="29" l="1"/>
  <c r="G16" i="21" l="1"/>
  <c r="F15" i="21"/>
  <c r="E15" i="21"/>
  <c r="D15" i="21"/>
  <c r="C15" i="21"/>
  <c r="B15" i="21"/>
  <c r="A15" i="21"/>
  <c r="F14" i="21"/>
  <c r="E14" i="21"/>
  <c r="D14" i="21"/>
  <c r="C14" i="21"/>
  <c r="B14" i="21"/>
  <c r="D13" i="21"/>
  <c r="C13" i="21"/>
  <c r="F12" i="21"/>
  <c r="E12" i="21"/>
  <c r="D12" i="21"/>
  <c r="C12" i="21"/>
  <c r="D11" i="21"/>
  <c r="F10" i="21"/>
  <c r="E10" i="21"/>
  <c r="D10" i="21"/>
  <c r="C10" i="21"/>
  <c r="B10" i="21"/>
  <c r="F9" i="21"/>
  <c r="E9" i="21"/>
  <c r="D9" i="21"/>
  <c r="C9" i="21"/>
  <c r="B9" i="21"/>
  <c r="F8" i="21"/>
  <c r="E8" i="21"/>
  <c r="D8" i="21"/>
  <c r="C8" i="21"/>
  <c r="B8" i="21"/>
  <c r="F7" i="21"/>
  <c r="E7" i="21"/>
  <c r="D7" i="21"/>
  <c r="C7" i="21"/>
  <c r="B7" i="21"/>
  <c r="F6" i="21"/>
  <c r="E6" i="21"/>
  <c r="D6" i="21"/>
  <c r="C6" i="21"/>
  <c r="B6" i="21"/>
  <c r="F5" i="21"/>
  <c r="E5" i="21"/>
  <c r="D5" i="21"/>
  <c r="C5" i="21"/>
  <c r="B5" i="21"/>
  <c r="A5" i="21"/>
  <c r="F4" i="21"/>
  <c r="E4" i="21"/>
  <c r="D4" i="21"/>
  <c r="C4" i="21"/>
  <c r="B4" i="21"/>
  <c r="A4" i="21"/>
  <c r="F3" i="21"/>
  <c r="E3" i="21"/>
  <c r="D3" i="21"/>
  <c r="C3" i="21"/>
  <c r="B3" i="21"/>
  <c r="A3" i="21"/>
  <c r="H6" i="21" l="1"/>
  <c r="H10" i="21"/>
  <c r="H15" i="21"/>
  <c r="H5" i="21"/>
  <c r="H7" i="21"/>
  <c r="H9" i="21"/>
  <c r="H8" i="21"/>
  <c r="H4" i="21"/>
  <c r="H12" i="21"/>
  <c r="H14" i="21"/>
  <c r="H3" i="21"/>
  <c r="K14" i="3" l="1"/>
  <c r="F13" i="21" s="1"/>
  <c r="F11" i="21" s="1"/>
  <c r="F16" i="21" s="1"/>
  <c r="J14" i="3"/>
  <c r="E13" i="21" s="1"/>
  <c r="L9" i="3"/>
  <c r="L8" i="3"/>
  <c r="L7" i="3"/>
  <c r="L6" i="3"/>
  <c r="L3" i="3"/>
  <c r="L14" i="3" l="1"/>
  <c r="E11" i="21"/>
  <c r="H13" i="21"/>
  <c r="E16" i="21" l="1"/>
  <c r="H16" i="21" s="1"/>
  <c r="H11" i="21"/>
  <c r="F78" i="27" l="1"/>
  <c r="G847" i="29"/>
  <c r="P78" i="27"/>
  <c r="G850" i="29" l="1"/>
  <c r="G851" i="29" s="1"/>
  <c r="D860" i="29"/>
  <c r="G37" i="29"/>
  <c r="F7" i="27"/>
  <c r="K7" i="27"/>
  <c r="H37" i="29"/>
  <c r="A49" i="29" l="1"/>
  <c r="C49" i="29"/>
  <c r="G39" i="29"/>
  <c r="H39" i="29"/>
  <c r="D50" i="29"/>
  <c r="P8" i="27"/>
  <c r="K8" i="27"/>
  <c r="H57" i="29"/>
  <c r="H59" i="29" s="1"/>
  <c r="G57" i="29"/>
  <c r="F8" i="27"/>
  <c r="G40" i="29" l="1"/>
  <c r="D69" i="29"/>
  <c r="B69" i="29"/>
  <c r="D70" i="29"/>
  <c r="G59" i="29"/>
  <c r="G60" i="29" s="1"/>
  <c r="H95" i="29"/>
  <c r="H97" i="29" s="1"/>
  <c r="K10" i="27"/>
  <c r="G95" i="29"/>
  <c r="F10" i="27"/>
  <c r="P10" i="27"/>
  <c r="G97" i="29" l="1"/>
  <c r="G98" i="29" s="1"/>
  <c r="C71" i="29"/>
  <c r="D107" i="29"/>
  <c r="G128" i="29"/>
  <c r="F13" i="27"/>
  <c r="K13" i="27"/>
  <c r="G131" i="29" l="1"/>
  <c r="H128" i="29"/>
  <c r="D81" i="27"/>
  <c r="E89" i="27" s="1"/>
  <c r="F15" i="27"/>
  <c r="F81" i="27" s="1"/>
  <c r="G172" i="29"/>
  <c r="I81" i="27"/>
  <c r="I90" i="27" s="1"/>
  <c r="H172" i="29"/>
  <c r="H174" i="29" s="1"/>
  <c r="K15" i="27"/>
  <c r="K81" i="27" s="1"/>
  <c r="N15" i="27"/>
  <c r="S15" i="27" s="1"/>
  <c r="J3" i="29" l="1"/>
  <c r="AB19" i="30"/>
  <c r="AB38" i="30" s="1"/>
  <c r="K20" i="30"/>
  <c r="K38" i="30" s="1"/>
  <c r="AA54" i="30" s="1"/>
  <c r="N81" i="27"/>
  <c r="H131" i="29"/>
  <c r="G132" i="29" s="1"/>
  <c r="D141" i="29"/>
  <c r="G174" i="29"/>
  <c r="D184" i="29"/>
  <c r="D142" i="29"/>
  <c r="B141" i="29"/>
  <c r="G175" i="29"/>
  <c r="P15" i="27"/>
  <c r="P81" i="27" s="1"/>
  <c r="N89" i="27" l="1"/>
  <c r="N88" i="27"/>
  <c r="C143" i="29"/>
  <c r="N92" i="27"/>
  <c r="N47" i="30"/>
  <c r="AD19" i="30"/>
  <c r="AB48" i="30"/>
  <c r="A94" i="27"/>
  <c r="E94" i="27" s="1"/>
  <c r="K3" i="29"/>
  <c r="D185" i="29"/>
  <c r="AK21" i="30" l="1"/>
  <c r="AK19" i="30"/>
  <c r="AC7" i="30"/>
  <c r="N12" i="30"/>
  <c r="A859" i="29" s="1"/>
  <c r="A108" i="29" l="1"/>
  <c r="D108" i="29" s="1"/>
  <c r="B107" i="29"/>
  <c r="C109" i="29" s="1"/>
  <c r="N39" i="30"/>
  <c r="T12" i="30"/>
  <c r="V12" i="30"/>
  <c r="W13" i="30"/>
  <c r="W14" i="30" s="1"/>
  <c r="W12" i="30" s="1"/>
  <c r="W15" i="30" s="1"/>
  <c r="X15" i="30" s="1"/>
  <c r="AC39" i="30"/>
  <c r="C574" i="29"/>
  <c r="J2" i="29" s="1"/>
  <c r="AD7" i="30"/>
  <c r="AK7" i="30" s="1"/>
  <c r="N2" i="29" l="1"/>
  <c r="N48" i="30"/>
  <c r="N49" i="30" s="1"/>
  <c r="T49" i="30" s="1"/>
  <c r="U51" i="30" s="1"/>
  <c r="T39" i="30"/>
  <c r="AK12" i="30"/>
  <c r="AK11" i="30"/>
  <c r="AD39" i="30"/>
  <c r="N50" i="30"/>
  <c r="D575" i="29"/>
  <c r="C577" i="29" s="1"/>
  <c r="L2" i="29"/>
  <c r="A576" i="29"/>
  <c r="D576" i="29" s="1"/>
  <c r="A861" i="29"/>
  <c r="D861" i="29" s="1"/>
  <c r="B860" i="29"/>
  <c r="C862" i="29" s="1"/>
  <c r="T43" i="30"/>
  <c r="AA43" i="30"/>
  <c r="O50" i="30" l="1"/>
  <c r="AA53" i="30"/>
  <c r="AA50" i="30"/>
  <c r="K2" i="29" s="1"/>
  <c r="AK37" i="30"/>
  <c r="AK38" i="30" s="1"/>
  <c r="Y48" i="30"/>
</calcChain>
</file>

<file path=xl/comments1.xml><?xml version="1.0" encoding="utf-8"?>
<comments xmlns="http://schemas.openxmlformats.org/spreadsheetml/2006/main">
  <authors>
    <author>alexandeti</author>
  </authors>
  <commentList>
    <comment ref="C12" authorId="0">
      <text>
        <r>
          <rPr>
            <b/>
            <sz val="8"/>
            <color indexed="81"/>
            <rFont val="Tahoma"/>
            <family val="2"/>
          </rPr>
          <t>alexandeti:</t>
        </r>
        <r>
          <rPr>
            <sz val="8"/>
            <color indexed="81"/>
            <rFont val="Tahoma"/>
            <family val="2"/>
          </rPr>
          <t xml:space="preserve">
DRAFT -- waiting on Jane to confirm updates</t>
        </r>
      </text>
    </comment>
  </commentList>
</comments>
</file>

<file path=xl/comments2.xml><?xml version="1.0" encoding="utf-8"?>
<comments xmlns="http://schemas.openxmlformats.org/spreadsheetml/2006/main">
  <authors>
    <author>BaerBN</author>
  </authors>
  <commentList>
    <comment ref="P50" authorId="0">
      <text>
        <r>
          <rPr>
            <b/>
            <sz val="9"/>
            <color indexed="81"/>
            <rFont val="Tahoma"/>
            <family val="2"/>
          </rPr>
          <t>BaerBN:</t>
        </r>
        <r>
          <rPr>
            <sz val="9"/>
            <color indexed="81"/>
            <rFont val="Tahoma"/>
            <family val="2"/>
          </rPr>
          <t xml:space="preserve">
Requesting funding in E.I.
</t>
        </r>
      </text>
    </comment>
  </commentList>
</comments>
</file>

<file path=xl/sharedStrings.xml><?xml version="1.0" encoding="utf-8"?>
<sst xmlns="http://schemas.openxmlformats.org/spreadsheetml/2006/main" count="1738" uniqueCount="808">
  <si>
    <t>This strategy includes funding for the academic program responsibilities of the Academic Affairs and Research Division, including funding for excellence initiatives.  The strategy includes funding for the personnel whose primary responsibility is institutional program review, administration of the health-related trusteed funds (including the residency programs and the grant programs supported by the tobacco settlement funding included in Goal G), and the Coordinating Board efforts to close the gaps in excellence.</t>
  </si>
  <si>
    <t>The Primary Care Residency Program provides funding for new primary care residency programs and for new primary care residency positions in the state.  Funding is provided to primary care residency programs (up to a four-year maximum for obstetrics/gynecology residents) for designated residents for an entire residency training experience as governed by the specialty certification.  Residents are identified by program directors as likely to remain in Texas to practice, interested in underserved areas, and committed to primary care medicine. Funding caps are in place for qualifying residency programs, with a maximum of 18 or fewer residents supported at each program.  Funding is statutorily set, providing programs with $15,000 per resident to support a maximum of 18 residents, contingent on availability. The CB allocates the funding to new programs and programs identified as producing physicians who stay and practice in the state.</t>
  </si>
  <si>
    <t>The Graduate Medical Education Program provides funds to support the educational and teaching costs of primary care graduate medical education programs.  For purposes of this strategy, primary care includes family practice, obstetrics/gynecology, general internal medicine, and general pediatrics.  Funds appropriated for this program may only be allocated to independent residency programs that are not affiliated with a Texas medical school.</t>
  </si>
  <si>
    <t>Texas College Work-Study Program</t>
  </si>
  <si>
    <t>Texas B-On-Time Loan Program</t>
  </si>
  <si>
    <t>Physician Education Loan Repayment Program</t>
  </si>
  <si>
    <t>Family Practice Residency Program</t>
  </si>
  <si>
    <t>Engineering Recruitment Program</t>
  </si>
  <si>
    <t>TOTAL</t>
  </si>
  <si>
    <t>Budget Goal A:  Close the Gaps in Higher Education</t>
  </si>
  <si>
    <t>Budget Goal F:  Close the Gaps by Providing Federal Funding to Institutions and Students (Administration of Federal Funding)</t>
  </si>
  <si>
    <t>Budget Goal H:  Indirect Administration</t>
  </si>
  <si>
    <t>Budget Goal B:  Close the Gaps – Affordability</t>
  </si>
  <si>
    <t>Budget Goal C:  Close the Gaps – Research</t>
  </si>
  <si>
    <t>Budget Goal D:  Close the Gaps – Health Programs</t>
  </si>
  <si>
    <t>Budget Goal E:  Close the Gaps in Quality and Participation</t>
  </si>
  <si>
    <t>Budget Goal F:  Federal Grant Programs</t>
  </si>
  <si>
    <t>Budget Goal G:  Tobacco Settlement Endowment Funds</t>
  </si>
  <si>
    <t>The Statewide Preceptorship Program provides funding to encourage Texas medical students to choose careers in primary care by contracting with one or more organizations to operate statewide preceptorship programs in family practice, general internal medicine, and general pediatrics.  Each program has a complement of more than 100 volunteer physicians located statewide to mentor medical students in a community-based medical practice during one-month preceptorships with a family physician, internist, or pediatrician preceptor.  The guiding premise of the preceptor experience is that early exposure to a primary care medical specialty may positively influence future career decisions and practice patterns.  Participating medical students receive a $500 stipend if they participate in a location near their medical school, and a $1,000 stipend if they participate in a rural location.</t>
  </si>
  <si>
    <t>FY12-FY13 Legislative Appropriations Request (LAR)</t>
  </si>
  <si>
    <t>FY 12</t>
  </si>
  <si>
    <t>FY 13</t>
  </si>
  <si>
    <t>Variance</t>
  </si>
  <si>
    <t>GR</t>
  </si>
  <si>
    <t>12-13 LAR Strategy Descriptions for Board Summary</t>
  </si>
  <si>
    <t>updated:</t>
  </si>
  <si>
    <t>Strat #</t>
  </si>
  <si>
    <t>Strat Name</t>
  </si>
  <si>
    <t>Description</t>
  </si>
  <si>
    <t>A.1.1.</t>
  </si>
  <si>
    <t>Close Gaps in Participation and Success</t>
  </si>
  <si>
    <t>A.1.2.</t>
  </si>
  <si>
    <t>Close Gaps by Administering  Loan Programs</t>
  </si>
  <si>
    <t>A.1.3.</t>
  </si>
  <si>
    <t>Close Gaps by Administering College Readiness Initiatives</t>
  </si>
  <si>
    <t>This strategy includes funding for the administration of all college readiness programs and initiatives that support the goals and objectives of the P-16 College Readiness and Success Strategic Action Plan.  The Plan is designed to increase student success and decrease the number of students enrolling in developmental course work in institutions of higher education. The strategy includes staff resources for college readiness activities, including Adult Basic Education and Developmental Education activities, in the Divisions of P-16 Initiatives, Academic Affairs and Research, and Planning and Accountability.</t>
  </si>
  <si>
    <t>A.2.1.</t>
  </si>
  <si>
    <t>Close Gaps in Excellence</t>
  </si>
  <si>
    <t>A.2.2.</t>
  </si>
  <si>
    <t>Close Gaps in Research</t>
  </si>
  <si>
    <t>This strategy provides all of the funding for the administration and staff supervision of the research programs by the Academic Affairs and Research Division. The strategy includes funding for personnel whose primary responsibility is administration of the Norman Hackerman Advanced Research Program, Summer Engineering Program, Engineering Recruitment Program, Research Assessment Program, Research Development Fund, and the agency’s related efforts to close the gaps in research.</t>
  </si>
  <si>
    <t>A.3.1.</t>
  </si>
  <si>
    <t>Close Gaps by Providing Planning and Information</t>
  </si>
  <si>
    <t>This strategy provides all of the funding for the Planning and Accountability Division, including the Education Data Center and Information Access Initiative, and funding for planning initiatives.  The strategy includes funding for the personnel whose responsibilities include planning for higher education, collection of the state’s higher education data, analysis of higher education issues, the state’s higher education accountability system, planning for the state’s higher education facilities, and higher education finance analysis. This strategy includes funding for the Higher Education Policy Institute (HEPI). The Coordinating Board received a grant from the Houston Endowment, Inc. to conduct research and analysis of the critical higher education issues that challenge Texas. HEPI has established research agendas in the four areas as approved by the Houston Endowment: student outcomes, developmental education, Hispanic student success, and cost efficiency. The project has provided the Coordinating Board critical input that has shaped internal policy as well as its recommendations to the legislature, thereby fulfilling the intent of the original grant proposal. In preparation for the 2011 legislative session, HEPI is developing recommendations to further influence policy.</t>
  </si>
  <si>
    <t>B.1.1.</t>
  </si>
  <si>
    <t>License Plate Scholarships Program</t>
  </si>
  <si>
    <t>B.1.2.</t>
  </si>
  <si>
    <t>Fifth-Year Accounting Students Program</t>
  </si>
  <si>
    <t>The Fifth-Year Accounting Student Scholarship Program provides need-based scholarships to students who have completed 120 hours of college work and sign a statement of intent to take the Texas CPA examination.  Eligible students must be enrolled on at least a half-time basis. This program was created in 1991 when the requirements to sit for the Texas CPA exam were changed from 120 to 150 hours of required course work.  Because of the added financial burden of an additional year of college work, this program was created to provide scholarships to students with financial need who have completed at least 120 hours of college work, including 15 hours of Accounting. Funding in this program is provided through set-asides from state fees paid by Certified Public Accountants.  HB 2440, 81st Texas legislature, shifted all scholarship activities to the Texas State Board of Public Accountancy (TSBPA) by the end of the fall 2009 term. As new fees are collected, they will be retained and accumulated by TSBPA. In accordance with these provisions, new funds for the next biennium will not be transferred to THECB.</t>
  </si>
  <si>
    <t>B.1.3.</t>
  </si>
  <si>
    <t>Early High School Graduation Scholarship Program</t>
  </si>
  <si>
    <t>For students graduating prior to September 1, 2005, this program provides funds for reimbursing institutions for tuition exemptions up to $1,000 to students who completed grades 9-12 in no more than 36 continuous months.  For students graduating after September 1, 2005, the program provides tuition and fee exemptions up to $2,000 to students who completed grades 9-12 with the Recommended or higher High School Program in no more than 36 months.  Students who graduate within 41 or 46 months may qualify (with a lesser award) if the student also graduates with a specified number of college credits.  Students at independent colleges may receive awards if their colleges provide matching awards.  The funding is provided from the Foundation School Fund through an inter-agency contract with the Texas Education Agency.  In FY 2009, a total of 6,783 students received a total of $6,562,746 (average award of $968).  Thus far in FY 2010, a total of 6,268 students have received a $5,968,540 (average award of $952).</t>
  </si>
  <si>
    <t>B.1.4.</t>
  </si>
  <si>
    <t>TANF Scholarship Program</t>
  </si>
  <si>
    <t>This program provides a one-year exemption from the payment of tuition and fees to students who were dependent children for whom their families received federal Temporary Assistance to Need Families (TANF) for at least six months during their senior year in high school.  The funding is provided from the Foundation School Fund through an inter-agency contract with the Texas Education Agency.  In FY 2009, 24 students received a total of $80,513 (average award of $3,355).  Thus far in FY 2010,12 students have received $27,936 (average award of $2,328).</t>
  </si>
  <si>
    <t>B.1.5.</t>
  </si>
  <si>
    <t>Educational Aide Program</t>
  </si>
  <si>
    <t>The intent of this program is to encourage certain educational aides and substitute teachers to obtain full teaching certification.  The Educational Aide program provides need-based exemptions from the payment of tuition and fees (other than class or laboratory fees) to students enrolled in courses leading up to teacher certification at Texas public institutions of higher education.  To receive an initial award, a student must be a Texas resident, have worked at least one of the past five years as an educational aide or 180 days of the past five years as a substitute teacher, be currently employed in some capacity by a school district in Texas, show financial need, be enrolled in courses leading to teacher certification, and meet the academic progress standards of the institution.  The funding is provided from the Foundation School Fund through an inter-agency contract with the Texas Education Agency.  In FY 2009, a total of 4,958 students received $12,541,202 (average award of $2,529).  Thus far in FY 2010, 4,022 students have received $9,326,465 (average award of $2,319).</t>
  </si>
  <si>
    <t>B.1.6.</t>
  </si>
  <si>
    <t>Teach for Texas Loan Repayment Assistance Program</t>
  </si>
  <si>
    <t>The Teach for Texas Loan Repayment Assistance Program provides student loan repayments to qualified teachers at the preschool, primary, or secondary level in a Texas public school. Teachers must provide full-time instruction in a subject field having a critical shortage of teachers or at a campus having a critical shortage of teachers. Priority is given to renewal applicants and those having the greatest amount of student loan indebtedness. Teachers may receive up to $5,000 per year for each year of service for up to five years with an aggregate limit of $20,000. The number of qualified applicants continues to exceed available funding. The CB received applications from 4,843 teachers for FY09, but funding allowed for loan repayments to only 1,130 teachers. Over-subscription of the program indicates program success. Retaining current teachers in critical shortage fields and campuses and encouraging others to teach in schools having critical teacher shortages is necessary for students to be prepared for higher education.</t>
  </si>
  <si>
    <t>B.1.7.</t>
  </si>
  <si>
    <t>Border Faculty Loan Repayment Program</t>
  </si>
  <si>
    <t>This program provides educational loan repayments for faculty members who earned their doctorates after 1994 and teach at institutions located in the counties that border Mexico. Each eligible institution submits to the Coordinating Board at least four applications from selected faculty members, who may receive loan repayment for up to $5,000 for each year of service for up to 10 years. The program was fully subscribed during the previous biennium and staff anticipates continuing to expend all appropriated general revenue funds remaining after the $20,000 budget reduction. The residual annual amount of $187,813 will fund awards to 38 faculty members each year in FY10 and FY11. Although the maximum award amount specified in statute is low, any assistance to these institutions in recruiting and retaining faculty contributes to the goals of Closing the Gaps.</t>
  </si>
  <si>
    <t>B.1.8.</t>
  </si>
  <si>
    <t>OAG Lawyers Loan Repayment Program</t>
  </si>
  <si>
    <t>B.1.9.</t>
  </si>
  <si>
    <t>Student Financial Aid</t>
  </si>
  <si>
    <t>B.1.10.</t>
  </si>
  <si>
    <t>Doctoral Incentive Program</t>
  </si>
  <si>
    <t>This program provides educational loan repayments to Texas residents employed full-time as doctoral faculty or administrators. The intent is to provide an incentive to members of underrepresented groups to serve as full-time faculty or administrators in Texas institutions of higher education. Underrepresented groups are defined in terms of the low income status or the low college-going rate of the high school the recipient either attended or resided closest to, at the time of graduation from high school.  Qualified recipients may receive up to $20,000 per year for up to five years (for a maximum aggregate of $100,000). The program is funded through a $2 per credit hour set-aside from tuition of doctoral students other than those in law school or a health professions program.  Loan repayment awards totaling $1,063,864.02 were made to 52 doctoral faculty and administrators in FY09, which significantly surpassed the total of $663,647.40 of loan repayment awards made to 37 doctoral faculty and administrators in FY08. Since annual set asides are estimated at $650,000 per year, staff anticipates that continuing to fund the program exclusively with tuition set asides will result in an over-subscription of the program.</t>
  </si>
  <si>
    <t>B.1.11.</t>
  </si>
  <si>
    <t>Texas is below the Closing the Gaps target in enrollments and graduates in science, technology, engineering, and math (STEM) fields. The Engineering Recruitment Program (ERP) helps Close the Gaps in Participation and Success, specific to engineering, through two unique initiatives: (1) Engineering Summer Program (ESP) and (2) Merit-Scholarships Program (MSP). The ESP supports one-week summer program experiences for middle and high school students at Texas public and private general academic institutions that offer engineering degree programs. ESP students participate in courses similar in content to engineering courses, with a focus on math and science preparation. The goal of the ESP is to engage and encourage middle and high school students to consider engineering as a profession. Merit-Scholarships provide financial aid to students helping them pursue an engineering degree. To be eligible to receive a scholarship, students are required to have graduated in the top 20 percent of their high school class, with GPAs of 3.5 or better in high school math and science classes, and they must maintain a college GPA of 3.0 or above.</t>
  </si>
  <si>
    <t>B.1.12.</t>
  </si>
  <si>
    <t>Higher Education Performance Incentive Initiative</t>
  </si>
  <si>
    <t>The 81st Legislature provided funding for this initiative during FY10 and FY11 (Rider 46, III-61). The incentive funding program is intended to provide for the improvement in teaching and educational excellence at Texas public general academic teaching institutions. The method of funding was moved from General Revenue to Federal American Recovery and Reinvestment Fund (Article XII-4). An Exceptional Item is being proposed to restore General Revenue funding for this strategy.</t>
  </si>
  <si>
    <t>B.1.13.</t>
  </si>
  <si>
    <t>Top Ten Percent Scholarships</t>
  </si>
  <si>
    <t>B.1.14.</t>
  </si>
  <si>
    <t>Texas Armed Services Scholarships Program</t>
  </si>
  <si>
    <t>The purpose of the Texas Armed Services Scholarship Program is to encourage students to become members of the Texas Army National Guard, members of the Texas Air Force National Guard, and commissioned officers in any branch of the armed services of the United States. Each year the governor and the lieutenant governor may each appoint two students, and each state senator and each state representative may appoint one student to receive an initial conditional Texas Armed Services Scholarship. The first disbursement of these funds will occur in FY11.  Approximately 185 students will receive the Texas Armed Services Scholarship for an average amount of $10,000 in FY11.</t>
  </si>
  <si>
    <t>B.1.15.</t>
  </si>
  <si>
    <t>Combat Tuition Reimbursement Program</t>
  </si>
  <si>
    <t>The 81st Texas Legislature amended TEC. 54.203 (Hazlewood Act) by adding a new tuition exemption (fees not included) for a dependent child or stepchild of a member of the U. S. Armed Forces who is a Texas resident or is entitled to pay resident tuition, for any semester or term during which the member of the armed forces is deployed on active duty in a combat zone outside of the United States. The new program begins with tuition charged for the 2009 fall semester. For FY2010 and FY2011, the legislature appropriated $699,000 to the Coordinating Board to be used for reimbursements to institutions for any foregone tuition charges. In FY2010,    167 students have received $220,632 (average award amount of $1,321). For FY2011, we anticipate that 264 students will receive $348,744 (average award amount of $1,321).</t>
  </si>
  <si>
    <t>B.1.16.</t>
  </si>
  <si>
    <t>Texas Career Opportunity Grants Program</t>
  </si>
  <si>
    <t>The Texas Career Opportunity Grant Program (TCOG) provides need-based grants to eligible students who are enrolled in qualified education programs at participating career schools or colleges. The amount of a TCOG Program award is the lesser of :1) the applicant’s financial need, 2) the amount of tuition and fees that exceeds the average amount charged at a public technical institute; 3) 50 percent of the average state appropriation for a full-time student at a public technical institute, or 4) the program maximum. Priority consideration is given to veterans and spouses of veterans who meet certain conditions. The 81st Texas Legislature appropriated $1,350,000 for the FY2010-2011 biennium, $65,000 of which has been cut due to budget reductions. For FY2010, we estimate 174 students will receive a total of $610,000 (average award amount of $3,500). For FY2011, we anticipate the full amount of $675,000 will be awarded to 193 students (average award amount of $3,500).</t>
  </si>
  <si>
    <t>C.1.1.</t>
  </si>
  <si>
    <t>Norman Hackerman Advanced Research Program</t>
  </si>
  <si>
    <t>The Norman Hackerman Advanced Research Program (NHARP) helps close the gaps in research by providing competitive, peer-reviewed grants for basic research at Texas higher education institutions. The program promotes research designed to attract and retain the best students and researchers, and to help provide the knowledge base needed for innovation. It provides the early part of the research pipeline (“planting the seed”) that the Emerging Technology Fund seeks to commercialize (“harvesting the fruit”).  The funding provided by this program enables investigators to do the initial studies necessary to secure additional funding for research from the federal government, private industry, and not-for-profit organizations and private donors.  A supplemental grant program provides funding to hire high school science or math teachers to work on the projects during the summer.  Funding is appropriated in the first year of the biennium.  The Board is given authority to carry forward any unexpended balances (UB) into the second year of the biennium.  The number of projects funded in FY08 was 146 and the number of students receiving education and experience through NHARP research projects in FY07 was 615.  Additional funding leveraged through this program in FY06 was $98.5 million and is estimated to be $90 million for FY08.</t>
  </si>
  <si>
    <t>D.1.1.</t>
  </si>
  <si>
    <t>Baylor College of Medicine</t>
  </si>
  <si>
    <t>This strategy provides medical education funding to Baylor College of Medicine (BCM). The Legislature appropriates to the Coordinating Board an amount per Texas resident medical student at BCM that is equal to the amount of General Revenue funding for medical education (for instruction and operations, infrastructure, and staff benefits) at The University of Texas Southwestern Medical Center at Dallas and The University of Texas Medical Branch at Galveston. (These were the only two state medical schools in existence when the Legislature authorized the appropriation of State funds to BCM.) The Coordinating Board has statutory authority to contract with BCM for the education of Texas resident undergraduate medical students.</t>
  </si>
  <si>
    <t>D.1.2.</t>
  </si>
  <si>
    <t>Baylor College of Medicine GME</t>
  </si>
  <si>
    <t>This strategy provides graduate medical education (GME) funding to Baylor College of Medicine (BCM). The funding is used for the training of resident physicians who have completed their undergraduate medical education. This strategy corresponds to the GME formula funding provided to the public health-related institutions.  This funding is trusteed to the Coordinating Board and disbursed to BCM through a contractual arrangement.</t>
  </si>
  <si>
    <t>D.1.3.</t>
  </si>
  <si>
    <t>The Family Practice Residency Program (FPRP) improves the distribution of family physicians throughout the state and provides increased medical care to patients in underserved areas.  Funds are allocated based on the certified number of residents training in each approved family practice residency program, which must receive significant local support to qualify for state funds.  This strategy also supports rural and public health rotations, which offer family practice residents the opportunity for supervised training in a rural community or public health facility. The program also supports the Family Practice Faculty Development Center, a training program for new faculty at all family practice residency programs. FPRP currently provides grants to 26 Texas family practice residency programs located statewide. It was established in 1977 as part of an effort to increase the number of physicians selecting family practice as their medical specialty and to encourage those physicians trained to establish their practices in rural and underserved communities in Texas.  Since its inception, the program has provided funding support for more than 8,000 family practice residents. Family physicians who complete residency training have a 70 percent retention rate in Texas.</t>
  </si>
  <si>
    <t>D.1.4.</t>
  </si>
  <si>
    <t>Preceptorship Program</t>
  </si>
  <si>
    <t>D.1.5.</t>
  </si>
  <si>
    <t>Primary Care Residency Program</t>
  </si>
  <si>
    <t>D.1.6.</t>
  </si>
  <si>
    <t>Graduate Medical Education (GME) Program</t>
  </si>
  <si>
    <t>D.1.7.</t>
  </si>
  <si>
    <t>Joint Admission Medical Program (JAMP)</t>
  </si>
  <si>
    <t>The Joint Admission Medical Program (JAMP) helps close the gaps in participation and success. JAMP provides support for highly-qualified, economically disadvantaged students interested in becoming physicians. Students selected into JAMP receive undergraduate scholarships, summer stipends, and are guaranteed admission to a Texas medical school, assuming their eligibility in the program is maintained. JAMP students are identified in their freshman year, selected in their sophomore year, and continue in the program through medical school. The program is administered by the JAMP Council, which is composed of one faculty representative from each Texas medical school. The enabling legislation designates the administrative functions of JAMP to the Texas Medical and Dental Schools Application Service, operated through The University of Texas System.  Funding is provided in the first year of the biennium with authority to carry forward any unexpended balances into the second year of the biennium.</t>
  </si>
  <si>
    <t>D.1.8.</t>
  </si>
  <si>
    <t>The purpose of the program is to encourage qualified physicians to practice medicine in federally designated health professional shortage areas (HPSAs) of Texas and to provide health care services to individuals enrolled in Medicaid and the TX Children's Health Insurance Program (CHIP). House Bill 2154, passed by the 81st Texas Legislature, introduced changes to the PELRP effective September 1, 2009, including increased maximum loan repayment amounts of $25,000 for the first year, $35,000 for the second year; $45,000 for the third year, and $55,000 for the fourth year. The additional funding required to support the increased repayment amounts was obtained through the revision of the sales tax structure for smokeless tobacco. Funding for the program for the 2010-11 Biennium includes: general revenue of $354,694, prior year’s unexpended medical school tuition set asides of $1,774,791.32, and estimated funds of $20,879,000 from the combination of tobacco tax revenue and medical school tuition set asides received during the current biennium. A total of $839,407 was awarded to 56 physicians for FY 09. Due to the increased award amounts, staff anticipates a total of $7,000,000 will be awarded to 269 physicians for FY 10 and a total of $16,000,000 will be awarded to 532 physicians in FY 11.</t>
  </si>
  <si>
    <t>D.1.9.</t>
  </si>
  <si>
    <t>Financial Aid for Professional Nursing Students</t>
  </si>
  <si>
    <t>D.1.10.</t>
  </si>
  <si>
    <t>Financial Aid for Vocational Nursing Students</t>
  </si>
  <si>
    <t>D.1.11.</t>
  </si>
  <si>
    <t>Dental Education Loan Repayment Program</t>
  </si>
  <si>
    <t>D.1.12.</t>
  </si>
  <si>
    <t>Professional Nursing Shortage Reduction Program</t>
  </si>
  <si>
    <t>D.1.13.</t>
  </si>
  <si>
    <t>Consortium of Alzheimer's Disease Centers</t>
  </si>
  <si>
    <t>D.1.14.</t>
  </si>
  <si>
    <t>Texas Hospital-Based Nursing Education Partnership Grants Program</t>
  </si>
  <si>
    <t>E.1.1.</t>
  </si>
  <si>
    <t>Developmental Education Program</t>
  </si>
  <si>
    <t>E.1.2.</t>
  </si>
  <si>
    <t>Centers for Teacher Education</t>
  </si>
  <si>
    <t>E.1.3.</t>
  </si>
  <si>
    <t>Two-year Institution Enrollment Growth</t>
  </si>
  <si>
    <t>E.1.4.</t>
  </si>
  <si>
    <t>New Community College Campuses</t>
  </si>
  <si>
    <t>E.1.5.</t>
  </si>
  <si>
    <t>General Academic Institution Enrollment Growth</t>
  </si>
  <si>
    <t>E.1.6.</t>
  </si>
  <si>
    <t>African American Museum Internship</t>
  </si>
  <si>
    <t>E.1.7.</t>
  </si>
  <si>
    <t>Adult Basic Education Community College Grants</t>
  </si>
  <si>
    <t>E.1.8.</t>
  </si>
  <si>
    <t>Alternative Teaching Certificate Programs at Community Colleges</t>
  </si>
  <si>
    <t>E.1.9.</t>
  </si>
  <si>
    <t>Baccalaureate Degree Study</t>
  </si>
  <si>
    <t>F.1.1.</t>
  </si>
  <si>
    <t>Student Financial Assistance Programs</t>
  </si>
  <si>
    <t>F.1.2.</t>
  </si>
  <si>
    <t>Career and Technical Education Programs</t>
  </si>
  <si>
    <t>F.1.3.</t>
  </si>
  <si>
    <t>Teacher Quality Grants Programs</t>
  </si>
  <si>
    <t>F.1.4.</t>
  </si>
  <si>
    <t>College Access Grants Program</t>
  </si>
  <si>
    <t>F.1.5.</t>
  </si>
  <si>
    <t>Other Federal Grants Programs</t>
  </si>
  <si>
    <t>G.1.1.</t>
  </si>
  <si>
    <t>Tobacco Earnings - Minority Health Research and Education</t>
  </si>
  <si>
    <t>G.1.2.</t>
  </si>
  <si>
    <t>Tobacco Earnings - Nursing, Allied Health, and Other</t>
  </si>
  <si>
    <t>G.2.1.</t>
  </si>
  <si>
    <t>Tobacco Earnings - Baylor College of Medicine</t>
  </si>
  <si>
    <t>G.2.2.</t>
  </si>
  <si>
    <t>Tobacco Earnings - Permanent Health Fund for Baylor College of Medicine</t>
  </si>
  <si>
    <t>H.1.1.</t>
  </si>
  <si>
    <t>Central Administration</t>
  </si>
  <si>
    <t>H.1.2.</t>
  </si>
  <si>
    <t>Information Resources</t>
  </si>
  <si>
    <t>H.1.3.</t>
  </si>
  <si>
    <t>Other Support Services</t>
  </si>
  <si>
    <t>This strategy consists of TEXAS Grant Program, Texas Education Opportunity Grant Program, Texas College Work-Study Program, Tuition Equalization Grant Program, and Texas B-On-Time Loan Program.</t>
  </si>
  <si>
    <t>TEXAS Grant Program</t>
  </si>
  <si>
    <t>The TEXAS Grant Program helps close the gaps in participation and success by paying college tuition and fees for financially needy high school graduates who complete the Recommended or Advanced High School Program, enroll on a three-quarter basis, and maintain at least a 2.5 college GPA.  The amount of the grant is the average statewide amount of tuition and fees at the type of public institution the student is attending.  The TEXAS Grant Program is the state’s primary assistance program supporting Participation and Success.  In FY 2009, 63,362 students received $230,316,128 (average award of $3,635).  Thus far in FY 2010, 69,034 students have received $273,723,924 (average award of $3,965).</t>
  </si>
  <si>
    <t>Texas Education Opportunity Grant Program (TEOG)</t>
  </si>
  <si>
    <t>The Texas Education Opportunity Grant Program (TEOG) awards grants to students attending public community, technical, or state colleges, with the highest priority given to students with the greatest financial need.  No specific high school requirements apply, and recipients may be enrolled on a half-time basis. To be eligible, a student must be a Texas resident, enroll at least half-time, show financial need, and be working towards an associate’s degree or a certificate.  To remain eligible, a student must complete at least 75 percent of his/her coursework and maintain a 2.5 GPA.  A student cannot receive a TEOG for more than 75 hours or three years; students eligible for a TEXAS Grant cannot receive a TEOG. The grant amount for each term will not exceed the statewide average of tuition and fees at the type of public institution the student is attending. TEOG is the state’s second largest assistance program for students attending public two-year institutions. In FY 2009, 4,447 students received $6,945,191 (average award of $1,562).  Thus far in FY 2010, 6,904 students have received $11,600,165 (average award of $1,680).</t>
  </si>
  <si>
    <t>The Texas College Work-Study Program helps close the gaps in student participation and success by allowing students to earn money to pay for at least part of their educational expenses.  The program pays up to 70 percent of salaries for students working for nonprofit employers and up to 50 percent of salaries for students working for profit-making employers.  Employers pay the balance of salaries and all other benefits.  In FY 2009, 4,774 students earned $6,232,089 ($4,960,082 of state funds and $1,063,125 in employer matching funds).  The average amount earned was $1,305.  Thus far in FY 2010, 4,015 students have earned $5,103,435 (average award of $1,270).</t>
  </si>
  <si>
    <t>Tuition Equalization Grant Program (TEG)</t>
  </si>
  <si>
    <t>The Tuition Equalization Grant Program (TEG) provides aid in the form of grants equal to half the per-student appropriation in the public university sector to students attending independent institutions.  The program thus creates savings for the State by enabling the students to attend such institutions.  TEG funds are also used to match federal Leveraging Educational Assistance Partnership (LEAP) and Special Leveraging Educational Assistance Partnership (SLEAP) funds for students attending independent institutions.  TEG is the state’s primary assistance program for students attending independent institutions.  In FY 2009, 30,466 students received $104,754,123 (average award of $3,438).  Thus far in FY 2010, 28,216 students have received $103,681,271 (average award of $3,675).</t>
  </si>
  <si>
    <t>The Texas B-On-Time Loan Program, which provides for zero interest loans to students who graduate with at least the Recommended High School Program, was created by SB 4 of the 78th Legislature.  If a recipient graduates with a B average within four or five years (depending on the curriculum) or within six hours of the maximum number of hours required by the recipient’s major, the loan will be forgiven.  In FY09, 4,709 students received B-On-Time zero-interest loans totaling $27,653,598.  Thus far in FY 2010, 7,658 students have received $37,290,762.  Since the program’s inception in FY04, 32% of student participants have met the forgiveness requirements.</t>
  </si>
  <si>
    <t>12-13 LAR Exceptional Items Summary -- DRAFT  06/24</t>
  </si>
  <si>
    <t>Agency Priority</t>
  </si>
  <si>
    <r>
      <t xml:space="preserve">Exceptional Item Name/Strategy
</t>
    </r>
    <r>
      <rPr>
        <b/>
        <sz val="10"/>
        <color theme="3"/>
        <rFont val="Arial"/>
        <family val="2"/>
      </rPr>
      <t>(in strategy order)</t>
    </r>
  </si>
  <si>
    <t>EI Name</t>
  </si>
  <si>
    <t>Division</t>
  </si>
  <si>
    <t>Divisional Priority</t>
  </si>
  <si>
    <t>Short Description</t>
  </si>
  <si>
    <t>FY12</t>
  </si>
  <si>
    <t>FY13</t>
  </si>
  <si>
    <t>Biennium Total</t>
  </si>
  <si>
    <t>MOF</t>
  </si>
  <si>
    <t>Texas High School Completion and Success Initiatives (HB2237)</t>
  </si>
  <si>
    <t>1st</t>
  </si>
  <si>
    <t>Provides a direct appropriation to THECB of GR funds for Texas High School Completion and Success Initiative (HB 2237). These funds are currently appropriated to TEA and then transferred to CB via MOU. TEA has indicated that they will not request these funds in 12-13.</t>
  </si>
  <si>
    <t>National Student Clearing House Data</t>
  </si>
  <si>
    <t>3rd</t>
  </si>
  <si>
    <t>Provides funds to purchase matching records from NSCH to provide increased coverage of student higher education attendance patterns.</t>
  </si>
  <si>
    <r>
      <rPr>
        <b/>
        <sz val="10"/>
        <rFont val="Arial"/>
        <family val="2"/>
      </rPr>
      <t>Teach for Texas Loan Repayment Program</t>
    </r>
    <r>
      <rPr>
        <sz val="10"/>
        <rFont val="Arial"/>
        <family val="2"/>
      </rPr>
      <t xml:space="preserve"> -- B.1.6. </t>
    </r>
  </si>
  <si>
    <t xml:space="preserve">Teach for Texas Loan Repayment Program </t>
  </si>
  <si>
    <t>5th</t>
  </si>
  <si>
    <t>Provides loan repayment for 5,000 additional teachers.</t>
  </si>
  <si>
    <r>
      <rPr>
        <b/>
        <sz val="10"/>
        <rFont val="Arial"/>
        <family val="2"/>
      </rPr>
      <t>TEXAS Grants</t>
    </r>
    <r>
      <rPr>
        <sz val="10"/>
        <rFont val="Arial"/>
        <family val="2"/>
      </rPr>
      <t xml:space="preserve">
B.1.9. Student Financial Aid</t>
    </r>
  </si>
  <si>
    <t>TEXAS Grants</t>
  </si>
  <si>
    <t>2nd</t>
  </si>
  <si>
    <r>
      <rPr>
        <b/>
        <sz val="10"/>
        <rFont val="Arial"/>
        <family val="2"/>
      </rPr>
      <t>Texas College Work Study</t>
    </r>
    <r>
      <rPr>
        <sz val="10"/>
        <rFont val="Arial"/>
        <family val="2"/>
      </rPr>
      <t xml:space="preserve">
B.1.9. Student Financial Aid</t>
    </r>
  </si>
  <si>
    <t>Texas College Work Study</t>
  </si>
  <si>
    <t>4th</t>
  </si>
  <si>
    <t>Restores GR that was replaced by ARRA funds in 10-11.</t>
  </si>
  <si>
    <r>
      <rPr>
        <b/>
        <sz val="10"/>
        <rFont val="Arial"/>
        <family val="2"/>
      </rPr>
      <t>Baylor College of Medicine Undergraduate Education</t>
    </r>
    <r>
      <rPr>
        <sz val="10"/>
        <rFont val="Arial"/>
        <family val="2"/>
      </rPr>
      <t xml:space="preserve"> -- D.1.1.</t>
    </r>
  </si>
  <si>
    <t xml:space="preserve">Baylor College of Medicine Undergraduate Education </t>
  </si>
  <si>
    <t>Provides to Baylor College of Medicine the amount it is authorized by statute to receive for each Texas medical student enrolled at the College.</t>
  </si>
  <si>
    <r>
      <rPr>
        <b/>
        <sz val="10"/>
        <rFont val="Arial"/>
        <family val="2"/>
      </rPr>
      <t>Physician Education Loan Repayment Program</t>
    </r>
    <r>
      <rPr>
        <sz val="10"/>
        <rFont val="Arial"/>
        <family val="2"/>
      </rPr>
      <t xml:space="preserve"> -- D.1.8.</t>
    </r>
  </si>
  <si>
    <t>6th</t>
  </si>
  <si>
    <t>Authorizes spending authority for additional revenue available from smokeless tobacco funds (GR-D 5144) under HB 2154 (81st).</t>
  </si>
  <si>
    <t>GR-D</t>
  </si>
  <si>
    <r>
      <rPr>
        <b/>
        <sz val="10"/>
        <rFont val="Arial"/>
        <family val="2"/>
      </rPr>
      <t>Restoration of Reduction to College Readiness Grants Strategy</t>
    </r>
    <r>
      <rPr>
        <sz val="10"/>
        <rFont val="Arial"/>
        <family val="2"/>
      </rPr>
      <t xml:space="preserve"> -- E.1.10.</t>
    </r>
  </si>
  <si>
    <t>Restoration of Reduction to College Readiness Grants Strategy</t>
  </si>
  <si>
    <t>Restores 10-11 funding included in the 5% reductions.</t>
  </si>
  <si>
    <t>Total, All Exceptional Items</t>
  </si>
  <si>
    <r>
      <rPr>
        <b/>
        <sz val="10"/>
        <rFont val="Arial"/>
        <family val="2"/>
      </rPr>
      <t>Texas High School Completion and Success Initiatives (HB2237)</t>
    </r>
    <r>
      <rPr>
        <sz val="10"/>
        <rFont val="Arial"/>
        <family val="2"/>
      </rPr>
      <t xml:space="preserve">
E.1.10. College Readiness Grants ($6,009,000/yr)</t>
    </r>
  </si>
  <si>
    <r>
      <rPr>
        <b/>
        <sz val="10"/>
        <rFont val="Arial"/>
        <family val="2"/>
      </rPr>
      <t>Texas High School Completion and Success Initiatives (HB2237)</t>
    </r>
    <r>
      <rPr>
        <sz val="10"/>
        <rFont val="Arial"/>
        <family val="2"/>
      </rPr>
      <t xml:space="preserve">
A.1.3. College Readiness Admin ($300,000/yr) </t>
    </r>
  </si>
  <si>
    <t>RANKING</t>
  </si>
  <si>
    <t>NAME</t>
  </si>
  <si>
    <t>FTE</t>
  </si>
  <si>
    <r>
      <t xml:space="preserve">   TOTAL      </t>
    </r>
    <r>
      <rPr>
        <b/>
        <sz val="1"/>
        <color theme="1"/>
        <rFont val="Calibri"/>
        <family val="2"/>
        <scheme val="minor"/>
      </rPr>
      <t>.</t>
    </r>
  </si>
  <si>
    <t xml:space="preserve">TOTAL    </t>
  </si>
  <si>
    <t>Ranking</t>
  </si>
  <si>
    <t>Exceptional Items - Sorted by Agency Ranking</t>
  </si>
  <si>
    <t>D.1.15.</t>
  </si>
  <si>
    <t>The Coordinating Board manages accounts for a number of specialty license plate programs designed to generate funding for scholarships and other education-related programs.  These include (citation provided for authorizing statute in the Texas Transportation Code):
   •  Texas Collegiate License Plate Scholarship (§ 504.615);
   •  Houston Livestock Show and Rodeo License Plate Scholarship (§ 504.613);
   •  Girl Scout License Plate Programs (§ 504.622);
   •  “College for All Texans” Campaign License Plate Program (§ 504.657);
   •  Boy Scout License Plate Scholarship (§ 504.6545); and
   •  Cotton Boll License Plate Scholarship (§ 504.636).
In a typical year, approximately 40 students will receive awards totaling $50,000 through the Collegiate License Plate program.  The other specialty plates represent approximately 10 awards per year for $13,500.</t>
  </si>
  <si>
    <t>The purpose of this program is to recruit and retain attorneys in the Office of the Attorney General of the State of Texas (OAG). Although this program was authorized by the 77th Legislature, authority to expend funds was not provided until the 80th Legislature. The program rules allow for annual loan repayments of up to $6,000 each, but the OAG selects the recipients and recommends the amounts based on years of service and other factors.
THECB is authorized under Rider 43 to use the unexpended dedicated set-aside funds of $400,406.82 from prior years plus current biennium set-asides, estimated at $150,000 each year, for FY 10 and FY 11. No general revenue was authorized. The OAG selected 94 recipients to receive a total of $320,677.47 in FY09, with an average award amount of $3,411.46. A total of 107 attorneys are expected receive awards totaling approximately $312,309 in FY10. Unexpended set-aside funds from prior years are anticipated to be exhausted in FY11. Consequently, without the appropriation of general revenue, an estimated amount of only $150,000 in set-asides will be available each year for FY12 and FY13.</t>
  </si>
  <si>
    <t>The Top 10% Scholarship is a merit plus need program to encourage the best and brightest needy Texas high school students to go to college in Texas. Scholarships are awarded to needy high school graduates who graduate in the top 10 percent of their high school graduating class, enroll full-time, and maintain at least a 3.25 college GPA. Eligible students must show financial need using the formula: Cost of Attendance - Expected Family Contribution - Pell &gt; $0, and complete the Free Application for Federal Student Aid (FAFSA) by the deadline set by THECB.
This is a four-year renewable scholarship; to be eligible for a continuation award, students must complete 30 SCH each year (including summer), maintain a cumulative GPA of 3.25, and complete at least 75% of the hours attempted. Students majoring in workforce shortage fields are eligible for a $2,000 bonus for their junior and senior years if they have an overall GPA of 3.0 at the beginning of their junior year and the beginning of their senior year.  The program includes hardship provisions for students whose GPA, completion rate, and/or hours fall below the requirements. Students who do not meet the satisfactory academic progress requirements in one year but meet those requirements in subsequent years are eligible to receive an award.</t>
  </si>
  <si>
    <t>This strategy helps close the gaps in success in nursing by authorizing a Loan Repayment Program for Professional Nursing Students, Matching Fund Employment Program for Students in Professional Nursing, Scholarship Program for LVNs Studying to become RNs, Scholarship Program for Rural Professional Nursing Students, Scholarship Program for Professional Nursing, and the Scholarship Program for Rural BSN or Graduate Nursing Students.  A statutory advisory committee recommends funding for each program.  In FY 2009, 1,059 students received $915,565 (average award of $865).  In FY 2010, 952 students received $916,931 (average award of $963).</t>
  </si>
  <si>
    <t>This strategy helps close the gaps in success in nursing  by authorizing a Loan Repayment Program for Licensed Vocation Nursing Students, Matching Fund Employment Program for Vocational Nursing Students, Scholarship Program for Rural LVN Students, and the Vocational Nursing Student Scholarship Program.  A statutory advisory committee recommends funding for each program.  In FY 2009, 98 students received $45,410 (average award of $463).  In FY 2010, 129 students received $45,410 (average award of $352).</t>
  </si>
  <si>
    <t>The Dental Education Loan Repayment Program provides loan repayment assistance to qualified dentists who have provided at least one year of dental care in areas of Texas that are underserved with respect to dental care. A dentist may receive annual loan repayments for up to $10,000 per year. There is no statutory limit to the number of years a dentist may qualify for loan repayment.  Texas dental schools are required to set aside two percent of student tuition to help fund the program. Before September 1, 2007, the CB was authorized to spend general revenue funds only, but is now authorized to spend the previously collected dedicated set-aside balance of $131,768.46 from prior years plus tuition set-asides collected during the current biennium, estimated to be $110,000 per year.  Awards totaling approximately $116,225 were awarded to 19 dentists in FY09. Staff anticipates that the program will be fully subscribed in FY 10 and FY 11.  Texas citizens, particularly children, in rural and urban communities continue to suffer from a lack of dental services.</t>
  </si>
  <si>
    <t>The Professional Nursing Shortage Reduction Program consists of three separate programs.  The purpose of the Regular Program and the Under 70 Program is to increase the number of graduates from professional nursing programs, and increase the number of graduates from master's and doctoral programs in nursing that join the faculty of professional nursing programs.  The funds for the Regular Program are awarded to the institutions by the Coordinating Board upon the determination of the amount of increase in graduates. Funding for the Under 70 Program is awarded to the institutions by the Coordinating Board in advance, and any unearned funding will be returned by the institutions upon determination of increased enrollment.  The Over 70 Program seeks to increase enrollment in professional nursing programs by providing funding in advance for institutions to increase enrollments. The funds for the Over 70 Program are awarded to the institutions by the Coordinating Board in advance and any unearned funding will be returned by the institutions upon determination of increased enrollment.</t>
  </si>
  <si>
    <t>This strategy supports the Consortium of Alzheimer’s Disease Centers through a contract with the Texas Council on Alzheimer’s Disease and Related Disorders. The FY2010-11 appropriation supports the collaborative research among the state’s centers and the administrative coordination provided by the Council.  Funding is provided in the first year of the biennium with authority to carry forward any unexpended balances into the second year of the biennium.</t>
  </si>
  <si>
    <t>The purpose of the Hospital-Based Nursing Education Partnership Grant Program (HNEP) is to address the state's need for registered nurses by fostering collaboration between hospital and academic partners, with the resulting partnerships leading to an increase in the number of students enrolled in and graduating from professional nursing education degree programs. HNEP is a peer-reviewed grant competition that supports educational initiatives using innovative instruction and the existing expertise and facilities of the hospital nursing education partnership. New and expanding partnerships are eligible to apply for HNEP grants.</t>
  </si>
  <si>
    <t>The Children’s Medicaid Loan Repayment Program (CMLRP), designed to increase access to medical and dental care for children, is part of the Health and Human Services Commission (HHSC) strategic initiative, in accordance with House Bill 15, Section 19(d), 80th Legislature, 2007, aimed toward increasing the number of primary care and sub-specialty physicians and dentists who participate in the Medicaid program. The CMLRP provides loan repayments for certain physicians and dentists who meet specified targets for services provided to children on Medicaid. The first cohort of participants will receive awards following the conclusion of their first year of service ending August 31, 2010. HHSC will transfer up to $12,000,000 to THECB in FY10, $21,000,000 in FY11, $33,000,000 in FY12, and $42,000,000 in FY13 for the repayment of CMLRP participant loans. In addition, HHSC will transfer amounts to THECB for administrative costs incurred by THECB in providing services for the CMLRP, not to exceed: $121,365 in FY10, $79,306 in FY11, $159,835 in FY12, and $149,172 in FY13.</t>
  </si>
  <si>
    <t>This strategy focuses on funding demonstration projects to research the most effective strategies that can drive systemic reform and dramatically improve student outcomes.  This is necessary because students enrolled in developmental education programs in postsecondary institutions are struggling to achieve college readiness in two years or less. Results from a rigorous cross-site evaluation will be used to inform changes to the Texas Success Initiative statute (TEC 51.3062). Reform focus areas include: assessment and placement, adult basic education alignment, student advising and counseling, course redesign, non course-based remediation, faculty development, and teacher effectiveness.</t>
  </si>
  <si>
    <t>Since the 74th session, the legislature has provided funds for the purpose of supporting centers for teacher education at private, independent, general academic institutions that are component institutions of the Texas Association of Developing Colleges (TADC). Current Rider 17 directs that consideration shall be given to teacher education centers at Huston-Tillotson University in Austin, Jarvis Christian College in Hawkins, Paul Quinn College in Dallas, Texas College in Tyler, and Wiley College in Marshall. These funds may be used to enhance library resources and computer, mathematics, and science laboratories. The board may obtain the services of a program planner to facilitate and coordinate the process of curriculum development and program redesign to improve teacher preparation at the participating institutions. The number of students retained in TADC educator preparation programs during FY09 was 226 and the number of completers (those who have successfully passed the state certification exam) of those programs in FY09 was 62. The average institutional pass rate on state certification examinations by TADC educator preparation program graduates is 100 percent and currently exceeds the state average (83 percent) reported by the State Board of Educator Certification (9/1/08 – 12/31/09).</t>
  </si>
  <si>
    <t>This strategy provides special funding to assist public general academic institutions that experience dramatic rates of growth in semester credit hours, in accordance with General Appropriations Act, Rider 57 (III-63), 81st Legislature. Funding for FY10 is allocated based on growth greater than 3 percent between Fall 2008 and Fall 2009, and in FY11 growth must be greater than 6 percent between Fall 2008 and Fall 2010. Ensuring that enrollment growth is adequately funded supports closing the gaps in participation and success.</t>
  </si>
  <si>
    <t>This strategy provides funding for internships and scholarships for students who wish to explore the possibilities of a career in museology (also called museum studies), museum administration/management, and closely related work.  The Board cooperates with The University of Texas at Dallas and the Texas Historical Commission in developing and implementing the internship program at the African American Museum in Dallas.  Students and recent university graduates from groups that are under-represented in museum management are given preference in awarding internships and/or scholarships.  The program supports 10 interns.</t>
  </si>
  <si>
    <t>This strategy focuses on implementing the recommendations included in the Rider 45 report to the Governor entitled Building Bridges to Success: An Action Plan to Transition Adult Basic Education Students to Postsecondary Education and Training (submitted in February 2010). Texas has millions of low literate adults who are unemployed or underemployed around the state. In order to help Texas businesses compete in the global economic market, it is critical that education and training programs are available to promote the development of human capital for all segments of the population. Key recommendations from the Rider 45 report include: integrating basic skills instruction and workforce training programs at postsecondary institutions, expanding the number of community colleges that provide comprehensive adult basic education programs, and eliminating the redundancy of teaching basic skills classes within developmental education programs.</t>
  </si>
  <si>
    <t>This strategy provides special funding to assist public community colleges that provide programs to develop certified teachers. In accordance with General Appropriations Act, Rider 58 (III-63), 81st Legislature, the funds are allocated based on the number of teachers certified by the State Board of Education and if the college can demonstrate that the charges to the student have been significantly reduced.</t>
  </si>
  <si>
    <t>This strategy provided funding for the completion of a legislative study on the effectiveness of the current community college baccalaureate programs and the feasibility of expanding those programs. HB 2425 specifically directed the Coordinating Board to “consider the economic viability of expanding the degree programs, the workforce needs served by the degree programs for various areas of the state, current and potential university course offerings, and other methods for making baccalaureate degrees available, such as distance education programs and multi-institutional teaching centers.” The report was due to the legislature no later than November 15, 2010. The Board cooperated with a team of external consultants to conduct site visits of the existing community college baccalaureate programs who also provided an analysis of those programs. No funding is requested for the 2012-13 Biennium.</t>
  </si>
  <si>
    <t>This strategy includes the following programs: Leveraging Educational Assistance Partnership (LEAP), Special Leveraging Educational Assistance Partnership (SLEAP), and the Robert C. Byrd Honors Scholarship Program. LEAP provides funds to states for grants to needy students after those funds have been matched by state funds. LEAP awards were received by 2,358 students in FY10, and an estimated 2,350 students will receive LEAP awards in each of the next three fiscal years (FY11, FY12, and FY13). SLEAP funds are identical to LEAP funds except they require a 2-for-1 match. SLEAP awards were received by 2,804 students in FY10, and an estimated 2,800 students will receive SLEAP awards in FY 11. Thereafter, SLEAP will be replaced with the new Grants for Access and Persistence (GAP) grant program. The Robert Byrd Scholarship Program provides funds to states for making grants to students selected solely on the basis of demonstrated outstanding academic achievement. Byrd awards were received by 2,366 students in FY10, and an estimated 2,400 students will receive Byrd awards in each of the next three fiscal years.</t>
  </si>
  <si>
    <t>Carl D. Perkins Career and Technical Education Improvement Act funds support programs that help students matriculate to higher education by providing career exploration opportunities to earn college credit in high school, and seamless educational pathways that lead to associate and baccalaureate degrees. Perkins funds are used to develop and enhance career and technical programs that lead to high-skill, high-wage, or high-demand careers. The Coordinating Board annually allocates Carl D. Perkins Career and Technical Education Improvement Act funds to the state’s public two-year colleges. Funds for Title I of the Perkins IV Act are allocated to the state and divided between secondary and postsecondary education according to a formula developed by the Texas Education Agency. These funds support Basic Grants and State Leadership activities. Title II Tech Prep funds are allocated by the Coordinating Board to the eligible recipient institutions based on a formula that is approved annually by the Board. Tech Prep programs bridge secondary and postsecondary education and provide alternatives to traditional college prep pathways.</t>
  </si>
  <si>
    <t>The Teacher Quality Grants Program provides federal funds to states. Institutions of higher education (IHEs) provide courses and sessions designed to deepen the content knowledge of teachers and improve instructional quality in core academic courses. The funds are allocated to IHEs through a competitive grant process under criteria in NCLB and priorities established by the federally-approved Consolidated State Plan developed by the Texas Education Agency. Teacher Quality projects provide content-intensive summer courses in mathematics and science, and academic year sessions in discipline-related instructional methods. The program serves approximately 1,500 teachers each year and improves the quality of instruction for approximately 150,000 classroom students in high-need ISDs each year. Consistent with federal regulations, the program focuses primarily on teachers who are teaching an academic subject or grade level for which they are not adequately prepared.</t>
  </si>
  <si>
    <t>The purpose of the College Access Challenge Grant Program is to foster partnerships among federal, state, and local governments and philanthropic organizations through matching challenge grants that are aimed at increasing the number of low-income students who are prepared to enter and succeed in postsecondary education. Projects are authorized to: provide information to students and families regarding postsecondary education and career preparation; promote financial literacy and debt management; conduct outreach activities; assist students in completing the Free Application for Federal Student Financial Aid (FAFSA); provide need-based grant aid; conduct professional development for guidance counselors at middle and secondary schools, financial aid administrators, and college admissions counselors; and offer student loan cancellation or repayment or interest rate reductions for borrowers who are employed in a high-need geographical area or a high-need profession. (Funds cannot be used to promote any lender's loans.)  The Governor designated the Coordinating Board to administer this federal program.</t>
  </si>
  <si>
    <t>In April 2009 the Texas Education Agency (TEA) received a Statewide Longitudinal Data System (SLDS) grant from the U.S. Department of Education. The grant involves expanding the existing TEA and Coordinating Board data collections to include staff and student data at the classroom level, as well as course completion data for all grade levels. This data, beginning with the 2010-11 school year, will provide a basis for future analysis and reporting on aggregate student performance. The first data submission by higher education institutions will be for the Summer 2011 reporting cycle. The Coordinating Board received a significant portion of the SLDS grant funds via a Notice of Grant Award (NOGA) with TEA in June of 2009 in order to implement a four-year endeavor to accomplish the CB objectives of the SLDS grant.</t>
  </si>
  <si>
    <t>This program provides grants to institutions, including Centers for Teacher Education, that conduct research or educational programs that address minority health issues or that form partnerships with minority organizations, colleges, or universities to conduct research and educational programs to address minority health issues.  Funding is provided by the Permanent Fund for Minority Health Research and Education (endowment fund established with tobacco settlement monies).</t>
  </si>
  <si>
    <t>This program provides grants to public institutions that offer upper-level instruction and training in nursing, allied health, or other health-related education. Amendments to the legislation have directed that all funds be used for nursing education through 2011.  Funding is provided by the Permanent Fund for Higher Education Nursing, Allied Health, and Other Health-Related Programs (endowment fund established with tobacco settlement monies).</t>
  </si>
  <si>
    <t>This strategy provides funding from the Permanent Endowment Fund for Health-Related Institutions that was established with tobacco settlement monies by the Legislature in 1999 for Baylor College of Medicine (BCM).  The endowment is directed by BCM and invested by the State Comptroller. BCM may use the funds to support programs that benefit medical research, health education or treatment programs.</t>
  </si>
  <si>
    <t>This strategy provides for the distribution of investment returns from the Permanent Health Fund for Higher Education, an endowment created with tobacco settlement funds by the Legislature in 1999, to Baylor College of Medicine (BCM). This endowment is administered by the board of regents of the University of Texas System. BCM may use the funds for programs that benefit medical research, health education or treatment programs.</t>
  </si>
  <si>
    <t>This strategy funds the budgets for administration of the agency, including the Commissioner’s Office, Deputy Commissioners’ Offices, External Relations, General Counsel, Internal Audit, Human Resources, and Business Services.  It includes both General Revenue and non-General Revenue sources.</t>
  </si>
  <si>
    <t>This strategy includes the Information Technology Services (ITS) department. This department is responsible for the information technology planning, coordination of computer operations provided under the state-wide Data Center Services contract, network operations, security and confidentiality of data, PC/network support, business process improvement, systems development and support, and the agency’s web sites. This strategy provides division, program, and agency staff the information resources technologies needed to support the state’s higher education plan, Closing the Gaps by 2015, and supports all agency goals.  Data-driven evaluation of programs related to Closing the Gaps continues to increase the demand for electronic communications and exchange of information and for expanded data collection and sharing between P-16 stakeholders.</t>
  </si>
  <si>
    <t>This strategy includes Building Services, Purchasing and Supply, Mail Services, and Copy Services. Operating and support costs are allocated based on the percentage of operating budget associated with each direct strategy, with the exception of building rent, which is allocated based on the FTEs associated with each direct strategy.</t>
  </si>
  <si>
    <t>Children’s Medicaid Loan Repayment Program</t>
  </si>
  <si>
    <t>BOARD Description</t>
  </si>
  <si>
    <t>E.1.10.</t>
  </si>
  <si>
    <t>College Readiness Grants</t>
  </si>
  <si>
    <r>
      <t xml:space="preserve">This strategy includes funding to implement college readiness initiatives to address the goals and objectives of the P-16 College Readiness and Success Strategic Plan, which includes a focus on the Participation and Success goals of </t>
    </r>
    <r>
      <rPr>
        <i/>
        <sz val="11"/>
        <color theme="1"/>
        <rFont val="Calibri"/>
        <family val="2"/>
        <scheme val="minor"/>
      </rPr>
      <t>Closing the Gaps by 2015</t>
    </r>
    <r>
      <rPr>
        <sz val="11"/>
        <color theme="1"/>
        <rFont val="Calibri"/>
        <family val="2"/>
        <scheme val="minor"/>
      </rPr>
      <t>. The Plan is designed to increase student success and decrease the number of students enrolling in developmental course work in institutions of higher education. The Coordinating Board, in coordination with TEA, has developed and adopted Texas College and Career Readiness Standards (CCRS) and continues to work with TEA on appropriate college readiness initiatives impacting K-12 students. In addition, Coordinating Board college readiness resources are focusing on activities that support P-16 Regional Councils, regional collaboration between public and higher education faculty facilitated by Regional College Readiness Special Advisors, and replication and scaling of proven effective initiatives that increase student success and decrease the need for developmental education.</t>
    </r>
  </si>
  <si>
    <t>This Exceptional Item funding of $6,868,594 would provide to Baylor College of Medicine (BCM) the amount it is authorized by statute to receive for each Texas medical student enrolled at the College. This per-student amount is based on the average General Revenue (GR) expended in the previous fiscal year for each medical student at The University of Texas Medical Branch at Galveston and The University of Texas Southwestern Medical Center in Dallas.  The per-student amount includes GR expended by the two UT institutions for instruction and operations, infrastructure and benefits, but does not include formula funding appropriated to the UT institutions for research. This funding is the equivalent formula funding that is provided to all public Health-Related Institutions for medical education.</t>
  </si>
  <si>
    <t>CB staff recommends increased funding for this program by $148.33 million.  This will enable us to keep the number of new students added to the program level with the numbers added for the 2010/2011 biennium and increase the overall number of students by over 17,000 students for the biennium.</t>
  </si>
  <si>
    <t>CB staff recommends that the Legislature substantially increase funding for the TEOG by $10 million.  This will enable an additional 2,630 new students to enter the program during the 2012/2013 biennium and overall fund an additional 4,090 students for the biennium.</t>
  </si>
  <si>
    <t>CB staff recommends doubling the funding over the 2010-2011 biennium, which was $15 million.  This increase will enable an additional 6,024 students to participate in the program each year of the biennium.</t>
  </si>
  <si>
    <t>CB staff recommends that the Legislature  increase funding for the TEG by $10,587,465.  This will enable the number of students served by the program to remain relatively steady for the 2012/2013 biennium.</t>
  </si>
  <si>
    <t>Keeps the number of new students added to the program level with the numbers added for the 2010/2011 biennium and increases the overall number of students by over 17,000 students for the biennium.</t>
  </si>
  <si>
    <t>Provides funding for an additional 2,630 new students to enter the program during the 2012/2013 biennium and overall funding for an additional 4,090 students for the biennium.</t>
  </si>
  <si>
    <t>Provides funding for an additional 6,024 students to participate in the program each year of the biennium (double the funding over the 2010-2011 biennium).</t>
  </si>
  <si>
    <t>Provides funding to enable the number of students served by the program to remain relatively steady for the 2012/2013 biennium.</t>
  </si>
  <si>
    <t xml:space="preserve">To enhance the capability of research in the area of college access and success, this purchase of matching records from the National Student Clearing house would provide increased coverage of student higher education attendance patterns. Currently the longitudinal tracking is limited to only students attending higher education institutions in the state. </t>
  </si>
  <si>
    <t>Exceptional Item Request #5</t>
  </si>
  <si>
    <t>Exceptional Item Request #1</t>
  </si>
  <si>
    <t>Exceptional Item Request #2</t>
  </si>
  <si>
    <r>
      <rPr>
        <b/>
        <sz val="10"/>
        <rFont val="Arial"/>
        <family val="2"/>
      </rPr>
      <t>Texas Education Opportunity Grants (TEOG)</t>
    </r>
    <r>
      <rPr>
        <sz val="10"/>
        <rFont val="Arial"/>
        <family val="2"/>
      </rPr>
      <t xml:space="preserve">
B.1.9. Student Financial Aid</t>
    </r>
  </si>
  <si>
    <t>Texas Education Opportunity Grants (TEOG)</t>
  </si>
  <si>
    <t>Exceptional Item Request #3</t>
  </si>
  <si>
    <t>Exceptional Item Request #10</t>
  </si>
  <si>
    <t>Exceptional Item Request #4</t>
  </si>
  <si>
    <t>Exceptional Item Request #11</t>
  </si>
  <si>
    <t>Exceptional Item Request #6</t>
  </si>
  <si>
    <t>Exceptional Item Request #7</t>
  </si>
  <si>
    <t>Exceptional Item Request #8</t>
  </si>
  <si>
    <t>Exceptional Item Request #9</t>
  </si>
  <si>
    <t xml:space="preserve">This strategy provides special funding to assist public two-year colleges which open new campuses during the biennium.  Funding for this strategy is determined by the Legislature. </t>
  </si>
  <si>
    <r>
      <rPr>
        <b/>
        <sz val="10"/>
        <rFont val="Arial"/>
        <family val="2"/>
      </rPr>
      <t xml:space="preserve">Tuition Equalization Grants (TEG) </t>
    </r>
    <r>
      <rPr>
        <sz val="10"/>
        <rFont val="Arial"/>
        <family val="2"/>
      </rPr>
      <t xml:space="preserve">
B.1.9.</t>
    </r>
  </si>
  <si>
    <t>Tuition Equalization Grants (TEG)</t>
  </si>
  <si>
    <t>Strategy</t>
  </si>
  <si>
    <t>A1.3.</t>
  </si>
  <si>
    <t>-</t>
  </si>
  <si>
    <t xml:space="preserve"> * PG #</t>
  </si>
  <si>
    <t>*</t>
  </si>
  <si>
    <r>
      <t xml:space="preserve">Page number refers to the document titled </t>
    </r>
    <r>
      <rPr>
        <i/>
        <sz val="11"/>
        <color theme="1"/>
        <rFont val="Calibri"/>
        <family val="2"/>
        <scheme val="minor"/>
      </rPr>
      <t>FY12-FY13 Legislative Appropriation Request (LAR) Description of Strategies, Exeptional Item Requests and Reduction Options</t>
    </r>
    <r>
      <rPr>
        <sz val="11"/>
        <color theme="1"/>
        <rFont val="Calibri"/>
        <family val="2"/>
        <scheme val="minor"/>
      </rPr>
      <t>.</t>
    </r>
  </si>
  <si>
    <t>-  Admin</t>
  </si>
  <si>
    <t>-  Grants</t>
  </si>
  <si>
    <t>Reduction Options</t>
  </si>
  <si>
    <t>10 Percent Biennial Reduction Option Schedule</t>
  </si>
  <si>
    <t>Short EI Name</t>
  </si>
  <si>
    <t>Restoration of Reduction to CRI Grants</t>
  </si>
  <si>
    <t xml:space="preserve">Baylor College of Medicine </t>
  </si>
  <si>
    <t>Tuition Equalization Grants</t>
  </si>
  <si>
    <t>Texas Education Opportunity Grants</t>
  </si>
  <si>
    <t xml:space="preserve">  </t>
  </si>
  <si>
    <t>A.1.1.  Close Gaps in Participation and Success</t>
  </si>
  <si>
    <t>A.1.2.  Close Gaps by Administering  Loan Programs</t>
  </si>
  <si>
    <t>A.1.3.  Close Gaps by Administering College Readiness Initiatives</t>
  </si>
  <si>
    <t>A.2.1.  Close Gaps in Excellence</t>
  </si>
  <si>
    <t>A.2.2.  Close Gaps in Research</t>
  </si>
  <si>
    <t>A.3.1.  Close Gaps by Providing Planning and Information</t>
  </si>
  <si>
    <t>B.1.1.  License Plate Scholarships Program</t>
  </si>
  <si>
    <t>B.1.2.  Fifth-Year Accounting Students Program</t>
  </si>
  <si>
    <t>B.1.3.  Early High School Graduation Scholarship Program</t>
  </si>
  <si>
    <t>B.1.4.  TANF Scholarship Program</t>
  </si>
  <si>
    <t>B.1.5.  Educational Aide Program</t>
  </si>
  <si>
    <t>B.1.6.  Teach for Texas Loan Repayment Assistance Program</t>
  </si>
  <si>
    <t>B.1.7.  Border Faculty Loan Repayment Program</t>
  </si>
  <si>
    <t>B.1.8.  OAG Lawyers Loan Repayment Program</t>
  </si>
  <si>
    <t>B.1.9.  Student Financial Aid</t>
  </si>
  <si>
    <t>B.1.9.  TEXAS Grant Program</t>
  </si>
  <si>
    <t>B.1.9.  Texas Education Opportunity Grant Program (TEOG)</t>
  </si>
  <si>
    <t>B.1.9.  Texas College Work-Study Program</t>
  </si>
  <si>
    <t>B.1.9.  Tuition Equalization Grant Program (TEG)</t>
  </si>
  <si>
    <t>B.1.9.  Texas B-On-Time Loan Program</t>
  </si>
  <si>
    <t>B.1.10.  Doctoral Incentive Program</t>
  </si>
  <si>
    <t>B.1.11.  Engineering Recruitment Program</t>
  </si>
  <si>
    <t>B.1.12.  Higher Education Performance Incentive Initiative</t>
  </si>
  <si>
    <t>B.1.13.  Top Ten Percent Scholarships</t>
  </si>
  <si>
    <t>B.1.14.  Texas Armed Services Scholarships Program</t>
  </si>
  <si>
    <t>B.1.15.  Combat Tuition Reimbursement Program</t>
  </si>
  <si>
    <t>B.1.16.  Texas Career Opportunity Grants Program</t>
  </si>
  <si>
    <t>C.1.1.  Norman Hackerman Advanced Research Program</t>
  </si>
  <si>
    <t>D.1.1.  Baylor College of Medicine</t>
  </si>
  <si>
    <t>D.1.2.  Baylor College of Medicine GME</t>
  </si>
  <si>
    <t>D.1.3.  Family Practice Residency Program</t>
  </si>
  <si>
    <t>D.1.4.  Preceptorship Program</t>
  </si>
  <si>
    <t>D.1.5.  Primary Care Residency Program</t>
  </si>
  <si>
    <t>D.1.6.  Graduate Medical Education (GME) Program</t>
  </si>
  <si>
    <t>D.1.7.  Joint Admission Medical Program (JAMP)</t>
  </si>
  <si>
    <t>D.1.8.  Physician Education Loan Repayment Program</t>
  </si>
  <si>
    <t>D.1.9.  Financial Aid for Professional Nursing Students</t>
  </si>
  <si>
    <t>D.1.10.  Financial Aid for Vocational Nursing Students</t>
  </si>
  <si>
    <t>D.1.11.  Dental Education Loan Repayment Program</t>
  </si>
  <si>
    <t>D.1.12.  Professional Nursing Shortage Reduction Program</t>
  </si>
  <si>
    <t>D.1.13.  Consortium of Alzheimer's Disease Centers</t>
  </si>
  <si>
    <t>D.1.14.  Texas Hospital-Based Nursing Education Partnership Grants Program</t>
  </si>
  <si>
    <t>D.1.15.  Children’s Medicaid Loan Repayment Program</t>
  </si>
  <si>
    <t>E.1.1.  Developmental Education Program</t>
  </si>
  <si>
    <t>E.1.2.  Centers for Teacher Education</t>
  </si>
  <si>
    <t>E.1.3.  Two-year Institution Enrollment Growth</t>
  </si>
  <si>
    <t>E.1.4.  New Community College Campuses</t>
  </si>
  <si>
    <t>E.1.5.  General Academic Institution Enrollment Growth</t>
  </si>
  <si>
    <t>E.1.6.  African American Museum Internship</t>
  </si>
  <si>
    <t>E.1.7.  Adult Basic Education Community College Grants</t>
  </si>
  <si>
    <t>E.1.8.  Alternative Teaching Certificate Programs at Community Colleges</t>
  </si>
  <si>
    <t>E.1.9.  Baccalaureate Degree Study</t>
  </si>
  <si>
    <t>E.1.10.  College Readiness Grants</t>
  </si>
  <si>
    <t>F.1.1.  Student Financial Assistance Programs</t>
  </si>
  <si>
    <t>F.1.2.  Career and Technical Education Programs</t>
  </si>
  <si>
    <t>F.1.3.  Teacher Quality Grants Programs</t>
  </si>
  <si>
    <t>F.1.4.  College Access Grants Program</t>
  </si>
  <si>
    <t>F.1.5.  Other Federal Grants Programs</t>
  </si>
  <si>
    <t>G.1.1.  Tobacco Earnings - Minority Health Research and Education</t>
  </si>
  <si>
    <t>G.1.2.  Tobacco Earnings - Nursing, Allied Health, and Other</t>
  </si>
  <si>
    <t>G.2.1.  Tobacco Earnings - Baylor College of Medicine</t>
  </si>
  <si>
    <t>G.2.2.  Tobacco Earnings - Permanent Health Fund for Baylor College of Medicine</t>
  </si>
  <si>
    <t>H.1.1.  Central Administration</t>
  </si>
  <si>
    <t>H.1.2.  Information Resources</t>
  </si>
  <si>
    <t>H.1.3.  Other Support Services</t>
  </si>
  <si>
    <t>Transfer HB2237 Funds (Admin)</t>
  </si>
  <si>
    <t>Transfer HB2237 Funds (Grants)</t>
  </si>
  <si>
    <t>Physician Ed Loan Repayment</t>
  </si>
  <si>
    <t xml:space="preserve">Teach for Texas Loan Repay Program </t>
  </si>
  <si>
    <t>Higher Ed Perf Incentive Initiative</t>
  </si>
  <si>
    <r>
      <rPr>
        <b/>
        <sz val="10"/>
        <rFont val="Arial"/>
        <family val="2"/>
      </rPr>
      <t>Higher Education Performance Incentive Initiative</t>
    </r>
    <r>
      <rPr>
        <sz val="10"/>
        <rFont val="Arial"/>
        <family val="2"/>
      </rPr>
      <t xml:space="preserve"> </t>
    </r>
  </si>
  <si>
    <t>Total</t>
  </si>
  <si>
    <t>A1</t>
  </si>
  <si>
    <t>B1</t>
  </si>
  <si>
    <t>C1</t>
  </si>
  <si>
    <t>Description of Strategies, Exceptional  Item Requests and Reduction Options</t>
  </si>
  <si>
    <t>Exceptional  Items</t>
  </si>
  <si>
    <t>A11</t>
  </si>
  <si>
    <t>A14</t>
  </si>
  <si>
    <t>A8</t>
  </si>
  <si>
    <t>A23</t>
  </si>
  <si>
    <t>A32</t>
  </si>
  <si>
    <t>A5</t>
  </si>
  <si>
    <t>A18</t>
  </si>
  <si>
    <r>
      <t xml:space="preserve">This strategy supports efforts to meet </t>
    </r>
    <r>
      <rPr>
        <i/>
        <sz val="11"/>
        <color theme="1"/>
        <rFont val="Calibri"/>
        <family val="2"/>
        <scheme val="minor"/>
      </rPr>
      <t>Closing the Gaps by 2015</t>
    </r>
    <r>
      <rPr>
        <sz val="11"/>
        <color theme="1"/>
        <rFont val="Calibri"/>
        <family val="2"/>
        <scheme val="minor"/>
      </rPr>
      <t>’s participation and success goals. Activities include implementing the P-16 College Readiness and Success Strategic Action Plan; collaborating with public schools and community-based organizations to provide information to historically underrepresented populations to prepare them academically and financially for college; ensuring the success of student recruitment and retention by Texas colleges and universities; supporting high schools with low college-going rates; implementing an outreach plan for students in foster care; promoting information on the tuition and fee exemption program; collaborating with state leadership in public education and workforce, and other stakeholders to ensure a seamless, and high-quality educational system; and supporting non-loan financial aid programs (including grants, scholarships, work-study, and instuition exemptions administered by the Coordinating Board to help financially needed students), loan forgiveness programs and loan repayment programs.</t>
    </r>
  </si>
  <si>
    <t>This strategy includes funding for administration of the Hinson-Hazlewood Loan Program.  No General Revenue is used to support the loan program.  All of these funds are generated by the program.  In FY09, 8,812 students received $87,389,984 in loans for an average loan amount of $9,917.  It is estimated that 9,500 students will receive $95,000,000 in loans in FY10 for an average amount of $10,000.</t>
  </si>
  <si>
    <t>The 81st Texas Legislature moved the statutory responsibility for Mathematics, Science, Technology Teacher Preparatory Academies and the Intensive Programs from the public education section to the higher education section of the Texas Education Code but did not appropriate funding to the Coordinating Board. Currently, funding is provided to TEA under General Appropriations Act, Senate Bill 1, 81st Texas Legislature, Section 51 (pages III-19 and 20), Texas High School Completion and Success Initiative.  In turn, TEA provides the Coordinating Board with funding through a Memorandum of Understanding. TEA has indicated they will not request funding in the 2012-2013 LAR since they have no statutory authority for these two programs. Therefore, the Coordinating Board would need to seek this appropriation in order to fund these programs for the 2012-2013.  The amounts indicated above represent administrative funds. The requested grant funds are shown in Strategy E.1.10.</t>
  </si>
  <si>
    <t>The 81st Texas Legislature moved the statutory responsibility for Mathematics, Science, Technology Teacher Preparatory Academies and the Intensive Programs from the public education section to the higher education section of the Texas Education Code but did not appropriate funding to the Coordinating Board. Currently, funding is provided to TEA under General Appropriations Act, Senate Bill 1, 81st Texas Legislature, Section 51 (pages III-19 and 20), Texas High School Completion and Success Initiative.  In turn, TEA provides the Coordinating Board with funding through a Memorandum of Understanding. TEA has indicated they will not request funding in the 2012-2013 LAR since they have no statutory authority for these two programs. Therefore, the Coordinating Board would need to seek this appropriation in order to fund these programs for the 2012-2013.  The amounts indicated above represent grants funds. The requested administrative funds are shown in Strategy A.1.3.</t>
  </si>
  <si>
    <t>The number of applications for participation in this program has increased by 76% during the past four years, and yet the funding has increased by 16% during that period. Funding for the FY2010-2011 biennium ($11.2 million) was sufficient for only 1,124 of approximately 5,000 applicant teachers in FY2010  (22%).  Staff recommends raising the funding level by $19,378,557 per year over the base funding, to provide loan repayment for 5,000 teachers. (Note: For FY10 receipts from borrower payments applied to TFT conditional grants will provide loan repayment funds for approximately 200 additional teachers. This source of funds will diminish over the next few years as the loans in these portfolios are paid-in-full or go into default.)</t>
  </si>
  <si>
    <t>The 81st Legislature authorized changes to the tax code relating to smokeless tobacco and directed specified percentages of the increased revenue to a new account for the PELRP. The increased funding allows for loan repayments in the amount of $25,000, $35,000, $45,000, and $55,000 for 1st, 2nd, 3rd, and 4th- year participants, for a maximum aggregate of $160,000. The State Comptroller's revenue projections for this fund exceed the amount of this exceptional item, which is requested to fund administrative costs and loan repayments totaling $13,500,000 to 450 physicians in FY2012 and $23,625,000 to 675 physicians in FY2013.  The administrative costs of $346,711 in FY12 and $348,711 in FY13 include personnel costs for the 4 FTEs authorized in Contingency Rider 17.49 for the FY2010-2011 biennium.</t>
  </si>
  <si>
    <t>The incentive funding was originally appropriated by rider in FY 2009 as General Revenue funds and then funded during the FY 2010-11 biennium through federal American Recovery and Reinvestment (ARRA) funds, which will not be available for FY 2012-13. This request would restore the General Revenue funding for this program.</t>
  </si>
  <si>
    <t>This exceptional item would restore funding to the original 2010-2011 level to address the goal of the P-16 College Readiness and Success Strategic Action Plan to "reduce the need for developmental education and to increase student success." Restoring these funds would ensure the Coordinating Board has resources necessary to support vertical alignment statewide through higher education engagement activities and vertical alignment initiatives that involve both higher education and K-12 faculty.</t>
  </si>
  <si>
    <t>This strategy provides special funding to assist public community, technical, and state colleges that experience dramatic rates of growth in contact hours, in accordance with General Appropriations Act, Rider 13 (III-53), 81st Legislature. Funding for FY10 is allocated based on growth greater than 5 percent between Fall 2008 and Fall 2009, and in FY11 growth must be greater than 8 percent between Fall 2008 and Fall 2010. Ensuring that enrollment growth is adequately funded supports closing the gaps in participation and success.</t>
  </si>
  <si>
    <t>A2</t>
  </si>
  <si>
    <t>10 Percent Biennial Base Reduction Options Schedule</t>
  </si>
  <si>
    <t>FTE Reductions (FY12-FY13 Base)</t>
  </si>
  <si>
    <t>Running Total</t>
  </si>
  <si>
    <t>Cumulative %</t>
  </si>
  <si>
    <t>Rank of First Reduction</t>
  </si>
  <si>
    <t>Rank of Second Reduction</t>
  </si>
  <si>
    <t>Strategy Name</t>
  </si>
  <si>
    <t>GR-Dedicated</t>
  </si>
  <si>
    <t>AGENCY Biennial Total</t>
  </si>
  <si>
    <t>Name</t>
  </si>
  <si>
    <t>FY 2012</t>
  </si>
  <si>
    <t>FY 2013</t>
  </si>
  <si>
    <t>FY 2012-13 GR-Related Baseline Request</t>
  </si>
  <si>
    <t>FY 2012-13 Non-GR-Related Request</t>
  </si>
  <si>
    <t>Total Request</t>
  </si>
  <si>
    <t>Total Biennial Request (FY 2012 + FY 2013)</t>
  </si>
  <si>
    <t xml:space="preserve">Strategy Description:  </t>
  </si>
  <si>
    <t>PROPOSED Reduction:</t>
  </si>
  <si>
    <t>Total Reduction</t>
  </si>
  <si>
    <t>Impact Statement</t>
  </si>
  <si>
    <t xml:space="preserve">Total Request </t>
  </si>
  <si>
    <t>Total Request (including exceptional items)</t>
  </si>
  <si>
    <t>Explanation of Exceptional Item Requests:</t>
  </si>
  <si>
    <t>Rank # 15</t>
  </si>
  <si>
    <t>Rank # 9</t>
  </si>
  <si>
    <t xml:space="preserve">HB 2440, 81st Texas legislature, shifted all scholarship activities to the Texas State Board of Public Accountancy (TSBPA) by the end of the fall 2009 term. </t>
  </si>
  <si>
    <t>PROPOSED Reduction:  TEXAS Grants</t>
  </si>
  <si>
    <t>PROPOSED Reduction:  TEOG</t>
  </si>
  <si>
    <t>PROPOSED Reduction:  TEG</t>
  </si>
  <si>
    <t xml:space="preserve">PROPOSED Reduction: </t>
  </si>
  <si>
    <t>Gen Rev</t>
  </si>
  <si>
    <t>GR- Dedicated</t>
  </si>
  <si>
    <t>1st Reduction</t>
  </si>
  <si>
    <t>2nd Reduction</t>
  </si>
  <si>
    <t>Biennium</t>
  </si>
  <si>
    <t>C.1.1.  N. Hackerman Advanced Research Prg</t>
  </si>
  <si>
    <t>B.1.2.  Fifth-Year Accounting Students Prg</t>
  </si>
  <si>
    <t>Other</t>
  </si>
  <si>
    <t>Description of Strategies, Reduction Options, and Exceptional Item Requests</t>
  </si>
  <si>
    <t>GR-Related</t>
  </si>
  <si>
    <t>College Access Challenge Grants Program</t>
  </si>
  <si>
    <t>Explanation of Exceptional Item Request:</t>
  </si>
  <si>
    <r>
      <t xml:space="preserve">The proposed reductions will reduce the amount of funds received by the Alzheimer's Center to carry out valuable research. However, this program does not directly contribute to the goals of </t>
    </r>
    <r>
      <rPr>
        <i/>
        <sz val="10"/>
        <color theme="1"/>
        <rFont val="Arial"/>
        <family val="2"/>
      </rPr>
      <t>Closing the Gaps</t>
    </r>
    <r>
      <rPr>
        <sz val="10"/>
        <color theme="1"/>
        <rFont val="Arial"/>
        <family val="2"/>
      </rPr>
      <t>.</t>
    </r>
  </si>
  <si>
    <t>This strategy provides funding for internships and scholarships for students who wish to explore the possibilities of a career in museology (also called museum studies), museum administration/management, and closely related work. The THECB cooperates with The University of Texas at Dallas and the Texas Historical Commission in developing and implementing the internship program at the African American Museum in Dallas. Students and recent university graduates from groups that are under-represented in museum management are given preference in awarding internships and/or scholarships. The program supports 10 interns.</t>
  </si>
  <si>
    <t>The Professional Nursing Shortage Reduction Program consists of three separate programs. The purpose of the "Regular Program" and the "Under 70 Program" is to increase the number of graduates from professional nursing programs, and increase the number of graduates from master's and doctoral programs in nursing that join the faculty of professional nursing programs. The funds for the Regular Program and the Under 70 Program are awarded to the institutions by the THECB upon the determination of the amount of increase in graduates. The "Over 70 Program" seeks to increase enrollment in professional nursing programs by providing funding in advance for institutions to increase enrollments. The funds for the Over 70 Program are awarded to the institutions by the THECB in advance and any unearned funding will be returned by the institutions upon determination of increased enrollment.</t>
  </si>
  <si>
    <t>This strategy provides funding for the administration and staff supervision of the research programs by the Academic Affairs and Research Division. The strategy includes funding for personnel whose primary responsibility is administration of the Norman Hackerman Advanced Research Program, Summer Engineering Program, Engineering Recruitment Program, Research Assessment Program, Research Development Fund, and the agency’s related efforts to close the gaps in research.</t>
  </si>
  <si>
    <t>The first proposed reduction will reduce travel and professional expenses associated with the Research Assessment Program and site reviews of existing research programs. The second proposed reduction will result in the elimination of staff site reviews of existing research programs.</t>
  </si>
  <si>
    <t>This strategy provides special funding to assist public community colleges that provide programs to develop certified teachers. In accordance with General Appropriations Act, Rider 58 (III-63), 81st Texas Legislature, the funds are allocated based on the number of teachers certified by the State Board of Education and if the college can demonstrate that the charges to the student have been significantly reduced.</t>
  </si>
  <si>
    <t xml:space="preserve">                                   $ 48,942     7.50%</t>
  </si>
  <si>
    <r>
      <rPr>
        <b/>
        <sz val="10"/>
        <color theme="1"/>
        <rFont val="Arial"/>
        <family val="2"/>
      </rPr>
      <t>National Student Clearinghouse Data</t>
    </r>
    <r>
      <rPr>
        <sz val="10"/>
        <color theme="1"/>
        <rFont val="Arial"/>
        <family val="2"/>
      </rPr>
      <t xml:space="preserve">
A.3.1. Planning and Information</t>
    </r>
  </si>
  <si>
    <t>PG #</t>
  </si>
  <si>
    <t>2014-15 Baseline Request Summary</t>
  </si>
  <si>
    <t>FY 15</t>
  </si>
  <si>
    <t>FY14</t>
  </si>
  <si>
    <t>Biennial Total</t>
  </si>
  <si>
    <t>C.1.1. Adv Research Pro</t>
  </si>
  <si>
    <t>(priority order)</t>
  </si>
  <si>
    <t>FY12 Budgeted</t>
  </si>
  <si>
    <t>FY13 Budgeted</t>
  </si>
  <si>
    <t>FY12-13 Budgeted Base</t>
  </si>
  <si>
    <t>Proposed FY14-15 Base</t>
  </si>
  <si>
    <t>First Proposed Reduction</t>
  </si>
  <si>
    <t>Second Proposed Reduction</t>
  </si>
  <si>
    <t>First Reduction % of Proposed Base</t>
  </si>
  <si>
    <t>Second Reduction % of Proposed Base</t>
  </si>
  <si>
    <t>TOTAL Reduction % of Proposed Base</t>
  </si>
  <si>
    <t>SUBTOTAL, First Proposed Reduction</t>
  </si>
  <si>
    <t>Target:</t>
  </si>
  <si>
    <t>SUBTOTAL, Second Proposed Reduction</t>
  </si>
  <si>
    <t xml:space="preserve">A.3.2. Higher Education Policy Institute </t>
  </si>
  <si>
    <r>
      <t xml:space="preserve">This document describes each of the Texas Higher Education Coordinating Board’s (THECB) strategies included in the General Appropriations Act.  These funding strategies represent all of the budget goals and strategies in the same order as they appear in the THECB’s appropriations bill pattern.  Additionally, this document summarizes the contents of the THECB’s LAR for the 2014-15 biennium, and includes the baseline request for each strategy, proposed reductions to applicable strategies, and exceptional items associated with the applicable strategy. In developing the LAR, the THECB staff closely adhered to the following guiding principles as directed by the Commissioner of Higher Education:
     1. no across-the board cuts;
     2. preserve as much as possible the programs that contribute the most to achieving the goals of the state’s higher education plan, </t>
    </r>
    <r>
      <rPr>
        <i/>
        <sz val="10"/>
        <color theme="1"/>
        <rFont val="Arial"/>
        <family val="2"/>
      </rPr>
      <t>Closing the Gaps by 2015</t>
    </r>
    <r>
      <rPr>
        <sz val="10"/>
        <color theme="1"/>
        <rFont val="Arial"/>
        <family val="2"/>
      </rPr>
      <t xml:space="preserve"> (i.e., participation, success, excellence, and research);
     3. preserve as much as possible the programs that contribute the most to achieving the goals of the Accelerated Plan for </t>
    </r>
    <r>
      <rPr>
        <i/>
        <sz val="10"/>
        <color theme="1"/>
        <rFont val="Arial"/>
        <family val="2"/>
      </rPr>
      <t>Closing the Gaps by 2015</t>
    </r>
    <r>
      <rPr>
        <sz val="10"/>
        <color theme="1"/>
        <rFont val="Arial"/>
        <family val="2"/>
      </rPr>
      <t xml:space="preserve"> (i.e., increasing the higher education participation of Hispanics and African American males, increasing higher education success of Hispanics and African Americans, increasing the number of STEM field graduates, and increasing the number of well-prepared certified teachers); and
     4. preserve as much as possible student financial aid programs that serve the most needy students.
</t>
    </r>
  </si>
  <si>
    <t>Total Biennial Request (FY 2014 + FY 2015)</t>
  </si>
  <si>
    <t>FY 2014</t>
  </si>
  <si>
    <t>FY 2015</t>
  </si>
  <si>
    <t>FY 2014-15 GR-Related Baseline Request</t>
  </si>
  <si>
    <t>FY 2014-15 Non-GR-Related Request</t>
  </si>
  <si>
    <t>T-STEM Scholarship Program</t>
  </si>
  <si>
    <t>Texas Research Incentive Prg</t>
  </si>
  <si>
    <t>This strategy involves the Information Solutions and Services (ISS) division. The role of the Division is to partner with the agency’s business and program areas in the delivery of business solutions, information services and continuous improvement to the agency and its stakeholders. This includes information technology planning, coordination of computer operations provided under the state-wide Data Center Services contract, network operations, security and confidentiality of data, PC/network support, business process improvement, systems development and support, and maintenance of the agency’s web sites. This strategy provides agency staff with information resources technologies needed to support the state’s higher education plan, Closing the Gaps by 2015, and supports all agency goals. Data-driven evaluation of programs related to Closing the Gaps continues to increase the demand for electronic communications and exchange of information and for expanded data collection and sharing between P-16 stakeholders.</t>
  </si>
  <si>
    <t>C.1.2. Texas Research Incentive Prg</t>
  </si>
  <si>
    <t>C.1.2.</t>
  </si>
  <si>
    <t>C.1.2. TX Research Incentive Pro</t>
  </si>
  <si>
    <t>TOTAL FY 14-15 Base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</si>
  <si>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</si>
  <si>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</si>
  <si>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</si>
  <si>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</si>
  <si>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</si>
  <si>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</si>
  <si>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</si>
  <si>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</si>
  <si>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</si>
  <si>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</si>
  <si>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</si>
  <si>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</si>
  <si>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</si>
  <si>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</si>
  <si>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</si>
  <si>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</si>
  <si>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</si>
  <si>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</si>
  <si>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</si>
  <si>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</si>
  <si>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</si>
  <si>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</si>
  <si>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Total GR/   GR-D</t>
  </si>
  <si>
    <t>TARGETS</t>
  </si>
  <si>
    <t>The 81st Texas Legislature amended TEC. 54.203 (Hazlewood Act) by adding a new tuition exemption (fees not included) for a dependent child or stepchild of a member of the U. S. Armed Forces.  To qualify, the student must be a Texas resident or entitled to pay resident tuition.  The award applies to any semester or term during which the member of the armed forces is deployed on active duty in a combat zone outside of the United States. The new program began with tuition charged for the 2009 fall semester. For FY10 and FY11, the Texas Legislature appropriated $699,000 to the THECB to be used for reimbursements to institutions for any foregone tuition charges. Institutions are not required to make these exemptions if they are not being reimbursed by the state for the foregone tuition.  In FY11, a total of 306 students received an average award of $1,722. No funds were appropriated for the 12-13 biennium.  No awards were made in FY12.</t>
  </si>
  <si>
    <t xml:space="preserve">This program provides a one-year exemption from the payment of tuition and fees to students who were dependent children for whom their families received federal Temporary Assistance to Need Families (TANF) for at least six months during the students’ senior year in high school. In the past, funding for reimbursing institutions for the waived charges was provided through the Foundation School Fund and an inter-agency contract with the Texas Education Agency. In FY11, a total of 15 students received an average award of $3,685. The 82nd Legislature, Regular Session, eliminated the Foundation Program as a funding source.  No funds were appropriated for the 12-13 biennium, although institutions may choose to make awards while absorbing the cost.  No reimbursed awards have been made in FY12.  </t>
  </si>
  <si>
    <t xml:space="preserve">The intent of this program is to encourage certain educational aides and substitute teachers to obtain full teaching certification. The Educational Aide Program provides need-based exemptions from the payment of tuition and fees (other than class or laboratory fees) to students enrolled in courses leading up to teacher certification at Texas public institutions of higher education. To receive an initial award, a student must be a Texas resident, have worked at least one of the past five years as an educational aide or 180 days of the past five years as a substitute teacher, be currently employed in some capacity by a school district in Texas, show financial need, be enrolled in courses leading to teacher certification, and meet the academic progress standards of the institution. The 82nd Legislature amended program requirements to indicate new recipients must be enrolled in programs leading to certification in a shortage field.  In the past, funding was provided through the Foundation School Fund and an inter-agency contract with the Texas Education Agency. In FY11, a total of 4,447 students received an average award of $2,911. The 82nd Legislature, Regular Session, eliminated the Foundation Program as a funding source.  Any awards made in FY12 were made voluntarily by institutions, which absorbed the related costs.  </t>
  </si>
  <si>
    <t>This strategy helps close the gaps in success in nursing by authorizing a Loan Repayment Program for Professional Nursing Students, Matching Fund Employment Program for Students in Professional Nursing, Scholarship Program for LVNs Studying to Become RNs, Scholarship Program for Rural Professional Nursing Students, Scholarship Program for Professional Nursing, and the Scholarship Program for Rural BSN or Graduate Nursing Students. The 81st Texas Legislature appropriated $1,837,130 for the FY2010-11 biennium. In FY11, a total of 1,137 students received an average award of $1,722. No funds were appropriated for the 12-13 biennium.  No awards were made in FY12.</t>
  </si>
  <si>
    <t>The Texas College Work-Study Program helps close the gaps in student participation and success by allowing students to earn money to pay for at least part of their educational expenses. The program pays up to 75 percent of salaries for students working for nonprofit employers and up to 50 percent of salaries for students working for profit-making employers. Employers pay the balance of salaries and all other benefits. In FY11, 5,295 students earned an average of $1,662 (including state and employer matching funds).  In FY12, an estimated 3,485 students have earned an average of $2,205 as of June 2012.</t>
  </si>
  <si>
    <t>Physician and Nurse Trauma Care</t>
  </si>
  <si>
    <t xml:space="preserve">The Emergency and Trauma Care Education Partnership Program (ETEP), was established by passage of Senate Bill 7 during the First Called Session of the 82nd Legislature in 2011. Funding of $4.5 million will support the program in Fiscal Years 2012 and 2013. The program will provide funding support for partnerships of emergency medicine and trauma care residency programs and fellowships and hospitals to increase training opportunities in these medical specialty areas. The program will provide similar support for partnerships of graduate nursing programs and hospitals to increase the education and training experiences in emergency and trauma care for registered nurses pursuing graduate training. </t>
  </si>
  <si>
    <t>The Primary Care Residency Program provided funding for new primary care residency programs and for new primary care residency positions in the state. Funding was provided to primary care residency programs (up to a four-year maximum for obstetrics/gynecology residents) for designated residents for an entire residency training experience as governed by the specialty certification. Residents were identified by program directors as likely to remain in Texas to practice, interested in underserved areas, and committed to primary care medicine. Funding caps were in place for qualifying residency programs, with a maximum of 18 or fewer residents supported at each program. Funding is statutorily set, providing programs with $15,000 per resident to support a maximum of 18 residents, contingent on availability. The THECB allocates the funding to new programs and programs identified as producing physicians who stay and practice in the state.</t>
  </si>
  <si>
    <t>The Graduate Medical Education Program provided funds to support the educational and teaching costs of independent primary care graduate medical education programs. For purposes of this strategy, primary care includes family practice, obstetrics/gynecology, general internal medicine, and general pediatrics. Funds appropriated for this program may only be allocated to independent residency programs, not affiliated with a Texas medical school.</t>
  </si>
  <si>
    <t>The purpose of the Texas Armed Services Scholarship Program is to encourage students to become members of the Texas Army National Guard, members of the Texas Air Force National Guard, or commissioned officers in any branch of the armed services of the United States. No financial need is required to be eligible. Each year the governor and the lieutenant governor may each appoint two students, and each state senator and each state representative may appoint one student to receive an initial conditional Texas Armed Services Scholarship. The first disbursement of these fund occurred in FY11. Out of 185 nominations, 119 students were nominated and 82 received the Texas Armed Services Scholarship (average amount of $10,000). In FY12 106 nominations were received and 76 students were awarded the scholarship.</t>
  </si>
  <si>
    <t xml:space="preserve">Texas is not meeting the Closing the Gaps target of graduates in science, technology, engineering, and math (STEM) fields. The Engineering Recruitment Program (ERP) helps close the gaps in participation and success, specific to engineering, through  the Engineering Summer Program (ESP). The ESP supports one-week summer program experiences for middle and high school students at Texas public and private general academic institutions that offer engineering degree programs. ESP students participate in courses similar in content to engineering courses, with a focus on math and science preparation. The ESP is an early intervention initiative to engage and encourage middle and high school students to consider engineering as a profession. </t>
  </si>
  <si>
    <t>The Top 10% Scholarship is a need-plus-merit program to encourage the best and brightest Texas high school students to go to college in Texas. Scholarships are valued at $2,000 per year and are awarded to needy high school graduates who graduate in the top 10 percent of their high school graduating class, enroll full-time, and maintain at least a 3.25 college GPA. Eligible students must show financial need using the formula: Cost of Attendance - Expected Family Contribution - Pell &gt; $0, and complete the Free Application for Federal Student Aid (FAFSA) by the deadline set by THECB.
This is a four-year renewable scholarship. To be eligible for a continuation award, students must complete 30 SCH each year (including summer), maintain a cumulative GPA of 3.25, and satisfactorily complete at least 75% of the hours attempted. Students majoring in workforce shortage fields are eligible for a $2,000 bonus for their junior and senior years if they have an overall GPA of 3.0 at the beginning of their junior year and the beginning of their senior year. The program includes hardship provisions for students whose GPA, completion rate, and/or hours fall below the requirements. Students who do not meet the satisfactory academic progress requirements in one year but meet those requirements in subsequent years are eligible to receive an award. In FY11, 12,778 students received an average award of $2,003.  In FY12, 15,954 students have received and average award of $2030 as of June 2012.</t>
  </si>
  <si>
    <t>The Texas Career Opportunity Grant Program (TCOG) provides need-based grants to eligible students who are enrolled in qualified education programs at participating for-profit career schools or colleges. The amount of a TCOG Program award is the lesser of: (1) the applicant’s financial need; (2) the amount of tuition and fees that exceeds the average amount charged at a public technical institute; (3) 50 percent of the average state appropriation for a full-time student at a public technical institute; or (4) the program maximum. Priority consideration is given to veterans and spouses of veterans who meet certain conditions. The 81st Texas Legislature appropriated $1,350,000 for the 2010-11 biennium, $65,000 of which was cut due to budget reductions.  In FY11, a total of 931 students received an average award of $706. No funds were appropriated for the 12-13 biennium.  No awards were made in FY12.</t>
  </si>
  <si>
    <t>The Family Practice Residency Program (FPRP) improves the distribution of family physicians throughout the state and provides increased medical care to patients in underserved areas. Funds are allocated based on the certified number of residents training in each approved family practice residency program, which must receive significant local support to qualify for state funds. This strategy also supports rural and public health rotations, which offer family practice residents the opportunity for supervised training in a rural community or public health facility. Since its inception in 1979, the program has provided funding support for more than 8,000 family practice residents. Family physicians who complete residency training have a 70 percent retention rate in Texas.</t>
  </si>
  <si>
    <t>The Statewide Preceptorship Program provided funding to encourage Texas medical students to choose careers in primary care by contracting with one or more organizations to operate statewide preceptorship programs in family practice, general internal medicine, and general pediatrics. Each program had a complement of more than 100 volunteer physicians located statewide to mentor medical students in a community-based medical practice during one-month preceptorships with a family physician, internist, or pediatrician preceptor. The guiding premise of the preceptor experience was that early exposure to a primary care medical specialty may positively influence future career decisions and practice patterns. Participating medical students received a $500 stipend if they participated in a location near their medical school, and a $1,000 stipend if they participated in a rural location.</t>
  </si>
  <si>
    <t>HB 1504, 76th Texas Legislature, directed the Texas Council on Alzheimer's Disease and Related Disorders (Council) to establish a Consortium of Alzheimer's Disease Centers (Consortium) in Texas. The Consortium is composed of Alzheimer's Disease Centers at Baylor College of Medicine, Texas Tech University Health Sciences Center, the University of North Texas Health Science Center at Fort Worth, the University of Texas Health Science Center-San Antonio, and the University of Texas Southwestern Medical Center. This strategy supports the Consortium through a contract with the Council. The 2012-2013 appropriation supports the collaborative research among the state’s centers to improve early diagnosis, treatment, and prevention of Alzheimer’s disease. Funding is provided in the first year of the biennium with authority to carry forward any unexpended balances into the second year of the biennium.</t>
  </si>
  <si>
    <t xml:space="preserve">Carl D. Perkins Career and Technical Education Improvement Act funds support programs that help students matriculate to higher education by providing career exploration opportunities to earn college credit in high school, and seamless educational pathways that lead to associate and baccalaureate degrees. Perkins funds are used to develop and enhance career and technical programs that lead to high-skill, high-wage, or high-demand careers. The THECB annually allocates Carl D. Perkins Career and Technical Education Improvement Act funds to the state’s public two-year colleges. Funds for Title I of the Perkins IV Act are allocated to the state and divided between secondary and postsecondary education according to a formula developed by the Texas Education Agency. These funds support Basic Grants and State Leadership activities. </t>
  </si>
  <si>
    <t>The Teacher Quality Grants Program provides federal funds to states. Institutions of higher education (IHEs) provide courses and sessions designed to deepen the content knowledge of teachers and improve instructional quality in core academic courses. The funds are allocated to IHEs through a competitive grant process under criteria in No Child Left Behind (NCLB) and priorities established by the federally-approved Consolidated State Plan developed by the Texas Education Agency. Teacher Quality projects provide content-intensive summer courses in mathematics and science and academic year sessions in discipline-related instructional methods. The program serves approximately 1,100 teachers each year and improves the quality of instruction for approximately 125,000 classroom students in high-need ISDs each year. Consistent with federal regulations, the program focuses primarily on teachers who are teaching an academic subject or grade level for which they are not adequately prepared.</t>
  </si>
  <si>
    <t>This program provides grants to public institutions that offer upper-level instruction and training in nursing, allied health, or other health-related education. Amendments to the legislation have directed that all funds be used for nursing education through 2011. Funding is provided by the Permanent Fund for Higher Education Nursing, Allied Health, and Other Health-Related Programs (endowment fund established with tobacco settlement monies).</t>
  </si>
  <si>
    <t>This strategy funds the budgets for administration of the agency, including the Commissioner’s Office, Deputy Commissioners’ Offices, External Relations, General Counsel, Internal Audit, Human Resources, and Business Services. It includes both General Revenue and non-General Revenue sources.</t>
  </si>
  <si>
    <t>This strategy provides special funding to assist public community, technical, and state colleges that experience dramatic rates of growth in contact hours. Funding for FY14 is allocated based on growth greater than five percent between Fall 2011 and Fall 2012, and in FY15 growth must be greater than eight percent between Fall 2011 and Fall 2013. Ensuring that enrollment growth is adequately funded supports closing the gaps in participation and success.</t>
  </si>
  <si>
    <t>This strategy provides special funding to assist public general academic institutions that experience dramatic rates of growth in semester credit hours. Funding for FY14 is allocated based on growth greater than three percent between Fall 2011 and Fall 2012, and in FY11 FY15 growth must be greater than six percent between Fall 2011 and Fall 2013. Ensuring that enrollment growth is adequately funded supports closing the gaps in participation and success.</t>
  </si>
  <si>
    <t xml:space="preserve">This strategy provides funding for the Planning and Accountability Division, including the Education Data Center and Information Access Initiative, and funding for planning initiatives. The strategy includes funding for the personnel whose responsibilities include planning for higher education, collection of the state’s higher education data, analysis of higher education issues, maintaining the state’s higher education accountability system, planning for the state’s higher education facilities, including efficient use of higher education resources for construction, renovation and purchase of real estate, and higher education finance analysis, including recommendations for fair and equitable allocation of state formula funding among institutions. </t>
  </si>
  <si>
    <t>This strategy includes funding for the Texas Research Incentive Program (TRIP), which was established by HB 51, 81st Texas Legislature, to provide funding and incentives to support emerging public research universities in developing and maintaining programs of the highest tier.</t>
  </si>
  <si>
    <t>College Readiness and Success</t>
  </si>
  <si>
    <t>State Loan Programs</t>
  </si>
  <si>
    <t>Student Grants and Special Programs</t>
  </si>
  <si>
    <t>The Teach for Texas Loan Repayment Assistance Program provides student loan repayments for Texas public school teachers who provide full-time instruction in a subject having a critical shortage of teachers or at a campus having a critical shortage of teachers. 
Priority is given to renewal applicants and those having the greatest amount of student loan indebtedness. Teachers may receive up to $5,000 per year for each year of service for up to five years for a maximum of $20,000. The number of qualified applicants has exceeded available funding every year. The THECB received applications from 5974 teachers for FY11, but funding allowed for loan repayments to only 23% of the applicants (1,401). 
The repayments for FY2010-2011 were funded through appropriations of $5.7 million per year, plus payment receipts for the phased-out Teach for Texas conditional grant programs. However, the funding for FY2012-2013 was cut by 91%, to $500,000 per year, in addition to the payment receipts. A small percentage of teachers who received awards last year will be identified for awards for FY2012.
Over-subscription of the program before the severe budget cuts indicates program success. Retaining current teachers in critical shortage fields and campuses and encouraging others to teach in schools having critical teacher shortages is necessary for students to be prepared for higher education.</t>
  </si>
  <si>
    <t>This program provides educational loan repayments for faculty members who earned their doctorates after 1994 and teach at institutions located in Texas counties that border Mexico. Each eligible institution submits to the THECB at least four applications from selected members of the faculty who may receive loan repayment for up to $5,000 for each year of service, for up to 10 years. The program has been fully subscribed every year since its inception. 
The appropriated annual amount of $187,813 funded awards to 38 faculty members each year in FY10 and FY11. Although the maximum award amount specified in statute is low, any assistance to these institutions in recruiting and retaining faculty contributes to the goals of Closing the Gaps.</t>
  </si>
  <si>
    <t xml:space="preserve">The purpose of this program is to recruit and retain attorneys in the Office of the Attorney General (OAG) of the State of Texas. Selected applicants may receive annual loan repayment awards of up to $6,000, for a period of no more than three years. The OAG selects the recipients and recommends the award amounts based on years of service and other factors. 
For FY2011 the THECB was authorized under Rider 43 to use unexpended dedicated set-aside funds in the amount of $279,589 from prior years in addition to set aside funds received during the biennium in the amount of $276,313. Additionally $150,000 in non-dedicated GR was appropriated, allowing for the expenditure of $705,902 for loan repayment awards to 122 attorneys. 
Although dedicated tuition set aside funds continue to be deposited into the account for this program, there is no rider authorizing expenditure of these funds, estimated at $276,300 for FY2012-2013. The GR appropriation for each year of the 2012-2013 biennium is $248,036. </t>
  </si>
  <si>
    <t>This program provides student loan repayment assistance as an incentive for members of underrepresented groups to serve as full-time faculty or administrators in Texas institutions of higher education. Underrepresented groups are defined in terms of the low income status or the low college-going rate of the high school the recipient either attended or resided near, at the time of graduation from high school. Qualified recipients may receive up to $20,000 per year for up to five years (for a maximum aggregate of $100,000). The program has been funded through a $2 per credit hour set-aside from tuition of doctoral students (excluding those enrolled in law school or a health professions program).
Loan repayments totaling $741,805 were awarded to 48 doctoral faculty and administrators in FY2011. Although tuition set aside funds continue to be deposited in the program account, in accordance with the governing statute, there is no rider for FY2012-2013 authorizing expenditure of the dedicated funds, and no General Revenue funds were appropriated for the program. The estimated amount of tuition set aside funds anticipated for FY2012 is $745,000.</t>
  </si>
  <si>
    <t>Workforce, Academic Affairs, and Research</t>
  </si>
  <si>
    <t>Planning, Information, &amp; Evaluation</t>
  </si>
  <si>
    <t>A.3.2.</t>
  </si>
  <si>
    <t>Higher Education Policy Institute</t>
  </si>
  <si>
    <t xml:space="preserve">The Board received a grant from the Houston Endowment, Inc., to conduct research and analysis of the critical higher education issues that challenge Texas. </t>
  </si>
  <si>
    <t>B.1.1 Texas Grant Program</t>
  </si>
  <si>
    <t>B.1.2 Texas B-On-Time Program</t>
  </si>
  <si>
    <t>B.1.3 Tuition Equalization Grants</t>
  </si>
  <si>
    <t>B.1.4 Texas Educational Opportunity Grant Prg</t>
  </si>
  <si>
    <t>B.1.5. College Work Study Program</t>
  </si>
  <si>
    <t>B.1.6.  License Plate Scholarships Program</t>
  </si>
  <si>
    <t>B.1.7.  Early High School Grad Scholarships</t>
  </si>
  <si>
    <t>B.1.8.  TANF Scholarship Program</t>
  </si>
  <si>
    <t>B.1.9.  Educational Aide Program</t>
  </si>
  <si>
    <t>B.1.10.  Teach for Texas Loan Repayment</t>
  </si>
  <si>
    <t>B.1.11.  Border Faculty Loan Repayment Prg</t>
  </si>
  <si>
    <t>B.1.12.  OAG Lawyers Loan Repayment Prg</t>
  </si>
  <si>
    <t>B.1.13.  Doctoral Incentive Program</t>
  </si>
  <si>
    <t>B.1.14.  Engineering Recruitment Program</t>
  </si>
  <si>
    <t>B.1.15.  Top Ten Percent Scholarships</t>
  </si>
  <si>
    <t>B.1.16.  Texas Armed Services Scholarships</t>
  </si>
  <si>
    <t>B.1.17.  Combat Tuition Reimbursement Prg</t>
  </si>
  <si>
    <t>B.1.18.  Texas Career Opportunity Grants</t>
  </si>
  <si>
    <t>B.1.19. T-STEM Challenge Scholarship Prg</t>
  </si>
  <si>
    <t>E.1.2.  Baylor College of Medicine GME</t>
  </si>
  <si>
    <t>E.1.3.  Tobacco Earnings - Baylor College of Med</t>
  </si>
  <si>
    <t>E.1.4.  Tobacco Earnings - Perm Hlth Fund BCM</t>
  </si>
  <si>
    <t>E.1.1.  Baylor College of Medicine UGME</t>
  </si>
  <si>
    <t>F.1.1.  Developmental Education Program</t>
  </si>
  <si>
    <t>F.1.2.  Centers for Teacher Education</t>
  </si>
  <si>
    <t>F.1.3.  Two-year Institution Enrollment Growth</t>
  </si>
  <si>
    <t>F.1.4.  New Community College Campuses</t>
  </si>
  <si>
    <t>F.1.5.  Gen Acad Institution Enrollment Growth</t>
  </si>
  <si>
    <t>F.1.6.  African American Museum Internship</t>
  </si>
  <si>
    <t>F.1.7.  Adult Basic Educ Comm College Grants</t>
  </si>
  <si>
    <t>F.1.8.  Alt Teaching Cert Prgs at Comm Colleges</t>
  </si>
  <si>
    <t>F.1.9.  College Readiness Grants</t>
  </si>
  <si>
    <t>G.1.1.  Student Financial Assistance Programs</t>
  </si>
  <si>
    <t>G.1.3.  Teacher Quality Grants Programs</t>
  </si>
  <si>
    <t>G.1.4.  College Access Challenge Grants Program</t>
  </si>
  <si>
    <t>G.1.5.  Other Federal Grants Programs</t>
  </si>
  <si>
    <t>I.1.1.  Central Administration</t>
  </si>
  <si>
    <t>I.1.2.  Information Resources</t>
  </si>
  <si>
    <t>I.1.3.  Other Support Services</t>
  </si>
  <si>
    <t>A.1.1.  College Readiness and Success</t>
  </si>
  <si>
    <t>A.1.2.  State Loan Programs</t>
  </si>
  <si>
    <t>A.1.3.  Student Grants and Special Programs</t>
  </si>
  <si>
    <t xml:space="preserve">A.2.1.  Workforce, Academic Affairs, and Research </t>
  </si>
  <si>
    <t>A.3.1.  Planning, Information, &amp; Evaluation</t>
  </si>
  <si>
    <t>B.1.1 TEXAS Grants</t>
  </si>
  <si>
    <t>B.1.2 Texas B-On-Time</t>
  </si>
  <si>
    <t>B.1.4. Texas Educational Opp. Grnt Prg</t>
  </si>
  <si>
    <t>B.1.5 College Work Study</t>
  </si>
  <si>
    <t>B.1.10. Teach for TX LRP</t>
  </si>
  <si>
    <t>B.1.11. Border Faculty LRP</t>
  </si>
  <si>
    <t>B.1.12. OAG Lawyers LRP</t>
  </si>
  <si>
    <t>B.1.15. Top 10% Scholarships</t>
  </si>
  <si>
    <t>B.1.16.  Armed Services Scholarships</t>
  </si>
  <si>
    <t>B.1.6. License Plate Scholarships</t>
  </si>
  <si>
    <t xml:space="preserve">D.1.1. Fam Pract Res Pro </t>
  </si>
  <si>
    <t>D.1.5. Joint Admiss Md Pro</t>
  </si>
  <si>
    <t>D.1.6. Physician Ed Loan Repay</t>
  </si>
  <si>
    <t>D.1.10. Prof Nurse Shortage</t>
  </si>
  <si>
    <t xml:space="preserve">D.1.11. Alzheimer's Dis Cen </t>
  </si>
  <si>
    <t xml:space="preserve">E.1.2. Baylor COM-GME </t>
  </si>
  <si>
    <t>F.1.1. Developmental Ed Program</t>
  </si>
  <si>
    <t xml:space="preserve">F.1.2. Centers for Teacher Ed </t>
  </si>
  <si>
    <t>F.1.7. ABE Community College Grants</t>
  </si>
  <si>
    <t>I.1.1. Central Adm</t>
  </si>
  <si>
    <t>I.1.3. Other Sup Ser</t>
  </si>
  <si>
    <t>Texas Educational Opportunity Grant Program</t>
  </si>
  <si>
    <t>College Work Study</t>
  </si>
  <si>
    <t>TEXAS B-On-Time Program</t>
  </si>
  <si>
    <t>B.1.17.</t>
  </si>
  <si>
    <t>B.1.18.</t>
  </si>
  <si>
    <t>B.1.19.</t>
  </si>
  <si>
    <t xml:space="preserve">Budget Goal E:  Baylor College of Medicine </t>
  </si>
  <si>
    <t>F.1.6.</t>
  </si>
  <si>
    <t>F.1.7.</t>
  </si>
  <si>
    <t>F.1.8.</t>
  </si>
  <si>
    <t>F.1.9.</t>
  </si>
  <si>
    <t>F.1.10.</t>
  </si>
  <si>
    <t>G.1.3.</t>
  </si>
  <si>
    <t>G.1.4.</t>
  </si>
  <si>
    <t>G.1.5.</t>
  </si>
  <si>
    <t>I.1.1.</t>
  </si>
  <si>
    <t>I.1.2.</t>
  </si>
  <si>
    <t>I.1.3.</t>
  </si>
  <si>
    <t>A.1.1. College Readiness and Success</t>
  </si>
  <si>
    <t>A.1.3. Student Grants and Special Prgs</t>
  </si>
  <si>
    <t>A.2.1. Workforce, Academic Affairs, and Research</t>
  </si>
  <si>
    <t xml:space="preserve">A.3.1. Planning, Information and Evaluation </t>
  </si>
  <si>
    <t>F.1.10.  Higher Educ Performance Incentive</t>
  </si>
  <si>
    <t>Goal A: Coordinate Higher Education</t>
  </si>
  <si>
    <t>Goal B: Close the Gaps by Improving Affordability</t>
  </si>
  <si>
    <t xml:space="preserve">Goal C: Close the Gaps by Providing Trusteed Funds for Research </t>
  </si>
  <si>
    <t>Goal D: Close the Gaps by Providing Trusteed Funds for Health Care Education</t>
  </si>
  <si>
    <t>D.1.1.  Family Practice Residency Program</t>
  </si>
  <si>
    <t>D.1.2.  Preceptorship Program</t>
  </si>
  <si>
    <t>D.1.3.  Primary Care Residency Program</t>
  </si>
  <si>
    <t>D.1.4.  Graduate Medical Education (GME)</t>
  </si>
  <si>
    <t>D.1.5.  Joint Admission Medical Prg (JAMP)</t>
  </si>
  <si>
    <t>D.1.6.  Physician Education Loan Repayment</t>
  </si>
  <si>
    <t>D.1.7.  Financial Aid: Prof Nursing Students</t>
  </si>
  <si>
    <t>D.1.8.  Fin Aid: Vocational Nurs Students</t>
  </si>
  <si>
    <t>D.1.9.  Dental Education Loan Repayment</t>
  </si>
  <si>
    <t>D.1.10.  Prof Nursing Shortage Reduction</t>
  </si>
  <si>
    <t>D.1.11.  Alzheimer's Disease Centers</t>
  </si>
  <si>
    <t>D.1.12.  Hosp-Based Nurs Educ Partnership Grnts</t>
  </si>
  <si>
    <t>D.1.13.  Children’s Medicaid Loan Repayment</t>
  </si>
  <si>
    <t>D.1.14. Physician and Nurse Trauma Care</t>
  </si>
  <si>
    <t>Goal E: Baylor College of Medicine</t>
  </si>
  <si>
    <t>Goal F: Close the Gaps by Providing Trusteed Funds to Improve Quality/Delivery</t>
  </si>
  <si>
    <t xml:space="preserve">Goal G: Close the Gaps by Providing Federal Funding to Institutions and Students </t>
  </si>
  <si>
    <t xml:space="preserve">Goal H: Close the Gaps by Providing Tobacco Settlement Funds to Institutions </t>
  </si>
  <si>
    <t>Goal I: Indirect Administration</t>
  </si>
  <si>
    <t>DCS</t>
  </si>
  <si>
    <t>Acquisition of Information Technology Resources</t>
  </si>
  <si>
    <t>Division Rank</t>
  </si>
  <si>
    <t>Agency Rank</t>
  </si>
  <si>
    <t xml:space="preserve">Rank # </t>
  </si>
  <si>
    <t>Graduate Medical Education Expansion Effort</t>
  </si>
  <si>
    <t>Texas Science Technology Engineering and Math</t>
  </si>
  <si>
    <t>The Texas Science, Technology, Engineering, and Math (T-STEM) Challenge Scholarship Program was established by House Bill 2910, passed by the 82nd Legislature, Regular Session in 2011. The T-STEM program is funded through a grant provided to the Texas Higher Education Coordinating Board from the Texas Guaranteed Student Loan Corporation. The T-STEM program provides grant awards to qualified Texas public community and technical colleges.</t>
  </si>
  <si>
    <t xml:space="preserve">WAAR/ D.1.1 </t>
  </si>
  <si>
    <t>The Family Practice Residency Program (FPRP) improves the distribution of family physicians throughout the state and provides increased medical care to patients in underserved areas. Funds are allocated based on the certified number of residents training in each approved family practice residency program, which must receive significant local support to qualify for state funds. This strategy also supports rural and public health rotations, which offer family practice residents the opportunity for supervised training in a rural community or public health facility. Since its inception in 1979, the program has provided funding support for more than 8,000 family practice residents. Family physicians who complete residency training have a 70 percent retention rate in Texas. The exceptional item request for an additional $10 million to the current level of funding of $5.6 million would allow the per resident funding level to increase from the current level of $3,985 to $10,764 to support approximately 706 family practice residents, and provide for an increase in the number of rural and public health rotations that could be completed from the current level of 25 funded at $2,000 to 80 funded at $2,500.</t>
  </si>
  <si>
    <t>Norman Hackerman Advance Research Program</t>
  </si>
  <si>
    <t>WAAR/ C.1.1</t>
  </si>
  <si>
    <t>The Norman Hackerman Advanced Research Program (NHARP) was established by the 70th Texas Legislature (1987, TEC Chapter 142) helps close the gap in research by providing competitive, peer-reviewed grants for basic research at Texas higher education institutions. The established peer-review process ensures that selected research projects are at the forefront of science: research that attracts and retains the best faculty and students and develops the knowledge base needed for continuing innovation. NHARP funds enable investigators to do initial studies necessary to secure additional funding from the federal government, private industry, not-for-profit organizations, and private donors.</t>
  </si>
  <si>
    <t>Texas is not meeting the Closing the Gaps target of graduates in science, technology, engineering, and math (STEM) fields. The Engineering Recruitment Program (ERP) helps close the gaps in participation and success, specific to engineering, through  the Engineering Summer Program (ESP). The ESP supports one-week summer program experiences for middle and high school students at Texas public and private general academic institutions that offer engineering degree programs. ESP students participate in courses similar in content to engineering courses, with a focus on math and science preparation. The ESP is an early intervention initiative to engage and encourage middle and high school students to consider engineering as a profession.  The program was not funded in FYs 2012 and 2013. In FY 2011, the ESP received an appropriation of $500,000 and supported 25 summer programs with 790 middle and high school students participating. Approximately half the number of programs and students would be supported, if funding were provided in FYs 2014 and 2015.</t>
  </si>
  <si>
    <t>Emergency and Trauma Care Education Partnership Program</t>
  </si>
  <si>
    <t>WAAR/ D.1.14</t>
  </si>
  <si>
    <t xml:space="preserve">The Emergency and Trauma Care Education Partnership Program (ETEP), was established by passage of Senate Bill 7 during the First Called Session of the 82nd Legislature in 2011.  Authority to administer the program was given to the Coordinating Board in Texas Education Code, Section 61.9802 and in Title 19, Texas Administrative Code, Chapter 6, Subchapter E. However, funding to administer  the program was not appropriated to the Coordinating Board. Currently, funding is provided to the Department of State Health Services (DSHS) under General Appropriations Act, Senate Bill 1, 82nd Texas Legislature, B.3.1. Strategy: EMS AND TRAUMA CARE SYSTEMS (page II-49).  In turn, DSHS provides the Coordinating Board with funding through a Memorandum of Understanding. To reduce unnecessary administrative effort between agencies, a request would be made that this appropriation go directly to the Coordinating Board. DSHS has indicated it will not request funding in the 2014-2015 LAR since it has no statutory authority for the program.  </t>
  </si>
  <si>
    <t>BSS/ B.1.1</t>
  </si>
  <si>
    <t>Physician Ed. LRP</t>
  </si>
  <si>
    <t>BSS/ D.1.6</t>
  </si>
  <si>
    <t>The Physician Education Loan Repayment Program (PELRP) provides student loan repayment awards for physicians who have agreed to provide four years of service for underserved Texans in Health Professional Shortage Areas (HPSAs). The 81st Legislature authorized changes to the tax code relating to smokeless tobacco and directed specified percentages of the increased revenue to be used for loan repayments in the amount of up to $25,000, $35,000, $45,000, and $55,000 for 1st, 2nd, 3rd, and 4th years of service, for a maximum of $160,000. The State Comptroller's revenue projections for the PELRP fund far exceed the amount of this exceptional item, which is requested to fund loan repayments as follows: FY2014 - $1.5 million for 60 additional first-year participants (bringing the total of new participants to 100 for this year); FY2015 - $3.2 million for 60 second-year participants and 44 additional new participants. The recruitment  of 60 new physicians practicing in HPSAs will provide access to primary care services for at least 210,000 underserved Texans in FY2014. The recruitment and retention of 144 physicians practicing in HPSAs will provide access to primary care services for at least 504,000 underserved Texans.</t>
  </si>
  <si>
    <t>ISS/ I.1.2</t>
  </si>
  <si>
    <t>WAAR/ D.1.4</t>
  </si>
  <si>
    <t>WAAR/ B.1.14</t>
  </si>
  <si>
    <t>The Dental Education Loan Repayment Program provides loan repayment assistance to qualified dentists who have provided at least one year of dental care in areas of Texas that are underserved with respect to dental care. A dentist may receive annual loan repayments of up to $10,000 per year. There is no statutory limit to the number of years a dentist may qualify for loan repayment. 
Loan repayment awards totaling $215,000 were made to 22 dentists in FY2011. Although there is no spending authority for the program for FY2012-2013, Texas dental schools are required to set aside two percent of student tuition to help fund the program. The amount of anticipated set aside funds deposited by 8/31/2011 is estimated to be $120,000.</t>
  </si>
  <si>
    <t>Column112</t>
  </si>
  <si>
    <t>GR/GR-D</t>
  </si>
  <si>
    <t>First 5% Reduction</t>
  </si>
  <si>
    <t>Second 5% Reduction</t>
  </si>
  <si>
    <t>Total 10% Biennial Base Reduction</t>
  </si>
  <si>
    <t>I.1.2. Info Resources</t>
  </si>
  <si>
    <t>FY15</t>
  </si>
  <si>
    <t>Reduction may have a small impact on the ability of the CTEs to increase the number of African American teachers in Texas.  However, this reduction will have little impact on the overall production of African American teachers in Texas since the CTEs produce less than 1 percent of all African-American teachers produced in Texas annually.</t>
  </si>
  <si>
    <t>The funds in this strategy are used to hire additional nursing faculty and other costs of the training for future nurses.  The impact of reductions is possibly to slow the progress that has been made since this program was created increase nursing candidates.</t>
  </si>
  <si>
    <t>The fund in this strategy provide medical education support to Texas residents.  The impact will be to possibly decrease the access and increase the cost of attendance.</t>
  </si>
  <si>
    <t>E.1.1. Baylor Col of Med UGME</t>
  </si>
  <si>
    <t>Baylor College of Medicine UGME</t>
  </si>
  <si>
    <t>This amount comes from reductions in planned travel, professional expenses, and staff development and training.</t>
  </si>
  <si>
    <t>This program provides grants to institutions, including Centers for Teacher Education, that conduct research or educational programs that address minority health issues or that form partnerships with minority organizations, colleges, or universities to conduct research and educational programs to address minority health issues. Funding is provided by the Permanent Fund for Minority Health Research and Education (endowment fund established with tobacco settlement monies).</t>
  </si>
  <si>
    <t>UB</t>
  </si>
  <si>
    <t>Rank #4</t>
  </si>
  <si>
    <t>Rank #3</t>
  </si>
  <si>
    <t>Rank #12</t>
  </si>
  <si>
    <t>Rank #8</t>
  </si>
  <si>
    <t>Rank #5</t>
  </si>
  <si>
    <t>Rank #6</t>
  </si>
  <si>
    <t>Rank #15</t>
  </si>
  <si>
    <t>Rank #14</t>
  </si>
  <si>
    <t>Rank #7</t>
  </si>
  <si>
    <t>Rank #10</t>
  </si>
  <si>
    <t>Rank #13</t>
  </si>
  <si>
    <t>Rank #1</t>
  </si>
  <si>
    <t>Rank #2</t>
  </si>
  <si>
    <t>Rank #9</t>
  </si>
  <si>
    <t>Rank #11</t>
  </si>
  <si>
    <t xml:space="preserve">This strategy includes funding for the administration of all grant and success programs and initiatives that support the goals of Closing the Gaps by 2015. Funding under this Strategy is designed to increase student success and decrease the number of students enrolling in developmental education at institutions of higher education. </t>
  </si>
  <si>
    <t>D16</t>
  </si>
  <si>
    <t>WAAR/ B.1.19</t>
  </si>
  <si>
    <t>D13</t>
  </si>
  <si>
    <t>D10</t>
  </si>
  <si>
    <t>D4</t>
  </si>
  <si>
    <t>D15</t>
  </si>
  <si>
    <t>D12</t>
  </si>
  <si>
    <t>This strategy provides medical education funding to Baylor College of Medicine (BCM). The Texas Legislature appropriates to the THECB an amount per Texas resident medical student at BCM that is equal to the amount of General Revenue funding for medical education (for instruction and operations, infrastructure, and staff benefits, but not formula funding appropriated to the UT institutions for research) at The University of Texas Southwestern Medical Center at Dallas and The University of Texas Medical Branch at Galveston. (These were the only two state medical schools in existence when the Legislature authorized the appropriation of State funds to BCM.) This funding is the equivalent formula funding that is provided to all public Health-Related Institutions for medical education. The THECB has statutory authority to contract with BCM for the education of Texas resident undergraduate medical students.</t>
  </si>
  <si>
    <t>The purpose of the College Access Challenge Grant Program is to foster partnerships among federal, state, and local governments and philanthropic organizations through matching challenge grants that are aimed at increasing the number of low-income students who are prepared to enter and succeed in postsecondary education. Projects are authorized to: provide information to students and families regarding postsecondary education and career preparation; promote financial literacy and debt management; conduct outreach activities; assist students in completing the Free Application for Federal Student Financial Aid (FAFSA); provide need-based grant aid; conduct professional development for guidance counselors at middle and secondary schools, financial aid administrators, and college admissions counselors; and offer student loan cancellation or repayment or interest rate reductions for borrowers who are employed in a high-need geographical area or a high-need profession. (Funds cannot be used to promote any lender's loans.) The Governor designated the THECB to administer this federal program.</t>
  </si>
  <si>
    <t>The funds in this strategy are used to hire additional nursing faculty and other costs of the training for future nurses.  The impact of reductions may slow the progress that has been made since this program was created to increase nursing candidates.</t>
  </si>
  <si>
    <t>The Sunset Advisory Commission’s Staff Report on the Texas Higher Education Coordinating Board included Issue 5 – The Coordinating Board’s Limited Monitoring of Funding and Data Fails to Ensure Their Appropriate Use and Accuracy.  This Special Item Request is needed to address Sunset Issue 5, through the creation of four FTEs dedicated to performing compliance monitoring of data and funds for which the THECB has oversight responsibility.</t>
  </si>
  <si>
    <t xml:space="preserve">   TOTAL      </t>
  </si>
  <si>
    <t>D27</t>
  </si>
  <si>
    <t>Budget Goal I:  Indirect Administration</t>
  </si>
  <si>
    <t>Budget Goal G:  Federal Grant Programs</t>
  </si>
  <si>
    <t>Compliance Monitoring to Address Sunset Issue 5</t>
  </si>
  <si>
    <t>Internal Audit/ I.1.1</t>
  </si>
  <si>
    <t>A.2.1. Workforce, Academic Affairs, &amp; Research</t>
  </si>
  <si>
    <t>The first five percent reduction will cause about 500 teachers to lose their loan repayments each year of the biennium.</t>
  </si>
  <si>
    <t>The second five percent reduction will eliminate this program for the biennium.</t>
  </si>
  <si>
    <t>LBB approved GR/GR-D Limit</t>
  </si>
  <si>
    <t>F.1.9. College Readiness Grants</t>
  </si>
  <si>
    <r>
      <t xml:space="preserve">This strategy implements the recommendations in the Rider 29 report to the Governor, </t>
    </r>
    <r>
      <rPr>
        <i/>
        <sz val="10"/>
        <rFont val="Arial"/>
        <family val="2"/>
      </rPr>
      <t>Building Bridges to Success: An Update on the Action Plan to Transition Adult Basic Education Students to Postsecondary Education and Training</t>
    </r>
    <r>
      <rPr>
        <sz val="10"/>
        <rFont val="Arial"/>
        <family val="2"/>
      </rPr>
      <t xml:space="preserve"> (Jan. 2012). Texas has 4 million adults who lack a secondary credential or are limited English proficient. Of this number, 100,000 are served by AEFLA-funded programs and about 3,500, or 3.5 percent of the 100,000, transition to postsecondary institutions or training programs. For Texas to compete in the global economy, it is critical that education and training programs be available to develop the human capital of all segments of the population. Recommendations of the Rider 29 report include: integrating basic skills instruction and CTE programs at two-year institutions, expanding the number of community colleges that provide adult basic education programs, and eliminating the redundancy of teaching basic skills classes within developmental education programs.</t>
    </r>
  </si>
  <si>
    <r>
      <t>The THECB manages accounts for a number of specialty license plate programs designed to generate funding for scholarships and other education-related programs. These include (citation provided for authorizing statute in the Texas Transportation Code):                                                                                                                            
• Texas Collegiate License Plate Scholarship (§ 504.615);
• Houston Livestock Show and Rodeo License Plate Scholarship (§ 504.613);
• Girl Scout License Plate Programs (§ 504.622);
• “College for All Texans” Campaign License Plate Program (§ 504.657);
• Boy Scout License Plate Scholarship (§ 504.6545); 
• Cotton Boll License Plate Scholarship (§ 504.636);
• Mothers Ag</t>
    </r>
    <r>
      <rPr>
        <b/>
        <sz val="10"/>
        <rFont val="Arial"/>
        <family val="2"/>
      </rPr>
      <t>a</t>
    </r>
    <r>
      <rPr>
        <sz val="10"/>
        <rFont val="Arial"/>
        <family val="2"/>
      </rPr>
      <t>inst Drunk Driving (§ 504.608); and
• Texas Section American Water Works Association (§504.801)</t>
    </r>
  </si>
  <si>
    <t>Total Loan Funds Appted for 12-13:</t>
  </si>
  <si>
    <t>Average Amount per FY:</t>
  </si>
  <si>
    <t>Student Loan Funds Included Above:</t>
  </si>
  <si>
    <t>EIs:</t>
  </si>
  <si>
    <t>Base</t>
  </si>
  <si>
    <t>First 5%</t>
  </si>
  <si>
    <t>Second 5%</t>
  </si>
  <si>
    <t>Budget Goal A:  Coordinate Higher Education</t>
  </si>
  <si>
    <t>Tobacco Earnings - Perm Endowment Fund for Baylor College of Medicine</t>
  </si>
  <si>
    <t>Budget Goal F:  Quality, Access and Success</t>
  </si>
  <si>
    <t xml:space="preserve">Budget Goal H:  Close the Gaps - Tobacco Funds </t>
  </si>
  <si>
    <t>This strategy includes funding for administration of the Hinson-Hazlewood Loan Program. No General Revenue is used to support the loan program. All funds for this program are generated by self-supporting bond proceeds and loan repayments. In FY11, 8,684 students received $101,547,713 in loans for an average loan amount of $9,613. It is estimated that 10,500 students will receive $110,000,000 in loans in FY12 for an average amount of $10,476.</t>
  </si>
  <si>
    <t>The first five percent reduction will result in reduced training and elimination of one FTE from the department. The second five percent reduction will cause a second FTE reduction.</t>
  </si>
  <si>
    <t>The funds in this strategy are used to match private donation received by the Emerging Research Institutions.  The impact of the reduction may slow the progress made by the institutions in increasing funds available for enhancing the research activity at the institutions.</t>
  </si>
  <si>
    <t>Texas must quickly increase the number of first year entering medical residents or Texas medical school graduates will no longer have enough available first year residency positions to retain its medical school graduates. The proposed Graduate Medical Education Expansion Effort would provide funding support to Texas residency programs offering first year residency positions. The goal of the program would be to achieve a 1.1 to 1 ratio of Texas first-year entering positions to medical school graduates. The new funding of $11.7 million ($15,000 per resident x 779 positions) would support 10 percent of the cost for new first-year entering residency training positions beginning in the 2014-2015 biennium. The program would support the addition of 220 first-year entering residency positions beginning in 2014, and allow the residents to continue training, and add 339 first-year entering residents in 2015. The administration and management of the new program would be absorbed by the agency with existing staff, with less than 2 percent of the proposed funding used to support salaries and wages.</t>
  </si>
  <si>
    <t>This strategy focuses on scaling best practice findings from previously-funded demonstration projects that determined the most effective strategies to drive systemic reform and dramatically improve student outcomes. This is necessary because students enrolled in developmental education programs in postsecondary institutions are struggling to achieve college readiness in two years or less. Results from a rigorous cross-site evaluation of the demonstration projects as well as results from the new TSI Assessment will be used to inform changes to the Texas Success Initiative statute (TEC §51.3062) to address systemic developmental education reform. Reform focus areas include: assessment and placement, adult basic education alignment, student advising and counseling, course redesign, non course-based remediation, and faculty development.</t>
  </si>
  <si>
    <t>I.1.3. Other Support Services</t>
  </si>
  <si>
    <t>I.1.1. Central Administration</t>
  </si>
  <si>
    <t>I.1.2. Information Resources</t>
  </si>
  <si>
    <t xml:space="preserve">D.1.11. Alzheimer's Disease Cen </t>
  </si>
  <si>
    <t xml:space="preserve">E.1.2. Baylor Col of Med - GME </t>
  </si>
  <si>
    <t>E.1.1. Baylor Col of Med - UGME</t>
  </si>
  <si>
    <t xml:space="preserve">D.1.1. Family Practice Res Pro </t>
  </si>
  <si>
    <t>C.1.1. Advanced Research Pro</t>
  </si>
  <si>
    <t>H.1.2.  Tobacco Earnings - Nursing, Allied Hlth, Other</t>
  </si>
  <si>
    <t>H.1.1.  Tobacco Earnings - Minority Hlth Research &amp; Ed</t>
  </si>
  <si>
    <t>G.1.2.  Career and Technical Ed Programs</t>
  </si>
  <si>
    <t>Summary of 2014-15 Legislative Appropriations Request (LAR)</t>
  </si>
  <si>
    <t>check 14 base</t>
  </si>
  <si>
    <t>check 15 base</t>
  </si>
  <si>
    <t>This strategy includes funding for academic and research program responsibilities. The strategy includes funding for the personnel whose primary responsibility is institutional program review, administration of trusteed funds (including the residency programs and the grant programs supported by the tobacco settlement funding included in Goal H), Norman Hackerman Advanced Research Program (NHARP), Research Assessment Program, Research Development Fund (RDF), and the THECB efforts to close the gaps in excellence and research.</t>
  </si>
  <si>
    <t xml:space="preserve">The impact of the reduction will stop the progress planned for developing web pages for education data and accountability system presentations.  The cut would reduce the amounts available for adjustments in staff compensation to reward and retain the high performers in the division. The cut would prohibit the division from addressing the monitoring function that was recommended by the Sunset Commission staff.  The cut would eliminate the attendance of division staff at conferences held in state and out of state.  Much of the coordination activities of the division involve presenting at statewide conferences (TACRO, TAIR, TASSCUBO, TACCBO, TAPPA, TCUF).  </t>
  </si>
  <si>
    <t xml:space="preserve">For students graduating prior to September 1, 2005, this program provides funds for reimbursing institutions for tuition exemptions up to $1,000 to students who complete grades 9-12 in no more than 36 continuous months. For students graduating after September 1, 2005, the program provides tuition and fee exemptions up to $2,000 to students who complete grades 9-12 with the Recommended High School Program in no more than 36 months. Students who graduated in less than 41 months could receive a lesser award.  Students graduating in less than 46 months with a specified number of college credits can receive a bonus award of $1000. Students at independent colleges may receive awards if their colleges provide matching funds. The funding was previously provided from the Foundation School Fund through an inter-agency contract with the Texas Education Agency.  In FY11, a total of 5,772 students received an average award of $932. The 82nd Legislature, Regular Session, changed the funding source from the Foundation Program to direct appropriations.  No funds were appropriated for the 12-13 biennium.  No awards were made in FY12.  </t>
  </si>
  <si>
    <t>The program was not funded in FYs 2012 and 2013. In FY 2011, the ESP received an appropriation of $500,000 and supported 25 summer programs with 790 middle and high school students participating. Approximately half the number of programs and students would be supported, if funding were provided in FYs 2014 and 2015.</t>
  </si>
  <si>
    <t>The exceptional item request for an additional $10 million to the current level of funding of $5.6 million would allow the per resident funding level to increase from the current level of $3,985 to $10,764 to support approximately 706 family practice residents, and provide for an increase in the number of rural and public health rotations that could be completed from the current level of 25 funded at $2,000 to 80 funded at $2,500.</t>
  </si>
  <si>
    <t xml:space="preserve">The 81st Texas Legislature provided funding for this initiative during FY10 and FY11 (Rider 46, III-61). The incentive funding program is intended to provide for improvement in teaching and educational excellence at Texas public general academic teaching institutions. </t>
  </si>
  <si>
    <t>This strategy includes the following programs: Leveraging Educational Assistance Partnership (LEAP), Special Leveraging Educational Assistance Partnership (SLEAP), and the Robert C. Byrd Honors Scholarship Program. These programs have not been funded since FY 2011.</t>
  </si>
  <si>
    <t xml:space="preserve"> The exceptional item request would provide additional funding to be awarded to competitive researchers and would allow greater numbers and types of research activities to be funded. Additional administrative funds would be used to support external consultants who conduct project reviews and help in the evaluation and selection of most competitive research projects.</t>
  </si>
  <si>
    <t>It is anticipated that a 5% cut of $66,933 for 2014-15 can be absorbed due to smaller than anticipated costs for the Office 365 (Email in Cloud) and Managed Print Services contracts. A 10% cut ($133,865) would require cuts in temporary help services, IT training budget, as well as elimination of our contract with Gartner Group, relied on very heavily by ISS management and staff for IT industry guidance, trends, and vendor/software evaluations.</t>
  </si>
  <si>
    <t>This strategy includes funding for the administration of all college readiness and success programs and initiatives that support the goals of Closing the Gaps by 2015.  Funding under this Strategy is designed (1) to support professional development activities for pre-service and in-service teachers who teach in public high schools with low college-going rates in Houston and Dallas, and (2) to increase college readiness and student success. The strategy includes staff resources to implement the professional development activities in Houston and Dallas and for college readiness and success activities funded at institutions of higher education and other entities across the state.</t>
  </si>
  <si>
    <t>The first five percent reduction will reduce building services used for safety and security for staff. The second reduction will result in the loss of an FTE and further reductions of basic support functions.</t>
  </si>
  <si>
    <t>The Tuition Equalization Grant Program provides aid in the form of grants to needy students attending independent nonprofit institutions in Texas.  To qualify, recipients must be Texas residents or National Merit Finalists and enroll on at least a three-quarter basis.  To remain eligible, a student must complete at least 75 percent of his/her coursework, complete at least 24 semester credit hours per year (18 if the recipient is a graduate student) and maintain at least a 2.5 college GPA.  Maximum award amounts equal half the per-student appropriation in the public university sector during the most recently completed biennium.  However, students with exceptional need may receive 150% of the basic maximum award.  Tuition Equalization Grant Program is the state’s primary assistance program for students attending independent institutions. In FY10, 27,736 students received an average award of $3,681. In FY12, 25,560 students have received an average award of $3,271 as of June 2012.</t>
  </si>
  <si>
    <t>The Texas Educational Opportunity Grant Program awards grants to students attending public community, technical, or state colleges, with the highest priority given to students with the greatest financial need. No specific high school requirements apply. To be eligible, a student must be a Texas resident, enroll at least half-time, show financial need, and be working towards an associate’s degree or a certificate. To remain eligible, a student must complete at least 75 percent of his/her coursework and maintain a 2.5 GPA. A student cannot receive a Texas Educational Opportunity Grant for more than 75 hours or four years; students eligible for a TEXAS Grant cannot receive a Texas Educational Opportunity Grant. The grant amount for each term will not exceed the statewide average of tuition and fees at the type of public institution the student is attending. Texas Educational Opportunity Grant Program is the state’s second largest assistance program for students attending public two-year institutions. In FY10, 6,826 students received an average award of $1,655. In FY12, 6,098 students have received an average award of $1,554, as of June 2012.</t>
  </si>
  <si>
    <t>The Texas Science, Technology, Engineering, and Math (T-STEM) Challenge Scholarship Program was established by House Bill 2910, passed by the 82nd Legislature, Regular Session in 2011. The Texas Science, Technology, Engineering, and Math program is funded through a grant provided to the Texas Higher Education Coordinating Board from the Texas Guaranteed Student Loan Corporation. The Texas Science, Technology, Engineering, and Math program will provide grant awards to qualified and selected Texas public community and technical colleges beginning in 2012.</t>
  </si>
  <si>
    <t>Grants awarded under the Texas Science, Technology, Engineering, and Math program will allow colleges to provide merit-based scholarships to qualifying, high-achieving full-time students pursuing careers in Science, Technology, Engineering, and Math and related fields. Student eligibility is based on grade point average and successful completion of courses that lead to a degrees and careers in specified Science, Technology, Engineering, and Math fields. State funding is requested and could potentially be matched to the Texas Guaranteed Student Loan Corporation funding. The new funding would provide the public portion of funding for the program, which did not receive an approriation last session, and would allow the Texas Guaranteed Student Loan Corporation contribution to serve as the private match. The additional funding would strengthen the avilable resources by showing the state's commitment through the investment in the program.</t>
  </si>
  <si>
    <t xml:space="preserve">The Norman Hackerman Advanced Research Program (NHARP) was established by the 70th Texas Legislature (1987, TEC Chapter 142) and it helps close the gap in research by providing competitive, peer-reviewed grants for basic research at Texas higher education institutions. The established peer-review process ensures that selected research projects are at the forefront of science: research that attracts and retains the best faculty and students and develops the knowledge base needed for continuing innovation. Norman Hackerman Advanced Research Program funds enable investigators to do initial studies necessary to secure additional funding from the federal government, private industry, not-for-profit organizations, and private donors. The expected multiplier for external funds is about 3.5. On average, 5 to 7 students participate on each project. Funding for the biennium 2012-2013 was $1 million and 12 projects were supported. Funding for the biennium 2010-2011 was $16,000,000 and 112 projects were supported. Funding is appropriated in the first year of the biennium and the projects are supported for two years, with the ability to have no-cost extensions. </t>
  </si>
  <si>
    <t>The Joint Admission Medical Program (JAMP) helps close the gaps in participation and success. JAMP provides support for highly qualified, economically disadvantaged students interested in becoming physicians. Students selected into Joint Admission Medical Program receive undergraduate scholarships, summer stipends, and are guaranteed admission to a Texas medical school, assuming their eligibility in the program is maintained. JAMP students are identified in their freshman year, selected in their sophomore year, and continue in the program through medical school. The program is administered by the Joint Admission Medical Program Council, which is composed of one faculty representative from each Texas medical school. The enabling legislation designates the administrative functions of Joint Admission Medical Program to the Texas Medical and Dental Schools Application Service, operated through The University of Texas System. Funding is provided in the first year of the biennium with authority to carry forward any unexpended balances into the second year of the biennium.</t>
  </si>
  <si>
    <t>The purpose of the program is to encourage qualified physicians to practice medicine for at least four years in designated health professional shortage areas (HPSAs) of Texas.  The 81st Texas Legislature passed legislation that (1) increased the maximum loan repayment amounts to up to $160,000 over the four-year commitment period and (2) revised the sales tax structure for smokeless tobacco. A total of $22 million was authorized for FY2010-2011. A total of 175 physicians are continuing to fulfill their service commitments; awards continue to be disbursed from FY2011 funds as service periods are completed. 
Because the funding for FY2012-2013 was reduced to $5.6 million, most of those funds will be used to honor fourth-year service commitments, rather than enrolling new participants. Revenue from dedicated medical school tuition set asides, in addition to tobacco tax receipts, continue to be deposited into the Physician Education Loan Repayment Program account. The estimated amount that will be in the account on 8/31/2012 is $30 million.</t>
  </si>
  <si>
    <t>The Physician Education Loan Repayment Program (PELRP) provides student loan repayment awards for physicians who have agreed to provide four years of service for underserved Texans in Health Professional Shortage Areas (HPSAs). The 81st Legislature authorized changes to the tax code relating to smokeless tobacco and directed specified percentages of the increased revenue to be used for loan repayments in the amount of up to $25,000, $35,000, $45,000, and $55,000 for 1st, 2nd, 3rd, and 4th years of service, for a maximum of $160,000. The State Comptroller's revenue projections for the Physician Education Loan Repayment Program fund far exceed the amount of this exceptional item, which is requested to fund loan repayments as follows: FY2014 - $1.5 million for 60 additional first-year participants (bringing the total of new participants to 100 for this year); FY2015 - $3.2 million for 60 second-year participants and 44 additional new participants. The recruitment  of 60 new physicians practicing in HPSAs will provide access to primary care services for at least 210,000 underserved Texans in FY2014. The recruitment and retention of 144 physicians practicing in Health Professional Shortage Areas will provide access to primary care services for at least 504,000 underserved Texans.</t>
  </si>
  <si>
    <t>This strategy helps close the gaps in success in nursing by authorizing a Loan Repayment Program for Licensed Vocation Nursing Students, Matching Fund Employment Program for Vocational Nursing Students, Scholarship Program for Rural Licensed Vocation Nursing Students, and the Vocational Nursing Student Scholarship Program. The 81st Texas Legislature appropriated $91,266 for the FY2010-11 biennium.  In FY11, a total of 135 students received an average award of $338. No funds were appropriated for the 12-13 biennium.  No awards were made in FY12.</t>
  </si>
  <si>
    <t>The purpose of the Hospital-Based Nursing Education Partnership Grant Program (HNEP) is to address the state's need for registered nurses by fostering collaboration between hospital and academic partners, with the resulting partnerships leading to an increase in the number of students enrolled in and graduating from professional nursing education degree programs. Hospital-Based Nursing Education Partnership Grant Program is a peer-reviewed grant competition that supports educational initiatives using innovative instruction and the existing expertise and facilities of the hospital nursing education partnership. New and expanding partnerships are eligible to apply for Hospital-Based Nursing Education Partnership Grant Program grants.</t>
  </si>
  <si>
    <t>The Children’s Medicaid Loan Repayment Program (CMLRP), designed to increase access to medical and dental care for children, is part of the Health and Human Services Commission (HHSC) strategic initiative, in accordance with House Bill 15, Section 19(d), 80thTexas Legislature, 2007, relating to a lawsuit against the State of Texas some years ago (Frew v.s. Hawkins, et al). 
The Children’s Medicaid Loan Repayment Program provided loan repayments for certain physicians and dentists who met specified targets for services provided to children enrolled in Medicaid. The first cohort of participants received awards following the conclusion of their first year of service ending August 31, 2010. 
Loan repayment awards totaling more than $26 million in loan repayment awards were disbursed on behalf of 558 program participants for services provided in FY2010 and 2011. Among all of the providers who applied for participation in the program, 93% qualified for awards by meeting the Medicaid targets.</t>
  </si>
  <si>
    <t xml:space="preserve">The Emergency and Trauma Care Education Partnership Program (ETEP), was established by passage of Senate Bill 7 during the First Called Session of the 82nd Legislature in 2011.  Authority to administer the program was given to the Coordinating Board in Texas Education Code, Section 61.9802 and in Title 19, Texas Administrative Code, Chapter 6, Subchapter E. However, funding to administer  the program was not appropriated to the Coordinating Board. Currently, funding is provided to the Department of State Health Services (DSHS) under General Appropriations Act, Senate Bill 1, 82nd Texas Legislature, B.3.1. Strategy: EMS AND TRAUMA CARE SYSTEMS (page II-49).  In turn, Department of State Health Services provides the Coordinating Board with funding through a Memorandum of Understanding. To reduce unnecessary administrative effort between agencies, a request would be made that this appropriation go directly to the Coordinating Board. Department of State Health Services has indicated it will not request funding in the 2014-2015 LAR since it has no statutory authority for the program.  </t>
  </si>
  <si>
    <t>This strategy provides funding from the Permanent Endowment Fund for Health-Related Institutions that was established with tobacco settlement monies for Baylor College of Medicine (BCM). The endowment is directed by Baylor College of Medicine and invested by the State Comptroller. Baylor College of Medicine may use the funds to support programs that benefit medical research health education or treatment programs.</t>
  </si>
  <si>
    <t>This strategy provides graduate medical education (GME) funding to Baylor College of Medicine (BCM). The funding is used for the training of resident physicians who have completed their undergraduate medical education. This strategy corresponds to the graduate medical education formula funding provided to the public health-related institutions. This funding is trusteed to the THECB and disbursed to Baylor College of Medicine through a contractual arrangement.</t>
  </si>
  <si>
    <t>This strategy provides for the distribution of investment returns from the Permanent Health Fund for Higher Education, an endowment created with tobacco settlement funds to Baylor College of Medicine (BCM). This endowment is administered by the board of regents of the University of Texas System. Baylor College of Medicine may use the funds for programs that benefit medical research, health education or treatment programs.</t>
  </si>
  <si>
    <t>This strategy provides funding for other federal grants programs. In April 2009 the Texas Education Agency (TEA) received a Statewide Longitudinal Data System (SLDS) grant from the U.S. Department of Education Institute of Education Sciences (IES). The grant involves expanding the existing TEA and THECB data collection systems to include staff and student data at the classroom level, as well as course completion data for all grade levels. This data, beginning with the 2010-11 school year, will provide a basis for future analysis and reporting on aggregate student performance. The first data submission by higher education institutions will be for the Summer 2011 reporting cycle. The THECB received a significant portion of the Statewide Longitudinal Data System grant funds in June of 2009 to implement a four-year endeavor to accomplish the objectives of the Statewide Longitudinal Data System grant.</t>
  </si>
  <si>
    <t>A reduction of 8.77% of GR and GR-D to the Central Administration strategy will necessitate the reduction of personnel that are available to carry out essential services to internal and external constituents.  Specific positions have not been identified at this time, however, reductions will have to be made to audit, human resources, accounting, office of general counsel, Commissioner’s office, offices of the two Deputy Commissioners and external relations department.  This will severely impact the response time to reports and inquiries, as well as jeopardize internal controls and due diligence.</t>
  </si>
  <si>
    <t xml:space="preserve">Reduction will have little impact on the Board staff's ability to promote access initiatives (i.e., Advise TX, Generation TX, and special activities that support underrepresented populations) and to oversee the remaining college readiness and student success projects and the ongoing collaborative work with Texas Education Agency to implement the Texas College and Career Readiness Standards, including the ongoing review and revision of the Texas College and Career Readiness Standards, and the three-year studies required for review of the performance measures for End of Course assessments. However, these reductions may impact the staff's ability to carry out the professional develoment activities for pre-service and in-service teachers as described in the strategy. </t>
  </si>
  <si>
    <t xml:space="preserve">Since the 74th session, the Texas Legislature has provided funds for the purpose of supporting centers for teacher education at private, independent, general academic institutions that are component institutions of the Texas Association of Developing Colleges (TADC). Current Rider 39 in the General Appropriations Act requires consideration to be given to teacher education centers at Huston-Tillotson University, Jarvis Christian College, Paul Quinn College, Texas College, and Wiley College. These funds shall be used (1) for scholarships for students admitted into a teacher education program through to completion of the program and certification, at no less than 50 percent of the amount allocated to the institution, and (2) to redesign curriculum to ensure each institution provides curriculum and instruction on how to teach to the rigor of the Texas College and Career Readiness Standards. In the last 5 years, these institutions have produced only 289 initially-certified teachers total, well below the expectation of 300-350 annually. 
</t>
  </si>
  <si>
    <t xml:space="preserve">This strategy includes funding to provide professional development for in-service and pre-service teachers in high schools with low college going rates called for in Texas Education Code, Section 29.904, Plan to Increase Enrollment in Institutions of Higher Education, for those high schools located in the Dallas and Houston higher education regions. Other funds appropriated or otherwise available in Strategy F.1.9, College Readiness Grants, may be used for initiatives called for in Texas Education Code, Sections 61,0762, Programs to Enhance Student Success. </t>
  </si>
  <si>
    <t>This request will allow 158,719 students with an Expected family Contribution (EFC) up to $8,000 to receive a TEXAS Grant in the biennium. This will fund nearly 100% of all eligible new university students and an estimated 41,225 new transfer students that have not previously been eligible for the Program.</t>
  </si>
  <si>
    <t xml:space="preserve">With no capital funding having been approved for technology acquisitions in FY12-13, funding of capital acquisitions in the FY 14-15 biennium is essential to the maintenance of agency operations and staff productivity. Replacement of obsolete technologies in place at the agency is required to enhance agency staff productivity and to improve service to the agency's stakeholders (institutions of higher education, students, legislature, Board and the public).    </t>
  </si>
  <si>
    <t xml:space="preserve">The agency is one of 27 state agencies mandated to use the Data Center Services contract for our computer center operations.  This contract provides essential day-to-day services related to print services and server/network operations for the agency.  Based on the FY13 baseline and projected FY14 and FY15 DCS costs provided by DIR, we are requesting the additional capital funding to offset the projected shortfall + 12% growth in storage needs which is needed to keep the growing amount of data that the agency is required to keep. </t>
  </si>
  <si>
    <t>5103</t>
  </si>
  <si>
    <t xml:space="preserve">The proposed reduction would eliminate support for 307 medical students in their 3rd and 4th year of medical school and would reduce the amount of funding per student for the remaining 948 (372 undergraduates and 576 1st and 2nd year medical students) from the current level of $6, 511 to $3,224 (13.56% reduction) or $3,725.5 (6.78% reduction). JAMP funding is provided to the program in the first year of the biennium.  An additional reduction, would result in fewer JAMP students admitted to the program, limiting the number of students supported over time.  </t>
  </si>
  <si>
    <t>Rank #</t>
  </si>
  <si>
    <t>PROPOSED Reduction:  TEXAS B-On-Time</t>
  </si>
  <si>
    <t>D26</t>
  </si>
  <si>
    <t>D19</t>
  </si>
  <si>
    <t>gr check:</t>
  </si>
  <si>
    <t>:sl</t>
  </si>
  <si>
    <t>The second 5% reduction will allow about 15,000 fewer university students with an Expected family Contribution (EFC) up to $4,000 to receive a TEXAS Grant in the biennium. This will fund nearly 88% of all eligible new university students, and an estimated 33,000 new transfer students that have not previously been eligible for the Program.</t>
  </si>
  <si>
    <t>The first five percent reduction will eliminate available funding for new BOT awards in the biennium leaving sufficient funds to make only renewal awards at public universities.</t>
  </si>
  <si>
    <t>The Texas B-On-Time Loan Program, which provides zero interest loans to students who graduate with at least the Recommended High School Program, was created by SB 4 of the 78th Legislature. If a recipient graduates with a B average within four or five years (depending on the curriculum) or within six hours of the maximum number of hours required by the recipient’s major, the loan will be forgiven. In FY11, 10,187 students received an average B-On-Time loan of $5,543.  In FY12, 9,264 students have received loans averaging $5,999 as of June 2012. Since the program’s inception in FY04, 38% of student participants have met the forgiveness requirements. The baseline funding will allow about 11,000 public university students to receive a BOT award in the biennium. There will be no funds available for private institution awards.</t>
  </si>
  <si>
    <t>The TEXAS Grant Program helps close the gaps in participation and success by paying college tuition and fees for financially needy high school graduates who are Texas residents, complete the Recommended or Advanced High School Program, and enroll on at least a three-quarter basis in an undergraduate degree or certificate program.  To remain eligible, a student must complete at least 75 percent of his/her coursework, complete at least 24 semester credit hours per year and maintain at least a 2.5 college GPA. A student cannot receive a TEXAS Grant for more than 150 hours or five years if enrolled in a 4-year degree plan; six years if enrolled in a degree plan of more than four years.  The amount of the grant is the average statewide amount of tuition and fees at the type of public institution the student is attending. The TEXAS Grant Program is the state’s primary assistance program supporting participation and success. In FY11, 71,726 students received an average award of $4,714. In FY12, 77,612 students have received an average award of $3,716, as of June 2012. The baseline request will allow about 133,500 university students with an Expected family Contribution (EFC) up to $4,000 to receive a TEXAS Grant in the biennium. This will fund nearly 95% of all eligible new university students, and an estimated 35,000 new transfer students that have not previously been eligible for the Program.</t>
  </si>
  <si>
    <t>The second five percent reduction will reduce the number of Tuition Equalization Grant awards made by 1,500 in each year of biennium at an average award amount of $3,265.</t>
  </si>
  <si>
    <t xml:space="preserve">The second five percent reduction will reduce the number of Texas Educational Opportunity Grant awards to needy community colleges by 1,500 each year of the biennium at an average award amount of $1,500. </t>
  </si>
  <si>
    <t>Teach for Texas LRP</t>
  </si>
  <si>
    <t>BSS/ B.1.10</t>
  </si>
  <si>
    <t>D9</t>
  </si>
  <si>
    <t>Current biennium funding at $1million represents a 91% reduction, compared with the 2010-2011 biennium. This required that we reduce annual loan repayment awards from $5,000 to $2,500 and that we accept applications only from prior year recipients. Awards for the current year will be disbursed for only 44% of those who were invited to apply. With an additional $9 million in funding, we will be able to contribute to the retention of 900 additional teachers per year, if the annual award amount is restored to $5,000, or 1,800 additional teachers, if the award amount remains at $2,500.</t>
  </si>
  <si>
    <t>Exceptional Item Request #12</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</si>
</sst>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
    <numFmt numFmtId="167" formatCode="#,##0.0_);[Red]\(#,##0.0\)"/>
    <numFmt numFmtId="168" formatCode="_(* #,##0.0_);_(* \(#,##0.0\);_(* &quot;-&quot;??_);_(@_)"/>
    <numFmt numFmtId="169" formatCode="0.0"/>
    <numFmt numFmtId="170" formatCode="&quot;$&quot;#,##0"/>
    <numFmt numFmtId="171" formatCode="&quot;$&quot;#,##0.00"/>
    <numFmt numFmtId="172" formatCode="&quot;$&quot;\ #,##0_);\(&quot;$&quot;#,##0\)"/>
    <numFmt numFmtId="173" formatCode="0.000%"/>
    <numFmt numFmtId="174" formatCode="0.0000%"/>
    <numFmt numFmtId="175" formatCode="0.0000000%"/>
  </numFmts>
  <fonts count="64" x14ac:knownFonts="1">
    <font>
      <sz val="11"/>
      <color theme="1"/>
      <name val="Calibri"/>
      <family val="2"/>
      <scheme val="minor"/>
    </font>
    <font>
      <b/>
      <sz val="11"/>
      <color theme="1"/>
      <name val="Arial"/>
      <family val="2"/>
    </font>
    <font>
      <sz val="10"/>
      <color theme="1"/>
      <name val="Arial"/>
      <family val="2"/>
    </font>
    <font>
      <b/>
      <sz val="12"/>
      <name val="Arial"/>
      <family val="2"/>
    </font>
    <font>
      <sz val="12"/>
      <name val="Arial"/>
      <family val="2"/>
    </font>
    <font>
      <sz val="9"/>
      <color theme="1"/>
      <name val="Calibri"/>
      <family val="2"/>
      <scheme val="minor"/>
    </font>
    <font>
      <sz val="10"/>
      <name val="Arial"/>
      <family val="2"/>
    </font>
    <font>
      <b/>
      <sz val="10"/>
      <color theme="1"/>
      <name val="Arial"/>
      <family val="2"/>
    </font>
    <font>
      <sz val="10"/>
      <name val="Calibri"/>
      <family val="2"/>
      <scheme val="minor"/>
    </font>
    <font>
      <b/>
      <sz val="10"/>
      <name val="Arial"/>
      <family val="2"/>
    </font>
    <font>
      <b/>
      <sz val="11"/>
      <color theme="1"/>
      <name val="Calibri"/>
      <family val="2"/>
      <scheme val="minor"/>
    </font>
    <font>
      <sz val="11"/>
      <color theme="1"/>
      <name val="Calibri"/>
      <family val="2"/>
      <scheme val="minor"/>
    </font>
    <font>
      <b/>
      <sz val="14"/>
      <name val="Arial"/>
      <family val="2"/>
    </font>
    <font>
      <b/>
      <sz val="8"/>
      <color indexed="81"/>
      <name val="Tahoma"/>
      <family val="2"/>
    </font>
    <font>
      <sz val="8"/>
      <color indexed="81"/>
      <name val="Tahoma"/>
      <family val="2"/>
    </font>
    <font>
      <b/>
      <sz val="10"/>
      <color theme="3"/>
      <name val="Arial"/>
      <family val="2"/>
    </font>
    <font>
      <b/>
      <sz val="12"/>
      <color theme="1"/>
      <name val="Calibri"/>
      <family val="2"/>
      <scheme val="minor"/>
    </font>
    <font>
      <sz val="11"/>
      <name val="Calibri"/>
      <family val="2"/>
      <scheme val="minor"/>
    </font>
    <font>
      <b/>
      <sz val="16"/>
      <color theme="1"/>
      <name val="Calibri"/>
      <family val="2"/>
      <scheme val="minor"/>
    </font>
    <font>
      <sz val="12"/>
      <color theme="1"/>
      <name val="Calibri"/>
      <family val="2"/>
      <scheme val="minor"/>
    </font>
    <font>
      <b/>
      <sz val="1"/>
      <color theme="1"/>
      <name val="Calibri"/>
      <family val="2"/>
      <scheme val="minor"/>
    </font>
    <font>
      <b/>
      <sz val="10"/>
      <color theme="3" tint="-0.249977111117893"/>
      <name val="Arial"/>
      <family val="2"/>
    </font>
    <font>
      <i/>
      <sz val="11"/>
      <color theme="1"/>
      <name val="Calibri"/>
      <family val="2"/>
      <scheme val="minor"/>
    </font>
    <font>
      <b/>
      <sz val="10"/>
      <color theme="5" tint="-0.499984740745262"/>
      <name val="Arial"/>
      <family val="2"/>
    </font>
    <font>
      <vertAlign val="superscript"/>
      <sz val="14"/>
      <color theme="1"/>
      <name val="Calibri"/>
      <family val="2"/>
      <scheme val="minor"/>
    </font>
    <font>
      <sz val="10"/>
      <color theme="0"/>
      <name val="Arial"/>
      <family val="2"/>
    </font>
    <font>
      <sz val="10"/>
      <color rgb="FFFF0000"/>
      <name val="Arial"/>
      <family val="2"/>
    </font>
    <font>
      <sz val="10"/>
      <color theme="5" tint="-0.499984740745262"/>
      <name val="Arial"/>
      <family val="2"/>
    </font>
    <font>
      <b/>
      <sz val="10"/>
      <color rgb="FFFF0000"/>
      <name val="Arial"/>
      <family val="2"/>
    </font>
    <font>
      <sz val="10"/>
      <color theme="1"/>
      <name val="Calibri"/>
      <family val="2"/>
      <scheme val="minor"/>
    </font>
    <font>
      <b/>
      <sz val="13"/>
      <color theme="1"/>
      <name val="Arial"/>
      <family val="2"/>
    </font>
    <font>
      <sz val="10"/>
      <color theme="3" tint="-0.249977111117893"/>
      <name val="Calibri"/>
      <family val="2"/>
      <scheme val="minor"/>
    </font>
    <font>
      <b/>
      <i/>
      <sz val="10"/>
      <color theme="1"/>
      <name val="Arial"/>
      <family val="2"/>
    </font>
    <font>
      <i/>
      <sz val="10"/>
      <color theme="1"/>
      <name val="Arial"/>
      <family val="2"/>
    </font>
    <font>
      <b/>
      <sz val="9"/>
      <color theme="5" tint="-0.499984740745262"/>
      <name val="Arial"/>
      <family val="2"/>
    </font>
    <font>
      <b/>
      <sz val="10"/>
      <color theme="5" tint="-0.499984740745262"/>
      <name val="Calibri"/>
      <family val="2"/>
      <scheme val="minor"/>
    </font>
    <font>
      <b/>
      <sz val="10"/>
      <color rgb="FF0070C0"/>
      <name val="Arial"/>
      <family val="2"/>
    </font>
    <font>
      <b/>
      <sz val="10"/>
      <color rgb="FF0070C0"/>
      <name val="Calibri"/>
      <family val="2"/>
      <scheme val="minor"/>
    </font>
    <font>
      <b/>
      <sz val="10"/>
      <color theme="1"/>
      <name val="Calibri"/>
      <family val="2"/>
      <scheme val="minor"/>
    </font>
    <font>
      <sz val="10"/>
      <color theme="4" tint="-0.249977111117893"/>
      <name val="Arial"/>
      <family val="2"/>
    </font>
    <font>
      <sz val="10"/>
      <color rgb="FF0070C0"/>
      <name val="Calibri"/>
      <family val="2"/>
      <scheme val="minor"/>
    </font>
    <font>
      <sz val="10"/>
      <color rgb="FF0070C0"/>
      <name val="Arial"/>
      <family val="2"/>
    </font>
    <font>
      <sz val="14"/>
      <color theme="1"/>
      <name val="Calibri"/>
      <family val="2"/>
      <scheme val="minor"/>
    </font>
    <font>
      <b/>
      <sz val="14"/>
      <color theme="1"/>
      <name val="Arial"/>
      <family val="2"/>
    </font>
    <font>
      <sz val="10"/>
      <name val="Arial"/>
      <family val="2"/>
    </font>
    <font>
      <b/>
      <sz val="12"/>
      <color theme="3"/>
      <name val="Arial"/>
      <family val="2"/>
    </font>
    <font>
      <sz val="11"/>
      <color theme="1"/>
      <name val="Arial"/>
      <family val="2"/>
    </font>
    <font>
      <b/>
      <sz val="11"/>
      <name val="Arial"/>
      <family val="2"/>
    </font>
    <font>
      <sz val="11"/>
      <name val="Arial"/>
      <family val="2"/>
    </font>
    <font>
      <b/>
      <sz val="11"/>
      <color indexed="8"/>
      <name val="Arial"/>
      <family val="2"/>
    </font>
    <font>
      <vertAlign val="superscript"/>
      <sz val="10"/>
      <color theme="1"/>
      <name val="Arial"/>
      <family val="2"/>
    </font>
    <font>
      <b/>
      <sz val="10"/>
      <color indexed="8"/>
      <name val="Arial"/>
      <family val="2"/>
    </font>
    <font>
      <b/>
      <sz val="10"/>
      <color indexed="9"/>
      <name val="Arial"/>
      <family val="2"/>
    </font>
    <font>
      <sz val="10"/>
      <color rgb="FF7030A0"/>
      <name val="Arial"/>
      <family val="2"/>
    </font>
    <font>
      <sz val="8"/>
      <name val="Arial"/>
      <family val="2"/>
    </font>
    <font>
      <sz val="8"/>
      <color theme="1"/>
      <name val="Arial"/>
      <family val="2"/>
    </font>
    <font>
      <b/>
      <sz val="8"/>
      <color theme="1"/>
      <name val="Arial"/>
      <family val="2"/>
    </font>
    <font>
      <sz val="9"/>
      <color theme="1"/>
      <name val="Arial"/>
      <family val="2"/>
    </font>
    <font>
      <sz val="9"/>
      <name val="Arial"/>
      <family val="2"/>
    </font>
    <font>
      <b/>
      <sz val="9"/>
      <name val="Arial"/>
      <family val="2"/>
    </font>
    <font>
      <b/>
      <sz val="12"/>
      <color theme="1"/>
      <name val="Arial"/>
      <family val="2"/>
    </font>
    <font>
      <sz val="9"/>
      <color indexed="81"/>
      <name val="Tahoma"/>
      <family val="2"/>
    </font>
    <font>
      <b/>
      <sz val="9"/>
      <color indexed="81"/>
      <name val="Tahoma"/>
      <family val="2"/>
    </font>
    <font>
      <i/>
      <sz val="10"/>
      <name val="Arial"/>
      <family val="2"/>
    </font>
  </fonts>
  <fills count="25">
    <fill>
      <patternFill patternType="none"/>
    </fill>
    <fill>
      <patternFill patternType="gray125"/>
    </fill>
    <fill>
      <patternFill patternType="solid">
        <fgColor theme="0"/>
        <bgColor indexed="64"/>
      </patternFill>
    </fill>
    <fill>
      <patternFill patternType="solid">
        <fgColor rgb="FFCCFF99"/>
        <bgColor indexed="64"/>
      </patternFill>
    </fill>
    <fill>
      <patternFill patternType="solid">
        <fgColor rgb="FFFFFFCC"/>
        <bgColor indexed="64"/>
      </patternFill>
    </fill>
    <fill>
      <patternFill patternType="solid">
        <fgColor indexed="9"/>
      </patternFill>
    </fill>
    <fill>
      <patternFill patternType="solid">
        <fgColor rgb="FFCCFFFF"/>
        <bgColor indexed="64"/>
      </patternFill>
    </fill>
    <fill>
      <patternFill patternType="solid">
        <fgColor rgb="FF99CCFF"/>
        <bgColor indexed="64"/>
      </patternFill>
    </fill>
    <fill>
      <patternFill patternType="solid">
        <fgColor theme="9" tint="0.79998168889431442"/>
        <bgColor indexed="64"/>
      </patternFill>
    </fill>
    <fill>
      <patternFill patternType="solid">
        <fgColor rgb="FFE5FFE5"/>
        <bgColor indexed="64"/>
      </patternFill>
    </fill>
    <fill>
      <patternFill patternType="solid">
        <fgColor theme="1" tint="0.499984740745262"/>
        <bgColor indexed="64"/>
      </patternFill>
    </fill>
    <fill>
      <patternFill patternType="solid">
        <fgColor rgb="FF99FF99"/>
        <bgColor indexed="64"/>
      </patternFill>
    </fill>
    <fill>
      <patternFill patternType="solid">
        <fgColor theme="8" tint="0.59999389629810485"/>
        <bgColor indexed="64"/>
      </patternFill>
    </fill>
    <fill>
      <patternFill patternType="solid">
        <fgColor rgb="FF99CCFF"/>
        <bgColor theme="4" tint="0.59999389629810485"/>
      </patternFill>
    </fill>
    <fill>
      <patternFill patternType="solid">
        <fgColor rgb="FF99CCFF"/>
        <bgColor theme="4" tint="0.79998168889431442"/>
      </patternFill>
    </fill>
    <fill>
      <patternFill patternType="solid">
        <fgColor rgb="FF99CCFF"/>
        <bgColor theme="4"/>
      </patternFill>
    </fill>
    <fill>
      <patternFill patternType="solid">
        <fgColor theme="1"/>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3" tint="0.79998168889431442"/>
        <bgColor theme="4" tint="0.59999389629810485"/>
      </patternFill>
    </fill>
    <fill>
      <patternFill patternType="solid">
        <fgColor theme="3" tint="0.79998168889431442"/>
        <bgColor theme="4" tint="0.79998168889431442"/>
      </patternFill>
    </fill>
    <fill>
      <patternFill patternType="solid">
        <fgColor theme="3" tint="0.79998168889431442"/>
        <bgColor theme="4"/>
      </patternFill>
    </fill>
  </fills>
  <borders count="101">
    <border>
      <left/>
      <right/>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thin">
        <color indexed="64"/>
      </left>
      <right/>
      <top/>
      <bottom/>
      <diagonal/>
    </border>
    <border>
      <left/>
      <right/>
      <top/>
      <bottom style="double">
        <color indexed="64"/>
      </bottom>
      <diagonal/>
    </border>
    <border>
      <left style="thin">
        <color theme="9" tint="-0.499984740745262"/>
      </left>
      <right/>
      <top style="thin">
        <color theme="9" tint="-0.499984740745262"/>
      </top>
      <bottom/>
      <diagonal/>
    </border>
    <border>
      <left/>
      <right/>
      <top style="thin">
        <color theme="9" tint="-0.499984740745262"/>
      </top>
      <bottom/>
      <diagonal/>
    </border>
    <border>
      <left style="thin">
        <color theme="9" tint="-0.499984740745262"/>
      </left>
      <right/>
      <top/>
      <bottom/>
      <diagonal/>
    </border>
    <border>
      <left style="thin">
        <color theme="9" tint="-0.499984740745262"/>
      </left>
      <right/>
      <top/>
      <bottom style="thin">
        <color indexed="64"/>
      </bottom>
      <diagonal/>
    </border>
    <border>
      <left style="thin">
        <color theme="9" tint="-0.499984740745262"/>
      </left>
      <right/>
      <top style="thin">
        <color indexed="64"/>
      </top>
      <bottom style="double">
        <color indexed="64"/>
      </bottom>
      <diagonal/>
    </border>
    <border>
      <left/>
      <right/>
      <top style="thin">
        <color indexed="64"/>
      </top>
      <bottom style="double">
        <color indexed="64"/>
      </bottom>
      <diagonal/>
    </border>
    <border>
      <left style="thin">
        <color theme="9" tint="-0.499984740745262"/>
      </left>
      <right/>
      <top style="thin">
        <color theme="9" tint="-0.499984740745262"/>
      </top>
      <bottom style="thin">
        <color theme="9" tint="-0.499984740745262"/>
      </bottom>
      <diagonal/>
    </border>
    <border>
      <left/>
      <right/>
      <top style="thin">
        <color theme="9" tint="-0.499984740745262"/>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right/>
      <top style="thick">
        <color rgb="FF0070C0"/>
      </top>
      <bottom/>
      <diagonal/>
    </border>
    <border>
      <left style="thin">
        <color rgb="FF0070C0"/>
      </left>
      <right/>
      <top style="thin">
        <color rgb="FF0070C0"/>
      </top>
      <bottom/>
      <diagonal/>
    </border>
    <border>
      <left/>
      <right/>
      <top style="thin">
        <color rgb="FF0070C0"/>
      </top>
      <bottom/>
      <diagonal/>
    </border>
    <border>
      <left style="thin">
        <color rgb="FF0070C0"/>
      </left>
      <right/>
      <top/>
      <bottom style="hair">
        <color rgb="FF0070C0"/>
      </bottom>
      <diagonal/>
    </border>
    <border>
      <left/>
      <right/>
      <top/>
      <bottom style="hair">
        <color rgb="FF0070C0"/>
      </bottom>
      <diagonal/>
    </border>
    <border>
      <left style="thin">
        <color rgb="FF0070C0"/>
      </left>
      <right/>
      <top/>
      <bottom style="thin">
        <color rgb="FF0070C0"/>
      </bottom>
      <diagonal/>
    </border>
    <border>
      <left/>
      <right/>
      <top/>
      <bottom style="thin">
        <color rgb="FF0070C0"/>
      </bottom>
      <diagonal/>
    </border>
    <border>
      <left/>
      <right style="thin">
        <color rgb="FF0070C0"/>
      </right>
      <top/>
      <bottom style="thin">
        <color rgb="FF0070C0"/>
      </bottom>
      <diagonal/>
    </border>
    <border>
      <left style="thin">
        <color rgb="FF0070C0"/>
      </left>
      <right/>
      <top style="hair">
        <color rgb="FF0070C0"/>
      </top>
      <bottom style="thin">
        <color rgb="FF0070C0"/>
      </bottom>
      <diagonal/>
    </border>
    <border>
      <left/>
      <right/>
      <top style="hair">
        <color rgb="FF0070C0"/>
      </top>
      <bottom style="thin">
        <color rgb="FF0070C0"/>
      </bottom>
      <diagonal/>
    </border>
    <border>
      <left/>
      <right style="thin">
        <color rgb="FF0070C0"/>
      </right>
      <top style="hair">
        <color rgb="FF0070C0"/>
      </top>
      <bottom style="thin">
        <color rgb="FF0070C0"/>
      </bottom>
      <diagonal/>
    </border>
    <border>
      <left style="thin">
        <color theme="9" tint="-0.499984740745262"/>
      </left>
      <right/>
      <top/>
      <bottom style="hair">
        <color rgb="FF0070C0"/>
      </bottom>
      <diagonal/>
    </border>
    <border>
      <left style="thin">
        <color theme="9" tint="-0.499984740745262"/>
      </left>
      <right/>
      <top/>
      <bottom style="thin">
        <color theme="9" tint="-0.499984740745262"/>
      </bottom>
      <diagonal/>
    </border>
    <border>
      <left/>
      <right/>
      <top/>
      <bottom style="thin">
        <color theme="9" tint="-0.499984740745262"/>
      </bottom>
      <diagonal/>
    </border>
    <border>
      <left/>
      <right style="thin">
        <color theme="9" tint="-0.499984740745262"/>
      </right>
      <top/>
      <bottom style="thin">
        <color theme="9" tint="-0.499984740745262"/>
      </bottom>
      <diagonal/>
    </border>
    <border>
      <left/>
      <right/>
      <top style="dotted">
        <color auto="1"/>
      </top>
      <bottom/>
      <diagonal/>
    </border>
    <border>
      <left style="thin">
        <color theme="9" tint="-0.499984740745262"/>
      </left>
      <right/>
      <top style="hair">
        <color rgb="FF0070C0"/>
      </top>
      <bottom style="thin">
        <color theme="9" tint="-0.499984740745262"/>
      </bottom>
      <diagonal/>
    </border>
    <border>
      <left/>
      <right/>
      <top style="hair">
        <color rgb="FF0070C0"/>
      </top>
      <bottom style="thin">
        <color theme="9" tint="-0.499984740745262"/>
      </bottom>
      <diagonal/>
    </border>
    <border>
      <left/>
      <right style="thin">
        <color theme="9" tint="-0.499984740745262"/>
      </right>
      <top style="hair">
        <color rgb="FF0070C0"/>
      </top>
      <bottom style="thin">
        <color theme="9" tint="-0.499984740745262"/>
      </bottom>
      <diagonal/>
    </border>
    <border>
      <left/>
      <right style="medium">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theme="9" tint="-0.499984740745262"/>
      </left>
      <right/>
      <top style="double">
        <color indexed="64"/>
      </top>
      <bottom/>
      <diagonal/>
    </border>
    <border>
      <left/>
      <right/>
      <top style="double">
        <color indexed="64"/>
      </top>
      <bottom/>
      <diagonal/>
    </border>
    <border>
      <left/>
      <right style="thin">
        <color theme="9" tint="-0.499984740745262"/>
      </right>
      <top style="thin">
        <color theme="9" tint="-0.499984740745262"/>
      </top>
      <bottom/>
      <diagonal/>
    </border>
    <border>
      <left/>
      <right style="thin">
        <color theme="9" tint="-0.499984740745262"/>
      </right>
      <top/>
      <bottom/>
      <diagonal/>
    </border>
    <border>
      <left/>
      <right style="thin">
        <color rgb="FF0070C0"/>
      </right>
      <top style="thin">
        <color rgb="FF0070C0"/>
      </top>
      <bottom/>
      <diagonal/>
    </border>
    <border>
      <left/>
      <right style="thin">
        <color rgb="FF0070C0"/>
      </right>
      <top/>
      <bottom style="hair">
        <color rgb="FF0070C0"/>
      </bottom>
      <diagonal/>
    </border>
    <border>
      <left/>
      <right style="thin">
        <color theme="9" tint="-0.499984740745262"/>
      </right>
      <top/>
      <bottom style="hair">
        <color rgb="FF0070C0"/>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medium">
        <color indexed="64"/>
      </bottom>
      <diagonal/>
    </border>
    <border>
      <left/>
      <right/>
      <top/>
      <bottom style="thick">
        <color rgb="FF0070C0"/>
      </bottom>
      <diagonal/>
    </border>
    <border>
      <left/>
      <right/>
      <top style="thin">
        <color rgb="FF0070C0"/>
      </top>
      <bottom style="thick">
        <color rgb="FF0070C0"/>
      </bottom>
      <diagonal/>
    </border>
    <border>
      <left/>
      <right/>
      <top style="thin">
        <color theme="9" tint="-0.499984740745262"/>
      </top>
      <bottom style="thick">
        <color rgb="FF0070C0"/>
      </bottom>
      <diagonal/>
    </border>
    <border>
      <left style="thin">
        <color theme="9" tint="-0.499984740745262"/>
      </left>
      <right/>
      <top style="hair">
        <color rgb="FF0070C0"/>
      </top>
      <bottom/>
      <diagonal/>
    </border>
    <border>
      <left/>
      <right/>
      <top style="hair">
        <color rgb="FF0070C0"/>
      </top>
      <bottom/>
      <diagonal/>
    </border>
    <border>
      <left/>
      <right style="thin">
        <color theme="9" tint="-0.499984740745262"/>
      </right>
      <top style="hair">
        <color rgb="FF0070C0"/>
      </top>
      <bottom/>
      <diagonal/>
    </border>
  </borders>
  <cellStyleXfs count="17">
    <xf numFmtId="0" fontId="0" fillId="0" borderId="0"/>
    <xf numFmtId="43" fontId="11" fillId="0" borderId="0" applyFont="0" applyFill="0" applyBorder="0" applyAlignment="0" applyProtection="0"/>
    <xf numFmtId="44" fontId="11" fillId="0" borderId="0" applyFont="0" applyFill="0" applyBorder="0" applyAlignment="0" applyProtection="0"/>
    <xf numFmtId="0" fontId="4" fillId="5" borderId="0"/>
    <xf numFmtId="0" fontId="11" fillId="0" borderId="0"/>
    <xf numFmtId="42" fontId="11" fillId="0" borderId="0" applyFont="0" applyFill="0" applyBorder="0" applyAlignment="0" applyProtection="0"/>
    <xf numFmtId="41" fontId="11" fillId="0" borderId="0" applyFont="0" applyFill="0" applyBorder="0" applyAlignment="0" applyProtection="0"/>
    <xf numFmtId="9" fontId="11" fillId="0" borderId="0" applyFont="0" applyFill="0" applyBorder="0" applyAlignment="0" applyProtection="0"/>
    <xf numFmtId="0" fontId="44" fillId="0" borderId="0"/>
    <xf numFmtId="44"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0" fontId="4" fillId="5" borderId="0"/>
    <xf numFmtId="9" fontId="6" fillId="0" borderId="0" applyFont="0" applyFill="0" applyBorder="0" applyAlignment="0" applyProtection="0"/>
    <xf numFmtId="0" fontId="6" fillId="0" borderId="0"/>
  </cellStyleXfs>
  <cellXfs count="838">
    <xf numFmtId="0" fontId="0" fillId="0" borderId="0" xfId="0"/>
    <xf numFmtId="0" fontId="0" fillId="0" borderId="0" xfId="0" applyAlignment="1">
      <alignment wrapText="1"/>
    </xf>
    <xf numFmtId="0" fontId="2" fillId="0" borderId="0" xfId="0" applyFont="1"/>
    <xf numFmtId="0" fontId="1" fillId="0" borderId="0" xfId="0" applyFont="1" applyAlignment="1">
      <alignment horizontal="left"/>
    </xf>
    <xf numFmtId="0" fontId="0" fillId="0" borderId="0" xfId="0" applyAlignment="1">
      <alignment horizontal="left"/>
    </xf>
    <xf numFmtId="0" fontId="5" fillId="0" borderId="0" xfId="0" applyFont="1"/>
    <xf numFmtId="0" fontId="0" fillId="0" borderId="0" xfId="0" applyFont="1"/>
    <xf numFmtId="0" fontId="2" fillId="0" borderId="0" xfId="0" applyFont="1" applyAlignment="1">
      <alignment vertical="center"/>
    </xf>
    <xf numFmtId="0" fontId="0" fillId="0" borderId="0" xfId="0" applyFont="1" applyAlignment="1">
      <alignment horizontal="right"/>
    </xf>
    <xf numFmtId="14" fontId="0" fillId="0" borderId="0" xfId="0" applyNumberFormat="1" applyFont="1" applyAlignment="1">
      <alignment horizontal="left" wrapText="1"/>
    </xf>
    <xf numFmtId="0" fontId="0" fillId="0" borderId="0" xfId="0" applyFont="1" applyAlignment="1">
      <alignment wrapText="1"/>
    </xf>
    <xf numFmtId="0" fontId="10" fillId="0" borderId="0" xfId="0" applyFont="1" applyAlignment="1">
      <alignment horizontal="center"/>
    </xf>
    <xf numFmtId="0" fontId="10" fillId="0" borderId="0" xfId="0" applyFont="1" applyAlignment="1">
      <alignment horizontal="center" wrapText="1"/>
    </xf>
    <xf numFmtId="0" fontId="0" fillId="0" borderId="0" xfId="0" applyAlignment="1">
      <alignment horizontal="center"/>
    </xf>
    <xf numFmtId="0" fontId="0" fillId="0" borderId="0" xfId="0" applyFont="1" applyAlignment="1">
      <alignment vertical="top"/>
    </xf>
    <xf numFmtId="0" fontId="0" fillId="0" borderId="0" xfId="0" applyAlignment="1">
      <alignment vertical="top" wrapText="1"/>
    </xf>
    <xf numFmtId="0" fontId="0" fillId="0" borderId="0" xfId="0" applyAlignment="1">
      <alignment vertical="top"/>
    </xf>
    <xf numFmtId="0" fontId="6" fillId="5" borderId="4" xfId="3" applyFont="1" applyBorder="1" applyAlignment="1">
      <alignment horizontal="center" vertical="center"/>
    </xf>
    <xf numFmtId="42" fontId="6" fillId="5" borderId="4" xfId="3" applyNumberFormat="1" applyFont="1" applyBorder="1" applyAlignment="1">
      <alignment vertical="center"/>
    </xf>
    <xf numFmtId="0" fontId="6" fillId="5" borderId="6" xfId="3" applyFont="1" applyBorder="1" applyAlignment="1">
      <alignment horizontal="center" vertical="center"/>
    </xf>
    <xf numFmtId="42" fontId="6" fillId="5" borderId="6" xfId="3" applyNumberFormat="1" applyFont="1" applyBorder="1" applyAlignment="1">
      <alignment vertical="center"/>
    </xf>
    <xf numFmtId="0" fontId="6" fillId="2" borderId="4" xfId="3" applyFont="1" applyFill="1" applyBorder="1" applyAlignment="1">
      <alignment horizontal="left" vertical="center" wrapText="1"/>
    </xf>
    <xf numFmtId="0" fontId="6" fillId="2" borderId="6" xfId="3" applyFont="1" applyFill="1" applyBorder="1" applyAlignment="1">
      <alignment horizontal="left" vertical="center" wrapText="1"/>
    </xf>
    <xf numFmtId="166" fontId="6" fillId="5" borderId="13" xfId="3" applyNumberFormat="1" applyFont="1" applyBorder="1" applyAlignment="1">
      <alignment horizontal="center" vertical="center"/>
    </xf>
    <xf numFmtId="166" fontId="6" fillId="5" borderId="8" xfId="3" applyNumberFormat="1" applyFont="1" applyBorder="1" applyAlignment="1">
      <alignment horizontal="center" vertical="center"/>
    </xf>
    <xf numFmtId="0" fontId="2" fillId="5" borderId="4" xfId="3" applyNumberFormat="1" applyFont="1" applyBorder="1" applyAlignment="1">
      <alignment horizontal="left" vertical="center" wrapText="1"/>
    </xf>
    <xf numFmtId="0" fontId="2" fillId="2" borderId="6" xfId="3" applyFont="1" applyFill="1" applyBorder="1" applyAlignment="1">
      <alignment horizontal="left" vertical="center" wrapText="1"/>
    </xf>
    <xf numFmtId="0" fontId="15" fillId="4" borderId="4" xfId="3" applyFont="1" applyFill="1" applyBorder="1" applyAlignment="1">
      <alignment horizontal="center" vertical="center"/>
    </xf>
    <xf numFmtId="0" fontId="1" fillId="4" borderId="6" xfId="3" applyFont="1" applyFill="1" applyBorder="1" applyAlignment="1">
      <alignment horizontal="center" vertical="center" wrapText="1"/>
    </xf>
    <xf numFmtId="0" fontId="1" fillId="2" borderId="6" xfId="3" applyFont="1" applyFill="1" applyBorder="1" applyAlignment="1">
      <alignment horizontal="center" vertical="center" wrapText="1"/>
    </xf>
    <xf numFmtId="0" fontId="1" fillId="5" borderId="6" xfId="3" applyFont="1" applyBorder="1" applyAlignment="1">
      <alignment horizontal="center" vertical="center" wrapText="1"/>
    </xf>
    <xf numFmtId="42" fontId="1" fillId="5" borderId="6" xfId="3" applyNumberFormat="1" applyFont="1" applyBorder="1" applyAlignment="1">
      <alignment horizontal="center" vertical="center" wrapText="1"/>
    </xf>
    <xf numFmtId="0" fontId="2" fillId="5" borderId="6" xfId="3" applyNumberFormat="1" applyFont="1" applyBorder="1" applyAlignment="1">
      <alignment horizontal="left" vertical="center" wrapText="1"/>
    </xf>
    <xf numFmtId="166" fontId="6" fillId="5" borderId="6" xfId="3" applyNumberFormat="1" applyFont="1" applyBorder="1" applyAlignment="1">
      <alignment horizontal="center" vertical="center"/>
    </xf>
    <xf numFmtId="42" fontId="7" fillId="5" borderId="6" xfId="3" applyNumberFormat="1" applyFont="1" applyBorder="1" applyAlignment="1">
      <alignment horizontal="center" vertical="center" wrapText="1"/>
    </xf>
    <xf numFmtId="0" fontId="7" fillId="5" borderId="6" xfId="3" applyFont="1" applyBorder="1" applyAlignment="1">
      <alignment horizontal="center" vertical="center" wrapText="1"/>
    </xf>
    <xf numFmtId="0" fontId="0" fillId="0" borderId="0" xfId="0"/>
    <xf numFmtId="0" fontId="16" fillId="2" borderId="5" xfId="0" applyFont="1" applyFill="1" applyBorder="1" applyAlignment="1">
      <alignment horizontal="center" vertical="center" wrapText="1"/>
    </xf>
    <xf numFmtId="0" fontId="17" fillId="2" borderId="4" xfId="0" applyFont="1" applyFill="1" applyBorder="1" applyAlignment="1">
      <alignment vertical="center" wrapText="1"/>
    </xf>
    <xf numFmtId="0" fontId="17" fillId="2" borderId="6" xfId="0" applyFont="1" applyFill="1" applyBorder="1" applyAlignment="1">
      <alignment horizontal="center" vertical="center"/>
    </xf>
    <xf numFmtId="42" fontId="17" fillId="2" borderId="6" xfId="0" applyNumberFormat="1" applyFont="1" applyFill="1" applyBorder="1" applyAlignment="1">
      <alignment vertical="center"/>
    </xf>
    <xf numFmtId="42" fontId="17" fillId="2" borderId="4" xfId="0" applyNumberFormat="1" applyFont="1" applyFill="1" applyBorder="1" applyAlignment="1">
      <alignment vertical="center"/>
    </xf>
    <xf numFmtId="0" fontId="16" fillId="2" borderId="0" xfId="0" applyFont="1" applyFill="1" applyAlignment="1">
      <alignment horizontal="right" vertical="center" wrapText="1"/>
    </xf>
    <xf numFmtId="0" fontId="16" fillId="2" borderId="5" xfId="0" applyFont="1" applyFill="1" applyBorder="1" applyAlignment="1">
      <alignment horizontal="center" vertical="center"/>
    </xf>
    <xf numFmtId="0" fontId="16" fillId="2" borderId="1" xfId="0" applyFont="1" applyFill="1" applyBorder="1" applyAlignment="1">
      <alignment horizontal="left" vertical="center" wrapText="1"/>
    </xf>
    <xf numFmtId="42" fontId="16" fillId="2" borderId="5" xfId="0" applyNumberFormat="1" applyFont="1" applyFill="1" applyBorder="1" applyAlignment="1">
      <alignment horizontal="center" vertical="center"/>
    </xf>
    <xf numFmtId="0" fontId="17" fillId="2" borderId="4" xfId="0" applyFont="1" applyFill="1" applyBorder="1" applyAlignment="1">
      <alignment horizontal="center" vertical="center"/>
    </xf>
    <xf numFmtId="0" fontId="8" fillId="2" borderId="4" xfId="0" applyNumberFormat="1" applyFont="1" applyFill="1" applyBorder="1" applyAlignment="1">
      <alignment horizontal="left" vertical="center" wrapText="1"/>
    </xf>
    <xf numFmtId="41" fontId="17" fillId="2" borderId="13" xfId="0" applyNumberFormat="1" applyFont="1" applyFill="1" applyBorder="1" applyAlignment="1">
      <alignment horizontal="left" vertical="center"/>
    </xf>
    <xf numFmtId="0" fontId="17" fillId="2" borderId="13" xfId="0" applyFont="1" applyFill="1" applyBorder="1" applyAlignment="1">
      <alignment horizontal="right" vertical="center" indent="2"/>
    </xf>
    <xf numFmtId="42" fontId="16" fillId="2" borderId="14" xfId="0" applyNumberFormat="1" applyFont="1" applyFill="1" applyBorder="1" applyAlignment="1">
      <alignment vertical="center"/>
    </xf>
    <xf numFmtId="0" fontId="19" fillId="2" borderId="0" xfId="0" applyFont="1" applyFill="1" applyBorder="1" applyAlignment="1">
      <alignment horizontal="center" vertical="center"/>
    </xf>
    <xf numFmtId="0" fontId="4" fillId="5" borderId="6" xfId="3" applyNumberFormat="1" applyBorder="1" applyAlignment="1">
      <alignment horizontal="left" vertical="center" indent="1"/>
    </xf>
    <xf numFmtId="0" fontId="2" fillId="0" borderId="4" xfId="0" applyNumberFormat="1" applyFont="1" applyBorder="1" applyAlignment="1">
      <alignment horizontal="left" vertical="center" wrapText="1"/>
    </xf>
    <xf numFmtId="0" fontId="2" fillId="0" borderId="6" xfId="0" applyNumberFormat="1" applyFont="1" applyBorder="1" applyAlignment="1">
      <alignment horizontal="left" vertical="center" wrapText="1"/>
    </xf>
    <xf numFmtId="0" fontId="0" fillId="0" borderId="0" xfId="0" applyAlignment="1">
      <alignment horizontal="center" vertical="center"/>
    </xf>
    <xf numFmtId="0" fontId="6" fillId="2" borderId="6" xfId="0" applyFont="1" applyFill="1" applyBorder="1" applyAlignment="1">
      <alignment horizontal="left" vertical="center" wrapText="1"/>
    </xf>
    <xf numFmtId="1" fontId="16" fillId="2" borderId="14" xfId="0" applyNumberFormat="1" applyFont="1" applyFill="1" applyBorder="1" applyAlignment="1">
      <alignment vertical="center"/>
    </xf>
    <xf numFmtId="42" fontId="6" fillId="0" borderId="4" xfId="0" applyNumberFormat="1" applyFont="1" applyBorder="1" applyAlignment="1">
      <alignment vertical="center"/>
    </xf>
    <xf numFmtId="0" fontId="2" fillId="0" borderId="0" xfId="0" applyFont="1" applyFill="1"/>
    <xf numFmtId="0" fontId="24" fillId="0" borderId="0" xfId="0" applyFont="1" applyAlignment="1">
      <alignment horizontal="right" vertical="center"/>
    </xf>
    <xf numFmtId="0" fontId="17" fillId="2" borderId="4" xfId="0" quotePrefix="1" applyFont="1" applyFill="1" applyBorder="1" applyAlignment="1">
      <alignment horizontal="left" vertical="center" wrapText="1" indent="3"/>
    </xf>
    <xf numFmtId="0" fontId="1" fillId="0" borderId="0" xfId="0" applyFont="1" applyAlignment="1"/>
    <xf numFmtId="0" fontId="0" fillId="0" borderId="0" xfId="0" quotePrefix="1"/>
    <xf numFmtId="0" fontId="0" fillId="0" borderId="0" xfId="0" applyAlignment="1">
      <alignment vertical="center"/>
    </xf>
    <xf numFmtId="43" fontId="0" fillId="0" borderId="0" xfId="1" applyFont="1"/>
    <xf numFmtId="0" fontId="2" fillId="0" borderId="0" xfId="0" applyFont="1" applyAlignment="1">
      <alignment horizontal="center"/>
    </xf>
    <xf numFmtId="0" fontId="29" fillId="0" borderId="0" xfId="0" applyFont="1"/>
    <xf numFmtId="42" fontId="2" fillId="0" borderId="0" xfId="0" applyNumberFormat="1" applyFont="1" applyAlignment="1">
      <alignment horizontal="center"/>
    </xf>
    <xf numFmtId="0" fontId="29" fillId="0" borderId="0" xfId="0" applyFont="1" applyFill="1"/>
    <xf numFmtId="0" fontId="7" fillId="0" borderId="0" xfId="0" applyFont="1" applyAlignment="1">
      <alignment horizontal="right"/>
    </xf>
    <xf numFmtId="0" fontId="7" fillId="0" borderId="0" xfId="0" applyFont="1"/>
    <xf numFmtId="42" fontId="7" fillId="0" borderId="0" xfId="0" applyNumberFormat="1" applyFont="1" applyAlignment="1">
      <alignment horizontal="center"/>
    </xf>
    <xf numFmtId="0" fontId="29" fillId="0" borderId="0" xfId="0" applyFont="1" applyAlignment="1">
      <alignment vertical="center"/>
    </xf>
    <xf numFmtId="42" fontId="2" fillId="0" borderId="0" xfId="0" applyNumberFormat="1" applyFont="1" applyAlignment="1">
      <alignment horizontal="center" vertical="center"/>
    </xf>
    <xf numFmtId="42" fontId="2" fillId="0" borderId="3" xfId="0" applyNumberFormat="1" applyFont="1" applyBorder="1" applyAlignment="1">
      <alignment horizontal="center" vertical="center"/>
    </xf>
    <xf numFmtId="0" fontId="7" fillId="0" borderId="0" xfId="0" applyFont="1" applyAlignment="1">
      <alignment horizontal="left" vertical="center"/>
    </xf>
    <xf numFmtId="0" fontId="7" fillId="0" borderId="0" xfId="0" applyFont="1" applyAlignment="1">
      <alignment vertical="center"/>
    </xf>
    <xf numFmtId="0" fontId="21" fillId="0" borderId="0" xfId="0" applyFont="1" applyAlignment="1">
      <alignment vertical="center"/>
    </xf>
    <xf numFmtId="0" fontId="31" fillId="0" borderId="0" xfId="0" applyFont="1" applyAlignment="1">
      <alignment vertical="center"/>
    </xf>
    <xf numFmtId="0" fontId="32" fillId="0" borderId="0" xfId="0" applyFont="1"/>
    <xf numFmtId="0" fontId="2" fillId="0" borderId="0" xfId="0" applyFont="1" applyAlignment="1">
      <alignment horizontal="left" vertical="center" wrapText="1"/>
    </xf>
    <xf numFmtId="42" fontId="2" fillId="0" borderId="0" xfId="0" applyNumberFormat="1" applyFont="1" applyAlignment="1">
      <alignment horizontal="center" vertical="center" wrapText="1"/>
    </xf>
    <xf numFmtId="0" fontId="35" fillId="8" borderId="0" xfId="0" applyFont="1" applyFill="1" applyBorder="1" applyAlignment="1">
      <alignment vertical="center"/>
    </xf>
    <xf numFmtId="42" fontId="23" fillId="8" borderId="0" xfId="0" applyNumberFormat="1" applyFont="1" applyFill="1" applyBorder="1" applyAlignment="1">
      <alignment horizontal="center" vertical="center"/>
    </xf>
    <xf numFmtId="0" fontId="23" fillId="8" borderId="0" xfId="0" applyFont="1" applyFill="1" applyBorder="1" applyAlignment="1">
      <alignment vertical="center"/>
    </xf>
    <xf numFmtId="0" fontId="23" fillId="8" borderId="27" xfId="0" applyFont="1" applyFill="1" applyBorder="1"/>
    <xf numFmtId="0" fontId="23" fillId="8" borderId="0" xfId="0" applyFont="1" applyFill="1" applyBorder="1"/>
    <xf numFmtId="0" fontId="35" fillId="8" borderId="0" xfId="0" applyFont="1" applyFill="1" applyBorder="1"/>
    <xf numFmtId="42" fontId="23" fillId="8" borderId="0" xfId="0" applyNumberFormat="1" applyFont="1" applyFill="1" applyBorder="1" applyAlignment="1">
      <alignment horizontal="center"/>
    </xf>
    <xf numFmtId="0" fontId="2" fillId="0" borderId="0" xfId="0" applyFont="1" applyFill="1" applyBorder="1" applyAlignment="1">
      <alignment horizontal="left" vertical="center" wrapText="1"/>
    </xf>
    <xf numFmtId="0" fontId="7" fillId="0" borderId="34" xfId="0" applyFont="1" applyBorder="1" applyAlignment="1">
      <alignment horizontal="right"/>
    </xf>
    <xf numFmtId="0" fontId="7" fillId="0" borderId="34" xfId="0" applyFont="1" applyBorder="1"/>
    <xf numFmtId="0" fontId="29" fillId="0" borderId="34" xfId="0" applyFont="1" applyBorder="1"/>
    <xf numFmtId="42" fontId="7" fillId="0" borderId="34" xfId="0" applyNumberFormat="1" applyFont="1" applyBorder="1" applyAlignment="1">
      <alignment horizontal="center"/>
    </xf>
    <xf numFmtId="0" fontId="36" fillId="0" borderId="0" xfId="0" applyFont="1"/>
    <xf numFmtId="0" fontId="37" fillId="0" borderId="0" xfId="0" applyFont="1"/>
    <xf numFmtId="42" fontId="36" fillId="0" borderId="3" xfId="0" applyNumberFormat="1" applyFont="1" applyBorder="1" applyAlignment="1">
      <alignment horizontal="center"/>
    </xf>
    <xf numFmtId="0" fontId="38" fillId="0" borderId="0" xfId="0" applyFont="1"/>
    <xf numFmtId="0" fontId="36" fillId="9" borderId="35" xfId="0" applyFont="1" applyFill="1" applyBorder="1"/>
    <xf numFmtId="0" fontId="2" fillId="9" borderId="36" xfId="0" applyFont="1" applyFill="1" applyBorder="1"/>
    <xf numFmtId="0" fontId="29" fillId="9" borderId="36" xfId="0" applyFont="1" applyFill="1" applyBorder="1"/>
    <xf numFmtId="42" fontId="2" fillId="9" borderId="36" xfId="0" applyNumberFormat="1" applyFont="1" applyFill="1" applyBorder="1" applyAlignment="1">
      <alignment horizontal="center"/>
    </xf>
    <xf numFmtId="0" fontId="36" fillId="9" borderId="37" xfId="0" applyFont="1" applyFill="1" applyBorder="1"/>
    <xf numFmtId="0" fontId="2" fillId="9" borderId="38" xfId="0" applyFont="1" applyFill="1" applyBorder="1"/>
    <xf numFmtId="0" fontId="29" fillId="9" borderId="38" xfId="0" applyFont="1" applyFill="1" applyBorder="1"/>
    <xf numFmtId="0" fontId="36" fillId="9" borderId="38" xfId="0" applyFont="1" applyFill="1" applyBorder="1"/>
    <xf numFmtId="42" fontId="2" fillId="9" borderId="38" xfId="0" applyNumberFormat="1" applyFont="1" applyFill="1" applyBorder="1" applyAlignment="1">
      <alignment horizontal="center"/>
    </xf>
    <xf numFmtId="0" fontId="2" fillId="0" borderId="0" xfId="0" applyFont="1" applyBorder="1" applyAlignment="1">
      <alignment horizontal="left" vertical="center" wrapText="1"/>
    </xf>
    <xf numFmtId="0" fontId="2" fillId="0" borderId="0" xfId="0" applyFont="1" applyBorder="1" applyAlignment="1">
      <alignment horizontal="center" vertical="center" wrapText="1"/>
    </xf>
    <xf numFmtId="0" fontId="23" fillId="8" borderId="45" xfId="0" applyFont="1" applyFill="1" applyBorder="1"/>
    <xf numFmtId="0" fontId="23" fillId="8" borderId="38" xfId="0" applyFont="1" applyFill="1" applyBorder="1"/>
    <xf numFmtId="0" fontId="35" fillId="8" borderId="38" xfId="0" applyFont="1" applyFill="1" applyBorder="1"/>
    <xf numFmtId="42" fontId="23" fillId="8" borderId="38" xfId="0" applyNumberFormat="1" applyFont="1" applyFill="1" applyBorder="1" applyAlignment="1">
      <alignment horizontal="center"/>
    </xf>
    <xf numFmtId="0" fontId="7" fillId="0" borderId="49" xfId="0" applyFont="1" applyBorder="1" applyAlignment="1">
      <alignment horizontal="right"/>
    </xf>
    <xf numFmtId="0" fontId="7" fillId="0" borderId="49" xfId="0" applyFont="1" applyBorder="1"/>
    <xf numFmtId="0" fontId="29" fillId="0" borderId="49" xfId="0" applyFont="1" applyBorder="1"/>
    <xf numFmtId="42" fontId="7" fillId="0" borderId="49" xfId="0" applyNumberFormat="1" applyFont="1" applyBorder="1" applyAlignment="1">
      <alignment horizontal="center"/>
    </xf>
    <xf numFmtId="0" fontId="32" fillId="0" borderId="0" xfId="0" applyFont="1" applyAlignment="1">
      <alignment vertical="center"/>
    </xf>
    <xf numFmtId="0" fontId="2" fillId="0" borderId="0" xfId="0" applyFont="1" applyAlignment="1">
      <alignment horizontal="left" wrapText="1"/>
    </xf>
    <xf numFmtId="165" fontId="35" fillId="8" borderId="0" xfId="0" applyNumberFormat="1" applyFont="1" applyFill="1" applyBorder="1" applyAlignment="1">
      <alignment vertical="center"/>
    </xf>
    <xf numFmtId="42" fontId="35" fillId="8" borderId="0" xfId="0" applyNumberFormat="1" applyFont="1" applyFill="1" applyBorder="1" applyAlignment="1">
      <alignment vertical="center"/>
    </xf>
    <xf numFmtId="0" fontId="2" fillId="2" borderId="0" xfId="0" applyFont="1" applyFill="1" applyBorder="1" applyAlignment="1">
      <alignment horizontal="left" vertical="center" wrapText="1"/>
    </xf>
    <xf numFmtId="0" fontId="29" fillId="2" borderId="0" xfId="0" applyFont="1" applyFill="1"/>
    <xf numFmtId="42" fontId="2" fillId="0" borderId="3" xfId="0" applyNumberFormat="1" applyFont="1" applyBorder="1" applyAlignment="1">
      <alignment horizontal="center"/>
    </xf>
    <xf numFmtId="0" fontId="37" fillId="0" borderId="0" xfId="0" applyFont="1" applyAlignment="1">
      <alignment vertical="center"/>
    </xf>
    <xf numFmtId="42" fontId="2" fillId="0" borderId="0" xfId="0" applyNumberFormat="1" applyFont="1" applyFill="1" applyAlignment="1">
      <alignment horizontal="center"/>
    </xf>
    <xf numFmtId="0" fontId="29" fillId="0" borderId="0" xfId="0" applyFont="1" applyFill="1" applyAlignment="1">
      <alignment vertical="center"/>
    </xf>
    <xf numFmtId="42" fontId="2" fillId="0" borderId="3" xfId="0" applyNumberFormat="1" applyFont="1" applyFill="1" applyBorder="1" applyAlignment="1">
      <alignment horizontal="center"/>
    </xf>
    <xf numFmtId="0" fontId="2" fillId="0" borderId="0" xfId="0" applyFont="1" applyBorder="1"/>
    <xf numFmtId="0" fontId="29" fillId="0" borderId="0" xfId="0" applyFont="1" applyBorder="1"/>
    <xf numFmtId="42" fontId="2" fillId="0" borderId="0" xfId="0" applyNumberFormat="1" applyFont="1" applyBorder="1" applyAlignment="1">
      <alignment horizontal="center"/>
    </xf>
    <xf numFmtId="0" fontId="29" fillId="0" borderId="0" xfId="0" applyFont="1" applyBorder="1" applyAlignment="1">
      <alignment vertical="center"/>
    </xf>
    <xf numFmtId="0" fontId="7" fillId="0" borderId="0" xfId="0" applyFont="1" applyBorder="1" applyAlignment="1">
      <alignment horizontal="right"/>
    </xf>
    <xf numFmtId="0" fontId="7" fillId="0" borderId="0" xfId="0" applyFont="1" applyBorder="1"/>
    <xf numFmtId="42" fontId="7" fillId="0" borderId="0" xfId="0" applyNumberFormat="1" applyFont="1" applyBorder="1" applyAlignment="1">
      <alignment horizontal="center"/>
    </xf>
    <xf numFmtId="0" fontId="2" fillId="0" borderId="0" xfId="0" applyFont="1" applyAlignment="1"/>
    <xf numFmtId="0" fontId="41" fillId="0" borderId="0" xfId="0" applyFont="1"/>
    <xf numFmtId="0" fontId="2" fillId="0" borderId="0" xfId="0" applyFont="1" applyAlignment="1">
      <alignment horizontal="center" vertical="center" wrapText="1"/>
    </xf>
    <xf numFmtId="0" fontId="2" fillId="10" borderId="0" xfId="0" applyFont="1" applyFill="1" applyBorder="1" applyAlignment="1">
      <alignment horizontal="left" vertical="center" wrapText="1"/>
    </xf>
    <xf numFmtId="0" fontId="2" fillId="0" borderId="0" xfId="0" applyFont="1" applyFill="1" applyBorder="1" applyAlignment="1">
      <alignment horizontal="left" wrapText="1"/>
    </xf>
    <xf numFmtId="0" fontId="7" fillId="0" borderId="0" xfId="0" applyFont="1" applyFill="1"/>
    <xf numFmtId="0" fontId="7" fillId="0" borderId="34" xfId="0" applyFont="1" applyFill="1" applyBorder="1" applyAlignment="1">
      <alignment horizontal="right"/>
    </xf>
    <xf numFmtId="0" fontId="7" fillId="0" borderId="34" xfId="0" applyFont="1" applyFill="1" applyBorder="1"/>
    <xf numFmtId="0" fontId="29" fillId="0" borderId="34" xfId="0" applyFont="1" applyFill="1" applyBorder="1"/>
    <xf numFmtId="42" fontId="7" fillId="0" borderId="34" xfId="0" applyNumberFormat="1" applyFont="1" applyFill="1" applyBorder="1" applyAlignment="1">
      <alignment horizontal="center"/>
    </xf>
    <xf numFmtId="0" fontId="2" fillId="0" borderId="0" xfId="0" applyFont="1" applyFill="1" applyAlignment="1">
      <alignment horizontal="left" vertical="center" wrapText="1"/>
    </xf>
    <xf numFmtId="42" fontId="36" fillId="0" borderId="0" xfId="0" applyNumberFormat="1" applyFont="1" applyFill="1" applyBorder="1" applyAlignment="1">
      <alignment horizontal="center"/>
    </xf>
    <xf numFmtId="42" fontId="36" fillId="0" borderId="3" xfId="0" applyNumberFormat="1" applyFont="1" applyFill="1" applyBorder="1" applyAlignment="1">
      <alignment horizontal="center"/>
    </xf>
    <xf numFmtId="0" fontId="2" fillId="0" borderId="0" xfId="0" applyFont="1" applyFill="1" applyAlignment="1">
      <alignment horizontal="center"/>
    </xf>
    <xf numFmtId="0" fontId="2" fillId="0" borderId="0" xfId="0" applyFont="1" applyFill="1" applyAlignment="1">
      <alignment vertical="center"/>
    </xf>
    <xf numFmtId="0" fontId="21" fillId="0" borderId="0" xfId="0" applyFont="1" applyFill="1" applyAlignment="1">
      <alignment vertical="center"/>
    </xf>
    <xf numFmtId="0" fontId="31" fillId="0" borderId="0" xfId="0" applyFont="1" applyFill="1" applyAlignment="1">
      <alignment vertical="center"/>
    </xf>
    <xf numFmtId="10" fontId="23" fillId="8" borderId="0" xfId="0" applyNumberFormat="1" applyFont="1" applyFill="1" applyBorder="1" applyAlignment="1">
      <alignment horizontal="center" vertical="center"/>
    </xf>
    <xf numFmtId="165" fontId="23" fillId="8" borderId="27" xfId="2" applyNumberFormat="1" applyFont="1" applyFill="1" applyBorder="1" applyAlignment="1">
      <alignment horizontal="center" vertical="center"/>
    </xf>
    <xf numFmtId="165" fontId="23" fillId="8" borderId="0" xfId="2" applyNumberFormat="1" applyFont="1" applyFill="1" applyBorder="1" applyAlignment="1">
      <alignment horizontal="center" vertical="center"/>
    </xf>
    <xf numFmtId="6" fontId="23" fillId="8" borderId="27" xfId="2" quotePrefix="1" applyNumberFormat="1" applyFont="1" applyFill="1" applyBorder="1" applyAlignment="1">
      <alignment horizontal="center" vertical="center"/>
    </xf>
    <xf numFmtId="0" fontId="23" fillId="8" borderId="0" xfId="2" applyNumberFormat="1" applyFont="1" applyFill="1" applyBorder="1" applyAlignment="1">
      <alignment horizontal="center" vertical="center"/>
    </xf>
    <xf numFmtId="10" fontId="23" fillId="8" borderId="0" xfId="7" applyNumberFormat="1" applyFont="1" applyFill="1" applyBorder="1" applyAlignment="1">
      <alignment horizontal="center" vertical="center"/>
    </xf>
    <xf numFmtId="10" fontId="23" fillId="8" borderId="0" xfId="2" applyNumberFormat="1" applyFont="1" applyFill="1" applyBorder="1" applyAlignment="1">
      <alignment horizontal="center" vertical="center"/>
    </xf>
    <xf numFmtId="10" fontId="35" fillId="8" borderId="0" xfId="7" applyNumberFormat="1" applyFont="1" applyFill="1" applyBorder="1" applyAlignment="1">
      <alignment vertical="center"/>
    </xf>
    <xf numFmtId="9" fontId="29" fillId="0" borderId="0" xfId="7" applyFont="1" applyAlignment="1">
      <alignment vertical="center"/>
    </xf>
    <xf numFmtId="10" fontId="23" fillId="8" borderId="27" xfId="7" applyNumberFormat="1" applyFont="1" applyFill="1" applyBorder="1" applyAlignment="1">
      <alignment horizontal="center" vertical="center"/>
    </xf>
    <xf numFmtId="10" fontId="29" fillId="0" borderId="0" xfId="7" applyNumberFormat="1" applyFont="1" applyAlignment="1">
      <alignment vertical="center"/>
    </xf>
    <xf numFmtId="0" fontId="29" fillId="0" borderId="0" xfId="0" applyFont="1" applyFill="1" applyBorder="1"/>
    <xf numFmtId="0" fontId="0" fillId="0" borderId="0" xfId="0" applyFont="1" applyBorder="1"/>
    <xf numFmtId="10" fontId="29" fillId="0" borderId="0" xfId="7" applyNumberFormat="1" applyFont="1" applyBorder="1" applyAlignment="1">
      <alignment vertical="center"/>
    </xf>
    <xf numFmtId="9" fontId="29" fillId="0" borderId="0" xfId="7" applyFont="1" applyBorder="1" applyAlignment="1">
      <alignment vertical="center"/>
    </xf>
    <xf numFmtId="171" fontId="29" fillId="0" borderId="0" xfId="0" applyNumberFormat="1" applyFont="1" applyBorder="1" applyAlignment="1">
      <alignment horizontal="center" vertical="center"/>
    </xf>
    <xf numFmtId="0" fontId="29" fillId="2" borderId="0" xfId="0" applyFont="1" applyFill="1" applyBorder="1"/>
    <xf numFmtId="42" fontId="2" fillId="0" borderId="0" xfId="0" applyNumberFormat="1" applyFont="1" applyBorder="1" applyAlignment="1">
      <alignment horizontal="center" vertical="center"/>
    </xf>
    <xf numFmtId="0" fontId="39" fillId="0" borderId="0" xfId="0" applyFont="1" applyBorder="1"/>
    <xf numFmtId="0" fontId="29" fillId="0" borderId="0" xfId="0" applyFont="1" applyFill="1" applyBorder="1" applyAlignment="1">
      <alignment vertical="center"/>
    </xf>
    <xf numFmtId="43" fontId="29" fillId="0" borderId="0" xfId="1" applyFont="1" applyBorder="1" applyAlignment="1">
      <alignment vertical="center"/>
    </xf>
    <xf numFmtId="43" fontId="29" fillId="0" borderId="0" xfId="1" applyFont="1" applyBorder="1"/>
    <xf numFmtId="0" fontId="40" fillId="0" borderId="0" xfId="0" applyFont="1" applyFill="1" applyBorder="1"/>
    <xf numFmtId="0" fontId="2" fillId="0" borderId="0" xfId="0" applyFont="1" applyBorder="1" applyAlignment="1"/>
    <xf numFmtId="0" fontId="2" fillId="0" borderId="0" xfId="0" applyFont="1" applyBorder="1" applyAlignment="1">
      <alignment vertical="center"/>
    </xf>
    <xf numFmtId="0" fontId="40" fillId="0" borderId="0" xfId="0" applyFont="1" applyBorder="1"/>
    <xf numFmtId="170" fontId="21" fillId="0" borderId="0" xfId="0" applyNumberFormat="1" applyFont="1" applyBorder="1" applyAlignment="1">
      <alignment horizontal="center" vertical="center"/>
    </xf>
    <xf numFmtId="0" fontId="29" fillId="8" borderId="59" xfId="0" applyFont="1" applyFill="1" applyBorder="1" applyAlignment="1">
      <alignment vertical="center"/>
    </xf>
    <xf numFmtId="0" fontId="29" fillId="8" borderId="60" xfId="0" applyFont="1" applyFill="1" applyBorder="1" applyAlignment="1">
      <alignment vertical="center"/>
    </xf>
    <xf numFmtId="0" fontId="23" fillId="8" borderId="46" xfId="0" applyFont="1" applyFill="1" applyBorder="1"/>
    <xf numFmtId="0" fontId="23" fillId="8" borderId="47" xfId="0" applyFont="1" applyFill="1" applyBorder="1"/>
    <xf numFmtId="0" fontId="35" fillId="8" borderId="47" xfId="0" applyFont="1" applyFill="1" applyBorder="1"/>
    <xf numFmtId="42" fontId="23" fillId="8" borderId="47" xfId="0" applyNumberFormat="1" applyFont="1" applyFill="1" applyBorder="1" applyAlignment="1">
      <alignment horizontal="center"/>
    </xf>
    <xf numFmtId="0" fontId="29" fillId="8" borderId="48" xfId="0" applyFont="1" applyFill="1" applyBorder="1"/>
    <xf numFmtId="0" fontId="29" fillId="9" borderId="61" xfId="0" applyFont="1" applyFill="1" applyBorder="1"/>
    <xf numFmtId="0" fontId="29" fillId="9" borderId="62" xfId="0" applyFont="1" applyFill="1" applyBorder="1"/>
    <xf numFmtId="42" fontId="23" fillId="8" borderId="63" xfId="0" applyNumberFormat="1" applyFont="1" applyFill="1" applyBorder="1" applyAlignment="1">
      <alignment horizontal="center"/>
    </xf>
    <xf numFmtId="10" fontId="23" fillId="8" borderId="0" xfId="7" applyNumberFormat="1" applyFont="1" applyFill="1" applyBorder="1" applyAlignment="1">
      <alignment horizontal="right" vertical="center"/>
    </xf>
    <xf numFmtId="0" fontId="44" fillId="0" borderId="0" xfId="8"/>
    <xf numFmtId="0" fontId="44" fillId="0" borderId="0" xfId="8" applyAlignment="1">
      <alignment vertical="center"/>
    </xf>
    <xf numFmtId="0" fontId="9" fillId="0" borderId="6" xfId="8" applyFont="1" applyBorder="1" applyAlignment="1">
      <alignment horizontal="center"/>
    </xf>
    <xf numFmtId="0" fontId="6" fillId="0" borderId="0" xfId="8" applyFont="1"/>
    <xf numFmtId="0" fontId="9" fillId="0" borderId="0" xfId="8" applyFont="1" applyAlignment="1">
      <alignment horizontal="center"/>
    </xf>
    <xf numFmtId="167" fontId="44" fillId="0" borderId="0" xfId="8" applyNumberFormat="1" applyFill="1" applyBorder="1" applyAlignment="1">
      <alignment vertical="center"/>
    </xf>
    <xf numFmtId="0" fontId="9" fillId="0" borderId="4" xfId="8" applyFont="1" applyBorder="1" applyAlignment="1">
      <alignment horizontal="center" vertical="center" wrapText="1"/>
    </xf>
    <xf numFmtId="0" fontId="2" fillId="0" borderId="0" xfId="8" applyFont="1"/>
    <xf numFmtId="0" fontId="2" fillId="0" borderId="0" xfId="8" applyFont="1" applyAlignment="1">
      <alignment vertical="center"/>
    </xf>
    <xf numFmtId="164" fontId="2" fillId="0" borderId="6" xfId="8" applyNumberFormat="1" applyFont="1" applyBorder="1"/>
    <xf numFmtId="0" fontId="9" fillId="0" borderId="0" xfId="8" applyFont="1" applyFill="1" applyBorder="1" applyAlignment="1">
      <alignment horizontal="center" vertical="center"/>
    </xf>
    <xf numFmtId="0" fontId="2" fillId="0" borderId="0" xfId="8" applyFont="1" applyFill="1" applyBorder="1" applyAlignment="1">
      <alignment vertical="center"/>
    </xf>
    <xf numFmtId="0" fontId="44" fillId="0" borderId="0" xfId="8" applyFill="1" applyBorder="1" applyAlignment="1">
      <alignment vertical="center"/>
    </xf>
    <xf numFmtId="169" fontId="9" fillId="0" borderId="0" xfId="9" applyNumberFormat="1" applyFont="1" applyFill="1" applyBorder="1" applyAlignment="1">
      <alignment vertical="center"/>
    </xf>
    <xf numFmtId="0" fontId="9" fillId="4" borderId="6" xfId="8" applyFont="1" applyFill="1" applyBorder="1" applyAlignment="1">
      <alignment horizontal="center" vertical="center"/>
    </xf>
    <xf numFmtId="0" fontId="21" fillId="0" borderId="0" xfId="8" applyFont="1" applyFill="1" applyBorder="1" applyAlignment="1">
      <alignment vertical="center"/>
    </xf>
    <xf numFmtId="0" fontId="21" fillId="3" borderId="6" xfId="8" applyFont="1" applyFill="1" applyBorder="1" applyAlignment="1">
      <alignment vertical="center"/>
    </xf>
    <xf numFmtId="41" fontId="21" fillId="3" borderId="6" xfId="8" applyNumberFormat="1" applyFont="1" applyFill="1" applyBorder="1" applyAlignment="1">
      <alignment vertical="center"/>
    </xf>
    <xf numFmtId="0" fontId="21" fillId="0" borderId="0" xfId="8" applyFont="1" applyFill="1" applyBorder="1" applyAlignment="1">
      <alignment horizontal="center"/>
    </xf>
    <xf numFmtId="167" fontId="9" fillId="0" borderId="0" xfId="9" applyNumberFormat="1" applyFont="1" applyFill="1" applyBorder="1"/>
    <xf numFmtId="164" fontId="9" fillId="4" borderId="6" xfId="8" applyNumberFormat="1" applyFont="1" applyFill="1" applyBorder="1" applyAlignment="1">
      <alignment horizontal="center" vertical="center"/>
    </xf>
    <xf numFmtId="164" fontId="9" fillId="3" borderId="6" xfId="9" applyNumberFormat="1" applyFont="1" applyFill="1" applyBorder="1" applyAlignment="1">
      <alignment vertical="center"/>
    </xf>
    <xf numFmtId="164" fontId="21" fillId="3" borderId="6" xfId="8" applyNumberFormat="1" applyFont="1" applyFill="1" applyBorder="1" applyAlignment="1">
      <alignment vertical="center"/>
    </xf>
    <xf numFmtId="164" fontId="44" fillId="0" borderId="0" xfId="8" applyNumberFormat="1"/>
    <xf numFmtId="167" fontId="9" fillId="0" borderId="6" xfId="9" applyNumberFormat="1" applyFont="1" applyFill="1" applyBorder="1"/>
    <xf numFmtId="167" fontId="9" fillId="0" borderId="8" xfId="9" applyNumberFormat="1" applyFont="1" applyFill="1" applyBorder="1"/>
    <xf numFmtId="41" fontId="21" fillId="4" borderId="4" xfId="9" applyNumberFormat="1" applyFont="1" applyFill="1" applyBorder="1"/>
    <xf numFmtId="0" fontId="9" fillId="0" borderId="13" xfId="8" applyFont="1" applyBorder="1" applyAlignment="1">
      <alignment horizontal="center" vertical="center" wrapText="1"/>
    </xf>
    <xf numFmtId="0" fontId="2" fillId="0" borderId="8" xfId="8" applyFont="1" applyBorder="1" applyAlignment="1">
      <alignment horizontal="center"/>
    </xf>
    <xf numFmtId="0" fontId="2" fillId="7" borderId="23" xfId="8" applyFont="1" applyFill="1" applyBorder="1" applyAlignment="1">
      <alignment horizontal="left"/>
    </xf>
    <xf numFmtId="10" fontId="6" fillId="4" borderId="4" xfId="15" applyNumberFormat="1" applyFont="1" applyFill="1" applyBorder="1"/>
    <xf numFmtId="10" fontId="6" fillId="0" borderId="6" xfId="15" applyNumberFormat="1" applyFont="1" applyBorder="1"/>
    <xf numFmtId="10" fontId="6" fillId="0" borderId="0" xfId="15" applyNumberFormat="1" applyFont="1" applyFill="1" applyBorder="1"/>
    <xf numFmtId="41" fontId="21" fillId="6" borderId="17" xfId="9" applyNumberFormat="1" applyFont="1" applyFill="1" applyBorder="1"/>
    <xf numFmtId="10" fontId="45" fillId="0" borderId="0" xfId="15" applyNumberFormat="1" applyFont="1" applyFill="1" applyBorder="1" applyAlignment="1">
      <alignment horizontal="right"/>
    </xf>
    <xf numFmtId="165" fontId="25" fillId="0" borderId="0" xfId="8" applyNumberFormat="1" applyFont="1"/>
    <xf numFmtId="0" fontId="28" fillId="0" borderId="0" xfId="8" applyFont="1" applyFill="1" applyBorder="1" applyAlignment="1">
      <alignment horizontal="center" vertical="center"/>
    </xf>
    <xf numFmtId="10" fontId="0" fillId="0" borderId="0" xfId="15" applyNumberFormat="1" applyFont="1" applyFill="1" applyBorder="1" applyAlignment="1">
      <alignment vertical="center"/>
    </xf>
    <xf numFmtId="173" fontId="6" fillId="4" borderId="6" xfId="15" applyNumberFormat="1" applyFont="1" applyFill="1" applyBorder="1"/>
    <xf numFmtId="167" fontId="26" fillId="0" borderId="0" xfId="8" applyNumberFormat="1" applyFont="1" applyFill="1" applyBorder="1" applyAlignment="1">
      <alignment vertical="center"/>
    </xf>
    <xf numFmtId="168" fontId="28" fillId="0" borderId="0" xfId="10" applyNumberFormat="1" applyFont="1" applyFill="1" applyBorder="1" applyAlignment="1">
      <alignment horizontal="center" vertical="center"/>
    </xf>
    <xf numFmtId="173" fontId="0" fillId="7" borderId="6" xfId="15" applyNumberFormat="1" applyFont="1" applyFill="1" applyBorder="1"/>
    <xf numFmtId="0" fontId="28" fillId="0" borderId="0" xfId="9" applyNumberFormat="1" applyFont="1" applyFill="1" applyBorder="1" applyAlignment="1">
      <alignment horizontal="center" vertical="center"/>
    </xf>
    <xf numFmtId="43" fontId="28" fillId="0" borderId="0" xfId="10" applyFont="1" applyFill="1" applyBorder="1" applyAlignment="1">
      <alignment vertical="center"/>
    </xf>
    <xf numFmtId="173" fontId="44" fillId="0" borderId="0" xfId="8" applyNumberFormat="1"/>
    <xf numFmtId="165" fontId="44" fillId="0" borderId="0" xfId="8" applyNumberFormat="1"/>
    <xf numFmtId="167" fontId="6" fillId="0" borderId="0" xfId="8" applyNumberFormat="1" applyFont="1" applyFill="1" applyBorder="1" applyAlignment="1">
      <alignment vertical="center"/>
    </xf>
    <xf numFmtId="10" fontId="2" fillId="0" borderId="4" xfId="15" applyNumberFormat="1" applyFont="1" applyBorder="1"/>
    <xf numFmtId="0" fontId="29" fillId="17" borderId="0" xfId="0" applyFont="1" applyFill="1"/>
    <xf numFmtId="0" fontId="2" fillId="17" borderId="0" xfId="0" applyFont="1" applyFill="1" applyAlignment="1">
      <alignment vertical="center"/>
    </xf>
    <xf numFmtId="0" fontId="29" fillId="17" borderId="0" xfId="0" applyFont="1" applyFill="1" applyAlignment="1">
      <alignment vertical="center"/>
    </xf>
    <xf numFmtId="42" fontId="2" fillId="17" borderId="0" xfId="0" applyNumberFormat="1" applyFont="1" applyFill="1" applyAlignment="1">
      <alignment horizontal="center" vertical="center"/>
    </xf>
    <xf numFmtId="42" fontId="2" fillId="17" borderId="3" xfId="0" applyNumberFormat="1" applyFont="1" applyFill="1" applyBorder="1" applyAlignment="1">
      <alignment horizontal="center" vertical="center"/>
    </xf>
    <xf numFmtId="0" fontId="7" fillId="17" borderId="0" xfId="0" applyFont="1" applyFill="1" applyAlignment="1">
      <alignment horizontal="left" vertical="center"/>
    </xf>
    <xf numFmtId="0" fontId="7" fillId="17" borderId="0" xfId="0" applyFont="1" applyFill="1" applyAlignment="1">
      <alignment vertical="center"/>
    </xf>
    <xf numFmtId="0" fontId="21" fillId="17" borderId="0" xfId="0" applyFont="1" applyFill="1" applyAlignment="1">
      <alignment vertical="center"/>
    </xf>
    <xf numFmtId="0" fontId="31" fillId="17" borderId="0" xfId="0" applyFont="1" applyFill="1" applyAlignment="1">
      <alignment vertical="center"/>
    </xf>
    <xf numFmtId="0" fontId="7" fillId="17" borderId="0" xfId="0" applyFont="1" applyFill="1"/>
    <xf numFmtId="0" fontId="2" fillId="17" borderId="0" xfId="0" applyFont="1" applyFill="1"/>
    <xf numFmtId="42" fontId="2" fillId="17" borderId="0" xfId="0" applyNumberFormat="1" applyFont="1" applyFill="1" applyAlignment="1">
      <alignment horizontal="center"/>
    </xf>
    <xf numFmtId="0" fontId="32" fillId="17" borderId="0" xfId="0" applyFont="1" applyFill="1"/>
    <xf numFmtId="0" fontId="29" fillId="17" borderId="59" xfId="0" applyFont="1" applyFill="1" applyBorder="1" applyAlignment="1">
      <alignment vertical="center"/>
    </xf>
    <xf numFmtId="0" fontId="35" fillId="17" borderId="0" xfId="0" applyFont="1" applyFill="1" applyBorder="1" applyAlignment="1">
      <alignment vertical="center"/>
    </xf>
    <xf numFmtId="42" fontId="23" fillId="17" borderId="0" xfId="0" applyNumberFormat="1" applyFont="1" applyFill="1" applyBorder="1" applyAlignment="1">
      <alignment horizontal="center" vertical="center"/>
    </xf>
    <xf numFmtId="0" fontId="29" fillId="17" borderId="60" xfId="0" applyFont="1" applyFill="1" applyBorder="1" applyAlignment="1">
      <alignment vertical="center"/>
    </xf>
    <xf numFmtId="9" fontId="23" fillId="17" borderId="27" xfId="7" applyFont="1" applyFill="1" applyBorder="1" applyAlignment="1">
      <alignment horizontal="center" vertical="center"/>
    </xf>
    <xf numFmtId="10" fontId="23" fillId="17" borderId="0" xfId="7" applyNumberFormat="1" applyFont="1" applyFill="1" applyBorder="1" applyAlignment="1">
      <alignment horizontal="right" vertical="center"/>
    </xf>
    <xf numFmtId="9" fontId="23" fillId="17" borderId="0" xfId="7" applyFont="1" applyFill="1" applyBorder="1" applyAlignment="1">
      <alignment horizontal="center" vertical="center"/>
    </xf>
    <xf numFmtId="9" fontId="35" fillId="17" borderId="0" xfId="7" applyFont="1" applyFill="1" applyBorder="1" applyAlignment="1">
      <alignment vertical="center"/>
    </xf>
    <xf numFmtId="0" fontId="23" fillId="17" borderId="0" xfId="0" applyFont="1" applyFill="1" applyBorder="1" applyAlignment="1">
      <alignment vertical="center"/>
    </xf>
    <xf numFmtId="6" fontId="23" fillId="17" borderId="27" xfId="2" quotePrefix="1" applyNumberFormat="1" applyFont="1" applyFill="1" applyBorder="1" applyAlignment="1">
      <alignment horizontal="center" vertical="center"/>
    </xf>
    <xf numFmtId="0" fontId="23" fillId="17" borderId="0" xfId="2" applyNumberFormat="1" applyFont="1" applyFill="1" applyBorder="1" applyAlignment="1">
      <alignment horizontal="center" vertical="center"/>
    </xf>
    <xf numFmtId="10" fontId="23" fillId="17" borderId="0" xfId="2" applyNumberFormat="1" applyFont="1" applyFill="1" applyBorder="1" applyAlignment="1">
      <alignment horizontal="center" vertical="center"/>
    </xf>
    <xf numFmtId="0" fontId="23" fillId="17" borderId="27" xfId="0" applyFont="1" applyFill="1" applyBorder="1"/>
    <xf numFmtId="0" fontId="23" fillId="17" borderId="0" xfId="0" applyFont="1" applyFill="1" applyBorder="1"/>
    <xf numFmtId="0" fontId="35" fillId="17" borderId="0" xfId="0" applyFont="1" applyFill="1" applyBorder="1"/>
    <xf numFmtId="42" fontId="23" fillId="17" borderId="0" xfId="0" applyNumberFormat="1" applyFont="1" applyFill="1" applyBorder="1" applyAlignment="1">
      <alignment horizontal="center"/>
    </xf>
    <xf numFmtId="42" fontId="23" fillId="17" borderId="63" xfId="0" applyNumberFormat="1" applyFont="1" applyFill="1" applyBorder="1" applyAlignment="1">
      <alignment horizontal="center"/>
    </xf>
    <xf numFmtId="0" fontId="46" fillId="0" borderId="0" xfId="0" applyNumberFormat="1" applyFont="1" applyFill="1" applyAlignment="1">
      <alignment vertical="top"/>
    </xf>
    <xf numFmtId="0" fontId="46" fillId="0" borderId="0" xfId="0" applyNumberFormat="1" applyFont="1" applyFill="1"/>
    <xf numFmtId="0" fontId="46" fillId="0" borderId="0" xfId="0" applyNumberFormat="1" applyFont="1" applyFill="1" applyAlignment="1">
      <alignment vertical="center"/>
    </xf>
    <xf numFmtId="41" fontId="4" fillId="0" borderId="0" xfId="0" applyNumberFormat="1" applyFont="1" applyFill="1"/>
    <xf numFmtId="41" fontId="49" fillId="12" borderId="73" xfId="0" applyNumberFormat="1" applyFont="1" applyFill="1" applyBorder="1" applyAlignment="1">
      <alignment vertical="center"/>
    </xf>
    <xf numFmtId="10" fontId="23" fillId="8" borderId="30" xfId="2" applyNumberFormat="1" applyFont="1" applyFill="1" applyBorder="1" applyAlignment="1">
      <alignment vertical="center"/>
    </xf>
    <xf numFmtId="10" fontId="23" fillId="8" borderId="30" xfId="7" applyNumberFormat="1" applyFont="1" applyFill="1" applyBorder="1" applyAlignment="1">
      <alignment horizontal="right" vertical="center"/>
    </xf>
    <xf numFmtId="10" fontId="29" fillId="0" borderId="0" xfId="0" applyNumberFormat="1" applyFont="1" applyBorder="1" applyAlignment="1">
      <alignment vertical="center"/>
    </xf>
    <xf numFmtId="38" fontId="44" fillId="4" borderId="6" xfId="8" applyNumberFormat="1" applyFill="1" applyBorder="1" applyAlignment="1">
      <alignment horizontal="center" vertical="center"/>
    </xf>
    <xf numFmtId="0" fontId="9" fillId="15" borderId="3" xfId="8" applyFont="1" applyFill="1" applyBorder="1" applyAlignment="1">
      <alignment horizontal="center" vertical="center"/>
    </xf>
    <xf numFmtId="0" fontId="9" fillId="7" borderId="6" xfId="8" applyFont="1" applyFill="1" applyBorder="1" applyAlignment="1">
      <alignment horizontal="center" vertical="center"/>
    </xf>
    <xf numFmtId="0" fontId="7" fillId="2" borderId="0" xfId="0" applyFont="1" applyFill="1" applyAlignment="1">
      <alignment horizontal="right" vertical="center" wrapText="1"/>
    </xf>
    <xf numFmtId="0" fontId="2" fillId="2" borderId="0" xfId="0" applyFont="1" applyFill="1" applyBorder="1" applyAlignment="1">
      <alignment horizontal="center" vertical="center"/>
    </xf>
    <xf numFmtId="42" fontId="2" fillId="0" borderId="0" xfId="0" applyNumberFormat="1" applyFont="1"/>
    <xf numFmtId="0" fontId="50" fillId="0" borderId="0" xfId="0" applyFont="1" applyAlignment="1">
      <alignment horizontal="right" vertical="center"/>
    </xf>
    <xf numFmtId="43" fontId="2" fillId="0" borderId="0" xfId="1" applyFont="1"/>
    <xf numFmtId="37" fontId="2" fillId="0" borderId="0" xfId="0" applyNumberFormat="1" applyFont="1" applyFill="1" applyBorder="1"/>
    <xf numFmtId="0" fontId="2" fillId="0" borderId="0" xfId="0" applyNumberFormat="1" applyFont="1" applyFill="1"/>
    <xf numFmtId="37" fontId="9" fillId="0" borderId="0" xfId="0" applyNumberFormat="1" applyFont="1" applyFill="1" applyBorder="1" applyAlignment="1">
      <alignment vertical="center" wrapText="1"/>
    </xf>
    <xf numFmtId="41" fontId="6" fillId="0" borderId="7" xfId="0" applyNumberFormat="1" applyFont="1" applyFill="1" applyBorder="1" applyAlignment="1">
      <alignment horizontal="center" vertical="center" wrapText="1"/>
    </xf>
    <xf numFmtId="41" fontId="6" fillId="0" borderId="53" xfId="0" applyNumberFormat="1" applyFont="1" applyFill="1" applyBorder="1" applyAlignment="1">
      <alignment horizontal="center" vertical="center" wrapText="1"/>
    </xf>
    <xf numFmtId="0" fontId="6" fillId="0" borderId="0" xfId="0" applyNumberFormat="1" applyFont="1" applyFill="1" applyAlignment="1">
      <alignment vertical="center" wrapText="1"/>
    </xf>
    <xf numFmtId="41" fontId="6" fillId="0" borderId="7" xfId="0" applyNumberFormat="1" applyFont="1" applyFill="1" applyBorder="1" applyAlignment="1">
      <alignment vertical="center"/>
    </xf>
    <xf numFmtId="41" fontId="6" fillId="0" borderId="56" xfId="0" applyNumberFormat="1" applyFont="1" applyFill="1" applyBorder="1" applyAlignment="1">
      <alignment vertical="center"/>
    </xf>
    <xf numFmtId="41" fontId="6" fillId="6" borderId="74" xfId="0" applyNumberFormat="1" applyFont="1" applyFill="1" applyBorder="1" applyAlignment="1">
      <alignment vertical="center"/>
    </xf>
    <xf numFmtId="41" fontId="6" fillId="9" borderId="4" xfId="0" applyNumberFormat="1" applyFont="1" applyFill="1" applyBorder="1" applyAlignment="1">
      <alignment vertical="center"/>
    </xf>
    <xf numFmtId="0" fontId="9" fillId="0" borderId="0" xfId="0" applyNumberFormat="1" applyFont="1" applyFill="1" applyAlignment="1">
      <alignment vertical="center"/>
    </xf>
    <xf numFmtId="41" fontId="6" fillId="0" borderId="11" xfId="0" applyNumberFormat="1" applyFont="1" applyFill="1" applyBorder="1" applyAlignment="1">
      <alignment vertical="center"/>
    </xf>
    <xf numFmtId="41" fontId="6" fillId="6" borderId="8" xfId="0" applyNumberFormat="1" applyFont="1" applyFill="1" applyBorder="1" applyAlignment="1">
      <alignment vertical="center"/>
    </xf>
    <xf numFmtId="41" fontId="6" fillId="6" borderId="9" xfId="0" applyNumberFormat="1" applyFont="1" applyFill="1" applyBorder="1" applyAlignment="1">
      <alignment vertical="center"/>
    </xf>
    <xf numFmtId="41" fontId="6" fillId="9" borderId="8" xfId="0" applyNumberFormat="1" applyFont="1" applyFill="1" applyBorder="1" applyAlignment="1">
      <alignment vertical="center"/>
    </xf>
    <xf numFmtId="41" fontId="6" fillId="9" borderId="10" xfId="0" applyNumberFormat="1" applyFont="1" applyFill="1" applyBorder="1" applyAlignment="1">
      <alignment vertical="center"/>
    </xf>
    <xf numFmtId="41" fontId="6" fillId="0" borderId="8" xfId="0" applyNumberFormat="1" applyFont="1" applyFill="1" applyBorder="1" applyAlignment="1">
      <alignment horizontal="right" vertical="center"/>
    </xf>
    <xf numFmtId="41" fontId="6" fillId="0" borderId="9" xfId="0" applyNumberFormat="1" applyFont="1" applyFill="1" applyBorder="1" applyAlignment="1">
      <alignment vertical="center"/>
    </xf>
    <xf numFmtId="0" fontId="2" fillId="0" borderId="0" xfId="0" applyNumberFormat="1" applyFont="1" applyFill="1" applyAlignment="1">
      <alignment vertical="center"/>
    </xf>
    <xf numFmtId="0" fontId="51" fillId="0" borderId="0" xfId="0" applyNumberFormat="1" applyFont="1" applyFill="1" applyAlignment="1">
      <alignment vertical="center"/>
    </xf>
    <xf numFmtId="0" fontId="52" fillId="0" borderId="0" xfId="0" applyNumberFormat="1" applyFont="1" applyFill="1" applyAlignment="1">
      <alignment vertical="center"/>
    </xf>
    <xf numFmtId="41" fontId="6" fillId="0" borderId="67" xfId="0" applyNumberFormat="1" applyFont="1" applyFill="1" applyBorder="1" applyAlignment="1">
      <alignment vertical="center"/>
    </xf>
    <xf numFmtId="41" fontId="6" fillId="0" borderId="69" xfId="0" applyNumberFormat="1" applyFont="1" applyFill="1" applyBorder="1" applyAlignment="1">
      <alignment vertical="center"/>
    </xf>
    <xf numFmtId="3" fontId="27" fillId="6" borderId="0" xfId="8" applyNumberFormat="1" applyFont="1" applyFill="1" applyBorder="1" applyAlignment="1">
      <alignment vertical="center"/>
    </xf>
    <xf numFmtId="3" fontId="44" fillId="0" borderId="0" xfId="8" applyNumberFormat="1" applyBorder="1"/>
    <xf numFmtId="3" fontId="27" fillId="4" borderId="0" xfId="8" applyNumberFormat="1" applyFont="1" applyFill="1" applyBorder="1" applyAlignment="1">
      <alignment vertical="center"/>
    </xf>
    <xf numFmtId="3" fontId="21" fillId="4" borderId="0" xfId="9" applyNumberFormat="1" applyFont="1" applyFill="1" applyBorder="1"/>
    <xf numFmtId="0" fontId="44" fillId="0" borderId="0" xfId="8" applyAlignment="1">
      <alignment horizontal="left"/>
    </xf>
    <xf numFmtId="0" fontId="6" fillId="0" borderId="0" xfId="8" applyFont="1" applyAlignment="1">
      <alignment horizontal="left"/>
    </xf>
    <xf numFmtId="0" fontId="28" fillId="0" borderId="6" xfId="8" applyFont="1" applyFill="1" applyBorder="1" applyAlignment="1">
      <alignment horizontal="center" vertical="center"/>
    </xf>
    <xf numFmtId="164" fontId="9" fillId="4" borderId="6" xfId="10" applyNumberFormat="1" applyFont="1" applyFill="1" applyBorder="1" applyAlignment="1">
      <alignment horizontal="center" vertical="center"/>
    </xf>
    <xf numFmtId="167" fontId="26" fillId="0" borderId="6" xfId="8" applyNumberFormat="1" applyFont="1" applyFill="1" applyBorder="1" applyAlignment="1">
      <alignment vertical="center"/>
    </xf>
    <xf numFmtId="3" fontId="26" fillId="0" borderId="6" xfId="8" applyNumberFormat="1" applyFont="1" applyFill="1" applyBorder="1" applyAlignment="1">
      <alignment vertical="center"/>
    </xf>
    <xf numFmtId="168" fontId="28" fillId="0" borderId="6" xfId="10" applyNumberFormat="1" applyFont="1" applyFill="1" applyBorder="1" applyAlignment="1">
      <alignment horizontal="center" vertical="center"/>
    </xf>
    <xf numFmtId="3" fontId="26" fillId="0" borderId="6" xfId="10" applyNumberFormat="1" applyFont="1" applyFill="1" applyBorder="1" applyAlignment="1">
      <alignment horizontal="center" vertical="center"/>
    </xf>
    <xf numFmtId="164" fontId="9" fillId="7" borderId="6" xfId="9" applyNumberFormat="1" applyFont="1" applyFill="1" applyBorder="1" applyAlignment="1">
      <alignment vertical="center"/>
    </xf>
    <xf numFmtId="164" fontId="9" fillId="7" borderId="6" xfId="10" applyNumberFormat="1" applyFont="1" applyFill="1" applyBorder="1" applyAlignment="1">
      <alignment horizontal="center" vertical="center"/>
    </xf>
    <xf numFmtId="43" fontId="28" fillId="0" borderId="6" xfId="10" applyFont="1" applyFill="1" applyBorder="1" applyAlignment="1">
      <alignment vertical="center"/>
    </xf>
    <xf numFmtId="0" fontId="21" fillId="3" borderId="6" xfId="8" applyFont="1" applyFill="1" applyBorder="1" applyAlignment="1">
      <alignment horizontal="center" vertical="center"/>
    </xf>
    <xf numFmtId="41" fontId="28" fillId="0" borderId="6" xfId="8" applyNumberFormat="1" applyFont="1" applyFill="1" applyBorder="1" applyAlignment="1">
      <alignment vertical="center"/>
    </xf>
    <xf numFmtId="38" fontId="44" fillId="16" borderId="64" xfId="8" applyNumberFormat="1" applyFill="1" applyBorder="1" applyAlignment="1">
      <alignment vertical="center"/>
    </xf>
    <xf numFmtId="167" fontId="9" fillId="4" borderId="4" xfId="9" applyNumberFormat="1" applyFont="1" applyFill="1" applyBorder="1"/>
    <xf numFmtId="167" fontId="9" fillId="4" borderId="17" xfId="9" applyNumberFormat="1" applyFont="1" applyFill="1" applyBorder="1"/>
    <xf numFmtId="167" fontId="9" fillId="0" borderId="22" xfId="9" applyNumberFormat="1" applyFont="1" applyFill="1" applyBorder="1"/>
    <xf numFmtId="38" fontId="44" fillId="16" borderId="74" xfId="8" applyNumberFormat="1" applyFill="1" applyBorder="1" applyAlignment="1">
      <alignment vertical="center"/>
    </xf>
    <xf numFmtId="38" fontId="44" fillId="16" borderId="17" xfId="8" applyNumberFormat="1" applyFill="1" applyBorder="1" applyAlignment="1">
      <alignment vertical="center"/>
    </xf>
    <xf numFmtId="167" fontId="9" fillId="6" borderId="13" xfId="9" applyNumberFormat="1" applyFont="1" applyFill="1" applyBorder="1"/>
    <xf numFmtId="167" fontId="9" fillId="6" borderId="17" xfId="9" applyNumberFormat="1" applyFont="1" applyFill="1" applyBorder="1"/>
    <xf numFmtId="0" fontId="9" fillId="7" borderId="3" xfId="8" applyFont="1" applyFill="1" applyBorder="1" applyAlignment="1">
      <alignment horizontal="center" vertical="center"/>
    </xf>
    <xf numFmtId="3" fontId="2" fillId="13" borderId="23" xfId="8" applyNumberFormat="1" applyFont="1" applyFill="1" applyBorder="1" applyAlignment="1"/>
    <xf numFmtId="38" fontId="6" fillId="7" borderId="74" xfId="9" applyNumberFormat="1" applyFont="1" applyFill="1" applyBorder="1"/>
    <xf numFmtId="38" fontId="6" fillId="7" borderId="17" xfId="9" applyNumberFormat="1" applyFont="1" applyFill="1" applyBorder="1"/>
    <xf numFmtId="174" fontId="6" fillId="0" borderId="0" xfId="15" applyNumberFormat="1" applyFont="1" applyFill="1" applyBorder="1"/>
    <xf numFmtId="174" fontId="6" fillId="4" borderId="0" xfId="15" applyNumberFormat="1" applyFont="1" applyFill="1" applyBorder="1"/>
    <xf numFmtId="38" fontId="6" fillId="7" borderId="6" xfId="9" applyNumberFormat="1" applyFont="1" applyFill="1" applyBorder="1"/>
    <xf numFmtId="38" fontId="6" fillId="7" borderId="4" xfId="9" applyNumberFormat="1" applyFont="1" applyFill="1" applyBorder="1"/>
    <xf numFmtId="0" fontId="29" fillId="0" borderId="0" xfId="0" applyFont="1" applyBorder="1" applyAlignment="1">
      <alignment horizontal="center" vertical="center"/>
    </xf>
    <xf numFmtId="0" fontId="2" fillId="0" borderId="0" xfId="0" applyFont="1" applyAlignment="1">
      <alignment horizontal="left" vertical="center" wrapText="1"/>
    </xf>
    <xf numFmtId="0" fontId="30" fillId="0" borderId="0" xfId="0" applyFont="1" applyBorder="1" applyAlignment="1">
      <alignment horizontal="center"/>
    </xf>
    <xf numFmtId="0" fontId="53" fillId="0" borderId="0" xfId="0" applyFont="1" applyAlignment="1">
      <alignment horizontal="left" vertical="center" wrapText="1"/>
    </xf>
    <xf numFmtId="0" fontId="30" fillId="0" borderId="0" xfId="0" applyFont="1" applyBorder="1" applyAlignment="1">
      <alignment horizontal="center"/>
    </xf>
    <xf numFmtId="41" fontId="6" fillId="0" borderId="10" xfId="0" applyNumberFormat="1" applyFont="1" applyFill="1" applyBorder="1" applyAlignment="1">
      <alignment vertical="center"/>
    </xf>
    <xf numFmtId="10" fontId="6" fillId="0" borderId="0" xfId="15" applyNumberFormat="1" applyFont="1" applyBorder="1"/>
    <xf numFmtId="0" fontId="2" fillId="0" borderId="34" xfId="0" applyFont="1" applyBorder="1"/>
    <xf numFmtId="42" fontId="2" fillId="0" borderId="34" xfId="0" applyNumberFormat="1" applyFont="1" applyBorder="1" applyAlignment="1">
      <alignment horizontal="center"/>
    </xf>
    <xf numFmtId="0" fontId="30" fillId="0" borderId="34" xfId="0" applyFont="1" applyBorder="1" applyAlignment="1">
      <alignment horizontal="center"/>
    </xf>
    <xf numFmtId="0" fontId="2" fillId="0" borderId="34" xfId="0" applyFont="1" applyFill="1" applyBorder="1" applyAlignment="1">
      <alignment horizontal="left" vertical="center" wrapText="1"/>
    </xf>
    <xf numFmtId="0" fontId="2" fillId="0" borderId="34" xfId="0" applyFont="1" applyBorder="1" applyAlignment="1">
      <alignment horizontal="left" vertical="center" wrapText="1"/>
    </xf>
    <xf numFmtId="0" fontId="2" fillId="0" borderId="34" xfId="0" applyFont="1" applyBorder="1" applyAlignment="1">
      <alignment horizontal="center" vertical="center" wrapText="1"/>
    </xf>
    <xf numFmtId="41" fontId="49" fillId="12" borderId="21" xfId="0" applyNumberFormat="1" applyFont="1" applyFill="1" applyBorder="1" applyAlignment="1">
      <alignment vertical="center"/>
    </xf>
    <xf numFmtId="41" fontId="49" fillId="12" borderId="84" xfId="0" applyNumberFormat="1" applyFont="1" applyFill="1" applyBorder="1" applyAlignment="1">
      <alignment vertical="center"/>
    </xf>
    <xf numFmtId="41" fontId="6" fillId="11" borderId="74" xfId="0" applyNumberFormat="1" applyFont="1" applyFill="1" applyBorder="1" applyAlignment="1">
      <alignment vertical="center"/>
    </xf>
    <xf numFmtId="41" fontId="6" fillId="11" borderId="80" xfId="0" applyNumberFormat="1" applyFont="1" applyFill="1" applyBorder="1" applyAlignment="1">
      <alignment vertical="center"/>
    </xf>
    <xf numFmtId="41" fontId="6" fillId="0" borderId="0" xfId="0" applyNumberFormat="1" applyFont="1" applyFill="1" applyBorder="1" applyAlignment="1">
      <alignment horizontal="center" vertical="center" wrapText="1"/>
    </xf>
    <xf numFmtId="41" fontId="6" fillId="0" borderId="74" xfId="0" applyNumberFormat="1" applyFont="1" applyFill="1" applyBorder="1" applyAlignment="1">
      <alignment vertical="center"/>
    </xf>
    <xf numFmtId="41" fontId="6" fillId="0" borderId="78" xfId="0" applyNumberFormat="1" applyFont="1" applyFill="1" applyBorder="1" applyAlignment="1">
      <alignment vertical="center"/>
    </xf>
    <xf numFmtId="41" fontId="6" fillId="0" borderId="17" xfId="0" applyNumberFormat="1" applyFont="1" applyFill="1" applyBorder="1" applyAlignment="1">
      <alignment vertical="center"/>
    </xf>
    <xf numFmtId="41" fontId="6" fillId="0" borderId="54" xfId="0" applyNumberFormat="1" applyFont="1" applyFill="1" applyBorder="1" applyAlignment="1">
      <alignment vertical="center"/>
    </xf>
    <xf numFmtId="37" fontId="9" fillId="0" borderId="0" xfId="0" applyNumberFormat="1" applyFont="1" applyFill="1" applyBorder="1" applyAlignment="1">
      <alignment vertical="center"/>
    </xf>
    <xf numFmtId="0" fontId="21" fillId="3" borderId="6" xfId="8" applyFont="1" applyFill="1" applyBorder="1" applyAlignment="1">
      <alignment horizontal="center" vertical="center"/>
    </xf>
    <xf numFmtId="38" fontId="44" fillId="4" borderId="6" xfId="8" applyNumberFormat="1" applyFill="1" applyBorder="1" applyAlignment="1">
      <alignment horizontal="center" vertical="center"/>
    </xf>
    <xf numFmtId="0" fontId="9" fillId="7" borderId="6" xfId="8" applyFont="1" applyFill="1" applyBorder="1" applyAlignment="1">
      <alignment horizontal="center" vertical="center"/>
    </xf>
    <xf numFmtId="0" fontId="9" fillId="0" borderId="0" xfId="8" applyFont="1" applyAlignment="1">
      <alignment horizontal="center"/>
    </xf>
    <xf numFmtId="0" fontId="9" fillId="0" borderId="0" xfId="8" applyFont="1" applyBorder="1" applyAlignment="1">
      <alignment horizontal="center"/>
    </xf>
    <xf numFmtId="0" fontId="9" fillId="0" borderId="0" xfId="8" applyFont="1" applyAlignment="1">
      <alignment horizontal="center"/>
    </xf>
    <xf numFmtId="0" fontId="0" fillId="0" borderId="0" xfId="0"/>
    <xf numFmtId="0" fontId="55" fillId="0" borderId="0" xfId="0" applyFont="1"/>
    <xf numFmtId="0" fontId="9" fillId="0" borderId="0" xfId="8" applyFont="1" applyBorder="1" applyAlignment="1">
      <alignment horizontal="center" vertical="center" wrapText="1"/>
    </xf>
    <xf numFmtId="10" fontId="58" fillId="4" borderId="4" xfId="15" applyNumberFormat="1" applyFont="1" applyFill="1" applyBorder="1"/>
    <xf numFmtId="10" fontId="57" fillId="2" borderId="4" xfId="15" applyNumberFormat="1" applyFont="1" applyFill="1" applyBorder="1"/>
    <xf numFmtId="164" fontId="57" fillId="0" borderId="6" xfId="8" applyNumberFormat="1" applyFont="1" applyBorder="1"/>
    <xf numFmtId="10" fontId="58" fillId="0" borderId="6" xfId="15" applyNumberFormat="1" applyFont="1" applyBorder="1"/>
    <xf numFmtId="10" fontId="58" fillId="0" borderId="0" xfId="15" applyNumberFormat="1" applyFont="1" applyBorder="1"/>
    <xf numFmtId="0" fontId="57" fillId="0" borderId="0" xfId="8" applyFont="1"/>
    <xf numFmtId="10" fontId="58" fillId="4" borderId="6" xfId="15" applyNumberFormat="1" applyFont="1" applyFill="1" applyBorder="1"/>
    <xf numFmtId="10" fontId="57" fillId="2" borderId="6" xfId="15" applyNumberFormat="1" applyFont="1" applyFill="1" applyBorder="1"/>
    <xf numFmtId="164" fontId="57" fillId="0" borderId="0" xfId="8" applyNumberFormat="1" applyFont="1" applyBorder="1"/>
    <xf numFmtId="0" fontId="57" fillId="0" borderId="0" xfId="8" applyFont="1" applyBorder="1"/>
    <xf numFmtId="164" fontId="57" fillId="0" borderId="4" xfId="8" applyNumberFormat="1" applyFont="1" applyBorder="1"/>
    <xf numFmtId="10" fontId="58" fillId="0" borderId="4" xfId="15" applyNumberFormat="1" applyFont="1" applyBorder="1"/>
    <xf numFmtId="0" fontId="58" fillId="0" borderId="0" xfId="8" applyFont="1" applyFill="1"/>
    <xf numFmtId="0" fontId="59" fillId="0" borderId="0" xfId="8" applyFont="1" applyAlignment="1">
      <alignment horizontal="center"/>
    </xf>
    <xf numFmtId="0" fontId="58" fillId="0" borderId="0" xfId="8" applyFont="1" applyAlignment="1">
      <alignment vertical="center"/>
    </xf>
    <xf numFmtId="0" fontId="58" fillId="0" borderId="0" xfId="8" applyFont="1"/>
    <xf numFmtId="0" fontId="58" fillId="2" borderId="0" xfId="8" applyFont="1" applyFill="1"/>
    <xf numFmtId="164" fontId="57" fillId="0" borderId="6" xfId="8" applyNumberFormat="1" applyFont="1" applyBorder="1" applyAlignment="1">
      <alignment vertical="center"/>
    </xf>
    <xf numFmtId="0" fontId="59" fillId="0" borderId="0" xfId="8" applyFont="1" applyFill="1" applyBorder="1" applyAlignment="1">
      <alignment horizontal="center"/>
    </xf>
    <xf numFmtId="10" fontId="58" fillId="4" borderId="0" xfId="15" applyNumberFormat="1" applyFont="1" applyFill="1" applyBorder="1"/>
    <xf numFmtId="0" fontId="58" fillId="0" borderId="19" xfId="8" applyFont="1" applyFill="1" applyBorder="1"/>
    <xf numFmtId="167" fontId="58" fillId="16" borderId="8" xfId="8" applyNumberFormat="1" applyFont="1" applyFill="1" applyBorder="1" applyAlignment="1">
      <alignment vertical="center"/>
    </xf>
    <xf numFmtId="167" fontId="58" fillId="16" borderId="6" xfId="8" applyNumberFormat="1" applyFont="1" applyFill="1" applyBorder="1" applyAlignment="1">
      <alignment vertical="center"/>
    </xf>
    <xf numFmtId="167" fontId="58" fillId="0" borderId="0" xfId="8" applyNumberFormat="1" applyFont="1" applyFill="1" applyBorder="1" applyAlignment="1">
      <alignment vertical="center"/>
    </xf>
    <xf numFmtId="0" fontId="57" fillId="0" borderId="0" xfId="8" applyFont="1" applyAlignment="1">
      <alignment vertical="center"/>
    </xf>
    <xf numFmtId="0" fontId="58" fillId="0" borderId="0" xfId="8" applyFont="1" applyFill="1" applyBorder="1" applyAlignment="1">
      <alignment vertical="center"/>
    </xf>
    <xf numFmtId="174" fontId="58" fillId="4" borderId="0" xfId="8" applyNumberFormat="1" applyFont="1" applyFill="1" applyBorder="1" applyAlignment="1">
      <alignment vertical="center"/>
    </xf>
    <xf numFmtId="0" fontId="58" fillId="0" borderId="22" xfId="8" applyFont="1" applyFill="1" applyBorder="1" applyAlignment="1">
      <alignment vertical="center"/>
    </xf>
    <xf numFmtId="167" fontId="59" fillId="16" borderId="8" xfId="9" applyNumberFormat="1" applyFont="1" applyFill="1" applyBorder="1"/>
    <xf numFmtId="167" fontId="59" fillId="16" borderId="6" xfId="9" applyNumberFormat="1" applyFont="1" applyFill="1" applyBorder="1"/>
    <xf numFmtId="0" fontId="3" fillId="0" borderId="30" xfId="8" applyFont="1" applyBorder="1" applyAlignment="1">
      <alignment vertical="center"/>
    </xf>
    <xf numFmtId="0" fontId="9" fillId="0" borderId="64" xfId="8" applyFont="1" applyBorder="1" applyAlignment="1">
      <alignment horizontal="center"/>
    </xf>
    <xf numFmtId="41" fontId="6" fillId="0" borderId="72" xfId="0" applyNumberFormat="1" applyFont="1" applyFill="1" applyBorder="1" applyAlignment="1">
      <alignment horizontal="center" vertical="center" wrapText="1"/>
    </xf>
    <xf numFmtId="41" fontId="48" fillId="0" borderId="75" xfId="0" applyNumberFormat="1" applyFont="1" applyFill="1" applyBorder="1" applyAlignment="1">
      <alignment horizontal="center" vertical="center" wrapText="1"/>
    </xf>
    <xf numFmtId="41" fontId="48" fillId="0" borderId="75" xfId="0" applyNumberFormat="1" applyFont="1" applyFill="1" applyBorder="1" applyAlignment="1">
      <alignment horizontal="center" vertical="center"/>
    </xf>
    <xf numFmtId="0" fontId="2" fillId="0" borderId="71" xfId="0" applyFont="1" applyFill="1" applyBorder="1" applyAlignment="1">
      <alignment vertical="center"/>
    </xf>
    <xf numFmtId="41" fontId="6" fillId="0" borderId="76" xfId="0" applyNumberFormat="1" applyFont="1" applyFill="1" applyBorder="1" applyAlignment="1">
      <alignment vertical="center"/>
    </xf>
    <xf numFmtId="41" fontId="6" fillId="0" borderId="55" xfId="0" applyNumberFormat="1" applyFont="1" applyFill="1" applyBorder="1" applyAlignment="1">
      <alignment vertical="center"/>
    </xf>
    <xf numFmtId="41" fontId="6" fillId="6" borderId="86" xfId="0" applyNumberFormat="1" applyFont="1" applyFill="1" applyBorder="1" applyAlignment="1">
      <alignment vertical="center"/>
    </xf>
    <xf numFmtId="41" fontId="6" fillId="6" borderId="87" xfId="0" applyNumberFormat="1" applyFont="1" applyFill="1" applyBorder="1" applyAlignment="1">
      <alignment vertical="center"/>
    </xf>
    <xf numFmtId="41" fontId="6" fillId="9" borderId="86" xfId="0" applyNumberFormat="1" applyFont="1" applyFill="1" applyBorder="1" applyAlignment="1">
      <alignment vertical="center"/>
    </xf>
    <xf numFmtId="41" fontId="6" fillId="9" borderId="54" xfId="0" applyNumberFormat="1" applyFont="1" applyFill="1" applyBorder="1" applyAlignment="1">
      <alignment vertical="center"/>
    </xf>
    <xf numFmtId="0" fontId="2" fillId="0" borderId="88" xfId="0" applyFont="1" applyFill="1" applyBorder="1" applyAlignment="1">
      <alignment vertical="center"/>
    </xf>
    <xf numFmtId="0" fontId="2" fillId="0" borderId="89" xfId="0" applyNumberFormat="1" applyFont="1" applyFill="1" applyBorder="1" applyAlignment="1">
      <alignment vertical="center"/>
    </xf>
    <xf numFmtId="41" fontId="6" fillId="0" borderId="90" xfId="0" applyNumberFormat="1" applyFont="1" applyFill="1" applyBorder="1" applyAlignment="1">
      <alignment vertical="center"/>
    </xf>
    <xf numFmtId="41" fontId="6" fillId="0" borderId="79" xfId="0" applyNumberFormat="1" applyFont="1" applyFill="1" applyBorder="1" applyAlignment="1">
      <alignment horizontal="right" vertical="center"/>
    </xf>
    <xf numFmtId="41" fontId="6" fillId="0" borderId="92" xfId="0" applyNumberFormat="1" applyFont="1" applyFill="1" applyBorder="1" applyAlignment="1">
      <alignment vertical="center"/>
    </xf>
    <xf numFmtId="41" fontId="6" fillId="0" borderId="0" xfId="0" applyNumberFormat="1" applyFont="1" applyFill="1" applyBorder="1" applyAlignment="1">
      <alignment vertical="center"/>
    </xf>
    <xf numFmtId="41" fontId="6" fillId="0" borderId="0" xfId="0" applyNumberFormat="1" applyFont="1" applyFill="1" applyBorder="1" applyAlignment="1">
      <alignment horizontal="right" vertical="center"/>
    </xf>
    <xf numFmtId="0" fontId="2" fillId="0" borderId="93" xfId="0" applyNumberFormat="1" applyFont="1" applyFill="1" applyBorder="1" applyAlignment="1">
      <alignment vertical="center"/>
    </xf>
    <xf numFmtId="41" fontId="6" fillId="0" borderId="66" xfId="0" applyNumberFormat="1" applyFont="1" applyFill="1" applyBorder="1" applyAlignment="1">
      <alignment vertical="center"/>
    </xf>
    <xf numFmtId="41" fontId="6" fillId="0" borderId="86" xfId="0" applyNumberFormat="1" applyFont="1" applyFill="1" applyBorder="1" applyAlignment="1">
      <alignment horizontal="right" vertical="center"/>
    </xf>
    <xf numFmtId="41" fontId="6" fillId="0" borderId="87" xfId="0" applyNumberFormat="1" applyFont="1" applyFill="1" applyBorder="1" applyAlignment="1">
      <alignment vertical="center"/>
    </xf>
    <xf numFmtId="0" fontId="2" fillId="0" borderId="88" xfId="0" applyNumberFormat="1" applyFont="1" applyFill="1" applyBorder="1" applyAlignment="1">
      <alignment vertical="center"/>
    </xf>
    <xf numFmtId="0" fontId="2" fillId="0" borderId="88" xfId="0" applyFont="1" applyBorder="1" applyAlignment="1">
      <alignment vertical="center"/>
    </xf>
    <xf numFmtId="37" fontId="2" fillId="0" borderId="77" xfId="0" applyNumberFormat="1" applyFont="1" applyFill="1" applyBorder="1" applyAlignment="1">
      <alignment vertical="center" wrapText="1"/>
    </xf>
    <xf numFmtId="41" fontId="6" fillId="0" borderId="79" xfId="0" applyNumberFormat="1" applyFont="1" applyFill="1" applyBorder="1" applyAlignment="1">
      <alignment vertical="center"/>
    </xf>
    <xf numFmtId="0" fontId="2" fillId="0" borderId="71" xfId="0" applyFont="1" applyBorder="1" applyAlignment="1">
      <alignment vertical="center"/>
    </xf>
    <xf numFmtId="0" fontId="2" fillId="0" borderId="77" xfId="0" applyNumberFormat="1" applyFont="1" applyFill="1" applyBorder="1" applyAlignment="1">
      <alignment vertical="center"/>
    </xf>
    <xf numFmtId="0" fontId="2" fillId="0" borderId="77" xfId="0" applyFont="1" applyFill="1" applyBorder="1" applyAlignment="1">
      <alignment vertical="center"/>
    </xf>
    <xf numFmtId="41" fontId="6" fillId="6" borderId="79" xfId="0" applyNumberFormat="1" applyFont="1" applyFill="1" applyBorder="1" applyAlignment="1">
      <alignment vertical="center"/>
    </xf>
    <xf numFmtId="41" fontId="6" fillId="6" borderId="92" xfId="0" applyNumberFormat="1" applyFont="1" applyFill="1" applyBorder="1" applyAlignment="1">
      <alignment vertical="center"/>
    </xf>
    <xf numFmtId="41" fontId="6" fillId="9" borderId="79" xfId="0" applyNumberFormat="1" applyFont="1" applyFill="1" applyBorder="1" applyAlignment="1">
      <alignment vertical="center"/>
    </xf>
    <xf numFmtId="41" fontId="6" fillId="9" borderId="94" xfId="0" applyNumberFormat="1" applyFont="1" applyFill="1" applyBorder="1" applyAlignment="1">
      <alignment vertical="center"/>
    </xf>
    <xf numFmtId="0" fontId="2" fillId="0" borderId="17" xfId="0" applyNumberFormat="1" applyFont="1" applyFill="1" applyBorder="1" applyAlignment="1">
      <alignment vertical="center"/>
    </xf>
    <xf numFmtId="41" fontId="6" fillId="0" borderId="4" xfId="0" applyNumberFormat="1" applyFont="1" applyFill="1" applyBorder="1" applyAlignment="1">
      <alignment vertical="center"/>
    </xf>
    <xf numFmtId="41" fontId="6" fillId="0" borderId="13" xfId="0" applyNumberFormat="1" applyFont="1" applyFill="1" applyBorder="1" applyAlignment="1">
      <alignment vertical="center"/>
    </xf>
    <xf numFmtId="41" fontId="6" fillId="0" borderId="80" xfId="0" applyNumberFormat="1" applyFont="1" applyFill="1" applyBorder="1" applyAlignment="1">
      <alignment vertical="center"/>
    </xf>
    <xf numFmtId="0" fontId="2" fillId="0" borderId="77" xfId="0" applyFont="1" applyBorder="1" applyAlignment="1">
      <alignment vertical="center"/>
    </xf>
    <xf numFmtId="41" fontId="6" fillId="0" borderId="75" xfId="0" applyNumberFormat="1" applyFont="1" applyFill="1" applyBorder="1" applyAlignment="1">
      <alignment vertical="center"/>
    </xf>
    <xf numFmtId="41" fontId="6" fillId="0" borderId="75" xfId="0" applyNumberFormat="1" applyFont="1" applyFill="1" applyBorder="1" applyAlignment="1">
      <alignment horizontal="right" vertical="center"/>
    </xf>
    <xf numFmtId="41" fontId="54" fillId="0" borderId="0" xfId="0" applyNumberFormat="1" applyFont="1" applyFill="1"/>
    <xf numFmtId="165" fontId="44" fillId="0" borderId="0" xfId="8" applyNumberFormat="1" applyAlignment="1">
      <alignment vertical="center"/>
    </xf>
    <xf numFmtId="42" fontId="29" fillId="0" borderId="0" xfId="0" applyNumberFormat="1" applyFont="1" applyBorder="1"/>
    <xf numFmtId="172" fontId="29" fillId="0" borderId="0" xfId="0" applyNumberFormat="1" applyFont="1" applyBorder="1"/>
    <xf numFmtId="37" fontId="2" fillId="0" borderId="0" xfId="8" applyNumberFormat="1" applyFont="1"/>
    <xf numFmtId="175" fontId="0" fillId="0" borderId="0" xfId="0" applyNumberFormat="1" applyFont="1"/>
    <xf numFmtId="42" fontId="2" fillId="0" borderId="95" xfId="0" applyNumberFormat="1" applyFont="1" applyBorder="1" applyAlignment="1">
      <alignment horizontal="center"/>
    </xf>
    <xf numFmtId="0" fontId="2" fillId="0" borderId="95" xfId="0" applyFont="1" applyFill="1" applyBorder="1" applyAlignment="1">
      <alignment horizontal="left" vertical="center" wrapText="1"/>
    </xf>
    <xf numFmtId="0" fontId="2" fillId="2" borderId="96" xfId="0" applyFont="1" applyFill="1" applyBorder="1" applyAlignment="1">
      <alignment horizontal="left" vertical="center" wrapText="1"/>
    </xf>
    <xf numFmtId="0" fontId="29" fillId="0" borderId="97" xfId="0" applyFont="1" applyBorder="1"/>
    <xf numFmtId="0" fontId="2" fillId="0" borderId="96" xfId="0" applyFont="1" applyFill="1" applyBorder="1" applyAlignment="1">
      <alignment horizontal="left" vertical="center" wrapText="1"/>
    </xf>
    <xf numFmtId="0" fontId="29" fillId="0" borderId="96" xfId="0" applyFont="1" applyBorder="1"/>
    <xf numFmtId="0" fontId="29" fillId="0" borderId="95" xfId="0" applyFont="1" applyBorder="1"/>
    <xf numFmtId="0" fontId="2" fillId="0" borderId="95" xfId="0" applyFont="1" applyBorder="1" applyAlignment="1">
      <alignment horizontal="left" wrapText="1"/>
    </xf>
    <xf numFmtId="0" fontId="2" fillId="2" borderId="95" xfId="0" applyFont="1" applyFill="1" applyBorder="1" applyAlignment="1">
      <alignment horizontal="left" vertical="center" wrapText="1"/>
    </xf>
    <xf numFmtId="0" fontId="29" fillId="0" borderId="97" xfId="0" applyFont="1" applyBorder="1" applyAlignment="1">
      <alignment vertical="center"/>
    </xf>
    <xf numFmtId="0" fontId="29" fillId="0" borderId="95" xfId="0" applyFont="1" applyBorder="1" applyAlignment="1">
      <alignment vertical="center"/>
    </xf>
    <xf numFmtId="0" fontId="7" fillId="17" borderId="0" xfId="0" applyFont="1" applyFill="1" applyBorder="1" applyAlignment="1">
      <alignment horizontal="right"/>
    </xf>
    <xf numFmtId="0" fontId="7" fillId="17" borderId="0" xfId="0" applyFont="1" applyFill="1" applyBorder="1"/>
    <xf numFmtId="0" fontId="29" fillId="17" borderId="0" xfId="0" applyFont="1" applyFill="1" applyBorder="1"/>
    <xf numFmtId="42" fontId="7" fillId="17" borderId="0" xfId="0" applyNumberFormat="1" applyFont="1" applyFill="1" applyBorder="1" applyAlignment="1">
      <alignment horizontal="center"/>
    </xf>
    <xf numFmtId="0" fontId="53" fillId="0" borderId="95" xfId="0" applyFont="1" applyBorder="1" applyAlignment="1">
      <alignment horizontal="left" vertical="center" wrapText="1"/>
    </xf>
    <xf numFmtId="0" fontId="29" fillId="0" borderId="95" xfId="0" applyFont="1" applyFill="1" applyBorder="1"/>
    <xf numFmtId="0" fontId="2" fillId="0" borderId="95" xfId="0" applyFont="1" applyBorder="1" applyAlignment="1">
      <alignment horizontal="left" vertical="center" wrapText="1"/>
    </xf>
    <xf numFmtId="0" fontId="54" fillId="0" borderId="6" xfId="0" applyFont="1" applyFill="1" applyBorder="1" applyAlignment="1">
      <alignment horizontal="center" vertical="center"/>
    </xf>
    <xf numFmtId="0" fontId="54" fillId="0" borderId="6" xfId="0" applyFont="1" applyFill="1" applyBorder="1" applyAlignment="1">
      <alignment horizontal="center" vertical="center" wrapText="1"/>
    </xf>
    <xf numFmtId="0" fontId="54" fillId="0" borderId="6" xfId="0" applyNumberFormat="1" applyFont="1" applyFill="1" applyBorder="1" applyAlignment="1">
      <alignment horizontal="left" vertical="center" wrapText="1"/>
    </xf>
    <xf numFmtId="42" fontId="54" fillId="0" borderId="6" xfId="0" applyNumberFormat="1" applyFont="1" applyFill="1" applyBorder="1" applyAlignment="1">
      <alignment vertical="center"/>
    </xf>
    <xf numFmtId="0" fontId="54" fillId="0" borderId="6" xfId="0" applyFont="1" applyFill="1" applyBorder="1" applyAlignment="1">
      <alignment horizontal="right" vertical="center" indent="2"/>
    </xf>
    <xf numFmtId="0" fontId="54" fillId="0" borderId="6" xfId="0" quotePrefix="1" applyFont="1" applyFill="1" applyBorder="1" applyAlignment="1">
      <alignment horizontal="left" vertical="center" wrapText="1"/>
    </xf>
    <xf numFmtId="0" fontId="41" fillId="0" borderId="0" xfId="0" applyFont="1" applyFill="1" applyBorder="1" applyAlignment="1">
      <alignment horizontal="left" vertical="center" wrapText="1"/>
    </xf>
    <xf numFmtId="0" fontId="41" fillId="0" borderId="95" xfId="0" applyFont="1" applyFill="1" applyBorder="1" applyAlignment="1">
      <alignment horizontal="left" vertical="center" wrapText="1"/>
    </xf>
    <xf numFmtId="41" fontId="49" fillId="0" borderId="21" xfId="0" applyNumberFormat="1" applyFont="1" applyFill="1" applyBorder="1" applyAlignment="1">
      <alignment vertical="center"/>
    </xf>
    <xf numFmtId="41" fontId="48" fillId="18" borderId="72" xfId="0" applyNumberFormat="1" applyFont="1" applyFill="1" applyBorder="1" applyAlignment="1">
      <alignment horizontal="center" vertical="center" wrapText="1"/>
    </xf>
    <xf numFmtId="41" fontId="48" fillId="18" borderId="12" xfId="0" applyNumberFormat="1" applyFont="1" applyFill="1" applyBorder="1" applyAlignment="1">
      <alignment horizontal="center" vertical="center" wrapText="1"/>
    </xf>
    <xf numFmtId="41" fontId="48" fillId="18" borderId="83" xfId="0" applyNumberFormat="1" applyFont="1" applyFill="1" applyBorder="1" applyAlignment="1">
      <alignment horizontal="center" vertical="center" wrapText="1"/>
    </xf>
    <xf numFmtId="0" fontId="9" fillId="8" borderId="4" xfId="8" applyFont="1" applyFill="1" applyBorder="1" applyAlignment="1">
      <alignment horizontal="center" wrapText="1"/>
    </xf>
    <xf numFmtId="164" fontId="6" fillId="8" borderId="64" xfId="10" applyNumberFormat="1" applyFont="1" applyFill="1" applyBorder="1"/>
    <xf numFmtId="164" fontId="58" fillId="8" borderId="6" xfId="10" applyNumberFormat="1" applyFont="1" applyFill="1" applyBorder="1"/>
    <xf numFmtId="173" fontId="9" fillId="8" borderId="3" xfId="8" applyNumberFormat="1" applyFont="1" applyFill="1" applyBorder="1" applyAlignment="1"/>
    <xf numFmtId="41" fontId="6" fillId="18" borderId="76" xfId="0" applyNumberFormat="1" applyFont="1" applyFill="1" applyBorder="1" applyAlignment="1">
      <alignment vertical="center"/>
    </xf>
    <xf numFmtId="41" fontId="6" fillId="18" borderId="65" xfId="0" applyNumberFormat="1" applyFont="1" applyFill="1" applyBorder="1" applyAlignment="1">
      <alignment vertical="center"/>
    </xf>
    <xf numFmtId="41" fontId="6" fillId="18" borderId="66" xfId="0" applyNumberFormat="1" applyFont="1" applyFill="1" applyBorder="1" applyAlignment="1">
      <alignment vertical="center"/>
    </xf>
    <xf numFmtId="41" fontId="6" fillId="18" borderId="7" xfId="0" applyNumberFormat="1" applyFont="1" applyFill="1" applyBorder="1" applyAlignment="1">
      <alignment vertical="center"/>
    </xf>
    <xf numFmtId="41" fontId="6" fillId="18" borderId="6" xfId="0" applyNumberFormat="1" applyFont="1" applyFill="1" applyBorder="1" applyAlignment="1">
      <alignment vertical="center"/>
    </xf>
    <xf numFmtId="41" fontId="6" fillId="18" borderId="11" xfId="0" applyNumberFormat="1" applyFont="1" applyFill="1" applyBorder="1" applyAlignment="1">
      <alignment vertical="center"/>
    </xf>
    <xf numFmtId="41" fontId="6" fillId="18" borderId="67" xfId="0" applyNumberFormat="1" applyFont="1" applyFill="1" applyBorder="1" applyAlignment="1">
      <alignment vertical="center"/>
    </xf>
    <xf numFmtId="41" fontId="6" fillId="18" borderId="68" xfId="0" applyNumberFormat="1" applyFont="1" applyFill="1" applyBorder="1" applyAlignment="1">
      <alignment vertical="center"/>
    </xf>
    <xf numFmtId="41" fontId="6" fillId="18" borderId="90" xfId="0" applyNumberFormat="1" applyFont="1" applyFill="1" applyBorder="1" applyAlignment="1">
      <alignment vertical="center"/>
    </xf>
    <xf numFmtId="41" fontId="6" fillId="18" borderId="76" xfId="0" applyNumberFormat="1" applyFont="1" applyFill="1" applyBorder="1" applyAlignment="1">
      <alignment horizontal="right" vertical="center"/>
    </xf>
    <xf numFmtId="41" fontId="6" fillId="18" borderId="7" xfId="0" applyNumberFormat="1" applyFont="1" applyFill="1" applyBorder="1" applyAlignment="1">
      <alignment horizontal="right" vertical="center"/>
    </xf>
    <xf numFmtId="41" fontId="49" fillId="18" borderId="21" xfId="0" applyNumberFormat="1" applyFont="1" applyFill="1" applyBorder="1" applyAlignment="1">
      <alignment vertical="center"/>
    </xf>
    <xf numFmtId="164" fontId="9" fillId="19" borderId="3" xfId="8" applyNumberFormat="1" applyFont="1" applyFill="1" applyBorder="1" applyAlignment="1">
      <alignment horizontal="center" vertical="center"/>
    </xf>
    <xf numFmtId="0" fontId="9" fillId="19" borderId="3" xfId="8" applyFont="1" applyFill="1" applyBorder="1" applyAlignment="1">
      <alignment horizontal="center" vertical="center"/>
    </xf>
    <xf numFmtId="0" fontId="9" fillId="19" borderId="13" xfId="8" applyFont="1" applyFill="1" applyBorder="1" applyAlignment="1">
      <alignment horizontal="center" vertical="center" wrapText="1"/>
    </xf>
    <xf numFmtId="164" fontId="9" fillId="19" borderId="17" xfId="8" applyNumberFormat="1" applyFont="1" applyFill="1" applyBorder="1" applyAlignment="1">
      <alignment horizontal="center" vertical="center"/>
    </xf>
    <xf numFmtId="0" fontId="9" fillId="19" borderId="3" xfId="8" applyFont="1" applyFill="1" applyBorder="1" applyAlignment="1">
      <alignment horizontal="center"/>
    </xf>
    <xf numFmtId="164" fontId="6" fillId="19" borderId="13" xfId="10" applyNumberFormat="1" applyFont="1" applyFill="1" applyBorder="1"/>
    <xf numFmtId="164" fontId="6" fillId="19" borderId="74" xfId="10" applyNumberFormat="1" applyFont="1" applyFill="1" applyBorder="1"/>
    <xf numFmtId="164" fontId="6" fillId="19" borderId="23" xfId="10" applyNumberFormat="1" applyFont="1" applyFill="1" applyBorder="1"/>
    <xf numFmtId="164" fontId="6" fillId="19" borderId="82" xfId="10" applyNumberFormat="1" applyFont="1" applyFill="1" applyBorder="1"/>
    <xf numFmtId="164" fontId="6" fillId="19" borderId="64" xfId="10" applyNumberFormat="1" applyFont="1" applyFill="1" applyBorder="1"/>
    <xf numFmtId="38" fontId="6" fillId="19" borderId="13" xfId="9" applyNumberFormat="1" applyFont="1" applyFill="1" applyBorder="1"/>
    <xf numFmtId="38" fontId="6" fillId="19" borderId="4" xfId="9" applyNumberFormat="1" applyFont="1" applyFill="1" applyBorder="1"/>
    <xf numFmtId="10" fontId="6" fillId="19" borderId="4" xfId="15" applyNumberFormat="1" applyFont="1" applyFill="1" applyBorder="1"/>
    <xf numFmtId="164" fontId="58" fillId="19" borderId="13" xfId="10" applyNumberFormat="1" applyFont="1" applyFill="1" applyBorder="1"/>
    <xf numFmtId="164" fontId="58" fillId="19" borderId="81" xfId="10" applyNumberFormat="1" applyFont="1" applyFill="1" applyBorder="1"/>
    <xf numFmtId="164" fontId="58" fillId="19" borderId="6" xfId="10" applyNumberFormat="1" applyFont="1" applyFill="1" applyBorder="1"/>
    <xf numFmtId="164" fontId="58" fillId="19" borderId="8" xfId="10" applyNumberFormat="1" applyFont="1" applyFill="1" applyBorder="1"/>
    <xf numFmtId="164" fontId="58" fillId="19" borderId="7" xfId="10" applyNumberFormat="1" applyFont="1" applyFill="1" applyBorder="1"/>
    <xf numFmtId="38" fontId="58" fillId="19" borderId="13" xfId="9" applyNumberFormat="1" applyFont="1" applyFill="1" applyBorder="1"/>
    <xf numFmtId="38" fontId="58" fillId="19" borderId="4" xfId="9" applyNumberFormat="1" applyFont="1" applyFill="1" applyBorder="1"/>
    <xf numFmtId="10" fontId="58" fillId="19" borderId="4" xfId="15" applyNumberFormat="1" applyFont="1" applyFill="1" applyBorder="1"/>
    <xf numFmtId="164" fontId="58" fillId="19" borderId="9" xfId="10" applyNumberFormat="1" applyFont="1" applyFill="1" applyBorder="1"/>
    <xf numFmtId="38" fontId="58" fillId="19" borderId="8" xfId="9" applyNumberFormat="1" applyFont="1" applyFill="1" applyBorder="1"/>
    <xf numFmtId="38" fontId="58" fillId="19" borderId="6" xfId="9" applyNumberFormat="1" applyFont="1" applyFill="1" applyBorder="1"/>
    <xf numFmtId="10" fontId="58" fillId="19" borderId="6" xfId="15" applyNumberFormat="1" applyFont="1" applyFill="1" applyBorder="1"/>
    <xf numFmtId="164" fontId="58" fillId="19" borderId="17" xfId="10" applyNumberFormat="1" applyFont="1" applyFill="1" applyBorder="1"/>
    <xf numFmtId="164" fontId="58" fillId="19" borderId="4" xfId="10" applyNumberFormat="1" applyFont="1" applyFill="1" applyBorder="1"/>
    <xf numFmtId="164" fontId="58" fillId="19" borderId="8" xfId="9" applyNumberFormat="1" applyFont="1" applyFill="1" applyBorder="1"/>
    <xf numFmtId="41" fontId="58" fillId="19" borderId="9" xfId="9" applyNumberFormat="1" applyFont="1" applyFill="1" applyBorder="1"/>
    <xf numFmtId="167" fontId="58" fillId="19" borderId="8" xfId="9" applyNumberFormat="1" applyFont="1" applyFill="1" applyBorder="1"/>
    <xf numFmtId="167" fontId="58" fillId="19" borderId="6" xfId="9" applyNumberFormat="1" applyFont="1" applyFill="1" applyBorder="1"/>
    <xf numFmtId="164" fontId="58" fillId="19" borderId="19" xfId="10" applyNumberFormat="1" applyFont="1" applyFill="1" applyBorder="1"/>
    <xf numFmtId="164" fontId="58" fillId="19" borderId="15" xfId="10" applyNumberFormat="1" applyFont="1" applyFill="1" applyBorder="1"/>
    <xf numFmtId="164" fontId="58" fillId="19" borderId="79" xfId="10" applyNumberFormat="1" applyFont="1" applyFill="1" applyBorder="1"/>
    <xf numFmtId="164" fontId="58" fillId="19" borderId="68" xfId="10" applyNumberFormat="1" applyFont="1" applyFill="1" applyBorder="1"/>
    <xf numFmtId="164" fontId="58" fillId="19" borderId="12" xfId="10" applyNumberFormat="1" applyFont="1" applyFill="1" applyBorder="1"/>
    <xf numFmtId="38" fontId="58" fillId="19" borderId="19" xfId="9" applyNumberFormat="1" applyFont="1" applyFill="1" applyBorder="1"/>
    <xf numFmtId="38" fontId="58" fillId="19" borderId="12" xfId="9" applyNumberFormat="1" applyFont="1" applyFill="1" applyBorder="1"/>
    <xf numFmtId="164" fontId="58" fillId="19" borderId="19" xfId="8" applyNumberFormat="1" applyFont="1" applyFill="1" applyBorder="1"/>
    <xf numFmtId="41" fontId="58" fillId="19" borderId="12" xfId="8" applyNumberFormat="1" applyFont="1" applyFill="1" applyBorder="1"/>
    <xf numFmtId="43" fontId="58" fillId="19" borderId="23" xfId="10" applyFont="1" applyFill="1" applyBorder="1"/>
    <xf numFmtId="43" fontId="58" fillId="19" borderId="74" xfId="10" applyFont="1" applyFill="1" applyBorder="1"/>
    <xf numFmtId="43" fontId="58" fillId="19" borderId="17" xfId="10" applyFont="1" applyFill="1" applyBorder="1"/>
    <xf numFmtId="43" fontId="58" fillId="19" borderId="16" xfId="10" applyFont="1" applyFill="1" applyBorder="1"/>
    <xf numFmtId="0" fontId="58" fillId="19" borderId="8" xfId="8" applyFont="1" applyFill="1" applyBorder="1"/>
    <xf numFmtId="0" fontId="58" fillId="19" borderId="9" xfId="8" applyFont="1" applyFill="1" applyBorder="1"/>
    <xf numFmtId="10" fontId="58" fillId="19" borderId="0" xfId="15" applyNumberFormat="1" applyFont="1" applyFill="1" applyBorder="1"/>
    <xf numFmtId="164" fontId="23" fillId="19" borderId="54" xfId="8" applyNumberFormat="1" applyFont="1" applyFill="1" applyBorder="1" applyAlignment="1"/>
    <xf numFmtId="38" fontId="9" fillId="19" borderId="3" xfId="9" applyNumberFormat="1" applyFont="1" applyFill="1" applyBorder="1" applyAlignment="1"/>
    <xf numFmtId="38" fontId="9" fillId="19" borderId="8" xfId="8" applyNumberFormat="1" applyFont="1" applyFill="1" applyBorder="1" applyAlignment="1"/>
    <xf numFmtId="38" fontId="9" fillId="19" borderId="9" xfId="8" applyNumberFormat="1" applyFont="1" applyFill="1" applyBorder="1" applyAlignment="1"/>
    <xf numFmtId="38" fontId="15" fillId="19" borderId="3" xfId="8" applyNumberFormat="1" applyFont="1" applyFill="1" applyBorder="1" applyAlignment="1">
      <alignment horizontal="right"/>
    </xf>
    <xf numFmtId="167" fontId="9" fillId="19" borderId="8" xfId="8" applyNumberFormat="1" applyFont="1" applyFill="1" applyBorder="1" applyAlignment="1"/>
    <xf numFmtId="167" fontId="9" fillId="19" borderId="10" xfId="8" applyNumberFormat="1" applyFont="1" applyFill="1" applyBorder="1" applyAlignment="1"/>
    <xf numFmtId="173" fontId="9" fillId="19" borderId="3" xfId="8" applyNumberFormat="1" applyFont="1" applyFill="1" applyBorder="1" applyAlignment="1"/>
    <xf numFmtId="0" fontId="9" fillId="19" borderId="3" xfId="8" applyFont="1" applyFill="1" applyBorder="1" applyAlignment="1">
      <alignment horizontal="left"/>
    </xf>
    <xf numFmtId="0" fontId="23" fillId="19" borderId="3" xfId="8" applyFont="1" applyFill="1" applyBorder="1" applyAlignment="1">
      <alignment horizontal="left"/>
    </xf>
    <xf numFmtId="0" fontId="23" fillId="19" borderId="3" xfId="8" applyFont="1" applyFill="1" applyBorder="1" applyAlignment="1">
      <alignment horizontal="right"/>
    </xf>
    <xf numFmtId="0" fontId="6" fillId="19" borderId="12" xfId="8" applyFont="1" applyFill="1" applyBorder="1" applyAlignment="1">
      <alignment horizontal="center" vertical="center" wrapText="1" shrinkToFit="1"/>
    </xf>
    <xf numFmtId="0" fontId="9" fillId="19" borderId="4" xfId="8" applyFont="1" applyFill="1" applyBorder="1" applyAlignment="1">
      <alignment horizontal="center" wrapText="1"/>
    </xf>
    <xf numFmtId="0" fontId="2" fillId="19" borderId="23" xfId="8" applyFont="1" applyFill="1" applyBorder="1" applyAlignment="1">
      <alignment horizontal="center"/>
    </xf>
    <xf numFmtId="0" fontId="57" fillId="19" borderId="15" xfId="8" applyFont="1" applyFill="1" applyBorder="1" applyAlignment="1">
      <alignment horizontal="center"/>
    </xf>
    <xf numFmtId="0" fontId="57" fillId="19" borderId="6" xfId="8" applyFont="1" applyFill="1" applyBorder="1" applyAlignment="1">
      <alignment horizontal="center"/>
    </xf>
    <xf numFmtId="0" fontId="57" fillId="19" borderId="23" xfId="8" applyFont="1" applyFill="1" applyBorder="1" applyAlignment="1">
      <alignment horizontal="center"/>
    </xf>
    <xf numFmtId="0" fontId="57" fillId="19" borderId="9" xfId="8" applyFont="1" applyFill="1" applyBorder="1" applyAlignment="1">
      <alignment horizontal="center"/>
    </xf>
    <xf numFmtId="0" fontId="9" fillId="8" borderId="4" xfId="8" applyFont="1" applyFill="1" applyBorder="1" applyAlignment="1">
      <alignment horizontal="center" vertical="center" wrapText="1"/>
    </xf>
    <xf numFmtId="0" fontId="9" fillId="8" borderId="6" xfId="8" applyFont="1" applyFill="1" applyBorder="1" applyAlignment="1">
      <alignment horizontal="center" vertical="center" wrapText="1"/>
    </xf>
    <xf numFmtId="0" fontId="2" fillId="8" borderId="0" xfId="8" applyFont="1" applyFill="1"/>
    <xf numFmtId="10" fontId="57" fillId="8" borderId="6" xfId="8" applyNumberFormat="1" applyFont="1" applyFill="1" applyBorder="1" applyAlignment="1">
      <alignment horizontal="right"/>
    </xf>
    <xf numFmtId="0" fontId="58" fillId="8" borderId="0" xfId="8" applyFont="1" applyFill="1" applyAlignment="1">
      <alignment vertical="center"/>
    </xf>
    <xf numFmtId="0" fontId="9" fillId="8" borderId="3" xfId="8" applyFont="1" applyFill="1" applyBorder="1" applyAlignment="1"/>
    <xf numFmtId="0" fontId="6" fillId="8" borderId="64" xfId="8" applyFont="1" applyFill="1" applyBorder="1" applyAlignment="1">
      <alignment horizontal="center" vertical="center" wrapText="1" shrinkToFit="1"/>
    </xf>
    <xf numFmtId="0" fontId="2" fillId="8" borderId="0" xfId="8" applyFont="1" applyFill="1" applyBorder="1" applyAlignment="1">
      <alignment horizontal="center"/>
    </xf>
    <xf numFmtId="0" fontId="57" fillId="8" borderId="16" xfId="8" applyFont="1" applyFill="1" applyBorder="1" applyAlignment="1">
      <alignment horizontal="center"/>
    </xf>
    <xf numFmtId="0" fontId="57" fillId="8" borderId="8" xfId="8" applyFont="1" applyFill="1" applyBorder="1" applyAlignment="1">
      <alignment horizontal="center"/>
    </xf>
    <xf numFmtId="0" fontId="57" fillId="8" borderId="0" xfId="8" applyFont="1" applyFill="1" applyBorder="1" applyAlignment="1">
      <alignment horizontal="center"/>
    </xf>
    <xf numFmtId="0" fontId="54" fillId="0" borderId="22" xfId="0" applyFont="1" applyFill="1" applyBorder="1" applyAlignment="1">
      <alignment horizontal="right" vertical="center" indent="2"/>
    </xf>
    <xf numFmtId="41" fontId="6" fillId="2" borderId="0" xfId="0" applyNumberFormat="1" applyFont="1" applyFill="1" applyBorder="1" applyAlignment="1">
      <alignment vertical="center"/>
    </xf>
    <xf numFmtId="0" fontId="54" fillId="0" borderId="4" xfId="0" applyFont="1" applyFill="1" applyBorder="1" applyAlignment="1">
      <alignment horizontal="center" vertical="center"/>
    </xf>
    <xf numFmtId="0" fontId="54" fillId="0" borderId="4" xfId="0" applyFont="1" applyFill="1" applyBorder="1" applyAlignment="1">
      <alignment horizontal="center" vertical="center" wrapText="1"/>
    </xf>
    <xf numFmtId="0" fontId="54" fillId="0" borderId="4" xfId="0" applyNumberFormat="1" applyFont="1" applyFill="1" applyBorder="1" applyAlignment="1">
      <alignment horizontal="left" vertical="center" wrapText="1"/>
    </xf>
    <xf numFmtId="42" fontId="54" fillId="0" borderId="4" xfId="0" applyNumberFormat="1" applyFont="1" applyFill="1" applyBorder="1" applyAlignment="1">
      <alignment vertical="center"/>
    </xf>
    <xf numFmtId="0" fontId="54" fillId="0" borderId="4" xfId="0" applyFont="1" applyFill="1" applyBorder="1" applyAlignment="1">
      <alignment horizontal="right" vertical="center" indent="2"/>
    </xf>
    <xf numFmtId="41" fontId="54" fillId="0" borderId="4" xfId="0" applyNumberFormat="1" applyFont="1" applyFill="1" applyBorder="1" applyAlignment="1">
      <alignment horizontal="center" vertical="center"/>
    </xf>
    <xf numFmtId="41" fontId="54" fillId="0" borderId="6" xfId="0" applyNumberFormat="1" applyFont="1" applyFill="1" applyBorder="1" applyAlignment="1">
      <alignment horizontal="center" vertical="center"/>
    </xf>
    <xf numFmtId="0" fontId="58" fillId="0" borderId="0" xfId="8" applyFont="1" applyFill="1" applyBorder="1"/>
    <xf numFmtId="0" fontId="59" fillId="0" borderId="0" xfId="8" applyFont="1" applyBorder="1" applyAlignment="1">
      <alignment horizontal="center"/>
    </xf>
    <xf numFmtId="0" fontId="58" fillId="0" borderId="0" xfId="8" applyFont="1" applyBorder="1" applyAlignment="1">
      <alignment vertical="center"/>
    </xf>
    <xf numFmtId="0" fontId="58" fillId="0" borderId="0" xfId="8" applyFont="1" applyBorder="1"/>
    <xf numFmtId="0" fontId="58" fillId="2" borderId="0" xfId="8" applyFont="1" applyFill="1" applyBorder="1"/>
    <xf numFmtId="0" fontId="57" fillId="7" borderId="15" xfId="8" applyNumberFormat="1" applyFont="1" applyFill="1" applyBorder="1" applyAlignment="1">
      <alignment horizontal="left"/>
    </xf>
    <xf numFmtId="0" fontId="57" fillId="0" borderId="16" xfId="8" applyFont="1" applyBorder="1"/>
    <xf numFmtId="10" fontId="57" fillId="0" borderId="19" xfId="8" applyNumberFormat="1" applyFont="1" applyBorder="1"/>
    <xf numFmtId="0" fontId="57" fillId="7" borderId="23" xfId="8" applyNumberFormat="1" applyFont="1" applyFill="1" applyBorder="1" applyAlignment="1">
      <alignment horizontal="left"/>
    </xf>
    <xf numFmtId="10" fontId="57" fillId="0" borderId="22" xfId="8" applyNumberFormat="1" applyFont="1" applyBorder="1"/>
    <xf numFmtId="0" fontId="57" fillId="14" borderId="23" xfId="8" applyNumberFormat="1" applyFont="1" applyFill="1" applyBorder="1" applyAlignment="1">
      <alignment horizontal="left"/>
    </xf>
    <xf numFmtId="0" fontId="57" fillId="7" borderId="23" xfId="8" applyNumberFormat="1" applyFont="1" applyFill="1" applyBorder="1" applyAlignment="1"/>
    <xf numFmtId="0" fontId="58" fillId="0" borderId="22" xfId="8" applyFont="1" applyFill="1" applyBorder="1"/>
    <xf numFmtId="0" fontId="57" fillId="0" borderId="22" xfId="8" applyFont="1" applyBorder="1"/>
    <xf numFmtId="0" fontId="58" fillId="0" borderId="22" xfId="8" applyFont="1" applyBorder="1" applyAlignment="1">
      <alignment vertical="center"/>
    </xf>
    <xf numFmtId="0" fontId="58" fillId="0" borderId="22" xfId="8" applyFont="1" applyBorder="1"/>
    <xf numFmtId="10" fontId="58" fillId="0" borderId="22" xfId="8" applyNumberFormat="1" applyFont="1" applyBorder="1"/>
    <xf numFmtId="0" fontId="58" fillId="2" borderId="22" xfId="8" applyFont="1" applyFill="1" applyBorder="1"/>
    <xf numFmtId="0" fontId="58" fillId="0" borderId="17" xfId="8" applyFont="1" applyBorder="1" applyAlignment="1">
      <alignment vertical="center"/>
    </xf>
    <xf numFmtId="0" fontId="58" fillId="0" borderId="3" xfId="8" applyFont="1" applyBorder="1" applyAlignment="1">
      <alignment vertical="center"/>
    </xf>
    <xf numFmtId="10" fontId="58" fillId="0" borderId="13" xfId="8" applyNumberFormat="1" applyFont="1" applyBorder="1" applyAlignment="1">
      <alignment vertical="center"/>
    </xf>
    <xf numFmtId="0" fontId="58" fillId="0" borderId="22" xfId="8" applyFont="1" applyBorder="1" applyAlignment="1">
      <alignment horizontal="right"/>
    </xf>
    <xf numFmtId="0" fontId="46" fillId="0" borderId="0" xfId="0" applyNumberFormat="1" applyFont="1" applyFill="1" applyAlignment="1">
      <alignment horizontal="right"/>
    </xf>
    <xf numFmtId="41" fontId="46" fillId="0" borderId="0" xfId="0" applyNumberFormat="1" applyFont="1" applyFill="1"/>
    <xf numFmtId="3" fontId="46" fillId="0" borderId="0" xfId="0" applyNumberFormat="1" applyFont="1" applyFill="1"/>
    <xf numFmtId="38" fontId="6" fillId="4" borderId="6" xfId="8" applyNumberFormat="1" applyFont="1" applyFill="1" applyBorder="1" applyAlignment="1">
      <alignment horizontal="center" vertical="center"/>
    </xf>
    <xf numFmtId="164" fontId="58" fillId="19" borderId="10" xfId="10" applyNumberFormat="1" applyFont="1" applyFill="1" applyBorder="1"/>
    <xf numFmtId="0" fontId="57" fillId="8" borderId="6" xfId="8" applyFont="1" applyFill="1" applyBorder="1" applyAlignment="1">
      <alignment horizontal="center"/>
    </xf>
    <xf numFmtId="10" fontId="58" fillId="8" borderId="6" xfId="8" applyNumberFormat="1" applyFont="1" applyFill="1" applyBorder="1" applyAlignment="1">
      <alignment horizontal="right"/>
    </xf>
    <xf numFmtId="0" fontId="0" fillId="0" borderId="0" xfId="8" applyFont="1"/>
    <xf numFmtId="164" fontId="7" fillId="8" borderId="3" xfId="8" applyNumberFormat="1" applyFont="1" applyFill="1" applyBorder="1" applyAlignment="1"/>
    <xf numFmtId="172" fontId="0" fillId="0" borderId="0" xfId="0" applyNumberFormat="1" applyFont="1"/>
    <xf numFmtId="43" fontId="4" fillId="0" borderId="0" xfId="0" applyNumberFormat="1" applyFont="1" applyFill="1"/>
    <xf numFmtId="41" fontId="4" fillId="0" borderId="0" xfId="0" applyNumberFormat="1" applyFont="1" applyFill="1" applyAlignment="1">
      <alignment wrapText="1"/>
    </xf>
    <xf numFmtId="42" fontId="29" fillId="0" borderId="0" xfId="0" applyNumberFormat="1" applyFont="1"/>
    <xf numFmtId="0" fontId="29" fillId="0" borderId="0" xfId="0" applyFont="1" applyBorder="1" applyAlignment="1">
      <alignment horizontal="right"/>
    </xf>
    <xf numFmtId="37" fontId="3" fillId="0" borderId="16" xfId="8" applyNumberFormat="1" applyFont="1" applyBorder="1" applyAlignment="1">
      <alignment horizontal="center" vertical="center"/>
    </xf>
    <xf numFmtId="0" fontId="2" fillId="0" borderId="26" xfId="0" applyFont="1" applyFill="1" applyBorder="1" applyAlignment="1">
      <alignment horizontal="left" vertical="center" wrapText="1"/>
    </xf>
    <xf numFmtId="41" fontId="6" fillId="20" borderId="76" xfId="0" applyNumberFormat="1" applyFont="1" applyFill="1" applyBorder="1" applyAlignment="1">
      <alignment vertical="center"/>
    </xf>
    <xf numFmtId="41" fontId="6" fillId="20" borderId="65" xfId="0" applyNumberFormat="1" applyFont="1" applyFill="1" applyBorder="1" applyAlignment="1">
      <alignment vertical="center"/>
    </xf>
    <xf numFmtId="41" fontId="6" fillId="20" borderId="55" xfId="0" applyNumberFormat="1" applyFont="1" applyFill="1" applyBorder="1" applyAlignment="1">
      <alignment vertical="center"/>
    </xf>
    <xf numFmtId="41" fontId="6" fillId="20" borderId="7" xfId="0" applyNumberFormat="1" applyFont="1" applyFill="1" applyBorder="1" applyAlignment="1">
      <alignment vertical="center"/>
    </xf>
    <xf numFmtId="41" fontId="6" fillId="20" borderId="6" xfId="0" applyNumberFormat="1" applyFont="1" applyFill="1" applyBorder="1" applyAlignment="1">
      <alignment vertical="center"/>
    </xf>
    <xf numFmtId="41" fontId="6" fillId="20" borderId="56" xfId="0" applyNumberFormat="1" applyFont="1" applyFill="1" applyBorder="1" applyAlignment="1">
      <alignment vertical="center"/>
    </xf>
    <xf numFmtId="41" fontId="6" fillId="20" borderId="67" xfId="0" applyNumberFormat="1" applyFont="1" applyFill="1" applyBorder="1" applyAlignment="1">
      <alignment vertical="center"/>
    </xf>
    <xf numFmtId="41" fontId="6" fillId="20" borderId="68" xfId="0" applyNumberFormat="1" applyFont="1" applyFill="1" applyBorder="1" applyAlignment="1">
      <alignment vertical="center"/>
    </xf>
    <xf numFmtId="41" fontId="6" fillId="20" borderId="91" xfId="0" applyNumberFormat="1" applyFont="1" applyFill="1" applyBorder="1" applyAlignment="1">
      <alignment vertical="center"/>
    </xf>
    <xf numFmtId="41" fontId="48" fillId="20" borderId="72" xfId="0" applyNumberFormat="1" applyFont="1" applyFill="1" applyBorder="1" applyAlignment="1">
      <alignment horizontal="center" vertical="center" wrapText="1"/>
    </xf>
    <xf numFmtId="41" fontId="48" fillId="20" borderId="12" xfId="0" applyNumberFormat="1" applyFont="1" applyFill="1" applyBorder="1" applyAlignment="1">
      <alignment horizontal="center" vertical="center" wrapText="1"/>
    </xf>
    <xf numFmtId="41" fontId="48" fillId="20" borderId="70" xfId="0" applyNumberFormat="1" applyFont="1" applyFill="1" applyBorder="1" applyAlignment="1">
      <alignment horizontal="center" vertical="center"/>
    </xf>
    <xf numFmtId="41" fontId="49" fillId="20" borderId="21" xfId="0" applyNumberFormat="1" applyFont="1" applyFill="1" applyBorder="1" applyAlignment="1">
      <alignment vertical="center"/>
    </xf>
    <xf numFmtId="41" fontId="48" fillId="21" borderId="12" xfId="0" applyNumberFormat="1" applyFont="1" applyFill="1" applyBorder="1" applyAlignment="1">
      <alignment horizontal="center" vertical="center" wrapText="1"/>
    </xf>
    <xf numFmtId="41" fontId="48" fillId="21" borderId="85" xfId="0" applyNumberFormat="1" applyFont="1" applyFill="1" applyBorder="1" applyAlignment="1">
      <alignment horizontal="center" vertical="center" wrapText="1"/>
    </xf>
    <xf numFmtId="41" fontId="48" fillId="21" borderId="0" xfId="0" applyNumberFormat="1" applyFont="1" applyFill="1" applyBorder="1" applyAlignment="1">
      <alignment horizontal="center" vertical="center" wrapText="1"/>
    </xf>
    <xf numFmtId="41" fontId="48" fillId="21" borderId="53" xfId="0" applyNumberFormat="1" applyFont="1" applyFill="1" applyBorder="1" applyAlignment="1">
      <alignment horizontal="center" vertical="center" wrapText="1"/>
    </xf>
    <xf numFmtId="41" fontId="6" fillId="21" borderId="65" xfId="0" applyNumberFormat="1" applyFont="1" applyFill="1" applyBorder="1" applyAlignment="1">
      <alignment vertical="center"/>
    </xf>
    <xf numFmtId="41" fontId="6" fillId="21" borderId="55" xfId="0" applyNumberFormat="1" applyFont="1" applyFill="1" applyBorder="1" applyAlignment="1">
      <alignment vertical="center"/>
    </xf>
    <xf numFmtId="41" fontId="6" fillId="21" borderId="6" xfId="0" applyNumberFormat="1" applyFont="1" applyFill="1" applyBorder="1" applyAlignment="1">
      <alignment vertical="center"/>
    </xf>
    <xf numFmtId="41" fontId="6" fillId="21" borderId="56" xfId="0" applyNumberFormat="1" applyFont="1" applyFill="1" applyBorder="1" applyAlignment="1">
      <alignment vertical="center"/>
    </xf>
    <xf numFmtId="41" fontId="6" fillId="21" borderId="68" xfId="0" applyNumberFormat="1" applyFont="1" applyFill="1" applyBorder="1" applyAlignment="1">
      <alignment vertical="center"/>
    </xf>
    <xf numFmtId="41" fontId="6" fillId="21" borderId="91" xfId="0" applyNumberFormat="1" applyFont="1" applyFill="1" applyBorder="1" applyAlignment="1">
      <alignment vertical="center"/>
    </xf>
    <xf numFmtId="41" fontId="6" fillId="21" borderId="11" xfId="0" applyNumberFormat="1" applyFont="1" applyFill="1" applyBorder="1" applyAlignment="1">
      <alignment vertical="center"/>
    </xf>
    <xf numFmtId="41" fontId="49" fillId="21" borderId="21" xfId="0" applyNumberFormat="1" applyFont="1" applyFill="1" applyBorder="1" applyAlignment="1">
      <alignment vertical="center"/>
    </xf>
    <xf numFmtId="0" fontId="57" fillId="21" borderId="23" xfId="8" applyFont="1" applyFill="1" applyBorder="1" applyAlignment="1">
      <alignment horizontal="left"/>
    </xf>
    <xf numFmtId="3" fontId="57" fillId="22" borderId="23" xfId="8" applyNumberFormat="1" applyFont="1" applyFill="1" applyBorder="1" applyAlignment="1"/>
    <xf numFmtId="38" fontId="58" fillId="21" borderId="74" xfId="9" applyNumberFormat="1" applyFont="1" applyFill="1" applyBorder="1"/>
    <xf numFmtId="38" fontId="58" fillId="21" borderId="17" xfId="9" applyNumberFormat="1" applyFont="1" applyFill="1" applyBorder="1"/>
    <xf numFmtId="38" fontId="58" fillId="21" borderId="6" xfId="9" applyNumberFormat="1" applyFont="1" applyFill="1" applyBorder="1" applyAlignment="1"/>
    <xf numFmtId="38" fontId="58" fillId="21" borderId="6" xfId="9" applyNumberFormat="1" applyFont="1" applyFill="1" applyBorder="1"/>
    <xf numFmtId="38" fontId="58" fillId="21" borderId="4" xfId="9" applyNumberFormat="1" applyFont="1" applyFill="1" applyBorder="1"/>
    <xf numFmtId="0" fontId="57" fillId="21" borderId="15" xfId="8" applyFont="1" applyFill="1" applyBorder="1" applyAlignment="1">
      <alignment horizontal="left"/>
    </xf>
    <xf numFmtId="3" fontId="57" fillId="23" borderId="15" xfId="8" applyNumberFormat="1" applyFont="1" applyFill="1" applyBorder="1" applyAlignment="1"/>
    <xf numFmtId="38" fontId="58" fillId="21" borderId="7" xfId="9" applyNumberFormat="1" applyFont="1" applyFill="1" applyBorder="1"/>
    <xf numFmtId="38" fontId="58" fillId="21" borderId="9" xfId="9" applyNumberFormat="1" applyFont="1" applyFill="1" applyBorder="1"/>
    <xf numFmtId="3" fontId="57" fillId="22" borderId="15" xfId="8" applyNumberFormat="1" applyFont="1" applyFill="1" applyBorder="1" applyAlignment="1"/>
    <xf numFmtId="0" fontId="57" fillId="21" borderId="6" xfId="8" applyFont="1" applyFill="1" applyBorder="1" applyAlignment="1">
      <alignment horizontal="left"/>
    </xf>
    <xf numFmtId="3" fontId="57" fillId="23" borderId="6" xfId="8" applyNumberFormat="1" applyFont="1" applyFill="1" applyBorder="1" applyAlignment="1"/>
    <xf numFmtId="0" fontId="57" fillId="23" borderId="6" xfId="8" applyFont="1" applyFill="1" applyBorder="1" applyAlignment="1">
      <alignment horizontal="left"/>
    </xf>
    <xf numFmtId="3" fontId="57" fillId="22" borderId="6" xfId="8" applyNumberFormat="1" applyFont="1" applyFill="1" applyBorder="1" applyAlignment="1"/>
    <xf numFmtId="38" fontId="58" fillId="21" borderId="4" xfId="9" applyNumberFormat="1" applyFont="1" applyFill="1" applyBorder="1" applyAlignment="1"/>
    <xf numFmtId="0" fontId="57" fillId="21" borderId="15" xfId="8" applyFont="1" applyFill="1" applyBorder="1" applyAlignment="1"/>
    <xf numFmtId="0" fontId="57" fillId="23" borderId="15" xfId="8" applyFont="1" applyFill="1" applyBorder="1" applyAlignment="1">
      <alignment horizontal="left"/>
    </xf>
    <xf numFmtId="38" fontId="58" fillId="21" borderId="72" xfId="9" applyNumberFormat="1" applyFont="1" applyFill="1" applyBorder="1"/>
    <xf numFmtId="38" fontId="58" fillId="21" borderId="15" xfId="9" applyNumberFormat="1" applyFont="1" applyFill="1" applyBorder="1"/>
    <xf numFmtId="0" fontId="59" fillId="21" borderId="6" xfId="8" applyFont="1" applyFill="1" applyBorder="1" applyAlignment="1">
      <alignment horizontal="center"/>
    </xf>
    <xf numFmtId="165" fontId="59" fillId="21" borderId="18" xfId="9" applyNumberFormat="1" applyFont="1" applyFill="1" applyBorder="1"/>
    <xf numFmtId="165" fontId="59" fillId="21" borderId="75" xfId="9" applyNumberFormat="1" applyFont="1" applyFill="1" applyBorder="1"/>
    <xf numFmtId="165" fontId="59" fillId="21" borderId="20" xfId="9" applyNumberFormat="1" applyFont="1" applyFill="1" applyBorder="1"/>
    <xf numFmtId="165" fontId="59" fillId="21" borderId="1" xfId="9" applyNumberFormat="1" applyFont="1" applyFill="1" applyBorder="1"/>
    <xf numFmtId="165" fontId="59" fillId="21" borderId="6" xfId="9" applyNumberFormat="1" applyFont="1" applyFill="1" applyBorder="1"/>
    <xf numFmtId="0" fontId="9" fillId="21" borderId="6" xfId="8" applyFont="1" applyFill="1" applyBorder="1" applyAlignment="1">
      <alignment horizontal="center" vertical="center" wrapText="1"/>
    </xf>
    <xf numFmtId="0" fontId="9" fillId="21" borderId="4" xfId="8" applyFont="1" applyFill="1" applyBorder="1" applyAlignment="1">
      <alignment horizontal="center" vertical="center"/>
    </xf>
    <xf numFmtId="0" fontId="9" fillId="21" borderId="4" xfId="8" applyFont="1" applyFill="1" applyBorder="1" applyAlignment="1">
      <alignment horizontal="center" vertical="center" wrapText="1"/>
    </xf>
    <xf numFmtId="0" fontId="9" fillId="21" borderId="17" xfId="8" applyFont="1" applyFill="1" applyBorder="1" applyAlignment="1">
      <alignment horizontal="center" vertical="center"/>
    </xf>
    <xf numFmtId="38" fontId="58" fillId="21" borderId="64" xfId="9" applyNumberFormat="1" applyFont="1" applyFill="1" applyBorder="1"/>
    <xf numFmtId="0" fontId="55" fillId="0" borderId="4" xfId="0" applyFont="1" applyFill="1" applyBorder="1" applyAlignment="1">
      <alignment horizontal="center" vertical="center"/>
    </xf>
    <xf numFmtId="0" fontId="55" fillId="0" borderId="6" xfId="0" applyFont="1" applyFill="1" applyBorder="1" applyAlignment="1">
      <alignment horizontal="center" vertical="center"/>
    </xf>
    <xf numFmtId="0" fontId="56" fillId="0" borderId="14" xfId="0" applyFont="1" applyBorder="1" applyAlignment="1">
      <alignment horizontal="center" vertical="center" wrapText="1"/>
    </xf>
    <xf numFmtId="0" fontId="56" fillId="2" borderId="14" xfId="0" applyFont="1" applyFill="1" applyBorder="1" applyAlignment="1">
      <alignment horizontal="center" vertical="center" wrapText="1"/>
    </xf>
    <xf numFmtId="0" fontId="56" fillId="2" borderId="14" xfId="0" applyFont="1" applyFill="1" applyBorder="1" applyAlignment="1">
      <alignment horizontal="center" vertical="center"/>
    </xf>
    <xf numFmtId="0" fontId="56" fillId="2" borderId="2" xfId="0" applyFont="1" applyFill="1" applyBorder="1" applyAlignment="1">
      <alignment horizontal="center" vertical="center" wrapText="1"/>
    </xf>
    <xf numFmtId="42" fontId="56" fillId="2" borderId="14" xfId="0" applyNumberFormat="1" applyFont="1" applyFill="1" applyBorder="1" applyAlignment="1">
      <alignment horizontal="center" vertical="center"/>
    </xf>
    <xf numFmtId="0" fontId="54" fillId="0" borderId="4" xfId="0" applyFont="1" applyFill="1" applyBorder="1" applyAlignment="1">
      <alignment horizontal="left" vertical="center" wrapText="1"/>
    </xf>
    <xf numFmtId="0" fontId="54" fillId="0" borderId="6" xfId="0" applyFont="1" applyFill="1" applyBorder="1" applyAlignment="1">
      <alignment horizontal="left" vertical="center" wrapText="1"/>
    </xf>
    <xf numFmtId="0" fontId="29" fillId="0" borderId="26" xfId="0" applyFont="1" applyBorder="1"/>
    <xf numFmtId="174" fontId="2" fillId="0" borderId="0" xfId="8" applyNumberFormat="1" applyFont="1" applyAlignment="1">
      <alignment horizontal="center" vertical="center"/>
    </xf>
    <xf numFmtId="4" fontId="9" fillId="0" borderId="0" xfId="15" applyNumberFormat="1" applyFont="1" applyFill="1" applyBorder="1" applyAlignment="1">
      <alignment horizontal="center" vertical="center"/>
    </xf>
    <xf numFmtId="41" fontId="4" fillId="0" borderId="0" xfId="0" quotePrefix="1" applyNumberFormat="1" applyFont="1" applyFill="1"/>
    <xf numFmtId="38" fontId="57" fillId="22" borderId="6" xfId="9" applyNumberFormat="1" applyFont="1" applyFill="1" applyBorder="1"/>
    <xf numFmtId="0" fontId="57" fillId="21" borderId="6" xfId="8" applyFont="1" applyFill="1" applyBorder="1" applyAlignment="1"/>
    <xf numFmtId="10" fontId="58" fillId="19" borderId="64" xfId="15" applyNumberFormat="1" applyFont="1" applyFill="1" applyBorder="1"/>
    <xf numFmtId="0" fontId="57" fillId="8" borderId="19" xfId="8" applyFont="1" applyFill="1" applyBorder="1" applyAlignment="1">
      <alignment horizontal="center"/>
    </xf>
    <xf numFmtId="164" fontId="58" fillId="8" borderId="9" xfId="10" applyNumberFormat="1" applyFont="1" applyFill="1" applyBorder="1"/>
    <xf numFmtId="37" fontId="2" fillId="0" borderId="0" xfId="8" applyNumberFormat="1" applyFont="1" applyAlignment="1">
      <alignment vertical="center"/>
    </xf>
    <xf numFmtId="0" fontId="1" fillId="0" borderId="0" xfId="0" applyNumberFormat="1" applyFont="1" applyFill="1" applyAlignment="1">
      <alignment vertical="top"/>
    </xf>
    <xf numFmtId="0" fontId="7" fillId="0" borderId="0" xfId="0" applyNumberFormat="1" applyFont="1" applyFill="1"/>
    <xf numFmtId="0" fontId="9" fillId="0" borderId="0" xfId="0" applyNumberFormat="1" applyFont="1" applyFill="1" applyAlignment="1">
      <alignment vertical="center" wrapText="1"/>
    </xf>
    <xf numFmtId="0" fontId="7" fillId="0" borderId="0" xfId="0" applyNumberFormat="1" applyFont="1" applyFill="1" applyAlignment="1">
      <alignment vertical="center"/>
    </xf>
    <xf numFmtId="0" fontId="1" fillId="0" borderId="0" xfId="0" applyNumberFormat="1" applyFont="1" applyFill="1" applyAlignment="1">
      <alignment vertical="center"/>
    </xf>
    <xf numFmtId="0" fontId="1" fillId="0" borderId="0" xfId="0" applyNumberFormat="1" applyFont="1" applyFill="1"/>
    <xf numFmtId="7" fontId="29" fillId="0" borderId="0" xfId="0" applyNumberFormat="1" applyFont="1"/>
    <xf numFmtId="42" fontId="7" fillId="2" borderId="4" xfId="0" applyNumberFormat="1" applyFont="1" applyFill="1" applyBorder="1" applyAlignment="1">
      <alignment vertical="center"/>
    </xf>
    <xf numFmtId="42" fontId="0" fillId="2" borderId="4" xfId="0" applyNumberFormat="1" applyFont="1" applyFill="1" applyBorder="1" applyAlignment="1">
      <alignment vertical="center"/>
    </xf>
    <xf numFmtId="41" fontId="0" fillId="2" borderId="4" xfId="0" applyNumberFormat="1" applyFont="1" applyFill="1" applyBorder="1" applyAlignment="1">
      <alignment horizontal="center" vertical="center"/>
    </xf>
    <xf numFmtId="0" fontId="2" fillId="0" borderId="95" xfId="0" applyFont="1" applyBorder="1"/>
    <xf numFmtId="41" fontId="54" fillId="0" borderId="8" xfId="0" applyNumberFormat="1" applyFont="1" applyFill="1" applyBorder="1" applyAlignment="1">
      <alignment horizontal="center" vertical="center"/>
    </xf>
    <xf numFmtId="0" fontId="10" fillId="0" borderId="0" xfId="0" applyFont="1" applyAlignment="1">
      <alignment horizontal="center"/>
    </xf>
    <xf numFmtId="0" fontId="3" fillId="5" borderId="0" xfId="3" applyNumberFormat="1" applyFont="1" applyBorder="1" applyAlignment="1">
      <alignment horizontal="center" vertical="top"/>
    </xf>
    <xf numFmtId="0" fontId="7" fillId="5" borderId="6" xfId="3" applyFont="1" applyBorder="1" applyAlignment="1">
      <alignment horizontal="left" vertical="center" indent="1"/>
    </xf>
    <xf numFmtId="0" fontId="4" fillId="5" borderId="6" xfId="3" applyNumberFormat="1" applyBorder="1" applyAlignment="1">
      <alignment horizontal="left" vertical="center" indent="1"/>
    </xf>
    <xf numFmtId="41" fontId="47" fillId="18" borderId="76" xfId="0" applyNumberFormat="1" applyFont="1" applyFill="1" applyBorder="1" applyAlignment="1">
      <alignment horizontal="center" vertical="center"/>
    </xf>
    <xf numFmtId="41" fontId="47" fillId="18" borderId="65" xfId="0" applyNumberFormat="1" applyFont="1" applyFill="1" applyBorder="1" applyAlignment="1">
      <alignment horizontal="center" vertical="center"/>
    </xf>
    <xf numFmtId="41" fontId="47" fillId="18" borderId="66" xfId="0" applyNumberFormat="1" applyFont="1" applyFill="1" applyBorder="1" applyAlignment="1">
      <alignment horizontal="center" vertical="center"/>
    </xf>
    <xf numFmtId="41" fontId="47" fillId="21" borderId="71" xfId="0" applyNumberFormat="1" applyFont="1" applyFill="1" applyBorder="1" applyAlignment="1">
      <alignment horizontal="center" vertical="center"/>
    </xf>
    <xf numFmtId="41" fontId="47" fillId="21" borderId="54" xfId="0" applyNumberFormat="1" applyFont="1" applyFill="1" applyBorder="1" applyAlignment="1">
      <alignment horizontal="center" vertical="center"/>
    </xf>
    <xf numFmtId="41" fontId="47" fillId="21" borderId="55" xfId="0" applyNumberFormat="1" applyFont="1" applyFill="1" applyBorder="1" applyAlignment="1">
      <alignment horizontal="center" vertical="center"/>
    </xf>
    <xf numFmtId="41" fontId="3" fillId="0" borderId="0" xfId="0" applyNumberFormat="1" applyFont="1" applyFill="1" applyBorder="1" applyAlignment="1">
      <alignment horizontal="center" vertical="top"/>
    </xf>
    <xf numFmtId="41" fontId="9" fillId="0" borderId="71" xfId="0" applyNumberFormat="1" applyFont="1" applyFill="1" applyBorder="1" applyAlignment="1">
      <alignment horizontal="center" vertical="center"/>
    </xf>
    <xf numFmtId="41" fontId="9" fillId="0" borderId="55" xfId="0" applyNumberFormat="1" applyFont="1" applyFill="1" applyBorder="1" applyAlignment="1">
      <alignment horizontal="center" vertical="center"/>
    </xf>
    <xf numFmtId="41" fontId="47" fillId="20" borderId="71" xfId="0" applyNumberFormat="1" applyFont="1" applyFill="1" applyBorder="1" applyAlignment="1">
      <alignment horizontal="center" vertical="center"/>
    </xf>
    <xf numFmtId="41" fontId="47" fillId="20" borderId="54" xfId="0" applyNumberFormat="1" applyFont="1" applyFill="1" applyBorder="1" applyAlignment="1">
      <alignment horizontal="center" vertical="center"/>
    </xf>
    <xf numFmtId="41" fontId="47" fillId="20" borderId="55" xfId="0" applyNumberFormat="1" applyFont="1" applyFill="1" applyBorder="1" applyAlignment="1">
      <alignment horizontal="center" vertical="center"/>
    </xf>
    <xf numFmtId="173" fontId="60" fillId="0" borderId="30" xfId="8" applyNumberFormat="1" applyFont="1" applyBorder="1" applyAlignment="1">
      <alignment horizontal="left" vertical="center"/>
    </xf>
    <xf numFmtId="0" fontId="3" fillId="0" borderId="30" xfId="8" applyFont="1" applyBorder="1" applyAlignment="1">
      <alignment horizontal="right" vertical="center"/>
    </xf>
    <xf numFmtId="0" fontId="9" fillId="8" borderId="12" xfId="8" applyFont="1" applyFill="1" applyBorder="1" applyAlignment="1">
      <alignment horizontal="center" vertical="center" wrapText="1"/>
    </xf>
    <xf numFmtId="0" fontId="9" fillId="8" borderId="4" xfId="8" applyFont="1" applyFill="1" applyBorder="1" applyAlignment="1">
      <alignment horizontal="center" vertical="center" wrapText="1"/>
    </xf>
    <xf numFmtId="0" fontId="9" fillId="24" borderId="12" xfId="8" applyFont="1" applyFill="1" applyBorder="1" applyAlignment="1">
      <alignment horizontal="center" vertical="center"/>
    </xf>
    <xf numFmtId="0" fontId="9" fillId="24" borderId="4" xfId="8" applyFont="1" applyFill="1" applyBorder="1" applyAlignment="1">
      <alignment horizontal="center" vertical="center"/>
    </xf>
    <xf numFmtId="37" fontId="3" fillId="0" borderId="30" xfId="8" applyNumberFormat="1" applyFont="1" applyBorder="1" applyAlignment="1">
      <alignment horizontal="center" vertical="center"/>
    </xf>
    <xf numFmtId="0" fontId="12" fillId="0" borderId="0" xfId="8" applyFont="1" applyAlignment="1">
      <alignment horizontal="center"/>
    </xf>
    <xf numFmtId="0" fontId="9" fillId="19" borderId="9" xfId="8" applyFont="1" applyFill="1" applyBorder="1" applyAlignment="1">
      <alignment horizontal="center" vertical="center"/>
    </xf>
    <xf numFmtId="0" fontId="9" fillId="19" borderId="10" xfId="8" applyFont="1" applyFill="1" applyBorder="1" applyAlignment="1">
      <alignment horizontal="center" vertical="center"/>
    </xf>
    <xf numFmtId="0" fontId="9" fillId="19" borderId="8" xfId="8" applyFont="1" applyFill="1" applyBorder="1" applyAlignment="1">
      <alignment horizontal="center" vertical="center"/>
    </xf>
    <xf numFmtId="0" fontId="7" fillId="8" borderId="9" xfId="8" applyFont="1" applyFill="1" applyBorder="1" applyAlignment="1">
      <alignment horizontal="center" vertical="center"/>
    </xf>
    <xf numFmtId="0" fontId="7" fillId="8" borderId="10" xfId="8" applyFont="1" applyFill="1" applyBorder="1" applyAlignment="1">
      <alignment horizontal="center" vertical="center"/>
    </xf>
    <xf numFmtId="0" fontId="7" fillId="8" borderId="8" xfId="8" applyFont="1" applyFill="1" applyBorder="1" applyAlignment="1">
      <alignment horizontal="center" vertical="center"/>
    </xf>
    <xf numFmtId="0" fontId="21" fillId="6" borderId="17" xfId="8" applyFont="1" applyFill="1" applyBorder="1" applyAlignment="1">
      <alignment horizontal="right"/>
    </xf>
    <xf numFmtId="0" fontId="21" fillId="6" borderId="3" xfId="8" applyFont="1" applyFill="1" applyBorder="1" applyAlignment="1">
      <alignment horizontal="right"/>
    </xf>
    <xf numFmtId="0" fontId="21" fillId="6" borderId="13" xfId="8" applyFont="1" applyFill="1" applyBorder="1" applyAlignment="1">
      <alignment horizontal="right"/>
    </xf>
    <xf numFmtId="0" fontId="9" fillId="0" borderId="0" xfId="8" applyFont="1" applyAlignment="1">
      <alignment horizontal="center"/>
    </xf>
    <xf numFmtId="0" fontId="9" fillId="7" borderId="10" xfId="8" applyFont="1" applyFill="1" applyBorder="1" applyAlignment="1">
      <alignment horizontal="center" vertical="center"/>
    </xf>
    <xf numFmtId="0" fontId="9" fillId="7" borderId="10" xfId="8" applyFont="1" applyFill="1" applyBorder="1" applyAlignment="1">
      <alignment horizontal="center" vertical="center" wrapText="1"/>
    </xf>
    <xf numFmtId="0" fontId="9" fillId="7" borderId="6" xfId="8" applyFont="1" applyFill="1" applyBorder="1" applyAlignment="1">
      <alignment horizontal="center" vertical="center" wrapText="1"/>
    </xf>
    <xf numFmtId="0" fontId="9" fillId="19" borderId="10" xfId="8" applyFont="1" applyFill="1" applyBorder="1" applyAlignment="1">
      <alignment horizontal="center" vertical="center" wrapText="1"/>
    </xf>
    <xf numFmtId="0" fontId="44" fillId="19" borderId="8" xfId="8" applyFill="1" applyBorder="1" applyAlignment="1">
      <alignment horizontal="center" vertical="center" wrapText="1"/>
    </xf>
    <xf numFmtId="0" fontId="9" fillId="19" borderId="9" xfId="8" applyFont="1" applyFill="1" applyBorder="1" applyAlignment="1">
      <alignment horizontal="center" vertical="center" wrapText="1"/>
    </xf>
    <xf numFmtId="0" fontId="9" fillId="19" borderId="16" xfId="8" applyFont="1" applyFill="1" applyBorder="1" applyAlignment="1">
      <alignment horizontal="center" vertical="center" wrapText="1"/>
    </xf>
    <xf numFmtId="0" fontId="9" fillId="19" borderId="12" xfId="8" applyFont="1" applyFill="1" applyBorder="1" applyAlignment="1">
      <alignment horizontal="center" vertical="center" wrapText="1"/>
    </xf>
    <xf numFmtId="0" fontId="9" fillId="19" borderId="4" xfId="8" applyFont="1" applyFill="1" applyBorder="1" applyAlignment="1">
      <alignment horizontal="center" vertical="center" wrapText="1"/>
    </xf>
    <xf numFmtId="0" fontId="9" fillId="4" borderId="12" xfId="8" applyFont="1" applyFill="1" applyBorder="1" applyAlignment="1">
      <alignment horizontal="center" vertical="center" wrapText="1"/>
    </xf>
    <xf numFmtId="0" fontId="9" fillId="4" borderId="4" xfId="8" applyFont="1" applyFill="1" applyBorder="1" applyAlignment="1">
      <alignment horizontal="center" vertical="center" wrapText="1"/>
    </xf>
    <xf numFmtId="0" fontId="9" fillId="0" borderId="12" xfId="8" applyFont="1" applyBorder="1" applyAlignment="1">
      <alignment horizontal="center" vertical="center" wrapText="1"/>
    </xf>
    <xf numFmtId="0" fontId="9" fillId="0" borderId="4" xfId="8" applyFont="1" applyBorder="1" applyAlignment="1">
      <alignment horizontal="center" vertical="center" wrapText="1"/>
    </xf>
    <xf numFmtId="0" fontId="6" fillId="3" borderId="6" xfId="8" applyFont="1" applyFill="1" applyBorder="1" applyAlignment="1">
      <alignment horizontal="center" vertical="center"/>
    </xf>
    <xf numFmtId="0" fontId="21" fillId="3" borderId="6" xfId="8" applyFont="1" applyFill="1" applyBorder="1" applyAlignment="1">
      <alignment horizontal="center" vertical="center"/>
    </xf>
    <xf numFmtId="0" fontId="21" fillId="4" borderId="17" xfId="8" applyFont="1" applyFill="1" applyBorder="1" applyAlignment="1">
      <alignment horizontal="right"/>
    </xf>
    <xf numFmtId="0" fontId="21" fillId="4" borderId="3" xfId="8" applyFont="1" applyFill="1" applyBorder="1" applyAlignment="1">
      <alignment horizontal="right"/>
    </xf>
    <xf numFmtId="0" fontId="21" fillId="4" borderId="13" xfId="8" applyFont="1" applyFill="1" applyBorder="1" applyAlignment="1">
      <alignment horizontal="right"/>
    </xf>
    <xf numFmtId="38" fontId="44" fillId="4" borderId="6" xfId="8" applyNumberFormat="1" applyFill="1" applyBorder="1" applyAlignment="1">
      <alignment horizontal="center" vertical="center"/>
    </xf>
    <xf numFmtId="38" fontId="6" fillId="4" borderId="6" xfId="8" applyNumberFormat="1" applyFont="1" applyFill="1" applyBorder="1" applyAlignment="1">
      <alignment horizontal="center" vertical="center"/>
    </xf>
    <xf numFmtId="0" fontId="9" fillId="7" borderId="6" xfId="8" applyFont="1" applyFill="1" applyBorder="1" applyAlignment="1">
      <alignment horizontal="center" vertical="center"/>
    </xf>
    <xf numFmtId="3" fontId="28" fillId="0" borderId="6" xfId="9" applyNumberFormat="1" applyFont="1" applyFill="1" applyBorder="1" applyAlignment="1">
      <alignment horizontal="center" vertical="center"/>
    </xf>
    <xf numFmtId="0" fontId="28" fillId="0" borderId="6" xfId="9" applyNumberFormat="1" applyFont="1" applyFill="1" applyBorder="1" applyAlignment="1">
      <alignment horizontal="center" vertical="center"/>
    </xf>
    <xf numFmtId="0" fontId="56" fillId="2" borderId="2" xfId="0" applyFont="1" applyFill="1" applyBorder="1" applyAlignment="1">
      <alignment horizontal="center" vertical="center"/>
    </xf>
    <xf numFmtId="0" fontId="2" fillId="0" borderId="0" xfId="0" applyFont="1" applyAlignment="1">
      <alignment horizontal="left" wrapText="1"/>
    </xf>
    <xf numFmtId="0" fontId="2" fillId="9" borderId="42" xfId="0" applyFont="1" applyFill="1" applyBorder="1" applyAlignment="1">
      <alignment horizontal="left" vertical="center" wrapText="1"/>
    </xf>
    <xf numFmtId="0" fontId="2" fillId="9" borderId="43" xfId="0" applyFont="1" applyFill="1" applyBorder="1" applyAlignment="1">
      <alignment horizontal="left" vertical="center" wrapText="1"/>
    </xf>
    <xf numFmtId="0" fontId="2" fillId="9" borderId="44" xfId="0" applyFont="1" applyFill="1" applyBorder="1" applyAlignment="1">
      <alignment horizontal="left" vertical="center" wrapText="1"/>
    </xf>
    <xf numFmtId="0" fontId="2" fillId="8" borderId="50" xfId="0" applyFont="1" applyFill="1" applyBorder="1" applyAlignment="1">
      <alignment horizontal="left" vertical="center" wrapText="1"/>
    </xf>
    <xf numFmtId="0" fontId="2" fillId="8" borderId="51" xfId="0" applyFont="1" applyFill="1" applyBorder="1" applyAlignment="1">
      <alignment horizontal="left" vertical="center" wrapText="1"/>
    </xf>
    <xf numFmtId="0" fontId="2" fillId="8" borderId="52" xfId="0" applyFont="1" applyFill="1" applyBorder="1" applyAlignment="1">
      <alignment horizontal="left" vertical="center" wrapText="1"/>
    </xf>
    <xf numFmtId="170" fontId="21" fillId="0" borderId="24" xfId="0" applyNumberFormat="1" applyFont="1" applyBorder="1" applyAlignment="1">
      <alignment horizontal="center" vertical="center"/>
    </xf>
    <xf numFmtId="0" fontId="6" fillId="0" borderId="0" xfId="0" applyFont="1" applyAlignment="1">
      <alignment horizontal="left" vertical="center" wrapText="1"/>
    </xf>
    <xf numFmtId="0" fontId="23" fillId="8" borderId="25" xfId="0" applyFont="1" applyFill="1" applyBorder="1" applyAlignment="1">
      <alignment horizontal="left" vertical="center"/>
    </xf>
    <xf numFmtId="0" fontId="23" fillId="8" borderId="26" xfId="0" applyFont="1" applyFill="1" applyBorder="1" applyAlignment="1">
      <alignment horizontal="left" vertical="center"/>
    </xf>
    <xf numFmtId="0" fontId="34" fillId="8" borderId="27" xfId="0" applyFont="1" applyFill="1" applyBorder="1" applyAlignment="1">
      <alignment horizontal="right" vertical="center"/>
    </xf>
    <xf numFmtId="0" fontId="34" fillId="8" borderId="0" xfId="0" applyFont="1" applyFill="1" applyBorder="1" applyAlignment="1">
      <alignment horizontal="right" vertical="center"/>
    </xf>
    <xf numFmtId="0" fontId="41" fillId="9" borderId="39" xfId="0" applyFont="1" applyFill="1" applyBorder="1" applyAlignment="1">
      <alignment horizontal="left" vertical="center" wrapText="1"/>
    </xf>
    <xf numFmtId="0" fontId="41" fillId="9" borderId="40" xfId="0" applyFont="1" applyFill="1" applyBorder="1" applyAlignment="1">
      <alignment horizontal="left" vertical="center" wrapText="1"/>
    </xf>
    <xf numFmtId="0" fontId="41" fillId="9" borderId="41" xfId="0" applyFont="1" applyFill="1" applyBorder="1" applyAlignment="1">
      <alignment horizontal="left" vertical="center" wrapText="1"/>
    </xf>
    <xf numFmtId="0" fontId="41" fillId="9" borderId="42" xfId="0" applyFont="1" applyFill="1" applyBorder="1" applyAlignment="1">
      <alignment horizontal="left" vertical="center" wrapText="1"/>
    </xf>
    <xf numFmtId="0" fontId="41" fillId="9" borderId="43" xfId="0" applyFont="1" applyFill="1" applyBorder="1" applyAlignment="1">
      <alignment horizontal="left" vertical="center" wrapText="1"/>
    </xf>
    <xf numFmtId="0" fontId="41" fillId="9" borderId="44" xfId="0" applyFont="1" applyFill="1" applyBorder="1" applyAlignment="1">
      <alignment horizontal="left" vertical="center" wrapText="1"/>
    </xf>
    <xf numFmtId="0" fontId="23" fillId="8" borderId="27" xfId="0" applyFont="1" applyFill="1" applyBorder="1" applyAlignment="1">
      <alignment horizontal="right" vertical="top"/>
    </xf>
    <xf numFmtId="0" fontId="23" fillId="8" borderId="0" xfId="0" applyFont="1" applyFill="1" applyBorder="1" applyAlignment="1">
      <alignment horizontal="right" vertical="top"/>
    </xf>
    <xf numFmtId="172" fontId="23" fillId="8" borderId="27" xfId="2" applyNumberFormat="1" applyFont="1" applyFill="1" applyBorder="1" applyAlignment="1">
      <alignment horizontal="right" vertical="top"/>
    </xf>
    <xf numFmtId="172" fontId="23" fillId="8" borderId="0" xfId="2" applyNumberFormat="1" applyFont="1" applyFill="1" applyBorder="1" applyAlignment="1">
      <alignment horizontal="right" vertical="top"/>
    </xf>
    <xf numFmtId="172" fontId="23" fillId="8" borderId="29" xfId="7" applyNumberFormat="1" applyFont="1" applyFill="1" applyBorder="1" applyAlignment="1">
      <alignment horizontal="right" vertical="center"/>
    </xf>
    <xf numFmtId="172" fontId="23" fillId="8" borderId="30" xfId="7" applyNumberFormat="1" applyFont="1" applyFill="1" applyBorder="1" applyAlignment="1">
      <alignment horizontal="right" vertical="center"/>
    </xf>
    <xf numFmtId="0" fontId="23" fillId="8" borderId="27" xfId="0" applyFont="1" applyFill="1" applyBorder="1" applyAlignment="1">
      <alignment horizontal="right" vertical="center"/>
    </xf>
    <xf numFmtId="0" fontId="23" fillId="8" borderId="0" xfId="0" applyFont="1" applyFill="1" applyBorder="1" applyAlignment="1">
      <alignment horizontal="right" vertical="center"/>
    </xf>
    <xf numFmtId="0" fontId="30" fillId="0" borderId="0" xfId="0" applyFont="1" applyBorder="1" applyAlignment="1">
      <alignment horizontal="center"/>
    </xf>
    <xf numFmtId="0" fontId="2" fillId="0" borderId="0" xfId="0" applyFont="1" applyAlignment="1">
      <alignment horizontal="left" vertical="center" wrapText="1"/>
    </xf>
    <xf numFmtId="0" fontId="30" fillId="0" borderId="0" xfId="0" applyFont="1" applyBorder="1" applyAlignment="1">
      <alignment horizontal="center" wrapText="1"/>
    </xf>
    <xf numFmtId="0" fontId="6" fillId="0" borderId="95" xfId="0" applyFont="1" applyBorder="1" applyAlignment="1">
      <alignment horizontal="left" vertical="center" wrapText="1"/>
    </xf>
    <xf numFmtId="170" fontId="21" fillId="0" borderId="24" xfId="0" applyNumberFormat="1" applyFont="1" applyFill="1" applyBorder="1" applyAlignment="1">
      <alignment horizontal="center" vertical="center"/>
    </xf>
    <xf numFmtId="0" fontId="2" fillId="8" borderId="98" xfId="0" applyFont="1" applyFill="1" applyBorder="1" applyAlignment="1">
      <alignment horizontal="left" vertical="center" wrapText="1"/>
    </xf>
    <xf numFmtId="0" fontId="2" fillId="8" borderId="99" xfId="0" applyFont="1" applyFill="1" applyBorder="1" applyAlignment="1">
      <alignment horizontal="left" vertical="center" wrapText="1"/>
    </xf>
    <xf numFmtId="0" fontId="2" fillId="8" borderId="100" xfId="0" applyFont="1" applyFill="1" applyBorder="1" applyAlignment="1">
      <alignment horizontal="left" vertical="center" wrapText="1"/>
    </xf>
    <xf numFmtId="0" fontId="30" fillId="0" borderId="0" xfId="0" applyFont="1" applyBorder="1" applyAlignment="1">
      <alignment horizontal="center" vertical="center"/>
    </xf>
    <xf numFmtId="0" fontId="6" fillId="0" borderId="0" xfId="0" applyFont="1" applyFill="1" applyAlignment="1">
      <alignment horizontal="left" vertical="center" wrapText="1"/>
    </xf>
    <xf numFmtId="6" fontId="23" fillId="8" borderId="29" xfId="2" quotePrefix="1" applyNumberFormat="1" applyFont="1" applyFill="1" applyBorder="1" applyAlignment="1">
      <alignment horizontal="right" vertical="center"/>
    </xf>
    <xf numFmtId="6" fontId="23" fillId="8" borderId="30" xfId="2" quotePrefix="1" applyNumberFormat="1" applyFont="1" applyFill="1" applyBorder="1" applyAlignment="1">
      <alignment horizontal="right" vertical="center"/>
    </xf>
    <xf numFmtId="10" fontId="23" fillId="8" borderId="28" xfId="7" applyNumberFormat="1" applyFont="1" applyFill="1" applyBorder="1" applyAlignment="1">
      <alignment horizontal="right" vertical="center"/>
    </xf>
    <xf numFmtId="10" fontId="23" fillId="8" borderId="3" xfId="7" applyNumberFormat="1" applyFont="1" applyFill="1" applyBorder="1" applyAlignment="1">
      <alignment horizontal="right" vertical="center"/>
    </xf>
    <xf numFmtId="0" fontId="29" fillId="0" borderId="95" xfId="0" applyFont="1" applyBorder="1" applyAlignment="1">
      <alignment horizontal="center"/>
    </xf>
    <xf numFmtId="170" fontId="21" fillId="17" borderId="24" xfId="0" applyNumberFormat="1" applyFont="1" applyFill="1" applyBorder="1" applyAlignment="1">
      <alignment horizontal="center" vertical="center"/>
    </xf>
    <xf numFmtId="0" fontId="2" fillId="17" borderId="0" xfId="0" applyFont="1" applyFill="1" applyAlignment="1">
      <alignment horizontal="left" vertical="center" wrapText="1"/>
    </xf>
    <xf numFmtId="0" fontId="2" fillId="8" borderId="31" xfId="0" applyFont="1" applyFill="1" applyBorder="1" applyAlignment="1">
      <alignment horizontal="left" vertical="center" wrapText="1"/>
    </xf>
    <xf numFmtId="0" fontId="2" fillId="8" borderId="32" xfId="0" applyFont="1" applyFill="1" applyBorder="1" applyAlignment="1">
      <alignment horizontal="left" vertical="center" wrapText="1"/>
    </xf>
    <xf numFmtId="0" fontId="2" fillId="8" borderId="33" xfId="0" applyFont="1" applyFill="1" applyBorder="1" applyAlignment="1">
      <alignment horizontal="left" vertical="center" wrapText="1"/>
    </xf>
    <xf numFmtId="0" fontId="29" fillId="0" borderId="0" xfId="0" applyFont="1" applyAlignment="1">
      <alignment horizontal="center"/>
    </xf>
    <xf numFmtId="0" fontId="43" fillId="0" borderId="0" xfId="0" applyFont="1" applyAlignment="1">
      <alignment horizontal="center"/>
    </xf>
    <xf numFmtId="0" fontId="42" fillId="0" borderId="0" xfId="0" applyFont="1" applyAlignment="1"/>
    <xf numFmtId="0" fontId="2" fillId="0" borderId="0" xfId="0" applyFont="1" applyFill="1" applyAlignment="1">
      <alignment vertical="center" wrapText="1"/>
    </xf>
    <xf numFmtId="0" fontId="29" fillId="0" borderId="0" xfId="0" applyFont="1" applyFill="1" applyAlignment="1">
      <alignment vertical="center" wrapText="1"/>
    </xf>
    <xf numFmtId="0" fontId="30" fillId="0" borderId="0" xfId="0" applyFont="1" applyAlignment="1">
      <alignment horizontal="center"/>
    </xf>
    <xf numFmtId="0" fontId="0" fillId="0" borderId="32" xfId="0" applyBorder="1"/>
    <xf numFmtId="0" fontId="0" fillId="0" borderId="33" xfId="0" applyBorder="1"/>
    <xf numFmtId="10" fontId="23" fillId="8" borderId="57" xfId="2" quotePrefix="1" applyNumberFormat="1" applyFont="1" applyFill="1" applyBorder="1" applyAlignment="1">
      <alignment horizontal="center" vertical="center"/>
    </xf>
    <xf numFmtId="6" fontId="23" fillId="8" borderId="58" xfId="2" quotePrefix="1" applyNumberFormat="1" applyFont="1" applyFill="1" applyBorder="1" applyAlignment="1">
      <alignment horizontal="center" vertical="center"/>
    </xf>
    <xf numFmtId="0" fontId="30" fillId="0" borderId="0" xfId="0" applyFont="1" applyBorder="1" applyAlignment="1">
      <alignment horizontal="center" vertical="center" wrapText="1"/>
    </xf>
    <xf numFmtId="0" fontId="23" fillId="17" borderId="27" xfId="0" applyFont="1" applyFill="1" applyBorder="1" applyAlignment="1">
      <alignment horizontal="right" vertical="top"/>
    </xf>
    <xf numFmtId="0" fontId="23" fillId="17" borderId="0" xfId="0" applyFont="1" applyFill="1" applyBorder="1" applyAlignment="1">
      <alignment horizontal="right" vertical="top"/>
    </xf>
    <xf numFmtId="172" fontId="23" fillId="17" borderId="27" xfId="2" applyNumberFormat="1" applyFont="1" applyFill="1" applyBorder="1" applyAlignment="1">
      <alignment horizontal="right" vertical="top"/>
    </xf>
    <xf numFmtId="172" fontId="23" fillId="17" borderId="0" xfId="2" applyNumberFormat="1" applyFont="1" applyFill="1" applyBorder="1" applyAlignment="1">
      <alignment horizontal="right" vertical="top"/>
    </xf>
    <xf numFmtId="6" fontId="23" fillId="17" borderId="29" xfId="2" quotePrefix="1" applyNumberFormat="1" applyFont="1" applyFill="1" applyBorder="1" applyAlignment="1">
      <alignment horizontal="left" vertical="center"/>
    </xf>
    <xf numFmtId="6" fontId="23" fillId="17" borderId="30" xfId="2" quotePrefix="1" applyNumberFormat="1" applyFont="1" applyFill="1" applyBorder="1" applyAlignment="1">
      <alignment horizontal="left" vertical="center"/>
    </xf>
    <xf numFmtId="0" fontId="2" fillId="17" borderId="31" xfId="0" applyFont="1" applyFill="1" applyBorder="1" applyAlignment="1">
      <alignment horizontal="left" vertical="center" wrapText="1"/>
    </xf>
    <xf numFmtId="0" fontId="2" fillId="17" borderId="32" xfId="0" applyFont="1" applyFill="1" applyBorder="1" applyAlignment="1">
      <alignment horizontal="left" vertical="center" wrapText="1"/>
    </xf>
    <xf numFmtId="0" fontId="2" fillId="17" borderId="33" xfId="0" applyFont="1" applyFill="1" applyBorder="1" applyAlignment="1">
      <alignment horizontal="left" vertical="center" wrapText="1"/>
    </xf>
    <xf numFmtId="0" fontId="23" fillId="17" borderId="25" xfId="0" applyFont="1" applyFill="1" applyBorder="1" applyAlignment="1">
      <alignment horizontal="left" vertical="center"/>
    </xf>
    <xf numFmtId="0" fontId="23" fillId="17" borderId="26" xfId="0" applyFont="1" applyFill="1" applyBorder="1" applyAlignment="1">
      <alignment horizontal="left" vertical="center"/>
    </xf>
    <xf numFmtId="0" fontId="34" fillId="17" borderId="27" xfId="0" applyFont="1" applyFill="1" applyBorder="1" applyAlignment="1">
      <alignment horizontal="right" vertical="center"/>
    </xf>
    <xf numFmtId="0" fontId="34" fillId="17" borderId="0" xfId="0" applyFont="1" applyFill="1" applyBorder="1" applyAlignment="1">
      <alignment horizontal="right" vertical="center"/>
    </xf>
    <xf numFmtId="0" fontId="18" fillId="2" borderId="2" xfId="0" applyFont="1" applyFill="1" applyBorder="1" applyAlignment="1">
      <alignment horizontal="center" vertical="center"/>
    </xf>
    <xf numFmtId="0" fontId="0" fillId="0" borderId="0" xfId="0" applyAlignment="1">
      <alignment horizontal="left" wrapText="1"/>
    </xf>
  </cellXfs>
  <cellStyles count="17">
    <cellStyle name="Comma" xfId="1" builtinId="3"/>
    <cellStyle name="Comma [0] 2" xfId="6"/>
    <cellStyle name="Comma 2" xfId="10"/>
    <cellStyle name="Comma 4" xfId="12"/>
    <cellStyle name="Currency" xfId="2" builtinId="4"/>
    <cellStyle name="Currency [0] 2" xfId="5"/>
    <cellStyle name="Currency 2" xfId="9"/>
    <cellStyle name="Normal" xfId="0" builtinId="0"/>
    <cellStyle name="Normal 2" xfId="3"/>
    <cellStyle name="Normal 2 2" xfId="4"/>
    <cellStyle name="Normal 2 2 2" xfId="14"/>
    <cellStyle name="Normal 3" xfId="8"/>
    <cellStyle name="Normal 3 2" xfId="16"/>
    <cellStyle name="Normal 5" xfId="11"/>
    <cellStyle name="Percent" xfId="7" builtinId="5"/>
    <cellStyle name="Percent 2" xfId="15"/>
    <cellStyle name="Percent 3" xfId="13"/>
  </cellStyles>
  <dxfs count="45">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center"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33"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32" formatCode="_(&quot;$&quot;* #,##0_);_(&quot;$&quot;* \(#,##0\);_(&quot;$&quot;*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32" formatCode="_(&quot;$&quot;* #,##0_);_(&quot;$&quot;* \(#,##0\);_(&quot;$&quot;*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32" formatCode="_(&quot;$&quot;* #,##0_);_(&quot;$&quot;* \(#,##0\);_(&quot;$&quot;*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general"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8"/>
        <color theme="1"/>
        <name val="Arial"/>
        <scheme val="none"/>
      </font>
      <numFmt numFmtId="32" formatCode="_(&quot;$&quot;* #,##0_);_(&quot;$&quot;* \(#,##0\);_(&quot;$&quot;* &quot;-&quot;_);_(@_)"/>
      <fill>
        <patternFill patternType="solid">
          <fgColor indexed="64"/>
          <bgColor theme="0"/>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
      <font>
        <b val="0"/>
        <strike val="0"/>
        <outline val="0"/>
        <shadow val="0"/>
        <u val="none"/>
        <vertAlign val="baseline"/>
        <sz val="9"/>
        <name val="Arial"/>
        <scheme val="none"/>
      </font>
      <numFmt numFmtId="14" formatCode="0.00%"/>
      <fill>
        <patternFill patternType="solid">
          <fgColor indexed="64"/>
          <bgColor theme="9" tint="0.79998168889431442"/>
        </patternFill>
      </fill>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numFmt numFmtId="164" formatCode="_(* #,##0_);_(* \(#,##0\);_(* &quot;-&quot;??_);_(@_)"/>
      <fill>
        <patternFill patternType="solid">
          <fgColor indexed="64"/>
          <bgColor theme="9" tint="0.79998168889431442"/>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auto="1"/>
        <name val="Arial"/>
        <scheme val="none"/>
      </font>
      <numFmt numFmtId="6" formatCode="#,##0_);[Red]\(#,##0\)"/>
      <fill>
        <patternFill patternType="solid">
          <fgColor indexed="64"/>
          <bgColor theme="3" tint="0.7999816888943144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9"/>
        <color theme="1"/>
        <name val="Arial"/>
        <scheme val="none"/>
      </font>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Arial"/>
        <scheme val="none"/>
      </font>
      <fill>
        <patternFill patternType="solid">
          <fgColor indexed="64"/>
          <bgColor theme="9" tint="0.79998168889431442"/>
        </patternFill>
      </fill>
      <alignment horizontal="center" vertical="bottom" textRotation="0" wrapText="0" indent="0" justifyLastLine="0" shrinkToFit="0" readingOrder="0"/>
      <border diagonalUp="0" diagonalDown="0" outline="0">
        <left/>
        <right style="thin">
          <color indexed="64"/>
        </right>
        <top style="thin">
          <color indexed="64"/>
        </top>
        <bottom/>
      </border>
    </dxf>
    <dxf>
      <border outline="0">
        <left style="thin">
          <color indexed="64"/>
        </left>
      </border>
    </dxf>
    <dxf>
      <font>
        <strike val="0"/>
        <outline val="0"/>
        <shadow val="0"/>
        <u val="none"/>
        <vertAlign val="baseline"/>
        <sz val="9"/>
        <name val="Arial"/>
        <scheme val="none"/>
      </font>
    </dxf>
    <dxf>
      <font>
        <b val="0"/>
        <i val="0"/>
        <strike val="0"/>
        <condense val="0"/>
        <extend val="0"/>
        <outline val="0"/>
        <shadow val="0"/>
        <u val="none"/>
        <vertAlign val="baseline"/>
        <sz val="9"/>
        <color theme="1"/>
        <name val="Arial"/>
        <scheme val="none"/>
      </font>
      <numFmt numFmtId="14" formatCode="0.0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numFmt numFmtId="14" formatCode="0.00%"/>
      <fill>
        <patternFill patternType="solid">
          <fgColor indexed="64"/>
          <bgColor rgb="FFFFFFCC"/>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numFmt numFmtId="14" formatCode="0.00%"/>
      <fill>
        <patternFill patternType="solid">
          <fgColor indexed="64"/>
          <bgColor theme="5" tint="0.79998168889431442"/>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scheme val="none"/>
      </font>
      <numFmt numFmtId="6" formatCode="#,##0_);[Red]\(#,##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numFmt numFmtId="6" formatCode="#,##0_);[Red]\(#,##0\)"/>
      <fill>
        <patternFill patternType="solid">
          <fgColor indexed="64"/>
          <bgColor theme="5" tint="0.79998168889431442"/>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numFmt numFmtId="164" formatCode="_(* #,##0_);_(* \(#,##0\);_(* &quot;-&quot;??_);_(@_)"/>
      <fill>
        <patternFill patternType="solid">
          <fgColor indexed="64"/>
          <bgColor theme="5" tint="0.79998168889431442"/>
        </patternFill>
      </fill>
      <border diagonalUp="0" diagonalDown="0" outline="0">
        <left/>
        <right style="thin">
          <color indexed="64"/>
        </right>
        <top style="thin">
          <color auto="1"/>
        </top>
        <bottom style="thin">
          <color auto="1"/>
        </bottom>
      </border>
    </dxf>
    <dxf>
      <font>
        <b val="0"/>
        <i val="0"/>
        <strike val="0"/>
        <condense val="0"/>
        <extend val="0"/>
        <outline val="0"/>
        <shadow val="0"/>
        <u val="none"/>
        <vertAlign val="baseline"/>
        <sz val="9"/>
        <color auto="1"/>
        <name val="Arial"/>
        <scheme val="none"/>
      </font>
      <numFmt numFmtId="164" formatCode="_(* #,##0_);_(* \(#,##0\);_(* &quot;-&quot;??_);_(@_)"/>
      <fill>
        <patternFill patternType="solid">
          <fgColor indexed="64"/>
          <bgColor theme="5" tint="0.79998168889431442"/>
        </patternFill>
      </fill>
      <border diagonalUp="0" diagonalDown="0" outline="0">
        <left/>
        <right/>
        <top style="thin">
          <color auto="1"/>
        </top>
        <bottom style="thin">
          <color auto="1"/>
        </bottom>
      </border>
    </dxf>
    <dxf>
      <font>
        <b val="0"/>
        <i val="0"/>
        <strike val="0"/>
        <condense val="0"/>
        <extend val="0"/>
        <outline val="0"/>
        <shadow val="0"/>
        <u val="none"/>
        <vertAlign val="baseline"/>
        <sz val="9"/>
        <color auto="1"/>
        <name val="Arial"/>
        <scheme val="none"/>
      </font>
      <numFmt numFmtId="164" formatCode="_(* #,##0_);_(* \(#,##0\);_(* &quot;-&quot;??_);_(@_)"/>
      <fill>
        <patternFill patternType="solid">
          <fgColor indexed="64"/>
          <bgColor theme="5" tint="0.79998168889431442"/>
        </patternFill>
      </fill>
      <border diagonalUp="0" diagonalDown="0" outline="0">
        <left/>
        <right/>
        <top style="thin">
          <color auto="1"/>
        </top>
        <bottom style="thin">
          <color auto="1"/>
        </bottom>
      </border>
    </dxf>
    <dxf>
      <font>
        <b val="0"/>
        <i val="0"/>
        <strike val="0"/>
        <condense val="0"/>
        <extend val="0"/>
        <outline val="0"/>
        <shadow val="0"/>
        <u val="none"/>
        <vertAlign val="baseline"/>
        <sz val="9"/>
        <color auto="1"/>
        <name val="Arial"/>
        <scheme val="none"/>
      </font>
      <numFmt numFmtId="164" formatCode="_(* #,##0_);_(* \(#,##0\);_(* &quot;-&quot;??_);_(@_)"/>
      <fill>
        <patternFill patternType="solid">
          <fgColor indexed="64"/>
          <bgColor theme="5" tint="0.79998168889431442"/>
        </patternFill>
      </fill>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auto="1"/>
        <name val="Arial"/>
        <scheme val="none"/>
      </font>
      <numFmt numFmtId="164" formatCode="_(* #,##0_);_(* \(#,##0\);_(* &quot;-&quot;??_);_(@_)"/>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numFmt numFmtId="164" formatCode="_(* #,##0_);_(* \(#,##0\);_(* &quot;-&quot;??_);_(@_)"/>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numFmt numFmtId="6" formatCode="#,##0_);[Red]\(#,##0\)"/>
      <fill>
        <patternFill patternType="solid">
          <fgColor indexed="64"/>
          <bgColor theme="3" tint="0.79998168889431442"/>
        </patternFill>
      </fill>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auto="1"/>
        <name val="Arial"/>
        <scheme val="none"/>
      </font>
      <numFmt numFmtId="6" formatCode="#,##0_);[Red]\(#,##0\)"/>
      <fill>
        <patternFill patternType="solid">
          <fgColor indexed="64"/>
          <bgColor theme="3" tint="0.79998168889431442"/>
        </patternFill>
      </fill>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auto="1"/>
        <name val="Arial"/>
        <scheme val="none"/>
      </font>
      <numFmt numFmtId="6" formatCode="#,##0_);[Red]\(#,##0\)"/>
      <fill>
        <patternFill patternType="solid">
          <fgColor indexed="64"/>
          <bgColor theme="3"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auto="1"/>
        <name val="Arial"/>
        <scheme val="none"/>
      </font>
      <numFmt numFmtId="6" formatCode="#,##0_);[Red]\(#,##0\)"/>
      <fill>
        <patternFill patternType="solid">
          <fgColor indexed="64"/>
          <bgColor theme="3"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numFmt numFmtId="6" formatCode="#,##0_);[Red]\(#,##0\)"/>
      <fill>
        <patternFill patternType="solid">
          <fgColor indexed="64"/>
          <bgColor theme="3" tint="0.79998168889431442"/>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numFmt numFmtId="3" formatCode="#,##0"/>
      <fill>
        <patternFill patternType="solid">
          <fgColor theme="4" tint="0.79998168889431442"/>
          <bgColor theme="3" tint="0.79998168889431442"/>
        </patternFill>
      </fill>
      <alignment horizontal="general"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3" formatCode="#,##0"/>
      <fill>
        <patternFill patternType="solid">
          <fgColor theme="4" tint="0.79998168889431442"/>
          <bgColor theme="3" tint="0.79998168889431442"/>
        </patternFill>
      </fill>
      <alignment horizontal="general"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3" formatCode="#,##0"/>
      <fill>
        <patternFill patternType="solid">
          <fgColor theme="4" tint="0.79998168889431442"/>
          <bgColor theme="3" tint="0.79998168889431442"/>
        </patternFill>
      </fill>
      <alignment horizontal="general"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3" formatCode="#,##0"/>
      <fill>
        <patternFill patternType="solid">
          <fgColor theme="4" tint="0.79998168889431442"/>
          <bgColor theme="3" tint="0.79998168889431442"/>
        </patternFill>
      </fill>
      <alignment horizontal="general"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3" tint="0.79998168889431442"/>
        </patternFill>
      </fill>
      <alignment horizontal="left"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indexed="64"/>
          <bgColor theme="5"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border outline="0">
        <bottom style="thin">
          <color indexed="64"/>
        </bottom>
      </border>
    </dxf>
    <dxf>
      <font>
        <strike val="0"/>
        <outline val="0"/>
        <shadow val="0"/>
        <u val="none"/>
        <vertAlign val="baseline"/>
        <sz val="9"/>
        <name val="Arial"/>
        <scheme val="none"/>
      </font>
    </dxf>
  </dxfs>
  <tableStyles count="0" defaultTableStyle="TableStyleMedium9" defaultPivotStyle="PivotStyleLight16"/>
  <colors>
    <mruColors>
      <color rgb="FF99FF99"/>
      <color rgb="FFCCFFFF"/>
      <color rgb="FF99CCFF"/>
      <color rgb="FFE5FFE5"/>
      <color rgb="FFFFFFCC"/>
      <color rgb="FF00FFCC"/>
      <color rgb="FFF6F977"/>
      <color rgb="FF66FFFF"/>
      <color rgb="FF2500C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drawing1.xml><?xml version="1.0" encoding="utf-8"?>
<xdr:wsDr xmlns:xdr="http://schemas.openxmlformats.org/drawingml/2006/spreadsheetDrawing" xmlns:a="http://schemas.openxmlformats.org/drawingml/2006/main">
  <xdr:oneCellAnchor>
    <xdr:from>
      <xdr:col>1</xdr:col>
      <xdr:colOff>1600201</xdr:colOff>
      <xdr:row>5</xdr:row>
      <xdr:rowOff>161925</xdr:rowOff>
    </xdr:from>
    <xdr:ext cx="5062931" cy="2640594"/>
    <xdr:sp macro="" textlink="">
      <xdr:nvSpPr>
        <xdr:cNvPr id="2" name="Rectangle 1"/>
        <xdr:cNvSpPr/>
      </xdr:nvSpPr>
      <xdr:spPr>
        <a:xfrm rot="19764989">
          <a:off x="2257426" y="1876425"/>
          <a:ext cx="5062931" cy="2640594"/>
        </a:xfrm>
        <a:prstGeom prst="rect">
          <a:avLst/>
        </a:prstGeom>
        <a:noFill/>
      </xdr:spPr>
      <xdr:txBody>
        <a:bodyPr wrap="square" lIns="91440" tIns="45720" rIns="91440" bIns="45720" anchor="ctr" anchorCtr="1">
          <a:noAutofit/>
        </a:bodyPr>
        <a:lstStyle/>
        <a:p>
          <a:pPr algn="ctr"/>
          <a:r>
            <a:rPr lang="en-US" sz="9600" b="1" cap="none" spc="0">
              <a:ln w="12700">
                <a:solidFill>
                  <a:schemeClr val="bg1">
                    <a:lumMod val="65000"/>
                  </a:schemeClr>
                </a:solidFill>
                <a:prstDash val="solid"/>
              </a:ln>
              <a:noFill/>
              <a:effectLst>
                <a:outerShdw blurRad="41275" dist="20320" dir="1800000" algn="tl" rotWithShape="0">
                  <a:srgbClr val="000000">
                    <a:alpha val="40000"/>
                  </a:srgbClr>
                </a:outerShdw>
              </a:effectLst>
            </a:rPr>
            <a:t>D R A F T 07.08.10</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choolinjy\AppData\Local\Microsoft\Windows\Temporary%20Internet%20Files\Content.Outlook\OE7P8SJE\14-15%20Base%201st%20and%202nd%20Reductions%207-2-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F\BSS\Business\14-15%20LAR\LAR\Baseline%20Worksheets\Non-GR%20Funds%20Base%20-%20Mast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schoolinjy\AppData\Local\Microsoft\Windows\Temporary%20Internet%20Files\Content.Outlook\OE7P8SJE\14-15%20Base%201st%20and%202nd%20Reductions%207-23.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F\BSS\Business\14-15%20LAR\Reduction%20Items\Reduction%20Options%206.4.12%20-%20MASTE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F\BSS\Business\14-15%20LAR\LAR\Baseline%20Worksheets\14-15%20Base%201st%20and%202nd%20Reductions%20235pm.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BF\BSS\Business\14-15%20LAR\Reduction%20Items\Copy%20of%20Reduction%20Options%20BSS%205%2031%2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and Out Base "/>
      <sheetName val="Footnotes"/>
      <sheetName val="First 5% Reduction"/>
      <sheetName val="Second 5% Reduction"/>
      <sheetName val="Reductions"/>
    </sheetNames>
    <sheetDataSet>
      <sheetData sheetId="0">
        <row r="3">
          <cell r="L3">
            <v>1863521</v>
          </cell>
          <cell r="N3">
            <v>1863521</v>
          </cell>
        </row>
        <row r="4">
          <cell r="L4">
            <v>925301</v>
          </cell>
          <cell r="N4">
            <v>925301</v>
          </cell>
        </row>
        <row r="5">
          <cell r="L5">
            <v>1692255</v>
          </cell>
          <cell r="M5">
            <v>0</v>
          </cell>
          <cell r="N5">
            <v>1692255</v>
          </cell>
        </row>
        <row r="6">
          <cell r="L6">
            <v>1989978</v>
          </cell>
          <cell r="M6">
            <v>0</v>
          </cell>
          <cell r="N6">
            <v>1989978</v>
          </cell>
        </row>
        <row r="9">
          <cell r="L9">
            <v>84422827</v>
          </cell>
          <cell r="M9">
            <v>0</v>
          </cell>
          <cell r="N9">
            <v>84422827</v>
          </cell>
        </row>
        <row r="10">
          <cell r="L10">
            <v>32674694</v>
          </cell>
          <cell r="M10">
            <v>0</v>
          </cell>
          <cell r="N10">
            <v>32674694</v>
          </cell>
        </row>
        <row r="11">
          <cell r="L11">
            <v>7529639</v>
          </cell>
          <cell r="M11">
            <v>0</v>
          </cell>
          <cell r="N11">
            <v>7529639</v>
          </cell>
        </row>
        <row r="12">
          <cell r="M12">
            <v>549500</v>
          </cell>
          <cell r="N12">
            <v>0</v>
          </cell>
        </row>
        <row r="16">
          <cell r="L16">
            <v>500000</v>
          </cell>
          <cell r="M16">
            <v>0</v>
          </cell>
          <cell r="N16">
            <v>500000</v>
          </cell>
        </row>
        <row r="17">
          <cell r="K17">
            <v>0</v>
          </cell>
          <cell r="L17">
            <v>187813</v>
          </cell>
          <cell r="M17">
            <v>0</v>
          </cell>
          <cell r="N17">
            <v>187813</v>
          </cell>
        </row>
        <row r="18">
          <cell r="K18">
            <v>0</v>
          </cell>
          <cell r="L18">
            <v>248036</v>
          </cell>
          <cell r="M18">
            <v>0</v>
          </cell>
          <cell r="N18">
            <v>248036</v>
          </cell>
        </row>
        <row r="21">
          <cell r="L21">
            <v>4250000</v>
          </cell>
          <cell r="M21">
            <v>0</v>
          </cell>
          <cell r="N21">
            <v>4250000</v>
          </cell>
        </row>
        <row r="26">
          <cell r="K26">
            <v>0</v>
          </cell>
          <cell r="L26">
            <v>1000000</v>
          </cell>
        </row>
        <row r="27">
          <cell r="K27">
            <v>0</v>
          </cell>
          <cell r="L27">
            <v>17812500</v>
          </cell>
          <cell r="M27">
            <v>0</v>
          </cell>
          <cell r="N27">
            <v>17812500</v>
          </cell>
        </row>
        <row r="28">
          <cell r="L28">
            <v>4800000</v>
          </cell>
          <cell r="M28">
            <v>0</v>
          </cell>
          <cell r="N28">
            <v>4800000</v>
          </cell>
        </row>
        <row r="32">
          <cell r="L32">
            <v>4006794</v>
          </cell>
          <cell r="N32" t="str">
            <v>UB</v>
          </cell>
        </row>
        <row r="33">
          <cell r="M33">
            <v>2800000</v>
          </cell>
          <cell r="N33">
            <v>0</v>
          </cell>
        </row>
        <row r="37">
          <cell r="K37">
            <v>0</v>
          </cell>
          <cell r="L37">
            <v>15000000</v>
          </cell>
          <cell r="M37">
            <v>0</v>
          </cell>
          <cell r="N37">
            <v>15000000</v>
          </cell>
        </row>
        <row r="38">
          <cell r="L38">
            <v>4230625</v>
          </cell>
          <cell r="N38" t="str">
            <v>UB</v>
          </cell>
        </row>
        <row r="42">
          <cell r="M42">
            <v>0</v>
          </cell>
          <cell r="N42">
            <v>0</v>
          </cell>
        </row>
        <row r="43">
          <cell r="M43">
            <v>0</v>
          </cell>
          <cell r="N43">
            <v>0</v>
          </cell>
        </row>
        <row r="46">
          <cell r="K46">
            <v>0</v>
          </cell>
          <cell r="L46">
            <v>2000000</v>
          </cell>
        </row>
        <row r="47">
          <cell r="L47">
            <v>760177</v>
          </cell>
          <cell r="N47">
            <v>760176</v>
          </cell>
        </row>
        <row r="52">
          <cell r="K52">
            <v>0</v>
          </cell>
          <cell r="L52">
            <v>2000000</v>
          </cell>
          <cell r="M52">
            <v>0</v>
          </cell>
          <cell r="N52">
            <v>2000000</v>
          </cell>
        </row>
        <row r="54">
          <cell r="L54">
            <v>760177</v>
          </cell>
          <cell r="N54">
            <v>760176</v>
          </cell>
        </row>
        <row r="63">
          <cell r="L63">
            <v>3571226</v>
          </cell>
          <cell r="M63">
            <v>0</v>
          </cell>
          <cell r="N63">
            <v>3571225</v>
          </cell>
        </row>
        <row r="64">
          <cell r="K64">
            <v>0</v>
          </cell>
          <cell r="L64">
            <v>1320017</v>
          </cell>
          <cell r="M64">
            <v>0</v>
          </cell>
          <cell r="N64">
            <v>1320016</v>
          </cell>
        </row>
        <row r="65">
          <cell r="K65">
            <v>0</v>
          </cell>
          <cell r="L65">
            <v>774963</v>
          </cell>
          <cell r="M65">
            <v>0</v>
          </cell>
          <cell r="N65">
            <v>774962</v>
          </cell>
        </row>
        <row r="66">
          <cell r="S66">
            <v>1054563383</v>
          </cell>
        </row>
      </sheetData>
      <sheetData sheetId="1"/>
      <sheetData sheetId="2">
        <row r="36">
          <cell r="R36">
            <v>52728278</v>
          </cell>
        </row>
      </sheetData>
      <sheetData sheetId="3">
        <row r="36">
          <cell r="K36">
            <v>52728060</v>
          </cell>
        </row>
      </sheetData>
      <sheetData sheetId="4">
        <row r="26">
          <cell r="Q26">
            <v>152035</v>
          </cell>
        </row>
        <row r="34">
          <cell r="P34">
            <v>152261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ario 1"/>
      <sheetName val="Senario 2"/>
      <sheetName val="Senario 3"/>
      <sheetName val="Senario 4"/>
      <sheetName val="Strategy View"/>
      <sheetName val="Senario 5"/>
      <sheetName val="Agency Summary"/>
      <sheetName val="Sheet4"/>
      <sheetName val="Sheet1"/>
    </sheetNames>
    <sheetDataSet>
      <sheetData sheetId="0"/>
      <sheetData sheetId="1"/>
      <sheetData sheetId="2"/>
      <sheetData sheetId="3"/>
      <sheetData sheetId="4"/>
      <sheetData sheetId="5"/>
      <sheetData sheetId="6">
        <row r="8">
          <cell r="H8">
            <v>0</v>
          </cell>
          <cell r="I8">
            <v>0</v>
          </cell>
          <cell r="J8">
            <v>0</v>
          </cell>
          <cell r="K8">
            <v>0</v>
          </cell>
          <cell r="L8">
            <v>0</v>
          </cell>
          <cell r="M8">
            <v>0</v>
          </cell>
          <cell r="N8">
            <v>0</v>
          </cell>
          <cell r="O8">
            <v>0</v>
          </cell>
          <cell r="P8">
            <v>0</v>
          </cell>
          <cell r="Q8">
            <v>0</v>
          </cell>
        </row>
        <row r="9">
          <cell r="H9">
            <v>0</v>
          </cell>
          <cell r="I9">
            <v>0</v>
          </cell>
          <cell r="J9">
            <v>0</v>
          </cell>
          <cell r="K9">
            <v>0</v>
          </cell>
          <cell r="L9">
            <v>0</v>
          </cell>
          <cell r="M9">
            <v>0</v>
          </cell>
          <cell r="N9">
            <v>0</v>
          </cell>
          <cell r="O9">
            <v>0</v>
          </cell>
          <cell r="P9">
            <v>0</v>
          </cell>
          <cell r="Q9">
            <v>0</v>
          </cell>
        </row>
        <row r="10">
          <cell r="H10">
            <v>0</v>
          </cell>
          <cell r="I10">
            <v>0</v>
          </cell>
          <cell r="J10">
            <v>0</v>
          </cell>
          <cell r="K10">
            <v>0</v>
          </cell>
          <cell r="L10">
            <v>5650000</v>
          </cell>
          <cell r="M10">
            <v>0</v>
          </cell>
          <cell r="N10">
            <v>0</v>
          </cell>
          <cell r="O10">
            <v>0</v>
          </cell>
          <cell r="P10">
            <v>0</v>
          </cell>
          <cell r="Q10">
            <v>5650000</v>
          </cell>
        </row>
        <row r="15">
          <cell r="H15">
            <v>0</v>
          </cell>
          <cell r="I15">
            <v>0</v>
          </cell>
          <cell r="J15">
            <v>0</v>
          </cell>
          <cell r="K15">
            <v>0</v>
          </cell>
          <cell r="L15">
            <v>3000</v>
          </cell>
          <cell r="M15">
            <v>0</v>
          </cell>
          <cell r="N15">
            <v>0</v>
          </cell>
          <cell r="O15">
            <v>0</v>
          </cell>
          <cell r="P15">
            <v>0</v>
          </cell>
          <cell r="Q15">
            <v>3000</v>
          </cell>
        </row>
        <row r="16">
          <cell r="H16">
            <v>400000</v>
          </cell>
          <cell r="I16">
            <v>0</v>
          </cell>
          <cell r="J16">
            <v>0</v>
          </cell>
          <cell r="K16">
            <v>0</v>
          </cell>
          <cell r="L16">
            <v>0</v>
          </cell>
          <cell r="M16">
            <v>0</v>
          </cell>
          <cell r="N16">
            <v>0</v>
          </cell>
          <cell r="O16">
            <v>0</v>
          </cell>
          <cell r="P16">
            <v>0</v>
          </cell>
          <cell r="Q16">
            <v>0</v>
          </cell>
        </row>
        <row r="17">
          <cell r="H17">
            <v>423060</v>
          </cell>
          <cell r="I17">
            <v>0</v>
          </cell>
          <cell r="J17">
            <v>0</v>
          </cell>
          <cell r="K17">
            <v>0</v>
          </cell>
          <cell r="L17">
            <v>0</v>
          </cell>
          <cell r="M17">
            <v>423060</v>
          </cell>
          <cell r="N17">
            <v>0</v>
          </cell>
          <cell r="O17">
            <v>0</v>
          </cell>
          <cell r="P17">
            <v>0</v>
          </cell>
          <cell r="Q17">
            <v>0</v>
          </cell>
        </row>
        <row r="18">
          <cell r="H18">
            <v>0</v>
          </cell>
          <cell r="I18">
            <v>0</v>
          </cell>
          <cell r="J18">
            <v>0</v>
          </cell>
          <cell r="K18">
            <v>0</v>
          </cell>
          <cell r="L18">
            <v>0</v>
          </cell>
          <cell r="M18">
            <v>0</v>
          </cell>
          <cell r="N18">
            <v>0</v>
          </cell>
          <cell r="O18">
            <v>0</v>
          </cell>
          <cell r="P18">
            <v>0</v>
          </cell>
          <cell r="Q18">
            <v>0</v>
          </cell>
        </row>
        <row r="19">
          <cell r="H19">
            <v>0</v>
          </cell>
          <cell r="I19">
            <v>0</v>
          </cell>
          <cell r="J19">
            <v>0</v>
          </cell>
          <cell r="K19">
            <v>0</v>
          </cell>
          <cell r="L19">
            <v>0</v>
          </cell>
          <cell r="M19">
            <v>0</v>
          </cell>
          <cell r="N19">
            <v>0</v>
          </cell>
          <cell r="O19">
            <v>0</v>
          </cell>
          <cell r="P19">
            <v>0</v>
          </cell>
          <cell r="Q19">
            <v>0</v>
          </cell>
        </row>
        <row r="20">
          <cell r="H20">
            <v>0</v>
          </cell>
          <cell r="I20">
            <v>0</v>
          </cell>
          <cell r="J20">
            <v>0</v>
          </cell>
          <cell r="K20">
            <v>0</v>
          </cell>
          <cell r="L20">
            <v>0</v>
          </cell>
          <cell r="M20">
            <v>0</v>
          </cell>
          <cell r="N20">
            <v>0</v>
          </cell>
          <cell r="O20">
            <v>0</v>
          </cell>
          <cell r="P20">
            <v>0</v>
          </cell>
          <cell r="Q20">
            <v>0</v>
          </cell>
        </row>
        <row r="21">
          <cell r="H21">
            <v>0</v>
          </cell>
          <cell r="I21">
            <v>0</v>
          </cell>
          <cell r="J21">
            <v>0</v>
          </cell>
          <cell r="K21">
            <v>0</v>
          </cell>
          <cell r="L21">
            <v>0</v>
          </cell>
          <cell r="M21">
            <v>0</v>
          </cell>
          <cell r="N21">
            <v>0</v>
          </cell>
          <cell r="O21">
            <v>0</v>
          </cell>
          <cell r="P21">
            <v>0</v>
          </cell>
          <cell r="Q21">
            <v>0</v>
          </cell>
        </row>
        <row r="22">
          <cell r="H22">
            <v>0</v>
          </cell>
          <cell r="I22">
            <v>0</v>
          </cell>
          <cell r="J22">
            <v>0</v>
          </cell>
          <cell r="K22">
            <v>0</v>
          </cell>
          <cell r="L22">
            <v>0</v>
          </cell>
          <cell r="M22">
            <v>0</v>
          </cell>
          <cell r="N22">
            <v>0</v>
          </cell>
          <cell r="O22">
            <v>0</v>
          </cell>
          <cell r="P22">
            <v>0</v>
          </cell>
          <cell r="Q22">
            <v>0</v>
          </cell>
        </row>
        <row r="23">
          <cell r="H23">
            <v>0</v>
          </cell>
          <cell r="I23">
            <v>0</v>
          </cell>
          <cell r="J23">
            <v>0</v>
          </cell>
          <cell r="K23">
            <v>0</v>
          </cell>
          <cell r="L23">
            <v>0</v>
          </cell>
          <cell r="M23">
            <v>0</v>
          </cell>
          <cell r="N23">
            <v>0</v>
          </cell>
          <cell r="O23">
            <v>0</v>
          </cell>
          <cell r="P23">
            <v>0</v>
          </cell>
          <cell r="Q23">
            <v>0</v>
          </cell>
        </row>
        <row r="24">
          <cell r="H24">
            <v>0</v>
          </cell>
          <cell r="I24">
            <v>0</v>
          </cell>
          <cell r="J24">
            <v>0</v>
          </cell>
          <cell r="K24">
            <v>0</v>
          </cell>
          <cell r="L24">
            <v>0</v>
          </cell>
          <cell r="M24">
            <v>0</v>
          </cell>
          <cell r="N24">
            <v>0</v>
          </cell>
          <cell r="O24">
            <v>0</v>
          </cell>
          <cell r="P24">
            <v>0</v>
          </cell>
          <cell r="Q24">
            <v>0</v>
          </cell>
        </row>
        <row r="26">
          <cell r="H26">
            <v>0</v>
          </cell>
          <cell r="I26">
            <v>0</v>
          </cell>
          <cell r="J26">
            <v>0</v>
          </cell>
          <cell r="K26">
            <v>0</v>
          </cell>
          <cell r="L26">
            <v>5000</v>
          </cell>
          <cell r="M26">
            <v>0</v>
          </cell>
          <cell r="N26">
            <v>0</v>
          </cell>
          <cell r="O26">
            <v>0</v>
          </cell>
          <cell r="P26">
            <v>0</v>
          </cell>
          <cell r="Q26">
            <v>5000</v>
          </cell>
        </row>
        <row r="31">
          <cell r="H31">
            <v>0</v>
          </cell>
          <cell r="I31">
            <v>0</v>
          </cell>
          <cell r="J31">
            <v>0</v>
          </cell>
          <cell r="K31">
            <v>0</v>
          </cell>
          <cell r="L31">
            <v>0</v>
          </cell>
          <cell r="M31">
            <v>0</v>
          </cell>
          <cell r="N31">
            <v>0</v>
          </cell>
          <cell r="O31">
            <v>0</v>
          </cell>
          <cell r="P31">
            <v>0</v>
          </cell>
          <cell r="Q31">
            <v>0</v>
          </cell>
        </row>
        <row r="32">
          <cell r="H32">
            <v>0</v>
          </cell>
          <cell r="I32">
            <v>0</v>
          </cell>
          <cell r="J32">
            <v>0</v>
          </cell>
          <cell r="K32">
            <v>0</v>
          </cell>
          <cell r="L32">
            <v>0</v>
          </cell>
          <cell r="M32">
            <v>0</v>
          </cell>
          <cell r="N32">
            <v>0</v>
          </cell>
          <cell r="O32">
            <v>0</v>
          </cell>
          <cell r="P32">
            <v>0</v>
          </cell>
          <cell r="Q32">
            <v>0</v>
          </cell>
        </row>
        <row r="33">
          <cell r="H33">
            <v>0</v>
          </cell>
          <cell r="I33">
            <v>0</v>
          </cell>
          <cell r="J33">
            <v>0</v>
          </cell>
          <cell r="K33">
            <v>0</v>
          </cell>
          <cell r="L33">
            <v>0</v>
          </cell>
          <cell r="M33">
            <v>0</v>
          </cell>
          <cell r="N33">
            <v>0</v>
          </cell>
          <cell r="O33">
            <v>0</v>
          </cell>
          <cell r="P33">
            <v>0</v>
          </cell>
          <cell r="Q33">
            <v>0</v>
          </cell>
        </row>
        <row r="34">
          <cell r="H34">
            <v>0</v>
          </cell>
          <cell r="I34">
            <v>0</v>
          </cell>
          <cell r="J34">
            <v>0</v>
          </cell>
          <cell r="K34">
            <v>0</v>
          </cell>
          <cell r="L34">
            <v>0</v>
          </cell>
          <cell r="M34">
            <v>0</v>
          </cell>
          <cell r="N34">
            <v>0</v>
          </cell>
          <cell r="O34">
            <v>0</v>
          </cell>
          <cell r="P34">
            <v>0</v>
          </cell>
          <cell r="Q34">
            <v>0</v>
          </cell>
        </row>
        <row r="35">
          <cell r="H35">
            <v>0</v>
          </cell>
          <cell r="I35">
            <v>0</v>
          </cell>
          <cell r="J35">
            <v>0</v>
          </cell>
          <cell r="K35">
            <v>0</v>
          </cell>
          <cell r="L35">
            <v>0</v>
          </cell>
          <cell r="M35">
            <v>0</v>
          </cell>
          <cell r="N35">
            <v>0</v>
          </cell>
          <cell r="O35">
            <v>0</v>
          </cell>
          <cell r="P35">
            <v>0</v>
          </cell>
          <cell r="Q35">
            <v>0</v>
          </cell>
        </row>
        <row r="36">
          <cell r="H36">
            <v>0</v>
          </cell>
          <cell r="I36">
            <v>0</v>
          </cell>
          <cell r="J36">
            <v>0</v>
          </cell>
          <cell r="K36">
            <v>0</v>
          </cell>
          <cell r="L36">
            <v>0</v>
          </cell>
          <cell r="M36">
            <v>0</v>
          </cell>
          <cell r="N36">
            <v>0</v>
          </cell>
          <cell r="O36">
            <v>0</v>
          </cell>
          <cell r="P36">
            <v>0</v>
          </cell>
          <cell r="Q36">
            <v>0</v>
          </cell>
        </row>
        <row r="37">
          <cell r="H37">
            <v>0</v>
          </cell>
          <cell r="I37">
            <v>0</v>
          </cell>
          <cell r="J37">
            <v>0</v>
          </cell>
          <cell r="K37">
            <v>0</v>
          </cell>
          <cell r="L37">
            <v>0</v>
          </cell>
          <cell r="M37">
            <v>0</v>
          </cell>
          <cell r="N37">
            <v>0</v>
          </cell>
          <cell r="O37">
            <v>0</v>
          </cell>
          <cell r="P37">
            <v>0</v>
          </cell>
          <cell r="Q37">
            <v>0</v>
          </cell>
        </row>
        <row r="38">
          <cell r="H38">
            <v>0</v>
          </cell>
          <cell r="I38">
            <v>0</v>
          </cell>
          <cell r="J38">
            <v>0</v>
          </cell>
          <cell r="K38">
            <v>0</v>
          </cell>
          <cell r="L38">
            <v>0</v>
          </cell>
          <cell r="M38">
            <v>0</v>
          </cell>
          <cell r="N38">
            <v>0</v>
          </cell>
          <cell r="O38">
            <v>0</v>
          </cell>
          <cell r="P38">
            <v>0</v>
          </cell>
          <cell r="Q38">
            <v>0</v>
          </cell>
        </row>
        <row r="39">
          <cell r="H39">
            <v>0</v>
          </cell>
          <cell r="I39">
            <v>0</v>
          </cell>
          <cell r="J39">
            <v>0</v>
          </cell>
          <cell r="K39">
            <v>0</v>
          </cell>
          <cell r="L39">
            <v>3000000</v>
          </cell>
          <cell r="M39">
            <v>0</v>
          </cell>
          <cell r="N39">
            <v>0</v>
          </cell>
          <cell r="O39">
            <v>0</v>
          </cell>
          <cell r="P39">
            <v>0</v>
          </cell>
          <cell r="Q39">
            <v>3000000</v>
          </cell>
        </row>
        <row r="40">
          <cell r="H40">
            <v>0</v>
          </cell>
          <cell r="I40">
            <v>0</v>
          </cell>
          <cell r="J40">
            <v>0</v>
          </cell>
          <cell r="K40">
            <v>0</v>
          </cell>
          <cell r="L40">
            <v>0</v>
          </cell>
          <cell r="M40">
            <v>0</v>
          </cell>
          <cell r="N40">
            <v>0</v>
          </cell>
          <cell r="O40">
            <v>0</v>
          </cell>
          <cell r="P40">
            <v>0</v>
          </cell>
          <cell r="Q40">
            <v>0</v>
          </cell>
        </row>
        <row r="41">
          <cell r="H41">
            <v>0</v>
          </cell>
          <cell r="I41">
            <v>0</v>
          </cell>
          <cell r="J41">
            <v>0</v>
          </cell>
          <cell r="K41">
            <v>0</v>
          </cell>
          <cell r="L41">
            <v>0</v>
          </cell>
          <cell r="M41">
            <v>0</v>
          </cell>
          <cell r="N41">
            <v>0</v>
          </cell>
          <cell r="O41">
            <v>0</v>
          </cell>
          <cell r="P41">
            <v>0</v>
          </cell>
          <cell r="Q41">
            <v>0</v>
          </cell>
        </row>
        <row r="42">
          <cell r="H42">
            <v>0</v>
          </cell>
          <cell r="I42">
            <v>0</v>
          </cell>
          <cell r="J42">
            <v>0</v>
          </cell>
          <cell r="K42">
            <v>0</v>
          </cell>
          <cell r="L42">
            <v>0</v>
          </cell>
          <cell r="M42">
            <v>0</v>
          </cell>
          <cell r="N42">
            <v>0</v>
          </cell>
          <cell r="O42">
            <v>0</v>
          </cell>
          <cell r="P42">
            <v>0</v>
          </cell>
          <cell r="Q42">
            <v>0</v>
          </cell>
        </row>
        <row r="43">
          <cell r="H43">
            <v>0</v>
          </cell>
          <cell r="I43">
            <v>0</v>
          </cell>
          <cell r="J43">
            <v>0</v>
          </cell>
          <cell r="K43">
            <v>0</v>
          </cell>
          <cell r="L43">
            <v>0</v>
          </cell>
          <cell r="M43">
            <v>0</v>
          </cell>
          <cell r="N43">
            <v>0</v>
          </cell>
          <cell r="O43">
            <v>0</v>
          </cell>
          <cell r="P43">
            <v>0</v>
          </cell>
          <cell r="Q43">
            <v>0</v>
          </cell>
        </row>
        <row r="44">
          <cell r="H44">
            <v>0</v>
          </cell>
          <cell r="I44">
            <v>0</v>
          </cell>
          <cell r="J44">
            <v>0</v>
          </cell>
          <cell r="K44">
            <v>0</v>
          </cell>
          <cell r="L44">
            <v>0</v>
          </cell>
          <cell r="M44">
            <v>0</v>
          </cell>
          <cell r="N44">
            <v>0</v>
          </cell>
          <cell r="O44">
            <v>0</v>
          </cell>
          <cell r="P44">
            <v>0</v>
          </cell>
          <cell r="Q44">
            <v>0</v>
          </cell>
        </row>
        <row r="45">
          <cell r="H45">
            <v>0</v>
          </cell>
          <cell r="I45">
            <v>0</v>
          </cell>
          <cell r="J45">
            <v>0</v>
          </cell>
          <cell r="K45">
            <v>0</v>
          </cell>
          <cell r="L45">
            <v>0</v>
          </cell>
          <cell r="M45">
            <v>0</v>
          </cell>
          <cell r="N45">
            <v>0</v>
          </cell>
          <cell r="O45">
            <v>0</v>
          </cell>
          <cell r="P45">
            <v>0</v>
          </cell>
          <cell r="Q45">
            <v>0</v>
          </cell>
        </row>
        <row r="46">
          <cell r="H46">
            <v>0</v>
          </cell>
          <cell r="I46">
            <v>0</v>
          </cell>
          <cell r="J46">
            <v>0</v>
          </cell>
          <cell r="K46">
            <v>0</v>
          </cell>
          <cell r="L46">
            <v>0</v>
          </cell>
          <cell r="M46">
            <v>0</v>
          </cell>
          <cell r="N46">
            <v>0</v>
          </cell>
          <cell r="O46">
            <v>0</v>
          </cell>
          <cell r="P46">
            <v>0</v>
          </cell>
          <cell r="Q46">
            <v>0</v>
          </cell>
        </row>
        <row r="47">
          <cell r="H47">
            <v>0</v>
          </cell>
          <cell r="I47">
            <v>0</v>
          </cell>
          <cell r="J47">
            <v>0</v>
          </cell>
          <cell r="K47">
            <v>0</v>
          </cell>
          <cell r="L47">
            <v>0</v>
          </cell>
          <cell r="M47">
            <v>0</v>
          </cell>
          <cell r="N47">
            <v>0</v>
          </cell>
          <cell r="O47">
            <v>0</v>
          </cell>
          <cell r="P47">
            <v>0</v>
          </cell>
          <cell r="Q47">
            <v>0</v>
          </cell>
        </row>
        <row r="48">
          <cell r="H48">
            <v>0</v>
          </cell>
          <cell r="I48">
            <v>0</v>
          </cell>
          <cell r="J48">
            <v>0</v>
          </cell>
          <cell r="K48">
            <v>0</v>
          </cell>
          <cell r="L48">
            <v>0</v>
          </cell>
          <cell r="M48">
            <v>0</v>
          </cell>
          <cell r="N48">
            <v>0</v>
          </cell>
          <cell r="O48">
            <v>0</v>
          </cell>
          <cell r="P48">
            <v>0</v>
          </cell>
          <cell r="Q48">
            <v>0</v>
          </cell>
        </row>
        <row r="49">
          <cell r="H49">
            <v>0</v>
          </cell>
          <cell r="I49">
            <v>0</v>
          </cell>
          <cell r="J49">
            <v>0</v>
          </cell>
          <cell r="K49">
            <v>0</v>
          </cell>
          <cell r="L49">
            <v>0</v>
          </cell>
          <cell r="M49">
            <v>0</v>
          </cell>
          <cell r="N49">
            <v>0</v>
          </cell>
          <cell r="O49">
            <v>0</v>
          </cell>
          <cell r="P49">
            <v>0</v>
          </cell>
          <cell r="Q49">
            <v>0</v>
          </cell>
        </row>
        <row r="50">
          <cell r="H50">
            <v>0</v>
          </cell>
          <cell r="I50">
            <v>0</v>
          </cell>
          <cell r="J50">
            <v>0</v>
          </cell>
          <cell r="K50">
            <v>0</v>
          </cell>
          <cell r="L50">
            <v>0</v>
          </cell>
          <cell r="M50">
            <v>0</v>
          </cell>
          <cell r="N50">
            <v>0</v>
          </cell>
          <cell r="O50">
            <v>0</v>
          </cell>
          <cell r="P50">
            <v>0</v>
          </cell>
          <cell r="Q50">
            <v>0</v>
          </cell>
        </row>
        <row r="51">
          <cell r="H51">
            <v>0</v>
          </cell>
          <cell r="I51">
            <v>0</v>
          </cell>
          <cell r="J51">
            <v>0</v>
          </cell>
          <cell r="K51">
            <v>0</v>
          </cell>
          <cell r="L51">
            <v>0</v>
          </cell>
          <cell r="M51">
            <v>0</v>
          </cell>
          <cell r="N51">
            <v>0</v>
          </cell>
          <cell r="O51">
            <v>0</v>
          </cell>
          <cell r="P51">
            <v>0</v>
          </cell>
          <cell r="Q51">
            <v>0</v>
          </cell>
        </row>
        <row r="52">
          <cell r="H52">
            <v>0</v>
          </cell>
          <cell r="I52">
            <v>0</v>
          </cell>
          <cell r="J52">
            <v>0</v>
          </cell>
          <cell r="K52">
            <v>0</v>
          </cell>
          <cell r="L52">
            <v>0</v>
          </cell>
          <cell r="M52">
            <v>0</v>
          </cell>
          <cell r="N52">
            <v>0</v>
          </cell>
          <cell r="O52">
            <v>0</v>
          </cell>
          <cell r="P52">
            <v>0</v>
          </cell>
          <cell r="Q52">
            <v>0</v>
          </cell>
        </row>
        <row r="53">
          <cell r="H53">
            <v>0</v>
          </cell>
          <cell r="I53">
            <v>0</v>
          </cell>
          <cell r="J53">
            <v>0</v>
          </cell>
          <cell r="K53">
            <v>0</v>
          </cell>
          <cell r="L53">
            <v>0</v>
          </cell>
          <cell r="M53">
            <v>0</v>
          </cell>
          <cell r="N53">
            <v>0</v>
          </cell>
          <cell r="O53">
            <v>0</v>
          </cell>
          <cell r="P53">
            <v>0</v>
          </cell>
          <cell r="Q53">
            <v>0</v>
          </cell>
        </row>
        <row r="54">
          <cell r="H54">
            <v>0</v>
          </cell>
          <cell r="I54">
            <v>0</v>
          </cell>
          <cell r="J54">
            <v>0</v>
          </cell>
          <cell r="K54">
            <v>0</v>
          </cell>
          <cell r="L54">
            <v>0</v>
          </cell>
          <cell r="M54">
            <v>0</v>
          </cell>
          <cell r="N54">
            <v>0</v>
          </cell>
          <cell r="O54">
            <v>0</v>
          </cell>
          <cell r="P54">
            <v>0</v>
          </cell>
          <cell r="Q54">
            <v>0</v>
          </cell>
        </row>
        <row r="55">
          <cell r="H55">
            <v>0</v>
          </cell>
          <cell r="I55">
            <v>0</v>
          </cell>
          <cell r="J55">
            <v>0</v>
          </cell>
          <cell r="K55">
            <v>0</v>
          </cell>
          <cell r="L55">
            <v>0</v>
          </cell>
          <cell r="M55">
            <v>0</v>
          </cell>
          <cell r="N55">
            <v>0</v>
          </cell>
          <cell r="O55">
            <v>0</v>
          </cell>
          <cell r="P55">
            <v>0</v>
          </cell>
          <cell r="Q55">
            <v>0</v>
          </cell>
        </row>
        <row r="57">
          <cell r="H57">
            <v>0</v>
          </cell>
          <cell r="I57">
            <v>0</v>
          </cell>
          <cell r="J57">
            <v>0</v>
          </cell>
          <cell r="K57">
            <v>0</v>
          </cell>
          <cell r="L57">
            <v>0</v>
          </cell>
          <cell r="M57">
            <v>0</v>
          </cell>
          <cell r="N57">
            <v>0</v>
          </cell>
          <cell r="O57">
            <v>0</v>
          </cell>
          <cell r="P57">
            <v>0</v>
          </cell>
          <cell r="Q57">
            <v>0</v>
          </cell>
        </row>
        <row r="58">
          <cell r="H58">
            <v>0</v>
          </cell>
          <cell r="I58">
            <v>0</v>
          </cell>
          <cell r="J58">
            <v>0</v>
          </cell>
          <cell r="K58">
            <v>0</v>
          </cell>
          <cell r="L58">
            <v>0</v>
          </cell>
          <cell r="M58">
            <v>0</v>
          </cell>
          <cell r="N58">
            <v>0</v>
          </cell>
          <cell r="O58">
            <v>0</v>
          </cell>
          <cell r="P58">
            <v>0</v>
          </cell>
          <cell r="Q58">
            <v>0</v>
          </cell>
        </row>
        <row r="59">
          <cell r="H59">
            <v>0</v>
          </cell>
          <cell r="I59">
            <v>0</v>
          </cell>
          <cell r="J59">
            <v>0</v>
          </cell>
          <cell r="K59">
            <v>0</v>
          </cell>
          <cell r="L59">
            <v>0</v>
          </cell>
          <cell r="M59">
            <v>0</v>
          </cell>
          <cell r="N59">
            <v>0</v>
          </cell>
          <cell r="O59">
            <v>0</v>
          </cell>
          <cell r="P59">
            <v>0</v>
          </cell>
          <cell r="Q59">
            <v>0</v>
          </cell>
        </row>
        <row r="60">
          <cell r="H60">
            <v>0</v>
          </cell>
          <cell r="I60">
            <v>0</v>
          </cell>
          <cell r="J60">
            <v>0</v>
          </cell>
          <cell r="K60">
            <v>0</v>
          </cell>
          <cell r="L60">
            <v>0</v>
          </cell>
          <cell r="M60">
            <v>0</v>
          </cell>
          <cell r="N60">
            <v>0</v>
          </cell>
          <cell r="O60">
            <v>0</v>
          </cell>
          <cell r="P60">
            <v>0</v>
          </cell>
          <cell r="Q60">
            <v>0</v>
          </cell>
        </row>
        <row r="61">
          <cell r="H61">
            <v>0</v>
          </cell>
          <cell r="I61">
            <v>0</v>
          </cell>
          <cell r="J61">
            <v>0</v>
          </cell>
          <cell r="K61">
            <v>0</v>
          </cell>
          <cell r="L61">
            <v>0</v>
          </cell>
          <cell r="M61">
            <v>0</v>
          </cell>
          <cell r="N61">
            <v>0</v>
          </cell>
          <cell r="O61">
            <v>0</v>
          </cell>
          <cell r="P61">
            <v>0</v>
          </cell>
          <cell r="Q61">
            <v>0</v>
          </cell>
        </row>
        <row r="62">
          <cell r="H62">
            <v>0</v>
          </cell>
          <cell r="I62">
            <v>0</v>
          </cell>
          <cell r="J62">
            <v>0</v>
          </cell>
          <cell r="K62">
            <v>0</v>
          </cell>
          <cell r="L62">
            <v>0</v>
          </cell>
          <cell r="M62">
            <v>0</v>
          </cell>
          <cell r="N62">
            <v>0</v>
          </cell>
          <cell r="O62">
            <v>0</v>
          </cell>
          <cell r="P62">
            <v>0</v>
          </cell>
          <cell r="Q62">
            <v>0</v>
          </cell>
        </row>
        <row r="63">
          <cell r="H63">
            <v>0</v>
          </cell>
          <cell r="I63">
            <v>0</v>
          </cell>
          <cell r="J63">
            <v>0</v>
          </cell>
          <cell r="K63">
            <v>0</v>
          </cell>
          <cell r="L63">
            <v>0</v>
          </cell>
          <cell r="M63">
            <v>0</v>
          </cell>
          <cell r="N63">
            <v>0</v>
          </cell>
          <cell r="O63">
            <v>0</v>
          </cell>
          <cell r="P63">
            <v>0</v>
          </cell>
          <cell r="Q63">
            <v>0</v>
          </cell>
        </row>
        <row r="64">
          <cell r="H64">
            <v>0</v>
          </cell>
          <cell r="I64">
            <v>0</v>
          </cell>
          <cell r="J64">
            <v>0</v>
          </cell>
          <cell r="K64">
            <v>0</v>
          </cell>
          <cell r="L64">
            <v>0</v>
          </cell>
          <cell r="M64">
            <v>0</v>
          </cell>
          <cell r="N64">
            <v>0</v>
          </cell>
          <cell r="O64">
            <v>0</v>
          </cell>
          <cell r="P64">
            <v>0</v>
          </cell>
          <cell r="Q64">
            <v>0</v>
          </cell>
        </row>
        <row r="65">
          <cell r="H65">
            <v>0</v>
          </cell>
          <cell r="I65">
            <v>0</v>
          </cell>
          <cell r="J65">
            <v>0</v>
          </cell>
          <cell r="K65">
            <v>0</v>
          </cell>
          <cell r="L65">
            <v>0</v>
          </cell>
          <cell r="M65">
            <v>0</v>
          </cell>
          <cell r="N65">
            <v>0</v>
          </cell>
          <cell r="O65">
            <v>0</v>
          </cell>
          <cell r="P65">
            <v>0</v>
          </cell>
          <cell r="Q65">
            <v>0</v>
          </cell>
        </row>
        <row r="67">
          <cell r="H67">
            <v>0</v>
          </cell>
          <cell r="I67">
            <v>0</v>
          </cell>
          <cell r="J67">
            <v>0</v>
          </cell>
          <cell r="K67">
            <v>24000000</v>
          </cell>
          <cell r="L67">
            <v>0</v>
          </cell>
          <cell r="M67">
            <v>0</v>
          </cell>
          <cell r="N67">
            <v>0</v>
          </cell>
          <cell r="O67">
            <v>0</v>
          </cell>
          <cell r="P67">
            <v>24000000</v>
          </cell>
          <cell r="Q67">
            <v>0</v>
          </cell>
        </row>
        <row r="68">
          <cell r="H68">
            <v>0</v>
          </cell>
          <cell r="I68">
            <v>0</v>
          </cell>
          <cell r="J68">
            <v>0</v>
          </cell>
          <cell r="K68">
            <v>5484000</v>
          </cell>
          <cell r="L68">
            <v>0</v>
          </cell>
          <cell r="M68">
            <v>0</v>
          </cell>
          <cell r="N68">
            <v>0</v>
          </cell>
          <cell r="O68">
            <v>0</v>
          </cell>
          <cell r="P68">
            <v>284000</v>
          </cell>
          <cell r="Q68">
            <v>0</v>
          </cell>
        </row>
        <row r="69">
          <cell r="H69">
            <v>0</v>
          </cell>
          <cell r="I69">
            <v>0</v>
          </cell>
          <cell r="J69">
            <v>0</v>
          </cell>
          <cell r="K69">
            <v>112000</v>
          </cell>
          <cell r="L69">
            <v>0</v>
          </cell>
          <cell r="M69">
            <v>0</v>
          </cell>
          <cell r="N69">
            <v>0</v>
          </cell>
          <cell r="O69">
            <v>0</v>
          </cell>
          <cell r="P69">
            <v>112000</v>
          </cell>
          <cell r="Q69">
            <v>0</v>
          </cell>
        </row>
        <row r="70">
          <cell r="H70">
            <v>0</v>
          </cell>
          <cell r="I70">
            <v>0</v>
          </cell>
          <cell r="J70">
            <v>0</v>
          </cell>
          <cell r="K70">
            <v>291000</v>
          </cell>
          <cell r="L70">
            <v>0</v>
          </cell>
          <cell r="M70">
            <v>0</v>
          </cell>
          <cell r="N70">
            <v>0</v>
          </cell>
          <cell r="O70">
            <v>0</v>
          </cell>
          <cell r="P70">
            <v>263000</v>
          </cell>
          <cell r="Q70">
            <v>0</v>
          </cell>
        </row>
        <row r="71">
          <cell r="H71">
            <v>0</v>
          </cell>
          <cell r="I71">
            <v>0</v>
          </cell>
          <cell r="J71">
            <v>1225000</v>
          </cell>
          <cell r="K71">
            <v>0</v>
          </cell>
          <cell r="L71">
            <v>0</v>
          </cell>
          <cell r="M71">
            <v>0</v>
          </cell>
          <cell r="N71">
            <v>0</v>
          </cell>
          <cell r="O71">
            <v>1225000</v>
          </cell>
          <cell r="P71">
            <v>0</v>
          </cell>
          <cell r="Q71">
            <v>0</v>
          </cell>
        </row>
        <row r="72">
          <cell r="H72">
            <v>0</v>
          </cell>
          <cell r="I72">
            <v>0</v>
          </cell>
          <cell r="J72">
            <v>2200000</v>
          </cell>
          <cell r="K72">
            <v>0</v>
          </cell>
          <cell r="L72">
            <v>0</v>
          </cell>
          <cell r="M72">
            <v>0</v>
          </cell>
          <cell r="N72">
            <v>0</v>
          </cell>
          <cell r="O72">
            <v>2200000</v>
          </cell>
          <cell r="P72">
            <v>0</v>
          </cell>
          <cell r="Q72">
            <v>0</v>
          </cell>
        </row>
        <row r="73">
          <cell r="H73">
            <v>0</v>
          </cell>
          <cell r="I73">
            <v>0</v>
          </cell>
          <cell r="J73">
            <v>1125000</v>
          </cell>
          <cell r="K73">
            <v>0</v>
          </cell>
          <cell r="L73">
            <v>0</v>
          </cell>
          <cell r="M73">
            <v>0</v>
          </cell>
          <cell r="N73">
            <v>0</v>
          </cell>
          <cell r="O73">
            <v>1125000</v>
          </cell>
          <cell r="P73">
            <v>0</v>
          </cell>
          <cell r="Q73">
            <v>0</v>
          </cell>
        </row>
        <row r="74">
          <cell r="H74">
            <v>0</v>
          </cell>
          <cell r="I74">
            <v>0</v>
          </cell>
          <cell r="J74">
            <v>1915830</v>
          </cell>
          <cell r="K74">
            <v>0</v>
          </cell>
          <cell r="L74">
            <v>0</v>
          </cell>
          <cell r="M74">
            <v>0</v>
          </cell>
          <cell r="N74">
            <v>0</v>
          </cell>
          <cell r="O74">
            <v>1915830</v>
          </cell>
          <cell r="P74">
            <v>0</v>
          </cell>
          <cell r="Q74">
            <v>0</v>
          </cell>
        </row>
        <row r="75">
          <cell r="H75">
            <v>0</v>
          </cell>
          <cell r="I75">
            <v>0</v>
          </cell>
          <cell r="J75">
            <v>0</v>
          </cell>
          <cell r="K75">
            <v>0</v>
          </cell>
          <cell r="L75">
            <v>1315186</v>
          </cell>
          <cell r="M75">
            <v>0</v>
          </cell>
          <cell r="N75">
            <v>0</v>
          </cell>
          <cell r="O75">
            <v>0</v>
          </cell>
          <cell r="P75">
            <v>0</v>
          </cell>
          <cell r="Q75">
            <v>1315187</v>
          </cell>
        </row>
        <row r="76">
          <cell r="H76">
            <v>0</v>
          </cell>
          <cell r="I76">
            <v>0</v>
          </cell>
          <cell r="J76">
            <v>0</v>
          </cell>
          <cell r="K76">
            <v>0</v>
          </cell>
          <cell r="L76">
            <v>1234032</v>
          </cell>
          <cell r="M76">
            <v>0</v>
          </cell>
          <cell r="N76">
            <v>0</v>
          </cell>
          <cell r="O76">
            <v>0</v>
          </cell>
          <cell r="P76">
            <v>0</v>
          </cell>
          <cell r="Q76">
            <v>1234031</v>
          </cell>
        </row>
        <row r="77">
          <cell r="H77">
            <v>0</v>
          </cell>
          <cell r="I77">
            <v>0</v>
          </cell>
          <cell r="J77">
            <v>0</v>
          </cell>
          <cell r="K77">
            <v>0</v>
          </cell>
          <cell r="L77">
            <v>659942</v>
          </cell>
          <cell r="M77">
            <v>0</v>
          </cell>
          <cell r="N77">
            <v>0</v>
          </cell>
          <cell r="O77">
            <v>0</v>
          </cell>
          <cell r="P77">
            <v>0</v>
          </cell>
          <cell r="Q77">
            <v>659941</v>
          </cell>
        </row>
        <row r="80">
          <cell r="J80">
            <v>49043050</v>
          </cell>
          <cell r="O80">
            <v>43415049</v>
          </cell>
        </row>
        <row r="81">
          <cell r="L81">
            <v>92458099</v>
          </cell>
        </row>
      </sheetData>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and Out Base "/>
      <sheetName val="Footnotes"/>
      <sheetName val="First 5% Reduction"/>
      <sheetName val="Second 5% Reduction"/>
      <sheetName val="Reductions"/>
    </sheetNames>
    <sheetDataSet>
      <sheetData sheetId="0">
        <row r="3">
          <cell r="S3">
            <v>3727042</v>
          </cell>
        </row>
        <row r="4">
          <cell r="S4">
            <v>1850602</v>
          </cell>
        </row>
        <row r="5">
          <cell r="S5">
            <v>3384510</v>
          </cell>
        </row>
        <row r="6">
          <cell r="S6">
            <v>3979956</v>
          </cell>
        </row>
        <row r="7">
          <cell r="L7">
            <v>290391465</v>
          </cell>
          <cell r="N7">
            <v>290391465</v>
          </cell>
          <cell r="S7">
            <v>580782930</v>
          </cell>
        </row>
        <row r="8">
          <cell r="M8">
            <v>40278896</v>
          </cell>
          <cell r="O8">
            <v>40278895</v>
          </cell>
          <cell r="S8">
            <v>80557791</v>
          </cell>
        </row>
        <row r="9">
          <cell r="S9">
            <v>168845654</v>
          </cell>
        </row>
        <row r="10">
          <cell r="S10">
            <v>65349388</v>
          </cell>
        </row>
        <row r="11">
          <cell r="S11">
            <v>15059278</v>
          </cell>
        </row>
        <row r="12">
          <cell r="S12">
            <v>1099000</v>
          </cell>
        </row>
        <row r="16">
          <cell r="S16">
            <v>1000000</v>
          </cell>
        </row>
        <row r="17">
          <cell r="S17">
            <v>375626</v>
          </cell>
        </row>
        <row r="18">
          <cell r="S18">
            <v>496072</v>
          </cell>
        </row>
        <row r="21">
          <cell r="S21">
            <v>8500000</v>
          </cell>
        </row>
        <row r="22">
          <cell r="L22">
            <v>3560000</v>
          </cell>
          <cell r="N22">
            <v>3560000</v>
          </cell>
          <cell r="S22">
            <v>7120000</v>
          </cell>
        </row>
        <row r="26">
          <cell r="S26">
            <v>1000000</v>
          </cell>
        </row>
        <row r="27">
          <cell r="S27">
            <v>35625000</v>
          </cell>
        </row>
        <row r="28">
          <cell r="S28">
            <v>9600000</v>
          </cell>
        </row>
        <row r="32">
          <cell r="S32">
            <v>4006794</v>
          </cell>
        </row>
        <row r="33">
          <cell r="S33">
            <v>5600000</v>
          </cell>
        </row>
        <row r="37">
          <cell r="S37">
            <v>30000000</v>
          </cell>
        </row>
        <row r="38">
          <cell r="S38">
            <v>4230625</v>
          </cell>
        </row>
        <row r="42">
          <cell r="S42">
            <v>0</v>
          </cell>
        </row>
        <row r="46">
          <cell r="S46">
            <v>4000000</v>
          </cell>
        </row>
        <row r="47">
          <cell r="S47">
            <v>1520353</v>
          </cell>
        </row>
        <row r="52">
          <cell r="S52">
            <v>4000000</v>
          </cell>
        </row>
        <row r="54">
          <cell r="S54">
            <v>1520353</v>
          </cell>
        </row>
        <row r="63">
          <cell r="S63">
            <v>7142451</v>
          </cell>
        </row>
        <row r="64">
          <cell r="S64">
            <v>2640033</v>
          </cell>
        </row>
        <row r="65">
          <cell r="S65">
            <v>1549925</v>
          </cell>
        </row>
        <row r="66">
          <cell r="L66">
            <v>488272008</v>
          </cell>
          <cell r="M66">
            <v>43628396</v>
          </cell>
          <cell r="N66">
            <v>479034584</v>
          </cell>
          <cell r="O66">
            <v>43628395</v>
          </cell>
        </row>
      </sheetData>
      <sheetData sheetId="1"/>
      <sheetData sheetId="2"/>
      <sheetData sheetId="3"/>
      <sheetData sheetId="4">
        <row r="9">
          <cell r="Q9">
            <v>33378940</v>
          </cell>
        </row>
        <row r="10">
          <cell r="P10">
            <v>46498680</v>
          </cell>
        </row>
        <row r="11">
          <cell r="Q11">
            <v>9703951</v>
          </cell>
        </row>
        <row r="12">
          <cell r="Q12">
            <v>3755781</v>
          </cell>
        </row>
        <row r="28">
          <cell r="S28">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ario 1"/>
      <sheetName val="Senario 2"/>
      <sheetName val="Senario 3"/>
      <sheetName val="Senario 4"/>
      <sheetName val="Strategy View"/>
      <sheetName val="Senario 5"/>
      <sheetName val="Agency Summary"/>
      <sheetName val="Sheet4"/>
      <sheetName val="P16"/>
      <sheetName val="PIE"/>
      <sheetName val="WAAR"/>
      <sheetName val="ISS"/>
      <sheetName val="BSS"/>
      <sheetName val="Sheet1"/>
    </sheetNames>
    <sheetDataSet>
      <sheetData sheetId="0"/>
      <sheetData sheetId="1"/>
      <sheetData sheetId="2"/>
      <sheetData sheetId="3"/>
      <sheetData sheetId="4"/>
      <sheetData sheetId="5"/>
      <sheetData sheetId="6"/>
      <sheetData sheetId="7"/>
      <sheetData sheetId="8">
        <row r="9">
          <cell r="I9">
            <v>0</v>
          </cell>
        </row>
        <row r="10">
          <cell r="F10">
            <v>4000000</v>
          </cell>
          <cell r="H10">
            <v>0</v>
          </cell>
          <cell r="I10">
            <v>0</v>
          </cell>
        </row>
        <row r="11">
          <cell r="F11">
            <v>3040706</v>
          </cell>
        </row>
        <row r="12">
          <cell r="F12">
            <v>4000000</v>
          </cell>
          <cell r="H12">
            <v>0</v>
          </cell>
          <cell r="I12">
            <v>0</v>
          </cell>
        </row>
        <row r="20">
          <cell r="I20">
            <v>0</v>
          </cell>
        </row>
        <row r="21">
          <cell r="H21">
            <v>0</v>
          </cell>
          <cell r="I21">
            <v>0</v>
          </cell>
        </row>
        <row r="23">
          <cell r="H23">
            <v>0</v>
          </cell>
          <cell r="I23">
            <v>0</v>
          </cell>
        </row>
      </sheetData>
      <sheetData sheetId="9">
        <row r="8">
          <cell r="I8">
            <v>0</v>
          </cell>
        </row>
        <row r="9">
          <cell r="F9">
            <v>35625000</v>
          </cell>
          <cell r="H9">
            <v>1781250</v>
          </cell>
          <cell r="I9">
            <v>0</v>
          </cell>
        </row>
        <row r="10">
          <cell r="F10">
            <v>75864812</v>
          </cell>
        </row>
        <row r="11">
          <cell r="F11">
            <v>10353014</v>
          </cell>
        </row>
        <row r="12">
          <cell r="F12">
            <v>30000000</v>
          </cell>
          <cell r="H12">
            <v>1500000</v>
          </cell>
          <cell r="I12">
            <v>0</v>
          </cell>
        </row>
        <row r="18">
          <cell r="I18">
            <v>0</v>
          </cell>
        </row>
        <row r="19">
          <cell r="H19">
            <v>1781250</v>
          </cell>
          <cell r="I19">
            <v>0</v>
          </cell>
        </row>
        <row r="22">
          <cell r="H22">
            <v>1500000</v>
          </cell>
          <cell r="I22">
            <v>0</v>
          </cell>
        </row>
      </sheetData>
      <sheetData sheetId="10">
        <row r="8">
          <cell r="I8">
            <v>0</v>
          </cell>
        </row>
        <row r="10">
          <cell r="F10">
            <v>3000000</v>
          </cell>
          <cell r="H10">
            <v>0</v>
          </cell>
          <cell r="I10">
            <v>0</v>
          </cell>
        </row>
        <row r="11">
          <cell r="F11">
            <v>7600000</v>
          </cell>
          <cell r="H11">
            <v>0</v>
          </cell>
          <cell r="I11">
            <v>0</v>
          </cell>
        </row>
        <row r="12">
          <cell r="F12">
            <v>4006794</v>
          </cell>
          <cell r="H12">
            <v>950000</v>
          </cell>
          <cell r="I12">
            <v>0</v>
          </cell>
        </row>
        <row r="13">
          <cell r="F13">
            <v>4230625</v>
          </cell>
          <cell r="H13">
            <v>0</v>
          </cell>
          <cell r="I13">
            <v>0</v>
          </cell>
        </row>
        <row r="22">
          <cell r="I22">
            <v>0</v>
          </cell>
        </row>
        <row r="24">
          <cell r="H24">
            <v>0</v>
          </cell>
          <cell r="I24">
            <v>0</v>
          </cell>
        </row>
        <row r="25">
          <cell r="H25">
            <v>0</v>
          </cell>
          <cell r="I25">
            <v>0</v>
          </cell>
        </row>
        <row r="26">
          <cell r="H26">
            <v>475000</v>
          </cell>
          <cell r="I26">
            <v>0</v>
          </cell>
        </row>
        <row r="27">
          <cell r="H27">
            <v>475000</v>
          </cell>
          <cell r="I27">
            <v>0</v>
          </cell>
        </row>
      </sheetData>
      <sheetData sheetId="11">
        <row r="8">
          <cell r="F8">
            <v>2637650</v>
          </cell>
          <cell r="H8">
            <v>0</v>
          </cell>
          <cell r="I8">
            <v>0</v>
          </cell>
        </row>
        <row r="13">
          <cell r="H13">
            <v>66933</v>
          </cell>
          <cell r="I13">
            <v>0</v>
          </cell>
        </row>
      </sheetData>
      <sheetData sheetId="12">
        <row r="8">
          <cell r="G8">
            <v>1099000</v>
          </cell>
          <cell r="H8">
            <v>0</v>
          </cell>
          <cell r="I8">
            <v>0</v>
          </cell>
        </row>
        <row r="9">
          <cell r="F9">
            <v>10000000</v>
          </cell>
        </row>
        <row r="10">
          <cell r="F10">
            <v>375626</v>
          </cell>
          <cell r="H10">
            <v>0</v>
          </cell>
          <cell r="I10">
            <v>0</v>
          </cell>
        </row>
        <row r="11">
          <cell r="F11">
            <v>496072</v>
          </cell>
          <cell r="H11">
            <v>0</v>
          </cell>
          <cell r="I11">
            <v>0</v>
          </cell>
        </row>
        <row r="12">
          <cell r="F12">
            <v>600000000</v>
          </cell>
          <cell r="H12">
            <v>0</v>
          </cell>
          <cell r="I12">
            <v>0</v>
          </cell>
        </row>
        <row r="13">
          <cell r="I13">
            <v>0</v>
          </cell>
        </row>
        <row r="15">
          <cell r="F15">
            <v>14000000</v>
          </cell>
          <cell r="G15">
            <v>33000000</v>
          </cell>
          <cell r="H15">
            <v>0</v>
          </cell>
          <cell r="I15">
            <v>0</v>
          </cell>
        </row>
        <row r="16">
          <cell r="H16">
            <v>0</v>
          </cell>
          <cell r="I16">
            <v>0</v>
          </cell>
        </row>
        <row r="17">
          <cell r="F17">
            <v>8500000</v>
          </cell>
          <cell r="H17">
            <v>0</v>
          </cell>
          <cell r="I17">
            <v>0</v>
          </cell>
        </row>
        <row r="18">
          <cell r="F18">
            <v>4220000</v>
          </cell>
          <cell r="H18">
            <v>0</v>
          </cell>
          <cell r="I18">
            <v>0</v>
          </cell>
        </row>
        <row r="19">
          <cell r="G19">
            <v>5600000</v>
          </cell>
          <cell r="H19">
            <v>0</v>
          </cell>
          <cell r="I19">
            <v>0</v>
          </cell>
        </row>
        <row r="20">
          <cell r="F20">
            <v>6934019</v>
          </cell>
          <cell r="H20">
            <v>346701</v>
          </cell>
          <cell r="I20">
            <v>0</v>
          </cell>
        </row>
        <row r="21">
          <cell r="F21">
            <v>1549925</v>
          </cell>
          <cell r="H21">
            <v>77496</v>
          </cell>
          <cell r="I21">
            <v>0</v>
          </cell>
        </row>
        <row r="27">
          <cell r="H27">
            <v>0</v>
          </cell>
          <cell r="I27">
            <v>0</v>
          </cell>
        </row>
        <row r="29">
          <cell r="H29">
            <v>375626</v>
          </cell>
          <cell r="I29">
            <v>0</v>
          </cell>
        </row>
        <row r="30">
          <cell r="H30">
            <v>0</v>
          </cell>
          <cell r="I30">
            <v>0</v>
          </cell>
        </row>
        <row r="31">
          <cell r="H31">
            <v>40302661</v>
          </cell>
          <cell r="I31">
            <v>0</v>
          </cell>
        </row>
        <row r="32">
          <cell r="I32">
            <v>0</v>
          </cell>
        </row>
        <row r="34">
          <cell r="H34">
            <v>0</v>
          </cell>
          <cell r="I34">
            <v>0</v>
          </cell>
        </row>
        <row r="35">
          <cell r="H35">
            <v>0</v>
          </cell>
          <cell r="I35">
            <v>0</v>
          </cell>
        </row>
        <row r="36">
          <cell r="H36">
            <v>0</v>
          </cell>
          <cell r="I36">
            <v>0</v>
          </cell>
        </row>
        <row r="37">
          <cell r="H37">
            <v>0</v>
          </cell>
          <cell r="I37">
            <v>0</v>
          </cell>
        </row>
        <row r="38">
          <cell r="H38">
            <v>0</v>
          </cell>
          <cell r="I38">
            <v>0</v>
          </cell>
        </row>
        <row r="39">
          <cell r="H39">
            <v>346701</v>
          </cell>
          <cell r="I39">
            <v>0</v>
          </cell>
        </row>
        <row r="40">
          <cell r="H40">
            <v>77496</v>
          </cell>
          <cell r="I40">
            <v>0</v>
          </cell>
        </row>
      </sheetData>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and Out Base "/>
      <sheetName val="First 5% Reduction"/>
      <sheetName val="Second 5% Reduction"/>
      <sheetName val="Reductions"/>
    </sheetNames>
    <sheetDataSet>
      <sheetData sheetId="0">
        <row r="3">
          <cell r="K3">
            <v>2013521</v>
          </cell>
          <cell r="M3">
            <v>2013521</v>
          </cell>
        </row>
      </sheetData>
      <sheetData sheetId="1"/>
      <sheetData sheetId="2"/>
      <sheetData sheetId="3">
        <row r="4">
          <cell r="P4">
            <v>642178</v>
          </cell>
          <cell r="Q4">
            <v>569695</v>
          </cell>
        </row>
        <row r="5">
          <cell r="P5">
            <v>92530</v>
          </cell>
          <cell r="Q5">
            <v>92530</v>
          </cell>
        </row>
        <row r="6">
          <cell r="P6">
            <v>153915</v>
          </cell>
          <cell r="Q6">
            <v>174442</v>
          </cell>
        </row>
        <row r="7">
          <cell r="P7">
            <v>186000</v>
          </cell>
          <cell r="Q7">
            <v>149956</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ario 1"/>
      <sheetName val="Senario 2"/>
      <sheetName val="Senario 3"/>
      <sheetName val="Senario 4"/>
      <sheetName val="Strategy View"/>
      <sheetName val="Senario 5"/>
      <sheetName val="Agency Summary"/>
      <sheetName val="Sheet4"/>
      <sheetName val="P16"/>
      <sheetName val="PIE"/>
      <sheetName val="WAAR"/>
      <sheetName val="ISS"/>
      <sheetName val="BS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3">
          <cell r="H33">
            <v>15273669</v>
          </cell>
        </row>
      </sheetData>
      <sheetData sheetId="13"/>
    </sheetDataSet>
  </externalBook>
</externalLink>
</file>

<file path=xl/tables/table1.xml><?xml version="1.0" encoding="utf-8"?>
<table xmlns="http://schemas.openxmlformats.org/spreadsheetml/2006/main" id="1" name="Table1" displayName="Table1" ref="A6:V37" totalsRowShown="0" dataDxfId="44" tableBorderDxfId="43">
  <autoFilter ref="A6:V37"/>
  <sortState ref="A7:V37">
    <sortCondition ref="A6:A37"/>
  </sortState>
  <tableColumns count="22">
    <tableColumn id="1" name="Column1" dataDxfId="42" dataCellStyle="Normal 3"/>
    <tableColumn id="3" name="Column3" dataDxfId="41" dataCellStyle="Normal 3"/>
    <tableColumn id="4" name="Column4" dataDxfId="40" dataCellStyle="Normal 3"/>
    <tableColumn id="5" name="Column5" dataDxfId="39" dataCellStyle="Normal 3"/>
    <tableColumn id="6" name="Column6" dataDxfId="38" dataCellStyle="Normal 3"/>
    <tableColumn id="7" name="Column7" dataDxfId="37" dataCellStyle="Normal 3"/>
    <tableColumn id="8" name="Column8" dataDxfId="36" dataCellStyle="Currency 2">
      <calculatedColumnFormula>SUM(C7,E7)</calculatedColumnFormula>
    </tableColumn>
    <tableColumn id="9" name="Column9" dataDxfId="35" dataCellStyle="Currency 2">
      <calculatedColumnFormula>SUM(D7,F7)</calculatedColumnFormula>
    </tableColumn>
    <tableColumn id="10" name="Column10" dataDxfId="34" dataCellStyle="Currency 2"/>
    <tableColumn id="11" name="Column11" dataDxfId="33" dataCellStyle="Currency 2"/>
    <tableColumn id="23" name="Column112" dataDxfId="32" dataCellStyle="Currency 2">
      <calculatedColumnFormula>SUM(Table1[[#This Row],[Column10]:[Column11]])</calculatedColumnFormula>
    </tableColumn>
    <tableColumn id="12" name="Column12" dataDxfId="31" dataCellStyle="Comma 2"/>
    <tableColumn id="13" name="Column13" dataDxfId="30" dataCellStyle="Comma 2"/>
    <tableColumn id="14" name="Column14" dataDxfId="29" dataCellStyle="Comma 2">
      <calculatedColumnFormula>L7+M7</calculatedColumnFormula>
    </tableColumn>
    <tableColumn id="15" name="Column15" dataDxfId="28" dataCellStyle="Comma 2"/>
    <tableColumn id="16" name="Column16" dataDxfId="27" dataCellStyle="Comma 2"/>
    <tableColumn id="17" name="Column17" dataDxfId="26" dataCellStyle="Comma 2">
      <calculatedColumnFormula>SUM(O7:P7)</calculatedColumnFormula>
    </tableColumn>
    <tableColumn id="18" name="Column18" dataDxfId="25" dataCellStyle="Currency 2"/>
    <tableColumn id="19" name="Column19" dataDxfId="24" dataCellStyle="Currency 2"/>
    <tableColumn id="20" name="Column20" dataDxfId="23" dataCellStyle="Percent 2"/>
    <tableColumn id="21" name="Column21" dataDxfId="22" dataCellStyle="Percent 2"/>
    <tableColumn id="22" name="Column22" dataDxfId="21" dataCellStyle="Percent 2"/>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Z6:AD37" totalsRowShown="0" dataDxfId="20" tableBorderDxfId="19">
  <autoFilter ref="Z6:AD37"/>
  <sortState ref="Z7:AD37">
    <sortCondition ref="Z6:Z37"/>
  </sortState>
  <tableColumns count="5">
    <tableColumn id="1" name="Column2" dataDxfId="18" dataCellStyle="Normal 3"/>
    <tableColumn id="2" name="Column3" dataDxfId="17" dataCellStyle="Normal 3"/>
    <tableColumn id="3" name="Column112" dataDxfId="16" dataCellStyle="Currency 2">
      <calculatedColumnFormula>SUM(Table1[[#This Row],[Column10]:[Column11]])</calculatedColumnFormula>
    </tableColumn>
    <tableColumn id="4" name="Column17" dataDxfId="15" dataCellStyle="Comma 2"/>
    <tableColumn id="5" name="Column21" dataDxfId="14" dataCellStyle="Normal 3">
      <calculatedColumnFormula>Table2[[#This Row],[Column17]]/Table2[[#This Row],[Column112]]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2:J14" totalsRowShown="0" headerRowDxfId="13" dataDxfId="11" headerRowBorderDxfId="12" tableBorderDxfId="10">
  <autoFilter ref="A2:J14"/>
  <sortState ref="A3:J13">
    <sortCondition ref="A2:A13"/>
  </sortState>
  <tableColumns count="10">
    <tableColumn id="1" name="Agency Rank" dataDxfId="9"/>
    <tableColumn id="2" name="Division Rank" dataDxfId="8"/>
    <tableColumn id="3" name="Name" dataDxfId="7"/>
    <tableColumn id="4" name="Strategy" dataDxfId="6"/>
    <tableColumn id="5" name="Description" dataDxfId="5"/>
    <tableColumn id="6" name="FY14" dataDxfId="4"/>
    <tableColumn id="7" name="FY15" dataDxfId="3"/>
    <tableColumn id="8" name="Total" dataDxfId="2">
      <calculatedColumnFormula>SUM(F3:G3)</calculatedColumnFormula>
    </tableColumn>
    <tableColumn id="9" name="FTE" dataDxfId="1"/>
    <tableColumn id="10" name="PG #"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69"/>
  <sheetViews>
    <sheetView view="pageBreakPreview" topLeftCell="A49" zoomScale="85" zoomScaleNormal="100" zoomScaleSheetLayoutView="85" workbookViewId="0">
      <selection activeCell="C51" sqref="C51"/>
    </sheetView>
  </sheetViews>
  <sheetFormatPr defaultRowHeight="14.4" x14ac:dyDescent="0.3"/>
  <cols>
    <col min="2" max="2" width="46.5546875" style="1" customWidth="1"/>
    <col min="3" max="3" width="82" style="1" customWidth="1"/>
  </cols>
  <sheetData>
    <row r="1" spans="1:3" ht="15" x14ac:dyDescent="0.25">
      <c r="A1" s="707" t="s">
        <v>24</v>
      </c>
      <c r="B1" s="707"/>
      <c r="C1" s="707"/>
    </row>
    <row r="2" spans="1:3" ht="15" x14ac:dyDescent="0.25">
      <c r="A2" s="8" t="s">
        <v>25</v>
      </c>
      <c r="B2" s="9">
        <v>40358</v>
      </c>
      <c r="C2" s="10"/>
    </row>
    <row r="3" spans="1:3" ht="15" x14ac:dyDescent="0.25">
      <c r="A3" s="6"/>
      <c r="B3" s="10"/>
      <c r="C3" s="10"/>
    </row>
    <row r="4" spans="1:3" s="13" customFormat="1" ht="15" x14ac:dyDescent="0.25">
      <c r="A4" s="11" t="s">
        <v>26</v>
      </c>
      <c r="B4" s="12" t="s">
        <v>27</v>
      </c>
      <c r="C4" s="12" t="s">
        <v>28</v>
      </c>
    </row>
    <row r="5" spans="1:3" s="16" customFormat="1" ht="191.25" customHeight="1" x14ac:dyDescent="0.3">
      <c r="A5" s="14" t="s">
        <v>29</v>
      </c>
      <c r="B5" s="15" t="s">
        <v>30</v>
      </c>
      <c r="C5" s="15" t="s">
        <v>381</v>
      </c>
    </row>
    <row r="6" spans="1:3" s="16" customFormat="1" ht="120" customHeight="1" x14ac:dyDescent="0.25">
      <c r="A6" s="14" t="s">
        <v>31</v>
      </c>
      <c r="B6" s="15" t="s">
        <v>32</v>
      </c>
      <c r="C6" s="15" t="s">
        <v>382</v>
      </c>
    </row>
    <row r="7" spans="1:3" s="16" customFormat="1" ht="117" customHeight="1" x14ac:dyDescent="0.25">
      <c r="A7" s="16" t="s">
        <v>33</v>
      </c>
      <c r="B7" s="15" t="s">
        <v>34</v>
      </c>
      <c r="C7" s="15" t="s">
        <v>35</v>
      </c>
    </row>
    <row r="8" spans="1:3" s="16" customFormat="1" ht="105" customHeight="1" x14ac:dyDescent="0.25">
      <c r="A8" s="16" t="s">
        <v>36</v>
      </c>
      <c r="B8" s="15" t="s">
        <v>37</v>
      </c>
      <c r="C8" s="15" t="s">
        <v>0</v>
      </c>
    </row>
    <row r="9" spans="1:3" s="16" customFormat="1" ht="104.25" customHeight="1" x14ac:dyDescent="0.25">
      <c r="A9" s="16" t="s">
        <v>38</v>
      </c>
      <c r="B9" s="15" t="s">
        <v>39</v>
      </c>
      <c r="C9" s="15" t="s">
        <v>40</v>
      </c>
    </row>
    <row r="10" spans="1:3" s="16" customFormat="1" ht="237.75" customHeight="1" x14ac:dyDescent="0.25">
      <c r="A10" s="16" t="s">
        <v>41</v>
      </c>
      <c r="B10" s="15" t="s">
        <v>42</v>
      </c>
      <c r="C10" s="15" t="s">
        <v>43</v>
      </c>
    </row>
    <row r="11" spans="1:3" s="16" customFormat="1" ht="225" customHeight="1" x14ac:dyDescent="0.25">
      <c r="A11" s="16" t="s">
        <v>44</v>
      </c>
      <c r="B11" s="15" t="s">
        <v>45</v>
      </c>
      <c r="C11" s="15" t="s">
        <v>221</v>
      </c>
    </row>
    <row r="12" spans="1:3" s="16" customFormat="1" ht="210" x14ac:dyDescent="0.25">
      <c r="A12" s="16" t="s">
        <v>46</v>
      </c>
      <c r="B12" s="15" t="s">
        <v>47</v>
      </c>
      <c r="C12" s="15" t="s">
        <v>48</v>
      </c>
    </row>
    <row r="13" spans="1:3" s="16" customFormat="1" ht="193.5" customHeight="1" x14ac:dyDescent="0.25">
      <c r="A13" s="16" t="s">
        <v>49</v>
      </c>
      <c r="B13" s="15" t="s">
        <v>50</v>
      </c>
      <c r="C13" s="15" t="s">
        <v>51</v>
      </c>
    </row>
    <row r="14" spans="1:3" s="16" customFormat="1" ht="119.25" customHeight="1" x14ac:dyDescent="0.25">
      <c r="A14" s="16" t="s">
        <v>52</v>
      </c>
      <c r="B14" s="15" t="s">
        <v>53</v>
      </c>
      <c r="C14" s="15" t="s">
        <v>54</v>
      </c>
    </row>
    <row r="15" spans="1:3" s="16" customFormat="1" ht="195" x14ac:dyDescent="0.25">
      <c r="A15" s="16" t="s">
        <v>55</v>
      </c>
      <c r="B15" s="15" t="s">
        <v>56</v>
      </c>
      <c r="C15" s="15" t="s">
        <v>57</v>
      </c>
    </row>
    <row r="16" spans="1:3" s="16" customFormat="1" ht="197.25" customHeight="1" x14ac:dyDescent="0.25">
      <c r="A16" s="16" t="s">
        <v>58</v>
      </c>
      <c r="B16" s="15" t="s">
        <v>59</v>
      </c>
      <c r="C16" s="15" t="s">
        <v>60</v>
      </c>
    </row>
    <row r="17" spans="1:3" s="16" customFormat="1" ht="165" x14ac:dyDescent="0.25">
      <c r="A17" s="16" t="s">
        <v>61</v>
      </c>
      <c r="B17" s="15" t="s">
        <v>62</v>
      </c>
      <c r="C17" s="15" t="s">
        <v>63</v>
      </c>
    </row>
    <row r="18" spans="1:3" s="16" customFormat="1" ht="240" x14ac:dyDescent="0.25">
      <c r="A18" s="16" t="s">
        <v>64</v>
      </c>
      <c r="B18" s="15" t="s">
        <v>65</v>
      </c>
      <c r="C18" s="15" t="s">
        <v>222</v>
      </c>
    </row>
    <row r="19" spans="1:3" s="16" customFormat="1" ht="57.75" customHeight="1" x14ac:dyDescent="0.25">
      <c r="A19" s="16" t="s">
        <v>66</v>
      </c>
      <c r="B19" s="15" t="s">
        <v>67</v>
      </c>
      <c r="C19" s="15" t="s">
        <v>163</v>
      </c>
    </row>
    <row r="20" spans="1:3" s="16" customFormat="1" ht="132" customHeight="1" x14ac:dyDescent="0.25">
      <c r="A20" s="16" t="s">
        <v>66</v>
      </c>
      <c r="B20" s="15" t="s">
        <v>164</v>
      </c>
      <c r="C20" s="15" t="s">
        <v>165</v>
      </c>
    </row>
    <row r="21" spans="1:3" s="16" customFormat="1" ht="210.75" customHeight="1" x14ac:dyDescent="0.25">
      <c r="A21" s="16" t="s">
        <v>66</v>
      </c>
      <c r="B21" s="15" t="s">
        <v>166</v>
      </c>
      <c r="C21" s="15" t="s">
        <v>167</v>
      </c>
    </row>
    <row r="22" spans="1:3" s="16" customFormat="1" ht="131.25" customHeight="1" x14ac:dyDescent="0.25">
      <c r="A22" s="16" t="s">
        <v>66</v>
      </c>
      <c r="B22" s="15" t="s">
        <v>3</v>
      </c>
      <c r="C22" s="15" t="s">
        <v>168</v>
      </c>
    </row>
    <row r="23" spans="1:3" s="16" customFormat="1" ht="144.75" customHeight="1" x14ac:dyDescent="0.25">
      <c r="A23" s="16" t="s">
        <v>66</v>
      </c>
      <c r="B23" s="15" t="s">
        <v>169</v>
      </c>
      <c r="C23" s="15" t="s">
        <v>170</v>
      </c>
    </row>
    <row r="24" spans="1:3" s="16" customFormat="1" ht="129" customHeight="1" x14ac:dyDescent="0.25">
      <c r="A24" s="16" t="s">
        <v>66</v>
      </c>
      <c r="B24" s="15" t="s">
        <v>4</v>
      </c>
      <c r="C24" s="15" t="s">
        <v>171</v>
      </c>
    </row>
    <row r="25" spans="1:3" s="16" customFormat="1" ht="225" customHeight="1" x14ac:dyDescent="0.25">
      <c r="A25" s="16" t="s">
        <v>68</v>
      </c>
      <c r="B25" s="15" t="s">
        <v>69</v>
      </c>
      <c r="C25" s="15" t="s">
        <v>70</v>
      </c>
    </row>
    <row r="26" spans="1:3" s="16" customFormat="1" ht="210" customHeight="1" x14ac:dyDescent="0.25">
      <c r="A26" s="16" t="s">
        <v>71</v>
      </c>
      <c r="B26" s="15" t="s">
        <v>7</v>
      </c>
      <c r="C26" s="15" t="s">
        <v>72</v>
      </c>
    </row>
    <row r="27" spans="1:3" s="16" customFormat="1" ht="105" customHeight="1" x14ac:dyDescent="0.25">
      <c r="A27" s="16" t="s">
        <v>73</v>
      </c>
      <c r="B27" s="15" t="s">
        <v>74</v>
      </c>
      <c r="C27" s="15" t="s">
        <v>75</v>
      </c>
    </row>
    <row r="28" spans="1:3" s="16" customFormat="1" ht="269.25" customHeight="1" x14ac:dyDescent="0.25">
      <c r="A28" s="16" t="s">
        <v>76</v>
      </c>
      <c r="B28" s="15" t="s">
        <v>77</v>
      </c>
      <c r="C28" s="15" t="s">
        <v>223</v>
      </c>
    </row>
    <row r="29" spans="1:3" s="16" customFormat="1" ht="136.5" customHeight="1" x14ac:dyDescent="0.25">
      <c r="A29" s="16" t="s">
        <v>78</v>
      </c>
      <c r="B29" s="15" t="s">
        <v>79</v>
      </c>
      <c r="C29" s="15" t="s">
        <v>80</v>
      </c>
    </row>
    <row r="30" spans="1:3" s="16" customFormat="1" ht="165.75" customHeight="1" x14ac:dyDescent="0.25">
      <c r="A30" s="16" t="s">
        <v>81</v>
      </c>
      <c r="B30" s="15" t="s">
        <v>82</v>
      </c>
      <c r="C30" s="15" t="s">
        <v>83</v>
      </c>
    </row>
    <row r="31" spans="1:3" s="16" customFormat="1" ht="158.4" x14ac:dyDescent="0.3">
      <c r="A31" s="16" t="s">
        <v>84</v>
      </c>
      <c r="B31" s="15" t="s">
        <v>85</v>
      </c>
      <c r="C31" s="15" t="s">
        <v>86</v>
      </c>
    </row>
    <row r="32" spans="1:3" s="16" customFormat="1" ht="258.75" customHeight="1" x14ac:dyDescent="0.25">
      <c r="A32" s="16" t="s">
        <v>87</v>
      </c>
      <c r="B32" s="15" t="s">
        <v>88</v>
      </c>
      <c r="C32" s="15" t="s">
        <v>89</v>
      </c>
    </row>
    <row r="33" spans="1:3" s="16" customFormat="1" ht="150.75" customHeight="1" x14ac:dyDescent="0.25">
      <c r="A33" s="16" t="s">
        <v>90</v>
      </c>
      <c r="B33" s="15" t="s">
        <v>91</v>
      </c>
      <c r="C33" s="15" t="s">
        <v>92</v>
      </c>
    </row>
    <row r="34" spans="1:3" s="16" customFormat="1" ht="90" x14ac:dyDescent="0.25">
      <c r="A34" s="16" t="s">
        <v>93</v>
      </c>
      <c r="B34" s="15" t="s">
        <v>94</v>
      </c>
      <c r="C34" s="15" t="s">
        <v>95</v>
      </c>
    </row>
    <row r="35" spans="1:3" s="16" customFormat="1" ht="239.25" customHeight="1" x14ac:dyDescent="0.25">
      <c r="A35" s="16" t="s">
        <v>96</v>
      </c>
      <c r="B35" s="15" t="s">
        <v>6</v>
      </c>
      <c r="C35" s="15" t="s">
        <v>97</v>
      </c>
    </row>
    <row r="36" spans="1:3" s="16" customFormat="1" ht="165" x14ac:dyDescent="0.25">
      <c r="A36" s="16" t="s">
        <v>98</v>
      </c>
      <c r="B36" s="15" t="s">
        <v>99</v>
      </c>
      <c r="C36" s="15" t="s">
        <v>18</v>
      </c>
    </row>
    <row r="37" spans="1:3" s="16" customFormat="1" ht="180" x14ac:dyDescent="0.25">
      <c r="A37" s="16" t="s">
        <v>100</v>
      </c>
      <c r="B37" s="15" t="s">
        <v>101</v>
      </c>
      <c r="C37" s="15" t="s">
        <v>1</v>
      </c>
    </row>
    <row r="38" spans="1:3" s="16" customFormat="1" ht="103.5" customHeight="1" x14ac:dyDescent="0.25">
      <c r="A38" s="16" t="s">
        <v>102</v>
      </c>
      <c r="B38" s="15" t="s">
        <v>103</v>
      </c>
      <c r="C38" s="15" t="s">
        <v>2</v>
      </c>
    </row>
    <row r="39" spans="1:3" s="16" customFormat="1" ht="194.25" customHeight="1" x14ac:dyDescent="0.25">
      <c r="A39" s="16" t="s">
        <v>104</v>
      </c>
      <c r="B39" s="15" t="s">
        <v>105</v>
      </c>
      <c r="C39" s="15" t="s">
        <v>106</v>
      </c>
    </row>
    <row r="40" spans="1:3" s="16" customFormat="1" ht="240" customHeight="1" x14ac:dyDescent="0.25">
      <c r="A40" s="16" t="s">
        <v>107</v>
      </c>
      <c r="B40" s="15" t="s">
        <v>5</v>
      </c>
      <c r="C40" s="15" t="s">
        <v>108</v>
      </c>
    </row>
    <row r="41" spans="1:3" s="16" customFormat="1" ht="120" x14ac:dyDescent="0.25">
      <c r="A41" s="16" t="s">
        <v>109</v>
      </c>
      <c r="B41" s="15" t="s">
        <v>110</v>
      </c>
      <c r="C41" s="15" t="s">
        <v>224</v>
      </c>
    </row>
    <row r="42" spans="1:3" s="16" customFormat="1" ht="105" x14ac:dyDescent="0.25">
      <c r="A42" s="16" t="s">
        <v>111</v>
      </c>
      <c r="B42" s="15" t="s">
        <v>112</v>
      </c>
      <c r="C42" s="15" t="s">
        <v>225</v>
      </c>
    </row>
    <row r="43" spans="1:3" s="16" customFormat="1" ht="195" x14ac:dyDescent="0.25">
      <c r="A43" s="16" t="s">
        <v>113</v>
      </c>
      <c r="B43" s="15" t="s">
        <v>114</v>
      </c>
      <c r="C43" s="15" t="s">
        <v>226</v>
      </c>
    </row>
    <row r="44" spans="1:3" s="16" customFormat="1" ht="195" x14ac:dyDescent="0.25">
      <c r="A44" s="16" t="s">
        <v>115</v>
      </c>
      <c r="B44" s="15" t="s">
        <v>116</v>
      </c>
      <c r="C44" s="15" t="s">
        <v>227</v>
      </c>
    </row>
    <row r="45" spans="1:3" s="16" customFormat="1" ht="72" x14ac:dyDescent="0.3">
      <c r="A45" s="16" t="s">
        <v>117</v>
      </c>
      <c r="B45" s="15" t="s">
        <v>118</v>
      </c>
      <c r="C45" s="15" t="s">
        <v>228</v>
      </c>
    </row>
    <row r="46" spans="1:3" s="16" customFormat="1" ht="120" x14ac:dyDescent="0.25">
      <c r="A46" s="16" t="s">
        <v>119</v>
      </c>
      <c r="B46" s="15" t="s">
        <v>120</v>
      </c>
      <c r="C46" s="15" t="s">
        <v>229</v>
      </c>
    </row>
    <row r="47" spans="1:3" s="16" customFormat="1" ht="172.8" x14ac:dyDescent="0.3">
      <c r="A47" s="16" t="s">
        <v>220</v>
      </c>
      <c r="B47" s="15" t="s">
        <v>250</v>
      </c>
      <c r="C47" s="15" t="s">
        <v>230</v>
      </c>
    </row>
    <row r="48" spans="1:3" s="16" customFormat="1" ht="135" x14ac:dyDescent="0.25">
      <c r="A48" s="16" t="s">
        <v>121</v>
      </c>
      <c r="B48" s="15" t="s">
        <v>122</v>
      </c>
      <c r="C48" s="15" t="s">
        <v>231</v>
      </c>
    </row>
    <row r="49" spans="1:3" s="16" customFormat="1" ht="201.6" x14ac:dyDescent="0.3">
      <c r="A49" s="16" t="s">
        <v>123</v>
      </c>
      <c r="B49" s="15" t="s">
        <v>124</v>
      </c>
      <c r="C49" s="15" t="s">
        <v>232</v>
      </c>
    </row>
    <row r="50" spans="1:3" s="16" customFormat="1" ht="105" x14ac:dyDescent="0.25">
      <c r="A50" s="16" t="s">
        <v>125</v>
      </c>
      <c r="B50" s="15" t="s">
        <v>126</v>
      </c>
      <c r="C50" s="15" t="s">
        <v>389</v>
      </c>
    </row>
    <row r="51" spans="1:3" s="16" customFormat="1" ht="45" x14ac:dyDescent="0.25">
      <c r="A51" s="16" t="s">
        <v>127</v>
      </c>
      <c r="B51" s="15" t="s">
        <v>128</v>
      </c>
      <c r="C51" s="15" t="s">
        <v>278</v>
      </c>
    </row>
    <row r="52" spans="1:3" s="16" customFormat="1" ht="105" x14ac:dyDescent="0.25">
      <c r="A52" s="16" t="s">
        <v>129</v>
      </c>
      <c r="B52" s="15" t="s">
        <v>130</v>
      </c>
      <c r="C52" s="15" t="s">
        <v>233</v>
      </c>
    </row>
    <row r="53" spans="1:3" s="16" customFormat="1" ht="100.8" x14ac:dyDescent="0.3">
      <c r="A53" s="16" t="s">
        <v>131</v>
      </c>
      <c r="B53" s="15" t="s">
        <v>132</v>
      </c>
      <c r="C53" s="15" t="s">
        <v>234</v>
      </c>
    </row>
    <row r="54" spans="1:3" s="16" customFormat="1" ht="158.4" x14ac:dyDescent="0.3">
      <c r="A54" s="16" t="s">
        <v>133</v>
      </c>
      <c r="B54" s="15" t="s">
        <v>134</v>
      </c>
      <c r="C54" s="15" t="s">
        <v>235</v>
      </c>
    </row>
    <row r="55" spans="1:3" s="16" customFormat="1" ht="72" x14ac:dyDescent="0.3">
      <c r="A55" s="16" t="s">
        <v>135</v>
      </c>
      <c r="B55" s="15" t="s">
        <v>136</v>
      </c>
      <c r="C55" s="15" t="s">
        <v>236</v>
      </c>
    </row>
    <row r="56" spans="1:3" s="16" customFormat="1" ht="144" x14ac:dyDescent="0.3">
      <c r="A56" s="16" t="s">
        <v>137</v>
      </c>
      <c r="B56" s="15" t="s">
        <v>138</v>
      </c>
      <c r="C56" s="15" t="s">
        <v>237</v>
      </c>
    </row>
    <row r="57" spans="1:3" s="16" customFormat="1" ht="192.75" customHeight="1" x14ac:dyDescent="0.3">
      <c r="A57" s="16" t="s">
        <v>252</v>
      </c>
      <c r="B57" s="15" t="s">
        <v>253</v>
      </c>
      <c r="C57" s="15" t="s">
        <v>254</v>
      </c>
    </row>
    <row r="58" spans="1:3" s="16" customFormat="1" ht="172.8" x14ac:dyDescent="0.3">
      <c r="A58" s="16" t="s">
        <v>139</v>
      </c>
      <c r="B58" s="15" t="s">
        <v>140</v>
      </c>
      <c r="C58" s="15" t="s">
        <v>238</v>
      </c>
    </row>
    <row r="59" spans="1:3" s="16" customFormat="1" ht="187.2" x14ac:dyDescent="0.3">
      <c r="A59" s="16" t="s">
        <v>141</v>
      </c>
      <c r="B59" s="15" t="s">
        <v>142</v>
      </c>
      <c r="C59" s="15" t="s">
        <v>239</v>
      </c>
    </row>
    <row r="60" spans="1:3" s="16" customFormat="1" ht="158.4" x14ac:dyDescent="0.3">
      <c r="A60" s="16" t="s">
        <v>143</v>
      </c>
      <c r="B60" s="15" t="s">
        <v>144</v>
      </c>
      <c r="C60" s="15" t="s">
        <v>240</v>
      </c>
    </row>
    <row r="61" spans="1:3" s="16" customFormat="1" ht="172.8" x14ac:dyDescent="0.3">
      <c r="A61" s="16" t="s">
        <v>145</v>
      </c>
      <c r="B61" s="15" t="s">
        <v>146</v>
      </c>
      <c r="C61" s="15" t="s">
        <v>241</v>
      </c>
    </row>
    <row r="62" spans="1:3" s="16" customFormat="1" ht="129.6" x14ac:dyDescent="0.3">
      <c r="A62" s="16" t="s">
        <v>147</v>
      </c>
      <c r="B62" s="15" t="s">
        <v>148</v>
      </c>
      <c r="C62" s="15" t="s">
        <v>242</v>
      </c>
    </row>
    <row r="63" spans="1:3" s="16" customFormat="1" ht="86.4" x14ac:dyDescent="0.3">
      <c r="A63" s="16" t="s">
        <v>149</v>
      </c>
      <c r="B63" s="15" t="s">
        <v>150</v>
      </c>
      <c r="C63" s="15" t="s">
        <v>243</v>
      </c>
    </row>
    <row r="64" spans="1:3" s="16" customFormat="1" ht="72" x14ac:dyDescent="0.3">
      <c r="A64" s="16" t="s">
        <v>151</v>
      </c>
      <c r="B64" s="15" t="s">
        <v>152</v>
      </c>
      <c r="C64" s="15" t="s">
        <v>244</v>
      </c>
    </row>
    <row r="65" spans="1:3" s="16" customFormat="1" ht="72" x14ac:dyDescent="0.3">
      <c r="A65" s="16" t="s">
        <v>153</v>
      </c>
      <c r="B65" s="15" t="s">
        <v>154</v>
      </c>
      <c r="C65" s="15" t="s">
        <v>245</v>
      </c>
    </row>
    <row r="66" spans="1:3" s="16" customFormat="1" ht="72" x14ac:dyDescent="0.3">
      <c r="A66" s="16" t="s">
        <v>155</v>
      </c>
      <c r="B66" s="15" t="s">
        <v>156</v>
      </c>
      <c r="C66" s="15" t="s">
        <v>246</v>
      </c>
    </row>
    <row r="67" spans="1:3" s="16" customFormat="1" ht="57.6" x14ac:dyDescent="0.3">
      <c r="A67" s="16" t="s">
        <v>157</v>
      </c>
      <c r="B67" s="15" t="s">
        <v>158</v>
      </c>
      <c r="C67" s="15" t="s">
        <v>247</v>
      </c>
    </row>
    <row r="68" spans="1:3" s="16" customFormat="1" ht="144" x14ac:dyDescent="0.3">
      <c r="A68" s="16" t="s">
        <v>159</v>
      </c>
      <c r="B68" s="15" t="s">
        <v>160</v>
      </c>
      <c r="C68" s="15" t="s">
        <v>248</v>
      </c>
    </row>
    <row r="69" spans="1:3" s="16" customFormat="1" ht="57.6" x14ac:dyDescent="0.3">
      <c r="A69" s="16" t="s">
        <v>161</v>
      </c>
      <c r="B69" s="15" t="s">
        <v>162</v>
      </c>
      <c r="C69" s="15" t="s">
        <v>249</v>
      </c>
    </row>
  </sheetData>
  <mergeCells count="1">
    <mergeCell ref="A1:C1"/>
  </mergeCells>
  <pageMargins left="1" right="0.7" top="0.75" bottom="0.75" header="0.3" footer="0.3"/>
  <pageSetup paperSize="5" scale="91" fitToHeight="10" orientation="landscape" r:id="rId1"/>
  <headerFooter>
    <oddHeader>&amp;C&amp;"Arial,Bold"Texas Higher Education Coordinating Board 
Description of Trusteed Items</oddHeader>
  </headerFooter>
  <rowBreaks count="6" manualBreakCount="6">
    <brk id="33" max="16383" man="1"/>
    <brk id="42" max="16383" man="1"/>
    <brk id="63" max="16383" man="1"/>
    <brk id="76" max="16383" man="1"/>
    <brk id="87" max="2" man="1"/>
    <brk id="105"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zoomScale="60" zoomScaleNormal="60" workbookViewId="0">
      <selection activeCell="C4" sqref="C4"/>
    </sheetView>
  </sheetViews>
  <sheetFormatPr defaultRowHeight="14.4" x14ac:dyDescent="0.3"/>
  <cols>
    <col min="1" max="1" width="9.109375" style="55"/>
    <col min="2" max="2" width="45" style="5" customWidth="1"/>
    <col min="3" max="3" width="70.88671875" style="1" customWidth="1"/>
    <col min="4" max="4" width="24.5546875" customWidth="1"/>
    <col min="5" max="5" width="24.5546875" style="36" customWidth="1"/>
    <col min="6" max="6" width="33.33203125" customWidth="1"/>
    <col min="7" max="7" width="17.109375" customWidth="1"/>
    <col min="8" max="8" width="42.109375" customWidth="1"/>
    <col min="9" max="9" width="42.109375" style="36" customWidth="1"/>
    <col min="10" max="11" width="16.44140625" customWidth="1"/>
    <col min="12" max="13" width="13.6640625" bestFit="1" customWidth="1"/>
  </cols>
  <sheetData>
    <row r="1" spans="1:13" ht="15.75" x14ac:dyDescent="0.25">
      <c r="B1" s="708" t="s">
        <v>172</v>
      </c>
      <c r="C1" s="708"/>
      <c r="D1" s="708"/>
      <c r="E1" s="708"/>
      <c r="F1" s="708"/>
      <c r="G1" s="708"/>
      <c r="H1" s="708"/>
      <c r="I1" s="708"/>
      <c r="J1" s="708"/>
      <c r="K1" s="708"/>
      <c r="L1" s="708"/>
      <c r="M1" s="708"/>
    </row>
    <row r="2" spans="1:13" ht="30" x14ac:dyDescent="0.25">
      <c r="A2" s="55" t="s">
        <v>218</v>
      </c>
      <c r="B2" s="28" t="s">
        <v>173</v>
      </c>
      <c r="C2" s="29" t="s">
        <v>174</v>
      </c>
      <c r="D2" s="29" t="s">
        <v>175</v>
      </c>
      <c r="E2" s="29" t="s">
        <v>291</v>
      </c>
      <c r="F2" s="30" t="s">
        <v>176</v>
      </c>
      <c r="G2" s="30" t="s">
        <v>177</v>
      </c>
      <c r="H2" s="30" t="s">
        <v>251</v>
      </c>
      <c r="I2" s="30" t="s">
        <v>178</v>
      </c>
      <c r="J2" s="31" t="s">
        <v>179</v>
      </c>
      <c r="K2" s="31" t="s">
        <v>180</v>
      </c>
      <c r="L2" s="31" t="s">
        <v>181</v>
      </c>
      <c r="M2" s="31" t="s">
        <v>182</v>
      </c>
    </row>
    <row r="3" spans="1:13" ht="261.75" customHeight="1" x14ac:dyDescent="0.25">
      <c r="A3" s="55">
        <v>9</v>
      </c>
      <c r="B3" s="27" t="s">
        <v>277</v>
      </c>
      <c r="C3" s="21" t="s">
        <v>212</v>
      </c>
      <c r="D3" s="21" t="s">
        <v>183</v>
      </c>
      <c r="E3" s="21" t="s">
        <v>362</v>
      </c>
      <c r="F3" s="17" t="s">
        <v>282</v>
      </c>
      <c r="G3" s="17" t="s">
        <v>184</v>
      </c>
      <c r="H3" s="53" t="s">
        <v>383</v>
      </c>
      <c r="I3" s="25" t="s">
        <v>185</v>
      </c>
      <c r="J3" s="18">
        <v>300000</v>
      </c>
      <c r="K3" s="18">
        <v>300000</v>
      </c>
      <c r="L3" s="18">
        <f>J3+K3</f>
        <v>600000</v>
      </c>
      <c r="M3" s="23" t="s">
        <v>23</v>
      </c>
    </row>
    <row r="4" spans="1:13" ht="111.75" customHeight="1" x14ac:dyDescent="0.25">
      <c r="A4" s="55">
        <v>10</v>
      </c>
      <c r="B4" s="27" t="s">
        <v>271</v>
      </c>
      <c r="C4" s="26" t="s">
        <v>440</v>
      </c>
      <c r="D4" s="26" t="s">
        <v>186</v>
      </c>
      <c r="E4" s="26" t="s">
        <v>186</v>
      </c>
      <c r="F4" s="19" t="s">
        <v>41</v>
      </c>
      <c r="G4" s="19" t="s">
        <v>187</v>
      </c>
      <c r="H4" s="53" t="s">
        <v>264</v>
      </c>
      <c r="I4" s="25" t="s">
        <v>188</v>
      </c>
      <c r="J4" s="20">
        <v>250000</v>
      </c>
      <c r="K4" s="20">
        <v>250000</v>
      </c>
      <c r="L4" s="18">
        <v>500000</v>
      </c>
      <c r="M4" s="24" t="s">
        <v>23</v>
      </c>
    </row>
    <row r="5" spans="1:13" ht="204" x14ac:dyDescent="0.25">
      <c r="A5" s="55">
        <v>6</v>
      </c>
      <c r="B5" s="27" t="s">
        <v>274</v>
      </c>
      <c r="C5" s="22" t="s">
        <v>189</v>
      </c>
      <c r="D5" s="22" t="s">
        <v>190</v>
      </c>
      <c r="E5" s="22" t="s">
        <v>365</v>
      </c>
      <c r="F5" s="19" t="s">
        <v>58</v>
      </c>
      <c r="G5" s="19" t="s">
        <v>191</v>
      </c>
      <c r="H5" s="53" t="s">
        <v>385</v>
      </c>
      <c r="I5" s="25" t="s">
        <v>192</v>
      </c>
      <c r="J5" s="20">
        <v>19378557</v>
      </c>
      <c r="K5" s="20">
        <v>19378557</v>
      </c>
      <c r="L5" s="18">
        <v>38757114</v>
      </c>
      <c r="M5" s="24" t="s">
        <v>23</v>
      </c>
    </row>
    <row r="6" spans="1:13" ht="247.5" customHeight="1" x14ac:dyDescent="0.25">
      <c r="A6" s="55">
        <v>1</v>
      </c>
      <c r="B6" s="27" t="s">
        <v>266</v>
      </c>
      <c r="C6" s="22" t="s">
        <v>193</v>
      </c>
      <c r="D6" s="22" t="s">
        <v>194</v>
      </c>
      <c r="E6" s="22" t="s">
        <v>194</v>
      </c>
      <c r="F6" s="56" t="s">
        <v>66</v>
      </c>
      <c r="G6" s="17" t="s">
        <v>184</v>
      </c>
      <c r="H6" s="53" t="s">
        <v>256</v>
      </c>
      <c r="I6" s="53" t="s">
        <v>260</v>
      </c>
      <c r="J6" s="20">
        <v>53365819</v>
      </c>
      <c r="K6" s="20">
        <v>94963455</v>
      </c>
      <c r="L6" s="18">
        <f>J6+K6</f>
        <v>148329274</v>
      </c>
      <c r="M6" s="24"/>
    </row>
    <row r="7" spans="1:13" ht="79.2" x14ac:dyDescent="0.3">
      <c r="A7" s="55">
        <v>2</v>
      </c>
      <c r="B7" s="27" t="s">
        <v>267</v>
      </c>
      <c r="C7" s="22" t="s">
        <v>268</v>
      </c>
      <c r="D7" s="22" t="s">
        <v>269</v>
      </c>
      <c r="E7" s="22" t="s">
        <v>295</v>
      </c>
      <c r="F7" s="56" t="s">
        <v>66</v>
      </c>
      <c r="G7" s="17" t="s">
        <v>195</v>
      </c>
      <c r="H7" s="53" t="s">
        <v>257</v>
      </c>
      <c r="I7" s="53" t="s">
        <v>261</v>
      </c>
      <c r="J7" s="20">
        <v>4706947</v>
      </c>
      <c r="K7" s="20">
        <v>5293053</v>
      </c>
      <c r="L7" s="18">
        <f>J7+K7</f>
        <v>10000000</v>
      </c>
      <c r="M7" s="24"/>
    </row>
    <row r="8" spans="1:13" ht="66" x14ac:dyDescent="0.3">
      <c r="A8" s="55">
        <v>3</v>
      </c>
      <c r="B8" s="27" t="s">
        <v>270</v>
      </c>
      <c r="C8" s="22" t="s">
        <v>196</v>
      </c>
      <c r="D8" s="22" t="s">
        <v>197</v>
      </c>
      <c r="E8" s="22" t="s">
        <v>197</v>
      </c>
      <c r="F8" s="56" t="s">
        <v>66</v>
      </c>
      <c r="G8" s="17" t="s">
        <v>187</v>
      </c>
      <c r="H8" s="53" t="s">
        <v>258</v>
      </c>
      <c r="I8" s="53" t="s">
        <v>262</v>
      </c>
      <c r="J8" s="20">
        <v>7500000</v>
      </c>
      <c r="K8" s="20">
        <v>7500000</v>
      </c>
      <c r="L8" s="18">
        <f>J8+K8</f>
        <v>15000000</v>
      </c>
      <c r="M8" s="24"/>
    </row>
    <row r="9" spans="1:13" ht="66" x14ac:dyDescent="0.3">
      <c r="A9" s="55">
        <v>4</v>
      </c>
      <c r="B9" s="27" t="s">
        <v>272</v>
      </c>
      <c r="C9" s="22" t="s">
        <v>279</v>
      </c>
      <c r="D9" s="22" t="s">
        <v>280</v>
      </c>
      <c r="E9" s="22" t="s">
        <v>294</v>
      </c>
      <c r="F9" s="56" t="s">
        <v>66</v>
      </c>
      <c r="G9" s="17" t="s">
        <v>198</v>
      </c>
      <c r="H9" s="53" t="s">
        <v>259</v>
      </c>
      <c r="I9" s="53" t="s">
        <v>263</v>
      </c>
      <c r="J9" s="20">
        <v>5293732</v>
      </c>
      <c r="K9" s="20">
        <v>5293733</v>
      </c>
      <c r="L9" s="18">
        <f>J9+K9</f>
        <v>10587465</v>
      </c>
      <c r="M9" s="24"/>
    </row>
    <row r="10" spans="1:13" ht="105.6" x14ac:dyDescent="0.3">
      <c r="A10" s="55">
        <v>5</v>
      </c>
      <c r="B10" s="27" t="s">
        <v>265</v>
      </c>
      <c r="C10" s="22" t="s">
        <v>367</v>
      </c>
      <c r="D10" s="22" t="s">
        <v>74</v>
      </c>
      <c r="E10" s="22" t="s">
        <v>366</v>
      </c>
      <c r="F10" s="19" t="s">
        <v>73</v>
      </c>
      <c r="G10" s="17" t="s">
        <v>184</v>
      </c>
      <c r="H10" s="53" t="s">
        <v>387</v>
      </c>
      <c r="I10" s="25" t="s">
        <v>199</v>
      </c>
      <c r="J10" s="20">
        <v>40000000</v>
      </c>
      <c r="K10" s="20">
        <v>40000000</v>
      </c>
      <c r="L10" s="18">
        <v>80000000</v>
      </c>
      <c r="M10" s="24" t="s">
        <v>23</v>
      </c>
    </row>
    <row r="11" spans="1:13" ht="224.4" x14ac:dyDescent="0.3">
      <c r="A11" s="55">
        <v>11</v>
      </c>
      <c r="B11" s="27" t="s">
        <v>273</v>
      </c>
      <c r="C11" s="22" t="s">
        <v>200</v>
      </c>
      <c r="D11" s="22" t="s">
        <v>201</v>
      </c>
      <c r="E11" s="22" t="s">
        <v>293</v>
      </c>
      <c r="F11" s="19" t="s">
        <v>90</v>
      </c>
      <c r="G11" s="19" t="s">
        <v>195</v>
      </c>
      <c r="H11" s="53" t="s">
        <v>255</v>
      </c>
      <c r="I11" s="25" t="s">
        <v>202</v>
      </c>
      <c r="J11" s="20">
        <v>4637202.1499999985</v>
      </c>
      <c r="K11" s="20">
        <v>2231392.1000000015</v>
      </c>
      <c r="L11" s="18">
        <v>6868594.25</v>
      </c>
      <c r="M11" s="24" t="s">
        <v>23</v>
      </c>
    </row>
    <row r="12" spans="1:13" ht="237.6" x14ac:dyDescent="0.3">
      <c r="A12" s="55">
        <v>7</v>
      </c>
      <c r="B12" s="27" t="s">
        <v>275</v>
      </c>
      <c r="C12" s="22" t="s">
        <v>203</v>
      </c>
      <c r="D12" s="22" t="s">
        <v>5</v>
      </c>
      <c r="E12" s="22" t="s">
        <v>364</v>
      </c>
      <c r="F12" s="19" t="s">
        <v>107</v>
      </c>
      <c r="G12" s="17" t="s">
        <v>204</v>
      </c>
      <c r="H12" s="53" t="s">
        <v>386</v>
      </c>
      <c r="I12" s="25" t="s">
        <v>205</v>
      </c>
      <c r="J12" s="20">
        <v>6846711</v>
      </c>
      <c r="K12" s="20">
        <v>8973711</v>
      </c>
      <c r="L12" s="18">
        <v>15820422</v>
      </c>
      <c r="M12" s="24" t="s">
        <v>206</v>
      </c>
    </row>
    <row r="13" spans="1:13" ht="145.19999999999999" x14ac:dyDescent="0.3">
      <c r="A13" s="55">
        <v>8</v>
      </c>
      <c r="B13" s="27" t="s">
        <v>276</v>
      </c>
      <c r="C13" s="22" t="s">
        <v>207</v>
      </c>
      <c r="D13" s="22" t="s">
        <v>208</v>
      </c>
      <c r="E13" s="22" t="s">
        <v>292</v>
      </c>
      <c r="F13" s="19" t="s">
        <v>252</v>
      </c>
      <c r="G13" s="19" t="s">
        <v>195</v>
      </c>
      <c r="H13" s="54" t="s">
        <v>388</v>
      </c>
      <c r="I13" s="32" t="s">
        <v>209</v>
      </c>
      <c r="J13" s="20">
        <v>1351445.4</v>
      </c>
      <c r="K13" s="20">
        <v>900963.60000000009</v>
      </c>
      <c r="L13" s="20">
        <v>2252409</v>
      </c>
      <c r="M13" s="33" t="s">
        <v>23</v>
      </c>
    </row>
    <row r="14" spans="1:13" ht="290.39999999999998" x14ac:dyDescent="0.3">
      <c r="A14" s="55">
        <v>9</v>
      </c>
      <c r="B14" s="27" t="s">
        <v>277</v>
      </c>
      <c r="C14" s="21" t="s">
        <v>211</v>
      </c>
      <c r="D14" s="21" t="s">
        <v>183</v>
      </c>
      <c r="E14" s="21" t="s">
        <v>363</v>
      </c>
      <c r="F14" s="19" t="s">
        <v>252</v>
      </c>
      <c r="G14" s="17" t="s">
        <v>184</v>
      </c>
      <c r="H14" s="53" t="s">
        <v>384</v>
      </c>
      <c r="I14" s="25" t="s">
        <v>185</v>
      </c>
      <c r="J14" s="58">
        <f>4704500-300000</f>
        <v>4404500</v>
      </c>
      <c r="K14" s="58">
        <f>4704500-300000</f>
        <v>4404500</v>
      </c>
      <c r="L14" s="18">
        <f>J14+K14</f>
        <v>8809000</v>
      </c>
      <c r="M14" s="23" t="s">
        <v>23</v>
      </c>
    </row>
    <row r="15" spans="1:13" ht="15" x14ac:dyDescent="0.3">
      <c r="B15" s="709" t="s">
        <v>210</v>
      </c>
      <c r="C15" s="710"/>
      <c r="D15" s="710"/>
      <c r="E15" s="710"/>
      <c r="F15" s="710"/>
      <c r="G15" s="710"/>
      <c r="H15" s="710"/>
      <c r="I15" s="52"/>
      <c r="J15" s="34">
        <v>78772915.550000012</v>
      </c>
      <c r="K15" s="34">
        <v>78043623.699999988</v>
      </c>
      <c r="L15" s="34">
        <v>156816539.25</v>
      </c>
      <c r="M15" s="35"/>
    </row>
  </sheetData>
  <mergeCells count="2">
    <mergeCell ref="B1:M1"/>
    <mergeCell ref="B15:H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20"/>
  <sheetViews>
    <sheetView view="pageBreakPreview" zoomScaleNormal="100" zoomScaleSheetLayoutView="100" workbookViewId="0">
      <selection activeCell="P8" sqref="P8"/>
    </sheetView>
  </sheetViews>
  <sheetFormatPr defaultColWidth="11.33203125" defaultRowHeight="15" x14ac:dyDescent="0.25"/>
  <cols>
    <col min="1" max="1" width="47" style="270" customWidth="1"/>
    <col min="2" max="2" width="16.88671875" style="272" hidden="1" customWidth="1"/>
    <col min="3" max="3" width="14.44140625" style="272" hidden="1" customWidth="1"/>
    <col min="4" max="4" width="13.88671875" style="272" customWidth="1"/>
    <col min="5" max="5" width="12.44140625" style="272" customWidth="1"/>
    <col min="6" max="6" width="15.88671875" style="272" customWidth="1"/>
    <col min="7" max="8" width="14.44140625" style="272" hidden="1" customWidth="1"/>
    <col min="9" max="9" width="13.88671875" style="272" customWidth="1"/>
    <col min="10" max="10" width="12.44140625" style="272" customWidth="1"/>
    <col min="11" max="11" width="15.88671875" style="272" customWidth="1"/>
    <col min="12" max="12" width="16.33203125" style="272" hidden="1" customWidth="1"/>
    <col min="13" max="13" width="14.44140625" style="272" hidden="1" customWidth="1"/>
    <col min="14" max="14" width="15.33203125" style="272" customWidth="1"/>
    <col min="15" max="15" width="12.44140625" style="272" customWidth="1"/>
    <col min="16" max="16" width="15.33203125" style="272" customWidth="1"/>
    <col min="17" max="18" width="11.33203125" style="270"/>
    <col min="19" max="19" width="11.33203125" style="700"/>
    <col min="20" max="16384" width="11.33203125" style="270"/>
  </cols>
  <sheetData>
    <row r="1" spans="1:19" s="269" customFormat="1" ht="21.75" customHeight="1" thickBot="1" x14ac:dyDescent="0.3">
      <c r="A1" s="717" t="s">
        <v>442</v>
      </c>
      <c r="B1" s="717"/>
      <c r="C1" s="717"/>
      <c r="D1" s="717"/>
      <c r="E1" s="717"/>
      <c r="F1" s="717"/>
      <c r="G1" s="717"/>
      <c r="H1" s="717"/>
      <c r="I1" s="717"/>
      <c r="J1" s="717"/>
      <c r="K1" s="717"/>
      <c r="L1" s="717"/>
      <c r="M1" s="717"/>
      <c r="N1" s="717"/>
      <c r="O1" s="717"/>
      <c r="P1" s="717"/>
      <c r="S1" s="695"/>
    </row>
    <row r="2" spans="1:19" s="286" customFormat="1" ht="18" customHeight="1" x14ac:dyDescent="0.2">
      <c r="A2" s="285"/>
      <c r="B2" s="718" t="s">
        <v>445</v>
      </c>
      <c r="C2" s="719"/>
      <c r="D2" s="720" t="s">
        <v>444</v>
      </c>
      <c r="E2" s="721"/>
      <c r="F2" s="722"/>
      <c r="G2" s="711" t="s">
        <v>443</v>
      </c>
      <c r="H2" s="712"/>
      <c r="I2" s="712"/>
      <c r="J2" s="712"/>
      <c r="K2" s="713"/>
      <c r="L2" s="714" t="s">
        <v>425</v>
      </c>
      <c r="M2" s="715"/>
      <c r="N2" s="715"/>
      <c r="O2" s="715"/>
      <c r="P2" s="716"/>
      <c r="S2" s="696"/>
    </row>
    <row r="3" spans="1:19" s="290" customFormat="1" ht="21.75" customHeight="1" thickBot="1" x14ac:dyDescent="0.3">
      <c r="A3" s="287"/>
      <c r="B3" s="288" t="s">
        <v>421</v>
      </c>
      <c r="C3" s="289" t="s">
        <v>422</v>
      </c>
      <c r="D3" s="628" t="s">
        <v>430</v>
      </c>
      <c r="E3" s="629" t="s">
        <v>428</v>
      </c>
      <c r="F3" s="630" t="s">
        <v>8</v>
      </c>
      <c r="G3" s="477" t="s">
        <v>421</v>
      </c>
      <c r="H3" s="478" t="s">
        <v>422</v>
      </c>
      <c r="I3" s="478" t="s">
        <v>430</v>
      </c>
      <c r="J3" s="478" t="s">
        <v>428</v>
      </c>
      <c r="K3" s="479" t="s">
        <v>8</v>
      </c>
      <c r="L3" s="633" t="s">
        <v>421</v>
      </c>
      <c r="M3" s="634" t="s">
        <v>422</v>
      </c>
      <c r="N3" s="632" t="s">
        <v>430</v>
      </c>
      <c r="O3" s="632" t="s">
        <v>428</v>
      </c>
      <c r="P3" s="635" t="s">
        <v>8</v>
      </c>
      <c r="S3" s="697"/>
    </row>
    <row r="4" spans="1:19" s="290" customFormat="1" ht="18.75" customHeight="1" thickBot="1" x14ac:dyDescent="0.3">
      <c r="A4" s="287" t="s">
        <v>622</v>
      </c>
      <c r="B4" s="405"/>
      <c r="C4" s="358"/>
      <c r="D4" s="406"/>
      <c r="E4" s="406"/>
      <c r="F4" s="407"/>
      <c r="G4" s="406"/>
      <c r="H4" s="406"/>
      <c r="I4" s="406"/>
      <c r="J4" s="406"/>
      <c r="K4" s="406"/>
      <c r="L4" s="406"/>
      <c r="M4" s="406"/>
      <c r="N4" s="406"/>
      <c r="O4" s="406"/>
      <c r="P4" s="406"/>
      <c r="S4" s="697"/>
    </row>
    <row r="5" spans="1:19" s="295" customFormat="1" ht="27" customHeight="1" x14ac:dyDescent="0.25">
      <c r="A5" s="408" t="s">
        <v>573</v>
      </c>
      <c r="B5" s="409">
        <v>4437458</v>
      </c>
      <c r="C5" s="410">
        <v>0</v>
      </c>
      <c r="D5" s="619">
        <f>'[1]In and Out Base '!$L$3</f>
        <v>1863521</v>
      </c>
      <c r="E5" s="620">
        <f>SUM('[2]Agency Summary'!$H$8:$L$9)</f>
        <v>0</v>
      </c>
      <c r="F5" s="621">
        <f>D5+E5</f>
        <v>1863521</v>
      </c>
      <c r="G5" s="411">
        <v>3070224</v>
      </c>
      <c r="H5" s="412">
        <v>404431</v>
      </c>
      <c r="I5" s="484">
        <f>'[1]In and Out Base '!$N$3</f>
        <v>1863521</v>
      </c>
      <c r="J5" s="485">
        <f>SUM('[2]Agency Summary'!$M$8:$Q$9)</f>
        <v>0</v>
      </c>
      <c r="K5" s="486">
        <f>I5+J5</f>
        <v>1863521</v>
      </c>
      <c r="L5" s="413">
        <f>G5+B5</f>
        <v>7507682</v>
      </c>
      <c r="M5" s="414">
        <f>H5+C5</f>
        <v>404431</v>
      </c>
      <c r="N5" s="636">
        <f>SUM(F5,K5)</f>
        <v>3727042</v>
      </c>
      <c r="O5" s="636">
        <f>J5+E5</f>
        <v>0</v>
      </c>
      <c r="P5" s="637">
        <f>N5+O5</f>
        <v>3727042</v>
      </c>
      <c r="S5" s="295" t="b">
        <f>N5='[3]In and Out Base '!$S$3</f>
        <v>1</v>
      </c>
    </row>
    <row r="6" spans="1:19" s="295" customFormat="1" ht="27" customHeight="1" x14ac:dyDescent="0.25">
      <c r="A6" s="415" t="s">
        <v>574</v>
      </c>
      <c r="B6" s="291">
        <v>0</v>
      </c>
      <c r="C6" s="296">
        <v>0</v>
      </c>
      <c r="D6" s="622">
        <f t="shared" ref="D6:D9" si="0">B6/2</f>
        <v>0</v>
      </c>
      <c r="E6" s="623">
        <f>SUM('[2]Agency Summary'!$H$10:$L$10)</f>
        <v>5650000</v>
      </c>
      <c r="F6" s="624">
        <f t="shared" ref="F6:F78" si="1">D6+E6</f>
        <v>5650000</v>
      </c>
      <c r="G6" s="297">
        <v>0</v>
      </c>
      <c r="H6" s="298">
        <v>0</v>
      </c>
      <c r="I6" s="487">
        <f t="shared" ref="I6:I9" si="2">B6/2</f>
        <v>0</v>
      </c>
      <c r="J6" s="488">
        <f>SUM('[2]Agency Summary'!$M$10:$Q$10)</f>
        <v>5650000</v>
      </c>
      <c r="K6" s="489">
        <f t="shared" ref="K6:K78" si="3">I6+J6</f>
        <v>5650000</v>
      </c>
      <c r="L6" s="299">
        <f t="shared" ref="L6:L10" si="4">G6+B6</f>
        <v>0</v>
      </c>
      <c r="M6" s="300">
        <f t="shared" ref="M6:M10" si="5">H6+C6</f>
        <v>0</v>
      </c>
      <c r="N6" s="638">
        <f>D6+I6</f>
        <v>0</v>
      </c>
      <c r="O6" s="638">
        <f>J6+E6</f>
        <v>11300000</v>
      </c>
      <c r="P6" s="639">
        <f>N6+O6</f>
        <v>11300000</v>
      </c>
    </row>
    <row r="7" spans="1:19" s="295" customFormat="1" ht="27" customHeight="1" x14ac:dyDescent="0.25">
      <c r="A7" s="415" t="s">
        <v>575</v>
      </c>
      <c r="B7" s="291">
        <v>2256682</v>
      </c>
      <c r="C7" s="296">
        <v>0</v>
      </c>
      <c r="D7" s="622">
        <f>'[1]In and Out Base '!$L$4</f>
        <v>925301</v>
      </c>
      <c r="E7" s="623">
        <v>0</v>
      </c>
      <c r="F7" s="624">
        <f t="shared" si="1"/>
        <v>925301</v>
      </c>
      <c r="G7" s="297">
        <v>1618572</v>
      </c>
      <c r="H7" s="298">
        <v>0</v>
      </c>
      <c r="I7" s="487">
        <f>'[1]In and Out Base '!$N$4</f>
        <v>925301</v>
      </c>
      <c r="J7" s="488">
        <v>0</v>
      </c>
      <c r="K7" s="489">
        <f t="shared" si="3"/>
        <v>925301</v>
      </c>
      <c r="L7" s="299">
        <f t="shared" si="4"/>
        <v>3875254</v>
      </c>
      <c r="M7" s="300">
        <f t="shared" si="5"/>
        <v>0</v>
      </c>
      <c r="N7" s="638">
        <f>D7+I7</f>
        <v>1850602</v>
      </c>
      <c r="O7" s="638">
        <f>J7+E7</f>
        <v>0</v>
      </c>
      <c r="P7" s="639">
        <f>N7+O7</f>
        <v>1850602</v>
      </c>
      <c r="S7" s="295" t="b">
        <f>N7='[3]In and Out Base '!$S$4</f>
        <v>1</v>
      </c>
    </row>
    <row r="8" spans="1:19" s="295" customFormat="1" ht="27" customHeight="1" x14ac:dyDescent="0.25">
      <c r="A8" s="415" t="s">
        <v>576</v>
      </c>
      <c r="B8" s="291">
        <v>3078290</v>
      </c>
      <c r="C8" s="296">
        <v>0</v>
      </c>
      <c r="D8" s="622">
        <f>'[1]In and Out Base '!$L$5</f>
        <v>1692255</v>
      </c>
      <c r="E8" s="623">
        <f>SUM('[2]Agency Summary'!$H$15:$L$15)</f>
        <v>3000</v>
      </c>
      <c r="F8" s="624">
        <f t="shared" si="1"/>
        <v>1695255</v>
      </c>
      <c r="G8" s="297">
        <v>1558356</v>
      </c>
      <c r="H8" s="298">
        <v>0</v>
      </c>
      <c r="I8" s="487">
        <f>SUM('[1]In and Out Base '!$M$5:$N$5)</f>
        <v>1692255</v>
      </c>
      <c r="J8" s="488">
        <f>SUM('[2]Agency Summary'!$M$15:$Q$15)</f>
        <v>3000</v>
      </c>
      <c r="K8" s="489">
        <f t="shared" si="3"/>
        <v>1695255</v>
      </c>
      <c r="L8" s="299">
        <f t="shared" si="4"/>
        <v>4636646</v>
      </c>
      <c r="M8" s="300">
        <f t="shared" si="5"/>
        <v>0</v>
      </c>
      <c r="N8" s="638">
        <f>D8+I8</f>
        <v>3384510</v>
      </c>
      <c r="O8" s="638">
        <f>J8+E8</f>
        <v>6000</v>
      </c>
      <c r="P8" s="639">
        <f t="shared" ref="P8:P76" si="6">N8+O8</f>
        <v>3390510</v>
      </c>
      <c r="S8" s="295" t="b">
        <f>N8='[3]In and Out Base '!$S$5</f>
        <v>1</v>
      </c>
    </row>
    <row r="9" spans="1:19" s="295" customFormat="1" ht="27" hidden="1" customHeight="1" x14ac:dyDescent="0.25">
      <c r="A9" s="415" t="s">
        <v>301</v>
      </c>
      <c r="B9" s="291">
        <v>0</v>
      </c>
      <c r="C9" s="296">
        <v>0</v>
      </c>
      <c r="D9" s="622">
        <f t="shared" si="0"/>
        <v>0</v>
      </c>
      <c r="E9" s="623">
        <v>0</v>
      </c>
      <c r="F9" s="624">
        <f>D9+E9</f>
        <v>0</v>
      </c>
      <c r="G9" s="297">
        <v>326285</v>
      </c>
      <c r="H9" s="298">
        <v>0</v>
      </c>
      <c r="I9" s="487">
        <f t="shared" si="2"/>
        <v>0</v>
      </c>
      <c r="J9" s="488">
        <v>0</v>
      </c>
      <c r="K9" s="489">
        <f>I9+J9</f>
        <v>0</v>
      </c>
      <c r="L9" s="299">
        <f t="shared" si="4"/>
        <v>326285</v>
      </c>
      <c r="M9" s="300">
        <f t="shared" si="5"/>
        <v>0</v>
      </c>
      <c r="N9" s="638">
        <f t="shared" ref="N9" si="7">D9+I9</f>
        <v>0</v>
      </c>
      <c r="O9" s="638">
        <f t="shared" ref="O9:O15" si="8">J9+E9</f>
        <v>0</v>
      </c>
      <c r="P9" s="639">
        <f t="shared" si="6"/>
        <v>0</v>
      </c>
    </row>
    <row r="10" spans="1:19" s="295" customFormat="1" ht="27" customHeight="1" x14ac:dyDescent="0.25">
      <c r="A10" s="415" t="s">
        <v>577</v>
      </c>
      <c r="B10" s="291">
        <v>3244680</v>
      </c>
      <c r="C10" s="292">
        <v>0</v>
      </c>
      <c r="D10" s="622">
        <f>'[1]In and Out Base '!$L$6</f>
        <v>1989978</v>
      </c>
      <c r="E10" s="623">
        <f>SUM('[2]Agency Summary'!$H$16:$L$16)</f>
        <v>400000</v>
      </c>
      <c r="F10" s="624">
        <f t="shared" si="1"/>
        <v>2389978</v>
      </c>
      <c r="G10" s="297">
        <v>2064813</v>
      </c>
      <c r="H10" s="298">
        <v>0</v>
      </c>
      <c r="I10" s="487">
        <f>SUM('[1]In and Out Base '!$M$6:$N$6)</f>
        <v>1989978</v>
      </c>
      <c r="J10" s="488">
        <f>SUM('[2]Agency Summary'!$M$16:$Q$16)</f>
        <v>0</v>
      </c>
      <c r="K10" s="489">
        <f t="shared" si="3"/>
        <v>1989978</v>
      </c>
      <c r="L10" s="299">
        <f t="shared" si="4"/>
        <v>5309493</v>
      </c>
      <c r="M10" s="300">
        <f t="shared" si="5"/>
        <v>0</v>
      </c>
      <c r="N10" s="638">
        <f>D10+I10</f>
        <v>3979956</v>
      </c>
      <c r="O10" s="638">
        <f>J10+E10</f>
        <v>400000</v>
      </c>
      <c r="P10" s="639">
        <f t="shared" si="6"/>
        <v>4379956</v>
      </c>
      <c r="S10" s="295" t="b">
        <f>N10='[3]In and Out Base '!$S$6</f>
        <v>1</v>
      </c>
    </row>
    <row r="11" spans="1:19" s="303" customFormat="1" ht="27" customHeight="1" thickBot="1" x14ac:dyDescent="0.3">
      <c r="A11" s="416" t="s">
        <v>460</v>
      </c>
      <c r="B11" s="306"/>
      <c r="C11" s="417"/>
      <c r="D11" s="625">
        <f t="shared" ref="D11:D76" si="9">B11+C11</f>
        <v>0</v>
      </c>
      <c r="E11" s="626">
        <f>SUM('[2]Agency Summary'!$H$17:$L$17)</f>
        <v>423060</v>
      </c>
      <c r="F11" s="627">
        <f>D11+E11</f>
        <v>423060</v>
      </c>
      <c r="G11" s="418"/>
      <c r="H11" s="419"/>
      <c r="I11" s="490">
        <f t="shared" ref="I11:I76" si="10">G11+H11</f>
        <v>0</v>
      </c>
      <c r="J11" s="491">
        <f>SUM('[2]Agency Summary'!$M$17:$Q$17)</f>
        <v>423060</v>
      </c>
      <c r="K11" s="492">
        <f t="shared" si="3"/>
        <v>423060</v>
      </c>
      <c r="L11" s="418"/>
      <c r="M11" s="419"/>
      <c r="N11" s="640">
        <f>D11+I11</f>
        <v>0</v>
      </c>
      <c r="O11" s="640">
        <f t="shared" si="8"/>
        <v>846120</v>
      </c>
      <c r="P11" s="641">
        <f t="shared" si="6"/>
        <v>846120</v>
      </c>
      <c r="S11" s="698"/>
    </row>
    <row r="12" spans="1:19" s="303" customFormat="1" ht="18.75" customHeight="1" thickBot="1" x14ac:dyDescent="0.3">
      <c r="A12" s="363" t="s">
        <v>623</v>
      </c>
      <c r="B12" s="420"/>
      <c r="C12" s="420"/>
      <c r="D12" s="420"/>
      <c r="E12" s="420"/>
      <c r="F12" s="420"/>
      <c r="G12" s="421"/>
      <c r="H12" s="420"/>
      <c r="I12" s="420"/>
      <c r="J12" s="420"/>
      <c r="K12" s="420"/>
      <c r="L12" s="421"/>
      <c r="M12" s="420"/>
      <c r="N12" s="420"/>
      <c r="O12" s="420"/>
      <c r="P12" s="420"/>
      <c r="S12" s="698"/>
    </row>
    <row r="13" spans="1:19" s="303" customFormat="1" ht="27" customHeight="1" x14ac:dyDescent="0.25">
      <c r="A13" s="422" t="s">
        <v>534</v>
      </c>
      <c r="B13" s="409">
        <f>'B - Reductions '!I11</f>
        <v>1549925</v>
      </c>
      <c r="C13" s="423"/>
      <c r="D13" s="619">
        <f>'[3]In and Out Base '!$L$7</f>
        <v>290391465</v>
      </c>
      <c r="E13" s="620">
        <f>SUM('[2]Agency Summary'!$H$26:$L$26)</f>
        <v>5000</v>
      </c>
      <c r="F13" s="621">
        <f t="shared" ref="F13:F17" si="11">D13+E13</f>
        <v>290396465</v>
      </c>
      <c r="G13" s="424"/>
      <c r="H13" s="425"/>
      <c r="I13" s="484">
        <f>'[3]In and Out Base '!$N$7</f>
        <v>290391465</v>
      </c>
      <c r="J13" s="485">
        <f>SUM('[2]Agency Summary'!$M$26:$Q$26)</f>
        <v>5000</v>
      </c>
      <c r="K13" s="486">
        <f t="shared" si="3"/>
        <v>290396465</v>
      </c>
      <c r="L13" s="424"/>
      <c r="M13" s="362"/>
      <c r="N13" s="636">
        <f t="shared" ref="N13:N18" si="12">D13+I13</f>
        <v>580782930</v>
      </c>
      <c r="O13" s="636">
        <f>J13+E13</f>
        <v>10000</v>
      </c>
      <c r="P13" s="637">
        <f>N13+O13</f>
        <v>580792930</v>
      </c>
      <c r="S13" s="698" t="b">
        <f>N13='[3]In and Out Base '!$S$7</f>
        <v>1</v>
      </c>
    </row>
    <row r="14" spans="1:19" s="303" customFormat="1" ht="27" customHeight="1" x14ac:dyDescent="0.25">
      <c r="A14" s="426" t="s">
        <v>535</v>
      </c>
      <c r="B14" s="291">
        <f>'B - Reductions '!I12</f>
        <v>7067451</v>
      </c>
      <c r="C14" s="296">
        <f>'B - Reductions '!J12</f>
        <v>0</v>
      </c>
      <c r="D14" s="622">
        <f>'[3]In and Out Base '!$M$8</f>
        <v>40278896</v>
      </c>
      <c r="E14" s="623">
        <v>0</v>
      </c>
      <c r="F14" s="624">
        <f t="shared" si="11"/>
        <v>40278896</v>
      </c>
      <c r="G14" s="301"/>
      <c r="H14" s="302"/>
      <c r="I14" s="487">
        <f>'[3]In and Out Base '!$O$8</f>
        <v>40278895</v>
      </c>
      <c r="J14" s="488"/>
      <c r="K14" s="489">
        <f t="shared" si="3"/>
        <v>40278895</v>
      </c>
      <c r="L14" s="301"/>
      <c r="M14" s="346"/>
      <c r="N14" s="638">
        <f t="shared" si="12"/>
        <v>80557791</v>
      </c>
      <c r="O14" s="638">
        <f>J14+E14</f>
        <v>0</v>
      </c>
      <c r="P14" s="639">
        <f>N14+O14</f>
        <v>80557791</v>
      </c>
      <c r="S14" s="698" t="b">
        <f>N14='[3]In and Out Base '!$S$8</f>
        <v>1</v>
      </c>
    </row>
    <row r="15" spans="1:19" s="303" customFormat="1" ht="27" customHeight="1" x14ac:dyDescent="0.25">
      <c r="A15" s="426" t="s">
        <v>536</v>
      </c>
      <c r="B15" s="291">
        <f>'B - Reductions '!I14</f>
        <v>4006794</v>
      </c>
      <c r="C15" s="296"/>
      <c r="D15" s="622">
        <f>'[1]In and Out Base '!$L$9</f>
        <v>84422827</v>
      </c>
      <c r="E15" s="623"/>
      <c r="F15" s="624">
        <f t="shared" si="11"/>
        <v>84422827</v>
      </c>
      <c r="G15" s="301"/>
      <c r="H15" s="302"/>
      <c r="I15" s="487">
        <f>SUM('[1]In and Out Base '!$M$9:$N$9)</f>
        <v>84422827</v>
      </c>
      <c r="J15" s="488"/>
      <c r="K15" s="489">
        <f t="shared" si="3"/>
        <v>84422827</v>
      </c>
      <c r="L15" s="301"/>
      <c r="M15" s="346"/>
      <c r="N15" s="638">
        <f t="shared" si="12"/>
        <v>168845654</v>
      </c>
      <c r="O15" s="638">
        <f t="shared" si="8"/>
        <v>0</v>
      </c>
      <c r="P15" s="639">
        <f t="shared" si="6"/>
        <v>168845654</v>
      </c>
      <c r="S15" s="698" t="b">
        <f>N15='[3]In and Out Base '!$S$9</f>
        <v>1</v>
      </c>
    </row>
    <row r="16" spans="1:19" s="303" customFormat="1" ht="27" customHeight="1" x14ac:dyDescent="0.25">
      <c r="A16" s="426" t="s">
        <v>537</v>
      </c>
      <c r="B16" s="291">
        <f>'B - Reductions '!I13</f>
        <v>35625000</v>
      </c>
      <c r="C16" s="296"/>
      <c r="D16" s="622">
        <f>'[1]In and Out Base '!$L$10</f>
        <v>32674694</v>
      </c>
      <c r="E16" s="623"/>
      <c r="F16" s="624">
        <f t="shared" si="11"/>
        <v>32674694</v>
      </c>
      <c r="G16" s="301"/>
      <c r="H16" s="302"/>
      <c r="I16" s="487">
        <f>SUM('[1]In and Out Base '!$M$10:$N$10)</f>
        <v>32674694</v>
      </c>
      <c r="J16" s="488"/>
      <c r="K16" s="489">
        <f t="shared" si="3"/>
        <v>32674694</v>
      </c>
      <c r="L16" s="301"/>
      <c r="M16" s="346"/>
      <c r="N16" s="638">
        <f t="shared" si="12"/>
        <v>65349388</v>
      </c>
      <c r="O16" s="638">
        <f>J16+E16</f>
        <v>0</v>
      </c>
      <c r="P16" s="639">
        <f>N16+O16</f>
        <v>65349388</v>
      </c>
      <c r="S16" s="698" t="b">
        <f>N16='[3]In and Out Base '!$S$10</f>
        <v>1</v>
      </c>
    </row>
    <row r="17" spans="1:19" s="303" customFormat="1" ht="27" customHeight="1" x14ac:dyDescent="0.25">
      <c r="A17" s="426" t="s">
        <v>538</v>
      </c>
      <c r="B17" s="291">
        <f>'B - Reductions '!I15</f>
        <v>2637650</v>
      </c>
      <c r="C17" s="296"/>
      <c r="D17" s="622">
        <f>'[1]In and Out Base '!$L$11</f>
        <v>7529639</v>
      </c>
      <c r="E17" s="623"/>
      <c r="F17" s="624">
        <f t="shared" si="11"/>
        <v>7529639</v>
      </c>
      <c r="G17" s="301"/>
      <c r="H17" s="302"/>
      <c r="I17" s="487">
        <f>SUM('[1]In and Out Base '!$M$11:$N$11)</f>
        <v>7529639</v>
      </c>
      <c r="J17" s="488"/>
      <c r="K17" s="489">
        <f t="shared" si="3"/>
        <v>7529639</v>
      </c>
      <c r="L17" s="301"/>
      <c r="M17" s="346"/>
      <c r="N17" s="638">
        <f t="shared" si="12"/>
        <v>15059278</v>
      </c>
      <c r="O17" s="638">
        <f>J17+E17</f>
        <v>0</v>
      </c>
      <c r="P17" s="639">
        <f t="shared" si="6"/>
        <v>15059278</v>
      </c>
      <c r="S17" s="698" t="b">
        <f>N17='[3]In and Out Base '!$S$11</f>
        <v>1</v>
      </c>
    </row>
    <row r="18" spans="1:19" s="295" customFormat="1" ht="27" customHeight="1" x14ac:dyDescent="0.3">
      <c r="A18" s="427" t="s">
        <v>539</v>
      </c>
      <c r="B18" s="291">
        <v>0</v>
      </c>
      <c r="C18" s="296">
        <v>1099000</v>
      </c>
      <c r="D18" s="622">
        <f>'[1]In and Out Base '!$M$12</f>
        <v>549500</v>
      </c>
      <c r="E18" s="623">
        <f>SUM('[2]Agency Summary'!$H$18:$L$18)</f>
        <v>0</v>
      </c>
      <c r="F18" s="624">
        <f t="shared" si="1"/>
        <v>549500</v>
      </c>
      <c r="G18" s="297">
        <v>0</v>
      </c>
      <c r="H18" s="298">
        <v>93000</v>
      </c>
      <c r="I18" s="487">
        <f>SUM('[1]In and Out Base '!$M$12:$N$12)</f>
        <v>549500</v>
      </c>
      <c r="J18" s="488">
        <f>SUM('[2]Agency Summary'!$M$18:$Q$18)</f>
        <v>0</v>
      </c>
      <c r="K18" s="489">
        <f t="shared" si="3"/>
        <v>549500</v>
      </c>
      <c r="L18" s="299">
        <f t="shared" ref="L18" si="13">G18+B18</f>
        <v>0</v>
      </c>
      <c r="M18" s="300">
        <f>C18</f>
        <v>1099000</v>
      </c>
      <c r="N18" s="638">
        <f t="shared" si="12"/>
        <v>1099000</v>
      </c>
      <c r="O18" s="638">
        <f>J18+E18</f>
        <v>0</v>
      </c>
      <c r="P18" s="639">
        <f>N18+O18</f>
        <v>1099000</v>
      </c>
      <c r="S18" s="295" t="b">
        <f>N18='[3]In and Out Base '!$S$12</f>
        <v>1</v>
      </c>
    </row>
    <row r="19" spans="1:19" s="295" customFormat="1" ht="27" hidden="1" customHeight="1" x14ac:dyDescent="0.25">
      <c r="A19" s="427" t="s">
        <v>427</v>
      </c>
      <c r="B19" s="291">
        <v>0</v>
      </c>
      <c r="C19" s="296">
        <v>0</v>
      </c>
      <c r="D19" s="622">
        <f t="shared" si="9"/>
        <v>0</v>
      </c>
      <c r="E19" s="623">
        <v>0</v>
      </c>
      <c r="F19" s="624">
        <f t="shared" si="1"/>
        <v>0</v>
      </c>
      <c r="G19" s="297">
        <v>0</v>
      </c>
      <c r="H19" s="298">
        <v>0</v>
      </c>
      <c r="I19" s="487">
        <f t="shared" si="10"/>
        <v>0</v>
      </c>
      <c r="J19" s="488">
        <v>0</v>
      </c>
      <c r="K19" s="489">
        <f t="shared" si="3"/>
        <v>0</v>
      </c>
      <c r="L19" s="299">
        <f t="shared" ref="L19:L22" si="14">G19+B19</f>
        <v>0</v>
      </c>
      <c r="M19" s="300">
        <f t="shared" ref="M19:M24" si="15">H19+C19</f>
        <v>0</v>
      </c>
      <c r="N19" s="638">
        <f t="shared" ref="N19:N22" si="16">D19+I19</f>
        <v>0</v>
      </c>
      <c r="O19" s="638">
        <f t="shared" ref="O19:O31" si="17">J19+E19</f>
        <v>0</v>
      </c>
      <c r="P19" s="639">
        <f t="shared" si="6"/>
        <v>0</v>
      </c>
    </row>
    <row r="20" spans="1:19" s="295" customFormat="1" ht="27" customHeight="1" x14ac:dyDescent="0.3">
      <c r="A20" s="427" t="s">
        <v>540</v>
      </c>
      <c r="B20" s="291">
        <v>0</v>
      </c>
      <c r="C20" s="296">
        <v>0</v>
      </c>
      <c r="D20" s="622">
        <f t="shared" si="9"/>
        <v>0</v>
      </c>
      <c r="E20" s="623">
        <f>SUM('[2]Agency Summary'!$H$19:$L$19)</f>
        <v>0</v>
      </c>
      <c r="F20" s="624">
        <f t="shared" si="1"/>
        <v>0</v>
      </c>
      <c r="G20" s="297">
        <v>0</v>
      </c>
      <c r="H20" s="298">
        <v>0</v>
      </c>
      <c r="I20" s="487">
        <f t="shared" si="10"/>
        <v>0</v>
      </c>
      <c r="J20" s="488">
        <f>SUM('[2]Agency Summary'!$M$19:$Q$19)</f>
        <v>0</v>
      </c>
      <c r="K20" s="489">
        <f t="shared" si="3"/>
        <v>0</v>
      </c>
      <c r="L20" s="299">
        <f t="shared" si="14"/>
        <v>0</v>
      </c>
      <c r="M20" s="300">
        <f t="shared" si="15"/>
        <v>0</v>
      </c>
      <c r="N20" s="638">
        <f t="shared" si="16"/>
        <v>0</v>
      </c>
      <c r="O20" s="638">
        <f t="shared" si="17"/>
        <v>0</v>
      </c>
      <c r="P20" s="639">
        <f t="shared" si="6"/>
        <v>0</v>
      </c>
    </row>
    <row r="21" spans="1:19" s="295" customFormat="1" ht="27" customHeight="1" x14ac:dyDescent="0.3">
      <c r="A21" s="427" t="s">
        <v>541</v>
      </c>
      <c r="B21" s="291">
        <v>0</v>
      </c>
      <c r="C21" s="296">
        <v>0</v>
      </c>
      <c r="D21" s="622">
        <f t="shared" si="9"/>
        <v>0</v>
      </c>
      <c r="E21" s="623">
        <f>SUM('[2]Agency Summary'!$H$20:$L$20)</f>
        <v>0</v>
      </c>
      <c r="F21" s="624">
        <f t="shared" si="1"/>
        <v>0</v>
      </c>
      <c r="G21" s="297">
        <v>0</v>
      </c>
      <c r="H21" s="298">
        <v>0</v>
      </c>
      <c r="I21" s="487">
        <f t="shared" si="10"/>
        <v>0</v>
      </c>
      <c r="J21" s="488">
        <f>SUM('[2]Agency Summary'!$M$20:$Q$20)</f>
        <v>0</v>
      </c>
      <c r="K21" s="489">
        <f t="shared" si="3"/>
        <v>0</v>
      </c>
      <c r="L21" s="299">
        <f t="shared" si="14"/>
        <v>0</v>
      </c>
      <c r="M21" s="300">
        <f t="shared" si="15"/>
        <v>0</v>
      </c>
      <c r="N21" s="638">
        <f t="shared" si="16"/>
        <v>0</v>
      </c>
      <c r="O21" s="638">
        <f t="shared" si="17"/>
        <v>0</v>
      </c>
      <c r="P21" s="639">
        <f t="shared" si="6"/>
        <v>0</v>
      </c>
    </row>
    <row r="22" spans="1:19" s="295" customFormat="1" ht="27" customHeight="1" x14ac:dyDescent="0.3">
      <c r="A22" s="427" t="s">
        <v>542</v>
      </c>
      <c r="B22" s="291">
        <v>0</v>
      </c>
      <c r="C22" s="296">
        <v>0</v>
      </c>
      <c r="D22" s="622">
        <f t="shared" si="9"/>
        <v>0</v>
      </c>
      <c r="E22" s="623">
        <f>SUM('[2]Agency Summary'!$H$21:$L$21)</f>
        <v>0</v>
      </c>
      <c r="F22" s="624">
        <f t="shared" si="1"/>
        <v>0</v>
      </c>
      <c r="G22" s="297">
        <v>0</v>
      </c>
      <c r="H22" s="298">
        <v>0</v>
      </c>
      <c r="I22" s="487">
        <f t="shared" si="10"/>
        <v>0</v>
      </c>
      <c r="J22" s="488">
        <f>SUM('[2]Agency Summary'!$M$21:$Q$21)</f>
        <v>0</v>
      </c>
      <c r="K22" s="489">
        <f t="shared" si="3"/>
        <v>0</v>
      </c>
      <c r="L22" s="299">
        <f t="shared" si="14"/>
        <v>0</v>
      </c>
      <c r="M22" s="300">
        <f t="shared" si="15"/>
        <v>0</v>
      </c>
      <c r="N22" s="638">
        <f t="shared" si="16"/>
        <v>0</v>
      </c>
      <c r="O22" s="638">
        <f t="shared" si="17"/>
        <v>0</v>
      </c>
      <c r="P22" s="639">
        <f t="shared" si="6"/>
        <v>0</v>
      </c>
    </row>
    <row r="23" spans="1:19" s="295" customFormat="1" ht="27" customHeight="1" x14ac:dyDescent="0.3">
      <c r="A23" s="427" t="s">
        <v>543</v>
      </c>
      <c r="B23" s="291">
        <v>10000000</v>
      </c>
      <c r="C23" s="296">
        <v>0</v>
      </c>
      <c r="D23" s="622">
        <f>'[1]In and Out Base '!$L$16</f>
        <v>500000</v>
      </c>
      <c r="E23" s="623">
        <f>SUM('[2]Agency Summary'!$H$22:$L$22)</f>
        <v>0</v>
      </c>
      <c r="F23" s="624">
        <f t="shared" si="1"/>
        <v>500000</v>
      </c>
      <c r="G23" s="297">
        <v>5771443</v>
      </c>
      <c r="H23" s="298">
        <v>0</v>
      </c>
      <c r="I23" s="487">
        <f>SUM('[1]In and Out Base '!$M$16:$N$16)</f>
        <v>500000</v>
      </c>
      <c r="J23" s="488">
        <f>SUM('[2]Agency Summary'!$M$22:$Q$22)</f>
        <v>0</v>
      </c>
      <c r="K23" s="489">
        <f t="shared" si="3"/>
        <v>500000</v>
      </c>
      <c r="L23" s="299">
        <f>B23</f>
        <v>10000000</v>
      </c>
      <c r="M23" s="300">
        <f t="shared" si="15"/>
        <v>0</v>
      </c>
      <c r="N23" s="638">
        <f>D23+I23</f>
        <v>1000000</v>
      </c>
      <c r="O23" s="638">
        <f>J23+E23</f>
        <v>0</v>
      </c>
      <c r="P23" s="639">
        <f t="shared" si="6"/>
        <v>1000000</v>
      </c>
      <c r="S23" s="295" t="b">
        <f>N23='[3]In and Out Base '!$S$16</f>
        <v>1</v>
      </c>
    </row>
    <row r="24" spans="1:19" s="295" customFormat="1" ht="27" customHeight="1" x14ac:dyDescent="0.3">
      <c r="A24" s="427" t="s">
        <v>544</v>
      </c>
      <c r="B24" s="291">
        <v>375626</v>
      </c>
      <c r="C24" s="296">
        <v>0</v>
      </c>
      <c r="D24" s="622">
        <f>SUM('[1]In and Out Base '!$K$17:$L$17)</f>
        <v>187813</v>
      </c>
      <c r="E24" s="623">
        <f>SUM('[2]Agency Summary'!$H$23:$L$23)</f>
        <v>0</v>
      </c>
      <c r="F24" s="624">
        <f t="shared" si="1"/>
        <v>187813</v>
      </c>
      <c r="G24" s="297">
        <v>187813</v>
      </c>
      <c r="H24" s="298">
        <v>0</v>
      </c>
      <c r="I24" s="487">
        <f>SUM('[1]In and Out Base '!$M$17:$N$17)</f>
        <v>187813</v>
      </c>
      <c r="J24" s="488">
        <f>SUM('[2]Agency Summary'!$M$23:$Q$23)</f>
        <v>0</v>
      </c>
      <c r="K24" s="489">
        <f>I24+J24</f>
        <v>187813</v>
      </c>
      <c r="L24" s="299">
        <f>B24</f>
        <v>375626</v>
      </c>
      <c r="M24" s="300">
        <f t="shared" si="15"/>
        <v>0</v>
      </c>
      <c r="N24" s="638">
        <f>D24+I24</f>
        <v>375626</v>
      </c>
      <c r="O24" s="638">
        <f t="shared" si="17"/>
        <v>0</v>
      </c>
      <c r="P24" s="639">
        <f t="shared" si="6"/>
        <v>375626</v>
      </c>
      <c r="S24" s="295" t="b">
        <f>N24='[3]In and Out Base '!$S$17</f>
        <v>1</v>
      </c>
    </row>
    <row r="25" spans="1:19" s="295" customFormat="1" ht="27" customHeight="1" x14ac:dyDescent="0.3">
      <c r="A25" s="427" t="s">
        <v>545</v>
      </c>
      <c r="B25" s="291">
        <v>496072</v>
      </c>
      <c r="C25" s="296">
        <v>0</v>
      </c>
      <c r="D25" s="622">
        <f>SUM('[1]In and Out Base '!$K$18:$L$18)</f>
        <v>248036</v>
      </c>
      <c r="E25" s="623">
        <f>SUM('[2]Agency Summary'!$H$24:$L$24)</f>
        <v>0</v>
      </c>
      <c r="F25" s="624">
        <f t="shared" si="1"/>
        <v>248036</v>
      </c>
      <c r="G25" s="297">
        <v>330715</v>
      </c>
      <c r="H25" s="298">
        <v>0</v>
      </c>
      <c r="I25" s="487">
        <f>SUM('[1]In and Out Base '!$M$18:$N$18)</f>
        <v>248036</v>
      </c>
      <c r="J25" s="488">
        <f>SUM('[2]Agency Summary'!$M$24:$Q$24)</f>
        <v>0</v>
      </c>
      <c r="K25" s="489">
        <f t="shared" si="3"/>
        <v>248036</v>
      </c>
      <c r="L25" s="299">
        <f>B25</f>
        <v>496072</v>
      </c>
      <c r="M25" s="300">
        <f t="shared" ref="M25:M31" si="18">H25+C25</f>
        <v>0</v>
      </c>
      <c r="N25" s="638">
        <f>D25+I25</f>
        <v>496072</v>
      </c>
      <c r="O25" s="638">
        <f t="shared" si="17"/>
        <v>0</v>
      </c>
      <c r="P25" s="639">
        <f t="shared" si="6"/>
        <v>496072</v>
      </c>
      <c r="S25" s="295" t="b">
        <f>N25='[3]In and Out Base '!$S$18</f>
        <v>1</v>
      </c>
    </row>
    <row r="26" spans="1:19" s="295" customFormat="1" ht="27" customHeight="1" x14ac:dyDescent="0.3">
      <c r="A26" s="427" t="s">
        <v>546</v>
      </c>
      <c r="B26" s="291">
        <v>0</v>
      </c>
      <c r="C26" s="296">
        <v>0</v>
      </c>
      <c r="D26" s="622">
        <f t="shared" si="9"/>
        <v>0</v>
      </c>
      <c r="E26" s="623">
        <f>SUM('[2]Agency Summary'!$H$31:$L$31)</f>
        <v>0</v>
      </c>
      <c r="F26" s="624">
        <f t="shared" si="1"/>
        <v>0</v>
      </c>
      <c r="G26" s="297">
        <v>650000</v>
      </c>
      <c r="H26" s="298">
        <v>0</v>
      </c>
      <c r="I26" s="487">
        <v>0</v>
      </c>
      <c r="J26" s="488">
        <f>SUM('[2]Agency Summary'!$M$31:$Q$31)</f>
        <v>0</v>
      </c>
      <c r="K26" s="489">
        <f t="shared" si="3"/>
        <v>0</v>
      </c>
      <c r="L26" s="299">
        <f t="shared" ref="L26:L31" si="19">G26+B26</f>
        <v>650000</v>
      </c>
      <c r="M26" s="300">
        <f t="shared" si="18"/>
        <v>0</v>
      </c>
      <c r="N26" s="638">
        <f t="shared" ref="N26:N76" si="20">D26+I26</f>
        <v>0</v>
      </c>
      <c r="O26" s="638">
        <f t="shared" si="17"/>
        <v>0</v>
      </c>
      <c r="P26" s="639">
        <f t="shared" si="6"/>
        <v>0</v>
      </c>
    </row>
    <row r="27" spans="1:19" s="295" customFormat="1" ht="27" customHeight="1" x14ac:dyDescent="0.3">
      <c r="A27" s="427" t="s">
        <v>547</v>
      </c>
      <c r="B27" s="291">
        <v>0</v>
      </c>
      <c r="C27" s="296">
        <v>0</v>
      </c>
      <c r="D27" s="622">
        <f t="shared" si="9"/>
        <v>0</v>
      </c>
      <c r="E27" s="623">
        <f>SUM('[2]Agency Summary'!$H$32:$L$32)</f>
        <v>0</v>
      </c>
      <c r="F27" s="624">
        <f t="shared" si="1"/>
        <v>0</v>
      </c>
      <c r="G27" s="297">
        <v>950000</v>
      </c>
      <c r="H27" s="298">
        <v>0</v>
      </c>
      <c r="I27" s="487">
        <v>0</v>
      </c>
      <c r="J27" s="488">
        <f>SUM('[2]Agency Summary'!$M$32:$Q$32)</f>
        <v>0</v>
      </c>
      <c r="K27" s="489">
        <f t="shared" si="3"/>
        <v>0</v>
      </c>
      <c r="L27" s="299">
        <f t="shared" si="19"/>
        <v>950000</v>
      </c>
      <c r="M27" s="300">
        <f t="shared" si="18"/>
        <v>0</v>
      </c>
      <c r="N27" s="638">
        <f t="shared" si="20"/>
        <v>0</v>
      </c>
      <c r="O27" s="638">
        <f t="shared" si="17"/>
        <v>0</v>
      </c>
      <c r="P27" s="639">
        <f t="shared" si="6"/>
        <v>0</v>
      </c>
    </row>
    <row r="28" spans="1:19" s="295" customFormat="1" ht="27" customHeight="1" x14ac:dyDescent="0.3">
      <c r="A28" s="427" t="s">
        <v>548</v>
      </c>
      <c r="B28" s="291">
        <v>8500000</v>
      </c>
      <c r="C28" s="296">
        <v>0</v>
      </c>
      <c r="D28" s="622">
        <f>'[1]In and Out Base '!$L$21</f>
        <v>4250000</v>
      </c>
      <c r="E28" s="623">
        <f>SUM('[2]Agency Summary'!$H$34:$L$34)</f>
        <v>0</v>
      </c>
      <c r="F28" s="624">
        <f t="shared" si="1"/>
        <v>4250000</v>
      </c>
      <c r="G28" s="297">
        <v>25612000</v>
      </c>
      <c r="H28" s="298">
        <v>0</v>
      </c>
      <c r="I28" s="487">
        <f>SUM('[1]In and Out Base '!$M$21:$N$21)</f>
        <v>4250000</v>
      </c>
      <c r="J28" s="488">
        <f>SUM('[2]Agency Summary'!$M$34:$Q$34)</f>
        <v>0</v>
      </c>
      <c r="K28" s="489">
        <f t="shared" si="3"/>
        <v>4250000</v>
      </c>
      <c r="L28" s="299">
        <f t="shared" si="19"/>
        <v>34112000</v>
      </c>
      <c r="M28" s="300">
        <f t="shared" si="18"/>
        <v>0</v>
      </c>
      <c r="N28" s="638">
        <f t="shared" si="20"/>
        <v>8500000</v>
      </c>
      <c r="O28" s="638">
        <f t="shared" si="17"/>
        <v>0</v>
      </c>
      <c r="P28" s="639">
        <f t="shared" si="6"/>
        <v>8500000</v>
      </c>
      <c r="S28" s="295" t="b">
        <f>N28='[3]In and Out Base '!$S$21</f>
        <v>1</v>
      </c>
    </row>
    <row r="29" spans="1:19" s="295" customFormat="1" ht="27" customHeight="1" x14ac:dyDescent="0.3">
      <c r="A29" s="427" t="s">
        <v>549</v>
      </c>
      <c r="B29" s="291">
        <v>4220000</v>
      </c>
      <c r="C29" s="296">
        <v>0</v>
      </c>
      <c r="D29" s="622">
        <f>'[3]In and Out Base '!$L$22</f>
        <v>3560000</v>
      </c>
      <c r="E29" s="623">
        <f>SUM('[2]Agency Summary'!$H$35:$L$35)</f>
        <v>0</v>
      </c>
      <c r="F29" s="624">
        <f t="shared" si="1"/>
        <v>3560000</v>
      </c>
      <c r="G29" s="297">
        <v>875000</v>
      </c>
      <c r="H29" s="298">
        <v>0</v>
      </c>
      <c r="I29" s="487">
        <f>'[3]In and Out Base '!$N$22</f>
        <v>3560000</v>
      </c>
      <c r="J29" s="488">
        <f>SUM('[2]Agency Summary'!$M$35:$Q$35)</f>
        <v>0</v>
      </c>
      <c r="K29" s="489">
        <f t="shared" si="3"/>
        <v>3560000</v>
      </c>
      <c r="L29" s="299">
        <f t="shared" si="19"/>
        <v>5095000</v>
      </c>
      <c r="M29" s="300">
        <f t="shared" si="18"/>
        <v>0</v>
      </c>
      <c r="N29" s="638">
        <f t="shared" si="20"/>
        <v>7120000</v>
      </c>
      <c r="O29" s="638">
        <f t="shared" si="17"/>
        <v>0</v>
      </c>
      <c r="P29" s="639">
        <f t="shared" si="6"/>
        <v>7120000</v>
      </c>
      <c r="S29" s="295" t="b">
        <f>N29='[3]In and Out Base '!$S$22</f>
        <v>1</v>
      </c>
    </row>
    <row r="30" spans="1:19" s="295" customFormat="1" ht="27" customHeight="1" x14ac:dyDescent="0.3">
      <c r="A30" s="427" t="s">
        <v>550</v>
      </c>
      <c r="B30" s="291">
        <v>0</v>
      </c>
      <c r="C30" s="296">
        <v>0</v>
      </c>
      <c r="D30" s="622">
        <f t="shared" si="9"/>
        <v>0</v>
      </c>
      <c r="E30" s="623">
        <f>SUM('[2]Agency Summary'!$H$36:$L$36)</f>
        <v>0</v>
      </c>
      <c r="F30" s="624">
        <f t="shared" si="1"/>
        <v>0</v>
      </c>
      <c r="G30" s="297">
        <v>349500</v>
      </c>
      <c r="H30" s="298">
        <v>0</v>
      </c>
      <c r="I30" s="487">
        <v>0</v>
      </c>
      <c r="J30" s="488">
        <f>SUM('[2]Agency Summary'!$M$36:$Q$36)</f>
        <v>0</v>
      </c>
      <c r="K30" s="489">
        <f t="shared" si="3"/>
        <v>0</v>
      </c>
      <c r="L30" s="299">
        <f t="shared" si="19"/>
        <v>349500</v>
      </c>
      <c r="M30" s="300">
        <f t="shared" si="18"/>
        <v>0</v>
      </c>
      <c r="N30" s="638">
        <f t="shared" si="20"/>
        <v>0</v>
      </c>
      <c r="O30" s="638">
        <f t="shared" si="17"/>
        <v>0</v>
      </c>
      <c r="P30" s="639">
        <f t="shared" si="6"/>
        <v>0</v>
      </c>
    </row>
    <row r="31" spans="1:19" s="295" customFormat="1" ht="27" customHeight="1" x14ac:dyDescent="0.3">
      <c r="A31" s="427" t="s">
        <v>551</v>
      </c>
      <c r="B31" s="291">
        <v>0</v>
      </c>
      <c r="C31" s="296">
        <v>0</v>
      </c>
      <c r="D31" s="622">
        <f t="shared" si="9"/>
        <v>0</v>
      </c>
      <c r="E31" s="623">
        <f>SUM('[2]Agency Summary'!$H$37:$L$37)</f>
        <v>0</v>
      </c>
      <c r="F31" s="624">
        <f t="shared" si="1"/>
        <v>0</v>
      </c>
      <c r="G31" s="297">
        <v>642500</v>
      </c>
      <c r="H31" s="298">
        <v>0</v>
      </c>
      <c r="I31" s="487">
        <v>0</v>
      </c>
      <c r="J31" s="488">
        <f>SUM('[2]Agency Summary'!$M$37:$Q$37)</f>
        <v>0</v>
      </c>
      <c r="K31" s="489">
        <f t="shared" si="3"/>
        <v>0</v>
      </c>
      <c r="L31" s="299">
        <f t="shared" si="19"/>
        <v>642500</v>
      </c>
      <c r="M31" s="300">
        <f t="shared" si="18"/>
        <v>0</v>
      </c>
      <c r="N31" s="638">
        <f t="shared" si="20"/>
        <v>0</v>
      </c>
      <c r="O31" s="638">
        <f t="shared" si="17"/>
        <v>0</v>
      </c>
      <c r="P31" s="639">
        <f t="shared" si="6"/>
        <v>0</v>
      </c>
    </row>
    <row r="32" spans="1:19" s="303" customFormat="1" ht="27" customHeight="1" thickBot="1" x14ac:dyDescent="0.35">
      <c r="A32" s="428" t="s">
        <v>552</v>
      </c>
      <c r="B32" s="306">
        <v>0</v>
      </c>
      <c r="C32" s="417">
        <v>0</v>
      </c>
      <c r="D32" s="625">
        <f>B32/2</f>
        <v>0</v>
      </c>
      <c r="E32" s="626">
        <f>SUM('[2]Agency Summary'!$H$39:$L$39)</f>
        <v>3000000</v>
      </c>
      <c r="F32" s="627">
        <f t="shared" ref="F32" si="21">D32+E32</f>
        <v>3000000</v>
      </c>
      <c r="G32" s="429"/>
      <c r="H32" s="419"/>
      <c r="I32" s="490">
        <f>B32/2</f>
        <v>0</v>
      </c>
      <c r="J32" s="491">
        <f>SUM('[2]Agency Summary'!$M$39:$Q$39)</f>
        <v>3000000</v>
      </c>
      <c r="K32" s="492">
        <f t="shared" ref="K32" si="22">I32+J32</f>
        <v>3000000</v>
      </c>
      <c r="L32" s="429"/>
      <c r="M32" s="419"/>
      <c r="N32" s="640">
        <f t="shared" si="20"/>
        <v>0</v>
      </c>
      <c r="O32" s="640">
        <f>SUM(E32,J32)</f>
        <v>6000000</v>
      </c>
      <c r="P32" s="641">
        <f t="shared" ref="P32" si="23">N32+O32</f>
        <v>6000000</v>
      </c>
      <c r="S32" s="698"/>
    </row>
    <row r="33" spans="1:19" s="303" customFormat="1" ht="18.75" customHeight="1" thickBot="1" x14ac:dyDescent="0.35">
      <c r="A33" s="363" t="s">
        <v>624</v>
      </c>
      <c r="B33" s="420"/>
      <c r="C33" s="420"/>
      <c r="D33" s="420"/>
      <c r="E33" s="420"/>
      <c r="F33" s="420"/>
      <c r="G33" s="421"/>
      <c r="H33" s="420"/>
      <c r="I33" s="420"/>
      <c r="J33" s="420"/>
      <c r="K33" s="420"/>
      <c r="L33" s="421"/>
      <c r="M33" s="420"/>
      <c r="N33" s="420"/>
      <c r="O33" s="420"/>
      <c r="P33" s="420"/>
      <c r="S33" s="698"/>
    </row>
    <row r="34" spans="1:19" s="295" customFormat="1" ht="27" customHeight="1" x14ac:dyDescent="0.3">
      <c r="A34" s="430" t="s">
        <v>426</v>
      </c>
      <c r="B34" s="409">
        <v>3000000</v>
      </c>
      <c r="C34" s="423">
        <v>0</v>
      </c>
      <c r="D34" s="619">
        <f>SUM('[1]In and Out Base '!$K$26:$L$26)</f>
        <v>1000000</v>
      </c>
      <c r="E34" s="620">
        <f>SUM('[2]Agency Summary'!$H$40:$L$40)</f>
        <v>0</v>
      </c>
      <c r="F34" s="621">
        <f t="shared" si="1"/>
        <v>1000000</v>
      </c>
      <c r="G34" s="411">
        <v>0</v>
      </c>
      <c r="H34" s="412">
        <v>0</v>
      </c>
      <c r="I34" s="493" t="s">
        <v>684</v>
      </c>
      <c r="J34" s="485">
        <f>SUM('[2]Agency Summary'!$M$40:$Q$40)</f>
        <v>0</v>
      </c>
      <c r="K34" s="486">
        <f>J34</f>
        <v>0</v>
      </c>
      <c r="L34" s="413">
        <f t="shared" ref="L34" si="24">G34+B34</f>
        <v>3000000</v>
      </c>
      <c r="M34" s="414">
        <f t="shared" ref="M34" si="25">H34+C34</f>
        <v>0</v>
      </c>
      <c r="N34" s="636">
        <f>D34</f>
        <v>1000000</v>
      </c>
      <c r="O34" s="636">
        <f>J34+E34</f>
        <v>0</v>
      </c>
      <c r="P34" s="637">
        <f>N34+O34</f>
        <v>1000000</v>
      </c>
      <c r="S34" s="295" t="b">
        <f>N34='[3]In and Out Base '!$S$26</f>
        <v>1</v>
      </c>
    </row>
    <row r="35" spans="1:19" s="303" customFormat="1" ht="27" customHeight="1" thickBot="1" x14ac:dyDescent="0.35">
      <c r="A35" s="428" t="s">
        <v>470</v>
      </c>
      <c r="B35" s="306">
        <v>35625000</v>
      </c>
      <c r="C35" s="417"/>
      <c r="D35" s="625">
        <f>SUM('[1]In and Out Base '!$K$27:$L$27)</f>
        <v>17812500</v>
      </c>
      <c r="E35" s="626">
        <f>SUM('[2]Agency Summary'!$H$38:$L$38)</f>
        <v>0</v>
      </c>
      <c r="F35" s="627">
        <f>D35+E35</f>
        <v>17812500</v>
      </c>
      <c r="G35" s="429"/>
      <c r="H35" s="419"/>
      <c r="I35" s="490">
        <f>SUM('[1]In and Out Base '!$M$27:$N$27)</f>
        <v>17812500</v>
      </c>
      <c r="J35" s="491">
        <f>SUM('[2]Agency Summary'!$M$38:$Q$38)</f>
        <v>0</v>
      </c>
      <c r="K35" s="492">
        <f>I35+J35</f>
        <v>17812500</v>
      </c>
      <c r="L35" s="429"/>
      <c r="M35" s="419"/>
      <c r="N35" s="640">
        <f>D35+I35</f>
        <v>35625000</v>
      </c>
      <c r="O35" s="640">
        <f>E35+J35</f>
        <v>0</v>
      </c>
      <c r="P35" s="641">
        <f>N35+O35</f>
        <v>35625000</v>
      </c>
      <c r="S35" s="698" t="b">
        <f>N35='[3]In and Out Base '!$S$27</f>
        <v>1</v>
      </c>
    </row>
    <row r="36" spans="1:19" s="303" customFormat="1" ht="18.75" customHeight="1" thickBot="1" x14ac:dyDescent="0.35">
      <c r="A36" s="363" t="s">
        <v>625</v>
      </c>
      <c r="B36" s="420"/>
      <c r="C36" s="420"/>
      <c r="D36" s="420"/>
      <c r="E36" s="420"/>
      <c r="F36" s="420"/>
      <c r="G36" s="421"/>
      <c r="H36" s="420"/>
      <c r="I36" s="420"/>
      <c r="J36" s="420"/>
      <c r="K36" s="420"/>
      <c r="L36" s="421"/>
      <c r="M36" s="420"/>
      <c r="N36" s="420"/>
      <c r="O36" s="420"/>
      <c r="P36" s="420"/>
      <c r="S36" s="698"/>
    </row>
    <row r="37" spans="1:19" s="295" customFormat="1" ht="27" customHeight="1" x14ac:dyDescent="0.3">
      <c r="A37" s="430" t="s">
        <v>626</v>
      </c>
      <c r="B37" s="409">
        <v>7600000</v>
      </c>
      <c r="C37" s="423">
        <v>0</v>
      </c>
      <c r="D37" s="619">
        <f>'[1]In and Out Base '!$L$28</f>
        <v>4800000</v>
      </c>
      <c r="E37" s="620">
        <f>SUM('[2]Agency Summary'!$H$43:$L$43)</f>
        <v>0</v>
      </c>
      <c r="F37" s="621">
        <f t="shared" si="1"/>
        <v>4800000</v>
      </c>
      <c r="G37" s="411">
        <v>0</v>
      </c>
      <c r="H37" s="412">
        <v>0</v>
      </c>
      <c r="I37" s="484">
        <f>SUM('[1]In and Out Base '!$M$28:$N$28)</f>
        <v>4800000</v>
      </c>
      <c r="J37" s="485">
        <f>SUM('[2]Agency Summary'!$M$43:$Q$43)</f>
        <v>0</v>
      </c>
      <c r="K37" s="486">
        <f t="shared" si="3"/>
        <v>4800000</v>
      </c>
      <c r="L37" s="413">
        <f t="shared" ref="L37:L49" si="26">G37+B37</f>
        <v>7600000</v>
      </c>
      <c r="M37" s="414">
        <f t="shared" ref="M37:M49" si="27">H37+C37</f>
        <v>0</v>
      </c>
      <c r="N37" s="636">
        <f t="shared" si="20"/>
        <v>9600000</v>
      </c>
      <c r="O37" s="636">
        <f t="shared" ref="O37:O50" si="28">J37+E37</f>
        <v>0</v>
      </c>
      <c r="P37" s="637">
        <f t="shared" si="6"/>
        <v>9600000</v>
      </c>
      <c r="S37" s="295" t="b">
        <f>N37='[3]In and Out Base '!$S$28</f>
        <v>1</v>
      </c>
    </row>
    <row r="38" spans="1:19" s="295" customFormat="1" ht="27" customHeight="1" x14ac:dyDescent="0.3">
      <c r="A38" s="427" t="s">
        <v>627</v>
      </c>
      <c r="B38" s="291">
        <v>0</v>
      </c>
      <c r="C38" s="296">
        <v>0</v>
      </c>
      <c r="D38" s="622">
        <f t="shared" si="9"/>
        <v>0</v>
      </c>
      <c r="E38" s="623">
        <f>SUM('[2]Agency Summary'!$H$44:$L$44)</f>
        <v>0</v>
      </c>
      <c r="F38" s="624">
        <f t="shared" si="1"/>
        <v>0</v>
      </c>
      <c r="G38" s="297">
        <v>0</v>
      </c>
      <c r="H38" s="298">
        <v>0</v>
      </c>
      <c r="I38" s="487">
        <v>0</v>
      </c>
      <c r="J38" s="488">
        <f>SUM('[2]Agency Summary'!$M$44:$Q$44)</f>
        <v>0</v>
      </c>
      <c r="K38" s="489">
        <f t="shared" si="3"/>
        <v>0</v>
      </c>
      <c r="L38" s="299">
        <f t="shared" si="26"/>
        <v>0</v>
      </c>
      <c r="M38" s="300">
        <f t="shared" si="27"/>
        <v>0</v>
      </c>
      <c r="N38" s="638">
        <f t="shared" si="20"/>
        <v>0</v>
      </c>
      <c r="O38" s="638">
        <f t="shared" si="28"/>
        <v>0</v>
      </c>
      <c r="P38" s="639">
        <f t="shared" si="6"/>
        <v>0</v>
      </c>
    </row>
    <row r="39" spans="1:19" s="295" customFormat="1" ht="27" customHeight="1" x14ac:dyDescent="0.3">
      <c r="A39" s="427" t="s">
        <v>628</v>
      </c>
      <c r="B39" s="291">
        <v>0</v>
      </c>
      <c r="C39" s="296">
        <v>0</v>
      </c>
      <c r="D39" s="622">
        <f t="shared" si="9"/>
        <v>0</v>
      </c>
      <c r="E39" s="623">
        <f>SUM('[2]Agency Summary'!$H$45:$L$45)</f>
        <v>0</v>
      </c>
      <c r="F39" s="624">
        <f t="shared" si="1"/>
        <v>0</v>
      </c>
      <c r="G39" s="297">
        <v>0</v>
      </c>
      <c r="H39" s="298">
        <v>0</v>
      </c>
      <c r="I39" s="487">
        <v>0</v>
      </c>
      <c r="J39" s="488">
        <f>SUM('[2]Agency Summary'!$M$45:$Q$45)</f>
        <v>0</v>
      </c>
      <c r="K39" s="489">
        <f t="shared" si="3"/>
        <v>0</v>
      </c>
      <c r="L39" s="299">
        <f t="shared" si="26"/>
        <v>0</v>
      </c>
      <c r="M39" s="300">
        <f t="shared" si="27"/>
        <v>0</v>
      </c>
      <c r="N39" s="638">
        <f t="shared" si="20"/>
        <v>0</v>
      </c>
      <c r="O39" s="638">
        <f t="shared" si="28"/>
        <v>0</v>
      </c>
      <c r="P39" s="639">
        <f t="shared" si="6"/>
        <v>0</v>
      </c>
    </row>
    <row r="40" spans="1:19" s="295" customFormat="1" ht="27" customHeight="1" x14ac:dyDescent="0.3">
      <c r="A40" s="427" t="s">
        <v>629</v>
      </c>
      <c r="B40" s="291">
        <v>0</v>
      </c>
      <c r="C40" s="296">
        <v>0</v>
      </c>
      <c r="D40" s="622">
        <f t="shared" si="9"/>
        <v>0</v>
      </c>
      <c r="E40" s="623">
        <f>SUM('[2]Agency Summary'!$H$46:$L$46)</f>
        <v>0</v>
      </c>
      <c r="F40" s="624">
        <f t="shared" si="1"/>
        <v>0</v>
      </c>
      <c r="G40" s="297">
        <v>0</v>
      </c>
      <c r="H40" s="298">
        <v>0</v>
      </c>
      <c r="I40" s="487">
        <v>0</v>
      </c>
      <c r="J40" s="488">
        <f>SUM('[2]Agency Summary'!$M$46:$Q$46)</f>
        <v>0</v>
      </c>
      <c r="K40" s="489">
        <f t="shared" si="3"/>
        <v>0</v>
      </c>
      <c r="L40" s="299">
        <f t="shared" si="26"/>
        <v>0</v>
      </c>
      <c r="M40" s="300">
        <f t="shared" si="27"/>
        <v>0</v>
      </c>
      <c r="N40" s="638">
        <f t="shared" si="20"/>
        <v>0</v>
      </c>
      <c r="O40" s="638">
        <f t="shared" si="28"/>
        <v>0</v>
      </c>
      <c r="P40" s="639">
        <f t="shared" si="6"/>
        <v>0</v>
      </c>
    </row>
    <row r="41" spans="1:19" s="295" customFormat="1" ht="27" customHeight="1" x14ac:dyDescent="0.3">
      <c r="A41" s="427" t="s">
        <v>630</v>
      </c>
      <c r="B41" s="291">
        <v>4006794</v>
      </c>
      <c r="C41" s="296">
        <v>0</v>
      </c>
      <c r="D41" s="622">
        <f>'[1]In and Out Base '!$L$32</f>
        <v>4006794</v>
      </c>
      <c r="E41" s="623">
        <f>SUM('[2]Agency Summary'!$H$47:$L$47)</f>
        <v>0</v>
      </c>
      <c r="F41" s="624">
        <f t="shared" si="1"/>
        <v>4006794</v>
      </c>
      <c r="G41" s="297">
        <v>0</v>
      </c>
      <c r="H41" s="298">
        <v>0</v>
      </c>
      <c r="I41" s="494" t="str">
        <f>'[1]In and Out Base '!$N$32</f>
        <v>UB</v>
      </c>
      <c r="J41" s="488">
        <f>SUM('[2]Agency Summary'!$M$47:$Q$47)</f>
        <v>0</v>
      </c>
      <c r="K41" s="489">
        <f>J41</f>
        <v>0</v>
      </c>
      <c r="L41" s="299">
        <f t="shared" si="26"/>
        <v>4006794</v>
      </c>
      <c r="M41" s="300">
        <f t="shared" si="27"/>
        <v>0</v>
      </c>
      <c r="N41" s="638">
        <f>D41</f>
        <v>4006794</v>
      </c>
      <c r="O41" s="638">
        <f t="shared" si="28"/>
        <v>0</v>
      </c>
      <c r="P41" s="639">
        <f>N41+O41</f>
        <v>4006794</v>
      </c>
      <c r="S41" s="295" t="b">
        <f>N41='[3]In and Out Base '!$S$32</f>
        <v>1</v>
      </c>
    </row>
    <row r="42" spans="1:19" s="295" customFormat="1" ht="27" customHeight="1" x14ac:dyDescent="0.3">
      <c r="A42" s="427" t="s">
        <v>631</v>
      </c>
      <c r="B42" s="291">
        <v>0</v>
      </c>
      <c r="C42" s="296">
        <v>5600000</v>
      </c>
      <c r="D42" s="622">
        <f>'[1]In and Out Base '!$M$33</f>
        <v>2800000</v>
      </c>
      <c r="E42" s="623">
        <f>SUM('[2]Agency Summary'!$H$48:$L$48)</f>
        <v>0</v>
      </c>
      <c r="F42" s="624">
        <f t="shared" si="1"/>
        <v>2800000</v>
      </c>
      <c r="G42" s="297">
        <v>0</v>
      </c>
      <c r="H42" s="298">
        <v>0</v>
      </c>
      <c r="I42" s="487">
        <f>SUM('[1]In and Out Base '!$M$33:$N$33)</f>
        <v>2800000</v>
      </c>
      <c r="J42" s="488">
        <f>SUM('[2]Agency Summary'!$M$48:$Q$48)</f>
        <v>0</v>
      </c>
      <c r="K42" s="489">
        <f t="shared" si="3"/>
        <v>2800000</v>
      </c>
      <c r="L42" s="299">
        <f t="shared" si="26"/>
        <v>0</v>
      </c>
      <c r="M42" s="300">
        <f t="shared" si="27"/>
        <v>5600000</v>
      </c>
      <c r="N42" s="638">
        <f>D42+I42</f>
        <v>5600000</v>
      </c>
      <c r="O42" s="638">
        <f>J42+E42</f>
        <v>0</v>
      </c>
      <c r="P42" s="639">
        <f>N42+O42</f>
        <v>5600000</v>
      </c>
      <c r="S42" s="295" t="b">
        <f>N42='[3]In and Out Base '!$S$33</f>
        <v>1</v>
      </c>
    </row>
    <row r="43" spans="1:19" s="295" customFormat="1" ht="27" customHeight="1" x14ac:dyDescent="0.3">
      <c r="A43" s="427" t="s">
        <v>632</v>
      </c>
      <c r="B43" s="291">
        <v>0</v>
      </c>
      <c r="C43" s="296">
        <v>0</v>
      </c>
      <c r="D43" s="622">
        <f t="shared" si="9"/>
        <v>0</v>
      </c>
      <c r="E43" s="623">
        <f>SUM('[2]Agency Summary'!$H$49:$L$49)</f>
        <v>0</v>
      </c>
      <c r="F43" s="624">
        <f t="shared" si="1"/>
        <v>0</v>
      </c>
      <c r="G43" s="297">
        <v>0</v>
      </c>
      <c r="H43" s="298">
        <v>0</v>
      </c>
      <c r="I43" s="487">
        <f>G43+H43</f>
        <v>0</v>
      </c>
      <c r="J43" s="488">
        <f>SUM('[2]Agency Summary'!$M$49:$Q$49)</f>
        <v>0</v>
      </c>
      <c r="K43" s="489">
        <f t="shared" si="3"/>
        <v>0</v>
      </c>
      <c r="L43" s="299">
        <f t="shared" si="26"/>
        <v>0</v>
      </c>
      <c r="M43" s="300">
        <f t="shared" si="27"/>
        <v>0</v>
      </c>
      <c r="N43" s="638">
        <f t="shared" si="20"/>
        <v>0</v>
      </c>
      <c r="O43" s="638">
        <f t="shared" si="28"/>
        <v>0</v>
      </c>
      <c r="P43" s="639">
        <f t="shared" si="6"/>
        <v>0</v>
      </c>
    </row>
    <row r="44" spans="1:19" s="295" customFormat="1" ht="27" customHeight="1" x14ac:dyDescent="0.3">
      <c r="A44" s="427" t="s">
        <v>633</v>
      </c>
      <c r="B44" s="291">
        <v>0</v>
      </c>
      <c r="C44" s="296">
        <v>0</v>
      </c>
      <c r="D44" s="622">
        <f t="shared" si="9"/>
        <v>0</v>
      </c>
      <c r="E44" s="623">
        <f>SUM('[2]Agency Summary'!$H$50:$L$50)</f>
        <v>0</v>
      </c>
      <c r="F44" s="624">
        <f t="shared" si="1"/>
        <v>0</v>
      </c>
      <c r="G44" s="297">
        <v>0</v>
      </c>
      <c r="H44" s="298">
        <v>0</v>
      </c>
      <c r="I44" s="487">
        <f t="shared" si="10"/>
        <v>0</v>
      </c>
      <c r="J44" s="488">
        <f>SUM('[2]Agency Summary'!$M$50:$Q$50)</f>
        <v>0</v>
      </c>
      <c r="K44" s="489">
        <f t="shared" si="3"/>
        <v>0</v>
      </c>
      <c r="L44" s="299">
        <f t="shared" si="26"/>
        <v>0</v>
      </c>
      <c r="M44" s="300">
        <f t="shared" si="27"/>
        <v>0</v>
      </c>
      <c r="N44" s="638">
        <f t="shared" si="20"/>
        <v>0</v>
      </c>
      <c r="O44" s="638">
        <f t="shared" si="28"/>
        <v>0</v>
      </c>
      <c r="P44" s="639">
        <f t="shared" si="6"/>
        <v>0</v>
      </c>
    </row>
    <row r="45" spans="1:19" s="295" customFormat="1" ht="27" customHeight="1" x14ac:dyDescent="0.3">
      <c r="A45" s="427" t="s">
        <v>634</v>
      </c>
      <c r="B45" s="291">
        <v>0</v>
      </c>
      <c r="C45" s="296">
        <v>0</v>
      </c>
      <c r="D45" s="622">
        <f t="shared" si="9"/>
        <v>0</v>
      </c>
      <c r="E45" s="623">
        <f>SUM('[2]Agency Summary'!$H$51:$L$51)</f>
        <v>0</v>
      </c>
      <c r="F45" s="624">
        <f t="shared" si="1"/>
        <v>0</v>
      </c>
      <c r="G45" s="297">
        <v>0</v>
      </c>
      <c r="H45" s="298">
        <v>0</v>
      </c>
      <c r="I45" s="487">
        <f t="shared" si="10"/>
        <v>0</v>
      </c>
      <c r="J45" s="488">
        <f>SUM('[2]Agency Summary'!$M$51:$Q$51)</f>
        <v>0</v>
      </c>
      <c r="K45" s="489">
        <f t="shared" si="3"/>
        <v>0</v>
      </c>
      <c r="L45" s="299">
        <f t="shared" si="26"/>
        <v>0</v>
      </c>
      <c r="M45" s="300">
        <f t="shared" si="27"/>
        <v>0</v>
      </c>
      <c r="N45" s="638">
        <f t="shared" si="20"/>
        <v>0</v>
      </c>
      <c r="O45" s="638">
        <f t="shared" si="28"/>
        <v>0</v>
      </c>
      <c r="P45" s="639">
        <f t="shared" si="6"/>
        <v>0</v>
      </c>
    </row>
    <row r="46" spans="1:19" s="295" customFormat="1" ht="27" customHeight="1" x14ac:dyDescent="0.3">
      <c r="A46" s="427" t="s">
        <v>635</v>
      </c>
      <c r="B46" s="291">
        <v>30000000</v>
      </c>
      <c r="C46" s="296">
        <v>0</v>
      </c>
      <c r="D46" s="622">
        <f>SUM('[1]In and Out Base '!$K$37:$L$37)</f>
        <v>15000000</v>
      </c>
      <c r="E46" s="623">
        <f>SUM('[2]Agency Summary'!$H$52:$L$52)</f>
        <v>0</v>
      </c>
      <c r="F46" s="624">
        <f t="shared" si="1"/>
        <v>15000000</v>
      </c>
      <c r="G46" s="297">
        <v>21046739</v>
      </c>
      <c r="H46" s="298">
        <v>0</v>
      </c>
      <c r="I46" s="487">
        <f>SUM('[1]In and Out Base '!$M$37:$N$37)</f>
        <v>15000000</v>
      </c>
      <c r="J46" s="488">
        <f>SUM('[2]Agency Summary'!$M$52:$Q$52)</f>
        <v>0</v>
      </c>
      <c r="K46" s="489">
        <f t="shared" si="3"/>
        <v>15000000</v>
      </c>
      <c r="L46" s="299">
        <f t="shared" si="26"/>
        <v>51046739</v>
      </c>
      <c r="M46" s="300">
        <f t="shared" si="27"/>
        <v>0</v>
      </c>
      <c r="N46" s="638">
        <f>D46+I46</f>
        <v>30000000</v>
      </c>
      <c r="O46" s="638">
        <f>J46+E46</f>
        <v>0</v>
      </c>
      <c r="P46" s="639">
        <f t="shared" si="6"/>
        <v>30000000</v>
      </c>
      <c r="S46" s="295" t="b">
        <f>N46='[3]In and Out Base '!$S$37</f>
        <v>1</v>
      </c>
    </row>
    <row r="47" spans="1:19" s="295" customFormat="1" ht="27" customHeight="1" x14ac:dyDescent="0.3">
      <c r="A47" s="427" t="s">
        <v>636</v>
      </c>
      <c r="B47" s="291">
        <v>4230625</v>
      </c>
      <c r="C47" s="296">
        <v>0</v>
      </c>
      <c r="D47" s="622">
        <f>'[1]In and Out Base '!$L$38</f>
        <v>4230625</v>
      </c>
      <c r="E47" s="623">
        <f>SUM('[2]Agency Summary'!$H$53:$L$53)</f>
        <v>0</v>
      </c>
      <c r="F47" s="624">
        <f t="shared" si="1"/>
        <v>4230625</v>
      </c>
      <c r="G47" s="297"/>
      <c r="H47" s="298">
        <v>0</v>
      </c>
      <c r="I47" s="494" t="str">
        <f>'[1]In and Out Base '!$N$38</f>
        <v>UB</v>
      </c>
      <c r="J47" s="488">
        <f>SUM('[2]Agency Summary'!$M$53:$Q$53)</f>
        <v>0</v>
      </c>
      <c r="K47" s="489">
        <f>J47</f>
        <v>0</v>
      </c>
      <c r="L47" s="299">
        <f t="shared" si="26"/>
        <v>4230625</v>
      </c>
      <c r="M47" s="300">
        <f t="shared" si="27"/>
        <v>0</v>
      </c>
      <c r="N47" s="638">
        <f>D47</f>
        <v>4230625</v>
      </c>
      <c r="O47" s="638">
        <f t="shared" si="28"/>
        <v>0</v>
      </c>
      <c r="P47" s="639">
        <f t="shared" si="6"/>
        <v>4230625</v>
      </c>
      <c r="S47" s="295" t="b">
        <f>N47='[3]In and Out Base '!$S$38</f>
        <v>1</v>
      </c>
    </row>
    <row r="48" spans="1:19" s="295" customFormat="1" ht="27" customHeight="1" x14ac:dyDescent="0.3">
      <c r="A48" s="427" t="s">
        <v>637</v>
      </c>
      <c r="B48" s="291">
        <v>0</v>
      </c>
      <c r="C48" s="296">
        <v>0</v>
      </c>
      <c r="D48" s="622">
        <f t="shared" si="9"/>
        <v>0</v>
      </c>
      <c r="E48" s="623">
        <f>SUM('[2]Agency Summary'!$H$54:$L$54)</f>
        <v>0</v>
      </c>
      <c r="F48" s="624">
        <f t="shared" si="1"/>
        <v>0</v>
      </c>
      <c r="G48" s="297">
        <v>2375000</v>
      </c>
      <c r="H48" s="298">
        <v>0</v>
      </c>
      <c r="I48" s="487">
        <v>0</v>
      </c>
      <c r="J48" s="488">
        <f>SUM('[2]Agency Summary'!$M$54:$Q$54)</f>
        <v>0</v>
      </c>
      <c r="K48" s="489">
        <f t="shared" si="3"/>
        <v>0</v>
      </c>
      <c r="L48" s="299">
        <f t="shared" si="26"/>
        <v>2375000</v>
      </c>
      <c r="M48" s="300">
        <f t="shared" si="27"/>
        <v>0</v>
      </c>
      <c r="N48" s="638">
        <f t="shared" si="20"/>
        <v>0</v>
      </c>
      <c r="O48" s="638">
        <f t="shared" si="28"/>
        <v>0</v>
      </c>
      <c r="P48" s="639">
        <f t="shared" si="6"/>
        <v>0</v>
      </c>
    </row>
    <row r="49" spans="1:19" s="295" customFormat="1" ht="27" customHeight="1" x14ac:dyDescent="0.3">
      <c r="A49" s="427" t="s">
        <v>638</v>
      </c>
      <c r="B49" s="291">
        <v>0</v>
      </c>
      <c r="C49" s="296">
        <v>0</v>
      </c>
      <c r="D49" s="622">
        <f t="shared" si="9"/>
        <v>0</v>
      </c>
      <c r="E49" s="623">
        <f>SUM('[2]Agency Summary'!$H$55:$L$55)</f>
        <v>0</v>
      </c>
      <c r="F49" s="624">
        <f t="shared" si="1"/>
        <v>0</v>
      </c>
      <c r="G49" s="297">
        <v>0</v>
      </c>
      <c r="H49" s="298">
        <v>0</v>
      </c>
      <c r="I49" s="487">
        <f t="shared" si="10"/>
        <v>0</v>
      </c>
      <c r="J49" s="488">
        <f>SUM('[2]Agency Summary'!$M$55:$Q$55)</f>
        <v>0</v>
      </c>
      <c r="K49" s="489">
        <f t="shared" si="3"/>
        <v>0</v>
      </c>
      <c r="L49" s="299">
        <f t="shared" si="26"/>
        <v>0</v>
      </c>
      <c r="M49" s="300">
        <f t="shared" si="27"/>
        <v>0</v>
      </c>
      <c r="N49" s="638">
        <f t="shared" si="20"/>
        <v>0</v>
      </c>
      <c r="O49" s="638">
        <f t="shared" si="28"/>
        <v>0</v>
      </c>
      <c r="P49" s="639">
        <f t="shared" si="6"/>
        <v>0</v>
      </c>
    </row>
    <row r="50" spans="1:19" s="303" customFormat="1" ht="27" customHeight="1" thickBot="1" x14ac:dyDescent="0.35">
      <c r="A50" s="431" t="s">
        <v>639</v>
      </c>
      <c r="B50" s="306"/>
      <c r="C50" s="417"/>
      <c r="D50" s="625">
        <f t="shared" si="9"/>
        <v>0</v>
      </c>
      <c r="E50" s="626">
        <v>0</v>
      </c>
      <c r="F50" s="627">
        <f t="shared" si="1"/>
        <v>0</v>
      </c>
      <c r="G50" s="429"/>
      <c r="H50" s="419"/>
      <c r="I50" s="490">
        <f t="shared" si="10"/>
        <v>0</v>
      </c>
      <c r="J50" s="491">
        <v>0</v>
      </c>
      <c r="K50" s="492">
        <f t="shared" si="3"/>
        <v>0</v>
      </c>
      <c r="L50" s="429"/>
      <c r="M50" s="419"/>
      <c r="N50" s="640">
        <f t="shared" si="20"/>
        <v>0</v>
      </c>
      <c r="O50" s="640">
        <f t="shared" si="28"/>
        <v>0</v>
      </c>
      <c r="P50" s="641">
        <f t="shared" si="6"/>
        <v>0</v>
      </c>
      <c r="S50" s="698"/>
    </row>
    <row r="51" spans="1:19" s="303" customFormat="1" ht="18.75" customHeight="1" thickBot="1" x14ac:dyDescent="0.35">
      <c r="A51" s="363" t="s">
        <v>640</v>
      </c>
      <c r="B51" s="420"/>
      <c r="C51" s="420"/>
      <c r="D51" s="420"/>
      <c r="E51" s="420"/>
      <c r="F51" s="420"/>
      <c r="G51" s="421"/>
      <c r="H51" s="420"/>
      <c r="I51" s="573"/>
      <c r="J51" s="573"/>
      <c r="K51" s="573"/>
      <c r="L51" s="421"/>
      <c r="M51" s="420"/>
      <c r="N51" s="420"/>
      <c r="O51" s="420"/>
      <c r="P51" s="420"/>
      <c r="S51" s="698"/>
    </row>
    <row r="52" spans="1:19" s="295" customFormat="1" ht="27" customHeight="1" x14ac:dyDescent="0.3">
      <c r="A52" s="408" t="s">
        <v>556</v>
      </c>
      <c r="B52" s="409">
        <v>75864812</v>
      </c>
      <c r="C52" s="423">
        <v>0</v>
      </c>
      <c r="D52" s="619">
        <f>'[3]In and Out Base '!$S$42</f>
        <v>0</v>
      </c>
      <c r="E52" s="620">
        <f>SUM('[2]Agency Summary'!$H$41:$L$41)</f>
        <v>0</v>
      </c>
      <c r="F52" s="621">
        <f>D52+E52</f>
        <v>0</v>
      </c>
      <c r="G52" s="411">
        <v>39569961</v>
      </c>
      <c r="H52" s="412">
        <v>0</v>
      </c>
      <c r="I52" s="484">
        <f>SUM('[1]In and Out Base '!$M$42:$N$42)</f>
        <v>0</v>
      </c>
      <c r="J52" s="485">
        <f>SUM('[2]Agency Summary'!$M$41:$Q$41)</f>
        <v>0</v>
      </c>
      <c r="K52" s="486">
        <f>I52+J52</f>
        <v>0</v>
      </c>
      <c r="L52" s="413">
        <f t="shared" ref="L52" si="29">G52+B52</f>
        <v>115434773</v>
      </c>
      <c r="M52" s="414">
        <f t="shared" ref="M52" si="30">H52+C52</f>
        <v>0</v>
      </c>
      <c r="N52" s="636">
        <f>D52+I52</f>
        <v>0</v>
      </c>
      <c r="O52" s="636">
        <f>J52+E52</f>
        <v>0</v>
      </c>
      <c r="P52" s="637">
        <f>N52+O52</f>
        <v>0</v>
      </c>
    </row>
    <row r="53" spans="1:19" s="295" customFormat="1" ht="27" customHeight="1" x14ac:dyDescent="0.3">
      <c r="A53" s="415" t="s">
        <v>553</v>
      </c>
      <c r="B53" s="291">
        <v>10353014</v>
      </c>
      <c r="C53" s="296">
        <v>0</v>
      </c>
      <c r="D53" s="622">
        <f>[3]Reductions!$S$28</f>
        <v>0</v>
      </c>
      <c r="E53" s="623">
        <f>SUM('[2]Agency Summary'!$H$42:$L$42)</f>
        <v>0</v>
      </c>
      <c r="F53" s="624">
        <f>D53+E53</f>
        <v>0</v>
      </c>
      <c r="G53" s="297">
        <v>7256038</v>
      </c>
      <c r="H53" s="298">
        <v>0</v>
      </c>
      <c r="I53" s="487">
        <f>SUM('[1]In and Out Base '!$M$43:$N$43)</f>
        <v>0</v>
      </c>
      <c r="J53" s="488">
        <f>SUM('[2]Agency Summary'!$M$42:$Q$42)</f>
        <v>0</v>
      </c>
      <c r="K53" s="489">
        <f>I53+J53</f>
        <v>0</v>
      </c>
      <c r="L53" s="299">
        <f t="shared" ref="L53:M55" si="31">G53+B53</f>
        <v>17609052</v>
      </c>
      <c r="M53" s="300">
        <f t="shared" si="31"/>
        <v>0</v>
      </c>
      <c r="N53" s="638">
        <f>D53+I53</f>
        <v>0</v>
      </c>
      <c r="O53" s="638">
        <f>J53+E53</f>
        <v>0</v>
      </c>
      <c r="P53" s="639">
        <f>N53+O53</f>
        <v>0</v>
      </c>
    </row>
    <row r="54" spans="1:19" s="295" customFormat="1" ht="27" customHeight="1" x14ac:dyDescent="0.3">
      <c r="A54" s="415" t="s">
        <v>554</v>
      </c>
      <c r="B54" s="291">
        <v>0</v>
      </c>
      <c r="C54" s="296">
        <v>0</v>
      </c>
      <c r="D54" s="622">
        <f>B54+C54</f>
        <v>0</v>
      </c>
      <c r="E54" s="623">
        <f>SUM('[2]Agency Summary'!$H$73:$L$73)</f>
        <v>1125000</v>
      </c>
      <c r="F54" s="624">
        <f>D54+E54</f>
        <v>1125000</v>
      </c>
      <c r="G54" s="297">
        <v>0</v>
      </c>
      <c r="H54" s="298">
        <v>0</v>
      </c>
      <c r="I54" s="487">
        <f>G54+H54</f>
        <v>0</v>
      </c>
      <c r="J54" s="488">
        <f>SUM('[2]Agency Summary'!$M$73:$Q$73)</f>
        <v>1125000</v>
      </c>
      <c r="K54" s="489">
        <f>I54+J54</f>
        <v>1125000</v>
      </c>
      <c r="L54" s="299">
        <f t="shared" si="31"/>
        <v>0</v>
      </c>
      <c r="M54" s="300">
        <f t="shared" si="31"/>
        <v>0</v>
      </c>
      <c r="N54" s="638">
        <f>D54+I54</f>
        <v>0</v>
      </c>
      <c r="O54" s="638">
        <f>J54+E54</f>
        <v>2250000</v>
      </c>
      <c r="P54" s="639">
        <f>N54+O54</f>
        <v>2250000</v>
      </c>
    </row>
    <row r="55" spans="1:19" s="295" customFormat="1" ht="27" customHeight="1" thickBot="1" x14ac:dyDescent="0.35">
      <c r="A55" s="432" t="s">
        <v>555</v>
      </c>
      <c r="B55" s="306">
        <v>0</v>
      </c>
      <c r="C55" s="417">
        <v>0</v>
      </c>
      <c r="D55" s="625">
        <f>B55+C55</f>
        <v>0</v>
      </c>
      <c r="E55" s="626">
        <f>SUM('[2]Agency Summary'!$H$74:$L$74)</f>
        <v>1915830</v>
      </c>
      <c r="F55" s="627">
        <f>D55+E55</f>
        <v>1915830</v>
      </c>
      <c r="G55" s="433">
        <v>0</v>
      </c>
      <c r="H55" s="434">
        <v>0</v>
      </c>
      <c r="I55" s="490">
        <f>G55+H55</f>
        <v>0</v>
      </c>
      <c r="J55" s="491">
        <f>SUM('[2]Agency Summary'!$M$74:$Q$74)</f>
        <v>1915830</v>
      </c>
      <c r="K55" s="492">
        <f>I55+J55</f>
        <v>1915830</v>
      </c>
      <c r="L55" s="435">
        <f t="shared" si="31"/>
        <v>0</v>
      </c>
      <c r="M55" s="436">
        <f t="shared" si="31"/>
        <v>0</v>
      </c>
      <c r="N55" s="640">
        <f>D55+I55</f>
        <v>0</v>
      </c>
      <c r="O55" s="640">
        <f>J55+E55</f>
        <v>3831660</v>
      </c>
      <c r="P55" s="641">
        <f>N55+O55</f>
        <v>3831660</v>
      </c>
    </row>
    <row r="56" spans="1:19" s="303" customFormat="1" ht="18.75" customHeight="1" thickBot="1" x14ac:dyDescent="0.35">
      <c r="A56" s="363" t="s">
        <v>641</v>
      </c>
      <c r="B56" s="420"/>
      <c r="C56" s="420"/>
      <c r="D56" s="420"/>
      <c r="E56" s="420"/>
      <c r="F56" s="420"/>
      <c r="G56" s="421"/>
      <c r="H56" s="420"/>
      <c r="I56" s="573"/>
      <c r="J56" s="573"/>
      <c r="K56" s="573"/>
      <c r="L56" s="421"/>
      <c r="M56" s="420"/>
      <c r="N56" s="420"/>
      <c r="O56" s="420"/>
      <c r="P56" s="420"/>
      <c r="S56" s="698"/>
    </row>
    <row r="57" spans="1:19" s="295" customFormat="1" ht="27" customHeight="1" x14ac:dyDescent="0.3">
      <c r="A57" s="430" t="s">
        <v>557</v>
      </c>
      <c r="B57" s="409">
        <v>4000000</v>
      </c>
      <c r="C57" s="423">
        <v>0</v>
      </c>
      <c r="D57" s="619">
        <f>SUM('[1]In and Out Base '!$K$46:$L$46)</f>
        <v>2000000</v>
      </c>
      <c r="E57" s="620">
        <f>SUM('[2]Agency Summary'!$H$57:$L$57)</f>
        <v>0</v>
      </c>
      <c r="F57" s="621">
        <f t="shared" si="1"/>
        <v>2000000</v>
      </c>
      <c r="G57" s="411">
        <v>2375000</v>
      </c>
      <c r="H57" s="412">
        <v>0</v>
      </c>
      <c r="I57" s="484">
        <f>B57/2</f>
        <v>2000000</v>
      </c>
      <c r="J57" s="485">
        <f>SUM('[2]Agency Summary'!$M$57:$Q$57)</f>
        <v>0</v>
      </c>
      <c r="K57" s="486">
        <f t="shared" si="3"/>
        <v>2000000</v>
      </c>
      <c r="L57" s="413">
        <f t="shared" ref="L57" si="32">G57+B57</f>
        <v>6375000</v>
      </c>
      <c r="M57" s="414">
        <f t="shared" ref="M57" si="33">H57+C57</f>
        <v>0</v>
      </c>
      <c r="N57" s="636">
        <f t="shared" si="20"/>
        <v>4000000</v>
      </c>
      <c r="O57" s="636">
        <f t="shared" ref="O57:O65" si="34">J57+E57</f>
        <v>0</v>
      </c>
      <c r="P57" s="637">
        <f t="shared" si="6"/>
        <v>4000000</v>
      </c>
      <c r="S57" s="295" t="b">
        <f>N57='[3]In and Out Base '!$S$46</f>
        <v>1</v>
      </c>
    </row>
    <row r="58" spans="1:19" s="295" customFormat="1" ht="27" customHeight="1" x14ac:dyDescent="0.3">
      <c r="A58" s="427" t="s">
        <v>558</v>
      </c>
      <c r="B58" s="291">
        <v>3040706</v>
      </c>
      <c r="C58" s="296">
        <v>0</v>
      </c>
      <c r="D58" s="622">
        <f>'[1]In and Out Base '!$L$47</f>
        <v>760177</v>
      </c>
      <c r="E58" s="623">
        <f>SUM('[2]Agency Summary'!$H$58:$L$58)</f>
        <v>0</v>
      </c>
      <c r="F58" s="624">
        <f t="shared" si="1"/>
        <v>760177</v>
      </c>
      <c r="G58" s="297">
        <v>3040705</v>
      </c>
      <c r="H58" s="298">
        <v>0</v>
      </c>
      <c r="I58" s="487">
        <f>'[1]In and Out Base '!$N$47</f>
        <v>760176</v>
      </c>
      <c r="J58" s="488">
        <f>SUM('[2]Agency Summary'!$M$58:$Q$58)</f>
        <v>0</v>
      </c>
      <c r="K58" s="489">
        <f t="shared" si="3"/>
        <v>760176</v>
      </c>
      <c r="L58" s="299">
        <f t="shared" ref="L58:L65" si="35">G58+B58</f>
        <v>6081411</v>
      </c>
      <c r="M58" s="300">
        <f t="shared" ref="M58:M65" si="36">H58+C58</f>
        <v>0</v>
      </c>
      <c r="N58" s="638">
        <f>D58+I58</f>
        <v>1520353</v>
      </c>
      <c r="O58" s="638">
        <f t="shared" si="34"/>
        <v>0</v>
      </c>
      <c r="P58" s="639">
        <f t="shared" si="6"/>
        <v>1520353</v>
      </c>
      <c r="S58" s="295" t="b">
        <f>N58='[3]In and Out Base '!$S$47</f>
        <v>1</v>
      </c>
    </row>
    <row r="59" spans="1:19" s="295" customFormat="1" ht="27" customHeight="1" x14ac:dyDescent="0.3">
      <c r="A59" s="427" t="s">
        <v>559</v>
      </c>
      <c r="B59" s="291">
        <v>0</v>
      </c>
      <c r="C59" s="296">
        <v>0</v>
      </c>
      <c r="D59" s="622">
        <f t="shared" si="9"/>
        <v>0</v>
      </c>
      <c r="E59" s="623">
        <f>SUM('[2]Agency Summary'!$H$59:$L$59)</f>
        <v>0</v>
      </c>
      <c r="F59" s="624">
        <f t="shared" si="1"/>
        <v>0</v>
      </c>
      <c r="G59" s="297">
        <v>2645085</v>
      </c>
      <c r="H59" s="298">
        <v>0</v>
      </c>
      <c r="I59" s="487">
        <v>0</v>
      </c>
      <c r="J59" s="488">
        <f>SUM('[2]Agency Summary'!$M$59:$Q$59)</f>
        <v>0</v>
      </c>
      <c r="K59" s="489">
        <f t="shared" si="3"/>
        <v>0</v>
      </c>
      <c r="L59" s="299">
        <f t="shared" si="35"/>
        <v>2645085</v>
      </c>
      <c r="M59" s="300">
        <f t="shared" si="36"/>
        <v>0</v>
      </c>
      <c r="N59" s="638">
        <f t="shared" si="20"/>
        <v>0</v>
      </c>
      <c r="O59" s="638">
        <f t="shared" si="34"/>
        <v>0</v>
      </c>
      <c r="P59" s="639">
        <f t="shared" si="6"/>
        <v>0</v>
      </c>
    </row>
    <row r="60" spans="1:19" s="295" customFormat="1" ht="27" customHeight="1" x14ac:dyDescent="0.3">
      <c r="A60" s="427" t="s">
        <v>560</v>
      </c>
      <c r="B60" s="291">
        <v>0</v>
      </c>
      <c r="C60" s="296">
        <v>0</v>
      </c>
      <c r="D60" s="622">
        <f t="shared" si="9"/>
        <v>0</v>
      </c>
      <c r="E60" s="623">
        <f>SUM('[2]Agency Summary'!$H$60:$L$60)</f>
        <v>0</v>
      </c>
      <c r="F60" s="624">
        <f t="shared" si="1"/>
        <v>0</v>
      </c>
      <c r="G60" s="297">
        <v>0</v>
      </c>
      <c r="H60" s="298">
        <v>0</v>
      </c>
      <c r="I60" s="487">
        <f t="shared" si="10"/>
        <v>0</v>
      </c>
      <c r="J60" s="488">
        <f>SUM('[2]Agency Summary'!$M$60:$Q$60)</f>
        <v>0</v>
      </c>
      <c r="K60" s="489">
        <f t="shared" si="3"/>
        <v>0</v>
      </c>
      <c r="L60" s="299">
        <f t="shared" si="35"/>
        <v>0</v>
      </c>
      <c r="M60" s="300">
        <f t="shared" si="36"/>
        <v>0</v>
      </c>
      <c r="N60" s="638">
        <f t="shared" si="20"/>
        <v>0</v>
      </c>
      <c r="O60" s="638">
        <f t="shared" si="34"/>
        <v>0</v>
      </c>
      <c r="P60" s="639">
        <f t="shared" si="6"/>
        <v>0</v>
      </c>
    </row>
    <row r="61" spans="1:19" s="295" customFormat="1" ht="27" customHeight="1" x14ac:dyDescent="0.3">
      <c r="A61" s="427" t="s">
        <v>561</v>
      </c>
      <c r="B61" s="291">
        <v>0</v>
      </c>
      <c r="C61" s="296">
        <v>0</v>
      </c>
      <c r="D61" s="622">
        <f t="shared" si="9"/>
        <v>0</v>
      </c>
      <c r="E61" s="623">
        <f>SUM('[2]Agency Summary'!$H$61:$L$61)</f>
        <v>0</v>
      </c>
      <c r="F61" s="624">
        <f t="shared" si="1"/>
        <v>0</v>
      </c>
      <c r="G61" s="297">
        <v>1750000</v>
      </c>
      <c r="H61" s="298">
        <v>0</v>
      </c>
      <c r="I61" s="487">
        <v>0</v>
      </c>
      <c r="J61" s="488">
        <f>SUM('[2]Agency Summary'!$M$61:$Q$61)</f>
        <v>0</v>
      </c>
      <c r="K61" s="489">
        <f t="shared" si="3"/>
        <v>0</v>
      </c>
      <c r="L61" s="299">
        <f t="shared" si="35"/>
        <v>1750000</v>
      </c>
      <c r="M61" s="300">
        <f t="shared" si="36"/>
        <v>0</v>
      </c>
      <c r="N61" s="638">
        <f t="shared" si="20"/>
        <v>0</v>
      </c>
      <c r="O61" s="638">
        <f t="shared" si="34"/>
        <v>0</v>
      </c>
      <c r="P61" s="639">
        <f t="shared" si="6"/>
        <v>0</v>
      </c>
    </row>
    <row r="62" spans="1:19" s="295" customFormat="1" ht="27" customHeight="1" x14ac:dyDescent="0.3">
      <c r="A62" s="427" t="s">
        <v>562</v>
      </c>
      <c r="B62" s="291">
        <v>133432</v>
      </c>
      <c r="C62" s="296">
        <v>0</v>
      </c>
      <c r="D62" s="622">
        <v>0</v>
      </c>
      <c r="E62" s="623">
        <f>SUM('[2]Agency Summary'!$H$62:$L$62)</f>
        <v>0</v>
      </c>
      <c r="F62" s="624">
        <f t="shared" si="1"/>
        <v>0</v>
      </c>
      <c r="G62" s="297">
        <v>88954</v>
      </c>
      <c r="H62" s="298">
        <v>0</v>
      </c>
      <c r="I62" s="487">
        <v>0</v>
      </c>
      <c r="J62" s="488">
        <f>SUM('[2]Agency Summary'!$M$62:$Q$62)</f>
        <v>0</v>
      </c>
      <c r="K62" s="489">
        <f t="shared" si="3"/>
        <v>0</v>
      </c>
      <c r="L62" s="299">
        <f t="shared" si="35"/>
        <v>222386</v>
      </c>
      <c r="M62" s="300">
        <f t="shared" si="36"/>
        <v>0</v>
      </c>
      <c r="N62" s="638">
        <f t="shared" si="20"/>
        <v>0</v>
      </c>
      <c r="O62" s="638">
        <f t="shared" si="34"/>
        <v>0</v>
      </c>
      <c r="P62" s="639">
        <f t="shared" si="6"/>
        <v>0</v>
      </c>
    </row>
    <row r="63" spans="1:19" s="295" customFormat="1" ht="27" customHeight="1" x14ac:dyDescent="0.3">
      <c r="A63" s="427" t="s">
        <v>563</v>
      </c>
      <c r="B63" s="291">
        <v>4000000</v>
      </c>
      <c r="C63" s="296">
        <v>0</v>
      </c>
      <c r="D63" s="622">
        <f>SUM('[1]In and Out Base '!$K$52:$L$52)</f>
        <v>2000000</v>
      </c>
      <c r="E63" s="623">
        <f>SUM('[2]Agency Summary'!$H$63:$L$63)</f>
        <v>0</v>
      </c>
      <c r="F63" s="624">
        <f t="shared" si="1"/>
        <v>2000000</v>
      </c>
      <c r="G63" s="297">
        <v>4750000</v>
      </c>
      <c r="H63" s="298">
        <v>0</v>
      </c>
      <c r="I63" s="487">
        <f>SUM('[1]In and Out Base '!$M$52:$N$52)</f>
        <v>2000000</v>
      </c>
      <c r="J63" s="488">
        <f>SUM('[2]Agency Summary'!$M$63:$Q$63)</f>
        <v>0</v>
      </c>
      <c r="K63" s="489">
        <f t="shared" si="3"/>
        <v>2000000</v>
      </c>
      <c r="L63" s="299">
        <f t="shared" si="35"/>
        <v>8750000</v>
      </c>
      <c r="M63" s="300">
        <f t="shared" si="36"/>
        <v>0</v>
      </c>
      <c r="N63" s="638">
        <f t="shared" si="20"/>
        <v>4000000</v>
      </c>
      <c r="O63" s="638">
        <f t="shared" si="34"/>
        <v>0</v>
      </c>
      <c r="P63" s="639">
        <f t="shared" si="6"/>
        <v>4000000</v>
      </c>
      <c r="S63" s="295" t="b">
        <f>N63='[3]In and Out Base '!$S$52</f>
        <v>1</v>
      </c>
    </row>
    <row r="64" spans="1:19" s="304" customFormat="1" ht="27" customHeight="1" x14ac:dyDescent="0.3">
      <c r="A64" s="427" t="s">
        <v>564</v>
      </c>
      <c r="B64" s="291">
        <v>0</v>
      </c>
      <c r="C64" s="296">
        <v>0</v>
      </c>
      <c r="D64" s="622">
        <f t="shared" si="9"/>
        <v>0</v>
      </c>
      <c r="E64" s="623">
        <f>SUM('[2]Agency Summary'!$H$64:$L$64)</f>
        <v>0</v>
      </c>
      <c r="F64" s="624">
        <f t="shared" si="1"/>
        <v>0</v>
      </c>
      <c r="G64" s="297">
        <v>1068750</v>
      </c>
      <c r="H64" s="298">
        <v>0</v>
      </c>
      <c r="I64" s="487">
        <v>0</v>
      </c>
      <c r="J64" s="488">
        <f>SUM('[2]Agency Summary'!$M$64:$Q$64)</f>
        <v>0</v>
      </c>
      <c r="K64" s="489">
        <f t="shared" si="3"/>
        <v>0</v>
      </c>
      <c r="L64" s="299">
        <f t="shared" si="35"/>
        <v>1068750</v>
      </c>
      <c r="M64" s="300">
        <f t="shared" si="36"/>
        <v>0</v>
      </c>
      <c r="N64" s="638">
        <f t="shared" si="20"/>
        <v>0</v>
      </c>
      <c r="O64" s="638">
        <f t="shared" si="34"/>
        <v>0</v>
      </c>
      <c r="P64" s="639">
        <f t="shared" si="6"/>
        <v>0</v>
      </c>
    </row>
    <row r="65" spans="1:19" s="305" customFormat="1" ht="27" customHeight="1" x14ac:dyDescent="0.3">
      <c r="A65" s="427" t="s">
        <v>565</v>
      </c>
      <c r="B65" s="291">
        <v>0</v>
      </c>
      <c r="C65" s="296">
        <v>0</v>
      </c>
      <c r="D65" s="622">
        <f>'[1]In and Out Base '!$L$54</f>
        <v>760177</v>
      </c>
      <c r="E65" s="623">
        <f>SUM('[2]Agency Summary'!$H$65:$L$65)</f>
        <v>0</v>
      </c>
      <c r="F65" s="624">
        <f t="shared" si="1"/>
        <v>760177</v>
      </c>
      <c r="G65" s="297">
        <v>7071300</v>
      </c>
      <c r="H65" s="298">
        <v>0</v>
      </c>
      <c r="I65" s="487">
        <f>'[1]In and Out Base '!$N$54</f>
        <v>760176</v>
      </c>
      <c r="J65" s="488">
        <f>SUM('[2]Agency Summary'!$M$65:$Q$65)</f>
        <v>0</v>
      </c>
      <c r="K65" s="489">
        <f t="shared" si="3"/>
        <v>760176</v>
      </c>
      <c r="L65" s="299">
        <f t="shared" si="35"/>
        <v>7071300</v>
      </c>
      <c r="M65" s="300">
        <f t="shared" si="36"/>
        <v>0</v>
      </c>
      <c r="N65" s="638">
        <f>D65+I65</f>
        <v>1520353</v>
      </c>
      <c r="O65" s="638">
        <f t="shared" si="34"/>
        <v>0</v>
      </c>
      <c r="P65" s="639">
        <f t="shared" si="6"/>
        <v>1520353</v>
      </c>
      <c r="S65" s="295" t="b">
        <f>N65='[3]In and Out Base '!$S$54</f>
        <v>1</v>
      </c>
    </row>
    <row r="66" spans="1:19" s="295" customFormat="1" ht="27" customHeight="1" thickBot="1" x14ac:dyDescent="0.35">
      <c r="A66" s="432" t="s">
        <v>621</v>
      </c>
      <c r="B66" s="306">
        <v>0</v>
      </c>
      <c r="C66" s="417">
        <v>0</v>
      </c>
      <c r="D66" s="625">
        <f>B66+C66</f>
        <v>0</v>
      </c>
      <c r="E66" s="626">
        <f>SUM('[2]Agency Summary'!$H$33:$L$33)</f>
        <v>0</v>
      </c>
      <c r="F66" s="627">
        <f>D66+E66</f>
        <v>0</v>
      </c>
      <c r="G66" s="433">
        <v>23750000</v>
      </c>
      <c r="H66" s="434">
        <v>0</v>
      </c>
      <c r="I66" s="490">
        <v>0</v>
      </c>
      <c r="J66" s="491">
        <f>SUM('[2]Agency Summary'!$M$33:$Q$33)</f>
        <v>0</v>
      </c>
      <c r="K66" s="492">
        <f>I66+J66</f>
        <v>0</v>
      </c>
      <c r="L66" s="435">
        <f>G66+B66</f>
        <v>23750000</v>
      </c>
      <c r="M66" s="436">
        <f>H66+C66</f>
        <v>0</v>
      </c>
      <c r="N66" s="640">
        <f>D66+I66</f>
        <v>0</v>
      </c>
      <c r="O66" s="640">
        <f>J66+E66</f>
        <v>0</v>
      </c>
      <c r="P66" s="641">
        <f>N66+O66</f>
        <v>0</v>
      </c>
    </row>
    <row r="67" spans="1:19" s="303" customFormat="1" ht="18.75" customHeight="1" thickBot="1" x14ac:dyDescent="0.35">
      <c r="A67" s="363" t="s">
        <v>642</v>
      </c>
      <c r="B67" s="420"/>
      <c r="C67" s="420"/>
      <c r="D67" s="420"/>
      <c r="E67" s="420"/>
      <c r="F67" s="420"/>
      <c r="G67" s="421"/>
      <c r="H67" s="420"/>
      <c r="I67" s="420"/>
      <c r="J67" s="420"/>
      <c r="K67" s="420"/>
      <c r="L67" s="421"/>
      <c r="M67" s="420"/>
      <c r="N67" s="420"/>
      <c r="O67" s="420"/>
      <c r="P67" s="420"/>
      <c r="S67" s="698"/>
    </row>
    <row r="68" spans="1:19" s="295" customFormat="1" ht="27" customHeight="1" x14ac:dyDescent="0.3">
      <c r="A68" s="430" t="s">
        <v>566</v>
      </c>
      <c r="B68" s="409">
        <v>0</v>
      </c>
      <c r="C68" s="423">
        <v>0</v>
      </c>
      <c r="D68" s="619">
        <f t="shared" si="9"/>
        <v>0</v>
      </c>
      <c r="E68" s="620">
        <v>0</v>
      </c>
      <c r="F68" s="621">
        <f t="shared" si="1"/>
        <v>0</v>
      </c>
      <c r="G68" s="411">
        <v>0</v>
      </c>
      <c r="H68" s="412">
        <v>0</v>
      </c>
      <c r="I68" s="484">
        <f t="shared" si="10"/>
        <v>0</v>
      </c>
      <c r="J68" s="485">
        <v>0</v>
      </c>
      <c r="K68" s="486">
        <f t="shared" si="3"/>
        <v>0</v>
      </c>
      <c r="L68" s="413">
        <f t="shared" ref="L68" si="37">G68+B68</f>
        <v>0</v>
      </c>
      <c r="M68" s="414">
        <f t="shared" ref="M68" si="38">H68+C68</f>
        <v>0</v>
      </c>
      <c r="N68" s="636">
        <f t="shared" si="20"/>
        <v>0</v>
      </c>
      <c r="O68" s="636">
        <f>J68+E68</f>
        <v>0</v>
      </c>
      <c r="P68" s="637">
        <f t="shared" si="6"/>
        <v>0</v>
      </c>
    </row>
    <row r="69" spans="1:19" s="295" customFormat="1" ht="27" customHeight="1" x14ac:dyDescent="0.3">
      <c r="A69" s="427" t="s">
        <v>751</v>
      </c>
      <c r="B69" s="291">
        <v>0</v>
      </c>
      <c r="C69" s="296">
        <v>0</v>
      </c>
      <c r="D69" s="622">
        <f t="shared" si="9"/>
        <v>0</v>
      </c>
      <c r="E69" s="623">
        <f>SUM('[2]Agency Summary'!$H$67:$L$67)</f>
        <v>24000000</v>
      </c>
      <c r="F69" s="624">
        <f>D69+E69</f>
        <v>24000000</v>
      </c>
      <c r="G69" s="297">
        <v>0</v>
      </c>
      <c r="H69" s="298">
        <v>0</v>
      </c>
      <c r="I69" s="487">
        <f t="shared" si="10"/>
        <v>0</v>
      </c>
      <c r="J69" s="488">
        <f>SUM('[2]Agency Summary'!$M$67:$Q$67)</f>
        <v>24000000</v>
      </c>
      <c r="K69" s="489">
        <f>I69+J69</f>
        <v>24000000</v>
      </c>
      <c r="L69" s="299">
        <f t="shared" ref="L69:L72" si="39">G69+B69</f>
        <v>0</v>
      </c>
      <c r="M69" s="300">
        <f t="shared" ref="M69:M72" si="40">H69+C69</f>
        <v>0</v>
      </c>
      <c r="N69" s="638">
        <f>D69+I69</f>
        <v>0</v>
      </c>
      <c r="O69" s="638">
        <f>E69+J69</f>
        <v>48000000</v>
      </c>
      <c r="P69" s="639">
        <f>N69+O69</f>
        <v>48000000</v>
      </c>
    </row>
    <row r="70" spans="1:19" s="295" customFormat="1" ht="27" customHeight="1" x14ac:dyDescent="0.3">
      <c r="A70" s="427" t="s">
        <v>567</v>
      </c>
      <c r="B70" s="291">
        <v>0</v>
      </c>
      <c r="C70" s="296">
        <v>0</v>
      </c>
      <c r="D70" s="622">
        <f t="shared" si="9"/>
        <v>0</v>
      </c>
      <c r="E70" s="623">
        <f>SUM('[2]Agency Summary'!$H$68:$L$68)</f>
        <v>5484000</v>
      </c>
      <c r="F70" s="624">
        <f t="shared" si="1"/>
        <v>5484000</v>
      </c>
      <c r="G70" s="297">
        <v>0</v>
      </c>
      <c r="H70" s="298">
        <v>0</v>
      </c>
      <c r="I70" s="487">
        <f t="shared" si="10"/>
        <v>0</v>
      </c>
      <c r="J70" s="488">
        <f>SUM('[2]Agency Summary'!$M$68:$Q$68)</f>
        <v>284000</v>
      </c>
      <c r="K70" s="489">
        <f t="shared" si="3"/>
        <v>284000</v>
      </c>
      <c r="L70" s="299">
        <f t="shared" si="39"/>
        <v>0</v>
      </c>
      <c r="M70" s="300">
        <f t="shared" si="40"/>
        <v>0</v>
      </c>
      <c r="N70" s="638">
        <f t="shared" si="20"/>
        <v>0</v>
      </c>
      <c r="O70" s="638">
        <f>J70+E70</f>
        <v>5768000</v>
      </c>
      <c r="P70" s="642">
        <f t="shared" si="6"/>
        <v>5768000</v>
      </c>
    </row>
    <row r="71" spans="1:19" s="295" customFormat="1" ht="27" customHeight="1" x14ac:dyDescent="0.3">
      <c r="A71" s="427" t="s">
        <v>568</v>
      </c>
      <c r="B71" s="291">
        <v>0</v>
      </c>
      <c r="C71" s="296">
        <v>0</v>
      </c>
      <c r="D71" s="622">
        <f t="shared" si="9"/>
        <v>0</v>
      </c>
      <c r="E71" s="623">
        <f>SUM('[2]Agency Summary'!$H$69:$L$69)</f>
        <v>112000</v>
      </c>
      <c r="F71" s="624">
        <f t="shared" si="1"/>
        <v>112000</v>
      </c>
      <c r="G71" s="297">
        <v>0</v>
      </c>
      <c r="H71" s="298">
        <v>0</v>
      </c>
      <c r="I71" s="487">
        <f t="shared" si="10"/>
        <v>0</v>
      </c>
      <c r="J71" s="488">
        <f>SUM('[2]Agency Summary'!$M$69:$Q$69)</f>
        <v>112000</v>
      </c>
      <c r="K71" s="489">
        <f t="shared" si="3"/>
        <v>112000</v>
      </c>
      <c r="L71" s="299">
        <f t="shared" si="39"/>
        <v>0</v>
      </c>
      <c r="M71" s="300">
        <f t="shared" si="40"/>
        <v>0</v>
      </c>
      <c r="N71" s="638">
        <f t="shared" si="20"/>
        <v>0</v>
      </c>
      <c r="O71" s="638">
        <f>J71+E71</f>
        <v>224000</v>
      </c>
      <c r="P71" s="639">
        <f t="shared" si="6"/>
        <v>224000</v>
      </c>
    </row>
    <row r="72" spans="1:19" s="295" customFormat="1" ht="27" customHeight="1" thickBot="1" x14ac:dyDescent="0.35">
      <c r="A72" s="441" t="s">
        <v>569</v>
      </c>
      <c r="B72" s="306">
        <v>0</v>
      </c>
      <c r="C72" s="417">
        <v>0</v>
      </c>
      <c r="D72" s="625">
        <f t="shared" si="9"/>
        <v>0</v>
      </c>
      <c r="E72" s="626">
        <f>SUM('[2]Agency Summary'!$H$70:$L$70)</f>
        <v>291000</v>
      </c>
      <c r="F72" s="627">
        <f t="shared" si="1"/>
        <v>291000</v>
      </c>
      <c r="G72" s="433">
        <v>0</v>
      </c>
      <c r="H72" s="434">
        <v>0</v>
      </c>
      <c r="I72" s="490">
        <f t="shared" si="10"/>
        <v>0</v>
      </c>
      <c r="J72" s="491">
        <f>SUM('[2]Agency Summary'!$M$70:$Q$70)</f>
        <v>263000</v>
      </c>
      <c r="K72" s="492">
        <f t="shared" si="3"/>
        <v>263000</v>
      </c>
      <c r="L72" s="435">
        <f t="shared" si="39"/>
        <v>0</v>
      </c>
      <c r="M72" s="436">
        <f t="shared" si="40"/>
        <v>0</v>
      </c>
      <c r="N72" s="640">
        <f t="shared" si="20"/>
        <v>0</v>
      </c>
      <c r="O72" s="640">
        <f>J72+E72</f>
        <v>554000</v>
      </c>
      <c r="P72" s="641">
        <f t="shared" si="6"/>
        <v>554000</v>
      </c>
    </row>
    <row r="73" spans="1:19" s="303" customFormat="1" ht="27" hidden="1" customHeight="1" x14ac:dyDescent="0.25">
      <c r="A73" s="437"/>
      <c r="B73" s="359"/>
      <c r="C73" s="360"/>
      <c r="D73" s="356">
        <f t="shared" si="9"/>
        <v>0</v>
      </c>
      <c r="E73" s="438"/>
      <c r="F73" s="357">
        <f t="shared" si="1"/>
        <v>0</v>
      </c>
      <c r="G73" s="439"/>
      <c r="H73" s="361"/>
      <c r="I73" s="293">
        <f t="shared" si="10"/>
        <v>0</v>
      </c>
      <c r="J73" s="438"/>
      <c r="K73" s="360">
        <f t="shared" si="3"/>
        <v>0</v>
      </c>
      <c r="L73" s="439"/>
      <c r="M73" s="361"/>
      <c r="N73" s="294">
        <f t="shared" si="20"/>
        <v>0</v>
      </c>
      <c r="O73" s="438"/>
      <c r="P73" s="440">
        <f t="shared" si="6"/>
        <v>0</v>
      </c>
      <c r="S73" s="698"/>
    </row>
    <row r="74" spans="1:19" s="303" customFormat="1" ht="18.75" customHeight="1" thickBot="1" x14ac:dyDescent="0.35">
      <c r="A74" s="363" t="s">
        <v>643</v>
      </c>
      <c r="B74" s="420"/>
      <c r="C74" s="420"/>
      <c r="D74" s="442"/>
      <c r="E74" s="442"/>
      <c r="F74" s="442"/>
      <c r="G74" s="443"/>
      <c r="H74" s="442"/>
      <c r="I74" s="442"/>
      <c r="J74" s="442"/>
      <c r="K74" s="442"/>
      <c r="L74" s="443"/>
      <c r="M74" s="442"/>
      <c r="N74" s="442"/>
      <c r="O74" s="442"/>
      <c r="P74" s="442"/>
      <c r="S74" s="698"/>
    </row>
    <row r="75" spans="1:19" s="295" customFormat="1" ht="27" customHeight="1" x14ac:dyDescent="0.3">
      <c r="A75" s="430" t="s">
        <v>750</v>
      </c>
      <c r="B75" s="409">
        <v>0</v>
      </c>
      <c r="C75" s="423">
        <v>0</v>
      </c>
      <c r="D75" s="619">
        <f t="shared" si="9"/>
        <v>0</v>
      </c>
      <c r="E75" s="620">
        <f>SUM('[2]Agency Summary'!$H$71:$L$71)</f>
        <v>1225000</v>
      </c>
      <c r="F75" s="621">
        <f t="shared" si="1"/>
        <v>1225000</v>
      </c>
      <c r="G75" s="411">
        <v>0</v>
      </c>
      <c r="H75" s="412">
        <v>0</v>
      </c>
      <c r="I75" s="484">
        <f t="shared" si="10"/>
        <v>0</v>
      </c>
      <c r="J75" s="485">
        <f>SUM('[2]Agency Summary'!$M$71:$Q$71)</f>
        <v>1225000</v>
      </c>
      <c r="K75" s="486">
        <f t="shared" si="3"/>
        <v>1225000</v>
      </c>
      <c r="L75" s="413">
        <f t="shared" ref="L75" si="41">G75+B75</f>
        <v>0</v>
      </c>
      <c r="M75" s="414">
        <f t="shared" ref="M75" si="42">H75+C75</f>
        <v>0</v>
      </c>
      <c r="N75" s="636">
        <f t="shared" si="20"/>
        <v>0</v>
      </c>
      <c r="O75" s="636">
        <f>J75+E75</f>
        <v>2450000</v>
      </c>
      <c r="P75" s="637">
        <f t="shared" si="6"/>
        <v>2450000</v>
      </c>
    </row>
    <row r="76" spans="1:19" s="295" customFormat="1" ht="27" customHeight="1" thickBot="1" x14ac:dyDescent="0.35">
      <c r="A76" s="441" t="s">
        <v>749</v>
      </c>
      <c r="B76" s="306">
        <v>0</v>
      </c>
      <c r="C76" s="417">
        <v>0</v>
      </c>
      <c r="D76" s="625">
        <f t="shared" si="9"/>
        <v>0</v>
      </c>
      <c r="E76" s="626">
        <f>SUM('[2]Agency Summary'!$H$72:$L$72)</f>
        <v>2200000</v>
      </c>
      <c r="F76" s="627">
        <f t="shared" si="1"/>
        <v>2200000</v>
      </c>
      <c r="G76" s="433">
        <v>0</v>
      </c>
      <c r="H76" s="434">
        <v>0</v>
      </c>
      <c r="I76" s="490">
        <f t="shared" si="10"/>
        <v>0</v>
      </c>
      <c r="J76" s="491">
        <f>SUM('[2]Agency Summary'!$M$72:$Q$72)</f>
        <v>2200000</v>
      </c>
      <c r="K76" s="492">
        <f t="shared" si="3"/>
        <v>2200000</v>
      </c>
      <c r="L76" s="435">
        <f t="shared" ref="L76" si="43">G76+B76</f>
        <v>0</v>
      </c>
      <c r="M76" s="436">
        <f t="shared" ref="M76" si="44">H76+C76</f>
        <v>0</v>
      </c>
      <c r="N76" s="640">
        <f t="shared" si="20"/>
        <v>0</v>
      </c>
      <c r="O76" s="640">
        <f>J76+E76</f>
        <v>4400000</v>
      </c>
      <c r="P76" s="641">
        <f t="shared" si="6"/>
        <v>4400000</v>
      </c>
    </row>
    <row r="77" spans="1:19" s="303" customFormat="1" ht="18.75" customHeight="1" thickBot="1" x14ac:dyDescent="0.35">
      <c r="A77" s="363" t="s">
        <v>644</v>
      </c>
      <c r="B77" s="420"/>
      <c r="C77" s="420"/>
      <c r="D77" s="420"/>
      <c r="E77" s="420"/>
      <c r="F77" s="420"/>
      <c r="G77" s="421"/>
      <c r="H77" s="420"/>
      <c r="I77" s="420"/>
      <c r="J77" s="420"/>
      <c r="K77" s="420"/>
      <c r="L77" s="421"/>
      <c r="M77" s="420"/>
      <c r="N77" s="420"/>
      <c r="O77" s="420"/>
      <c r="P77" s="420"/>
      <c r="S77" s="698"/>
    </row>
    <row r="78" spans="1:19" s="295" customFormat="1" ht="27" customHeight="1" x14ac:dyDescent="0.3">
      <c r="A78" s="430" t="s">
        <v>570</v>
      </c>
      <c r="B78" s="409">
        <v>6934019</v>
      </c>
      <c r="C78" s="410">
        <v>0</v>
      </c>
      <c r="D78" s="619">
        <f>'[1]In and Out Base '!$L$63</f>
        <v>3571226</v>
      </c>
      <c r="E78" s="620">
        <f>SUM('[2]Agency Summary'!$H$75:$L$75)</f>
        <v>1315186</v>
      </c>
      <c r="F78" s="621">
        <f t="shared" si="1"/>
        <v>4886412</v>
      </c>
      <c r="G78" s="411">
        <v>3370308</v>
      </c>
      <c r="H78" s="412">
        <v>356962</v>
      </c>
      <c r="I78" s="484">
        <f>SUM('[1]In and Out Base '!$M$63:$N$63)</f>
        <v>3571225</v>
      </c>
      <c r="J78" s="485">
        <f>SUM('[2]Agency Summary'!$M$75:$Q$75)</f>
        <v>1315187</v>
      </c>
      <c r="K78" s="486">
        <f t="shared" si="3"/>
        <v>4886412</v>
      </c>
      <c r="L78" s="413">
        <f t="shared" ref="L78" si="45">G78+B78</f>
        <v>10304327</v>
      </c>
      <c r="M78" s="414">
        <f t="shared" ref="M78" si="46">H78+C78</f>
        <v>356962</v>
      </c>
      <c r="N78" s="636">
        <f>SUM(D78,I78)</f>
        <v>7142451</v>
      </c>
      <c r="O78" s="636">
        <f>J78+E78</f>
        <v>2630373</v>
      </c>
      <c r="P78" s="637">
        <f t="shared" ref="P78:P79" si="47">N78+O78</f>
        <v>9772824</v>
      </c>
      <c r="S78" s="295" t="b">
        <f>N78='[3]In and Out Base '!$S$63</f>
        <v>1</v>
      </c>
    </row>
    <row r="79" spans="1:19" s="295" customFormat="1" ht="27" customHeight="1" x14ac:dyDescent="0.3">
      <c r="A79" s="427" t="s">
        <v>571</v>
      </c>
      <c r="B79" s="291">
        <v>2637650</v>
      </c>
      <c r="C79" s="292">
        <v>0</v>
      </c>
      <c r="D79" s="622">
        <f>SUM('[1]In and Out Base '!$K$64:$L$64)</f>
        <v>1320017</v>
      </c>
      <c r="E79" s="623">
        <f>SUM('[2]Agency Summary'!$H$76:$L$76)</f>
        <v>1234032</v>
      </c>
      <c r="F79" s="624">
        <f t="shared" ref="F79:F80" si="48">D79+E79</f>
        <v>2554049</v>
      </c>
      <c r="G79" s="297">
        <v>1507164</v>
      </c>
      <c r="H79" s="298">
        <v>900174</v>
      </c>
      <c r="I79" s="487">
        <f>SUM('[1]In and Out Base '!$M$64:$N$64)</f>
        <v>1320016</v>
      </c>
      <c r="J79" s="488">
        <f>SUM('[2]Agency Summary'!$M$76:$Q$76)</f>
        <v>1234031</v>
      </c>
      <c r="K79" s="489">
        <f t="shared" ref="K79:K80" si="49">I79+J79</f>
        <v>2554047</v>
      </c>
      <c r="L79" s="299">
        <f t="shared" ref="L79:L80" si="50">G79+B79</f>
        <v>4144814</v>
      </c>
      <c r="M79" s="300">
        <f t="shared" ref="M79:M80" si="51">H79+C79</f>
        <v>900174</v>
      </c>
      <c r="N79" s="638">
        <f t="shared" ref="N79" si="52">D79+I79</f>
        <v>2640033</v>
      </c>
      <c r="O79" s="638">
        <f>J79+E79</f>
        <v>2468063</v>
      </c>
      <c r="P79" s="639">
        <f t="shared" si="47"/>
        <v>5108096</v>
      </c>
      <c r="S79" s="295" t="b">
        <f>N79='[3]In and Out Base '!$S$64</f>
        <v>1</v>
      </c>
    </row>
    <row r="80" spans="1:19" s="295" customFormat="1" ht="27" customHeight="1" thickBot="1" x14ac:dyDescent="0.35">
      <c r="A80" s="441" t="s">
        <v>572</v>
      </c>
      <c r="B80" s="306">
        <v>1549925</v>
      </c>
      <c r="C80" s="307">
        <v>0</v>
      </c>
      <c r="D80" s="625">
        <f>SUM('[1]In and Out Base '!$K$65:$L$65)</f>
        <v>774963</v>
      </c>
      <c r="E80" s="626">
        <f>SUM('[2]Agency Summary'!$H$77:$L$77)</f>
        <v>659942</v>
      </c>
      <c r="F80" s="627">
        <f t="shared" si="48"/>
        <v>1434905</v>
      </c>
      <c r="G80" s="433">
        <v>911720</v>
      </c>
      <c r="H80" s="434">
        <v>516222</v>
      </c>
      <c r="I80" s="490">
        <f>SUM('[1]In and Out Base '!$M$65:$N$65)</f>
        <v>774962</v>
      </c>
      <c r="J80" s="491">
        <f>SUM('[2]Agency Summary'!$M$77:$Q$77)</f>
        <v>659941</v>
      </c>
      <c r="K80" s="492">
        <f t="shared" si="49"/>
        <v>1434903</v>
      </c>
      <c r="L80" s="435">
        <f t="shared" si="50"/>
        <v>2461645</v>
      </c>
      <c r="M80" s="436">
        <f t="shared" si="51"/>
        <v>516222</v>
      </c>
      <c r="N80" s="640">
        <f>D80+I80</f>
        <v>1549925</v>
      </c>
      <c r="O80" s="640">
        <f>J80+E80</f>
        <v>1319883</v>
      </c>
      <c r="P80" s="641">
        <f>N80+O80</f>
        <v>2869808</v>
      </c>
      <c r="S80" s="295" t="b">
        <f>N80='[3]In and Out Base '!$S$65</f>
        <v>1</v>
      </c>
    </row>
    <row r="81" spans="1:19" s="271" customFormat="1" ht="39.75" customHeight="1" thickBot="1" x14ac:dyDescent="0.35">
      <c r="A81" s="476" t="s">
        <v>8</v>
      </c>
      <c r="B81" s="355">
        <f>SUM(B5:B80)</f>
        <v>280471605</v>
      </c>
      <c r="C81" s="273">
        <f>SUM(C5:C80)</f>
        <v>6699000</v>
      </c>
      <c r="D81" s="631">
        <f t="shared" ref="D81:M81" si="53">SUM(D5:D80)</f>
        <v>531900404</v>
      </c>
      <c r="E81" s="631">
        <f t="shared" si="53"/>
        <v>49043050</v>
      </c>
      <c r="F81" s="631">
        <f t="shared" si="53"/>
        <v>580943454</v>
      </c>
      <c r="G81" s="354">
        <f t="shared" si="53"/>
        <v>166583945</v>
      </c>
      <c r="H81" s="354">
        <f t="shared" si="53"/>
        <v>2270789</v>
      </c>
      <c r="I81" s="495">
        <f t="shared" si="53"/>
        <v>522662979</v>
      </c>
      <c r="J81" s="495">
        <f t="shared" si="53"/>
        <v>43415049</v>
      </c>
      <c r="K81" s="495">
        <f t="shared" si="53"/>
        <v>566078028</v>
      </c>
      <c r="L81" s="354">
        <f t="shared" si="53"/>
        <v>354253759</v>
      </c>
      <c r="M81" s="354">
        <f t="shared" si="53"/>
        <v>8876789</v>
      </c>
      <c r="N81" s="643">
        <f>SUM(N5:N80)</f>
        <v>1054563383</v>
      </c>
      <c r="O81" s="643">
        <f t="shared" ref="O81:P81" si="54">SUM(O5:O80)</f>
        <v>92458099</v>
      </c>
      <c r="P81" s="643">
        <f t="shared" si="54"/>
        <v>1147021482</v>
      </c>
      <c r="S81" s="699"/>
    </row>
    <row r="83" spans="1:19" x14ac:dyDescent="0.25">
      <c r="E83" s="272" t="b">
        <f>E81='[2]Agency Summary'!$J$80</f>
        <v>1</v>
      </c>
      <c r="J83" s="272" t="b">
        <f>J81='[2]Agency Summary'!$O$80</f>
        <v>1</v>
      </c>
      <c r="O83" s="272" t="b">
        <f>O81='[2]Agency Summary'!$L$81</f>
        <v>1</v>
      </c>
    </row>
    <row r="87" spans="1:19" x14ac:dyDescent="0.25">
      <c r="A87" s="603" t="s">
        <v>727</v>
      </c>
      <c r="D87" s="272">
        <f>SUM(E78:E80,E6)</f>
        <v>8859160</v>
      </c>
      <c r="E87" s="614">
        <f>SUM(J6,J78:J80)</f>
        <v>8859159</v>
      </c>
      <c r="F87" s="272">
        <f>SUM(D87:E87)</f>
        <v>17718319</v>
      </c>
    </row>
    <row r="88" spans="1:19" x14ac:dyDescent="0.25">
      <c r="A88" s="603" t="s">
        <v>725</v>
      </c>
      <c r="D88" s="272">
        <f>8847085+8871234</f>
        <v>17718319</v>
      </c>
      <c r="F88" s="272" t="b">
        <f>SUM(E78:E80,J78:J80,E6,J6)=F87</f>
        <v>1</v>
      </c>
      <c r="I88" s="272" t="s">
        <v>796</v>
      </c>
      <c r="K88" s="272" t="s">
        <v>795</v>
      </c>
      <c r="N88" s="272" t="b">
        <f>N81='B - Reductions '!K38</f>
        <v>1</v>
      </c>
    </row>
    <row r="89" spans="1:19" x14ac:dyDescent="0.25">
      <c r="A89" s="603" t="s">
        <v>726</v>
      </c>
      <c r="D89" s="272">
        <f>D88/2</f>
        <v>8859159.5</v>
      </c>
      <c r="E89" s="444">
        <f>D81-'[3]In and Out Base '!$L$66-'[3]In and Out Base '!$M$66</f>
        <v>0</v>
      </c>
      <c r="K89" s="272" t="s">
        <v>795</v>
      </c>
      <c r="N89" s="272" t="b">
        <f>N81='[1]In and Out Base '!$S$66</f>
        <v>1</v>
      </c>
    </row>
    <row r="90" spans="1:19" x14ac:dyDescent="0.25">
      <c r="E90" s="272" t="s">
        <v>753</v>
      </c>
      <c r="I90" s="272">
        <f>I81-'[3]In and Out Base '!$N$66-'[3]In and Out Base '!$O$66</f>
        <v>0</v>
      </c>
    </row>
    <row r="91" spans="1:19" x14ac:dyDescent="0.25">
      <c r="D91" s="613"/>
      <c r="I91" s="272" t="s">
        <v>754</v>
      </c>
    </row>
    <row r="92" spans="1:19" x14ac:dyDescent="0.25">
      <c r="N92" s="272">
        <f>N81-'B - Reductions '!K38</f>
        <v>0</v>
      </c>
    </row>
    <row r="93" spans="1:19" x14ac:dyDescent="0.25">
      <c r="A93" s="605">
        <v>1054563383</v>
      </c>
      <c r="D93" s="272" t="s">
        <v>721</v>
      </c>
    </row>
    <row r="94" spans="1:19" x14ac:dyDescent="0.25">
      <c r="A94" s="604">
        <f>N81-A93</f>
        <v>0</v>
      </c>
      <c r="E94" s="272">
        <f>A94/2</f>
        <v>0</v>
      </c>
    </row>
    <row r="112" spans="4:4" x14ac:dyDescent="0.25">
      <c r="D112" s="688" t="s">
        <v>789</v>
      </c>
    </row>
    <row r="113" spans="1:4" x14ac:dyDescent="0.25">
      <c r="D113" s="272">
        <v>759141</v>
      </c>
    </row>
    <row r="114" spans="1:4" x14ac:dyDescent="0.25">
      <c r="D114" s="272">
        <v>759141</v>
      </c>
    </row>
    <row r="115" spans="1:4" x14ac:dyDescent="0.25">
      <c r="D115" s="272">
        <v>449225</v>
      </c>
    </row>
    <row r="116" spans="1:4" x14ac:dyDescent="0.25">
      <c r="D116" s="272">
        <v>449227</v>
      </c>
    </row>
    <row r="117" spans="1:4" x14ac:dyDescent="0.25">
      <c r="A117" s="270">
        <v>80557791</v>
      </c>
      <c r="D117" s="272">
        <f>SUM(D113:D116)</f>
        <v>2416734</v>
      </c>
    </row>
    <row r="118" spans="1:4" x14ac:dyDescent="0.25">
      <c r="A118" s="270">
        <f>A117*0.03</f>
        <v>2416733.73</v>
      </c>
    </row>
    <row r="119" spans="1:4" x14ac:dyDescent="0.25">
      <c r="A119" s="270">
        <f>48822904*0.03</f>
        <v>1464687.1199999999</v>
      </c>
    </row>
    <row r="120" spans="1:4" x14ac:dyDescent="0.25">
      <c r="A120" s="270">
        <f>31734887*0.03</f>
        <v>952046.61</v>
      </c>
    </row>
  </sheetData>
  <mergeCells count="5">
    <mergeCell ref="G2:K2"/>
    <mergeCell ref="L2:P2"/>
    <mergeCell ref="A1:P1"/>
    <mergeCell ref="B2:C2"/>
    <mergeCell ref="D2:F2"/>
  </mergeCells>
  <printOptions horizontalCentered="1"/>
  <pageMargins left="0.5" right="0.5" top="1" bottom="0.5" header="0.55000000000000004" footer="0.3"/>
  <pageSetup scale="72" orientation="landscape" r:id="rId1"/>
  <headerFooter scaleWithDoc="0">
    <oddHeader>&amp;C&amp;"Arial,Bold"&amp;14 2014-15 Baseline Request Summary</oddHeader>
    <oddFooter xml:space="preserve">&amp;C&amp;"Arial,Regular"&amp;9Page A&amp;P&amp;R&amp;"Arial,Regular"&amp;9DRAFT - THECB &amp;D    </oddFooter>
  </headerFooter>
  <rowBreaks count="2" manualBreakCount="2">
    <brk id="29" max="15" man="1"/>
    <brk id="55" max="15"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9"/>
  <sheetViews>
    <sheetView view="pageBreakPreview" zoomScaleNormal="100" zoomScaleSheetLayoutView="100" workbookViewId="0">
      <selection activeCell="K62" sqref="K62"/>
    </sheetView>
  </sheetViews>
  <sheetFormatPr defaultColWidth="9.109375" defaultRowHeight="13.2" x14ac:dyDescent="0.25"/>
  <cols>
    <col min="1" max="1" width="9.88671875" style="195" customWidth="1"/>
    <col min="2" max="2" width="36.6640625" style="191" customWidth="1"/>
    <col min="3" max="6" width="13.109375" style="191" hidden="1" customWidth="1"/>
    <col min="7" max="7" width="16.5546875" style="191" hidden="1" customWidth="1"/>
    <col min="8" max="8" width="15.109375" style="191" hidden="1" customWidth="1"/>
    <col min="9" max="9" width="14.6640625" style="191" hidden="1" customWidth="1"/>
    <col min="10" max="10" width="13" style="191" hidden="1" customWidth="1"/>
    <col min="11" max="11" width="14.88671875" style="191" customWidth="1"/>
    <col min="12" max="12" width="13.33203125" style="214" hidden="1" customWidth="1"/>
    <col min="13" max="13" width="13.33203125" style="191" hidden="1" customWidth="1"/>
    <col min="14" max="14" width="11" style="191" customWidth="1"/>
    <col min="15" max="16" width="13.33203125" style="191" hidden="1" customWidth="1"/>
    <col min="17" max="17" width="11.88671875" style="191" hidden="1" customWidth="1"/>
    <col min="18" max="19" width="8.109375" style="191" hidden="1" customWidth="1"/>
    <col min="20" max="20" width="9.88671875" style="191" customWidth="1"/>
    <col min="21" max="21" width="12.109375" style="191" hidden="1" customWidth="1"/>
    <col min="22" max="22" width="12.109375" style="194" hidden="1" customWidth="1"/>
    <col min="23" max="23" width="14.88671875" style="191" hidden="1" customWidth="1"/>
    <col min="24" max="24" width="11.6640625" style="191" hidden="1" customWidth="1"/>
    <col min="25" max="25" width="3.109375" style="191" customWidth="1"/>
    <col min="26" max="26" width="9.88671875" style="198" customWidth="1"/>
    <col min="27" max="27" width="36.44140625" style="198" customWidth="1"/>
    <col min="28" max="28" width="14.88671875" style="191" customWidth="1"/>
    <col min="29" max="29" width="11.33203125" style="191" customWidth="1"/>
    <col min="30" max="30" width="9.88671875" style="191" customWidth="1"/>
    <col min="31" max="33" width="9.109375" style="191"/>
    <col min="34" max="36" width="0" style="191" hidden="1" customWidth="1"/>
    <col min="37" max="37" width="15.109375" style="191" hidden="1" customWidth="1"/>
    <col min="38" max="16384" width="9.109375" style="191"/>
  </cols>
  <sheetData>
    <row r="1" spans="1:37" ht="18" x14ac:dyDescent="0.25">
      <c r="A1" s="730" t="s">
        <v>391</v>
      </c>
      <c r="B1" s="730"/>
      <c r="C1" s="730"/>
      <c r="D1" s="730"/>
      <c r="E1" s="730"/>
      <c r="F1" s="730"/>
      <c r="G1" s="730"/>
      <c r="H1" s="730"/>
      <c r="I1" s="730"/>
      <c r="J1" s="730"/>
      <c r="K1" s="730"/>
      <c r="L1" s="730"/>
      <c r="M1" s="730"/>
      <c r="N1" s="730"/>
      <c r="O1" s="730"/>
      <c r="P1" s="730"/>
      <c r="Q1" s="730"/>
      <c r="R1" s="730"/>
      <c r="S1" s="730"/>
      <c r="T1" s="730"/>
      <c r="U1" s="730"/>
      <c r="V1" s="730"/>
      <c r="W1" s="730"/>
      <c r="X1" s="730"/>
      <c r="Y1" s="730"/>
      <c r="Z1" s="730"/>
      <c r="AA1" s="730"/>
      <c r="AB1" s="730"/>
      <c r="AC1" s="730"/>
      <c r="AD1" s="730"/>
    </row>
    <row r="2" spans="1:37" ht="6" customHeight="1" x14ac:dyDescent="0.2">
      <c r="A2" s="740"/>
      <c r="B2" s="740"/>
      <c r="C2" s="740"/>
      <c r="D2" s="740"/>
      <c r="E2" s="740"/>
      <c r="F2" s="740"/>
      <c r="G2" s="740"/>
      <c r="H2" s="740"/>
      <c r="I2" s="740"/>
      <c r="J2" s="740"/>
      <c r="K2" s="740"/>
      <c r="L2" s="740"/>
      <c r="M2" s="740"/>
      <c r="N2" s="740"/>
      <c r="O2" s="740"/>
      <c r="P2" s="740"/>
      <c r="Q2" s="740"/>
      <c r="R2" s="740"/>
      <c r="S2" s="740"/>
      <c r="T2" s="740"/>
      <c r="U2" s="740"/>
      <c r="V2" s="740"/>
      <c r="W2" s="740"/>
      <c r="X2" s="740"/>
      <c r="Y2" s="367"/>
    </row>
    <row r="3" spans="1:37" ht="18.75" customHeight="1" x14ac:dyDescent="0.2">
      <c r="A3" s="731" t="s">
        <v>672</v>
      </c>
      <c r="B3" s="732"/>
      <c r="C3" s="732"/>
      <c r="D3" s="732"/>
      <c r="E3" s="732"/>
      <c r="F3" s="732"/>
      <c r="G3" s="732"/>
      <c r="H3" s="732"/>
      <c r="I3" s="732"/>
      <c r="J3" s="732"/>
      <c r="K3" s="732"/>
      <c r="L3" s="732"/>
      <c r="M3" s="732"/>
      <c r="N3" s="732"/>
      <c r="O3" s="732"/>
      <c r="P3" s="732"/>
      <c r="Q3" s="732"/>
      <c r="R3" s="732"/>
      <c r="S3" s="732"/>
      <c r="T3" s="732"/>
      <c r="U3" s="732"/>
      <c r="V3" s="732"/>
      <c r="W3" s="732"/>
      <c r="X3" s="733"/>
      <c r="Y3" s="404"/>
      <c r="Z3" s="734" t="s">
        <v>673</v>
      </c>
      <c r="AA3" s="735"/>
      <c r="AB3" s="735"/>
      <c r="AC3" s="735"/>
      <c r="AD3" s="736"/>
    </row>
    <row r="4" spans="1:37" s="192" customFormat="1" ht="37.5" customHeight="1" x14ac:dyDescent="0.3">
      <c r="A4" s="554" t="s">
        <v>447</v>
      </c>
      <c r="B4" s="727" t="s">
        <v>397</v>
      </c>
      <c r="C4" s="741" t="s">
        <v>448</v>
      </c>
      <c r="D4" s="741"/>
      <c r="E4" s="741" t="s">
        <v>449</v>
      </c>
      <c r="F4" s="741"/>
      <c r="G4" s="742" t="s">
        <v>450</v>
      </c>
      <c r="H4" s="742"/>
      <c r="I4" s="743" t="s">
        <v>451</v>
      </c>
      <c r="J4" s="743"/>
      <c r="K4" s="671" t="s">
        <v>451</v>
      </c>
      <c r="L4" s="744" t="s">
        <v>452</v>
      </c>
      <c r="M4" s="744"/>
      <c r="N4" s="745"/>
      <c r="O4" s="746" t="s">
        <v>453</v>
      </c>
      <c r="P4" s="744"/>
      <c r="Q4" s="745"/>
      <c r="R4" s="747" t="s">
        <v>392</v>
      </c>
      <c r="S4" s="747"/>
      <c r="T4" s="748" t="s">
        <v>454</v>
      </c>
      <c r="U4" s="750" t="s">
        <v>455</v>
      </c>
      <c r="V4" s="752" t="s">
        <v>456</v>
      </c>
      <c r="W4" s="218" t="s">
        <v>393</v>
      </c>
      <c r="X4" s="197" t="s">
        <v>394</v>
      </c>
      <c r="Y4" s="372"/>
      <c r="Z4" s="567" t="s">
        <v>447</v>
      </c>
      <c r="AA4" s="727" t="s">
        <v>397</v>
      </c>
      <c r="AB4" s="673" t="s">
        <v>451</v>
      </c>
      <c r="AC4" s="561" t="s">
        <v>453</v>
      </c>
      <c r="AD4" s="725" t="s">
        <v>455</v>
      </c>
    </row>
    <row r="5" spans="1:37" s="195" customFormat="1" ht="37.5" customHeight="1" x14ac:dyDescent="0.25">
      <c r="A5" s="555" t="s">
        <v>395</v>
      </c>
      <c r="B5" s="728"/>
      <c r="C5" s="278" t="s">
        <v>23</v>
      </c>
      <c r="D5" s="278" t="s">
        <v>206</v>
      </c>
      <c r="E5" s="278" t="s">
        <v>23</v>
      </c>
      <c r="F5" s="278" t="s">
        <v>206</v>
      </c>
      <c r="G5" s="333" t="s">
        <v>23</v>
      </c>
      <c r="H5" s="333" t="s">
        <v>206</v>
      </c>
      <c r="I5" s="279" t="s">
        <v>23</v>
      </c>
      <c r="J5" s="279" t="s">
        <v>206</v>
      </c>
      <c r="K5" s="672" t="s">
        <v>671</v>
      </c>
      <c r="L5" s="496" t="s">
        <v>23</v>
      </c>
      <c r="M5" s="497" t="s">
        <v>398</v>
      </c>
      <c r="N5" s="498" t="s">
        <v>671</v>
      </c>
      <c r="O5" s="499" t="s">
        <v>23</v>
      </c>
      <c r="P5" s="497" t="s">
        <v>398</v>
      </c>
      <c r="Q5" s="498" t="s">
        <v>496</v>
      </c>
      <c r="R5" s="500" t="s">
        <v>20</v>
      </c>
      <c r="S5" s="500" t="s">
        <v>21</v>
      </c>
      <c r="T5" s="749"/>
      <c r="U5" s="751"/>
      <c r="V5" s="753"/>
      <c r="W5" s="219"/>
      <c r="X5" s="193"/>
      <c r="Y5" s="368"/>
      <c r="Z5" s="480" t="s">
        <v>396</v>
      </c>
      <c r="AA5" s="728"/>
      <c r="AB5" s="674" t="s">
        <v>671</v>
      </c>
      <c r="AC5" s="562" t="s">
        <v>671</v>
      </c>
      <c r="AD5" s="726"/>
    </row>
    <row r="6" spans="1:37" s="198" customFormat="1" ht="12.75" hidden="1" x14ac:dyDescent="0.2">
      <c r="A6" s="556" t="s">
        <v>474</v>
      </c>
      <c r="B6" s="220" t="s">
        <v>476</v>
      </c>
      <c r="C6" s="334" t="s">
        <v>477</v>
      </c>
      <c r="D6" s="334" t="s">
        <v>478</v>
      </c>
      <c r="E6" s="334" t="s">
        <v>479</v>
      </c>
      <c r="F6" s="334" t="s">
        <v>480</v>
      </c>
      <c r="G6" s="335" t="s">
        <v>481</v>
      </c>
      <c r="H6" s="336" t="s">
        <v>482</v>
      </c>
      <c r="I6" s="339" t="s">
        <v>483</v>
      </c>
      <c r="J6" s="339" t="s">
        <v>484</v>
      </c>
      <c r="K6" s="340" t="s">
        <v>670</v>
      </c>
      <c r="L6" s="501" t="s">
        <v>485</v>
      </c>
      <c r="M6" s="502" t="s">
        <v>486</v>
      </c>
      <c r="N6" s="503" t="s">
        <v>487</v>
      </c>
      <c r="O6" s="504" t="s">
        <v>488</v>
      </c>
      <c r="P6" s="504" t="s">
        <v>489</v>
      </c>
      <c r="Q6" s="505" t="s">
        <v>490</v>
      </c>
      <c r="R6" s="506" t="s">
        <v>491</v>
      </c>
      <c r="S6" s="507" t="s">
        <v>492</v>
      </c>
      <c r="T6" s="508" t="s">
        <v>493</v>
      </c>
      <c r="U6" s="221" t="s">
        <v>494</v>
      </c>
      <c r="V6" s="238" t="s">
        <v>495</v>
      </c>
      <c r="W6" s="200" t="e">
        <f>W4+N7+Q7</f>
        <v>#VALUE!</v>
      </c>
      <c r="X6" s="222" t="e">
        <f>W6/(G$38+H$38)</f>
        <v>#VALUE!</v>
      </c>
      <c r="Y6" s="347"/>
      <c r="Z6" s="568" t="s">
        <v>475</v>
      </c>
      <c r="AA6" s="220" t="s">
        <v>476</v>
      </c>
      <c r="AB6" s="340" t="s">
        <v>670</v>
      </c>
      <c r="AC6" s="481" t="s">
        <v>490</v>
      </c>
      <c r="AD6" s="563" t="s">
        <v>494</v>
      </c>
    </row>
    <row r="7" spans="1:37" s="378" customFormat="1" ht="14.1" customHeight="1" x14ac:dyDescent="0.2">
      <c r="A7" s="557">
        <v>1</v>
      </c>
      <c r="B7" s="644" t="s">
        <v>744</v>
      </c>
      <c r="C7" s="645">
        <v>5230625</v>
      </c>
      <c r="D7" s="645"/>
      <c r="E7" s="645"/>
      <c r="F7" s="645"/>
      <c r="G7" s="646">
        <f t="shared" ref="G7:H14" si="0">SUM(C7,E7)</f>
        <v>5230625</v>
      </c>
      <c r="H7" s="647">
        <f t="shared" si="0"/>
        <v>0</v>
      </c>
      <c r="I7" s="648">
        <f>[4]WAAR!F13</f>
        <v>4230625</v>
      </c>
      <c r="J7" s="649"/>
      <c r="K7" s="650">
        <f>SUM(Table1[[#This Row],[Column10]:[Column11]])</f>
        <v>4230625</v>
      </c>
      <c r="L7" s="509">
        <f>[4]WAAR!H13</f>
        <v>0</v>
      </c>
      <c r="M7" s="510">
        <f>[4]WAAR!I13</f>
        <v>0</v>
      </c>
      <c r="N7" s="511">
        <v>627035</v>
      </c>
      <c r="O7" s="512">
        <f>[4]WAAR!H27</f>
        <v>475000</v>
      </c>
      <c r="P7" s="513">
        <f>[4]WAAR!I27</f>
        <v>0</v>
      </c>
      <c r="Q7" s="511">
        <f t="shared" ref="Q7:Q12" si="1">SUM(O7:P7)</f>
        <v>475000</v>
      </c>
      <c r="R7" s="514">
        <v>0</v>
      </c>
      <c r="S7" s="515">
        <v>0</v>
      </c>
      <c r="T7" s="516">
        <f t="shared" ref="T7:T17" si="2">N7/(SUM(I7:J7))</f>
        <v>0.14821332545427685</v>
      </c>
      <c r="U7" s="373">
        <f t="shared" ref="U7:U20" si="3">Q7/SUM(I7:J7)</f>
        <v>0.11227655488255281</v>
      </c>
      <c r="V7" s="374">
        <f t="shared" ref="V7:V20" si="4">(N7+Q7)/(I7+J7)</f>
        <v>0.26048988033682968</v>
      </c>
      <c r="W7" s="375" t="e">
        <f>W5+#REF!+#REF!</f>
        <v>#REF!</v>
      </c>
      <c r="X7" s="376" t="e">
        <f>W7/(G$38+H$38)</f>
        <v>#REF!</v>
      </c>
      <c r="Y7" s="377"/>
      <c r="Z7" s="569">
        <v>1</v>
      </c>
      <c r="AA7" s="644" t="s">
        <v>744</v>
      </c>
      <c r="AB7" s="650">
        <v>4230625</v>
      </c>
      <c r="AC7" s="482">
        <f>[1]Reductions!$Q$26</f>
        <v>152035</v>
      </c>
      <c r="AD7" s="564">
        <f>Table2[[#This Row],[Column17]]/Table2[[#This Row],[Column112]]</f>
        <v>3.5936770571724036E-2</v>
      </c>
      <c r="AH7" s="586" t="s">
        <v>593</v>
      </c>
      <c r="AI7" s="587"/>
      <c r="AJ7" s="587"/>
      <c r="AK7" s="588">
        <f>T8+Table2[[#This Row],[Column21]]</f>
        <v>0.19540319779051143</v>
      </c>
    </row>
    <row r="8" spans="1:37" s="378" customFormat="1" ht="14.1" customHeight="1" x14ac:dyDescent="0.2">
      <c r="A8" s="557">
        <v>2</v>
      </c>
      <c r="B8" s="651" t="s">
        <v>617</v>
      </c>
      <c r="C8" s="655">
        <f>1415140-101036</f>
        <v>1314104</v>
      </c>
      <c r="D8" s="655"/>
      <c r="E8" s="655">
        <f>1415140-142388</f>
        <v>1272752</v>
      </c>
      <c r="F8" s="655"/>
      <c r="G8" s="653">
        <f t="shared" si="0"/>
        <v>2586856</v>
      </c>
      <c r="H8" s="654">
        <f t="shared" si="0"/>
        <v>0</v>
      </c>
      <c r="I8" s="648">
        <f>SUM('[5]In and Out Base '!$K$3,'[5]In and Out Base '!$M$3)</f>
        <v>4027042</v>
      </c>
      <c r="J8" s="649"/>
      <c r="K8" s="650">
        <f>'A - Baseline Request'!N5</f>
        <v>3727042</v>
      </c>
      <c r="L8" s="512">
        <f>[5]Reductions!$P$4</f>
        <v>642178</v>
      </c>
      <c r="M8" s="517">
        <v>0</v>
      </c>
      <c r="N8" s="511">
        <f>L8+M8</f>
        <v>642178</v>
      </c>
      <c r="O8" s="512">
        <f>[5]Reductions!$Q$4</f>
        <v>569695</v>
      </c>
      <c r="P8" s="511">
        <v>0</v>
      </c>
      <c r="Q8" s="511">
        <f t="shared" si="1"/>
        <v>569695</v>
      </c>
      <c r="R8" s="518">
        <v>0</v>
      </c>
      <c r="S8" s="519">
        <v>0</v>
      </c>
      <c r="T8" s="520">
        <f t="shared" si="2"/>
        <v>0.1594664272187874</v>
      </c>
      <c r="U8" s="379">
        <f t="shared" si="3"/>
        <v>0.14146735991330608</v>
      </c>
      <c r="V8" s="380">
        <f t="shared" si="4"/>
        <v>0.30093378713209346</v>
      </c>
      <c r="W8" s="375" t="e">
        <f>#REF!+N9+Q9</f>
        <v>#REF!</v>
      </c>
      <c r="X8" s="376" t="e">
        <f>W8/(G$38+H$38)</f>
        <v>#REF!</v>
      </c>
      <c r="Y8" s="377"/>
      <c r="Z8" s="569">
        <v>2</v>
      </c>
      <c r="AA8" s="651" t="s">
        <v>617</v>
      </c>
      <c r="AB8" s="650">
        <f>'A - Baseline Request'!N5</f>
        <v>3727042</v>
      </c>
      <c r="AC8" s="482">
        <v>569695</v>
      </c>
      <c r="AD8" s="564">
        <f>Table2[[#This Row],[Column17]]/Table2[[#This Row],[Column112]]</f>
        <v>0.15285446206401751</v>
      </c>
      <c r="AH8" s="589" t="s">
        <v>680</v>
      </c>
      <c r="AI8" s="382"/>
      <c r="AJ8" s="382"/>
      <c r="AK8" s="590">
        <f>T9+Table2[[#This Row],[Column21]]</f>
        <v>0.19936134676900405</v>
      </c>
    </row>
    <row r="9" spans="1:37" s="378" customFormat="1" ht="14.1" customHeight="1" x14ac:dyDescent="0.2">
      <c r="A9" s="557">
        <v>3</v>
      </c>
      <c r="B9" s="651" t="s">
        <v>718</v>
      </c>
      <c r="C9" s="652">
        <f>1244915-95000+120000</f>
        <v>1269915</v>
      </c>
      <c r="D9" s="652"/>
      <c r="E9" s="652">
        <f>1244916-97001+120000</f>
        <v>1267915</v>
      </c>
      <c r="F9" s="652"/>
      <c r="G9" s="653">
        <f t="shared" si="0"/>
        <v>2537830</v>
      </c>
      <c r="H9" s="654">
        <f t="shared" si="0"/>
        <v>0</v>
      </c>
      <c r="I9" s="648">
        <v>3309510</v>
      </c>
      <c r="J9" s="649"/>
      <c r="K9" s="650">
        <f>'A - Baseline Request'!N8</f>
        <v>3384510</v>
      </c>
      <c r="L9" s="512">
        <f>[5]Reductions!$P$6</f>
        <v>153915</v>
      </c>
      <c r="M9" s="517">
        <f>[4]WAAR!I8</f>
        <v>0</v>
      </c>
      <c r="N9" s="511">
        <f>L9+M9</f>
        <v>153915</v>
      </c>
      <c r="O9" s="512">
        <f>[5]Reductions!$Q$6</f>
        <v>174442</v>
      </c>
      <c r="P9" s="511">
        <f>[4]WAAR!I22</f>
        <v>0</v>
      </c>
      <c r="Q9" s="511">
        <f t="shared" si="1"/>
        <v>174442</v>
      </c>
      <c r="R9" s="518">
        <v>0</v>
      </c>
      <c r="S9" s="519">
        <v>0</v>
      </c>
      <c r="T9" s="520">
        <f t="shared" si="2"/>
        <v>4.650688470498654E-2</v>
      </c>
      <c r="U9" s="379">
        <f t="shared" si="3"/>
        <v>5.2709313463322367E-2</v>
      </c>
      <c r="V9" s="380">
        <f t="shared" si="4"/>
        <v>9.92161981683089E-2</v>
      </c>
      <c r="W9" s="375" t="e">
        <f>W8+#REF!+#REF!</f>
        <v>#REF!</v>
      </c>
      <c r="X9" s="376" t="e">
        <f>W9/(G$38+H$38)</f>
        <v>#REF!</v>
      </c>
      <c r="Y9" s="377"/>
      <c r="Z9" s="569">
        <v>3</v>
      </c>
      <c r="AA9" s="651" t="s">
        <v>718</v>
      </c>
      <c r="AB9" s="650">
        <f>'A - Baseline Request'!N8</f>
        <v>3384510</v>
      </c>
      <c r="AC9" s="482">
        <v>174442</v>
      </c>
      <c r="AD9" s="564">
        <f>Table2[[#This Row],[Column17]]/Table2[[#This Row],[Column112]]</f>
        <v>5.1541286626424501E-2</v>
      </c>
      <c r="AH9" s="589" t="s">
        <v>617</v>
      </c>
      <c r="AI9" s="382"/>
      <c r="AJ9" s="382"/>
      <c r="AK9" s="590">
        <f>T10+Table2[[#This Row],[Column21]]</f>
        <v>0.10010581321628612</v>
      </c>
    </row>
    <row r="10" spans="1:37" s="378" customFormat="1" ht="14.1" customHeight="1" x14ac:dyDescent="0.2">
      <c r="A10" s="557">
        <v>4</v>
      </c>
      <c r="B10" s="651" t="s">
        <v>620</v>
      </c>
      <c r="C10" s="652">
        <f>1755091-107751</f>
        <v>1647340</v>
      </c>
      <c r="D10" s="652"/>
      <c r="E10" s="652">
        <f>1755091-157751</f>
        <v>1597340</v>
      </c>
      <c r="F10" s="652"/>
      <c r="G10" s="653">
        <f t="shared" si="0"/>
        <v>3244680</v>
      </c>
      <c r="H10" s="654">
        <f t="shared" si="0"/>
        <v>0</v>
      </c>
      <c r="I10" s="648">
        <v>3829956</v>
      </c>
      <c r="J10" s="649"/>
      <c r="K10" s="650">
        <f>'A - Baseline Request'!N10</f>
        <v>3979956</v>
      </c>
      <c r="L10" s="512">
        <f>[5]Reductions!$P$7</f>
        <v>186000</v>
      </c>
      <c r="M10" s="517">
        <f>[4]PIE!I8</f>
        <v>0</v>
      </c>
      <c r="N10" s="511">
        <f>L10+M10</f>
        <v>186000</v>
      </c>
      <c r="O10" s="512">
        <f>[5]Reductions!$Q$7</f>
        <v>149956</v>
      </c>
      <c r="P10" s="511">
        <f>[4]PIE!I18</f>
        <v>0</v>
      </c>
      <c r="Q10" s="511">
        <f t="shared" si="1"/>
        <v>149956</v>
      </c>
      <c r="R10" s="518">
        <v>0</v>
      </c>
      <c r="S10" s="519">
        <v>0</v>
      </c>
      <c r="T10" s="520">
        <f t="shared" si="2"/>
        <v>4.8564526589861608E-2</v>
      </c>
      <c r="U10" s="379">
        <f t="shared" si="3"/>
        <v>3.9153452415641325E-2</v>
      </c>
      <c r="V10" s="380">
        <f t="shared" si="4"/>
        <v>8.7717979005502933E-2</v>
      </c>
      <c r="W10" s="375" t="e">
        <f>#REF!+#REF!+#REF!</f>
        <v>#REF!</v>
      </c>
      <c r="X10" s="376" t="e">
        <f>W10/(G$38+H$38)</f>
        <v>#REF!</v>
      </c>
      <c r="Y10" s="377"/>
      <c r="Z10" s="569">
        <v>4</v>
      </c>
      <c r="AA10" s="651" t="s">
        <v>620</v>
      </c>
      <c r="AB10" s="650">
        <f>'A - Baseline Request'!N10</f>
        <v>3979956</v>
      </c>
      <c r="AC10" s="482">
        <v>149956</v>
      </c>
      <c r="AD10" s="564">
        <f>Table2[[#This Row],[Column17]]/Table2[[#This Row],[Column112]]</f>
        <v>3.7677803473204229E-2</v>
      </c>
      <c r="AH10" s="589" t="s">
        <v>619</v>
      </c>
      <c r="AI10" s="382"/>
      <c r="AJ10" s="382"/>
      <c r="AK10" s="590">
        <f>T11+Table2[[#This Row],[Column21]]</f>
        <v>8.7677642175076898E-2</v>
      </c>
    </row>
    <row r="11" spans="1:37" s="382" customFormat="1" ht="14.1" customHeight="1" x14ac:dyDescent="0.2">
      <c r="A11" s="558">
        <v>5</v>
      </c>
      <c r="B11" s="658" t="s">
        <v>741</v>
      </c>
      <c r="C11" s="657">
        <v>774963</v>
      </c>
      <c r="D11" s="657"/>
      <c r="E11" s="657">
        <v>774962</v>
      </c>
      <c r="F11" s="657"/>
      <c r="G11" s="649">
        <f t="shared" si="0"/>
        <v>1549925</v>
      </c>
      <c r="H11" s="649">
        <f t="shared" si="0"/>
        <v>0</v>
      </c>
      <c r="I11" s="648">
        <f>[4]BSS!F21</f>
        <v>1549925</v>
      </c>
      <c r="J11" s="649"/>
      <c r="K11" s="650">
        <f>SUM(Table1[[#This Row],[Column10]:[Column11]])</f>
        <v>1549925</v>
      </c>
      <c r="L11" s="512">
        <f>[4]BSS!H21</f>
        <v>77496</v>
      </c>
      <c r="M11" s="511">
        <f>[4]BSS!I21</f>
        <v>0</v>
      </c>
      <c r="N11" s="511">
        <f>L11+M11</f>
        <v>77496</v>
      </c>
      <c r="O11" s="511">
        <f>[4]BSS!H40</f>
        <v>77496</v>
      </c>
      <c r="P11" s="511">
        <f>[4]BSS!I40</f>
        <v>0</v>
      </c>
      <c r="Q11" s="511">
        <f t="shared" si="1"/>
        <v>77496</v>
      </c>
      <c r="R11" s="519">
        <v>0</v>
      </c>
      <c r="S11" s="519">
        <v>0</v>
      </c>
      <c r="T11" s="520">
        <f t="shared" si="2"/>
        <v>4.9999838701872669E-2</v>
      </c>
      <c r="U11" s="379">
        <f t="shared" si="3"/>
        <v>4.9999838701872669E-2</v>
      </c>
      <c r="V11" s="380">
        <f t="shared" si="4"/>
        <v>9.9999677403745338E-2</v>
      </c>
      <c r="W11" s="381" t="e">
        <f>#REF!+N13+Q13</f>
        <v>#REF!</v>
      </c>
      <c r="X11" s="377"/>
      <c r="Y11" s="377"/>
      <c r="Z11" s="570">
        <v>5</v>
      </c>
      <c r="AA11" s="658" t="s">
        <v>741</v>
      </c>
      <c r="AB11" s="650">
        <v>1549925</v>
      </c>
      <c r="AC11" s="482">
        <v>77496</v>
      </c>
      <c r="AD11" s="564">
        <f>Table2[[#This Row],[Column17]]/Table2[[#This Row],[Column112]]</f>
        <v>4.9999838701872669E-2</v>
      </c>
      <c r="AG11" s="378"/>
      <c r="AH11" s="589" t="s">
        <v>620</v>
      </c>
      <c r="AK11" s="590">
        <f>T12+Table2[[#This Row],[Column21]]</f>
        <v>7.1543815448227188E-2</v>
      </c>
    </row>
    <row r="12" spans="1:37" s="382" customFormat="1" ht="14.1" customHeight="1" x14ac:dyDescent="0.2">
      <c r="A12" s="558">
        <v>6</v>
      </c>
      <c r="B12" s="658" t="s">
        <v>742</v>
      </c>
      <c r="C12" s="657">
        <f>2911961+615252</f>
        <v>3527213</v>
      </c>
      <c r="D12" s="657"/>
      <c r="E12" s="657">
        <f>2911961+494845</f>
        <v>3406806</v>
      </c>
      <c r="F12" s="657"/>
      <c r="G12" s="649">
        <f t="shared" si="0"/>
        <v>6934019</v>
      </c>
      <c r="H12" s="649">
        <f t="shared" si="0"/>
        <v>0</v>
      </c>
      <c r="I12" s="648">
        <f>[4]BSS!F20+133432</f>
        <v>7067451</v>
      </c>
      <c r="J12" s="649"/>
      <c r="K12" s="650">
        <f>'A - Baseline Request'!N78</f>
        <v>7142451</v>
      </c>
      <c r="L12" s="512">
        <f>[4]BSS!H20</f>
        <v>346701</v>
      </c>
      <c r="M12" s="511">
        <f>[4]BSS!I20</f>
        <v>0</v>
      </c>
      <c r="N12" s="511">
        <f>[1]Reductions!$P$34</f>
        <v>152261</v>
      </c>
      <c r="O12" s="511">
        <f>[4]BSS!H39</f>
        <v>346701</v>
      </c>
      <c r="P12" s="511">
        <f>[4]BSS!I39</f>
        <v>0</v>
      </c>
      <c r="Q12" s="511">
        <f t="shared" si="1"/>
        <v>346701</v>
      </c>
      <c r="R12" s="519">
        <v>0</v>
      </c>
      <c r="S12" s="519">
        <v>0</v>
      </c>
      <c r="T12" s="520">
        <f t="shared" si="2"/>
        <v>2.1543976746354519E-2</v>
      </c>
      <c r="U12" s="379">
        <f t="shared" si="3"/>
        <v>4.9056017509000065E-2</v>
      </c>
      <c r="V12" s="380">
        <f t="shared" si="4"/>
        <v>7.0599994255354584E-2</v>
      </c>
      <c r="W12" s="381" t="e">
        <f>W14+N15+Q15</f>
        <v>#REF!</v>
      </c>
      <c r="X12" s="377"/>
      <c r="Y12" s="377"/>
      <c r="Z12" s="570">
        <v>6</v>
      </c>
      <c r="AA12" s="656" t="s">
        <v>583</v>
      </c>
      <c r="AB12" s="650">
        <v>375626</v>
      </c>
      <c r="AC12" s="482">
        <v>375626</v>
      </c>
      <c r="AD12" s="564">
        <f>Table2[[#This Row],[Column17]]/Table2[[#This Row],[Column112]]</f>
        <v>1</v>
      </c>
      <c r="AG12" s="378"/>
      <c r="AH12" s="591" t="s">
        <v>598</v>
      </c>
      <c r="AK12" s="590">
        <f>T14+Table2[[#This Row],[Column21]]</f>
        <v>1.2370972902525061</v>
      </c>
    </row>
    <row r="13" spans="1:37" s="382" customFormat="1" ht="14.1" customHeight="1" x14ac:dyDescent="0.2">
      <c r="A13" s="558">
        <v>7</v>
      </c>
      <c r="B13" s="656" t="s">
        <v>472</v>
      </c>
      <c r="C13" s="659">
        <v>17812500</v>
      </c>
      <c r="D13" s="659"/>
      <c r="E13" s="659">
        <v>17812500</v>
      </c>
      <c r="F13" s="659"/>
      <c r="G13" s="649">
        <f t="shared" si="0"/>
        <v>35625000</v>
      </c>
      <c r="H13" s="649">
        <f t="shared" si="0"/>
        <v>0</v>
      </c>
      <c r="I13" s="648">
        <f>[4]PIE!F9</f>
        <v>35625000</v>
      </c>
      <c r="J13" s="649"/>
      <c r="K13" s="650">
        <f>SUM(Table1[[#This Row],[Column10]:[Column11]])</f>
        <v>35625000</v>
      </c>
      <c r="L13" s="512">
        <f>ROUND([4]PIE!H9,0)</f>
        <v>1781250</v>
      </c>
      <c r="M13" s="511">
        <f>[4]PIE!I9</f>
        <v>0</v>
      </c>
      <c r="N13" s="511">
        <f>ROUND(L13+M13,0)</f>
        <v>1781250</v>
      </c>
      <c r="O13" s="511">
        <f>[4]PIE!H19</f>
        <v>1781250</v>
      </c>
      <c r="P13" s="511">
        <f>[4]PIE!I19</f>
        <v>0</v>
      </c>
      <c r="Q13" s="511">
        <f>ROUND(SUM(O13:P13),0)</f>
        <v>1781250</v>
      </c>
      <c r="R13" s="519">
        <v>0</v>
      </c>
      <c r="S13" s="519">
        <v>0</v>
      </c>
      <c r="T13" s="520">
        <f t="shared" si="2"/>
        <v>0.05</v>
      </c>
      <c r="U13" s="379">
        <f t="shared" si="3"/>
        <v>0.05</v>
      </c>
      <c r="V13" s="380">
        <f t="shared" si="4"/>
        <v>0.1</v>
      </c>
      <c r="W13" s="381" t="e">
        <f>W11+N14+Q14</f>
        <v>#REF!</v>
      </c>
      <c r="X13" s="377"/>
      <c r="Y13" s="377"/>
      <c r="Z13" s="570">
        <v>7</v>
      </c>
      <c r="AA13" s="656" t="s">
        <v>618</v>
      </c>
      <c r="AB13" s="650">
        <v>1850602</v>
      </c>
      <c r="AC13" s="482">
        <v>92530</v>
      </c>
      <c r="AD13" s="564">
        <f>Table2[[#This Row],[Column17]]/Table2[[#This Row],[Column112]]</f>
        <v>4.9999945963529704E-2</v>
      </c>
      <c r="AG13" s="378"/>
      <c r="AH13" s="589" t="s">
        <v>583</v>
      </c>
      <c r="AK13" s="590">
        <f>T23+Table2[[#This Row],[Column21]]</f>
        <v>4.9999945963529704E-2</v>
      </c>
    </row>
    <row r="14" spans="1:37" s="382" customFormat="1" ht="14.1" customHeight="1" x14ac:dyDescent="0.2">
      <c r="A14" s="558">
        <v>8</v>
      </c>
      <c r="B14" s="656" t="s">
        <v>589</v>
      </c>
      <c r="C14" s="659">
        <v>7006794</v>
      </c>
      <c r="D14" s="659"/>
      <c r="E14" s="659"/>
      <c r="F14" s="659"/>
      <c r="G14" s="649">
        <f t="shared" si="0"/>
        <v>7006794</v>
      </c>
      <c r="H14" s="649">
        <f t="shared" si="0"/>
        <v>0</v>
      </c>
      <c r="I14" s="648">
        <f>[4]WAAR!F12</f>
        <v>4006794</v>
      </c>
      <c r="J14" s="649"/>
      <c r="K14" s="650">
        <f>SUM(Table1[[#This Row],[Column10]:[Column11]])</f>
        <v>4006794</v>
      </c>
      <c r="L14" s="512">
        <f>[4]WAAR!H12</f>
        <v>950000</v>
      </c>
      <c r="M14" s="511">
        <f>[4]WAAR!I12</f>
        <v>0</v>
      </c>
      <c r="N14" s="511">
        <f>L14+M14</f>
        <v>950000</v>
      </c>
      <c r="O14" s="511">
        <f>[4]WAAR!H26</f>
        <v>475000</v>
      </c>
      <c r="P14" s="511">
        <f>[4]WAAR!I26</f>
        <v>0</v>
      </c>
      <c r="Q14" s="511">
        <f t="shared" ref="Q14:Q37" si="5">SUM(O14:P14)</f>
        <v>475000</v>
      </c>
      <c r="R14" s="519">
        <v>0</v>
      </c>
      <c r="S14" s="519">
        <v>0</v>
      </c>
      <c r="T14" s="520">
        <f t="shared" si="2"/>
        <v>0.23709729025250612</v>
      </c>
      <c r="U14" s="379">
        <f t="shared" si="3"/>
        <v>0.11854864512625306</v>
      </c>
      <c r="V14" s="380">
        <f t="shared" si="4"/>
        <v>0.35564593537875916</v>
      </c>
      <c r="W14" s="381" t="e">
        <f>W13+N12+Q12</f>
        <v>#REF!</v>
      </c>
      <c r="X14" s="377"/>
      <c r="Y14" s="377"/>
      <c r="Z14" s="570">
        <v>8</v>
      </c>
      <c r="AA14" s="658" t="s">
        <v>742</v>
      </c>
      <c r="AB14" s="650">
        <f>'A - Baseline Request'!N78</f>
        <v>7142451</v>
      </c>
      <c r="AC14" s="482">
        <v>474425</v>
      </c>
      <c r="AD14" s="564">
        <f>Table2[[#This Row],[Column17]]/Table2[[#This Row],[Column112]]</f>
        <v>6.6423276827520417E-2</v>
      </c>
      <c r="AG14" s="378"/>
      <c r="AH14" s="589" t="s">
        <v>618</v>
      </c>
      <c r="AK14" s="590">
        <f>T18+Table2[[#This Row],[Column21]]</f>
        <v>0.64363225218286502</v>
      </c>
    </row>
    <row r="15" spans="1:37" s="382" customFormat="1" ht="14.1" customHeight="1" x14ac:dyDescent="0.2">
      <c r="A15" s="558">
        <v>9</v>
      </c>
      <c r="B15" s="656" t="s">
        <v>743</v>
      </c>
      <c r="C15" s="689">
        <f>1281089-72067</f>
        <v>1209022</v>
      </c>
      <c r="D15" s="659"/>
      <c r="E15" s="689">
        <f>1281089-86655+234194</f>
        <v>1428628</v>
      </c>
      <c r="F15" s="659"/>
      <c r="G15" s="649">
        <f>SUM(C15,E15)-1299000</f>
        <v>1338650</v>
      </c>
      <c r="H15" s="649">
        <f t="shared" ref="H15:H37" si="6">SUM(D15,F15)</f>
        <v>0</v>
      </c>
      <c r="I15" s="648">
        <f>[4]ISS!F8</f>
        <v>2637650</v>
      </c>
      <c r="J15" s="649"/>
      <c r="K15" s="650">
        <f>'A - Baseline Request'!N79</f>
        <v>2640033</v>
      </c>
      <c r="L15" s="512">
        <f>[4]ISS!H8</f>
        <v>0</v>
      </c>
      <c r="M15" s="511">
        <f>[4]ISS!I8</f>
        <v>0</v>
      </c>
      <c r="N15" s="511">
        <v>66933</v>
      </c>
      <c r="O15" s="511">
        <f>[4]ISS!H13</f>
        <v>66933</v>
      </c>
      <c r="P15" s="511">
        <f>[4]ISS!I13</f>
        <v>0</v>
      </c>
      <c r="Q15" s="511">
        <f t="shared" si="5"/>
        <v>66933</v>
      </c>
      <c r="R15" s="519">
        <v>0</v>
      </c>
      <c r="S15" s="519">
        <v>0</v>
      </c>
      <c r="T15" s="520">
        <f t="shared" si="2"/>
        <v>2.5375997573597708E-2</v>
      </c>
      <c r="U15" s="379">
        <f t="shared" si="3"/>
        <v>2.5375997573597708E-2</v>
      </c>
      <c r="V15" s="380">
        <f t="shared" si="4"/>
        <v>5.0751995147195417E-2</v>
      </c>
      <c r="W15" s="381" t="e">
        <f>W12+#REF!+#REF!</f>
        <v>#REF!</v>
      </c>
      <c r="X15" s="377" t="e">
        <f t="shared" ref="X15:X35" si="7">W15/(G$38+H$38)</f>
        <v>#REF!</v>
      </c>
      <c r="Y15" s="377"/>
      <c r="Z15" s="570">
        <v>9</v>
      </c>
      <c r="AA15" s="656" t="s">
        <v>743</v>
      </c>
      <c r="AB15" s="650">
        <f>'A - Baseline Request'!N79</f>
        <v>2640033</v>
      </c>
      <c r="AC15" s="482">
        <v>66933</v>
      </c>
      <c r="AD15" s="564">
        <f>Table2[[#This Row],[Column17]]/Table2[[#This Row],[Column112]]</f>
        <v>2.5353092177256877E-2</v>
      </c>
      <c r="AG15" s="378"/>
      <c r="AH15" s="591" t="s">
        <v>597</v>
      </c>
      <c r="AK15" s="590">
        <f>Table1[[#This Row],[Column20]]+Table2[[#This Row],[Column21]]</f>
        <v>5.0729089750854585E-2</v>
      </c>
    </row>
    <row r="16" spans="1:37" s="378" customFormat="1" ht="14.1" customHeight="1" x14ac:dyDescent="0.2">
      <c r="A16" s="559">
        <v>10</v>
      </c>
      <c r="B16" s="644" t="s">
        <v>618</v>
      </c>
      <c r="C16" s="645">
        <f>1300774-172433</f>
        <v>1128341</v>
      </c>
      <c r="D16" s="645"/>
      <c r="E16" s="645">
        <f>1300774-172433</f>
        <v>1128341</v>
      </c>
      <c r="F16" s="645"/>
      <c r="G16" s="646">
        <f t="shared" ref="G16:G37" si="8">SUM(C16,E16)</f>
        <v>2256682</v>
      </c>
      <c r="H16" s="647">
        <f t="shared" si="6"/>
        <v>0</v>
      </c>
      <c r="I16" s="660">
        <v>1850602</v>
      </c>
      <c r="J16" s="650"/>
      <c r="K16" s="650">
        <f>SUM(Table1[[#This Row],[Column10]:[Column11]])</f>
        <v>1850602</v>
      </c>
      <c r="L16" s="509">
        <f>[5]Reductions!$P$5</f>
        <v>92530</v>
      </c>
      <c r="M16" s="521">
        <f>[4]P16!I9</f>
        <v>0</v>
      </c>
      <c r="N16" s="522">
        <f>L16+M16</f>
        <v>92530</v>
      </c>
      <c r="O16" s="509">
        <f>[5]Reductions!$Q$5</f>
        <v>92530</v>
      </c>
      <c r="P16" s="522">
        <f>[4]P16!I20</f>
        <v>0</v>
      </c>
      <c r="Q16" s="522">
        <f t="shared" si="5"/>
        <v>92530</v>
      </c>
      <c r="R16" s="514">
        <v>0</v>
      </c>
      <c r="S16" s="515">
        <v>0</v>
      </c>
      <c r="T16" s="516">
        <f t="shared" si="2"/>
        <v>4.9999945963529704E-2</v>
      </c>
      <c r="U16" s="373">
        <f t="shared" si="3"/>
        <v>4.9999945963529704E-2</v>
      </c>
      <c r="V16" s="374">
        <f t="shared" si="4"/>
        <v>9.9999891927059409E-2</v>
      </c>
      <c r="W16" s="383" t="e">
        <f>#REF!+#REF!+#REF!</f>
        <v>#REF!</v>
      </c>
      <c r="X16" s="384" t="e">
        <f t="shared" si="7"/>
        <v>#REF!</v>
      </c>
      <c r="Y16" s="377"/>
      <c r="Z16" s="571">
        <v>10</v>
      </c>
      <c r="AA16" s="644" t="s">
        <v>591</v>
      </c>
      <c r="AB16" s="650">
        <v>30000000</v>
      </c>
      <c r="AC16" s="482">
        <v>1500000</v>
      </c>
      <c r="AD16" s="564">
        <f>Table2[[#This Row],[Column17]]/Table2[[#This Row],[Column112]]</f>
        <v>0.05</v>
      </c>
      <c r="AH16" s="589" t="s">
        <v>675</v>
      </c>
      <c r="AI16" s="382"/>
      <c r="AJ16" s="382"/>
      <c r="AK16" s="590">
        <f>T37+Table2[[#This Row],[Column21]]</f>
        <v>0.05</v>
      </c>
    </row>
    <row r="17" spans="1:37" s="378" customFormat="1" ht="14.1" customHeight="1" x14ac:dyDescent="0.2">
      <c r="A17" s="557">
        <v>11</v>
      </c>
      <c r="B17" s="651" t="s">
        <v>591</v>
      </c>
      <c r="C17" s="652">
        <v>15000000</v>
      </c>
      <c r="D17" s="652"/>
      <c r="E17" s="652">
        <v>15000000</v>
      </c>
      <c r="F17" s="652"/>
      <c r="G17" s="653">
        <f t="shared" si="8"/>
        <v>30000000</v>
      </c>
      <c r="H17" s="654">
        <f t="shared" si="6"/>
        <v>0</v>
      </c>
      <c r="I17" s="648">
        <f>[4]PIE!F12</f>
        <v>30000000</v>
      </c>
      <c r="J17" s="649"/>
      <c r="K17" s="650">
        <f>SUM(Table1[[#This Row],[Column10]:[Column11]])</f>
        <v>30000000</v>
      </c>
      <c r="L17" s="512">
        <f>[4]PIE!H12</f>
        <v>1500000</v>
      </c>
      <c r="M17" s="517">
        <f>[4]PIE!I12</f>
        <v>0</v>
      </c>
      <c r="N17" s="511">
        <f>L17+M17</f>
        <v>1500000</v>
      </c>
      <c r="O17" s="512">
        <f>[4]PIE!H22</f>
        <v>1500000</v>
      </c>
      <c r="P17" s="511">
        <f>[4]PIE!I22</f>
        <v>0</v>
      </c>
      <c r="Q17" s="511">
        <f t="shared" si="5"/>
        <v>1500000</v>
      </c>
      <c r="R17" s="518">
        <v>0</v>
      </c>
      <c r="S17" s="519">
        <v>0</v>
      </c>
      <c r="T17" s="520">
        <f t="shared" si="2"/>
        <v>0.05</v>
      </c>
      <c r="U17" s="379">
        <f t="shared" si="3"/>
        <v>0.05</v>
      </c>
      <c r="V17" s="380">
        <f t="shared" si="4"/>
        <v>0.1</v>
      </c>
      <c r="W17" s="375" t="e">
        <f>#REF!+N18+Q18</f>
        <v>#REF!</v>
      </c>
      <c r="X17" s="376" t="e">
        <f t="shared" si="7"/>
        <v>#REF!</v>
      </c>
      <c r="Y17" s="377"/>
      <c r="Z17" s="569">
        <v>11</v>
      </c>
      <c r="AA17" s="651" t="s">
        <v>589</v>
      </c>
      <c r="AB17" s="650">
        <v>4006794</v>
      </c>
      <c r="AC17" s="482">
        <v>475000</v>
      </c>
      <c r="AD17" s="564">
        <f>Table2[[#This Row],[Column17]]/Table2[[#This Row],[Column112]]</f>
        <v>0.11854864512625306</v>
      </c>
      <c r="AH17" s="589" t="s">
        <v>595</v>
      </c>
      <c r="AI17" s="382"/>
      <c r="AJ17" s="382"/>
      <c r="AK17" s="590">
        <f>T13+Table2[[#This Row],[Column21]]</f>
        <v>0.16854864512625306</v>
      </c>
    </row>
    <row r="18" spans="1:37" s="378" customFormat="1" ht="14.1" customHeight="1" x14ac:dyDescent="0.2">
      <c r="A18" s="557">
        <v>12</v>
      </c>
      <c r="B18" s="661" t="s">
        <v>579</v>
      </c>
      <c r="C18" s="652">
        <v>17304000</v>
      </c>
      <c r="D18" s="652">
        <v>80557791</v>
      </c>
      <c r="E18" s="652">
        <v>14104000</v>
      </c>
      <c r="F18" s="652"/>
      <c r="G18" s="653">
        <f t="shared" si="8"/>
        <v>31408000</v>
      </c>
      <c r="H18" s="654">
        <f t="shared" si="6"/>
        <v>80557791</v>
      </c>
      <c r="I18" s="648">
        <f>[4]BSS!F15</f>
        <v>14000000</v>
      </c>
      <c r="J18" s="649">
        <f>[4]BSS!G15</f>
        <v>33000000</v>
      </c>
      <c r="K18" s="650">
        <f>'A - Baseline Request'!N14</f>
        <v>80557791</v>
      </c>
      <c r="L18" s="523">
        <f>[4]BSS!H15</f>
        <v>0</v>
      </c>
      <c r="M18" s="524">
        <f>[4]BSS!I15</f>
        <v>0</v>
      </c>
      <c r="N18" s="511">
        <f>[3]Reductions!$P$10</f>
        <v>46498680</v>
      </c>
      <c r="O18" s="512">
        <f>[4]BSS!H34</f>
        <v>0</v>
      </c>
      <c r="P18" s="511">
        <f>[4]BSS!I34</f>
        <v>0</v>
      </c>
      <c r="Q18" s="511">
        <f t="shared" si="5"/>
        <v>0</v>
      </c>
      <c r="R18" s="518"/>
      <c r="S18" s="519"/>
      <c r="T18" s="520">
        <f>N18/(SUM(Table1[[#This Row],[Column112]]))</f>
        <v>0.57720897535534454</v>
      </c>
      <c r="U18" s="379">
        <f t="shared" si="3"/>
        <v>0</v>
      </c>
      <c r="V18" s="380">
        <f t="shared" si="4"/>
        <v>0.98933361702127665</v>
      </c>
      <c r="W18" s="375" t="e">
        <f>W17+#REF!+#REF!</f>
        <v>#REF!</v>
      </c>
      <c r="X18" s="376" t="e">
        <f t="shared" si="7"/>
        <v>#REF!</v>
      </c>
      <c r="Y18" s="377"/>
      <c r="Z18" s="569">
        <v>12</v>
      </c>
      <c r="AA18" s="651" t="s">
        <v>472</v>
      </c>
      <c r="AB18" s="650">
        <v>35625000</v>
      </c>
      <c r="AC18" s="482">
        <v>1781250</v>
      </c>
      <c r="AD18" s="564">
        <f>Table2[[#This Row],[Column17]]/Table2[[#This Row],[Column112]]</f>
        <v>0.05</v>
      </c>
      <c r="AH18" s="589" t="s">
        <v>591</v>
      </c>
      <c r="AI18" s="382"/>
      <c r="AJ18" s="382"/>
      <c r="AK18" s="590" t="e">
        <f>#REF!+Table2[[#This Row],[Column21]]</f>
        <v>#REF!</v>
      </c>
    </row>
    <row r="19" spans="1:37" s="378" customFormat="1" ht="14.1" customHeight="1" x14ac:dyDescent="0.2">
      <c r="A19" s="557"/>
      <c r="B19" s="651" t="s">
        <v>578</v>
      </c>
      <c r="C19" s="655">
        <v>325164261</v>
      </c>
      <c r="D19" s="655"/>
      <c r="E19" s="655">
        <v>234373565</v>
      </c>
      <c r="F19" s="655"/>
      <c r="G19" s="653">
        <f t="shared" si="8"/>
        <v>559537826</v>
      </c>
      <c r="H19" s="654">
        <f t="shared" si="6"/>
        <v>0</v>
      </c>
      <c r="I19" s="648">
        <f>[4]BSS!F12</f>
        <v>600000000</v>
      </c>
      <c r="J19" s="649"/>
      <c r="K19" s="650">
        <f>'A - Baseline Request'!N13</f>
        <v>580782930</v>
      </c>
      <c r="L19" s="523">
        <f>[4]BSS!H12</f>
        <v>0</v>
      </c>
      <c r="M19" s="524">
        <f>[4]BSS!I12</f>
        <v>0</v>
      </c>
      <c r="N19" s="511">
        <v>0</v>
      </c>
      <c r="O19" s="512">
        <f>[4]BSS!H31</f>
        <v>40302661</v>
      </c>
      <c r="P19" s="511">
        <f>[4]BSS!I31</f>
        <v>0</v>
      </c>
      <c r="Q19" s="511">
        <f t="shared" si="5"/>
        <v>40302661</v>
      </c>
      <c r="R19" s="518"/>
      <c r="S19" s="519"/>
      <c r="T19" s="520">
        <f>N19/(SUM(I19:J19))</f>
        <v>0</v>
      </c>
      <c r="U19" s="379">
        <f t="shared" si="3"/>
        <v>6.7171101666666663E-2</v>
      </c>
      <c r="V19" s="380">
        <f t="shared" si="4"/>
        <v>6.7171101666666663E-2</v>
      </c>
      <c r="W19" s="375" t="e">
        <f>W18+#REF!+#REF!</f>
        <v>#REF!</v>
      </c>
      <c r="X19" s="376" t="e">
        <f t="shared" si="7"/>
        <v>#REF!</v>
      </c>
      <c r="Y19" s="377"/>
      <c r="Z19" s="570">
        <v>13</v>
      </c>
      <c r="AA19" s="690" t="s">
        <v>536</v>
      </c>
      <c r="AB19" s="650">
        <f>'A - Baseline Request'!N15</f>
        <v>168845654</v>
      </c>
      <c r="AC19" s="482">
        <f>[3]Reductions!$Q$11</f>
        <v>9703951</v>
      </c>
      <c r="AD19" s="564">
        <f>Table2[[#This Row],[Column17]]/Table2[[#This Row],[Column112]]</f>
        <v>5.7472317291625406E-2</v>
      </c>
      <c r="AH19" s="589" t="s">
        <v>589</v>
      </c>
      <c r="AI19" s="382"/>
      <c r="AJ19" s="382"/>
      <c r="AK19" s="590">
        <f>T17+Table2[[#This Row],[Column21]]</f>
        <v>0.1074723172916254</v>
      </c>
    </row>
    <row r="20" spans="1:37" s="378" customFormat="1" ht="14.1" customHeight="1" x14ac:dyDescent="0.2">
      <c r="A20" s="557"/>
      <c r="B20" s="661" t="s">
        <v>536</v>
      </c>
      <c r="C20" s="652">
        <v>12030800</v>
      </c>
      <c r="D20" s="652"/>
      <c r="E20" s="652">
        <v>12030800</v>
      </c>
      <c r="F20" s="652"/>
      <c r="G20" s="653">
        <f t="shared" si="8"/>
        <v>24061600</v>
      </c>
      <c r="H20" s="654">
        <f t="shared" si="6"/>
        <v>0</v>
      </c>
      <c r="I20" s="648">
        <v>168845954</v>
      </c>
      <c r="J20" s="649"/>
      <c r="K20" s="650">
        <f>'A - Baseline Request'!N15</f>
        <v>168845654</v>
      </c>
      <c r="L20" s="523">
        <v>15273669</v>
      </c>
      <c r="M20" s="524">
        <f>[4]BSS!I13</f>
        <v>0</v>
      </c>
      <c r="N20" s="511">
        <v>0</v>
      </c>
      <c r="O20" s="512">
        <f>[6]BSS!$H$33</f>
        <v>15273669</v>
      </c>
      <c r="P20" s="511">
        <f>[4]BSS!I32</f>
        <v>0</v>
      </c>
      <c r="Q20" s="511">
        <f t="shared" si="5"/>
        <v>15273669</v>
      </c>
      <c r="R20" s="518"/>
      <c r="S20" s="519"/>
      <c r="T20" s="520">
        <f>N20/(SUM(I20:J20))</f>
        <v>0</v>
      </c>
      <c r="U20" s="379">
        <f t="shared" si="3"/>
        <v>9.0459194538946436E-2</v>
      </c>
      <c r="V20" s="380">
        <f t="shared" si="4"/>
        <v>9.0459194538946436E-2</v>
      </c>
      <c r="W20" s="375" t="e">
        <f>#REF!+#REF!+#REF!</f>
        <v>#REF!</v>
      </c>
      <c r="X20" s="376" t="e">
        <f t="shared" si="7"/>
        <v>#REF!</v>
      </c>
      <c r="Y20" s="377"/>
      <c r="Z20" s="569">
        <v>14</v>
      </c>
      <c r="AA20" s="661" t="s">
        <v>580</v>
      </c>
      <c r="AB20" s="650">
        <f>'A - Baseline Request'!N16</f>
        <v>65349388</v>
      </c>
      <c r="AC20" s="482">
        <f>[3]Reductions!$Q$12</f>
        <v>3755781</v>
      </c>
      <c r="AD20" s="564">
        <f>Table2[[#This Row],[Column17]]/Table2[[#This Row],[Column112]]</f>
        <v>5.7472320934359784E-2</v>
      </c>
      <c r="AH20" s="589" t="s">
        <v>472</v>
      </c>
      <c r="AI20" s="382"/>
      <c r="AJ20" s="382"/>
      <c r="AK20" s="590">
        <f>T16+Table2[[#This Row],[Column21]]</f>
        <v>0.1074722668978895</v>
      </c>
    </row>
    <row r="21" spans="1:37" s="378" customFormat="1" ht="14.1" customHeight="1" x14ac:dyDescent="0.2">
      <c r="A21" s="557"/>
      <c r="B21" s="661" t="s">
        <v>580</v>
      </c>
      <c r="C21" s="655">
        <v>84422827</v>
      </c>
      <c r="D21" s="655"/>
      <c r="E21" s="655">
        <v>84422827</v>
      </c>
      <c r="F21" s="655"/>
      <c r="G21" s="653">
        <f t="shared" si="8"/>
        <v>168845654</v>
      </c>
      <c r="H21" s="654">
        <f t="shared" si="6"/>
        <v>0</v>
      </c>
      <c r="I21" s="648">
        <v>58649087</v>
      </c>
      <c r="J21" s="649"/>
      <c r="K21" s="650">
        <f>'A - Baseline Request'!N16</f>
        <v>65349388</v>
      </c>
      <c r="L21" s="511"/>
      <c r="M21" s="511"/>
      <c r="N21" s="511">
        <f t="shared" ref="N21:N37" si="9">L21+M21</f>
        <v>0</v>
      </c>
      <c r="O21" s="607"/>
      <c r="P21" s="607"/>
      <c r="Q21" s="512">
        <f t="shared" si="5"/>
        <v>0</v>
      </c>
      <c r="R21" s="518"/>
      <c r="S21" s="519"/>
      <c r="T21" s="691">
        <v>0</v>
      </c>
      <c r="U21" s="379"/>
      <c r="V21" s="380"/>
      <c r="W21" s="375" t="e">
        <f>W20+#REF!+#REF!</f>
        <v>#REF!</v>
      </c>
      <c r="X21" s="376" t="e">
        <f t="shared" si="7"/>
        <v>#REF!</v>
      </c>
      <c r="Y21" s="377"/>
      <c r="Z21" s="569">
        <v>15</v>
      </c>
      <c r="AA21" s="651" t="s">
        <v>578</v>
      </c>
      <c r="AB21" s="650">
        <f>'A - Baseline Request'!N13</f>
        <v>580782930</v>
      </c>
      <c r="AC21" s="482">
        <f>[3]Reductions!$Q$9</f>
        <v>33378940</v>
      </c>
      <c r="AD21" s="564">
        <f>Table2[[#This Row],[Column17]]/Table2[[#This Row],[Column112]]</f>
        <v>5.7472315861624927E-2</v>
      </c>
      <c r="AH21" s="592" t="s">
        <v>536</v>
      </c>
      <c r="AI21" s="382"/>
      <c r="AJ21" s="382"/>
      <c r="AK21" s="590" t="e">
        <f>#REF!+Table2[[#This Row],[Column21]]</f>
        <v>#REF!</v>
      </c>
    </row>
    <row r="22" spans="1:37" s="378" customFormat="1" ht="14.1" customHeight="1" x14ac:dyDescent="0.2">
      <c r="A22" s="557"/>
      <c r="B22" s="661" t="s">
        <v>581</v>
      </c>
      <c r="C22" s="655">
        <v>7529639</v>
      </c>
      <c r="D22" s="655"/>
      <c r="E22" s="655">
        <v>7529639</v>
      </c>
      <c r="F22" s="655"/>
      <c r="G22" s="653">
        <f t="shared" si="8"/>
        <v>15059278</v>
      </c>
      <c r="H22" s="654">
        <f t="shared" si="6"/>
        <v>0</v>
      </c>
      <c r="I22" s="648">
        <v>30000000</v>
      </c>
      <c r="J22" s="649"/>
      <c r="K22" s="650">
        <f>'A - Baseline Request'!N17</f>
        <v>15059278</v>
      </c>
      <c r="L22" s="523">
        <f>[4]BSS!H16</f>
        <v>0</v>
      </c>
      <c r="M22" s="524">
        <f>[4]BSS!I16</f>
        <v>0</v>
      </c>
      <c r="N22" s="511">
        <f t="shared" si="9"/>
        <v>0</v>
      </c>
      <c r="O22" s="512">
        <f>[4]BSS!H35</f>
        <v>0</v>
      </c>
      <c r="P22" s="511">
        <f>[4]BSS!I35</f>
        <v>0</v>
      </c>
      <c r="Q22" s="511">
        <f t="shared" si="5"/>
        <v>0</v>
      </c>
      <c r="R22" s="518"/>
      <c r="S22" s="519"/>
      <c r="T22" s="520">
        <f>N22/(SUM(I22:J22))</f>
        <v>0</v>
      </c>
      <c r="U22" s="379">
        <f>Q22/SUM(I22:J22)</f>
        <v>0</v>
      </c>
      <c r="V22" s="380">
        <f>(N22+Q22)/(I22+J22)</f>
        <v>0</v>
      </c>
      <c r="W22" s="375" t="e">
        <f>#REF!+N19+Q19</f>
        <v>#REF!</v>
      </c>
      <c r="X22" s="376" t="e">
        <f t="shared" si="7"/>
        <v>#REF!</v>
      </c>
      <c r="Y22" s="377"/>
      <c r="Z22" s="569"/>
      <c r="AA22" s="661" t="s">
        <v>579</v>
      </c>
      <c r="AB22" s="650">
        <f>'A - Baseline Request'!N14</f>
        <v>80557791</v>
      </c>
      <c r="AC22" s="482">
        <v>0</v>
      </c>
      <c r="AD22" s="564">
        <f>Table2[[#This Row],[Column17]]/Table2[[#This Row],[Column112]]</f>
        <v>0</v>
      </c>
      <c r="AH22" s="592" t="s">
        <v>580</v>
      </c>
      <c r="AI22" s="382"/>
      <c r="AJ22" s="382"/>
      <c r="AK22" s="590" t="e">
        <f>#REF!+Table2[[#This Row],[Column21]]</f>
        <v>#REF!</v>
      </c>
    </row>
    <row r="23" spans="1:37" s="378" customFormat="1" ht="14.1" customHeight="1" x14ac:dyDescent="0.2">
      <c r="A23" s="557"/>
      <c r="B23" s="651" t="s">
        <v>587</v>
      </c>
      <c r="C23" s="655">
        <v>0</v>
      </c>
      <c r="D23" s="655">
        <v>542000</v>
      </c>
      <c r="E23" s="655"/>
      <c r="F23" s="655">
        <v>557000</v>
      </c>
      <c r="G23" s="653">
        <f t="shared" si="8"/>
        <v>0</v>
      </c>
      <c r="H23" s="654">
        <f t="shared" si="6"/>
        <v>1099000</v>
      </c>
      <c r="I23" s="648"/>
      <c r="J23" s="649">
        <f>[4]BSS!G8</f>
        <v>1099000</v>
      </c>
      <c r="K23" s="650">
        <f>SUM(Table1[[#This Row],[Column10]:[Column11]])</f>
        <v>1099000</v>
      </c>
      <c r="L23" s="512">
        <f>[4]BSS!H8</f>
        <v>0</v>
      </c>
      <c r="M23" s="517">
        <f>[4]BSS!I8</f>
        <v>0</v>
      </c>
      <c r="N23" s="511">
        <f t="shared" si="9"/>
        <v>0</v>
      </c>
      <c r="O23" s="512">
        <f>[4]BSS!H27</f>
        <v>0</v>
      </c>
      <c r="P23" s="511">
        <f>[4]BSS!I27</f>
        <v>0</v>
      </c>
      <c r="Q23" s="511">
        <f t="shared" si="5"/>
        <v>0</v>
      </c>
      <c r="R23" s="518">
        <v>0</v>
      </c>
      <c r="S23" s="519">
        <v>0</v>
      </c>
      <c r="T23" s="520">
        <f>N23/(SUM(I23:J23))</f>
        <v>0</v>
      </c>
      <c r="U23" s="379">
        <f>Q23/SUM(I23:J23)</f>
        <v>0</v>
      </c>
      <c r="V23" s="380">
        <f>(N23+Q23)/(I23+J23)</f>
        <v>0</v>
      </c>
      <c r="W23" s="375" t="e">
        <f>#REF!+N26+Q26</f>
        <v>#REF!</v>
      </c>
      <c r="X23" s="376" t="e">
        <f t="shared" si="7"/>
        <v>#REF!</v>
      </c>
      <c r="Y23" s="377"/>
      <c r="Z23" s="569"/>
      <c r="AA23" s="661" t="s">
        <v>581</v>
      </c>
      <c r="AB23" s="650">
        <f>'A - Baseline Request'!N17</f>
        <v>15059278</v>
      </c>
      <c r="AC23" s="482">
        <v>0</v>
      </c>
      <c r="AD23" s="564">
        <f>Table2[[#This Row],[Column17]]/Table2[[#This Row],[Column112]]</f>
        <v>0</v>
      </c>
      <c r="AH23" s="589" t="s">
        <v>578</v>
      </c>
      <c r="AI23" s="382"/>
      <c r="AJ23" s="382"/>
      <c r="AK23" s="590" t="e">
        <f>+#REF!+Table2[[#This Row],[Column21]]</f>
        <v>#REF!</v>
      </c>
    </row>
    <row r="24" spans="1:37" s="385" customFormat="1" ht="14.1" customHeight="1" x14ac:dyDescent="0.2">
      <c r="A24" s="557"/>
      <c r="B24" s="651" t="s">
        <v>582</v>
      </c>
      <c r="C24" s="655">
        <v>500000</v>
      </c>
      <c r="D24" s="655"/>
      <c r="E24" s="655">
        <v>500000</v>
      </c>
      <c r="F24" s="655"/>
      <c r="G24" s="653">
        <f t="shared" si="8"/>
        <v>1000000</v>
      </c>
      <c r="H24" s="654">
        <f t="shared" si="6"/>
        <v>0</v>
      </c>
      <c r="I24" s="648">
        <f>[4]BSS!F9</f>
        <v>10000000</v>
      </c>
      <c r="J24" s="649"/>
      <c r="K24" s="650">
        <f>'A - Baseline Request'!N23</f>
        <v>1000000</v>
      </c>
      <c r="L24" s="511"/>
      <c r="M24" s="511"/>
      <c r="N24" s="511">
        <f t="shared" si="9"/>
        <v>0</v>
      </c>
      <c r="O24" s="607"/>
      <c r="P24" s="607"/>
      <c r="Q24" s="512">
        <f t="shared" si="5"/>
        <v>0</v>
      </c>
      <c r="R24" s="518"/>
      <c r="S24" s="519"/>
      <c r="T24" s="691">
        <v>0</v>
      </c>
      <c r="U24" s="379"/>
      <c r="V24" s="380"/>
      <c r="W24" s="375" t="e">
        <f>W30+#REF!+#REF!</f>
        <v>#REF!</v>
      </c>
      <c r="X24" s="376" t="e">
        <f t="shared" si="7"/>
        <v>#REF!</v>
      </c>
      <c r="Y24" s="377"/>
      <c r="Z24" s="569"/>
      <c r="AA24" s="651" t="s">
        <v>587</v>
      </c>
      <c r="AB24" s="650">
        <f>'A - Baseline Request'!N18</f>
        <v>1099000</v>
      </c>
      <c r="AC24" s="482">
        <v>0</v>
      </c>
      <c r="AD24" s="564">
        <f>Table2[[#This Row],[Column17]]/Table2[[#This Row],[Column112]]</f>
        <v>0</v>
      </c>
      <c r="AG24" s="378"/>
      <c r="AH24" s="592" t="s">
        <v>579</v>
      </c>
      <c r="AI24" s="581"/>
      <c r="AJ24" s="581"/>
      <c r="AK24" s="593">
        <v>0</v>
      </c>
    </row>
    <row r="25" spans="1:37" s="378" customFormat="1" ht="14.1" customHeight="1" x14ac:dyDescent="0.2">
      <c r="A25" s="557"/>
      <c r="B25" s="651" t="s">
        <v>583</v>
      </c>
      <c r="C25" s="652">
        <v>187813</v>
      </c>
      <c r="D25" s="652"/>
      <c r="E25" s="652">
        <v>187813</v>
      </c>
      <c r="F25" s="652"/>
      <c r="G25" s="653">
        <f t="shared" si="8"/>
        <v>375626</v>
      </c>
      <c r="H25" s="654">
        <f t="shared" si="6"/>
        <v>0</v>
      </c>
      <c r="I25" s="648">
        <f>[4]BSS!F10</f>
        <v>375626</v>
      </c>
      <c r="J25" s="649"/>
      <c r="K25" s="650">
        <f>SUM(Table1[[#This Row],[Column10]:[Column11]])</f>
        <v>375626</v>
      </c>
      <c r="L25" s="512">
        <f>[4]BSS!H10</f>
        <v>0</v>
      </c>
      <c r="M25" s="517">
        <f>[4]BSS!I10</f>
        <v>0</v>
      </c>
      <c r="N25" s="511">
        <f t="shared" si="9"/>
        <v>0</v>
      </c>
      <c r="O25" s="512">
        <f>[4]BSS!H29</f>
        <v>375626</v>
      </c>
      <c r="P25" s="511">
        <f>[4]BSS!I29</f>
        <v>0</v>
      </c>
      <c r="Q25" s="511">
        <f t="shared" si="5"/>
        <v>375626</v>
      </c>
      <c r="R25" s="518">
        <v>0</v>
      </c>
      <c r="S25" s="519">
        <v>0</v>
      </c>
      <c r="T25" s="520">
        <f t="shared" ref="T25:T31" si="10">N25/(SUM(I25:J25))</f>
        <v>0</v>
      </c>
      <c r="U25" s="379">
        <f t="shared" ref="U25:U31" si="11">Q25/SUM(I25:J25)</f>
        <v>1</v>
      </c>
      <c r="V25" s="380">
        <f t="shared" ref="V25:V31" si="12">(N25+Q25)/(I25+J25)</f>
        <v>1</v>
      </c>
      <c r="W25" s="375" t="e">
        <f>#REF!+N22+Q22</f>
        <v>#REF!</v>
      </c>
      <c r="X25" s="376" t="e">
        <f t="shared" si="7"/>
        <v>#REF!</v>
      </c>
      <c r="Y25" s="377"/>
      <c r="Z25" s="569"/>
      <c r="AA25" s="651" t="s">
        <v>582</v>
      </c>
      <c r="AB25" s="650">
        <f>'A - Baseline Request'!N23</f>
        <v>1000000</v>
      </c>
      <c r="AC25" s="482">
        <v>0</v>
      </c>
      <c r="AD25" s="564">
        <f>Table2[[#This Row],[Column17]]/Table2[[#This Row],[Column112]]</f>
        <v>0</v>
      </c>
      <c r="AH25" s="592" t="s">
        <v>581</v>
      </c>
      <c r="AI25" s="382"/>
      <c r="AJ25" s="382"/>
      <c r="AK25" s="594">
        <v>0</v>
      </c>
    </row>
    <row r="26" spans="1:37" s="378" customFormat="1" ht="14.1" customHeight="1" x14ac:dyDescent="0.2">
      <c r="A26" s="557"/>
      <c r="B26" s="651" t="s">
        <v>584</v>
      </c>
      <c r="C26" s="655">
        <v>248036</v>
      </c>
      <c r="D26" s="655"/>
      <c r="E26" s="655">
        <v>248036</v>
      </c>
      <c r="F26" s="655"/>
      <c r="G26" s="653">
        <f t="shared" si="8"/>
        <v>496072</v>
      </c>
      <c r="H26" s="654">
        <f t="shared" si="6"/>
        <v>0</v>
      </c>
      <c r="I26" s="648">
        <f>[4]BSS!F11</f>
        <v>496072</v>
      </c>
      <c r="J26" s="649"/>
      <c r="K26" s="650">
        <f>SUM(Table1[[#This Row],[Column10]:[Column11]])</f>
        <v>496072</v>
      </c>
      <c r="L26" s="512">
        <f>[4]BSS!H11</f>
        <v>0</v>
      </c>
      <c r="M26" s="517">
        <f>[4]BSS!I11</f>
        <v>0</v>
      </c>
      <c r="N26" s="511">
        <f t="shared" si="9"/>
        <v>0</v>
      </c>
      <c r="O26" s="512">
        <f>[4]BSS!H30</f>
        <v>0</v>
      </c>
      <c r="P26" s="511">
        <f>[4]BSS!I30</f>
        <v>0</v>
      </c>
      <c r="Q26" s="511">
        <f t="shared" si="5"/>
        <v>0</v>
      </c>
      <c r="R26" s="518">
        <v>0</v>
      </c>
      <c r="S26" s="519">
        <v>0</v>
      </c>
      <c r="T26" s="520">
        <f t="shared" si="10"/>
        <v>0</v>
      </c>
      <c r="U26" s="379">
        <f t="shared" si="11"/>
        <v>0</v>
      </c>
      <c r="V26" s="380">
        <f t="shared" si="12"/>
        <v>0</v>
      </c>
      <c r="W26" s="375" t="e">
        <f>W25+#REF!+#REF!</f>
        <v>#REF!</v>
      </c>
      <c r="X26" s="376" t="e">
        <f t="shared" si="7"/>
        <v>#REF!</v>
      </c>
      <c r="Y26" s="377"/>
      <c r="Z26" s="569"/>
      <c r="AA26" s="651" t="s">
        <v>584</v>
      </c>
      <c r="AB26" s="650">
        <f>SUM(Table1[[#This Row],[Column10]:[Column11]])</f>
        <v>496072</v>
      </c>
      <c r="AC26" s="482">
        <v>0</v>
      </c>
      <c r="AD26" s="564">
        <f>Table2[[#This Row],[Column17]]/Table2[[#This Row],[Column112]]</f>
        <v>0</v>
      </c>
      <c r="AH26" s="589" t="s">
        <v>587</v>
      </c>
      <c r="AI26" s="382"/>
      <c r="AJ26" s="382"/>
      <c r="AK26" s="594">
        <v>0</v>
      </c>
    </row>
    <row r="27" spans="1:37" s="378" customFormat="1" ht="14.1" customHeight="1" x14ac:dyDescent="0.2">
      <c r="A27" s="557"/>
      <c r="B27" s="651" t="s">
        <v>585</v>
      </c>
      <c r="C27" s="655">
        <v>21862446</v>
      </c>
      <c r="D27" s="655"/>
      <c r="E27" s="655">
        <v>17762446</v>
      </c>
      <c r="F27" s="655"/>
      <c r="G27" s="653">
        <f t="shared" si="8"/>
        <v>39624892</v>
      </c>
      <c r="H27" s="654">
        <f t="shared" si="6"/>
        <v>0</v>
      </c>
      <c r="I27" s="648">
        <f>[4]BSS!F17</f>
        <v>8500000</v>
      </c>
      <c r="J27" s="649"/>
      <c r="K27" s="650">
        <f>SUM(Table1[[#This Row],[Column10]:[Column11]])</f>
        <v>8500000</v>
      </c>
      <c r="L27" s="512">
        <f>[4]BSS!H17</f>
        <v>0</v>
      </c>
      <c r="M27" s="517">
        <f>[4]BSS!I17</f>
        <v>0</v>
      </c>
      <c r="N27" s="511">
        <f t="shared" si="9"/>
        <v>0</v>
      </c>
      <c r="O27" s="512">
        <f>[4]BSS!H36</f>
        <v>0</v>
      </c>
      <c r="P27" s="511">
        <f>[4]BSS!I36</f>
        <v>0</v>
      </c>
      <c r="Q27" s="511">
        <f t="shared" si="5"/>
        <v>0</v>
      </c>
      <c r="R27" s="518">
        <v>0</v>
      </c>
      <c r="S27" s="519">
        <v>0</v>
      </c>
      <c r="T27" s="520">
        <f t="shared" si="10"/>
        <v>0</v>
      </c>
      <c r="U27" s="379">
        <f t="shared" si="11"/>
        <v>0</v>
      </c>
      <c r="V27" s="380">
        <f t="shared" si="12"/>
        <v>0</v>
      </c>
      <c r="W27" s="375" t="e">
        <f>#REF!+N25+Q25</f>
        <v>#REF!</v>
      </c>
      <c r="X27" s="376" t="e">
        <f t="shared" si="7"/>
        <v>#REF!</v>
      </c>
      <c r="Y27" s="377"/>
      <c r="Z27" s="569"/>
      <c r="AA27" s="651" t="s">
        <v>585</v>
      </c>
      <c r="AB27" s="650">
        <f>SUM(Table1[[#This Row],[Column10]:[Column11]])</f>
        <v>8500000</v>
      </c>
      <c r="AC27" s="482">
        <v>0</v>
      </c>
      <c r="AD27" s="564">
        <f>Table2[[#This Row],[Column17]]/Table2[[#This Row],[Column112]]</f>
        <v>0</v>
      </c>
      <c r="AH27" s="589" t="s">
        <v>582</v>
      </c>
      <c r="AI27" s="382"/>
      <c r="AJ27" s="382"/>
      <c r="AK27" s="590" t="e">
        <f>#REF!+Table2[[#This Row],[Column21]]</f>
        <v>#REF!</v>
      </c>
    </row>
    <row r="28" spans="1:37" s="386" customFormat="1" ht="14.1" customHeight="1" x14ac:dyDescent="0.25">
      <c r="A28" s="557"/>
      <c r="B28" s="651" t="s">
        <v>586</v>
      </c>
      <c r="C28" s="652">
        <v>3560000</v>
      </c>
      <c r="D28" s="652"/>
      <c r="E28" s="652">
        <v>3560000</v>
      </c>
      <c r="F28" s="652"/>
      <c r="G28" s="653">
        <f t="shared" si="8"/>
        <v>7120000</v>
      </c>
      <c r="H28" s="654">
        <f t="shared" si="6"/>
        <v>0</v>
      </c>
      <c r="I28" s="648">
        <f>[4]BSS!F18</f>
        <v>4220000</v>
      </c>
      <c r="J28" s="649"/>
      <c r="K28" s="650">
        <f>'[3]In and Out Base '!$S$22</f>
        <v>7120000</v>
      </c>
      <c r="L28" s="512">
        <f>[4]BSS!H18</f>
        <v>0</v>
      </c>
      <c r="M28" s="517">
        <f>[4]BSS!I18</f>
        <v>0</v>
      </c>
      <c r="N28" s="511">
        <f t="shared" si="9"/>
        <v>0</v>
      </c>
      <c r="O28" s="512">
        <f>[4]BSS!H37</f>
        <v>0</v>
      </c>
      <c r="P28" s="511">
        <f>[4]BSS!I37</f>
        <v>0</v>
      </c>
      <c r="Q28" s="511">
        <f t="shared" si="5"/>
        <v>0</v>
      </c>
      <c r="R28" s="525">
        <v>1.9</v>
      </c>
      <c r="S28" s="526">
        <v>1.9</v>
      </c>
      <c r="T28" s="520">
        <f t="shared" si="10"/>
        <v>0</v>
      </c>
      <c r="U28" s="379">
        <f t="shared" si="11"/>
        <v>0</v>
      </c>
      <c r="V28" s="380">
        <f t="shared" si="12"/>
        <v>0</v>
      </c>
      <c r="W28" s="375" t="e">
        <f>W27+#REF!+#REF!</f>
        <v>#REF!</v>
      </c>
      <c r="X28" s="376" t="e">
        <f t="shared" si="7"/>
        <v>#REF!</v>
      </c>
      <c r="Y28" s="377"/>
      <c r="Z28" s="569"/>
      <c r="AA28" s="651" t="s">
        <v>586</v>
      </c>
      <c r="AB28" s="650">
        <f>'A - Baseline Request'!N29</f>
        <v>7120000</v>
      </c>
      <c r="AC28" s="482">
        <v>0</v>
      </c>
      <c r="AD28" s="564">
        <f>Table2[[#This Row],[Column17]]/Table2[[#This Row],[Column112]]</f>
        <v>0</v>
      </c>
      <c r="AG28" s="378"/>
      <c r="AH28" s="589" t="s">
        <v>584</v>
      </c>
      <c r="AI28" s="582"/>
      <c r="AJ28" s="582"/>
      <c r="AK28" s="602">
        <v>0</v>
      </c>
    </row>
    <row r="29" spans="1:37" s="378" customFormat="1" ht="14.1" customHeight="1" x14ac:dyDescent="0.2">
      <c r="A29" s="557"/>
      <c r="B29" s="651" t="s">
        <v>748</v>
      </c>
      <c r="C29" s="652">
        <v>1000000</v>
      </c>
      <c r="D29" s="652"/>
      <c r="E29" s="652">
        <v>0</v>
      </c>
      <c r="F29" s="652"/>
      <c r="G29" s="653">
        <f t="shared" si="8"/>
        <v>1000000</v>
      </c>
      <c r="H29" s="654">
        <f t="shared" si="6"/>
        <v>0</v>
      </c>
      <c r="I29" s="648">
        <f>[4]WAAR!F10</f>
        <v>3000000</v>
      </c>
      <c r="J29" s="649"/>
      <c r="K29" s="650">
        <f>'A - Baseline Request'!N34</f>
        <v>1000000</v>
      </c>
      <c r="L29" s="512">
        <f>[4]WAAR!H10</f>
        <v>0</v>
      </c>
      <c r="M29" s="517">
        <f>[4]WAAR!I10</f>
        <v>0</v>
      </c>
      <c r="N29" s="511">
        <f t="shared" si="9"/>
        <v>0</v>
      </c>
      <c r="O29" s="512">
        <f>[4]WAAR!H24</f>
        <v>0</v>
      </c>
      <c r="P29" s="511">
        <f>[4]WAAR!I24</f>
        <v>0</v>
      </c>
      <c r="Q29" s="511">
        <f t="shared" si="5"/>
        <v>0</v>
      </c>
      <c r="R29" s="518">
        <v>0</v>
      </c>
      <c r="S29" s="519">
        <v>0</v>
      </c>
      <c r="T29" s="520">
        <f t="shared" si="10"/>
        <v>0</v>
      </c>
      <c r="U29" s="379">
        <f t="shared" si="11"/>
        <v>0</v>
      </c>
      <c r="V29" s="380">
        <f t="shared" si="12"/>
        <v>0</v>
      </c>
      <c r="W29" s="375" t="e">
        <f>W23+N27+Q27</f>
        <v>#REF!</v>
      </c>
      <c r="X29" s="376" t="e">
        <f t="shared" si="7"/>
        <v>#REF!</v>
      </c>
      <c r="Y29" s="377"/>
      <c r="Z29" s="569"/>
      <c r="AA29" s="651" t="s">
        <v>748</v>
      </c>
      <c r="AB29" s="650">
        <f>'A - Baseline Request'!N34</f>
        <v>1000000</v>
      </c>
      <c r="AC29" s="482">
        <v>0</v>
      </c>
      <c r="AD29" s="564">
        <f>Table2[[#This Row],[Column17]]/Table2[[#This Row],[Column112]]</f>
        <v>0</v>
      </c>
      <c r="AH29" s="589" t="s">
        <v>585</v>
      </c>
      <c r="AI29" s="382"/>
      <c r="AJ29" s="382"/>
      <c r="AK29" s="594">
        <f>0</f>
        <v>0</v>
      </c>
    </row>
    <row r="30" spans="1:37" s="378" customFormat="1" ht="14.1" customHeight="1" x14ac:dyDescent="0.2">
      <c r="A30" s="557"/>
      <c r="B30" s="651" t="s">
        <v>747</v>
      </c>
      <c r="C30" s="655">
        <v>2800000</v>
      </c>
      <c r="D30" s="655"/>
      <c r="E30" s="655">
        <v>2800000</v>
      </c>
      <c r="F30" s="655"/>
      <c r="G30" s="653">
        <f t="shared" si="8"/>
        <v>5600000</v>
      </c>
      <c r="H30" s="654">
        <f t="shared" si="6"/>
        <v>0</v>
      </c>
      <c r="I30" s="648">
        <f>[4]WAAR!F11</f>
        <v>7600000</v>
      </c>
      <c r="J30" s="649"/>
      <c r="K30" s="650">
        <f>'A - Baseline Request'!N37</f>
        <v>9600000</v>
      </c>
      <c r="L30" s="512">
        <f>[4]WAAR!H11</f>
        <v>0</v>
      </c>
      <c r="M30" s="517">
        <f>[4]WAAR!I11</f>
        <v>0</v>
      </c>
      <c r="N30" s="511">
        <f t="shared" si="9"/>
        <v>0</v>
      </c>
      <c r="O30" s="512">
        <f>[4]WAAR!H25</f>
        <v>0</v>
      </c>
      <c r="P30" s="511">
        <f>[4]WAAR!I25</f>
        <v>0</v>
      </c>
      <c r="Q30" s="511">
        <f t="shared" si="5"/>
        <v>0</v>
      </c>
      <c r="R30" s="518">
        <v>0</v>
      </c>
      <c r="S30" s="519">
        <v>0</v>
      </c>
      <c r="T30" s="520">
        <f t="shared" si="10"/>
        <v>0</v>
      </c>
      <c r="U30" s="379">
        <f t="shared" si="11"/>
        <v>0</v>
      </c>
      <c r="V30" s="380">
        <f t="shared" si="12"/>
        <v>0</v>
      </c>
      <c r="W30" s="375" t="e">
        <f>W29+#REF!+#REF!</f>
        <v>#REF!</v>
      </c>
      <c r="X30" s="376" t="e">
        <f t="shared" si="7"/>
        <v>#REF!</v>
      </c>
      <c r="Y30" s="377"/>
      <c r="Z30" s="569"/>
      <c r="AA30" s="651" t="s">
        <v>747</v>
      </c>
      <c r="AB30" s="650">
        <f>'A - Baseline Request'!N37</f>
        <v>9600000</v>
      </c>
      <c r="AC30" s="482">
        <v>0</v>
      </c>
      <c r="AD30" s="564">
        <f>Table2[[#This Row],[Column17]]/Table2[[#This Row],[Column112]]</f>
        <v>0</v>
      </c>
      <c r="AH30" s="589" t="s">
        <v>586</v>
      </c>
      <c r="AI30" s="382"/>
      <c r="AJ30" s="382"/>
      <c r="AK30" s="594">
        <v>0</v>
      </c>
    </row>
    <row r="31" spans="1:37" s="387" customFormat="1" ht="14.1" customHeight="1" x14ac:dyDescent="0.2">
      <c r="A31" s="557"/>
      <c r="B31" s="662" t="s">
        <v>590</v>
      </c>
      <c r="C31" s="652">
        <v>0</v>
      </c>
      <c r="D31" s="652">
        <v>5600000</v>
      </c>
      <c r="E31" s="652"/>
      <c r="F31" s="652"/>
      <c r="G31" s="653">
        <f t="shared" si="8"/>
        <v>0</v>
      </c>
      <c r="H31" s="654">
        <f t="shared" si="6"/>
        <v>5600000</v>
      </c>
      <c r="I31" s="648"/>
      <c r="J31" s="649">
        <f>[4]BSS!G19</f>
        <v>5600000</v>
      </c>
      <c r="K31" s="650">
        <f>SUM(Table1[[#This Row],[Column10]:[Column11]])</f>
        <v>5600000</v>
      </c>
      <c r="L31" s="512">
        <f>[4]BSS!H19</f>
        <v>0</v>
      </c>
      <c r="M31" s="517">
        <f>[4]BSS!I19</f>
        <v>0</v>
      </c>
      <c r="N31" s="511">
        <f t="shared" si="9"/>
        <v>0</v>
      </c>
      <c r="O31" s="512">
        <f>[4]BSS!H38</f>
        <v>0</v>
      </c>
      <c r="P31" s="511">
        <f>[4]BSS!I38</f>
        <v>0</v>
      </c>
      <c r="Q31" s="511">
        <f t="shared" si="5"/>
        <v>0</v>
      </c>
      <c r="R31" s="518">
        <v>0</v>
      </c>
      <c r="S31" s="519">
        <v>0</v>
      </c>
      <c r="T31" s="520">
        <f t="shared" si="10"/>
        <v>0</v>
      </c>
      <c r="U31" s="379">
        <f t="shared" si="11"/>
        <v>0</v>
      </c>
      <c r="V31" s="380">
        <f t="shared" si="12"/>
        <v>0</v>
      </c>
      <c r="W31" s="375" t="e">
        <f>#REF!+N29+Q29</f>
        <v>#REF!</v>
      </c>
      <c r="X31" s="376" t="e">
        <f t="shared" si="7"/>
        <v>#REF!</v>
      </c>
      <c r="Y31" s="377"/>
      <c r="Z31" s="569"/>
      <c r="AA31" s="662" t="s">
        <v>590</v>
      </c>
      <c r="AB31" s="650">
        <f>SUM(Table1[[#This Row],[Column10]:[Column11]])</f>
        <v>5600000</v>
      </c>
      <c r="AC31" s="482">
        <v>0</v>
      </c>
      <c r="AD31" s="564">
        <f>Table2[[#This Row],[Column17]]/Table2[[#This Row],[Column112]]</f>
        <v>0</v>
      </c>
      <c r="AG31" s="378"/>
      <c r="AH31" s="589" t="s">
        <v>446</v>
      </c>
      <c r="AI31" s="583"/>
      <c r="AJ31" s="583"/>
      <c r="AK31" s="595">
        <v>0</v>
      </c>
    </row>
    <row r="32" spans="1:37" s="388" customFormat="1" ht="14.1" hidden="1" customHeight="1" x14ac:dyDescent="0.2">
      <c r="A32" s="557"/>
      <c r="B32" s="651" t="s">
        <v>746</v>
      </c>
      <c r="C32" s="655">
        <v>40123625</v>
      </c>
      <c r="D32" s="655"/>
      <c r="E32" s="655">
        <v>35741187</v>
      </c>
      <c r="F32" s="655"/>
      <c r="G32" s="653">
        <f t="shared" si="8"/>
        <v>75864812</v>
      </c>
      <c r="H32" s="654">
        <f t="shared" si="6"/>
        <v>0</v>
      </c>
      <c r="I32" s="648">
        <f>[4]PIE!F10</f>
        <v>75864812</v>
      </c>
      <c r="J32" s="649"/>
      <c r="K32" s="650">
        <v>0</v>
      </c>
      <c r="L32" s="511"/>
      <c r="M32" s="511"/>
      <c r="N32" s="511">
        <f t="shared" si="9"/>
        <v>0</v>
      </c>
      <c r="O32" s="607"/>
      <c r="P32" s="607"/>
      <c r="Q32" s="512">
        <f t="shared" si="5"/>
        <v>0</v>
      </c>
      <c r="R32" s="518"/>
      <c r="S32" s="519"/>
      <c r="T32" s="520">
        <v>0</v>
      </c>
      <c r="U32" s="379"/>
      <c r="V32" s="380"/>
      <c r="W32" s="375" t="e">
        <f>W31+#REF!+#REF!</f>
        <v>#REF!</v>
      </c>
      <c r="X32" s="376" t="e">
        <f t="shared" si="7"/>
        <v>#REF!</v>
      </c>
      <c r="Y32" s="377"/>
      <c r="Z32" s="692"/>
      <c r="AA32" s="651" t="s">
        <v>746</v>
      </c>
      <c r="AB32" s="650">
        <v>0</v>
      </c>
      <c r="AC32" s="693"/>
      <c r="AD32" s="609">
        <v>0</v>
      </c>
      <c r="AG32" s="378"/>
      <c r="AH32" s="589" t="s">
        <v>588</v>
      </c>
      <c r="AI32" s="584"/>
      <c r="AJ32" s="584"/>
      <c r="AK32" s="596">
        <v>0</v>
      </c>
    </row>
    <row r="33" spans="1:37" s="388" customFormat="1" ht="14.1" hidden="1" customHeight="1" x14ac:dyDescent="0.2">
      <c r="A33" s="557"/>
      <c r="B33" s="656" t="s">
        <v>745</v>
      </c>
      <c r="C33" s="657">
        <v>5176507</v>
      </c>
      <c r="D33" s="657"/>
      <c r="E33" s="657">
        <v>5176507</v>
      </c>
      <c r="F33" s="657"/>
      <c r="G33" s="649">
        <f t="shared" si="8"/>
        <v>10353014</v>
      </c>
      <c r="H33" s="649">
        <f t="shared" si="6"/>
        <v>0</v>
      </c>
      <c r="I33" s="648">
        <f>[4]PIE!F11</f>
        <v>10353014</v>
      </c>
      <c r="J33" s="649"/>
      <c r="K33" s="650">
        <v>0</v>
      </c>
      <c r="L33" s="511"/>
      <c r="M33" s="511"/>
      <c r="N33" s="511">
        <f t="shared" si="9"/>
        <v>0</v>
      </c>
      <c r="O33" s="607"/>
      <c r="P33" s="607"/>
      <c r="Q33" s="512">
        <f t="shared" si="5"/>
        <v>0</v>
      </c>
      <c r="R33" s="518"/>
      <c r="S33" s="519"/>
      <c r="T33" s="520">
        <v>0</v>
      </c>
      <c r="U33" s="379"/>
      <c r="V33" s="380"/>
      <c r="W33" s="375" t="e">
        <f>#REF!+#REF!+#REF!</f>
        <v>#REF!</v>
      </c>
      <c r="X33" s="376" t="e">
        <f t="shared" si="7"/>
        <v>#REF!</v>
      </c>
      <c r="Y33" s="377"/>
      <c r="Z33" s="692"/>
      <c r="AA33" s="651" t="s">
        <v>745</v>
      </c>
      <c r="AB33" s="650">
        <v>0</v>
      </c>
      <c r="AC33" s="693"/>
      <c r="AD33" s="609">
        <v>0</v>
      </c>
      <c r="AG33" s="378"/>
      <c r="AH33" s="591" t="s">
        <v>590</v>
      </c>
      <c r="AI33" s="584"/>
      <c r="AJ33" s="584"/>
      <c r="AK33" s="596">
        <v>0</v>
      </c>
    </row>
    <row r="34" spans="1:37" s="388" customFormat="1" ht="14.1" customHeight="1" x14ac:dyDescent="0.2">
      <c r="A34" s="557"/>
      <c r="B34" s="651" t="s">
        <v>594</v>
      </c>
      <c r="C34" s="652">
        <v>2000000</v>
      </c>
      <c r="D34" s="652"/>
      <c r="E34" s="652">
        <v>2000000</v>
      </c>
      <c r="F34" s="652"/>
      <c r="G34" s="653">
        <f t="shared" si="8"/>
        <v>4000000</v>
      </c>
      <c r="H34" s="654">
        <f t="shared" si="6"/>
        <v>0</v>
      </c>
      <c r="I34" s="648">
        <f>[4]P16!F10</f>
        <v>4000000</v>
      </c>
      <c r="J34" s="649"/>
      <c r="K34" s="650">
        <f>SUM(Table1[[#This Row],[Column10]:[Column11]])</f>
        <v>4000000</v>
      </c>
      <c r="L34" s="512">
        <f>[4]P16!H10</f>
        <v>0</v>
      </c>
      <c r="M34" s="517">
        <f>[4]P16!I10</f>
        <v>0</v>
      </c>
      <c r="N34" s="511">
        <f t="shared" si="9"/>
        <v>0</v>
      </c>
      <c r="O34" s="512">
        <f>[4]P16!H21</f>
        <v>0</v>
      </c>
      <c r="P34" s="511">
        <f>[4]P16!I21</f>
        <v>0</v>
      </c>
      <c r="Q34" s="511">
        <f t="shared" si="5"/>
        <v>0</v>
      </c>
      <c r="R34" s="518">
        <v>0</v>
      </c>
      <c r="S34" s="519">
        <v>0</v>
      </c>
      <c r="T34" s="520">
        <f>N34/(SUM(I34:J34))</f>
        <v>0</v>
      </c>
      <c r="U34" s="379">
        <f>Q34/SUM(I34:J34)</f>
        <v>0</v>
      </c>
      <c r="V34" s="380">
        <f>(N34+Q34)/(I34+J34)</f>
        <v>0</v>
      </c>
      <c r="W34" s="375" t="e">
        <f>#REF!+N34+Q34</f>
        <v>#REF!</v>
      </c>
      <c r="X34" s="376" t="e">
        <f t="shared" si="7"/>
        <v>#REF!</v>
      </c>
      <c r="Y34" s="377"/>
      <c r="Z34" s="569"/>
      <c r="AA34" s="651" t="s">
        <v>594</v>
      </c>
      <c r="AB34" s="650">
        <f>SUM(Table1[[#This Row],[Column10]:[Column11]])</f>
        <v>4000000</v>
      </c>
      <c r="AC34" s="482">
        <v>0</v>
      </c>
      <c r="AD34" s="564">
        <f>Table2[[#This Row],[Column17]]/Table2[[#This Row],[Column112]]</f>
        <v>0</v>
      </c>
      <c r="AG34" s="378"/>
      <c r="AH34" s="589" t="s">
        <v>592</v>
      </c>
      <c r="AI34" s="584"/>
      <c r="AJ34" s="584"/>
      <c r="AK34" s="597">
        <f>T7</f>
        <v>0.14821332545427685</v>
      </c>
    </row>
    <row r="35" spans="1:37" s="389" customFormat="1" ht="14.1" customHeight="1" x14ac:dyDescent="0.2">
      <c r="A35" s="557"/>
      <c r="B35" s="651" t="s">
        <v>595</v>
      </c>
      <c r="C35" s="655">
        <v>1520353</v>
      </c>
      <c r="D35" s="655"/>
      <c r="E35" s="655">
        <v>1520353</v>
      </c>
      <c r="F35" s="655"/>
      <c r="G35" s="653">
        <f t="shared" si="8"/>
        <v>3040706</v>
      </c>
      <c r="H35" s="654">
        <f t="shared" si="6"/>
        <v>0</v>
      </c>
      <c r="I35" s="648">
        <f>[4]P16!F11</f>
        <v>3040706</v>
      </c>
      <c r="J35" s="649"/>
      <c r="K35" s="650">
        <f>'A - Baseline Request'!N58</f>
        <v>1520353</v>
      </c>
      <c r="L35" s="511"/>
      <c r="M35" s="511"/>
      <c r="N35" s="511">
        <f t="shared" si="9"/>
        <v>0</v>
      </c>
      <c r="O35" s="607"/>
      <c r="P35" s="607"/>
      <c r="Q35" s="512">
        <f t="shared" si="5"/>
        <v>0</v>
      </c>
      <c r="R35" s="518"/>
      <c r="S35" s="519"/>
      <c r="T35" s="691">
        <v>0</v>
      </c>
      <c r="U35" s="379"/>
      <c r="V35" s="380"/>
      <c r="W35" s="375" t="e">
        <f>W34+N37+Q37</f>
        <v>#REF!</v>
      </c>
      <c r="X35" s="376" t="e">
        <f t="shared" si="7"/>
        <v>#REF!</v>
      </c>
      <c r="Y35" s="377"/>
      <c r="Z35" s="692"/>
      <c r="AA35" s="651" t="s">
        <v>595</v>
      </c>
      <c r="AB35" s="650">
        <f>'A - Baseline Request'!N58</f>
        <v>1520353</v>
      </c>
      <c r="AC35" s="693"/>
      <c r="AD35" s="609">
        <f>Table2[[#This Row],[Column17]]/Table2[[#This Row],[Column112]]</f>
        <v>0</v>
      </c>
      <c r="AG35" s="378"/>
      <c r="AH35" s="589" t="s">
        <v>594</v>
      </c>
      <c r="AI35" s="585"/>
      <c r="AJ35" s="585"/>
      <c r="AK35" s="598">
        <v>0</v>
      </c>
    </row>
    <row r="36" spans="1:37" s="389" customFormat="1" ht="14.1" customHeight="1" x14ac:dyDescent="0.2">
      <c r="A36" s="557"/>
      <c r="B36" s="651" t="s">
        <v>596</v>
      </c>
      <c r="C36" s="652">
        <v>2000000</v>
      </c>
      <c r="D36" s="652"/>
      <c r="E36" s="652">
        <v>2000000</v>
      </c>
      <c r="F36" s="652"/>
      <c r="G36" s="653">
        <f t="shared" si="8"/>
        <v>4000000</v>
      </c>
      <c r="H36" s="649">
        <f t="shared" si="6"/>
        <v>0</v>
      </c>
      <c r="I36" s="648">
        <f>[4]P16!F12</f>
        <v>4000000</v>
      </c>
      <c r="J36" s="649"/>
      <c r="K36" s="649">
        <f>SUM(Table1[[#This Row],[Column10]:[Column11]])</f>
        <v>4000000</v>
      </c>
      <c r="L36" s="511">
        <f>[4]P16!H12</f>
        <v>0</v>
      </c>
      <c r="M36" s="511">
        <f>[4]P16!I12</f>
        <v>0</v>
      </c>
      <c r="N36" s="511">
        <f t="shared" si="9"/>
        <v>0</v>
      </c>
      <c r="O36" s="607">
        <f>[4]P16!H23</f>
        <v>0</v>
      </c>
      <c r="P36" s="607">
        <f>[4]P16!I23</f>
        <v>0</v>
      </c>
      <c r="Q36" s="512">
        <f t="shared" si="5"/>
        <v>0</v>
      </c>
      <c r="R36" s="518">
        <v>0</v>
      </c>
      <c r="S36" s="519">
        <v>0</v>
      </c>
      <c r="T36" s="520">
        <f>N36/(SUM(I36:J36))</f>
        <v>0</v>
      </c>
      <c r="U36" s="379">
        <f>Q36/SUM(I36:J36)</f>
        <v>0</v>
      </c>
      <c r="V36" s="380">
        <f>(N36+Q36)/(I36+J36)</f>
        <v>0</v>
      </c>
      <c r="W36" s="390"/>
      <c r="X36" s="376"/>
      <c r="Y36" s="377"/>
      <c r="Z36" s="570"/>
      <c r="AA36" s="651" t="s">
        <v>596</v>
      </c>
      <c r="AB36" s="650">
        <v>4000000</v>
      </c>
      <c r="AC36" s="482">
        <v>0</v>
      </c>
      <c r="AD36" s="564">
        <f>Table2[[#This Row],[Column17]]/Table2[[#This Row],[Column112]]</f>
        <v>0</v>
      </c>
      <c r="AG36" s="378"/>
      <c r="AH36" s="589" t="s">
        <v>596</v>
      </c>
      <c r="AI36" s="585"/>
      <c r="AJ36" s="585"/>
      <c r="AK36" s="598">
        <v>0</v>
      </c>
    </row>
    <row r="37" spans="1:37" s="387" customFormat="1" ht="13.5" customHeight="1" thickBot="1" x14ac:dyDescent="0.25">
      <c r="A37" s="560"/>
      <c r="B37" s="651" t="s">
        <v>722</v>
      </c>
      <c r="C37" s="652"/>
      <c r="D37" s="652"/>
      <c r="E37" s="652"/>
      <c r="F37" s="652"/>
      <c r="G37" s="663">
        <f t="shared" si="8"/>
        <v>0</v>
      </c>
      <c r="H37" s="664">
        <f t="shared" si="6"/>
        <v>0</v>
      </c>
      <c r="I37" s="648"/>
      <c r="J37" s="649"/>
      <c r="K37" s="650">
        <f>'A - Baseline Request'!N65</f>
        <v>1520353</v>
      </c>
      <c r="L37" s="527"/>
      <c r="M37" s="528"/>
      <c r="N37" s="511">
        <f t="shared" si="9"/>
        <v>0</v>
      </c>
      <c r="O37" s="529"/>
      <c r="P37" s="530"/>
      <c r="Q37" s="531">
        <f t="shared" si="5"/>
        <v>0</v>
      </c>
      <c r="R37" s="532"/>
      <c r="S37" s="533"/>
      <c r="T37" s="520">
        <v>0</v>
      </c>
      <c r="U37" s="379"/>
      <c r="V37" s="380"/>
      <c r="W37" s="394"/>
      <c r="X37" s="395"/>
      <c r="Y37" s="377"/>
      <c r="Z37" s="608"/>
      <c r="AA37" s="651" t="s">
        <v>722</v>
      </c>
      <c r="AB37" s="675">
        <f>Table1[[#This Row],[Column112]]</f>
        <v>1520353</v>
      </c>
      <c r="AC37" s="482">
        <v>0</v>
      </c>
      <c r="AD37" s="609">
        <f>Table2[[#This Row],[Column17]]/Table2[[#This Row],[Column112]]</f>
        <v>0</v>
      </c>
      <c r="AH37" s="599"/>
      <c r="AI37" s="600"/>
      <c r="AJ37" s="600"/>
      <c r="AK37" s="601" t="e">
        <f>SUM(AK7:AK34)</f>
        <v>#REF!</v>
      </c>
    </row>
    <row r="38" spans="1:37" s="388" customFormat="1" ht="18.75" customHeight="1" thickBot="1" x14ac:dyDescent="0.35">
      <c r="A38" s="391"/>
      <c r="B38" s="665" t="s">
        <v>473</v>
      </c>
      <c r="C38" s="666">
        <f t="shared" ref="C38:H38" si="13">SUM(C19:C37,C8:C33)</f>
        <v>1082726453</v>
      </c>
      <c r="D38" s="666">
        <f t="shared" si="13"/>
        <v>92841791</v>
      </c>
      <c r="E38" s="666">
        <f t="shared" si="13"/>
        <v>871979237</v>
      </c>
      <c r="F38" s="667">
        <f t="shared" si="13"/>
        <v>1114000</v>
      </c>
      <c r="G38" s="668">
        <f t="shared" si="13"/>
        <v>1953406690</v>
      </c>
      <c r="H38" s="669">
        <f t="shared" si="13"/>
        <v>93955791</v>
      </c>
      <c r="I38" s="670">
        <f>SUM(I19:I37,I8:I33,I7)</f>
        <v>2078984391</v>
      </c>
      <c r="J38" s="670">
        <f>SUM(J19:J37,J8:J33,J7)</f>
        <v>46398000</v>
      </c>
      <c r="K38" s="670">
        <f>SUM(Table1[Column112])</f>
        <v>1054563383</v>
      </c>
      <c r="L38" s="534"/>
      <c r="M38" s="535"/>
      <c r="N38" s="536"/>
      <c r="O38" s="537"/>
      <c r="P38" s="538"/>
      <c r="Q38" s="539"/>
      <c r="R38" s="540"/>
      <c r="S38" s="541"/>
      <c r="T38" s="542"/>
      <c r="U38" s="392"/>
      <c r="V38" s="393"/>
      <c r="W38" s="401"/>
      <c r="X38" s="402"/>
      <c r="Y38" s="396"/>
      <c r="Z38" s="397"/>
      <c r="AA38" s="665" t="s">
        <v>473</v>
      </c>
      <c r="AB38" s="670">
        <f>SUM(Table2[Column112])</f>
        <v>1054563383</v>
      </c>
      <c r="AC38" s="565"/>
      <c r="AD38" s="565"/>
      <c r="AK38" s="610" t="e">
        <f>AK37=SUM(T7:T37,AD7:AD37)</f>
        <v>#REF!</v>
      </c>
    </row>
    <row r="39" spans="1:37" ht="18.75" customHeight="1" x14ac:dyDescent="0.25">
      <c r="A39" s="398"/>
      <c r="B39" s="551" t="s">
        <v>457</v>
      </c>
      <c r="C39" s="552"/>
      <c r="D39" s="552"/>
      <c r="E39" s="552"/>
      <c r="F39" s="552"/>
      <c r="G39" s="552"/>
      <c r="H39" s="552"/>
      <c r="I39" s="552"/>
      <c r="J39" s="552"/>
      <c r="K39" s="553"/>
      <c r="L39" s="543"/>
      <c r="M39" s="543"/>
      <c r="N39" s="544">
        <f>SUM(Table1[Column14])</f>
        <v>52728278</v>
      </c>
      <c r="O39" s="545"/>
      <c r="P39" s="546"/>
      <c r="Q39" s="547"/>
      <c r="R39" s="548">
        <f>SUM(R8:R37)</f>
        <v>1.9</v>
      </c>
      <c r="S39" s="549">
        <f>SUM(S8:S37)</f>
        <v>1.9</v>
      </c>
      <c r="T39" s="550">
        <f>N39/K38</f>
        <v>5.0000103218072765E-2</v>
      </c>
      <c r="U39" s="399"/>
      <c r="V39" s="400"/>
      <c r="W39" s="216"/>
      <c r="X39" s="215"/>
      <c r="Y39" s="388"/>
      <c r="Z39" s="378"/>
      <c r="AA39" s="566" t="s">
        <v>459</v>
      </c>
      <c r="AB39" s="566"/>
      <c r="AC39" s="611">
        <f>SUM(AC7:AC37)</f>
        <v>52728060</v>
      </c>
      <c r="AD39" s="483">
        <f>AC39/AB38</f>
        <v>4.9999896497449313E-2</v>
      </c>
    </row>
    <row r="40" spans="1:37" ht="12.75" hidden="1" x14ac:dyDescent="0.2">
      <c r="A40" s="209"/>
      <c r="B40" s="737" t="s">
        <v>458</v>
      </c>
      <c r="C40" s="738"/>
      <c r="D40" s="738"/>
      <c r="E40" s="738"/>
      <c r="F40" s="738"/>
      <c r="G40" s="738"/>
      <c r="H40" s="738"/>
      <c r="I40" s="738"/>
      <c r="J40" s="738"/>
      <c r="K40" s="738"/>
      <c r="L40" s="738"/>
      <c r="M40" s="739"/>
      <c r="N40" s="224">
        <v>57038941</v>
      </c>
      <c r="O40" s="329"/>
      <c r="P40" s="330"/>
      <c r="Q40" s="325"/>
      <c r="R40" s="331"/>
      <c r="S40" s="332"/>
      <c r="T40" s="337"/>
      <c r="U40" s="338"/>
      <c r="V40" s="328"/>
      <c r="Y40" s="210"/>
    </row>
    <row r="41" spans="1:37" ht="18.75" hidden="1" customHeight="1" x14ac:dyDescent="0.25">
      <c r="A41" s="209"/>
      <c r="B41" s="756" t="s">
        <v>458</v>
      </c>
      <c r="C41" s="757"/>
      <c r="D41" s="757"/>
      <c r="E41" s="757"/>
      <c r="F41" s="757"/>
      <c r="G41" s="757"/>
      <c r="H41" s="757"/>
      <c r="I41" s="757"/>
      <c r="J41" s="757"/>
      <c r="K41" s="757"/>
      <c r="L41" s="757"/>
      <c r="M41" s="757"/>
      <c r="N41" s="757"/>
      <c r="O41" s="757"/>
      <c r="P41" s="758"/>
      <c r="Q41" s="217">
        <v>57038941</v>
      </c>
      <c r="R41" s="326"/>
      <c r="S41" s="327"/>
      <c r="T41" s="223"/>
      <c r="U41" s="225"/>
      <c r="V41" s="210"/>
    </row>
    <row r="42" spans="1:37" ht="30" customHeight="1" x14ac:dyDescent="0.25">
      <c r="E42" s="226">
        <f>SUM(C38:F38)</f>
        <v>2048661481</v>
      </c>
      <c r="F42" s="226">
        <f>SUM(G38:H38)</f>
        <v>2047362481</v>
      </c>
      <c r="G42" s="226">
        <f>E42-F42</f>
        <v>1299000</v>
      </c>
      <c r="W42" s="617"/>
      <c r="X42" s="617"/>
    </row>
    <row r="43" spans="1:37" ht="18.75" customHeight="1" thickBot="1" x14ac:dyDescent="0.3">
      <c r="A43" s="724" t="s">
        <v>674</v>
      </c>
      <c r="B43" s="724"/>
      <c r="C43" s="724"/>
      <c r="D43" s="724"/>
      <c r="E43" s="724"/>
      <c r="F43" s="724"/>
      <c r="G43" s="724"/>
      <c r="H43" s="724"/>
      <c r="I43" s="724"/>
      <c r="J43" s="724"/>
      <c r="K43" s="724"/>
      <c r="L43" s="724"/>
      <c r="M43" s="724"/>
      <c r="N43" s="724"/>
      <c r="O43" s="403"/>
      <c r="P43" s="403"/>
      <c r="Q43" s="403"/>
      <c r="R43" s="403"/>
      <c r="S43" s="403"/>
      <c r="T43" s="729">
        <f>SUM(N39+AC39)</f>
        <v>105456338</v>
      </c>
      <c r="U43" s="729"/>
      <c r="V43" s="729"/>
      <c r="W43" s="729"/>
      <c r="X43" s="729"/>
      <c r="Y43" s="729"/>
      <c r="Z43" s="729"/>
      <c r="AA43" s="723">
        <f>(N39+AC39)/K38</f>
        <v>9.9999999715522078E-2</v>
      </c>
      <c r="AB43" s="723"/>
      <c r="AC43" s="723"/>
      <c r="AD43" s="723"/>
    </row>
    <row r="44" spans="1:37" s="203" customFormat="1" ht="15" customHeight="1" thickTop="1" x14ac:dyDescent="0.25">
      <c r="A44" s="369"/>
      <c r="B44" s="191"/>
      <c r="C44" s="191"/>
      <c r="D44" s="191"/>
      <c r="E44" s="226"/>
      <c r="F44" s="226"/>
      <c r="G44" s="226"/>
      <c r="H44" s="191"/>
      <c r="I44" s="191"/>
      <c r="J44" s="191"/>
      <c r="K44" s="191"/>
      <c r="L44" s="214"/>
      <c r="M44" s="191"/>
      <c r="N44" s="191"/>
      <c r="O44" s="191"/>
      <c r="P44" s="191"/>
      <c r="Q44" s="191"/>
      <c r="R44" s="191"/>
      <c r="S44" s="191"/>
      <c r="T44" s="191"/>
      <c r="U44" s="191"/>
      <c r="V44" s="194"/>
      <c r="W44" s="202"/>
      <c r="X44" s="202"/>
      <c r="Y44" s="191"/>
      <c r="Z44" s="198"/>
      <c r="AA44" s="198"/>
      <c r="AB44" s="191"/>
      <c r="AC44" s="191"/>
      <c r="AD44" s="191"/>
    </row>
    <row r="45" spans="1:37" s="203" customFormat="1" ht="15" customHeight="1" x14ac:dyDescent="0.25">
      <c r="A45" s="195"/>
      <c r="B45" s="191"/>
      <c r="C45" s="191"/>
      <c r="D45" s="191"/>
      <c r="E45" s="191"/>
      <c r="F45" s="191"/>
      <c r="G45" s="191"/>
      <c r="H45" s="191"/>
      <c r="I45" s="191"/>
      <c r="J45" s="191"/>
      <c r="K45" s="191"/>
      <c r="L45" s="214"/>
      <c r="M45" s="191"/>
      <c r="N45" s="191"/>
      <c r="O45" s="191"/>
      <c r="P45" s="191"/>
      <c r="Q45" s="191"/>
      <c r="R45" s="191"/>
      <c r="S45" s="191"/>
      <c r="T45" s="191"/>
      <c r="U45" s="191"/>
      <c r="V45" s="194"/>
      <c r="W45" s="202"/>
      <c r="X45" s="202"/>
      <c r="Y45" s="202"/>
    </row>
    <row r="46" spans="1:37" s="203" customFormat="1" ht="15" customHeight="1" x14ac:dyDescent="0.3">
      <c r="A46" s="201"/>
      <c r="B46" s="759"/>
      <c r="C46" s="759"/>
      <c r="D46" s="759"/>
      <c r="E46" s="759"/>
      <c r="F46" s="759"/>
      <c r="G46" s="759"/>
      <c r="H46" s="759"/>
      <c r="I46" s="277"/>
      <c r="J46" s="277"/>
      <c r="K46" s="365"/>
      <c r="L46" s="211" t="s">
        <v>23</v>
      </c>
      <c r="M46" s="205" t="s">
        <v>398</v>
      </c>
      <c r="N46" s="205"/>
      <c r="O46" s="205" t="s">
        <v>8</v>
      </c>
      <c r="P46" s="314"/>
      <c r="Q46" s="314" t="s">
        <v>497</v>
      </c>
      <c r="R46" s="227"/>
      <c r="S46" s="227"/>
      <c r="T46" s="196"/>
      <c r="U46" s="228"/>
      <c r="V46" s="237"/>
      <c r="W46" s="202"/>
      <c r="X46" s="202"/>
      <c r="Y46" s="202"/>
    </row>
    <row r="47" spans="1:37" s="192" customFormat="1" ht="15" customHeight="1" x14ac:dyDescent="0.25">
      <c r="A47" s="201"/>
      <c r="B47" s="760"/>
      <c r="C47" s="759"/>
      <c r="D47" s="759"/>
      <c r="E47" s="759"/>
      <c r="F47" s="759"/>
      <c r="G47" s="759"/>
      <c r="H47" s="759"/>
      <c r="I47" s="277"/>
      <c r="J47" s="277"/>
      <c r="K47" s="606" t="s">
        <v>729</v>
      </c>
      <c r="L47" s="315">
        <f>L39</f>
        <v>0</v>
      </c>
      <c r="M47" s="315">
        <f>M39</f>
        <v>0</v>
      </c>
      <c r="N47" s="315" t="b">
        <f>K38='[1]In and Out Base '!$S$66</f>
        <v>1</v>
      </c>
      <c r="O47" s="229" t="e">
        <f>#REF!/(SUM(I38:J38))</f>
        <v>#REF!</v>
      </c>
      <c r="P47" s="316"/>
      <c r="Q47" s="317">
        <v>57038941</v>
      </c>
      <c r="R47" s="230"/>
      <c r="S47" s="230"/>
      <c r="T47" s="196"/>
      <c r="U47" s="196"/>
      <c r="V47" s="237"/>
      <c r="W47" s="199"/>
      <c r="X47" s="199"/>
      <c r="Y47" s="202"/>
      <c r="Z47" s="203"/>
      <c r="AA47" s="203"/>
      <c r="AB47" s="203"/>
      <c r="AC47" s="203"/>
      <c r="AD47" s="203"/>
    </row>
    <row r="48" spans="1:37" s="192" customFormat="1" ht="15" customHeight="1" x14ac:dyDescent="0.25">
      <c r="A48" s="201"/>
      <c r="B48" s="760"/>
      <c r="C48" s="759"/>
      <c r="D48" s="759"/>
      <c r="E48" s="759"/>
      <c r="F48" s="759"/>
      <c r="G48" s="759"/>
      <c r="H48" s="759"/>
      <c r="I48" s="277"/>
      <c r="J48" s="277"/>
      <c r="K48" s="606" t="s">
        <v>730</v>
      </c>
      <c r="L48" s="315" t="e">
        <f>#REF!</f>
        <v>#REF!</v>
      </c>
      <c r="M48" s="315" t="e">
        <f>#REF!</f>
        <v>#REF!</v>
      </c>
      <c r="N48" s="315" t="b">
        <f>N39='[1]First 5% Reduction'!$R$36</f>
        <v>1</v>
      </c>
      <c r="O48" s="229" t="e">
        <f>#REF!/SUM(I38:J38)</f>
        <v>#REF!</v>
      </c>
      <c r="P48" s="318"/>
      <c r="Q48" s="319">
        <v>57038941</v>
      </c>
      <c r="R48" s="231"/>
      <c r="S48" s="231"/>
      <c r="T48" s="196"/>
      <c r="U48" s="196"/>
      <c r="V48" s="237"/>
      <c r="W48" s="199"/>
      <c r="X48" s="199"/>
      <c r="Y48" s="686">
        <f>T39+AD39</f>
        <v>9.9999999715522078E-2</v>
      </c>
      <c r="Z48" s="686"/>
      <c r="AB48" s="445">
        <f>K38-AB38</f>
        <v>0</v>
      </c>
    </row>
    <row r="49" spans="1:30" s="192" customFormat="1" ht="15" hidden="1" customHeight="1" x14ac:dyDescent="0.25">
      <c r="A49" s="203"/>
      <c r="B49" s="761" t="s">
        <v>399</v>
      </c>
      <c r="C49" s="761"/>
      <c r="D49" s="761"/>
      <c r="E49" s="761"/>
      <c r="F49" s="761"/>
      <c r="G49" s="761"/>
      <c r="H49" s="761"/>
      <c r="I49" s="279"/>
      <c r="J49" s="279"/>
      <c r="K49" s="366"/>
      <c r="L49" s="320" t="e">
        <f>SUM(L47:L48)</f>
        <v>#REF!</v>
      </c>
      <c r="M49" s="320" t="e">
        <f>SUM(M47:M48)</f>
        <v>#REF!</v>
      </c>
      <c r="N49" s="321">
        <f>SUM(N47:N48)</f>
        <v>0</v>
      </c>
      <c r="O49" s="232" t="e">
        <f>(#REF!+#REF!)/(I38+J38)</f>
        <v>#REF!</v>
      </c>
      <c r="P49" s="762">
        <f>SUM(Q47:Q48)</f>
        <v>114077882</v>
      </c>
      <c r="Q49" s="763"/>
      <c r="R49" s="233"/>
      <c r="S49" s="233"/>
      <c r="T49" s="687">
        <f>N49-P49</f>
        <v>-114077882</v>
      </c>
      <c r="U49" s="687"/>
      <c r="V49" s="687"/>
      <c r="W49" s="687"/>
      <c r="X49" s="687"/>
      <c r="Y49" s="687"/>
      <c r="Z49" s="687"/>
    </row>
    <row r="50" spans="1:30" customFormat="1" ht="14.4" x14ac:dyDescent="0.3">
      <c r="A50" s="206"/>
      <c r="B50" s="207"/>
      <c r="C50" s="207"/>
      <c r="D50" s="207"/>
      <c r="E50" s="207"/>
      <c r="F50" s="207"/>
      <c r="G50" s="754" t="s">
        <v>731</v>
      </c>
      <c r="H50" s="754"/>
      <c r="I50" s="754"/>
      <c r="J50" s="754"/>
      <c r="K50" s="754"/>
      <c r="L50" s="754"/>
      <c r="M50" s="754"/>
      <c r="N50" s="212" t="b">
        <f>AC39='[1]Second 5% Reduction'!$K$36</f>
        <v>1</v>
      </c>
      <c r="O50" s="212">
        <f>N50-N49</f>
        <v>1</v>
      </c>
      <c r="P50" s="322"/>
      <c r="Q50" s="322"/>
      <c r="R50" s="234"/>
      <c r="S50" s="234"/>
      <c r="T50" s="204"/>
      <c r="U50" s="204"/>
      <c r="V50" s="204"/>
      <c r="Y50" s="204"/>
      <c r="Z50" s="199"/>
      <c r="AA50" s="694">
        <f>T43</f>
        <v>105456338</v>
      </c>
      <c r="AB50" s="192"/>
      <c r="AC50" s="192"/>
      <c r="AD50" s="192"/>
    </row>
    <row r="51" spans="1:30" ht="14.4" x14ac:dyDescent="0.3">
      <c r="A51" s="206"/>
      <c r="B51" s="207"/>
      <c r="C51" s="207"/>
      <c r="D51" s="207"/>
      <c r="E51" s="207"/>
      <c r="F51" s="207"/>
      <c r="G51" s="755" t="s">
        <v>22</v>
      </c>
      <c r="H51" s="755"/>
      <c r="I51" s="323"/>
      <c r="J51" s="323"/>
      <c r="K51" s="364"/>
      <c r="L51" s="213" t="e">
        <f>L49-L50</f>
        <v>#REF!</v>
      </c>
      <c r="M51" s="208" t="e">
        <f>M49-M50</f>
        <v>#REF!</v>
      </c>
      <c r="N51" s="208"/>
      <c r="O51" s="208"/>
      <c r="P51" s="208"/>
      <c r="Q51" s="324"/>
      <c r="R51" s="234">
        <v>0</v>
      </c>
      <c r="S51" s="234">
        <v>0</v>
      </c>
      <c r="T51" s="234"/>
      <c r="U51" s="234" t="b">
        <f>T51=T49</f>
        <v>0</v>
      </c>
      <c r="V51" s="204"/>
      <c r="Y51" s="370"/>
      <c r="Z51"/>
      <c r="AA51"/>
      <c r="AB51"/>
      <c r="AC51"/>
      <c r="AD51"/>
    </row>
    <row r="52" spans="1:30" ht="14.4" x14ac:dyDescent="0.3">
      <c r="A52"/>
      <c r="B52"/>
      <c r="C52"/>
      <c r="D52"/>
      <c r="E52"/>
      <c r="F52"/>
      <c r="G52"/>
      <c r="H52"/>
      <c r="I52"/>
      <c r="J52"/>
      <c r="K52" s="370"/>
      <c r="L52"/>
      <c r="M52"/>
      <c r="N52"/>
      <c r="O52"/>
      <c r="P52"/>
      <c r="Q52"/>
      <c r="R52"/>
      <c r="S52"/>
      <c r="T52"/>
      <c r="U52"/>
      <c r="V52" s="2"/>
    </row>
    <row r="53" spans="1:30" x14ac:dyDescent="0.25">
      <c r="O53" s="191">
        <v>273669</v>
      </c>
      <c r="AA53" s="448" t="b">
        <f>T43=105456338</f>
        <v>1</v>
      </c>
    </row>
    <row r="54" spans="1:30" x14ac:dyDescent="0.25">
      <c r="O54" s="235">
        <v>9.987E-2</v>
      </c>
      <c r="AA54" s="198" t="b">
        <f>K38=1054563383</f>
        <v>1</v>
      </c>
    </row>
    <row r="55" spans="1:30" x14ac:dyDescent="0.25">
      <c r="H55" s="236">
        <f>SUM(G38:H38)-SUM(I38:J38)</f>
        <v>-78019910</v>
      </c>
    </row>
    <row r="56" spans="1:30" x14ac:dyDescent="0.25">
      <c r="I56" s="313"/>
      <c r="J56" s="312"/>
      <c r="K56" s="312"/>
      <c r="N56" s="308"/>
      <c r="O56" s="309"/>
      <c r="P56" s="309"/>
      <c r="Q56" s="309"/>
    </row>
    <row r="57" spans="1:30" x14ac:dyDescent="0.25">
      <c r="I57" s="194"/>
      <c r="N57" s="309"/>
      <c r="O57" s="309"/>
      <c r="P57" s="309"/>
      <c r="Q57" s="309"/>
    </row>
    <row r="58" spans="1:30" x14ac:dyDescent="0.25">
      <c r="N58" s="309"/>
      <c r="O58" s="309"/>
      <c r="P58" s="309"/>
      <c r="Q58" s="310"/>
    </row>
    <row r="59" spans="1:30" x14ac:dyDescent="0.25">
      <c r="I59" s="194"/>
      <c r="N59" s="309"/>
      <c r="O59" s="309"/>
      <c r="P59" s="309"/>
      <c r="Q59" s="311"/>
    </row>
  </sheetData>
  <mergeCells count="29">
    <mergeCell ref="G50:M50"/>
    <mergeCell ref="G51:H51"/>
    <mergeCell ref="B41:P41"/>
    <mergeCell ref="B46:H46"/>
    <mergeCell ref="B47:H47"/>
    <mergeCell ref="B48:H48"/>
    <mergeCell ref="B49:H49"/>
    <mergeCell ref="P49:Q49"/>
    <mergeCell ref="A1:AD1"/>
    <mergeCell ref="A3:X3"/>
    <mergeCell ref="Z3:AD3"/>
    <mergeCell ref="B40:M40"/>
    <mergeCell ref="A2:X2"/>
    <mergeCell ref="C4:D4"/>
    <mergeCell ref="E4:F4"/>
    <mergeCell ref="G4:H4"/>
    <mergeCell ref="I4:J4"/>
    <mergeCell ref="L4:N4"/>
    <mergeCell ref="O4:Q4"/>
    <mergeCell ref="R4:S4"/>
    <mergeCell ref="T4:T5"/>
    <mergeCell ref="U4:U5"/>
    <mergeCell ref="V4:V5"/>
    <mergeCell ref="AA43:AD43"/>
    <mergeCell ref="A43:N43"/>
    <mergeCell ref="AD4:AD5"/>
    <mergeCell ref="B4:B5"/>
    <mergeCell ref="AA4:AA5"/>
    <mergeCell ref="T43:Z43"/>
  </mergeCells>
  <printOptions horizontalCentered="1"/>
  <pageMargins left="0.3" right="0.3" top="1" bottom="0.8" header="0.55000000000000004" footer="0.55000000000000004"/>
  <pageSetup scale="79" orientation="landscape" r:id="rId1"/>
  <headerFooter scaleWithDoc="0">
    <oddHeader>&amp;C&amp;"Arial,Bold"&amp;14 10 Percent 14-15 Biennial Base Reduction Options Schedule</oddHeader>
    <oddFooter>&amp;C&amp;"Arial,Regular"&amp;9Page B1&amp;R&amp;"Arial,Regular"&amp;9DRAFT - THECB &amp;D</oddFooter>
    <evenFooter>&amp;C&amp;"Arial,Regular"&amp;9Page B2&amp;R&amp;"Arial,Regular"&amp;9THECB &amp;D</evenFooter>
    <firstHeader>&amp;C&amp;"Arial,Bold"&amp;14 10 Percent Biennial Base Reduction Options Schedule</firstHeader>
    <firstFooter>&amp;C&amp;"Arial,Regular"&amp;9Page B1&amp;R&amp;"Arial,Regular"&amp;9THECB &amp;D</firstFooter>
  </headerFooter>
  <rowBreaks count="1" manualBreakCount="1">
    <brk id="51" max="18" man="1"/>
  </rowBreaks>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tabSelected="1" view="pageBreakPreview" zoomScaleNormal="100" zoomScaleSheetLayoutView="100" zoomScalePageLayoutView="80" workbookViewId="0">
      <selection activeCell="E6" sqref="E6"/>
    </sheetView>
  </sheetViews>
  <sheetFormatPr defaultColWidth="9.109375" defaultRowHeight="27" customHeight="1" x14ac:dyDescent="0.25"/>
  <cols>
    <col min="1" max="1" width="7.44140625" style="2" customWidth="1"/>
    <col min="2" max="2" width="7.88671875" style="2" customWidth="1"/>
    <col min="3" max="3" width="10" style="2" customWidth="1"/>
    <col min="4" max="4" width="9.6640625" style="2" customWidth="1"/>
    <col min="5" max="5" width="60.88671875" style="2" customWidth="1"/>
    <col min="6" max="6" width="12.5546875" style="2" customWidth="1"/>
    <col min="7" max="7" width="12.33203125" style="2" customWidth="1"/>
    <col min="8" max="8" width="13.5546875" style="2" customWidth="1"/>
    <col min="9" max="9" width="6.6640625" style="2" customWidth="1"/>
    <col min="10" max="10" width="9.109375" style="2"/>
    <col min="11" max="16" width="9.109375" style="59"/>
    <col min="17" max="16384" width="9.109375" style="2"/>
  </cols>
  <sheetData>
    <row r="1" spans="1:10" ht="27" customHeight="1" thickBot="1" x14ac:dyDescent="0.25">
      <c r="A1" s="371"/>
      <c r="B1" s="764" t="s">
        <v>219</v>
      </c>
      <c r="C1" s="764"/>
      <c r="D1" s="764"/>
      <c r="E1" s="764"/>
      <c r="F1" s="764"/>
      <c r="G1" s="764"/>
      <c r="H1" s="764"/>
      <c r="I1" s="764"/>
      <c r="J1" s="764"/>
    </row>
    <row r="2" spans="1:10" ht="27" customHeight="1" thickBot="1" x14ac:dyDescent="0.25">
      <c r="A2" s="678" t="s">
        <v>648</v>
      </c>
      <c r="B2" s="679" t="s">
        <v>647</v>
      </c>
      <c r="C2" s="679" t="s">
        <v>400</v>
      </c>
      <c r="D2" s="680" t="s">
        <v>281</v>
      </c>
      <c r="E2" s="681" t="s">
        <v>28</v>
      </c>
      <c r="F2" s="682" t="s">
        <v>444</v>
      </c>
      <c r="G2" s="682" t="s">
        <v>676</v>
      </c>
      <c r="H2" s="682" t="s">
        <v>368</v>
      </c>
      <c r="I2" s="682" t="s">
        <v>215</v>
      </c>
      <c r="J2" s="682" t="s">
        <v>441</v>
      </c>
    </row>
    <row r="3" spans="1:10" ht="48.75" customHeight="1" x14ac:dyDescent="0.2">
      <c r="A3" s="676">
        <v>1</v>
      </c>
      <c r="B3" s="574">
        <v>1</v>
      </c>
      <c r="C3" s="683" t="s">
        <v>194</v>
      </c>
      <c r="D3" s="575" t="s">
        <v>662</v>
      </c>
      <c r="E3" s="576" t="s">
        <v>786</v>
      </c>
      <c r="F3" s="577">
        <v>38537345</v>
      </c>
      <c r="G3" s="577">
        <v>67970755</v>
      </c>
      <c r="H3" s="577">
        <f t="shared" ref="H3:H14" si="0">SUM(F3:G3)</f>
        <v>106508100</v>
      </c>
      <c r="I3" s="579">
        <v>0</v>
      </c>
      <c r="J3" s="578" t="s">
        <v>705</v>
      </c>
    </row>
    <row r="4" spans="1:10" ht="84" customHeight="1" x14ac:dyDescent="0.2">
      <c r="A4" s="677">
        <v>2</v>
      </c>
      <c r="B4" s="468">
        <v>1</v>
      </c>
      <c r="C4" s="684" t="s">
        <v>645</v>
      </c>
      <c r="D4" s="469" t="s">
        <v>666</v>
      </c>
      <c r="E4" s="470" t="s">
        <v>788</v>
      </c>
      <c r="F4" s="471">
        <v>199146</v>
      </c>
      <c r="G4" s="471">
        <v>344776</v>
      </c>
      <c r="H4" s="471">
        <f t="shared" si="0"/>
        <v>543922</v>
      </c>
      <c r="I4" s="580">
        <v>0</v>
      </c>
      <c r="J4" s="472" t="s">
        <v>713</v>
      </c>
    </row>
    <row r="5" spans="1:10" ht="82.5" customHeight="1" x14ac:dyDescent="0.2">
      <c r="A5" s="677">
        <v>3</v>
      </c>
      <c r="B5" s="468">
        <v>2</v>
      </c>
      <c r="C5" s="684" t="s">
        <v>803</v>
      </c>
      <c r="D5" s="469" t="s">
        <v>804</v>
      </c>
      <c r="E5" s="470" t="s">
        <v>806</v>
      </c>
      <c r="F5" s="471">
        <v>4500000</v>
      </c>
      <c r="G5" s="471">
        <v>4500000</v>
      </c>
      <c r="H5" s="471">
        <f>SUM(F5:G5)</f>
        <v>9000000</v>
      </c>
      <c r="I5" s="580">
        <v>0</v>
      </c>
      <c r="J5" s="472" t="s">
        <v>805</v>
      </c>
    </row>
    <row r="6" spans="1:10" ht="168.75" customHeight="1" x14ac:dyDescent="0.2">
      <c r="A6" s="677">
        <v>4</v>
      </c>
      <c r="B6" s="468">
        <v>1</v>
      </c>
      <c r="C6" s="684" t="s">
        <v>650</v>
      </c>
      <c r="D6" s="469" t="s">
        <v>667</v>
      </c>
      <c r="E6" s="470" t="s">
        <v>739</v>
      </c>
      <c r="F6" s="471">
        <v>5750000</v>
      </c>
      <c r="G6" s="471">
        <v>5750000</v>
      </c>
      <c r="H6" s="471">
        <f t="shared" si="0"/>
        <v>11500000</v>
      </c>
      <c r="I6" s="580">
        <v>0</v>
      </c>
      <c r="J6" s="472" t="s">
        <v>706</v>
      </c>
    </row>
    <row r="7" spans="1:10" ht="83.25" customHeight="1" x14ac:dyDescent="0.25">
      <c r="A7" s="677">
        <v>5</v>
      </c>
      <c r="B7" s="468">
        <v>2</v>
      </c>
      <c r="C7" s="684" t="s">
        <v>651</v>
      </c>
      <c r="D7" s="469" t="s">
        <v>702</v>
      </c>
      <c r="E7" s="470" t="s">
        <v>652</v>
      </c>
      <c r="F7" s="471">
        <v>1750000</v>
      </c>
      <c r="G7" s="471">
        <v>1750000</v>
      </c>
      <c r="H7" s="471">
        <f t="shared" si="0"/>
        <v>3500000</v>
      </c>
      <c r="I7" s="580">
        <v>0</v>
      </c>
      <c r="J7" s="472" t="s">
        <v>707</v>
      </c>
    </row>
    <row r="8" spans="1:10" ht="177" customHeight="1" x14ac:dyDescent="0.25">
      <c r="A8" s="677">
        <v>6</v>
      </c>
      <c r="B8" s="468">
        <v>3</v>
      </c>
      <c r="C8" s="684" t="s">
        <v>6</v>
      </c>
      <c r="D8" s="469" t="s">
        <v>653</v>
      </c>
      <c r="E8" s="470" t="s">
        <v>654</v>
      </c>
      <c r="F8" s="471">
        <v>5000000</v>
      </c>
      <c r="G8" s="471">
        <v>5000000</v>
      </c>
      <c r="H8" s="471">
        <f t="shared" si="0"/>
        <v>10000000</v>
      </c>
      <c r="I8" s="580">
        <v>0</v>
      </c>
      <c r="J8" s="472" t="s">
        <v>703</v>
      </c>
    </row>
    <row r="9" spans="1:10" ht="110.25" customHeight="1" x14ac:dyDescent="0.25">
      <c r="A9" s="677">
        <v>7</v>
      </c>
      <c r="B9" s="468">
        <v>4</v>
      </c>
      <c r="C9" s="684" t="s">
        <v>655</v>
      </c>
      <c r="D9" s="469" t="s">
        <v>656</v>
      </c>
      <c r="E9" s="470" t="s">
        <v>657</v>
      </c>
      <c r="F9" s="471">
        <v>8000000</v>
      </c>
      <c r="G9" s="471">
        <v>0</v>
      </c>
      <c r="H9" s="471">
        <f t="shared" si="0"/>
        <v>8000000</v>
      </c>
      <c r="I9" s="580">
        <v>0</v>
      </c>
      <c r="J9" s="468" t="s">
        <v>707</v>
      </c>
    </row>
    <row r="10" spans="1:10" ht="149.25" customHeight="1" x14ac:dyDescent="0.25">
      <c r="A10" s="677">
        <v>8</v>
      </c>
      <c r="B10" s="468">
        <v>5</v>
      </c>
      <c r="C10" s="473" t="s">
        <v>7</v>
      </c>
      <c r="D10" s="469" t="s">
        <v>668</v>
      </c>
      <c r="E10" s="470" t="s">
        <v>658</v>
      </c>
      <c r="F10" s="471">
        <v>250000</v>
      </c>
      <c r="G10" s="471">
        <v>250000</v>
      </c>
      <c r="H10" s="471">
        <f t="shared" si="0"/>
        <v>500000</v>
      </c>
      <c r="I10" s="580">
        <v>0</v>
      </c>
      <c r="J10" s="468" t="s">
        <v>704</v>
      </c>
    </row>
    <row r="11" spans="1:10" ht="150.75" customHeight="1" x14ac:dyDescent="0.25">
      <c r="A11" s="677">
        <v>9</v>
      </c>
      <c r="B11" s="468">
        <v>6</v>
      </c>
      <c r="C11" s="684" t="s">
        <v>659</v>
      </c>
      <c r="D11" s="469" t="s">
        <v>660</v>
      </c>
      <c r="E11" s="470" t="s">
        <v>661</v>
      </c>
      <c r="F11" s="471">
        <v>2250000</v>
      </c>
      <c r="G11" s="471">
        <v>2250000</v>
      </c>
      <c r="H11" s="471">
        <f t="shared" si="0"/>
        <v>4500000</v>
      </c>
      <c r="I11" s="580">
        <v>0</v>
      </c>
      <c r="J11" s="472" t="s">
        <v>794</v>
      </c>
    </row>
    <row r="12" spans="1:10" ht="179.25" customHeight="1" x14ac:dyDescent="0.25">
      <c r="A12" s="677">
        <v>10</v>
      </c>
      <c r="B12" s="468">
        <v>3</v>
      </c>
      <c r="C12" s="684" t="s">
        <v>663</v>
      </c>
      <c r="D12" s="469" t="s">
        <v>664</v>
      </c>
      <c r="E12" s="470" t="s">
        <v>665</v>
      </c>
      <c r="F12" s="471">
        <v>1500000</v>
      </c>
      <c r="G12" s="471">
        <v>3200000</v>
      </c>
      <c r="H12" s="471">
        <f t="shared" si="0"/>
        <v>4700000</v>
      </c>
      <c r="I12" s="580">
        <v>0</v>
      </c>
      <c r="J12" s="472" t="s">
        <v>701</v>
      </c>
    </row>
    <row r="13" spans="1:10" ht="77.25" customHeight="1" x14ac:dyDescent="0.25">
      <c r="A13" s="677">
        <v>11</v>
      </c>
      <c r="B13" s="468">
        <v>1</v>
      </c>
      <c r="C13" s="684" t="s">
        <v>716</v>
      </c>
      <c r="D13" s="469" t="s">
        <v>717</v>
      </c>
      <c r="E13" s="470" t="s">
        <v>711</v>
      </c>
      <c r="F13" s="471">
        <v>285368</v>
      </c>
      <c r="G13" s="471">
        <v>285368</v>
      </c>
      <c r="H13" s="471">
        <f t="shared" si="0"/>
        <v>570736</v>
      </c>
      <c r="I13" s="580">
        <v>4</v>
      </c>
      <c r="J13" s="572" t="s">
        <v>793</v>
      </c>
    </row>
    <row r="14" spans="1:10" ht="72" customHeight="1" x14ac:dyDescent="0.25">
      <c r="A14" s="677">
        <v>12</v>
      </c>
      <c r="B14" s="468">
        <v>2</v>
      </c>
      <c r="C14" s="684" t="s">
        <v>646</v>
      </c>
      <c r="D14" s="469" t="s">
        <v>666</v>
      </c>
      <c r="E14" s="470" t="s">
        <v>787</v>
      </c>
      <c r="F14" s="471">
        <v>805000</v>
      </c>
      <c r="G14" s="471">
        <v>345000</v>
      </c>
      <c r="H14" s="471">
        <f t="shared" si="0"/>
        <v>1150000</v>
      </c>
      <c r="I14" s="706">
        <v>0</v>
      </c>
      <c r="J14" s="472" t="s">
        <v>713</v>
      </c>
    </row>
    <row r="15" spans="1:10" ht="15.75" customHeight="1" x14ac:dyDescent="0.25">
      <c r="C15" s="280" t="s">
        <v>712</v>
      </c>
      <c r="D15" s="281"/>
      <c r="E15" s="280"/>
      <c r="F15" s="703">
        <f>SUM(F3:F14)</f>
        <v>68826859</v>
      </c>
      <c r="G15" s="703">
        <f>SUM(G3:G14)</f>
        <v>91645899</v>
      </c>
      <c r="H15" s="703">
        <f>SUM(H3:H14)</f>
        <v>160472758</v>
      </c>
      <c r="I15" s="704">
        <f>SUM(I3:I14)</f>
        <v>4</v>
      </c>
      <c r="J15" s="702"/>
    </row>
    <row r="16" spans="1:10" ht="30.75" hidden="1" customHeight="1" x14ac:dyDescent="0.2">
      <c r="H16" s="282"/>
    </row>
    <row r="17" spans="2:10" ht="27" customHeight="1" x14ac:dyDescent="0.25">
      <c r="B17" s="283" t="s">
        <v>285</v>
      </c>
      <c r="C17" s="765"/>
      <c r="D17" s="765"/>
      <c r="E17" s="765"/>
      <c r="F17" s="765"/>
      <c r="G17" s="765"/>
      <c r="H17" s="765"/>
      <c r="I17" s="765"/>
      <c r="J17" s="765"/>
    </row>
    <row r="20" spans="2:10" ht="27" customHeight="1" x14ac:dyDescent="0.25">
      <c r="F20" s="284"/>
    </row>
    <row r="21" spans="2:10" ht="27" customHeight="1" x14ac:dyDescent="0.25">
      <c r="F21" s="284"/>
    </row>
    <row r="22" spans="2:10" ht="27" customHeight="1" x14ac:dyDescent="0.25">
      <c r="F22" s="284"/>
    </row>
  </sheetData>
  <mergeCells count="2">
    <mergeCell ref="B1:J1"/>
    <mergeCell ref="C17:J17"/>
  </mergeCells>
  <printOptions horizontalCentered="1"/>
  <pageMargins left="0.5" right="0.5" top="0.75" bottom="0.5" header="0.45" footer="0.3"/>
  <pageSetup scale="84" orientation="landscape" r:id="rId1"/>
  <headerFooter scaleWithDoc="0">
    <oddHeader>&amp;C&amp;"Arial,Bold"&amp;14 14-15 Exceptional Items - Sorted by Agency Rank</oddHeader>
    <oddFooter>&amp;C&amp;"Arial,Regular"&amp;9Page C&amp;P&amp;R&amp;"Arial,Regular"&amp;9DRAFT - THECB    &amp;D</oddFooter>
  </headerFooter>
  <rowBreaks count="2" manualBreakCount="2">
    <brk id="8" max="9" man="1"/>
    <brk id="12" max="9" man="1"/>
  </rowBreak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13"/>
  <sheetViews>
    <sheetView showGridLines="0" view="pageBreakPreview" zoomScaleNormal="100" zoomScaleSheetLayoutView="100" workbookViewId="0">
      <selection activeCell="A4" sqref="A4:I4"/>
    </sheetView>
  </sheetViews>
  <sheetFormatPr defaultColWidth="9.109375" defaultRowHeight="13.8" x14ac:dyDescent="0.3"/>
  <cols>
    <col min="1" max="1" width="9.33203125" style="2" customWidth="1"/>
    <col min="2" max="2" width="11.109375" style="2" customWidth="1"/>
    <col min="3" max="3" width="9.33203125" style="67" customWidth="1"/>
    <col min="4" max="4" width="11.109375" style="67" customWidth="1"/>
    <col min="5" max="5" width="10.6640625" style="67" customWidth="1"/>
    <col min="6" max="6" width="15.33203125" style="67" customWidth="1"/>
    <col min="7" max="8" width="16.5546875" style="68" customWidth="1"/>
    <col min="9" max="9" width="1" style="67" customWidth="1"/>
    <col min="10" max="10" width="16.109375" style="130" customWidth="1"/>
    <col min="11" max="11" width="13.33203125" style="67" customWidth="1"/>
    <col min="12" max="12" width="12.109375" style="67" customWidth="1"/>
    <col min="13" max="13" width="9.109375" style="67" customWidth="1"/>
    <col min="14" max="14" width="17.44140625" style="67" customWidth="1"/>
    <col min="15" max="16384" width="9.109375" style="67"/>
  </cols>
  <sheetData>
    <row r="1" spans="1:14" s="6" customFormat="1" ht="30.75" customHeight="1" x14ac:dyDescent="0.3">
      <c r="A1" s="813" t="s">
        <v>752</v>
      </c>
      <c r="B1" s="814"/>
      <c r="C1" s="814"/>
      <c r="D1" s="814"/>
      <c r="E1" s="814"/>
      <c r="F1" s="814"/>
      <c r="G1" s="814"/>
      <c r="H1" s="814"/>
      <c r="I1" s="814"/>
      <c r="J1" s="130"/>
    </row>
    <row r="2" spans="1:14" s="6" customFormat="1" ht="18" x14ac:dyDescent="0.25">
      <c r="A2" s="813" t="s">
        <v>429</v>
      </c>
      <c r="B2" s="813"/>
      <c r="C2" s="813"/>
      <c r="D2" s="813"/>
      <c r="E2" s="813"/>
      <c r="F2" s="813"/>
      <c r="G2" s="813"/>
      <c r="H2" s="813"/>
      <c r="I2" s="813"/>
      <c r="J2" s="447">
        <f>SUM(A20,C20,A48,C48,A68,C68,A106,C106,A140,C140,A183,C183,A203,C203,A279,C279,A301,C301,A425,C425,A494,C494,A555,C555,A574,C574,A628,C628,A648,C648,A693,C693,A859,C859,C883,A883,A907,C907,A163,C163)</f>
        <v>105456338</v>
      </c>
      <c r="K2" s="6" t="b">
        <f>J2='B - Reductions '!AA50</f>
        <v>1</v>
      </c>
      <c r="L2" s="449">
        <f>J2/J3</f>
        <v>9.9999999715522078E-2</v>
      </c>
      <c r="N2" s="612">
        <f>J2-105456338</f>
        <v>0</v>
      </c>
    </row>
    <row r="3" spans="1:14" ht="9.75" customHeight="1" x14ac:dyDescent="0.2">
      <c r="J3" s="446">
        <f>SUM(G9:H9,G37:H37,G57:H57,G95:H95,G116:H116,G128:H128,G152:H152,G172:H172,G192:H192,G212:H212,G221:H221,G240:H240,G249:H249,G258:H258,G267:H267,G290:H290,G309:H309,G320:H320,G330:H330,G344:H344,G354:H354,G364:H364,G373:H373,G383:H383,G399:H399,G414:H414,G436:H436,G450:H450,G460:H460,G469:H469,G483,G502:H502,G526:H526,G535:H535,G544:H544,G563,G582:H582,G592:H592,G601:H601,G617:H617,G637:H637,G673:H673,G682:H682,G701:H701,G720:H720,G729:H729,G739:H739,G749:H749,G767:H767,G777:H777,G847:H847,G870:H870,G896:H896)</f>
        <v>1054563383</v>
      </c>
      <c r="K3" s="67" t="b">
        <f>J3='A - Baseline Request'!N81</f>
        <v>1</v>
      </c>
    </row>
    <row r="4" spans="1:14" s="69" customFormat="1" ht="197.25" customHeight="1" x14ac:dyDescent="0.3">
      <c r="A4" s="815" t="s">
        <v>461</v>
      </c>
      <c r="B4" s="816"/>
      <c r="C4" s="816"/>
      <c r="D4" s="816"/>
      <c r="E4" s="816"/>
      <c r="F4" s="816"/>
      <c r="G4" s="816"/>
      <c r="H4" s="816"/>
      <c r="I4" s="816"/>
      <c r="J4" s="164"/>
    </row>
    <row r="5" spans="1:14" ht="14.25" customHeight="1" x14ac:dyDescent="0.2">
      <c r="J5" s="616" t="s">
        <v>728</v>
      </c>
      <c r="K5" s="615">
        <f>SUM(G130:H130,G332:H332,G385:H385,G401:H401,G438:H438,G471:H471,G504:H504,G603:H603,G849:H849,G872:H873,G269:H269)</f>
        <v>160472758</v>
      </c>
      <c r="L5" s="67" t="b">
        <f>K5='C - EI Format'!H15</f>
        <v>1</v>
      </c>
    </row>
    <row r="6" spans="1:14" ht="16.5" x14ac:dyDescent="0.25">
      <c r="A6" s="817" t="s">
        <v>732</v>
      </c>
      <c r="B6" s="817"/>
      <c r="C6" s="817"/>
      <c r="D6" s="817"/>
      <c r="E6" s="817"/>
      <c r="F6" s="817"/>
      <c r="G6" s="817"/>
      <c r="H6" s="817"/>
      <c r="I6" s="817"/>
    </row>
    <row r="8" spans="1:14" ht="13.5" customHeight="1" x14ac:dyDescent="0.2">
      <c r="A8" s="70" t="s">
        <v>29</v>
      </c>
      <c r="B8" s="71" t="s">
        <v>522</v>
      </c>
      <c r="G8" s="72" t="s">
        <v>463</v>
      </c>
      <c r="H8" s="72" t="s">
        <v>464</v>
      </c>
    </row>
    <row r="9" spans="1:14" s="73" customFormat="1" ht="15" customHeight="1" x14ac:dyDescent="0.25">
      <c r="A9" s="7" t="s">
        <v>465</v>
      </c>
      <c r="B9" s="7"/>
      <c r="G9" s="74">
        <f>'A - Baseline Request'!D5</f>
        <v>1863521</v>
      </c>
      <c r="H9" s="74">
        <f>'A - Baseline Request'!I5</f>
        <v>1863521</v>
      </c>
      <c r="J9" s="132"/>
    </row>
    <row r="10" spans="1:14" s="73" customFormat="1" ht="15" customHeight="1" x14ac:dyDescent="0.25">
      <c r="A10" s="7" t="s">
        <v>466</v>
      </c>
      <c r="B10" s="7"/>
      <c r="G10" s="75">
        <f>'A - Baseline Request'!E5</f>
        <v>0</v>
      </c>
      <c r="H10" s="75">
        <f>'A - Baseline Request'!J5</f>
        <v>0</v>
      </c>
      <c r="J10" s="132"/>
    </row>
    <row r="11" spans="1:14" s="73" customFormat="1" ht="15" customHeight="1" x14ac:dyDescent="0.25">
      <c r="A11" s="76" t="s">
        <v>405</v>
      </c>
      <c r="B11" s="77"/>
      <c r="D11" s="77"/>
      <c r="G11" s="74">
        <f>SUM(G9:G10)</f>
        <v>1863521</v>
      </c>
      <c r="H11" s="74">
        <f>SUM(H9:H10)</f>
        <v>1863521</v>
      </c>
      <c r="J11" s="132"/>
    </row>
    <row r="12" spans="1:14" s="73" customFormat="1" ht="21" customHeight="1" thickBot="1" x14ac:dyDescent="0.25">
      <c r="A12" s="7"/>
      <c r="C12" s="78" t="s">
        <v>462</v>
      </c>
      <c r="D12" s="79"/>
      <c r="E12" s="79"/>
      <c r="F12" s="79"/>
      <c r="G12" s="772">
        <f>G11+H11</f>
        <v>3727042</v>
      </c>
      <c r="H12" s="772"/>
      <c r="J12" s="130"/>
    </row>
    <row r="13" spans="1:14" ht="14.4" thickTop="1" x14ac:dyDescent="0.3">
      <c r="A13" s="71"/>
    </row>
    <row r="14" spans="1:14" x14ac:dyDescent="0.3">
      <c r="A14" s="80" t="s">
        <v>407</v>
      </c>
    </row>
    <row r="15" spans="1:14" ht="84.75" customHeight="1" x14ac:dyDescent="0.3">
      <c r="A15" s="773" t="s">
        <v>764</v>
      </c>
      <c r="B15" s="773"/>
      <c r="C15" s="773"/>
      <c r="D15" s="773"/>
      <c r="E15" s="773"/>
      <c r="F15" s="773"/>
      <c r="G15" s="773"/>
      <c r="H15" s="773"/>
      <c r="I15" s="773"/>
    </row>
    <row r="16" spans="1:14" ht="15" hidden="1" customHeight="1" x14ac:dyDescent="0.2">
      <c r="A16" s="81"/>
      <c r="B16" s="81"/>
      <c r="C16" s="81"/>
      <c r="D16" s="81"/>
      <c r="E16" s="81"/>
      <c r="F16" s="81"/>
      <c r="G16" s="82"/>
      <c r="H16" s="82"/>
      <c r="I16" s="81"/>
    </row>
    <row r="17" spans="1:10" s="73" customFormat="1" ht="22.5" customHeight="1" x14ac:dyDescent="0.3">
      <c r="A17" s="774" t="s">
        <v>408</v>
      </c>
      <c r="B17" s="775"/>
      <c r="C17" s="775"/>
      <c r="D17" s="775"/>
      <c r="E17" s="775"/>
      <c r="F17" s="775"/>
      <c r="G17" s="775"/>
      <c r="H17" s="775"/>
      <c r="I17" s="180"/>
      <c r="J17" s="132"/>
    </row>
    <row r="18" spans="1:10" s="73" customFormat="1" ht="15.75" customHeight="1" x14ac:dyDescent="0.3">
      <c r="A18" s="776" t="s">
        <v>423</v>
      </c>
      <c r="B18" s="777"/>
      <c r="C18" s="777" t="s">
        <v>424</v>
      </c>
      <c r="D18" s="777"/>
      <c r="E18" s="83"/>
      <c r="F18" s="83"/>
      <c r="G18" s="84"/>
      <c r="H18" s="84"/>
      <c r="I18" s="181"/>
      <c r="J18" s="132"/>
    </row>
    <row r="19" spans="1:10" s="73" customFormat="1" ht="15.75" customHeight="1" x14ac:dyDescent="0.3">
      <c r="A19" s="784" t="s">
        <v>697</v>
      </c>
      <c r="B19" s="785"/>
      <c r="C19" s="785" t="s">
        <v>697</v>
      </c>
      <c r="D19" s="785"/>
      <c r="E19" s="83"/>
      <c r="F19" s="83"/>
      <c r="G19" s="84"/>
      <c r="H19" s="84"/>
      <c r="I19" s="181"/>
      <c r="J19" s="132"/>
    </row>
    <row r="20" spans="1:10" s="73" customFormat="1" ht="15.75" customHeight="1" x14ac:dyDescent="0.3">
      <c r="A20" s="786">
        <f>'B - Reductions '!N8</f>
        <v>642178</v>
      </c>
      <c r="B20" s="787"/>
      <c r="C20" s="787">
        <f>'B - Reductions '!AC8</f>
        <v>569695</v>
      </c>
      <c r="D20" s="787"/>
      <c r="E20" s="83"/>
      <c r="F20" s="83"/>
      <c r="G20" s="84"/>
      <c r="H20" s="84"/>
      <c r="I20" s="181"/>
      <c r="J20" s="132"/>
    </row>
    <row r="21" spans="1:10" s="73" customFormat="1" ht="15" customHeight="1" x14ac:dyDescent="0.3">
      <c r="A21" s="804">
        <f>A20/(G9+H9)</f>
        <v>0.17230232447071966</v>
      </c>
      <c r="B21" s="805"/>
      <c r="C21" s="805">
        <f>C20/(G9+H9)</f>
        <v>0.15285446206401751</v>
      </c>
      <c r="D21" s="805"/>
      <c r="E21" s="83"/>
      <c r="F21" s="83"/>
      <c r="G21" s="84"/>
      <c r="H21" s="84"/>
      <c r="I21" s="181"/>
      <c r="J21" s="132"/>
    </row>
    <row r="22" spans="1:10" s="73" customFormat="1" ht="18.75" customHeight="1" thickBot="1" x14ac:dyDescent="0.35">
      <c r="A22" s="802">
        <f>SUM(A20,C20)</f>
        <v>1211873</v>
      </c>
      <c r="B22" s="803"/>
      <c r="C22" s="803"/>
      <c r="D22" s="274">
        <f>(A20+C20)/SUM(G9:H9)</f>
        <v>0.32515678653473717</v>
      </c>
      <c r="E22" s="85" t="s">
        <v>409</v>
      </c>
      <c r="F22" s="84"/>
      <c r="G22" s="84"/>
      <c r="H22" s="84"/>
      <c r="I22" s="181"/>
      <c r="J22" s="132"/>
    </row>
    <row r="23" spans="1:10" s="73" customFormat="1" ht="18.75" hidden="1" customHeight="1" thickTop="1" x14ac:dyDescent="0.25">
      <c r="A23" s="820" t="e">
        <f>#REF!</f>
        <v>#REF!</v>
      </c>
      <c r="B23" s="821"/>
      <c r="C23" s="821"/>
      <c r="D23" s="821"/>
      <c r="E23" s="85"/>
      <c r="F23" s="153"/>
      <c r="G23" s="84"/>
      <c r="H23" s="84"/>
      <c r="I23" s="181"/>
      <c r="J23" s="132"/>
    </row>
    <row r="24" spans="1:10" ht="21" customHeight="1" thickTop="1" x14ac:dyDescent="0.3">
      <c r="A24" s="182" t="s">
        <v>410</v>
      </c>
      <c r="B24" s="183"/>
      <c r="C24" s="184"/>
      <c r="D24" s="183"/>
      <c r="E24" s="184"/>
      <c r="F24" s="184"/>
      <c r="G24" s="185"/>
      <c r="H24" s="185"/>
      <c r="I24" s="186"/>
    </row>
    <row r="25" spans="1:10" ht="93" customHeight="1" x14ac:dyDescent="0.3">
      <c r="A25" s="809" t="s">
        <v>783</v>
      </c>
      <c r="B25" s="818"/>
      <c r="C25" s="818"/>
      <c r="D25" s="818"/>
      <c r="E25" s="818"/>
      <c r="F25" s="818"/>
      <c r="G25" s="818"/>
      <c r="H25" s="818"/>
      <c r="I25" s="819"/>
    </row>
    <row r="26" spans="1:10" s="69" customFormat="1" ht="15" customHeight="1" thickBot="1" x14ac:dyDescent="0.35">
      <c r="A26" s="90"/>
      <c r="B26" s="90"/>
      <c r="C26" s="90"/>
      <c r="D26" s="90"/>
      <c r="E26" s="90"/>
      <c r="F26" s="90"/>
      <c r="G26" s="90"/>
      <c r="H26" s="90"/>
      <c r="I26" s="618"/>
      <c r="J26" s="164"/>
    </row>
    <row r="27" spans="1:10" ht="26.25" customHeight="1" thickTop="1" x14ac:dyDescent="0.3">
      <c r="A27" s="91" t="s">
        <v>31</v>
      </c>
      <c r="B27" s="92" t="s">
        <v>523</v>
      </c>
      <c r="C27" s="93"/>
      <c r="D27" s="93"/>
      <c r="E27" s="93"/>
      <c r="F27" s="93"/>
      <c r="G27" s="94" t="s">
        <v>463</v>
      </c>
      <c r="H27" s="94" t="s">
        <v>464</v>
      </c>
      <c r="I27" s="93"/>
    </row>
    <row r="28" spans="1:10" s="73" customFormat="1" ht="15" customHeight="1" x14ac:dyDescent="0.3">
      <c r="A28" s="7" t="s">
        <v>465</v>
      </c>
      <c r="B28" s="7"/>
      <c r="G28" s="74">
        <v>0</v>
      </c>
      <c r="H28" s="74">
        <v>0</v>
      </c>
      <c r="J28" s="132"/>
    </row>
    <row r="29" spans="1:10" s="73" customFormat="1" ht="15" customHeight="1" x14ac:dyDescent="0.3">
      <c r="A29" s="7" t="s">
        <v>466</v>
      </c>
      <c r="B29" s="7"/>
      <c r="G29" s="75">
        <f>'A - Baseline Request'!E6</f>
        <v>5650000</v>
      </c>
      <c r="H29" s="75">
        <f>'A - Baseline Request'!J6</f>
        <v>5650000</v>
      </c>
      <c r="J29" s="132"/>
    </row>
    <row r="30" spans="1:10" s="73" customFormat="1" ht="15" customHeight="1" x14ac:dyDescent="0.3">
      <c r="A30" s="76" t="s">
        <v>411</v>
      </c>
      <c r="B30" s="77"/>
      <c r="D30" s="77"/>
      <c r="G30" s="74">
        <f>G29</f>
        <v>5650000</v>
      </c>
      <c r="H30" s="74">
        <f>H29</f>
        <v>5650000</v>
      </c>
      <c r="J30" s="132"/>
    </row>
    <row r="31" spans="1:10" s="73" customFormat="1" ht="21" customHeight="1" thickBot="1" x14ac:dyDescent="0.35">
      <c r="A31" s="7"/>
      <c r="C31" s="78" t="s">
        <v>462</v>
      </c>
      <c r="D31" s="79"/>
      <c r="E31" s="79"/>
      <c r="F31" s="79"/>
      <c r="G31" s="772">
        <f>G30+H30</f>
        <v>11300000</v>
      </c>
      <c r="H31" s="772"/>
      <c r="J31" s="130"/>
    </row>
    <row r="32" spans="1:10" ht="14.4" thickTop="1" x14ac:dyDescent="0.3">
      <c r="A32" s="71"/>
    </row>
    <row r="33" spans="1:10" x14ac:dyDescent="0.3">
      <c r="A33" s="80" t="s">
        <v>407</v>
      </c>
    </row>
    <row r="34" spans="1:10" ht="65.25" customHeight="1" thickBot="1" x14ac:dyDescent="0.35">
      <c r="A34" s="795" t="s">
        <v>736</v>
      </c>
      <c r="B34" s="795"/>
      <c r="C34" s="795"/>
      <c r="D34" s="795"/>
      <c r="E34" s="795"/>
      <c r="F34" s="795"/>
      <c r="G34" s="795"/>
      <c r="H34" s="795"/>
      <c r="I34" s="795"/>
    </row>
    <row r="35" spans="1:10" ht="13.5" hidden="1" thickBot="1" x14ac:dyDescent="0.25"/>
    <row r="36" spans="1:10" ht="26.25" customHeight="1" thickTop="1" x14ac:dyDescent="0.3">
      <c r="A36" s="91" t="s">
        <v>33</v>
      </c>
      <c r="B36" s="92" t="s">
        <v>524</v>
      </c>
      <c r="C36" s="93"/>
      <c r="D36" s="93"/>
      <c r="E36" s="93"/>
      <c r="F36" s="93"/>
      <c r="G36" s="94" t="s">
        <v>463</v>
      </c>
      <c r="H36" s="94" t="s">
        <v>464</v>
      </c>
    </row>
    <row r="37" spans="1:10" s="73" customFormat="1" ht="15" customHeight="1" x14ac:dyDescent="0.3">
      <c r="A37" s="7" t="s">
        <v>465</v>
      </c>
      <c r="B37" s="7"/>
      <c r="G37" s="74">
        <f>'A - Baseline Request'!D7</f>
        <v>925301</v>
      </c>
      <c r="H37" s="74">
        <f>'A - Baseline Request'!I7</f>
        <v>925301</v>
      </c>
      <c r="J37" s="132"/>
    </row>
    <row r="38" spans="1:10" ht="15" customHeight="1" x14ac:dyDescent="0.3">
      <c r="A38" s="2" t="s">
        <v>466</v>
      </c>
      <c r="G38" s="124">
        <f>'A - Baseline Request'!E7</f>
        <v>0</v>
      </c>
      <c r="H38" s="124">
        <f>'A - Baseline Request'!J7</f>
        <v>0</v>
      </c>
      <c r="J38" s="165"/>
    </row>
    <row r="39" spans="1:10" ht="15" customHeight="1" x14ac:dyDescent="0.3">
      <c r="A39" s="71" t="s">
        <v>412</v>
      </c>
      <c r="B39" s="71"/>
      <c r="D39" s="71"/>
      <c r="G39" s="68">
        <f>G37+G38</f>
        <v>925301</v>
      </c>
      <c r="H39" s="68">
        <f>H37+H38</f>
        <v>925301</v>
      </c>
    </row>
    <row r="40" spans="1:10" s="73" customFormat="1" ht="21" customHeight="1" thickBot="1" x14ac:dyDescent="0.35">
      <c r="A40" s="7"/>
      <c r="C40" s="78" t="s">
        <v>462</v>
      </c>
      <c r="D40" s="79"/>
      <c r="E40" s="79"/>
      <c r="F40" s="79"/>
      <c r="G40" s="772">
        <f>G39+H39</f>
        <v>1850602</v>
      </c>
      <c r="H40" s="772"/>
      <c r="J40" s="130"/>
    </row>
    <row r="41" spans="1:10" ht="14.4" thickTop="1" x14ac:dyDescent="0.3">
      <c r="A41" s="71"/>
    </row>
    <row r="42" spans="1:10" x14ac:dyDescent="0.3">
      <c r="A42" s="80" t="s">
        <v>407</v>
      </c>
    </row>
    <row r="43" spans="1:10" ht="65.25" customHeight="1" x14ac:dyDescent="0.3">
      <c r="A43" s="773" t="s">
        <v>700</v>
      </c>
      <c r="B43" s="773"/>
      <c r="C43" s="773"/>
      <c r="D43" s="773"/>
      <c r="E43" s="773"/>
      <c r="F43" s="773"/>
      <c r="G43" s="773"/>
      <c r="H43" s="773"/>
      <c r="I43" s="773"/>
    </row>
    <row r="44" spans="1:10" ht="12.75" hidden="1" customHeight="1" x14ac:dyDescent="0.2">
      <c r="J44" s="132"/>
    </row>
    <row r="45" spans="1:10" s="73" customFormat="1" ht="22.5" customHeight="1" x14ac:dyDescent="0.3">
      <c r="A45" s="774" t="s">
        <v>408</v>
      </c>
      <c r="B45" s="775"/>
      <c r="C45" s="775"/>
      <c r="D45" s="775"/>
      <c r="E45" s="775"/>
      <c r="F45" s="775"/>
      <c r="G45" s="775"/>
      <c r="H45" s="775"/>
      <c r="I45" s="180"/>
      <c r="J45" s="132"/>
    </row>
    <row r="46" spans="1:10" s="73" customFormat="1" ht="15.75" customHeight="1" x14ac:dyDescent="0.3">
      <c r="A46" s="776" t="s">
        <v>423</v>
      </c>
      <c r="B46" s="777"/>
      <c r="C46" s="777" t="s">
        <v>424</v>
      </c>
      <c r="D46" s="777"/>
      <c r="E46" s="83"/>
      <c r="F46" s="83"/>
      <c r="G46" s="84"/>
      <c r="H46" s="84"/>
      <c r="I46" s="181"/>
      <c r="J46" s="132"/>
    </row>
    <row r="47" spans="1:10" s="73" customFormat="1" ht="15.75" customHeight="1" x14ac:dyDescent="0.3">
      <c r="A47" s="784" t="s">
        <v>694</v>
      </c>
      <c r="B47" s="785"/>
      <c r="C47" s="785" t="s">
        <v>693</v>
      </c>
      <c r="D47" s="785"/>
      <c r="E47" s="83"/>
      <c r="F47" s="83"/>
      <c r="G47" s="84"/>
      <c r="H47" s="84"/>
      <c r="I47" s="181"/>
      <c r="J47" s="132"/>
    </row>
    <row r="48" spans="1:10" s="73" customFormat="1" ht="15" customHeight="1" x14ac:dyDescent="0.3">
      <c r="A48" s="786">
        <f>'B - Reductions '!N16</f>
        <v>92530</v>
      </c>
      <c r="B48" s="787"/>
      <c r="C48" s="787">
        <f>'B - Reductions '!AC13</f>
        <v>92530</v>
      </c>
      <c r="D48" s="787"/>
      <c r="E48" s="83"/>
      <c r="F48" s="83"/>
      <c r="G48" s="84"/>
      <c r="H48" s="84"/>
      <c r="I48" s="181"/>
      <c r="J48" s="132"/>
    </row>
    <row r="49" spans="1:10" s="73" customFormat="1" ht="15" customHeight="1" x14ac:dyDescent="0.3">
      <c r="A49" s="804">
        <f>A48/(G37+H37)</f>
        <v>4.9999945963529704E-2</v>
      </c>
      <c r="B49" s="805"/>
      <c r="C49" s="805">
        <f>C48/(G37+H37)</f>
        <v>4.9999945963529704E-2</v>
      </c>
      <c r="D49" s="805"/>
      <c r="E49" s="160"/>
      <c r="F49" s="83"/>
      <c r="G49" s="84"/>
      <c r="H49" s="84"/>
      <c r="I49" s="181"/>
      <c r="J49" s="132"/>
    </row>
    <row r="50" spans="1:10" s="73" customFormat="1" ht="18.75" customHeight="1" thickBot="1" x14ac:dyDescent="0.35">
      <c r="A50" s="802">
        <f>A48+C48</f>
        <v>185060</v>
      </c>
      <c r="B50" s="803"/>
      <c r="C50" s="803"/>
      <c r="D50" s="274">
        <f>A50/SUM(G37:H37)</f>
        <v>9.9999891927059409E-2</v>
      </c>
      <c r="E50" s="85" t="s">
        <v>409</v>
      </c>
      <c r="F50" s="84"/>
      <c r="G50" s="84"/>
      <c r="H50" s="84"/>
      <c r="I50" s="181"/>
      <c r="J50" s="132"/>
    </row>
    <row r="51" spans="1:10" s="73" customFormat="1" ht="18.75" hidden="1" customHeight="1" thickTop="1" x14ac:dyDescent="0.25">
      <c r="A51" s="156"/>
      <c r="B51" s="157"/>
      <c r="C51" s="159">
        <f>B49+D49</f>
        <v>0</v>
      </c>
      <c r="D51" s="157"/>
      <c r="E51" s="85"/>
      <c r="F51" s="84"/>
      <c r="G51" s="84"/>
      <c r="H51" s="84"/>
      <c r="I51" s="181"/>
      <c r="J51" s="132"/>
    </row>
    <row r="52" spans="1:10" ht="21" customHeight="1" thickTop="1" x14ac:dyDescent="0.3">
      <c r="A52" s="86" t="s">
        <v>410</v>
      </c>
      <c r="B52" s="87"/>
      <c r="C52" s="88"/>
      <c r="D52" s="87"/>
      <c r="E52" s="88"/>
      <c r="F52" s="88"/>
      <c r="G52" s="89"/>
      <c r="H52" s="89"/>
      <c r="I52" s="186"/>
    </row>
    <row r="53" spans="1:10" ht="46.5" customHeight="1" x14ac:dyDescent="0.3">
      <c r="A53" s="809" t="s">
        <v>737</v>
      </c>
      <c r="B53" s="810"/>
      <c r="C53" s="810"/>
      <c r="D53" s="810"/>
      <c r="E53" s="810"/>
      <c r="F53" s="810"/>
      <c r="G53" s="810"/>
      <c r="H53" s="810"/>
      <c r="I53" s="811"/>
    </row>
    <row r="55" spans="1:10" ht="12.75" customHeight="1" thickBot="1" x14ac:dyDescent="0.35">
      <c r="I55" s="456"/>
      <c r="J55" s="132"/>
    </row>
    <row r="56" spans="1:10" ht="26.25" customHeight="1" thickTop="1" x14ac:dyDescent="0.3">
      <c r="A56" s="91" t="s">
        <v>36</v>
      </c>
      <c r="B56" s="92" t="s">
        <v>529</v>
      </c>
      <c r="C56" s="93"/>
      <c r="D56" s="93"/>
      <c r="E56" s="93"/>
      <c r="F56" s="93"/>
      <c r="G56" s="94" t="s">
        <v>463</v>
      </c>
      <c r="H56" s="94" t="s">
        <v>464</v>
      </c>
    </row>
    <row r="57" spans="1:10" s="73" customFormat="1" ht="15" customHeight="1" x14ac:dyDescent="0.3">
      <c r="A57" s="7" t="s">
        <v>465</v>
      </c>
      <c r="B57" s="7"/>
      <c r="G57" s="74">
        <f>'A - Baseline Request'!D8</f>
        <v>1692255</v>
      </c>
      <c r="H57" s="74">
        <f>'A - Baseline Request'!I8</f>
        <v>1692255</v>
      </c>
      <c r="J57" s="132"/>
    </row>
    <row r="58" spans="1:10" s="73" customFormat="1" ht="15" customHeight="1" x14ac:dyDescent="0.3">
      <c r="A58" s="7" t="s">
        <v>466</v>
      </c>
      <c r="B58" s="7"/>
      <c r="G58" s="75">
        <f>'A - Baseline Request'!E8</f>
        <v>3000</v>
      </c>
      <c r="H58" s="75">
        <f>'A - Baseline Request'!J8</f>
        <v>3000</v>
      </c>
      <c r="J58" s="132"/>
    </row>
    <row r="59" spans="1:10" s="73" customFormat="1" ht="15" customHeight="1" x14ac:dyDescent="0.3">
      <c r="A59" s="76" t="s">
        <v>411</v>
      </c>
      <c r="B59" s="77"/>
      <c r="D59" s="77"/>
      <c r="G59" s="74">
        <f>G57+G58</f>
        <v>1695255</v>
      </c>
      <c r="H59" s="74">
        <f>H57+H58</f>
        <v>1695255</v>
      </c>
      <c r="J59" s="132"/>
    </row>
    <row r="60" spans="1:10" s="73" customFormat="1" ht="21" customHeight="1" thickBot="1" x14ac:dyDescent="0.35">
      <c r="A60" s="7"/>
      <c r="C60" s="78" t="s">
        <v>462</v>
      </c>
      <c r="D60" s="79"/>
      <c r="E60" s="79"/>
      <c r="F60" s="79"/>
      <c r="G60" s="772">
        <f>G59+H59</f>
        <v>3390510</v>
      </c>
      <c r="H60" s="772"/>
      <c r="J60" s="130"/>
    </row>
    <row r="61" spans="1:10" ht="14.4" thickTop="1" x14ac:dyDescent="0.3">
      <c r="A61" s="71"/>
    </row>
    <row r="62" spans="1:10" x14ac:dyDescent="0.3">
      <c r="A62" s="80" t="s">
        <v>407</v>
      </c>
    </row>
    <row r="63" spans="1:10" ht="75.75" customHeight="1" x14ac:dyDescent="0.3">
      <c r="A63" s="793" t="s">
        <v>755</v>
      </c>
      <c r="B63" s="793"/>
      <c r="C63" s="793"/>
      <c r="D63" s="793"/>
      <c r="E63" s="793"/>
      <c r="F63" s="793"/>
      <c r="G63" s="793"/>
      <c r="H63" s="793"/>
      <c r="I63" s="793"/>
    </row>
    <row r="64" spans="1:10" ht="12.75" hidden="1" x14ac:dyDescent="0.2">
      <c r="A64" s="812"/>
      <c r="B64" s="812"/>
      <c r="C64" s="812"/>
      <c r="D64" s="812"/>
      <c r="E64" s="812"/>
      <c r="F64" s="812"/>
      <c r="G64" s="812"/>
      <c r="H64" s="812"/>
      <c r="I64" s="812"/>
    </row>
    <row r="65" spans="1:10" s="73" customFormat="1" ht="22.5" customHeight="1" x14ac:dyDescent="0.3">
      <c r="A65" s="774" t="s">
        <v>408</v>
      </c>
      <c r="B65" s="775"/>
      <c r="C65" s="775"/>
      <c r="D65" s="775"/>
      <c r="E65" s="775"/>
      <c r="F65" s="775"/>
      <c r="G65" s="775"/>
      <c r="H65" s="775"/>
      <c r="I65" s="180"/>
      <c r="J65" s="132"/>
    </row>
    <row r="66" spans="1:10" s="73" customFormat="1" ht="15.75" customHeight="1" x14ac:dyDescent="0.3">
      <c r="A66" s="776" t="s">
        <v>423</v>
      </c>
      <c r="B66" s="777"/>
      <c r="C66" s="777" t="s">
        <v>424</v>
      </c>
      <c r="D66" s="777"/>
      <c r="E66" s="83"/>
      <c r="F66" s="83"/>
      <c r="G66" s="84"/>
      <c r="H66" s="84"/>
      <c r="I66" s="181"/>
      <c r="J66" s="132"/>
    </row>
    <row r="67" spans="1:10" s="73" customFormat="1" ht="15.75" customHeight="1" x14ac:dyDescent="0.3">
      <c r="A67" s="784" t="s">
        <v>686</v>
      </c>
      <c r="B67" s="785"/>
      <c r="C67" s="785" t="s">
        <v>686</v>
      </c>
      <c r="D67" s="785"/>
      <c r="E67" s="83"/>
      <c r="F67" s="83"/>
      <c r="G67" s="84"/>
      <c r="H67" s="84"/>
      <c r="I67" s="181"/>
      <c r="J67" s="132"/>
    </row>
    <row r="68" spans="1:10" s="73" customFormat="1" ht="15" customHeight="1" x14ac:dyDescent="0.3">
      <c r="A68" s="786">
        <f>'B - Reductions '!N9</f>
        <v>153915</v>
      </c>
      <c r="B68" s="787"/>
      <c r="C68" s="787">
        <f>'B - Reductions '!AC9</f>
        <v>174442</v>
      </c>
      <c r="D68" s="787"/>
      <c r="E68" s="83"/>
      <c r="F68" s="83"/>
      <c r="G68" s="84"/>
      <c r="H68" s="84"/>
      <c r="I68" s="181"/>
      <c r="J68" s="132"/>
    </row>
    <row r="69" spans="1:10" s="163" customFormat="1" ht="15" customHeight="1" x14ac:dyDescent="0.3">
      <c r="A69" s="162"/>
      <c r="B69" s="190">
        <f>A68/(G57+H57)</f>
        <v>4.5476302330322557E-2</v>
      </c>
      <c r="C69" s="158"/>
      <c r="D69" s="190">
        <f>C68/(G57+H57)</f>
        <v>5.1541286626424501E-2</v>
      </c>
      <c r="E69" s="160"/>
      <c r="F69" s="160"/>
      <c r="G69" s="158"/>
      <c r="H69" s="158"/>
      <c r="I69" s="181"/>
      <c r="J69" s="166"/>
    </row>
    <row r="70" spans="1:10" s="73" customFormat="1" ht="18.75" customHeight="1" thickBot="1" x14ac:dyDescent="0.35">
      <c r="A70" s="802">
        <f>A68+C68</f>
        <v>328357</v>
      </c>
      <c r="B70" s="803"/>
      <c r="C70" s="803"/>
      <c r="D70" s="274">
        <f>A70/SUM(G57:H57)</f>
        <v>9.7017588956747058E-2</v>
      </c>
      <c r="E70" s="85" t="s">
        <v>409</v>
      </c>
      <c r="F70" s="84"/>
      <c r="G70" s="84"/>
      <c r="H70" s="84"/>
      <c r="I70" s="181"/>
      <c r="J70" s="132"/>
    </row>
    <row r="71" spans="1:10" s="73" customFormat="1" ht="18.75" hidden="1" customHeight="1" thickTop="1" x14ac:dyDescent="0.25">
      <c r="A71" s="156"/>
      <c r="B71" s="157"/>
      <c r="C71" s="159">
        <f>B69+D69</f>
        <v>9.7017588956747058E-2</v>
      </c>
      <c r="D71" s="157"/>
      <c r="E71" s="85"/>
      <c r="F71" s="84"/>
      <c r="G71" s="84"/>
      <c r="H71" s="84"/>
      <c r="I71" s="181"/>
      <c r="J71" s="132"/>
    </row>
    <row r="72" spans="1:10" ht="21" customHeight="1" thickTop="1" x14ac:dyDescent="0.3">
      <c r="A72" s="86" t="s">
        <v>410</v>
      </c>
      <c r="B72" s="87"/>
      <c r="C72" s="88"/>
      <c r="D72" s="87"/>
      <c r="E72" s="88"/>
      <c r="F72" s="88"/>
      <c r="G72" s="89"/>
      <c r="H72" s="89"/>
      <c r="I72" s="189"/>
    </row>
    <row r="73" spans="1:10" ht="27" customHeight="1" x14ac:dyDescent="0.3">
      <c r="A73" s="809" t="s">
        <v>682</v>
      </c>
      <c r="B73" s="810"/>
      <c r="C73" s="810"/>
      <c r="D73" s="810"/>
      <c r="E73" s="810"/>
      <c r="F73" s="810"/>
      <c r="G73" s="810"/>
      <c r="H73" s="810"/>
      <c r="I73" s="811"/>
    </row>
    <row r="74" spans="1:10" ht="14.4" thickBot="1" x14ac:dyDescent="0.35">
      <c r="A74" s="806"/>
      <c r="B74" s="806"/>
      <c r="C74" s="806"/>
      <c r="D74" s="806"/>
      <c r="E74" s="806"/>
      <c r="F74" s="806"/>
      <c r="G74" s="806"/>
      <c r="H74" s="806"/>
      <c r="I74" s="806"/>
    </row>
    <row r="75" spans="1:10" ht="26.25" hidden="1" customHeight="1" thickTop="1" x14ac:dyDescent="0.2">
      <c r="A75" s="461" t="s">
        <v>38</v>
      </c>
      <c r="B75" s="462" t="s">
        <v>39</v>
      </c>
      <c r="C75" s="463"/>
      <c r="D75" s="463"/>
      <c r="E75" s="463"/>
      <c r="F75" s="463"/>
      <c r="G75" s="464" t="s">
        <v>463</v>
      </c>
      <c r="H75" s="464" t="s">
        <v>464</v>
      </c>
      <c r="I75" s="239"/>
    </row>
    <row r="76" spans="1:10" s="73" customFormat="1" ht="15" hidden="1" customHeight="1" x14ac:dyDescent="0.25">
      <c r="A76" s="240" t="s">
        <v>465</v>
      </c>
      <c r="B76" s="240"/>
      <c r="C76" s="241"/>
      <c r="D76" s="241"/>
      <c r="E76" s="241"/>
      <c r="F76" s="241"/>
      <c r="G76" s="242">
        <f>'A - Baseline Request'!D9</f>
        <v>0</v>
      </c>
      <c r="H76" s="242">
        <f>'A - Baseline Request'!I9</f>
        <v>0</v>
      </c>
      <c r="I76" s="241"/>
      <c r="J76" s="132"/>
    </row>
    <row r="77" spans="1:10" s="73" customFormat="1" ht="15" hidden="1" customHeight="1" x14ac:dyDescent="0.25">
      <c r="A77" s="240" t="s">
        <v>466</v>
      </c>
      <c r="B77" s="240"/>
      <c r="C77" s="241"/>
      <c r="D77" s="241"/>
      <c r="E77" s="241"/>
      <c r="F77" s="241"/>
      <c r="G77" s="243">
        <v>0</v>
      </c>
      <c r="H77" s="243">
        <v>0</v>
      </c>
      <c r="I77" s="241"/>
      <c r="J77" s="132"/>
    </row>
    <row r="78" spans="1:10" s="73" customFormat="1" ht="15" hidden="1" customHeight="1" x14ac:dyDescent="0.25">
      <c r="A78" s="244" t="s">
        <v>411</v>
      </c>
      <c r="B78" s="245"/>
      <c r="C78" s="241"/>
      <c r="D78" s="245"/>
      <c r="E78" s="241"/>
      <c r="F78" s="241"/>
      <c r="G78" s="242">
        <f>G76+G77</f>
        <v>0</v>
      </c>
      <c r="H78" s="242">
        <f>H76+H77</f>
        <v>0</v>
      </c>
      <c r="I78" s="241"/>
      <c r="J78" s="132"/>
    </row>
    <row r="79" spans="1:10" s="73" customFormat="1" ht="21" hidden="1" customHeight="1" thickBot="1" x14ac:dyDescent="0.25">
      <c r="A79" s="240"/>
      <c r="B79" s="241"/>
      <c r="C79" s="246" t="s">
        <v>462</v>
      </c>
      <c r="D79" s="247"/>
      <c r="E79" s="247"/>
      <c r="F79" s="247"/>
      <c r="G79" s="807">
        <f>G78+H78</f>
        <v>0</v>
      </c>
      <c r="H79" s="807"/>
      <c r="I79" s="241"/>
      <c r="J79" s="130"/>
    </row>
    <row r="80" spans="1:10" ht="13.5" hidden="1" thickTop="1" x14ac:dyDescent="0.2">
      <c r="A80" s="248"/>
      <c r="B80" s="249"/>
      <c r="C80" s="239"/>
      <c r="D80" s="239"/>
      <c r="E80" s="239"/>
      <c r="F80" s="239"/>
      <c r="G80" s="250"/>
      <c r="H80" s="250"/>
      <c r="I80" s="239"/>
    </row>
    <row r="81" spans="1:10" ht="12.75" hidden="1" x14ac:dyDescent="0.2">
      <c r="A81" s="251" t="s">
        <v>407</v>
      </c>
      <c r="B81" s="249"/>
      <c r="C81" s="239"/>
      <c r="D81" s="239"/>
      <c r="E81" s="239"/>
      <c r="F81" s="239"/>
      <c r="G81" s="250"/>
      <c r="H81" s="250"/>
      <c r="I81" s="239"/>
    </row>
    <row r="82" spans="1:10" ht="79.5" hidden="1" customHeight="1" x14ac:dyDescent="0.2">
      <c r="A82" s="808" t="s">
        <v>436</v>
      </c>
      <c r="B82" s="808"/>
      <c r="C82" s="808"/>
      <c r="D82" s="808"/>
      <c r="E82" s="808"/>
      <c r="F82" s="808"/>
      <c r="G82" s="808"/>
      <c r="H82" s="808"/>
      <c r="I82" s="808"/>
    </row>
    <row r="83" spans="1:10" ht="12.75" hidden="1" x14ac:dyDescent="0.2">
      <c r="A83" s="249"/>
      <c r="B83" s="249"/>
      <c r="C83" s="239"/>
      <c r="D83" s="239"/>
      <c r="E83" s="239"/>
      <c r="F83" s="239"/>
      <c r="G83" s="250"/>
      <c r="H83" s="250"/>
      <c r="I83" s="239"/>
    </row>
    <row r="84" spans="1:10" s="73" customFormat="1" ht="22.5" hidden="1" customHeight="1" x14ac:dyDescent="0.25">
      <c r="A84" s="832" t="s">
        <v>408</v>
      </c>
      <c r="B84" s="833"/>
      <c r="C84" s="833"/>
      <c r="D84" s="833"/>
      <c r="E84" s="833"/>
      <c r="F84" s="833"/>
      <c r="G84" s="833"/>
      <c r="H84" s="833"/>
      <c r="I84" s="252"/>
      <c r="J84" s="132"/>
    </row>
    <row r="85" spans="1:10" s="73" customFormat="1" ht="15.75" hidden="1" customHeight="1" x14ac:dyDescent="0.25">
      <c r="A85" s="834" t="s">
        <v>423</v>
      </c>
      <c r="B85" s="835"/>
      <c r="C85" s="835" t="s">
        <v>424</v>
      </c>
      <c r="D85" s="835"/>
      <c r="E85" s="253"/>
      <c r="F85" s="253"/>
      <c r="G85" s="254"/>
      <c r="H85" s="254"/>
      <c r="I85" s="255"/>
      <c r="J85" s="132"/>
    </row>
    <row r="86" spans="1:10" s="73" customFormat="1" ht="15.75" hidden="1" customHeight="1" x14ac:dyDescent="0.25">
      <c r="A86" s="823" t="s">
        <v>414</v>
      </c>
      <c r="B86" s="824"/>
      <c r="C86" s="824" t="s">
        <v>415</v>
      </c>
      <c r="D86" s="824"/>
      <c r="E86" s="253"/>
      <c r="F86" s="253"/>
      <c r="G86" s="254"/>
      <c r="H86" s="254"/>
      <c r="I86" s="255"/>
      <c r="J86" s="132"/>
    </row>
    <row r="87" spans="1:10" s="73" customFormat="1" ht="15" hidden="1" customHeight="1" x14ac:dyDescent="0.25">
      <c r="A87" s="825">
        <v>32628</v>
      </c>
      <c r="B87" s="826"/>
      <c r="C87" s="826">
        <v>16314</v>
      </c>
      <c r="D87" s="826"/>
      <c r="E87" s="253"/>
      <c r="F87" s="253"/>
      <c r="G87" s="254"/>
      <c r="H87" s="254"/>
      <c r="I87" s="255"/>
      <c r="J87" s="132"/>
    </row>
    <row r="88" spans="1:10" s="161" customFormat="1" ht="15" hidden="1" customHeight="1" x14ac:dyDescent="0.25">
      <c r="A88" s="256"/>
      <c r="B88" s="257" t="e">
        <f>A87/(G76+H76)</f>
        <v>#DIV/0!</v>
      </c>
      <c r="C88" s="258"/>
      <c r="D88" s="257" t="e">
        <f>C87/(G76+H76)</f>
        <v>#DIV/0!</v>
      </c>
      <c r="E88" s="259"/>
      <c r="F88" s="259"/>
      <c r="G88" s="258"/>
      <c r="H88" s="258"/>
      <c r="I88" s="255"/>
      <c r="J88" s="167"/>
    </row>
    <row r="89" spans="1:10" s="73" customFormat="1" ht="18.75" hidden="1" customHeight="1" thickBot="1" x14ac:dyDescent="0.3">
      <c r="A89" s="827" t="s">
        <v>439</v>
      </c>
      <c r="B89" s="828"/>
      <c r="C89" s="828"/>
      <c r="D89" s="828"/>
      <c r="E89" s="260" t="s">
        <v>409</v>
      </c>
      <c r="F89" s="254"/>
      <c r="G89" s="254"/>
      <c r="H89" s="254"/>
      <c r="I89" s="255"/>
      <c r="J89" s="132"/>
    </row>
    <row r="90" spans="1:10" s="73" customFormat="1" ht="18.75" hidden="1" customHeight="1" thickTop="1" x14ac:dyDescent="0.25">
      <c r="A90" s="261"/>
      <c r="B90" s="262"/>
      <c r="C90" s="263" t="e">
        <f>B88+D88</f>
        <v>#DIV/0!</v>
      </c>
      <c r="D90" s="262"/>
      <c r="E90" s="260"/>
      <c r="F90" s="254"/>
      <c r="G90" s="254"/>
      <c r="H90" s="254"/>
      <c r="I90" s="255"/>
      <c r="J90" s="132"/>
    </row>
    <row r="91" spans="1:10" ht="21" hidden="1" customHeight="1" x14ac:dyDescent="0.2">
      <c r="A91" s="264" t="s">
        <v>410</v>
      </c>
      <c r="B91" s="265"/>
      <c r="C91" s="266"/>
      <c r="D91" s="265"/>
      <c r="E91" s="266"/>
      <c r="F91" s="266"/>
      <c r="G91" s="267"/>
      <c r="H91" s="267"/>
      <c r="I91" s="268"/>
    </row>
    <row r="92" spans="1:10" ht="45" hidden="1" customHeight="1" x14ac:dyDescent="0.2">
      <c r="A92" s="829" t="s">
        <v>437</v>
      </c>
      <c r="B92" s="830"/>
      <c r="C92" s="830"/>
      <c r="D92" s="830"/>
      <c r="E92" s="830"/>
      <c r="F92" s="830"/>
      <c r="G92" s="830"/>
      <c r="H92" s="830"/>
      <c r="I92" s="831"/>
    </row>
    <row r="93" spans="1:10" ht="13.5" hidden="1" thickBot="1" x14ac:dyDescent="0.25">
      <c r="A93" s="249"/>
      <c r="B93" s="249"/>
      <c r="C93" s="239"/>
      <c r="D93" s="239"/>
      <c r="E93" s="239"/>
      <c r="F93" s="239"/>
      <c r="G93" s="250"/>
      <c r="H93" s="250"/>
      <c r="I93" s="239"/>
    </row>
    <row r="94" spans="1:10" ht="26.25" customHeight="1" thickTop="1" x14ac:dyDescent="0.3">
      <c r="A94" s="91" t="s">
        <v>41</v>
      </c>
      <c r="B94" s="92" t="s">
        <v>530</v>
      </c>
      <c r="C94" s="93"/>
      <c r="D94" s="93"/>
      <c r="E94" s="93"/>
      <c r="F94" s="93"/>
      <c r="G94" s="94" t="s">
        <v>463</v>
      </c>
      <c r="H94" s="94" t="s">
        <v>464</v>
      </c>
    </row>
    <row r="95" spans="1:10" s="73" customFormat="1" ht="15" customHeight="1" x14ac:dyDescent="0.3">
      <c r="A95" s="7" t="s">
        <v>465</v>
      </c>
      <c r="B95" s="7"/>
      <c r="G95" s="74">
        <f>'A - Baseline Request'!D10</f>
        <v>1989978</v>
      </c>
      <c r="H95" s="74">
        <f>'A - Baseline Request'!I10</f>
        <v>1989978</v>
      </c>
      <c r="J95" s="132"/>
    </row>
    <row r="96" spans="1:10" ht="15" customHeight="1" x14ac:dyDescent="0.3">
      <c r="A96" s="2" t="s">
        <v>466</v>
      </c>
      <c r="G96" s="124">
        <f>'A - Baseline Request'!E10</f>
        <v>400000</v>
      </c>
      <c r="H96" s="124">
        <f>'A - Baseline Request'!J10</f>
        <v>0</v>
      </c>
      <c r="J96" s="165"/>
    </row>
    <row r="97" spans="1:10" ht="15" customHeight="1" x14ac:dyDescent="0.3">
      <c r="A97" s="71" t="s">
        <v>412</v>
      </c>
      <c r="B97" s="71"/>
      <c r="D97" s="71"/>
      <c r="G97" s="68">
        <f>G95+G96</f>
        <v>2389978</v>
      </c>
      <c r="H97" s="68">
        <f>H95+H96</f>
        <v>1989978</v>
      </c>
    </row>
    <row r="98" spans="1:10" s="73" customFormat="1" ht="21" customHeight="1" thickBot="1" x14ac:dyDescent="0.35">
      <c r="A98" s="7"/>
      <c r="C98" s="78" t="s">
        <v>462</v>
      </c>
      <c r="D98" s="79"/>
      <c r="E98" s="79"/>
      <c r="F98" s="79"/>
      <c r="G98" s="772">
        <f>G97+H97</f>
        <v>4379956</v>
      </c>
      <c r="H98" s="772"/>
      <c r="J98" s="130"/>
    </row>
    <row r="99" spans="1:10" ht="14.4" thickTop="1" x14ac:dyDescent="0.3">
      <c r="A99" s="71"/>
    </row>
    <row r="100" spans="1:10" x14ac:dyDescent="0.3">
      <c r="A100" s="80" t="s">
        <v>407</v>
      </c>
    </row>
    <row r="101" spans="1:10" ht="92.25" customHeight="1" x14ac:dyDescent="0.3">
      <c r="A101" s="773" t="s">
        <v>520</v>
      </c>
      <c r="B101" s="773"/>
      <c r="C101" s="773"/>
      <c r="D101" s="773"/>
      <c r="E101" s="773"/>
      <c r="F101" s="773"/>
      <c r="G101" s="773"/>
      <c r="H101" s="773"/>
      <c r="I101" s="773"/>
      <c r="J101" s="168"/>
    </row>
    <row r="102" spans="1:10" ht="12.75" hidden="1" x14ac:dyDescent="0.2">
      <c r="A102" s="108"/>
      <c r="B102" s="108"/>
      <c r="C102" s="108"/>
      <c r="D102" s="108"/>
      <c r="E102" s="108"/>
      <c r="F102" s="108"/>
      <c r="G102" s="109"/>
      <c r="H102" s="109"/>
      <c r="I102" s="108"/>
    </row>
    <row r="103" spans="1:10" s="73" customFormat="1" ht="22.5" customHeight="1" x14ac:dyDescent="0.3">
      <c r="A103" s="774" t="s">
        <v>408</v>
      </c>
      <c r="B103" s="775"/>
      <c r="C103" s="775"/>
      <c r="D103" s="775"/>
      <c r="E103" s="775"/>
      <c r="F103" s="775"/>
      <c r="G103" s="775"/>
      <c r="H103" s="775"/>
      <c r="I103" s="180"/>
      <c r="J103" s="132"/>
    </row>
    <row r="104" spans="1:10" s="73" customFormat="1" ht="15.75" customHeight="1" x14ac:dyDescent="0.3">
      <c r="A104" s="776" t="s">
        <v>423</v>
      </c>
      <c r="B104" s="777"/>
      <c r="C104" s="777" t="s">
        <v>424</v>
      </c>
      <c r="D104" s="777"/>
      <c r="E104" s="83"/>
      <c r="F104" s="83"/>
      <c r="G104" s="84"/>
      <c r="H104" s="84"/>
      <c r="I104" s="181"/>
      <c r="J104" s="132"/>
    </row>
    <row r="105" spans="1:10" s="73" customFormat="1" ht="15.75" customHeight="1" x14ac:dyDescent="0.3">
      <c r="A105" s="784" t="s">
        <v>685</v>
      </c>
      <c r="B105" s="785"/>
      <c r="C105" s="785" t="s">
        <v>685</v>
      </c>
      <c r="D105" s="785"/>
      <c r="E105" s="83"/>
      <c r="F105" s="83"/>
      <c r="G105" s="84"/>
      <c r="H105" s="84"/>
      <c r="I105" s="181"/>
      <c r="J105" s="132"/>
    </row>
    <row r="106" spans="1:10" s="73" customFormat="1" ht="15" customHeight="1" x14ac:dyDescent="0.3">
      <c r="A106" s="786">
        <f>'B - Reductions '!N10</f>
        <v>186000</v>
      </c>
      <c r="B106" s="787"/>
      <c r="C106" s="787">
        <f>'B - Reductions '!AC10</f>
        <v>149956</v>
      </c>
      <c r="D106" s="787"/>
      <c r="E106" s="83"/>
      <c r="F106" s="83"/>
      <c r="G106" s="84"/>
      <c r="H106" s="84"/>
      <c r="I106" s="181"/>
      <c r="J106" s="132"/>
    </row>
    <row r="107" spans="1:10" s="73" customFormat="1" ht="15" customHeight="1" x14ac:dyDescent="0.3">
      <c r="A107" s="154"/>
      <c r="B107" s="190">
        <f>A106/(G95+H95)</f>
        <v>4.6734185001040214E-2</v>
      </c>
      <c r="C107" s="158"/>
      <c r="D107" s="190">
        <f>C106/(G95+H95)</f>
        <v>3.7677803473204229E-2</v>
      </c>
      <c r="E107" s="83"/>
      <c r="F107" s="83"/>
      <c r="G107" s="84"/>
      <c r="H107" s="84"/>
      <c r="I107" s="181"/>
      <c r="J107" s="132"/>
    </row>
    <row r="108" spans="1:10" s="73" customFormat="1" ht="18.75" customHeight="1" thickBot="1" x14ac:dyDescent="0.35">
      <c r="A108" s="802">
        <f>A106+C106</f>
        <v>335956</v>
      </c>
      <c r="B108" s="803"/>
      <c r="C108" s="803"/>
      <c r="D108" s="274">
        <f>A108/SUM(G95:H95)</f>
        <v>8.4411988474244443E-2</v>
      </c>
      <c r="E108" s="85" t="s">
        <v>409</v>
      </c>
      <c r="F108" s="84"/>
      <c r="G108" s="84"/>
      <c r="H108" s="84"/>
      <c r="I108" s="181"/>
      <c r="J108" s="132"/>
    </row>
    <row r="109" spans="1:10" s="73" customFormat="1" ht="18.75" hidden="1" customHeight="1" thickTop="1" x14ac:dyDescent="0.25">
      <c r="A109" s="156"/>
      <c r="B109" s="157"/>
      <c r="C109" s="158">
        <f>B107+D107</f>
        <v>8.4411988474244443E-2</v>
      </c>
      <c r="D109" s="157"/>
      <c r="E109" s="85"/>
      <c r="F109" s="84"/>
      <c r="G109" s="84"/>
      <c r="H109" s="84"/>
      <c r="I109" s="181"/>
      <c r="J109" s="132"/>
    </row>
    <row r="110" spans="1:10" ht="21" customHeight="1" thickTop="1" x14ac:dyDescent="0.3">
      <c r="A110" s="110" t="s">
        <v>410</v>
      </c>
      <c r="B110" s="111"/>
      <c r="C110" s="112"/>
      <c r="D110" s="111"/>
      <c r="E110" s="112"/>
      <c r="F110" s="112"/>
      <c r="G110" s="113"/>
      <c r="H110" s="113"/>
      <c r="I110" s="189"/>
    </row>
    <row r="111" spans="1:10" ht="81" customHeight="1" x14ac:dyDescent="0.3">
      <c r="A111" s="769" t="s">
        <v>756</v>
      </c>
      <c r="B111" s="770"/>
      <c r="C111" s="770"/>
      <c r="D111" s="770"/>
      <c r="E111" s="770"/>
      <c r="F111" s="770"/>
      <c r="G111" s="770"/>
      <c r="H111" s="770"/>
      <c r="I111" s="771"/>
    </row>
    <row r="113" spans="1:10" ht="15" customHeight="1" thickBot="1" x14ac:dyDescent="0.35">
      <c r="I113" s="456"/>
      <c r="J113" s="129"/>
    </row>
    <row r="114" spans="1:10" ht="15" customHeight="1" thickTop="1" x14ac:dyDescent="0.3">
      <c r="A114" s="348"/>
      <c r="B114" s="348"/>
      <c r="C114" s="93"/>
      <c r="D114" s="93"/>
      <c r="E114" s="93"/>
      <c r="F114" s="93"/>
      <c r="G114" s="349"/>
      <c r="H114" s="349"/>
      <c r="J114" s="129"/>
    </row>
    <row r="115" spans="1:10" ht="15" customHeight="1" x14ac:dyDescent="0.3">
      <c r="A115" s="133" t="s">
        <v>531</v>
      </c>
      <c r="B115" s="134" t="s">
        <v>532</v>
      </c>
      <c r="C115" s="130"/>
      <c r="D115" s="130"/>
      <c r="E115" s="130"/>
      <c r="F115" s="130"/>
      <c r="G115" s="135" t="s">
        <v>463</v>
      </c>
      <c r="H115" s="135" t="s">
        <v>464</v>
      </c>
      <c r="J115" s="129"/>
    </row>
    <row r="116" spans="1:10" ht="15" customHeight="1" x14ac:dyDescent="0.3">
      <c r="A116" s="7" t="s">
        <v>465</v>
      </c>
      <c r="B116" s="7"/>
      <c r="C116" s="73"/>
      <c r="D116" s="73"/>
      <c r="E116" s="73"/>
      <c r="F116" s="73"/>
      <c r="G116" s="74">
        <f>'A - Baseline Request'!D11</f>
        <v>0</v>
      </c>
      <c r="H116" s="74">
        <f>'A - Baseline Request'!I11</f>
        <v>0</v>
      </c>
      <c r="I116" s="73"/>
      <c r="J116" s="129"/>
    </row>
    <row r="117" spans="1:10" ht="15" customHeight="1" x14ac:dyDescent="0.3">
      <c r="A117" s="2" t="s">
        <v>466</v>
      </c>
      <c r="G117" s="124">
        <f>'A - Baseline Request'!E11</f>
        <v>423060</v>
      </c>
      <c r="H117" s="124">
        <f>'A - Baseline Request'!J11</f>
        <v>423060</v>
      </c>
      <c r="J117" s="129"/>
    </row>
    <row r="118" spans="1:10" ht="15" customHeight="1" x14ac:dyDescent="0.3">
      <c r="A118" s="71" t="s">
        <v>411</v>
      </c>
      <c r="B118" s="71"/>
      <c r="D118" s="71"/>
      <c r="G118" s="68">
        <f>SUM(G116:G117)</f>
        <v>423060</v>
      </c>
      <c r="H118" s="68">
        <f>SUM(H116:H117)</f>
        <v>423060</v>
      </c>
      <c r="J118" s="129"/>
    </row>
    <row r="119" spans="1:10" ht="20.25" customHeight="1" thickBot="1" x14ac:dyDescent="0.35">
      <c r="A119" s="7"/>
      <c r="B119" s="73"/>
      <c r="C119" s="78" t="s">
        <v>462</v>
      </c>
      <c r="D119" s="79"/>
      <c r="E119" s="79"/>
      <c r="F119" s="79"/>
      <c r="G119" s="772">
        <f>G118+H118</f>
        <v>846120</v>
      </c>
      <c r="H119" s="772"/>
      <c r="I119" s="73"/>
      <c r="J119" s="129"/>
    </row>
    <row r="120" spans="1:10" ht="15" customHeight="1" thickTop="1" x14ac:dyDescent="0.3">
      <c r="A120" s="71"/>
      <c r="J120" s="129"/>
    </row>
    <row r="121" spans="1:10" ht="15" customHeight="1" x14ac:dyDescent="0.3">
      <c r="A121" s="80" t="s">
        <v>407</v>
      </c>
      <c r="J121" s="129"/>
    </row>
    <row r="122" spans="1:10" ht="32.25" customHeight="1" x14ac:dyDescent="0.3">
      <c r="A122" s="773" t="s">
        <v>533</v>
      </c>
      <c r="B122" s="773"/>
      <c r="C122" s="773"/>
      <c r="D122" s="773"/>
      <c r="E122" s="773"/>
      <c r="F122" s="773"/>
      <c r="G122" s="773"/>
      <c r="H122" s="773"/>
      <c r="I122" s="773"/>
      <c r="J122" s="129"/>
    </row>
    <row r="123" spans="1:10" ht="15" customHeight="1" thickBot="1" x14ac:dyDescent="0.35">
      <c r="A123" s="344"/>
      <c r="B123" s="344"/>
      <c r="C123" s="344"/>
      <c r="D123" s="344"/>
      <c r="E123" s="344"/>
      <c r="F123" s="344"/>
      <c r="G123" s="344"/>
      <c r="H123" s="344"/>
      <c r="I123" s="465"/>
      <c r="J123" s="129"/>
    </row>
    <row r="124" spans="1:10" ht="15" customHeight="1" thickTop="1" x14ac:dyDescent="0.3">
      <c r="A124" s="348"/>
      <c r="B124" s="348"/>
      <c r="C124" s="93"/>
      <c r="D124" s="93"/>
      <c r="E124" s="93"/>
      <c r="F124" s="93"/>
      <c r="G124" s="349"/>
      <c r="H124" s="349"/>
      <c r="J124" s="129"/>
    </row>
    <row r="125" spans="1:10" ht="15" customHeight="1" x14ac:dyDescent="0.3">
      <c r="A125" s="792" t="s">
        <v>12</v>
      </c>
      <c r="B125" s="792"/>
      <c r="C125" s="792"/>
      <c r="D125" s="792"/>
      <c r="E125" s="792"/>
      <c r="F125" s="792"/>
      <c r="G125" s="792"/>
      <c r="H125" s="792"/>
    </row>
    <row r="126" spans="1:10" ht="15" customHeight="1" x14ac:dyDescent="0.3">
      <c r="A126" s="343"/>
      <c r="B126" s="343"/>
      <c r="C126" s="343"/>
      <c r="D126" s="343"/>
      <c r="E126" s="343"/>
      <c r="F126" s="343"/>
      <c r="G126" s="343"/>
      <c r="H126" s="343"/>
    </row>
    <row r="127" spans="1:10" ht="15" customHeight="1" x14ac:dyDescent="0.3">
      <c r="A127" s="133" t="s">
        <v>44</v>
      </c>
      <c r="B127" s="134" t="s">
        <v>164</v>
      </c>
      <c r="C127" s="130"/>
      <c r="D127" s="130"/>
      <c r="E127" s="130"/>
      <c r="F127" s="130"/>
      <c r="G127" s="135" t="s">
        <v>463</v>
      </c>
      <c r="H127" s="135" t="s">
        <v>464</v>
      </c>
    </row>
    <row r="128" spans="1:10" ht="15" customHeight="1" x14ac:dyDescent="0.3">
      <c r="A128" s="2" t="s">
        <v>465</v>
      </c>
      <c r="G128" s="68">
        <f>'A - Baseline Request'!D13</f>
        <v>290391465</v>
      </c>
      <c r="H128" s="68">
        <f>'A - Baseline Request'!I13</f>
        <v>290391465</v>
      </c>
    </row>
    <row r="129" spans="1:9" ht="15" customHeight="1" x14ac:dyDescent="0.3">
      <c r="A129" s="2" t="s">
        <v>466</v>
      </c>
      <c r="G129" s="68">
        <f>'A - Baseline Request'!E13</f>
        <v>5000</v>
      </c>
      <c r="H129" s="68">
        <f>'A - Baseline Request'!J13</f>
        <v>5000</v>
      </c>
    </row>
    <row r="130" spans="1:9" ht="15" customHeight="1" x14ac:dyDescent="0.3">
      <c r="A130" s="95" t="s">
        <v>266</v>
      </c>
      <c r="B130" s="95"/>
      <c r="C130" s="95"/>
      <c r="D130" s="95"/>
      <c r="E130" s="95"/>
      <c r="F130" s="96"/>
      <c r="G130" s="97">
        <f>'C - EI Format'!F3</f>
        <v>38537345</v>
      </c>
      <c r="H130" s="97">
        <f>'C - EI Format'!G3</f>
        <v>67970755</v>
      </c>
    </row>
    <row r="131" spans="1:9" ht="15" customHeight="1" x14ac:dyDescent="0.3">
      <c r="A131" s="76" t="s">
        <v>412</v>
      </c>
      <c r="B131" s="77"/>
      <c r="C131" s="73"/>
      <c r="D131" s="77"/>
      <c r="E131" s="73"/>
      <c r="F131" s="73"/>
      <c r="G131" s="74">
        <f>SUM(G128:G130)</f>
        <v>328933810</v>
      </c>
      <c r="H131" s="74">
        <f>SUM(H128:H130)</f>
        <v>358367220</v>
      </c>
    </row>
    <row r="132" spans="1:9" ht="15" customHeight="1" thickBot="1" x14ac:dyDescent="0.35">
      <c r="A132" s="7"/>
      <c r="B132" s="73"/>
      <c r="C132" s="78" t="s">
        <v>462</v>
      </c>
      <c r="D132" s="79"/>
      <c r="E132" s="79"/>
      <c r="F132" s="79"/>
      <c r="G132" s="772">
        <f>G131+H131</f>
        <v>687301030</v>
      </c>
      <c r="H132" s="772"/>
    </row>
    <row r="133" spans="1:9" ht="15" customHeight="1" thickTop="1" x14ac:dyDescent="0.3">
      <c r="A133" s="343"/>
      <c r="B133" s="343"/>
      <c r="C133" s="343"/>
      <c r="D133" s="343"/>
      <c r="E133" s="343"/>
      <c r="F133" s="343"/>
      <c r="G133" s="343"/>
      <c r="H133" s="343"/>
    </row>
    <row r="134" spans="1:9" ht="15" customHeight="1" x14ac:dyDescent="0.3">
      <c r="A134" s="80" t="s">
        <v>407</v>
      </c>
    </row>
    <row r="135" spans="1:9" ht="159" customHeight="1" x14ac:dyDescent="0.3">
      <c r="A135" s="773" t="s">
        <v>800</v>
      </c>
      <c r="B135" s="773"/>
      <c r="C135" s="773"/>
      <c r="D135" s="773"/>
      <c r="E135" s="773"/>
      <c r="F135" s="773"/>
      <c r="G135" s="773"/>
      <c r="H135" s="773"/>
      <c r="I135" s="773"/>
    </row>
    <row r="136" spans="1:9" ht="15" customHeight="1" x14ac:dyDescent="0.3">
      <c r="A136" s="344"/>
      <c r="B136" s="344"/>
      <c r="C136" s="344"/>
      <c r="D136" s="344"/>
      <c r="E136" s="344"/>
      <c r="F136" s="344"/>
      <c r="G136" s="344"/>
      <c r="H136" s="344"/>
      <c r="I136" s="344"/>
    </row>
    <row r="137" spans="1:9" ht="15" customHeight="1" x14ac:dyDescent="0.3">
      <c r="A137" s="774" t="s">
        <v>417</v>
      </c>
      <c r="B137" s="775"/>
      <c r="C137" s="775"/>
      <c r="D137" s="775"/>
      <c r="E137" s="775"/>
      <c r="F137" s="775"/>
      <c r="G137" s="775"/>
      <c r="H137" s="775"/>
      <c r="I137" s="180"/>
    </row>
    <row r="138" spans="1:9" ht="15" customHeight="1" x14ac:dyDescent="0.3">
      <c r="A138" s="776" t="s">
        <v>423</v>
      </c>
      <c r="B138" s="777"/>
      <c r="C138" s="777" t="s">
        <v>424</v>
      </c>
      <c r="D138" s="777"/>
      <c r="E138" s="83"/>
      <c r="F138" s="83"/>
      <c r="G138" s="84"/>
      <c r="H138" s="84"/>
      <c r="I138" s="181"/>
    </row>
    <row r="139" spans="1:9" ht="15" customHeight="1" x14ac:dyDescent="0.3">
      <c r="A139" s="784" t="s">
        <v>791</v>
      </c>
      <c r="B139" s="785"/>
      <c r="C139" s="785" t="s">
        <v>691</v>
      </c>
      <c r="D139" s="785"/>
      <c r="E139" s="83"/>
      <c r="F139" s="83"/>
      <c r="G139" s="84"/>
      <c r="H139" s="84"/>
      <c r="I139" s="181"/>
    </row>
    <row r="140" spans="1:9" ht="15" customHeight="1" x14ac:dyDescent="0.3">
      <c r="A140" s="786">
        <v>0</v>
      </c>
      <c r="B140" s="787"/>
      <c r="C140" s="787">
        <f>'B - Reductions '!AC21</f>
        <v>33378940</v>
      </c>
      <c r="D140" s="787"/>
      <c r="E140" s="83"/>
      <c r="F140" s="120"/>
      <c r="G140" s="84"/>
      <c r="H140" s="84"/>
      <c r="I140" s="181"/>
    </row>
    <row r="141" spans="1:9" ht="15" customHeight="1" x14ac:dyDescent="0.3">
      <c r="A141" s="154"/>
      <c r="B141" s="190">
        <f>A140/SUM(G128:H128)</f>
        <v>0</v>
      </c>
      <c r="C141" s="155"/>
      <c r="D141" s="190">
        <f>C140/SUM(G128:H128)</f>
        <v>5.7472315861624927E-2</v>
      </c>
      <c r="E141" s="83"/>
      <c r="F141" s="120"/>
      <c r="G141" s="84"/>
      <c r="H141" s="84"/>
      <c r="I141" s="181"/>
    </row>
    <row r="142" spans="1:9" ht="15" customHeight="1" thickBot="1" x14ac:dyDescent="0.35">
      <c r="A142" s="802">
        <f>A140+C140</f>
        <v>33378940</v>
      </c>
      <c r="B142" s="803"/>
      <c r="C142" s="803"/>
      <c r="D142" s="274">
        <f>A142/SUM(G128:H128)</f>
        <v>5.7472315861624927E-2</v>
      </c>
      <c r="E142" s="85" t="s">
        <v>409</v>
      </c>
      <c r="F142" s="84"/>
      <c r="G142" s="84"/>
      <c r="H142" s="84"/>
      <c r="I142" s="181"/>
    </row>
    <row r="143" spans="1:9" ht="15" hidden="1" customHeight="1" thickTop="1" x14ac:dyDescent="0.2">
      <c r="A143" s="156"/>
      <c r="B143" s="157"/>
      <c r="C143" s="158">
        <f>B141+D141</f>
        <v>5.7472315861624927E-2</v>
      </c>
      <c r="D143" s="157"/>
      <c r="E143" s="85"/>
      <c r="F143" s="84"/>
      <c r="G143" s="84"/>
      <c r="H143" s="84"/>
      <c r="I143" s="181"/>
    </row>
    <row r="144" spans="1:9" ht="15" customHeight="1" thickTop="1" x14ac:dyDescent="0.3">
      <c r="A144" s="110" t="s">
        <v>410</v>
      </c>
      <c r="B144" s="111"/>
      <c r="C144" s="112"/>
      <c r="D144" s="111"/>
      <c r="E144" s="112"/>
      <c r="F144" s="112"/>
      <c r="G144" s="113"/>
      <c r="H144" s="113"/>
      <c r="I144" s="189"/>
    </row>
    <row r="145" spans="1:10" ht="37.5" customHeight="1" x14ac:dyDescent="0.3">
      <c r="A145" s="769" t="s">
        <v>797</v>
      </c>
      <c r="B145" s="770"/>
      <c r="C145" s="770"/>
      <c r="D145" s="770"/>
      <c r="E145" s="770"/>
      <c r="F145" s="770"/>
      <c r="G145" s="770"/>
      <c r="H145" s="770"/>
      <c r="I145" s="771"/>
    </row>
    <row r="146" spans="1:10" ht="15" customHeight="1" x14ac:dyDescent="0.3">
      <c r="A146" s="99" t="s">
        <v>413</v>
      </c>
      <c r="B146" s="100"/>
      <c r="C146" s="101"/>
      <c r="D146" s="101"/>
      <c r="E146" s="101"/>
      <c r="F146" s="101"/>
      <c r="G146" s="102"/>
      <c r="H146" s="102"/>
      <c r="I146" s="187"/>
    </row>
    <row r="147" spans="1:10" ht="15" customHeight="1" x14ac:dyDescent="0.3">
      <c r="A147" s="103" t="s">
        <v>266</v>
      </c>
      <c r="B147" s="104"/>
      <c r="C147" s="105"/>
      <c r="D147" s="106"/>
      <c r="E147" s="105"/>
      <c r="F147" s="105"/>
      <c r="G147" s="107"/>
      <c r="H147" s="107"/>
      <c r="I147" s="188"/>
    </row>
    <row r="148" spans="1:10" ht="42" customHeight="1" x14ac:dyDescent="0.3">
      <c r="A148" s="766" t="s">
        <v>786</v>
      </c>
      <c r="B148" s="767"/>
      <c r="C148" s="767"/>
      <c r="D148" s="767"/>
      <c r="E148" s="767"/>
      <c r="F148" s="767"/>
      <c r="G148" s="767"/>
      <c r="H148" s="767"/>
      <c r="I148" s="768"/>
    </row>
    <row r="149" spans="1:10" ht="15" customHeight="1" thickBot="1" x14ac:dyDescent="0.35">
      <c r="A149" s="344"/>
      <c r="B149" s="344"/>
      <c r="C149" s="344"/>
      <c r="D149" s="344"/>
      <c r="E149" s="344"/>
      <c r="F149" s="344"/>
      <c r="G149" s="344"/>
      <c r="H149" s="344"/>
      <c r="I149" s="344"/>
    </row>
    <row r="150" spans="1:10" ht="15" customHeight="1" thickTop="1" x14ac:dyDescent="0.3">
      <c r="A150" s="348"/>
      <c r="B150" s="348"/>
      <c r="C150" s="93"/>
      <c r="D150" s="93"/>
      <c r="E150" s="93"/>
      <c r="F150" s="93"/>
      <c r="G150" s="349"/>
      <c r="H150" s="349"/>
      <c r="J150" s="129"/>
    </row>
    <row r="151" spans="1:10" ht="15" customHeight="1" x14ac:dyDescent="0.3">
      <c r="A151" s="133" t="s">
        <v>46</v>
      </c>
      <c r="B151" s="134" t="s">
        <v>601</v>
      </c>
      <c r="C151" s="130"/>
      <c r="D151" s="130"/>
      <c r="E151" s="130"/>
      <c r="F151" s="130"/>
      <c r="G151" s="135" t="s">
        <v>463</v>
      </c>
      <c r="H151" s="135" t="s">
        <v>464</v>
      </c>
      <c r="J151" s="129"/>
    </row>
    <row r="152" spans="1:10" ht="15" customHeight="1" x14ac:dyDescent="0.3">
      <c r="A152" s="2" t="s">
        <v>465</v>
      </c>
      <c r="G152" s="68">
        <f>'A - Baseline Request'!D14</f>
        <v>40278896</v>
      </c>
      <c r="H152" s="68">
        <f>'A - Baseline Request'!I14</f>
        <v>40278895</v>
      </c>
      <c r="J152" s="129"/>
    </row>
    <row r="153" spans="1:10" ht="15" customHeight="1" x14ac:dyDescent="0.3">
      <c r="A153" s="2" t="s">
        <v>466</v>
      </c>
      <c r="G153" s="124">
        <f>'A - Baseline Request'!E14</f>
        <v>0</v>
      </c>
      <c r="H153" s="124">
        <f>'A - Baseline Request'!J14</f>
        <v>0</v>
      </c>
      <c r="J153" s="129"/>
    </row>
    <row r="154" spans="1:10" ht="15" customHeight="1" x14ac:dyDescent="0.3">
      <c r="A154" s="76" t="s">
        <v>412</v>
      </c>
      <c r="B154" s="77"/>
      <c r="C154" s="73"/>
      <c r="D154" s="77"/>
      <c r="E154" s="73"/>
      <c r="F154" s="73"/>
      <c r="G154" s="74">
        <f>SUM(G152:G153)</f>
        <v>40278896</v>
      </c>
      <c r="H154" s="74">
        <f>SUM(H152:H153)</f>
        <v>40278895</v>
      </c>
      <c r="J154" s="129"/>
    </row>
    <row r="155" spans="1:10" ht="15" customHeight="1" thickBot="1" x14ac:dyDescent="0.35">
      <c r="A155" s="7"/>
      <c r="B155" s="73"/>
      <c r="C155" s="78" t="s">
        <v>462</v>
      </c>
      <c r="D155" s="79"/>
      <c r="E155" s="79"/>
      <c r="F155" s="79"/>
      <c r="G155" s="772">
        <f>G154+H154</f>
        <v>80557791</v>
      </c>
      <c r="H155" s="772"/>
      <c r="J155" s="129"/>
    </row>
    <row r="156" spans="1:10" ht="15" customHeight="1" thickTop="1" x14ac:dyDescent="0.3">
      <c r="A156" s="345"/>
      <c r="B156" s="345"/>
      <c r="C156" s="345"/>
      <c r="D156" s="345"/>
      <c r="E156" s="345"/>
      <c r="F156" s="345"/>
      <c r="G156" s="345"/>
      <c r="H156" s="345"/>
      <c r="J156" s="129"/>
    </row>
    <row r="157" spans="1:10" ht="15" customHeight="1" x14ac:dyDescent="0.3">
      <c r="A157" s="80" t="s">
        <v>407</v>
      </c>
      <c r="J157" s="129"/>
    </row>
    <row r="158" spans="1:10" ht="105" customHeight="1" x14ac:dyDescent="0.3">
      <c r="A158" s="773" t="s">
        <v>799</v>
      </c>
      <c r="B158" s="773"/>
      <c r="C158" s="773"/>
      <c r="D158" s="773"/>
      <c r="E158" s="773"/>
      <c r="F158" s="773"/>
      <c r="G158" s="773"/>
      <c r="H158" s="773"/>
      <c r="I158" s="773"/>
      <c r="J158" s="129"/>
    </row>
    <row r="159" spans="1:10" s="69" customFormat="1" ht="15" customHeight="1" thickBot="1" x14ac:dyDescent="0.35">
      <c r="A159" s="90"/>
      <c r="B159" s="90"/>
      <c r="C159" s="90"/>
      <c r="D159" s="90"/>
      <c r="E159" s="90"/>
      <c r="F159" s="90"/>
      <c r="G159" s="90"/>
      <c r="H159" s="90"/>
      <c r="I159" s="451"/>
      <c r="J159" s="164"/>
    </row>
    <row r="160" spans="1:10" s="69" customFormat="1" ht="15" customHeight="1" thickTop="1" x14ac:dyDescent="0.3">
      <c r="A160" s="774" t="s">
        <v>792</v>
      </c>
      <c r="B160" s="775"/>
      <c r="C160" s="775"/>
      <c r="D160" s="775"/>
      <c r="E160" s="775"/>
      <c r="F160" s="775"/>
      <c r="G160" s="775"/>
      <c r="H160" s="775"/>
      <c r="I160" s="180"/>
      <c r="J160" s="164"/>
    </row>
    <row r="161" spans="1:10" s="69" customFormat="1" ht="15" customHeight="1" x14ac:dyDescent="0.3">
      <c r="A161" s="776" t="s">
        <v>423</v>
      </c>
      <c r="B161" s="777"/>
      <c r="C161" s="777" t="s">
        <v>424</v>
      </c>
      <c r="D161" s="777"/>
      <c r="E161" s="83"/>
      <c r="F161" s="83"/>
      <c r="G161" s="84"/>
      <c r="H161" s="84"/>
      <c r="I161" s="181"/>
      <c r="J161" s="164"/>
    </row>
    <row r="162" spans="1:10" s="69" customFormat="1" ht="15" customHeight="1" x14ac:dyDescent="0.3">
      <c r="A162" s="784" t="s">
        <v>687</v>
      </c>
      <c r="B162" s="785"/>
      <c r="C162" s="785" t="s">
        <v>791</v>
      </c>
      <c r="D162" s="785"/>
      <c r="E162" s="83"/>
      <c r="F162" s="83"/>
      <c r="G162" s="84"/>
      <c r="H162" s="84"/>
      <c r="I162" s="181"/>
      <c r="J162" s="164"/>
    </row>
    <row r="163" spans="1:10" s="69" customFormat="1" ht="15" customHeight="1" x14ac:dyDescent="0.3">
      <c r="A163" s="786">
        <f>'B - Reductions '!N18</f>
        <v>46498680</v>
      </c>
      <c r="B163" s="787"/>
      <c r="C163" s="787">
        <v>0</v>
      </c>
      <c r="D163" s="787"/>
      <c r="E163" s="83"/>
      <c r="F163" s="120"/>
      <c r="G163" s="84"/>
      <c r="H163" s="84"/>
      <c r="I163" s="181"/>
      <c r="J163" s="164"/>
    </row>
    <row r="164" spans="1:10" s="69" customFormat="1" ht="15" customHeight="1" x14ac:dyDescent="0.3">
      <c r="A164" s="154"/>
      <c r="B164" s="190">
        <f>A163/SUM(G155)</f>
        <v>0.57720897535534454</v>
      </c>
      <c r="C164" s="155"/>
      <c r="D164" s="190">
        <v>0</v>
      </c>
      <c r="E164" s="83"/>
      <c r="F164" s="120"/>
      <c r="G164" s="84"/>
      <c r="H164" s="84"/>
      <c r="I164" s="181"/>
      <c r="J164" s="164"/>
    </row>
    <row r="165" spans="1:10" s="69" customFormat="1" ht="15" customHeight="1" thickBot="1" x14ac:dyDescent="0.35">
      <c r="A165" s="802">
        <f>A163+C163</f>
        <v>46498680</v>
      </c>
      <c r="B165" s="803"/>
      <c r="C165" s="803"/>
      <c r="D165" s="274">
        <f>A165/SUM(G155)</f>
        <v>0.57720897535534454</v>
      </c>
      <c r="E165" s="85" t="s">
        <v>409</v>
      </c>
      <c r="F165" s="84"/>
      <c r="G165" s="84"/>
      <c r="H165" s="84"/>
      <c r="I165" s="181"/>
      <c r="J165" s="164"/>
    </row>
    <row r="166" spans="1:10" s="69" customFormat="1" ht="15" hidden="1" customHeight="1" thickTop="1" x14ac:dyDescent="0.2">
      <c r="A166" s="156"/>
      <c r="B166" s="157"/>
      <c r="C166" s="158">
        <f>B164+D164</f>
        <v>0.57720897535534454</v>
      </c>
      <c r="D166" s="157"/>
      <c r="E166" s="85"/>
      <c r="F166" s="84"/>
      <c r="G166" s="84"/>
      <c r="H166" s="84"/>
      <c r="I166" s="181"/>
      <c r="J166" s="164"/>
    </row>
    <row r="167" spans="1:10" s="69" customFormat="1" ht="15" customHeight="1" thickTop="1" x14ac:dyDescent="0.3">
      <c r="A167" s="110" t="s">
        <v>410</v>
      </c>
      <c r="B167" s="111"/>
      <c r="C167" s="112"/>
      <c r="D167" s="111"/>
      <c r="E167" s="112"/>
      <c r="F167" s="112"/>
      <c r="G167" s="113"/>
      <c r="H167" s="113"/>
      <c r="I167" s="189"/>
      <c r="J167" s="164"/>
    </row>
    <row r="168" spans="1:10" s="69" customFormat="1" ht="39.75" customHeight="1" x14ac:dyDescent="0.3">
      <c r="A168" s="769" t="s">
        <v>798</v>
      </c>
      <c r="B168" s="770"/>
      <c r="C168" s="770"/>
      <c r="D168" s="770"/>
      <c r="E168" s="770"/>
      <c r="F168" s="770"/>
      <c r="G168" s="770"/>
      <c r="H168" s="770"/>
      <c r="I168" s="771"/>
      <c r="J168" s="164"/>
    </row>
    <row r="169" spans="1:10" s="69" customFormat="1" ht="15" customHeight="1" thickBot="1" x14ac:dyDescent="0.35">
      <c r="A169" s="90"/>
      <c r="B169" s="90"/>
      <c r="C169" s="90"/>
      <c r="D169" s="90"/>
      <c r="E169" s="90"/>
      <c r="F169" s="90"/>
      <c r="G169" s="90"/>
      <c r="H169" s="90"/>
      <c r="I169" s="90"/>
      <c r="J169" s="164"/>
    </row>
    <row r="170" spans="1:10" ht="15" customHeight="1" thickTop="1" x14ac:dyDescent="0.3">
      <c r="A170" s="348"/>
      <c r="B170" s="348"/>
      <c r="C170" s="93"/>
      <c r="D170" s="93"/>
      <c r="E170" s="93"/>
      <c r="F170" s="93"/>
      <c r="G170" s="349"/>
      <c r="H170" s="349"/>
      <c r="J170" s="129"/>
    </row>
    <row r="171" spans="1:10" ht="15" customHeight="1" x14ac:dyDescent="0.3">
      <c r="A171" s="133" t="s">
        <v>49</v>
      </c>
      <c r="B171" s="134" t="s">
        <v>294</v>
      </c>
      <c r="C171" s="130"/>
      <c r="D171" s="130"/>
      <c r="E171" s="130"/>
      <c r="F171" s="130"/>
      <c r="G171" s="135" t="s">
        <v>463</v>
      </c>
      <c r="H171" s="135" t="s">
        <v>464</v>
      </c>
      <c r="J171" s="129"/>
    </row>
    <row r="172" spans="1:10" ht="15" customHeight="1" x14ac:dyDescent="0.3">
      <c r="A172" s="2" t="s">
        <v>465</v>
      </c>
      <c r="G172" s="68">
        <f>'A - Baseline Request'!D15</f>
        <v>84422827</v>
      </c>
      <c r="H172" s="68">
        <f>'A - Baseline Request'!I15</f>
        <v>84422827</v>
      </c>
      <c r="J172" s="129"/>
    </row>
    <row r="173" spans="1:10" ht="15" customHeight="1" x14ac:dyDescent="0.3">
      <c r="A173" s="2" t="s">
        <v>466</v>
      </c>
      <c r="G173" s="124">
        <f>'A - Baseline Request'!E15</f>
        <v>0</v>
      </c>
      <c r="H173" s="124">
        <f>'A - Baseline Request'!J15</f>
        <v>0</v>
      </c>
      <c r="J173" s="129"/>
    </row>
    <row r="174" spans="1:10" ht="15" customHeight="1" x14ac:dyDescent="0.3">
      <c r="A174" s="76" t="s">
        <v>412</v>
      </c>
      <c r="B174" s="77"/>
      <c r="C174" s="73"/>
      <c r="D174" s="77"/>
      <c r="E174" s="73"/>
      <c r="F174" s="73"/>
      <c r="G174" s="74">
        <f>SUM(G172:G173)</f>
        <v>84422827</v>
      </c>
      <c r="H174" s="74">
        <f>SUM(H172:H173)</f>
        <v>84422827</v>
      </c>
      <c r="J174" s="129"/>
    </row>
    <row r="175" spans="1:10" ht="15" customHeight="1" thickBot="1" x14ac:dyDescent="0.35">
      <c r="A175" s="7"/>
      <c r="B175" s="73"/>
      <c r="C175" s="78" t="s">
        <v>462</v>
      </c>
      <c r="D175" s="79"/>
      <c r="E175" s="79"/>
      <c r="F175" s="79"/>
      <c r="G175" s="772">
        <f>G174+H174</f>
        <v>168845654</v>
      </c>
      <c r="H175" s="772"/>
      <c r="J175" s="129"/>
    </row>
    <row r="176" spans="1:10" ht="15" customHeight="1" thickTop="1" x14ac:dyDescent="0.3">
      <c r="A176" s="345"/>
      <c r="B176" s="345"/>
      <c r="C176" s="345"/>
      <c r="D176" s="345"/>
      <c r="E176" s="345"/>
      <c r="F176" s="345"/>
      <c r="G176" s="345"/>
      <c r="H176" s="345"/>
      <c r="J176" s="129"/>
    </row>
    <row r="177" spans="1:11" ht="15" customHeight="1" x14ac:dyDescent="0.3">
      <c r="A177" s="80" t="s">
        <v>407</v>
      </c>
      <c r="J177" s="129"/>
    </row>
    <row r="178" spans="1:11" ht="115.5" customHeight="1" x14ac:dyDescent="0.3">
      <c r="A178" s="773" t="s">
        <v>766</v>
      </c>
      <c r="B178" s="773"/>
      <c r="C178" s="773"/>
      <c r="D178" s="773"/>
      <c r="E178" s="773"/>
      <c r="F178" s="773"/>
      <c r="G178" s="773"/>
      <c r="H178" s="773"/>
      <c r="I178" s="773"/>
      <c r="J178" s="129"/>
    </row>
    <row r="179" spans="1:11" ht="15" customHeight="1" x14ac:dyDescent="0.3">
      <c r="J179" s="129"/>
    </row>
    <row r="180" spans="1:11" ht="15" customHeight="1" x14ac:dyDescent="0.3">
      <c r="A180" s="774" t="s">
        <v>419</v>
      </c>
      <c r="B180" s="775"/>
      <c r="C180" s="775"/>
      <c r="D180" s="775"/>
      <c r="E180" s="775"/>
      <c r="F180" s="775"/>
      <c r="G180" s="775"/>
      <c r="H180" s="775"/>
      <c r="I180" s="180"/>
      <c r="J180" s="129"/>
    </row>
    <row r="181" spans="1:11" ht="15" customHeight="1" x14ac:dyDescent="0.3">
      <c r="A181" s="776" t="s">
        <v>423</v>
      </c>
      <c r="B181" s="777"/>
      <c r="C181" s="777" t="s">
        <v>424</v>
      </c>
      <c r="D181" s="777"/>
      <c r="E181" s="83"/>
      <c r="F181" s="83"/>
      <c r="G181" s="84"/>
      <c r="H181" s="84"/>
      <c r="I181" s="181"/>
      <c r="J181" s="129"/>
    </row>
    <row r="182" spans="1:11" ht="15" customHeight="1" x14ac:dyDescent="0.3">
      <c r="A182" s="784" t="s">
        <v>649</v>
      </c>
      <c r="B182" s="785"/>
      <c r="C182" s="785" t="s">
        <v>695</v>
      </c>
      <c r="D182" s="785"/>
      <c r="E182" s="83"/>
      <c r="F182" s="83"/>
      <c r="G182" s="84"/>
      <c r="H182" s="84"/>
      <c r="I182" s="181"/>
      <c r="J182" s="129"/>
    </row>
    <row r="183" spans="1:11" ht="15" customHeight="1" x14ac:dyDescent="0.3">
      <c r="A183" s="786">
        <v>0</v>
      </c>
      <c r="B183" s="787"/>
      <c r="C183" s="787">
        <f>'B - Reductions '!AC19</f>
        <v>9703951</v>
      </c>
      <c r="D183" s="787"/>
      <c r="E183" s="83"/>
      <c r="F183" s="83"/>
      <c r="G183" s="84"/>
      <c r="H183" s="84"/>
      <c r="I183" s="181"/>
      <c r="J183" s="129"/>
    </row>
    <row r="184" spans="1:11" ht="15" customHeight="1" x14ac:dyDescent="0.3">
      <c r="A184" s="154"/>
      <c r="B184" s="190">
        <v>0</v>
      </c>
      <c r="C184" s="158"/>
      <c r="D184" s="190">
        <f>C183/SUM(G172:H172)</f>
        <v>5.7472317291625406E-2</v>
      </c>
      <c r="E184" s="83"/>
      <c r="F184" s="83"/>
      <c r="G184" s="84"/>
      <c r="H184" s="84"/>
      <c r="I184" s="181"/>
      <c r="J184" s="129"/>
    </row>
    <row r="185" spans="1:11" ht="15" customHeight="1" thickBot="1" x14ac:dyDescent="0.35">
      <c r="A185" s="802">
        <f>A183+C183</f>
        <v>9703951</v>
      </c>
      <c r="B185" s="803"/>
      <c r="C185" s="803"/>
      <c r="D185" s="274">
        <f>A185/'A - Baseline Request'!P15</f>
        <v>5.7472317291625406E-2</v>
      </c>
      <c r="E185" s="85" t="s">
        <v>409</v>
      </c>
      <c r="F185" s="84"/>
      <c r="G185" s="84"/>
      <c r="H185" s="84"/>
      <c r="I185" s="181"/>
      <c r="J185" s="129"/>
    </row>
    <row r="186" spans="1:11" ht="15" customHeight="1" thickTop="1" x14ac:dyDescent="0.3">
      <c r="A186" s="156"/>
      <c r="B186" s="157"/>
      <c r="C186" s="158"/>
      <c r="D186" s="157"/>
      <c r="E186" s="85"/>
      <c r="F186" s="84"/>
      <c r="G186" s="84"/>
      <c r="H186" s="84"/>
      <c r="I186" s="181"/>
      <c r="J186" s="129"/>
      <c r="K186" s="701"/>
    </row>
    <row r="187" spans="1:11" ht="15" customHeight="1" x14ac:dyDescent="0.3">
      <c r="A187" s="110" t="s">
        <v>410</v>
      </c>
      <c r="B187" s="111"/>
      <c r="C187" s="112"/>
      <c r="D187" s="111"/>
      <c r="E187" s="112"/>
      <c r="F187" s="112"/>
      <c r="G187" s="113"/>
      <c r="H187" s="113"/>
      <c r="I187" s="189"/>
      <c r="J187" s="129"/>
    </row>
    <row r="188" spans="1:11" ht="39" customHeight="1" x14ac:dyDescent="0.3">
      <c r="A188" s="769" t="s">
        <v>801</v>
      </c>
      <c r="B188" s="770"/>
      <c r="C188" s="770"/>
      <c r="D188" s="770"/>
      <c r="E188" s="770"/>
      <c r="F188" s="770"/>
      <c r="G188" s="770"/>
      <c r="H188" s="770"/>
      <c r="I188" s="771"/>
      <c r="J188" s="129"/>
    </row>
    <row r="189" spans="1:11" ht="15" customHeight="1" thickBot="1" x14ac:dyDescent="0.35">
      <c r="I189" s="456"/>
      <c r="J189" s="129"/>
    </row>
    <row r="190" spans="1:11" ht="15" customHeight="1" thickTop="1" x14ac:dyDescent="0.3">
      <c r="A190" s="348"/>
      <c r="B190" s="348"/>
      <c r="C190" s="93"/>
      <c r="D190" s="93"/>
      <c r="E190" s="93"/>
      <c r="F190" s="93"/>
      <c r="G190" s="349"/>
      <c r="H190" s="349"/>
      <c r="J190" s="129"/>
    </row>
    <row r="191" spans="1:11" ht="15" customHeight="1" x14ac:dyDescent="0.3">
      <c r="A191" s="133" t="s">
        <v>52</v>
      </c>
      <c r="B191" s="134" t="s">
        <v>599</v>
      </c>
      <c r="C191" s="130"/>
      <c r="D191" s="130"/>
      <c r="E191" s="130"/>
      <c r="F191" s="130"/>
      <c r="G191" s="135" t="s">
        <v>463</v>
      </c>
      <c r="H191" s="135" t="s">
        <v>464</v>
      </c>
      <c r="J191" s="129"/>
    </row>
    <row r="192" spans="1:11" ht="15" customHeight="1" x14ac:dyDescent="0.3">
      <c r="A192" s="2" t="s">
        <v>465</v>
      </c>
      <c r="G192" s="68">
        <f>'A - Baseline Request'!D16</f>
        <v>32674694</v>
      </c>
      <c r="H192" s="68">
        <f>'A - Baseline Request'!I16</f>
        <v>32674694</v>
      </c>
      <c r="J192" s="129"/>
    </row>
    <row r="193" spans="1:11" ht="15" customHeight="1" x14ac:dyDescent="0.3">
      <c r="A193" s="2" t="s">
        <v>466</v>
      </c>
      <c r="G193" s="124">
        <f>'A - Baseline Request'!E16</f>
        <v>0</v>
      </c>
      <c r="H193" s="124">
        <f>'A - Baseline Request'!J16</f>
        <v>0</v>
      </c>
      <c r="J193" s="129"/>
    </row>
    <row r="194" spans="1:11" ht="15" customHeight="1" x14ac:dyDescent="0.3">
      <c r="A194" s="76" t="s">
        <v>412</v>
      </c>
      <c r="B194" s="77"/>
      <c r="C194" s="73"/>
      <c r="D194" s="77"/>
      <c r="E194" s="73"/>
      <c r="F194" s="73"/>
      <c r="G194" s="74">
        <f>SUM(G192:G193)</f>
        <v>32674694</v>
      </c>
      <c r="H194" s="74">
        <f>SUM(H192:H193)</f>
        <v>32674694</v>
      </c>
      <c r="J194" s="129"/>
    </row>
    <row r="195" spans="1:11" ht="15" customHeight="1" thickBot="1" x14ac:dyDescent="0.35">
      <c r="A195" s="7"/>
      <c r="B195" s="73"/>
      <c r="C195" s="78" t="s">
        <v>462</v>
      </c>
      <c r="D195" s="79"/>
      <c r="E195" s="79"/>
      <c r="F195" s="79"/>
      <c r="G195" s="772">
        <f>G194+H194</f>
        <v>65349388</v>
      </c>
      <c r="H195" s="772"/>
      <c r="J195" s="129"/>
    </row>
    <row r="196" spans="1:11" ht="15" customHeight="1" thickTop="1" x14ac:dyDescent="0.3">
      <c r="J196" s="129"/>
    </row>
    <row r="197" spans="1:11" ht="15" customHeight="1" x14ac:dyDescent="0.3">
      <c r="A197" s="80" t="s">
        <v>407</v>
      </c>
      <c r="J197" s="129"/>
    </row>
    <row r="198" spans="1:11" ht="129" customHeight="1" x14ac:dyDescent="0.3">
      <c r="A198" s="773" t="s">
        <v>767</v>
      </c>
      <c r="B198" s="773"/>
      <c r="C198" s="773"/>
      <c r="D198" s="773"/>
      <c r="E198" s="773"/>
      <c r="F198" s="773"/>
      <c r="G198" s="773"/>
      <c r="H198" s="773"/>
      <c r="I198" s="773"/>
      <c r="J198" s="129"/>
    </row>
    <row r="199" spans="1:11" ht="15" customHeight="1" x14ac:dyDescent="0.3">
      <c r="A199" s="80"/>
      <c r="J199" s="129"/>
    </row>
    <row r="200" spans="1:11" ht="15" customHeight="1" x14ac:dyDescent="0.3">
      <c r="A200" s="774" t="s">
        <v>418</v>
      </c>
      <c r="B200" s="775"/>
      <c r="C200" s="775"/>
      <c r="D200" s="775"/>
      <c r="E200" s="775"/>
      <c r="F200" s="775"/>
      <c r="G200" s="775"/>
      <c r="H200" s="775"/>
      <c r="I200" s="180"/>
      <c r="J200" s="129"/>
    </row>
    <row r="201" spans="1:11" ht="15" customHeight="1" x14ac:dyDescent="0.3">
      <c r="A201" s="776" t="s">
        <v>423</v>
      </c>
      <c r="B201" s="777"/>
      <c r="C201" s="777" t="s">
        <v>424</v>
      </c>
      <c r="D201" s="777"/>
      <c r="E201" s="83"/>
      <c r="F201" s="83"/>
      <c r="G201" s="84"/>
      <c r="H201" s="84"/>
      <c r="I201" s="181"/>
      <c r="J201" s="129"/>
    </row>
    <row r="202" spans="1:11" ht="15" customHeight="1" x14ac:dyDescent="0.3">
      <c r="A202" s="784" t="s">
        <v>791</v>
      </c>
      <c r="B202" s="785"/>
      <c r="C202" s="785" t="s">
        <v>692</v>
      </c>
      <c r="D202" s="785"/>
      <c r="E202" s="83"/>
      <c r="F202" s="83"/>
      <c r="G202" s="84"/>
      <c r="H202" s="84"/>
      <c r="I202" s="181"/>
      <c r="J202" s="129"/>
    </row>
    <row r="203" spans="1:11" ht="15" customHeight="1" x14ac:dyDescent="0.3">
      <c r="A203" s="786">
        <v>0</v>
      </c>
      <c r="B203" s="787"/>
      <c r="C203" s="787">
        <f>'B - Reductions '!AC20</f>
        <v>3755781</v>
      </c>
      <c r="D203" s="787"/>
      <c r="E203" s="83"/>
      <c r="F203" s="83"/>
      <c r="G203" s="84"/>
      <c r="H203" s="84"/>
      <c r="I203" s="181"/>
      <c r="J203" s="129"/>
    </row>
    <row r="204" spans="1:11" ht="15" customHeight="1" x14ac:dyDescent="0.3">
      <c r="A204" s="154"/>
      <c r="B204" s="190">
        <f>A203/G195</f>
        <v>0</v>
      </c>
      <c r="C204" s="158"/>
      <c r="D204" s="190">
        <f>C203/G195</f>
        <v>5.7472320934359784E-2</v>
      </c>
      <c r="E204" s="83"/>
      <c r="F204" s="83"/>
      <c r="G204" s="84"/>
      <c r="H204" s="84"/>
      <c r="I204" s="181"/>
      <c r="J204" s="129"/>
    </row>
    <row r="205" spans="1:11" ht="15" customHeight="1" thickBot="1" x14ac:dyDescent="0.35">
      <c r="A205" s="802">
        <f>A203+C203</f>
        <v>3755781</v>
      </c>
      <c r="B205" s="803"/>
      <c r="C205" s="803"/>
      <c r="D205" s="274">
        <f>A205/SUM(G192:H192)</f>
        <v>5.7472320934359784E-2</v>
      </c>
      <c r="E205" s="85" t="s">
        <v>409</v>
      </c>
      <c r="F205" s="84"/>
      <c r="G205" s="84"/>
      <c r="H205" s="84"/>
      <c r="I205" s="181"/>
      <c r="J205" s="129"/>
    </row>
    <row r="206" spans="1:11" ht="15" customHeight="1" thickTop="1" x14ac:dyDescent="0.3">
      <c r="A206" s="156"/>
      <c r="B206" s="158"/>
      <c r="C206" s="158">
        <f>B204+D204</f>
        <v>5.7472320934359784E-2</v>
      </c>
      <c r="D206" s="157"/>
      <c r="E206" s="85"/>
      <c r="F206" s="84"/>
      <c r="G206" s="84"/>
      <c r="H206" s="84"/>
      <c r="I206" s="181"/>
      <c r="J206" s="129"/>
      <c r="K206" s="701"/>
    </row>
    <row r="207" spans="1:11" ht="15" customHeight="1" x14ac:dyDescent="0.3">
      <c r="A207" s="110" t="s">
        <v>410</v>
      </c>
      <c r="B207" s="111"/>
      <c r="C207" s="112"/>
      <c r="D207" s="111"/>
      <c r="E207" s="112"/>
      <c r="F207" s="112"/>
      <c r="G207" s="113"/>
      <c r="H207" s="113"/>
      <c r="I207" s="189"/>
      <c r="J207" s="129"/>
    </row>
    <row r="208" spans="1:11" ht="42.75" customHeight="1" x14ac:dyDescent="0.3">
      <c r="A208" s="769" t="s">
        <v>802</v>
      </c>
      <c r="B208" s="770"/>
      <c r="C208" s="770"/>
      <c r="D208" s="770"/>
      <c r="E208" s="770"/>
      <c r="F208" s="770"/>
      <c r="G208" s="770"/>
      <c r="H208" s="770"/>
      <c r="I208" s="771"/>
      <c r="J208" s="129"/>
    </row>
    <row r="209" spans="1:10" ht="15" customHeight="1" thickBot="1" x14ac:dyDescent="0.35">
      <c r="I209" s="456"/>
      <c r="J209" s="129"/>
    </row>
    <row r="210" spans="1:10" ht="15" customHeight="1" thickTop="1" x14ac:dyDescent="0.3">
      <c r="A210" s="348"/>
      <c r="B210" s="348"/>
      <c r="C210" s="93"/>
      <c r="D210" s="93"/>
      <c r="E210" s="93"/>
      <c r="F210" s="93"/>
      <c r="G210" s="349"/>
      <c r="H210" s="349"/>
      <c r="J210" s="129"/>
    </row>
    <row r="211" spans="1:10" ht="15" customHeight="1" x14ac:dyDescent="0.3">
      <c r="A211" s="133" t="s">
        <v>55</v>
      </c>
      <c r="B211" s="134" t="s">
        <v>600</v>
      </c>
      <c r="C211" s="130"/>
      <c r="D211" s="130"/>
      <c r="E211" s="130"/>
      <c r="F211" s="130"/>
      <c r="G211" s="135" t="s">
        <v>463</v>
      </c>
      <c r="H211" s="135" t="s">
        <v>464</v>
      </c>
      <c r="J211" s="129"/>
    </row>
    <row r="212" spans="1:10" ht="15" customHeight="1" x14ac:dyDescent="0.3">
      <c r="A212" s="2" t="s">
        <v>465</v>
      </c>
      <c r="G212" s="68">
        <f>'A - Baseline Request'!D17</f>
        <v>7529639</v>
      </c>
      <c r="H212" s="68">
        <f>'A - Baseline Request'!I17</f>
        <v>7529639</v>
      </c>
      <c r="J212" s="129"/>
    </row>
    <row r="213" spans="1:10" ht="15" customHeight="1" x14ac:dyDescent="0.3">
      <c r="A213" s="2" t="s">
        <v>466</v>
      </c>
      <c r="G213" s="124">
        <f>'A - Baseline Request'!E17</f>
        <v>0</v>
      </c>
      <c r="H213" s="124">
        <f>'A - Baseline Request'!J17</f>
        <v>0</v>
      </c>
      <c r="J213" s="129"/>
    </row>
    <row r="214" spans="1:10" ht="15" customHeight="1" x14ac:dyDescent="0.3">
      <c r="A214" s="76" t="s">
        <v>412</v>
      </c>
      <c r="B214" s="77"/>
      <c r="C214" s="73"/>
      <c r="D214" s="77"/>
      <c r="E214" s="73"/>
      <c r="F214" s="73"/>
      <c r="G214" s="74">
        <f>SUM(G212:G213)</f>
        <v>7529639</v>
      </c>
      <c r="H214" s="74">
        <f>SUM(H212:H213)</f>
        <v>7529639</v>
      </c>
      <c r="J214" s="129"/>
    </row>
    <row r="215" spans="1:10" ht="15" customHeight="1" thickBot="1" x14ac:dyDescent="0.35">
      <c r="A215" s="7"/>
      <c r="B215" s="73"/>
      <c r="C215" s="78" t="s">
        <v>462</v>
      </c>
      <c r="D215" s="79"/>
      <c r="E215" s="79"/>
      <c r="F215" s="79"/>
      <c r="G215" s="772">
        <f>G214+H214</f>
        <v>15059278</v>
      </c>
      <c r="H215" s="772"/>
      <c r="J215" s="129"/>
    </row>
    <row r="216" spans="1:10" ht="15" customHeight="1" thickTop="1" x14ac:dyDescent="0.3">
      <c r="J216" s="129"/>
    </row>
    <row r="217" spans="1:10" ht="15" customHeight="1" x14ac:dyDescent="0.3">
      <c r="A217" s="80" t="s">
        <v>407</v>
      </c>
      <c r="J217" s="129"/>
    </row>
    <row r="218" spans="1:10" ht="78.75" customHeight="1" x14ac:dyDescent="0.3">
      <c r="A218" s="773" t="s">
        <v>502</v>
      </c>
      <c r="B218" s="773"/>
      <c r="C218" s="773"/>
      <c r="D218" s="773"/>
      <c r="E218" s="773"/>
      <c r="F218" s="773"/>
      <c r="G218" s="773"/>
      <c r="H218" s="773"/>
      <c r="I218" s="773"/>
      <c r="J218" s="129"/>
    </row>
    <row r="219" spans="1:10" ht="15" customHeight="1" thickBot="1" x14ac:dyDescent="0.35">
      <c r="A219" s="80"/>
      <c r="I219" s="456"/>
      <c r="J219" s="129"/>
    </row>
    <row r="220" spans="1:10" ht="26.25" customHeight="1" thickTop="1" x14ac:dyDescent="0.3">
      <c r="A220" s="91" t="s">
        <v>58</v>
      </c>
      <c r="B220" s="92" t="s">
        <v>45</v>
      </c>
      <c r="C220" s="93"/>
      <c r="D220" s="93"/>
      <c r="E220" s="93"/>
      <c r="F220" s="93"/>
      <c r="G220" s="94" t="s">
        <v>463</v>
      </c>
      <c r="H220" s="94" t="s">
        <v>464</v>
      </c>
    </row>
    <row r="221" spans="1:10" s="73" customFormat="1" ht="15" customHeight="1" x14ac:dyDescent="0.3">
      <c r="A221" s="7" t="s">
        <v>465</v>
      </c>
      <c r="B221" s="7"/>
      <c r="G221" s="74">
        <f>'A - Baseline Request'!D18</f>
        <v>549500</v>
      </c>
      <c r="H221" s="74">
        <f>'A - Baseline Request'!I18</f>
        <v>549500</v>
      </c>
      <c r="J221" s="132"/>
    </row>
    <row r="222" spans="1:10" s="73" customFormat="1" ht="15" customHeight="1" x14ac:dyDescent="0.3">
      <c r="A222" s="7" t="s">
        <v>466</v>
      </c>
      <c r="B222" s="7"/>
      <c r="G222" s="75">
        <f>'A - Baseline Request'!E18</f>
        <v>0</v>
      </c>
      <c r="H222" s="75">
        <f>'A - Baseline Request'!J18</f>
        <v>0</v>
      </c>
      <c r="J222" s="132"/>
    </row>
    <row r="223" spans="1:10" s="73" customFormat="1" ht="15" customHeight="1" x14ac:dyDescent="0.3">
      <c r="A223" s="76" t="s">
        <v>411</v>
      </c>
      <c r="B223" s="77"/>
      <c r="D223" s="77"/>
      <c r="G223" s="74">
        <f>G221+G222</f>
        <v>549500</v>
      </c>
      <c r="H223" s="74">
        <f>H221+H222</f>
        <v>549500</v>
      </c>
      <c r="J223" s="132"/>
    </row>
    <row r="224" spans="1:10" s="73" customFormat="1" ht="21" customHeight="1" thickBot="1" x14ac:dyDescent="0.35">
      <c r="A224" s="7"/>
      <c r="C224" s="78" t="s">
        <v>462</v>
      </c>
      <c r="D224" s="79"/>
      <c r="E224" s="79"/>
      <c r="F224" s="79"/>
      <c r="G224" s="772">
        <f>G223+H223</f>
        <v>1099000</v>
      </c>
      <c r="H224" s="772"/>
      <c r="J224" s="130"/>
    </row>
    <row r="225" spans="1:10" s="73" customFormat="1" ht="15" customHeight="1" thickTop="1" x14ac:dyDescent="0.3">
      <c r="A225" s="71"/>
      <c r="B225" s="2"/>
      <c r="C225" s="67"/>
      <c r="D225" s="67"/>
      <c r="E225" s="67"/>
      <c r="F225" s="67"/>
      <c r="G225" s="68"/>
      <c r="H225" s="68"/>
      <c r="I225" s="67"/>
      <c r="J225" s="129"/>
    </row>
    <row r="226" spans="1:10" ht="15" customHeight="1" x14ac:dyDescent="0.3">
      <c r="A226" s="80" t="s">
        <v>407</v>
      </c>
      <c r="J226" s="129"/>
    </row>
    <row r="227" spans="1:10" ht="141.75" customHeight="1" x14ac:dyDescent="0.3">
      <c r="A227" s="773" t="s">
        <v>724</v>
      </c>
      <c r="B227" s="773"/>
      <c r="C227" s="773"/>
      <c r="D227" s="773"/>
      <c r="E227" s="773"/>
      <c r="F227" s="773"/>
      <c r="G227" s="773"/>
      <c r="H227" s="773"/>
      <c r="I227" s="773"/>
      <c r="J227" s="168"/>
    </row>
    <row r="228" spans="1:10" ht="15" hidden="1" customHeight="1" x14ac:dyDescent="0.2">
      <c r="J228" s="129"/>
    </row>
    <row r="229" spans="1:10" ht="26.25" hidden="1" customHeight="1" x14ac:dyDescent="0.2">
      <c r="A229" s="114" t="s">
        <v>46</v>
      </c>
      <c r="B229" s="115" t="s">
        <v>47</v>
      </c>
      <c r="C229" s="116"/>
      <c r="D229" s="116"/>
      <c r="E229" s="116"/>
      <c r="F229" s="116"/>
      <c r="G229" s="117" t="s">
        <v>401</v>
      </c>
      <c r="H229" s="117" t="s">
        <v>402</v>
      </c>
    </row>
    <row r="230" spans="1:10" s="73" customFormat="1" ht="15" hidden="1" customHeight="1" x14ac:dyDescent="0.25">
      <c r="A230" s="7" t="s">
        <v>403</v>
      </c>
      <c r="B230" s="7"/>
      <c r="G230" s="74">
        <v>0</v>
      </c>
      <c r="H230" s="74">
        <v>0</v>
      </c>
      <c r="J230" s="132"/>
    </row>
    <row r="231" spans="1:10" s="73" customFormat="1" ht="15" hidden="1" customHeight="1" x14ac:dyDescent="0.25">
      <c r="A231" s="7" t="s">
        <v>404</v>
      </c>
      <c r="B231" s="7"/>
      <c r="G231" s="75">
        <v>0</v>
      </c>
      <c r="H231" s="75">
        <v>0</v>
      </c>
      <c r="J231" s="132"/>
    </row>
    <row r="232" spans="1:10" s="73" customFormat="1" ht="15" hidden="1" customHeight="1" x14ac:dyDescent="0.25">
      <c r="A232" s="76" t="s">
        <v>411</v>
      </c>
      <c r="B232" s="77"/>
      <c r="D232" s="77"/>
      <c r="G232" s="74">
        <v>0</v>
      </c>
      <c r="H232" s="74">
        <v>0</v>
      </c>
      <c r="J232" s="132"/>
    </row>
    <row r="233" spans="1:10" s="73" customFormat="1" ht="21" hidden="1" customHeight="1" thickBot="1" x14ac:dyDescent="0.25">
      <c r="A233" s="7"/>
      <c r="C233" s="78" t="s">
        <v>406</v>
      </c>
      <c r="D233" s="79"/>
      <c r="E233" s="79"/>
      <c r="F233" s="79"/>
      <c r="G233" s="772">
        <v>0</v>
      </c>
      <c r="H233" s="772"/>
      <c r="J233" s="130"/>
    </row>
    <row r="234" spans="1:10" ht="15" hidden="1" customHeight="1" thickTop="1" x14ac:dyDescent="0.2">
      <c r="A234" s="71"/>
      <c r="J234" s="129"/>
    </row>
    <row r="235" spans="1:10" ht="15" hidden="1" customHeight="1" x14ac:dyDescent="0.2">
      <c r="A235" s="80" t="s">
        <v>407</v>
      </c>
      <c r="J235" s="129"/>
    </row>
    <row r="236" spans="1:10" s="73" customFormat="1" ht="33.75" hidden="1" customHeight="1" x14ac:dyDescent="0.2">
      <c r="A236" s="765" t="s">
        <v>416</v>
      </c>
      <c r="B236" s="765"/>
      <c r="C236" s="765"/>
      <c r="D236" s="765"/>
      <c r="E236" s="765"/>
      <c r="F236" s="765"/>
      <c r="G236" s="765"/>
      <c r="H236" s="765"/>
      <c r="I236" s="765"/>
      <c r="J236" s="129"/>
    </row>
    <row r="237" spans="1:10" ht="15" hidden="1" customHeight="1" thickBot="1" x14ac:dyDescent="0.25">
      <c r="J237" s="129"/>
    </row>
    <row r="238" spans="1:10" ht="15" customHeight="1" thickBot="1" x14ac:dyDescent="0.35">
      <c r="I238" s="456"/>
      <c r="J238" s="129"/>
    </row>
    <row r="239" spans="1:10" ht="26.25" customHeight="1" thickTop="1" x14ac:dyDescent="0.3">
      <c r="A239" s="91" t="s">
        <v>61</v>
      </c>
      <c r="B239" s="92" t="s">
        <v>50</v>
      </c>
      <c r="C239" s="93"/>
      <c r="D239" s="93"/>
      <c r="E239" s="93"/>
      <c r="F239" s="93"/>
      <c r="G239" s="94" t="s">
        <v>463</v>
      </c>
      <c r="H239" s="94" t="s">
        <v>464</v>
      </c>
    </row>
    <row r="240" spans="1:10" s="73" customFormat="1" ht="15" customHeight="1" x14ac:dyDescent="0.3">
      <c r="A240" s="7" t="s">
        <v>465</v>
      </c>
      <c r="B240" s="7"/>
      <c r="G240" s="74">
        <f>'A - Baseline Request'!D21</f>
        <v>0</v>
      </c>
      <c r="H240" s="74">
        <f>'A - Baseline Request'!I21</f>
        <v>0</v>
      </c>
      <c r="J240" s="132"/>
    </row>
    <row r="241" spans="1:10" s="73" customFormat="1" ht="15" customHeight="1" x14ac:dyDescent="0.3">
      <c r="A241" s="7" t="s">
        <v>466</v>
      </c>
      <c r="B241" s="7"/>
      <c r="G241" s="75">
        <f>'A - Baseline Request'!E20</f>
        <v>0</v>
      </c>
      <c r="H241" s="75">
        <f>'A - Baseline Request'!J20</f>
        <v>0</v>
      </c>
      <c r="J241" s="132"/>
    </row>
    <row r="242" spans="1:10" s="73" customFormat="1" ht="15" customHeight="1" x14ac:dyDescent="0.3">
      <c r="A242" s="76" t="s">
        <v>411</v>
      </c>
      <c r="B242" s="77"/>
      <c r="D242" s="77"/>
      <c r="G242" s="74">
        <f>G241+G240</f>
        <v>0</v>
      </c>
      <c r="H242" s="74">
        <f>H241+H240</f>
        <v>0</v>
      </c>
      <c r="J242" s="132"/>
    </row>
    <row r="243" spans="1:10" s="73" customFormat="1" ht="21" customHeight="1" thickBot="1" x14ac:dyDescent="0.35">
      <c r="A243" s="7"/>
      <c r="C243" s="78" t="s">
        <v>462</v>
      </c>
      <c r="D243" s="79"/>
      <c r="E243" s="79"/>
      <c r="F243" s="79"/>
      <c r="G243" s="772">
        <f>G242+H242</f>
        <v>0</v>
      </c>
      <c r="H243" s="772"/>
      <c r="J243" s="130"/>
    </row>
    <row r="244" spans="1:10" ht="15" customHeight="1" thickTop="1" x14ac:dyDescent="0.3">
      <c r="A244" s="77"/>
      <c r="B244" s="7"/>
      <c r="C244" s="73"/>
      <c r="D244" s="73"/>
      <c r="E244" s="73"/>
      <c r="F244" s="73"/>
      <c r="G244" s="74"/>
      <c r="H244" s="74"/>
      <c r="I244" s="73"/>
      <c r="J244" s="129"/>
    </row>
    <row r="245" spans="1:10" s="98" customFormat="1" ht="15" customHeight="1" x14ac:dyDescent="0.3">
      <c r="A245" s="118" t="s">
        <v>407</v>
      </c>
      <c r="B245" s="7"/>
      <c r="C245" s="73"/>
      <c r="D245" s="73"/>
      <c r="E245" s="73"/>
      <c r="F245" s="73"/>
      <c r="G245" s="74"/>
      <c r="H245" s="74"/>
      <c r="I245" s="73"/>
      <c r="J245" s="129"/>
    </row>
    <row r="246" spans="1:10" ht="132.75" customHeight="1" x14ac:dyDescent="0.3">
      <c r="A246" s="773" t="s">
        <v>757</v>
      </c>
      <c r="B246" s="773"/>
      <c r="C246" s="773"/>
      <c r="D246" s="773"/>
      <c r="E246" s="773"/>
      <c r="F246" s="773"/>
      <c r="G246" s="773"/>
      <c r="H246" s="773"/>
      <c r="I246" s="773"/>
      <c r="J246" s="129"/>
    </row>
    <row r="247" spans="1:10" ht="15" customHeight="1" thickBot="1" x14ac:dyDescent="0.35">
      <c r="A247" s="7"/>
      <c r="B247" s="7"/>
      <c r="C247" s="73"/>
      <c r="D247" s="73"/>
      <c r="E247" s="73"/>
      <c r="F247" s="73"/>
      <c r="G247" s="74"/>
      <c r="H247" s="74"/>
      <c r="I247" s="460"/>
      <c r="J247" s="129"/>
    </row>
    <row r="248" spans="1:10" ht="26.25" customHeight="1" thickTop="1" x14ac:dyDescent="0.3">
      <c r="A248" s="91" t="s">
        <v>64</v>
      </c>
      <c r="B248" s="92" t="s">
        <v>53</v>
      </c>
      <c r="C248" s="93"/>
      <c r="D248" s="93"/>
      <c r="E248" s="93"/>
      <c r="F248" s="93"/>
      <c r="G248" s="94" t="s">
        <v>463</v>
      </c>
      <c r="H248" s="94" t="s">
        <v>464</v>
      </c>
    </row>
    <row r="249" spans="1:10" s="73" customFormat="1" ht="15" customHeight="1" x14ac:dyDescent="0.3">
      <c r="A249" s="7" t="s">
        <v>465</v>
      </c>
      <c r="B249" s="7"/>
      <c r="G249" s="74">
        <f>'A - Baseline Request'!D21</f>
        <v>0</v>
      </c>
      <c r="H249" s="74">
        <f>'A - Baseline Request'!I21</f>
        <v>0</v>
      </c>
      <c r="J249" s="132"/>
    </row>
    <row r="250" spans="1:10" s="73" customFormat="1" ht="15" customHeight="1" x14ac:dyDescent="0.3">
      <c r="A250" s="7" t="s">
        <v>466</v>
      </c>
      <c r="B250" s="7"/>
      <c r="G250" s="75">
        <f>'A - Baseline Request'!E21</f>
        <v>0</v>
      </c>
      <c r="H250" s="75">
        <f>'A - Baseline Request'!J21</f>
        <v>0</v>
      </c>
      <c r="J250" s="132"/>
    </row>
    <row r="251" spans="1:10" s="73" customFormat="1" ht="15" customHeight="1" x14ac:dyDescent="0.3">
      <c r="A251" s="76" t="s">
        <v>411</v>
      </c>
      <c r="B251" s="77"/>
      <c r="D251" s="77"/>
      <c r="G251" s="74">
        <f>G250+G249</f>
        <v>0</v>
      </c>
      <c r="H251" s="74">
        <f>H250+H249</f>
        <v>0</v>
      </c>
      <c r="J251" s="132"/>
    </row>
    <row r="252" spans="1:10" s="73" customFormat="1" ht="21" customHeight="1" thickBot="1" x14ac:dyDescent="0.35">
      <c r="A252" s="7"/>
      <c r="C252" s="78" t="s">
        <v>462</v>
      </c>
      <c r="D252" s="79"/>
      <c r="E252" s="79"/>
      <c r="F252" s="79"/>
      <c r="G252" s="772">
        <f>G251+H251</f>
        <v>0</v>
      </c>
      <c r="H252" s="772"/>
      <c r="J252" s="130"/>
    </row>
    <row r="253" spans="1:10" ht="15" customHeight="1" thickTop="1" x14ac:dyDescent="0.3">
      <c r="A253" s="77"/>
      <c r="B253" s="7"/>
      <c r="C253" s="73"/>
      <c r="D253" s="73"/>
      <c r="E253" s="73"/>
      <c r="F253" s="73"/>
      <c r="G253" s="74"/>
      <c r="H253" s="74"/>
      <c r="I253" s="73"/>
      <c r="J253" s="129"/>
    </row>
    <row r="254" spans="1:10" ht="15" customHeight="1" x14ac:dyDescent="0.3">
      <c r="A254" s="118" t="s">
        <v>407</v>
      </c>
      <c r="B254" s="7"/>
      <c r="C254" s="73"/>
      <c r="D254" s="73"/>
      <c r="E254" s="73"/>
      <c r="F254" s="73"/>
      <c r="G254" s="74"/>
      <c r="H254" s="74"/>
      <c r="I254" s="73"/>
      <c r="J254" s="129"/>
    </row>
    <row r="255" spans="1:10" ht="90" customHeight="1" x14ac:dyDescent="0.3">
      <c r="A255" s="773" t="s">
        <v>499</v>
      </c>
      <c r="B255" s="773"/>
      <c r="C255" s="773"/>
      <c r="D255" s="773"/>
      <c r="E255" s="773"/>
      <c r="F255" s="773"/>
      <c r="G255" s="773"/>
      <c r="H255" s="773"/>
      <c r="I255" s="773"/>
    </row>
    <row r="256" spans="1:10" ht="15" customHeight="1" thickBot="1" x14ac:dyDescent="0.35">
      <c r="A256" s="7"/>
      <c r="B256" s="7"/>
      <c r="C256" s="73"/>
      <c r="D256" s="73"/>
      <c r="E256" s="73"/>
      <c r="F256" s="73"/>
      <c r="G256" s="74"/>
      <c r="H256" s="74"/>
      <c r="I256" s="73"/>
      <c r="J256" s="129"/>
    </row>
    <row r="257" spans="1:10" ht="26.25" customHeight="1" thickTop="1" x14ac:dyDescent="0.3">
      <c r="A257" s="91" t="s">
        <v>66</v>
      </c>
      <c r="B257" s="92" t="s">
        <v>56</v>
      </c>
      <c r="C257" s="93"/>
      <c r="D257" s="93"/>
      <c r="E257" s="93"/>
      <c r="F257" s="93"/>
      <c r="G257" s="94" t="s">
        <v>463</v>
      </c>
      <c r="H257" s="94" t="s">
        <v>464</v>
      </c>
    </row>
    <row r="258" spans="1:10" s="73" customFormat="1" ht="15" customHeight="1" x14ac:dyDescent="0.3">
      <c r="A258" s="7" t="s">
        <v>465</v>
      </c>
      <c r="B258" s="7"/>
      <c r="G258" s="74">
        <f>'A - Baseline Request'!D22</f>
        <v>0</v>
      </c>
      <c r="H258" s="74">
        <f>'A - Baseline Request'!I22</f>
        <v>0</v>
      </c>
      <c r="J258" s="132"/>
    </row>
    <row r="259" spans="1:10" s="73" customFormat="1" ht="15" customHeight="1" x14ac:dyDescent="0.3">
      <c r="A259" s="7" t="s">
        <v>466</v>
      </c>
      <c r="B259" s="7"/>
      <c r="G259" s="75">
        <f>'A - Baseline Request'!E22</f>
        <v>0</v>
      </c>
      <c r="H259" s="75">
        <f>'A - Baseline Request'!J22</f>
        <v>0</v>
      </c>
      <c r="J259" s="132"/>
    </row>
    <row r="260" spans="1:10" s="73" customFormat="1" ht="15" customHeight="1" x14ac:dyDescent="0.3">
      <c r="A260" s="76" t="s">
        <v>411</v>
      </c>
      <c r="B260" s="77"/>
      <c r="D260" s="77"/>
      <c r="G260" s="74">
        <f>SUM(G258:G259)</f>
        <v>0</v>
      </c>
      <c r="H260" s="74">
        <f>SUM(H258:H259)</f>
        <v>0</v>
      </c>
      <c r="J260" s="132"/>
    </row>
    <row r="261" spans="1:10" s="73" customFormat="1" ht="21" customHeight="1" thickBot="1" x14ac:dyDescent="0.35">
      <c r="A261" s="7"/>
      <c r="C261" s="78" t="s">
        <v>462</v>
      </c>
      <c r="D261" s="79"/>
      <c r="E261" s="79"/>
      <c r="F261" s="79"/>
      <c r="G261" s="772">
        <f>G260+H260</f>
        <v>0</v>
      </c>
      <c r="H261" s="772"/>
      <c r="J261" s="130"/>
    </row>
    <row r="262" spans="1:10" ht="15" customHeight="1" thickTop="1" x14ac:dyDescent="0.3">
      <c r="A262" s="71"/>
      <c r="J262" s="129"/>
    </row>
    <row r="263" spans="1:10" ht="15" customHeight="1" x14ac:dyDescent="0.3">
      <c r="A263" s="80" t="s">
        <v>407</v>
      </c>
      <c r="J263" s="129"/>
    </row>
    <row r="264" spans="1:10" ht="153.75" customHeight="1" x14ac:dyDescent="0.3">
      <c r="A264" s="773" t="s">
        <v>500</v>
      </c>
      <c r="B264" s="773"/>
      <c r="C264" s="773"/>
      <c r="D264" s="773"/>
      <c r="E264" s="773"/>
      <c r="F264" s="773"/>
      <c r="G264" s="773"/>
      <c r="H264" s="773"/>
      <c r="I264" s="773"/>
      <c r="J264" s="129"/>
    </row>
    <row r="265" spans="1:10" s="2" customFormat="1" ht="15" customHeight="1" thickBot="1" x14ac:dyDescent="0.35">
      <c r="C265" s="67"/>
      <c r="D265" s="67"/>
      <c r="E265" s="67"/>
      <c r="F265" s="67"/>
      <c r="G265" s="68"/>
      <c r="H265" s="68"/>
      <c r="I265" s="456"/>
      <c r="J265" s="129"/>
    </row>
    <row r="266" spans="1:10" ht="26.25" customHeight="1" thickTop="1" x14ac:dyDescent="0.3">
      <c r="A266" s="91" t="s">
        <v>68</v>
      </c>
      <c r="B266" s="92" t="s">
        <v>59</v>
      </c>
      <c r="C266" s="93"/>
      <c r="D266" s="93"/>
      <c r="E266" s="93"/>
      <c r="F266" s="93"/>
      <c r="G266" s="94" t="s">
        <v>463</v>
      </c>
      <c r="H266" s="94" t="s">
        <v>464</v>
      </c>
    </row>
    <row r="267" spans="1:10" s="73" customFormat="1" ht="15" customHeight="1" x14ac:dyDescent="0.3">
      <c r="A267" s="7" t="s">
        <v>465</v>
      </c>
      <c r="B267" s="7"/>
      <c r="G267" s="74">
        <f>'A - Baseline Request'!D23</f>
        <v>500000</v>
      </c>
      <c r="H267" s="74">
        <f>'A - Baseline Request'!I23</f>
        <v>500000</v>
      </c>
      <c r="J267" s="132"/>
    </row>
    <row r="268" spans="1:10" ht="15" customHeight="1" x14ac:dyDescent="0.3">
      <c r="A268" s="2" t="s">
        <v>466</v>
      </c>
      <c r="G268" s="131">
        <f>'A - Baseline Request'!E23</f>
        <v>0</v>
      </c>
      <c r="H268" s="131">
        <f>'A - Baseline Request'!J23</f>
        <v>0</v>
      </c>
      <c r="J268" s="165"/>
    </row>
    <row r="269" spans="1:10" ht="15" customHeight="1" x14ac:dyDescent="0.3">
      <c r="A269" s="95" t="s">
        <v>270</v>
      </c>
      <c r="D269" s="95"/>
      <c r="G269" s="97">
        <v>4500000</v>
      </c>
      <c r="H269" s="97">
        <v>4500000</v>
      </c>
      <c r="J269" s="165"/>
    </row>
    <row r="270" spans="1:10" ht="15" customHeight="1" x14ac:dyDescent="0.3">
      <c r="A270" s="71" t="s">
        <v>412</v>
      </c>
      <c r="B270" s="71"/>
      <c r="D270" s="71"/>
      <c r="G270" s="68">
        <f>G267+G268+G269</f>
        <v>5000000</v>
      </c>
      <c r="H270" s="68">
        <f>H267+H268+H269</f>
        <v>5000000</v>
      </c>
    </row>
    <row r="271" spans="1:10" s="73" customFormat="1" ht="21" customHeight="1" thickBot="1" x14ac:dyDescent="0.35">
      <c r="A271" s="7"/>
      <c r="C271" s="78" t="s">
        <v>462</v>
      </c>
      <c r="D271" s="79"/>
      <c r="E271" s="79"/>
      <c r="F271" s="79"/>
      <c r="G271" s="772">
        <f>G270+H270</f>
        <v>10000000</v>
      </c>
      <c r="H271" s="772"/>
      <c r="J271" s="130"/>
    </row>
    <row r="272" spans="1:10" ht="15" customHeight="1" thickTop="1" x14ac:dyDescent="0.3">
      <c r="A272" s="77"/>
      <c r="B272" s="7"/>
      <c r="C272" s="73"/>
      <c r="D272" s="73"/>
      <c r="E272" s="73"/>
      <c r="F272" s="73"/>
      <c r="G272" s="74"/>
      <c r="H272" s="74"/>
      <c r="I272" s="73"/>
      <c r="J272" s="129"/>
    </row>
    <row r="273" spans="1:10" ht="15" customHeight="1" x14ac:dyDescent="0.3">
      <c r="A273" s="118" t="s">
        <v>407</v>
      </c>
      <c r="B273" s="7"/>
      <c r="C273" s="73"/>
      <c r="D273" s="73"/>
      <c r="E273" s="73"/>
      <c r="F273" s="73"/>
      <c r="G273" s="74"/>
      <c r="H273" s="74"/>
      <c r="I273" s="73"/>
      <c r="J273" s="129"/>
    </row>
    <row r="274" spans="1:10" s="73" customFormat="1" ht="228" customHeight="1" x14ac:dyDescent="0.25">
      <c r="A274" s="773" t="s">
        <v>525</v>
      </c>
      <c r="B274" s="773"/>
      <c r="C274" s="773"/>
      <c r="D274" s="773"/>
      <c r="E274" s="773"/>
      <c r="F274" s="773"/>
      <c r="G274" s="773"/>
      <c r="H274" s="773"/>
      <c r="I274" s="773"/>
      <c r="J274" s="129"/>
    </row>
    <row r="275" spans="1:10" ht="6.75" hidden="1" customHeight="1" x14ac:dyDescent="0.2">
      <c r="A275" s="7"/>
      <c r="B275" s="7"/>
      <c r="C275" s="73"/>
      <c r="D275" s="73"/>
      <c r="E275" s="73"/>
      <c r="F275" s="73"/>
      <c r="G275" s="74"/>
      <c r="H275" s="74"/>
      <c r="I275" s="73"/>
      <c r="J275" s="129"/>
    </row>
    <row r="276" spans="1:10" s="73" customFormat="1" ht="22.5" hidden="1" customHeight="1" x14ac:dyDescent="0.25">
      <c r="A276" s="774" t="s">
        <v>408</v>
      </c>
      <c r="B276" s="775"/>
      <c r="C276" s="775"/>
      <c r="D276" s="775"/>
      <c r="E276" s="775"/>
      <c r="F276" s="775"/>
      <c r="G276" s="775"/>
      <c r="H276" s="775"/>
      <c r="I276" s="180"/>
      <c r="J276" s="132"/>
    </row>
    <row r="277" spans="1:10" s="73" customFormat="1" ht="15.75" hidden="1" customHeight="1" x14ac:dyDescent="0.25">
      <c r="A277" s="776" t="s">
        <v>423</v>
      </c>
      <c r="B277" s="777"/>
      <c r="C277" s="777" t="s">
        <v>424</v>
      </c>
      <c r="D277" s="777"/>
      <c r="E277" s="83"/>
      <c r="F277" s="83"/>
      <c r="G277" s="84"/>
      <c r="H277" s="84"/>
      <c r="I277" s="181"/>
      <c r="J277" s="132"/>
    </row>
    <row r="278" spans="1:10" s="73" customFormat="1" ht="15.75" hidden="1" customHeight="1" x14ac:dyDescent="0.25">
      <c r="A278" s="784" t="s">
        <v>692</v>
      </c>
      <c r="B278" s="785"/>
      <c r="C278" s="785" t="s">
        <v>649</v>
      </c>
      <c r="D278" s="785"/>
      <c r="E278" s="83"/>
      <c r="F278" s="83"/>
      <c r="G278" s="84"/>
      <c r="H278" s="84"/>
      <c r="I278" s="181"/>
      <c r="J278" s="132"/>
    </row>
    <row r="279" spans="1:10" s="73" customFormat="1" ht="15" hidden="1" customHeight="1" x14ac:dyDescent="0.25">
      <c r="A279" s="786">
        <v>0</v>
      </c>
      <c r="B279" s="787"/>
      <c r="C279" s="787">
        <v>0</v>
      </c>
      <c r="D279" s="787"/>
      <c r="E279" s="83"/>
      <c r="F279" s="83"/>
      <c r="G279" s="84"/>
      <c r="H279" s="84"/>
      <c r="I279" s="181"/>
      <c r="J279" s="132"/>
    </row>
    <row r="280" spans="1:10" s="73" customFormat="1" ht="15" hidden="1" customHeight="1" x14ac:dyDescent="0.25">
      <c r="A280" s="154"/>
      <c r="B280" s="190">
        <v>0</v>
      </c>
      <c r="C280" s="158"/>
      <c r="D280" s="190">
        <v>0</v>
      </c>
      <c r="E280" s="83"/>
      <c r="F280" s="83"/>
      <c r="G280" s="84"/>
      <c r="H280" s="84"/>
      <c r="I280" s="181"/>
      <c r="J280" s="132"/>
    </row>
    <row r="281" spans="1:10" s="73" customFormat="1" ht="18.75" hidden="1" customHeight="1" thickBot="1" x14ac:dyDescent="0.3">
      <c r="A281" s="802">
        <f>A279+C279</f>
        <v>0</v>
      </c>
      <c r="B281" s="803"/>
      <c r="C281" s="803"/>
      <c r="D281" s="274">
        <f>A281/SUM(G267:H267)</f>
        <v>0</v>
      </c>
      <c r="E281" s="85" t="s">
        <v>409</v>
      </c>
      <c r="F281" s="84"/>
      <c r="G281" s="84"/>
      <c r="H281" s="84"/>
      <c r="I281" s="181"/>
      <c r="J281" s="132"/>
    </row>
    <row r="282" spans="1:10" s="73" customFormat="1" ht="18.75" hidden="1" customHeight="1" x14ac:dyDescent="0.25">
      <c r="A282" s="156"/>
      <c r="B282" s="157"/>
      <c r="C282" s="158">
        <f>B280+D280</f>
        <v>0</v>
      </c>
      <c r="D282" s="157"/>
      <c r="E282" s="85"/>
      <c r="F282" s="84"/>
      <c r="G282" s="84"/>
      <c r="H282" s="84"/>
      <c r="I282" s="181"/>
      <c r="J282" s="132"/>
    </row>
    <row r="283" spans="1:10" ht="21" hidden="1" customHeight="1" x14ac:dyDescent="0.2">
      <c r="A283" s="110" t="s">
        <v>410</v>
      </c>
      <c r="B283" s="111"/>
      <c r="C283" s="112"/>
      <c r="D283" s="111"/>
      <c r="E283" s="112"/>
      <c r="F283" s="112"/>
      <c r="G283" s="113"/>
      <c r="H283" s="113"/>
      <c r="I283" s="189"/>
    </row>
    <row r="284" spans="1:10" ht="27.75" hidden="1" customHeight="1" x14ac:dyDescent="0.2">
      <c r="A284" s="769" t="s">
        <v>719</v>
      </c>
      <c r="B284" s="770"/>
      <c r="C284" s="770"/>
      <c r="D284" s="770"/>
      <c r="E284" s="770"/>
      <c r="F284" s="770"/>
      <c r="G284" s="770"/>
      <c r="H284" s="770"/>
      <c r="I284" s="771"/>
    </row>
    <row r="285" spans="1:10" ht="15" customHeight="1" x14ac:dyDescent="0.3">
      <c r="A285" s="99" t="s">
        <v>432</v>
      </c>
      <c r="B285" s="100"/>
      <c r="C285" s="101"/>
      <c r="D285" s="101"/>
      <c r="E285" s="101"/>
      <c r="F285" s="101"/>
      <c r="G285" s="102"/>
      <c r="H285" s="102"/>
      <c r="I285" s="187"/>
    </row>
    <row r="286" spans="1:10" ht="15" customHeight="1" x14ac:dyDescent="0.3">
      <c r="A286" s="103" t="s">
        <v>270</v>
      </c>
      <c r="B286" s="104"/>
      <c r="C286" s="105"/>
      <c r="D286" s="106"/>
      <c r="E286" s="105"/>
      <c r="F286" s="105"/>
      <c r="G286" s="107"/>
      <c r="H286" s="107"/>
      <c r="I286" s="188"/>
    </row>
    <row r="287" spans="1:10" ht="66" customHeight="1" x14ac:dyDescent="0.3">
      <c r="A287" s="766" t="s">
        <v>806</v>
      </c>
      <c r="B287" s="767"/>
      <c r="C287" s="767"/>
      <c r="D287" s="767"/>
      <c r="E287" s="767"/>
      <c r="F287" s="767"/>
      <c r="G287" s="767"/>
      <c r="H287" s="767"/>
      <c r="I287" s="768"/>
    </row>
    <row r="288" spans="1:10" ht="15" customHeight="1" thickBot="1" x14ac:dyDescent="0.35">
      <c r="A288" s="7"/>
      <c r="B288" s="7"/>
      <c r="C288" s="73"/>
      <c r="D288" s="73"/>
      <c r="E288" s="73"/>
      <c r="F288" s="73"/>
      <c r="G288" s="74"/>
      <c r="H288" s="74"/>
      <c r="I288" s="459"/>
      <c r="J288" s="129"/>
    </row>
    <row r="289" spans="1:10" ht="26.25" customHeight="1" thickTop="1" x14ac:dyDescent="0.3">
      <c r="A289" s="91" t="s">
        <v>71</v>
      </c>
      <c r="B289" s="92" t="s">
        <v>62</v>
      </c>
      <c r="C289" s="93"/>
      <c r="D289" s="93"/>
      <c r="E289" s="93"/>
      <c r="F289" s="93"/>
      <c r="G289" s="94" t="s">
        <v>463</v>
      </c>
      <c r="H289" s="94" t="s">
        <v>464</v>
      </c>
    </row>
    <row r="290" spans="1:10" s="73" customFormat="1" ht="15" customHeight="1" x14ac:dyDescent="0.3">
      <c r="A290" s="7" t="s">
        <v>465</v>
      </c>
      <c r="B290" s="7"/>
      <c r="G290" s="74">
        <f>'A - Baseline Request'!D24</f>
        <v>187813</v>
      </c>
      <c r="H290" s="74">
        <f>'A - Baseline Request'!I24</f>
        <v>187813</v>
      </c>
      <c r="J290" s="132"/>
    </row>
    <row r="291" spans="1:10" s="73" customFormat="1" ht="15" customHeight="1" x14ac:dyDescent="0.3">
      <c r="A291" s="7" t="s">
        <v>466</v>
      </c>
      <c r="B291" s="7"/>
      <c r="G291" s="75">
        <f>'A - Baseline Request'!E24</f>
        <v>0</v>
      </c>
      <c r="H291" s="75">
        <f>'A - Baseline Request'!J24</f>
        <v>0</v>
      </c>
      <c r="J291" s="132"/>
    </row>
    <row r="292" spans="1:10" s="73" customFormat="1" ht="15" customHeight="1" x14ac:dyDescent="0.3">
      <c r="A292" s="76" t="s">
        <v>405</v>
      </c>
      <c r="B292" s="77"/>
      <c r="D292" s="77"/>
      <c r="G292" s="74">
        <v>187813</v>
      </c>
      <c r="H292" s="74">
        <v>187813</v>
      </c>
      <c r="J292" s="132"/>
    </row>
    <row r="293" spans="1:10" s="73" customFormat="1" ht="21" customHeight="1" thickBot="1" x14ac:dyDescent="0.35">
      <c r="A293" s="7"/>
      <c r="C293" s="78" t="s">
        <v>462</v>
      </c>
      <c r="D293" s="79"/>
      <c r="E293" s="79"/>
      <c r="F293" s="79"/>
      <c r="G293" s="772">
        <f>G292+H292</f>
        <v>375626</v>
      </c>
      <c r="H293" s="772"/>
      <c r="J293" s="130"/>
    </row>
    <row r="294" spans="1:10" ht="15" customHeight="1" thickTop="1" x14ac:dyDescent="0.3">
      <c r="A294" s="77"/>
      <c r="B294" s="7"/>
      <c r="C294" s="73"/>
      <c r="D294" s="73"/>
      <c r="E294" s="73"/>
      <c r="F294" s="73"/>
      <c r="G294" s="74"/>
      <c r="H294" s="74"/>
      <c r="I294" s="73"/>
      <c r="J294" s="129"/>
    </row>
    <row r="295" spans="1:10" ht="15" customHeight="1" x14ac:dyDescent="0.3">
      <c r="A295" s="118" t="s">
        <v>407</v>
      </c>
      <c r="B295" s="7"/>
      <c r="C295" s="73"/>
      <c r="D295" s="73"/>
      <c r="E295" s="73"/>
      <c r="F295" s="73"/>
      <c r="G295" s="74"/>
      <c r="H295" s="74"/>
      <c r="I295" s="73"/>
      <c r="J295" s="129"/>
    </row>
    <row r="296" spans="1:10" ht="109.5" customHeight="1" x14ac:dyDescent="0.3">
      <c r="A296" s="773" t="s">
        <v>526</v>
      </c>
      <c r="B296" s="773"/>
      <c r="C296" s="773"/>
      <c r="D296" s="773"/>
      <c r="E296" s="773"/>
      <c r="F296" s="773"/>
      <c r="G296" s="773"/>
      <c r="H296" s="773"/>
      <c r="I296" s="773"/>
      <c r="J296" s="129"/>
    </row>
    <row r="297" spans="1:10" ht="15" hidden="1" customHeight="1" x14ac:dyDescent="0.2">
      <c r="A297" s="119"/>
      <c r="B297" s="119"/>
      <c r="C297" s="119"/>
      <c r="D297" s="119"/>
      <c r="E297" s="119"/>
      <c r="F297" s="119"/>
      <c r="G297" s="119"/>
      <c r="H297" s="119"/>
      <c r="I297" s="119"/>
      <c r="J297" s="129"/>
    </row>
    <row r="298" spans="1:10" s="73" customFormat="1" ht="22.5" customHeight="1" x14ac:dyDescent="0.3">
      <c r="A298" s="774" t="s">
        <v>408</v>
      </c>
      <c r="B298" s="775"/>
      <c r="C298" s="775"/>
      <c r="D298" s="775"/>
      <c r="E298" s="775"/>
      <c r="F298" s="775"/>
      <c r="G298" s="775"/>
      <c r="H298" s="775"/>
      <c r="I298" s="180"/>
      <c r="J298" s="132"/>
    </row>
    <row r="299" spans="1:10" s="73" customFormat="1" ht="15.75" customHeight="1" x14ac:dyDescent="0.3">
      <c r="A299" s="776" t="s">
        <v>423</v>
      </c>
      <c r="B299" s="777"/>
      <c r="C299" s="777" t="s">
        <v>424</v>
      </c>
      <c r="D299" s="777"/>
      <c r="E299" s="83"/>
      <c r="F299" s="83"/>
      <c r="G299" s="84"/>
      <c r="H299" s="84"/>
      <c r="I299" s="181"/>
      <c r="J299" s="132"/>
    </row>
    <row r="300" spans="1:10" s="73" customFormat="1" ht="15.75" customHeight="1" x14ac:dyDescent="0.3">
      <c r="A300" s="784" t="s">
        <v>649</v>
      </c>
      <c r="B300" s="785"/>
      <c r="C300" s="785" t="s">
        <v>690</v>
      </c>
      <c r="D300" s="785"/>
      <c r="E300" s="83"/>
      <c r="F300" s="83"/>
      <c r="G300" s="84"/>
      <c r="H300" s="84"/>
      <c r="I300" s="181"/>
      <c r="J300" s="132"/>
    </row>
    <row r="301" spans="1:10" s="73" customFormat="1" ht="15" customHeight="1" x14ac:dyDescent="0.3">
      <c r="A301" s="786">
        <f>'B - Reductions '!N23</f>
        <v>0</v>
      </c>
      <c r="B301" s="787"/>
      <c r="C301" s="787">
        <f>'B - Reductions '!AC12</f>
        <v>375626</v>
      </c>
      <c r="D301" s="787"/>
      <c r="E301" s="83"/>
      <c r="F301" s="83"/>
      <c r="G301" s="84"/>
      <c r="H301" s="84"/>
      <c r="I301" s="181"/>
      <c r="J301" s="132"/>
    </row>
    <row r="302" spans="1:10" s="73" customFormat="1" ht="15" customHeight="1" x14ac:dyDescent="0.3">
      <c r="A302" s="154"/>
      <c r="B302" s="190">
        <f>A301/(G290+H290)</f>
        <v>0</v>
      </c>
      <c r="C302" s="158"/>
      <c r="D302" s="190">
        <f>C301/(G290+H290)</f>
        <v>1</v>
      </c>
      <c r="E302" s="83"/>
      <c r="F302" s="83"/>
      <c r="G302" s="84"/>
      <c r="H302" s="84"/>
      <c r="I302" s="181"/>
      <c r="J302" s="132"/>
    </row>
    <row r="303" spans="1:10" s="73" customFormat="1" ht="18.75" customHeight="1" thickBot="1" x14ac:dyDescent="0.35">
      <c r="A303" s="802">
        <f>A301+C301</f>
        <v>375626</v>
      </c>
      <c r="B303" s="803"/>
      <c r="C303" s="803"/>
      <c r="D303" s="274">
        <f>A303/SUM(G290:H290)</f>
        <v>1</v>
      </c>
      <c r="E303" s="85" t="s">
        <v>409</v>
      </c>
      <c r="F303" s="84"/>
      <c r="G303" s="84"/>
      <c r="H303" s="84"/>
      <c r="I303" s="181"/>
      <c r="J303" s="132"/>
    </row>
    <row r="304" spans="1:10" s="73" customFormat="1" ht="18.75" hidden="1" customHeight="1" thickTop="1" x14ac:dyDescent="0.25">
      <c r="A304" s="156"/>
      <c r="B304" s="157"/>
      <c r="C304" s="158">
        <f>B302+D302</f>
        <v>1</v>
      </c>
      <c r="D304" s="157"/>
      <c r="E304" s="85"/>
      <c r="F304" s="84"/>
      <c r="G304" s="84"/>
      <c r="H304" s="84"/>
      <c r="I304" s="181"/>
      <c r="J304" s="132"/>
    </row>
    <row r="305" spans="1:10" ht="21" customHeight="1" thickTop="1" x14ac:dyDescent="0.3">
      <c r="A305" s="110" t="s">
        <v>410</v>
      </c>
      <c r="B305" s="111"/>
      <c r="C305" s="112"/>
      <c r="D305" s="111"/>
      <c r="E305" s="112"/>
      <c r="F305" s="112"/>
      <c r="G305" s="113"/>
      <c r="H305" s="113"/>
      <c r="I305" s="189"/>
    </row>
    <row r="306" spans="1:10" ht="28.5" customHeight="1" x14ac:dyDescent="0.3">
      <c r="A306" s="769" t="s">
        <v>720</v>
      </c>
      <c r="B306" s="770"/>
      <c r="C306" s="770"/>
      <c r="D306" s="770"/>
      <c r="E306" s="770"/>
      <c r="F306" s="770"/>
      <c r="G306" s="770"/>
      <c r="H306" s="770"/>
      <c r="I306" s="771"/>
    </row>
    <row r="307" spans="1:10" ht="15" customHeight="1" thickBot="1" x14ac:dyDescent="0.35">
      <c r="A307" s="7"/>
      <c r="B307" s="7"/>
      <c r="C307" s="73"/>
      <c r="D307" s="73"/>
      <c r="E307" s="73"/>
      <c r="F307" s="73"/>
      <c r="G307" s="74"/>
      <c r="H307" s="74"/>
      <c r="I307" s="459"/>
      <c r="J307" s="129"/>
    </row>
    <row r="308" spans="1:10" ht="26.25" customHeight="1" thickTop="1" x14ac:dyDescent="0.3">
      <c r="A308" s="91" t="s">
        <v>73</v>
      </c>
      <c r="B308" s="92" t="s">
        <v>65</v>
      </c>
      <c r="C308" s="93"/>
      <c r="D308" s="93"/>
      <c r="E308" s="93"/>
      <c r="F308" s="93"/>
      <c r="G308" s="94" t="s">
        <v>463</v>
      </c>
      <c r="H308" s="94" t="s">
        <v>464</v>
      </c>
    </row>
    <row r="309" spans="1:10" s="73" customFormat="1" ht="15" customHeight="1" x14ac:dyDescent="0.3">
      <c r="A309" s="7" t="s">
        <v>465</v>
      </c>
      <c r="B309" s="7"/>
      <c r="G309" s="74">
        <f>'A - Baseline Request'!D25</f>
        <v>248036</v>
      </c>
      <c r="H309" s="74">
        <f>'A - Baseline Request'!I25</f>
        <v>248036</v>
      </c>
      <c r="J309" s="132"/>
    </row>
    <row r="310" spans="1:10" s="73" customFormat="1" ht="15" customHeight="1" x14ac:dyDescent="0.3">
      <c r="A310" s="7" t="s">
        <v>466</v>
      </c>
      <c r="B310" s="7"/>
      <c r="G310" s="75">
        <f>'A - Baseline Request'!E25</f>
        <v>0</v>
      </c>
      <c r="H310" s="75">
        <f>'A - Baseline Request'!J25</f>
        <v>0</v>
      </c>
      <c r="J310" s="132"/>
    </row>
    <row r="311" spans="1:10" s="73" customFormat="1" ht="15" customHeight="1" x14ac:dyDescent="0.3">
      <c r="A311" s="76" t="s">
        <v>411</v>
      </c>
      <c r="B311" s="77"/>
      <c r="D311" s="77"/>
      <c r="G311" s="74">
        <f>SUM(G309:G310)</f>
        <v>248036</v>
      </c>
      <c r="H311" s="74">
        <f>SUM(H309:H310)</f>
        <v>248036</v>
      </c>
      <c r="J311" s="132"/>
    </row>
    <row r="312" spans="1:10" s="73" customFormat="1" ht="21" customHeight="1" thickBot="1" x14ac:dyDescent="0.35">
      <c r="A312" s="7"/>
      <c r="C312" s="78" t="s">
        <v>462</v>
      </c>
      <c r="D312" s="79"/>
      <c r="E312" s="79"/>
      <c r="F312" s="79"/>
      <c r="G312" s="772">
        <f>G311+H311</f>
        <v>496072</v>
      </c>
      <c r="H312" s="772"/>
      <c r="J312" s="130"/>
    </row>
    <row r="313" spans="1:10" s="73" customFormat="1" ht="15" customHeight="1" thickTop="1" x14ac:dyDescent="0.3">
      <c r="A313" s="71"/>
      <c r="B313" s="2"/>
      <c r="C313" s="67"/>
      <c r="D313" s="67"/>
      <c r="E313" s="67"/>
      <c r="F313" s="67"/>
      <c r="G313" s="68"/>
      <c r="H313" s="68"/>
      <c r="I313" s="67"/>
      <c r="J313" s="130"/>
    </row>
    <row r="314" spans="1:10" s="73" customFormat="1" ht="15" customHeight="1" x14ac:dyDescent="0.3">
      <c r="A314" s="80" t="s">
        <v>407</v>
      </c>
      <c r="B314" s="2"/>
      <c r="C314" s="67"/>
      <c r="D314" s="67"/>
      <c r="E314" s="67"/>
      <c r="F314" s="67"/>
      <c r="G314" s="68"/>
      <c r="H314" s="68"/>
      <c r="I314" s="67"/>
      <c r="J314" s="130"/>
    </row>
    <row r="315" spans="1:10" s="73" customFormat="1" ht="161.25" customHeight="1" x14ac:dyDescent="0.3">
      <c r="A315" s="773" t="s">
        <v>527</v>
      </c>
      <c r="B315" s="773"/>
      <c r="C315" s="773"/>
      <c r="D315" s="773"/>
      <c r="E315" s="773"/>
      <c r="F315" s="773"/>
      <c r="G315" s="773"/>
      <c r="H315" s="773"/>
      <c r="I315" s="773"/>
      <c r="J315" s="132"/>
    </row>
    <row r="316" spans="1:10" s="73" customFormat="1" ht="15" hidden="1" customHeight="1" x14ac:dyDescent="0.2">
      <c r="A316" s="2"/>
      <c r="B316" s="2"/>
      <c r="C316" s="67"/>
      <c r="D316" s="67"/>
      <c r="E316" s="67"/>
      <c r="F316" s="67"/>
      <c r="G316" s="68"/>
      <c r="H316" s="68"/>
      <c r="I316" s="67"/>
      <c r="J316" s="130"/>
    </row>
    <row r="317" spans="1:10" s="69" customFormat="1" ht="15" hidden="1" customHeight="1" thickBot="1" x14ac:dyDescent="0.25">
      <c r="A317" s="90"/>
      <c r="B317" s="90"/>
      <c r="C317" s="90"/>
      <c r="D317" s="90"/>
      <c r="E317" s="90"/>
      <c r="F317" s="90"/>
      <c r="G317" s="90"/>
      <c r="H317" s="90"/>
      <c r="I317" s="90"/>
      <c r="J317" s="164"/>
    </row>
    <row r="318" spans="1:10" s="123" customFormat="1" ht="15" customHeight="1" thickBot="1" x14ac:dyDescent="0.35">
      <c r="A318" s="122"/>
      <c r="B318" s="122"/>
      <c r="C318" s="122"/>
      <c r="D318" s="122"/>
      <c r="E318" s="122"/>
      <c r="F318" s="122"/>
      <c r="G318" s="122"/>
      <c r="H318" s="122"/>
      <c r="I318" s="458"/>
      <c r="J318" s="169"/>
    </row>
    <row r="319" spans="1:10" ht="26.25" customHeight="1" thickTop="1" x14ac:dyDescent="0.3">
      <c r="A319" s="91" t="s">
        <v>76</v>
      </c>
      <c r="B319" s="92" t="s">
        <v>69</v>
      </c>
      <c r="C319" s="93"/>
      <c r="D319" s="93"/>
      <c r="E319" s="93"/>
      <c r="F319" s="93"/>
      <c r="G319" s="94" t="s">
        <v>463</v>
      </c>
      <c r="H319" s="94" t="s">
        <v>464</v>
      </c>
      <c r="J319" s="135"/>
    </row>
    <row r="320" spans="1:10" s="73" customFormat="1" ht="15" customHeight="1" x14ac:dyDescent="0.3">
      <c r="A320" s="2" t="s">
        <v>465</v>
      </c>
      <c r="B320" s="2"/>
      <c r="C320" s="67"/>
      <c r="D320" s="67"/>
      <c r="E320" s="67"/>
      <c r="F320" s="67"/>
      <c r="G320" s="68">
        <f>'A - Baseline Request'!D26</f>
        <v>0</v>
      </c>
      <c r="H320" s="68">
        <f>'A - Baseline Request'!I26</f>
        <v>0</v>
      </c>
      <c r="I320" s="67"/>
      <c r="J320" s="131"/>
    </row>
    <row r="321" spans="1:10" s="73" customFormat="1" ht="15" customHeight="1" x14ac:dyDescent="0.3">
      <c r="A321" s="2" t="s">
        <v>466</v>
      </c>
      <c r="B321" s="2"/>
      <c r="C321" s="67"/>
      <c r="D321" s="67"/>
      <c r="E321" s="67"/>
      <c r="F321" s="67"/>
      <c r="G321" s="124">
        <f>'A - Baseline Request'!E26</f>
        <v>0</v>
      </c>
      <c r="H321" s="124">
        <f>'A - Baseline Request'!J26</f>
        <v>0</v>
      </c>
      <c r="I321" s="67"/>
      <c r="J321" s="131"/>
    </row>
    <row r="322" spans="1:10" s="73" customFormat="1" ht="15" customHeight="1" x14ac:dyDescent="0.3">
      <c r="A322" s="76" t="s">
        <v>411</v>
      </c>
      <c r="B322" s="77"/>
      <c r="D322" s="77"/>
      <c r="G322" s="74">
        <f>G320+G321</f>
        <v>0</v>
      </c>
      <c r="H322" s="74">
        <f>H320+H321</f>
        <v>0</v>
      </c>
      <c r="J322" s="170"/>
    </row>
    <row r="323" spans="1:10" s="73" customFormat="1" ht="21" customHeight="1" thickBot="1" x14ac:dyDescent="0.35">
      <c r="A323" s="7"/>
      <c r="C323" s="78" t="s">
        <v>462</v>
      </c>
      <c r="D323" s="79"/>
      <c r="E323" s="79"/>
      <c r="F323" s="79"/>
      <c r="G323" s="772">
        <f>G322+H322</f>
        <v>0</v>
      </c>
      <c r="H323" s="772"/>
      <c r="J323" s="179"/>
    </row>
    <row r="324" spans="1:10" s="73" customFormat="1" ht="15" customHeight="1" thickTop="1" x14ac:dyDescent="0.3">
      <c r="A324" s="71"/>
      <c r="B324" s="2"/>
      <c r="C324" s="67"/>
      <c r="D324" s="67"/>
      <c r="E324" s="67"/>
      <c r="F324" s="67"/>
      <c r="G324" s="68"/>
      <c r="H324" s="68"/>
      <c r="I324" s="67"/>
      <c r="J324" s="130"/>
    </row>
    <row r="325" spans="1:10" s="73" customFormat="1" ht="15" customHeight="1" x14ac:dyDescent="0.3">
      <c r="A325" s="80" t="s">
        <v>407</v>
      </c>
      <c r="B325" s="2"/>
      <c r="C325" s="67"/>
      <c r="D325" s="67"/>
      <c r="E325" s="67"/>
      <c r="F325" s="67"/>
      <c r="G325" s="68"/>
      <c r="H325" s="68"/>
      <c r="I325" s="67"/>
      <c r="J325" s="171"/>
    </row>
    <row r="326" spans="1:10" s="73" customFormat="1" ht="147.75" customHeight="1" x14ac:dyDescent="0.25">
      <c r="A326" s="773" t="s">
        <v>528</v>
      </c>
      <c r="B326" s="773"/>
      <c r="C326" s="773"/>
      <c r="D326" s="773"/>
      <c r="E326" s="773"/>
      <c r="F326" s="773"/>
      <c r="G326" s="773"/>
      <c r="H326" s="773"/>
      <c r="I326" s="773"/>
      <c r="J326" s="129"/>
    </row>
    <row r="327" spans="1:10" s="73" customFormat="1" ht="16.5" hidden="1" customHeight="1" x14ac:dyDescent="0.2">
      <c r="A327" s="2"/>
      <c r="B327" s="2"/>
      <c r="C327" s="67"/>
      <c r="D327" s="67"/>
      <c r="E327" s="67"/>
      <c r="F327" s="67"/>
      <c r="G327" s="68"/>
      <c r="H327" s="68"/>
      <c r="I327" s="67"/>
      <c r="J327" s="129"/>
    </row>
    <row r="328" spans="1:10" s="73" customFormat="1" ht="15" customHeight="1" thickBot="1" x14ac:dyDescent="0.35">
      <c r="A328" s="2"/>
      <c r="B328" s="2"/>
      <c r="C328" s="67"/>
      <c r="D328" s="67"/>
      <c r="E328" s="67"/>
      <c r="F328" s="67"/>
      <c r="G328" s="68"/>
      <c r="H328" s="68"/>
      <c r="I328" s="456"/>
      <c r="J328" s="130"/>
    </row>
    <row r="329" spans="1:10" ht="26.25" customHeight="1" thickTop="1" x14ac:dyDescent="0.3">
      <c r="A329" s="91" t="s">
        <v>78</v>
      </c>
      <c r="B329" s="92" t="s">
        <v>7</v>
      </c>
      <c r="C329" s="93"/>
      <c r="D329" s="93"/>
      <c r="E329" s="93"/>
      <c r="F329" s="93"/>
      <c r="G329" s="94" t="s">
        <v>463</v>
      </c>
      <c r="H329" s="94" t="s">
        <v>464</v>
      </c>
    </row>
    <row r="330" spans="1:10" s="73" customFormat="1" ht="15" customHeight="1" x14ac:dyDescent="0.3">
      <c r="A330" s="2" t="s">
        <v>465</v>
      </c>
      <c r="B330" s="2"/>
      <c r="C330" s="67"/>
      <c r="D330" s="67"/>
      <c r="E330" s="67"/>
      <c r="F330" s="67"/>
      <c r="G330" s="68">
        <f>'A - Baseline Request'!D27</f>
        <v>0</v>
      </c>
      <c r="H330" s="68">
        <f>'A - Baseline Request'!I27</f>
        <v>0</v>
      </c>
      <c r="I330" s="67"/>
      <c r="J330" s="130"/>
    </row>
    <row r="331" spans="1:10" s="73" customFormat="1" ht="15" customHeight="1" x14ac:dyDescent="0.3">
      <c r="A331" s="2" t="s">
        <v>466</v>
      </c>
      <c r="B331" s="2"/>
      <c r="C331" s="67"/>
      <c r="D331" s="67"/>
      <c r="E331" s="67"/>
      <c r="F331" s="67"/>
      <c r="G331" s="131">
        <f>'A - Baseline Request'!E27</f>
        <v>0</v>
      </c>
      <c r="H331" s="131">
        <f>'A - Baseline Request'!J27</f>
        <v>0</v>
      </c>
      <c r="I331" s="67"/>
      <c r="J331" s="130"/>
    </row>
    <row r="332" spans="1:10" s="73" customFormat="1" ht="15" customHeight="1" x14ac:dyDescent="0.3">
      <c r="A332" s="95" t="s">
        <v>276</v>
      </c>
      <c r="B332" s="2"/>
      <c r="C332" s="67"/>
      <c r="D332" s="95"/>
      <c r="E332" s="67"/>
      <c r="F332" s="67"/>
      <c r="G332" s="97">
        <v>250000</v>
      </c>
      <c r="H332" s="97">
        <v>250000</v>
      </c>
      <c r="I332" s="67"/>
      <c r="J332" s="130"/>
    </row>
    <row r="333" spans="1:10" s="73" customFormat="1" ht="15" customHeight="1" x14ac:dyDescent="0.3">
      <c r="A333" s="76" t="s">
        <v>411</v>
      </c>
      <c r="B333" s="77"/>
      <c r="D333" s="77"/>
      <c r="G333" s="74">
        <f>SUM(G330:G332)</f>
        <v>250000</v>
      </c>
      <c r="H333" s="74">
        <f>SUM(H330:H332)</f>
        <v>250000</v>
      </c>
      <c r="J333" s="132"/>
    </row>
    <row r="334" spans="1:10" s="73" customFormat="1" ht="21" customHeight="1" thickBot="1" x14ac:dyDescent="0.35">
      <c r="A334" s="7"/>
      <c r="C334" s="78" t="s">
        <v>462</v>
      </c>
      <c r="D334" s="79"/>
      <c r="E334" s="79"/>
      <c r="F334" s="79"/>
      <c r="G334" s="772">
        <f>G333+H333</f>
        <v>500000</v>
      </c>
      <c r="H334" s="772"/>
      <c r="J334" s="130"/>
    </row>
    <row r="335" spans="1:10" ht="15" customHeight="1" thickTop="1" x14ac:dyDescent="0.3">
      <c r="A335" s="71"/>
      <c r="J335" s="132"/>
    </row>
    <row r="336" spans="1:10" ht="15" customHeight="1" x14ac:dyDescent="0.3">
      <c r="A336" s="80" t="s">
        <v>407</v>
      </c>
    </row>
    <row r="337" spans="1:10" ht="93.75" customHeight="1" x14ac:dyDescent="0.3">
      <c r="A337" s="773" t="s">
        <v>508</v>
      </c>
      <c r="B337" s="773"/>
      <c r="C337" s="773"/>
      <c r="D337" s="773"/>
      <c r="E337" s="773"/>
      <c r="F337" s="773"/>
      <c r="G337" s="773"/>
      <c r="H337" s="773"/>
      <c r="I337" s="773"/>
    </row>
    <row r="338" spans="1:10" s="96" customFormat="1" ht="15" hidden="1" customHeight="1" thickBot="1" x14ac:dyDescent="0.25">
      <c r="A338" s="2"/>
      <c r="B338" s="2"/>
      <c r="C338" s="67"/>
      <c r="D338" s="67"/>
      <c r="E338" s="67"/>
      <c r="F338" s="67"/>
      <c r="G338" s="68"/>
      <c r="H338" s="68"/>
      <c r="I338" s="67"/>
      <c r="J338" s="130"/>
    </row>
    <row r="339" spans="1:10" ht="15" customHeight="1" x14ac:dyDescent="0.3">
      <c r="A339" s="99" t="s">
        <v>432</v>
      </c>
      <c r="B339" s="100"/>
      <c r="C339" s="101"/>
      <c r="D339" s="101"/>
      <c r="E339" s="101"/>
      <c r="F339" s="101"/>
      <c r="G339" s="102"/>
      <c r="H339" s="102"/>
      <c r="I339" s="187"/>
    </row>
    <row r="340" spans="1:10" ht="15" customHeight="1" x14ac:dyDescent="0.3">
      <c r="A340" s="103" t="s">
        <v>276</v>
      </c>
      <c r="B340" s="104"/>
      <c r="C340" s="105"/>
      <c r="D340" s="106"/>
      <c r="E340" s="105"/>
      <c r="F340" s="105"/>
      <c r="G340" s="107"/>
      <c r="H340" s="107"/>
      <c r="I340" s="188"/>
    </row>
    <row r="341" spans="1:10" ht="56.25" customHeight="1" x14ac:dyDescent="0.3">
      <c r="A341" s="766" t="s">
        <v>758</v>
      </c>
      <c r="B341" s="767"/>
      <c r="C341" s="767"/>
      <c r="D341" s="767"/>
      <c r="E341" s="767"/>
      <c r="F341" s="767"/>
      <c r="G341" s="767"/>
      <c r="H341" s="767"/>
      <c r="I341" s="768"/>
      <c r="J341" s="174"/>
    </row>
    <row r="342" spans="1:10" ht="15" customHeight="1" thickBot="1" x14ac:dyDescent="0.35">
      <c r="A342" s="90"/>
      <c r="B342" s="90"/>
      <c r="C342" s="90"/>
      <c r="D342" s="90"/>
      <c r="E342" s="90"/>
      <c r="F342" s="90"/>
      <c r="G342" s="90"/>
      <c r="H342" s="90"/>
      <c r="I342" s="454"/>
      <c r="J342" s="174"/>
    </row>
    <row r="343" spans="1:10" ht="26.25" customHeight="1" thickTop="1" x14ac:dyDescent="0.3">
      <c r="A343" s="91" t="s">
        <v>81</v>
      </c>
      <c r="B343" s="92" t="s">
        <v>77</v>
      </c>
      <c r="C343" s="93"/>
      <c r="D343" s="93"/>
      <c r="E343" s="93"/>
      <c r="F343" s="93"/>
      <c r="G343" s="94" t="s">
        <v>463</v>
      </c>
      <c r="H343" s="94" t="s">
        <v>464</v>
      </c>
    </row>
    <row r="344" spans="1:10" s="73" customFormat="1" ht="15" customHeight="1" x14ac:dyDescent="0.3">
      <c r="A344" s="2" t="s">
        <v>465</v>
      </c>
      <c r="B344" s="2"/>
      <c r="C344" s="67"/>
      <c r="D344" s="67"/>
      <c r="E344" s="67"/>
      <c r="F344" s="67"/>
      <c r="G344" s="68">
        <f>'A - Baseline Request'!D28</f>
        <v>4250000</v>
      </c>
      <c r="H344" s="68">
        <f>'A - Baseline Request'!I28</f>
        <v>4250000</v>
      </c>
      <c r="I344" s="67"/>
      <c r="J344" s="130"/>
    </row>
    <row r="345" spans="1:10" s="73" customFormat="1" ht="15" customHeight="1" x14ac:dyDescent="0.3">
      <c r="A345" s="2" t="s">
        <v>466</v>
      </c>
      <c r="B345" s="2"/>
      <c r="C345" s="67"/>
      <c r="D345" s="67"/>
      <c r="E345" s="67"/>
      <c r="F345" s="67"/>
      <c r="G345" s="124">
        <f>'A - Baseline Request'!E28</f>
        <v>0</v>
      </c>
      <c r="H345" s="124">
        <f>'A - Baseline Request'!J28</f>
        <v>0</v>
      </c>
      <c r="I345" s="67"/>
      <c r="J345" s="130"/>
    </row>
    <row r="346" spans="1:10" s="73" customFormat="1" ht="15" customHeight="1" x14ac:dyDescent="0.3">
      <c r="A346" s="76" t="s">
        <v>411</v>
      </c>
      <c r="B346" s="77"/>
      <c r="D346" s="77"/>
      <c r="G346" s="74">
        <f>SUM(G344:G345)</f>
        <v>4250000</v>
      </c>
      <c r="H346" s="74">
        <f>SUM(H344:H345)</f>
        <v>4250000</v>
      </c>
      <c r="J346" s="132"/>
    </row>
    <row r="347" spans="1:10" s="73" customFormat="1" ht="21" customHeight="1" thickBot="1" x14ac:dyDescent="0.35">
      <c r="A347" s="7"/>
      <c r="C347" s="78" t="s">
        <v>462</v>
      </c>
      <c r="D347" s="79"/>
      <c r="E347" s="79"/>
      <c r="F347" s="79"/>
      <c r="G347" s="772">
        <f>G346+H346</f>
        <v>8500000</v>
      </c>
      <c r="H347" s="772"/>
      <c r="J347" s="130"/>
    </row>
    <row r="348" spans="1:10" ht="15" customHeight="1" thickTop="1" x14ac:dyDescent="0.3">
      <c r="A348" s="71"/>
      <c r="J348" s="132"/>
    </row>
    <row r="349" spans="1:10" ht="15" customHeight="1" x14ac:dyDescent="0.3">
      <c r="A349" s="80" t="s">
        <v>407</v>
      </c>
      <c r="J349" s="132"/>
    </row>
    <row r="350" spans="1:10" ht="200.25" customHeight="1" x14ac:dyDescent="0.3">
      <c r="A350" s="773" t="s">
        <v>509</v>
      </c>
      <c r="B350" s="773"/>
      <c r="C350" s="773"/>
      <c r="D350" s="773"/>
      <c r="E350" s="773"/>
      <c r="F350" s="773"/>
      <c r="G350" s="773"/>
      <c r="H350" s="773"/>
      <c r="I350" s="773"/>
      <c r="J350" s="132"/>
    </row>
    <row r="351" spans="1:10" ht="15" hidden="1" customHeight="1" x14ac:dyDescent="0.2">
      <c r="A351" s="119"/>
      <c r="B351" s="119"/>
      <c r="C351" s="119"/>
      <c r="D351" s="119"/>
      <c r="E351" s="119"/>
      <c r="F351" s="119"/>
      <c r="G351" s="119"/>
      <c r="H351" s="119"/>
      <c r="I351" s="119"/>
      <c r="J351" s="132"/>
    </row>
    <row r="352" spans="1:10" ht="15" customHeight="1" thickBot="1" x14ac:dyDescent="0.35">
      <c r="I352" s="456"/>
      <c r="J352" s="132"/>
    </row>
    <row r="353" spans="1:10" ht="26.25" customHeight="1" thickTop="1" x14ac:dyDescent="0.3">
      <c r="A353" s="91" t="s">
        <v>84</v>
      </c>
      <c r="B353" s="92" t="s">
        <v>79</v>
      </c>
      <c r="C353" s="93"/>
      <c r="D353" s="93"/>
      <c r="E353" s="93"/>
      <c r="F353" s="93"/>
      <c r="G353" s="94" t="s">
        <v>463</v>
      </c>
      <c r="H353" s="94" t="s">
        <v>464</v>
      </c>
    </row>
    <row r="354" spans="1:10" s="73" customFormat="1" ht="15" customHeight="1" x14ac:dyDescent="0.3">
      <c r="A354" s="2" t="s">
        <v>465</v>
      </c>
      <c r="B354" s="2"/>
      <c r="C354" s="67"/>
      <c r="D354" s="67"/>
      <c r="E354" s="67"/>
      <c r="F354" s="67"/>
      <c r="G354" s="68">
        <f>'A - Baseline Request'!D29</f>
        <v>3560000</v>
      </c>
      <c r="H354" s="68">
        <f>'A - Baseline Request'!I29</f>
        <v>3560000</v>
      </c>
      <c r="I354" s="67"/>
      <c r="J354" s="130"/>
    </row>
    <row r="355" spans="1:10" s="73" customFormat="1" ht="15" customHeight="1" x14ac:dyDescent="0.3">
      <c r="A355" s="2" t="s">
        <v>466</v>
      </c>
      <c r="B355" s="2"/>
      <c r="C355" s="67"/>
      <c r="D355" s="67"/>
      <c r="E355" s="67"/>
      <c r="F355" s="67"/>
      <c r="G355" s="124">
        <f>'A - Baseline Request'!E29</f>
        <v>0</v>
      </c>
      <c r="H355" s="124">
        <f>'A - Baseline Request'!J29</f>
        <v>0</v>
      </c>
      <c r="I355" s="67"/>
      <c r="J355" s="130"/>
    </row>
    <row r="356" spans="1:10" s="73" customFormat="1" ht="15" customHeight="1" x14ac:dyDescent="0.3">
      <c r="A356" s="76" t="s">
        <v>411</v>
      </c>
      <c r="B356" s="77"/>
      <c r="D356" s="77"/>
      <c r="G356" s="74">
        <f>SUM(G354:G355)</f>
        <v>3560000</v>
      </c>
      <c r="H356" s="74">
        <f>SUM(H354:H355)</f>
        <v>3560000</v>
      </c>
      <c r="J356" s="132"/>
    </row>
    <row r="357" spans="1:10" s="73" customFormat="1" ht="21" customHeight="1" thickBot="1" x14ac:dyDescent="0.35">
      <c r="A357" s="7"/>
      <c r="C357" s="78" t="s">
        <v>462</v>
      </c>
      <c r="D357" s="79"/>
      <c r="E357" s="79"/>
      <c r="F357" s="79"/>
      <c r="G357" s="772">
        <f>G356+H356</f>
        <v>7120000</v>
      </c>
      <c r="H357" s="772"/>
      <c r="J357" s="130"/>
    </row>
    <row r="358" spans="1:10" ht="15" customHeight="1" thickTop="1" x14ac:dyDescent="0.3">
      <c r="A358" s="71"/>
      <c r="J358" s="132"/>
    </row>
    <row r="359" spans="1:10" ht="15" customHeight="1" x14ac:dyDescent="0.3">
      <c r="A359" s="80" t="s">
        <v>407</v>
      </c>
      <c r="J359" s="132"/>
    </row>
    <row r="360" spans="1:10" ht="103.5" customHeight="1" x14ac:dyDescent="0.3">
      <c r="A360" s="773" t="s">
        <v>507</v>
      </c>
      <c r="B360" s="773"/>
      <c r="C360" s="773"/>
      <c r="D360" s="773"/>
      <c r="E360" s="773"/>
      <c r="F360" s="773"/>
      <c r="G360" s="773"/>
      <c r="H360" s="773"/>
      <c r="I360" s="773"/>
      <c r="J360" s="173"/>
    </row>
    <row r="361" spans="1:10" ht="15" hidden="1" customHeight="1" x14ac:dyDescent="0.2">
      <c r="A361" s="119"/>
      <c r="B361" s="119"/>
      <c r="C361" s="119"/>
      <c r="D361" s="119"/>
      <c r="E361" s="119"/>
      <c r="F361" s="119"/>
      <c r="G361" s="119"/>
      <c r="H361" s="119"/>
      <c r="I361" s="119"/>
      <c r="J361" s="132"/>
    </row>
    <row r="362" spans="1:10" ht="15" customHeight="1" thickBot="1" x14ac:dyDescent="0.35">
      <c r="A362" s="119"/>
      <c r="B362" s="119"/>
      <c r="C362" s="119"/>
      <c r="D362" s="119"/>
      <c r="E362" s="119"/>
      <c r="F362" s="119"/>
      <c r="G362" s="119"/>
      <c r="H362" s="119"/>
      <c r="I362" s="457"/>
      <c r="J362" s="132"/>
    </row>
    <row r="363" spans="1:10" ht="26.25" customHeight="1" thickTop="1" x14ac:dyDescent="0.3">
      <c r="A363" s="91" t="s">
        <v>602</v>
      </c>
      <c r="B363" s="92" t="s">
        <v>82</v>
      </c>
      <c r="C363" s="93"/>
      <c r="D363" s="93"/>
      <c r="E363" s="93"/>
      <c r="F363" s="93"/>
      <c r="G363" s="94" t="s">
        <v>463</v>
      </c>
      <c r="H363" s="94" t="s">
        <v>464</v>
      </c>
    </row>
    <row r="364" spans="1:10" ht="15" customHeight="1" x14ac:dyDescent="0.3">
      <c r="A364" s="2" t="s">
        <v>465</v>
      </c>
      <c r="G364" s="126">
        <f>'A - Baseline Request'!D30</f>
        <v>0</v>
      </c>
      <c r="H364" s="126">
        <f>'A - Baseline Request'!I30</f>
        <v>0</v>
      </c>
      <c r="J364" s="132"/>
    </row>
    <row r="365" spans="1:10" ht="15" customHeight="1" x14ac:dyDescent="0.3">
      <c r="A365" s="2" t="s">
        <v>466</v>
      </c>
      <c r="G365" s="128">
        <f>'A - Baseline Request'!E30</f>
        <v>0</v>
      </c>
      <c r="H365" s="128">
        <f>'A - Baseline Request'!J30</f>
        <v>0</v>
      </c>
      <c r="J365" s="132"/>
    </row>
    <row r="366" spans="1:10" s="73" customFormat="1" ht="15" customHeight="1" x14ac:dyDescent="0.3">
      <c r="A366" s="76" t="s">
        <v>411</v>
      </c>
      <c r="B366" s="77"/>
      <c r="D366" s="77"/>
      <c r="G366" s="74">
        <f>SUM(G364:G365)</f>
        <v>0</v>
      </c>
      <c r="H366" s="74">
        <f>SUM(H364:H365)</f>
        <v>0</v>
      </c>
      <c r="J366" s="132"/>
    </row>
    <row r="367" spans="1:10" s="73" customFormat="1" ht="21" customHeight="1" thickBot="1" x14ac:dyDescent="0.35">
      <c r="A367" s="7"/>
      <c r="C367" s="78" t="s">
        <v>462</v>
      </c>
      <c r="D367" s="79"/>
      <c r="E367" s="79"/>
      <c r="F367" s="79"/>
      <c r="G367" s="772">
        <f>G366+H366</f>
        <v>0</v>
      </c>
      <c r="H367" s="772"/>
      <c r="J367" s="130"/>
    </row>
    <row r="368" spans="1:10" ht="15" customHeight="1" thickTop="1" x14ac:dyDescent="0.3">
      <c r="A368" s="71"/>
      <c r="J368" s="132"/>
    </row>
    <row r="369" spans="1:10" ht="15" customHeight="1" x14ac:dyDescent="0.3">
      <c r="A369" s="80" t="s">
        <v>407</v>
      </c>
    </row>
    <row r="370" spans="1:10" ht="119.25" customHeight="1" x14ac:dyDescent="0.3">
      <c r="A370" s="801" t="s">
        <v>498</v>
      </c>
      <c r="B370" s="801"/>
      <c r="C370" s="801"/>
      <c r="D370" s="801"/>
      <c r="E370" s="801"/>
      <c r="F370" s="801"/>
      <c r="G370" s="801"/>
      <c r="H370" s="801"/>
      <c r="I370" s="801"/>
    </row>
    <row r="371" spans="1:10" ht="15" customHeight="1" thickBot="1" x14ac:dyDescent="0.35">
      <c r="I371" s="456"/>
    </row>
    <row r="372" spans="1:10" ht="26.25" customHeight="1" thickTop="1" x14ac:dyDescent="0.3">
      <c r="A372" s="91" t="s">
        <v>603</v>
      </c>
      <c r="B372" s="92" t="s">
        <v>85</v>
      </c>
      <c r="C372" s="93"/>
      <c r="D372" s="93"/>
      <c r="E372" s="93"/>
      <c r="F372" s="93"/>
      <c r="G372" s="94" t="s">
        <v>463</v>
      </c>
      <c r="H372" s="94" t="s">
        <v>464</v>
      </c>
    </row>
    <row r="373" spans="1:10" ht="15" customHeight="1" x14ac:dyDescent="0.3">
      <c r="A373" s="2" t="s">
        <v>465</v>
      </c>
      <c r="G373" s="68">
        <f>'A - Baseline Request'!D31</f>
        <v>0</v>
      </c>
      <c r="H373" s="68">
        <f>'A - Baseline Request'!I31</f>
        <v>0</v>
      </c>
    </row>
    <row r="374" spans="1:10" ht="15" customHeight="1" x14ac:dyDescent="0.3">
      <c r="A374" s="2" t="s">
        <v>466</v>
      </c>
      <c r="G374" s="124">
        <f>'A - Baseline Request'!E31</f>
        <v>0</v>
      </c>
      <c r="H374" s="124">
        <f>'A - Baseline Request'!J31</f>
        <v>0</v>
      </c>
    </row>
    <row r="375" spans="1:10" s="73" customFormat="1" ht="15" customHeight="1" x14ac:dyDescent="0.3">
      <c r="A375" s="76" t="s">
        <v>411</v>
      </c>
      <c r="B375" s="77"/>
      <c r="D375" s="77"/>
      <c r="G375" s="74">
        <f>SUM(G373:G374)</f>
        <v>0</v>
      </c>
      <c r="H375" s="74">
        <f>SUM(H373:H374)</f>
        <v>0</v>
      </c>
      <c r="J375" s="132"/>
    </row>
    <row r="376" spans="1:10" s="73" customFormat="1" ht="21" customHeight="1" thickBot="1" x14ac:dyDescent="0.35">
      <c r="A376" s="7"/>
      <c r="C376" s="78" t="s">
        <v>462</v>
      </c>
      <c r="D376" s="79"/>
      <c r="E376" s="79"/>
      <c r="F376" s="79"/>
      <c r="G376" s="772">
        <f>G375+H375</f>
        <v>0</v>
      </c>
      <c r="H376" s="772"/>
      <c r="J376" s="130"/>
    </row>
    <row r="377" spans="1:10" s="69" customFormat="1" ht="15" customHeight="1" thickTop="1" x14ac:dyDescent="0.3">
      <c r="A377" s="141"/>
      <c r="B377" s="59"/>
      <c r="G377" s="126"/>
      <c r="H377" s="126"/>
      <c r="J377" s="175"/>
    </row>
    <row r="378" spans="1:10" s="96" customFormat="1" ht="15" customHeight="1" x14ac:dyDescent="0.3">
      <c r="A378" s="80" t="s">
        <v>407</v>
      </c>
      <c r="B378" s="2"/>
      <c r="C378" s="67"/>
      <c r="D378" s="67"/>
      <c r="E378" s="67"/>
      <c r="F378" s="67"/>
      <c r="G378" s="68"/>
      <c r="H378" s="68"/>
      <c r="I378" s="67"/>
      <c r="J378" s="132"/>
    </row>
    <row r="379" spans="1:10" ht="108.75" customHeight="1" x14ac:dyDescent="0.3">
      <c r="A379" s="773" t="s">
        <v>510</v>
      </c>
      <c r="B379" s="773"/>
      <c r="C379" s="773"/>
      <c r="D379" s="773"/>
      <c r="E379" s="773"/>
      <c r="F379" s="773"/>
      <c r="G379" s="773"/>
      <c r="H379" s="773"/>
      <c r="I379" s="773"/>
      <c r="J379" s="341"/>
    </row>
    <row r="380" spans="1:10" ht="15" hidden="1" customHeight="1" x14ac:dyDescent="0.2">
      <c r="J380" s="132"/>
    </row>
    <row r="381" spans="1:10" ht="15" customHeight="1" thickBot="1" x14ac:dyDescent="0.35">
      <c r="A381" s="71"/>
      <c r="J381" s="132"/>
    </row>
    <row r="382" spans="1:10" s="69" customFormat="1" ht="26.25" customHeight="1" thickTop="1" x14ac:dyDescent="0.3">
      <c r="A382" s="91" t="s">
        <v>604</v>
      </c>
      <c r="B382" s="92" t="s">
        <v>467</v>
      </c>
      <c r="C382" s="93"/>
      <c r="D382" s="93"/>
      <c r="E382" s="93"/>
      <c r="F382" s="93"/>
      <c r="G382" s="94" t="s">
        <v>463</v>
      </c>
      <c r="H382" s="94" t="s">
        <v>464</v>
      </c>
      <c r="I382" s="67"/>
      <c r="J382" s="164"/>
    </row>
    <row r="383" spans="1:10" s="69" customFormat="1" ht="15" customHeight="1" x14ac:dyDescent="0.3">
      <c r="A383" s="2" t="s">
        <v>465</v>
      </c>
      <c r="B383" s="2"/>
      <c r="C383" s="67"/>
      <c r="D383" s="67"/>
      <c r="E383" s="67"/>
      <c r="F383" s="67"/>
      <c r="G383" s="68">
        <f>'A - Baseline Request'!D32</f>
        <v>0</v>
      </c>
      <c r="H383" s="68">
        <f>'A - Baseline Request'!I32</f>
        <v>0</v>
      </c>
      <c r="I383" s="67"/>
      <c r="J383" s="164"/>
    </row>
    <row r="384" spans="1:10" s="69" customFormat="1" ht="15" customHeight="1" x14ac:dyDescent="0.3">
      <c r="A384" s="2" t="s">
        <v>466</v>
      </c>
      <c r="B384" s="2"/>
      <c r="C384" s="67"/>
      <c r="D384" s="67"/>
      <c r="E384" s="67"/>
      <c r="F384" s="67"/>
      <c r="G384" s="131">
        <f>'A - Baseline Request'!E32</f>
        <v>3000000</v>
      </c>
      <c r="H384" s="131">
        <f>'A - Baseline Request'!J32</f>
        <v>3000000</v>
      </c>
      <c r="I384" s="67"/>
      <c r="J384" s="164"/>
    </row>
    <row r="385" spans="1:10" s="98" customFormat="1" ht="15" customHeight="1" x14ac:dyDescent="0.3">
      <c r="A385" s="95" t="s">
        <v>265</v>
      </c>
      <c r="B385" s="95"/>
      <c r="C385" s="95"/>
      <c r="D385" s="95"/>
      <c r="E385" s="96"/>
      <c r="F385" s="96"/>
      <c r="G385" s="97">
        <v>1750000</v>
      </c>
      <c r="H385" s="97">
        <v>1750000</v>
      </c>
      <c r="J385" s="165"/>
    </row>
    <row r="386" spans="1:10" s="69" customFormat="1" ht="15" customHeight="1" x14ac:dyDescent="0.3">
      <c r="A386" s="76" t="s">
        <v>411</v>
      </c>
      <c r="B386" s="77"/>
      <c r="C386" s="73"/>
      <c r="D386" s="77"/>
      <c r="E386" s="73"/>
      <c r="F386" s="73"/>
      <c r="G386" s="74">
        <f>SUM(G383:G385)</f>
        <v>4750000</v>
      </c>
      <c r="H386" s="74">
        <f>SUM(H383:H385)</f>
        <v>4750000</v>
      </c>
      <c r="I386" s="73"/>
      <c r="J386" s="164"/>
    </row>
    <row r="387" spans="1:10" ht="15" customHeight="1" thickBot="1" x14ac:dyDescent="0.35">
      <c r="A387" s="7"/>
      <c r="B387" s="73"/>
      <c r="C387" s="78" t="s">
        <v>462</v>
      </c>
      <c r="D387" s="79"/>
      <c r="E387" s="79"/>
      <c r="F387" s="79"/>
      <c r="G387" s="772">
        <f>G386+H386</f>
        <v>9500000</v>
      </c>
      <c r="H387" s="772"/>
      <c r="I387" s="73"/>
      <c r="J387" s="129"/>
    </row>
    <row r="388" spans="1:10" s="69" customFormat="1" ht="15" customHeight="1" thickTop="1" x14ac:dyDescent="0.3">
      <c r="A388" s="141"/>
      <c r="B388" s="59"/>
      <c r="G388" s="126"/>
      <c r="H388" s="126"/>
      <c r="J388" s="164"/>
    </row>
    <row r="389" spans="1:10" s="69" customFormat="1" ht="15" customHeight="1" x14ac:dyDescent="0.3">
      <c r="A389" s="80" t="s">
        <v>407</v>
      </c>
      <c r="B389" s="2"/>
      <c r="C389" s="67"/>
      <c r="D389" s="67"/>
      <c r="E389" s="67"/>
      <c r="F389" s="67"/>
      <c r="G389" s="68"/>
      <c r="H389" s="68"/>
      <c r="I389" s="67"/>
      <c r="J389" s="164"/>
    </row>
    <row r="390" spans="1:10" s="69" customFormat="1" ht="68.25" customHeight="1" x14ac:dyDescent="0.3">
      <c r="A390" s="773" t="s">
        <v>768</v>
      </c>
      <c r="B390" s="773"/>
      <c r="C390" s="773"/>
      <c r="D390" s="773"/>
      <c r="E390" s="773"/>
      <c r="F390" s="773"/>
      <c r="G390" s="773"/>
      <c r="H390" s="773"/>
      <c r="I390" s="773"/>
      <c r="J390" s="164"/>
    </row>
    <row r="391" spans="1:10" ht="15" customHeight="1" x14ac:dyDescent="0.3">
      <c r="A391" s="99" t="s">
        <v>432</v>
      </c>
      <c r="B391" s="100"/>
      <c r="C391" s="101"/>
      <c r="D391" s="101"/>
      <c r="E391" s="101"/>
      <c r="F391" s="101"/>
      <c r="G391" s="102"/>
      <c r="H391" s="102"/>
      <c r="I391" s="187"/>
    </row>
    <row r="392" spans="1:10" ht="18" customHeight="1" x14ac:dyDescent="0.3">
      <c r="A392" s="103" t="s">
        <v>265</v>
      </c>
      <c r="B392" s="104"/>
      <c r="C392" s="105"/>
      <c r="D392" s="106"/>
      <c r="E392" s="105"/>
      <c r="F392" s="105"/>
      <c r="G392" s="107"/>
      <c r="H392" s="107"/>
      <c r="I392" s="188"/>
    </row>
    <row r="393" spans="1:10" ht="115.5" customHeight="1" x14ac:dyDescent="0.3">
      <c r="A393" s="766" t="s">
        <v>769</v>
      </c>
      <c r="B393" s="767"/>
      <c r="C393" s="767"/>
      <c r="D393" s="767"/>
      <c r="E393" s="767"/>
      <c r="F393" s="767"/>
      <c r="G393" s="767"/>
      <c r="H393" s="767"/>
      <c r="I393" s="768"/>
    </row>
    <row r="394" spans="1:10" ht="15" customHeight="1" thickBot="1" x14ac:dyDescent="0.35">
      <c r="I394" s="455"/>
      <c r="J394" s="129"/>
    </row>
    <row r="395" spans="1:10" ht="15" customHeight="1" thickTop="1" x14ac:dyDescent="0.3">
      <c r="A395" s="348"/>
      <c r="B395" s="348"/>
      <c r="C395" s="93"/>
      <c r="D395" s="93"/>
      <c r="E395" s="93"/>
      <c r="F395" s="93"/>
      <c r="G395" s="349"/>
      <c r="H395" s="349"/>
      <c r="J395" s="129"/>
    </row>
    <row r="396" spans="1:10" ht="15" customHeight="1" x14ac:dyDescent="0.3">
      <c r="A396" s="800" t="s">
        <v>13</v>
      </c>
      <c r="B396" s="800"/>
      <c r="C396" s="800"/>
      <c r="D396" s="800"/>
      <c r="E396" s="800"/>
      <c r="F396" s="800"/>
      <c r="G396" s="800"/>
      <c r="H396" s="800"/>
    </row>
    <row r="397" spans="1:10" s="130" customFormat="1" ht="15" customHeight="1" x14ac:dyDescent="0.3">
      <c r="A397" s="129"/>
      <c r="B397" s="129"/>
      <c r="G397" s="131"/>
      <c r="H397" s="131"/>
      <c r="J397" s="132"/>
    </row>
    <row r="398" spans="1:10" ht="26.25" customHeight="1" x14ac:dyDescent="0.3">
      <c r="A398" s="133" t="s">
        <v>87</v>
      </c>
      <c r="B398" s="134" t="s">
        <v>88</v>
      </c>
      <c r="C398" s="130"/>
      <c r="D398" s="130"/>
      <c r="E398" s="130"/>
      <c r="F398" s="130"/>
      <c r="G398" s="135" t="s">
        <v>463</v>
      </c>
      <c r="H398" s="135" t="s">
        <v>464</v>
      </c>
    </row>
    <row r="399" spans="1:10" ht="15" customHeight="1" x14ac:dyDescent="0.3">
      <c r="A399" s="2" t="s">
        <v>465</v>
      </c>
      <c r="G399" s="68">
        <f>'A - Baseline Request'!D34</f>
        <v>1000000</v>
      </c>
      <c r="H399" s="68" t="str">
        <f>'A - Baseline Request'!I34</f>
        <v>UB</v>
      </c>
      <c r="J399" s="176"/>
    </row>
    <row r="400" spans="1:10" s="2" customFormat="1" ht="15" customHeight="1" x14ac:dyDescent="0.3">
      <c r="A400" s="2" t="s">
        <v>466</v>
      </c>
      <c r="C400" s="67"/>
      <c r="D400" s="67"/>
      <c r="E400" s="67"/>
      <c r="F400" s="67"/>
      <c r="G400" s="131">
        <f>'A - Baseline Request'!$E$34</f>
        <v>0</v>
      </c>
      <c r="H400" s="131">
        <f>'A - Baseline Request'!$J$34</f>
        <v>0</v>
      </c>
      <c r="I400" s="67"/>
      <c r="J400" s="177"/>
    </row>
    <row r="401" spans="1:10" s="98" customFormat="1" ht="15" customHeight="1" x14ac:dyDescent="0.3">
      <c r="A401" s="95" t="s">
        <v>275</v>
      </c>
      <c r="B401" s="95"/>
      <c r="C401" s="95"/>
      <c r="D401" s="95"/>
      <c r="E401" s="96"/>
      <c r="F401" s="96"/>
      <c r="G401" s="97">
        <v>8000000</v>
      </c>
      <c r="H401" s="97">
        <v>0</v>
      </c>
      <c r="J401" s="165"/>
    </row>
    <row r="402" spans="1:10" s="73" customFormat="1" ht="15" customHeight="1" x14ac:dyDescent="0.3">
      <c r="A402" s="76" t="s">
        <v>411</v>
      </c>
      <c r="B402" s="77"/>
      <c r="D402" s="77"/>
      <c r="G402" s="74">
        <f>SUM(G399:G401)</f>
        <v>9000000</v>
      </c>
      <c r="H402" s="74">
        <f>SUM(H399:H401)</f>
        <v>0</v>
      </c>
      <c r="J402" s="132"/>
    </row>
    <row r="403" spans="1:10" s="73" customFormat="1" ht="21" customHeight="1" thickBot="1" x14ac:dyDescent="0.35">
      <c r="A403" s="7"/>
      <c r="C403" s="78" t="s">
        <v>462</v>
      </c>
      <c r="D403" s="79"/>
      <c r="E403" s="79"/>
      <c r="F403" s="79"/>
      <c r="G403" s="772">
        <f>G402+H402</f>
        <v>9000000</v>
      </c>
      <c r="H403" s="772"/>
      <c r="J403" s="130"/>
    </row>
    <row r="404" spans="1:10" ht="15" customHeight="1" thickTop="1" x14ac:dyDescent="0.3">
      <c r="A404" s="71"/>
      <c r="J404" s="132"/>
    </row>
    <row r="405" spans="1:10" ht="15" customHeight="1" x14ac:dyDescent="0.3">
      <c r="A405" s="80" t="s">
        <v>407</v>
      </c>
      <c r="J405" s="132"/>
    </row>
    <row r="406" spans="1:10" ht="132" customHeight="1" x14ac:dyDescent="0.3">
      <c r="A406" s="773" t="s">
        <v>770</v>
      </c>
      <c r="B406" s="773"/>
      <c r="C406" s="773"/>
      <c r="D406" s="773"/>
      <c r="E406" s="773"/>
      <c r="F406" s="773"/>
      <c r="G406" s="773"/>
      <c r="H406" s="773"/>
      <c r="I406" s="773"/>
      <c r="J406" s="132"/>
    </row>
    <row r="407" spans="1:10" ht="15" hidden="1" customHeight="1" x14ac:dyDescent="0.2">
      <c r="A407" s="136"/>
      <c r="J407" s="132"/>
    </row>
    <row r="408" spans="1:10" ht="15" customHeight="1" x14ac:dyDescent="0.3">
      <c r="A408" s="99" t="s">
        <v>432</v>
      </c>
      <c r="B408" s="100"/>
      <c r="C408" s="101"/>
      <c r="D408" s="101"/>
      <c r="E408" s="101"/>
      <c r="F408" s="101"/>
      <c r="G408" s="102"/>
      <c r="H408" s="102"/>
      <c r="I408" s="187"/>
    </row>
    <row r="409" spans="1:10" ht="18" customHeight="1" x14ac:dyDescent="0.3">
      <c r="A409" s="103" t="s">
        <v>275</v>
      </c>
      <c r="B409" s="104"/>
      <c r="C409" s="105"/>
      <c r="D409" s="106"/>
      <c r="E409" s="105"/>
      <c r="F409" s="105"/>
      <c r="G409" s="107"/>
      <c r="H409" s="107"/>
      <c r="I409" s="188"/>
    </row>
    <row r="410" spans="1:10" ht="62.25" customHeight="1" x14ac:dyDescent="0.3">
      <c r="A410" s="766" t="s">
        <v>762</v>
      </c>
      <c r="B410" s="767"/>
      <c r="C410" s="767"/>
      <c r="D410" s="767"/>
      <c r="E410" s="767"/>
      <c r="F410" s="767"/>
      <c r="G410" s="767"/>
      <c r="H410" s="767"/>
      <c r="I410" s="768"/>
    </row>
    <row r="411" spans="1:10" s="69" customFormat="1" ht="15" customHeight="1" thickBot="1" x14ac:dyDescent="0.35">
      <c r="A411" s="90"/>
      <c r="B411" s="90"/>
      <c r="C411" s="90"/>
      <c r="D411" s="90"/>
      <c r="E411" s="90"/>
      <c r="F411" s="90"/>
      <c r="G411" s="90"/>
      <c r="H411" s="90"/>
      <c r="I411" s="454"/>
      <c r="J411" s="164"/>
    </row>
    <row r="412" spans="1:10" s="69" customFormat="1" ht="15" customHeight="1" thickTop="1" x14ac:dyDescent="0.3">
      <c r="A412" s="351"/>
      <c r="B412" s="351"/>
      <c r="C412" s="351"/>
      <c r="D412" s="351"/>
      <c r="E412" s="351"/>
      <c r="F412" s="351"/>
      <c r="G412" s="351"/>
      <c r="H412" s="351"/>
      <c r="I412" s="90"/>
      <c r="J412" s="164"/>
    </row>
    <row r="413" spans="1:10" ht="15" customHeight="1" x14ac:dyDescent="0.3">
      <c r="A413" s="133" t="s">
        <v>471</v>
      </c>
      <c r="B413" s="134" t="s">
        <v>468</v>
      </c>
      <c r="C413" s="130"/>
      <c r="D413" s="130"/>
      <c r="E413" s="130"/>
      <c r="F413" s="130"/>
      <c r="G413" s="135" t="s">
        <v>463</v>
      </c>
      <c r="H413" s="135" t="s">
        <v>464</v>
      </c>
      <c r="J413" s="132"/>
    </row>
    <row r="414" spans="1:10" ht="15" customHeight="1" x14ac:dyDescent="0.3">
      <c r="A414" s="2" t="s">
        <v>465</v>
      </c>
      <c r="G414" s="68">
        <f>'A - Baseline Request'!D35</f>
        <v>17812500</v>
      </c>
      <c r="H414" s="68">
        <f>'A - Baseline Request'!I35</f>
        <v>17812500</v>
      </c>
      <c r="J414" s="132"/>
    </row>
    <row r="415" spans="1:10" ht="15" customHeight="1" x14ac:dyDescent="0.3">
      <c r="A415" s="2" t="s">
        <v>466</v>
      </c>
      <c r="G415" s="124">
        <f>'A - Baseline Request'!E35</f>
        <v>0</v>
      </c>
      <c r="H415" s="124">
        <f>'A - Baseline Request'!J35</f>
        <v>0</v>
      </c>
      <c r="J415" s="132"/>
    </row>
    <row r="416" spans="1:10" ht="15" customHeight="1" x14ac:dyDescent="0.3">
      <c r="A416" s="76" t="s">
        <v>411</v>
      </c>
      <c r="B416" s="77"/>
      <c r="C416" s="73"/>
      <c r="D416" s="77"/>
      <c r="E416" s="73"/>
      <c r="F416" s="73"/>
      <c r="G416" s="74">
        <f>SUM(G414:G415)</f>
        <v>17812500</v>
      </c>
      <c r="H416" s="74">
        <f>SUM(H414:H415)</f>
        <v>17812500</v>
      </c>
      <c r="I416" s="73"/>
      <c r="J416" s="132"/>
    </row>
    <row r="417" spans="1:10" ht="15" customHeight="1" thickBot="1" x14ac:dyDescent="0.35">
      <c r="A417" s="7"/>
      <c r="B417" s="73"/>
      <c r="C417" s="78" t="s">
        <v>462</v>
      </c>
      <c r="D417" s="79"/>
      <c r="E417" s="79"/>
      <c r="F417" s="79"/>
      <c r="G417" s="772">
        <f>G416+H416</f>
        <v>35625000</v>
      </c>
      <c r="H417" s="772"/>
      <c r="I417" s="73"/>
      <c r="J417" s="132"/>
    </row>
    <row r="418" spans="1:10" ht="15" customHeight="1" thickTop="1" x14ac:dyDescent="0.3">
      <c r="A418" s="141"/>
      <c r="B418" s="59"/>
      <c r="C418" s="69"/>
      <c r="D418" s="69"/>
      <c r="E418" s="69"/>
      <c r="F418" s="69"/>
      <c r="G418" s="126"/>
      <c r="H418" s="126"/>
      <c r="I418" s="69"/>
      <c r="J418" s="132"/>
    </row>
    <row r="419" spans="1:10" ht="15" customHeight="1" x14ac:dyDescent="0.3">
      <c r="A419" s="80" t="s">
        <v>407</v>
      </c>
      <c r="J419" s="132"/>
    </row>
    <row r="420" spans="1:10" ht="45.75" customHeight="1" x14ac:dyDescent="0.3">
      <c r="A420" s="773" t="s">
        <v>521</v>
      </c>
      <c r="B420" s="773"/>
      <c r="C420" s="773"/>
      <c r="D420" s="773"/>
      <c r="E420" s="773"/>
      <c r="F420" s="773"/>
      <c r="G420" s="773"/>
      <c r="H420" s="773"/>
      <c r="I420" s="773"/>
      <c r="J420" s="132"/>
    </row>
    <row r="421" spans="1:10" ht="15" customHeight="1" x14ac:dyDescent="0.3">
      <c r="J421" s="132"/>
    </row>
    <row r="422" spans="1:10" ht="15" customHeight="1" x14ac:dyDescent="0.3">
      <c r="A422" s="774" t="s">
        <v>420</v>
      </c>
      <c r="B422" s="775"/>
      <c r="C422" s="775"/>
      <c r="D422" s="775"/>
      <c r="E422" s="775"/>
      <c r="F422" s="775"/>
      <c r="G422" s="775"/>
      <c r="H422" s="775"/>
      <c r="I422" s="180"/>
      <c r="J422" s="132"/>
    </row>
    <row r="423" spans="1:10" ht="15" customHeight="1" x14ac:dyDescent="0.3">
      <c r="A423" s="776" t="s">
        <v>423</v>
      </c>
      <c r="B423" s="777"/>
      <c r="C423" s="777" t="s">
        <v>424</v>
      </c>
      <c r="D423" s="777"/>
      <c r="E423" s="83"/>
      <c r="F423" s="83"/>
      <c r="G423" s="84"/>
      <c r="H423" s="84"/>
      <c r="I423" s="181"/>
      <c r="J423" s="132"/>
    </row>
    <row r="424" spans="1:10" ht="15" customHeight="1" x14ac:dyDescent="0.3">
      <c r="A424" s="784" t="s">
        <v>693</v>
      </c>
      <c r="B424" s="785"/>
      <c r="C424" s="785" t="s">
        <v>687</v>
      </c>
      <c r="D424" s="785"/>
      <c r="E424" s="83"/>
      <c r="F424" s="83"/>
      <c r="G424" s="84"/>
      <c r="H424" s="84"/>
      <c r="I424" s="181"/>
      <c r="J424" s="132"/>
    </row>
    <row r="425" spans="1:10" ht="15" customHeight="1" x14ac:dyDescent="0.3">
      <c r="A425" s="786">
        <f>'B - Reductions '!N13</f>
        <v>1781250</v>
      </c>
      <c r="B425" s="787"/>
      <c r="C425" s="787">
        <f>'B - Reductions '!AC18</f>
        <v>1781250</v>
      </c>
      <c r="D425" s="787"/>
      <c r="E425" s="83"/>
      <c r="F425" s="121"/>
      <c r="G425" s="84"/>
      <c r="H425" s="84"/>
      <c r="I425" s="181"/>
      <c r="J425" s="132"/>
    </row>
    <row r="426" spans="1:10" ht="15" customHeight="1" x14ac:dyDescent="0.3">
      <c r="A426" s="154"/>
      <c r="B426" s="190">
        <f>A425/SUM(G414:H414)</f>
        <v>0.05</v>
      </c>
      <c r="C426" s="158"/>
      <c r="D426" s="190">
        <f>C425/SUM(G414:H414)</f>
        <v>0.05</v>
      </c>
      <c r="E426" s="83"/>
      <c r="F426" s="121"/>
      <c r="G426" s="84"/>
      <c r="H426" s="84"/>
      <c r="I426" s="181"/>
      <c r="J426" s="132"/>
    </row>
    <row r="427" spans="1:10" ht="15" customHeight="1" thickBot="1" x14ac:dyDescent="0.35">
      <c r="A427" s="788">
        <f>SUM(A425:D425)</f>
        <v>3562500</v>
      </c>
      <c r="B427" s="789"/>
      <c r="C427" s="789"/>
      <c r="D427" s="275">
        <f>A427/SUM(G414:H414)</f>
        <v>0.1</v>
      </c>
      <c r="E427" s="85" t="s">
        <v>409</v>
      </c>
      <c r="F427" s="84"/>
      <c r="G427" s="84"/>
      <c r="H427" s="84"/>
      <c r="I427" s="181"/>
      <c r="J427" s="132"/>
    </row>
    <row r="428" spans="1:10" ht="15" customHeight="1" thickTop="1" x14ac:dyDescent="0.3">
      <c r="A428" s="156"/>
      <c r="B428" s="157"/>
      <c r="C428" s="158"/>
      <c r="D428" s="157"/>
      <c r="E428" s="85"/>
      <c r="F428" s="84"/>
      <c r="G428" s="84"/>
      <c r="H428" s="84"/>
      <c r="I428" s="181"/>
      <c r="J428" s="132"/>
    </row>
    <row r="429" spans="1:10" ht="15" customHeight="1" x14ac:dyDescent="0.3">
      <c r="A429" s="110" t="s">
        <v>410</v>
      </c>
      <c r="B429" s="111"/>
      <c r="C429" s="112"/>
      <c r="D429" s="111"/>
      <c r="E429" s="112"/>
      <c r="F429" s="112"/>
      <c r="G429" s="113"/>
      <c r="H429" s="113"/>
      <c r="I429" s="189"/>
      <c r="J429" s="132"/>
    </row>
    <row r="430" spans="1:10" ht="45" customHeight="1" x14ac:dyDescent="0.3">
      <c r="A430" s="769" t="s">
        <v>738</v>
      </c>
      <c r="B430" s="770"/>
      <c r="C430" s="770"/>
      <c r="D430" s="770"/>
      <c r="E430" s="770"/>
      <c r="F430" s="770"/>
      <c r="G430" s="770"/>
      <c r="H430" s="770"/>
      <c r="I430" s="771"/>
      <c r="J430" s="132"/>
    </row>
    <row r="431" spans="1:10" ht="15" customHeight="1" thickBot="1" x14ac:dyDescent="0.35">
      <c r="A431" s="71"/>
      <c r="I431" s="453"/>
      <c r="J431" s="132"/>
    </row>
    <row r="432" spans="1:10" ht="15" customHeight="1" thickTop="1" x14ac:dyDescent="0.3">
      <c r="A432" s="92"/>
      <c r="B432" s="348"/>
      <c r="C432" s="93"/>
      <c r="D432" s="93"/>
      <c r="E432" s="93"/>
      <c r="F432" s="93"/>
      <c r="G432" s="349"/>
      <c r="H432" s="349"/>
      <c r="J432" s="132"/>
    </row>
    <row r="433" spans="1:10" ht="15" customHeight="1" x14ac:dyDescent="0.3">
      <c r="A433" s="822" t="s">
        <v>14</v>
      </c>
      <c r="B433" s="822"/>
      <c r="C433" s="822"/>
      <c r="D433" s="822"/>
      <c r="E433" s="822"/>
      <c r="F433" s="822"/>
      <c r="G433" s="822"/>
      <c r="H433" s="822"/>
      <c r="J433" s="132"/>
    </row>
    <row r="434" spans="1:10" ht="15" customHeight="1" x14ac:dyDescent="0.3">
      <c r="A434" s="129"/>
      <c r="B434" s="129"/>
      <c r="C434" s="130"/>
      <c r="D434" s="130"/>
      <c r="E434" s="130"/>
      <c r="F434" s="130"/>
      <c r="G434" s="131"/>
      <c r="H434" s="131"/>
      <c r="J434" s="178"/>
    </row>
    <row r="435" spans="1:10" ht="26.25" customHeight="1" x14ac:dyDescent="0.3">
      <c r="A435" s="133" t="s">
        <v>90</v>
      </c>
      <c r="B435" s="134" t="s">
        <v>6</v>
      </c>
      <c r="C435" s="130"/>
      <c r="D435" s="130"/>
      <c r="E435" s="130"/>
      <c r="F435" s="130"/>
      <c r="G435" s="135" t="s">
        <v>463</v>
      </c>
      <c r="H435" s="135" t="s">
        <v>464</v>
      </c>
    </row>
    <row r="436" spans="1:10" ht="15" customHeight="1" x14ac:dyDescent="0.3">
      <c r="A436" s="2" t="s">
        <v>465</v>
      </c>
      <c r="G436" s="68">
        <f>'A - Baseline Request'!D37</f>
        <v>4800000</v>
      </c>
      <c r="H436" s="68">
        <f>'A - Baseline Request'!I37</f>
        <v>4800000</v>
      </c>
      <c r="J436" s="132"/>
    </row>
    <row r="437" spans="1:10" ht="15" customHeight="1" x14ac:dyDescent="0.3">
      <c r="A437" s="2" t="s">
        <v>466</v>
      </c>
      <c r="F437" s="130"/>
      <c r="G437" s="131">
        <f>'A - Baseline Request'!E37</f>
        <v>0</v>
      </c>
      <c r="H437" s="131">
        <f>'A - Baseline Request'!J37</f>
        <v>0</v>
      </c>
      <c r="J437" s="132"/>
    </row>
    <row r="438" spans="1:10" s="98" customFormat="1" ht="15" customHeight="1" x14ac:dyDescent="0.3">
      <c r="A438" s="95" t="s">
        <v>274</v>
      </c>
      <c r="B438" s="95"/>
      <c r="C438" s="95"/>
      <c r="D438" s="95"/>
      <c r="E438" s="96"/>
      <c r="F438" s="96"/>
      <c r="G438" s="97">
        <v>5000000</v>
      </c>
      <c r="H438" s="97">
        <v>5000000</v>
      </c>
      <c r="J438" s="165"/>
    </row>
    <row r="439" spans="1:10" ht="15" customHeight="1" x14ac:dyDescent="0.3">
      <c r="A439" s="71" t="s">
        <v>411</v>
      </c>
      <c r="B439" s="71"/>
      <c r="D439" s="71"/>
      <c r="G439" s="68">
        <f>SUM(G436:G438)</f>
        <v>9800000</v>
      </c>
      <c r="H439" s="68">
        <f>SUM(H436:H438)</f>
        <v>9800000</v>
      </c>
    </row>
    <row r="440" spans="1:10" s="73" customFormat="1" ht="21" customHeight="1" thickBot="1" x14ac:dyDescent="0.35">
      <c r="A440" s="7"/>
      <c r="C440" s="78" t="s">
        <v>462</v>
      </c>
      <c r="D440" s="79"/>
      <c r="E440" s="79"/>
      <c r="F440" s="79"/>
      <c r="G440" s="772">
        <f>G439+H439</f>
        <v>19600000</v>
      </c>
      <c r="H440" s="772"/>
      <c r="J440" s="130"/>
    </row>
    <row r="441" spans="1:10" s="2" customFormat="1" ht="15" customHeight="1" thickTop="1" x14ac:dyDescent="0.3">
      <c r="A441" s="71"/>
      <c r="C441" s="67"/>
      <c r="D441" s="67"/>
      <c r="E441" s="67"/>
      <c r="F441" s="67"/>
      <c r="G441" s="68"/>
      <c r="H441" s="68"/>
      <c r="I441" s="67"/>
      <c r="J441" s="130"/>
    </row>
    <row r="442" spans="1:10" ht="15" customHeight="1" x14ac:dyDescent="0.3">
      <c r="A442" s="80" t="s">
        <v>407</v>
      </c>
    </row>
    <row r="443" spans="1:10" ht="92.25" customHeight="1" x14ac:dyDescent="0.3">
      <c r="A443" s="773" t="s">
        <v>511</v>
      </c>
      <c r="B443" s="773"/>
      <c r="C443" s="773"/>
      <c r="D443" s="773"/>
      <c r="E443" s="773"/>
      <c r="F443" s="773"/>
      <c r="G443" s="773"/>
      <c r="H443" s="773"/>
      <c r="I443" s="773"/>
    </row>
    <row r="444" spans="1:10" ht="15" hidden="1" customHeight="1" x14ac:dyDescent="0.2"/>
    <row r="445" spans="1:10" ht="15" customHeight="1" x14ac:dyDescent="0.3">
      <c r="A445" s="99" t="s">
        <v>432</v>
      </c>
      <c r="B445" s="100"/>
      <c r="C445" s="101"/>
      <c r="D445" s="101"/>
      <c r="E445" s="101"/>
      <c r="F445" s="101"/>
      <c r="G445" s="102"/>
      <c r="H445" s="102"/>
      <c r="I445" s="187"/>
    </row>
    <row r="446" spans="1:10" ht="18" customHeight="1" x14ac:dyDescent="0.3">
      <c r="A446" s="103" t="s">
        <v>274</v>
      </c>
      <c r="B446" s="104"/>
      <c r="C446" s="105"/>
      <c r="D446" s="106"/>
      <c r="E446" s="105"/>
      <c r="F446" s="105"/>
      <c r="G446" s="107"/>
      <c r="H446" s="107"/>
      <c r="I446" s="188"/>
    </row>
    <row r="447" spans="1:10" ht="66.75" customHeight="1" x14ac:dyDescent="0.3">
      <c r="A447" s="766" t="s">
        <v>759</v>
      </c>
      <c r="B447" s="767"/>
      <c r="C447" s="767"/>
      <c r="D447" s="767"/>
      <c r="E447" s="767"/>
      <c r="F447" s="767"/>
      <c r="G447" s="767"/>
      <c r="H447" s="767"/>
      <c r="I447" s="768"/>
    </row>
    <row r="448" spans="1:10" s="123" customFormat="1" ht="15" customHeight="1" thickBot="1" x14ac:dyDescent="0.35">
      <c r="A448" s="122"/>
      <c r="B448" s="122"/>
      <c r="C448" s="122"/>
      <c r="D448" s="122"/>
      <c r="E448" s="122"/>
      <c r="F448" s="122"/>
      <c r="G448" s="122"/>
      <c r="H448" s="122"/>
      <c r="I448" s="452"/>
      <c r="J448" s="169"/>
    </row>
    <row r="449" spans="1:10" ht="26.25" customHeight="1" thickTop="1" x14ac:dyDescent="0.3">
      <c r="A449" s="91" t="s">
        <v>93</v>
      </c>
      <c r="B449" s="92" t="s">
        <v>99</v>
      </c>
      <c r="C449" s="93"/>
      <c r="D449" s="93"/>
      <c r="E449" s="93"/>
      <c r="F449" s="93"/>
      <c r="G449" s="94" t="s">
        <v>463</v>
      </c>
      <c r="H449" s="94" t="s">
        <v>464</v>
      </c>
    </row>
    <row r="450" spans="1:10" ht="15" customHeight="1" x14ac:dyDescent="0.3">
      <c r="A450" s="2" t="s">
        <v>465</v>
      </c>
      <c r="G450" s="68">
        <f>'A - Baseline Request'!D38</f>
        <v>0</v>
      </c>
      <c r="H450" s="68">
        <f>'A - Baseline Request'!I38</f>
        <v>0</v>
      </c>
    </row>
    <row r="451" spans="1:10" ht="15" customHeight="1" x14ac:dyDescent="0.3">
      <c r="A451" s="2" t="s">
        <v>466</v>
      </c>
      <c r="G451" s="124">
        <f>'A - Baseline Request'!E38</f>
        <v>0</v>
      </c>
      <c r="H451" s="124">
        <f>'A - Baseline Request'!J38</f>
        <v>0</v>
      </c>
    </row>
    <row r="452" spans="1:10" ht="15" customHeight="1" x14ac:dyDescent="0.3">
      <c r="A452" s="71" t="s">
        <v>411</v>
      </c>
      <c r="B452" s="71"/>
      <c r="D452" s="71"/>
      <c r="G452" s="68">
        <f>G450+G451</f>
        <v>0</v>
      </c>
      <c r="H452" s="68">
        <f>H450+H451</f>
        <v>0</v>
      </c>
    </row>
    <row r="453" spans="1:10" s="73" customFormat="1" ht="21" customHeight="1" thickBot="1" x14ac:dyDescent="0.35">
      <c r="A453" s="7"/>
      <c r="C453" s="78" t="s">
        <v>462</v>
      </c>
      <c r="D453" s="79"/>
      <c r="E453" s="79"/>
      <c r="F453" s="79"/>
      <c r="G453" s="772">
        <f>G452+H452</f>
        <v>0</v>
      </c>
      <c r="H453" s="772"/>
      <c r="J453" s="130"/>
    </row>
    <row r="454" spans="1:10" s="98" customFormat="1" ht="15" customHeight="1" thickTop="1" x14ac:dyDescent="0.3">
      <c r="A454" s="71"/>
      <c r="B454" s="2"/>
      <c r="C454" s="67"/>
      <c r="D454" s="67"/>
      <c r="E454" s="67"/>
      <c r="F454" s="67"/>
      <c r="G454" s="68"/>
      <c r="H454" s="68"/>
      <c r="I454" s="67"/>
      <c r="J454" s="130"/>
    </row>
    <row r="455" spans="1:10" ht="15" customHeight="1" x14ac:dyDescent="0.3">
      <c r="A455" s="80" t="s">
        <v>407</v>
      </c>
    </row>
    <row r="456" spans="1:10" ht="107.25" customHeight="1" x14ac:dyDescent="0.3">
      <c r="A456" s="773" t="s">
        <v>512</v>
      </c>
      <c r="B456" s="773"/>
      <c r="C456" s="773"/>
      <c r="D456" s="773"/>
      <c r="E456" s="773"/>
      <c r="F456" s="773"/>
      <c r="G456" s="773"/>
      <c r="H456" s="773"/>
      <c r="I456" s="773"/>
    </row>
    <row r="457" spans="1:10" ht="15" hidden="1" customHeight="1" x14ac:dyDescent="0.2"/>
    <row r="458" spans="1:10" s="69" customFormat="1" ht="15" customHeight="1" thickBot="1" x14ac:dyDescent="0.35">
      <c r="A458" s="90"/>
      <c r="B458" s="90"/>
      <c r="C458" s="90"/>
      <c r="D458" s="90"/>
      <c r="E458" s="90"/>
      <c r="F458" s="90"/>
      <c r="G458" s="90"/>
      <c r="H458" s="90"/>
      <c r="I458" s="451"/>
      <c r="J458" s="164"/>
    </row>
    <row r="459" spans="1:10" ht="26.25" customHeight="1" thickTop="1" x14ac:dyDescent="0.3">
      <c r="A459" s="91" t="s">
        <v>96</v>
      </c>
      <c r="B459" s="92" t="s">
        <v>101</v>
      </c>
      <c r="C459" s="93"/>
      <c r="D459" s="93"/>
      <c r="E459" s="93"/>
      <c r="F459" s="93"/>
      <c r="G459" s="94" t="s">
        <v>463</v>
      </c>
      <c r="H459" s="94" t="s">
        <v>464</v>
      </c>
    </row>
    <row r="460" spans="1:10" s="2" customFormat="1" ht="15" customHeight="1" x14ac:dyDescent="0.3">
      <c r="A460" s="2" t="s">
        <v>465</v>
      </c>
      <c r="C460" s="67"/>
      <c r="D460" s="67"/>
      <c r="E460" s="67"/>
      <c r="F460" s="67"/>
      <c r="G460" s="68">
        <f>'A - Baseline Request'!D39</f>
        <v>0</v>
      </c>
      <c r="H460" s="68">
        <f>'A - Baseline Request'!I39</f>
        <v>0</v>
      </c>
      <c r="I460" s="67"/>
      <c r="J460" s="130"/>
    </row>
    <row r="461" spans="1:10" s="2" customFormat="1" ht="15" customHeight="1" x14ac:dyDescent="0.3">
      <c r="A461" s="2" t="s">
        <v>466</v>
      </c>
      <c r="C461" s="67"/>
      <c r="D461" s="67"/>
      <c r="E461" s="67"/>
      <c r="F461" s="67"/>
      <c r="G461" s="124">
        <f>'A - Baseline Request'!E39</f>
        <v>0</v>
      </c>
      <c r="H461" s="124">
        <f>'A - Baseline Request'!J39</f>
        <v>0</v>
      </c>
      <c r="I461" s="67"/>
      <c r="J461" s="130"/>
    </row>
    <row r="462" spans="1:10" ht="15" customHeight="1" x14ac:dyDescent="0.3">
      <c r="A462" s="71" t="s">
        <v>411</v>
      </c>
      <c r="B462" s="71"/>
      <c r="D462" s="71"/>
      <c r="G462" s="68">
        <f>SUM(G460:G461)</f>
        <v>0</v>
      </c>
      <c r="H462" s="68">
        <f>SUM(H460:H461)</f>
        <v>0</v>
      </c>
    </row>
    <row r="463" spans="1:10" s="73" customFormat="1" ht="21" customHeight="1" thickBot="1" x14ac:dyDescent="0.35">
      <c r="A463" s="7"/>
      <c r="C463" s="78" t="s">
        <v>462</v>
      </c>
      <c r="D463" s="79"/>
      <c r="E463" s="79"/>
      <c r="F463" s="79"/>
      <c r="G463" s="772">
        <f>G462+H462</f>
        <v>0</v>
      </c>
      <c r="H463" s="772"/>
      <c r="J463" s="130"/>
    </row>
    <row r="464" spans="1:10" ht="15" customHeight="1" thickTop="1" x14ac:dyDescent="0.3">
      <c r="A464" s="71"/>
    </row>
    <row r="465" spans="1:10" ht="15" customHeight="1" x14ac:dyDescent="0.3">
      <c r="A465" s="80" t="s">
        <v>407</v>
      </c>
    </row>
    <row r="466" spans="1:10" s="98" customFormat="1" ht="114.75" customHeight="1" x14ac:dyDescent="0.3">
      <c r="A466" s="773" t="s">
        <v>505</v>
      </c>
      <c r="B466" s="773"/>
      <c r="C466" s="773"/>
      <c r="D466" s="773"/>
      <c r="E466" s="773"/>
      <c r="F466" s="773"/>
      <c r="G466" s="773"/>
      <c r="H466" s="773"/>
      <c r="I466" s="773"/>
      <c r="J466" s="178"/>
    </row>
    <row r="467" spans="1:10" ht="15" customHeight="1" thickBot="1" x14ac:dyDescent="0.35">
      <c r="I467" s="450"/>
    </row>
    <row r="468" spans="1:10" ht="26.25" customHeight="1" thickTop="1" x14ac:dyDescent="0.3">
      <c r="A468" s="91" t="s">
        <v>98</v>
      </c>
      <c r="B468" s="92" t="s">
        <v>103</v>
      </c>
      <c r="C468" s="93"/>
      <c r="D468" s="93"/>
      <c r="E468" s="93"/>
      <c r="F468" s="93"/>
      <c r="G468" s="94" t="s">
        <v>463</v>
      </c>
      <c r="H468" s="94" t="s">
        <v>464</v>
      </c>
    </row>
    <row r="469" spans="1:10" ht="15" customHeight="1" x14ac:dyDescent="0.3">
      <c r="A469" s="2" t="s">
        <v>465</v>
      </c>
      <c r="G469" s="68">
        <f>'A - Baseline Request'!D40</f>
        <v>0</v>
      </c>
      <c r="H469" s="68">
        <f>'A - Baseline Request'!I40</f>
        <v>0</v>
      </c>
    </row>
    <row r="470" spans="1:10" ht="15" customHeight="1" x14ac:dyDescent="0.3">
      <c r="A470" s="2" t="s">
        <v>466</v>
      </c>
      <c r="G470" s="131">
        <f>'A - Baseline Request'!E40</f>
        <v>0</v>
      </c>
      <c r="H470" s="131">
        <f>'A - Baseline Request'!J40</f>
        <v>0</v>
      </c>
    </row>
    <row r="471" spans="1:10" s="98" customFormat="1" ht="15" customHeight="1" x14ac:dyDescent="0.3">
      <c r="A471" s="95" t="s">
        <v>272</v>
      </c>
      <c r="B471" s="95"/>
      <c r="C471" s="95"/>
      <c r="D471" s="95"/>
      <c r="E471" s="96"/>
      <c r="F471" s="96"/>
      <c r="G471" s="97">
        <v>5750000</v>
      </c>
      <c r="H471" s="97">
        <v>5750000</v>
      </c>
      <c r="J471" s="165"/>
    </row>
    <row r="472" spans="1:10" ht="15" customHeight="1" x14ac:dyDescent="0.3">
      <c r="A472" s="71" t="s">
        <v>411</v>
      </c>
      <c r="B472" s="71"/>
      <c r="D472" s="71"/>
      <c r="G472" s="68">
        <f>SUM(G469:G471)</f>
        <v>5750000</v>
      </c>
      <c r="H472" s="68">
        <f>SUM(H469:H471)</f>
        <v>5750000</v>
      </c>
    </row>
    <row r="473" spans="1:10" s="73" customFormat="1" ht="21" customHeight="1" thickBot="1" x14ac:dyDescent="0.35">
      <c r="A473" s="7"/>
      <c r="C473" s="78" t="s">
        <v>462</v>
      </c>
      <c r="D473" s="79"/>
      <c r="E473" s="79"/>
      <c r="F473" s="79"/>
      <c r="G473" s="772">
        <f>G472+H472</f>
        <v>11500000</v>
      </c>
      <c r="H473" s="772"/>
      <c r="J473" s="130"/>
    </row>
    <row r="474" spans="1:10" ht="15" customHeight="1" thickTop="1" x14ac:dyDescent="0.3">
      <c r="A474" s="71"/>
      <c r="J474" s="129"/>
    </row>
    <row r="475" spans="1:10" s="2" customFormat="1" ht="15" customHeight="1" x14ac:dyDescent="0.3">
      <c r="A475" s="80" t="s">
        <v>407</v>
      </c>
      <c r="C475" s="67"/>
      <c r="D475" s="67"/>
      <c r="E475" s="67"/>
      <c r="F475" s="67"/>
      <c r="G475" s="68"/>
      <c r="H475" s="68"/>
      <c r="I475" s="67"/>
      <c r="J475" s="129"/>
    </row>
    <row r="476" spans="1:10" ht="66.75" customHeight="1" x14ac:dyDescent="0.3">
      <c r="A476" s="773" t="s">
        <v>506</v>
      </c>
      <c r="B476" s="773"/>
      <c r="C476" s="773"/>
      <c r="D476" s="773"/>
      <c r="E476" s="773"/>
      <c r="F476" s="773"/>
      <c r="G476" s="773"/>
      <c r="H476" s="773"/>
      <c r="I476" s="773"/>
    </row>
    <row r="477" spans="1:10" ht="15" hidden="1" customHeight="1" x14ac:dyDescent="0.2"/>
    <row r="478" spans="1:10" ht="15" customHeight="1" x14ac:dyDescent="0.3">
      <c r="A478" s="99" t="s">
        <v>432</v>
      </c>
      <c r="B478" s="100"/>
      <c r="C478" s="101"/>
      <c r="D478" s="101"/>
      <c r="E478" s="101"/>
      <c r="F478" s="101"/>
      <c r="G478" s="102"/>
      <c r="H478" s="102"/>
      <c r="I478" s="187"/>
    </row>
    <row r="479" spans="1:10" ht="18" customHeight="1" x14ac:dyDescent="0.3">
      <c r="A479" s="103" t="s">
        <v>272</v>
      </c>
      <c r="B479" s="104"/>
      <c r="C479" s="105"/>
      <c r="D479" s="106"/>
      <c r="E479" s="105"/>
      <c r="F479" s="105"/>
      <c r="G479" s="107"/>
      <c r="H479" s="107"/>
      <c r="I479" s="188"/>
    </row>
    <row r="480" spans="1:10" ht="135.75" customHeight="1" x14ac:dyDescent="0.3">
      <c r="A480" s="766" t="s">
        <v>739</v>
      </c>
      <c r="B480" s="767"/>
      <c r="C480" s="767"/>
      <c r="D480" s="767"/>
      <c r="E480" s="767"/>
      <c r="F480" s="767"/>
      <c r="G480" s="767"/>
      <c r="H480" s="767"/>
      <c r="I480" s="768"/>
    </row>
    <row r="481" spans="1:10" ht="15" customHeight="1" thickBot="1" x14ac:dyDescent="0.35">
      <c r="I481" s="456"/>
    </row>
    <row r="482" spans="1:10" ht="26.25" customHeight="1" thickTop="1" x14ac:dyDescent="0.3">
      <c r="A482" s="91" t="s">
        <v>100</v>
      </c>
      <c r="B482" s="92" t="s">
        <v>105</v>
      </c>
      <c r="C482" s="93"/>
      <c r="D482" s="93"/>
      <c r="E482" s="93"/>
      <c r="F482" s="93"/>
      <c r="G482" s="94" t="s">
        <v>463</v>
      </c>
      <c r="H482" s="94" t="s">
        <v>464</v>
      </c>
    </row>
    <row r="483" spans="1:10" ht="15" customHeight="1" x14ac:dyDescent="0.3">
      <c r="A483" s="2" t="s">
        <v>465</v>
      </c>
      <c r="G483" s="68">
        <f>'A - Baseline Request'!D41</f>
        <v>4006794</v>
      </c>
      <c r="H483" s="68" t="str">
        <f>'A - Baseline Request'!I41</f>
        <v>UB</v>
      </c>
    </row>
    <row r="484" spans="1:10" ht="15" customHeight="1" x14ac:dyDescent="0.3">
      <c r="A484" s="2" t="s">
        <v>466</v>
      </c>
      <c r="G484" s="124">
        <f>'A - Baseline Request'!E41</f>
        <v>0</v>
      </c>
      <c r="H484" s="124">
        <f>'A - Baseline Request'!J41</f>
        <v>0</v>
      </c>
    </row>
    <row r="485" spans="1:10" ht="15" customHeight="1" x14ac:dyDescent="0.3">
      <c r="A485" s="71" t="s">
        <v>411</v>
      </c>
      <c r="B485" s="71"/>
      <c r="D485" s="71"/>
      <c r="G485" s="68">
        <f>SUM(G483:G484)</f>
        <v>4006794</v>
      </c>
      <c r="H485" s="68">
        <f>SUM(H483:H484)</f>
        <v>0</v>
      </c>
      <c r="I485" s="68">
        <v>0</v>
      </c>
    </row>
    <row r="486" spans="1:10" s="73" customFormat="1" ht="21" customHeight="1" thickBot="1" x14ac:dyDescent="0.35">
      <c r="A486" s="7"/>
      <c r="C486" s="78" t="s">
        <v>462</v>
      </c>
      <c r="D486" s="79"/>
      <c r="E486" s="79"/>
      <c r="F486" s="79"/>
      <c r="G486" s="772">
        <f>G485+H485</f>
        <v>4006794</v>
      </c>
      <c r="H486" s="772"/>
      <c r="J486" s="130"/>
    </row>
    <row r="487" spans="1:10" ht="15" customHeight="1" thickTop="1" x14ac:dyDescent="0.3">
      <c r="A487" s="71"/>
    </row>
    <row r="488" spans="1:10" ht="15" customHeight="1" x14ac:dyDescent="0.3">
      <c r="A488" s="80" t="s">
        <v>407</v>
      </c>
    </row>
    <row r="489" spans="1:10" ht="123.75" customHeight="1" x14ac:dyDescent="0.3">
      <c r="A489" s="773" t="s">
        <v>771</v>
      </c>
      <c r="B489" s="773"/>
      <c r="C489" s="773"/>
      <c r="D489" s="773"/>
      <c r="E489" s="773"/>
      <c r="F489" s="773"/>
      <c r="G489" s="773"/>
      <c r="H489" s="773"/>
      <c r="I489" s="773"/>
    </row>
    <row r="490" spans="1:10" ht="15" hidden="1" customHeight="1" x14ac:dyDescent="0.2"/>
    <row r="491" spans="1:10" s="73" customFormat="1" ht="22.5" customHeight="1" x14ac:dyDescent="0.3">
      <c r="A491" s="774" t="s">
        <v>420</v>
      </c>
      <c r="B491" s="775"/>
      <c r="C491" s="775"/>
      <c r="D491" s="775"/>
      <c r="E491" s="775"/>
      <c r="F491" s="775"/>
      <c r="G491" s="775"/>
      <c r="H491" s="775"/>
      <c r="I491" s="180"/>
      <c r="J491" s="132"/>
    </row>
    <row r="492" spans="1:10" s="73" customFormat="1" ht="15.75" customHeight="1" x14ac:dyDescent="0.3">
      <c r="A492" s="776" t="s">
        <v>423</v>
      </c>
      <c r="B492" s="777"/>
      <c r="C492" s="777" t="s">
        <v>424</v>
      </c>
      <c r="D492" s="777"/>
      <c r="E492" s="83"/>
      <c r="F492" s="83"/>
      <c r="G492" s="84"/>
      <c r="H492" s="84"/>
      <c r="I492" s="181"/>
      <c r="J492" s="132"/>
    </row>
    <row r="493" spans="1:10" s="73" customFormat="1" ht="15.75" customHeight="1" x14ac:dyDescent="0.3">
      <c r="A493" s="784" t="s">
        <v>688</v>
      </c>
      <c r="B493" s="785"/>
      <c r="C493" s="785" t="s">
        <v>699</v>
      </c>
      <c r="D493" s="785"/>
      <c r="E493" s="83"/>
      <c r="F493" s="83"/>
      <c r="G493" s="84"/>
      <c r="H493" s="84"/>
      <c r="I493" s="181"/>
      <c r="J493" s="132"/>
    </row>
    <row r="494" spans="1:10" s="73" customFormat="1" ht="15" customHeight="1" x14ac:dyDescent="0.3">
      <c r="A494" s="786">
        <f>'B - Reductions '!N14</f>
        <v>950000</v>
      </c>
      <c r="B494" s="787"/>
      <c r="C494" s="787">
        <f>'B - Reductions '!AC17</f>
        <v>475000</v>
      </c>
      <c r="D494" s="787"/>
      <c r="E494" s="83"/>
      <c r="F494" s="121"/>
      <c r="G494" s="84"/>
      <c r="H494" s="84"/>
      <c r="I494" s="181"/>
      <c r="J494" s="132"/>
    </row>
    <row r="495" spans="1:10" s="73" customFormat="1" ht="15" customHeight="1" x14ac:dyDescent="0.3">
      <c r="A495" s="154"/>
      <c r="B495" s="190">
        <f>A494/(G483)</f>
        <v>0.23709729025250612</v>
      </c>
      <c r="C495" s="155"/>
      <c r="D495" s="190">
        <f>C494/(G483)</f>
        <v>0.11854864512625306</v>
      </c>
      <c r="E495" s="160"/>
      <c r="F495" s="121"/>
      <c r="G495" s="84"/>
      <c r="H495" s="84"/>
      <c r="I495" s="181"/>
      <c r="J495" s="132"/>
    </row>
    <row r="496" spans="1:10" s="73" customFormat="1" ht="18.75" customHeight="1" thickBot="1" x14ac:dyDescent="0.35">
      <c r="A496" s="788">
        <f>SUM(A494:D494)</f>
        <v>1425000</v>
      </c>
      <c r="B496" s="789"/>
      <c r="C496" s="789"/>
      <c r="D496" s="275">
        <f>A496/SUM(G483:H483)</f>
        <v>0.35564593537875916</v>
      </c>
      <c r="E496" s="85" t="s">
        <v>409</v>
      </c>
      <c r="F496" s="84"/>
      <c r="G496" s="84"/>
      <c r="H496" s="84"/>
      <c r="I496" s="181"/>
      <c r="J496" s="132"/>
    </row>
    <row r="497" spans="1:10" s="73" customFormat="1" ht="18.75" hidden="1" customHeight="1" thickTop="1" x14ac:dyDescent="0.25">
      <c r="A497" s="156"/>
      <c r="B497" s="157"/>
      <c r="C497" s="158">
        <f>B495+D495</f>
        <v>0.35564593537875916</v>
      </c>
      <c r="D497" s="157"/>
      <c r="E497" s="85"/>
      <c r="F497" s="84"/>
      <c r="G497" s="84"/>
      <c r="H497" s="84"/>
      <c r="I497" s="181"/>
      <c r="J497" s="132"/>
    </row>
    <row r="498" spans="1:10" ht="21" customHeight="1" thickTop="1" x14ac:dyDescent="0.3">
      <c r="A498" s="110" t="s">
        <v>410</v>
      </c>
      <c r="B498" s="111"/>
      <c r="C498" s="112"/>
      <c r="D498" s="111"/>
      <c r="E498" s="112"/>
      <c r="F498" s="112"/>
      <c r="G498" s="113"/>
      <c r="H498" s="113"/>
      <c r="I498" s="189"/>
    </row>
    <row r="499" spans="1:10" ht="72" customHeight="1" x14ac:dyDescent="0.3">
      <c r="A499" s="769" t="s">
        <v>790</v>
      </c>
      <c r="B499" s="770"/>
      <c r="C499" s="770"/>
      <c r="D499" s="770"/>
      <c r="E499" s="770"/>
      <c r="F499" s="770"/>
      <c r="G499" s="770"/>
      <c r="H499" s="770"/>
      <c r="I499" s="771"/>
    </row>
    <row r="500" spans="1:10" s="69" customFormat="1" ht="15" customHeight="1" thickBot="1" x14ac:dyDescent="0.35">
      <c r="A500" s="90"/>
      <c r="B500" s="90"/>
      <c r="C500" s="90"/>
      <c r="D500" s="90"/>
      <c r="E500" s="90"/>
      <c r="F500" s="90"/>
      <c r="G500" s="90"/>
      <c r="H500" s="90"/>
      <c r="I500" s="451"/>
      <c r="J500" s="164"/>
    </row>
    <row r="501" spans="1:10" ht="26.25" customHeight="1" thickTop="1" x14ac:dyDescent="0.3">
      <c r="A501" s="91" t="s">
        <v>102</v>
      </c>
      <c r="B501" s="92" t="s">
        <v>5</v>
      </c>
      <c r="C501" s="93"/>
      <c r="D501" s="93"/>
      <c r="E501" s="93"/>
      <c r="F501" s="93"/>
      <c r="G501" s="94" t="s">
        <v>463</v>
      </c>
      <c r="H501" s="94" t="s">
        <v>464</v>
      </c>
    </row>
    <row r="502" spans="1:10" ht="15" customHeight="1" x14ac:dyDescent="0.3">
      <c r="A502" s="2" t="s">
        <v>465</v>
      </c>
      <c r="G502" s="68">
        <f>'A - Baseline Request'!D42</f>
        <v>2800000</v>
      </c>
      <c r="H502" s="68">
        <f>'A - Baseline Request'!I42</f>
        <v>2800000</v>
      </c>
    </row>
    <row r="503" spans="1:10" ht="15" customHeight="1" x14ac:dyDescent="0.3">
      <c r="A503" s="2" t="s">
        <v>466</v>
      </c>
      <c r="G503" s="131">
        <f>'A - Baseline Request'!E42</f>
        <v>0</v>
      </c>
      <c r="H503" s="131">
        <f>'A - Baseline Request'!J42</f>
        <v>0</v>
      </c>
    </row>
    <row r="504" spans="1:10" s="98" customFormat="1" ht="15" customHeight="1" x14ac:dyDescent="0.3">
      <c r="A504" s="95" t="s">
        <v>271</v>
      </c>
      <c r="B504" s="95"/>
      <c r="C504" s="95"/>
      <c r="D504" s="95"/>
      <c r="E504" s="96"/>
      <c r="F504" s="96"/>
      <c r="G504" s="97">
        <v>1500000</v>
      </c>
      <c r="H504" s="97">
        <v>3200000</v>
      </c>
      <c r="J504" s="165"/>
    </row>
    <row r="505" spans="1:10" ht="15" customHeight="1" x14ac:dyDescent="0.3">
      <c r="A505" s="71" t="s">
        <v>412</v>
      </c>
      <c r="B505" s="71"/>
      <c r="D505" s="71"/>
      <c r="G505" s="68">
        <f>SUM(G502:G504)</f>
        <v>4300000</v>
      </c>
      <c r="H505" s="68">
        <f>SUM(H502:H504)</f>
        <v>6000000</v>
      </c>
    </row>
    <row r="506" spans="1:10" s="73" customFormat="1" ht="21" customHeight="1" thickBot="1" x14ac:dyDescent="0.35">
      <c r="A506" s="7"/>
      <c r="C506" s="78" t="s">
        <v>462</v>
      </c>
      <c r="D506" s="79"/>
      <c r="E506" s="79"/>
      <c r="F506" s="79"/>
      <c r="G506" s="772">
        <f>G505+H505</f>
        <v>10300000</v>
      </c>
      <c r="H506" s="772"/>
      <c r="J506" s="130"/>
    </row>
    <row r="507" spans="1:10" s="98" customFormat="1" ht="15" customHeight="1" thickTop="1" x14ac:dyDescent="0.3">
      <c r="A507" s="71"/>
      <c r="B507" s="2"/>
      <c r="C507" s="67"/>
      <c r="D507" s="67"/>
      <c r="E507" s="67"/>
      <c r="F507" s="67"/>
      <c r="G507" s="68"/>
      <c r="H507" s="68"/>
      <c r="I507" s="67"/>
      <c r="J507" s="130"/>
    </row>
    <row r="508" spans="1:10" ht="15" customHeight="1" x14ac:dyDescent="0.3">
      <c r="A508" s="80" t="s">
        <v>407</v>
      </c>
      <c r="J508" s="129"/>
    </row>
    <row r="509" spans="1:10" ht="150" customHeight="1" x14ac:dyDescent="0.3">
      <c r="A509" s="773" t="s">
        <v>772</v>
      </c>
      <c r="B509" s="773"/>
      <c r="C509" s="773"/>
      <c r="D509" s="773"/>
      <c r="E509" s="773"/>
      <c r="F509" s="773"/>
      <c r="G509" s="773"/>
      <c r="H509" s="773"/>
      <c r="I509" s="773"/>
      <c r="J509" s="129"/>
    </row>
    <row r="510" spans="1:10" ht="15" hidden="1" customHeight="1" x14ac:dyDescent="0.2"/>
    <row r="512" spans="1:10" ht="15" customHeight="1" x14ac:dyDescent="0.3">
      <c r="A512" s="99" t="s">
        <v>432</v>
      </c>
      <c r="B512" s="100"/>
      <c r="C512" s="101"/>
      <c r="D512" s="101"/>
      <c r="E512" s="101"/>
      <c r="F512" s="101"/>
      <c r="G512" s="102"/>
      <c r="H512" s="102"/>
      <c r="I512" s="187"/>
    </row>
    <row r="513" spans="1:10" ht="15" customHeight="1" x14ac:dyDescent="0.3">
      <c r="A513" s="103" t="s">
        <v>271</v>
      </c>
      <c r="B513" s="104"/>
      <c r="C513" s="105"/>
      <c r="D513" s="106"/>
      <c r="E513" s="105"/>
      <c r="F513" s="105"/>
      <c r="G513" s="107"/>
      <c r="H513" s="107"/>
      <c r="I513" s="188"/>
    </row>
    <row r="514" spans="1:10" ht="155.25" customHeight="1" x14ac:dyDescent="0.3">
      <c r="A514" s="766" t="s">
        <v>773</v>
      </c>
      <c r="B514" s="767"/>
      <c r="C514" s="767"/>
      <c r="D514" s="767"/>
      <c r="E514" s="767"/>
      <c r="F514" s="767"/>
      <c r="G514" s="767"/>
      <c r="H514" s="767"/>
      <c r="I514" s="768"/>
    </row>
    <row r="515" spans="1:10" ht="15" customHeight="1" thickBot="1" x14ac:dyDescent="0.35">
      <c r="I515" s="456"/>
    </row>
    <row r="516" spans="1:10" ht="26.25" customHeight="1" thickTop="1" x14ac:dyDescent="0.3">
      <c r="A516" s="91" t="s">
        <v>104</v>
      </c>
      <c r="B516" s="92" t="s">
        <v>110</v>
      </c>
      <c r="C516" s="93"/>
      <c r="D516" s="93"/>
      <c r="E516" s="93"/>
      <c r="F516" s="93"/>
      <c r="G516" s="94" t="s">
        <v>463</v>
      </c>
      <c r="H516" s="94" t="s">
        <v>464</v>
      </c>
    </row>
    <row r="517" spans="1:10" s="2" customFormat="1" ht="15" customHeight="1" x14ac:dyDescent="0.3">
      <c r="A517" s="2" t="s">
        <v>465</v>
      </c>
      <c r="C517" s="67"/>
      <c r="D517" s="67"/>
      <c r="E517" s="67"/>
      <c r="F517" s="67"/>
      <c r="G517" s="131">
        <f>'A - Baseline Request'!D43</f>
        <v>0</v>
      </c>
      <c r="H517" s="131">
        <f>'A - Baseline Request'!I43</f>
        <v>0</v>
      </c>
      <c r="I517" s="67"/>
      <c r="J517" s="130"/>
    </row>
    <row r="518" spans="1:10" ht="15" customHeight="1" x14ac:dyDescent="0.3">
      <c r="A518" s="2" t="s">
        <v>466</v>
      </c>
      <c r="G518" s="124">
        <f>'A - Baseline Request'!E43</f>
        <v>0</v>
      </c>
      <c r="H518" s="124">
        <f>'A - Baseline Request'!J43</f>
        <v>0</v>
      </c>
    </row>
    <row r="519" spans="1:10" ht="15" customHeight="1" x14ac:dyDescent="0.3">
      <c r="A519" s="71" t="s">
        <v>411</v>
      </c>
      <c r="B519" s="71"/>
      <c r="D519" s="71"/>
      <c r="G519" s="68">
        <f>SUM(G517:G518)</f>
        <v>0</v>
      </c>
      <c r="H519" s="68">
        <f>SUM(H517:H518)</f>
        <v>0</v>
      </c>
    </row>
    <row r="520" spans="1:10" s="73" customFormat="1" ht="21" customHeight="1" thickBot="1" x14ac:dyDescent="0.35">
      <c r="A520" s="7"/>
      <c r="C520" s="78" t="s">
        <v>462</v>
      </c>
      <c r="D520" s="79"/>
      <c r="E520" s="79"/>
      <c r="F520" s="79"/>
      <c r="G520" s="772">
        <f>G519+H519</f>
        <v>0</v>
      </c>
      <c r="H520" s="772"/>
      <c r="J520" s="130"/>
    </row>
    <row r="521" spans="1:10" ht="15" customHeight="1" thickTop="1" x14ac:dyDescent="0.3">
      <c r="A521" s="71"/>
      <c r="J521" s="129"/>
    </row>
    <row r="522" spans="1:10" s="98" customFormat="1" ht="15" customHeight="1" x14ac:dyDescent="0.3">
      <c r="A522" s="80" t="s">
        <v>407</v>
      </c>
      <c r="B522" s="2"/>
      <c r="C522" s="67"/>
      <c r="D522" s="67"/>
      <c r="E522" s="67"/>
      <c r="F522" s="67"/>
      <c r="G522" s="68"/>
      <c r="H522" s="68"/>
      <c r="I522" s="67"/>
      <c r="J522" s="130"/>
    </row>
    <row r="523" spans="1:10" ht="82.5" customHeight="1" thickBot="1" x14ac:dyDescent="0.35">
      <c r="A523" s="795" t="s">
        <v>501</v>
      </c>
      <c r="B523" s="795"/>
      <c r="C523" s="795"/>
      <c r="D523" s="795"/>
      <c r="E523" s="795"/>
      <c r="F523" s="795"/>
      <c r="G523" s="795"/>
      <c r="H523" s="795"/>
      <c r="I523" s="795"/>
    </row>
    <row r="524" spans="1:10" ht="15" hidden="1" customHeight="1" thickBot="1" x14ac:dyDescent="0.25"/>
    <row r="525" spans="1:10" ht="26.25" customHeight="1" thickTop="1" x14ac:dyDescent="0.3">
      <c r="A525" s="91" t="s">
        <v>107</v>
      </c>
      <c r="B525" s="92" t="s">
        <v>112</v>
      </c>
      <c r="C525" s="93"/>
      <c r="D525" s="93"/>
      <c r="E525" s="93"/>
      <c r="F525" s="93"/>
      <c r="G525" s="94" t="s">
        <v>463</v>
      </c>
      <c r="H525" s="94" t="s">
        <v>464</v>
      </c>
    </row>
    <row r="526" spans="1:10" ht="15" customHeight="1" x14ac:dyDescent="0.3">
      <c r="A526" s="2" t="s">
        <v>465</v>
      </c>
      <c r="G526" s="68">
        <f>'A - Baseline Request'!D44</f>
        <v>0</v>
      </c>
      <c r="H526" s="68">
        <f>'A - Baseline Request'!I44</f>
        <v>0</v>
      </c>
    </row>
    <row r="527" spans="1:10" ht="15" customHeight="1" x14ac:dyDescent="0.3">
      <c r="A527" s="2" t="s">
        <v>466</v>
      </c>
      <c r="G527" s="124">
        <f>'A - Baseline Request'!E44</f>
        <v>0</v>
      </c>
      <c r="H527" s="124">
        <f>'A - Baseline Request'!J44</f>
        <v>0</v>
      </c>
    </row>
    <row r="528" spans="1:10" ht="15" customHeight="1" x14ac:dyDescent="0.3">
      <c r="A528" s="71" t="s">
        <v>411</v>
      </c>
      <c r="B528" s="71"/>
      <c r="D528" s="71"/>
      <c r="G528" s="68">
        <f>SUM(G526:G527)</f>
        <v>0</v>
      </c>
      <c r="H528" s="68">
        <f>SUM(H526:H527)</f>
        <v>0</v>
      </c>
    </row>
    <row r="529" spans="1:10" s="73" customFormat="1" ht="21" customHeight="1" thickBot="1" x14ac:dyDescent="0.35">
      <c r="A529" s="7"/>
      <c r="C529" s="78" t="s">
        <v>462</v>
      </c>
      <c r="D529" s="79"/>
      <c r="E529" s="79"/>
      <c r="F529" s="79"/>
      <c r="G529" s="772">
        <f>G528+H528</f>
        <v>0</v>
      </c>
      <c r="H529" s="772"/>
      <c r="J529" s="130"/>
    </row>
    <row r="530" spans="1:10" s="2" customFormat="1" ht="15" customHeight="1" thickTop="1" x14ac:dyDescent="0.3">
      <c r="A530" s="71"/>
      <c r="C530" s="67"/>
      <c r="D530" s="67"/>
      <c r="E530" s="67"/>
      <c r="F530" s="67"/>
      <c r="G530" s="68"/>
      <c r="H530" s="68"/>
      <c r="I530" s="67"/>
      <c r="J530" s="130"/>
    </row>
    <row r="531" spans="1:10" s="2" customFormat="1" ht="15" customHeight="1" x14ac:dyDescent="0.3">
      <c r="A531" s="80" t="s">
        <v>407</v>
      </c>
      <c r="C531" s="67"/>
      <c r="D531" s="67"/>
      <c r="E531" s="67"/>
      <c r="F531" s="67"/>
      <c r="G531" s="68"/>
      <c r="H531" s="68"/>
      <c r="I531" s="67"/>
      <c r="J531" s="130"/>
    </row>
    <row r="532" spans="1:10" ht="72" customHeight="1" x14ac:dyDescent="0.3">
      <c r="A532" s="773" t="s">
        <v>774</v>
      </c>
      <c r="B532" s="773"/>
      <c r="C532" s="773"/>
      <c r="D532" s="773"/>
      <c r="E532" s="773"/>
      <c r="F532" s="773"/>
      <c r="G532" s="773"/>
      <c r="H532" s="773"/>
      <c r="I532" s="773"/>
    </row>
    <row r="533" spans="1:10" ht="15" customHeight="1" thickBot="1" x14ac:dyDescent="0.35">
      <c r="H533" s="450"/>
      <c r="I533" s="456"/>
    </row>
    <row r="534" spans="1:10" ht="26.25" customHeight="1" thickTop="1" x14ac:dyDescent="0.3">
      <c r="A534" s="91" t="s">
        <v>109</v>
      </c>
      <c r="B534" s="92" t="s">
        <v>114</v>
      </c>
      <c r="C534" s="93"/>
      <c r="D534" s="93"/>
      <c r="E534" s="93"/>
      <c r="F534" s="93"/>
      <c r="G534" s="94" t="s">
        <v>463</v>
      </c>
      <c r="H534" s="135" t="s">
        <v>464</v>
      </c>
    </row>
    <row r="535" spans="1:10" ht="15" customHeight="1" x14ac:dyDescent="0.3">
      <c r="A535" s="2" t="s">
        <v>465</v>
      </c>
      <c r="G535" s="68">
        <f>'A - Baseline Request'!D45</f>
        <v>0</v>
      </c>
      <c r="H535" s="68">
        <f>'A - Baseline Request'!I45</f>
        <v>0</v>
      </c>
    </row>
    <row r="536" spans="1:10" ht="15" customHeight="1" x14ac:dyDescent="0.3">
      <c r="A536" s="2" t="s">
        <v>466</v>
      </c>
      <c r="G536" s="124">
        <f>'A - Baseline Request'!E45</f>
        <v>0</v>
      </c>
      <c r="H536" s="124">
        <f>'A - Baseline Request'!J45</f>
        <v>0</v>
      </c>
    </row>
    <row r="537" spans="1:10" ht="15" customHeight="1" x14ac:dyDescent="0.3">
      <c r="A537" s="71" t="s">
        <v>411</v>
      </c>
      <c r="B537" s="137"/>
      <c r="C537" s="137"/>
      <c r="G537" s="68">
        <f>SUM(G535:G536)</f>
        <v>0</v>
      </c>
      <c r="H537" s="68">
        <f>SUM(H535:H536)</f>
        <v>0</v>
      </c>
    </row>
    <row r="538" spans="1:10" s="73" customFormat="1" ht="21" customHeight="1" thickBot="1" x14ac:dyDescent="0.35">
      <c r="A538" s="7"/>
      <c r="C538" s="78" t="s">
        <v>462</v>
      </c>
      <c r="D538" s="79"/>
      <c r="E538" s="79"/>
      <c r="F538" s="79"/>
      <c r="G538" s="772">
        <f>G537+H537</f>
        <v>0</v>
      </c>
      <c r="H538" s="772"/>
      <c r="J538" s="130"/>
    </row>
    <row r="539" spans="1:10" ht="15" customHeight="1" thickTop="1" x14ac:dyDescent="0.3">
      <c r="C539" s="71"/>
    </row>
    <row r="540" spans="1:10" ht="15" customHeight="1" x14ac:dyDescent="0.3">
      <c r="A540" s="80" t="s">
        <v>407</v>
      </c>
    </row>
    <row r="541" spans="1:10" ht="111.75" customHeight="1" x14ac:dyDescent="0.3">
      <c r="A541" s="773" t="s">
        <v>669</v>
      </c>
      <c r="B541" s="773"/>
      <c r="C541" s="773"/>
      <c r="D541" s="773"/>
      <c r="E541" s="773"/>
      <c r="F541" s="773"/>
      <c r="G541" s="773"/>
      <c r="H541" s="773"/>
      <c r="I541" s="773"/>
    </row>
    <row r="542" spans="1:10" ht="15" customHeight="1" thickBot="1" x14ac:dyDescent="0.35">
      <c r="I542" s="456"/>
      <c r="J542" s="129"/>
    </row>
    <row r="543" spans="1:10" ht="26.25" customHeight="1" thickTop="1" x14ac:dyDescent="0.3">
      <c r="A543" s="91" t="s">
        <v>111</v>
      </c>
      <c r="B543" s="92" t="s">
        <v>116</v>
      </c>
      <c r="C543" s="93"/>
      <c r="D543" s="93"/>
      <c r="E543" s="93"/>
      <c r="F543" s="93"/>
      <c r="G543" s="94" t="s">
        <v>463</v>
      </c>
      <c r="H543" s="94" t="s">
        <v>464</v>
      </c>
    </row>
    <row r="544" spans="1:10" ht="15" customHeight="1" x14ac:dyDescent="0.3">
      <c r="A544" s="2" t="s">
        <v>465</v>
      </c>
      <c r="G544" s="68">
        <f>'A - Baseline Request'!D46</f>
        <v>15000000</v>
      </c>
      <c r="H544" s="68">
        <f>'A - Baseline Request'!I46</f>
        <v>15000000</v>
      </c>
      <c r="J544" s="129"/>
    </row>
    <row r="545" spans="1:10" ht="15" customHeight="1" x14ac:dyDescent="0.3">
      <c r="A545" s="2" t="s">
        <v>466</v>
      </c>
      <c r="G545" s="124">
        <f>'A - Baseline Request'!E46</f>
        <v>0</v>
      </c>
      <c r="H545" s="124">
        <f>'A - Baseline Request'!J46</f>
        <v>0</v>
      </c>
      <c r="J545" s="129"/>
    </row>
    <row r="546" spans="1:10" ht="15" customHeight="1" x14ac:dyDescent="0.3">
      <c r="A546" s="71" t="s">
        <v>411</v>
      </c>
      <c r="B546" s="71"/>
      <c r="D546" s="71"/>
      <c r="G546" s="68">
        <f>SUM(G544:G545)</f>
        <v>15000000</v>
      </c>
      <c r="H546" s="68">
        <f>SUM(H544:H545)</f>
        <v>15000000</v>
      </c>
      <c r="J546" s="129"/>
    </row>
    <row r="547" spans="1:10" s="73" customFormat="1" ht="21" customHeight="1" thickBot="1" x14ac:dyDescent="0.35">
      <c r="A547" s="7"/>
      <c r="C547" s="78" t="s">
        <v>462</v>
      </c>
      <c r="D547" s="79"/>
      <c r="E547" s="79"/>
      <c r="F547" s="79"/>
      <c r="G547" s="772">
        <f>G546+H546</f>
        <v>30000000</v>
      </c>
      <c r="H547" s="772"/>
      <c r="J547" s="130"/>
    </row>
    <row r="548" spans="1:10" ht="15" customHeight="1" thickTop="1" x14ac:dyDescent="0.3">
      <c r="A548" s="71"/>
      <c r="J548" s="129"/>
    </row>
    <row r="549" spans="1:10" ht="15" customHeight="1" x14ac:dyDescent="0.3">
      <c r="A549" s="80" t="s">
        <v>407</v>
      </c>
      <c r="J549" s="129"/>
    </row>
    <row r="550" spans="1:10" ht="110.25" customHeight="1" x14ac:dyDescent="0.3">
      <c r="A550" s="773" t="s">
        <v>435</v>
      </c>
      <c r="B550" s="773"/>
      <c r="C550" s="773"/>
      <c r="D550" s="773"/>
      <c r="E550" s="773"/>
      <c r="F550" s="773"/>
      <c r="G550" s="773"/>
      <c r="H550" s="773"/>
      <c r="I550" s="773"/>
      <c r="J550" s="129"/>
    </row>
    <row r="551" spans="1:10" ht="15" hidden="1" customHeight="1" x14ac:dyDescent="0.2">
      <c r="A551" s="81"/>
      <c r="B551" s="81"/>
      <c r="C551" s="81"/>
      <c r="D551" s="81"/>
      <c r="E551" s="81"/>
      <c r="F551" s="81"/>
      <c r="G551" s="138"/>
      <c r="H551" s="138"/>
      <c r="I551" s="81"/>
      <c r="J551" s="129"/>
    </row>
    <row r="552" spans="1:10" s="73" customFormat="1" ht="22.5" customHeight="1" x14ac:dyDescent="0.3">
      <c r="A552" s="774" t="s">
        <v>420</v>
      </c>
      <c r="B552" s="775"/>
      <c r="C552" s="775"/>
      <c r="D552" s="775"/>
      <c r="E552" s="775"/>
      <c r="F552" s="775"/>
      <c r="G552" s="775"/>
      <c r="H552" s="775"/>
      <c r="I552" s="180"/>
      <c r="J552" s="132"/>
    </row>
    <row r="553" spans="1:10" s="73" customFormat="1" ht="15.75" customHeight="1" x14ac:dyDescent="0.3">
      <c r="A553" s="776" t="s">
        <v>423</v>
      </c>
      <c r="B553" s="777"/>
      <c r="C553" s="777" t="s">
        <v>424</v>
      </c>
      <c r="D553" s="777"/>
      <c r="E553" s="83"/>
      <c r="F553" s="83"/>
      <c r="G553" s="84"/>
      <c r="H553" s="84"/>
      <c r="I553" s="181"/>
      <c r="J553" s="132"/>
    </row>
    <row r="554" spans="1:10" s="73" customFormat="1" ht="15.75" customHeight="1" x14ac:dyDescent="0.3">
      <c r="A554" s="784" t="s">
        <v>699</v>
      </c>
      <c r="B554" s="785"/>
      <c r="C554" s="785" t="s">
        <v>694</v>
      </c>
      <c r="D554" s="785"/>
      <c r="E554" s="83"/>
      <c r="F554" s="83"/>
      <c r="G554" s="84"/>
      <c r="H554" s="84"/>
      <c r="I554" s="181"/>
      <c r="J554" s="132"/>
    </row>
    <row r="555" spans="1:10" s="73" customFormat="1" ht="15" customHeight="1" x14ac:dyDescent="0.3">
      <c r="A555" s="786">
        <f>'B - Reductions '!N17</f>
        <v>1500000</v>
      </c>
      <c r="B555" s="787"/>
      <c r="C555" s="787">
        <f>'B - Reductions '!AC16</f>
        <v>1500000</v>
      </c>
      <c r="D555" s="787"/>
      <c r="E555" s="83"/>
      <c r="F555" s="121"/>
      <c r="G555" s="84"/>
      <c r="H555" s="84"/>
      <c r="I555" s="181"/>
      <c r="J555" s="132"/>
    </row>
    <row r="556" spans="1:10" s="73" customFormat="1" ht="15" customHeight="1" x14ac:dyDescent="0.3">
      <c r="A556" s="154"/>
      <c r="B556" s="190">
        <f>A555/(G544+H544)</f>
        <v>0.05</v>
      </c>
      <c r="C556" s="158"/>
      <c r="D556" s="190">
        <f>C555/(G544+H544)</f>
        <v>0.05</v>
      </c>
      <c r="E556" s="83"/>
      <c r="F556" s="121"/>
      <c r="G556" s="84"/>
      <c r="H556" s="84"/>
      <c r="I556" s="181"/>
      <c r="J556" s="132"/>
    </row>
    <row r="557" spans="1:10" s="73" customFormat="1" ht="18.75" customHeight="1" thickBot="1" x14ac:dyDescent="0.35">
      <c r="A557" s="788">
        <f>SUM(A555:D555)</f>
        <v>3000000</v>
      </c>
      <c r="B557" s="789"/>
      <c r="C557" s="789"/>
      <c r="D557" s="275">
        <f>A557/SUM(G544:H544)</f>
        <v>0.1</v>
      </c>
      <c r="E557" s="85" t="s">
        <v>409</v>
      </c>
      <c r="F557" s="84"/>
      <c r="G557" s="84"/>
      <c r="H557" s="84"/>
      <c r="I557" s="181"/>
      <c r="J557" s="132"/>
    </row>
    <row r="558" spans="1:10" s="73" customFormat="1" ht="18.75" hidden="1" customHeight="1" thickTop="1" x14ac:dyDescent="0.25">
      <c r="A558" s="156"/>
      <c r="B558" s="158"/>
      <c r="C558" s="158">
        <f>B556+D556</f>
        <v>0.1</v>
      </c>
      <c r="D558" s="157"/>
      <c r="E558" s="85"/>
      <c r="F558" s="84"/>
      <c r="G558" s="84"/>
      <c r="H558" s="84"/>
      <c r="I558" s="181"/>
      <c r="J558" s="132"/>
    </row>
    <row r="559" spans="1:10" ht="21" customHeight="1" thickTop="1" x14ac:dyDescent="0.3">
      <c r="A559" s="110" t="s">
        <v>410</v>
      </c>
      <c r="B559" s="111"/>
      <c r="C559" s="112"/>
      <c r="D559" s="111"/>
      <c r="E559" s="112"/>
      <c r="F559" s="112"/>
      <c r="G559" s="113"/>
      <c r="H559" s="113"/>
      <c r="I559" s="189"/>
    </row>
    <row r="560" spans="1:10" ht="43.5" customHeight="1" x14ac:dyDescent="0.3">
      <c r="A560" s="769" t="s">
        <v>710</v>
      </c>
      <c r="B560" s="770"/>
      <c r="C560" s="770"/>
      <c r="D560" s="770"/>
      <c r="E560" s="770"/>
      <c r="F560" s="770"/>
      <c r="G560" s="770"/>
      <c r="H560" s="770"/>
      <c r="I560" s="771"/>
    </row>
    <row r="561" spans="1:10" ht="15" customHeight="1" thickBot="1" x14ac:dyDescent="0.35">
      <c r="I561" s="685"/>
      <c r="J561" s="129"/>
    </row>
    <row r="562" spans="1:10" ht="26.25" customHeight="1" thickTop="1" x14ac:dyDescent="0.3">
      <c r="A562" s="91" t="s">
        <v>113</v>
      </c>
      <c r="B562" s="92" t="s">
        <v>118</v>
      </c>
      <c r="C562" s="93"/>
      <c r="D562" s="93"/>
      <c r="E562" s="93"/>
      <c r="F562" s="93"/>
      <c r="G562" s="94" t="s">
        <v>463</v>
      </c>
      <c r="H562" s="94" t="s">
        <v>464</v>
      </c>
    </row>
    <row r="563" spans="1:10" ht="15" customHeight="1" x14ac:dyDescent="0.3">
      <c r="A563" s="2" t="s">
        <v>465</v>
      </c>
      <c r="G563" s="68">
        <f>'A - Baseline Request'!D47</f>
        <v>4230625</v>
      </c>
      <c r="H563" s="68" t="str">
        <f>'A - Baseline Request'!I47</f>
        <v>UB</v>
      </c>
      <c r="J563" s="129"/>
    </row>
    <row r="564" spans="1:10" ht="15" customHeight="1" x14ac:dyDescent="0.3">
      <c r="A564" s="2" t="s">
        <v>466</v>
      </c>
      <c r="G564" s="124">
        <f>'A - Baseline Request'!E47</f>
        <v>0</v>
      </c>
      <c r="H564" s="124">
        <f>'A - Baseline Request'!J47</f>
        <v>0</v>
      </c>
      <c r="J564" s="129"/>
    </row>
    <row r="565" spans="1:10" ht="15" customHeight="1" x14ac:dyDescent="0.3">
      <c r="A565" s="71" t="s">
        <v>411</v>
      </c>
      <c r="B565" s="71"/>
      <c r="D565" s="71"/>
      <c r="G565" s="68">
        <f>SUM(G563:G564)</f>
        <v>4230625</v>
      </c>
      <c r="H565" s="68">
        <f>SUM(H563:H564)</f>
        <v>0</v>
      </c>
      <c r="J565" s="129"/>
    </row>
    <row r="566" spans="1:10" s="73" customFormat="1" ht="21" customHeight="1" thickBot="1" x14ac:dyDescent="0.35">
      <c r="A566" s="7"/>
      <c r="C566" s="78" t="s">
        <v>462</v>
      </c>
      <c r="D566" s="79"/>
      <c r="E566" s="79"/>
      <c r="F566" s="79"/>
      <c r="G566" s="772">
        <f>G565+H565</f>
        <v>4230625</v>
      </c>
      <c r="H566" s="772"/>
      <c r="J566" s="130"/>
    </row>
    <row r="567" spans="1:10" ht="15" customHeight="1" thickTop="1" x14ac:dyDescent="0.3">
      <c r="A567" s="71"/>
    </row>
    <row r="568" spans="1:10" s="98" customFormat="1" ht="15" customHeight="1" x14ac:dyDescent="0.3">
      <c r="A568" s="80" t="s">
        <v>407</v>
      </c>
      <c r="B568" s="2"/>
      <c r="C568" s="67"/>
      <c r="D568" s="67"/>
      <c r="E568" s="67"/>
      <c r="F568" s="67"/>
      <c r="G568" s="68"/>
      <c r="H568" s="68"/>
      <c r="I568" s="67"/>
      <c r="J568" s="130"/>
    </row>
    <row r="569" spans="1:10" ht="106.5" customHeight="1" x14ac:dyDescent="0.3">
      <c r="A569" s="773" t="s">
        <v>513</v>
      </c>
      <c r="B569" s="773"/>
      <c r="C569" s="773"/>
      <c r="D569" s="773"/>
      <c r="E569" s="773"/>
      <c r="F569" s="773"/>
      <c r="G569" s="773"/>
      <c r="H569" s="773"/>
      <c r="I569" s="773"/>
    </row>
    <row r="570" spans="1:10" ht="15" hidden="1" customHeight="1" x14ac:dyDescent="0.2"/>
    <row r="571" spans="1:10" s="73" customFormat="1" ht="22.5" customHeight="1" x14ac:dyDescent="0.3">
      <c r="A571" s="774" t="s">
        <v>420</v>
      </c>
      <c r="B571" s="775"/>
      <c r="C571" s="775"/>
      <c r="D571" s="775"/>
      <c r="E571" s="775"/>
      <c r="F571" s="775"/>
      <c r="G571" s="775"/>
      <c r="H571" s="775"/>
      <c r="I571" s="180"/>
      <c r="J571" s="132"/>
    </row>
    <row r="572" spans="1:10" s="73" customFormat="1" ht="15.75" customHeight="1" x14ac:dyDescent="0.3">
      <c r="A572" s="776" t="s">
        <v>423</v>
      </c>
      <c r="B572" s="777"/>
      <c r="C572" s="777" t="s">
        <v>424</v>
      </c>
      <c r="D572" s="777"/>
      <c r="E572" s="83"/>
      <c r="F572" s="83"/>
      <c r="G572" s="84"/>
      <c r="H572" s="84"/>
      <c r="I572" s="181"/>
      <c r="J572" s="132"/>
    </row>
    <row r="573" spans="1:10" s="73" customFormat="1" ht="15.75" customHeight="1" x14ac:dyDescent="0.3">
      <c r="A573" s="784" t="s">
        <v>696</v>
      </c>
      <c r="B573" s="785"/>
      <c r="C573" s="785" t="s">
        <v>696</v>
      </c>
      <c r="D573" s="785"/>
      <c r="E573" s="83"/>
      <c r="F573" s="83"/>
      <c r="G573" s="84"/>
      <c r="H573" s="84"/>
      <c r="I573" s="181"/>
      <c r="J573" s="132"/>
    </row>
    <row r="574" spans="1:10" s="73" customFormat="1" ht="15" customHeight="1" x14ac:dyDescent="0.3">
      <c r="A574" s="786">
        <f>'B - Reductions '!N7</f>
        <v>627035</v>
      </c>
      <c r="B574" s="787"/>
      <c r="C574" s="787">
        <f>'B - Reductions '!AC7</f>
        <v>152035</v>
      </c>
      <c r="D574" s="787"/>
      <c r="E574" s="83"/>
      <c r="F574" s="121"/>
      <c r="G574" s="84"/>
      <c r="H574" s="84"/>
      <c r="I574" s="181"/>
      <c r="J574" s="130"/>
    </row>
    <row r="575" spans="1:10" s="73" customFormat="1" ht="15" customHeight="1" x14ac:dyDescent="0.3">
      <c r="A575" s="154"/>
      <c r="B575" s="190">
        <f>A574/G563</f>
        <v>0.14821332545427685</v>
      </c>
      <c r="C575" s="155"/>
      <c r="D575" s="190">
        <f>C574/G563</f>
        <v>3.5936770571724036E-2</v>
      </c>
      <c r="E575" s="83"/>
      <c r="F575" s="121"/>
      <c r="G575" s="84"/>
      <c r="H575" s="84"/>
      <c r="I575" s="181"/>
      <c r="J575" s="130"/>
    </row>
    <row r="576" spans="1:10" s="73" customFormat="1" ht="18.75" customHeight="1" thickBot="1" x14ac:dyDescent="0.35">
      <c r="A576" s="788">
        <f>SUM(A574:D574)</f>
        <v>779070</v>
      </c>
      <c r="B576" s="789"/>
      <c r="C576" s="789"/>
      <c r="D576" s="275">
        <f>A576/SUM(G563:H563)</f>
        <v>0.18415009602600088</v>
      </c>
      <c r="E576" s="85" t="s">
        <v>409</v>
      </c>
      <c r="F576" s="84"/>
      <c r="G576" s="84"/>
      <c r="H576" s="84"/>
      <c r="I576" s="181"/>
      <c r="J576" s="130"/>
    </row>
    <row r="577" spans="1:10" s="73" customFormat="1" ht="18.75" hidden="1" customHeight="1" thickTop="1" x14ac:dyDescent="0.2">
      <c r="A577" s="156"/>
      <c r="B577" s="157"/>
      <c r="C577" s="158">
        <f>B575+D575</f>
        <v>0.18415009602600088</v>
      </c>
      <c r="D577" s="157"/>
      <c r="E577" s="85"/>
      <c r="F577" s="84"/>
      <c r="G577" s="84"/>
      <c r="H577" s="84"/>
      <c r="I577" s="181"/>
      <c r="J577" s="130"/>
    </row>
    <row r="578" spans="1:10" ht="21" customHeight="1" thickTop="1" x14ac:dyDescent="0.3">
      <c r="A578" s="110" t="s">
        <v>410</v>
      </c>
      <c r="B578" s="111"/>
      <c r="C578" s="112"/>
      <c r="D578" s="111"/>
      <c r="E578" s="112"/>
      <c r="F578" s="112"/>
      <c r="G578" s="113"/>
      <c r="H578" s="113"/>
      <c r="I578" s="189"/>
    </row>
    <row r="579" spans="1:10" ht="38.25" customHeight="1" x14ac:dyDescent="0.3">
      <c r="A579" s="769" t="s">
        <v>433</v>
      </c>
      <c r="B579" s="770"/>
      <c r="C579" s="770"/>
      <c r="D579" s="770"/>
      <c r="E579" s="770"/>
      <c r="F579" s="770"/>
      <c r="G579" s="770"/>
      <c r="H579" s="770"/>
      <c r="I579" s="771"/>
    </row>
    <row r="580" spans="1:10" ht="15" customHeight="1" thickBot="1" x14ac:dyDescent="0.35">
      <c r="I580" s="456"/>
    </row>
    <row r="581" spans="1:10" ht="26.25" customHeight="1" thickTop="1" x14ac:dyDescent="0.3">
      <c r="A581" s="91" t="s">
        <v>115</v>
      </c>
      <c r="B581" s="92" t="s">
        <v>120</v>
      </c>
      <c r="C581" s="93"/>
      <c r="D581" s="93"/>
      <c r="E581" s="93"/>
      <c r="F581" s="93"/>
      <c r="G581" s="94" t="s">
        <v>463</v>
      </c>
      <c r="H581" s="94" t="s">
        <v>464</v>
      </c>
    </row>
    <row r="582" spans="1:10" ht="15" customHeight="1" x14ac:dyDescent="0.3">
      <c r="A582" s="2" t="s">
        <v>465</v>
      </c>
      <c r="G582" s="68">
        <f>'A - Baseline Request'!D48</f>
        <v>0</v>
      </c>
      <c r="H582" s="68">
        <f>'A - Baseline Request'!I48</f>
        <v>0</v>
      </c>
    </row>
    <row r="583" spans="1:10" ht="15" customHeight="1" x14ac:dyDescent="0.3">
      <c r="A583" s="2" t="s">
        <v>466</v>
      </c>
      <c r="G583" s="124">
        <f>'A - Baseline Request'!E48</f>
        <v>0</v>
      </c>
      <c r="H583" s="124">
        <f>'A - Baseline Request'!J48</f>
        <v>0</v>
      </c>
    </row>
    <row r="584" spans="1:10" ht="15" customHeight="1" x14ac:dyDescent="0.3">
      <c r="A584" s="71" t="s">
        <v>411</v>
      </c>
      <c r="B584" s="71"/>
      <c r="D584" s="71"/>
      <c r="G584" s="68">
        <f>G582+G583</f>
        <v>0</v>
      </c>
      <c r="H584" s="68">
        <f>H582+H583</f>
        <v>0</v>
      </c>
    </row>
    <row r="585" spans="1:10" s="73" customFormat="1" ht="21" customHeight="1" thickBot="1" x14ac:dyDescent="0.35">
      <c r="A585" s="7"/>
      <c r="C585" s="78" t="s">
        <v>462</v>
      </c>
      <c r="D585" s="79"/>
      <c r="E585" s="79"/>
      <c r="F585" s="79"/>
      <c r="G585" s="772">
        <f>G584+H584</f>
        <v>0</v>
      </c>
      <c r="H585" s="772"/>
      <c r="J585" s="130"/>
    </row>
    <row r="586" spans="1:10" ht="15" customHeight="1" thickTop="1" x14ac:dyDescent="0.3">
      <c r="A586" s="71"/>
    </row>
    <row r="587" spans="1:10" s="98" customFormat="1" ht="15" customHeight="1" x14ac:dyDescent="0.3">
      <c r="A587" s="80" t="s">
        <v>407</v>
      </c>
      <c r="B587" s="2"/>
      <c r="C587" s="67"/>
      <c r="D587" s="67"/>
      <c r="E587" s="67"/>
      <c r="F587" s="67"/>
      <c r="G587" s="68"/>
      <c r="H587" s="68"/>
      <c r="I587" s="67"/>
      <c r="J587" s="130"/>
    </row>
    <row r="588" spans="1:10" ht="89.25" customHeight="1" x14ac:dyDescent="0.3">
      <c r="A588" s="773" t="s">
        <v>775</v>
      </c>
      <c r="B588" s="773"/>
      <c r="C588" s="773"/>
      <c r="D588" s="773"/>
      <c r="E588" s="773"/>
      <c r="F588" s="773"/>
      <c r="G588" s="773"/>
      <c r="H588" s="773"/>
      <c r="I588" s="773"/>
      <c r="J588" s="132"/>
    </row>
    <row r="589" spans="1:10" ht="15" hidden="1" customHeight="1" x14ac:dyDescent="0.2">
      <c r="A589" s="119"/>
      <c r="B589" s="119"/>
      <c r="C589" s="119"/>
      <c r="D589" s="119"/>
      <c r="E589" s="119"/>
      <c r="F589" s="119"/>
      <c r="G589" s="119"/>
      <c r="H589" s="119"/>
      <c r="I589" s="119"/>
      <c r="J589" s="132"/>
    </row>
    <row r="590" spans="1:10" s="69" customFormat="1" ht="13.5" customHeight="1" thickBot="1" x14ac:dyDescent="0.35">
      <c r="A590" s="90"/>
      <c r="B590" s="90"/>
      <c r="C590" s="90"/>
      <c r="D590" s="90"/>
      <c r="E590" s="90"/>
      <c r="F590" s="90"/>
      <c r="G590" s="90"/>
      <c r="H590" s="90"/>
      <c r="I590" s="451"/>
      <c r="J590" s="164"/>
    </row>
    <row r="591" spans="1:10" ht="26.25" customHeight="1" thickTop="1" x14ac:dyDescent="0.3">
      <c r="A591" s="91" t="s">
        <v>117</v>
      </c>
      <c r="B591" s="92" t="s">
        <v>250</v>
      </c>
      <c r="C591" s="93"/>
      <c r="D591" s="93"/>
      <c r="E591" s="93"/>
      <c r="F591" s="93"/>
      <c r="G591" s="94" t="s">
        <v>463</v>
      </c>
      <c r="H591" s="94" t="s">
        <v>464</v>
      </c>
    </row>
    <row r="592" spans="1:10" ht="15" customHeight="1" x14ac:dyDescent="0.3">
      <c r="A592" s="2" t="s">
        <v>465</v>
      </c>
      <c r="G592" s="68">
        <f>'A - Baseline Request'!D49</f>
        <v>0</v>
      </c>
      <c r="H592" s="68">
        <f>'A - Baseline Request'!I49</f>
        <v>0</v>
      </c>
    </row>
    <row r="593" spans="1:10" ht="15" customHeight="1" x14ac:dyDescent="0.3">
      <c r="A593" s="2" t="s">
        <v>466</v>
      </c>
      <c r="G593" s="124">
        <f>'A - Baseline Request'!E49</f>
        <v>0</v>
      </c>
      <c r="H593" s="124">
        <f>'A - Baseline Request'!J49</f>
        <v>0</v>
      </c>
    </row>
    <row r="594" spans="1:10" ht="15" customHeight="1" x14ac:dyDescent="0.3">
      <c r="A594" s="71" t="s">
        <v>411</v>
      </c>
      <c r="B594" s="71"/>
      <c r="D594" s="71"/>
      <c r="G594" s="68">
        <f>SUM(G592:G593)</f>
        <v>0</v>
      </c>
      <c r="H594" s="68">
        <f>SUM(H592:H593)</f>
        <v>0</v>
      </c>
    </row>
    <row r="595" spans="1:10" s="73" customFormat="1" ht="21" customHeight="1" thickBot="1" x14ac:dyDescent="0.35">
      <c r="A595" s="7"/>
      <c r="C595" s="78" t="s">
        <v>462</v>
      </c>
      <c r="D595" s="79"/>
      <c r="E595" s="79"/>
      <c r="F595" s="79"/>
      <c r="G595" s="772">
        <f>G594+H594</f>
        <v>0</v>
      </c>
      <c r="H595" s="772"/>
      <c r="J595" s="130"/>
    </row>
    <row r="596" spans="1:10" ht="15" customHeight="1" thickTop="1" x14ac:dyDescent="0.3">
      <c r="A596" s="71"/>
    </row>
    <row r="597" spans="1:10" s="2" customFormat="1" ht="15" customHeight="1" x14ac:dyDescent="0.3">
      <c r="A597" s="80" t="s">
        <v>407</v>
      </c>
      <c r="C597" s="67"/>
      <c r="D597" s="67"/>
      <c r="E597" s="67"/>
      <c r="F597" s="67"/>
      <c r="G597" s="68"/>
      <c r="H597" s="68"/>
      <c r="I597" s="67"/>
      <c r="J597" s="129"/>
    </row>
    <row r="598" spans="1:10" ht="159.75" customHeight="1" x14ac:dyDescent="0.3">
      <c r="A598" s="773" t="s">
        <v>776</v>
      </c>
      <c r="B598" s="773"/>
      <c r="C598" s="773"/>
      <c r="D598" s="773"/>
      <c r="E598" s="773"/>
      <c r="F598" s="773"/>
      <c r="G598" s="773"/>
      <c r="H598" s="773"/>
      <c r="I598" s="773"/>
    </row>
    <row r="599" spans="1:10" ht="12" customHeight="1" thickBot="1" x14ac:dyDescent="0.35">
      <c r="A599" s="342"/>
      <c r="B599" s="342"/>
      <c r="C599" s="342"/>
      <c r="D599" s="342"/>
      <c r="E599" s="342"/>
      <c r="F599" s="342"/>
      <c r="G599" s="342"/>
      <c r="H599" s="342"/>
      <c r="I599" s="467"/>
    </row>
    <row r="600" spans="1:10" ht="15" customHeight="1" thickTop="1" x14ac:dyDescent="0.3">
      <c r="A600" s="91" t="s">
        <v>119</v>
      </c>
      <c r="B600" s="92" t="s">
        <v>503</v>
      </c>
      <c r="C600" s="93"/>
      <c r="D600" s="93"/>
      <c r="E600" s="93"/>
      <c r="F600" s="93"/>
      <c r="G600" s="94" t="s">
        <v>463</v>
      </c>
      <c r="H600" s="94" t="s">
        <v>464</v>
      </c>
    </row>
    <row r="601" spans="1:10" ht="15" customHeight="1" x14ac:dyDescent="0.3">
      <c r="A601" s="2" t="s">
        <v>465</v>
      </c>
      <c r="G601" s="68">
        <f>'A - Baseline Request'!D64</f>
        <v>0</v>
      </c>
      <c r="H601" s="68">
        <f>'A - Baseline Request'!I64</f>
        <v>0</v>
      </c>
    </row>
    <row r="602" spans="1:10" ht="15" customHeight="1" x14ac:dyDescent="0.3">
      <c r="A602" s="2" t="s">
        <v>466</v>
      </c>
      <c r="G602" s="131">
        <f>'A - Baseline Request'!E50</f>
        <v>0</v>
      </c>
      <c r="H602" s="131">
        <f>'A - Baseline Request'!J50</f>
        <v>0</v>
      </c>
    </row>
    <row r="603" spans="1:10" ht="15" customHeight="1" x14ac:dyDescent="0.3">
      <c r="A603" s="95" t="s">
        <v>277</v>
      </c>
      <c r="B603" s="95"/>
      <c r="C603" s="95"/>
      <c r="D603" s="95"/>
      <c r="E603" s="96"/>
      <c r="F603" s="96"/>
      <c r="G603" s="97">
        <v>2250000</v>
      </c>
      <c r="H603" s="97">
        <v>2250000</v>
      </c>
      <c r="I603" s="98"/>
    </row>
    <row r="604" spans="1:10" ht="15" customHeight="1" x14ac:dyDescent="0.3">
      <c r="A604" s="71" t="s">
        <v>411</v>
      </c>
      <c r="B604" s="71"/>
      <c r="D604" s="71"/>
      <c r="G604" s="68">
        <f>SUM(G601:G603)</f>
        <v>2250000</v>
      </c>
      <c r="H604" s="68">
        <f>SUM(H601:H603)</f>
        <v>2250000</v>
      </c>
    </row>
    <row r="605" spans="1:10" ht="15" customHeight="1" thickBot="1" x14ac:dyDescent="0.35">
      <c r="A605" s="7"/>
      <c r="B605" s="73"/>
      <c r="C605" s="78" t="s">
        <v>462</v>
      </c>
      <c r="D605" s="79"/>
      <c r="E605" s="79"/>
      <c r="F605" s="79"/>
      <c r="G605" s="772">
        <f>G604+H604</f>
        <v>4500000</v>
      </c>
      <c r="H605" s="772"/>
      <c r="I605" s="73"/>
    </row>
    <row r="606" spans="1:10" ht="15" customHeight="1" thickTop="1" x14ac:dyDescent="0.3">
      <c r="A606" s="71"/>
    </row>
    <row r="607" spans="1:10" ht="15" customHeight="1" x14ac:dyDescent="0.3">
      <c r="A607" s="80" t="s">
        <v>407</v>
      </c>
    </row>
    <row r="608" spans="1:10" ht="81" customHeight="1" x14ac:dyDescent="0.3">
      <c r="A608" s="773" t="s">
        <v>504</v>
      </c>
      <c r="B608" s="773"/>
      <c r="C608" s="773"/>
      <c r="D608" s="773"/>
      <c r="E608" s="773"/>
      <c r="F608" s="773"/>
      <c r="G608" s="773"/>
      <c r="H608" s="773"/>
      <c r="I608" s="773"/>
    </row>
    <row r="609" spans="1:9" ht="15" customHeight="1" x14ac:dyDescent="0.3">
      <c r="A609" s="99" t="s">
        <v>432</v>
      </c>
      <c r="B609" s="100"/>
      <c r="C609" s="101"/>
      <c r="D609" s="101"/>
      <c r="E609" s="101"/>
      <c r="F609" s="101"/>
      <c r="G609" s="102"/>
      <c r="H609" s="102"/>
      <c r="I609" s="187"/>
    </row>
    <row r="610" spans="1:9" ht="15" customHeight="1" x14ac:dyDescent="0.3">
      <c r="A610" s="103" t="s">
        <v>277</v>
      </c>
      <c r="B610" s="104"/>
      <c r="C610" s="105"/>
      <c r="D610" s="106"/>
      <c r="E610" s="105"/>
      <c r="F610" s="105"/>
      <c r="G610" s="107"/>
      <c r="H610" s="107"/>
      <c r="I610" s="188"/>
    </row>
    <row r="611" spans="1:9" ht="127.5" customHeight="1" x14ac:dyDescent="0.3">
      <c r="A611" s="766" t="s">
        <v>777</v>
      </c>
      <c r="B611" s="767"/>
      <c r="C611" s="767"/>
      <c r="D611" s="767"/>
      <c r="E611" s="767"/>
      <c r="F611" s="767"/>
      <c r="G611" s="767"/>
      <c r="H611" s="767"/>
      <c r="I611" s="768"/>
    </row>
    <row r="612" spans="1:9" ht="15" customHeight="1" thickBot="1" x14ac:dyDescent="0.35">
      <c r="I612" s="456"/>
    </row>
    <row r="613" spans="1:9" ht="15" customHeight="1" thickTop="1" x14ac:dyDescent="0.3">
      <c r="A613" s="348"/>
      <c r="B613" s="348"/>
      <c r="C613" s="93"/>
      <c r="D613" s="93"/>
      <c r="E613" s="93"/>
      <c r="F613" s="93"/>
      <c r="G613" s="349"/>
      <c r="H613" s="349"/>
    </row>
    <row r="614" spans="1:9" ht="15" customHeight="1" x14ac:dyDescent="0.3">
      <c r="A614" s="792" t="s">
        <v>605</v>
      </c>
      <c r="B614" s="792"/>
      <c r="C614" s="792"/>
      <c r="D614" s="792"/>
      <c r="E614" s="792"/>
      <c r="F614" s="792"/>
      <c r="G614" s="792"/>
      <c r="H614" s="792"/>
    </row>
    <row r="615" spans="1:9" ht="15" customHeight="1" x14ac:dyDescent="0.3">
      <c r="A615" s="345"/>
      <c r="B615" s="345"/>
      <c r="C615" s="345"/>
      <c r="D615" s="345"/>
      <c r="E615" s="345"/>
      <c r="F615" s="345"/>
      <c r="G615" s="345"/>
      <c r="H615" s="345"/>
    </row>
    <row r="616" spans="1:9" ht="15" customHeight="1" x14ac:dyDescent="0.3">
      <c r="A616" s="133" t="s">
        <v>121</v>
      </c>
      <c r="B616" s="134" t="s">
        <v>681</v>
      </c>
      <c r="C616" s="130"/>
      <c r="D616" s="130"/>
      <c r="E616" s="130"/>
      <c r="F616" s="130"/>
      <c r="G616" s="135" t="s">
        <v>463</v>
      </c>
      <c r="H616" s="135" t="s">
        <v>464</v>
      </c>
    </row>
    <row r="617" spans="1:9" ht="15" customHeight="1" x14ac:dyDescent="0.3">
      <c r="A617" s="2" t="s">
        <v>465</v>
      </c>
      <c r="G617" s="68">
        <f>'A - Baseline Request'!D52</f>
        <v>0</v>
      </c>
      <c r="H617" s="68">
        <f>'A - Baseline Request'!I52</f>
        <v>0</v>
      </c>
    </row>
    <row r="618" spans="1:9" ht="15" customHeight="1" x14ac:dyDescent="0.3">
      <c r="A618" s="2" t="s">
        <v>466</v>
      </c>
      <c r="G618" s="124">
        <f>'A - Baseline Request'!E52</f>
        <v>0</v>
      </c>
      <c r="H618" s="124">
        <f>'A - Baseline Request'!J52</f>
        <v>0</v>
      </c>
    </row>
    <row r="619" spans="1:9" ht="15" customHeight="1" x14ac:dyDescent="0.3">
      <c r="A619" s="76" t="s">
        <v>412</v>
      </c>
      <c r="B619" s="77"/>
      <c r="C619" s="73"/>
      <c r="D619" s="77"/>
      <c r="E619" s="73"/>
      <c r="F619" s="73"/>
      <c r="G619" s="74">
        <f>SUM(G617:G618)</f>
        <v>0</v>
      </c>
      <c r="H619" s="74">
        <f>SUM(H617:H618)</f>
        <v>0</v>
      </c>
      <c r="I619" s="73"/>
    </row>
    <row r="620" spans="1:9" ht="15" customHeight="1" thickBot="1" x14ac:dyDescent="0.35">
      <c r="A620" s="7"/>
      <c r="B620" s="73"/>
      <c r="C620" s="78" t="s">
        <v>462</v>
      </c>
      <c r="D620" s="79"/>
      <c r="E620" s="79"/>
      <c r="F620" s="79"/>
      <c r="G620" s="772">
        <f>G619+H619</f>
        <v>0</v>
      </c>
      <c r="H620" s="772"/>
      <c r="I620" s="73"/>
    </row>
    <row r="621" spans="1:9" ht="15" customHeight="1" thickTop="1" x14ac:dyDescent="0.3">
      <c r="A621" s="71"/>
    </row>
    <row r="622" spans="1:9" ht="15" customHeight="1" x14ac:dyDescent="0.3">
      <c r="A622" s="80" t="s">
        <v>407</v>
      </c>
    </row>
    <row r="623" spans="1:9" ht="102.75" customHeight="1" x14ac:dyDescent="0.3">
      <c r="A623" s="773" t="s">
        <v>708</v>
      </c>
      <c r="B623" s="773"/>
      <c r="C623" s="773"/>
      <c r="D623" s="773"/>
      <c r="E623" s="773"/>
      <c r="F623" s="773"/>
      <c r="G623" s="773"/>
      <c r="H623" s="773"/>
      <c r="I623" s="773"/>
    </row>
    <row r="624" spans="1:9" ht="15" customHeight="1" x14ac:dyDescent="0.3">
      <c r="A624" s="345"/>
      <c r="B624" s="345"/>
      <c r="C624" s="345"/>
      <c r="D624" s="345"/>
      <c r="E624" s="345"/>
      <c r="F624" s="345"/>
      <c r="G624" s="345"/>
      <c r="H624" s="345"/>
    </row>
    <row r="625" spans="1:9" ht="15" hidden="1" customHeight="1" x14ac:dyDescent="0.2">
      <c r="A625" s="774" t="s">
        <v>420</v>
      </c>
      <c r="B625" s="775"/>
      <c r="C625" s="775"/>
      <c r="D625" s="775"/>
      <c r="E625" s="775"/>
      <c r="F625" s="775"/>
      <c r="G625" s="775"/>
      <c r="H625" s="775"/>
      <c r="I625" s="180"/>
    </row>
    <row r="626" spans="1:9" ht="15" hidden="1" customHeight="1" x14ac:dyDescent="0.2">
      <c r="A626" s="776" t="s">
        <v>423</v>
      </c>
      <c r="B626" s="777"/>
      <c r="C626" s="777" t="s">
        <v>424</v>
      </c>
      <c r="D626" s="777"/>
      <c r="E626" s="83"/>
      <c r="F626" s="83"/>
      <c r="G626" s="84"/>
      <c r="H626" s="84"/>
      <c r="I626" s="181"/>
    </row>
    <row r="627" spans="1:9" ht="15" hidden="1" customHeight="1" x14ac:dyDescent="0.2">
      <c r="A627" s="784" t="s">
        <v>686</v>
      </c>
      <c r="B627" s="785"/>
      <c r="C627" s="785" t="s">
        <v>686</v>
      </c>
      <c r="D627" s="785"/>
      <c r="E627" s="83"/>
      <c r="F627" s="83"/>
      <c r="G627" s="84"/>
      <c r="H627" s="84"/>
      <c r="I627" s="181"/>
    </row>
    <row r="628" spans="1:9" ht="15" hidden="1" customHeight="1" x14ac:dyDescent="0.2">
      <c r="A628" s="786">
        <v>0</v>
      </c>
      <c r="B628" s="787"/>
      <c r="C628" s="787">
        <v>0</v>
      </c>
      <c r="D628" s="787"/>
      <c r="E628" s="83"/>
      <c r="F628" s="121"/>
      <c r="G628" s="84"/>
      <c r="H628" s="84"/>
      <c r="I628" s="181"/>
    </row>
    <row r="629" spans="1:9" ht="15" hidden="1" customHeight="1" x14ac:dyDescent="0.2">
      <c r="A629" s="154"/>
      <c r="B629" s="190">
        <v>0</v>
      </c>
      <c r="C629" s="158"/>
      <c r="D629" s="190">
        <v>0</v>
      </c>
      <c r="E629" s="83"/>
      <c r="F629" s="121"/>
      <c r="G629" s="84"/>
      <c r="H629" s="84"/>
      <c r="I629" s="181"/>
    </row>
    <row r="630" spans="1:9" ht="15" hidden="1" customHeight="1" thickBot="1" x14ac:dyDescent="0.25">
      <c r="A630" s="788">
        <f>SUM(A628:D628)</f>
        <v>0</v>
      </c>
      <c r="B630" s="789"/>
      <c r="C630" s="789"/>
      <c r="D630" s="275">
        <v>0</v>
      </c>
      <c r="E630" s="85" t="s">
        <v>409</v>
      </c>
      <c r="F630" s="84"/>
      <c r="G630" s="84"/>
      <c r="H630" s="84"/>
      <c r="I630" s="181"/>
    </row>
    <row r="631" spans="1:9" ht="15" hidden="1" customHeight="1" thickTop="1" x14ac:dyDescent="0.2">
      <c r="A631" s="156"/>
      <c r="B631" s="158"/>
      <c r="C631" s="158">
        <f>B629+D629</f>
        <v>0</v>
      </c>
      <c r="D631" s="158"/>
      <c r="E631" s="85"/>
      <c r="F631" s="84"/>
      <c r="G631" s="84"/>
      <c r="H631" s="84"/>
      <c r="I631" s="181"/>
    </row>
    <row r="632" spans="1:9" ht="15" hidden="1" customHeight="1" thickTop="1" x14ac:dyDescent="0.2">
      <c r="A632" s="110" t="s">
        <v>410</v>
      </c>
      <c r="B632" s="111"/>
      <c r="C632" s="112"/>
      <c r="D632" s="111"/>
      <c r="E632" s="112"/>
      <c r="F632" s="112"/>
      <c r="G632" s="113"/>
      <c r="H632" s="113"/>
      <c r="I632" s="189"/>
    </row>
    <row r="633" spans="1:9" ht="30.75" hidden="1" customHeight="1" x14ac:dyDescent="0.2">
      <c r="A633" s="769" t="s">
        <v>679</v>
      </c>
      <c r="B633" s="770"/>
      <c r="C633" s="770"/>
      <c r="D633" s="770"/>
      <c r="E633" s="770"/>
      <c r="F633" s="770"/>
      <c r="G633" s="770"/>
      <c r="H633" s="770"/>
      <c r="I633" s="771"/>
    </row>
    <row r="634" spans="1:9" ht="15" customHeight="1" thickBot="1" x14ac:dyDescent="0.35">
      <c r="A634" s="345"/>
      <c r="B634" s="345"/>
      <c r="C634" s="345"/>
      <c r="D634" s="345"/>
      <c r="E634" s="345"/>
      <c r="F634" s="345"/>
      <c r="G634" s="345"/>
      <c r="H634" s="345"/>
      <c r="I634" s="456"/>
    </row>
    <row r="635" spans="1:9" ht="15" customHeight="1" thickTop="1" x14ac:dyDescent="0.3">
      <c r="A635" s="350"/>
      <c r="B635" s="350"/>
      <c r="C635" s="350"/>
      <c r="D635" s="350"/>
      <c r="E635" s="350"/>
      <c r="F635" s="350"/>
      <c r="G635" s="350"/>
      <c r="H635" s="350"/>
    </row>
    <row r="636" spans="1:9" ht="15" customHeight="1" x14ac:dyDescent="0.3">
      <c r="A636" s="133" t="s">
        <v>123</v>
      </c>
      <c r="B636" s="134" t="s">
        <v>94</v>
      </c>
      <c r="C636" s="130"/>
      <c r="D636" s="130"/>
      <c r="E636" s="130"/>
      <c r="F636" s="130"/>
      <c r="G636" s="135" t="s">
        <v>463</v>
      </c>
      <c r="H636" s="135" t="s">
        <v>464</v>
      </c>
    </row>
    <row r="637" spans="1:9" ht="15" customHeight="1" x14ac:dyDescent="0.3">
      <c r="A637" s="2" t="s">
        <v>465</v>
      </c>
      <c r="G637" s="68">
        <f>'A - Baseline Request'!D53</f>
        <v>0</v>
      </c>
      <c r="H637" s="68">
        <f>'A - Baseline Request'!I53</f>
        <v>0</v>
      </c>
    </row>
    <row r="638" spans="1:9" ht="15" customHeight="1" x14ac:dyDescent="0.3">
      <c r="A638" s="2" t="s">
        <v>466</v>
      </c>
      <c r="G638" s="124">
        <f>'A - Baseline Request'!E53</f>
        <v>0</v>
      </c>
      <c r="H638" s="124">
        <f>'A - Baseline Request'!J53</f>
        <v>0</v>
      </c>
    </row>
    <row r="639" spans="1:9" ht="15" customHeight="1" x14ac:dyDescent="0.3">
      <c r="A639" s="76" t="s">
        <v>405</v>
      </c>
      <c r="B639" s="77"/>
      <c r="C639" s="73"/>
      <c r="D639" s="77"/>
      <c r="E639" s="73"/>
      <c r="F639" s="73"/>
      <c r="G639" s="74">
        <f>SUM(G637:G638)</f>
        <v>0</v>
      </c>
      <c r="H639" s="74">
        <f>SUM(H637:H638)</f>
        <v>0</v>
      </c>
      <c r="I639" s="73"/>
    </row>
    <row r="640" spans="1:9" ht="15" customHeight="1" thickBot="1" x14ac:dyDescent="0.35">
      <c r="A640" s="7"/>
      <c r="B640" s="73"/>
      <c r="C640" s="78" t="s">
        <v>462</v>
      </c>
      <c r="D640" s="79"/>
      <c r="E640" s="79"/>
      <c r="F640" s="79"/>
      <c r="G640" s="772">
        <f>G639+H639</f>
        <v>0</v>
      </c>
      <c r="H640" s="772"/>
      <c r="I640" s="73"/>
    </row>
    <row r="641" spans="1:9" ht="15" customHeight="1" thickTop="1" x14ac:dyDescent="0.3">
      <c r="A641" s="71"/>
    </row>
    <row r="642" spans="1:9" ht="15" customHeight="1" x14ac:dyDescent="0.3">
      <c r="A642" s="80" t="s">
        <v>407</v>
      </c>
    </row>
    <row r="643" spans="1:9" ht="60.75" customHeight="1" x14ac:dyDescent="0.3">
      <c r="A643" s="773" t="s">
        <v>779</v>
      </c>
      <c r="B643" s="773"/>
      <c r="C643" s="773"/>
      <c r="D643" s="773"/>
      <c r="E643" s="773"/>
      <c r="F643" s="773"/>
      <c r="G643" s="773"/>
      <c r="H643" s="773"/>
      <c r="I643" s="773"/>
    </row>
    <row r="644" spans="1:9" ht="15" customHeight="1" x14ac:dyDescent="0.3"/>
    <row r="645" spans="1:9" ht="15" hidden="1" customHeight="1" x14ac:dyDescent="0.2">
      <c r="A645" s="774" t="s">
        <v>420</v>
      </c>
      <c r="B645" s="775"/>
      <c r="C645" s="775"/>
      <c r="D645" s="775"/>
      <c r="E645" s="775"/>
      <c r="F645" s="775"/>
      <c r="G645" s="775"/>
      <c r="H645" s="775"/>
      <c r="I645" s="180"/>
    </row>
    <row r="646" spans="1:9" ht="15" hidden="1" customHeight="1" x14ac:dyDescent="0.2">
      <c r="A646" s="776" t="s">
        <v>423</v>
      </c>
      <c r="B646" s="777"/>
      <c r="C646" s="777" t="s">
        <v>424</v>
      </c>
      <c r="D646" s="777"/>
      <c r="E646" s="83"/>
      <c r="F646" s="83"/>
      <c r="G646" s="84"/>
      <c r="H646" s="84"/>
      <c r="I646" s="181"/>
    </row>
    <row r="647" spans="1:9" ht="15" hidden="1" customHeight="1" x14ac:dyDescent="0.2">
      <c r="A647" s="784" t="s">
        <v>697</v>
      </c>
      <c r="B647" s="785"/>
      <c r="C647" s="785" t="s">
        <v>697</v>
      </c>
      <c r="D647" s="785"/>
      <c r="E647" s="83"/>
      <c r="F647" s="83"/>
      <c r="G647" s="84"/>
      <c r="H647" s="84"/>
      <c r="I647" s="181"/>
    </row>
    <row r="648" spans="1:9" ht="15" hidden="1" customHeight="1" x14ac:dyDescent="0.2">
      <c r="A648" s="786">
        <v>0</v>
      </c>
      <c r="B648" s="787"/>
      <c r="C648" s="787">
        <v>0</v>
      </c>
      <c r="D648" s="787"/>
      <c r="E648" s="83"/>
      <c r="F648" s="121"/>
      <c r="G648" s="84"/>
      <c r="H648" s="84"/>
      <c r="I648" s="181"/>
    </row>
    <row r="649" spans="1:9" ht="15" hidden="1" customHeight="1" x14ac:dyDescent="0.2">
      <c r="A649" s="154"/>
      <c r="B649" s="190">
        <v>0</v>
      </c>
      <c r="C649" s="158"/>
      <c r="D649" s="190">
        <v>0</v>
      </c>
      <c r="E649" s="83"/>
      <c r="F649" s="121"/>
      <c r="G649" s="84"/>
      <c r="H649" s="84"/>
      <c r="I649" s="181"/>
    </row>
    <row r="650" spans="1:9" ht="15" hidden="1" customHeight="1" thickBot="1" x14ac:dyDescent="0.25">
      <c r="A650" s="788">
        <f>SUM(A648:D648)</f>
        <v>0</v>
      </c>
      <c r="B650" s="789"/>
      <c r="C650" s="789"/>
      <c r="D650" s="275">
        <v>0</v>
      </c>
      <c r="E650" s="85" t="s">
        <v>409</v>
      </c>
      <c r="F650" s="84"/>
      <c r="G650" s="84"/>
      <c r="H650" s="84"/>
      <c r="I650" s="181"/>
    </row>
    <row r="651" spans="1:9" ht="15" hidden="1" customHeight="1" thickTop="1" x14ac:dyDescent="0.2">
      <c r="A651" s="156"/>
      <c r="B651" s="158"/>
      <c r="C651" s="158">
        <f>B649+D649</f>
        <v>0</v>
      </c>
      <c r="D651" s="158"/>
      <c r="E651" s="85"/>
      <c r="F651" s="84"/>
      <c r="G651" s="84"/>
      <c r="H651" s="84"/>
      <c r="I651" s="181"/>
    </row>
    <row r="652" spans="1:9" ht="22.5" hidden="1" customHeight="1" thickTop="1" x14ac:dyDescent="0.2">
      <c r="A652" s="110" t="s">
        <v>410</v>
      </c>
      <c r="B652" s="111"/>
      <c r="C652" s="112"/>
      <c r="D652" s="111"/>
      <c r="E652" s="112"/>
      <c r="F652" s="112"/>
      <c r="G652" s="113"/>
      <c r="H652" s="113"/>
      <c r="I652" s="189"/>
    </row>
    <row r="653" spans="1:9" ht="48" hidden="1" customHeight="1" x14ac:dyDescent="0.2">
      <c r="A653" s="769" t="s">
        <v>678</v>
      </c>
      <c r="B653" s="770"/>
      <c r="C653" s="770"/>
      <c r="D653" s="770"/>
      <c r="E653" s="770"/>
      <c r="F653" s="770"/>
      <c r="G653" s="770"/>
      <c r="H653" s="770"/>
      <c r="I653" s="771"/>
    </row>
    <row r="654" spans="1:9" ht="15" customHeight="1" thickBot="1" x14ac:dyDescent="0.35">
      <c r="A654" s="345"/>
      <c r="B654" s="345"/>
      <c r="C654" s="345"/>
      <c r="D654" s="345"/>
      <c r="E654" s="345"/>
      <c r="F654" s="345"/>
      <c r="G654" s="345"/>
      <c r="H654" s="345"/>
      <c r="I654" s="456"/>
    </row>
    <row r="655" spans="1:9" ht="15" customHeight="1" thickTop="1" x14ac:dyDescent="0.3">
      <c r="A655" s="91" t="s">
        <v>125</v>
      </c>
      <c r="B655" s="92" t="s">
        <v>733</v>
      </c>
      <c r="C655" s="93"/>
      <c r="D655" s="93"/>
      <c r="E655" s="93"/>
      <c r="F655" s="93"/>
      <c r="G655" s="94" t="s">
        <v>463</v>
      </c>
      <c r="H655" s="94" t="s">
        <v>464</v>
      </c>
    </row>
    <row r="656" spans="1:9" ht="15" customHeight="1" x14ac:dyDescent="0.3">
      <c r="A656" s="2" t="s">
        <v>466</v>
      </c>
      <c r="G656" s="68">
        <f>'A - Baseline Request'!E54</f>
        <v>1125000</v>
      </c>
      <c r="H656" s="68">
        <f>'A - Baseline Request'!J54</f>
        <v>1125000</v>
      </c>
    </row>
    <row r="657" spans="1:9" ht="15" customHeight="1" thickBot="1" x14ac:dyDescent="0.35">
      <c r="A657" s="7"/>
      <c r="B657" s="73"/>
      <c r="C657" s="78" t="s">
        <v>462</v>
      </c>
      <c r="D657" s="79"/>
      <c r="E657" s="79"/>
      <c r="F657" s="79"/>
      <c r="G657" s="772">
        <f>G656+H656</f>
        <v>2250000</v>
      </c>
      <c r="H657" s="772"/>
    </row>
    <row r="658" spans="1:9" ht="15" customHeight="1" thickTop="1" x14ac:dyDescent="0.3">
      <c r="A658" s="71"/>
    </row>
    <row r="659" spans="1:9" ht="15" customHeight="1" x14ac:dyDescent="0.3">
      <c r="A659" s="80" t="s">
        <v>407</v>
      </c>
    </row>
    <row r="660" spans="1:9" ht="53.25" customHeight="1" x14ac:dyDescent="0.3">
      <c r="A660" s="773" t="s">
        <v>778</v>
      </c>
      <c r="B660" s="773"/>
      <c r="C660" s="773"/>
      <c r="D660" s="773"/>
      <c r="E660" s="773"/>
      <c r="F660" s="773"/>
      <c r="G660" s="773"/>
      <c r="H660" s="773"/>
    </row>
    <row r="661" spans="1:9" ht="15" customHeight="1" thickBot="1" x14ac:dyDescent="0.35">
      <c r="A661" s="345"/>
      <c r="B661" s="345"/>
      <c r="C661" s="345"/>
      <c r="D661" s="345"/>
      <c r="E661" s="345"/>
      <c r="F661" s="345"/>
      <c r="G661" s="345"/>
      <c r="H661" s="345"/>
      <c r="I661" s="456"/>
    </row>
    <row r="662" spans="1:9" ht="15" customHeight="1" thickTop="1" x14ac:dyDescent="0.3">
      <c r="A662" s="91" t="s">
        <v>127</v>
      </c>
      <c r="B662" s="92" t="s">
        <v>156</v>
      </c>
      <c r="C662" s="93"/>
      <c r="D662" s="93"/>
      <c r="E662" s="93"/>
      <c r="F662" s="93"/>
      <c r="G662" s="94" t="s">
        <v>463</v>
      </c>
      <c r="H662" s="94" t="s">
        <v>464</v>
      </c>
    </row>
    <row r="663" spans="1:9" ht="15" customHeight="1" x14ac:dyDescent="0.3">
      <c r="A663" s="2" t="s">
        <v>466</v>
      </c>
      <c r="G663" s="68">
        <f>'A - Baseline Request'!$E$55</f>
        <v>1915830</v>
      </c>
      <c r="H663" s="68">
        <f>'A - Baseline Request'!$J$55</f>
        <v>1915830</v>
      </c>
    </row>
    <row r="664" spans="1:9" ht="15" customHeight="1" thickBot="1" x14ac:dyDescent="0.35">
      <c r="A664" s="7"/>
      <c r="B664" s="73"/>
      <c r="C664" s="78" t="s">
        <v>462</v>
      </c>
      <c r="D664" s="79"/>
      <c r="E664" s="79"/>
      <c r="F664" s="79"/>
      <c r="G664" s="772">
        <f>G663+H663</f>
        <v>3831660</v>
      </c>
      <c r="H664" s="772"/>
    </row>
    <row r="665" spans="1:9" ht="15" customHeight="1" thickTop="1" x14ac:dyDescent="0.3">
      <c r="A665" s="71"/>
    </row>
    <row r="666" spans="1:9" ht="15" customHeight="1" x14ac:dyDescent="0.3">
      <c r="A666" s="80" t="s">
        <v>407</v>
      </c>
    </row>
    <row r="667" spans="1:9" ht="59.25" customHeight="1" x14ac:dyDescent="0.3">
      <c r="A667" s="773" t="s">
        <v>780</v>
      </c>
      <c r="B667" s="773"/>
      <c r="C667" s="773"/>
      <c r="D667" s="773"/>
      <c r="E667" s="773"/>
      <c r="F667" s="773"/>
      <c r="G667" s="773"/>
      <c r="H667" s="773"/>
    </row>
    <row r="668" spans="1:9" ht="15" customHeight="1" thickBot="1" x14ac:dyDescent="0.35">
      <c r="A668" s="345"/>
      <c r="B668" s="345"/>
      <c r="C668" s="345"/>
      <c r="D668" s="345"/>
      <c r="E668" s="345"/>
      <c r="F668" s="345"/>
      <c r="G668" s="345"/>
      <c r="H668" s="345"/>
      <c r="I668" s="456"/>
    </row>
    <row r="669" spans="1:9" ht="15" customHeight="1" thickTop="1" x14ac:dyDescent="0.3">
      <c r="A669" s="350"/>
      <c r="B669" s="350"/>
      <c r="C669" s="350"/>
      <c r="D669" s="350"/>
      <c r="E669" s="350"/>
      <c r="F669" s="350"/>
      <c r="G669" s="350"/>
      <c r="H669" s="350"/>
    </row>
    <row r="670" spans="1:9" ht="15" customHeight="1" x14ac:dyDescent="0.3">
      <c r="A670" s="792" t="s">
        <v>734</v>
      </c>
      <c r="B670" s="792"/>
      <c r="C670" s="792"/>
      <c r="D670" s="792"/>
      <c r="E670" s="792"/>
      <c r="F670" s="792"/>
      <c r="G670" s="792"/>
      <c r="H670" s="792"/>
    </row>
    <row r="671" spans="1:9" ht="15" customHeight="1" x14ac:dyDescent="0.3">
      <c r="A671" s="129"/>
      <c r="B671" s="129"/>
      <c r="C671" s="130"/>
      <c r="D671" s="130"/>
      <c r="E671" s="130"/>
      <c r="F671" s="130"/>
      <c r="G671" s="131"/>
      <c r="H671" s="131"/>
    </row>
    <row r="672" spans="1:9" ht="26.25" customHeight="1" x14ac:dyDescent="0.3">
      <c r="A672" s="133" t="s">
        <v>139</v>
      </c>
      <c r="B672" s="134" t="s">
        <v>122</v>
      </c>
      <c r="C672" s="130"/>
      <c r="D672" s="130"/>
      <c r="E672" s="130"/>
      <c r="F672" s="130"/>
      <c r="G672" s="135" t="s">
        <v>463</v>
      </c>
      <c r="H672" s="135" t="s">
        <v>464</v>
      </c>
    </row>
    <row r="673" spans="1:10" ht="15" customHeight="1" x14ac:dyDescent="0.3">
      <c r="A673" s="2" t="s">
        <v>465</v>
      </c>
      <c r="G673" s="68">
        <f>'A - Baseline Request'!D57</f>
        <v>2000000</v>
      </c>
      <c r="H673" s="68">
        <f>'A - Baseline Request'!I57</f>
        <v>2000000</v>
      </c>
    </row>
    <row r="674" spans="1:10" ht="15" customHeight="1" x14ac:dyDescent="0.3">
      <c r="A674" s="2" t="s">
        <v>466</v>
      </c>
      <c r="G674" s="124">
        <f>'A - Baseline Request'!E57</f>
        <v>0</v>
      </c>
      <c r="H674" s="124">
        <f>'A - Baseline Request'!J57</f>
        <v>0</v>
      </c>
    </row>
    <row r="675" spans="1:10" ht="15" customHeight="1" x14ac:dyDescent="0.3">
      <c r="A675" s="71" t="s">
        <v>411</v>
      </c>
      <c r="B675" s="71"/>
      <c r="D675" s="71"/>
      <c r="G675" s="68">
        <f>SUM(G673:G674)</f>
        <v>2000000</v>
      </c>
      <c r="H675" s="68">
        <f>SUM(H673:H674)</f>
        <v>2000000</v>
      </c>
    </row>
    <row r="676" spans="1:10" s="73" customFormat="1" ht="21" customHeight="1" thickBot="1" x14ac:dyDescent="0.35">
      <c r="A676" s="7"/>
      <c r="C676" s="78" t="s">
        <v>462</v>
      </c>
      <c r="D676" s="79"/>
      <c r="E676" s="79"/>
      <c r="F676" s="79"/>
      <c r="G676" s="772">
        <f>G675+H675</f>
        <v>4000000</v>
      </c>
      <c r="H676" s="772"/>
      <c r="J676" s="130"/>
    </row>
    <row r="677" spans="1:10" ht="15" customHeight="1" thickTop="1" x14ac:dyDescent="0.3">
      <c r="A677" s="71"/>
    </row>
    <row r="678" spans="1:10" ht="15" customHeight="1" x14ac:dyDescent="0.3">
      <c r="A678" s="80" t="s">
        <v>407</v>
      </c>
    </row>
    <row r="679" spans="1:10" ht="102" customHeight="1" x14ac:dyDescent="0.3">
      <c r="A679" s="773" t="s">
        <v>740</v>
      </c>
      <c r="B679" s="773"/>
      <c r="C679" s="773"/>
      <c r="D679" s="773"/>
      <c r="E679" s="773"/>
      <c r="F679" s="773"/>
      <c r="G679" s="773"/>
      <c r="H679" s="773"/>
      <c r="I679" s="773"/>
    </row>
    <row r="680" spans="1:10" s="69" customFormat="1" ht="15" customHeight="1" thickBot="1" x14ac:dyDescent="0.35">
      <c r="A680" s="90"/>
      <c r="B680" s="90"/>
      <c r="C680" s="90"/>
      <c r="D680" s="90"/>
      <c r="E680" s="90"/>
      <c r="F680" s="90"/>
      <c r="G680" s="90"/>
      <c r="H680" s="90"/>
      <c r="I680" s="451"/>
      <c r="J680" s="164"/>
    </row>
    <row r="681" spans="1:10" ht="26.25" customHeight="1" thickTop="1" x14ac:dyDescent="0.3">
      <c r="A681" s="91" t="s">
        <v>141</v>
      </c>
      <c r="B681" s="92" t="s">
        <v>124</v>
      </c>
      <c r="C681" s="93"/>
      <c r="D681" s="93"/>
      <c r="E681" s="93"/>
      <c r="F681" s="93"/>
      <c r="G681" s="94" t="s">
        <v>463</v>
      </c>
      <c r="H681" s="94" t="s">
        <v>464</v>
      </c>
    </row>
    <row r="682" spans="1:10" ht="15" customHeight="1" x14ac:dyDescent="0.3">
      <c r="A682" s="2" t="s">
        <v>465</v>
      </c>
      <c r="G682" s="68">
        <f>'A - Baseline Request'!D58</f>
        <v>760177</v>
      </c>
      <c r="H682" s="68">
        <f>'A - Baseline Request'!I58</f>
        <v>760176</v>
      </c>
    </row>
    <row r="683" spans="1:10" ht="15" customHeight="1" x14ac:dyDescent="0.3">
      <c r="A683" s="2" t="s">
        <v>466</v>
      </c>
      <c r="G683" s="124">
        <f>'A - Baseline Request'!E58</f>
        <v>0</v>
      </c>
      <c r="H683" s="124">
        <f>'A - Baseline Request'!J58</f>
        <v>0</v>
      </c>
    </row>
    <row r="684" spans="1:10" ht="15" customHeight="1" x14ac:dyDescent="0.3">
      <c r="A684" s="71" t="s">
        <v>411</v>
      </c>
      <c r="B684" s="71"/>
      <c r="D684" s="71"/>
      <c r="G684" s="68">
        <f>SUM(G682:G683)</f>
        <v>760177</v>
      </c>
      <c r="H684" s="68">
        <f>SUM(H682:H683)</f>
        <v>760176</v>
      </c>
    </row>
    <row r="685" spans="1:10" s="73" customFormat="1" ht="21" customHeight="1" thickBot="1" x14ac:dyDescent="0.35">
      <c r="A685" s="7"/>
      <c r="C685" s="78" t="s">
        <v>462</v>
      </c>
      <c r="D685" s="79"/>
      <c r="E685" s="79"/>
      <c r="F685" s="79"/>
      <c r="G685" s="772">
        <f>G684+H684</f>
        <v>1520353</v>
      </c>
      <c r="H685" s="772"/>
      <c r="J685" s="130"/>
    </row>
    <row r="686" spans="1:10" ht="15" customHeight="1" thickTop="1" x14ac:dyDescent="0.3">
      <c r="A686" s="71"/>
    </row>
    <row r="687" spans="1:10" ht="15" customHeight="1" x14ac:dyDescent="0.3">
      <c r="A687" s="80" t="s">
        <v>407</v>
      </c>
    </row>
    <row r="688" spans="1:10" ht="134.25" customHeight="1" x14ac:dyDescent="0.3">
      <c r="A688" s="773" t="s">
        <v>784</v>
      </c>
      <c r="B688" s="773"/>
      <c r="C688" s="773"/>
      <c r="D688" s="773"/>
      <c r="E688" s="773"/>
      <c r="F688" s="773"/>
      <c r="G688" s="773"/>
      <c r="H688" s="773"/>
      <c r="I688" s="773"/>
    </row>
    <row r="689" spans="1:10" ht="15" customHeight="1" x14ac:dyDescent="0.3">
      <c r="J689" s="132"/>
    </row>
    <row r="690" spans="1:10" s="73" customFormat="1" ht="22.5" hidden="1" customHeight="1" x14ac:dyDescent="0.25">
      <c r="A690" s="774" t="s">
        <v>420</v>
      </c>
      <c r="B690" s="775"/>
      <c r="C690" s="775"/>
      <c r="D690" s="775"/>
      <c r="E690" s="775"/>
      <c r="F690" s="775"/>
      <c r="G690" s="775"/>
      <c r="H690" s="775"/>
      <c r="I690" s="180"/>
      <c r="J690" s="132"/>
    </row>
    <row r="691" spans="1:10" s="73" customFormat="1" ht="15.75" hidden="1" customHeight="1" x14ac:dyDescent="0.2">
      <c r="A691" s="776" t="s">
        <v>423</v>
      </c>
      <c r="B691" s="777"/>
      <c r="C691" s="777" t="s">
        <v>424</v>
      </c>
      <c r="D691" s="777"/>
      <c r="E691" s="83"/>
      <c r="F691" s="83"/>
      <c r="G691" s="84"/>
      <c r="H691" s="84"/>
      <c r="I691" s="181"/>
      <c r="J691" s="130"/>
    </row>
    <row r="692" spans="1:10" s="73" customFormat="1" ht="15.75" hidden="1" customHeight="1" x14ac:dyDescent="0.2">
      <c r="A692" s="784" t="s">
        <v>693</v>
      </c>
      <c r="B692" s="785"/>
      <c r="C692" s="785" t="s">
        <v>699</v>
      </c>
      <c r="D692" s="785"/>
      <c r="E692" s="83"/>
      <c r="F692" s="83"/>
      <c r="G692" s="84"/>
      <c r="H692" s="84"/>
      <c r="I692" s="181"/>
      <c r="J692" s="130"/>
    </row>
    <row r="693" spans="1:10" s="73" customFormat="1" ht="15" hidden="1" customHeight="1" x14ac:dyDescent="0.25">
      <c r="A693" s="786">
        <f>'B - Reductions '!N19</f>
        <v>0</v>
      </c>
      <c r="B693" s="787"/>
      <c r="C693" s="787">
        <v>0</v>
      </c>
      <c r="D693" s="787"/>
      <c r="E693" s="83"/>
      <c r="F693" s="121"/>
      <c r="G693" s="84"/>
      <c r="H693" s="84"/>
      <c r="I693" s="181"/>
      <c r="J693" s="132"/>
    </row>
    <row r="694" spans="1:10" s="73" customFormat="1" ht="15" hidden="1" customHeight="1" x14ac:dyDescent="0.25">
      <c r="A694" s="154"/>
      <c r="B694" s="190">
        <f>A693/(G682+H682)</f>
        <v>0</v>
      </c>
      <c r="C694" s="158"/>
      <c r="D694" s="190">
        <f>C693/(G682+H682)</f>
        <v>0</v>
      </c>
      <c r="E694" s="83"/>
      <c r="F694" s="121"/>
      <c r="G694" s="84"/>
      <c r="H694" s="84"/>
      <c r="I694" s="181"/>
      <c r="J694" s="132"/>
    </row>
    <row r="695" spans="1:10" s="73" customFormat="1" ht="18.75" hidden="1" customHeight="1" thickBot="1" x14ac:dyDescent="0.25">
      <c r="A695" s="788">
        <f>SUM(A693:D693)</f>
        <v>0</v>
      </c>
      <c r="B695" s="789"/>
      <c r="C695" s="789"/>
      <c r="D695" s="275">
        <f>A695/SUM(G682:H682)</f>
        <v>0</v>
      </c>
      <c r="E695" s="85" t="s">
        <v>409</v>
      </c>
      <c r="F695" s="84"/>
      <c r="G695" s="84"/>
      <c r="H695" s="84"/>
      <c r="I695" s="181"/>
      <c r="J695" s="130" t="b">
        <f>D695='B - Reductions '!V29</f>
        <v>1</v>
      </c>
    </row>
    <row r="696" spans="1:10" s="73" customFormat="1" ht="18.75" hidden="1" customHeight="1" thickTop="1" x14ac:dyDescent="0.2">
      <c r="A696" s="156"/>
      <c r="B696" s="157"/>
      <c r="C696" s="158">
        <f>B694+D694</f>
        <v>0</v>
      </c>
      <c r="D696" s="157"/>
      <c r="E696" s="85"/>
      <c r="F696" s="84"/>
      <c r="G696" s="84"/>
      <c r="H696" s="84"/>
      <c r="I696" s="181"/>
      <c r="J696" s="130"/>
    </row>
    <row r="697" spans="1:10" ht="21" hidden="1" customHeight="1" x14ac:dyDescent="0.2">
      <c r="A697" s="110" t="s">
        <v>410</v>
      </c>
      <c r="B697" s="111"/>
      <c r="C697" s="112"/>
      <c r="D697" s="111"/>
      <c r="E697" s="112"/>
      <c r="F697" s="112"/>
      <c r="G697" s="113"/>
      <c r="H697" s="113"/>
      <c r="I697" s="189"/>
    </row>
    <row r="698" spans="1:10" ht="45.75" hidden="1" customHeight="1" x14ac:dyDescent="0.2">
      <c r="A698" s="797" t="s">
        <v>677</v>
      </c>
      <c r="B698" s="798"/>
      <c r="C698" s="798"/>
      <c r="D698" s="798"/>
      <c r="E698" s="798"/>
      <c r="F698" s="798"/>
      <c r="G698" s="798"/>
      <c r="H698" s="798"/>
      <c r="I698" s="799"/>
      <c r="J698" s="129"/>
    </row>
    <row r="699" spans="1:10" ht="15" customHeight="1" thickBot="1" x14ac:dyDescent="0.35">
      <c r="A699" s="705"/>
      <c r="B699" s="705"/>
      <c r="C699" s="456"/>
      <c r="D699" s="456"/>
      <c r="E699" s="456"/>
      <c r="F699" s="456"/>
      <c r="G699" s="450"/>
      <c r="H699" s="450"/>
      <c r="I699" s="456"/>
      <c r="J699" s="129"/>
    </row>
    <row r="700" spans="1:10" ht="26.25" customHeight="1" thickTop="1" x14ac:dyDescent="0.3">
      <c r="A700" s="91" t="s">
        <v>143</v>
      </c>
      <c r="B700" s="92" t="s">
        <v>126</v>
      </c>
      <c r="C700" s="93"/>
      <c r="D700" s="93"/>
      <c r="E700" s="93"/>
      <c r="F700" s="93"/>
      <c r="G700" s="94" t="s">
        <v>463</v>
      </c>
      <c r="H700" s="135" t="s">
        <v>464</v>
      </c>
    </row>
    <row r="701" spans="1:10" ht="15" customHeight="1" x14ac:dyDescent="0.3">
      <c r="A701" s="2" t="s">
        <v>465</v>
      </c>
      <c r="G701" s="68">
        <f>'A - Baseline Request'!D59</f>
        <v>0</v>
      </c>
      <c r="H701" s="68">
        <f>'A - Baseline Request'!I59</f>
        <v>0</v>
      </c>
    </row>
    <row r="702" spans="1:10" ht="15" customHeight="1" x14ac:dyDescent="0.3">
      <c r="A702" s="2" t="s">
        <v>466</v>
      </c>
      <c r="G702" s="124">
        <f>'A - Baseline Request'!E59</f>
        <v>0</v>
      </c>
      <c r="H702" s="124">
        <f>'A - Baseline Request'!J59</f>
        <v>0</v>
      </c>
    </row>
    <row r="703" spans="1:10" ht="15" customHeight="1" x14ac:dyDescent="0.3">
      <c r="A703" s="71" t="s">
        <v>411</v>
      </c>
      <c r="B703" s="71"/>
      <c r="D703" s="71"/>
      <c r="G703" s="68">
        <f>SUM(G701:G702)</f>
        <v>0</v>
      </c>
      <c r="H703" s="68">
        <f>SUM(H701:H702)</f>
        <v>0</v>
      </c>
    </row>
    <row r="704" spans="1:10" s="73" customFormat="1" ht="21" customHeight="1" thickBot="1" x14ac:dyDescent="0.35">
      <c r="A704" s="7"/>
      <c r="C704" s="78" t="s">
        <v>462</v>
      </c>
      <c r="D704" s="79"/>
      <c r="E704" s="79"/>
      <c r="F704" s="79"/>
      <c r="G704" s="772">
        <f>G703+H703</f>
        <v>0</v>
      </c>
      <c r="H704" s="772"/>
      <c r="J704" s="130"/>
    </row>
    <row r="705" spans="1:10" ht="15" customHeight="1" thickTop="1" x14ac:dyDescent="0.3">
      <c r="A705" s="71"/>
    </row>
    <row r="706" spans="1:10" ht="15" customHeight="1" x14ac:dyDescent="0.3">
      <c r="A706" s="80" t="s">
        <v>407</v>
      </c>
    </row>
    <row r="707" spans="1:10" ht="66" customHeight="1" thickBot="1" x14ac:dyDescent="0.35">
      <c r="A707" s="795" t="s">
        <v>518</v>
      </c>
      <c r="B707" s="795"/>
      <c r="C707" s="795"/>
      <c r="D707" s="795"/>
      <c r="E707" s="795"/>
      <c r="F707" s="795"/>
      <c r="G707" s="795"/>
      <c r="H707" s="795"/>
      <c r="I707" s="795"/>
    </row>
    <row r="708" spans="1:10" ht="15" customHeight="1" thickTop="1" x14ac:dyDescent="0.3"/>
    <row r="709" spans="1:10" ht="15" customHeight="1" x14ac:dyDescent="0.3">
      <c r="A709" s="70" t="s">
        <v>145</v>
      </c>
      <c r="B709" s="71" t="s">
        <v>128</v>
      </c>
      <c r="G709" s="72" t="s">
        <v>463</v>
      </c>
      <c r="H709" s="72" t="s">
        <v>464</v>
      </c>
    </row>
    <row r="710" spans="1:10" ht="15" customHeight="1" x14ac:dyDescent="0.3">
      <c r="A710" s="2" t="s">
        <v>465</v>
      </c>
      <c r="G710" s="68">
        <v>0</v>
      </c>
      <c r="H710" s="68">
        <v>0</v>
      </c>
      <c r="J710" s="129"/>
    </row>
    <row r="711" spans="1:10" ht="15" customHeight="1" x14ac:dyDescent="0.3">
      <c r="A711" s="2" t="s">
        <v>466</v>
      </c>
      <c r="G711" s="68">
        <v>0</v>
      </c>
      <c r="H711" s="68">
        <v>0</v>
      </c>
      <c r="J711" s="129"/>
    </row>
    <row r="712" spans="1:10" ht="15" customHeight="1" x14ac:dyDescent="0.3">
      <c r="A712" s="71" t="s">
        <v>411</v>
      </c>
      <c r="B712" s="71"/>
      <c r="D712" s="71"/>
      <c r="G712" s="68">
        <v>0</v>
      </c>
      <c r="H712" s="68">
        <v>0</v>
      </c>
    </row>
    <row r="713" spans="1:10" s="73" customFormat="1" ht="21" customHeight="1" thickBot="1" x14ac:dyDescent="0.35">
      <c r="A713" s="7"/>
      <c r="C713" s="78" t="s">
        <v>462</v>
      </c>
      <c r="D713" s="79"/>
      <c r="E713" s="79"/>
      <c r="F713" s="79"/>
      <c r="G713" s="772">
        <v>0</v>
      </c>
      <c r="H713" s="772"/>
      <c r="J713" s="130"/>
    </row>
    <row r="714" spans="1:10" ht="15" customHeight="1" thickTop="1" x14ac:dyDescent="0.3">
      <c r="A714" s="71"/>
    </row>
    <row r="715" spans="1:10" ht="15" customHeight="1" x14ac:dyDescent="0.3">
      <c r="A715" s="80" t="s">
        <v>407</v>
      </c>
    </row>
    <row r="716" spans="1:10" ht="33" customHeight="1" x14ac:dyDescent="0.3">
      <c r="A716" s="765" t="s">
        <v>278</v>
      </c>
      <c r="B716" s="765"/>
      <c r="C716" s="765"/>
      <c r="D716" s="765"/>
      <c r="E716" s="765"/>
      <c r="F716" s="765"/>
      <c r="G716" s="765"/>
      <c r="H716" s="765"/>
      <c r="I716" s="765"/>
    </row>
    <row r="717" spans="1:10" s="69" customFormat="1" ht="23.25" hidden="1" customHeight="1" x14ac:dyDescent="0.2">
      <c r="A717" s="139"/>
      <c r="B717" s="139"/>
      <c r="C717" s="139"/>
      <c r="D717" s="139"/>
      <c r="E717" s="139"/>
      <c r="F717" s="139"/>
      <c r="G717" s="139"/>
      <c r="H717" s="139"/>
      <c r="I717" s="139"/>
      <c r="J717" s="164"/>
    </row>
    <row r="718" spans="1:10" ht="12" customHeight="1" thickBot="1" x14ac:dyDescent="0.35">
      <c r="A718" s="108"/>
      <c r="B718" s="108"/>
      <c r="C718" s="108"/>
      <c r="D718" s="108"/>
      <c r="E718" s="108"/>
      <c r="F718" s="108"/>
      <c r="G718" s="109"/>
      <c r="H718" s="109"/>
      <c r="I718" s="108"/>
    </row>
    <row r="719" spans="1:10" ht="26.25" customHeight="1" thickTop="1" x14ac:dyDescent="0.3">
      <c r="A719" s="91" t="s">
        <v>147</v>
      </c>
      <c r="B719" s="92" t="s">
        <v>130</v>
      </c>
      <c r="C719" s="93"/>
      <c r="D719" s="93"/>
      <c r="E719" s="93"/>
      <c r="F719" s="93"/>
      <c r="G719" s="94" t="s">
        <v>463</v>
      </c>
      <c r="H719" s="94" t="s">
        <v>464</v>
      </c>
    </row>
    <row r="720" spans="1:10" ht="15" customHeight="1" x14ac:dyDescent="0.3">
      <c r="A720" s="2" t="s">
        <v>465</v>
      </c>
      <c r="G720" s="68">
        <f>'A - Baseline Request'!D61</f>
        <v>0</v>
      </c>
      <c r="H720" s="68">
        <f>'A - Baseline Request'!I61</f>
        <v>0</v>
      </c>
    </row>
    <row r="721" spans="1:10" ht="15" customHeight="1" x14ac:dyDescent="0.3">
      <c r="A721" s="2" t="s">
        <v>466</v>
      </c>
      <c r="G721" s="124">
        <f>'A - Baseline Request'!E61</f>
        <v>0</v>
      </c>
      <c r="H721" s="124">
        <f>'A - Baseline Request'!J61</f>
        <v>0</v>
      </c>
    </row>
    <row r="722" spans="1:10" ht="15" customHeight="1" x14ac:dyDescent="0.3">
      <c r="A722" s="71" t="s">
        <v>411</v>
      </c>
      <c r="B722" s="71"/>
      <c r="D722" s="71"/>
      <c r="G722" s="68">
        <f>SUM(G720:G721)</f>
        <v>0</v>
      </c>
      <c r="H722" s="68">
        <f>SUM(H720:H721)</f>
        <v>0</v>
      </c>
    </row>
    <row r="723" spans="1:10" s="73" customFormat="1" ht="21" customHeight="1" thickBot="1" x14ac:dyDescent="0.35">
      <c r="A723" s="7"/>
      <c r="C723" s="78" t="s">
        <v>462</v>
      </c>
      <c r="D723" s="79"/>
      <c r="E723" s="79"/>
      <c r="F723" s="79"/>
      <c r="G723" s="772">
        <f>G722+H722</f>
        <v>0</v>
      </c>
      <c r="H723" s="772"/>
      <c r="J723" s="130"/>
    </row>
    <row r="724" spans="1:10" ht="15" customHeight="1" thickTop="1" x14ac:dyDescent="0.3">
      <c r="A724" s="71"/>
    </row>
    <row r="725" spans="1:10" ht="15" customHeight="1" x14ac:dyDescent="0.3">
      <c r="A725" s="80" t="s">
        <v>407</v>
      </c>
    </row>
    <row r="726" spans="1:10" ht="66.75" customHeight="1" thickBot="1" x14ac:dyDescent="0.35">
      <c r="A726" s="773" t="s">
        <v>519</v>
      </c>
      <c r="B726" s="773"/>
      <c r="C726" s="773"/>
      <c r="D726" s="773"/>
      <c r="E726" s="773"/>
      <c r="F726" s="773"/>
      <c r="G726" s="773"/>
      <c r="H726" s="773"/>
      <c r="I726" s="130"/>
    </row>
    <row r="727" spans="1:10" ht="15" hidden="1" customHeight="1" thickBot="1" x14ac:dyDescent="0.25">
      <c r="A727" s="108"/>
      <c r="B727" s="108"/>
      <c r="C727" s="108"/>
      <c r="D727" s="108"/>
      <c r="E727" s="108"/>
      <c r="F727" s="108"/>
      <c r="G727" s="109"/>
      <c r="H727" s="109"/>
      <c r="I727" s="108"/>
    </row>
    <row r="728" spans="1:10" ht="26.25" customHeight="1" thickTop="1" x14ac:dyDescent="0.3">
      <c r="A728" s="91" t="s">
        <v>606</v>
      </c>
      <c r="B728" s="92" t="s">
        <v>132</v>
      </c>
      <c r="C728" s="93"/>
      <c r="D728" s="93"/>
      <c r="E728" s="93"/>
      <c r="F728" s="93"/>
      <c r="G728" s="94" t="s">
        <v>463</v>
      </c>
      <c r="H728" s="94" t="s">
        <v>464</v>
      </c>
    </row>
    <row r="729" spans="1:10" ht="15" customHeight="1" x14ac:dyDescent="0.3">
      <c r="A729" s="2" t="s">
        <v>465</v>
      </c>
      <c r="G729" s="68">
        <f>'A - Baseline Request'!D62</f>
        <v>0</v>
      </c>
      <c r="H729" s="68">
        <f>'A - Baseline Request'!I62</f>
        <v>0</v>
      </c>
    </row>
    <row r="730" spans="1:10" ht="15" customHeight="1" x14ac:dyDescent="0.3">
      <c r="A730" s="2" t="s">
        <v>466</v>
      </c>
      <c r="G730" s="124">
        <f>'A - Baseline Request'!E62</f>
        <v>0</v>
      </c>
      <c r="H730" s="124">
        <f>'A - Baseline Request'!J62</f>
        <v>0</v>
      </c>
    </row>
    <row r="731" spans="1:10" ht="15" customHeight="1" x14ac:dyDescent="0.3">
      <c r="A731" s="71" t="s">
        <v>411</v>
      </c>
      <c r="B731" s="71"/>
      <c r="D731" s="71"/>
      <c r="G731" s="68">
        <f>SUM(G729:G730)</f>
        <v>0</v>
      </c>
      <c r="H731" s="68">
        <f>SUM(H729:H730)</f>
        <v>0</v>
      </c>
    </row>
    <row r="732" spans="1:10" s="73" customFormat="1" ht="21" customHeight="1" thickBot="1" x14ac:dyDescent="0.35">
      <c r="A732" s="7"/>
      <c r="C732" s="78" t="s">
        <v>462</v>
      </c>
      <c r="D732" s="79"/>
      <c r="E732" s="79"/>
      <c r="F732" s="79"/>
      <c r="G732" s="772">
        <f>G731+H731</f>
        <v>0</v>
      </c>
      <c r="H732" s="772"/>
      <c r="J732" s="130"/>
    </row>
    <row r="733" spans="1:10" ht="15" customHeight="1" thickTop="1" x14ac:dyDescent="0.3">
      <c r="A733" s="71"/>
    </row>
    <row r="734" spans="1:10" ht="15" customHeight="1" x14ac:dyDescent="0.3">
      <c r="A734" s="80" t="s">
        <v>407</v>
      </c>
    </row>
    <row r="735" spans="1:10" ht="80.25" customHeight="1" x14ac:dyDescent="0.3">
      <c r="A735" s="773" t="s">
        <v>434</v>
      </c>
      <c r="B735" s="773"/>
      <c r="C735" s="773"/>
      <c r="D735" s="773"/>
      <c r="E735" s="773"/>
      <c r="F735" s="773"/>
      <c r="G735" s="773"/>
      <c r="H735" s="773"/>
    </row>
    <row r="736" spans="1:10" ht="15" hidden="1" customHeight="1" x14ac:dyDescent="0.2">
      <c r="A736" s="71"/>
    </row>
    <row r="737" spans="1:10" ht="15" customHeight="1" thickBot="1" x14ac:dyDescent="0.35">
      <c r="I737" s="456"/>
    </row>
    <row r="738" spans="1:10" ht="26.25" customHeight="1" thickTop="1" x14ac:dyDescent="0.3">
      <c r="A738" s="91" t="s">
        <v>607</v>
      </c>
      <c r="B738" s="92" t="s">
        <v>134</v>
      </c>
      <c r="C738" s="93"/>
      <c r="D738" s="93"/>
      <c r="E738" s="93"/>
      <c r="F738" s="93"/>
      <c r="G738" s="94" t="s">
        <v>463</v>
      </c>
      <c r="H738" s="94" t="s">
        <v>464</v>
      </c>
    </row>
    <row r="739" spans="1:10" ht="15" customHeight="1" x14ac:dyDescent="0.3">
      <c r="A739" s="2" t="s">
        <v>465</v>
      </c>
      <c r="G739" s="68">
        <f>'A - Baseline Request'!D63</f>
        <v>2000000</v>
      </c>
      <c r="H739" s="68">
        <f>'A - Baseline Request'!I63</f>
        <v>2000000</v>
      </c>
    </row>
    <row r="740" spans="1:10" ht="15" customHeight="1" x14ac:dyDescent="0.3">
      <c r="A740" s="2" t="s">
        <v>466</v>
      </c>
      <c r="G740" s="124">
        <f>'A - Baseline Request'!E63</f>
        <v>0</v>
      </c>
      <c r="H740" s="124">
        <f>'A - Baseline Request'!J63</f>
        <v>0</v>
      </c>
    </row>
    <row r="741" spans="1:10" ht="15" customHeight="1" x14ac:dyDescent="0.3">
      <c r="A741" s="71" t="s">
        <v>411</v>
      </c>
      <c r="B741" s="71"/>
      <c r="D741" s="71"/>
      <c r="G741" s="68">
        <f>SUM(G739:G740)</f>
        <v>2000000</v>
      </c>
      <c r="H741" s="68">
        <f>SUM(H739:H740)</f>
        <v>2000000</v>
      </c>
      <c r="I741" s="98"/>
    </row>
    <row r="742" spans="1:10" s="73" customFormat="1" ht="21" customHeight="1" thickBot="1" x14ac:dyDescent="0.35">
      <c r="A742" s="7"/>
      <c r="C742" s="78" t="s">
        <v>462</v>
      </c>
      <c r="D742" s="79"/>
      <c r="E742" s="79"/>
      <c r="F742" s="79"/>
      <c r="G742" s="772">
        <f>G741+H741</f>
        <v>4000000</v>
      </c>
      <c r="H742" s="772"/>
      <c r="J742" s="130"/>
    </row>
    <row r="743" spans="1:10" ht="15" customHeight="1" thickTop="1" x14ac:dyDescent="0.3">
      <c r="A743" s="71"/>
    </row>
    <row r="744" spans="1:10" ht="15" customHeight="1" x14ac:dyDescent="0.3">
      <c r="A744" s="80" t="s">
        <v>407</v>
      </c>
    </row>
    <row r="745" spans="1:10" ht="118.5" customHeight="1" x14ac:dyDescent="0.3">
      <c r="A745" s="773" t="s">
        <v>723</v>
      </c>
      <c r="B745" s="773"/>
      <c r="C745" s="773"/>
      <c r="D745" s="773"/>
      <c r="E745" s="773"/>
      <c r="F745" s="773"/>
      <c r="G745" s="773"/>
      <c r="H745" s="773"/>
    </row>
    <row r="746" spans="1:10" ht="15" hidden="1" customHeight="1" x14ac:dyDescent="0.2">
      <c r="A746" s="119"/>
      <c r="B746" s="119"/>
      <c r="C746" s="119"/>
      <c r="D746" s="119"/>
      <c r="E746" s="119"/>
      <c r="F746" s="119"/>
      <c r="G746" s="119"/>
      <c r="H746" s="119"/>
      <c r="J746" s="132"/>
    </row>
    <row r="747" spans="1:10" s="69" customFormat="1" ht="15" customHeight="1" thickBot="1" x14ac:dyDescent="0.35">
      <c r="A747" s="90"/>
      <c r="B747" s="90"/>
      <c r="C747" s="90"/>
      <c r="D747" s="90"/>
      <c r="E747" s="90"/>
      <c r="F747" s="90"/>
      <c r="G747" s="90"/>
      <c r="H747" s="90"/>
      <c r="I747" s="90"/>
      <c r="J747" s="164"/>
    </row>
    <row r="748" spans="1:10" ht="26.25" customHeight="1" thickTop="1" x14ac:dyDescent="0.3">
      <c r="A748" s="91" t="s">
        <v>608</v>
      </c>
      <c r="B748" s="92" t="s">
        <v>136</v>
      </c>
      <c r="C748" s="93"/>
      <c r="D748" s="93"/>
      <c r="E748" s="93"/>
      <c r="F748" s="93"/>
      <c r="G748" s="94" t="s">
        <v>463</v>
      </c>
      <c r="H748" s="94" t="s">
        <v>464</v>
      </c>
    </row>
    <row r="749" spans="1:10" ht="15" customHeight="1" x14ac:dyDescent="0.3">
      <c r="A749" s="2" t="s">
        <v>465</v>
      </c>
      <c r="G749" s="68">
        <f>'A - Baseline Request'!D64</f>
        <v>0</v>
      </c>
      <c r="H749" s="68">
        <f>'A - Baseline Request'!I64</f>
        <v>0</v>
      </c>
      <c r="I749" s="108"/>
    </row>
    <row r="750" spans="1:10" ht="15" customHeight="1" x14ac:dyDescent="0.3">
      <c r="A750" s="2" t="s">
        <v>466</v>
      </c>
      <c r="G750" s="124">
        <f>'A - Baseline Request'!E64</f>
        <v>0</v>
      </c>
      <c r="H750" s="124">
        <f>'A - Baseline Request'!J64</f>
        <v>0</v>
      </c>
    </row>
    <row r="751" spans="1:10" ht="15" customHeight="1" x14ac:dyDescent="0.3">
      <c r="A751" s="71" t="s">
        <v>411</v>
      </c>
      <c r="B751" s="71"/>
      <c r="D751" s="71"/>
      <c r="G751" s="68">
        <f>SUM(G749:G750)</f>
        <v>0</v>
      </c>
      <c r="H751" s="68">
        <f>SUM(H749:H750)</f>
        <v>0</v>
      </c>
    </row>
    <row r="752" spans="1:10" s="73" customFormat="1" ht="21" customHeight="1" thickBot="1" x14ac:dyDescent="0.35">
      <c r="A752" s="7"/>
      <c r="C752" s="78" t="s">
        <v>462</v>
      </c>
      <c r="D752" s="79"/>
      <c r="E752" s="79"/>
      <c r="F752" s="79"/>
      <c r="G752" s="772">
        <f>G751+H751</f>
        <v>0</v>
      </c>
      <c r="H752" s="772"/>
      <c r="J752" s="130"/>
    </row>
    <row r="753" spans="1:10" s="98" customFormat="1" ht="15" customHeight="1" thickTop="1" x14ac:dyDescent="0.3">
      <c r="A753" s="71"/>
      <c r="B753" s="2"/>
      <c r="C753" s="67"/>
      <c r="D753" s="67"/>
      <c r="E753" s="67"/>
      <c r="F753" s="67"/>
      <c r="G753" s="68"/>
      <c r="H753" s="68"/>
      <c r="I753" s="67"/>
      <c r="J753" s="130"/>
    </row>
    <row r="754" spans="1:10" ht="15" customHeight="1" x14ac:dyDescent="0.3">
      <c r="A754" s="80" t="s">
        <v>407</v>
      </c>
    </row>
    <row r="755" spans="1:10" ht="66.75" customHeight="1" x14ac:dyDescent="0.3">
      <c r="A755" s="793" t="s">
        <v>438</v>
      </c>
      <c r="B755" s="793"/>
      <c r="C755" s="793"/>
      <c r="D755" s="793"/>
      <c r="E755" s="793"/>
      <c r="F755" s="793"/>
      <c r="G755" s="793"/>
      <c r="H755" s="793"/>
      <c r="J755" s="132"/>
    </row>
    <row r="756" spans="1:10" ht="15" hidden="1" customHeight="1" x14ac:dyDescent="0.2">
      <c r="A756" s="119"/>
      <c r="B756" s="119"/>
      <c r="C756" s="119"/>
      <c r="D756" s="119"/>
      <c r="E756" s="119"/>
      <c r="F756" s="119"/>
      <c r="G756" s="119"/>
      <c r="H756" s="119"/>
    </row>
    <row r="757" spans="1:10" ht="15" customHeight="1" thickBot="1" x14ac:dyDescent="0.35">
      <c r="I757" s="130"/>
    </row>
    <row r="758" spans="1:10" ht="15" hidden="1" customHeight="1" x14ac:dyDescent="0.2">
      <c r="A758" s="71" t="s">
        <v>137</v>
      </c>
      <c r="B758" s="71" t="s">
        <v>138</v>
      </c>
      <c r="G758" s="72" t="s">
        <v>401</v>
      </c>
      <c r="H758" s="72" t="s">
        <v>402</v>
      </c>
    </row>
    <row r="759" spans="1:10" ht="15" hidden="1" customHeight="1" x14ac:dyDescent="0.2">
      <c r="A759" s="2" t="s">
        <v>403</v>
      </c>
      <c r="G759" s="68">
        <v>0</v>
      </c>
      <c r="H759" s="68">
        <v>0</v>
      </c>
    </row>
    <row r="760" spans="1:10" ht="15" hidden="1" customHeight="1" x14ac:dyDescent="0.2">
      <c r="A760" s="2" t="s">
        <v>404</v>
      </c>
      <c r="G760" s="124">
        <v>0</v>
      </c>
      <c r="H760" s="124">
        <v>0</v>
      </c>
      <c r="I760" s="81"/>
    </row>
    <row r="761" spans="1:10" ht="15" hidden="1" customHeight="1" x14ac:dyDescent="0.2">
      <c r="A761" s="71" t="s">
        <v>411</v>
      </c>
      <c r="B761" s="71"/>
      <c r="D761" s="71"/>
      <c r="G761" s="68">
        <v>0</v>
      </c>
      <c r="H761" s="68">
        <v>0</v>
      </c>
      <c r="I761" s="66"/>
    </row>
    <row r="762" spans="1:10" s="73" customFormat="1" ht="21" hidden="1" customHeight="1" thickBot="1" x14ac:dyDescent="0.25">
      <c r="A762" s="7"/>
      <c r="C762" s="78" t="s">
        <v>406</v>
      </c>
      <c r="D762" s="79"/>
      <c r="E762" s="79"/>
      <c r="F762" s="79"/>
      <c r="G762" s="772">
        <v>0</v>
      </c>
      <c r="H762" s="772"/>
      <c r="J762" s="130"/>
    </row>
    <row r="763" spans="1:10" ht="12.75" hidden="1" customHeight="1" thickTop="1" x14ac:dyDescent="0.25">
      <c r="A763" s="71"/>
      <c r="J763" s="165"/>
    </row>
    <row r="764" spans="1:10" ht="15" hidden="1" customHeight="1" x14ac:dyDescent="0.25">
      <c r="A764" s="80" t="s">
        <v>407</v>
      </c>
      <c r="J764" s="165"/>
    </row>
    <row r="765" spans="1:10" ht="121.5" hidden="1" customHeight="1" thickBot="1" x14ac:dyDescent="0.25">
      <c r="A765" s="765" t="s">
        <v>237</v>
      </c>
      <c r="B765" s="765"/>
      <c r="C765" s="765"/>
      <c r="D765" s="765"/>
      <c r="E765" s="765"/>
      <c r="F765" s="765"/>
      <c r="G765" s="765"/>
      <c r="H765" s="765"/>
    </row>
    <row r="766" spans="1:10" s="69" customFormat="1" ht="26.25" customHeight="1" thickTop="1" x14ac:dyDescent="0.3">
      <c r="A766" s="142" t="s">
        <v>609</v>
      </c>
      <c r="B766" s="143" t="s">
        <v>253</v>
      </c>
      <c r="C766" s="144"/>
      <c r="D766" s="144"/>
      <c r="E766" s="144"/>
      <c r="F766" s="144"/>
      <c r="G766" s="145" t="s">
        <v>463</v>
      </c>
      <c r="H766" s="145" t="s">
        <v>464</v>
      </c>
      <c r="J766" s="164"/>
    </row>
    <row r="767" spans="1:10" s="69" customFormat="1" ht="15" customHeight="1" x14ac:dyDescent="0.3">
      <c r="A767" s="59" t="s">
        <v>465</v>
      </c>
      <c r="B767" s="59"/>
      <c r="G767" s="68">
        <f>'A - Baseline Request'!D65</f>
        <v>760177</v>
      </c>
      <c r="H767" s="68">
        <f>'A - Baseline Request'!I65</f>
        <v>760176</v>
      </c>
      <c r="J767" s="164"/>
    </row>
    <row r="768" spans="1:10" s="69" customFormat="1" ht="15" customHeight="1" x14ac:dyDescent="0.3">
      <c r="A768" s="59" t="s">
        <v>466</v>
      </c>
      <c r="B768" s="59"/>
      <c r="G768" s="128">
        <f>'A - Baseline Request'!E65</f>
        <v>0</v>
      </c>
      <c r="H768" s="128">
        <f>'A - Baseline Request'!J65</f>
        <v>0</v>
      </c>
      <c r="I768" s="146"/>
      <c r="J768" s="164"/>
    </row>
    <row r="769" spans="1:10" s="69" customFormat="1" ht="15" customHeight="1" x14ac:dyDescent="0.3">
      <c r="A769" s="141" t="s">
        <v>412</v>
      </c>
      <c r="B769" s="141"/>
      <c r="D769" s="141"/>
      <c r="G769" s="126">
        <f>G767+G768</f>
        <v>760177</v>
      </c>
      <c r="H769" s="126">
        <f>H767+H768</f>
        <v>760176</v>
      </c>
      <c r="I769" s="149"/>
      <c r="J769" s="164"/>
    </row>
    <row r="770" spans="1:10" s="127" customFormat="1" ht="21" customHeight="1" thickBot="1" x14ac:dyDescent="0.35">
      <c r="A770" s="150"/>
      <c r="C770" s="151" t="s">
        <v>462</v>
      </c>
      <c r="D770" s="152"/>
      <c r="E770" s="152"/>
      <c r="F770" s="152"/>
      <c r="G770" s="796">
        <f>G769+H769</f>
        <v>1520353</v>
      </c>
      <c r="H770" s="796"/>
      <c r="J770" s="164"/>
    </row>
    <row r="771" spans="1:10" ht="15" customHeight="1" thickTop="1" x14ac:dyDescent="0.3">
      <c r="A771" s="71"/>
    </row>
    <row r="772" spans="1:10" ht="15" customHeight="1" x14ac:dyDescent="0.3">
      <c r="A772" s="80" t="s">
        <v>407</v>
      </c>
    </row>
    <row r="773" spans="1:10" ht="83.25" customHeight="1" x14ac:dyDescent="0.3">
      <c r="A773" s="773" t="s">
        <v>785</v>
      </c>
      <c r="B773" s="773"/>
      <c r="C773" s="773"/>
      <c r="D773" s="773"/>
      <c r="E773" s="773"/>
      <c r="F773" s="773"/>
      <c r="G773" s="773"/>
      <c r="H773" s="773"/>
    </row>
    <row r="774" spans="1:10" s="69" customFormat="1" ht="15" hidden="1" customHeight="1" x14ac:dyDescent="0.2">
      <c r="A774" s="140"/>
      <c r="B774" s="140"/>
      <c r="C774" s="140"/>
      <c r="D774" s="140"/>
      <c r="E774" s="140"/>
      <c r="F774" s="140"/>
      <c r="G774" s="140"/>
      <c r="H774" s="140"/>
      <c r="I774" s="140"/>
      <c r="J774" s="164"/>
    </row>
    <row r="775" spans="1:10" ht="15" customHeight="1" thickBot="1" x14ac:dyDescent="0.35">
      <c r="A775" s="108"/>
      <c r="B775" s="108"/>
      <c r="C775" s="108"/>
      <c r="D775" s="108"/>
      <c r="E775" s="108"/>
      <c r="F775" s="108"/>
      <c r="G775" s="109"/>
      <c r="H775" s="109"/>
      <c r="I775" s="456"/>
    </row>
    <row r="776" spans="1:10" ht="26.25" customHeight="1" thickTop="1" x14ac:dyDescent="0.3">
      <c r="A776" s="91" t="s">
        <v>610</v>
      </c>
      <c r="B776" s="92" t="s">
        <v>74</v>
      </c>
      <c r="C776" s="93"/>
      <c r="D776" s="93"/>
      <c r="E776" s="93"/>
      <c r="F776" s="93"/>
      <c r="G776" s="94" t="s">
        <v>463</v>
      </c>
      <c r="H776" s="94" t="s">
        <v>464</v>
      </c>
    </row>
    <row r="777" spans="1:10" s="73" customFormat="1" ht="15" customHeight="1" x14ac:dyDescent="0.3">
      <c r="A777" s="7" t="s">
        <v>465</v>
      </c>
      <c r="B777" s="7"/>
      <c r="G777" s="74">
        <f>'A - Baseline Request'!D66</f>
        <v>0</v>
      </c>
      <c r="H777" s="74">
        <f>'A - Baseline Request'!I66</f>
        <v>0</v>
      </c>
      <c r="J777" s="132"/>
    </row>
    <row r="778" spans="1:10" ht="15" customHeight="1" x14ac:dyDescent="0.3">
      <c r="A778" s="2" t="s">
        <v>466</v>
      </c>
      <c r="G778" s="124">
        <f>'A - Baseline Request'!E66</f>
        <v>0</v>
      </c>
      <c r="H778" s="124">
        <f>'A - Baseline Request'!J66</f>
        <v>0</v>
      </c>
      <c r="J778" s="165"/>
    </row>
    <row r="779" spans="1:10" ht="15" customHeight="1" x14ac:dyDescent="0.3">
      <c r="A779" s="71" t="s">
        <v>412</v>
      </c>
      <c r="B779" s="71"/>
      <c r="D779" s="71"/>
      <c r="G779" s="68">
        <f>SUM(G777:G778)</f>
        <v>0</v>
      </c>
      <c r="H779" s="68">
        <f>SUM(H777:H778)</f>
        <v>0</v>
      </c>
    </row>
    <row r="780" spans="1:10" s="73" customFormat="1" ht="21" customHeight="1" thickBot="1" x14ac:dyDescent="0.35">
      <c r="A780" s="7"/>
      <c r="C780" s="78" t="s">
        <v>462</v>
      </c>
      <c r="D780" s="79"/>
      <c r="E780" s="79"/>
      <c r="F780" s="79"/>
      <c r="G780" s="772">
        <f>G779+H779</f>
        <v>0</v>
      </c>
      <c r="H780" s="772"/>
      <c r="J780" s="130"/>
    </row>
    <row r="781" spans="1:10" s="96" customFormat="1" ht="15" customHeight="1" thickTop="1" x14ac:dyDescent="0.3">
      <c r="A781" s="71"/>
      <c r="B781" s="2"/>
      <c r="C781" s="67"/>
      <c r="D781" s="67"/>
      <c r="E781" s="67"/>
      <c r="F781" s="67"/>
      <c r="G781" s="68"/>
      <c r="H781" s="68"/>
      <c r="I781" s="67"/>
      <c r="J781" s="130"/>
    </row>
    <row r="782" spans="1:10" s="125" customFormat="1" ht="15" customHeight="1" x14ac:dyDescent="0.3">
      <c r="A782" s="80" t="s">
        <v>407</v>
      </c>
      <c r="B782" s="2"/>
      <c r="C782" s="67"/>
      <c r="D782" s="67"/>
      <c r="E782" s="67"/>
      <c r="F782" s="67"/>
      <c r="G782" s="68"/>
      <c r="H782" s="68"/>
      <c r="I782" s="67"/>
      <c r="J782" s="130"/>
    </row>
    <row r="783" spans="1:10" s="73" customFormat="1" ht="53.25" customHeight="1" x14ac:dyDescent="0.3">
      <c r="A783" s="793" t="s">
        <v>760</v>
      </c>
      <c r="B783" s="793"/>
      <c r="C783" s="793"/>
      <c r="D783" s="793"/>
      <c r="E783" s="793"/>
      <c r="F783" s="793"/>
      <c r="G783" s="793"/>
      <c r="H783" s="793"/>
      <c r="I783" s="793"/>
      <c r="J783" s="130"/>
    </row>
    <row r="784" spans="1:10" ht="15" hidden="1" customHeight="1" x14ac:dyDescent="0.2">
      <c r="A784" s="7"/>
      <c r="B784" s="7"/>
      <c r="C784" s="73"/>
      <c r="D784" s="73"/>
      <c r="E784" s="73"/>
      <c r="F784" s="73"/>
      <c r="G784" s="74"/>
      <c r="H784" s="74"/>
      <c r="I784" s="73"/>
      <c r="J784" s="129"/>
    </row>
    <row r="785" spans="1:10" s="127" customFormat="1" ht="15" customHeight="1" thickBot="1" x14ac:dyDescent="0.35">
      <c r="A785" s="59"/>
      <c r="B785" s="59"/>
      <c r="C785" s="69"/>
      <c r="D785" s="69"/>
      <c r="E785" s="69"/>
      <c r="F785" s="69"/>
      <c r="G785" s="126"/>
      <c r="H785" s="126"/>
      <c r="I785" s="466"/>
      <c r="J785" s="172"/>
    </row>
    <row r="786" spans="1:10" ht="15" customHeight="1" thickTop="1" x14ac:dyDescent="0.3">
      <c r="A786" s="352"/>
      <c r="B786" s="352"/>
      <c r="C786" s="352"/>
      <c r="D786" s="352"/>
      <c r="E786" s="352"/>
      <c r="F786" s="352"/>
      <c r="G786" s="353"/>
      <c r="H786" s="353"/>
    </row>
    <row r="787" spans="1:10" ht="15" customHeight="1" x14ac:dyDescent="0.3">
      <c r="A787" s="792" t="s">
        <v>715</v>
      </c>
      <c r="B787" s="792"/>
      <c r="C787" s="792"/>
      <c r="D787" s="792"/>
      <c r="E787" s="792"/>
      <c r="F787" s="792"/>
      <c r="G787" s="792"/>
      <c r="H787" s="792"/>
    </row>
    <row r="788" spans="1:10" ht="15" customHeight="1" x14ac:dyDescent="0.3">
      <c r="A788" s="129"/>
      <c r="B788" s="129"/>
      <c r="C788" s="130"/>
      <c r="D788" s="130"/>
      <c r="E788" s="130"/>
      <c r="F788" s="130"/>
      <c r="G788" s="131"/>
      <c r="H788" s="131"/>
    </row>
    <row r="789" spans="1:10" s="130" customFormat="1" ht="16.5" customHeight="1" x14ac:dyDescent="0.3">
      <c r="A789" s="133" t="s">
        <v>149</v>
      </c>
      <c r="B789" s="134" t="s">
        <v>140</v>
      </c>
      <c r="G789" s="135" t="s">
        <v>463</v>
      </c>
      <c r="H789" s="135" t="s">
        <v>464</v>
      </c>
    </row>
    <row r="790" spans="1:10" ht="15" customHeight="1" x14ac:dyDescent="0.3">
      <c r="A790" s="2" t="s">
        <v>466</v>
      </c>
      <c r="G790" s="124">
        <f>'A - Baseline Request'!$E$68</f>
        <v>0</v>
      </c>
      <c r="H790" s="124">
        <f>'A - Baseline Request'!$J$68</f>
        <v>0</v>
      </c>
      <c r="I790" s="66"/>
    </row>
    <row r="791" spans="1:10" s="73" customFormat="1" ht="21" customHeight="1" thickBot="1" x14ac:dyDescent="0.35">
      <c r="A791" s="7"/>
      <c r="C791" s="78" t="s">
        <v>462</v>
      </c>
      <c r="D791" s="79"/>
      <c r="E791" s="79"/>
      <c r="F791" s="79"/>
      <c r="G791" s="772">
        <f>G790+H790</f>
        <v>0</v>
      </c>
      <c r="H791" s="772"/>
      <c r="J791" s="130"/>
    </row>
    <row r="792" spans="1:10" ht="15" customHeight="1" thickTop="1" x14ac:dyDescent="0.3">
      <c r="A792" s="71"/>
    </row>
    <row r="793" spans="1:10" ht="15" customHeight="1" x14ac:dyDescent="0.3">
      <c r="A793" s="80" t="s">
        <v>407</v>
      </c>
    </row>
    <row r="794" spans="1:10" ht="42.75" customHeight="1" x14ac:dyDescent="0.3">
      <c r="A794" s="793" t="s">
        <v>761</v>
      </c>
      <c r="B794" s="793"/>
      <c r="C794" s="793"/>
      <c r="D794" s="793"/>
      <c r="E794" s="793"/>
      <c r="F794" s="793"/>
      <c r="G794" s="793"/>
      <c r="H794" s="793"/>
    </row>
    <row r="795" spans="1:10" ht="15" customHeight="1" thickBot="1" x14ac:dyDescent="0.35">
      <c r="I795" s="456"/>
    </row>
    <row r="796" spans="1:10" ht="26.25" customHeight="1" thickTop="1" x14ac:dyDescent="0.3">
      <c r="A796" s="91" t="s">
        <v>151</v>
      </c>
      <c r="B796" s="92" t="s">
        <v>142</v>
      </c>
      <c r="C796" s="93"/>
      <c r="D796" s="93"/>
      <c r="E796" s="93"/>
      <c r="F796" s="93"/>
      <c r="G796" s="94" t="s">
        <v>463</v>
      </c>
      <c r="H796" s="94" t="s">
        <v>464</v>
      </c>
    </row>
    <row r="797" spans="1:10" ht="15" customHeight="1" x14ac:dyDescent="0.3">
      <c r="A797" s="2" t="s">
        <v>466</v>
      </c>
      <c r="G797" s="124">
        <f>'A - Baseline Request'!E69</f>
        <v>24000000</v>
      </c>
      <c r="H797" s="124">
        <f>'A - Baseline Request'!J69</f>
        <v>24000000</v>
      </c>
    </row>
    <row r="798" spans="1:10" s="73" customFormat="1" ht="21" customHeight="1" thickBot="1" x14ac:dyDescent="0.35">
      <c r="A798" s="7"/>
      <c r="C798" s="78" t="s">
        <v>462</v>
      </c>
      <c r="D798" s="79"/>
      <c r="E798" s="79"/>
      <c r="F798" s="79"/>
      <c r="G798" s="772">
        <f>G797+H797</f>
        <v>48000000</v>
      </c>
      <c r="H798" s="772"/>
      <c r="J798" s="130"/>
    </row>
    <row r="799" spans="1:10" ht="15" customHeight="1" thickTop="1" x14ac:dyDescent="0.3">
      <c r="A799" s="71"/>
    </row>
    <row r="800" spans="1:10" ht="15" customHeight="1" x14ac:dyDescent="0.3">
      <c r="A800" s="80" t="s">
        <v>407</v>
      </c>
    </row>
    <row r="801" spans="1:10" ht="104.25" customHeight="1" thickBot="1" x14ac:dyDescent="0.35">
      <c r="A801" s="795" t="s">
        <v>514</v>
      </c>
      <c r="B801" s="795"/>
      <c r="C801" s="795"/>
      <c r="D801" s="795"/>
      <c r="E801" s="795"/>
      <c r="F801" s="795"/>
      <c r="G801" s="795"/>
      <c r="H801" s="795"/>
      <c r="I801" s="456"/>
    </row>
    <row r="802" spans="1:10" s="69" customFormat="1" ht="15" hidden="1" customHeight="1" thickBot="1" x14ac:dyDescent="0.25">
      <c r="A802" s="90"/>
      <c r="B802" s="90"/>
      <c r="C802" s="90"/>
      <c r="D802" s="90"/>
      <c r="E802" s="90"/>
      <c r="F802" s="90"/>
      <c r="G802" s="90"/>
      <c r="H802" s="90"/>
      <c r="I802" s="90"/>
      <c r="J802" s="164"/>
    </row>
    <row r="803" spans="1:10" ht="26.25" customHeight="1" thickTop="1" x14ac:dyDescent="0.3">
      <c r="A803" s="91" t="s">
        <v>611</v>
      </c>
      <c r="B803" s="92" t="s">
        <v>144</v>
      </c>
      <c r="C803" s="93"/>
      <c r="D803" s="93"/>
      <c r="E803" s="93"/>
      <c r="F803" s="93"/>
      <c r="G803" s="94" t="s">
        <v>463</v>
      </c>
      <c r="H803" s="94" t="s">
        <v>464</v>
      </c>
    </row>
    <row r="804" spans="1:10" ht="15" customHeight="1" x14ac:dyDescent="0.3">
      <c r="A804" s="2" t="s">
        <v>466</v>
      </c>
      <c r="G804" s="124">
        <f>'A - Baseline Request'!E70</f>
        <v>5484000</v>
      </c>
      <c r="H804" s="124">
        <f>'A - Baseline Request'!J70</f>
        <v>284000</v>
      </c>
    </row>
    <row r="805" spans="1:10" s="73" customFormat="1" ht="21" customHeight="1" thickBot="1" x14ac:dyDescent="0.35">
      <c r="A805" s="7"/>
      <c r="C805" s="78" t="s">
        <v>462</v>
      </c>
      <c r="D805" s="79"/>
      <c r="E805" s="79"/>
      <c r="F805" s="79"/>
      <c r="G805" s="772">
        <f>G804+H804</f>
        <v>5768000</v>
      </c>
      <c r="H805" s="772"/>
      <c r="J805" s="130"/>
    </row>
    <row r="806" spans="1:10" ht="15" customHeight="1" thickTop="1" x14ac:dyDescent="0.3">
      <c r="A806" s="71"/>
    </row>
    <row r="807" spans="1:10" ht="15" customHeight="1" x14ac:dyDescent="0.3">
      <c r="A807" s="80" t="s">
        <v>407</v>
      </c>
    </row>
    <row r="808" spans="1:10" ht="114.75" customHeight="1" x14ac:dyDescent="0.3">
      <c r="A808" s="773" t="s">
        <v>515</v>
      </c>
      <c r="B808" s="773"/>
      <c r="C808" s="773"/>
      <c r="D808" s="773"/>
      <c r="E808" s="773"/>
      <c r="F808" s="773"/>
      <c r="G808" s="773"/>
      <c r="H808" s="773"/>
    </row>
    <row r="809" spans="1:10" ht="15" customHeight="1" thickBot="1" x14ac:dyDescent="0.35">
      <c r="I809" s="456"/>
    </row>
    <row r="810" spans="1:10" ht="26.25" customHeight="1" thickTop="1" x14ac:dyDescent="0.3">
      <c r="A810" s="91" t="s">
        <v>612</v>
      </c>
      <c r="B810" s="92" t="s">
        <v>431</v>
      </c>
      <c r="C810" s="93"/>
      <c r="D810" s="93"/>
      <c r="E810" s="93"/>
      <c r="F810" s="93"/>
      <c r="G810" s="94" t="s">
        <v>463</v>
      </c>
      <c r="H810" s="94" t="s">
        <v>464</v>
      </c>
    </row>
    <row r="811" spans="1:10" ht="15" customHeight="1" x14ac:dyDescent="0.3">
      <c r="A811" s="2" t="s">
        <v>466</v>
      </c>
      <c r="G811" s="124">
        <f>'A - Baseline Request'!E71</f>
        <v>112000</v>
      </c>
      <c r="H811" s="124">
        <f>'A - Baseline Request'!J71</f>
        <v>112000</v>
      </c>
    </row>
    <row r="812" spans="1:10" ht="15" customHeight="1" x14ac:dyDescent="0.3">
      <c r="A812" s="71" t="s">
        <v>411</v>
      </c>
      <c r="B812" s="71"/>
      <c r="D812" s="71"/>
      <c r="G812" s="68">
        <f>SUM(G811:G811)</f>
        <v>112000</v>
      </c>
      <c r="H812" s="68">
        <f>SUM(H811:H811)</f>
        <v>112000</v>
      </c>
      <c r="I812" s="98"/>
    </row>
    <row r="813" spans="1:10" s="73" customFormat="1" ht="21" customHeight="1" thickBot="1" x14ac:dyDescent="0.35">
      <c r="A813" s="7"/>
      <c r="C813" s="78" t="s">
        <v>462</v>
      </c>
      <c r="D813" s="79"/>
      <c r="E813" s="79"/>
      <c r="F813" s="79"/>
      <c r="G813" s="772">
        <f>G812+H812</f>
        <v>224000</v>
      </c>
      <c r="H813" s="772"/>
      <c r="J813" s="130"/>
    </row>
    <row r="814" spans="1:10" ht="15" customHeight="1" thickTop="1" x14ac:dyDescent="0.3">
      <c r="A814" s="71"/>
    </row>
    <row r="815" spans="1:10" ht="15" customHeight="1" x14ac:dyDescent="0.3">
      <c r="A815" s="80" t="s">
        <v>407</v>
      </c>
    </row>
    <row r="816" spans="1:10" ht="135.75" customHeight="1" x14ac:dyDescent="0.3">
      <c r="A816" s="773" t="s">
        <v>709</v>
      </c>
      <c r="B816" s="773"/>
      <c r="C816" s="773"/>
      <c r="D816" s="773"/>
      <c r="E816" s="773"/>
      <c r="F816" s="773"/>
      <c r="G816" s="773"/>
      <c r="H816" s="773"/>
    </row>
    <row r="817" spans="1:10" ht="15" hidden="1" customHeight="1" x14ac:dyDescent="0.2">
      <c r="A817" s="119"/>
      <c r="B817" s="119"/>
      <c r="C817" s="119"/>
      <c r="D817" s="119"/>
      <c r="E817" s="119"/>
      <c r="F817" s="119"/>
      <c r="G817" s="119"/>
      <c r="H817" s="119"/>
    </row>
    <row r="818" spans="1:10" ht="15" customHeight="1" thickBot="1" x14ac:dyDescent="0.35">
      <c r="I818" s="456"/>
    </row>
    <row r="819" spans="1:10" ht="26.25" customHeight="1" thickTop="1" x14ac:dyDescent="0.3">
      <c r="A819" s="91" t="s">
        <v>613</v>
      </c>
      <c r="B819" s="92" t="s">
        <v>148</v>
      </c>
      <c r="C819" s="93"/>
      <c r="D819" s="93"/>
      <c r="E819" s="93"/>
      <c r="F819" s="93"/>
      <c r="G819" s="94" t="s">
        <v>463</v>
      </c>
      <c r="H819" s="94" t="s">
        <v>464</v>
      </c>
    </row>
    <row r="820" spans="1:10" ht="15" customHeight="1" x14ac:dyDescent="0.3">
      <c r="A820" s="2" t="s">
        <v>466</v>
      </c>
      <c r="G820" s="124">
        <f>'A - Baseline Request'!E72</f>
        <v>291000</v>
      </c>
      <c r="H820" s="124">
        <f>'A - Baseline Request'!J72</f>
        <v>263000</v>
      </c>
    </row>
    <row r="821" spans="1:10" s="73" customFormat="1" ht="21" customHeight="1" thickBot="1" x14ac:dyDescent="0.35">
      <c r="A821" s="7"/>
      <c r="C821" s="78" t="s">
        <v>462</v>
      </c>
      <c r="D821" s="79"/>
      <c r="E821" s="79"/>
      <c r="F821" s="79"/>
      <c r="G821" s="772">
        <f>G820+H820</f>
        <v>554000</v>
      </c>
      <c r="H821" s="772"/>
      <c r="J821" s="130"/>
    </row>
    <row r="822" spans="1:10" ht="15" customHeight="1" thickTop="1" x14ac:dyDescent="0.3">
      <c r="A822" s="71"/>
    </row>
    <row r="823" spans="1:10" ht="15" customHeight="1" x14ac:dyDescent="0.3">
      <c r="A823" s="80" t="s">
        <v>407</v>
      </c>
    </row>
    <row r="824" spans="1:10" ht="113.25" customHeight="1" thickBot="1" x14ac:dyDescent="0.35">
      <c r="A824" s="773" t="s">
        <v>781</v>
      </c>
      <c r="B824" s="773"/>
      <c r="C824" s="773"/>
      <c r="D824" s="773"/>
      <c r="E824" s="773"/>
      <c r="F824" s="773"/>
      <c r="G824" s="773"/>
      <c r="H824" s="773"/>
      <c r="I824" s="456"/>
    </row>
    <row r="825" spans="1:10" ht="11.25" customHeight="1" thickTop="1" x14ac:dyDescent="0.3">
      <c r="A825" s="348"/>
      <c r="B825" s="348"/>
      <c r="C825" s="93"/>
      <c r="D825" s="93"/>
      <c r="E825" s="93"/>
      <c r="F825" s="93"/>
      <c r="G825" s="349"/>
      <c r="H825" s="349"/>
    </row>
    <row r="826" spans="1:10" ht="15" customHeight="1" x14ac:dyDescent="0.3">
      <c r="A826" s="794" t="s">
        <v>735</v>
      </c>
      <c r="B826" s="794"/>
      <c r="C826" s="794"/>
      <c r="D826" s="794"/>
      <c r="E826" s="794"/>
      <c r="F826" s="794"/>
      <c r="G826" s="794"/>
      <c r="H826" s="794"/>
      <c r="J826" s="134"/>
    </row>
    <row r="827" spans="1:10" ht="15" customHeight="1" x14ac:dyDescent="0.3">
      <c r="A827" s="129"/>
      <c r="B827" s="129"/>
      <c r="C827" s="130"/>
      <c r="D827" s="130"/>
      <c r="E827" s="130"/>
      <c r="F827" s="130"/>
      <c r="G827" s="131"/>
      <c r="H827" s="131"/>
    </row>
    <row r="828" spans="1:10" ht="15" customHeight="1" x14ac:dyDescent="0.3">
      <c r="A828" s="133" t="s">
        <v>157</v>
      </c>
      <c r="B828" s="134" t="s">
        <v>150</v>
      </c>
      <c r="C828" s="130"/>
      <c r="D828" s="130"/>
      <c r="E828" s="130"/>
      <c r="F828" s="130"/>
      <c r="G828" s="135" t="s">
        <v>463</v>
      </c>
      <c r="H828" s="135" t="s">
        <v>464</v>
      </c>
    </row>
    <row r="829" spans="1:10" ht="15" customHeight="1" x14ac:dyDescent="0.3">
      <c r="A829" s="2" t="s">
        <v>466</v>
      </c>
      <c r="G829" s="68">
        <f>'A - Baseline Request'!E75</f>
        <v>1225000</v>
      </c>
      <c r="H829" s="68">
        <f>'A - Baseline Request'!J75</f>
        <v>1225000</v>
      </c>
      <c r="J829" s="132"/>
    </row>
    <row r="830" spans="1:10" s="73" customFormat="1" ht="21" customHeight="1" thickBot="1" x14ac:dyDescent="0.35">
      <c r="A830" s="7"/>
      <c r="C830" s="78" t="s">
        <v>462</v>
      </c>
      <c r="D830" s="79"/>
      <c r="E830" s="79"/>
      <c r="F830" s="79"/>
      <c r="G830" s="772">
        <f>G829+H829</f>
        <v>2450000</v>
      </c>
      <c r="H830" s="772"/>
      <c r="J830" s="130"/>
    </row>
    <row r="831" spans="1:10" ht="15" customHeight="1" thickTop="1" x14ac:dyDescent="0.3">
      <c r="A831" s="71"/>
    </row>
    <row r="832" spans="1:10" ht="15" customHeight="1" x14ac:dyDescent="0.3">
      <c r="A832" s="80" t="s">
        <v>407</v>
      </c>
    </row>
    <row r="833" spans="1:10" ht="65.25" customHeight="1" thickBot="1" x14ac:dyDescent="0.35">
      <c r="A833" s="773" t="s">
        <v>683</v>
      </c>
      <c r="B833" s="773"/>
      <c r="C833" s="773"/>
      <c r="D833" s="773"/>
      <c r="E833" s="773"/>
      <c r="F833" s="773"/>
      <c r="G833" s="773"/>
      <c r="H833" s="773"/>
      <c r="I833" s="456"/>
    </row>
    <row r="834" spans="1:10" ht="15" hidden="1" customHeight="1" thickBot="1" x14ac:dyDescent="0.25"/>
    <row r="835" spans="1:10" ht="26.25" customHeight="1" thickTop="1" x14ac:dyDescent="0.3">
      <c r="A835" s="91" t="s">
        <v>159</v>
      </c>
      <c r="B835" s="92" t="s">
        <v>152</v>
      </c>
      <c r="C835" s="93"/>
      <c r="D835" s="93"/>
      <c r="E835" s="93"/>
      <c r="F835" s="93"/>
      <c r="G835" s="94" t="s">
        <v>463</v>
      </c>
      <c r="H835" s="94" t="s">
        <v>464</v>
      </c>
    </row>
    <row r="836" spans="1:10" ht="15" customHeight="1" x14ac:dyDescent="0.3">
      <c r="A836" s="2" t="s">
        <v>466</v>
      </c>
      <c r="G836" s="68">
        <f>'A - Baseline Request'!E76</f>
        <v>2200000</v>
      </c>
      <c r="H836" s="68">
        <f>'A - Baseline Request'!J76</f>
        <v>2200000</v>
      </c>
    </row>
    <row r="837" spans="1:10" s="73" customFormat="1" ht="21" customHeight="1" thickBot="1" x14ac:dyDescent="0.35">
      <c r="A837" s="7"/>
      <c r="C837" s="78" t="s">
        <v>462</v>
      </c>
      <c r="D837" s="79"/>
      <c r="E837" s="79"/>
      <c r="F837" s="79"/>
      <c r="G837" s="772">
        <f>G836+H836</f>
        <v>4400000</v>
      </c>
      <c r="H837" s="772"/>
      <c r="J837" s="130"/>
    </row>
    <row r="838" spans="1:10" ht="15" customHeight="1" thickTop="1" x14ac:dyDescent="0.3">
      <c r="A838" s="71"/>
    </row>
    <row r="839" spans="1:10" ht="15" customHeight="1" x14ac:dyDescent="0.3">
      <c r="A839" s="80" t="s">
        <v>407</v>
      </c>
    </row>
    <row r="840" spans="1:10" ht="60.75" customHeight="1" x14ac:dyDescent="0.3">
      <c r="A840" s="773" t="s">
        <v>516</v>
      </c>
      <c r="B840" s="773"/>
      <c r="C840" s="773"/>
      <c r="D840" s="773"/>
      <c r="E840" s="773"/>
      <c r="F840" s="773"/>
      <c r="G840" s="773"/>
      <c r="H840" s="773"/>
    </row>
    <row r="841" spans="1:10" ht="14.4" thickBot="1" x14ac:dyDescent="0.35">
      <c r="I841" s="456"/>
    </row>
    <row r="842" spans="1:10" ht="15.75" customHeight="1" thickTop="1" x14ac:dyDescent="0.3">
      <c r="A842" s="93"/>
      <c r="B842" s="93"/>
      <c r="C842" s="93"/>
      <c r="D842" s="93"/>
      <c r="E842" s="93"/>
      <c r="F842" s="93"/>
      <c r="G842" s="93"/>
      <c r="H842" s="93"/>
    </row>
    <row r="843" spans="1:10" ht="12.75" hidden="1" x14ac:dyDescent="0.2">
      <c r="A843" s="129"/>
      <c r="B843" s="129"/>
      <c r="C843" s="130"/>
      <c r="D843" s="130"/>
      <c r="E843" s="130"/>
      <c r="F843" s="130"/>
      <c r="G843" s="131"/>
      <c r="H843" s="131"/>
    </row>
    <row r="844" spans="1:10" ht="15" customHeight="1" x14ac:dyDescent="0.3">
      <c r="A844" s="792" t="s">
        <v>714</v>
      </c>
      <c r="B844" s="792"/>
      <c r="C844" s="792"/>
      <c r="D844" s="792"/>
      <c r="E844" s="792"/>
      <c r="F844" s="792"/>
      <c r="G844" s="792"/>
      <c r="H844" s="792"/>
    </row>
    <row r="845" spans="1:10" x14ac:dyDescent="0.3">
      <c r="A845" s="129"/>
      <c r="B845" s="129"/>
      <c r="C845" s="130"/>
      <c r="D845" s="130"/>
      <c r="E845" s="130"/>
      <c r="F845" s="130"/>
      <c r="G845" s="131"/>
      <c r="H845" s="131"/>
    </row>
    <row r="846" spans="1:10" s="130" customFormat="1" ht="17.25" customHeight="1" x14ac:dyDescent="0.3">
      <c r="A846" s="133" t="s">
        <v>614</v>
      </c>
      <c r="B846" s="134" t="s">
        <v>158</v>
      </c>
      <c r="G846" s="135" t="s">
        <v>463</v>
      </c>
      <c r="H846" s="135" t="s">
        <v>464</v>
      </c>
    </row>
    <row r="847" spans="1:10" ht="15" customHeight="1" x14ac:dyDescent="0.3">
      <c r="A847" s="2" t="s">
        <v>465</v>
      </c>
      <c r="G847" s="68">
        <f>'A - Baseline Request'!D78</f>
        <v>3571226</v>
      </c>
      <c r="H847" s="68">
        <f>'A - Baseline Request'!I78</f>
        <v>3571225</v>
      </c>
    </row>
    <row r="848" spans="1:10" x14ac:dyDescent="0.3">
      <c r="A848" s="2" t="s">
        <v>466</v>
      </c>
      <c r="G848" s="131">
        <f>'A - Baseline Request'!$E$78</f>
        <v>1315186</v>
      </c>
      <c r="H848" s="131">
        <f>'A - Baseline Request'!$J$78</f>
        <v>1315187</v>
      </c>
    </row>
    <row r="849" spans="1:11" x14ac:dyDescent="0.3">
      <c r="A849" s="95" t="s">
        <v>273</v>
      </c>
      <c r="B849" s="95"/>
      <c r="C849" s="95"/>
      <c r="D849" s="95"/>
      <c r="E849" s="96"/>
      <c r="F849" s="96"/>
      <c r="G849" s="148">
        <v>285368</v>
      </c>
      <c r="H849" s="148">
        <v>285368</v>
      </c>
    </row>
    <row r="850" spans="1:11" ht="15" customHeight="1" x14ac:dyDescent="0.3">
      <c r="A850" s="71" t="s">
        <v>411</v>
      </c>
      <c r="B850" s="71"/>
      <c r="D850" s="71"/>
      <c r="G850" s="68">
        <f>SUM(G847:G849)</f>
        <v>5171780</v>
      </c>
      <c r="H850" s="68">
        <f>SUM(H847:H849)</f>
        <v>5171780</v>
      </c>
      <c r="I850" s="66"/>
    </row>
    <row r="851" spans="1:11" s="73" customFormat="1" ht="21" customHeight="1" thickBot="1" x14ac:dyDescent="0.35">
      <c r="A851" s="7"/>
      <c r="C851" s="78" t="s">
        <v>462</v>
      </c>
      <c r="D851" s="79"/>
      <c r="E851" s="79"/>
      <c r="F851" s="79"/>
      <c r="G851" s="772">
        <f>G850+H850</f>
        <v>10343560</v>
      </c>
      <c r="H851" s="772"/>
      <c r="J851" s="130"/>
    </row>
    <row r="852" spans="1:11" ht="14.4" thickTop="1" x14ac:dyDescent="0.3">
      <c r="A852" s="71"/>
    </row>
    <row r="853" spans="1:11" x14ac:dyDescent="0.3">
      <c r="A853" s="80" t="s">
        <v>407</v>
      </c>
    </row>
    <row r="854" spans="1:11" ht="45" customHeight="1" x14ac:dyDescent="0.3">
      <c r="A854" s="773" t="s">
        <v>517</v>
      </c>
      <c r="B854" s="773"/>
      <c r="C854" s="773"/>
      <c r="D854" s="773"/>
      <c r="E854" s="773"/>
      <c r="F854" s="773"/>
      <c r="G854" s="773"/>
      <c r="H854" s="773"/>
    </row>
    <row r="855" spans="1:11" ht="12.75" hidden="1" x14ac:dyDescent="0.2"/>
    <row r="856" spans="1:11" s="73" customFormat="1" ht="22.5" customHeight="1" x14ac:dyDescent="0.3">
      <c r="A856" s="774" t="s">
        <v>420</v>
      </c>
      <c r="B856" s="775"/>
      <c r="C856" s="775"/>
      <c r="D856" s="775"/>
      <c r="E856" s="775"/>
      <c r="F856" s="775"/>
      <c r="G856" s="775"/>
      <c r="H856" s="775"/>
      <c r="I856" s="180"/>
      <c r="J856" s="130"/>
    </row>
    <row r="857" spans="1:11" s="73" customFormat="1" ht="15.75" customHeight="1" x14ac:dyDescent="0.3">
      <c r="A857" s="776" t="s">
        <v>423</v>
      </c>
      <c r="B857" s="777"/>
      <c r="C857" s="777" t="s">
        <v>424</v>
      </c>
      <c r="D857" s="777"/>
      <c r="E857" s="83"/>
      <c r="F857" s="83"/>
      <c r="G857" s="84"/>
      <c r="H857" s="84"/>
      <c r="I857" s="181"/>
      <c r="J857" s="132"/>
    </row>
    <row r="858" spans="1:11" s="73" customFormat="1" ht="15.75" customHeight="1" x14ac:dyDescent="0.3">
      <c r="A858" s="790" t="s">
        <v>690</v>
      </c>
      <c r="B858" s="791"/>
      <c r="C858" s="785" t="s">
        <v>688</v>
      </c>
      <c r="D858" s="785"/>
      <c r="E858" s="83"/>
      <c r="F858" s="83"/>
      <c r="G858" s="84"/>
      <c r="H858" s="84"/>
      <c r="I858" s="181"/>
      <c r="J858" s="132"/>
    </row>
    <row r="859" spans="1:11" s="73" customFormat="1" ht="15" customHeight="1" x14ac:dyDescent="0.3">
      <c r="A859" s="786">
        <f>'B - Reductions '!N12</f>
        <v>152261</v>
      </c>
      <c r="B859" s="787"/>
      <c r="C859" s="787">
        <f>'B - Reductions '!AC14</f>
        <v>474425</v>
      </c>
      <c r="D859" s="787"/>
      <c r="E859" s="83"/>
      <c r="F859" s="121"/>
      <c r="G859" s="84"/>
      <c r="H859" s="84"/>
      <c r="I859" s="181"/>
      <c r="J859" s="132"/>
    </row>
    <row r="860" spans="1:11" s="73" customFormat="1" ht="15" customHeight="1" x14ac:dyDescent="0.3">
      <c r="A860" s="154"/>
      <c r="B860" s="190">
        <f>A859/(G847+H847)</f>
        <v>2.1317752127385962E-2</v>
      </c>
      <c r="C860" s="158"/>
      <c r="D860" s="190">
        <f>C859/(G847+H847)</f>
        <v>6.6423276827520417E-2</v>
      </c>
      <c r="E860" s="83"/>
      <c r="F860" s="121"/>
      <c r="G860" s="84"/>
      <c r="H860" s="84"/>
      <c r="I860" s="181"/>
      <c r="J860" s="132"/>
    </row>
    <row r="861" spans="1:11" s="73" customFormat="1" ht="18.75" customHeight="1" thickBot="1" x14ac:dyDescent="0.35">
      <c r="A861" s="788">
        <f>SUM(A859:D859)</f>
        <v>626686</v>
      </c>
      <c r="B861" s="789"/>
      <c r="C861" s="789"/>
      <c r="D861" s="275">
        <f>A861/SUM(G847:H847)</f>
        <v>8.7741028954906375E-2</v>
      </c>
      <c r="E861" s="85" t="s">
        <v>409</v>
      </c>
      <c r="F861" s="84"/>
      <c r="G861" s="84"/>
      <c r="H861" s="84"/>
      <c r="I861" s="181"/>
      <c r="J861" s="276"/>
      <c r="K861" s="132"/>
    </row>
    <row r="862" spans="1:11" s="73" customFormat="1" ht="18.75" hidden="1" customHeight="1" thickTop="1" x14ac:dyDescent="0.25">
      <c r="A862" s="156"/>
      <c r="B862" s="157"/>
      <c r="C862" s="158">
        <f>B860+D860</f>
        <v>8.7741028954906375E-2</v>
      </c>
      <c r="D862" s="157"/>
      <c r="E862" s="85"/>
      <c r="F862" s="84"/>
      <c r="G862" s="84"/>
      <c r="H862" s="84"/>
      <c r="I862" s="181"/>
      <c r="J862" s="132"/>
    </row>
    <row r="863" spans="1:11" ht="21" customHeight="1" thickTop="1" x14ac:dyDescent="0.3">
      <c r="A863" s="110" t="s">
        <v>410</v>
      </c>
      <c r="B863" s="111"/>
      <c r="C863" s="112"/>
      <c r="D863" s="111"/>
      <c r="E863" s="112"/>
      <c r="F863" s="112"/>
      <c r="G863" s="113"/>
      <c r="H863" s="113"/>
      <c r="I863" s="189"/>
    </row>
    <row r="864" spans="1:11" ht="79.5" customHeight="1" x14ac:dyDescent="0.3">
      <c r="A864" s="769" t="s">
        <v>782</v>
      </c>
      <c r="B864" s="770"/>
      <c r="C864" s="770"/>
      <c r="D864" s="770"/>
      <c r="E864" s="770"/>
      <c r="F864" s="770"/>
      <c r="G864" s="770"/>
      <c r="H864" s="770"/>
      <c r="I864" s="771"/>
    </row>
    <row r="865" spans="1:18" ht="15" customHeight="1" x14ac:dyDescent="0.3">
      <c r="A865" s="99" t="s">
        <v>432</v>
      </c>
      <c r="B865" s="100"/>
      <c r="C865" s="101"/>
      <c r="D865" s="101"/>
      <c r="E865" s="101"/>
      <c r="F865" s="101"/>
      <c r="G865" s="102"/>
      <c r="H865" s="102"/>
      <c r="I865" s="187"/>
    </row>
    <row r="866" spans="1:18" x14ac:dyDescent="0.3">
      <c r="A866" s="103" t="s">
        <v>273</v>
      </c>
      <c r="B866" s="104"/>
      <c r="C866" s="105"/>
      <c r="D866" s="106"/>
      <c r="E866" s="105"/>
      <c r="F866" s="105"/>
      <c r="G866" s="107"/>
      <c r="H866" s="107"/>
      <c r="I866" s="188"/>
    </row>
    <row r="867" spans="1:18" ht="62.25" customHeight="1" x14ac:dyDescent="0.3">
      <c r="A867" s="778" t="s">
        <v>711</v>
      </c>
      <c r="B867" s="779"/>
      <c r="C867" s="779"/>
      <c r="D867" s="779"/>
      <c r="E867" s="779"/>
      <c r="F867" s="779"/>
      <c r="G867" s="779"/>
      <c r="H867" s="779"/>
      <c r="I867" s="780"/>
    </row>
    <row r="868" spans="1:18" ht="14.4" thickBot="1" x14ac:dyDescent="0.35">
      <c r="I868" s="456"/>
    </row>
    <row r="869" spans="1:18" ht="26.25" customHeight="1" thickTop="1" x14ac:dyDescent="0.3">
      <c r="A869" s="91" t="s">
        <v>615</v>
      </c>
      <c r="B869" s="92" t="s">
        <v>160</v>
      </c>
      <c r="C869" s="93"/>
      <c r="D869" s="93"/>
      <c r="E869" s="93"/>
      <c r="F869" s="93"/>
      <c r="G869" s="94" t="s">
        <v>463</v>
      </c>
      <c r="H869" s="94" t="s">
        <v>464</v>
      </c>
    </row>
    <row r="870" spans="1:18" ht="15" customHeight="1" x14ac:dyDescent="0.3">
      <c r="A870" s="2" t="s">
        <v>465</v>
      </c>
      <c r="G870" s="68">
        <f>'A - Baseline Request'!D79</f>
        <v>1320017</v>
      </c>
      <c r="H870" s="68">
        <f>'A - Baseline Request'!I79</f>
        <v>1320016</v>
      </c>
    </row>
    <row r="871" spans="1:18" x14ac:dyDescent="0.3">
      <c r="A871" s="2" t="s">
        <v>466</v>
      </c>
      <c r="G871" s="131">
        <f>'A - Baseline Request'!E79</f>
        <v>1234032</v>
      </c>
      <c r="H871" s="131">
        <f>'A - Baseline Request'!J79</f>
        <v>1234031</v>
      </c>
    </row>
    <row r="872" spans="1:18" x14ac:dyDescent="0.3">
      <c r="A872" s="95" t="s">
        <v>267</v>
      </c>
      <c r="B872" s="95"/>
      <c r="C872" s="95"/>
      <c r="D872" s="95"/>
      <c r="E872" s="96"/>
      <c r="F872" s="96"/>
      <c r="G872" s="147">
        <v>199146</v>
      </c>
      <c r="H872" s="147">
        <v>344776</v>
      </c>
    </row>
    <row r="873" spans="1:18" x14ac:dyDescent="0.3">
      <c r="A873" s="95" t="s">
        <v>807</v>
      </c>
      <c r="B873" s="95"/>
      <c r="C873" s="95"/>
      <c r="D873" s="95"/>
      <c r="E873" s="96"/>
      <c r="F873" s="96"/>
      <c r="G873" s="148">
        <v>805000</v>
      </c>
      <c r="H873" s="148">
        <v>345000</v>
      </c>
    </row>
    <row r="874" spans="1:18" x14ac:dyDescent="0.3">
      <c r="A874" s="71" t="s">
        <v>411</v>
      </c>
      <c r="B874" s="71"/>
      <c r="D874" s="71"/>
      <c r="G874" s="68">
        <f>SUM(G870:G873)</f>
        <v>3558195</v>
      </c>
      <c r="H874" s="68">
        <f>SUM(H870:I873)</f>
        <v>3243823</v>
      </c>
      <c r="I874" s="66"/>
    </row>
    <row r="875" spans="1:18" ht="14.4" thickBot="1" x14ac:dyDescent="0.35">
      <c r="A875" s="7"/>
      <c r="B875" s="73"/>
      <c r="C875" s="78" t="s">
        <v>462</v>
      </c>
      <c r="D875" s="79"/>
      <c r="E875" s="79"/>
      <c r="F875" s="79"/>
      <c r="G875" s="772">
        <f>G874+H874</f>
        <v>6802018</v>
      </c>
      <c r="H875" s="772"/>
      <c r="I875" s="73"/>
      <c r="K875" s="73"/>
      <c r="L875" s="73"/>
      <c r="M875" s="73"/>
      <c r="N875" s="73"/>
      <c r="O875" s="73"/>
      <c r="P875" s="73"/>
      <c r="Q875" s="73"/>
      <c r="R875" s="73"/>
    </row>
    <row r="876" spans="1:18" ht="14.25" customHeight="1" thickTop="1" x14ac:dyDescent="0.3">
      <c r="A876" s="71"/>
    </row>
    <row r="877" spans="1:18" x14ac:dyDescent="0.3">
      <c r="A877" s="80" t="s">
        <v>407</v>
      </c>
    </row>
    <row r="878" spans="1:18" s="73" customFormat="1" ht="117.75" customHeight="1" x14ac:dyDescent="0.3">
      <c r="A878" s="773" t="s">
        <v>469</v>
      </c>
      <c r="B878" s="773"/>
      <c r="C878" s="773"/>
      <c r="D878" s="773"/>
      <c r="E878" s="773"/>
      <c r="F878" s="773"/>
      <c r="G878" s="773"/>
      <c r="H878" s="773"/>
      <c r="I878" s="67"/>
      <c r="J878" s="132"/>
      <c r="K878" s="67"/>
      <c r="L878" s="67"/>
      <c r="M878" s="67"/>
      <c r="N878" s="67"/>
      <c r="O878" s="67"/>
      <c r="P878" s="67"/>
      <c r="Q878" s="67"/>
      <c r="R878" s="67"/>
    </row>
    <row r="879" spans="1:18" s="73" customFormat="1" ht="10.5" customHeight="1" x14ac:dyDescent="0.3">
      <c r="A879" s="2"/>
      <c r="B879" s="2"/>
      <c r="C879" s="67"/>
      <c r="D879" s="67"/>
      <c r="E879" s="67"/>
      <c r="F879" s="67"/>
      <c r="G879" s="68"/>
      <c r="H879" s="68"/>
      <c r="I879" s="67"/>
      <c r="J879" s="132"/>
      <c r="K879" s="67"/>
      <c r="L879" s="67"/>
      <c r="M879" s="67"/>
      <c r="N879" s="67"/>
      <c r="O879" s="67"/>
      <c r="P879" s="67"/>
      <c r="Q879" s="67"/>
      <c r="R879" s="67"/>
    </row>
    <row r="880" spans="1:18" s="73" customFormat="1" ht="15.75" customHeight="1" x14ac:dyDescent="0.3">
      <c r="A880" s="774" t="s">
        <v>420</v>
      </c>
      <c r="B880" s="775"/>
      <c r="C880" s="775"/>
      <c r="D880" s="775"/>
      <c r="E880" s="775"/>
      <c r="F880" s="775"/>
      <c r="G880" s="775"/>
      <c r="H880" s="775"/>
      <c r="I880" s="180"/>
      <c r="J880" s="130"/>
    </row>
    <row r="881" spans="1:18" s="73" customFormat="1" ht="12.75" customHeight="1" x14ac:dyDescent="0.3">
      <c r="A881" s="776" t="s">
        <v>423</v>
      </c>
      <c r="B881" s="777"/>
      <c r="C881" s="777" t="s">
        <v>424</v>
      </c>
      <c r="D881" s="777"/>
      <c r="E881" s="83"/>
      <c r="F881" s="83"/>
      <c r="G881" s="84"/>
      <c r="H881" s="84"/>
      <c r="I881" s="181"/>
      <c r="J881" s="130"/>
    </row>
    <row r="882" spans="1:18" s="73" customFormat="1" ht="12.75" customHeight="1" x14ac:dyDescent="0.3">
      <c r="A882" s="784" t="s">
        <v>698</v>
      </c>
      <c r="B882" s="785"/>
      <c r="C882" s="785" t="s">
        <v>698</v>
      </c>
      <c r="D882" s="785"/>
      <c r="E882" s="83"/>
      <c r="F882" s="83"/>
      <c r="G882" s="84"/>
      <c r="H882" s="84"/>
      <c r="I882" s="181"/>
      <c r="J882" s="130"/>
    </row>
    <row r="883" spans="1:18" s="73" customFormat="1" ht="12.75" customHeight="1" x14ac:dyDescent="0.3">
      <c r="A883" s="786">
        <f>'B - Reductions '!N15</f>
        <v>66933</v>
      </c>
      <c r="B883" s="787"/>
      <c r="C883" s="787">
        <f>'B - Reductions '!AC15</f>
        <v>66933</v>
      </c>
      <c r="D883" s="787"/>
      <c r="E883" s="83"/>
      <c r="F883" s="121"/>
      <c r="G883" s="84"/>
      <c r="H883" s="84"/>
      <c r="I883" s="181"/>
      <c r="J883" s="130"/>
    </row>
    <row r="884" spans="1:18" s="73" customFormat="1" ht="12.75" customHeight="1" x14ac:dyDescent="0.3">
      <c r="A884" s="154"/>
      <c r="B884" s="190">
        <f>A883/(G870+H870)</f>
        <v>2.5353092177256877E-2</v>
      </c>
      <c r="C884" s="158"/>
      <c r="D884" s="190">
        <f>C883/(G870+H870)</f>
        <v>2.5353092177256877E-2</v>
      </c>
      <c r="E884" s="83"/>
      <c r="F884" s="121"/>
      <c r="G884" s="84"/>
      <c r="H884" s="84"/>
      <c r="I884" s="181"/>
      <c r="J884" s="130"/>
    </row>
    <row r="885" spans="1:18" ht="13.5" customHeight="1" thickBot="1" x14ac:dyDescent="0.35">
      <c r="A885" s="788">
        <f>SUM(A883:D883)</f>
        <v>133866</v>
      </c>
      <c r="B885" s="789"/>
      <c r="C885" s="789"/>
      <c r="D885" s="275">
        <f>A885/SUM(G870:H870)</f>
        <v>5.0706184354513753E-2</v>
      </c>
      <c r="E885" s="85" t="s">
        <v>409</v>
      </c>
      <c r="F885" s="84"/>
      <c r="G885" s="84"/>
      <c r="H885" s="84"/>
      <c r="I885" s="181"/>
      <c r="K885" s="73"/>
      <c r="L885" s="73"/>
      <c r="M885" s="73"/>
      <c r="N885" s="73"/>
      <c r="O885" s="73"/>
      <c r="P885" s="73"/>
      <c r="Q885" s="73"/>
      <c r="R885" s="73"/>
    </row>
    <row r="886" spans="1:18" ht="12" hidden="1" customHeight="1" thickTop="1" x14ac:dyDescent="0.2">
      <c r="A886" s="156"/>
      <c r="B886" s="158"/>
      <c r="C886" s="158">
        <f>B884+D884</f>
        <v>5.0706184354513753E-2</v>
      </c>
      <c r="D886" s="158"/>
      <c r="E886" s="85"/>
      <c r="F886" s="84"/>
      <c r="G886" s="84"/>
      <c r="H886" s="84"/>
      <c r="I886" s="181"/>
      <c r="K886" s="73"/>
      <c r="L886" s="73"/>
      <c r="M886" s="73"/>
      <c r="N886" s="73"/>
      <c r="O886" s="73"/>
      <c r="P886" s="73"/>
      <c r="Q886" s="73"/>
      <c r="R886" s="73"/>
    </row>
    <row r="887" spans="1:18" ht="18" customHeight="1" thickTop="1" x14ac:dyDescent="0.3">
      <c r="A887" s="110" t="s">
        <v>410</v>
      </c>
      <c r="B887" s="111"/>
      <c r="C887" s="112"/>
      <c r="D887" s="111"/>
      <c r="E887" s="112"/>
      <c r="F887" s="112"/>
      <c r="G887" s="113"/>
      <c r="H887" s="113"/>
      <c r="I887" s="189"/>
    </row>
    <row r="888" spans="1:18" ht="61.5" customHeight="1" x14ac:dyDescent="0.3">
      <c r="A888" s="769" t="s">
        <v>763</v>
      </c>
      <c r="B888" s="770"/>
      <c r="C888" s="770"/>
      <c r="D888" s="770"/>
      <c r="E888" s="770"/>
      <c r="F888" s="770"/>
      <c r="G888" s="770"/>
      <c r="H888" s="770"/>
      <c r="I888" s="771"/>
    </row>
    <row r="889" spans="1:18" ht="15" customHeight="1" x14ac:dyDescent="0.3">
      <c r="A889" s="99" t="s">
        <v>432</v>
      </c>
      <c r="B889" s="100"/>
      <c r="C889" s="101"/>
      <c r="D889" s="101"/>
      <c r="E889" s="101"/>
      <c r="F889" s="101"/>
      <c r="G889" s="102"/>
      <c r="H889" s="102"/>
      <c r="I889" s="187"/>
    </row>
    <row r="890" spans="1:18" x14ac:dyDescent="0.3">
      <c r="A890" s="103" t="s">
        <v>267</v>
      </c>
      <c r="B890" s="104"/>
      <c r="C890" s="105"/>
      <c r="D890" s="106"/>
      <c r="E890" s="105"/>
      <c r="F890" s="105"/>
      <c r="G890" s="107"/>
      <c r="H890" s="107"/>
      <c r="I890" s="188"/>
    </row>
    <row r="891" spans="1:18" ht="68.25" customHeight="1" x14ac:dyDescent="0.3">
      <c r="A891" s="778" t="s">
        <v>788</v>
      </c>
      <c r="B891" s="779"/>
      <c r="C891" s="779"/>
      <c r="D891" s="779"/>
      <c r="E891" s="779"/>
      <c r="F891" s="779"/>
      <c r="G891" s="779"/>
      <c r="H891" s="779"/>
      <c r="I891" s="780"/>
    </row>
    <row r="892" spans="1:18" s="73" customFormat="1" ht="21" customHeight="1" x14ac:dyDescent="0.3">
      <c r="A892" s="103" t="s">
        <v>807</v>
      </c>
      <c r="B892" s="104"/>
      <c r="C892" s="105"/>
      <c r="D892" s="106"/>
      <c r="E892" s="105"/>
      <c r="F892" s="105"/>
      <c r="G892" s="107"/>
      <c r="H892" s="107"/>
      <c r="I892" s="188"/>
      <c r="J892" s="130"/>
      <c r="K892" s="67"/>
      <c r="L892" s="67"/>
      <c r="M892" s="67"/>
      <c r="N892" s="67"/>
      <c r="O892" s="67"/>
      <c r="P892" s="67"/>
      <c r="Q892" s="67"/>
      <c r="R892" s="67"/>
    </row>
    <row r="893" spans="1:18" ht="69" customHeight="1" x14ac:dyDescent="0.3">
      <c r="A893" s="781" t="s">
        <v>787</v>
      </c>
      <c r="B893" s="782"/>
      <c r="C893" s="782"/>
      <c r="D893" s="782"/>
      <c r="E893" s="782"/>
      <c r="F893" s="782"/>
      <c r="G893" s="782"/>
      <c r="H893" s="782"/>
      <c r="I893" s="783"/>
    </row>
    <row r="894" spans="1:18" s="73" customFormat="1" ht="18.75" customHeight="1" thickBot="1" x14ac:dyDescent="0.35">
      <c r="A894" s="474"/>
      <c r="B894" s="474"/>
      <c r="C894" s="474"/>
      <c r="D894" s="474"/>
      <c r="E894" s="474"/>
      <c r="F894" s="474"/>
      <c r="G894" s="474"/>
      <c r="H894" s="474"/>
      <c r="I894" s="475"/>
      <c r="J894" s="130"/>
    </row>
    <row r="895" spans="1:18" s="73" customFormat="1" ht="18.75" customHeight="1" thickTop="1" x14ac:dyDescent="0.3">
      <c r="A895" s="91" t="s">
        <v>616</v>
      </c>
      <c r="B895" s="92" t="s">
        <v>162</v>
      </c>
      <c r="C895" s="93"/>
      <c r="D895" s="93"/>
      <c r="E895" s="93"/>
      <c r="F895" s="93"/>
      <c r="G895" s="94" t="s">
        <v>463</v>
      </c>
      <c r="H895" s="94" t="s">
        <v>464</v>
      </c>
      <c r="I895" s="67"/>
      <c r="J895" s="130"/>
    </row>
    <row r="896" spans="1:18" ht="15" customHeight="1" x14ac:dyDescent="0.3">
      <c r="A896" s="2" t="s">
        <v>465</v>
      </c>
      <c r="G896" s="68">
        <f>'A - Baseline Request'!D80</f>
        <v>774963</v>
      </c>
      <c r="H896" s="68">
        <f>'A - Baseline Request'!I80</f>
        <v>774962</v>
      </c>
      <c r="K896" s="73"/>
      <c r="L896" s="73"/>
      <c r="M896" s="73"/>
      <c r="N896" s="73"/>
      <c r="O896" s="73"/>
      <c r="P896" s="73"/>
      <c r="Q896" s="73"/>
      <c r="R896" s="73"/>
    </row>
    <row r="897" spans="1:18" ht="12.75" customHeight="1" x14ac:dyDescent="0.3">
      <c r="A897" s="2" t="s">
        <v>466</v>
      </c>
      <c r="G897" s="124">
        <f>'A - Baseline Request'!$E$80</f>
        <v>659942</v>
      </c>
      <c r="H897" s="124">
        <f>'A - Baseline Request'!$J$80</f>
        <v>659941</v>
      </c>
      <c r="K897" s="73"/>
      <c r="L897" s="73"/>
      <c r="M897" s="73"/>
      <c r="N897" s="73"/>
      <c r="O897" s="73"/>
      <c r="P897" s="73"/>
      <c r="Q897" s="73"/>
      <c r="R897" s="73"/>
    </row>
    <row r="898" spans="1:18" s="69" customFormat="1" ht="15" customHeight="1" x14ac:dyDescent="0.3">
      <c r="A898" s="71" t="s">
        <v>411</v>
      </c>
      <c r="B898" s="71"/>
      <c r="C898" s="67"/>
      <c r="D898" s="71"/>
      <c r="E898" s="67"/>
      <c r="F898" s="67"/>
      <c r="G898" s="68">
        <f>SUM(G896:G897)</f>
        <v>1434905</v>
      </c>
      <c r="H898" s="68">
        <f>SUM(H896:H897)</f>
        <v>1434903</v>
      </c>
      <c r="I898" s="66"/>
      <c r="J898" s="130"/>
      <c r="K898" s="67"/>
      <c r="L898" s="67"/>
      <c r="M898" s="67"/>
      <c r="N898" s="67"/>
      <c r="O898" s="67"/>
      <c r="P898" s="67"/>
      <c r="Q898" s="67"/>
      <c r="R898" s="67"/>
    </row>
    <row r="899" spans="1:18" ht="14.4" thickBot="1" x14ac:dyDescent="0.35">
      <c r="A899" s="7"/>
      <c r="B899" s="73"/>
      <c r="C899" s="78" t="s">
        <v>462</v>
      </c>
      <c r="D899" s="79"/>
      <c r="E899" s="79"/>
      <c r="F899" s="79"/>
      <c r="G899" s="772">
        <f>G898+H898</f>
        <v>2869808</v>
      </c>
      <c r="H899" s="772"/>
      <c r="I899" s="73"/>
    </row>
    <row r="900" spans="1:18" ht="11.25" customHeight="1" thickTop="1" x14ac:dyDescent="0.3">
      <c r="A900" s="71"/>
      <c r="J900" s="164"/>
      <c r="K900" s="69"/>
      <c r="L900" s="69"/>
      <c r="M900" s="69"/>
      <c r="N900" s="69"/>
      <c r="O900" s="69"/>
      <c r="P900" s="69"/>
      <c r="Q900" s="69"/>
      <c r="R900" s="69"/>
    </row>
    <row r="901" spans="1:18" x14ac:dyDescent="0.3">
      <c r="A901" s="80" t="s">
        <v>407</v>
      </c>
    </row>
    <row r="902" spans="1:18" ht="44.25" customHeight="1" x14ac:dyDescent="0.3">
      <c r="A902" s="773" t="s">
        <v>249</v>
      </c>
      <c r="B902" s="773"/>
      <c r="C902" s="773"/>
      <c r="D902" s="773"/>
      <c r="E902" s="773"/>
      <c r="F902" s="773"/>
      <c r="G902" s="773"/>
      <c r="H902" s="773"/>
    </row>
    <row r="904" spans="1:18" x14ac:dyDescent="0.3">
      <c r="A904" s="774" t="s">
        <v>420</v>
      </c>
      <c r="B904" s="775"/>
      <c r="C904" s="775"/>
      <c r="D904" s="775"/>
      <c r="E904" s="775"/>
      <c r="F904" s="775"/>
      <c r="G904" s="775"/>
      <c r="H904" s="775"/>
      <c r="I904" s="180"/>
    </row>
    <row r="905" spans="1:18" x14ac:dyDescent="0.3">
      <c r="A905" s="776" t="s">
        <v>423</v>
      </c>
      <c r="B905" s="777"/>
      <c r="C905" s="777" t="s">
        <v>424</v>
      </c>
      <c r="D905" s="777"/>
      <c r="E905" s="83"/>
      <c r="F905" s="83"/>
      <c r="G905" s="84"/>
      <c r="H905" s="84"/>
      <c r="I905" s="181"/>
    </row>
    <row r="906" spans="1:18" x14ac:dyDescent="0.3">
      <c r="A906" s="784" t="s">
        <v>689</v>
      </c>
      <c r="B906" s="785"/>
      <c r="C906" s="785" t="s">
        <v>689</v>
      </c>
      <c r="D906" s="785"/>
      <c r="E906" s="83"/>
      <c r="F906" s="83"/>
      <c r="G906" s="84"/>
      <c r="H906" s="84"/>
      <c r="I906" s="181"/>
    </row>
    <row r="907" spans="1:18" x14ac:dyDescent="0.3">
      <c r="A907" s="786">
        <f>'B - Reductions '!N11</f>
        <v>77496</v>
      </c>
      <c r="B907" s="787"/>
      <c r="C907" s="787">
        <f>'B - Reductions '!AC11</f>
        <v>77496</v>
      </c>
      <c r="D907" s="787"/>
      <c r="E907" s="83"/>
      <c r="F907" s="121"/>
      <c r="G907" s="84"/>
      <c r="H907" s="84"/>
      <c r="I907" s="181"/>
    </row>
    <row r="908" spans="1:18" x14ac:dyDescent="0.3">
      <c r="A908" s="154"/>
      <c r="B908" s="190">
        <f>A907/(G896+H896)</f>
        <v>4.9999838701872669E-2</v>
      </c>
      <c r="C908" s="158"/>
      <c r="D908" s="190">
        <f>C907/(G896+H896)</f>
        <v>4.9999838701872669E-2</v>
      </c>
      <c r="E908" s="83"/>
      <c r="F908" s="121"/>
      <c r="G908" s="84"/>
      <c r="H908" s="84"/>
      <c r="I908" s="181"/>
    </row>
    <row r="909" spans="1:18" ht="14.4" thickBot="1" x14ac:dyDescent="0.35">
      <c r="A909" s="788">
        <f>SUM(A907:D907)</f>
        <v>154992</v>
      </c>
      <c r="B909" s="789"/>
      <c r="C909" s="789"/>
      <c r="D909" s="275">
        <f>A909/SUM(G896:H896)</f>
        <v>9.9999677403745338E-2</v>
      </c>
      <c r="E909" s="85" t="s">
        <v>409</v>
      </c>
      <c r="F909" s="84"/>
      <c r="G909" s="84"/>
      <c r="H909" s="84"/>
      <c r="I909" s="181"/>
    </row>
    <row r="910" spans="1:18" ht="13.5" hidden="1" thickTop="1" x14ac:dyDescent="0.2">
      <c r="A910" s="156"/>
      <c r="B910" s="157"/>
      <c r="C910" s="158">
        <f>B908+D908</f>
        <v>9.9999677403745338E-2</v>
      </c>
      <c r="D910" s="157"/>
      <c r="E910" s="85"/>
      <c r="F910" s="84"/>
      <c r="G910" s="84"/>
      <c r="H910" s="84"/>
      <c r="I910" s="181"/>
    </row>
    <row r="911" spans="1:18" ht="17.25" customHeight="1" thickTop="1" x14ac:dyDescent="0.3">
      <c r="A911" s="110" t="s">
        <v>410</v>
      </c>
      <c r="B911" s="111"/>
      <c r="C911" s="112"/>
      <c r="D911" s="111"/>
      <c r="E911" s="112"/>
      <c r="F911" s="112"/>
      <c r="G911" s="113"/>
      <c r="H911" s="113"/>
      <c r="I911" s="189"/>
    </row>
    <row r="912" spans="1:18" ht="30" customHeight="1" x14ac:dyDescent="0.3">
      <c r="A912" s="769" t="s">
        <v>765</v>
      </c>
      <c r="B912" s="770"/>
      <c r="C912" s="770"/>
      <c r="D912" s="770"/>
      <c r="E912" s="770"/>
      <c r="F912" s="770"/>
      <c r="G912" s="770"/>
      <c r="H912" s="770"/>
      <c r="I912" s="771"/>
    </row>
    <row r="913" spans="1:9" x14ac:dyDescent="0.3">
      <c r="A913" s="90"/>
      <c r="B913" s="90"/>
      <c r="C913" s="90"/>
      <c r="D913" s="90"/>
      <c r="E913" s="90"/>
      <c r="F913" s="90"/>
      <c r="G913" s="90"/>
      <c r="H913" s="90"/>
      <c r="I913" s="90"/>
    </row>
  </sheetData>
  <mergeCells count="356">
    <mergeCell ref="A284:I284"/>
    <mergeCell ref="C647:D647"/>
    <mergeCell ref="A633:I633"/>
    <mergeCell ref="G640:H640"/>
    <mergeCell ref="A643:I643"/>
    <mergeCell ref="G463:H463"/>
    <mergeCell ref="A630:C630"/>
    <mergeCell ref="A496:C496"/>
    <mergeCell ref="G440:H440"/>
    <mergeCell ref="A443:I443"/>
    <mergeCell ref="A480:I480"/>
    <mergeCell ref="A447:I447"/>
    <mergeCell ref="A611:I611"/>
    <mergeCell ref="A557:C557"/>
    <mergeCell ref="G453:H453"/>
    <mergeCell ref="A456:I456"/>
    <mergeCell ref="A491:H491"/>
    <mergeCell ref="C492:D492"/>
    <mergeCell ref="A493:B493"/>
    <mergeCell ref="C493:D493"/>
    <mergeCell ref="C554:D554"/>
    <mergeCell ref="A555:B555"/>
    <mergeCell ref="C555:D555"/>
    <mergeCell ref="A560:I560"/>
    <mergeCell ref="C49:D49"/>
    <mergeCell ref="A65:H65"/>
    <mergeCell ref="A111:I111"/>
    <mergeCell ref="G98:H98"/>
    <mergeCell ref="A101:I101"/>
    <mergeCell ref="A86:B86"/>
    <mergeCell ref="C86:D86"/>
    <mergeCell ref="A87:B87"/>
    <mergeCell ref="C87:D87"/>
    <mergeCell ref="A89:D89"/>
    <mergeCell ref="A92:I92"/>
    <mergeCell ref="A104:B104"/>
    <mergeCell ref="C104:D104"/>
    <mergeCell ref="A108:C108"/>
    <mergeCell ref="A105:B105"/>
    <mergeCell ref="A84:H84"/>
    <mergeCell ref="A85:B85"/>
    <mergeCell ref="C85:D85"/>
    <mergeCell ref="G119:H119"/>
    <mergeCell ref="A277:B277"/>
    <mergeCell ref="A70:C70"/>
    <mergeCell ref="A625:H625"/>
    <mergeCell ref="A205:C205"/>
    <mergeCell ref="A142:C142"/>
    <mergeCell ref="A185:C185"/>
    <mergeCell ref="A423:B423"/>
    <mergeCell ref="C423:D423"/>
    <mergeCell ref="A208:I208"/>
    <mergeCell ref="A180:H180"/>
    <mergeCell ref="A181:B181"/>
    <mergeCell ref="C181:D181"/>
    <mergeCell ref="A246:I246"/>
    <mergeCell ref="A203:B203"/>
    <mergeCell ref="C203:D203"/>
    <mergeCell ref="A188:I188"/>
    <mergeCell ref="A198:I198"/>
    <mergeCell ref="A218:I218"/>
    <mergeCell ref="A264:I264"/>
    <mergeCell ref="G271:H271"/>
    <mergeCell ref="G224:H224"/>
    <mergeCell ref="A227:I227"/>
    <mergeCell ref="G233:H233"/>
    <mergeCell ref="A236:I236"/>
    <mergeCell ref="G243:H243"/>
    <mergeCell ref="G195:H195"/>
    <mergeCell ref="A103:H103"/>
    <mergeCell ref="C105:D105"/>
    <mergeCell ref="A433:H433"/>
    <mergeCell ref="G620:H620"/>
    <mergeCell ref="A623:I623"/>
    <mergeCell ref="A393:I393"/>
    <mergeCell ref="A410:I410"/>
    <mergeCell ref="A341:I341"/>
    <mergeCell ref="A430:I430"/>
    <mergeCell ref="A424:B424"/>
    <mergeCell ref="A106:B106"/>
    <mergeCell ref="C106:D106"/>
    <mergeCell ref="A492:B492"/>
    <mergeCell ref="A122:I122"/>
    <mergeCell ref="G132:H132"/>
    <mergeCell ref="A139:B139"/>
    <mergeCell ref="C139:D139"/>
    <mergeCell ref="A140:B140"/>
    <mergeCell ref="C140:D140"/>
    <mergeCell ref="A145:I145"/>
    <mergeCell ref="A183:B183"/>
    <mergeCell ref="C183:D183"/>
    <mergeCell ref="A125:H125"/>
    <mergeCell ref="A135:I135"/>
    <mergeCell ref="A1:I1"/>
    <mergeCell ref="A2:I2"/>
    <mergeCell ref="A4:I4"/>
    <mergeCell ref="A6:I6"/>
    <mergeCell ref="G12:H12"/>
    <mergeCell ref="A20:B20"/>
    <mergeCell ref="C20:D20"/>
    <mergeCell ref="A48:B48"/>
    <mergeCell ref="C48:D48"/>
    <mergeCell ref="G40:H40"/>
    <mergeCell ref="A43:I43"/>
    <mergeCell ref="A45:H45"/>
    <mergeCell ref="A46:B46"/>
    <mergeCell ref="C46:D46"/>
    <mergeCell ref="A47:B47"/>
    <mergeCell ref="C47:D47"/>
    <mergeCell ref="A25:I25"/>
    <mergeCell ref="G31:H31"/>
    <mergeCell ref="A19:B19"/>
    <mergeCell ref="C19:D19"/>
    <mergeCell ref="A23:D23"/>
    <mergeCell ref="A21:B21"/>
    <mergeCell ref="C21:D21"/>
    <mergeCell ref="A15:I15"/>
    <mergeCell ref="A17:H17"/>
    <mergeCell ref="A18:B18"/>
    <mergeCell ref="C18:D18"/>
    <mergeCell ref="A74:I74"/>
    <mergeCell ref="G79:H79"/>
    <mergeCell ref="A82:I82"/>
    <mergeCell ref="A68:B68"/>
    <mergeCell ref="C68:D68"/>
    <mergeCell ref="A73:I73"/>
    <mergeCell ref="A66:B66"/>
    <mergeCell ref="C66:D66"/>
    <mergeCell ref="A53:I53"/>
    <mergeCell ref="A67:B67"/>
    <mergeCell ref="C67:D67"/>
    <mergeCell ref="G60:H60"/>
    <mergeCell ref="A63:I63"/>
    <mergeCell ref="A64:I64"/>
    <mergeCell ref="A22:C22"/>
    <mergeCell ref="A50:C50"/>
    <mergeCell ref="A49:B49"/>
    <mergeCell ref="A34:I34"/>
    <mergeCell ref="A137:H137"/>
    <mergeCell ref="A138:B138"/>
    <mergeCell ref="C138:D138"/>
    <mergeCell ref="A178:I178"/>
    <mergeCell ref="A158:I158"/>
    <mergeCell ref="A148:I148"/>
    <mergeCell ref="G155:H155"/>
    <mergeCell ref="G175:H175"/>
    <mergeCell ref="A182:B182"/>
    <mergeCell ref="C182:D182"/>
    <mergeCell ref="A160:H160"/>
    <mergeCell ref="A161:B161"/>
    <mergeCell ref="C161:D161"/>
    <mergeCell ref="A162:B162"/>
    <mergeCell ref="C162:D162"/>
    <mergeCell ref="A163:B163"/>
    <mergeCell ref="C163:D163"/>
    <mergeCell ref="A165:C165"/>
    <mergeCell ref="A168:I168"/>
    <mergeCell ref="G215:H215"/>
    <mergeCell ref="C201:D201"/>
    <mergeCell ref="A202:B202"/>
    <mergeCell ref="C202:D202"/>
    <mergeCell ref="A200:H200"/>
    <mergeCell ref="A201:B201"/>
    <mergeCell ref="G323:H323"/>
    <mergeCell ref="A326:I326"/>
    <mergeCell ref="G252:H252"/>
    <mergeCell ref="A255:I255"/>
    <mergeCell ref="G261:H261"/>
    <mergeCell ref="A274:I274"/>
    <mergeCell ref="G293:H293"/>
    <mergeCell ref="A296:I296"/>
    <mergeCell ref="A298:H298"/>
    <mergeCell ref="A299:B299"/>
    <mergeCell ref="C299:D299"/>
    <mergeCell ref="A276:H276"/>
    <mergeCell ref="C277:D277"/>
    <mergeCell ref="A278:B278"/>
    <mergeCell ref="C278:D278"/>
    <mergeCell ref="A279:B279"/>
    <mergeCell ref="C279:D279"/>
    <mergeCell ref="A281:C281"/>
    <mergeCell ref="G347:H347"/>
    <mergeCell ref="A350:I350"/>
    <mergeCell ref="G334:H334"/>
    <mergeCell ref="A337:I337"/>
    <mergeCell ref="A300:B300"/>
    <mergeCell ref="C300:D300"/>
    <mergeCell ref="A301:B301"/>
    <mergeCell ref="G312:H312"/>
    <mergeCell ref="A315:I315"/>
    <mergeCell ref="C301:D301"/>
    <mergeCell ref="A306:I306"/>
    <mergeCell ref="A303:C303"/>
    <mergeCell ref="A396:H396"/>
    <mergeCell ref="G403:H403"/>
    <mergeCell ref="A406:I406"/>
    <mergeCell ref="A390:I390"/>
    <mergeCell ref="G417:H417"/>
    <mergeCell ref="A420:I420"/>
    <mergeCell ref="G387:H387"/>
    <mergeCell ref="G357:H357"/>
    <mergeCell ref="A360:I360"/>
    <mergeCell ref="G367:H367"/>
    <mergeCell ref="A370:I370"/>
    <mergeCell ref="G376:H376"/>
    <mergeCell ref="A379:I379"/>
    <mergeCell ref="A422:H422"/>
    <mergeCell ref="A466:I466"/>
    <mergeCell ref="A514:I514"/>
    <mergeCell ref="G520:H520"/>
    <mergeCell ref="A628:B628"/>
    <mergeCell ref="C628:D628"/>
    <mergeCell ref="A554:B554"/>
    <mergeCell ref="A425:B425"/>
    <mergeCell ref="C425:D425"/>
    <mergeCell ref="C424:D424"/>
    <mergeCell ref="A427:C427"/>
    <mergeCell ref="A523:I523"/>
    <mergeCell ref="G529:H529"/>
    <mergeCell ref="A532:I532"/>
    <mergeCell ref="G538:H538"/>
    <mergeCell ref="G473:H473"/>
    <mergeCell ref="A476:I476"/>
    <mergeCell ref="A494:B494"/>
    <mergeCell ref="C494:D494"/>
    <mergeCell ref="A499:I499"/>
    <mergeCell ref="G506:H506"/>
    <mergeCell ref="A509:I509"/>
    <mergeCell ref="G486:H486"/>
    <mergeCell ref="A489:I489"/>
    <mergeCell ref="A541:I541"/>
    <mergeCell ref="G547:H547"/>
    <mergeCell ref="A550:I550"/>
    <mergeCell ref="A552:H552"/>
    <mergeCell ref="A553:B553"/>
    <mergeCell ref="C553:D553"/>
    <mergeCell ref="A574:B574"/>
    <mergeCell ref="C574:D574"/>
    <mergeCell ref="A579:I579"/>
    <mergeCell ref="G585:H585"/>
    <mergeCell ref="A588:I588"/>
    <mergeCell ref="A576:C576"/>
    <mergeCell ref="G566:H566"/>
    <mergeCell ref="A569:I569"/>
    <mergeCell ref="A571:H571"/>
    <mergeCell ref="A572:B572"/>
    <mergeCell ref="C572:D572"/>
    <mergeCell ref="A573:B573"/>
    <mergeCell ref="C573:D573"/>
    <mergeCell ref="A679:I679"/>
    <mergeCell ref="G595:H595"/>
    <mergeCell ref="A598:I598"/>
    <mergeCell ref="A670:H670"/>
    <mergeCell ref="G676:H676"/>
    <mergeCell ref="G605:H605"/>
    <mergeCell ref="A608:I608"/>
    <mergeCell ref="A614:H614"/>
    <mergeCell ref="A626:B626"/>
    <mergeCell ref="C626:D626"/>
    <mergeCell ref="A627:B627"/>
    <mergeCell ref="C627:D627"/>
    <mergeCell ref="A653:I653"/>
    <mergeCell ref="A648:B648"/>
    <mergeCell ref="C648:D648"/>
    <mergeCell ref="G657:H657"/>
    <mergeCell ref="A660:H660"/>
    <mergeCell ref="G664:H664"/>
    <mergeCell ref="A667:H667"/>
    <mergeCell ref="A650:C650"/>
    <mergeCell ref="A645:H645"/>
    <mergeCell ref="A646:B646"/>
    <mergeCell ref="C646:D646"/>
    <mergeCell ref="A647:B647"/>
    <mergeCell ref="A690:H690"/>
    <mergeCell ref="A691:B691"/>
    <mergeCell ref="C691:D691"/>
    <mergeCell ref="A692:B692"/>
    <mergeCell ref="C692:D692"/>
    <mergeCell ref="A693:B693"/>
    <mergeCell ref="C693:D693"/>
    <mergeCell ref="G685:H685"/>
    <mergeCell ref="A688:I688"/>
    <mergeCell ref="A695:C695"/>
    <mergeCell ref="G742:H742"/>
    <mergeCell ref="A745:H745"/>
    <mergeCell ref="G723:H723"/>
    <mergeCell ref="A726:H726"/>
    <mergeCell ref="G732:H732"/>
    <mergeCell ref="A735:H735"/>
    <mergeCell ref="A698:I698"/>
    <mergeCell ref="G704:H704"/>
    <mergeCell ref="A707:I707"/>
    <mergeCell ref="G713:H713"/>
    <mergeCell ref="A716:I716"/>
    <mergeCell ref="G813:H813"/>
    <mergeCell ref="G752:H752"/>
    <mergeCell ref="A755:H755"/>
    <mergeCell ref="G821:H821"/>
    <mergeCell ref="A824:H824"/>
    <mergeCell ref="A826:H826"/>
    <mergeCell ref="A787:H787"/>
    <mergeCell ref="G791:H791"/>
    <mergeCell ref="A794:H794"/>
    <mergeCell ref="G798:H798"/>
    <mergeCell ref="A801:H801"/>
    <mergeCell ref="G805:H805"/>
    <mergeCell ref="A808:H808"/>
    <mergeCell ref="G762:H762"/>
    <mergeCell ref="A765:H765"/>
    <mergeCell ref="G770:H770"/>
    <mergeCell ref="A773:H773"/>
    <mergeCell ref="G780:H780"/>
    <mergeCell ref="A783:I783"/>
    <mergeCell ref="A844:H844"/>
    <mergeCell ref="G851:H851"/>
    <mergeCell ref="A854:H854"/>
    <mergeCell ref="A856:H856"/>
    <mergeCell ref="A857:B857"/>
    <mergeCell ref="C857:D857"/>
    <mergeCell ref="A861:C861"/>
    <mergeCell ref="A883:B883"/>
    <mergeCell ref="C883:D883"/>
    <mergeCell ref="A867:I867"/>
    <mergeCell ref="A912:I912"/>
    <mergeCell ref="A904:H904"/>
    <mergeCell ref="A905:B905"/>
    <mergeCell ref="C905:D905"/>
    <mergeCell ref="A906:B906"/>
    <mergeCell ref="C906:D906"/>
    <mergeCell ref="A907:B907"/>
    <mergeCell ref="C907:D907"/>
    <mergeCell ref="A909:C909"/>
    <mergeCell ref="A287:I287"/>
    <mergeCell ref="A888:I888"/>
    <mergeCell ref="G899:H899"/>
    <mergeCell ref="A902:H902"/>
    <mergeCell ref="G875:H875"/>
    <mergeCell ref="A878:H878"/>
    <mergeCell ref="A880:H880"/>
    <mergeCell ref="A881:B881"/>
    <mergeCell ref="C881:D881"/>
    <mergeCell ref="A891:I891"/>
    <mergeCell ref="A893:I893"/>
    <mergeCell ref="A833:H833"/>
    <mergeCell ref="G837:H837"/>
    <mergeCell ref="A840:H840"/>
    <mergeCell ref="A816:H816"/>
    <mergeCell ref="G830:H830"/>
    <mergeCell ref="A882:B882"/>
    <mergeCell ref="C882:D882"/>
    <mergeCell ref="A885:C885"/>
    <mergeCell ref="A858:B858"/>
    <mergeCell ref="C858:D858"/>
    <mergeCell ref="A859:B859"/>
    <mergeCell ref="C859:D859"/>
    <mergeCell ref="A864:I864"/>
  </mergeCells>
  <printOptions horizontalCentered="1"/>
  <pageMargins left="0.5" right="0.5" top="1" bottom="0.5" header="0.55000000000000004" footer="0.3"/>
  <pageSetup scale="88" fitToHeight="29" orientation="portrait" r:id="rId1"/>
  <headerFooter differentFirst="1" scaleWithDoc="0">
    <oddHeader>&amp;C&amp;"Arial,Bold"&amp;12 2014-15 Legislative Appropriations Request (LAR)</oddHeader>
    <oddFooter>&amp;C&amp;"Arial,Regular"&amp;9Page D&amp;P&amp;R&amp;"Arial,Regular"&amp;9DRAFT - THECB   &amp;D</oddFooter>
    <firstFooter>&amp;C&amp;"Arial,Regular"&amp;9Page D&amp;P&amp;R&amp;"Arial,Regular"&amp;9DRAFT - THECB   &amp;D</firstFooter>
  </headerFooter>
  <rowBreaks count="19" manualBreakCount="19">
    <brk id="26" max="8" man="1"/>
    <brk id="61" max="8" man="1"/>
    <brk id="114" max="8" man="1"/>
    <brk id="150" max="8" man="1"/>
    <brk id="188" max="8" man="1"/>
    <brk id="293" max="8" man="1"/>
    <brk id="324" max="8" man="1"/>
    <brk id="348" max="8" man="1"/>
    <brk id="371" max="8" man="1"/>
    <brk id="467" max="8" man="1"/>
    <brk id="497" max="8" man="1"/>
    <brk id="521" max="8" man="1"/>
    <brk id="548" max="8" man="1"/>
    <brk id="580" max="8" man="1"/>
    <brk id="608" max="8" man="1"/>
    <brk id="658" max="8" man="1"/>
    <brk id="733" max="8" man="1"/>
    <brk id="806" max="8" man="1"/>
    <brk id="831"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election activeCell="D23" sqref="D23"/>
    </sheetView>
  </sheetViews>
  <sheetFormatPr defaultRowHeight="14.4" x14ac:dyDescent="0.3"/>
  <cols>
    <col min="1" max="1" width="9.109375" style="4"/>
  </cols>
  <sheetData>
    <row r="1" spans="1:1" ht="15" x14ac:dyDescent="0.25">
      <c r="A1" s="3" t="s">
        <v>9</v>
      </c>
    </row>
    <row r="2" spans="1:1" ht="15" x14ac:dyDescent="0.25">
      <c r="A2" s="3" t="s">
        <v>10</v>
      </c>
    </row>
    <row r="3" spans="1:1" ht="15" x14ac:dyDescent="0.25">
      <c r="A3" s="3" t="s">
        <v>11</v>
      </c>
    </row>
    <row r="5" spans="1:1" x14ac:dyDescent="0.3">
      <c r="A5" s="3" t="s">
        <v>12</v>
      </c>
    </row>
    <row r="6" spans="1:1" x14ac:dyDescent="0.3">
      <c r="A6" s="3" t="s">
        <v>13</v>
      </c>
    </row>
    <row r="7" spans="1:1" x14ac:dyDescent="0.3">
      <c r="A7" s="3" t="s">
        <v>14</v>
      </c>
    </row>
    <row r="8" spans="1:1" ht="15" x14ac:dyDescent="0.25">
      <c r="A8" s="3" t="s">
        <v>15</v>
      </c>
    </row>
    <row r="9" spans="1:1" ht="15" x14ac:dyDescent="0.25">
      <c r="A9" s="3" t="s">
        <v>16</v>
      </c>
    </row>
    <row r="10" spans="1:1" ht="15" x14ac:dyDescent="0.25">
      <c r="A10" s="3" t="s">
        <v>17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4"/>
  <sheetViews>
    <sheetView view="pageBreakPreview" topLeftCell="A43" zoomScale="60" zoomScaleNormal="100" workbookViewId="0">
      <selection activeCell="A71" sqref="A71:A73"/>
    </sheetView>
  </sheetViews>
  <sheetFormatPr defaultRowHeight="14.4" x14ac:dyDescent="0.3"/>
  <cols>
    <col min="1" max="1" width="65" customWidth="1"/>
    <col min="4" max="4" width="11.33203125" customWidth="1"/>
  </cols>
  <sheetData>
    <row r="1" spans="1:4" s="36" customFormat="1" ht="15" x14ac:dyDescent="0.25"/>
    <row r="2" spans="1:4" s="36" customFormat="1" ht="15" x14ac:dyDescent="0.25"/>
    <row r="3" spans="1:4" s="36" customFormat="1" ht="20.25" customHeight="1" x14ac:dyDescent="0.25">
      <c r="A3" s="62" t="s">
        <v>289</v>
      </c>
    </row>
    <row r="4" spans="1:4" s="64" customFormat="1" ht="19.5" customHeight="1" x14ac:dyDescent="0.25">
      <c r="A4" s="64" t="s">
        <v>290</v>
      </c>
      <c r="B4" s="64" t="s">
        <v>369</v>
      </c>
    </row>
    <row r="5" spans="1:4" s="36" customFormat="1" ht="20.25" customHeight="1" x14ac:dyDescent="0.25">
      <c r="A5" s="62" t="s">
        <v>373</v>
      </c>
    </row>
    <row r="6" spans="1:4" s="64" customFormat="1" ht="19.5" customHeight="1" x14ac:dyDescent="0.25">
      <c r="A6" s="64" t="s">
        <v>373</v>
      </c>
      <c r="B6" s="64" t="s">
        <v>370</v>
      </c>
    </row>
    <row r="7" spans="1:4" s="36" customFormat="1" ht="20.25" customHeight="1" x14ac:dyDescent="0.25">
      <c r="A7" s="62" t="s">
        <v>19</v>
      </c>
    </row>
    <row r="8" spans="1:4" s="36" customFormat="1" ht="15" x14ac:dyDescent="0.25">
      <c r="A8" s="62" t="s">
        <v>372</v>
      </c>
    </row>
    <row r="9" spans="1:4" s="64" customFormat="1" ht="19.5" customHeight="1" x14ac:dyDescent="0.25">
      <c r="A9" s="64" t="s">
        <v>297</v>
      </c>
      <c r="B9" s="64" t="s">
        <v>371</v>
      </c>
      <c r="D9" s="64" t="s">
        <v>296</v>
      </c>
    </row>
    <row r="10" spans="1:4" s="64" customFormat="1" ht="19.5" customHeight="1" x14ac:dyDescent="0.25">
      <c r="A10" s="64" t="s">
        <v>298</v>
      </c>
      <c r="D10" s="64" t="s">
        <v>296</v>
      </c>
    </row>
    <row r="11" spans="1:4" s="64" customFormat="1" ht="19.5" customHeight="1" x14ac:dyDescent="0.25">
      <c r="A11" s="64" t="s">
        <v>299</v>
      </c>
      <c r="D11" s="64" t="s">
        <v>296</v>
      </c>
    </row>
    <row r="12" spans="1:4" s="64" customFormat="1" ht="19.5" customHeight="1" x14ac:dyDescent="0.25">
      <c r="A12" s="64" t="s">
        <v>300</v>
      </c>
      <c r="D12" s="64" t="s">
        <v>296</v>
      </c>
    </row>
    <row r="13" spans="1:4" s="64" customFormat="1" ht="19.5" customHeight="1" x14ac:dyDescent="0.25">
      <c r="A13" s="64" t="s">
        <v>301</v>
      </c>
      <c r="D13" s="64" t="s">
        <v>296</v>
      </c>
    </row>
    <row r="14" spans="1:4" s="64" customFormat="1" ht="19.5" customHeight="1" x14ac:dyDescent="0.25">
      <c r="A14" s="64" t="s">
        <v>302</v>
      </c>
      <c r="D14" s="64" t="s">
        <v>296</v>
      </c>
    </row>
    <row r="15" spans="1:4" s="64" customFormat="1" ht="19.5" customHeight="1" x14ac:dyDescent="0.25">
      <c r="A15" s="64" t="s">
        <v>303</v>
      </c>
      <c r="D15" s="64" t="s">
        <v>296</v>
      </c>
    </row>
    <row r="16" spans="1:4" s="64" customFormat="1" ht="19.5" customHeight="1" x14ac:dyDescent="0.25">
      <c r="A16" s="64" t="s">
        <v>304</v>
      </c>
      <c r="D16" s="64" t="s">
        <v>296</v>
      </c>
    </row>
    <row r="17" spans="1:4" s="64" customFormat="1" ht="19.5" customHeight="1" x14ac:dyDescent="0.25">
      <c r="A17" s="64" t="s">
        <v>305</v>
      </c>
      <c r="D17" s="64" t="s">
        <v>296</v>
      </c>
    </row>
    <row r="18" spans="1:4" s="64" customFormat="1" ht="19.5" customHeight="1" x14ac:dyDescent="0.25">
      <c r="A18" s="64" t="s">
        <v>306</v>
      </c>
      <c r="D18" s="64" t="s">
        <v>296</v>
      </c>
    </row>
    <row r="19" spans="1:4" s="64" customFormat="1" ht="19.5" customHeight="1" x14ac:dyDescent="0.25">
      <c r="A19" s="64" t="s">
        <v>307</v>
      </c>
      <c r="D19" s="64" t="s">
        <v>296</v>
      </c>
    </row>
    <row r="20" spans="1:4" s="64" customFormat="1" ht="19.5" customHeight="1" x14ac:dyDescent="0.25">
      <c r="A20" s="64" t="s">
        <v>308</v>
      </c>
      <c r="D20" s="64" t="s">
        <v>296</v>
      </c>
    </row>
    <row r="21" spans="1:4" s="64" customFormat="1" ht="19.5" customHeight="1" x14ac:dyDescent="0.25">
      <c r="A21" s="64" t="s">
        <v>309</v>
      </c>
      <c r="D21" s="64" t="s">
        <v>296</v>
      </c>
    </row>
    <row r="22" spans="1:4" s="64" customFormat="1" ht="19.5" customHeight="1" x14ac:dyDescent="0.25">
      <c r="A22" s="64" t="s">
        <v>310</v>
      </c>
      <c r="D22" s="64" t="s">
        <v>296</v>
      </c>
    </row>
    <row r="23" spans="1:4" s="64" customFormat="1" ht="19.5" customHeight="1" x14ac:dyDescent="0.25">
      <c r="A23" s="64" t="s">
        <v>311</v>
      </c>
      <c r="D23" s="64" t="s">
        <v>296</v>
      </c>
    </row>
    <row r="24" spans="1:4" s="64" customFormat="1" ht="19.5" customHeight="1" x14ac:dyDescent="0.25">
      <c r="A24" s="64" t="s">
        <v>312</v>
      </c>
      <c r="D24" s="64" t="s">
        <v>296</v>
      </c>
    </row>
    <row r="25" spans="1:4" s="64" customFormat="1" ht="19.5" customHeight="1" x14ac:dyDescent="0.25">
      <c r="A25" s="64" t="s">
        <v>313</v>
      </c>
      <c r="D25" s="64" t="s">
        <v>296</v>
      </c>
    </row>
    <row r="26" spans="1:4" s="64" customFormat="1" ht="19.5" customHeight="1" x14ac:dyDescent="0.25">
      <c r="A26" s="64" t="s">
        <v>314</v>
      </c>
      <c r="D26" s="64" t="s">
        <v>296</v>
      </c>
    </row>
    <row r="27" spans="1:4" s="64" customFormat="1" ht="19.5" customHeight="1" x14ac:dyDescent="0.25">
      <c r="A27" s="64" t="s">
        <v>315</v>
      </c>
      <c r="D27" s="64" t="s">
        <v>296</v>
      </c>
    </row>
    <row r="28" spans="1:4" s="64" customFormat="1" ht="19.5" customHeight="1" x14ac:dyDescent="0.25">
      <c r="A28" s="64" t="s">
        <v>316</v>
      </c>
      <c r="D28" s="64" t="s">
        <v>296</v>
      </c>
    </row>
    <row r="29" spans="1:4" s="64" customFormat="1" ht="19.5" customHeight="1" x14ac:dyDescent="0.25">
      <c r="A29" s="64" t="s">
        <v>317</v>
      </c>
      <c r="D29" s="64" t="s">
        <v>296</v>
      </c>
    </row>
    <row r="30" spans="1:4" s="64" customFormat="1" ht="19.5" customHeight="1" x14ac:dyDescent="0.25">
      <c r="A30" s="64" t="s">
        <v>318</v>
      </c>
      <c r="D30" s="64" t="s">
        <v>296</v>
      </c>
    </row>
    <row r="31" spans="1:4" s="64" customFormat="1" ht="19.5" customHeight="1" x14ac:dyDescent="0.25">
      <c r="A31" s="64" t="s">
        <v>319</v>
      </c>
      <c r="D31" s="64" t="s">
        <v>296</v>
      </c>
    </row>
    <row r="32" spans="1:4" s="64" customFormat="1" ht="19.5" customHeight="1" x14ac:dyDescent="0.25">
      <c r="A32" s="64" t="s">
        <v>320</v>
      </c>
      <c r="D32" s="64" t="s">
        <v>296</v>
      </c>
    </row>
    <row r="33" spans="1:4" s="64" customFormat="1" ht="19.5" customHeight="1" x14ac:dyDescent="0.25">
      <c r="A33" s="64" t="s">
        <v>321</v>
      </c>
      <c r="D33" s="64" t="s">
        <v>296</v>
      </c>
    </row>
    <row r="34" spans="1:4" s="64" customFormat="1" ht="19.5" customHeight="1" x14ac:dyDescent="0.25">
      <c r="A34" s="64" t="s">
        <v>322</v>
      </c>
      <c r="D34" s="64" t="s">
        <v>296</v>
      </c>
    </row>
    <row r="35" spans="1:4" s="64" customFormat="1" ht="19.5" customHeight="1" x14ac:dyDescent="0.25">
      <c r="A35" s="64" t="s">
        <v>323</v>
      </c>
      <c r="D35" s="64" t="s">
        <v>296</v>
      </c>
    </row>
    <row r="36" spans="1:4" s="64" customFormat="1" ht="19.5" customHeight="1" x14ac:dyDescent="0.25">
      <c r="A36" s="64" t="s">
        <v>324</v>
      </c>
      <c r="D36" s="64" t="s">
        <v>296</v>
      </c>
    </row>
    <row r="37" spans="1:4" s="64" customFormat="1" ht="19.5" customHeight="1" x14ac:dyDescent="0.25">
      <c r="A37" s="64" t="s">
        <v>325</v>
      </c>
      <c r="D37" s="64" t="s">
        <v>296</v>
      </c>
    </row>
    <row r="38" spans="1:4" s="64" customFormat="1" ht="19.5" customHeight="1" x14ac:dyDescent="0.25">
      <c r="A38" s="64" t="s">
        <v>326</v>
      </c>
      <c r="D38" s="64" t="s">
        <v>296</v>
      </c>
    </row>
    <row r="39" spans="1:4" s="64" customFormat="1" ht="19.5" customHeight="1" x14ac:dyDescent="0.25">
      <c r="A39" s="64" t="s">
        <v>327</v>
      </c>
      <c r="D39" s="64" t="s">
        <v>296</v>
      </c>
    </row>
    <row r="40" spans="1:4" s="64" customFormat="1" ht="19.5" customHeight="1" x14ac:dyDescent="0.25">
      <c r="A40" s="64" t="s">
        <v>328</v>
      </c>
      <c r="D40" s="64" t="s">
        <v>296</v>
      </c>
    </row>
    <row r="41" spans="1:4" s="64" customFormat="1" ht="19.5" customHeight="1" x14ac:dyDescent="0.25">
      <c r="A41" s="64" t="s">
        <v>329</v>
      </c>
      <c r="D41" s="64" t="s">
        <v>296</v>
      </c>
    </row>
    <row r="42" spans="1:4" s="64" customFormat="1" ht="19.5" customHeight="1" x14ac:dyDescent="0.25">
      <c r="A42" s="64" t="s">
        <v>330</v>
      </c>
      <c r="D42" s="64" t="s">
        <v>296</v>
      </c>
    </row>
    <row r="43" spans="1:4" s="64" customFormat="1" ht="19.5" customHeight="1" x14ac:dyDescent="0.25">
      <c r="A43" s="64" t="s">
        <v>331</v>
      </c>
      <c r="D43" s="64" t="s">
        <v>296</v>
      </c>
    </row>
    <row r="44" spans="1:4" s="64" customFormat="1" ht="19.5" customHeight="1" x14ac:dyDescent="0.25">
      <c r="A44" s="64" t="s">
        <v>332</v>
      </c>
      <c r="D44" s="64" t="s">
        <v>296</v>
      </c>
    </row>
    <row r="45" spans="1:4" s="64" customFormat="1" ht="19.5" customHeight="1" x14ac:dyDescent="0.25">
      <c r="A45" s="64" t="s">
        <v>333</v>
      </c>
      <c r="D45" s="64" t="s">
        <v>296</v>
      </c>
    </row>
    <row r="46" spans="1:4" s="64" customFormat="1" ht="19.5" customHeight="1" x14ac:dyDescent="0.25">
      <c r="A46" s="64" t="s">
        <v>334</v>
      </c>
      <c r="D46" s="64" t="s">
        <v>296</v>
      </c>
    </row>
    <row r="47" spans="1:4" s="64" customFormat="1" ht="19.5" customHeight="1" x14ac:dyDescent="0.25">
      <c r="A47" s="64" t="s">
        <v>335</v>
      </c>
      <c r="D47" s="64" t="s">
        <v>296</v>
      </c>
    </row>
    <row r="48" spans="1:4" s="64" customFormat="1" ht="19.5" customHeight="1" x14ac:dyDescent="0.25">
      <c r="A48" s="64" t="s">
        <v>336</v>
      </c>
      <c r="D48" s="64" t="s">
        <v>296</v>
      </c>
    </row>
    <row r="49" spans="1:4" s="64" customFormat="1" ht="19.5" customHeight="1" x14ac:dyDescent="0.25">
      <c r="A49" s="64" t="s">
        <v>337</v>
      </c>
      <c r="D49" s="64" t="s">
        <v>296</v>
      </c>
    </row>
    <row r="50" spans="1:4" s="64" customFormat="1" ht="19.5" customHeight="1" x14ac:dyDescent="0.25">
      <c r="A50" s="64" t="s">
        <v>338</v>
      </c>
      <c r="D50" s="64" t="s">
        <v>296</v>
      </c>
    </row>
    <row r="51" spans="1:4" s="64" customFormat="1" ht="19.5" customHeight="1" x14ac:dyDescent="0.3">
      <c r="A51" s="64" t="s">
        <v>339</v>
      </c>
      <c r="D51" s="64" t="s">
        <v>296</v>
      </c>
    </row>
    <row r="52" spans="1:4" s="64" customFormat="1" ht="19.5" customHeight="1" x14ac:dyDescent="0.25">
      <c r="A52" s="64" t="s">
        <v>340</v>
      </c>
      <c r="D52" s="64" t="s">
        <v>296</v>
      </c>
    </row>
    <row r="53" spans="1:4" s="64" customFormat="1" ht="19.5" customHeight="1" x14ac:dyDescent="0.25">
      <c r="A53" s="64" t="s">
        <v>341</v>
      </c>
      <c r="D53" s="64" t="s">
        <v>296</v>
      </c>
    </row>
    <row r="54" spans="1:4" s="64" customFormat="1" ht="19.5" customHeight="1" x14ac:dyDescent="0.25">
      <c r="A54" s="64" t="s">
        <v>342</v>
      </c>
      <c r="D54" s="64" t="s">
        <v>296</v>
      </c>
    </row>
    <row r="55" spans="1:4" s="64" customFormat="1" ht="19.5" customHeight="1" x14ac:dyDescent="0.25">
      <c r="A55" s="64" t="s">
        <v>343</v>
      </c>
      <c r="D55" s="64" t="s">
        <v>296</v>
      </c>
    </row>
    <row r="56" spans="1:4" s="64" customFormat="1" ht="19.5" customHeight="1" x14ac:dyDescent="0.25">
      <c r="A56" s="64" t="s">
        <v>344</v>
      </c>
      <c r="D56" s="64" t="s">
        <v>296</v>
      </c>
    </row>
    <row r="57" spans="1:4" s="64" customFormat="1" ht="19.5" customHeight="1" x14ac:dyDescent="0.25">
      <c r="A57" s="64" t="s">
        <v>345</v>
      </c>
      <c r="D57" s="64" t="s">
        <v>296</v>
      </c>
    </row>
    <row r="58" spans="1:4" s="64" customFormat="1" ht="19.5" customHeight="1" x14ac:dyDescent="0.25">
      <c r="A58" s="64" t="s">
        <v>346</v>
      </c>
      <c r="D58" s="64" t="s">
        <v>296</v>
      </c>
    </row>
    <row r="59" spans="1:4" s="64" customFormat="1" ht="19.5" customHeight="1" x14ac:dyDescent="0.25">
      <c r="A59" s="64" t="s">
        <v>347</v>
      </c>
      <c r="D59" s="64" t="s">
        <v>296</v>
      </c>
    </row>
    <row r="60" spans="1:4" s="64" customFormat="1" ht="19.5" customHeight="1" x14ac:dyDescent="0.25">
      <c r="A60" s="64" t="s">
        <v>348</v>
      </c>
      <c r="D60" s="64" t="s">
        <v>296</v>
      </c>
    </row>
    <row r="61" spans="1:4" s="64" customFormat="1" ht="19.5" customHeight="1" x14ac:dyDescent="0.25">
      <c r="A61" s="64" t="s">
        <v>349</v>
      </c>
      <c r="D61" s="64" t="s">
        <v>296</v>
      </c>
    </row>
    <row r="62" spans="1:4" s="64" customFormat="1" ht="19.5" customHeight="1" x14ac:dyDescent="0.25">
      <c r="A62" s="64" t="s">
        <v>350</v>
      </c>
      <c r="D62" s="64" t="s">
        <v>296</v>
      </c>
    </row>
    <row r="63" spans="1:4" s="64" customFormat="1" ht="19.5" customHeight="1" x14ac:dyDescent="0.25">
      <c r="A63" s="64" t="s">
        <v>351</v>
      </c>
      <c r="D63" s="64" t="s">
        <v>296</v>
      </c>
    </row>
    <row r="64" spans="1:4" s="64" customFormat="1" ht="19.5" customHeight="1" x14ac:dyDescent="0.25">
      <c r="A64" s="64" t="s">
        <v>352</v>
      </c>
      <c r="D64" s="64" t="s">
        <v>296</v>
      </c>
    </row>
    <row r="65" spans="1:4" s="64" customFormat="1" ht="19.5" customHeight="1" x14ac:dyDescent="0.25">
      <c r="A65" s="64" t="s">
        <v>353</v>
      </c>
      <c r="D65" s="64" t="s">
        <v>296</v>
      </c>
    </row>
    <row r="66" spans="1:4" s="64" customFormat="1" ht="19.5" customHeight="1" x14ac:dyDescent="0.25">
      <c r="A66" s="64" t="s">
        <v>354</v>
      </c>
      <c r="D66" s="64" t="s">
        <v>296</v>
      </c>
    </row>
    <row r="67" spans="1:4" s="64" customFormat="1" ht="19.5" customHeight="1" x14ac:dyDescent="0.25">
      <c r="A67" s="64" t="s">
        <v>355</v>
      </c>
      <c r="D67" s="64" t="s">
        <v>296</v>
      </c>
    </row>
    <row r="68" spans="1:4" s="64" customFormat="1" ht="19.5" customHeight="1" x14ac:dyDescent="0.25">
      <c r="A68" s="64" t="s">
        <v>356</v>
      </c>
      <c r="D68" s="64" t="s">
        <v>296</v>
      </c>
    </row>
    <row r="69" spans="1:4" s="64" customFormat="1" ht="19.5" customHeight="1" x14ac:dyDescent="0.25">
      <c r="A69" s="64" t="s">
        <v>357</v>
      </c>
      <c r="D69" s="64" t="s">
        <v>296</v>
      </c>
    </row>
    <row r="70" spans="1:4" s="64" customFormat="1" ht="19.5" customHeight="1" x14ac:dyDescent="0.25">
      <c r="A70" s="64" t="s">
        <v>358</v>
      </c>
      <c r="D70" s="64" t="s">
        <v>296</v>
      </c>
    </row>
    <row r="71" spans="1:4" s="64" customFormat="1" ht="19.5" customHeight="1" x14ac:dyDescent="0.25">
      <c r="A71" s="64" t="s">
        <v>359</v>
      </c>
      <c r="D71" s="64" t="s">
        <v>296</v>
      </c>
    </row>
    <row r="72" spans="1:4" s="64" customFormat="1" ht="19.5" customHeight="1" x14ac:dyDescent="0.25">
      <c r="A72" s="64" t="s">
        <v>360</v>
      </c>
      <c r="D72" s="64" t="s">
        <v>296</v>
      </c>
    </row>
    <row r="73" spans="1:4" s="64" customFormat="1" ht="19.5" customHeight="1" x14ac:dyDescent="0.25">
      <c r="A73" s="64" t="s">
        <v>361</v>
      </c>
      <c r="D73" s="64" t="s">
        <v>296</v>
      </c>
    </row>
    <row r="74" spans="1:4" ht="15" x14ac:dyDescent="0.25">
      <c r="D74" s="63" t="s">
        <v>296</v>
      </c>
    </row>
  </sheetData>
  <pageMargins left="0.7" right="0.7" top="0.75" bottom="0.75" header="0.3" footer="0.3"/>
  <pageSetup scale="9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zoomScaleNormal="100" workbookViewId="0">
      <selection activeCell="I13" sqref="I13"/>
    </sheetView>
  </sheetViews>
  <sheetFormatPr defaultColWidth="9.109375" defaultRowHeight="27" customHeight="1" x14ac:dyDescent="0.3"/>
  <cols>
    <col min="1" max="1" width="9.88671875" style="36" customWidth="1"/>
    <col min="2" max="2" width="54.88671875" style="36" customWidth="1"/>
    <col min="3" max="3" width="10.5546875" style="36" customWidth="1"/>
    <col min="4" max="4" width="19.33203125" style="36" hidden="1" customWidth="1"/>
    <col min="5" max="6" width="16.6640625" style="36" customWidth="1"/>
    <col min="7" max="7" width="0" style="36" hidden="1" customWidth="1"/>
    <col min="8" max="8" width="16.33203125" style="36" customWidth="1"/>
    <col min="9" max="16384" width="9.109375" style="36"/>
  </cols>
  <sheetData>
    <row r="1" spans="1:9" ht="27" customHeight="1" thickBot="1" x14ac:dyDescent="0.3">
      <c r="A1" s="836" t="s">
        <v>219</v>
      </c>
      <c r="B1" s="836"/>
      <c r="C1" s="836"/>
      <c r="D1" s="836"/>
      <c r="E1" s="836"/>
      <c r="F1" s="836"/>
      <c r="G1" s="836"/>
      <c r="H1" s="836"/>
      <c r="I1" s="836"/>
    </row>
    <row r="2" spans="1:9" ht="27" customHeight="1" thickBot="1" x14ac:dyDescent="0.3">
      <c r="A2" s="37" t="s">
        <v>213</v>
      </c>
      <c r="B2" s="37" t="s">
        <v>214</v>
      </c>
      <c r="C2" s="43" t="s">
        <v>281</v>
      </c>
      <c r="D2" s="44" t="s">
        <v>28</v>
      </c>
      <c r="E2" s="45" t="s">
        <v>179</v>
      </c>
      <c r="F2" s="45" t="s">
        <v>180</v>
      </c>
      <c r="G2" s="45" t="s">
        <v>215</v>
      </c>
      <c r="H2" s="45" t="s">
        <v>368</v>
      </c>
      <c r="I2" s="45" t="s">
        <v>284</v>
      </c>
    </row>
    <row r="3" spans="1:9" ht="27" customHeight="1" x14ac:dyDescent="0.25">
      <c r="A3" s="39">
        <f>EI!A6</f>
        <v>1</v>
      </c>
      <c r="B3" s="38" t="str">
        <f>EI!D6</f>
        <v>TEXAS Grants</v>
      </c>
      <c r="C3" s="46" t="str">
        <f>EI!F6</f>
        <v>B.1.9.</v>
      </c>
      <c r="D3" s="47" t="str">
        <f>EI!H6</f>
        <v>CB staff recommends increased funding for this program by $148.33 million.  This will enable us to keep the number of new students added to the program level with the numbers added for the 2010/2011 biennium and increase the overall number of students by over 17,000 students for the biennium.</v>
      </c>
      <c r="E3" s="40">
        <f>EI!J6</f>
        <v>53365819</v>
      </c>
      <c r="F3" s="40">
        <f>EI!K6</f>
        <v>94963455</v>
      </c>
      <c r="G3" s="48">
        <v>0</v>
      </c>
      <c r="H3" s="40">
        <f>E3+F3</f>
        <v>148329274</v>
      </c>
      <c r="I3" s="49" t="s">
        <v>374</v>
      </c>
    </row>
    <row r="4" spans="1:9" ht="27" customHeight="1" x14ac:dyDescent="0.25">
      <c r="A4" s="39">
        <f>EI!A7</f>
        <v>2</v>
      </c>
      <c r="B4" s="38" t="str">
        <f>EI!D7</f>
        <v>Texas Education Opportunity Grants (TEOG)</v>
      </c>
      <c r="C4" s="46" t="str">
        <f>EI!F7</f>
        <v>B.1.9.</v>
      </c>
      <c r="D4" s="47" t="str">
        <f>EI!H7</f>
        <v>CB staff recommends that the Legislature substantially increase funding for the TEOG by $10 million.  This will enable an additional 2,630 new students to enter the program during the 2012/2013 biennium and overall fund an additional 4,090 students for the biennium.</v>
      </c>
      <c r="E4" s="40">
        <f>EI!J7</f>
        <v>4706947</v>
      </c>
      <c r="F4" s="40">
        <f>EI!K7</f>
        <v>5293053</v>
      </c>
      <c r="G4" s="48">
        <v>0</v>
      </c>
      <c r="H4" s="40">
        <f t="shared" ref="H4:H16" si="0">E4+F4</f>
        <v>10000000</v>
      </c>
      <c r="I4" s="49" t="s">
        <v>374</v>
      </c>
    </row>
    <row r="5" spans="1:9" ht="27" customHeight="1" x14ac:dyDescent="0.25">
      <c r="A5" s="39">
        <f>EI!A8</f>
        <v>3</v>
      </c>
      <c r="B5" s="38" t="str">
        <f>EI!D8</f>
        <v>Texas College Work Study</v>
      </c>
      <c r="C5" s="46" t="str">
        <f>EI!F8</f>
        <v>B.1.9.</v>
      </c>
      <c r="D5" s="47" t="str">
        <f>EI!H8</f>
        <v>CB staff recommends doubling the funding over the 2010-2011 biennium, which was $15 million.  This increase will enable an additional 6,024 students to participate in the program each year of the biennium.</v>
      </c>
      <c r="E5" s="40">
        <f>EI!J8</f>
        <v>7500000</v>
      </c>
      <c r="F5" s="40">
        <f>EI!K8</f>
        <v>7500000</v>
      </c>
      <c r="G5" s="48">
        <v>0</v>
      </c>
      <c r="H5" s="40">
        <f t="shared" si="0"/>
        <v>15000000</v>
      </c>
      <c r="I5" s="49" t="s">
        <v>374</v>
      </c>
    </row>
    <row r="6" spans="1:9" ht="27" customHeight="1" x14ac:dyDescent="0.25">
      <c r="A6" s="39">
        <v>4</v>
      </c>
      <c r="B6" s="38" t="str">
        <f>EI!D9</f>
        <v>Tuition Equalization Grants (TEG)</v>
      </c>
      <c r="C6" s="46" t="str">
        <f>EI!F9</f>
        <v>B.1.9.</v>
      </c>
      <c r="D6" s="47" t="str">
        <f>EI!H9</f>
        <v>CB staff recommends that the Legislature  increase funding for the TEG by $10,587,465.  This will enable the number of students served by the program to remain relatively steady for the 2012/2013 biennium.</v>
      </c>
      <c r="E6" s="40">
        <f>EI!J9</f>
        <v>5293732</v>
      </c>
      <c r="F6" s="41">
        <f>EI!K9</f>
        <v>5293733</v>
      </c>
      <c r="G6" s="48">
        <v>0</v>
      </c>
      <c r="H6" s="40">
        <f t="shared" si="0"/>
        <v>10587465</v>
      </c>
      <c r="I6" s="49" t="s">
        <v>374</v>
      </c>
    </row>
    <row r="7" spans="1:9" ht="27" customHeight="1" x14ac:dyDescent="0.25">
      <c r="A7" s="39">
        <v>5</v>
      </c>
      <c r="B7" s="38" t="str">
        <f>EI!D10</f>
        <v>Higher Education Performance Incentive Initiative</v>
      </c>
      <c r="C7" s="46" t="str">
        <f>EI!F10</f>
        <v>B.1.12.</v>
      </c>
      <c r="D7" s="47" t="str">
        <f>EI!H10</f>
        <v>The incentive funding was originally appropriated by rider in FY 2009 as General Revenue funds and then funded during the FY 2010-11 biennium through federal American Recovery and Reinvestment (ARRA) funds, which will not be available for FY 2012-13. This request would restore the General Revenue funding for this program.</v>
      </c>
      <c r="E7" s="40">
        <f>EI!J10</f>
        <v>40000000</v>
      </c>
      <c r="F7" s="41">
        <f>EI!K10</f>
        <v>40000000</v>
      </c>
      <c r="G7" s="48">
        <v>0</v>
      </c>
      <c r="H7" s="40">
        <f t="shared" si="0"/>
        <v>80000000</v>
      </c>
      <c r="I7" s="49" t="s">
        <v>375</v>
      </c>
    </row>
    <row r="8" spans="1:9" ht="27" customHeight="1" x14ac:dyDescent="0.25">
      <c r="A8" s="39">
        <v>6</v>
      </c>
      <c r="B8" s="38" t="str">
        <f>EI!D5</f>
        <v xml:space="preserve">Teach for Texas Loan Repayment Program </v>
      </c>
      <c r="C8" s="46" t="str">
        <f>EI!F5</f>
        <v>B.1.6.</v>
      </c>
      <c r="D8" s="47" t="str">
        <f>EI!H5</f>
        <v>The number of applications for participation in this program has increased by 76% during the past four years, and yet the funding has increased by 16% during that period. Funding for the FY2010-2011 biennium ($11.2 million) was sufficient for only 1,124 of approximately 5,000 applicant teachers in FY2010  (22%).  Staff recommends raising the funding level by $19,378,557 per year over the base funding, to provide loan repayment for 5,000 teachers. (Note: For FY10 receipts from borrower payments applied to TFT conditional grants will provide loan repayment funds for approximately 200 additional teachers. This source of funds will diminish over the next few years as the loans in these portfolios are paid-in-full or go into default.)</v>
      </c>
      <c r="E8" s="40">
        <f>EI!J5</f>
        <v>19378557</v>
      </c>
      <c r="F8" s="41">
        <f>EI!K5</f>
        <v>19378557</v>
      </c>
      <c r="G8" s="48">
        <v>0</v>
      </c>
      <c r="H8" s="40">
        <f t="shared" si="0"/>
        <v>38757114</v>
      </c>
      <c r="I8" s="49" t="s">
        <v>376</v>
      </c>
    </row>
    <row r="9" spans="1:9" ht="27" customHeight="1" x14ac:dyDescent="0.25">
      <c r="A9" s="39">
        <v>7</v>
      </c>
      <c r="B9" s="38" t="str">
        <f>EI!D12</f>
        <v>Physician Education Loan Repayment Program</v>
      </c>
      <c r="C9" s="46" t="str">
        <f>EI!F12</f>
        <v>D.1.8.</v>
      </c>
      <c r="D9" s="47" t="str">
        <f>EI!H12</f>
        <v>The 81st Legislature authorized changes to the tax code relating to smokeless tobacco and directed specified percentages of the increased revenue to a new account for the PELRP. The increased funding allows for loan repayments in the amount of $25,000, $35,000, $45,000, and $55,000 for 1st, 2nd, 3rd, and 4th- year participants, for a maximum aggregate of $160,000. The State Comptroller's revenue projections for this fund exceed the amount of this exceptional item, which is requested to fund administrative costs and loan repayments totaling $13,500,000 to 450 physicians in FY2012 and $23,625,000 to 675 physicians in FY2013.  The administrative costs of $346,711 in FY12 and $348,711 in FY13 include personnel costs for the 4 FTEs authorized in Contingency Rider 17.49 for the FY2010-2011 biennium.</v>
      </c>
      <c r="E9" s="40">
        <f>EI!J12</f>
        <v>6846711</v>
      </c>
      <c r="F9" s="41">
        <f>EI!K12</f>
        <v>8973711</v>
      </c>
      <c r="G9" s="48">
        <v>0</v>
      </c>
      <c r="H9" s="40">
        <f t="shared" si="0"/>
        <v>15820422</v>
      </c>
      <c r="I9" s="49" t="s">
        <v>377</v>
      </c>
    </row>
    <row r="10" spans="1:9" ht="27" customHeight="1" x14ac:dyDescent="0.25">
      <c r="A10" s="39">
        <v>8</v>
      </c>
      <c r="B10" s="38" t="str">
        <f>EI!D13</f>
        <v>Restoration of Reduction to College Readiness Grants Strategy</v>
      </c>
      <c r="C10" s="46" t="str">
        <f>EI!F13</f>
        <v>E.1.10.</v>
      </c>
      <c r="D10" s="47" t="str">
        <f>EI!H13</f>
        <v>This exceptional item would restore funding to the original 2010-2011 level to address the goal of the P-16 College Readiness and Success Strategic Action Plan to "reduce the need for developmental education and to increase student success." Restoring these funds would ensure the Coordinating Board has resources necessary to support vertical alignment statewide through higher education engagement activities and vertical alignment initiatives that involve both higher education and K-12 faculty.</v>
      </c>
      <c r="E10" s="40">
        <f>EI!J13</f>
        <v>1351445.4</v>
      </c>
      <c r="F10" s="41">
        <f>EI!K13</f>
        <v>900963.60000000009</v>
      </c>
      <c r="G10" s="48">
        <v>0</v>
      </c>
      <c r="H10" s="40">
        <f t="shared" si="0"/>
        <v>2252409</v>
      </c>
      <c r="I10" s="49" t="s">
        <v>378</v>
      </c>
    </row>
    <row r="11" spans="1:9" ht="27" customHeight="1" x14ac:dyDescent="0.25">
      <c r="A11" s="39">
        <v>9</v>
      </c>
      <c r="B11" s="38" t="s">
        <v>183</v>
      </c>
      <c r="C11" s="46" t="s">
        <v>283</v>
      </c>
      <c r="D11" s="47" t="str">
        <f>EI!H2</f>
        <v>BOARD Description</v>
      </c>
      <c r="E11" s="40">
        <f>E12+E13</f>
        <v>4704500</v>
      </c>
      <c r="F11" s="40">
        <f>F12+F13</f>
        <v>4704500</v>
      </c>
      <c r="G11" s="48">
        <v>0</v>
      </c>
      <c r="H11" s="40">
        <f t="shared" si="0"/>
        <v>9409000</v>
      </c>
      <c r="I11" s="49"/>
    </row>
    <row r="12" spans="1:9" ht="27" customHeight="1" x14ac:dyDescent="0.25">
      <c r="A12" s="39"/>
      <c r="B12" s="61" t="s">
        <v>287</v>
      </c>
      <c r="C12" s="46" t="str">
        <f>EI!F3</f>
        <v>A1.3.</v>
      </c>
      <c r="D12" s="47" t="str">
        <f>EI!H3</f>
        <v>The 81st Texas Legislature moved the statutory responsibility for Mathematics, Science, Technology Teacher Preparatory Academies and the Intensive Programs from the public education section to the higher education section of the Texas Education Code but did not appropriate funding to the Coordinating Board. Currently, funding is provided to TEA under General Appropriations Act, Senate Bill 1, 81st Texas Legislature, Section 51 (pages III-19 and 20), Texas High School Completion and Success Initiative.  In turn, TEA provides the Coordinating Board with funding through a Memorandum of Understanding. TEA has indicated they will not request funding in the 2012-2013 LAR since they have no statutory authority for these two programs. Therefore, the Coordinating Board would need to seek this appropriation in order to fund these programs for the 2012-2013.  The amounts indicated above represent administrative funds. The requested grant funds are shown in Strategy E.1.10.</v>
      </c>
      <c r="E12" s="40">
        <f>EI!J3</f>
        <v>300000</v>
      </c>
      <c r="F12" s="41">
        <f>EI!K3</f>
        <v>300000</v>
      </c>
      <c r="G12" s="48">
        <v>0</v>
      </c>
      <c r="H12" s="40">
        <f t="shared" si="0"/>
        <v>600000</v>
      </c>
      <c r="I12" s="49" t="s">
        <v>390</v>
      </c>
    </row>
    <row r="13" spans="1:9" ht="27" customHeight="1" x14ac:dyDescent="0.25">
      <c r="A13" s="39"/>
      <c r="B13" s="61" t="s">
        <v>288</v>
      </c>
      <c r="C13" s="46" t="str">
        <f>EI!F14</f>
        <v>E.1.10.</v>
      </c>
      <c r="D13" s="47" t="str">
        <f>EI!H14</f>
        <v>The 81st Texas Legislature moved the statutory responsibility for Mathematics, Science, Technology Teacher Preparatory Academies and the Intensive Programs from the public education section to the higher education section of the Texas Education Code but did not appropriate funding to the Coordinating Board. Currently, funding is provided to TEA under General Appropriations Act, Senate Bill 1, 81st Texas Legislature, Section 51 (pages III-19 and 20), Texas High School Completion and Success Initiative.  In turn, TEA provides the Coordinating Board with funding through a Memorandum of Understanding. TEA has indicated they will not request funding in the 2012-2013 LAR since they have no statutory authority for these two programs. Therefore, the Coordinating Board would need to seek this appropriation in order to fund these programs for the 2012-2013.  The amounts indicated above represent grants funds. The requested administrative funds are shown in Strategy A.1.3.</v>
      </c>
      <c r="E13" s="40">
        <f>EI!J14</f>
        <v>4404500</v>
      </c>
      <c r="F13" s="41">
        <f>EI!K14</f>
        <v>4404500</v>
      </c>
      <c r="G13" s="48">
        <v>0</v>
      </c>
      <c r="H13" s="40">
        <f t="shared" si="0"/>
        <v>8809000</v>
      </c>
      <c r="I13" s="49" t="s">
        <v>378</v>
      </c>
    </row>
    <row r="14" spans="1:9" ht="27" customHeight="1" x14ac:dyDescent="0.25">
      <c r="A14" s="39">
        <v>10</v>
      </c>
      <c r="B14" s="38" t="str">
        <f>EI!D4</f>
        <v>National Student Clearing House Data</v>
      </c>
      <c r="C14" s="46" t="str">
        <f>EI!F4</f>
        <v>A.3.1.</v>
      </c>
      <c r="D14" s="47" t="str">
        <f>EI!H4</f>
        <v xml:space="preserve">To enhance the capability of research in the area of college access and success, this purchase of matching records from the National Student Clearing house would provide increased coverage of student higher education attendance patterns. Currently the longitudinal tracking is limited to only students attending higher education institutions in the state. </v>
      </c>
      <c r="E14" s="40">
        <f>EI!J4</f>
        <v>250000</v>
      </c>
      <c r="F14" s="40">
        <f>EI!K4</f>
        <v>250000</v>
      </c>
      <c r="G14" s="48">
        <v>0</v>
      </c>
      <c r="H14" s="40">
        <f t="shared" si="0"/>
        <v>500000</v>
      </c>
      <c r="I14" s="49" t="s">
        <v>379</v>
      </c>
    </row>
    <row r="15" spans="1:9" ht="27" customHeight="1" x14ac:dyDescent="0.3">
      <c r="A15" s="39">
        <f>EI!A11</f>
        <v>11</v>
      </c>
      <c r="B15" s="38" t="str">
        <f>EI!D11</f>
        <v xml:space="preserve">Baylor College of Medicine Undergraduate Education </v>
      </c>
      <c r="C15" s="46" t="str">
        <f>EI!F11</f>
        <v>D.1.1.</v>
      </c>
      <c r="D15" s="47" t="str">
        <f>EI!H11</f>
        <v>This Exceptional Item funding of $6,868,594 would provide to Baylor College of Medicine (BCM) the amount it is authorized by statute to receive for each Texas medical student enrolled at the College. This per-student amount is based on the average General Revenue (GR) expended in the previous fiscal year for each medical student at The University of Texas Medical Branch at Galveston and The University of Texas Southwestern Medical Center in Dallas.  The per-student amount includes GR expended by the two UT institutions for instruction and operations, infrastructure and benefits, but does not include formula funding appropriated to the UT institutions for research. This funding is the equivalent formula funding that is provided to all public Health-Related Institutions for medical education.</v>
      </c>
      <c r="E15" s="40">
        <f>EI!J11</f>
        <v>4637202.1499999985</v>
      </c>
      <c r="F15" s="41">
        <f>EI!K11</f>
        <v>2231392.1000000015</v>
      </c>
      <c r="G15" s="48">
        <v>0</v>
      </c>
      <c r="H15" s="40">
        <f t="shared" si="0"/>
        <v>6868594.25</v>
      </c>
      <c r="I15" s="49" t="s">
        <v>380</v>
      </c>
    </row>
    <row r="16" spans="1:9" ht="27" customHeight="1" thickBot="1" x14ac:dyDescent="0.35">
      <c r="B16" s="42" t="s">
        <v>216</v>
      </c>
      <c r="C16" s="51"/>
      <c r="D16" s="42" t="s">
        <v>217</v>
      </c>
      <c r="E16" s="50">
        <f>SUM(E3:E15)</f>
        <v>152739413.55000001</v>
      </c>
      <c r="F16" s="50">
        <f>SUM(F3:F15)</f>
        <v>194193864.69999999</v>
      </c>
      <c r="G16" s="57">
        <f>SUM(G3:G15)</f>
        <v>0</v>
      </c>
      <c r="H16" s="50">
        <f t="shared" si="0"/>
        <v>346933278.25</v>
      </c>
      <c r="I16" s="50"/>
    </row>
    <row r="19" spans="1:9" ht="30.75" customHeight="1" x14ac:dyDescent="0.3">
      <c r="A19" s="60" t="s">
        <v>285</v>
      </c>
      <c r="B19" s="837" t="s">
        <v>286</v>
      </c>
      <c r="C19" s="837"/>
      <c r="D19" s="837"/>
      <c r="E19" s="837"/>
      <c r="F19" s="837"/>
      <c r="G19" s="837"/>
      <c r="H19" s="837"/>
      <c r="I19" s="837"/>
    </row>
    <row r="22" spans="1:9" ht="27" customHeight="1" x14ac:dyDescent="0.3">
      <c r="E22" s="65"/>
    </row>
    <row r="23" spans="1:9" ht="27" customHeight="1" x14ac:dyDescent="0.3">
      <c r="E23" s="65"/>
    </row>
    <row r="24" spans="1:9" ht="27" customHeight="1" x14ac:dyDescent="0.3">
      <c r="E24" s="65"/>
    </row>
  </sheetData>
  <autoFilter ref="A2:I15">
    <sortState ref="A3:H15">
      <sortCondition ref="A2:A14"/>
    </sortState>
  </autoFilter>
  <mergeCells count="2">
    <mergeCell ref="A1:I1"/>
    <mergeCell ref="B19:I19"/>
  </mergeCells>
  <pageMargins left="0.7" right="0.7" top="0.75" bottom="0.75" header="0.3" footer="0.3"/>
  <pageSetup scale="91" orientation="landscape" r:id="rId1"/>
  <headerFooter>
    <oddFooter>&amp;CPage 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Descriptions</vt:lpstr>
      <vt:lpstr>EI</vt:lpstr>
      <vt:lpstr>A - Baseline Request</vt:lpstr>
      <vt:lpstr>B - Reductions </vt:lpstr>
      <vt:lpstr>C - EI Format</vt:lpstr>
      <vt:lpstr>D - SUMMARY FOR BOARD</vt:lpstr>
      <vt:lpstr>Goal Names</vt:lpstr>
      <vt:lpstr>TOC</vt:lpstr>
      <vt:lpstr>EI Format (2)</vt:lpstr>
      <vt:lpstr>'A - Baseline Request'!Print_Area</vt:lpstr>
      <vt:lpstr>'B - Reductions '!Print_Area</vt:lpstr>
      <vt:lpstr>'C - EI Format'!Print_Area</vt:lpstr>
      <vt:lpstr>'D - SUMMARY FOR BOARD'!Print_Area</vt:lpstr>
      <vt:lpstr>Descriptions!Print_Area</vt:lpstr>
      <vt:lpstr>TOC!Print_Area</vt:lpstr>
      <vt:lpstr>'A - Baseline Request'!Print_Titles</vt:lpstr>
      <vt:lpstr>'C - EI Format'!Print_Titles</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riosje</dc:creator>
  <cp:lastModifiedBy>Schooling, Judy</cp:lastModifiedBy>
  <cp:lastPrinted>2012-07-24T16:26:45Z</cp:lastPrinted>
  <dcterms:created xsi:type="dcterms:W3CDTF">2008-07-02T15:18:57Z</dcterms:created>
  <dcterms:modified xsi:type="dcterms:W3CDTF">2012-07-24T22:02:56Z</dcterms:modified>
</cp:coreProperties>
</file>